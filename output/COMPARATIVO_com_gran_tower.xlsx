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r_Tec e Adm" sheetId="1" state="visible" r:id="rId1"/>
    <sheet xmlns:r="http://schemas.openxmlformats.org/officeDocument/2006/relationships" name="Ger_Executivo" sheetId="2" state="visible" r:id="rId2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TE">#REF!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Adm'!$A$7:$R$782</definedName>
    <definedName name="__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">#REF!</definedName>
    <definedName name="______ACR15" localSheetId="1">#REF!</definedName>
    <definedName name="______acr20" localSheetId="1">#REF!</definedName>
    <definedName name="______acr5" localSheetId="1">#REF!</definedName>
    <definedName name="______ARQ1" localSheetId="1">#REF!</definedName>
    <definedName name="______QT100" localSheetId="1">#REF!</definedName>
    <definedName name="______QT2" localSheetId="1">#REF!</definedName>
    <definedName name="______QT3" localSheetId="1">#REF!</definedName>
    <definedName name="______QT4" localSheetId="1">#REF!</definedName>
    <definedName name="______QT50" localSheetId="1">#REF!</definedName>
    <definedName name="______QT75" localSheetId="1">#REF!</definedName>
    <definedName name="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">#REF!</definedName>
    <definedName name="_____ACR15" localSheetId="1">#REF!</definedName>
    <definedName name="_____acr20" localSheetId="1">#REF!</definedName>
    <definedName name="_____acr5" localSheetId="1">#REF!</definedName>
    <definedName name="_____ARQ1" localSheetId="1">#REF!</definedName>
    <definedName name="_____QT100" localSheetId="1">#REF!</definedName>
    <definedName name="_____QT2" localSheetId="1">#REF!</definedName>
    <definedName name="_____QT3" localSheetId="1">#REF!</definedName>
    <definedName name="_____QT4" localSheetId="1">#REF!</definedName>
    <definedName name="_____QT50" localSheetId="1">#REF!</definedName>
    <definedName name="_____QT75" localSheetId="1">#REF!</definedName>
    <definedName name="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">#REF!</definedName>
    <definedName name="____PK2" localSheetId="1">{"'장비'!$A$3:$M$12"}</definedName>
    <definedName name="____PKG3" localSheetId="1">{"'장비'!$A$3:$M$12"}</definedName>
    <definedName name="____qqq222" localSheetId="1">{"'장비'!$A$3:$M$12"}</definedName>
    <definedName name="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ACR10" localSheetId="1">#REF!</definedName>
    <definedName name="___ACR15" localSheetId="1">#REF!</definedName>
    <definedName name="___acr20" localSheetId="1">#REF!</definedName>
    <definedName name="___acr5" localSheetId="1">#REF!</definedName>
    <definedName name="___ARQ1" localSheetId="1">#REF!</definedName>
    <definedName name="_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">#REF!</definedName>
    <definedName name="___PK2" localSheetId="1">{"'장비'!$A$3:$M$12"}</definedName>
    <definedName name="___PKG3" localSheetId="1">{"'장비'!$A$3:$M$12"}</definedName>
    <definedName name="___qqq222" localSheetId="1">{"'장비'!$A$3:$M$12"}</definedName>
    <definedName name="___QT100" localSheetId="1">#REF!</definedName>
    <definedName name="___QT2" localSheetId="1">#REF!</definedName>
    <definedName name="___QT3" localSheetId="1">#REF!</definedName>
    <definedName name="___QT4" localSheetId="1">#REF!</definedName>
    <definedName name="___QT50" localSheetId="1">#REF!</definedName>
    <definedName name="___QT75" localSheetId="1">#REF!</definedName>
    <definedName name="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123Graph_AChart1" localSheetId="1">#REF!</definedName>
    <definedName name="__123Graph_AGRA1" localSheetId="1">#REF!</definedName>
    <definedName name="__123Graph_ARES" localSheetId="1">#REF!</definedName>
    <definedName name="__123Graph_B" localSheetId="1">#REF!</definedName>
    <definedName name="__123Graph_BChart1" localSheetId="1">#REF!</definedName>
    <definedName name="__123Graph_C" localSheetId="1">#REF!</definedName>
    <definedName name="__123Graph_D" localSheetId="1">#REF!</definedName>
    <definedName name="__123Graph_X" localSheetId="1">#REF!</definedName>
    <definedName name="__123Graph_XChart1" localSheetId="1">#REF!</definedName>
    <definedName name="__123Graph_XGRA1" localSheetId="1">#REF!</definedName>
    <definedName name="__123Graph_XRES" localSheetId="1">#REF!</definedName>
    <definedName name="__ACR10" localSheetId="1">#REF!</definedName>
    <definedName name="__ACR15" localSheetId="1">#REF!</definedName>
    <definedName name="__acr20" localSheetId="1">#REF!</definedName>
    <definedName name="__acr5" localSheetId="1">#REF!</definedName>
    <definedName name="__ARQ1" localSheetId="1">#REF!</definedName>
    <definedName name="__Axe3" localSheetId="1">#REF!</definedName>
    <definedName name="__Axe4" localSheetId="1">#REF!</definedName>
    <definedName name="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">#REF!</definedName>
    <definedName name="__htn2" localSheetId="1">#REF!</definedName>
    <definedName name="__iss2" localSheetId="1">#REF!</definedName>
    <definedName name="__PK2" localSheetId="1">{"'장비'!$A$3:$M$12"}</definedName>
    <definedName name="__PKG3" localSheetId="1">{"'장비'!$A$3:$M$12"}</definedName>
    <definedName name="__qqq222" localSheetId="1">{"'장비'!$A$3:$M$12"}</definedName>
    <definedName name="__QT100" localSheetId="1">#REF!</definedName>
    <definedName name="__QT2" localSheetId="1">#REF!</definedName>
    <definedName name="__QT3" localSheetId="1">#REF!</definedName>
    <definedName name="__QT4" localSheetId="1">#REF!</definedName>
    <definedName name="__QT50" localSheetId="1">#REF!</definedName>
    <definedName name="__QT75" localSheetId="1">#REF!</definedName>
    <definedName name="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0.CURVA_OBRA" localSheetId="1">#REF!</definedName>
    <definedName name="_00.VAR._GASTO" localSheetId="1">#REF!</definedName>
    <definedName name="_000.CURVA_FINA" localSheetId="1">#REF!</definedName>
    <definedName name="_1" localSheetId="1">#REF!</definedName>
    <definedName name="_1__123Graph_ACHART_1" localSheetId="1">#REF!</definedName>
    <definedName name="_10__123Graph_CCHART_1" localSheetId="1">#REF!</definedName>
    <definedName name="_11.SERV.TECNIC" localSheetId="1">#REF!</definedName>
    <definedName name="_11__123Graph_DCHART_1" localSheetId="1">#REF!</definedName>
    <definedName name="_12.GAST_GERAIS" localSheetId="1">#REF!</definedName>
    <definedName name="_13.P._PERMAN." localSheetId="1">#REF!</definedName>
    <definedName name="_15.IMPL._CANT" localSheetId="1">#REF!</definedName>
    <definedName name="_16.EQUIPAM." localSheetId="1">#REF!</definedName>
    <definedName name="_17.OPER._CANT." localSheetId="1">#REF!</definedName>
    <definedName name="_19.TRANC_LIMP." localSheetId="1">#REF!</definedName>
    <definedName name="_2" localSheetId="1">#REF!</definedName>
    <definedName name="_2__123Graph_BCHART_1" localSheetId="1">#REF!</definedName>
    <definedName name="_25.PREP.TERREN" localSheetId="1">#REF!</definedName>
    <definedName name="_27.FUND._ESCOR" localSheetId="1">#REF!</definedName>
    <definedName name="_3__123Graph_XCHART_1" localSheetId="1">#REF!</definedName>
    <definedName name="_31_32_33.C_A" localSheetId="1">#REF!</definedName>
    <definedName name="_41.ALVENARIA" localSheetId="1">#REF!</definedName>
    <definedName name="_47.IMP._ISOLA." localSheetId="1">#REF!</definedName>
    <definedName name="_5__123Graph_ACHART_1" localSheetId="1">#REF!</definedName>
    <definedName name="_51.REV.ARGAMAS" localSheetId="1">#REF!</definedName>
    <definedName name="_52.REV.CERAM.I" localSheetId="1">#REF!</definedName>
    <definedName name="_53.REV.CERAM.E" localSheetId="1">#REF!</definedName>
    <definedName name="_54.TACOS_E_ASS" localSheetId="1">#REF!</definedName>
    <definedName name="_55.MARM._E_GRA" localSheetId="1">#REF!</definedName>
    <definedName name="_56.MARMORITE" localSheetId="1">#REF!</definedName>
    <definedName name="_59.OUTRS_REVES" localSheetId="1">#REF!</definedName>
    <definedName name="_61.ESQUAD._MAD" localSheetId="1">#REF!</definedName>
    <definedName name="_63.ESQUAD._ALU" localSheetId="1">#REF!</definedName>
    <definedName name="_65.ESQUAD._FER" localSheetId="1">#REF!</definedName>
    <definedName name="_67.VIDROS" localSheetId="1">#REF!</definedName>
    <definedName name="_7__123Graph_ACHART_2" localSheetId="1">#REF!</definedName>
    <definedName name="_71_73.I.ELET_H" localSheetId="1">#REF!</definedName>
    <definedName name="_77.OUTRAS_INST." localSheetId="1">#REF!</definedName>
    <definedName name="_78.ELEVADORES" localSheetId="1">#REF!</definedName>
    <definedName name="_81.APAR._SANIT" localSheetId="1">#REF!</definedName>
    <definedName name="_83_85.PINT_LIM" localSheetId="1">#REF!</definedName>
    <definedName name="_9__123Graph_BCHART_2" localSheetId="1">#REF!</definedName>
    <definedName name="_ACR10" localSheetId="1">#REF!</definedName>
    <definedName name="_ACR15" localSheetId="1">#REF!</definedName>
    <definedName name="_acr20" localSheetId="1">#REF!</definedName>
    <definedName name="_acr5" localSheetId="1">#REF!</definedName>
    <definedName name="_akhnsdkjsdb" localSheetId="1">#REF!</definedName>
    <definedName name="_ARQ1" localSheetId="1">#REF!</definedName>
    <definedName name="_Axe3" localSheetId="1">#REF!</definedName>
    <definedName name="_Axe4" localSheetId="1">#REF!</definedName>
    <definedName name="_Builtin13" localSheetId="1">#REF!</definedName>
    <definedName name="_CAB1" localSheetId="1">#REF!</definedName>
    <definedName name="_CAB2" localSheetId="1">#REF!</definedName>
    <definedName name="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">#REF!</definedName>
    <definedName name="_Dist_Values" localSheetId="1">#REF!</definedName>
    <definedName name="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htm2" localSheetId="1">#REF!</definedName>
    <definedName name="_htn2" localSheetId="1">#REF!</definedName>
    <definedName name="_IA0542" localSheetId="1">{#N/A,#N/A,FALSE,"Plan1";#N/A,#N/A,FALSE,"Plan2"}</definedName>
    <definedName name="_iss2" localSheetId="1">#REF!</definedName>
    <definedName name="_IV65617" localSheetId="1">#REF!</definedName>
    <definedName name="_IV65999" localSheetId="1">#REF!</definedName>
    <definedName name="_IV66000" localSheetId="1">#REF!</definedName>
    <definedName name="_IV67021" localSheetId="1">#REF!</definedName>
    <definedName name="_IV67022" localSheetId="1">#REF!</definedName>
    <definedName name="_Key1" localSheetId="1">#REF!</definedName>
    <definedName name="_l" localSheetId="1">#REF!</definedName>
    <definedName name="_la29" localSheetId="1">#REF!</definedName>
    <definedName name="_la3" localSheetId="1">#REF!</definedName>
    <definedName name="_MatMult_A" localSheetId="1">#REF!</definedName>
    <definedName name="_new11" localSheetId="1">{#N/A,#N/A,FALSE,"Global by BU";#N/A,#N/A,FALSE,"U.S. by BU";#N/A,#N/A,FALSE,"Canada by BU";#N/A,#N/A,FALSE,"Europe by BU";#N/A,#N/A,FALSE,"Asia by BU";#N/A,#N/A,FALSE,"Cala by BU"}</definedName>
    <definedName name="_Order2" localSheetId="1">255</definedName>
    <definedName name="_PAV01" localSheetId="1">#REF!</definedName>
    <definedName name="_PAV02" localSheetId="1">#REF!</definedName>
    <definedName name="_PAV03" localSheetId="1">#REF!</definedName>
    <definedName name="_PAV04" localSheetId="1">#REF!</definedName>
    <definedName name="_PAV05" localSheetId="1">#REF!</definedName>
    <definedName name="_PAV06" localSheetId="1">#REF!</definedName>
    <definedName name="_PAV07" localSheetId="1">#REF!</definedName>
    <definedName name="_PAV08" localSheetId="1">#REF!</definedName>
    <definedName name="_PAV09" localSheetId="1">#REF!</definedName>
    <definedName name="_PAV10" localSheetId="1">#REF!</definedName>
    <definedName name="_PAV11" localSheetId="1">#REF!</definedName>
    <definedName name="_PK2" localSheetId="1">{"'장비'!$A$3:$M$12"}</definedName>
    <definedName name="_PKG3" localSheetId="1">{"'장비'!$A$3:$M$12"}</definedName>
    <definedName name="_qqq222" localSheetId="1">{"'장비'!$A$3:$M$12"}</definedName>
    <definedName name="_QT100" localSheetId="1">#REF!</definedName>
    <definedName name="_QT2" localSheetId="1">#REF!</definedName>
    <definedName name="_QT3" localSheetId="1">#REF!</definedName>
    <definedName name="_QT4" localSheetId="1">#REF!</definedName>
    <definedName name="_QT50" localSheetId="1">#REF!</definedName>
    <definedName name="_QT75" localSheetId="1">#REF!</definedName>
    <definedName name="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Out" localSheetId="1">#REF!</definedName>
    <definedName name="_sfe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">#REF!</definedName>
    <definedName name="_T" localSheetId="1">#REF!</definedName>
    <definedName name="_wer3" localSheetId="1">{#N/A,#N/A,FALSE,"Plan1";#N/A,#N/A,FALSE,"Plan2"}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">#REF!</definedName>
    <definedName name="_x11" localSheetId="1">#REF!</definedName>
    <definedName name="_x12" localSheetId="1">#REF!</definedName>
    <definedName name="_xlcn.WorksheetConnection_2018_03ResumoRGOObrasRJ.xlsbTabela1" localSheetId="1">#REF!</definedName>
    <definedName name="_xlcn.WorksheetConnection_ProjetocontrolefisicoefinanceiroRJ.xlsxTabela31" localSheetId="1">#REF!</definedName>
    <definedName name="a" localSheetId="1">#REF!</definedName>
    <definedName name="aa" localSheetId="1">#REF!</definedName>
    <definedName name="aaa" localSheetId="1">#REF!</definedName>
    <definedName name="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">#REF!</definedName>
    <definedName name="aaacccc" localSheetId="1">{#N/A,#N/A,FALSE,"Plan1";#N/A,#N/A,FALSE,"Plan2"}</definedName>
    <definedName name="aaas" localSheetId="1">#REF!</definedName>
    <definedName name="AB" localSheetId="1">#REF!</definedName>
    <definedName name="Abat_ISS" localSheetId="1">#REF!</definedName>
    <definedName name="ab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ebqt" localSheetId="1">#REF!</definedName>
    <definedName name="abr17RJ" localSheetId="1">#REF!</definedName>
    <definedName name="ABRIL" localSheetId="1">#REF!</definedName>
    <definedName name="ABRIL2001" localSheetId="1">#REF!</definedName>
    <definedName name="Acabam." localSheetId="1">#REF!</definedName>
    <definedName name="ACADUC" localSheetId="1">#REF!</definedName>
    <definedName name="ACBEB" localSheetId="1">#REF!</definedName>
    <definedName name="ACBOMB" localSheetId="1">#REF!</definedName>
    <definedName name="ACCHAF" localSheetId="1">#REF!</definedName>
    <definedName name="acdb" localSheetId="1">#REF!</definedName>
    <definedName name="ACDER" localSheetId="1">#REF!</definedName>
    <definedName name="ACDIV" localSheetId="1">#REF!</definedName>
    <definedName name="ACEQP" localSheetId="1">#REF!</definedName>
    <definedName name="ACHAFQT" localSheetId="1">#REF!</definedName>
    <definedName name="ACMUR" localSheetId="1">#REF!</definedName>
    <definedName name="açoeeer" localSheetId="1">{#N/A,#N/A,FALSE,"Plan1";#N/A,#N/A,FALSE,"Plan2"}</definedName>
    <definedName name="ACOMP" localSheetId="1">#REF!</definedName>
    <definedName name="ACONT2" localSheetId="1">#REF!</definedName>
    <definedName name="ACPIPA" localSheetId="1">#REF!</definedName>
    <definedName name="ACTRANSP" localSheetId="1">#REF!</definedName>
    <definedName name="ACwvu.PLANILHA2." localSheetId="1">#REF!</definedName>
    <definedName name="ad" localSheetId="1">{#N/A,#N/A,FALSE,"Plan1";#N/A,#N/A,FALSE,"Plan2"}</definedName>
    <definedName name="adads" localSheetId="1">{#N/A,#N/A,FALSE,"Plan1";#N/A,#N/A,FALSE,"Plan2"}</definedName>
    <definedName name="adads2" localSheetId="1">{#N/A,#N/A,FALSE,"Plan1";#N/A,#N/A,FALSE,"Plan2"}</definedName>
    <definedName name="adced" localSheetId="1">{#N/A,#N/A,FALSE,"Plan1";#N/A,#N/A,FALSE,"Plan2"}</definedName>
    <definedName name="adced2" localSheetId="1">{#N/A,#N/A,FALSE,"Plan1";#N/A,#N/A,FALSE,"Plan2"}</definedName>
    <definedName name="ader" localSheetId="1">{#N/A,#N/A,FALSE,"Plan1";#N/A,#N/A,FALSE,"Plan2"}</definedName>
    <definedName name="ader2" localSheetId="1">{#N/A,#N/A,FALSE,"Plan1";#N/A,#N/A,FALSE,"Plan2"}</definedName>
    <definedName name="adesr" localSheetId="1">{#N/A,#N/A,FALSE,"Plan1";#N/A,#N/A,FALSE,"Plan2"}</definedName>
    <definedName name="adewr" localSheetId="1">{#N/A,#N/A,FALSE,"Plan1";#N/A,#N/A,FALSE,"Plan2"}</definedName>
    <definedName name="adf" localSheetId="1">{#N/A,#N/A,FALSE,"Plan1";#N/A,#N/A,FALSE,"Plan2"}</definedName>
    <definedName name="ADITIVO_BRUTO" localSheetId="1">#REF!</definedName>
    <definedName name="ADITIVO_LIQUIDO" localSheetId="1">#REF!</definedName>
    <definedName name="ADM.EXTERNA" localSheetId="1">#REF!</definedName>
    <definedName name="adsfr" localSheetId="1">{#N/A,#N/A,FALSE,"Plan1";#N/A,#N/A,FALSE,"Plan2"}</definedName>
    <definedName name="adssrgtg" localSheetId="1">{#N/A,#N/A,FALSE,"Plan1";#N/A,#N/A,FALSE,"Plan2"}</definedName>
    <definedName name="adtsetrr6t" localSheetId="1">{#N/A,#N/A,FALSE,"Plan1";#N/A,#N/A,FALSE,"Plan2"}</definedName>
    <definedName name="ADUCQT" localSheetId="1">#REF!</definedName>
    <definedName name="adwr" localSheetId="1">{#N/A,#N/A,FALSE,"Plan1";#N/A,#N/A,FALSE,"Plan2"}</definedName>
    <definedName name="aeiresft" localSheetId="1">{#N/A,#N/A,FALSE,"Plan1";#N/A,#N/A,FALSE,"Plan2"}</definedName>
    <definedName name="aEL3QE" localSheetId="1">{#N/A,#N/A,FALSE,"Plan1";#N/A,#N/A,FALSE,"Plan2"}</definedName>
    <definedName name="afeasfre" localSheetId="1">{#N/A,#N/A,FALSE,"Plan1";#N/A,#N/A,FALSE,"Plan2"}</definedName>
    <definedName name="agdsf" localSheetId="1">#REF!</definedName>
    <definedName name="ago17RJ" localSheetId="1">#REF!</definedName>
    <definedName name="AGOSTO" localSheetId="1">#REF!</definedName>
    <definedName name="agu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">{#N/A,#N/A,FALSE,"CCTV"}</definedName>
    <definedName name="AITEM" localSheetId="1">#REF!</definedName>
    <definedName name="Ajudante_Geral" localSheetId="1">#REF!</definedName>
    <definedName name="ajudante_mes" localSheetId="1">#REF!</definedName>
    <definedName name="AL" localSheetId="1">#REF!</definedName>
    <definedName name="ALTADUC" localSheetId="1">#REF!</definedName>
    <definedName name="ALTBOMB" localSheetId="1">#REF!</definedName>
    <definedName name="ALTCAP" localSheetId="1">#REF!</definedName>
    <definedName name="ALTDER" localSheetId="1">#REF!</definedName>
    <definedName name="ALTEQUIP" localSheetId="1">#REF!</definedName>
    <definedName name="ALTIEQP" localSheetId="1">#REF!</definedName>
    <definedName name="ALTMUR" localSheetId="1">#REF!</definedName>
    <definedName name="ALTRES10" localSheetId="1">#REF!</definedName>
    <definedName name="ALTRES15" localSheetId="1">#REF!</definedName>
    <definedName name="ALTRES20" localSheetId="1">#REF!</definedName>
    <definedName name="ALTTRANS" localSheetId="1">#REF!</definedName>
    <definedName name="ALUMÍNIO_2" localSheetId="1">#REF!</definedName>
    <definedName name="angelo" localSheetId="1">#REF!</definedName>
    <definedName name="anscount" localSheetId="1">3</definedName>
    <definedName name="AQE" localSheetId="1">{"'장비'!$A$3:$M$12"}</definedName>
    <definedName name="AQTEMP1" localSheetId="1">#REF!</definedName>
    <definedName name="AQTEMP2" localSheetId="1">#REF!</definedName>
    <definedName name="ArComprimido" localSheetId="1">{"'Estimativa de Lançamento-JAN'!$A$1:$AI$85"}</definedName>
    <definedName name="area" localSheetId="1">{#N/A,#N/A,FALSE,"Plan1";#N/A,#N/A,FALSE,"Plan2"}</definedName>
    <definedName name="área" localSheetId="1">#REF!</definedName>
    <definedName name="Área_Construída" localSheetId="1">#REF!</definedName>
    <definedName name="Área_impressão_IM" localSheetId="1">#REF!</definedName>
    <definedName name="Área_Privativa" localSheetId="1">#REF!</definedName>
    <definedName name="Área_Terreno" localSheetId="1">#REF!</definedName>
    <definedName name="area1" localSheetId="1">#REF!</definedName>
    <definedName name="Areaimpresso" localSheetId="1">#REF!</definedName>
    <definedName name="ARM" localSheetId="1">#REF!</definedName>
    <definedName name="ARMABLOCOS" localSheetId="1">#REF!</definedName>
    <definedName name="ARMAÇÃO" localSheetId="1">#REF!</definedName>
    <definedName name="ARQ" localSheetId="1">#REF!</definedName>
    <definedName name="ARQERR" localSheetId="1">#REF!</definedName>
    <definedName name="ARQPLAN" localSheetId="1">#REF!</definedName>
    <definedName name="ARQT" localSheetId="1">#REF!</definedName>
    <definedName name="ARQTEMP" localSheetId="1">#REF!</definedName>
    <definedName name="ARQTXT" localSheetId="1">#REF!</definedName>
    <definedName name="ARTEMP" localSheetId="1">#REF!</definedName>
    <definedName name="AS" localSheetId="1">#REF!</definedName>
    <definedName name="asawe3" localSheetId="1">{#N/A,#N/A,FALSE,"Plan1";#N/A,#N/A,FALSE,"Plan2"}</definedName>
    <definedName name="ASD" localSheetId="1">17</definedName>
    <definedName name="ASDA" localSheetId="1">{#N/A,#N/A,FALSE,"Plan1";#N/A,#N/A,FALSE,"Plan2"}</definedName>
    <definedName name="asdade" localSheetId="1">{#N/A,#N/A,FALSE,"Plan1";#N/A,#N/A,FALSE,"Plan2"}</definedName>
    <definedName name="asdas" localSheetId="1">{#N/A,#N/A,FALSE,"Plan1";#N/A,#N/A,FALSE,"Plan2"}</definedName>
    <definedName name="asdawed" localSheetId="1">{#N/A,#N/A,FALSE,"Plan1";#N/A,#N/A,FALSE,"Plan2"}</definedName>
    <definedName name="ASDER" localSheetId="1">{#N/A,#N/A,FALSE,"Plan1";#N/A,#N/A,FALSE,"Plan2"}</definedName>
    <definedName name="asderr" localSheetId="1">{#N/A,#N/A,FALSE,"Plan1";#N/A,#N/A,FALSE,"Plan2"}</definedName>
    <definedName name="asdesre" localSheetId="1">{#N/A,#N/A,FALSE,"Plan1";#N/A,#N/A,FALSE,"Plan2"}</definedName>
    <definedName name="asdewr" localSheetId="1">{#N/A,#N/A,FALSE,"Plan1";#N/A,#N/A,FALSE,"Plan2"}</definedName>
    <definedName name="ASDFASDF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">{#N/A,#N/A,FALSE,"Plan1";#N/A,#N/A,FALSE,"Plan2"}</definedName>
    <definedName name="asdg" localSheetId="1">{#N/A,#N/A,FALSE,"Plan1";#N/A,#N/A,FALSE,"Plan2"}</definedName>
    <definedName name="asdjksej" localSheetId="1">#REF!</definedName>
    <definedName name="as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">{#N/A,#N/A,FALSE,"Plan1";#N/A,#N/A,FALSE,"Plan2"}</definedName>
    <definedName name="asdqwe" localSheetId="1">{#N/A,#N/A,FALSE,"Plan1";#N/A,#N/A,FALSE,"Plan2"}</definedName>
    <definedName name="asdsa" localSheetId="1">{#N/A,#N/A,FALSE,"Plan1";#N/A,#N/A,FALSE,"Plan2"}</definedName>
    <definedName name="asdser" localSheetId="1">{#N/A,#N/A,FALSE,"Plan1";#N/A,#N/A,FALSE,"Plan2"}</definedName>
    <definedName name="asdwef" localSheetId="1">{#N/A,#N/A,FALSE,"Plan1";#N/A,#N/A,FALSE,"Plan2"}</definedName>
    <definedName name="aseiuw" localSheetId="1">#REF!</definedName>
    <definedName name="ASET" localSheetId="1">{#N/A,#N/A,FALSE,"Plan1";#N/A,#N/A,FALSE,"Plan2"}</definedName>
    <definedName name="asfDSF" localSheetId="1">{#N/A,#N/A,FALSE,"Plan1";#N/A,#N/A,FALSE,"Plan2"}</definedName>
    <definedName name="ASFERTE" localSheetId="1">{#N/A,#N/A,FALSE,"Plan1";#N/A,#N/A,FALSE,"Plan2"}</definedName>
    <definedName name="asfl" localSheetId="1">{#N/A,#N/A,FALSE,"Plan1";#N/A,#N/A,FALSE,"Plan2"}</definedName>
    <definedName name="asfsz" localSheetId="1">{#N/A,#N/A,FALSE,"Plan1";#N/A,#N/A,FALSE,"Plan2"}</definedName>
    <definedName name="askserf" localSheetId="1">{#N/A,#N/A,FALSE,"Plan1";#N/A,#N/A,FALSE,"Plan2"}</definedName>
    <definedName name="ASSFSDF" localSheetId="1">{#N/A,#N/A,FALSE,"Plan1";#N/A,#N/A,FALSE,"Plan2"}</definedName>
    <definedName name="asw" localSheetId="1">{#N/A,#N/A,FALSE,"Plan1";#N/A,#N/A,FALSE,"Plan2"}</definedName>
    <definedName name="Até_Chaves" localSheetId="1">#REF!</definedName>
    <definedName name="ATIVOS" localSheetId="1">{#N/A,#N/A,FALSE,"F-01"}</definedName>
    <definedName name="Ato" localSheetId="1">#REF!</definedName>
    <definedName name="ATUAL" localSheetId="1">#REF!</definedName>
    <definedName name="aux" localSheetId="1">#REF!</definedName>
    <definedName name="AUXILIO" localSheetId="1">#REF!</definedName>
    <definedName name="avulsos" localSheetId="1">#REF!</definedName>
    <definedName name="awdjw" localSheetId="1">{#N/A,#N/A,FALSE,"Plan1";#N/A,#N/A,FALSE,"Plan2"}</definedName>
    <definedName name="aweqw4" localSheetId="1">{#N/A,#N/A,FALSE,"Plan1";#N/A,#N/A,FALSE,"Plan2"}</definedName>
    <definedName name="awssdwaer" localSheetId="1">{#N/A,#N/A,FALSE,"Plan1";#N/A,#N/A,FALSE,"Plan2"}</definedName>
    <definedName name="AZ" localSheetId="1">#REF!</definedName>
    <definedName name="B" localSheetId="1">#REF!</definedName>
    <definedName name="BA" localSheetId="1">#REF!</definedName>
    <definedName name="BANCO" localSheetId="1">#REF!</definedName>
    <definedName name="Banco_dados_IM" localSheetId="1">#REF!</definedName>
    <definedName name="BANCO1" localSheetId="1">#REF!</definedName>
    <definedName name="BANCO2" localSheetId="1">#REF!</definedName>
    <definedName name="BANCO3" localSheetId="1">#REF!</definedName>
    <definedName name="BANCO4" localSheetId="1">#REF!</definedName>
    <definedName name="BASE" localSheetId="1">OFFSET(#REF!,0,0,COUNTA(#REF!)+1,5)</definedName>
    <definedName name="BASE_DE_DADOS_FLUXO_DE_CAIXA" localSheetId="1">OFFSET(#REF!,0,0,COUNTA(#REF!),COUNTA(#REF!))</definedName>
    <definedName name="BASE_FL_CX_3S" localSheetId="1">OFFSET(#REF!,0,0,COUNTA(#REF!),COUNTA(#REF!))</definedName>
    <definedName name="BASE_FLUXO_CAIXA_2017" localSheetId="1">OFFSET(#REF!,0,0,COUNTA(#REF!),COUNTA(#REF!))</definedName>
    <definedName name="bb" localSheetId="1">#REF!</definedName>
    <definedName name="bbb" localSheetId="1">#REF!</definedName>
    <definedName name="bbbbbbbbbbbbbbb" localSheetId="1">{"'Edit'!$A$1:$V$2277"}</definedName>
    <definedName name="BD" localSheetId="1">#REF!</definedName>
    <definedName name="BDA" localSheetId="1">#REF!</definedName>
    <definedName name="bdfjghf" localSheetId="1">{#N/A,#N/A,FALSE,"Plan1";#N/A,#N/A,FALSE,"Plan2"}</definedName>
    <definedName name="BDI" localSheetId="1">#REF!</definedName>
    <definedName name="bdzbfbdr" localSheetId="1">{#N/A,#N/A,FALSE,"Plan1";#N/A,#N/A,FALSE,"Plan2"}</definedName>
    <definedName name="be" localSheetId="1">#REF!</definedName>
    <definedName name="bebqt" localSheetId="1">#REF!</definedName>
    <definedName name="bela_cdi" localSheetId="1">#REF!</definedName>
    <definedName name="bela_hist" localSheetId="1">#REF!</definedName>
    <definedName name="bela_uss" localSheetId="1">#REF!</definedName>
    <definedName name="BGG" localSheetId="1">{#N/A,#N/A,FALSE,"Plan1";#N/A,#N/A,FALSE,"Plan2"}</definedName>
    <definedName name="bhjgfhfh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">{#N/A,#N/A,FALSE,"Plan1";#N/A,#N/A,FALSE,"Plan2"}</definedName>
    <definedName name="bloco" localSheetId="1">#REF!</definedName>
    <definedName name="BLPH1" localSheetId="1">#REF!</definedName>
    <definedName name="BLPH100" localSheetId="1">#REF!</definedName>
    <definedName name="BLPH101" localSheetId="1">#REF!</definedName>
    <definedName name="BLPH102" localSheetId="1">#REF!</definedName>
    <definedName name="BLPH103" localSheetId="1">#REF!</definedName>
    <definedName name="BLPH104" localSheetId="1">#REF!</definedName>
    <definedName name="BLPH96" localSheetId="1">#REF!</definedName>
    <definedName name="BLPH97" localSheetId="1">#REF!</definedName>
    <definedName name="BLPH98" localSheetId="1">#REF!</definedName>
    <definedName name="BLPH99" localSheetId="1">#REF!</definedName>
    <definedName name="bmdgghrtfde" localSheetId="1">{#N/A,#N/A,FALSE,"Plan1";#N/A,#N/A,FALSE,"Plan2"}</definedName>
    <definedName name="bnkjhjhdfxgt" localSheetId="1">{#N/A,#N/A,FALSE,"Plan1";#N/A,#N/A,FALSE,"Plan2"}</definedName>
    <definedName name="BORBA2" localSheetId="1">#REF!</definedName>
    <definedName name="BuiltIn_Print_Area" localSheetId="1">#REF!</definedName>
    <definedName name="BuiltIn_Print_Area___0" localSheetId="1">#REF!</definedName>
    <definedName name="BuiltIn_Print_Titles" localSheetId="1">#REF!</definedName>
    <definedName name="BuiltIn_Print_Titles___0" localSheetId="1">#REF!</definedName>
    <definedName name="bxnzfmkzxbhdf" localSheetId="1">{#N/A,#N/A,FALSE,"Plan1";#N/A,#N/A,FALSE,"Plan2"}</definedName>
    <definedName name="ca" localSheetId="1">#REF!</definedName>
    <definedName name="CAGR" localSheetId="1">#REF!</definedName>
    <definedName name="caixa" localSheetId="1">#REF!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">#REF!</definedName>
    <definedName name="CAMP" localSheetId="1">#REF!</definedName>
    <definedName name="CAMPOS" localSheetId="1">#REF!</definedName>
    <definedName name="Capa" localSheetId="1">#REF!</definedName>
    <definedName name="CAPA2" localSheetId="1">#REF!</definedName>
    <definedName name="CAPA55" localSheetId="1">#REF!</definedName>
    <definedName name="CAPA55A" localSheetId="1">#REF!</definedName>
    <definedName name="CAPELA" localSheetId="1">#REF!</definedName>
    <definedName name="CARLOS1" localSheetId="1">#REF!</definedName>
    <definedName name="CARTÃO4" localSheetId="1">#REF!</definedName>
    <definedName name="CAT6_IP" localSheetId="1">{#N/A,#N/A,FALSE,"F-01"}</definedName>
    <definedName name="categori45" localSheetId="1">#REF!</definedName>
    <definedName name="CATEGORIA1" localSheetId="1">#REF!</definedName>
    <definedName name="CATEGORIA10" localSheetId="1">#REF!</definedName>
    <definedName name="CATEGORIA11" localSheetId="1">#REF!</definedName>
    <definedName name="CATEGORIA12" localSheetId="1">#REF!</definedName>
    <definedName name="CATEGORIA13" localSheetId="1">#REF!</definedName>
    <definedName name="CATEGORIA14" localSheetId="1">#REF!</definedName>
    <definedName name="CATEGORIA15" localSheetId="1">#REF!</definedName>
    <definedName name="CATEGORIA16" localSheetId="1">#REF!</definedName>
    <definedName name="CATEGORIA17" localSheetId="1">#REF!</definedName>
    <definedName name="CATEGORIA18" localSheetId="1">#REF!</definedName>
    <definedName name="CATEGORIA19" localSheetId="1">#REF!</definedName>
    <definedName name="CATEGORIA2" localSheetId="1">#REF!</definedName>
    <definedName name="CATEGORIA20" localSheetId="1">#REF!</definedName>
    <definedName name="CATEGORIA21" localSheetId="1">#REF!</definedName>
    <definedName name="CATEGORIA22" localSheetId="1">#REF!</definedName>
    <definedName name="CATEGORIA3" localSheetId="1">#REF!</definedName>
    <definedName name="CATEGORIA4" localSheetId="1">#REF!</definedName>
    <definedName name="CATEGORIA5" localSheetId="1">#REF!</definedName>
    <definedName name="CATEGORIA6" localSheetId="1">#REF!</definedName>
    <definedName name="CATEGORIA7" localSheetId="1">#REF!</definedName>
    <definedName name="CATEGORIA8" localSheetId="1">#REF!</definedName>
    <definedName name="CATEGORIA9" localSheetId="1">#REF!</definedName>
    <definedName name="CATORZE" localSheetId="1">#REF!</definedName>
    <definedName name="CAUX2" localSheetId="1">OFFSET(#REF!,0,0,COUNTA(#REF!)+1,1)</definedName>
    <definedName name="CAUX3" localSheetId="1">OFFSET(#REF!,0,0,COUNTA(#REF!)+1,1)</definedName>
    <definedName name="CCC" localSheetId="1">#REF!</definedName>
    <definedName name="ççç" localSheetId="1">{#N/A,#N/A,FALSE,"Plan1";#N/A,#N/A,FALSE,"Plan2"}</definedName>
    <definedName name="cccc" localSheetId="1">{#N/A,#N/A,FALSE,"Plan1";#N/A,#N/A,FALSE,"Plan2"}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">{"HW",#N/A,FALSE,"1998"}</definedName>
    <definedName name="cchart1" localSheetId="1">#REF!</definedName>
    <definedName name="cchart10" localSheetId="1">#REF!</definedName>
    <definedName name="cchart11" localSheetId="1">#REF!</definedName>
    <definedName name="çcklfj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">#REF!</definedName>
    <definedName name="çdfmerf" localSheetId="1">{#N/A,#N/A,FALSE,"Plan1";#N/A,#N/A,FALSE,"Plan2"}</definedName>
    <definedName name="CDSGHE" localSheetId="1">{#N/A,#N/A,FALSE,"Plan1";#N/A,#N/A,FALSE,"Plan2"}</definedName>
    <definedName name="cdvthd" localSheetId="1">#REF!</definedName>
    <definedName name="Cel_Constr" localSheetId="1">#REF!</definedName>
    <definedName name="CestaExcel" localSheetId="1">#REF!</definedName>
    <definedName name="CevaG" localSheetId="1">#REF!</definedName>
    <definedName name="CevaGS" localSheetId="1">#REF!</definedName>
    <definedName name="çfhjglkjhkljy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">{#N/A,#N/A,FALSE,"Plan1";#N/A,#N/A,FALSE,"Plan2"}</definedName>
    <definedName name="CHAFQT" localSheetId="1">#REF!</definedName>
    <definedName name="Chaves" localSheetId="1">#REF!</definedName>
    <definedName name="chfch" localSheetId="1">{#N/A,#N/A,FALSE,"Plan1";#N/A,#N/A,FALSE,"Plan2"}</definedName>
    <definedName name="CI" localSheetId="1">#REF!</definedName>
    <definedName name="cidades" localSheetId="1">#REF!</definedName>
    <definedName name="CIFIXA" localSheetId="1">#REF!</definedName>
    <definedName name="CINCO" localSheetId="1">#REF!</definedName>
    <definedName name="CITOTAL" localSheetId="1">#REF!</definedName>
    <definedName name="CIVAR" localSheetId="1">#REF!</definedName>
    <definedName name="ÇJKRÇLFS" localSheetId="1">{"Econ Consolidado",#N/A,FALSE,"Econ Consol";"Fluxo de Caixa",#N/A,FALSE,"Fluxo Caixa";"Investimentos",#N/A,FALSE,"Investimentos"}</definedName>
    <definedName name="ÇJsrejtçe" localSheetId="1">{#N/A,#N/A,FALSE,"Plan1";#N/A,#N/A,FALSE,"Plan2"}</definedName>
    <definedName name="çkaçekow" localSheetId="1">{#N/A,#N/A,FALSE,"Plan1";#N/A,#N/A,FALSE,"Plan2"}</definedName>
    <definedName name="ÇKSDOEKR" localSheetId="1">{#N/A,#N/A,FALSE,"Plan1";#N/A,#N/A,FALSE,"Plan2"}</definedName>
    <definedName name="çl" localSheetId="1">{#N/A,#N/A,FALSE,"Plan1";#N/A,#N/A,FALSE,"Plan2"}</definedName>
    <definedName name="çlassde" localSheetId="1">{#N/A,#N/A,FALSE,"Plan1";#N/A,#N/A,FALSE,"Plan2"}</definedName>
    <definedName name="Classificação" localSheetId="1">#REF!</definedName>
    <definedName name="çlçlç" localSheetId="1">{#N/A,#N/A,FALSE,"Plan1";#N/A,#N/A,FALSE,"Plan2"}</definedName>
    <definedName name="çld" localSheetId="1">{#N/A,#N/A,FALSE,"Plan1";#N/A,#N/A,FALSE,"Plan2"}</definedName>
    <definedName name="çlererr" localSheetId="1">{#N/A,#N/A,FALSE,"Plan1";#N/A,#N/A,FALSE,"Plan2"}</definedName>
    <definedName name="çlertert" localSheetId="1">{#N/A,#N/A,FALSE,"Plan1";#N/A,#N/A,FALSE,"Plan2"}</definedName>
    <definedName name="çlkdflçkrlr" localSheetId="1">#REF!</definedName>
    <definedName name="çll" localSheetId="1">{#N/A,#N/A,FALSE,"Plan1";#N/A,#N/A,FALSE,"Plan2"}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">#REF!</definedName>
    <definedName name="Cod_Esquadrias" localSheetId="1">#REF!</definedName>
    <definedName name="CÓDG" localSheetId="1">OFFSET(#REF!,0,0,COUNTA(#REF!),1)</definedName>
    <definedName name="codigo2" localSheetId="1">#REF!</definedName>
    <definedName name="codigo3" localSheetId="1">#REF!</definedName>
    <definedName name="CÓDT" localSheetId="1">OFFSET(#REF!,0,0,COUNTA(#REF!)+1,1)</definedName>
    <definedName name="COFINS" localSheetId="1">#REF!</definedName>
    <definedName name="cofins2" localSheetId="1">#REF!</definedName>
    <definedName name="COGS" localSheetId="1">#REF!</definedName>
    <definedName name="COLSUB" localSheetId="1">#REF!</definedName>
    <definedName name="COMISSOES" localSheetId="1">#REF!</definedName>
    <definedName name="COMPOSICAO" localSheetId="1">#REF!</definedName>
    <definedName name="composição" localSheetId="1">#REF!</definedName>
    <definedName name="COMPR" localSheetId="1">#REF!</definedName>
    <definedName name="COMPRIMENTO" localSheetId="1">#REF!</definedName>
    <definedName name="COMPROMETIDO" localSheetId="1">#REF!</definedName>
    <definedName name="CONFIRMAR" localSheetId="1">{#N/A,#N/A,TRUE,"Quinzena 01 à 15-04-98 "}</definedName>
    <definedName name="cont" localSheetId="1">{#N/A,#N/A,FALSE,"Plan1";#N/A,#N/A,FALSE,"Plan2"}</definedName>
    <definedName name="CONT1" localSheetId="1">#REF!</definedName>
    <definedName name="CONT2" localSheetId="1">#REF!</definedName>
    <definedName name="CONT3" localSheetId="1">#REF!</definedName>
    <definedName name="CONTAIT" localSheetId="1">#REF!</definedName>
    <definedName name="CONTREC" localSheetId="1">#REF!</definedName>
    <definedName name="CONTRES" localSheetId="1">#REF!</definedName>
    <definedName name="CONTROLE" localSheetId="1">#REF!</definedName>
    <definedName name="CONVERSÃO" localSheetId="1">#REF!</definedName>
    <definedName name="cpmf" localSheetId="1">#REF!</definedName>
    <definedName name="Credor_Rel_Sienge" localSheetId="1">#REF!</definedName>
    <definedName name="CRONG" localSheetId="1">#REF!</definedName>
    <definedName name="cronograma" localSheetId="1">#REF!</definedName>
    <definedName name="CRONOGRAMA_FÍSICO_FINANCEIRO" localSheetId="1">#REF!</definedName>
    <definedName name="CS" localSheetId="1">#REF!</definedName>
    <definedName name="cs_diferida" localSheetId="1">#REF!</definedName>
    <definedName name="ÇSAÇDFW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">#REF!</definedName>
    <definedName name="C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">{#N/A,#N/A,FALSE,"Plan1";#N/A,#N/A,FALSE,"Plan2"}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">#REF!</definedName>
    <definedName name="CUSTINDIRETO" localSheetId="1">#REF!</definedName>
    <definedName name="CUSTO_DIR_IND" localSheetId="1">#REF!</definedName>
    <definedName name="Custo_Direto_de_Obras_Civis_e_Instalações_..........................................." localSheetId="1">#REF!</definedName>
    <definedName name="Custo_Direto_em_geral" localSheetId="1">#REF!</definedName>
    <definedName name="custo_financing" localSheetId="1">#REF!</definedName>
    <definedName name="CUSTO_OUTROS" localSheetId="1">#REF!</definedName>
    <definedName name="Custo_Outros1" localSheetId="1">#REF!</definedName>
    <definedName name="CUSTODIRETO" localSheetId="1">#REF!</definedName>
    <definedName name="CUSTODIRETO_R" localSheetId="1">#REF!</definedName>
    <definedName name="CUSTODIRETO_U" localSheetId="1">#REF!</definedName>
    <definedName name="CUSTODIRETO1" localSheetId="1">#REF!</definedName>
    <definedName name="CUSTOFIN" localSheetId="1">#REF!</definedName>
    <definedName name="D" localSheetId="1">#REF!</definedName>
    <definedName name="da" localSheetId="1">#REF!</definedName>
    <definedName name="dalm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">{#N/A,#N/A,FALSE,"Plan1";#N/A,#N/A,FALSE,"Plan2"}</definedName>
    <definedName name="DATA" localSheetId="1">#REF!</definedName>
    <definedName name="Data_base" localSheetId="1">#REF!</definedName>
    <definedName name="data_base_VL" localSheetId="1">#REF!</definedName>
    <definedName name="DATA_COTAÇÃO" localSheetId="1">#REF!</definedName>
    <definedName name="DATA_ENTREGA" localSheetId="1">#REF!</definedName>
    <definedName name="DATA_FECHA" localSheetId="1">#REF!</definedName>
    <definedName name="Data_Inicio" localSheetId="1">#REF!</definedName>
    <definedName name="Data_Lançado_Sienge" localSheetId="1">#REF!</definedName>
    <definedName name="Data_Pagamento_Sienge" localSheetId="1">#REF!</definedName>
    <definedName name="Data_Previsão_Medição_Fin_Medição" localSheetId="1">#REF!</definedName>
    <definedName name="Data_Tendência_Recebimento_Fin_Medições" localSheetId="1">#REF!</definedName>
    <definedName name="DATA1" localSheetId="1">#REF!</definedName>
    <definedName name="DATA3" localSheetId="1">#REF!</definedName>
    <definedName name="DATA4" localSheetId="1">#REF!</definedName>
    <definedName name="DATA6" localSheetId="1">#REF!</definedName>
    <definedName name="DataChaves_MAP" localSheetId="1">#REF!</definedName>
    <definedName name="DatasOut13AteDez20" localSheetId="1">#REF!</definedName>
    <definedName name="DÇDL" localSheetId="1">{#N/A,#N/A,FALSE,"Plan1";#N/A,#N/A,FALSE,"Plan2"}</definedName>
    <definedName name="dchart26" localSheetId="1">#REF!</definedName>
    <definedName name="dchart31" localSheetId="1">#REF!</definedName>
    <definedName name="dcnsfgdjkgb" localSheetId="1">{#N/A,#N/A,FALSE,"Plan1";#N/A,#N/A,FALSE,"Plan2"}</definedName>
    <definedName name="DÇWK" localSheetId="1">{#N/A,#N/A,FALSE,"Plan1";#N/A,#N/A,FALSE,"Plan2"}</definedName>
    <definedName name="D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">#REF!</definedName>
    <definedName name="ddddd" localSheetId="1">{#N/A,#N/A,FALSE,"Plan1";#N/A,#N/A,FALSE,"Plan2"}</definedName>
    <definedName name="ddddddddddd" localSheetId="1">#REF!</definedName>
    <definedName name="dddddddddddddddddddddddddd" localSheetId="1">#REF!</definedName>
    <definedName name="dddddddddddddppppppppp" localSheetId="1">#REF!</definedName>
    <definedName name="dde" localSheetId="1">{#N/A,#N/A,FALSE,"Plan1";#N/A,#N/A,FALSE,"Plan2"}</definedName>
    <definedName name="ddfs" localSheetId="1">#REF!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">{#N/A,#N/A,FALSE,"Plan1";#N/A,#N/A,FALSE,"Plan2"}</definedName>
    <definedName name="dede" localSheetId="1">{#N/A,#N/A,FALSE,"Plan1";#N/A,#N/A,FALSE,"Plan2"}</definedName>
    <definedName name="defasagem" localSheetId="1">OFFSET(INDEX(#REF!,MATCH(#REF!,#REF!,0)),1,0,COUNTA(#REF!)-1)</definedName>
    <definedName name="depara" localSheetId="1">#REF!</definedName>
    <definedName name="DERIVQT" localSheetId="1">#REF!</definedName>
    <definedName name="des" localSheetId="1">{#N/A,#N/A,FALSE,"Plan1";#N/A,#N/A,FALSE,"Plan2"}</definedName>
    <definedName name="desc" localSheetId="1">{#N/A,#N/A,FALSE,"Plan1";#N/A,#N/A,FALSE,"Plan2"}</definedName>
    <definedName name="DESCONTO" localSheetId="1">#REF!</definedName>
    <definedName name="DESCRIÇÃO_OBRA" localSheetId="1">#REF!</definedName>
    <definedName name="DespFatur" localSheetId="1">#REF!</definedName>
    <definedName name="DEZ" localSheetId="1">#REF!</definedName>
    <definedName name="dez17RJ" localSheetId="1">#REF!</definedName>
    <definedName name="DEZEMBRO" localSheetId="1">#REF!</definedName>
    <definedName name="DEZENOVE" localSheetId="1">#REF!</definedName>
    <definedName name="DEZESSEIS" localSheetId="1">#REF!</definedName>
    <definedName name="DEZESSETE" localSheetId="1">#REF!</definedName>
    <definedName name="DEZOITO" localSheetId="1">#REF!</definedName>
    <definedName name="d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">{#N/A,#N/A,FALSE,"명세표"}</definedName>
    <definedName name="dfdft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">{#N/A,#N/A,FALSE,"Plan1";#N/A,#N/A,FALSE,"Plan2"}</definedName>
    <definedName name="dfdrtrr" localSheetId="1">{#N/A,#N/A,FALSE,"Plan1";#N/A,#N/A,FALSE,"Plan2"}</definedName>
    <definedName name="DFDSG" localSheetId="1">{#N/A,#N/A,FALSE,"Plan1";#N/A,#N/A,FALSE,"Plan2"}</definedName>
    <definedName name="dfer" localSheetId="1">{#N/A,#N/A,FALSE,"Plan1";#N/A,#N/A,FALSE,"Plan2"}</definedName>
    <definedName name="dffbty" localSheetId="1">{#N/A,#N/A,FALSE,"Plan1";#N/A,#N/A,FALSE,"Plan2"}</definedName>
    <definedName name="dffg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">{#N/A,#N/A,FALSE,"Plan1";#N/A,#N/A,FALSE,"Plan2"}</definedName>
    <definedName name="dfg" localSheetId="1">{#N/A,#N/A,FALSE,"Plan1";#N/A,#N/A,FALSE,"Plan2"}</definedName>
    <definedName name="dfgdf" localSheetId="1">{#N/A,#N/A,FALSE,"Plan1";#N/A,#N/A,FALSE,"Plan2"}</definedName>
    <definedName name="dfgdytygr" localSheetId="1">{#N/A,#N/A,FALSE,"Plan1";#N/A,#N/A,FALSE,"Plan2"}</definedName>
    <definedName name="dfgftrrdt5" localSheetId="1">{#N/A,#N/A,FALSE,"Plan1";#N/A,#N/A,FALSE,"Plan2"}</definedName>
    <definedName name="dfgh" localSheetId="1">#REF!</definedName>
    <definedName name="dfghjfhsg" localSheetId="1">{#N/A,#N/A,FALSE,"Plan1";#N/A,#N/A,FALSE,"Plan2"}</definedName>
    <definedName name="dfgj" localSheetId="1">{#N/A,#N/A,FALSE,"Plan1";#N/A,#N/A,FALSE,"Plan2"}</definedName>
    <definedName name="dfgjfttyd" localSheetId="1">{#N/A,#N/A,FALSE,"Plan1";#N/A,#N/A,FALSE,"Plan2"}</definedName>
    <definedName name="dfgjjtdrtg" localSheetId="1">{#N/A,#N/A,FALSE,"Plan1";#N/A,#N/A,FALSE,"Plan2"}</definedName>
    <definedName name="dfgt" localSheetId="1">{#N/A,#N/A,FALSE,"Plan1";#N/A,#N/A,FALSE,"Plan2"}</definedName>
    <definedName name="dfgtrkjhk" localSheetId="1">{#N/A,#N/A,FALSE,"Plan1";#N/A,#N/A,FALSE,"Plan2"}</definedName>
    <definedName name="dfgty" localSheetId="1">{#N/A,#N/A,FALSE,"Plan1";#N/A,#N/A,FALSE,"Plan2"}</definedName>
    <definedName name="dfhdgfdgf" localSheetId="1">{#N/A,#N/A,FALSE,"Plan1";#N/A,#N/A,FALSE,"Plan2"}</definedName>
    <definedName name="DFHDJGJFHJGF" localSheetId="1">{#N/A,#N/A,FALSE,"Plan1";#N/A,#N/A,FALSE,"Plan2"}</definedName>
    <definedName name="dfhdyg" localSheetId="1">{#N/A,#N/A,FALSE,"Plan1";#N/A,#N/A,FALSE,"Plan2"}</definedName>
    <definedName name="DFHGDHUR" localSheetId="1">{#N/A,#N/A,FALSE,"Plan1";#N/A,#N/A,FALSE,"Plan2"}</definedName>
    <definedName name="dfhgjfgdhfjdrf" localSheetId="1">{#N/A,#N/A,FALSE,"Plan1";#N/A,#N/A,FALSE,"Plan2"}</definedName>
    <definedName name="dfhgkhfut" localSheetId="1">{#N/A,#N/A,FALSE,"Plan1";#N/A,#N/A,FALSE,"Plan2"}</definedName>
    <definedName name="dfhgkjdhkjghjd" localSheetId="1">#REF!</definedName>
    <definedName name="dfhguitrhfg" localSheetId="1">{#N/A,#N/A,FALSE,"Plan1";#N/A,#N/A,FALSE,"Plan2"}</definedName>
    <definedName name="DFHKHDGKJHDKS" localSheetId="1">{#N/A,#N/A,FALSE,"Plan1";#N/A,#N/A,FALSE,"Plan2"}</definedName>
    <definedName name="dfijvnqienvvnjv" localSheetId="1">#REF!</definedName>
    <definedName name="dfjgjfhykj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">{#N/A,#N/A,FALSE,"Plan1";#N/A,#N/A,FALSE,"Plan2"}</definedName>
    <definedName name="dfkhg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">{#N/A,#N/A,FALSE,"Plan1";#N/A,#N/A,FALSE,"Plan2"}</definedName>
    <definedName name="dfnert" localSheetId="1">{#N/A,#N/A,FALSE,"Plan1";#N/A,#N/A,FALSE,"Plan2"}</definedName>
    <definedName name="dfrt" localSheetId="1">{#N/A,#N/A,FALSE,"Plan1";#N/A,#N/A,FALSE,"Plan2"}</definedName>
    <definedName name="dfsdr5tt" localSheetId="1">{#N/A,#N/A,FALSE,"Plan1";#N/A,#N/A,FALSE,"Plan2"}</definedName>
    <definedName name="dfsds" localSheetId="1">#REF!</definedName>
    <definedName name="dfsd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">{#N/A,#N/A,FALSE,"Plan1";#N/A,#N/A,FALSE,"Plan2"}</definedName>
    <definedName name="dfsf" localSheetId="1">{#N/A,#N/A,FALSE,"Plan1";#N/A,#N/A,FALSE,"Plan2"}</definedName>
    <definedName name="DFT" localSheetId="1">{#N/A,#N/A,FALSE,"Plan1";#N/A,#N/A,FALSE,"Plan2"}</definedName>
    <definedName name="DFTRTTY" localSheetId="1">{#N/A,#N/A,FALSE,"Plan1";#N/A,#N/A,FALSE,"Plan2"}</definedName>
    <definedName name="dfurghifdjyhits" localSheetId="1">{#N/A,#N/A,FALSE,"Plan1";#N/A,#N/A,FALSE,"Plan2"}</definedName>
    <definedName name="dfxgdrged" localSheetId="1">{#N/A,#N/A,FALSE,"Plan1";#N/A,#N/A,FALSE,"Plan2"}</definedName>
    <definedName name="dgfrtyt" localSheetId="1">{#N/A,#N/A,FALSE,"Plan1";#N/A,#N/A,FALSE,"Plan2"}</definedName>
    <definedName name="dggfdg" localSheetId="1">{#N/A,#N/A,FALSE,"Plan1";#N/A,#N/A,FALSE,"Plan2"}</definedName>
    <definedName name="dgldfhgkljslh" localSheetId="1">{#N/A,#N/A,FALSE,"Plan1";#N/A,#N/A,FALSE,"Plan2"}</definedName>
    <definedName name="dhfgdhrehrwe" localSheetId="1">{#N/A,#N/A,FALSE,"Plan1";#N/A,#N/A,FALSE,"Plan2"}</definedName>
    <definedName name="dhgfdgrfgdfgd" localSheetId="1">{#N/A,#N/A,FALSE,"Plan1";#N/A,#N/A,FALSE,"Plan2"}</definedName>
    <definedName name="dhkjfhdhfjdh" localSheetId="1">{#N/A,#N/A,FALSE,"Plan1";#N/A,#N/A,FALSE,"Plan2"}</definedName>
    <definedName name="DHTJRT" localSheetId="1">{#N/A,#N/A,FALSE,"Plan1";#N/A,#N/A,FALSE,"Plan2"}</definedName>
    <definedName name="DI" localSheetId="1">#REF!</definedName>
    <definedName name="dia3estac" localSheetId="1">#REF!</definedName>
    <definedName name="diaestaca" localSheetId="1">#REF!</definedName>
    <definedName name="diambase" localSheetId="1">#REF!</definedName>
    <definedName name="DIFQT" localSheetId="1">#REF!</definedName>
    <definedName name="dijghdhks" localSheetId="1">{#N/A,#N/A,FALSE,"Plan1";#N/A,#N/A,FALSE,"Plan2"}</definedName>
    <definedName name="DIMENSÕES" localSheetId="1">#REF!</definedName>
    <definedName name="DIR_OPER" localSheetId="1">#REF!</definedName>
    <definedName name="DIR_TECNICO" localSheetId="1">#REF!</definedName>
    <definedName name="direto" localSheetId="1">#REF!</definedName>
    <definedName name="DIRETORIA" localSheetId="1">#REF!</definedName>
    <definedName name="diretorias" localSheetId="1">#REF!</definedName>
    <definedName name="Discrim" localSheetId="1">#REF!</definedName>
    <definedName name="DISCRIMINAÇÃO" localSheetId="1">#REF!</definedName>
    <definedName name="Discriminação_Controladoria" localSheetId="1">#REF!</definedName>
    <definedName name="DistCidade" localSheetId="1">#REF!</definedName>
    <definedName name="distratos" localSheetId="1">#REF!</definedName>
    <definedName name="div" localSheetId="1">#REF!</definedName>
    <definedName name="djasdrjas" localSheetId="1">{#N/A,#N/A,FALSE,"Plan1";#N/A,#N/A,FALSE,"Plan2"}</definedName>
    <definedName name="dj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">{#N/A,#N/A,FALSE,"Plan1";#N/A,#N/A,FALSE,"Plan2"}</definedName>
    <definedName name="djfkhsdkjhf" localSheetId="1">{#N/A,#N/A,FALSE,"Plan1";#N/A,#N/A,FALSE,"Plan2"}</definedName>
    <definedName name="djfldjsgljslkjtg" localSheetId="1">{#N/A,#N/A,FALSE,"Plan1";#N/A,#N/A,FALSE,"Plan2"}</definedName>
    <definedName name="djflkdjgdth" localSheetId="1">{#N/A,#N/A,FALSE,"Plan1";#N/A,#N/A,FALSE,"Plan2"}</definedName>
    <definedName name="DJFLKDJGKTJYJT" localSheetId="1">{#N/A,#N/A,FALSE,"Plan1";#N/A,#N/A,FALSE,"Plan2"}</definedName>
    <definedName name="djgkfjgtiyty" localSheetId="1">{#N/A,#N/A,FALSE,"Plan1";#N/A,#N/A,FALSE,"Plan2"}</definedName>
    <definedName name="djrkehrjfhng" localSheetId="1">{#N/A,#N/A,FALSE,"Plan1";#N/A,#N/A,FALSE,"Plan2"}</definedName>
    <definedName name="djswfr" localSheetId="1">#REF!</definedName>
    <definedName name="djtkjldfr" localSheetId="1">{#N/A,#N/A,FALSE,"Plan1";#N/A,#N/A,FALSE,"Plan2"}</definedName>
    <definedName name="DJXDLFGDFG" localSheetId="1">{#N/A,#N/A,FALSE,"Plan1";#N/A,#N/A,FALSE,"Plan2"}</definedName>
    <definedName name="dkdkdkdkd" localSheetId="1">{#N/A,#N/A,FALSE,"명세표"}</definedName>
    <definedName name="dkfhskgf" localSheetId="1">{#N/A,#N/A,FALSE,"Plan1";#N/A,#N/A,FALSE,"Plan2"}</definedName>
    <definedName name="dkjfk" localSheetId="1">{#N/A,#N/A,FALSE,"Plan1";#N/A,#N/A,FALSE,"Plan2"}</definedName>
    <definedName name="DKLD" localSheetId="1">{#N/A,#N/A,FALSE,"Plan1";#N/A,#N/A,FALSE,"Plan2"}</definedName>
    <definedName name="DKLFJDKFD" localSheetId="1">{#N/A,#N/A,FALSE,"Plan1";#N/A,#N/A,FALSE,"Plan2"}</definedName>
    <definedName name="dklfjgirtgid" localSheetId="1">{#N/A,#N/A,FALSE,"Plan1";#N/A,#N/A,FALSE,"Plan2"}</definedName>
    <definedName name="dklf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">{#N/A,#N/A,FALSE,"Plan1";#N/A,#N/A,FALSE,"Plan2"}</definedName>
    <definedName name="DNFJKDHTKRE" localSheetId="1">{#N/A,#N/A,FALSE,"Plan1";#N/A,#N/A,FALSE,"Plan2"}</definedName>
    <definedName name="d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">#REF!</definedName>
    <definedName name="DOIS" localSheetId="1">#REF!</definedName>
    <definedName name="dolar" localSheetId="1">#REF!</definedName>
    <definedName name="dolar_dez" localSheetId="1">#REF!</definedName>
    <definedName name="dolar_nov" localSheetId="1">#REF!</definedName>
    <definedName name="dolar_out" localSheetId="1">#REF!</definedName>
    <definedName name="dolar2" localSheetId="1">#REF!</definedName>
    <definedName name="dolarabr" localSheetId="1">#REF!</definedName>
    <definedName name="dolarabr02" localSheetId="1">#REF!</definedName>
    <definedName name="DolarAgo" localSheetId="1">#REF!</definedName>
    <definedName name="dolarago02" localSheetId="1">#REF!</definedName>
    <definedName name="dolardez" localSheetId="1">#REF!</definedName>
    <definedName name="dolarfev" localSheetId="1">#REF!</definedName>
    <definedName name="dolarfev02" localSheetId="1">#REF!</definedName>
    <definedName name="dolarfimdez" localSheetId="1">#REF!</definedName>
    <definedName name="dolarFimJun" localSheetId="1">#REF!</definedName>
    <definedName name="dolarfindez" localSheetId="1">#REF!</definedName>
    <definedName name="dolarfinmar" localSheetId="1">#REF!</definedName>
    <definedName name="DolarFinSet" localSheetId="1">#REF!</definedName>
    <definedName name="dolarjan" localSheetId="1">#REF!</definedName>
    <definedName name="dolarjan02" localSheetId="1">#REF!</definedName>
    <definedName name="DolarJul" localSheetId="1">#REF!</definedName>
    <definedName name="dolarjul02" localSheetId="1">#REF!</definedName>
    <definedName name="dolarjun" localSheetId="1">#REF!</definedName>
    <definedName name="dolarjun02" localSheetId="1">#REF!</definedName>
    <definedName name="dolarmai" localSheetId="1">#REF!</definedName>
    <definedName name="dolarmai02" localSheetId="1">#REF!</definedName>
    <definedName name="dolarmar" localSheetId="1">#REF!</definedName>
    <definedName name="dolarmar02" localSheetId="1">#REF!</definedName>
    <definedName name="dolarnov" localSheetId="1">#REF!</definedName>
    <definedName name="dolarout" localSheetId="1">#REF!</definedName>
    <definedName name="DolarSet" localSheetId="1">#REF!</definedName>
    <definedName name="dolarset02" localSheetId="1">#REF!</definedName>
    <definedName name="DOZE" localSheetId="1">#REF!</definedName>
    <definedName name="DRE" localSheetId="1">#REF!</definedName>
    <definedName name="drewr" localSheetId="1">{#N/A,#N/A,FALSE,"Plan1";#N/A,#N/A,FALSE,"Plan2"}</definedName>
    <definedName name="DRRJR" localSheetId="1">{#N/A,#N/A,FALSE,"Plan1";#N/A,#N/A,FALSE,"Plan2"}</definedName>
    <definedName name="drtrt" localSheetId="1">{"'Estimativa de Lançamento-JAN'!$A$1:$AI$85"}</definedName>
    <definedName name="dsdrf" localSheetId="1">{#N/A,#N/A,FALSE,"Plan1";#N/A,#N/A,FALSE,"Plan2"}</definedName>
    <definedName name="dsfdf" localSheetId="1">{#N/A,#N/A,FALSE,"Plan1";#N/A,#N/A,FALSE,"Plan2"}</definedName>
    <definedName name="dsfg" localSheetId="1">{#N/A,#N/A,FALSE,"Plan1";#N/A,#N/A,FALSE,"Plan2"}</definedName>
    <definedName name="DSFKDSKH" localSheetId="1">{#N/A,#N/A,FALSE,"Plan1";#N/A,#N/A,FALSE,"Plan2"}</definedName>
    <definedName name="DSF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">{#N/A,#N/A,FALSE,"Plan1";#N/A,#N/A,FALSE,"Plan2"}</definedName>
    <definedName name="DSFSAD" localSheetId="1">{#N/A,#N/A,FALSE,"Plan1";#N/A,#N/A,FALSE,"Plan2"}</definedName>
    <definedName name="dsfsdf" localSheetId="1">{#N/A,#N/A,FALSE,"Plan1";#N/A,#N/A,FALSE,"Plan2"}</definedName>
    <definedName name="dsfsdgfb" localSheetId="1">{#N/A,#N/A,FALSE,"Plan1";#N/A,#N/A,FALSE,"Plan2"}</definedName>
    <definedName name="dsgfr" localSheetId="1">{#N/A,#N/A,FALSE,"Plan1";#N/A,#N/A,FALSE,"Plan2"}</definedName>
    <definedName name="dshfkhkrhesru" localSheetId="1">{#N/A,#N/A,FALSE,"Plan1";#N/A,#N/A,FALSE,"Plan2"}</definedName>
    <definedName name="dsjkthkr" localSheetId="1">{#N/A,#N/A,FALSE,"Plan1";#N/A,#N/A,FALSE,"Plan2"}</definedName>
    <definedName name="DSLFJSLFJ" localSheetId="1">{#N/A,#N/A,FALSE,"Plan1";#N/A,#N/A,FALSE,"Plan2"}</definedName>
    <definedName name="dsrf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">{#N/A,#N/A,FALSE,"Plan1";#N/A,#N/A,FALSE,"Plan2"}</definedName>
    <definedName name="dtgsrytt" localSheetId="1">{#N/A,#N/A,FALSE,"Plan1";#N/A,#N/A,FALSE,"Plan2"}</definedName>
    <definedName name="dtrjkhtrgkfh" localSheetId="1">{#N/A,#N/A,FALSE,"Plan1";#N/A,#N/A,FALSE,"Plan2"}</definedName>
    <definedName name="dttjuk" localSheetId="1">{#N/A,#N/A,FALSE,"Plan1";#N/A,#N/A,FALSE,"Plan2"}</definedName>
    <definedName name="dvtr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">{#N/A,#N/A,FALSE,"Plan1";#N/A,#N/A,FALSE,"Plan2"}</definedName>
    <definedName name="dwqhdjwqgdwq" localSheetId="1">#REF!</definedName>
    <definedName name="DY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">{#N/A,#N/A,FALSE,"Plan1";#N/A,#N/A,FALSE,"Plan2"}</definedName>
    <definedName name="dzdfr" localSheetId="1">{#N/A,#N/A,FALSE,"Plan1";#N/A,#N/A,FALSE,"Plan2"}</definedName>
    <definedName name="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">{#N/A,#N/A,FALSE,"F-01"}</definedName>
    <definedName name="ECEW_1" localSheetId="1">{#N/A,#N/A,FALSE,"F-01"}</definedName>
    <definedName name="echart31" localSheetId="1">#REF!</definedName>
    <definedName name="EcoPark" localSheetId="1">#REF!</definedName>
    <definedName name="EC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">{#N/A,#N/A,FALSE,"Plan1";#N/A,#N/A,FALSE,"Plan2"}</definedName>
    <definedName name="ee" localSheetId="1">#REF!</definedName>
    <definedName name="eee" localSheetId="1">{#N/A,#N/A,FALSE,"ET-CAPA";#N/A,#N/A,FALSE,"ET-PAG1";#N/A,#N/A,FALSE,"ET-PAG2";#N/A,#N/A,FALSE,"ET-PAG3";#N/A,#N/A,FALSE,"ET-PAG4";#N/A,#N/A,FALSE,"ET-PAG5"}</definedName>
    <definedName name="EF" localSheetId="1">#REF!</definedName>
    <definedName name="efestfr" localSheetId="1">{#N/A,#N/A,FALSE,"Plan1";#N/A,#N/A,FALSE,"Plan2"}</definedName>
    <definedName name="EFICIÊNCIA" localSheetId="1">#REF!</definedName>
    <definedName name="Eficiência1" localSheetId="1">#REF!</definedName>
    <definedName name="efrdrt" localSheetId="1">{#N/A,#N/A,FALSE,"Plan1";#N/A,#N/A,FALSE,"Plan2"}</definedName>
    <definedName name="efrg" localSheetId="1">{#N/A,#N/A,FALSE,"Plan1";#N/A,#N/A,FALSE,"Plan2"}</definedName>
    <definedName name="efsgfr" localSheetId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3_distratos" localSheetId="1">#REF!</definedName>
    <definedName name="eixo_x_graf3_vendas" localSheetId="1">#REF!</definedName>
    <definedName name="eixo_y_cury_graf2" localSheetId="1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socio_graf2" localSheetId="1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">#REF!</definedName>
    <definedName name="Empreend" localSheetId="1">#REF!</definedName>
    <definedName name="Empreendimentos" localSheetId="1">#REF!</definedName>
    <definedName name="empresas" localSheetId="1">#REF!</definedName>
    <definedName name="encanador" localSheetId="1">#REF!</definedName>
    <definedName name="EPI" localSheetId="1">#REF!</definedName>
    <definedName name="EQUIP" localSheetId="1">#REF!</definedName>
    <definedName name="equipamento" localSheetId="1">#REF!</definedName>
    <definedName name="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">{#N/A,#N/A,FALSE,"Plan1";#N/A,#N/A,FALSE,"Plan2"}</definedName>
    <definedName name="erne_cdi" localSheetId="1">#REF!</definedName>
    <definedName name="erne_hist" localSheetId="1">#REF!</definedName>
    <definedName name="erne_uss" localSheetId="1">#REF!</definedName>
    <definedName name="ESGFDSFD" localSheetId="1">{#N/A,#N/A,FALSE,"Plan1";#N/A,#N/A,FALSE,"Plan2"}</definedName>
    <definedName name="esp" localSheetId="1">#REF!</definedName>
    <definedName name="ESPESSURA" localSheetId="1">#REF!</definedName>
    <definedName name="estaca" localSheetId="1">#REF!</definedName>
    <definedName name="estaca3" localSheetId="1">#REF!</definedName>
    <definedName name="ESTADO" localSheetId="1">#REF!</definedName>
    <definedName name="estados" localSheetId="1">#REF!</definedName>
    <definedName name="estagiário" localSheetId="1">#REF!</definedName>
    <definedName name="ESTOQUE" localSheetId="1">#REF!</definedName>
    <definedName name="Etq_final" localSheetId="1">#REF!</definedName>
    <definedName name="EU" localSheetId="1">{#N/A,#N/A,FALSE,"Plan1";#N/A,#N/A,FALSE,"Plan2"}</definedName>
    <definedName name="EVL" localSheetId="1">{"Econ Consolidado",#N/A,FALSE,"Econ Consol";"Fluxo de Caixa",#N/A,FALSE,"Fluxo Caixa";"Investimentos",#N/A,FALSE,"Investimentos"}</definedName>
    <definedName name="Evol." localSheetId="1">{"Econ Consolidado",#N/A,FALSE,"Econ Consol";"Fluxo de Caixa",#N/A,FALSE,"Fluxo Caixa";"Investimentos",#N/A,FALSE,"Investimentos"}</definedName>
    <definedName name="ewfr" localSheetId="1">{#N/A,#N/A,FALSE,"Plan1";#N/A,#N/A,FALSE,"Plan2"}</definedName>
    <definedName name="exce_cdi" localSheetId="1">#REF!</definedName>
    <definedName name="exce_hist" localSheetId="1">#REF!</definedName>
    <definedName name="exce_uss" localSheetId="1">#REF!</definedName>
    <definedName name="Excel_BuiltIn__FilterDatabase_1" localSheetId="1">#REF!</definedName>
    <definedName name="Excel_BuiltIn__FilterDatabase_1_1" localSheetId="1">#REF!</definedName>
    <definedName name="Excel_BuiltIn__FilterDatabase_6" localSheetId="1">#REF!</definedName>
    <definedName name="Excel_BuiltIn_Print_Area_0" localSheetId="1">#REF!</definedName>
    <definedName name="Excel_BuiltIn_Print_Area_1_1" localSheetId="1">#REF!</definedName>
    <definedName name="Excel_BuiltIn_Print_Titles_1_1_1" localSheetId="1">#REF!</definedName>
    <definedName name="Excel_BuiltIn_Print_Titles_1_1_4" localSheetId="1">#REF!</definedName>
    <definedName name="Excel_BuiltIn_Print_Titles_1_1_5" localSheetId="1">#REF!</definedName>
    <definedName name="Exrate" localSheetId="1">#REF!</definedName>
    <definedName name="eyruieyteta" localSheetId="1">{#N/A,#N/A,FALSE,"Plan1";#N/A,#N/A,FALSE,"Plan2"}</definedName>
    <definedName name="f" localSheetId="1">#REF!</definedName>
    <definedName name="FACULDADE" localSheetId="1">#REF!</definedName>
    <definedName name="FAL" localSheetId="1">#REF!</definedName>
    <definedName name="farialima" localSheetId="1">#REF!</definedName>
    <definedName name="FAS" localSheetId="1">{"'Total'!$A$1","'Total'!$A$3"}</definedName>
    <definedName name="fasfasf" localSheetId="1">{#N/A,#N/A,TRUE,"Quinzena 01 à 15-04-98 "}</definedName>
    <definedName name="FATOR_K" localSheetId="1">#REF!</definedName>
    <definedName name="FATORK" localSheetId="1">#REF!</definedName>
    <definedName name="FBancaria" localSheetId="1">#REF!</definedName>
    <definedName name="fddhght" localSheetId="1">{#N/A,#N/A,FALSE,"Plan1";#N/A,#N/A,FALSE,"Plan2"}</definedName>
    <definedName name="fdfgd" localSheetId="1">{#N/A,#N/A,FALSE,"Plan1";#N/A,#N/A,FALSE,"Plan2"}</definedName>
    <definedName name="fdf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">{#N/A,#N/A,FALSE,"Plan1";#N/A,#N/A,FALSE,"Plan2"}</definedName>
    <definedName name="fdgd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">{#N/A,#N/A,FALSE,"Plan1";#N/A,#N/A,FALSE,"Plan2"}</definedName>
    <definedName name="fdgfyhygfuj" localSheetId="1">{#N/A,#N/A,FALSE,"Plan1";#N/A,#N/A,FALSE,"Plan2"}</definedName>
    <definedName name="fdhgfdf" localSheetId="1">{#N/A,#N/A,FALSE,"Plan1";#N/A,#N/A,FALSE,"Plan2"}</definedName>
    <definedName name="fdjfgdfjg" localSheetId="1">{#N/A,#N/A,FALSE,"Plan1";#N/A,#N/A,FALSE,"Plan2"}</definedName>
    <definedName name="fdjghkshtygt" localSheetId="1">{#N/A,#N/A,FALSE,"Plan1";#N/A,#N/A,FALSE,"Plan2"}</definedName>
    <definedName name="fdnhgf" localSheetId="1">{"'Estimativa de Lançamento-JAN'!$A$1:$AI$85"}</definedName>
    <definedName name="fdsf" localSheetId="1">{#N/A,#N/A,FALSE,"Plan1";#N/A,#N/A,FALSE,"Plan2"}</definedName>
    <definedName name="FE" localSheetId="1">#REF!</definedName>
    <definedName name="fefefefe" localSheetId="1">#REF!</definedName>
    <definedName name="fev17RJ" localSheetId="1">#REF!</definedName>
    <definedName name="FEVEREIRO2001" localSheetId="1">#REF!</definedName>
    <definedName name="ff" localSheetId="1">#REF!</definedName>
    <definedName name="fffefes" localSheetId="1">#REF!</definedName>
    <definedName name="fffff" localSheetId="1">{#N/A,#N/A,FALSE,"Plan1";#N/A,#N/A,FALSE,"Plan2"}</definedName>
    <definedName name="FFFFFFF" localSheetId="1">#REF!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>{#N/A,#N/A,FALSE,"Plan1";#N/A,#N/A,FALSE,"Plan2"}</definedName>
    <definedName name="fgg" localSheetId="1">{"'장비'!$A$3:$M$12"}</definedName>
    <definedName name="fghfh" localSheetId="1">{"'Estimativa de Lançamento-JAN'!$A$1:$AI$85"}</definedName>
    <definedName name="fghgfh" localSheetId="1">{#N/A,#N/A,FALSE,"Plan1";#N/A,#N/A,FALSE,"Plan2"}</definedName>
    <definedName name="FGJHFGK" localSheetId="1">{#N/A,#N/A,FALSE,"Plan1";#N/A,#N/A,FALSE,"Plan2"}</definedName>
    <definedName name="fgktyhd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">{#N/A,#N/A,FALSE,"Plan1";#N/A,#N/A,FALSE,"Plan2"}</definedName>
    <definedName name="fgty" localSheetId="1">#REF!</definedName>
    <definedName name="fhgjfgyt" localSheetId="1">{#N/A,#N/A,FALSE,"Plan1";#N/A,#N/A,FALSE,"Plan2"}</definedName>
    <definedName name="fhgjkhtrfg" localSheetId="1">{#N/A,#N/A,FALSE,"Plan1";#N/A,#N/A,FALSE,"Plan2"}</definedName>
    <definedName name="FHGTGSRSG" localSheetId="1">{#N/A,#N/A,FALSE,"Plan1";#N/A,#N/A,FALSE,"Plan2"}</definedName>
    <definedName name="FIEL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">{#N/A,#N/A,TRUE,"Quinzena 01 à 15-04-98 "}</definedName>
    <definedName name="Filtro_Rel_Sienge" localSheetId="1">#REF!</definedName>
    <definedName name="Firs_hist" localSheetId="1">#REF!</definedName>
    <definedName name="First_cdi" localSheetId="1">#REF!</definedName>
    <definedName name="First_uss" localSheetId="1">#REF!</definedName>
    <definedName name="fjdhfgjdhtgu" localSheetId="1">{#N/A,#N/A,FALSE,"Plan1";#N/A,#N/A,FALSE,"Plan2"}</definedName>
    <definedName name="fjfjg" localSheetId="1">{#N/A,#N/A,FALSE,"명세표"}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>{#N/A,#N/A,FALSE,"Plan1";#N/A,#N/A,FALSE,"Plan2"}</definedName>
    <definedName name="fjtgfh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">{#N/A,#N/A,FALSE,"Plan1";#N/A,#N/A,FALSE,"Plan2"}</definedName>
    <definedName name="fl" localSheetId="1">#REF!</definedName>
    <definedName name="FL_1" localSheetId="1">#REF!</definedName>
    <definedName name="FL_2" localSheetId="1">#REF!</definedName>
    <definedName name="FL_3" localSheetId="1">#REF!</definedName>
    <definedName name="Fluxo_captação" localSheetId="1">#REF!</definedName>
    <definedName name="FOLHA2" localSheetId="1">#REF!</definedName>
    <definedName name="Format" localSheetId="1">#REF!</definedName>
    <definedName name="Formato_da_Loja" localSheetId="1">#REF!</definedName>
    <definedName name="FORMULA" localSheetId="1">#REF!</definedName>
    <definedName name="FORNECEDOR" localSheetId="1">OFFSET(#REF!,6,0,COUNTA(#REF!))</definedName>
    <definedName name="FORNECEDOR_2" localSheetId="1">OFFSET(#REF!,6,0,COUNTA(#REF!))</definedName>
    <definedName name="FORNECEDOR_3" localSheetId="1">OFFSET(#REF!,6,0,COUNTA(#REF!))</definedName>
    <definedName name="FORNECEDOR_4" localSheetId="1">OFFSET(#REF!,6,0,COUNTA(#REF!))</definedName>
    <definedName name="FORNECEDOR_5" localSheetId="1">OFFSET(#REF!,6,0,COUNTA(#REF!))</definedName>
    <definedName name="FORNECEDOR_7" localSheetId="1">OFFSET(#REF!,6,0,COUNTA(#REF!))</definedName>
    <definedName name="FORNECEDOR_8" localSheetId="1">OFFSET(#REF!,6,0,COUNTA(#REF!))</definedName>
    <definedName name="frçt4r" localSheetId="1">{#N/A,#N/A,FALSE,"Plan1";#N/A,#N/A,FALSE,"Plan2"}</definedName>
    <definedName name="frdtty" localSheetId="1">{#N/A,#N/A,FALSE,"Plan1";#N/A,#N/A,FALSE,"Plan2"}</definedName>
    <definedName name="fsdfs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">{#N/A,#N/A,FALSE,"Plan1";#N/A,#N/A,FALSE,"Plan2"}</definedName>
    <definedName name="fuste" localSheetId="1">#REF!</definedName>
    <definedName name="fxjghkfg" localSheetId="1">{#N/A,#N/A,FALSE,"Plan1";#N/A,#N/A,FALSE,"Plan2"}</definedName>
    <definedName name="g_10" localSheetId="1">#REF!</definedName>
    <definedName name="g_11" localSheetId="1">#REF!</definedName>
    <definedName name="g_12" localSheetId="1">#REF!</definedName>
    <definedName name="g_13" localSheetId="1">#REF!</definedName>
    <definedName name="g_15" localSheetId="1">#REF!</definedName>
    <definedName name="g_16" localSheetId="1">#REF!</definedName>
    <definedName name="g_17" localSheetId="1">#REF!</definedName>
    <definedName name="g_19" localSheetId="1">#REF!</definedName>
    <definedName name="g_21" localSheetId="1">#REF!</definedName>
    <definedName name="g_25" localSheetId="1">#REF!</definedName>
    <definedName name="g_27" localSheetId="1">#REF!</definedName>
    <definedName name="g_31" localSheetId="1">#REF!</definedName>
    <definedName name="g_32" localSheetId="1">#REF!</definedName>
    <definedName name="g_33" localSheetId="1">#REF!</definedName>
    <definedName name="g_34" localSheetId="1">#REF!</definedName>
    <definedName name="G_35" localSheetId="1">#REF!</definedName>
    <definedName name="g_37" localSheetId="1">#REF!</definedName>
    <definedName name="g_41" localSheetId="1">#REF!</definedName>
    <definedName name="g_42" localSheetId="1">#REF!</definedName>
    <definedName name="g_45" localSheetId="1">#REF!</definedName>
    <definedName name="g_47" localSheetId="1">#REF!</definedName>
    <definedName name="g_51" localSheetId="1">#REF!</definedName>
    <definedName name="g_52" localSheetId="1">#REF!</definedName>
    <definedName name="g_53" localSheetId="1">#REF!</definedName>
    <definedName name="G_54" localSheetId="1">#REF!</definedName>
    <definedName name="G_55" localSheetId="1">#REF!</definedName>
    <definedName name="G_56" localSheetId="1">#REF!</definedName>
    <definedName name="G_57" localSheetId="1">#REF!</definedName>
    <definedName name="G_58" localSheetId="1">#REF!</definedName>
    <definedName name="G_59" localSheetId="1">#REF!</definedName>
    <definedName name="G_61" localSheetId="1">#REF!</definedName>
    <definedName name="G_63" localSheetId="1">#REF!</definedName>
    <definedName name="G_65" localSheetId="1">#REF!</definedName>
    <definedName name="G_67" localSheetId="1">#REF!</definedName>
    <definedName name="g_68" localSheetId="1">#REF!</definedName>
    <definedName name="g_69" localSheetId="1">#REF!</definedName>
    <definedName name="G_71" localSheetId="1">#REF!</definedName>
    <definedName name="G_73" localSheetId="1">#REF!</definedName>
    <definedName name="G_75" localSheetId="1">#REF!</definedName>
    <definedName name="G_77" localSheetId="1">#REF!</definedName>
    <definedName name="G_78" localSheetId="1">#REF!</definedName>
    <definedName name="G_81" localSheetId="1">#REF!</definedName>
    <definedName name="G_83" localSheetId="1">#REF!</definedName>
    <definedName name="G_85" localSheetId="1">#REF!</definedName>
    <definedName name="G_87" localSheetId="1">#REF!</definedName>
    <definedName name="G_90" localSheetId="1">#REF!</definedName>
    <definedName name="G_91" localSheetId="1">#REF!</definedName>
    <definedName name="G_92" localSheetId="1">#REF!</definedName>
    <definedName name="G_94" localSheetId="1">#REF!</definedName>
    <definedName name="G_95" localSheetId="1">#REF!</definedName>
    <definedName name="G_96" localSheetId="1">#REF!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">#REF!</definedName>
    <definedName name="garcia" localSheetId="1">#REF!</definedName>
    <definedName name="GASTOS_JULHO" localSheetId="1">#REF!</definedName>
    <definedName name="gbdjkvhgd" localSheetId="1">{#N/A,#N/A,FALSE,"Plan1";#N/A,#N/A,FALSE,"Plan2"}</definedName>
    <definedName name="gbdsjgsjfdgj" localSheetId="1">{#N/A,#N/A,FALSE,"Plan1";#N/A,#N/A,FALSE,"Plan2"}</definedName>
    <definedName name="gdfdhgfjgj" localSheetId="1">{#N/A,#N/A,FALSE,"Plan1";#N/A,#N/A,FALSE,"Plan2"}</definedName>
    <definedName name="gdfgdstggt" localSheetId="1">{#N/A,#N/A,FALSE,"Plan1";#N/A,#N/A,FALSE,"Plan2"}</definedName>
    <definedName name="GDFHGRJGFJDRF" localSheetId="1">{"Econ Consolidado",#N/A,FALSE,"Econ Consol";"Fluxo de Caixa",#N/A,FALSE,"Fluxo Caixa";"Investimentos",#N/A,FALSE,"Investimentos"}</definedName>
    <definedName name="gdfigfhuyuy" localSheetId="1">{#N/A,#N/A,FALSE,"Plan1";#N/A,#N/A,FALSE,"Plan2"}</definedName>
    <definedName name="gdfsgfew" localSheetId="1">{#N/A,#N/A,FALSE,"Plan1";#N/A,#N/A,FALSE,"Plan2"}</definedName>
    <definedName name="gdhfgdhfgf" localSheetId="1">{#N/A,#N/A,FALSE,"Plan1";#N/A,#N/A,FALSE,"Plan2"}</definedName>
    <definedName name="gdsfhefrwrw" localSheetId="1">{#N/A,#N/A,FALSE,"Plan1";#N/A,#N/A,FALSE,"Plan2"}</definedName>
    <definedName name="GER_TECNICO" localSheetId="1">#REF!</definedName>
    <definedName name="Gerentes" localSheetId="1">#REF!</definedName>
    <definedName name="geshrjhed" localSheetId="1">{#N/A,#N/A,FALSE,"Plan1";#N/A,#N/A,FALSE,"Plan2"}</definedName>
    <definedName name="gestao" localSheetId="1">OFFSET(INDEX(#REF!,MATCH(#REF!,#REF!,0)),1,0,COUNTA(#REF!)-1)</definedName>
    <definedName name="gfdcgnkf" localSheetId="1">{#N/A,#N/A,FALSE,"Plan1";#N/A,#N/A,FALSE,"Plan2"}</definedName>
    <definedName name="gfdjtgur" localSheetId="1">{#N/A,#N/A,FALSE,"Plan1";#N/A,#N/A,FALSE,"Plan2"}</definedName>
    <definedName name="gfdrtg" localSheetId="1">#REF!</definedName>
    <definedName name="gfgdhxgfdhf" localSheetId="1">{#N/A,#N/A,FALSE,"Plan1";#N/A,#N/A,FALSE,"Plan2"}</definedName>
    <definedName name="gfhfdtgjb" localSheetId="1">{#N/A,#N/A,FALSE,"Plan1";#N/A,#N/A,FALSE,"Plan2"}</definedName>
    <definedName name="gfjdshrtjhtged" localSheetId="1">{#N/A,#N/A,FALSE,"Plan1";#N/A,#N/A,FALSE,"Plan2"}</definedName>
    <definedName name="gfjgkddgfd" localSheetId="1">{#N/A,#N/A,FALSE,"Plan1";#N/A,#N/A,FALSE,"Plan2"}</definedName>
    <definedName name="gfsghjdgygr" localSheetId="1">{#N/A,#N/A,FALSE,"Plan1";#N/A,#N/A,FALSE,"Plan2"}</definedName>
    <definedName name="gftfy" localSheetId="1">{#N/A,#N/A,FALSE,"Plan1";#N/A,#N/A,FALSE,"Plan2"}</definedName>
    <definedName name="gfty" localSheetId="1">{#N/A,#N/A,FALSE,"Plan1";#N/A,#N/A,FALSE,"Plan2"}</definedName>
    <definedName name="GFUJU9" localSheetId="1">{#N/A,#N/A,FALSE,"Plan1";#N/A,#N/A,FALSE,"Plan2"}</definedName>
    <definedName name="ggg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">{#N/A,#N/A,FALSE,"Plan1";#N/A,#N/A,FALSE,"Plan2"}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>{"'장비'!$A$3:$M$12"}</definedName>
    <definedName name="ghfgdfrtert" localSheetId="1">{#N/A,#N/A,FALSE,"Plan1";#N/A,#N/A,FALSE,"Plan2"}</definedName>
    <definedName name="ghfhghft" localSheetId="1">{#N/A,#N/A,FALSE,"Plan1";#N/A,#N/A,FALSE,"Plan2"}</definedName>
    <definedName name="ghjg" localSheetId="1">{"'Estimativa de Lançamento-JAN'!$A$1:$AI$85"}</definedName>
    <definedName name="ghkfhgh" localSheetId="1">{#N/A,#N/A,FALSE,"Plan1";#N/A,#N/A,FALSE,"Plan2"}</definedName>
    <definedName name="ghkjh" localSheetId="1">{#N/A,#N/A,FALSE,"ENG'G(보호계전기)"}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">{#N/A,#N/A,FALSE,"Plan1";#N/A,#N/A,FALSE,"Plan2"}</definedName>
    <definedName name="GJ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">{#N/A,#N/A,FALSE,"Plan1";#N/A,#N/A,FALSE,"Plan2"}</definedName>
    <definedName name="glgl" localSheetId="1">{#N/A,#N/A,FALSE,"Plan1";#N/A,#N/A,FALSE,"Plan2"}</definedName>
    <definedName name="GLOBAL" localSheetId="1">#REF!</definedName>
    <definedName name="gnfrt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">#REF!</definedName>
    <definedName name="grec_hist" localSheetId="1">#REF!</definedName>
    <definedName name="grec_uss" localSheetId="1">#REF!</definedName>
    <definedName name="grua" localSheetId="1">#REF!</definedName>
    <definedName name="GSDWJSTG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">{#N/A,#N/A,FALSE,"Plan1";#N/A,#N/A,FALSE,"Plan2"}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">{#N/A,#N/A,FALSE,"CCTV"}</definedName>
    <definedName name="h" localSheetId="1">#REF!</definedName>
    <definedName name="hbjgjuae" localSheetId="1">#REF!</definedName>
    <definedName name="hcjfkhdghfktg" localSheetId="1">{#N/A,#N/A,FALSE,"Plan1";#N/A,#N/A,FALSE,"Plan2"}</definedName>
    <definedName name="hckhjfdkgfdg" localSheetId="1">#REF!</definedName>
    <definedName name="hddfndgd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">{#N/A,#N/A,FALSE,"Plan1";#N/A,#N/A,FALSE,"Plan2"}</definedName>
    <definedName name="HDFGJKHKFDHTY" localSheetId="1">{#N/A,#N/A,FALSE,"Plan1";#N/A,#N/A,FALSE,"Plan2"}</definedName>
    <definedName name="hdfhdhrtgd" localSheetId="1">{#N/A,#N/A,FALSE,"Plan1";#N/A,#N/A,FALSE,"Plan2"}</definedName>
    <definedName name="hdfhftde" localSheetId="1">{#N/A,#N/A,FALSE,"Plan1";#N/A,#N/A,FALSE,"Plan2"}</definedName>
    <definedName name="hdfhgkdhgtrf" localSheetId="1">{#N/A,#N/A,FALSE,"Plan1";#N/A,#N/A,FALSE,"Plan2"}</definedName>
    <definedName name="hdfjhdkzhgdr" localSheetId="1">{#N/A,#N/A,FALSE,"Plan1";#N/A,#N/A,FALSE,"Plan2"}</definedName>
    <definedName name="hdfjkgvjgtd" localSheetId="1">{#N/A,#N/A,FALSE,"Plan1";#N/A,#N/A,FALSE,"Plan2"}</definedName>
    <definedName name="hdfjkhdhrute" localSheetId="1">{#N/A,#N/A,FALSE,"Plan1";#N/A,#N/A,FALSE,"Plan2"}</definedName>
    <definedName name="HDFKGVF" localSheetId="1">{#N/A,#N/A,FALSE,"Plan1";#N/A,#N/A,FALSE,"Plan2"}</definedName>
    <definedName name="hdgfhdgtdrt" localSheetId="1">{#N/A,#N/A,FALSE,"Plan1";#N/A,#N/A,FALSE,"Plan2"}</definedName>
    <definedName name="hdghgtgtrgd" localSheetId="1">{#N/A,#N/A,FALSE,"Plan1";#N/A,#N/A,FALSE,"Plan2"}</definedName>
    <definedName name="HDHDGHTUHDTG" localSheetId="1">{#N/A,#N/A,FALSE,"Plan1";#N/A,#N/A,FALSE,"Plan2"}</definedName>
    <definedName name="hdhghfthrrhy" localSheetId="1">{#N/A,#N/A,FALSE,"Plan1";#N/A,#N/A,FALSE,"Plan2"}</definedName>
    <definedName name="hdkfjhydjh" localSheetId="1">{#N/A,#N/A,FALSE,"Plan1";#N/A,#N/A,FALSE,"Plan2"}</definedName>
    <definedName name="hdsgfgrrdgr" localSheetId="1">{#N/A,#N/A,FALSE,"Plan1";#N/A,#N/A,FALSE,"Plan2"}</definedName>
    <definedName name="hdtertkkdsa" localSheetId="1">{#N/A,#N/A,FALSE,"Plan1";#N/A,#N/A,FALSE,"Plan2"}</definedName>
    <definedName name="Header" localSheetId="1">#REF!</definedName>
    <definedName name="HEDHA" localSheetId="1">{#N/A,#N/A,FALSE,"Plan1";#N/A,#N/A,FALSE,"Plan2"}</definedName>
    <definedName name="hei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">#REF!</definedName>
    <definedName name="herkfdshfker" localSheetId="1">{#N/A,#N/A,FALSE,"Plan1";#N/A,#N/A,FALSE,"Plan2"}</definedName>
    <definedName name="hersdtretyt" localSheetId="1">{#N/A,#N/A,FALSE,"Plan1";#N/A,#N/A,FALSE,"Plan2"}</definedName>
    <definedName name="HFDJTHTRS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">{#N/A,#N/A,FALSE,"Plan1";#N/A,#N/A,FALSE,"Plan2"}</definedName>
    <definedName name="hfdkhgkfdhtj" localSheetId="1">{#N/A,#N/A,FALSE,"Plan1";#N/A,#N/A,FALSE,"Plan2"}</definedName>
    <definedName name="hfgfktgkhyt" localSheetId="1">{#N/A,#N/A,FALSE,"Plan1";#N/A,#N/A,FALSE,"Plan2"}</definedName>
    <definedName name="hfghdkhrgkjg" localSheetId="1">{#N/A,#N/A,FALSE,"Plan1";#N/A,#N/A,FALSE,"Plan2"}</definedName>
    <definedName name="hfighfth" localSheetId="1">{#N/A,#N/A,FALSE,"Plan1";#N/A,#N/A,FALSE,"Plan2"}</definedName>
    <definedName name="hfjghtfuyrf" localSheetId="1">{#N/A,#N/A,FALSE,"Plan1";#N/A,#N/A,FALSE,"Plan2"}</definedName>
    <definedName name="HFKJHDJGHFJ" localSheetId="1">{#N/A,#N/A,FALSE,"Plan1";#N/A,#N/A,FALSE,"Plan2"}</definedName>
    <definedName name="hgdesgfgsj" localSheetId="1">{#N/A,#N/A,FALSE,"Plan1";#N/A,#N/A,FALSE,"Plan2"}</definedName>
    <definedName name="hgdgfd" localSheetId="1">{#N/A,#N/A,FALSE,"Plan1";#N/A,#N/A,FALSE,"Plan2"}</definedName>
    <definedName name="hgfhjkdfhj" localSheetId="1">{#N/A,#N/A,FALSE,"Plan1";#N/A,#N/A,FALSE,"Plan2"}</definedName>
    <definedName name="hgg" localSheetId="1">{#N/A,#N/A,FALSE,"Plan1";#N/A,#N/A,FALSE,"Plan2"}</definedName>
    <definedName name="hgjdfgghg" localSheetId="1">{#N/A,#N/A,FALSE,"Plan1";#N/A,#N/A,FALSE,"Plan2"}</definedName>
    <definedName name="hgjkfdhg" localSheetId="1">{#N/A,#N/A,FALSE,"Plan1";#N/A,#N/A,FALSE,"Plan2"}</definedName>
    <definedName name="hgkdfhkfk" localSheetId="1">{#N/A,#N/A,FALSE,"Plan1";#N/A,#N/A,FALSE,"Plan2"}</definedName>
    <definedName name="hgkjhdfhtrdyt" localSheetId="1">{#N/A,#N/A,FALSE,"Plan1";#N/A,#N/A,FALSE,"Plan2"}</definedName>
    <definedName name="hgkjhdfkhgtfhg" localSheetId="1">{#N/A,#N/A,FALSE,"Plan1";#N/A,#N/A,FALSE,"Plan2"}</definedName>
    <definedName name="hgkjhkfhsdkdhgk" localSheetId="1">{#N/A,#N/A,FALSE,"Plan1";#N/A,#N/A,FALSE,"Plan2"}</definedName>
    <definedName name="hgsufgdhghd" localSheetId="1">{#N/A,#N/A,FALSE,"Plan1";#N/A,#N/A,FALSE,"Plan2"}</definedName>
    <definedName name="HHGFHTYUT" localSheetId="1">{#N/A,#N/A,FALSE,"Plan1";#N/A,#N/A,FALSE,"Plan2"}</definedName>
    <definedName name="hhh" localSheetId="1">{"'Total'!$A$1","'Total'!$A$3"}</definedName>
    <definedName name="HHIHLK" localSheetId="1">#REF!</definedName>
    <definedName name="hik" localSheetId="1">{#N/A,#N/A,FALSE,"TABLE"}</definedName>
    <definedName name="hist" localSheetId="1">#REF!</definedName>
    <definedName name="HIST1" localSheetId="1">#REF!</definedName>
    <definedName name="HISTEQ" localSheetId="1">#REF!</definedName>
    <definedName name="HISTOGRAMA" localSheetId="1">#REF!</definedName>
    <definedName name="hjdgtjdjxrfg" localSheetId="1">{#N/A,#N/A,FALSE,"Plan1";#N/A,#N/A,FALSE,"Plan2"}</definedName>
    <definedName name="HJFDGD" localSheetId="1">{#N/A,#N/A,FALSE,"Plan1";#N/A,#N/A,FALSE,"Plan2"}</definedName>
    <definedName name="HJGASD" localSheetId="1">{#N/A,#N/A,FALSE,"Plan1";#N/A,#N/A,FALSE,"Plan2"}</definedName>
    <definedName name="HJGFGTFDG" localSheetId="1">{#N/A,#N/A,FALSE,"Plan1";#N/A,#N/A,FALSE,"Plan2"}</definedName>
    <definedName name="hjgfhdsgfhsd" localSheetId="1">{#N/A,#N/A,FALSE,"Plan1";#N/A,#N/A,FALSE,"Plan2"}</definedName>
    <definedName name="hjgxfjgdjyftr" localSheetId="1">{#N/A,#N/A,FALSE,"Plan1";#N/A,#N/A,FALSE,"Plan2"}</definedName>
    <definedName name="hjgyugasd" localSheetId="1">{#N/A,#N/A,FALSE,"Plan1";#N/A,#N/A,FALSE,"Plan2"}</definedName>
    <definedName name="hjjfyfy" localSheetId="1">{#N/A,#N/A,FALSE,"Plan1";#N/A,#N/A,FALSE,"Plan2"}</definedName>
    <definedName name="hjkchkvjhdjkgh" localSheetId="1">{#N/A,#N/A,FALSE,"Plan1";#N/A,#N/A,FALSE,"Plan2"}</definedName>
    <definedName name="hjkfjdyht" localSheetId="1">{#N/A,#N/A,FALSE,"Plan1";#N/A,#N/A,FALSE,"Plan2"}</definedName>
    <definedName name="hjsdf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">{#N/A,#N/A,FALSE,"Plan1";#N/A,#N/A,FALSE,"Plan2"}</definedName>
    <definedName name="hjsrdfre" localSheetId="1">{"Econ Consolidado",#N/A,FALSE,"Econ Consol";"Fluxo de Caixa",#N/A,FALSE,"Fluxo Caixa";"Investimentos",#N/A,FALSE,"Investimentos"}</definedName>
    <definedName name="HKewewsr" localSheetId="1">{#N/A,#N/A,FALSE,"Plan1";#N/A,#N/A,FALSE,"Plan2"}</definedName>
    <definedName name="hkhdskacd" localSheetId="1">{#N/A,#N/A,FALSE,"Plan1";#N/A,#N/A,FALSE,"Plan2"}</definedName>
    <definedName name="hkjfgfhgfh" localSheetId="1">{#N/A,#N/A,FALSE,"Plan1";#N/A,#N/A,FALSE,"Plan2"}</definedName>
    <definedName name="hkjfhgjkfhghfg" localSheetId="1">{#N/A,#N/A,FALSE,"Plan1";#N/A,#N/A,FALSE,"Plan2"}</definedName>
    <definedName name="HKLZHFRH" localSheetId="1">{#N/A,#N/A,FALSE,"Plan1";#N/A,#N/A,FALSE,"Plan2"}</definedName>
    <definedName name="ho" localSheetId="1">{#N/A,#N/A,FALSE,"TABLE"}</definedName>
    <definedName name="HOJE" localSheetId="1">#REF!</definedName>
    <definedName name="HONORARIOS" localSheetId="1">#REF!</definedName>
    <definedName name="HOSPEDES" localSheetId="1">#REF!</definedName>
    <definedName name="HOTEL" localSheetId="1">#REF!</definedName>
    <definedName name="hrterte" localSheetId="1">{#N/A,#N/A,FALSE,"Plan1";#N/A,#N/A,FALSE,"Plan2"}</definedName>
    <definedName name="hsdf" localSheetId="1">{#N/A,#N/A,FALSE,"Plan1";#N/A,#N/A,FALSE,"Plan2"}</definedName>
    <definedName name="hsdfgdgudrt" localSheetId="1">{#N/A,#N/A,FALSE,"Plan1";#N/A,#N/A,FALSE,"Plan2"}</definedName>
    <definedName name="hsdfjkdhur" localSheetId="1">{#N/A,#N/A,FALSE,"Plan1";#N/A,#N/A,FALSE,"Plan2"}</definedName>
    <definedName name="hsdgftdh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">{#N/A,#N/A,FALSE,"Plan1";#N/A,#N/A,FALSE,"Plan2"}</definedName>
    <definedName name="hsdjffe" localSheetId="1">{#N/A,#N/A,FALSE,"Plan1";#N/A,#N/A,FALSE,"Plan2"}</definedName>
    <definedName name="HSFIHDTR" localSheetId="1">{"Econ Consolidado",#N/A,FALSE,"Econ Consol";"Fluxo de Caixa",#N/A,FALSE,"Fluxo Caixa";"Investimentos",#N/A,FALSE,"Investimentos"}</definedName>
    <definedName name="hsfjkdshrgf" localSheetId="1">{#N/A,#N/A,FALSE,"Plan1";#N/A,#N/A,FALSE,"Plan2"}</definedName>
    <definedName name="hthhrtetdre" localSheetId="1">{#N/A,#N/A,FALSE,"Plan1";#N/A,#N/A,FALSE,"Plan2"}</definedName>
    <definedName name="HTM" localSheetId="1">#REF!</definedName>
    <definedName name="HTML_Control" localSheetId="1">{"'장비'!$A$3:$M$12"}</definedName>
    <definedName name="HTML2_CONTROL" localSheetId="1">{"'Estimativa de Lançamento-JAN'!$A$1:$AI$85"}</definedName>
    <definedName name="HTML3_CONTROL" localSheetId="1">{"'Estimativa de Lançamento-JAN'!$A$1:$AI$85"}</definedName>
    <definedName name="HTMLControl" localSheetId="1">{"'Edit'!$A$1:$V$2277"}</definedName>
    <definedName name="HTN" localSheetId="1">#REF!</definedName>
    <definedName name="HVJKHGKFXHFD" localSheetId="1">{#N/A,#N/A,FALSE,"Plan1";#N/A,#N/A,FALSE,"Plan2"}</definedName>
    <definedName name="hwekjhekhf" localSheetId="1">{#N/A,#N/A,FALSE,"Plan1";#N/A,#N/A,FALSE,"Plan2"}</definedName>
    <definedName name="HXFRE" localSheetId="1">{#N/A,#N/A,FALSE,"Plan1";#N/A,#N/A,FALSE,"Plan2"}</definedName>
    <definedName name="HXKJFGDKHG" localSheetId="1">{#N/A,#N/A,FALSE,"Plan1";#N/A,#N/A,FALSE,"Plan2"}</definedName>
    <definedName name="I" localSheetId="1">#REF!</definedName>
    <definedName name="ibir_cdi" localSheetId="1">#REF!</definedName>
    <definedName name="ibir_hist" localSheetId="1">#REF!</definedName>
    <definedName name="ibir_uss" localSheetId="1">#REF!</definedName>
    <definedName name="icoa_cdi" localSheetId="1">#REF!</definedName>
    <definedName name="icoa_hist" localSheetId="1">#REF!</definedName>
    <definedName name="icoa_uss" localSheetId="1">#REF!</definedName>
    <definedName name="Identificação" localSheetId="1">#REF!</definedName>
    <definedName name="idfhgkjhfkthy" localSheetId="1">{#N/A,#N/A,FALSE,"Plan1";#N/A,#N/A,FALSE,"Plan2"}</definedName>
    <definedName name="ieroweft" localSheetId="1">{#N/A,#N/A,FALSE,"Plan1";#N/A,#N/A,FALSE,"Plan2"}</definedName>
    <definedName name="iewpotqi5poejy" localSheetId="1">{#N/A,#N/A,FALSE,"Plan1";#N/A,#N/A,FALSE,"Plan2"}</definedName>
    <definedName name="ihdfifguhgfuiy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">#REF!</definedName>
    <definedName name="ihfdkjhktgrd" localSheetId="1">{#N/A,#N/A,FALSE,"Plan1";#N/A,#N/A,FALSE,"Plan2"}</definedName>
    <definedName name="ihrtetw4r" localSheetId="1">{#N/A,#N/A,FALSE,"Plan1";#N/A,#N/A,FALSE,"Plan2"}</definedName>
    <definedName name="II" localSheetId="1">#REF!</definedName>
    <definedName name="IIASDSAWE" localSheetId="1">{"Econ Consolidado",#N/A,FALSE,"Econ Consol";"Fluxo de Caixa",#N/A,FALSE,"Fluxo Caixa";"Investimentos",#N/A,FALSE,"Investimentos"}</definedName>
    <definedName name="III" localSheetId="1">#REF!</definedName>
    <definedName name="iins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">{#N/A,#N/A,FALSE,"Plan1";#N/A,#N/A,FALSE,"Plan2"}</definedName>
    <definedName name="ilsdr4w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">#REF!</definedName>
    <definedName name="IMP" localSheetId="1">#REF!</definedName>
    <definedName name="IMPERMEABILIZ." localSheetId="1">#REF!</definedName>
    <definedName name="IMPF" localSheetId="1">#REF!</definedName>
    <definedName name="IMPI" localSheetId="1">#REF!</definedName>
    <definedName name="IMPOSTO" localSheetId="1">#REF!</definedName>
    <definedName name="INCC" localSheetId="1">#REF!</definedName>
    <definedName name="Incorido_Aplicado_X_Físico" localSheetId="1">#REF!</definedName>
    <definedName name="INCORPORAÇÃO" localSheetId="1">#REF!</definedName>
    <definedName name="Index" localSheetId="1">#REF!</definedName>
    <definedName name="Indice" localSheetId="1">#REF!</definedName>
    <definedName name="indice_correcao_proj" localSheetId="1">#REF!</definedName>
    <definedName name="infra" localSheetId="1">#REF!</definedName>
    <definedName name="Infra_OBra_Sienge" localSheetId="1">#REF!</definedName>
    <definedName name="Infra_Projetos_Sienge" localSheetId="1">#REF!</definedName>
    <definedName name="INFRA2" localSheetId="1">#REF!</definedName>
    <definedName name="Insa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">#REF!</definedName>
    <definedName name="Inss_Bloqueado_Previsão_Fin_Medições" localSheetId="1">#REF!</definedName>
    <definedName name="instalaçoe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">OFFSET(#REF!,0,0,COUNTA(#REF!),1)</definedName>
    <definedName name="INSUMOS" localSheetId="1">#REF!</definedName>
    <definedName name="INT.FILTRO.NBASE" localSheetId="1">#REF!</definedName>
    <definedName name="INTEGRA" localSheetId="1">{"'Edit'!$A$1:$V$2277"}</definedName>
    <definedName name="ioeriotyt" localSheetId="1">{#N/A,#N/A,FALSE,"Plan1";#N/A,#N/A,FALSE,"Plan2"}</definedName>
    <definedName name="iohudtorh" localSheetId="1">{#N/A,#N/A,FALSE,"Plan1";#N/A,#N/A,FALSE,"Plan2"}</definedName>
    <definedName name="iojtkheayed" localSheetId="1">{#N/A,#N/A,FALSE,"Plan1";#N/A,#N/A,FALSE,"Plan2"}</definedName>
    <definedName name="iouweroieuw4" localSheetId="1">{#N/A,#N/A,FALSE,"Plan1";#N/A,#N/A,FALSE,"Plan2"}</definedName>
    <definedName name="iphifpgh" localSheetId="1">{#N/A,#N/A,FALSE,"Plan1";#N/A,#N/A,FALSE,"Plan2"}</definedName>
    <definedName name="IPMF" localSheetId="1">#REF!</definedName>
    <definedName name="ipodsifgpd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">{#N/A,#N/A,FALSE,"Plan1";#N/A,#N/A,FALSE,"Plan2"}</definedName>
    <definedName name="IR_diferido" localSheetId="1">#REF!</definedName>
    <definedName name="ISOPOR" localSheetId="1">#REF!</definedName>
    <definedName name="ISS" localSheetId="1">#REF!</definedName>
    <definedName name="ItalieNS" localSheetId="1">#REF!</definedName>
    <definedName name="ItalieNT" localSheetId="1">#REF!</definedName>
    <definedName name="itc_cdi" localSheetId="1">#REF!</definedName>
    <definedName name="itc_hist" localSheetId="1">#REF!</definedName>
    <definedName name="itc_uss" localSheetId="1">#REF!</definedName>
    <definedName name="item_1" localSheetId="1">#REF!</definedName>
    <definedName name="ITEMCONT" localSheetId="1">#REF!</definedName>
    <definedName name="ITEMDER" localSheetId="1">#REF!</definedName>
    <definedName name="ITEMIZAÇÃO" localSheetId="1">#REF!</definedName>
    <definedName name="ITEMIZAÇÃO_2" localSheetId="1">#REF!</definedName>
    <definedName name="ITEMIZAÇÃO_3" localSheetId="1">#REF!</definedName>
    <definedName name="ITEMIZAÇÃO_4" localSheetId="1">#REF!</definedName>
    <definedName name="ITEMIZAÇÃO_5" localSheetId="1">#REF!</definedName>
    <definedName name="ITEMIZAÇÃO_7" localSheetId="1">#REF!</definedName>
    <definedName name="ITEMIZAÇÃO_8" localSheetId="1">#REF!</definedName>
    <definedName name="ITEMR20" localSheetId="1">#REF!</definedName>
    <definedName name="ITEM별상세업무분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">#REF!</definedName>
    <definedName name="ITENS0" localSheetId="1">#REF!</definedName>
    <definedName name="ITENS1" localSheetId="1">#REF!</definedName>
    <definedName name="ITENSP" localSheetId="1">#REF!</definedName>
    <definedName name="ITENSPMED" localSheetId="1">#REF!</definedName>
    <definedName name="IUGFGDFU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">#REF!</definedName>
    <definedName name="iyguygiyt" localSheetId="1">{#N/A,#N/A,FALSE,"Plan1";#N/A,#N/A,FALSE,"Plan2"}</definedName>
    <definedName name="iyuyheturtd" localSheetId="1">{#N/A,#N/A,FALSE,"Plan1";#N/A,#N/A,FALSE,"Plan2"}</definedName>
    <definedName name="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">{#N/A,#N/A,FALSE,"Plan1";#N/A,#N/A,FALSE,"Plan2"}</definedName>
    <definedName name="jan_05" localSheetId="1">#REF!</definedName>
    <definedName name="jan17RJ" localSheetId="1">#REF!</definedName>
    <definedName name="JANEIRO2001" localSheetId="1">#REF!</definedName>
    <definedName name="JASDJS" localSheetId="1">{#N/A,#N/A,FALSE,"Plan1";#N/A,#N/A,FALSE,"Plan2"}</definedName>
    <definedName name="jaskldjlse" localSheetId="1">{#N/A,#N/A,FALSE,"Plan1";#N/A,#N/A,FALSE,"Plan2"}</definedName>
    <definedName name="JASLDKLD" localSheetId="1">{#N/A,#N/A,FALSE,"Plan1";#N/A,#N/A,FALSE,"Plan2"}</definedName>
    <definedName name="jasoe" localSheetId="1">#REF!</definedName>
    <definedName name="jbzxffcbgdhgft" localSheetId="1">#REF!</definedName>
    <definedName name="JÇDFHDF" localSheetId="1">{"Econ Consolidado",#N/A,FALSE,"Econ Consol";"Fluxo de Caixa",#N/A,FALSE,"Fluxo Caixa";"Investimentos",#N/A,FALSE,"Investimentos"}</definedName>
    <definedName name="jdbgftbhr" localSheetId="1">{#N/A,#N/A,FALSE,"Plan1";#N/A,#N/A,FALSE,"Plan2"}</definedName>
    <definedName name="jdfgkrhgft" localSheetId="1">#REF!</definedName>
    <definedName name="jdfgldfjgklh" localSheetId="1">{#N/A,#N/A,FALSE,"Plan1";#N/A,#N/A,FALSE,"Plan2"}</definedName>
    <definedName name="jdfhjkdrhjtkg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">{#N/A,#N/A,FALSE,"Plan1";#N/A,#N/A,FALSE,"Plan2"}</definedName>
    <definedName name="JDFJLDJR" localSheetId="1">{#N/A,#N/A,FALSE,"Plan1";#N/A,#N/A,FALSE,"Plan2"}</definedName>
    <definedName name="jdfkgitfgdrtt" localSheetId="1">{#N/A,#N/A,FALSE,"Plan1";#N/A,#N/A,FALSE,"Plan2"}</definedName>
    <definedName name="JDFKHFKJ" localSheetId="1">{#N/A,#N/A,FALSE,"Plan1";#N/A,#N/A,FALSE,"Plan2"}</definedName>
    <definedName name="jdfklgtdtr" localSheetId="1">{#N/A,#N/A,FALSE,"Plan1";#N/A,#N/A,FALSE,"Plan2"}</definedName>
    <definedName name="JDFKTHRT" localSheetId="1">{#N/A,#N/A,FALSE,"Plan1";#N/A,#N/A,FALSE,"Plan2"}</definedName>
    <definedName name="JDFLKJDRF" localSheetId="1">{#N/A,#N/A,FALSE,"Plan1";#N/A,#N/A,FALSE,"Plan2"}</definedName>
    <definedName name="jdfzlkjgfdht" localSheetId="1">{#N/A,#N/A,FALSE,"Plan1";#N/A,#N/A,FALSE,"Plan2"}</definedName>
    <definedName name="jdglhfghkt" localSheetId="1">{#N/A,#N/A,FALSE,"Plan1";#N/A,#N/A,FALSE,"Plan2"}</definedName>
    <definedName name="jdhfjdhgfd" localSheetId="1">{#N/A,#N/A,FALSE,"Plan1";#N/A,#N/A,FALSE,"Plan2"}</definedName>
    <definedName name="jdjdjdjd" localSheetId="1">{#N/A,#N/A,FALSE,"명세표"}</definedName>
    <definedName name="jdkfhgjhf" localSheetId="1">{#N/A,#N/A,FALSE,"Plan1";#N/A,#N/A,FALSE,"Plan2"}</definedName>
    <definedName name="jdkfjdtr" localSheetId="1">{#N/A,#N/A,FALSE,"Plan1";#N/A,#N/A,FALSE,"Plan2"}</definedName>
    <definedName name="jdljgftldjti5r" localSheetId="1">{#N/A,#N/A,FALSE,"Plan1";#N/A,#N/A,FALSE,"Plan2"}</definedName>
    <definedName name="JDLKJDASGF" localSheetId="1">{#N/A,#N/A,FALSE,"Plan1";#N/A,#N/A,FALSE,"Plan2"}</definedName>
    <definedName name="jdrfkdjfghrtfjg" localSheetId="1">{#N/A,#N/A,FALSE,"Plan1";#N/A,#N/A,FALSE,"Plan2"}</definedName>
    <definedName name="jdskfhdk" localSheetId="1">{#N/A,#N/A,FALSE,"Plan1";#N/A,#N/A,FALSE,"Plan2"}</definedName>
    <definedName name="JDSKLGKDRHGGF" localSheetId="1">{#N/A,#N/A,FALSE,"Plan1";#N/A,#N/A,FALSE,"Plan2"}</definedName>
    <definedName name="jefsgfr" localSheetId="1">{#N/A,#N/A,FALSE,"Plan1";#N/A,#N/A,FALSE,"Plan2"}</definedName>
    <definedName name="JERHIEHYURE" localSheetId="1">{#N/A,#N/A,FALSE,"Plan1";#N/A,#N/A,FALSE,"Plan2"}</definedName>
    <definedName name="jfddlsrtyty" localSheetId="1">{#N/A,#N/A,FALSE,"Plan1";#N/A,#N/A,FALSE,"Plan2"}</definedName>
    <definedName name="jfdjtgdjghitfyh" localSheetId="1">{#N/A,#N/A,FALSE,"Plan1";#N/A,#N/A,FALSE,"Plan2"}</definedName>
    <definedName name="jfdkgkftftg" localSheetId="1">{#N/A,#N/A,FALSE,"Plan1";#N/A,#N/A,FALSE,"Plan2"}</definedName>
    <definedName name="jfghjkfdhtkyr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">{#N/A,#N/A,FALSE,"Plan1";#N/A,#N/A,FALSE,"Plan2"}</definedName>
    <definedName name="jfgkflcnjkglc" localSheetId="1">{#N/A,#N/A,FALSE,"Plan1";#N/A,#N/A,FALSE,"Plan2"}</definedName>
    <definedName name="JFHRE" localSheetId="1">{#N/A,#N/A,FALSE,"Plan1";#N/A,#N/A,FALSE,"Plan2"}</definedName>
    <definedName name="jfkdls5jtirjd" localSheetId="1">{#N/A,#N/A,FALSE,"Plan1";#N/A,#N/A,FALSE,"Plan2"}</definedName>
    <definedName name="jfkljdkfcj" localSheetId="1">{#N/A,#N/A,FALSE,"Plan1";#N/A,#N/A,FALSE,"Plan2"}</definedName>
    <definedName name="jfkrhdtghdut" localSheetId="1">{#N/A,#N/A,FALSE,"Plan1";#N/A,#N/A,FALSE,"Plan2"}</definedName>
    <definedName name="JFRESR" localSheetId="1">{#N/A,#N/A,FALSE,"Plan1";#N/A,#N/A,FALSE,"Plan2"}</definedName>
    <definedName name="jgdfdgfjgdj" localSheetId="1">{#N/A,#N/A,FALSE,"Plan1";#N/A,#N/A,FALSE,"Plan2"}</definedName>
    <definedName name="jgdfght" localSheetId="1">{#N/A,#N/A,FALSE,"Plan1";#N/A,#N/A,FALSE,"Plan2"}</definedName>
    <definedName name="jgfgdsgfdhrf" localSheetId="1">{#N/A,#N/A,FALSE,"Plan1";#N/A,#N/A,FALSE,"Plan2"}</definedName>
    <definedName name="JGFJGTFT" localSheetId="1">{#N/A,#N/A,FALSE,"Plan1";#N/A,#N/A,FALSE,"Plan2"}</definedName>
    <definedName name="jgkjkhjuftgi" localSheetId="1">{#N/A,#N/A,FALSE,"Plan1";#N/A,#N/A,FALSE,"Plan2"}</definedName>
    <definedName name="jh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">{#N/A,#N/A,FALSE,"Plan1";#N/A,#N/A,FALSE,"Plan2"}</definedName>
    <definedName name="jhdfjkhtrdhf" localSheetId="1">{#N/A,#N/A,FALSE,"Plan1";#N/A,#N/A,FALSE,"Plan2"}</definedName>
    <definedName name="jhdfuthr" localSheetId="1">{#N/A,#N/A,FALSE,"Plan1";#N/A,#N/A,FALSE,"Plan2"}</definedName>
    <definedName name="JHDFZGRDHF" localSheetId="1">{"Econ Consolidado",#N/A,FALSE,"Econ Consol";"Fluxo de Caixa",#N/A,FALSE,"Fluxo Caixa";"Investimentos",#N/A,FALSE,"Investimentos"}</definedName>
    <definedName name="JHERKHKFGH" localSheetId="1">{#N/A,#N/A,FALSE,"Plan1";#N/A,#N/A,FALSE,"Plan2"}</definedName>
    <definedName name="jhfhhztfhe" localSheetId="1">#REF!</definedName>
    <definedName name="JHGKJFJFJGL" localSheetId="1">{#N/A,#N/A,FALSE,"Plan1";#N/A,#N/A,FALSE,"Plan2"}</definedName>
    <definedName name="jhsdjkhfuks" localSheetId="1">{#N/A,#N/A,FALSE,"Plan1";#N/A,#N/A,FALSE,"Plan2"}</definedName>
    <definedName name="jisdrkje" localSheetId="1">{#N/A,#N/A,FALSE,"Plan1";#N/A,#N/A,FALSE,"Plan2"}</definedName>
    <definedName name="jishfrieyhtau" localSheetId="1">{#N/A,#N/A,FALSE,"Plan1";#N/A,#N/A,FALSE,"Plan2"}</definedName>
    <definedName name="ji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">{"'Apr-00'!$B$4:$AD$44"}</definedName>
    <definedName name="jjfdsktyhhy" localSheetId="1">{#N/A,#N/A,FALSE,"Plan1";#N/A,#N/A,FALSE,"Plan2"}</definedName>
    <definedName name="jjjjjjjjjjjjjjjjjjjj" localSheetId="1">#REF!</definedName>
    <definedName name="jjkjkjk" localSheetId="1">{#N/A,#N/A,FALSE,"Plan1";#N/A,#N/A,FALSE,"Plan2"}</definedName>
    <definedName name="JKDCK" localSheetId="1">{#N/A,#N/A,FALSE,"Plan1";#N/A,#N/A,FALSE,"Plan2"}</definedName>
    <definedName name="JKDFHKHFR" localSheetId="1">{#N/A,#N/A,FALSE,"Plan1";#N/A,#N/A,FALSE,"Plan2"}</definedName>
    <definedName name="JKDFTRDRJ" localSheetId="1">{#N/A,#N/A,FALSE,"Plan1";#N/A,#N/A,FALSE,"Plan2"}</definedName>
    <definedName name="jkdhfukhddf" localSheetId="1">{#N/A,#N/A,FALSE,"Plan1";#N/A,#N/A,FALSE,"Plan2"}</definedName>
    <definedName name="JKDRKGJHTD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">{#N/A,#N/A,FALSE,"Plan1";#N/A,#N/A,FALSE,"Plan2"}</definedName>
    <definedName name="jkfhjgkfhghh" localSheetId="1">{#N/A,#N/A,FALSE,"Plan1";#N/A,#N/A,FALSE,"Plan2"}</definedName>
    <definedName name="jkhderjkhes" localSheetId="1">{#N/A,#N/A,FALSE,"Plan1";#N/A,#N/A,FALSE,"Plan2"}</definedName>
    <definedName name="jkhdfhfd" localSheetId="1">{#N/A,#N/A,FALSE,"Plan1";#N/A,#N/A,FALSE,"Plan2"}</definedName>
    <definedName name="jkhfhes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">{#N/A,#N/A,FALSE,"Plan1";#N/A,#N/A,FALSE,"Plan2"}</definedName>
    <definedName name="JKHGDHFUHTG" localSheetId="1">{#N/A,#N/A,FALSE,"Plan1";#N/A,#N/A,FALSE,"Plan2"}</definedName>
    <definedName name="jkhsdzjkfyiu" localSheetId="1">{#N/A,#N/A,FALSE,"Plan1";#N/A,#N/A,FALSE,"Plan2"}</definedName>
    <definedName name="jkjsdkhfdhrf" localSheetId="1">{#N/A,#N/A,FALSE,"Plan1";#N/A,#N/A,FALSE,"Plan2"}</definedName>
    <definedName name="jklgfsjgtjtg" localSheetId="1">{#N/A,#N/A,FALSE,"Plan1";#N/A,#N/A,FALSE,"Plan2"}</definedName>
    <definedName name="jksldfjsdhf" localSheetId="1">{#N/A,#N/A,FALSE,"Plan1";#N/A,#N/A,FALSE,"Plan2"}</definedName>
    <definedName name="jkxhcjkhfr" localSheetId="1">{#N/A,#N/A,FALSE,"Plan1";#N/A,#N/A,FALSE,"Plan2"}</definedName>
    <definedName name="JNGCKFKJFGH" localSheetId="1">{#N/A,#N/A,FALSE,"Plan1";#N/A,#N/A,FALSE,"Plan2"}</definedName>
    <definedName name="JOALDO" localSheetId="1">#REF!</definedName>
    <definedName name="joao_cdi" localSheetId="1">#REF!</definedName>
    <definedName name="joao_hist" localSheetId="1">#REF!</definedName>
    <definedName name="joao_uss" localSheetId="1">#REF!</definedName>
    <definedName name="JREJRW" localSheetId="1">{#N/A,#N/A,FALSE,"Plan1";#N/A,#N/A,FALSE,"Plan2"}</definedName>
    <definedName name="JSADKAH" localSheetId="1">{"Econ Consolidado",#N/A,FALSE,"Econ Consol";"Fluxo de Caixa",#N/A,FALSE,"Fluxo Caixa";"Investimentos",#N/A,FALSE,"Investimentos"}</definedName>
    <definedName name="JSDAJRE" localSheetId="1">{#N/A,#N/A,FALSE,"Plan1";#N/A,#N/A,FALSE,"Plan2"}</definedName>
    <definedName name="jsdffs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">{#N/A,#N/A,FALSE,"Plan1";#N/A,#N/A,FALSE,"Plan2"}</definedName>
    <definedName name="jsdfkgnfr" localSheetId="1">#REF!</definedName>
    <definedName name="jsdfsdfd" localSheetId="1">{#N/A,#N/A,FALSE,"Plan1";#N/A,#N/A,FALSE,"Plan2"}</definedName>
    <definedName name="jsdljficd" localSheetId="1">{#N/A,#N/A,FALSE,"Plan1";#N/A,#N/A,FALSE,"Plan2"}</definedName>
    <definedName name="JSDTLFJDRG" localSheetId="1">{#N/A,#N/A,FALSE,"Plan1";#N/A,#N/A,FALSE,"Plan2"}</definedName>
    <definedName name="jsfjsjferwea" localSheetId="1">{#N/A,#N/A,FALSE,"Plan1";#N/A,#N/A,FALSE,"Plan2"}</definedName>
    <definedName name="jslrjer" localSheetId="1">{#N/A,#N/A,FALSE,"Plan1";#N/A,#N/A,FALSE,"Plan2"}</definedName>
    <definedName name="juklhkhdf" localSheetId="1">{#N/A,#N/A,FALSE,"Plan1";#N/A,#N/A,FALSE,"Plan2"}</definedName>
    <definedName name="jul17RJ" localSheetId="1">#REF!</definedName>
    <definedName name="JULHO" localSheetId="1">#REF!</definedName>
    <definedName name="JULHO2001" localSheetId="1">#REF!</definedName>
    <definedName name="JULHO99" localSheetId="1">{#N/A,#N/A,TRUE,"Quinzena 01 à 15-04-98 "}</definedName>
    <definedName name="jun17RJ" localSheetId="1">#REF!</definedName>
    <definedName name="JUNHO" localSheetId="1">#REF!</definedName>
    <definedName name="JUNHO2001" localSheetId="1">#REF!</definedName>
    <definedName name="JurosTpMes" localSheetId="1">#REF!</definedName>
    <definedName name="jwekljd" localSheetId="1">{#N/A,#N/A,FALSE,"Plan1";#N/A,#N/A,FALSE,"Plan2"}</definedName>
    <definedName name="JWEOITORU5Y" localSheetId="1">{#N/A,#N/A,FALSE,"Plan1";#N/A,#N/A,FALSE,"Plan2"}</definedName>
    <definedName name="jxdfjsrf" localSheetId="1">{#N/A,#N/A,FALSE,"Plan1";#N/A,#N/A,FALSE,"Plan2"}</definedName>
    <definedName name="jxdklfj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">#REF!</definedName>
    <definedName name="jzsdjkszl" localSheetId="1">{#N/A,#N/A,FALSE,"Plan1";#N/A,#N/A,FALSE,"Plan2"}</definedName>
    <definedName name="JZXFKLJLDJF" localSheetId="1">{#N/A,#N/A,FALSE,"Plan1";#N/A,#N/A,FALSE,"Plan2"}</definedName>
    <definedName name="jzxklfdlvgfg" localSheetId="1">{#N/A,#N/A,FALSE,"Plan1";#N/A,#N/A,FALSE,"Plan2"}</definedName>
    <definedName name="k" localSheetId="1">{#N/A,#N/A,FALSE,"Plan1";#N/A,#N/A,FALSE,"Plan2"}</definedName>
    <definedName name="K_1" localSheetId="1">#REF!</definedName>
    <definedName name="kaedkroswr" localSheetId="1">{"Econ Consolidado",#N/A,FALSE,"Econ Consol";"Fluxo de Caixa",#N/A,FALSE,"Fluxo Caixa";"Investimentos",#N/A,FALSE,"Investimentos"}</definedName>
    <definedName name="kapa" localSheetId="1">#REF!</definedName>
    <definedName name="kçdasekr" localSheetId="1">{#N/A,#N/A,FALSE,"Plan1";#N/A,#N/A,FALSE,"Plan2"}</definedName>
    <definedName name="kçfdljtredr" localSheetId="1">{#N/A,#N/A,FALSE,"Plan1";#N/A,#N/A,FALSE,"Plan2"}</definedName>
    <definedName name="KCIVIL" localSheetId="1">#REF!</definedName>
    <definedName name="kclçkglf" localSheetId="1">{#N/A,#N/A,FALSE,"Plan1";#N/A,#N/A,FALSE,"Plan2"}</definedName>
    <definedName name="kçlkasçkere" localSheetId="1">{#N/A,#N/A,FALSE,"Plan1";#N/A,#N/A,FALSE,"Plan2"}</definedName>
    <definedName name="kdfbngtjkbf" localSheetId="1">{#N/A,#N/A,FALSE,"Plan1";#N/A,#N/A,FALSE,"Plan2"}</definedName>
    <definedName name="kdfhkghkrh" localSheetId="1">{#N/A,#N/A,FALSE,"Plan1";#N/A,#N/A,FALSE,"Plan2"}</definedName>
    <definedName name="kdfier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">{#N/A,#N/A,FALSE,"Plan1";#N/A,#N/A,FALSE,"Plan2"}</definedName>
    <definedName name="kdfljlfr" localSheetId="1">{#N/A,#N/A,FALSE,"Plan1";#N/A,#N/A,FALSE,"Plan2"}</definedName>
    <definedName name="kdhfgkdfhytgu" localSheetId="1">{#N/A,#N/A,FALSE,"Plan1";#N/A,#N/A,FALSE,"Plan2"}</definedName>
    <definedName name="kdhgftfg" localSheetId="1">{#N/A,#N/A,FALSE,"Plan1";#N/A,#N/A,FALSE,"Plan2"}</definedName>
    <definedName name="KDHKFGKKHGF" localSheetId="1">{#N/A,#N/A,FALSE,"Plan1";#N/A,#N/A,FALSE,"Plan2"}</definedName>
    <definedName name="kdjfdr" localSheetId="1">#REF!</definedName>
    <definedName name="kdjgkfjgd" localSheetId="1">{#N/A,#N/A,FALSE,"Plan1";#N/A,#N/A,FALSE,"Plan2"}</definedName>
    <definedName name="kdjglkdlgjd" localSheetId="1">{#N/A,#N/A,FALSE,"Plan1";#N/A,#N/A,FALSE,"Plan2"}</definedName>
    <definedName name="kdjsfkldjgkty" localSheetId="1">{#N/A,#N/A,FALSE,"Plan1";#N/A,#N/A,FALSE,"Plan2"}</definedName>
    <definedName name="KDJU" localSheetId="1">{"'장비'!$A$3:$M$12"}</definedName>
    <definedName name="kdkjhgdkfhjk" localSheetId="1">{#N/A,#N/A,FALSE,"Plan1";#N/A,#N/A,FALSE,"Plan2"}</definedName>
    <definedName name="kdsf" localSheetId="1">{#N/A,#N/A,FALSE,"Plan1";#N/A,#N/A,FALSE,"Plan2"}</definedName>
    <definedName name="kdsr" localSheetId="1">{#N/A,#N/A,FALSE,"Plan1";#N/A,#N/A,FALSE,"Plan2"}</definedName>
    <definedName name="kergtfdstr" localSheetId="1">{#N/A,#N/A,FALSE,"Plan1";#N/A,#N/A,FALSE,"Plan2"}</definedName>
    <definedName name="kesp" localSheetId="1">#REF!</definedName>
    <definedName name="KFDKTHGT" localSheetId="1">{#N/A,#N/A,FALSE,"Plan1";#N/A,#N/A,FALSE,"Plan2"}</definedName>
    <definedName name="kfdxlfdzs" localSheetId="1">{"Econ Consolidado",#N/A,FALSE,"Econ Consol";"Fluxo de Caixa",#N/A,FALSE,"Fluxo Caixa";"Investimentos",#N/A,FALSE,"Investimentos"}</definedName>
    <definedName name="kfgkhjkjhy" localSheetId="1">{#N/A,#N/A,FALSE,"Plan1";#N/A,#N/A,FALSE,"Plan2"}</definedName>
    <definedName name="KFJFDSDF" localSheetId="1">{#N/A,#N/A,FALSE,"Plan1";#N/A,#N/A,FALSE,"Plan2"}</definedName>
    <definedName name="kfnkeasd" localSheetId="1">{#N/A,#N/A,FALSE,"Plan1";#N/A,#N/A,FALSE,"Plan2"}</definedName>
    <definedName name="khdjkfkjhtg" localSheetId="1">{#N/A,#N/A,FALSE,"Plan1";#N/A,#N/A,FALSE,"Plan2"}</definedName>
    <definedName name="khdkfjhhfsdg" localSheetId="1">{#N/A,#N/A,FALSE,"Plan1";#N/A,#N/A,FALSE,"Plan2"}</definedName>
    <definedName name="khdkjfhgudytu" localSheetId="1">{#N/A,#N/A,FALSE,"Plan1";#N/A,#N/A,FALSE,"Plan2"}</definedName>
    <definedName name="khfdghhhgd" localSheetId="1">{#N/A,#N/A,FALSE,"Plan1";#N/A,#N/A,FALSE,"Plan2"}</definedName>
    <definedName name="khfdkjhsdjf" localSheetId="1">{#N/A,#N/A,FALSE,"Plan1";#N/A,#N/A,FALSE,"Plan2"}</definedName>
    <definedName name="khgdkftfy" localSheetId="1">{#N/A,#N/A,FALSE,"Plan1";#N/A,#N/A,FALSE,"Plan2"}</definedName>
    <definedName name="khgfhhtuhf" localSheetId="1">{#N/A,#N/A,FALSE,"Plan1";#N/A,#N/A,FALSE,"Plan2"}</definedName>
    <definedName name="khjk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">{#N/A,#N/A,FALSE,"Plan1";#N/A,#N/A,FALSE,"Plan2"}</definedName>
    <definedName name="kieret" localSheetId="1">{#N/A,#N/A,FALSE,"Plan1";#N/A,#N/A,FALSE,"Plan2"}</definedName>
    <definedName name="kiweokwr" localSheetId="1">#REF!</definedName>
    <definedName name="kjchkfhsezk" localSheetId="1">{#N/A,#N/A,FALSE,"Plan1";#N/A,#N/A,FALSE,"Plan2"}</definedName>
    <definedName name="kjdghksef" localSheetId="1">{#N/A,#N/A,FALSE,"Plan1";#N/A,#N/A,FALSE,"Plan2"}</definedName>
    <definedName name="kjdkftyhtert" localSheetId="1">{#N/A,#N/A,FALSE,"Plan1";#N/A,#N/A,FALSE,"Plan2"}</definedName>
    <definedName name="kjdlfkjds" localSheetId="1">{#N/A,#N/A,FALSE,"Plan1";#N/A,#N/A,FALSE,"Plan2"}</definedName>
    <definedName name="kjdzhfytrfy" localSheetId="1">{#N/A,#N/A,FALSE,"Plan1";#N/A,#N/A,FALSE,"Plan2"}</definedName>
    <definedName name="kjhdfgjthdft" localSheetId="1">{#N/A,#N/A,FALSE,"Plan1";#N/A,#N/A,FALSE,"Plan2"}</definedName>
    <definedName name="kjhsdf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">{#N/A,#N/A,FALSE,"Plan1";#N/A,#N/A,FALSE,"Plan2"}</definedName>
    <definedName name="KJ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">{#N/A,#N/A,FALSE,"Plan1";#N/A,#N/A,FALSE,"Plan2"}</definedName>
    <definedName name="kjl" localSheetId="1">{#N/A,#N/A,FALSE,"ENG'G(보호계전기)"}</definedName>
    <definedName name="KJOI" localSheetId="1">{#N/A,#N/A,FALSE,"Plan1";#N/A,#N/A,FALSE,"Plan2"}</definedName>
    <definedName name="kjqwerw" localSheetId="1">{#N/A,#N/A,FALSE,"Plan1";#N/A,#N/A,FALSE,"Plan2"}</definedName>
    <definedName name="kjsfert" localSheetId="1">{#N/A,#N/A,FALSE,"Plan1";#N/A,#N/A,FALSE,"Plan2"}</definedName>
    <definedName name="KJXCFKR" localSheetId="1">{#N/A,#N/A,FALSE,"Plan1";#N/A,#N/A,FALSE,"Plan2"}</definedName>
    <definedName name="KJXDFD" localSheetId="1">{#N/A,#N/A,FALSE,"Plan1";#N/A,#N/A,FALSE,"Plan2"}</definedName>
    <definedName name="kjydhfkjghkjfh" localSheetId="1">#REF!</definedName>
    <definedName name="kk" localSheetId="1">#REF!</definedName>
    <definedName name="kk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">{#N/A,#N/A,FALSE,"Plan1";#N/A,#N/A,FALSE,"Plan2"}</definedName>
    <definedName name="kkkkk" localSheetId="1">{#N/A,#N/A,FALSE,"Plan1";#N/A,#N/A,FALSE,"Plan2"}</definedName>
    <definedName name="kkkkkk" localSheetId="1">{#N/A,#N/A,FALSE,"Plan1";#N/A,#N/A,FALSE,"Plan2"}</definedName>
    <definedName name="kk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">{#N/A,#N/A,FALSE,"Plan1";#N/A,#N/A,FALSE,"Plan2"}</definedName>
    <definedName name="kksarde" localSheetId="1">{#N/A,#N/A,FALSE,"Plan1";#N/A,#N/A,FALSE,"Plan2"}</definedName>
    <definedName name="klaskldjsw" localSheetId="1">{#N/A,#N/A,FALSE,"Plan1";#N/A,#N/A,FALSE,"Plan2"}</definedName>
    <definedName name="klçkop" localSheetId="1">{#N/A,#N/A,FALSE,"Plan1";#N/A,#N/A,FALSE,"Plan2"}</definedName>
    <definedName name="KLDFNTRDT" localSheetId="1">{#N/A,#N/A,FALSE,"Plan1";#N/A,#N/A,FALSE,"Plan2"}</definedName>
    <definedName name="klhjsdklhdf" localSheetId="1">{#N/A,#N/A,FALSE,"Plan1";#N/A,#N/A,FALSE,"Plan2"}</definedName>
    <definedName name="KLHSKLRHWE" localSheetId="1">{#N/A,#N/A,FALSE,"Plan1";#N/A,#N/A,FALSE,"Plan2"}</definedName>
    <definedName name="KLJASKJD" localSheetId="1">{#N/A,#N/A,FALSE,"Plan1";#N/A,#N/A,FALSE,"Plan2"}</definedName>
    <definedName name="KLJDXL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">{#N/A,#N/A,FALSE,"Plan1";#N/A,#N/A,FALSE,"Plan2"}</definedName>
    <definedName name="kljflgjrf" localSheetId="1">{#N/A,#N/A,FALSE,"Plan1";#N/A,#N/A,FALSE,"Plan2"}</definedName>
    <definedName name="kljgfdfr" localSheetId="1">{#N/A,#N/A,FALSE,"Plan1";#N/A,#N/A,FALSE,"Plan2"}</definedName>
    <definedName name="kljgfjrt" localSheetId="1">{#N/A,#N/A,FALSE,"Plan1";#N/A,#N/A,FALSE,"Plan2"}</definedName>
    <definedName name="kljlkdfj" localSheetId="1">{#N/A,#N/A,FALSE,"Plan1";#N/A,#N/A,FALSE,"Plan2"}</definedName>
    <definedName name="kljsakjfr" localSheetId="1">{#N/A,#N/A,FALSE,"Plan1";#N/A,#N/A,FALSE,"Plan2"}</definedName>
    <definedName name="kljsdje" localSheetId="1">{#N/A,#N/A,FALSE,"Plan1";#N/A,#N/A,FALSE,"Plan2"}</definedName>
    <definedName name="kljsfwe" localSheetId="1">{#N/A,#N/A,FALSE,"Plan1";#N/A,#N/A,FALSE,"Plan2"}</definedName>
    <definedName name="klk" localSheetId="1">{#N/A,#N/A,FALSE,"Plan1";#N/A,#N/A,FALSE,"Plan2"}</definedName>
    <definedName name="KLKKLKÇJÇ" localSheetId="1">{#N/A,#N/A,FALSE,"Plan1";#N/A,#N/A,FALSE,"Plan2"}</definedName>
    <definedName name="KLSDFT" localSheetId="1">{#N/A,#N/A,FALSE,"Plan1";#N/A,#N/A,FALSE,"Plan2"}</definedName>
    <definedName name="KLSDHSJKHF" localSheetId="1">{#N/A,#N/A,FALSE,"Plan1";#N/A,#N/A,FALSE,"Plan2"}</definedName>
    <definedName name="klsdkre" localSheetId="1">{#N/A,#N/A,FALSE,"Plan1";#N/A,#N/A,FALSE,"Plan2"}</definedName>
    <definedName name="KLSIDJE" localSheetId="1">{#N/A,#N/A,FALSE,"Plan1";#N/A,#N/A,FALSE,"Plan2"}</definedName>
    <definedName name="klsjarsf" localSheetId="1">{#N/A,#N/A,FALSE,"Plan1";#N/A,#N/A,FALSE,"Plan2"}</definedName>
    <definedName name="klsjdwe" localSheetId="1">#REF!</definedName>
    <definedName name="klxhjfdkhser" localSheetId="1">{#N/A,#N/A,FALSE,"Plan1";#N/A,#N/A,FALSE,"Plan2"}</definedName>
    <definedName name="kopipnsdfne" localSheetId="1">{#N/A,#N/A,FALSE,"Plan1";#N/A,#N/A,FALSE,"Plan2"}</definedName>
    <definedName name="kp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">{#N/A,#N/A,FALSE,"Plan1";#N/A,#N/A,FALSE,"Plan2"}</definedName>
    <definedName name="ksdlkfsçzd" localSheetId="1">{#N/A,#N/A,FALSE,"Plan1";#N/A,#N/A,FALSE,"Plan2"}</definedName>
    <definedName name="KSDNFK" localSheetId="1">#REF!</definedName>
    <definedName name="ksdoçierfe" localSheetId="1">{#N/A,#N/A,FALSE,"Plan1";#N/A,#N/A,FALSE,"Plan2"}</definedName>
    <definedName name="ksdtrdrkf" localSheetId="1">{#N/A,#N/A,FALSE,"Plan1";#N/A,#N/A,FALSE,"Plan2"}</definedName>
    <definedName name="KSFÇJDFJL" localSheetId="1">{#N/A,#N/A,FALSE,"Plan1";#N/A,#N/A,FALSE,"Plan2"}</definedName>
    <definedName name="ksfhse" localSheetId="1">{#N/A,#N/A,FALSE,"Plan1";#N/A,#N/A,FALSE,"Plan2"}</definedName>
    <definedName name="KSRKOE" localSheetId="1">{#N/A,#N/A,FALSE,"Plan1";#N/A,#N/A,FALSE,"Plan2"}</definedName>
    <definedName name="KSWKE" localSheetId="1">{#N/A,#N/A,FALSE,"Plan1";#N/A,#N/A,FALSE,"Plan2"}</definedName>
    <definedName name="kubus" localSheetId="1">#REF!</definedName>
    <definedName name="kubus1" localSheetId="1">#REF!</definedName>
    <definedName name="kysdusf" localSheetId="1">{#N/A,#N/A,FALSE,"Plan1";#N/A,#N/A,FALSE,"Plan2"}</definedName>
    <definedName name="kzslçdkçle" localSheetId="1">{#N/A,#N/A,FALSE,"Plan1";#N/A,#N/A,FALSE,"Plan2"}</definedName>
    <definedName name="L_" localSheetId="1">#REF!</definedName>
    <definedName name="LAEKWRK" localSheetId="1">{#N/A,#N/A,FALSE,"Plan1";#N/A,#N/A,FALSE,"Plan2"}</definedName>
    <definedName name="laeqwep" localSheetId="1">#REF!</definedName>
    <definedName name="LAKDEWRF" localSheetId="1">{#N/A,#N/A,FALSE,"Plan1";#N/A,#N/A,FALSE,"Plan2"}</definedName>
    <definedName name="Lancamentos" localSheetId="1">#REF!</definedName>
    <definedName name="LARGURA" localSheetId="1">#REF!</definedName>
    <definedName name="LASÇDSRLF" localSheetId="1">{#N/A,#N/A,FALSE,"Plan1";#N/A,#N/A,FALSE,"Plan2"}</definedName>
    <definedName name="lasrlswer" localSheetId="1">{#N/A,#N/A,FALSE,"Plan1";#N/A,#N/A,FALSE,"Plan2"}</definedName>
    <definedName name="LAZER" localSheetId="1">#REF!</definedName>
    <definedName name="lbla1" localSheetId="1">#REF!</definedName>
    <definedName name="lbla10" localSheetId="1">#REF!</definedName>
    <definedName name="lbla11" localSheetId="1">#REF!</definedName>
    <definedName name="lçadple4r" localSheetId="1">{#N/A,#N/A,FALSE,"Plan1";#N/A,#N/A,FALSE,"Plan2"}</definedName>
    <definedName name="lçasser" localSheetId="1">{#N/A,#N/A,FALSE,"Plan1";#N/A,#N/A,FALSE,"Plan2"}</definedName>
    <definedName name="lcdgjtklfrn" localSheetId="1">{#N/A,#N/A,FALSE,"Plan1";#N/A,#N/A,FALSE,"Plan2"}</definedName>
    <definedName name="lçfklsdkçaer" localSheetId="1">{#N/A,#N/A,FALSE,"Plan1";#N/A,#N/A,FALSE,"Plan2"}</definedName>
    <definedName name="lçjkgf" localSheetId="1">{#N/A,#N/A,FALSE,"Plan1";#N/A,#N/A,FALSE,"Plan2"}</definedName>
    <definedName name="LÇJSLDFJ" localSheetId="1">{#N/A,#N/A,FALSE,"Plan1";#N/A,#N/A,FALSE,"Plan2"}</definedName>
    <definedName name="LÇKÇSDRLK" localSheetId="1">{#N/A,#N/A,FALSE,"Plan1";#N/A,#N/A,FALSE,"Plan2"}</definedName>
    <definedName name="lçk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">{#N/A,#N/A,FALSE,"Plan1";#N/A,#N/A,FALSE,"Plan2"}</definedName>
    <definedName name="lçslrr4r" localSheetId="1">{#N/A,#N/A,FALSE,"Plan1";#N/A,#N/A,FALSE,"Plan2"}</definedName>
    <definedName name="ldfjgry" localSheetId="1">{#N/A,#N/A,FALSE,"Plan1";#N/A,#N/A,FALSE,"Plan2"}</definedName>
    <definedName name="ldfjgtilrf" localSheetId="1">{#N/A,#N/A,FALSE,"Plan1";#N/A,#N/A,FALSE,"Plan2"}</definedName>
    <definedName name="ldk" localSheetId="1">{#N/A,#N/A,FALSE,"Plan1";#N/A,#N/A,FALSE,"Plan2"}</definedName>
    <definedName name="ldkgkdfjgkh" localSheetId="1">{#N/A,#N/A,FALSE,"Plan1";#N/A,#N/A,FALSE,"Plan2"}</definedName>
    <definedName name="LDTJGR" localSheetId="1">{#N/A,#N/A,FALSE,"Plan1";#N/A,#N/A,FALSE,"Plan2"}</definedName>
    <definedName name="Leg" localSheetId="1">#REF!</definedName>
    <definedName name="legr_cdi" localSheetId="1">#REF!</definedName>
    <definedName name="legr_hist" localSheetId="1">#REF!</definedName>
    <definedName name="legr_uss" localSheetId="1">#REF!</definedName>
    <definedName name="LEK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">#REF!</definedName>
    <definedName name="lfjdjrt" localSheetId="1">{#N/A,#N/A,FALSE,"Plan1";#N/A,#N/A,FALSE,"Plan2"}</definedName>
    <definedName name="LI" localSheetId="1">#REF!</definedName>
    <definedName name="LIDER_OPER" localSheetId="1">#REF!</definedName>
    <definedName name="lidfjgklruf" localSheetId="1">{#N/A,#N/A,FALSE,"Plan1";#N/A,#N/A,FALSE,"Plan2"}</definedName>
    <definedName name="LII" localSheetId="1">#REF!</definedName>
    <definedName name="LIII" localSheetId="1">#REF!</definedName>
    <definedName name="LIMBO" localSheetId="1">#REF!</definedName>
    <definedName name="LIN" localSheetId="1">#REF!</definedName>
    <definedName name="lis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">#REF!</definedName>
    <definedName name="LISTA_CONTAS" localSheetId="1">#REF!</definedName>
    <definedName name="lista_empresa" localSheetId="1">OFFSET(INDEX(#REF!,MATCH(#REF!,#REF!,0)),1,0,COUNTA(#REF!)-1)</definedName>
    <definedName name="LISTA_FORNECEDORES" localSheetId="1">#REF!</definedName>
    <definedName name="LISTSEL" localSheetId="1">#REF!</definedName>
    <definedName name="list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">#REF!</definedName>
    <definedName name="LIX" localSheetId="1">#REF!</definedName>
    <definedName name="ljdfkgyt" localSheetId="1">{#N/A,#N/A,FALSE,"Plan1";#N/A,#N/A,FALSE,"Plan2"}</definedName>
    <definedName name="LJDFLJRL" localSheetId="1">{#N/A,#N/A,FALSE,"Plan1";#N/A,#N/A,FALSE,"Plan2"}</definedName>
    <definedName name="ljsdfrd" localSheetId="1">{#N/A,#N/A,FALSE,"Plan1";#N/A,#N/A,FALSE,"Plan2"}</definedName>
    <definedName name="LJSFLDJDLKFJG" localSheetId="1">#REF!</definedName>
    <definedName name="LK" localSheetId="1">{#N/A,#N/A,TRUE,"Quinzena 01 à 15-04-98 "}</definedName>
    <definedName name="lkasdkeo" localSheetId="1">{#N/A,#N/A,FALSE,"Plan1";#N/A,#N/A,FALSE,"Plan2"}</definedName>
    <definedName name="lkdea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">{#N/A,#N/A,FALSE,"Plan1";#N/A,#N/A,FALSE,"Plan2"}</definedName>
    <definedName name="lkfdkçtktr" localSheetId="1">{#N/A,#N/A,FALSE,"Plan1";#N/A,#N/A,FALSE,"Plan2"}</definedName>
    <definedName name="lkt" localSheetId="1">{#N/A,#N/A,FALSE,"Plan1";#N/A,#N/A,FALSE,"Plan2"}</definedName>
    <definedName name="lktlyklt" localSheetId="1">{#N/A,#N/A,FALSE,"Plan1";#N/A,#N/A,FALSE,"Plan2"}</definedName>
    <definedName name="LKTTYT" localSheetId="1">{#N/A,#N/A,FALSE,"Plan1";#N/A,#N/A,FALSE,"Plan2"}</definedName>
    <definedName name="llgg" localSheetId="1">{#N/A,#N/A,FALSE,"Plan1";#N/A,#N/A,FALSE,"Plan2"}</definedName>
    <definedName name="LLL" localSheetId="1">{#N/A,#N/A,FALSE,"Plan1";#N/A,#N/A,FALSE,"Plan2"}</definedName>
    <definedName name="LM_AR" localSheetId="1">{#N/A,#N/A,FALSE,"F-01"}</definedName>
    <definedName name="LM_AT" localSheetId="1">{#N/A,#N/A,FALSE,"F-01"}</definedName>
    <definedName name="LM_INC" localSheetId="1">{#N/A,#N/A,FALSE,"F-01"}</definedName>
    <definedName name="LMPA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">#REF!</definedName>
    <definedName name="LOCALOBRA" localSheetId="1">#REF!</definedName>
    <definedName name="LS" localSheetId="1">#REF!</definedName>
    <definedName name="LSDFKLDKFTR" localSheetId="1">{#N/A,#N/A,FALSE,"Plan1";#N/A,#N/A,FALSE,"Plan2"}</definedName>
    <definedName name="lsdj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">{#N/A,#N/A,FALSE,"Plan1";#N/A,#N/A,FALSE,"Plan2"}</definedName>
    <definedName name="lsdsder" localSheetId="1">{#N/A,#N/A,FALSE,"Plan1";#N/A,#N/A,FALSE,"Plan2"}</definedName>
    <definedName name="ltj6ljyhdjhngças" localSheetId="1">{#N/A,#N/A,FALSE,"Plan1";#N/A,#N/A,FALSE,"Plan2"}</definedName>
    <definedName name="LUCRO" localSheetId="1">#REF!</definedName>
    <definedName name="luis_cdi" localSheetId="1">#REF!</definedName>
    <definedName name="luis_hist" localSheetId="1">#REF!</definedName>
    <definedName name="luis_uss" localSheetId="1">#REF!</definedName>
    <definedName name="LV" localSheetId="1">#REF!</definedName>
    <definedName name="LVI" localSheetId="1">#REF!</definedName>
    <definedName name="LVII" localSheetId="1">#REF!</definedName>
    <definedName name="LVIII" localSheetId="1">#REF!</definedName>
    <definedName name="LXX" localSheetId="1">#REF!</definedName>
    <definedName name="LXXI" localSheetId="1">#REF!</definedName>
    <definedName name="LXXII" localSheetId="1">#REF!</definedName>
    <definedName name="LXXIII" localSheetId="1">#REF!</definedName>
    <definedName name="LXXIV" localSheetId="1">#REF!</definedName>
    <definedName name="LXXIX" localSheetId="1">#REF!</definedName>
    <definedName name="LXXV" localSheetId="1">#REF!</definedName>
    <definedName name="LXXVI" localSheetId="1">#REF!</definedName>
    <definedName name="LXXVII" localSheetId="1">#REF!</definedName>
    <definedName name="LXXVIII" localSheetId="1">#REF!</definedName>
    <definedName name="LXXX" localSheetId="1">#REF!</definedName>
    <definedName name="LXXXI" localSheetId="1">#REF!</definedName>
    <definedName name="LXXXII" localSheetId="1">#REF!</definedName>
    <definedName name="LXXXIII" localSheetId="1">#REF!</definedName>
    <definedName name="LXXXIV" localSheetId="1">#REF!</definedName>
    <definedName name="LXXXV" localSheetId="1">#REF!</definedName>
    <definedName name="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">#REF!</definedName>
    <definedName name="mai17RJ" localSheetId="1">#REF!</definedName>
    <definedName name="MAIO" localSheetId="1">#REF!</definedName>
    <definedName name="MAIO2001" localSheetId="1">#REF!</definedName>
    <definedName name="MAISAP" localSheetId="1">{#N/A,#N/A,FALSE,"Plan1";#N/A,#N/A,FALSE,"Plan2"}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">#REF!</definedName>
    <definedName name="mar17RJ" localSheetId="1">#REF!</definedName>
    <definedName name="MARCAX" localSheetId="1">#REF!</definedName>
    <definedName name="MARÇO" localSheetId="1">#REF!</definedName>
    <definedName name="MARÇO2001" localSheetId="1">#REF!</definedName>
    <definedName name="martha" localSheetId="1">#REF!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">#REF!</definedName>
    <definedName name="mattubcu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">{#N/A,#N/A,FALSE,"Plan1";#N/A,#N/A,FALSE,"Plan2"}</definedName>
    <definedName name="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">#REF!</definedName>
    <definedName name="mdfgtr" localSheetId="1">{#N/A,#N/A,FALSE,"Plan1";#N/A,#N/A,FALSE,"Plan2"}</definedName>
    <definedName name="MDSÇLFJKJSD" localSheetId="1">{#N/A,#N/A,FALSE,"Plan1";#N/A,#N/A,FALSE,"Plan2"}</definedName>
    <definedName name="ME" localSheetId="1">{"HW",#N/A,FALSE,"1998"}</definedName>
    <definedName name="Medido_Fin_Medições" localSheetId="1">#REF!</definedName>
    <definedName name="melo_cdi" localSheetId="1">#REF!</definedName>
    <definedName name="melo_hist" localSheetId="1">#REF!</definedName>
    <definedName name="melo_uss" localSheetId="1">#REF!</definedName>
    <definedName name="MEMÓRIA" localSheetId="1">#REF!</definedName>
    <definedName name="memória2" localSheetId="1">#REF!</definedName>
    <definedName name="mensal" localSheetId="1">#REF!</definedName>
    <definedName name="MENU" localSheetId="1">#REF!</definedName>
    <definedName name="MENU1" localSheetId="1">#REF!</definedName>
    <definedName name="MENU2" localSheetId="1">#REF!</definedName>
    <definedName name="MENU3" localSheetId="1">#REF!</definedName>
    <definedName name="MENU4" localSheetId="1">#REF!</definedName>
    <definedName name="MENU5" localSheetId="1">#REF!</definedName>
    <definedName name="MENU6" localSheetId="1">#REF!</definedName>
    <definedName name="MENUBOM" localSheetId="1">#REF!</definedName>
    <definedName name="MENUEQP" localSheetId="1">#REF!</definedName>
    <definedName name="MENUFIM" localSheetId="1">#REF!</definedName>
    <definedName name="MENUMED" localSheetId="1">#REF!</definedName>
    <definedName name="MENUOBRA" localSheetId="1">#REF!</definedName>
    <definedName name="MENUOUT" localSheetId="1">#REF!</definedName>
    <definedName name="MENUOUTRO" localSheetId="1">#REF!</definedName>
    <definedName name="menures" localSheetId="1">#REF!</definedName>
    <definedName name="Mês_data_base" localSheetId="1">#REF!</definedName>
    <definedName name="Mês_Medição_Fin_Medições" localSheetId="1">#REF!</definedName>
    <definedName name="mes_relatorio" localSheetId="1">#REF!</definedName>
    <definedName name="Meses" localSheetId="1">#REF!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">#REF!</definedName>
    <definedName name="MetaBP" localSheetId="1">#REF!</definedName>
    <definedName name="Minha_Casa_Minha_Vida" localSheetId="1">#REF!</definedName>
    <definedName name="MLMÇLKJKI" localSheetId="1">{#N/A,#N/A,FALSE,"Plan1";#N/A,#N/A,FALSE,"Plan2"}</definedName>
    <definedName name="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">{"tabela",#N/A,FALSE,"Tabela";"decoração",#N/A,FALSE,"Decor.";"Informações",#N/A,FALSE,"Inform."}</definedName>
    <definedName name="mmmmm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">{#N/A,#N/A,FALSE,"Plan1";#N/A,#N/A,FALSE,"Plan2"}</definedName>
    <definedName name="mncvbgcvmc" localSheetId="1">{#N/A,#N/A,FALSE,"Plan1";#N/A,#N/A,FALSE,"Plan2"}</definedName>
    <definedName name="MNDKZSFNCEA" localSheetId="1">{#N/A,#N/A,FALSE,"Plan1";#N/A,#N/A,FALSE,"Plan2"}</definedName>
    <definedName name="mnhdshfgfhd" localSheetId="1">{#N/A,#N/A,FALSE,"Plan1";#N/A,#N/A,FALSE,"Plan2"}</definedName>
    <definedName name="mo" localSheetId="1">#REF!</definedName>
    <definedName name="mobr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">{#N/A,#N/A,FALSE,"cdi";#N/A,#N/A,FALSE,"debent";#N/A,#N/A,FALSE,"fdos";#N/A,#N/A,FALSE,"resumo"}</definedName>
    <definedName name="Modelo1a" localSheetId="1">{#N/A,#N/A,FALSE,"cdi";#N/A,#N/A,FALSE,"debent";#N/A,#N/A,FALSE,"fdos";#N/A,#N/A,FALSE,"resumo"}</definedName>
    <definedName name="Modelo2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">#REF!</definedName>
    <definedName name="mond_cdi" localSheetId="1">#REF!</definedName>
    <definedName name="mond_hist" localSheetId="1">#REF!</definedName>
    <definedName name="mond_uss" localSheetId="1">#REF!</definedName>
    <definedName name="MP" localSheetId="1">{#N/A,#N/A,FALSE,"CCTV"}</definedName>
    <definedName name="MSDRFSWER" localSheetId="1">{"Econ Consolidado",#N/A,FALSE,"Econ Consol";"Fluxo de Caixa",#N/A,FALSE,"Fluxo Caixa";"Investimentos",#N/A,FALSE,"Investimentos"}</definedName>
    <definedName name="MURBOMB" localSheetId="1">#REF!</definedName>
    <definedName name="mzshdjshjs" localSheetId="1">{#N/A,#N/A,FALSE,"Plan1";#N/A,#N/A,FALSE,"Plan2"}</definedName>
    <definedName name="na" localSheetId="1">{#N/A,#N/A,FALSE,"$170M Cash";#N/A,#N/A,FALSE,"$250M Cash";#N/A,#N/A,FALSE,"$325M Cash"}</definedName>
    <definedName name="ncdgrdhrtg" localSheetId="1">{#N/A,#N/A,FALSE,"Plan1";#N/A,#N/A,FALSE,"Plan2"}</definedName>
    <definedName name="nchngdfhgdh" localSheetId="1">{#N/A,#N/A,FALSE,"Plan1";#N/A,#N/A,FALSE,"Plan2"}</definedName>
    <definedName name="NCJFKNGJHF" localSheetId="1">{#N/A,#N/A,FALSE,"Plan1";#N/A,#N/A,FALSE,"Plan2"}</definedName>
    <definedName name="NDATA" localSheetId="1">#REF!</definedName>
    <definedName name="ndcxhgdhf" localSheetId="1">{#N/A,#N/A,FALSE,"Plan1";#N/A,#N/A,FALSE,"Plan2"}</definedName>
    <definedName name="ndfjnjkrhdgt" localSheetId="1">{#N/A,#N/A,FALSE,"Plan1";#N/A,#N/A,FALSE,"Plan2"}</definedName>
    <definedName name="ndfkghkjthfyst" localSheetId="1">{#N/A,#N/A,FALSE,"Plan1";#N/A,#N/A,FALSE,"Plan2"}</definedName>
    <definedName name="ndfldslvjnvberugberqubquierbv" localSheetId="1">#REF!</definedName>
    <definedName name="NDJGKFKGHUFG" localSheetId="1">{#N/A,#N/A,FALSE,"Plan1";#N/A,#N/A,FALSE,"Plan2"}</definedName>
    <definedName name="ndrjkt" localSheetId="1">{#N/A,#N/A,FALSE,"Plan1";#N/A,#N/A,FALSE,"Plan2"}</definedName>
    <definedName name="new" localSheetId="1">{#N/A,#N/A,FALSE,"Global by BU";#N/A,#N/A,FALSE,"U.S. by BU";#N/A,#N/A,FALSE,"Canada by BU";#N/A,#N/A,FALSE,"Europe by BU";#N/A,#N/A,FALSE,"Asia by BU";#N/A,#N/A,FALSE,"Cala by BU"}</definedName>
    <definedName name="NEWNAME" localSheetId="1">{#N/A,#N/A,FALSE,"CCTV"}</definedName>
    <definedName name="nfgjkhvhfghn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">{#N/A,#N/A,FALSE,"Plan1";#N/A,#N/A,FALSE,"Plan2"}</definedName>
    <definedName name="n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">{#N/A,#N/A,FALSE,"Plan1";#N/A,#N/A,FALSE,"Plan2"}</definedName>
    <definedName name="NJSDFHERTG" localSheetId="1">{#N/A,#N/A,FALSE,"Plan1";#N/A,#N/A,FALSE,"Plan2"}</definedName>
    <definedName name="nkfnsskdn" localSheetId="1">{#N/A,#N/A,FALSE,"Plan1";#N/A,#N/A,FALSE,"Plan2"}</definedName>
    <definedName name="NKJ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">#REF!</definedName>
    <definedName name="nlaksjdwe" localSheetId="1">{#N/A,#N/A,FALSE,"Plan1";#N/A,#N/A,FALSE,"Plan2"}</definedName>
    <definedName name="nljsdfljfdsfr" localSheetId="1">{#N/A,#N/A,FALSE,"Plan1";#N/A,#N/A,FALSE,"Plan2"}</definedName>
    <definedName name="nm_k1" localSheetId="1">#REF!</definedName>
    <definedName name="nm_k2" localSheetId="1">#REF!</definedName>
    <definedName name="nm_k3" localSheetId="1">#REF!</definedName>
    <definedName name="nmjdfhxj" localSheetId="1">{#N/A,#N/A,FALSE,"Plan1";#N/A,#N/A,FALSE,"Plan2"}</definedName>
    <definedName name="nnmn" localSheetId="1">{#N/A,#N/A,FALSE,"Plan1";#N/A,#N/A,FALSE,"Plan2"}</definedName>
    <definedName name="nnn" localSheetId="1">{#N/A,#N/A,FALSE,"Plan1";#N/A,#N/A,FALSE,"Plan2"}</definedName>
    <definedName name="nnnnnnnnnnn" localSheetId="1">{"HW",#N/A,FALSE,"1998"}</definedName>
    <definedName name="NNNNNNNNNNNNNNN" localSheetId="1">{#N/A,#N/A,FALSE,"Plan1";#N/A,#N/A,FALSE,"Plan2"}</definedName>
    <definedName name="nnnnnnnnnnnnnnnnnnnn" localSheetId="1">{#N/A,#N/A,FALSE,"Plan1";#N/A,#N/A,FALSE,"Plan2"}</definedName>
    <definedName name="NNXFT" localSheetId="1">{#N/A,#N/A,FALSE,"Plan1";#N/A,#N/A,FALSE,"Plan2"}</definedName>
    <definedName name="no" localSheetId="1">#REF!</definedName>
    <definedName name="NOME" localSheetId="1">#REF!</definedName>
    <definedName name="nome2" localSheetId="1">#REF!</definedName>
    <definedName name="NOMEITEM" localSheetId="1">#REF!</definedName>
    <definedName name="NOMEOBRA" localSheetId="1">#REF!</definedName>
    <definedName name="nov17RJ" localSheetId="1">#REF!</definedName>
    <definedName name="NOVE" localSheetId="1">#REF!</definedName>
    <definedName name="NOVEMBRO" localSheetId="1">#REF!</definedName>
    <definedName name="nsdkfndgfdnatf" localSheetId="1">{#N/A,#N/A,FALSE,"Plan1";#N/A,#N/A,FALSE,"Plan2"}</definedName>
    <definedName name="nsfljdiljrf" localSheetId="1">{#N/A,#N/A,FALSE,"Plan1";#N/A,#N/A,FALSE,"Plan2"}</definedName>
    <definedName name="NUCOPIAS" localSheetId="1">#REF!</definedName>
    <definedName name="NUMOBRA" localSheetId="1">#REF!</definedName>
    <definedName name="NutN" localSheetId="1">#REF!</definedName>
    <definedName name="nzxcnnjkd" localSheetId="1">{#N/A,#N/A,FALSE,"Plan1";#N/A,#N/A,FALSE,"Plan2"}</definedName>
    <definedName name="OAE" localSheetId="1">#REF!</definedName>
    <definedName name="OBRA" localSheetId="1">#REF!</definedName>
    <definedName name="Obra_Fin_Medição" localSheetId="1">#REF!</definedName>
    <definedName name="OBRA_PROJETADO" localSheetId="1">#REF!</definedName>
    <definedName name="Obra_Rel_Controladoria" localSheetId="1">#REF!</definedName>
    <definedName name="Obra_Sienge" localSheetId="1">#REF!</definedName>
    <definedName name="Obra2_Fin_Medição" localSheetId="1">#REF!</definedName>
    <definedName name="OBRALOC" localSheetId="1">#REF!</definedName>
    <definedName name="OBRAS" localSheetId="1">#REF!</definedName>
    <definedName name="Obras_Apoio_Rel_Controladoria" localSheetId="1">#REF!</definedName>
    <definedName name="OBRAS_REALIZADO" localSheetId="1">#REF!</definedName>
    <definedName name="OBRASEL" localSheetId="1">#REF!</definedName>
    <definedName name="odfuudor" localSheetId="1">{#N/A,#N/A,FALSE,"Plan1";#N/A,#N/A,FALSE,"Plan2"}</definedName>
    <definedName name="ODH" localSheetId="1">#REF!</definedName>
    <definedName name="oficial_mes" localSheetId="1">#REF!</definedName>
    <definedName name="oficial2_mes" localSheetId="1">#REF!</definedName>
    <definedName name="oiditrot" localSheetId="1">{#N/A,#N/A,FALSE,"Plan1";#N/A,#N/A,FALSE,"Plan2"}</definedName>
    <definedName name="oio" localSheetId="1">{#N/A,#N/A,FALSE,"Plan1";#N/A,#N/A,FALSE,"Plan2"}</definedName>
    <definedName name="OITO" localSheetId="1">#REF!</definedName>
    <definedName name="OJÇLJ" localSheetId="1">{#N/A,#N/A,FALSE,"Plan1";#N/A,#N/A,FALSE,"Plan2"}</definedName>
    <definedName name="ojkdfit" localSheetId="1">{#N/A,#N/A,FALSE,"Plan1";#N/A,#N/A,FALSE,"Plan2"}</definedName>
    <definedName name="ONZE" localSheetId="1">#REF!</definedName>
    <definedName name="ooo" localSheetId="1">{#N/A,#N/A,FALSE,"Plan1";#N/A,#N/A,FALSE,"Plan2"}</definedName>
    <definedName name="OPASEDWED" localSheetId="1">{"Econ Consolidado",#N/A,FALSE,"Econ Consol";"Fluxo de Caixa",#N/A,FALSE,"Fluxo Caixa";"Investimentos",#N/A,FALSE,"Investimentos"}</definedName>
    <definedName name="opcao_taxa_desconto" localSheetId="1">#REF!</definedName>
    <definedName name="opções" localSheetId="1">#REF!</definedName>
    <definedName name="opiwre" localSheetId="1">{#N/A,#N/A,FALSE,"Plan1";#N/A,#N/A,FALSE,"Plan2"}</definedName>
    <definedName name="ORCAMEN" localSheetId="1">#REF!</definedName>
    <definedName name="Orcamentistas" localSheetId="1">#REF!</definedName>
    <definedName name="origem_recebiveis" localSheetId="1">#REF!</definedName>
    <definedName name="origem_unidades" localSheetId="1">#REF!</definedName>
    <definedName name="Origem2_Recebimento_Fin_Medições" localSheetId="1">#REF!</definedName>
    <definedName name="os" localSheetId="1">{#N/A,#N/A,FALSE,"TABLE"}</definedName>
    <definedName name="osca_cdi" localSheetId="1">#REF!</definedName>
    <definedName name="osca_hist" localSheetId="1">#REF!</definedName>
    <definedName name="osca_uss" localSheetId="1">#REF!</definedName>
    <definedName name="otodgkrjglsrd" localSheetId="1">{#N/A,#N/A,FALSE,"Plan1";#N/A,#N/A,FALSE,"Plan2"}</definedName>
    <definedName name="OUERWRSR" localSheetId="1">{#N/A,#N/A,FALSE,"Plan1";#N/A,#N/A,FALSE,"Plan2"}</definedName>
    <definedName name="out17RJ" localSheetId="1">#REF!</definedName>
    <definedName name="outro" localSheetId="1">#REF!</definedName>
    <definedName name="OUTROS" localSheetId="1">#REF!</definedName>
    <definedName name="OUTROS_CCUSTO" localSheetId="1">#REF!</definedName>
    <definedName name="Outros_Pisos" localSheetId="1">#REF!</definedName>
    <definedName name="Outros1" localSheetId="1">#REF!</definedName>
    <definedName name="OUTUBRO" localSheetId="1">#REF!</definedName>
    <definedName name="overhau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">#REF!</definedName>
    <definedName name="oxfo_hist" localSheetId="1">#REF!</definedName>
    <definedName name="oxfo_uss" localSheetId="1">#REF!</definedName>
    <definedName name="P" localSheetId="1">#REF!</definedName>
    <definedName name="PA" localSheetId="1">#REF!</definedName>
    <definedName name="Padrao_A" localSheetId="1">#REF!</definedName>
    <definedName name="Padrao_B" localSheetId="1">#REF!</definedName>
    <definedName name="Padrao_C" localSheetId="1">#REF!</definedName>
    <definedName name="Padrao_D" localSheetId="1">#REF!</definedName>
    <definedName name="Padrao_E" localSheetId="1">#REF!</definedName>
    <definedName name="Padrao_F" localSheetId="1">#REF!</definedName>
    <definedName name="Pagamento_Num" localSheetId="1">ROW()-Linha_Cabeçalho</definedName>
    <definedName name="Pago_Até_2015_Controladoria" localSheetId="1">#REF!</definedName>
    <definedName name="PAP" localSheetId="1">#REF!</definedName>
    <definedName name="PARAM_FIS_1" localSheetId="1">#REF!</definedName>
    <definedName name="PARAM_FIS_2" localSheetId="1">#REF!</definedName>
    <definedName name="ParamValues1" localSheetId="1">#REF!</definedName>
    <definedName name="ParamValues2" localSheetId="1">#REF!</definedName>
    <definedName name="Parao_E" localSheetId="1">#REF!</definedName>
    <definedName name="Parede1" localSheetId="1">#REF!</definedName>
    <definedName name="Parede2" localSheetId="1">#REF!</definedName>
    <definedName name="PAREDES" localSheetId="1">#REF!</definedName>
    <definedName name="PAV" localSheetId="1">#REF!</definedName>
    <definedName name="PAVILHAO" localSheetId="1">#REF!</definedName>
    <definedName name="PAVT" localSheetId="1">#REF!</definedName>
    <definedName name="PDER" localSheetId="1">#REF!</definedName>
    <definedName name="PDIVERS" localSheetId="1">#REF!</definedName>
    <definedName name="PE" localSheetId="1">#REF!</definedName>
    <definedName name="PEMD" localSheetId="1">#REF!</definedName>
    <definedName name="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">#REF!</definedName>
    <definedName name="Perímetro_lajão" localSheetId="1">#REF!</definedName>
    <definedName name="Perímetro_Terreno" localSheetId="1">#REF!</definedName>
    <definedName name="Perímetro_torre" localSheetId="1">#REF!</definedName>
    <definedName name="pessoal" localSheetId="1">#REF!</definedName>
    <definedName name="PhyG" localSheetId="1">#REF!</definedName>
    <definedName name="PhyGS" localSheetId="1">#REF!</definedName>
    <definedName name="PI" localSheetId="1">#REF!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">#REF!</definedName>
    <definedName name="Pintura" localSheetId="1">#REF!</definedName>
    <definedName name="PIS_COFINS" localSheetId="1">#REF!</definedName>
    <definedName name="PisCofins" localSheetId="1">#REF!</definedName>
    <definedName name="Piso1" localSheetId="1">#REF!</definedName>
    <definedName name="Piso2" localSheetId="1">#REF!</definedName>
    <definedName name="PISOS" localSheetId="1">#REF!</definedName>
    <definedName name="PL" localSheetId="1">#REF!</definedName>
    <definedName name="PLACAS" localSheetId="1">{#N/A,#N/A,TRUE,"Quinzena 01 à 15-04-98 "}</definedName>
    <definedName name="Placas_Areas" localSheetId="1">{#N/A,#N/A,TRUE,"Quinzena 01 à 15-04-98 "}</definedName>
    <definedName name="PLAN" localSheetId="1">#REF!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">#REF!</definedName>
    <definedName name="Planilha2" localSheetId="1">#REF!</definedName>
    <definedName name="plasçdeaw" localSheetId="1">{#N/A,#N/A,FALSE,"Plan1";#N/A,#N/A,FALSE,"Plan2"}</definedName>
    <definedName name="plaslrswe" localSheetId="1">{#N/A,#N/A,FALSE,"Plan1";#N/A,#N/A,FALSE,"Plan2"}</definedName>
    <definedName name="pls" localSheetId="1">#REF!</definedName>
    <definedName name="plsearpef" localSheetId="1">{#N/A,#N/A,FALSE,"Plan1";#N/A,#N/A,FALSE,"Plan2"}</definedName>
    <definedName name="plss" localSheetId="1">{#N/A,#N/A,FALSE,"Plan1";#N/A,#N/A,FALSE,"Plan2"}</definedName>
    <definedName name="PMUR" localSheetId="1">#REF!</definedName>
    <definedName name="PN2건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">#REF!</definedName>
    <definedName name="Pós_Chaves" localSheetId="1">#REF!</definedName>
    <definedName name="pr" localSheetId="1">#REF!</definedName>
    <definedName name="PRAZO" localSheetId="1">#REF!</definedName>
    <definedName name="Prazo_da_Estrutura" localSheetId="1">#REF!</definedName>
    <definedName name="PRAZO_EDITAL" localSheetId="1">#REF!</definedName>
    <definedName name="Prazo_Obra" localSheetId="1">#REF!</definedName>
    <definedName name="PRAZO_ORC" localSheetId="1">#REF!</definedName>
    <definedName name="prazo2" localSheetId="1">#REF!</definedName>
    <definedName name="PRE" localSheetId="1">#REF!</definedName>
    <definedName name="PREÇ" localSheetId="1">OFFSET(#REF!,0,0,COUNTA(#REF!),1)</definedName>
    <definedName name="Previsão_Inicial_abr_16" localSheetId="1">#REF!</definedName>
    <definedName name="Previsão_Inicial_ago_16" localSheetId="1">#REF!</definedName>
    <definedName name="Previsão_Inicial_dez_16" localSheetId="1">#REF!</definedName>
    <definedName name="Previsão_Inicial_fev_16" localSheetId="1">#REF!</definedName>
    <definedName name="Previsão_Inicial_jan_16" localSheetId="1">#REF!</definedName>
    <definedName name="Previsão_Inicial_jul_16" localSheetId="1">#REF!</definedName>
    <definedName name="Previsão_Inicial_jun_16" localSheetId="1">#REF!</definedName>
    <definedName name="Previsão_Inicial_mai_16" localSheetId="1">#REF!</definedName>
    <definedName name="Previsão_Inicial_mar_16" localSheetId="1">#REF!</definedName>
    <definedName name="Previsão_Inicial_nov_16" localSheetId="1">#REF!</definedName>
    <definedName name="Previsão_Inicial_out_16" localSheetId="1">#REF!</definedName>
    <definedName name="Previsão_Inicial_set_16" localSheetId="1">#REF!</definedName>
    <definedName name="Previsão_Vento1" localSheetId="1">#REF!</definedName>
    <definedName name="Previsto_a_medir_Fin_Medições" localSheetId="1">#REF!</definedName>
    <definedName name="print" localSheetId="1">{#N/A,#N/A,FALSE,"$170M Cash";#N/A,#N/A,FALSE,"$250M Cash";#N/A,#N/A,FALSE,"$325M Cash"}</definedName>
    <definedName name="_xlnm.Print_Area" localSheetId="1">#REF!</definedName>
    <definedName name="Print_Area_MI" localSheetId="1">#REF!</definedName>
    <definedName name="_xlnm.Print_Titles" localSheetId="1">#REF!</definedName>
    <definedName name="PRINT_TITLES_MI" localSheetId="1">#REF!</definedName>
    <definedName name="programa" localSheetId="1">#REF!</definedName>
    <definedName name="Programaa" localSheetId="1">#REF!</definedName>
    <definedName name="Projeção_torre" localSheetId="1">#REF!</definedName>
    <definedName name="projeto_nome_com" localSheetId="1">IF((COUNTA(#REF!)-2)&gt;1,"TERRENO "&amp;VLOOKUP(#REF!,#REF!,8,0),VLOOKUP(#REF!,#REF!,3,0))</definedName>
    <definedName name="PROPAGANDA" localSheetId="1">#REF!</definedName>
    <definedName name="ptirigyiotut" localSheetId="1">{#N/A,#N/A,FALSE,"Plan1";#N/A,#N/A,FALSE,"Plan2"}</definedName>
    <definedName name="PWER3" localSheetId="1">{#N/A,#N/A,FALSE,"Plan1";#N/A,#N/A,FALSE,"Plan2"}</definedName>
    <definedName name="q" localSheetId="1">#REF!</definedName>
    <definedName name="QCLIENTE_PCLIENTE" localSheetId="1">#REF!</definedName>
    <definedName name="QCliente_PCliente1" localSheetId="1">#REF!</definedName>
    <definedName name="qe" localSheetId="1">#REF!</definedName>
    <definedName name="qee" localSheetId="1">#REF!</definedName>
    <definedName name="qkqh1" localSheetId="1">{#N/A,#N/A,FALSE,"명세표"}</definedName>
    <definedName name="QOAS_POAS" localSheetId="1">#REF!</definedName>
    <definedName name="Q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">#REF!:#REF!</definedName>
    <definedName name="QQQQQQQQ" localSheetId="1">#REF!</definedName>
    <definedName name="QREAL_PCLIENTE" localSheetId="1">#REF!</definedName>
    <definedName name="QReal_PCliente1" localSheetId="1">#REF!</definedName>
    <definedName name="QSQWSE" localSheetId="1">{#N/A,#N/A,FALSE,"Plan1";#N/A,#N/A,FALSE,"Plan2"}</definedName>
    <definedName name="qtd_mensal" localSheetId="1">#REF!</definedName>
    <definedName name="qtd3esta" localSheetId="1">#REF!</definedName>
    <definedName name="qtdbase" localSheetId="1">#REF!</definedName>
    <definedName name="qtdbltub" localSheetId="1">#REF!</definedName>
    <definedName name="qtdestac" localSheetId="1">#REF!</definedName>
    <definedName name="qtdsap" localSheetId="1">#REF!</definedName>
    <definedName name="qtdtub" localSheetId="1">#REF!</definedName>
    <definedName name="QTNULO" localSheetId="1">#REF!</definedName>
    <definedName name="QTPADRAO" localSheetId="1">#REF!</definedName>
    <definedName name="QTRES" localSheetId="1">#REF!</definedName>
    <definedName name="QuadraE" localSheetId="1">#REF!</definedName>
    <definedName name="quadrocompar." localSheetId="1">#REF!</definedName>
    <definedName name="QUANT" localSheetId="1">#REF!</definedName>
    <definedName name="Quant_Aptos" localSheetId="1">#REF!</definedName>
    <definedName name="Quant_Cremalheira" localSheetId="1">#REF!</definedName>
    <definedName name="Quant_grua" localSheetId="1">#REF!</definedName>
    <definedName name="Quant_pav_lajão" localSheetId="1">#REF!</definedName>
    <definedName name="Quant_tipo" localSheetId="1">#REF!</definedName>
    <definedName name="Quant_torres" localSheetId="1">#REF!</definedName>
    <definedName name="Quantidade_Elevadores" localSheetId="1">#REF!</definedName>
    <definedName name="QUANTP" localSheetId="1">#REF!</definedName>
    <definedName name="QUATRO" localSheetId="1">#REF!</definedName>
    <definedName name="QUINZE" localSheetId="1">#REF!</definedName>
    <definedName name="qwdqw" localSheetId="1">{#N/A,#N/A,FALSE,"Plan1";#N/A,#N/A,FALSE,"Plan2"}</definedName>
    <definedName name="qweqwe" localSheetId="1">{#N/A,#N/A,FALSE,"Plan1";#N/A,#N/A,FALSE,"Plan2"}</definedName>
    <definedName name="qweqwe4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">#REF!</definedName>
    <definedName name="R.imobAtualiz" localSheetId="1">#REF!</definedName>
    <definedName name="R_CorretAtualiz" localSheetId="1">#REF!</definedName>
    <definedName name="R_G.Cobr.Atualiz" localSheetId="1">#REF!</definedName>
    <definedName name="R_PmaisJAtualiz" localSheetId="1">#REF!</definedName>
    <definedName name="R_Prev.PerdaAtualiz" localSheetId="1">#REF!</definedName>
    <definedName name="RADIO" localSheetId="1">{"HW",#N/A,FALSE,"1998"}</definedName>
    <definedName name="RANGE" localSheetId="1">#REF!</definedName>
    <definedName name="RANGE1" localSheetId="1">#REF!</definedName>
    <definedName name="RANGE2" localSheetId="1">#REF!</definedName>
    <definedName name="RARQIMP" localSheetId="1">#REF!</definedName>
    <definedName name="RawData" localSheetId="1">#REF!</definedName>
    <definedName name="RE" localSheetId="1">#REF!</definedName>
    <definedName name="RECADUC" localSheetId="1">#REF!</definedName>
    <definedName name="Recebido_Acumulado_2015_Controladoria" localSheetId="1">#REF!</definedName>
    <definedName name="RE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L_RJ" localSheetId="1">#REF!</definedName>
    <definedName name="REL_SP" localSheetId="1">#REF!</definedName>
    <definedName name="relat3" localSheetId="1">#REF!</definedName>
    <definedName name="ren" localSheetId="1">#REF!</definedName>
    <definedName name="REPETIÇÃO" localSheetId="1">#REF!</definedName>
    <definedName name="ReqC" localSheetId="1">#REF!</definedName>
    <definedName name="Responsável_Rel_Controladoria" localSheetId="1">#REF!</definedName>
    <definedName name="resum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">#REF!</definedName>
    <definedName name="RESUMO2" localSheetId="1">{#N/A,#N/A,TRUE,"Quinzena 01 à 15-04-98 "}</definedName>
    <definedName name="REV" localSheetId="1">#REF!</definedName>
    <definedName name="RF" localSheetId="1">{#N/A,#N/A,FALSE,"CCTV"}</definedName>
    <definedName name="rgedrfrgfdg" localSheetId="1">{#N/A,#N/A,FALSE,"Plan1";#N/A,#N/A,FALSE,"Plan2"}</definedName>
    <definedName name="rhdrm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">#REF!</definedName>
    <definedName name="ridbeb" localSheetId="1">#REF!</definedName>
    <definedName name="RIDCHAF" localSheetId="1">#REF!</definedName>
    <definedName name="ridres05" localSheetId="1">#REF!</definedName>
    <definedName name="RIDRES10" localSheetId="1">#REF!</definedName>
    <definedName name="RIDRES15" localSheetId="1">#REF!</definedName>
    <definedName name="RO" localSheetId="1">#REF!</definedName>
    <definedName name="Rodapé" localSheetId="1">#REF!</definedName>
    <definedName name="RODAPÉS" localSheetId="1">#REF!</definedName>
    <definedName name="ROMANO" localSheetId="1">#REF!</definedName>
    <definedName name="ROTCOMP" localSheetId="1">#REF!</definedName>
    <definedName name="ROTIMP" localSheetId="1">#REF!</definedName>
    <definedName name="ROTRES" localSheetId="1">#REF!</definedName>
    <definedName name="RQTADUC" localSheetId="1">#REF!</definedName>
    <definedName name="rqtbeb" localSheetId="1">#REF!</definedName>
    <definedName name="RQTCHAF" localSheetId="1">#REF!</definedName>
    <definedName name="RQTDERV" localSheetId="1">#REF!</definedName>
    <definedName name="rres05" localSheetId="1">#REF!</definedName>
    <definedName name="RRES10" localSheetId="1">#REF!</definedName>
    <definedName name="RRES15" localSheetId="1">#REF!</definedName>
    <definedName name="RRES20" localSheetId="1">#REF!</definedName>
    <definedName name="rrrrr" localSheetId="1">{"'장비'!$A$3:$M$12"}</definedName>
    <definedName name="rrrrrrrr" localSheetId="1">{"'장비'!$A$3:$M$12"}</definedName>
    <definedName name="rrrrrrrrrrr" localSheetId="1">{#N/A,#N/A,TRUE,"Quinzena 01 à 15-04-98 "}</definedName>
    <definedName name="RSEQ" localSheetId="1">#REF!</definedName>
    <definedName name="RSUBTOT" localSheetId="1">#REF!</definedName>
    <definedName name="rtitbeb" localSheetId="1">#REF!</definedName>
    <definedName name="RTITCHAF" localSheetId="1">#REF!</definedName>
    <definedName name="rtubos" localSheetId="1">#REF!</definedName>
    <definedName name="RTYE" localSheetId="1">{"'장비'!$A$3:$M$12"}</definedName>
    <definedName name="s" localSheetId="1">#REF!</definedName>
    <definedName name="s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">{#N/A,#N/A,FALSE,"Plan1";#N/A,#N/A,FALSE,"Plan2"}</definedName>
    <definedName name="sa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">{#N/A,#N/A,FALSE,"Plan1";#N/A,#N/A,FALSE,"Plan2"}</definedName>
    <definedName name="SADSRTR" localSheetId="1">{#N/A,#N/A,FALSE,"Plan1";#N/A,#N/A,FALSE,"Plan2"}</definedName>
    <definedName name="sadwde" localSheetId="1">{#N/A,#N/A,FALSE,"Plan1";#N/A,#N/A,FALSE,"Plan2"}</definedName>
    <definedName name="Salas" localSheetId="1">#REF!</definedName>
    <definedName name="sanjay" localSheetId="1">{#N/A,#N/A,FALSE,"TABLE"}</definedName>
    <definedName name="sapata" localSheetId="1">#REF!</definedName>
    <definedName name="SAS" localSheetId="1">{#N/A,#N/A,FALSE,"Plan1";#N/A,#N/A,FALSE,"Plan2"}</definedName>
    <definedName name="sasads" localSheetId="1">{#N/A,#N/A,FALSE,"Plan1";#N/A,#N/A,FALSE,"Plan2"}</definedName>
    <definedName name="SC" localSheetId="1">#REF!</definedName>
    <definedName name="sda" localSheetId="1">#REF!</definedName>
    <definedName name="sda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">{#N/A,#N/A,FALSE,"Plan1";#N/A,#N/A,FALSE,"Plan2"}</definedName>
    <definedName name="sdckd" localSheetId="1">{#N/A,#N/A,FALSE,"Plan1";#N/A,#N/A,FALSE,"Plan2"}</definedName>
    <definedName name="SDDFKSEDE" localSheetId="1">{#N/A,#N/A,FALSE,"Plan1";#N/A,#N/A,FALSE,"Plan2"}</definedName>
    <definedName name="sddkslker" localSheetId="1">{#N/A,#N/A,FALSE,"Plan1";#N/A,#N/A,FALSE,"Plan2"}</definedName>
    <definedName name="sdefr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">#REF!</definedName>
    <definedName name="sd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">{#N/A,#N/A,FALSE,"Plan1";#N/A,#N/A,FALSE,"Plan2"}</definedName>
    <definedName name="sdfdfc" localSheetId="1">{#N/A,#N/A,FALSE,"Plan1";#N/A,#N/A,FALSE,"Plan2"}</definedName>
    <definedName name="sdfd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">{#N/A,#N/A,FALSE,"Plan1";#N/A,#N/A,FALSE,"Plan2"}</definedName>
    <definedName name="sdfdsf" localSheetId="1">{#N/A,#N/A,FALSE,"Plan1";#N/A,#N/A,FALSE,"Plan2"}</definedName>
    <definedName name="SDFEDRT" localSheetId="1">{#N/A,#N/A,FALSE,"Plan1";#N/A,#N/A,FALSE,"Plan2"}</definedName>
    <definedName name="sdfer" localSheetId="1">{#N/A,#N/A,FALSE,"Plan1";#N/A,#N/A,FALSE,"Plan2"}</definedName>
    <definedName name="sdferr" localSheetId="1">{#N/A,#N/A,FALSE,"Plan1";#N/A,#N/A,FALSE,"Plan2"}</definedName>
    <definedName name="sdfe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">{#N/A,#N/A,FALSE,"Plan1";#N/A,#N/A,FALSE,"Plan2"}</definedName>
    <definedName name="sdfgtr" localSheetId="1">{#N/A,#N/A,FALSE,"Plan1";#N/A,#N/A,FALSE,"Plan2"}</definedName>
    <definedName name="sdfjdetrt" localSheetId="1">{#N/A,#N/A,FALSE,"Plan1";#N/A,#N/A,FALSE,"Plan2"}</definedName>
    <definedName name="SDFJDRTJEIDR" localSheetId="1">{#N/A,#N/A,FALSE,"Plan1";#N/A,#N/A,FALSE,"Plan2"}</definedName>
    <definedName name="sdfjergtij" localSheetId="1">{#N/A,#N/A,FALSE,"Plan1";#N/A,#N/A,FALSE,"Plan2"}</definedName>
    <definedName name="SDFOPJKWE" localSheetId="1">{#N/A,#N/A,FALSE,"Plan1";#N/A,#N/A,FALSE,"Plan2"}</definedName>
    <definedName name="sdfrdt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">{#N/A,#N/A,FALSE,"Plan1";#N/A,#N/A,FALSE,"Plan2"}</definedName>
    <definedName name="SDFRTKK" localSheetId="1">{#N/A,#N/A,FALSE,"Plan1";#N/A,#N/A,FALSE,"Plan2"}</definedName>
    <definedName name="SDFRTR" localSheetId="1">{#N/A,#N/A,FALSE,"Plan1";#N/A,#N/A,FALSE,"Plan2"}</definedName>
    <definedName name="sdfry6" localSheetId="1">{#N/A,#N/A,FALSE,"Plan1";#N/A,#N/A,FALSE,"Plan2"}</definedName>
    <definedName name="sdfsaf" localSheetId="1">{#N/A,#N/A,FALSE,"Plan1";#N/A,#N/A,FALSE,"Plan2"}</definedName>
    <definedName name="sdfsd" localSheetId="1">{"'Estimativa de Lançamento-JAN'!$A$1:$AI$85"}</definedName>
    <definedName name="sdfsdfg" localSheetId="1">{#N/A,#N/A,FALSE,"Plan1";#N/A,#N/A,FALSE,"Plan2"}</definedName>
    <definedName name="SDFSDFK" localSheetId="1">{#N/A,#N/A,FALSE,"Plan1";#N/A,#N/A,FALSE,"Plan2"}</definedName>
    <definedName name="sdfsdgftret" localSheetId="1">{#N/A,#N/A,FALSE,"Plan1";#N/A,#N/A,FALSE,"Plan2"}</definedName>
    <definedName name="sdfsf" localSheetId="1">{#N/A,#N/A,FALSE,"Plan1";#N/A,#N/A,FALSE,"Plan2"}</definedName>
    <definedName name="SDFSFRT" localSheetId="1">{"Econ Consolidado",#N/A,FALSE,"Econ Consol";"Fluxo de Caixa",#N/A,FALSE,"Fluxo Caixa";"Investimentos",#N/A,FALSE,"Investimentos"}</definedName>
    <definedName name="sdfsr" localSheetId="1">{#N/A,#N/A,FALSE,"Plan1";#N/A,#N/A,FALSE,"Plan2"}</definedName>
    <definedName name="sdfty" localSheetId="1">{#N/A,#N/A,FALSE,"Plan1";#N/A,#N/A,FALSE,"Plan2"}</definedName>
    <definedName name="sdgdf" localSheetId="1">{#N/A,#N/A,FALSE,"Plan1";#N/A,#N/A,FALSE,"Plan2"}</definedName>
    <definedName name="sdgfrt" localSheetId="1">{#N/A,#N/A,FALSE,"Plan1";#N/A,#N/A,FALSE,"Plan2"}</definedName>
    <definedName name="sdgft" localSheetId="1">{#N/A,#N/A,FALSE,"Plan1";#N/A,#N/A,FALSE,"Plan2"}</definedName>
    <definedName name="sdgt" localSheetId="1">{#N/A,#N/A,FALSE,"Plan1";#N/A,#N/A,FALSE,"Plan2"}</definedName>
    <definedName name="sdgtry" localSheetId="1">#REF!</definedName>
    <definedName name="sdhfghdsfg" localSheetId="1">{#N/A,#N/A,FALSE,"Plan1";#N/A,#N/A,FALSE,"Plan2"}</definedName>
    <definedName name="SDHFJKHDFJRE" localSheetId="1">{#N/A,#N/A,FALSE,"Plan1";#N/A,#N/A,FALSE,"Plan2"}</definedName>
    <definedName name="SDHKFDRKGTR" localSheetId="1">{#N/A,#N/A,FALSE,"Plan1";#N/A,#N/A,FALSE,"Plan2"}</definedName>
    <definedName name="sdjdswger" localSheetId="1">{#N/A,#N/A,FALSE,"Plan1";#N/A,#N/A,FALSE,"Plan2"}</definedName>
    <definedName name="sdjfdf" localSheetId="1">{#N/A,#N/A,FALSE,"Plan1";#N/A,#N/A,FALSE,"Plan2"}</definedName>
    <definedName name="sdjfhdjk" localSheetId="1">{#N/A,#N/A,FALSE,"Plan1";#N/A,#N/A,FALSE,"Plan2"}</definedName>
    <definedName name="SDJFJDER" localSheetId="1">{#N/A,#N/A,FALSE,"Plan1";#N/A,#N/A,FALSE,"Plan2"}</definedName>
    <definedName name="sdjflsdjfl" localSheetId="1">{#N/A,#N/A,FALSE,"Plan1";#N/A,#N/A,FALSE,"Plan2"}</definedName>
    <definedName name="SDJHF" localSheetId="1">{#N/A,#N/A,FALSE,"Plan1";#N/A,#N/A,FALSE,"Plan2"}</definedName>
    <definedName name="sdjrderertrr" localSheetId="1">{#N/A,#N/A,FALSE,"Plan1";#N/A,#N/A,FALSE,"Plan2"}</definedName>
    <definedName name="sdkdjk" localSheetId="1">{#N/A,#N/A,FALSE,"Plan1";#N/A,#N/A,FALSE,"Plan2"}</definedName>
    <definedName name="sdkfjhkdgfh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">{#N/A,#N/A,FALSE,"Plan1";#N/A,#N/A,FALSE,"Plan2"}</definedName>
    <definedName name="sdkk" localSheetId="1">{#N/A,#N/A,FALSE,"Plan1";#N/A,#N/A,FALSE,"Plan2"}</definedName>
    <definedName name="sdlfsdflj" localSheetId="1">{#N/A,#N/A,FALSE,"Plan1";#N/A,#N/A,FALSE,"Plan2"}</definedName>
    <definedName name="sdmfmdfsgfd" localSheetId="1">{#N/A,#N/A,FALSE,"Plan1";#N/A,#N/A,FALSE,"Plan2"}</definedName>
    <definedName name="sd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">{#N/A,#N/A,FALSE,"Plan1";#N/A,#N/A,FALSE,"Plan2"}</definedName>
    <definedName name="sdsd" localSheetId="1">{#N/A,#N/A,FALSE,"Plan1";#N/A,#N/A,FALSE,"Plan2"}</definedName>
    <definedName name="sdser" localSheetId="1">{#N/A,#N/A,FALSE,"Plan1";#N/A,#N/A,FALSE,"Plan2"}</definedName>
    <definedName name="sdsre" localSheetId="1">{#N/A,#N/A,FALSE,"Plan1";#N/A,#N/A,FALSE,"Plan2"}</definedName>
    <definedName name="sdss" localSheetId="1">{#N/A,#N/A,FALSE,"Plan1";#N/A,#N/A,FALSE,"Plan2"}</definedName>
    <definedName name="sdtrtg" localSheetId="1">#REF!</definedName>
    <definedName name="sdusi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">{"Econ Consolidado",#N/A,FALSE,"Econ Consol";"Fluxo de Caixa",#N/A,FALSE,"Fluxo Caixa";"Investimentos",#N/A,FALSE,"Investimentos"}</definedName>
    <definedName name="sdxfrt" localSheetId="1">{#N/A,#N/A,FALSE,"Plan1";#N/A,#N/A,FALSE,"Plan2"}</definedName>
    <definedName name="SDZFERF" localSheetId="1">{#N/A,#N/A,FALSE,"Plan1";#N/A,#N/A,FALSE,"Plan2"}</definedName>
    <definedName name="se" localSheetId="1">#REF!</definedName>
    <definedName name="SEDE" localSheetId="1">#REF!</definedName>
    <definedName name="sefret4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ftru" localSheetId="1">{#N/A,#N/A,FALSE,"Plan1";#N/A,#N/A,FALSE,"Plan2"}</definedName>
    <definedName name="SEIS" localSheetId="1">#REF!</definedName>
    <definedName name="sencount" localSheetId="1">3</definedName>
    <definedName name="SEQUENCIA" localSheetId="1">#REF!</definedName>
    <definedName name="SEREWRSWE" localSheetId="1">{"tabela",#N/A,FALSE,"Tabela";"decoração",#N/A,FALSE,"Decor.";"Informações",#N/A,FALSE,"Inform."}</definedName>
    <definedName name="Set_17" localSheetId="1">#REF!</definedName>
    <definedName name="SETE" localSheetId="1">#REF!</definedName>
    <definedName name="SETEMBRO" localSheetId="1">#REF!</definedName>
    <definedName name="setRJ17" localSheetId="1">#REF!</definedName>
    <definedName name="severo" localSheetId="1">#REF!</definedName>
    <definedName name="sf" localSheetId="1">{#N/A,#N/A,FALSE,"Plan1";#N/A,#N/A,FALSE,"Plan2"}</definedName>
    <definedName name="sfcre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">{#N/A,#N/A,FALSE,"Plan1";#N/A,#N/A,FALSE,"Plan2"}</definedName>
    <definedName name="sfds" localSheetId="1">{#N/A,#N/A,FALSE,"Plan1";#N/A,#N/A,FALSE,"Plan2"}</definedName>
    <definedName name="sfdsd" localSheetId="1">{#N/A,#N/A,FALSE,"Plan1";#N/A,#N/A,FALSE,"Plan2"}</definedName>
    <definedName name="sfrsdrgt" localSheetId="1">{#N/A,#N/A,FALSE,"Plan1";#N/A,#N/A,FALSE,"Plan2"}</definedName>
    <definedName name="SFRT" localSheetId="1">{#N/A,#N/A,FALSE,"Plan1";#N/A,#N/A,FALSE,"Plan2"}</definedName>
    <definedName name="sfsdferf" localSheetId="1">{#N/A,#N/A,FALSE,"Plan1";#N/A,#N/A,FALSE,"Plan2"}</definedName>
    <definedName name="SFSDS" localSheetId="1">{#N/A,#N/A,FALSE,"Plan1";#N/A,#N/A,FALSE,"Plan2"}</definedName>
    <definedName name="SGarantia" localSheetId="1">#REF!</definedName>
    <definedName name="sgtghty" localSheetId="1">{#N/A,#N/A,FALSE,"Plan1";#N/A,#N/A,FALSE,"Plan2"}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STEM1" localSheetId="1">#REF!</definedName>
    <definedName name="SISTEM2" localSheetId="1">#REF!</definedName>
    <definedName name="SIV" localSheetId="1">#REF!</definedName>
    <definedName name="sjawe" localSheetId="1">{#N/A,#N/A,FALSE,"Plan1";#N/A,#N/A,FALSE,"Plan2"}</definedName>
    <definedName name="sjdffd" localSheetId="1">{#N/A,#N/A,FALSE,"Plan1";#N/A,#N/A,FALSE,"Plan2"}</definedName>
    <definedName name="SJDFHDJ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">{#N/A,#N/A,FALSE,"Plan1";#N/A,#N/A,FALSE,"Plan2"}</definedName>
    <definedName name="SJDKJDE" localSheetId="1">{"Econ Consolidado",#N/A,FALSE,"Econ Consol";"Fluxo de Caixa",#N/A,FALSE,"Fluxo Caixa";"Investimentos",#N/A,FALSE,"Investimentos"}</definedName>
    <definedName name="sjekwjri" localSheetId="1">{#N/A,#N/A,FALSE,"Plan1";#N/A,#N/A,FALSE,"Plan2"}</definedName>
    <definedName name="sjfkdhsfds" localSheetId="1">{#N/A,#N/A,FALSE,"Plan1";#N/A,#N/A,FALSE,"Plan2"}</definedName>
    <definedName name="sjkdljslkrje" localSheetId="1">{#N/A,#N/A,FALSE,"Plan1";#N/A,#N/A,FALSE,"Plan2"}</definedName>
    <definedName name="skadadaszs" localSheetId="1">{#N/A,#N/A,FALSE,"Plan1";#N/A,#N/A,FALSE,"Plan2"}</definedName>
    <definedName name="SKASH" localSheetId="1">{#N/A,#N/A,FALSE,"Plan1";#N/A,#N/A,FALSE,"Plan2"}</definedName>
    <definedName name="skldfrde" localSheetId="1">{#N/A,#N/A,FALSE,"Plan1";#N/A,#N/A,FALSE,"Plan2"}</definedName>
    <definedName name="skosroer" localSheetId="1">{#N/A,#N/A,FALSE,"Plan1";#N/A,#N/A,FALSE,"Plan2"}</definedName>
    <definedName name="SO" localSheetId="1">#REF!</definedName>
    <definedName name="soma" localSheetId="1">#REF!</definedName>
    <definedName name="sp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">{#N/A,#N/A,FALSE,"Plan1";#N/A,#N/A,FALSE,"Plan2"}</definedName>
    <definedName name="SR" localSheetId="1">#REF!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1">#REF!</definedName>
    <definedName name="stake_cury" localSheetId="1">#REF!</definedName>
    <definedName name="status_projeto" localSheetId="1">OFFSET(INDEX(#REF!,MATCH(#REF!,#REF!,0)),1,0,COUNTA(#REF!)-1)</definedName>
    <definedName name="SUB_TOTAL_1" localSheetId="1">#REF!</definedName>
    <definedName name="SUBDER" localSheetId="1">#REF!</definedName>
    <definedName name="SUBDIV" localSheetId="1">#REF!</definedName>
    <definedName name="SUBEQP" localSheetId="1">#REF!</definedName>
    <definedName name="SUBMUR" localSheetId="1">#REF!</definedName>
    <definedName name="susref" localSheetId="1">#REF!</definedName>
    <definedName name="T_actual" localSheetId="1">#REF!</definedName>
    <definedName name="t_cc" localSheetId="1">#REF!</definedName>
    <definedName name="t_KSB1_Transport" localSheetId="1">#REF!</definedName>
    <definedName name="tab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">#REF!</definedName>
    <definedName name="TABACABAMENTOS" localSheetId="1">#REF!</definedName>
    <definedName name="tabela" localSheetId="1">#REF!</definedName>
    <definedName name="Tabela_Atribuição" localSheetId="1">#REF!</definedName>
    <definedName name="TABELA_DE_REVESTIMENTOS" localSheetId="1">#REF!</definedName>
    <definedName name="Tabela_Recursos" localSheetId="1">#REF!</definedName>
    <definedName name="Tabela_Tarefas" localSheetId="1">#REF!</definedName>
    <definedName name="Tabela1" localSheetId="1">#REF!</definedName>
    <definedName name="Tabela2" localSheetId="1">#REF!</definedName>
    <definedName name="tabela3" localSheetId="1">#REF!</definedName>
    <definedName name="TABREF" localSheetId="1">#REF!</definedName>
    <definedName name="tania" localSheetId="1">#REF!</definedName>
    <definedName name="TAUX2" localSheetId="1">OFFSET(#REF!,0,0,COUNTA(#REF!)+1,1)</definedName>
    <definedName name="TAUX3" localSheetId="1">OFFSET(#REF!,0,0,COUNTA(#REF!)+1,1)</definedName>
    <definedName name="TAXA_VENTO" localSheetId="1">#REF!</definedName>
    <definedName name="TAXAS" localSheetId="1">#REF!</definedName>
    <definedName name="TbDin" localSheetId="1">OFFSET(#REF!,0,0,COUNTA(#REF!),13)</definedName>
    <definedName name="tc" localSheetId="1">#REF!</definedName>
    <definedName name="TE" localSheetId="1">#REF!</definedName>
    <definedName name="TECLA" localSheetId="1">#REF!</definedName>
    <definedName name="Tendência_Obra_Controladoria" localSheetId="1">#REF!</definedName>
    <definedName name="TERRENO" localSheetId="1">#REF!</definedName>
    <definedName name="Test" localSheetId="1">{"'Edit'!$A$1:$V$2277"}</definedName>
    <definedName name="TESTANDO" localSheetId="1">{#N/A,#N/A,TRUE,"Quinzena 01 à 15-04-98 "}</definedName>
    <definedName name="teste" localSheetId="1">#REF!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">#REF!</definedName>
    <definedName name="TESTHKEY" localSheetId="1">#REF!</definedName>
    <definedName name="teto1" localSheetId="1">#REF!</definedName>
    <definedName name="Teto2" localSheetId="1">#REF!</definedName>
    <definedName name="tetuytw" localSheetId="1">#REF!</definedName>
    <definedName name="thjgsergsr" localSheetId="1">{#N/A,#N/A,FALSE,"Plan1";#N/A,#N/A,FALSE,"Plan2"}</definedName>
    <definedName name="THYJ" localSheetId="1">{#N/A,#N/A,FALSE,"Plan1";#N/A,#N/A,FALSE,"Plan2"}</definedName>
    <definedName name="tihjgih" localSheetId="1">{#N/A,#N/A,FALSE,"Plan1";#N/A,#N/A,FALSE,"Plan2"}</definedName>
    <definedName name="TIPO_CTT" localSheetId="1">#REF!</definedName>
    <definedName name="Tipo_de_Diretoria" localSheetId="1">#REF!</definedName>
    <definedName name="Tipo_de_Gestao" localSheetId="1">#REF!</definedName>
    <definedName name="Tipo_de_Padrao" localSheetId="1">#REF!</definedName>
    <definedName name="Tipo_de_Regiao" localSheetId="1">#REF!</definedName>
    <definedName name="Tipo_de_Segmento" localSheetId="1">#REF!</definedName>
    <definedName name="Tipo_de_Status" localSheetId="1">#REF!</definedName>
    <definedName name="Tipo_de_UF" localSheetId="1">#REF!</definedName>
    <definedName name="Tipo_de_Unidade_de_Negocio" localSheetId="1">#REF!</definedName>
    <definedName name="Tipo_do_cliente" localSheetId="1">#REF!</definedName>
    <definedName name="tipo_subtotal" localSheetId="1">#REF!</definedName>
    <definedName name="tipobloco" localSheetId="1">#REF!</definedName>
    <definedName name="titbeb" localSheetId="1">#REF!</definedName>
    <definedName name="TITCHAF" localSheetId="1">#REF!</definedName>
    <definedName name="TituloMkt" localSheetId="1">#REF!</definedName>
    <definedName name="titulos" localSheetId="1">#REF!</definedName>
    <definedName name="Títulos_impressão_IM" localSheetId="1">#REF!</definedName>
    <definedName name="TMO" localSheetId="1">#REF!</definedName>
    <definedName name="TOLTAL2" localSheetId="1">#REF!</definedName>
    <definedName name="TOT" localSheetId="1">#REF!</definedName>
    <definedName name="tot3estac" localSheetId="1">#REF!</definedName>
    <definedName name="TOTAIS" localSheetId="1">#REF!</definedName>
    <definedName name="Total" localSheetId="1">#REF!</definedName>
    <definedName name="Total_2016_Rel_Controladoria" localSheetId="1">#REF!</definedName>
    <definedName name="Total_Parcelas_MAP" localSheetId="1">#REF!</definedName>
    <definedName name="total_unid" localSheetId="1">#REF!</definedName>
    <definedName name="TOTAL1" localSheetId="1">#REF!</definedName>
    <definedName name="TOTAL10" localSheetId="1">#REF!</definedName>
    <definedName name="TOTAL11" localSheetId="1">#REF!</definedName>
    <definedName name="TOTAL12" localSheetId="1">#REF!</definedName>
    <definedName name="TOTAL13" localSheetId="1">#REF!</definedName>
    <definedName name="TOTAL14" localSheetId="1">#REF!</definedName>
    <definedName name="TOTAL15" localSheetId="1">#REF!</definedName>
    <definedName name="TOTAL16" localSheetId="1">#REF!</definedName>
    <definedName name="TOTAL2" localSheetId="1">#REF!</definedName>
    <definedName name="TOTAL3" localSheetId="1">#REF!</definedName>
    <definedName name="TOTAL4" localSheetId="1">#REF!</definedName>
    <definedName name="TOTAL5" localSheetId="1">#REF!</definedName>
    <definedName name="TOTAL6" localSheetId="1">#REF!</definedName>
    <definedName name="TOTAL7" localSheetId="1">#REF!</definedName>
    <definedName name="TOTAL8" localSheetId="1">#REF!</definedName>
    <definedName name="TOTAL9" localSheetId="1">#REF!</definedName>
    <definedName name="TOTALITEM" localSheetId="1">#REF!</definedName>
    <definedName name="totbase" localSheetId="1">#REF!</definedName>
    <definedName name="totestaca" localSheetId="1">#REF!</definedName>
    <definedName name="TOTG" localSheetId="1">OFFSET(#REF!,0,0,COUNTA(#REF!),1)</definedName>
    <definedName name="totperfura" localSheetId="1">#REF!</definedName>
    <definedName name="TOTQTS" localSheetId="1">#REF!</definedName>
    <definedName name="TOTT" localSheetId="1">OFFSET(#REF!,0,0,COUNTA(#REF!)+1,1)</definedName>
    <definedName name="TR" localSheetId="1">#REF!</definedName>
    <definedName name="Transferencia1" localSheetId="1">#REF!</definedName>
    <definedName name="TRES" localSheetId="1">#REF!</definedName>
    <definedName name="TREZE" localSheetId="1">#REF!</definedName>
    <definedName name="tri" localSheetId="1">#REF!</definedName>
    <definedName name="Trimestre_data_base" localSheetId="1">#REF!</definedName>
    <definedName name="trjyidih" localSheetId="1">{#N/A,#N/A,FALSE,"Plan1";#N/A,#N/A,FALSE,"Plan2"}</definedName>
    <definedName name="TRP" localSheetId="1">#REF!</definedName>
    <definedName name="TTT" localSheetId="1">#REF!</definedName>
    <definedName name="TURNO" localSheetId="1">#REF!</definedName>
    <definedName name="tuyedjsksj" localSheetId="1">{#N/A,#N/A,FALSE,"Plan1";#N/A,#N/A,FALSE,"Plan2"}</definedName>
    <definedName name="TX_ADM" localSheetId="1">#REF!</definedName>
    <definedName name="tx_desconto_real" localSheetId="1">#REF!</definedName>
    <definedName name="TxAplicMes" localSheetId="1">#REF!</definedName>
    <definedName name="TxCdiMes" localSheetId="1">#REF!</definedName>
    <definedName name="TxDescMes" localSheetId="1">#REF!</definedName>
    <definedName name="TxSecuritizacaoMes" localSheetId="1">#REF!</definedName>
    <definedName name="TxSfhEco" localSheetId="1">#REF!</definedName>
    <definedName name="TxSfhMap" localSheetId="1">#REF!</definedName>
    <definedName name="TXTEQUIP" localSheetId="1">#REF!</definedName>
    <definedName name="TXTMARCA" localSheetId="1">#REF!</definedName>
    <definedName name="TXTMOD" localSheetId="1">#REF!</definedName>
    <definedName name="TXTPOT" localSheetId="1">#REF!</definedName>
    <definedName name="TYHGFHFHG" localSheetId="1">{#N/A,#N/A,FALSE,"Plan1";#N/A,#N/A,FALSE,"Plan2"}</definedName>
    <definedName name="u" localSheetId="1">{#N/A,#N/A,FALSE,"ET-CAPA";#N/A,#N/A,FALSE,"ET-PAG1";#N/A,#N/A,FALSE,"ET-PAG2";#N/A,#N/A,FALSE,"ET-PAG3";#N/A,#N/A,FALSE,"ET-PAG4";#N/A,#N/A,FALSE,"ET-PAG5"}</definedName>
    <definedName name="udhgfhfg" localSheetId="1">{#N/A,#N/A,FALSE,"Plan1";#N/A,#N/A,FALSE,"Plan2"}</definedName>
    <definedName name="ueiutriuef" localSheetId="1">{#N/A,#N/A,FALSE,"Plan1";#N/A,#N/A,FALSE,"Plan2"}</definedName>
    <definedName name="UENSIT" localSheetId="1">#REF!</definedName>
    <definedName name="UENSITS" localSheetId="1">#REF!</definedName>
    <definedName name="UHGSDUS" localSheetId="1">{#N/A,#N/A,FALSE,"Plan1";#N/A,#N/A,FALSE,"Plan2"}</definedName>
    <definedName name="UI" localSheetId="1">#REF!</definedName>
    <definedName name="UIHWER45R" localSheetId="1">{#N/A,#N/A,FALSE,"Plan1";#N/A,#N/A,FALSE,"Plan2"}</definedName>
    <definedName name="uiosderuiu" localSheetId="1">{#N/A,#N/A,FALSE,"Plan1";#N/A,#N/A,FALSE,"Plan2"}</definedName>
    <definedName name="UIOURET" localSheetId="1">{#N/A,#N/A,FALSE,"Plan1";#N/A,#N/A,FALSE,"Plan2"}</definedName>
    <definedName name="uiwuer" localSheetId="1">{#N/A,#N/A,FALSE,"Plan1";#N/A,#N/A,FALSE,"Plan2"}</definedName>
    <definedName name="UKHDFDSGUDFKD" localSheetId="1">{#N/A,#N/A,FALSE,"Plan1";#N/A,#N/A,FALSE,"Plan2"}</definedName>
    <definedName name="UM" localSheetId="1">#REF!</definedName>
    <definedName name="UNID" localSheetId="1">OFFSET(#REF!,0,0,COUNTA(#REF!),1)</definedName>
    <definedName name="uni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">#REF!</definedName>
    <definedName name="univ_hist" localSheetId="1">#REF!</definedName>
    <definedName name="univ_uss" localSheetId="1">#REF!</definedName>
    <definedName name="UP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">{#N/A,#N/A,FALSE,"Plan1";#N/A,#N/A,FALSE,"Plan2"}</definedName>
    <definedName name="V" localSheetId="1">#REF!</definedName>
    <definedName name="VALIDADE_EXECUÇÃO" localSheetId="1">#REF!</definedName>
    <definedName name="Valor_PLS_Controladoria" localSheetId="1">#REF!</definedName>
    <definedName name="Valor_Previsto_Fin_Medições" localSheetId="1">#REF!</definedName>
    <definedName name="VALOR_REAIS" localSheetId="1">#REF!</definedName>
    <definedName name="Valor_Recebido_Fin_Medições" localSheetId="1">#REF!</definedName>
    <definedName name="Valor_Sienge" localSheetId="1">#REF!</definedName>
    <definedName name="VALOR_VENDA" localSheetId="1">#REF!</definedName>
    <definedName name="valores_diferidos" localSheetId="1">#REF!</definedName>
    <definedName name="valv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">#REF!</definedName>
    <definedName name="vdsgfrhgfr" localSheetId="1">{#N/A,#N/A,FALSE,"Plan1";#N/A,#N/A,FALSE,"Plan2"}</definedName>
    <definedName name="Veiculos" localSheetId="1">#REF!</definedName>
    <definedName name="VENDA_ADOTADA" localSheetId="1">#REF!</definedName>
    <definedName name="VENDAFINAL_R" localSheetId="1">#REF!</definedName>
    <definedName name="VENDAFINAL_U" localSheetId="1">#REF!</definedName>
    <definedName name="Vendas" localSheetId="1">#REF!</definedName>
    <definedName name="vendas_" localSheetId="1">#REF!</definedName>
    <definedName name="VERIFICAR" localSheetId="1">{#N/A,#N/A,TRUE,"Quinzena 01 à 15-04-98 "}</definedName>
    <definedName name="versao_estudo" localSheetId="1">#REF!</definedName>
    <definedName name="vfbg" localSheetId="1">#REF!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">{#N/A,#N/A,FALSE,"Plan1";#N/A,#N/A,FALSE,"Plan2"}</definedName>
    <definedName name="VI" localSheetId="1">#REF!</definedName>
    <definedName name="VINTE" localSheetId="1">#REF!</definedName>
    <definedName name="visao_cashflow" localSheetId="1">#REF!</definedName>
    <definedName name="visao_VL" localSheetId="1">#REF!</definedName>
    <definedName name="vl_cd" localSheetId="1">#REF!</definedName>
    <definedName name="vl_k1" localSheetId="1">#REF!</definedName>
    <definedName name="vl_k2" localSheetId="1">#REF!</definedName>
    <definedName name="vl_k3" localSheetId="1">#REF!</definedName>
    <definedName name="vld_classificacao" localSheetId="1">IF(#REF!="Ativa",OFFSET(INDEX(rng_list_classificacao,MATCH(#REF!,rng_list_classificacao,0)),1,0,COUNTA(rng_list_classificacao)-1),#REF!)</definedName>
    <definedName name="vld_regional" localSheetId="1">OFFSET(INDEX(rng_list_regional,MATCH(#REF!,rng_list_regional,0)),1,0,COUNTA(rng_list_regional)-1)</definedName>
    <definedName name="vld_segmento" localSheetId="1">IF(#REF!="Ativa",OFFSET(INDEX(rng_list_segmento,MATCH(#REF!,rng_list_segmento,0)),1,0,COUNTA(rng_list_segmento)-1),#REF!)</definedName>
    <definedName name="vld_sociedade" localSheetId="1">OFFSET(INDEX(rng_list_sociedade,MATCH(#REF!,rng_list_sociedade,0)),1,0,COUNTA(rng_list_sociedade)-1)</definedName>
    <definedName name="vld_status_empresa" localSheetId="1">OFFSET(INDEX(rng_list_status_empresa,MATCH(#REF!,rng_list_status_empresa,0)),1,0,COUNTA(rng_list_status_empresa)-1)</definedName>
    <definedName name="vld_status_lancamento" localSheetId="1">IF(#REF!="Ativa",OFFSET(INDEX(rng_list_status_lancamento,MATCH(#REF!,rng_list_status_lancamento,0)),1,0,COUNTA(rng_list_status_lancamento)-1),#REF!)</definedName>
    <definedName name="vld_status_projeto" localSheetId="1">IF(#REF!="Ativa",OFFSET(INDEX(rng_list_status_projeto,MATCH(#REF!,rng_list_status_projeto,0)),1,0,COUNTA(rng_list_status_projeto)-1),#REF!)</definedName>
    <definedName name="vld_status_viabilidade" localSheetId="1">OFFSET(INDEX(rng_list_status_viabilidade,MATCH(#REF!,rng_list_status_viabilidade,0)),1,0,COUNTA(rng_list_status_viabilidade)-1)</definedName>
    <definedName name="VOLUME1" localSheetId="1">#REF!</definedName>
    <definedName name="VOLUME2" localSheetId="1">#REF!</definedName>
    <definedName name="VOLUME3" localSheetId="1">#REF!</definedName>
    <definedName name="VSDHFGDFGR" localSheetId="1">{#N/A,#N/A,FALSE,"Plan1";#N/A,#N/A,FALSE,"Plan2"}</definedName>
    <definedName name="vvbb" localSheetId="1">{"tabela",#N/A,FALSE,"Tabela";"decoração",#N/A,FALSE,"Decor.";"Informações",#N/A,FALSE,"Inform."}</definedName>
    <definedName name="vvcbnb" localSheetId="1">{#N/A,#N/A,FALSE,"Plan1";#N/A,#N/A,FALSE,"Plan2"}</definedName>
    <definedName name="vvvvv" localSheetId="1">{"Econ Consolidado",#N/A,FALSE,"Econ Consol";"Fluxo de Caixa",#N/A,FALSE,"Fluxo Caixa";"Investimentos",#N/A,FALSE,"Investimentos"}</definedName>
    <definedName name="vvvvvv" localSheetId="1">{#N/A,#N/A,FALSE,"Plan1";#N/A,#N/A,FALSE,"Plan2"}</definedName>
    <definedName name="vvvvvvvvvvvvvvvvv" localSheetId="1">{"HW",#N/A,FALSE,"1998"}</definedName>
    <definedName name="VX" localSheetId="1">#REF!</definedName>
    <definedName name="w" localSheetId="1">#REF!</definedName>
    <definedName name="wacc" localSheetId="1">#REF!</definedName>
    <definedName name="wadalrdjlae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">#REF!</definedName>
    <definedName name="werw4tr" localSheetId="1">{#N/A,#N/A,FALSE,"Plan1";#N/A,#N/A,FALSE,"Plan2"}</definedName>
    <definedName name="wetoedjtkdr" localSheetId="1">{#N/A,#N/A,FALSE,"Plan1";#N/A,#N/A,FALSE,"Plan2"}</definedName>
    <definedName name="WHATS" localSheetId="1">{"'Edit'!$A$1:$V$2277"}</definedName>
    <definedName name="win.VESSE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">#REF!</definedName>
    <definedName name="WKJHIR" localSheetId="1">{#N/A,#N/A,FALSE,"Plan1";#N/A,#N/A,FALSE,"Plan2"}</definedName>
    <definedName name="WLQ" localSheetId="1">{#N/A,#N/A,FALSE,"명세표"}</definedName>
    <definedName name="WNMLOCAL" localSheetId="1">#REF!</definedName>
    <definedName name="WNMMUN" localSheetId="1">#REF!</definedName>
    <definedName name="WNMSERV" localSheetId="1">#REF!</definedName>
    <definedName name="worl_cdi" localSheetId="1">#REF!</definedName>
    <definedName name="worl_hist" localSheetId="1">#REF!</definedName>
    <definedName name="worl_uss" localSheetId="1">#REF!</definedName>
    <definedName name="WRITE" localSheetId="1">{#N/A,#N/A,FALSE,"CCTV"}</definedName>
    <definedName name="wrn.BM." localSheetId="1">{#N/A,#N/A,FALSE,"CCTV"}</definedName>
    <definedName name="wrn.Brita98.xls." localSheetId="1">{#N/A,#N/A,TRUE,"Quinzena 01 à 15-04-98 "}</definedName>
    <definedName name="wrn.Completo." localSheetId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">{"EconCons",#N/A,TRUE,"Econômico - Consolidado";"CaixaCons",#N/A,TRUE,"Caixa - Consolidado";"InvestCons",#N/A,TRUE,"Invest Consolidado"}</definedName>
    <definedName name="wrn.Consolidado." localSheetId="1">{"Econ Consolidado",#N/A,FALSE,"Econ Consol";"Fluxo de Caixa",#N/A,FALSE,"Fluxo Caixa";"Investimentos",#N/A,FALSE,"Investimentos"}</definedName>
    <definedName name="wrn.GERAL." localSheetId="1">{#N/A,#N/A,FALSE,"ET-CAPA";#N/A,#N/A,FALSE,"ET-PAG1";#N/A,#N/A,FALSE,"ET-PAG2";#N/A,#N/A,FALSE,"ET-PAG3";#N/A,#N/A,FALSE,"ET-PAG4";#N/A,#N/A,FALSE,"ET-PAG5"}</definedName>
    <definedName name="wrn.HAGE." localSheetId="1">{#N/A,#N/A,FALSE,"cdi";#N/A,#N/A,FALSE,"debent";#N/A,#N/A,FALSE,"fdos";#N/A,#N/A,FALSE,"resumo"}</definedName>
    <definedName name="wrn.HAGE01" localSheetId="1">{#N/A,#N/A,FALSE,"cdi";#N/A,#N/A,FALSE,"debent";#N/A,#N/A,FALSE,"fdos";#N/A,#N/A,FALSE,"resumo"}</definedName>
    <definedName name="wrn.HW." localSheetId="1">{"HW",#N/A,FALSE,"1998"}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">{#N/A,#N/A,FALSE,"Plan1";#N/A,#N/A,FALSE,"Plan2"}</definedName>
    <definedName name="wrn.Imprimir." localSheetId="1">{"tabela",#N/A,FALSE,"Tabela";"decoração",#N/A,FALSE,"Decor.";"Informações",#N/A,FALSE,"Inform."}</definedName>
    <definedName name="wrn.LPU._.MG." localSheetId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">{#N/A,#N/A,FALSE,"Global Wls Trend";#N/A,#N/A,FALSE,"Region Trend";#N/A,#N/A,FALSE,"PBU Trend"}</definedName>
    <definedName name="wrn.Monthly._.Report._.Package." localSheetId="1">{#N/A,#N/A,FALSE,"Global by BU";#N/A,#N/A,FALSE,"U.S. by BU";#N/A,#N/A,FALSE,"Canada by BU";#N/A,#N/A,FALSE,"Europe by BU";#N/A,#N/A,FALSE,"Asia by BU";#N/A,#N/A,FALSE,"Cala by BU"}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">{#N/A,#N/A,FALSE,"F-01"}</definedName>
    <definedName name="wrn.Planiha._.de._.Medição._.F._.01._1" localSheetId="1">{#N/A,#N/A,FALSE,"F-01"}</definedName>
    <definedName name="wrn.Planilha_de_Medição_F_02" localSheetId="1">{#N/A,#N/A,FALSE,"F-01"}</definedName>
    <definedName name="wrn.print._.all." localSheetId="1">{#N/A,#N/A,FALSE,"$170M Cash";#N/A,#N/A,FALSE,"$250M Cash";#N/A,#N/A,FALSE,"$325M Cash"}</definedName>
    <definedName name="wrn.PrintAll." localSheetId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">{#N/A,#N/A,FALSE,"Sheet1";#N/A,#N/A,FALSE,"Sheet2";#N/A,#N/A,FALSE,"Sheet3"}</definedName>
    <definedName name="wrn.PrintPrev1." localSheetId="1">{#N/A,#N/A,FALSE,"Sheet4";#N/A,#N/A,FALSE,"Sheet5";#N/A,#N/A,FALSE,"Sheet6"}</definedName>
    <definedName name="wrn.PrintPrev2." localSheetId="1">{#N/A,#N/A,FALSE,"Sheet7";#N/A,#N/A,FALSE,"Sheet8";#N/A,#N/A,FALSE,"Sheet9"}</definedName>
    <definedName name="wrn.Quadros._.relatório." localSheetId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">{#N/A,#N/A,FALSE,"TABLE"}</definedName>
    <definedName name="wrn.TERCEIRO.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">{#N/A,#N/A,FALSE,"명세표"}</definedName>
    <definedName name="wrn.Unidades." localSheetId="1">{"Rio Branco",#N/A,FALSE,"Rio Branco";"Itajaí",#N/A,FALSE,"Itajaí";"Pinheiro Machado",#N/A,FALSE,"PMachado";"Esteio",#N/A,FALSE,"Esteio"}</definedName>
    <definedName name="wrn.VESSEL및N2._.구입사양서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">{#N/A,#N/A,FALSE,"Sheet1";#N/A,#N/A,FALSE,"Sheet2";#N/A,#N/A,FALSE,"TAB96-1"}</definedName>
    <definedName name="wrn.보호계전기." localSheetId="1">{#N/A,#N/A,FALSE,"ENG'G(보호계전기)"}</definedName>
    <definedName name="wrn.현장._.NCR._.분석." localSheetId="1">{#N/A,#N/A,FALSE,"현장 NCR 분석";#N/A,#N/A,FALSE,"현장품질감사";#N/A,#N/A,FALSE,"현장품질감사"}</definedName>
    <definedName name="wrn1.Cons." localSheetId="1">{"EconCons",#N/A,TRUE,"Econômico - Consolidado";"CaixaCons",#N/A,TRUE,"Caixa - Consolidado";"InvestCons",#N/A,TRUE,"Invest Consolidado"}</definedName>
    <definedName name="wrn1.print._.all." localSheetId="1">{#N/A,#N/A,FALSE,"$170M Cash";#N/A,#N/A,FALSE,"$250M Cash";#N/A,#N/A,FALSE,"$325M Cash"}</definedName>
    <definedName name="WRS" localSheetId="1">{"'장비'!$A$3:$M$12"}</definedName>
    <definedName name="wrt" localSheetId="1">{#N/A,#N/A,FALSE,"$170M Cash";#N/A,#N/A,FALSE,"$250M Cash";#N/A,#N/A,FALSE,"$325M Cash"}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">#REF!</definedName>
    <definedName name="XALFA" localSheetId="1">#REF!</definedName>
    <definedName name="XC" localSheetId="1">#REF!</definedName>
    <definedName name="xcfrt" localSheetId="1">{#N/A,#N/A,FALSE,"Plan1";#N/A,#N/A,FALSE,"Plan2"}</definedName>
    <definedName name="xcgjkfghf" localSheetId="1">{#N/A,#N/A,FALSE,"Plan1";#N/A,#N/A,FALSE,"Plan2"}</definedName>
    <definedName name="XCGJKVHFDG" localSheetId="1">{#N/A,#N/A,FALSE,"Plan1";#N/A,#N/A,FALSE,"Plan2"}</definedName>
    <definedName name="xcgtrt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">#REF!</definedName>
    <definedName name="XCII" localSheetId="1">#REF!</definedName>
    <definedName name="XCIII" localSheetId="1">#REF!</definedName>
    <definedName name="XCIV" localSheetId="1">#REF!</definedName>
    <definedName name="XCIX" localSheetId="1">#REF!</definedName>
    <definedName name="xçl" localSheetId="1">{#N/A,#N/A,FALSE,"Plan1";#N/A,#N/A,FALSE,"Plan2"}</definedName>
    <definedName name="xcndj" localSheetId="1">{#N/A,#N/A,FALSE,"Plan1";#N/A,#N/A,FALSE,"Plan2"}</definedName>
    <definedName name="XCV" localSheetId="1">#REF!</definedName>
    <definedName name="XCVGGT" localSheetId="1">{#N/A,#N/A,FALSE,"Plan1";#N/A,#N/A,FALSE,"Plan2"}</definedName>
    <definedName name="XCVI" localSheetId="1">#REF!</definedName>
    <definedName name="XCVII" localSheetId="1">#REF!</definedName>
    <definedName name="XCVIII" localSheetId="1">#REF!</definedName>
    <definedName name="xcvrg" localSheetId="1">{#N/A,#N/A,FALSE,"Plan1";#N/A,#N/A,FALSE,"Plan2"}</definedName>
    <definedName name="XDATA" localSheetId="1">#REF!</definedName>
    <definedName name="xdfe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">{#N/A,#N/A,FALSE,"Plan1";#N/A,#N/A,FALSE,"Plan2"}</definedName>
    <definedName name="xfdlfj" localSheetId="1">{#N/A,#N/A,FALSE,"Plan1";#N/A,#N/A,FALSE,"Plan2"}</definedName>
    <definedName name="xfdxfdf" localSheetId="1">{#N/A,#N/A,FALSE,"Plan1";#N/A,#N/A,FALSE,"Plan2"}</definedName>
    <definedName name="XFJKLDJKLG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">{#N/A,#N/A,FALSE,"Plan1";#N/A,#N/A,FALSE,"Plan2"}</definedName>
    <definedName name="X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">{"Econ Consolidado",#N/A,FALSE,"Econ Consol";"Fluxo de Caixa",#N/A,FALSE,"Fluxo Caixa";"Investimentos",#N/A,FALSE,"Investimentos"}</definedName>
    <definedName name="xfvgcfgt" localSheetId="1">{#N/A,#N/A,FALSE,"Plan1";#N/A,#N/A,FALSE,"Plan2"}</definedName>
    <definedName name="xgrg" localSheetId="1">{#N/A,#N/A,FALSE,"Plan1";#N/A,#N/A,FALSE,"Plan2"}</definedName>
    <definedName name="XI" localSheetId="1">#REF!</definedName>
    <definedName name="XII" localSheetId="1">#REF!</definedName>
    <definedName name="XIII" localSheetId="1">#REF!</definedName>
    <definedName name="XITEM" localSheetId="1">#REF!</definedName>
    <definedName name="XIV" localSheetId="1">#REF!</definedName>
    <definedName name="XLOC" localSheetId="1">#REF!</definedName>
    <definedName name="xmght" localSheetId="1">{#N/A,#N/A,FALSE,"Plan1";#N/A,#N/A,FALSE,"Plan2"}</definedName>
    <definedName name="xnInforme_quantos_bebedouros____bebqt__if_bebqt__0__xlQt.bebedouros_invalida___ENTER_p_reinformar__xresp__branch_rqtderv" localSheetId="1">#REF!</definedName>
    <definedName name="XNUCOPIAS" localSheetId="1">#REF!</definedName>
    <definedName name="xo" localSheetId="1">{#N/A,#N/A,FALSE,"Global by BU";#N/A,#N/A,FALSE,"U.S. by BU";#N/A,#N/A,FALSE,"Canada by BU";#N/A,#N/A,FALSE,"Europe by BU";#N/A,#N/A,FALSE,"Asia by BU";#N/A,#N/A,FALSE,"Cala by BU"}</definedName>
    <definedName name="XREF_COLUMN_1" localSheetId="1">#REF!</definedName>
    <definedName name="XREF_COLUMN_2" localSheetId="1">#REF!</definedName>
    <definedName name="XRefCopy2" localSheetId="1">#REF!</definedName>
    <definedName name="XRefCopy3Row" localSheetId="1">#REF!</definedName>
    <definedName name="XRefPaste2" localSheetId="1">#REF!</definedName>
    <definedName name="XRefPaste4" localSheetId="1">#REF!</definedName>
    <definedName name="XRESP" localSheetId="1">#REF!</definedName>
    <definedName name="XTITRES" localSheetId="1">#REF!</definedName>
    <definedName name="XV" localSheetId="1">#REF!</definedName>
    <definedName name="XX" localSheetId="1">#REF!</definedName>
    <definedName name="XXI" localSheetId="1">#REF!</definedName>
    <definedName name="XXII" localSheetId="1">#REF!</definedName>
    <definedName name="XXIII" localSheetId="1">#REF!</definedName>
    <definedName name="XXIV" localSheetId="1">#REF!</definedName>
    <definedName name="XXV" localSheetId="1">#REF!</definedName>
    <definedName name="XXX" localSheetId="1">#REF!</definedName>
    <definedName name="XXXI" localSheetId="1">#REF!</definedName>
    <definedName name="XXXII" localSheetId="1">#REF!</definedName>
    <definedName name="XXXIII" localSheetId="1">#REF!</definedName>
    <definedName name="XXXIV" localSheetId="1">#REF!</definedName>
    <definedName name="XXXIX" localSheetId="1">#REF!</definedName>
    <definedName name="XXXV" localSheetId="1">#REF!</definedName>
    <definedName name="XXXVI" localSheetId="1">#REF!</definedName>
    <definedName name="XXXVII" localSheetId="1">#REF!</definedName>
    <definedName name="XXXVIII" localSheetId="1">#REF!</definedName>
    <definedName name="xxxx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">#REF!</definedName>
    <definedName name="xxxxxxxxxxxxxx" localSheetId="1">{#N/A,#N/A,FALSE,"Plan1";#N/A,#N/A,FALSE,"Plan2"}</definedName>
    <definedName name="xzfrt" localSheetId="1">{#N/A,#N/A,FALSE,"Plan1";#N/A,#N/A,FALSE,"Plan2"}</definedName>
    <definedName name="yeitrtged" localSheetId="1">{#N/A,#N/A,FALSE,"Plan1";#N/A,#N/A,FALSE,"Plan2"}</definedName>
    <definedName name="yhdfiuygrui" localSheetId="1">{#N/A,#N/A,FALSE,"Plan1";#N/A,#N/A,FALSE,"Plan2"}</definedName>
    <definedName name="YRGUYDRIY" localSheetId="1">{"Econ Consolidado",#N/A,FALSE,"Econ Consol";"Fluxo de Caixa",#N/A,FALSE,"Fluxo Caixa";"Investimentos",#N/A,FALSE,"Investimentos"}</definedName>
    <definedName name="ytdju" localSheetId="1">#REF!</definedName>
    <definedName name="yuegursdmksf" localSheetId="1">{#N/A,#N/A,FALSE,"Plan1";#N/A,#N/A,FALSE,"Plan2"}</definedName>
    <definedName name="yuekl4fr" localSheetId="1">{#N/A,#N/A,FALSE,"Plan1";#N/A,#N/A,FALSE,"Plan2"}</definedName>
    <definedName name="yureytuyrea" localSheetId="1">{#N/A,#N/A,FALSE,"Plan1";#N/A,#N/A,FALSE,"Plan2"}</definedName>
    <definedName name="z" localSheetId="1">{"'Estimativa de Lançamento-JAN'!$A$1:$AI$85"}</definedName>
    <definedName name="Z_15697660_066E_11D5_AF15_00010242ED40_.wvu.PrintArea" localSheetId="1">#REF!</definedName>
    <definedName name="Z_60DF8B29_1C1F_4B50_BDA8_B8E0C7DD04C3_.wvu.Cols" localSheetId="1">#REF!,#REF!</definedName>
    <definedName name="Z_E3FFE9E0_6C4F_4FB4_A56E_FBE96871B5C8_.wvu.Cols" localSheetId="1">#REF!,#REF!</definedName>
    <definedName name="zcdçskld" localSheetId="1">{#N/A,#N/A,FALSE,"Plan1";#N/A,#N/A,FALSE,"Plan2"}</definedName>
    <definedName name="zcsdrfrt" localSheetId="1">{#N/A,#N/A,FALSE,"Plan1";#N/A,#N/A,FALSE,"Plan2"}</definedName>
    <definedName name="ZDRE" localSheetId="1">{#N/A,#N/A,FALSE,"Plan1";#N/A,#N/A,FALSE,"Plan2"}</definedName>
    <definedName name="ZEZE" localSheetId="1">#REF!</definedName>
    <definedName name="ZIN" localSheetId="1">#REF!</definedName>
    <definedName name="ZINS" localSheetId="1">#REF!</definedName>
    <definedName name="ZSADF" localSheetId="1">{#N/A,#N/A,FALSE,"Plan1";#N/A,#N/A,FALSE,"Plan2"}</definedName>
    <definedName name="zsads" localSheetId="1">{#N/A,#N/A,FALSE,"Plan1";#N/A,#N/A,FALSE,"Plan2"}</definedName>
    <definedName name="ZSDFSETR" localSheetId="1">#REF!</definedName>
    <definedName name="zsd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">{#N/A,#N/A,FALSE,"Plan1";#N/A,#N/A,FALSE,"Plan2"}</definedName>
    <definedName name="zxcdsf" localSheetId="1">#REF!</definedName>
    <definedName name="zxcfdstrrt" localSheetId="1">{#N/A,#N/A,FALSE,"Plan1";#N/A,#N/A,FALSE,"Plan2"}</definedName>
    <definedName name="zxcx" localSheetId="1">{#N/A,#N/A,FALSE,"Plan1";#N/A,#N/A,FALSE,"Plan2"}</definedName>
    <definedName name="ZXFC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">{#N/A,#N/A,FALSE,"Plan1";#N/A,#N/A,FALSE,"Plan2"}</definedName>
    <definedName name="ZZ" localSheetId="1">#REF!</definedName>
    <definedName name="zzdftr" localSheetId="1">{#N/A,#N/A,FALSE,"Plan1";#N/A,#N/A,FALSE,"Plan2"}</definedName>
    <definedName name="zzz" localSheetId="1">#REF!</definedName>
    <definedName name="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">{"'장비'!$A$3:$M$12"}</definedName>
    <definedName name="검증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계약고햔황2" localSheetId="1">#REF!</definedName>
    <definedName name="고문" localSheetId="1">{#N/A,#N/A,FALSE,"현장 NCR 분석";#N/A,#N/A,FALSE,"현장품질감사";#N/A,#N/A,FALSE,"현장품질감사"}</definedName>
    <definedName name="고문2" localSheetId="1">{#N/A,#N/A,FALSE,"현장 NCR 분석";#N/A,#N/A,FALSE,"현장품질감사";#N/A,#N/A,FALSE,"현장품질감사"}</definedName>
    <definedName name="공공공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">{#N/A,#N/A,FALSE,"ENG'G(보호계전기)"}</definedName>
    <definedName name="공급표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1">{#N/A,#N/A,FALSE,"CCTV"}</definedName>
    <definedName name="ㄷㄳ" localSheetId="1">{"'장비'!$A$3:$M$12"}</definedName>
    <definedName name="ㄷㄷㄷㄷ" localSheetId="1">{"'장비'!$A$3:$M$12"}</definedName>
    <definedName name="ㄷㅈㅂㄷ" localSheetId="1">{"'장비'!$A$3:$M$12"}</definedName>
    <definedName name="ㄹㄹ" localSheetId="1">{"'장비'!$A$3:$M$12"}</definedName>
    <definedName name="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">{#N/A,#N/A,FALSE,"현장 NCR 분석";#N/A,#N/A,FALSE,"현장품질감사";#N/A,#N/A,FALSE,"현장품질감사"}</definedName>
    <definedName name="ㅁ" localSheetId="1">{#N/A,#N/A,FALSE,"명세표"}</definedName>
    <definedName name="ㅁ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">{#N/A,#N/A,FALSE,"명세표"}</definedName>
    <definedName name="ㅁㅁㅁ" localSheetId="1">#REF!</definedName>
    <definedName name="ㅁㅁㅁㅁㅁㅁㅁㅁㅁㅁ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">{#N/A,#N/A,FALSE,"명세표"}</definedName>
    <definedName name="ㅂㅂㅂㅂ" localSheetId="1">{#N/A,#N/A,FALSE,"명세표"}</definedName>
    <definedName name="ㅂㅂㅂㅂㅂㅂㅂ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">{"'장비'!$A$3:$M$12"}</definedName>
    <definedName name="ㅂㅈㄷ" localSheetId="1">{"'장비'!$A$3:$M$12"}</definedName>
    <definedName name="ㅂㅈㄷㄷㅂㅈㅈㅂ" localSheetId="1">{"'장비'!$A$3:$M$12"}</definedName>
    <definedName name="ㅂㅈㄷㅂㅈ" localSheetId="1">{"'장비'!$A$3:$M$12"}</definedName>
    <definedName name="ㅂㅈㄷㅂㅈㅈㅂㄷ" localSheetId="1">{"'장비'!$A$3:$M$12"}</definedName>
    <definedName name="ㅂㅈㄷㅈㅂㄷ" localSheetId="1">{"'장비'!$A$3:$M$12"}</definedName>
    <definedName name="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">#REF!</definedName>
    <definedName name="보호" localSheetId="1">{#N/A,#N/A,FALSE,"ENG'G(보호계전기)"}</definedName>
    <definedName name="본공사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">#REF!</definedName>
    <definedName name="부손익" localSheetId="1">{#N/A,#N/A,FALSE,"현장 NCR 분석";#N/A,#N/A,FALSE,"현장품질감사";#N/A,#N/A,FALSE,"현장품질감사"}</definedName>
    <definedName name="분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">{"'장비'!$A$3:$M$12"}</definedName>
    <definedName name="ㅅㅅㅅㅅㅅ" localSheetId="1">{"'장비'!$A$3:$M$12"}</definedName>
    <definedName name="사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">#REF!</definedName>
    <definedName name="사업관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">#REF!</definedName>
    <definedName name="새안" localSheetId="1">{#N/A,#N/A,FALSE,"TABLE"}</definedName>
    <definedName name="석항" localSheetId="1">{#N/A,#N/A,FALSE,"명세표"}</definedName>
    <definedName name="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">#REF!</definedName>
    <definedName name="쇼ㅗㅎ로" localSheetId="1">{"'장비'!$A$3:$M$12"}</definedName>
    <definedName name="신설" localSheetId="1">{#N/A,#N/A,FALSE,"명세표"}</definedName>
    <definedName name="실적총괄1" localSheetId="1">#REF!</definedName>
    <definedName name="ㅇ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">#REF!</definedName>
    <definedName name="이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">{#N/A,#N/A,FALSE,"명세표"}</definedName>
    <definedName name="ㅈㅈㅈㅈ" localSheetId="1">{#N/A,#N/A,FALSE,"명세표"}</definedName>
    <definedName name="자미" localSheetId="1">{#N/A,#N/A,FALSE,"명세표"}</definedName>
    <definedName name="자운" localSheetId="1">#REF!</definedName>
    <definedName name="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">#REF!</definedName>
    <definedName name="전기사양_SAMPL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">#REF!</definedName>
    <definedName name="조직표현장" localSheetId="1">#REF!</definedName>
    <definedName name="종합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">{#N/A,#N/A,FALSE,"ENG'G(보호계전기)"}</definedName>
    <definedName name="집계" localSheetId="1">{#N/A,#N/A,FALSE,"명세표"}</definedName>
    <definedName name="철골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">{#N/A,#N/A,FALSE,"명세표"}</definedName>
    <definedName name="ㅋㅋㅋ" localSheetId="1">{#N/A,#N/A,FALSE,"명세표"}</definedName>
    <definedName name="ㅌㅌ" localSheetId="1">{#N/A,#N/A,FALSE,"명세표"}</definedName>
    <definedName name="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">{"'장비'!$A$3:$M$12"}</definedName>
    <definedName name="하하하" localSheetId="1">{#N/A,#N/A,FALSE,"명세표"}</definedName>
    <definedName name="한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">{#N/A,#N/A,FALSE,"명세표"}</definedName>
    <definedName name="ㅏㅏㅏ" localSheetId="1">{#N/A,#N/A,FALSE,"명세표"}</definedName>
    <definedName name="ㅔㅔ" localSheetId="1">{#N/A,#N/A,FALSE,"명세표"}</definedName>
    <definedName name="ㅔㅔㅔㅔ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">{"'장비'!$A$3:$M$12"}</definedName>
    <definedName name="ㅗㅗ" localSheetId="1">{#N/A,#N/A,FALSE,"명세표"}</definedName>
    <definedName name="ㅗㅗㅗㅗㅗ" localSheetId="1">{"'장비'!$A$3:$M$12"}</definedName>
    <definedName name="ㅛ" localSheetId="1">{"'장비'!$A$3:$M$12"}</definedName>
    <definedName name="ㅛㅕㅛㅕㅛ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">{"'장비'!$A$3:$M$12"}</definedName>
    <definedName name="ㅜ" localSheetId="1">{#N/A,#N/A,FALSE,"명세표"}</definedName>
    <definedName name="ㅠ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">{#N/A,#N/A,FALSE,"명세표"}</definedName>
    <definedName name="_xlnm._FilterDatabase" localSheetId="1" hidden="1">'Ger_Executivo'!$F$7:$N$1074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/mm/yy;@"/>
    <numFmt numFmtId="165" formatCode="0#"/>
    <numFmt numFmtId="166" formatCode="00#"/>
    <numFmt numFmtId="167" formatCode="_-&quot;R$&quot;\ * #,##0.00_-;\-&quot;R$&quot;\ * #,##0.00_-;_-&quot;R$&quot;\ * &quot;-&quot;??_-;_-@_-"/>
    <numFmt numFmtId="168" formatCode="_-* #,##0.00_-;\-* #,##0.00_-;_-* &quot;-&quot;??_-;_-@_-"/>
    <numFmt numFmtId="169" formatCode="dd/mm/yy"/>
    <numFmt numFmtId="170" formatCode="#,##0.000000"/>
    <numFmt numFmtId="171" formatCode="_-* #,##0.00_-;\-* #,##0.00_-;_-* &quot;-&quot;??_-;_-@"/>
  </numFmts>
  <fonts count="42">
    <font>
      <name val="Aptos Narrow"/>
      <color rgb="FF000000"/>
      <sz val="10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8"/>
    </font>
    <font>
      <name val="Aptos Narrow"/>
      <family val="2"/>
      <sz val="9.5"/>
      <scheme val="minor"/>
    </font>
    <font>
      <name val="Aptos Narrow"/>
      <family val="2"/>
      <b val="1"/>
      <sz val="9"/>
      <scheme val="minor"/>
    </font>
    <font>
      <name val="Aptos Narrow"/>
      <family val="2"/>
      <sz val="9"/>
      <scheme val="minor"/>
    </font>
    <font>
      <name val="Aptos Narrow"/>
      <family val="2"/>
      <b val="1"/>
      <sz val="9.5"/>
      <scheme val="minor"/>
    </font>
    <font>
      <name val="Aptos Narrow"/>
      <family val="2"/>
      <color theme="0" tint="-0.499984740745262"/>
      <sz val="8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sz val="8"/>
      <scheme val="minor"/>
    </font>
    <font>
      <name val="Arial"/>
      <family val="2"/>
      <color theme="0" tint="-0.499984740745262"/>
      <sz val="8"/>
    </font>
    <font>
      <name val="Aptos Narrow"/>
      <family val="2"/>
      <sz val="10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ptos Narrow"/>
      <family val="2"/>
      <color rgb="FFFF0000"/>
      <sz val="8"/>
      <scheme val="minor"/>
    </font>
    <font>
      <name val="Aptos Narrow"/>
      <family val="2"/>
      <b val="1"/>
      <sz val="8"/>
      <scheme val="minor"/>
    </font>
    <font>
      <name val="Arial"/>
      <family val="2"/>
      <b val="1"/>
      <sz val="8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color rgb="FFBFBFBF"/>
      <sz val="10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BFBFBF"/>
      <sz val="10"/>
    </font>
    <font>
      <name val="Calibri"/>
      <family val="2"/>
      <color rgb="FF7F7F7F"/>
      <sz val="8"/>
    </font>
    <font>
      <name val="Calibri"/>
      <family val="2"/>
      <b val="1"/>
      <color theme="0"/>
      <sz val="10"/>
    </font>
    <font>
      <name val="Calibri"/>
      <family val="2"/>
      <color theme="1"/>
      <sz val="10"/>
    </font>
    <font>
      <name val="Arial"/>
      <family val="2"/>
      <color rgb="FF7F7F7F"/>
      <sz val="8"/>
    </font>
    <font>
      <name val="Calibri"/>
      <family val="2"/>
      <b val="1"/>
      <color theme="0"/>
      <sz val="8"/>
    </font>
    <font>
      <name val="Calibri"/>
      <family val="2"/>
      <b val="1"/>
      <color theme="0"/>
      <sz val="9"/>
    </font>
    <font>
      <name val="Arial"/>
      <family val="2"/>
      <sz val="2"/>
    </font>
    <font>
      <name val="Aptos Narrow"/>
      <family val="2"/>
      <color rgb="FF000000"/>
      <sz val="10"/>
      <scheme val="minor"/>
    </font>
    <font>
      <name val="Calibri"/>
      <family val="2"/>
      <color theme="1"/>
      <sz val="8"/>
    </font>
    <font>
      <name val="Aptos Narrow"/>
      <family val="2"/>
      <color theme="1"/>
      <sz val="8"/>
      <scheme val="minor"/>
    </font>
    <font>
      <name val="Calibri"/>
      <family val="2"/>
      <sz val="8"/>
    </font>
    <font>
      <name val="Aptos Narrow"/>
      <family val="2"/>
      <color rgb="FF000000"/>
      <sz val="8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b val="1"/>
    </font>
    <font>
      <sz val="9"/>
    </font>
  </fonts>
  <fills count="11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4" fillId="0" borderId="0"/>
    <xf numFmtId="43" fontId="2" fillId="0" borderId="0"/>
    <xf numFmtId="0" fontId="2" fillId="0" borderId="0"/>
    <xf numFmtId="43" fontId="2" fillId="0" borderId="0"/>
    <xf numFmtId="0" fontId="16" fillId="0" borderId="0"/>
    <xf numFmtId="44" fontId="2" fillId="0" borderId="0"/>
    <xf numFmtId="0" fontId="2" fillId="0" borderId="0"/>
    <xf numFmtId="43" fontId="1" fillId="0" borderId="0"/>
    <xf numFmtId="0" fontId="33" fillId="0" borderId="0"/>
  </cellStyleXfs>
  <cellXfs count="229">
    <xf numFmtId="0" fontId="0" fillId="0" borderId="0" pivotButton="0" quotePrefix="0" xfId="0"/>
    <xf numFmtId="0" fontId="2" fillId="0" borderId="0" pivotButton="0" quotePrefix="0" xfId="1"/>
    <xf numFmtId="49" fontId="2" fillId="0" borderId="1" pivotButton="0" quotePrefix="0" xfId="1"/>
    <xf numFmtId="0" fontId="2" fillId="0" borderId="1" applyAlignment="1" pivotButton="0" quotePrefix="0" xfId="1">
      <alignment horizontal="left"/>
    </xf>
    <xf numFmtId="0" fontId="2" fillId="0" borderId="1" applyAlignment="1" pivotButton="0" quotePrefix="0" xfId="1">
      <alignment horizontal="center" vertical="center"/>
    </xf>
    <xf numFmtId="0" fontId="2" fillId="0" borderId="1" pivotButton="0" quotePrefix="0" xfId="1"/>
    <xf numFmtId="0" fontId="2" fillId="0" borderId="1" applyAlignment="1" pivotButton="0" quotePrefix="0" xfId="1">
      <alignment horizontal="right"/>
    </xf>
    <xf numFmtId="0" fontId="2" fillId="0" borderId="0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left" vertical="center"/>
    </xf>
    <xf numFmtId="0" fontId="3" fillId="0" borderId="3" applyAlignment="1" pivotButton="0" quotePrefix="0" xfId="1">
      <alignment vertical="center"/>
    </xf>
    <xf numFmtId="0" fontId="3" fillId="0" borderId="3" applyAlignment="1" pivotButton="0" quotePrefix="0" xfId="1">
      <alignment horizontal="right" vertical="center"/>
    </xf>
    <xf numFmtId="0" fontId="2" fillId="0" borderId="4" applyAlignment="1" pivotButton="0" quotePrefix="0" xfId="1">
      <alignment vertical="center"/>
    </xf>
    <xf numFmtId="0" fontId="2" fillId="0" borderId="5" applyAlignment="1" pivotButton="0" quotePrefix="0" xfId="1">
      <alignment vertical="center"/>
    </xf>
    <xf numFmtId="0" fontId="2" fillId="0" borderId="5" applyAlignment="1" pivotButton="0" quotePrefix="0" xfId="1">
      <alignment horizontal="left" vertical="center"/>
    </xf>
    <xf numFmtId="0" fontId="3" fillId="0" borderId="5" applyAlignment="1" pivotButton="0" quotePrefix="0" xfId="1">
      <alignment vertical="center"/>
    </xf>
    <xf numFmtId="0" fontId="3" fillId="0" borderId="5" applyAlignment="1" pivotButton="0" quotePrefix="0" xfId="1">
      <alignment horizontal="right" vertical="center"/>
    </xf>
    <xf numFmtId="0" fontId="5" fillId="0" borderId="0" pivotButton="0" quotePrefix="0" xfId="2"/>
    <xf numFmtId="0" fontId="6" fillId="0" borderId="6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0" fontId="5" fillId="0" borderId="0" applyAlignment="1" pivotButton="0" quotePrefix="0" xfId="2">
      <alignment vertical="center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0" fontId="9" fillId="0" borderId="0" pivotButton="0" quotePrefix="0" xfId="1"/>
    <xf numFmtId="0" fontId="11" fillId="0" borderId="0" applyAlignment="1" pivotButton="0" quotePrefix="0" xfId="1">
      <alignment vertical="center"/>
    </xf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13" fillId="0" borderId="0" applyAlignment="1" pivotButton="0" quotePrefix="0" xfId="1">
      <alignment vertical="center"/>
    </xf>
    <xf numFmtId="49" fontId="14" fillId="3" borderId="8" applyAlignment="1" pivotButton="0" quotePrefix="0" xfId="1">
      <alignment horizontal="center" vertical="center" wrapText="1"/>
    </xf>
    <xf numFmtId="49" fontId="14" fillId="3" borderId="8" applyAlignment="1" pivotButton="0" quotePrefix="0" xfId="1">
      <alignment horizontal="center" vertical="center"/>
    </xf>
    <xf numFmtId="49" fontId="15" fillId="3" borderId="8" applyAlignment="1" pivotButton="0" quotePrefix="0" xfId="1">
      <alignment horizontal="center" vertical="center" wrapText="1"/>
    </xf>
    <xf numFmtId="2" fontId="15" fillId="3" borderId="2" applyAlignment="1" pivotButton="0" quotePrefix="0" xfId="1">
      <alignment horizontal="center" vertical="center" wrapText="1"/>
    </xf>
    <xf numFmtId="0" fontId="15" fillId="3" borderId="7" applyAlignment="1" pivotButton="0" quotePrefix="0" xfId="1">
      <alignment horizontal="center" vertical="center" wrapText="1"/>
    </xf>
    <xf numFmtId="0" fontId="15" fillId="3" borderId="9" applyAlignment="1" pivotButton="0" quotePrefix="0" xfId="5">
      <alignment horizontal="center" vertical="center" wrapText="1"/>
    </xf>
    <xf numFmtId="49" fontId="11" fillId="0" borderId="10" applyAlignment="1" pivotButton="0" quotePrefix="0" xfId="1">
      <alignment horizontal="left" vertical="center" wrapText="1"/>
    </xf>
    <xf numFmtId="49" fontId="11" fillId="0" borderId="11" applyAlignment="1" pivotButton="0" quotePrefix="0" xfId="1">
      <alignment horizontal="left" vertical="center"/>
    </xf>
    <xf numFmtId="49" fontId="11" fillId="0" borderId="11" applyAlignment="1" pivotButton="0" quotePrefix="1" xfId="1">
      <alignment horizontal="left" vertical="center" wrapText="1"/>
    </xf>
    <xf numFmtId="0" fontId="11" fillId="0" borderId="11" applyAlignment="1" pivotButton="0" quotePrefix="0" xfId="1">
      <alignment horizontal="left" vertical="center"/>
    </xf>
    <xf numFmtId="0" fontId="11" fillId="0" borderId="11" applyAlignment="1" pivotButton="0" quotePrefix="0" xfId="1">
      <alignment horizontal="center" vertical="center" wrapText="1"/>
    </xf>
    <xf numFmtId="4" fontId="11" fillId="0" borderId="11" applyAlignment="1" pivotButton="0" quotePrefix="0" xfId="5">
      <alignment horizontal="center" vertical="center" wrapText="1"/>
    </xf>
    <xf numFmtId="4" fontId="11" fillId="0" borderId="11" applyAlignment="1" pivotButton="0" quotePrefix="0" xfId="5">
      <alignment horizontal="right" vertical="center" wrapText="1"/>
    </xf>
    <xf numFmtId="0" fontId="11" fillId="0" borderId="11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11" applyAlignment="1" pivotButton="0" quotePrefix="1" xfId="1">
      <alignment horizontal="left" vertical="center" wrapText="1"/>
    </xf>
    <xf numFmtId="4" fontId="11" fillId="4" borderId="11" applyAlignment="1" pivotButton="0" quotePrefix="0" xfId="5">
      <alignment horizontal="center" vertical="center" wrapText="1"/>
    </xf>
    <xf numFmtId="4" fontId="17" fillId="0" borderId="11" applyAlignment="1" pivotButton="0" quotePrefix="0" xfId="5">
      <alignment horizontal="center" vertical="center" wrapText="1"/>
    </xf>
    <xf numFmtId="0" fontId="18" fillId="0" borderId="0" applyAlignment="1" pivotButton="0" quotePrefix="0" xfId="1">
      <alignment vertical="center"/>
    </xf>
    <xf numFmtId="49" fontId="14" fillId="5" borderId="0" applyAlignment="1" pivotButton="0" quotePrefix="0" xfId="1">
      <alignment vertical="center"/>
    </xf>
    <xf numFmtId="0" fontId="14" fillId="5" borderId="0" applyAlignment="1" pivotButton="0" quotePrefix="0" xfId="1">
      <alignment horizontal="left" vertical="center"/>
    </xf>
    <xf numFmtId="0" fontId="14" fillId="5" borderId="0" applyAlignment="1" pivotButton="0" quotePrefix="0" xfId="1">
      <alignment horizontal="center" vertical="center"/>
    </xf>
    <xf numFmtId="0" fontId="14" fillId="5" borderId="0" applyAlignment="1" pivotButton="0" quotePrefix="0" xfId="5">
      <alignment vertical="center"/>
    </xf>
    <xf numFmtId="167" fontId="14" fillId="5" borderId="0" applyAlignment="1" pivotButton="0" quotePrefix="0" xfId="7">
      <alignment vertical="center"/>
    </xf>
    <xf numFmtId="49" fontId="18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9" fillId="0" borderId="0" applyAlignment="1" pivotButton="0" quotePrefix="0" xfId="5">
      <alignment vertical="center"/>
    </xf>
    <xf numFmtId="43" fontId="19" fillId="0" borderId="0" applyAlignment="1" pivotButton="0" quotePrefix="0" xfId="5">
      <alignment vertical="center"/>
    </xf>
    <xf numFmtId="0" fontId="19" fillId="0" borderId="0" applyAlignment="1" pivotButton="0" quotePrefix="0" xfId="5">
      <alignment horizontal="left" vertical="center"/>
    </xf>
    <xf numFmtId="168" fontId="4" fillId="0" borderId="0" applyAlignment="1" pivotButton="0" quotePrefix="0" xfId="1">
      <alignment horizontal="left" vertical="center"/>
    </xf>
    <xf numFmtId="167" fontId="19" fillId="0" borderId="0" applyAlignment="1" pivotButton="0" quotePrefix="0" xfId="5">
      <alignment vertical="center"/>
    </xf>
    <xf numFmtId="0" fontId="19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0" fontId="20" fillId="0" borderId="0" pivotButton="0" quotePrefix="0" xfId="0"/>
    <xf numFmtId="49" fontId="20" fillId="0" borderId="12" pivotButton="0" quotePrefix="0" xfId="0"/>
    <xf numFmtId="0" fontId="20" fillId="0" borderId="12" pivotButton="0" quotePrefix="0" xfId="0"/>
    <xf numFmtId="0" fontId="20" fillId="0" borderId="12" applyAlignment="1" pivotButton="0" quotePrefix="0" xfId="0">
      <alignment horizontal="center" vertical="center"/>
    </xf>
    <xf numFmtId="0" fontId="20" fillId="0" borderId="12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20" fillId="0" borderId="14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0" fontId="21" fillId="0" borderId="14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0" fillId="0" borderId="15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21" fillId="0" borderId="16" applyAlignment="1" pivotButton="0" quotePrefix="0" xfId="0">
      <alignment vertical="center"/>
    </xf>
    <xf numFmtId="0" fontId="21" fillId="0" borderId="16" applyAlignment="1" pivotButton="0" quotePrefix="0" xfId="0">
      <alignment horizontal="right" vertical="center"/>
    </xf>
    <xf numFmtId="0" fontId="23" fillId="0" borderId="0" pivotButton="0" quotePrefix="0" xfId="0"/>
    <xf numFmtId="0" fontId="24" fillId="0" borderId="1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4" fontId="23" fillId="0" borderId="0" pivotButton="0" quotePrefix="0" xfId="0"/>
    <xf numFmtId="168" fontId="23" fillId="0" borderId="0" pivotButton="0" quotePrefix="0" xfId="0"/>
    <xf numFmtId="0" fontId="2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vertical="center"/>
    </xf>
    <xf numFmtId="169" fontId="24" fillId="0" borderId="17" applyAlignment="1" pivotButton="0" quotePrefix="1" xfId="0">
      <alignment horizontal="left" vertical="center"/>
    </xf>
    <xf numFmtId="169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6" fillId="0" borderId="0" pivotButton="0" quotePrefix="0" xfId="0"/>
    <xf numFmtId="49" fontId="27" fillId="6" borderId="18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49" fontId="30" fillId="7" borderId="21" applyAlignment="1" pivotButton="0" quotePrefix="0" xfId="0">
      <alignment horizontal="center" vertical="center"/>
    </xf>
    <xf numFmtId="49" fontId="31" fillId="7" borderId="21" applyAlignment="1" pivotButton="0" quotePrefix="0" xfId="0">
      <alignment horizontal="center" vertical="center" wrapText="1"/>
    </xf>
    <xf numFmtId="2" fontId="31" fillId="7" borderId="13" applyAlignment="1" pivotButton="0" quotePrefix="0" xfId="0">
      <alignment horizontal="center" vertical="center" wrapText="1"/>
    </xf>
    <xf numFmtId="0" fontId="31" fillId="7" borderId="22" applyAlignment="1" pivotButton="0" quotePrefix="0" xfId="0">
      <alignment horizontal="center" vertical="center" wrapText="1"/>
    </xf>
    <xf numFmtId="0" fontId="31" fillId="7" borderId="20" applyAlignment="1" pivotButton="0" quotePrefix="0" xfId="0">
      <alignment horizontal="center" vertical="center" wrapText="1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0" fontId="32" fillId="0" borderId="0" applyAlignment="1" pivotButton="0" quotePrefix="0" xfId="1">
      <alignment horizontal="center" vertical="center"/>
    </xf>
    <xf numFmtId="168" fontId="11" fillId="0" borderId="0" applyAlignment="1" pivotButton="0" quotePrefix="0" xfId="9">
      <alignment horizontal="center" vertical="center"/>
    </xf>
    <xf numFmtId="49" fontId="34" fillId="0" borderId="23" applyAlignment="1" pivotButton="0" quotePrefix="0" xfId="10">
      <alignment horizontal="left" vertical="center"/>
    </xf>
    <xf numFmtId="0" fontId="2" fillId="0" borderId="0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4" fontId="11" fillId="0" borderId="11" applyAlignment="1" pivotButton="0" quotePrefix="0" xfId="5">
      <alignment horizontal="center" vertical="center"/>
    </xf>
    <xf numFmtId="165" fontId="12" fillId="8" borderId="0" applyAlignment="1" pivotButton="0" quotePrefix="0" xfId="8">
      <alignment horizontal="left" vertical="center"/>
    </xf>
    <xf numFmtId="166" fontId="12" fillId="8" borderId="0" applyAlignment="1" pivotButton="0" quotePrefix="0" xfId="8">
      <alignment horizontal="left" vertical="center"/>
    </xf>
    <xf numFmtId="170" fontId="17" fillId="0" borderId="11" applyAlignment="1" pivotButton="0" quotePrefix="0" xfId="5">
      <alignment horizontal="center" vertical="center" wrapText="1"/>
    </xf>
    <xf numFmtId="0" fontId="35" fillId="0" borderId="11" applyAlignment="1" pivotButton="0" quotePrefix="0" xfId="1">
      <alignment vertical="center"/>
    </xf>
    <xf numFmtId="0" fontId="17" fillId="0" borderId="11" applyAlignment="1" pivotButton="0" quotePrefix="0" xfId="1">
      <alignment vertical="center"/>
    </xf>
    <xf numFmtId="4" fontId="11" fillId="0" borderId="0" applyAlignment="1" pivotButton="0" quotePrefix="0" xfId="1">
      <alignment horizontal="center" vertical="center"/>
    </xf>
    <xf numFmtId="0" fontId="11" fillId="0" borderId="10" applyAlignment="1" pivotButton="0" quotePrefix="0" xfId="1">
      <alignment horizontal="left" vertical="center"/>
    </xf>
    <xf numFmtId="0" fontId="11" fillId="8" borderId="11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49" fontId="11" fillId="0" borderId="10" applyAlignment="1" pivotButton="0" quotePrefix="0" xfId="1">
      <alignment horizontal="left" vertical="center"/>
    </xf>
    <xf numFmtId="4" fontId="2" fillId="0" borderId="0" applyAlignment="1" pivotButton="0" quotePrefix="0" xfId="1">
      <alignment horizontal="left" vertical="center"/>
    </xf>
    <xf numFmtId="49" fontId="34" fillId="0" borderId="23" applyAlignment="1" pivotButton="0" quotePrefix="0" xfId="0">
      <alignment horizontal="left" vertical="center"/>
    </xf>
    <xf numFmtId="49" fontId="34" fillId="0" borderId="24" applyAlignment="1" pivotButton="0" quotePrefix="0" xfId="0">
      <alignment horizontal="left" vertical="center"/>
    </xf>
    <xf numFmtId="49" fontId="34" fillId="0" borderId="24" applyAlignment="1" pivotButton="0" quotePrefix="0" xfId="0">
      <alignment horizontal="left" vertical="center" wrapText="1"/>
    </xf>
    <xf numFmtId="0" fontId="34" fillId="0" borderId="24" applyAlignment="1" pivotButton="0" quotePrefix="0" xfId="0">
      <alignment vertical="center"/>
    </xf>
    <xf numFmtId="0" fontId="34" fillId="0" borderId="24" applyAlignment="1" pivotButton="0" quotePrefix="0" xfId="0">
      <alignment horizontal="center" vertical="center" wrapText="1"/>
    </xf>
    <xf numFmtId="4" fontId="34" fillId="0" borderId="24" applyAlignment="1" pivotButton="0" quotePrefix="0" xfId="0">
      <alignment horizontal="center" vertical="center" wrapText="1"/>
    </xf>
    <xf numFmtId="4" fontId="34" fillId="0" borderId="24" applyAlignment="1" pivotButton="0" quotePrefix="0" xfId="0">
      <alignment horizontal="right" vertical="center" wrapText="1"/>
    </xf>
    <xf numFmtId="0" fontId="34" fillId="0" borderId="0" applyAlignment="1" pivotButton="0" quotePrefix="0" xfId="0">
      <alignment horizontal="center" vertical="center"/>
    </xf>
    <xf numFmtId="0" fontId="11" fillId="0" borderId="0" applyAlignment="1" pivotButton="0" quotePrefix="0" xfId="1">
      <alignment horizontal="left" vertical="center"/>
    </xf>
    <xf numFmtId="0" fontId="11" fillId="0" borderId="11" applyAlignment="1" pivotButton="0" quotePrefix="0" xfId="1">
      <alignment vertical="center" wrapText="1"/>
    </xf>
    <xf numFmtId="49" fontId="34" fillId="0" borderId="24" applyAlignment="1" pivotButton="0" quotePrefix="0" xfId="10">
      <alignment horizontal="left" vertical="center"/>
    </xf>
    <xf numFmtId="49" fontId="34" fillId="0" borderId="24" applyAlignment="1" pivotButton="0" quotePrefix="0" xfId="10">
      <alignment horizontal="left" vertical="center" wrapText="1"/>
    </xf>
    <xf numFmtId="0" fontId="34" fillId="0" borderId="24" applyAlignment="1" pivotButton="0" quotePrefix="0" xfId="10">
      <alignment vertical="center"/>
    </xf>
    <xf numFmtId="0" fontId="34" fillId="0" borderId="24" applyAlignment="1" pivotButton="0" quotePrefix="0" xfId="10">
      <alignment horizontal="center" vertical="center" wrapText="1"/>
    </xf>
    <xf numFmtId="4" fontId="34" fillId="0" borderId="24" applyAlignment="1" pivotButton="0" quotePrefix="0" xfId="10">
      <alignment horizontal="center" vertical="center" wrapText="1"/>
    </xf>
    <xf numFmtId="4" fontId="34" fillId="0" borderId="24" applyAlignment="1" pivotButton="0" quotePrefix="0" xfId="10">
      <alignment horizontal="right" vertical="center" wrapText="1"/>
    </xf>
    <xf numFmtId="0" fontId="34" fillId="0" borderId="0" applyAlignment="1" pivotButton="0" quotePrefix="0" xfId="10">
      <alignment horizontal="center" vertical="center"/>
    </xf>
    <xf numFmtId="0" fontId="33" fillId="0" borderId="0" pivotButton="0" quotePrefix="0" xfId="10"/>
    <xf numFmtId="165" fontId="29" fillId="8" borderId="0" applyAlignment="1" pivotButton="0" quotePrefix="0" xfId="10">
      <alignment horizontal="left" vertical="center"/>
    </xf>
    <xf numFmtId="166" fontId="29" fillId="8" borderId="0" applyAlignment="1" pivotButton="0" quotePrefix="0" xfId="10">
      <alignment horizontal="left" vertical="center"/>
    </xf>
    <xf numFmtId="49" fontId="34" fillId="0" borderId="23" applyAlignment="1" pivotButton="0" quotePrefix="0" xfId="10">
      <alignment horizontal="left" vertical="center" wrapText="1"/>
    </xf>
    <xf numFmtId="0" fontId="34" fillId="0" borderId="0" applyAlignment="1" pivotButton="0" quotePrefix="0" xfId="10">
      <alignment vertical="center"/>
    </xf>
    <xf numFmtId="4" fontId="34" fillId="0" borderId="0" applyAlignment="1" pivotButton="0" quotePrefix="0" xfId="10">
      <alignment horizontal="center" vertical="center"/>
    </xf>
    <xf numFmtId="0" fontId="34" fillId="0" borderId="23" applyAlignment="1" pivotButton="0" quotePrefix="0" xfId="10">
      <alignment horizontal="left" vertical="center"/>
    </xf>
    <xf numFmtId="171" fontId="34" fillId="0" borderId="0" applyAlignment="1" pivotButton="0" quotePrefix="0" xfId="10">
      <alignment horizontal="center" vertical="center"/>
    </xf>
    <xf numFmtId="0" fontId="32" fillId="0" borderId="0" applyAlignment="1" pivotButton="0" quotePrefix="0" xfId="1">
      <alignment horizontal="left" vertical="center"/>
    </xf>
    <xf numFmtId="0" fontId="34" fillId="0" borderId="0" applyAlignment="1" pivotButton="0" quotePrefix="0" xfId="10">
      <alignment horizontal="left" vertical="center"/>
    </xf>
    <xf numFmtId="17" fontId="34" fillId="0" borderId="0" applyAlignment="1" pivotButton="0" quotePrefix="0" xfId="10">
      <alignment horizontal="center" vertical="center"/>
    </xf>
    <xf numFmtId="4" fontId="36" fillId="0" borderId="24" applyAlignment="1" pivotButton="0" quotePrefix="0" xfId="10">
      <alignment horizontal="center" vertical="center" wrapText="1"/>
    </xf>
    <xf numFmtId="0" fontId="34" fillId="9" borderId="24" applyAlignment="1" pivotButton="0" quotePrefix="0" xfId="10">
      <alignment vertical="center"/>
    </xf>
    <xf numFmtId="0" fontId="11" fillId="10" borderId="11" applyAlignment="1" pivotButton="0" quotePrefix="0" xfId="1">
      <alignment vertical="center"/>
    </xf>
    <xf numFmtId="2" fontId="11" fillId="0" borderId="0" applyAlignment="1" pivotButton="0" quotePrefix="0" xfId="1">
      <alignment horizontal="center" vertical="center"/>
    </xf>
    <xf numFmtId="4" fontId="11" fillId="0" borderId="11" applyAlignment="1" pivotButton="0" quotePrefix="0" xfId="1">
      <alignment horizontal="center" vertical="center" wrapText="1"/>
    </xf>
    <xf numFmtId="2" fontId="2" fillId="0" borderId="0" applyAlignment="1" pivotButton="0" quotePrefix="0" xfId="1">
      <alignment horizontal="left" vertical="center"/>
    </xf>
    <xf numFmtId="0" fontId="37" fillId="10" borderId="11" applyAlignment="1" pivotButton="0" quotePrefix="0" xfId="1">
      <alignment vertical="center"/>
    </xf>
    <xf numFmtId="4" fontId="11" fillId="10" borderId="11" applyAlignment="1" pivotButton="0" quotePrefix="0" xfId="5">
      <alignment horizontal="center" vertical="center" wrapText="1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0" fontId="13" fillId="0" borderId="0" applyAlignment="1" pivotButton="0" quotePrefix="0" xfId="1">
      <alignment horizontal="left" vertical="center"/>
    </xf>
    <xf numFmtId="49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8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right" vertical="center"/>
    </xf>
    <xf numFmtId="168" fontId="39" fillId="0" borderId="0" applyAlignment="1" pivotButton="0" quotePrefix="0" xfId="0">
      <alignment vertical="center"/>
    </xf>
    <xf numFmtId="0" fontId="33" fillId="0" borderId="0" pivotButton="0" quotePrefix="0" xfId="0"/>
    <xf numFmtId="0" fontId="2" fillId="0" borderId="0" applyAlignment="1" pivotButton="0" quotePrefix="0" xfId="1">
      <alignment horizontal="right"/>
    </xf>
    <xf numFmtId="0" fontId="3" fillId="0" borderId="0" applyAlignment="1" pivotButton="0" quotePrefix="0" xfId="1">
      <alignment horizontal="right" vertical="center"/>
    </xf>
    <xf numFmtId="49" fontId="10" fillId="2" borderId="7" applyAlignment="1" pivotButton="0" quotePrefix="0" xfId="1">
      <alignment vertical="center" wrapText="1"/>
    </xf>
    <xf numFmtId="49" fontId="10" fillId="2" borderId="25" applyAlignment="1" pivotButton="0" quotePrefix="0" xfId="1">
      <alignment horizontal="center" vertical="center" wrapText="1"/>
    </xf>
    <xf numFmtId="49" fontId="10" fillId="2" borderId="26" applyAlignment="1" pivotButton="0" quotePrefix="0" xfId="1">
      <alignment horizontal="center" vertical="center" wrapText="1"/>
    </xf>
    <xf numFmtId="49" fontId="10" fillId="2" borderId="9" applyAlignment="1" pivotButton="0" quotePrefix="0" xfId="1">
      <alignment horizontal="center" vertical="center" wrapText="1"/>
    </xf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center"/>
    </xf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3" fillId="0" borderId="0" pivotButton="0" quotePrefix="0" xfId="0"/>
    <xf numFmtId="0" fontId="23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28" fillId="0" borderId="0" applyAlignment="1" pivotButton="0" quotePrefix="0" xfId="10">
      <alignment vertical="center"/>
    </xf>
    <xf numFmtId="0" fontId="34" fillId="0" borderId="0" applyAlignment="1" pivotButton="0" quotePrefix="0" xfId="10">
      <alignment vertical="center"/>
    </xf>
    <xf numFmtId="49" fontId="27" fillId="6" borderId="19" applyAlignment="1" pivotButton="0" quotePrefix="0" xfId="0">
      <alignment horizontal="center" vertical="center" wrapText="1"/>
    </xf>
    <xf numFmtId="0" fontId="40" fillId="0" borderId="0" applyAlignment="1" pivotButton="0" quotePrefix="0" xfId="1">
      <alignment horizontal="center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49" fontId="10" fillId="2" borderId="7" applyAlignment="1" pivotButton="0" quotePrefix="0" xfId="1">
      <alignment horizontal="center" vertical="center" wrapText="1"/>
    </xf>
    <xf numFmtId="0" fontId="0" fillId="0" borderId="26" pivotButton="0" quotePrefix="0" xfId="0"/>
    <xf numFmtId="0" fontId="0" fillId="0" borderId="9" pivotButton="0" quotePrefix="0" xfId="0"/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41" fillId="0" borderId="11" applyAlignment="1" pivotButton="0" quotePrefix="0" xfId="1">
      <alignment horizontal="left" wrapText="1"/>
    </xf>
    <xf numFmtId="167" fontId="14" fillId="5" borderId="0" applyAlignment="1" pivotButton="0" quotePrefix="0" xfId="7">
      <alignment vertical="center"/>
    </xf>
    <xf numFmtId="43" fontId="19" fillId="0" borderId="0" applyAlignment="1" pivotButton="0" quotePrefix="0" xfId="5">
      <alignment vertical="center"/>
    </xf>
    <xf numFmtId="168" fontId="4" fillId="0" borderId="0" applyAlignment="1" pivotButton="0" quotePrefix="0" xfId="1">
      <alignment horizontal="left" vertical="center"/>
    </xf>
    <xf numFmtId="167" fontId="19" fillId="0" borderId="0" applyAlignment="1" pivotButton="0" quotePrefix="0" xfId="5">
      <alignment vertical="center"/>
    </xf>
    <xf numFmtId="0" fontId="40" fillId="0" borderId="0" applyAlignment="1" pivotButton="0" quotePrefix="0" xfId="0">
      <alignment horizontal="center"/>
    </xf>
    <xf numFmtId="168" fontId="23" fillId="0" borderId="0" pivotButton="0" quotePrefix="0" xfId="0"/>
    <xf numFmtId="169" fontId="24" fillId="0" borderId="17" applyAlignment="1" pivotButton="0" quotePrefix="1" xfId="0">
      <alignment horizontal="left" vertical="center"/>
    </xf>
    <xf numFmtId="169" fontId="24" fillId="0" borderId="0" applyAlignment="1" pivotButton="0" quotePrefix="0" xfId="0">
      <alignment horizontal="left" vertical="center"/>
    </xf>
    <xf numFmtId="0" fontId="0" fillId="0" borderId="19" pivotButton="0" quotePrefix="0" xfId="0"/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168" fontId="11" fillId="0" borderId="0" applyAlignment="1" pivotButton="0" quotePrefix="0" xfId="9">
      <alignment horizontal="center" vertical="center"/>
    </xf>
    <xf numFmtId="4" fontId="41" fillId="0" borderId="11" applyAlignment="1" pivotButton="0" quotePrefix="0" xfId="5">
      <alignment horizontal="left" wrapText="1"/>
    </xf>
    <xf numFmtId="165" fontId="12" fillId="8" borderId="0" applyAlignment="1" pivotButton="0" quotePrefix="0" xfId="8">
      <alignment horizontal="left" vertical="center"/>
    </xf>
    <xf numFmtId="166" fontId="12" fillId="8" borderId="0" applyAlignment="1" pivotButton="0" quotePrefix="0" xfId="8">
      <alignment horizontal="left" vertical="center"/>
    </xf>
    <xf numFmtId="170" fontId="17" fillId="0" borderId="11" applyAlignment="1" pivotButton="0" quotePrefix="0" xfId="5">
      <alignment horizontal="center" vertical="center" wrapText="1"/>
    </xf>
    <xf numFmtId="165" fontId="29" fillId="8" borderId="0" applyAlignment="1" pivotButton="0" quotePrefix="0" xfId="10">
      <alignment horizontal="left" vertical="center"/>
    </xf>
    <xf numFmtId="166" fontId="29" fillId="8" borderId="0" applyAlignment="1" pivotButton="0" quotePrefix="0" xfId="10">
      <alignment horizontal="left" vertical="center"/>
    </xf>
    <xf numFmtId="4" fontId="41" fillId="0" borderId="24" applyAlignment="1" pivotButton="0" quotePrefix="0" xfId="10">
      <alignment horizontal="left" wrapText="1"/>
    </xf>
    <xf numFmtId="171" fontId="34" fillId="0" borderId="0" applyAlignment="1" pivotButton="0" quotePrefix="0" xfId="10">
      <alignment horizontal="center" vertical="center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171" fontId="39" fillId="0" borderId="0" applyAlignment="1" pivotButton="0" quotePrefix="0" xfId="0">
      <alignment vertical="center"/>
    </xf>
    <xf numFmtId="168" fontId="38" fillId="0" borderId="0" applyAlignment="1" pivotButton="0" quotePrefix="0" xfId="0">
      <alignment horizontal="center" vertical="center"/>
    </xf>
    <xf numFmtId="168" fontId="39" fillId="0" borderId="0" applyAlignment="1" pivotButton="0" quotePrefix="0" xfId="0">
      <alignment vertical="center"/>
    </xf>
  </cellXfs>
  <cellStyles count="11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  <cellStyle name="Normal 2 2 2 2 2" xfId="8"/>
    <cellStyle name="Vírgula 23 2 2" xfId="9"/>
    <cellStyle name="Normal 3" xfId="10"/>
  </cellStyles>
  <dxfs count="8467"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9080" y="175260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76200</rowOff>
    </from>
    <ext cx="1724025" cy="276225"/>
    <pic>
      <nvPicPr>
        <cNvPr id="5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85900" y="160020"/>
          <a:ext cx="1724025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R782"/>
  <sheetViews>
    <sheetView showGridLines="0" tabSelected="1" topLeftCell="F1" zoomScale="70" zoomScaleNormal="70" zoomScaleSheetLayoutView="100" workbookViewId="0">
      <pane ySplit="7" topLeftCell="A8" activePane="bottomLeft" state="frozen"/>
      <selection activeCell="L78" sqref="L78"/>
      <selection pane="bottomLeft" activeCell="K6" sqref="K6:R6"/>
    </sheetView>
  </sheetViews>
  <sheetFormatPr baseColWidth="8" defaultColWidth="9.109375" defaultRowHeight="14.1" customHeight="1" outlineLevelRow="2"/>
  <cols>
    <col hidden="1" outlineLevel="1" width="4" customWidth="1" style="69" min="1" max="5"/>
    <col collapsed="1" width="3.109375" customWidth="1" style="69" min="6" max="6"/>
    <col width="7.33203125" customWidth="1" style="60" min="7" max="7"/>
    <col outlineLevel="1" width="8.5546875" customWidth="1" style="60" min="8" max="8"/>
    <col width="12.33203125" customWidth="1" style="60" min="9" max="9"/>
    <col width="52.88671875" customWidth="1" style="61" min="10" max="10"/>
    <col width="6.88671875" customWidth="1" style="62" min="11" max="11"/>
    <col width="11.109375" customWidth="1" style="63" min="12" max="12"/>
    <col width="13.5546875" customWidth="1" style="63" min="13" max="13"/>
    <col width="18.88671875" customWidth="1" style="68" min="14" max="18"/>
    <col width="9.109375" customWidth="1" style="69" min="19" max="16384"/>
  </cols>
  <sheetData>
    <row r="1" ht="6.75" customFormat="1" customHeight="1" s="1">
      <c r="G1" s="2" t="n"/>
      <c r="H1" s="2" t="n"/>
      <c r="I1" s="2" t="n"/>
      <c r="J1" s="3" t="n"/>
      <c r="K1" s="4" t="n"/>
      <c r="L1" s="5" t="n"/>
      <c r="M1" s="5" t="n"/>
      <c r="N1" s="6" t="n"/>
      <c r="O1" s="176" t="n"/>
      <c r="P1" s="176" t="n"/>
      <c r="Q1" s="176" t="n"/>
      <c r="R1" s="193" t="inlineStr">
        <is>
          <t>Gran Tower Equivalente</t>
        </is>
      </c>
    </row>
    <row r="2" ht="17.4" customFormat="1" customHeight="1" s="7">
      <c r="G2" s="8" t="n"/>
      <c r="H2" s="9" t="n"/>
      <c r="I2" s="9" t="n"/>
      <c r="J2" s="10" t="n"/>
      <c r="K2" s="11" t="n"/>
      <c r="L2" s="11" t="n"/>
      <c r="M2" s="11" t="n"/>
      <c r="N2" s="12" t="n"/>
      <c r="O2" s="177" t="n"/>
      <c r="P2" s="177" t="n"/>
      <c r="Q2" s="177" t="n"/>
      <c r="R2" s="177" t="n"/>
    </row>
    <row r="3" ht="18" customFormat="1" customHeight="1" s="7">
      <c r="G3" s="13" t="n"/>
      <c r="H3" s="14" t="n"/>
      <c r="I3" s="14" t="n"/>
      <c r="J3" s="15" t="n"/>
      <c r="K3" s="16" t="n"/>
      <c r="L3" s="16" t="n"/>
      <c r="M3" s="16" t="n"/>
      <c r="N3" s="17" t="n"/>
      <c r="O3" s="177" t="n"/>
      <c r="P3" s="177" t="n"/>
      <c r="Q3" s="177" t="n"/>
      <c r="R3" s="177" t="n"/>
    </row>
    <row r="4" ht="15" customFormat="1" customHeight="1" s="18">
      <c r="G4" s="19" t="inlineStr">
        <is>
          <t>PROJETO:</t>
        </is>
      </c>
      <c r="H4" s="20" t="n"/>
      <c r="I4" s="21" t="inlineStr">
        <is>
          <t>Gran Royal</t>
        </is>
      </c>
      <c r="J4" s="22" t="n"/>
      <c r="N4" s="23" t="n"/>
      <c r="O4" s="23" t="n"/>
      <c r="P4" s="23" t="n"/>
      <c r="Q4" s="23" t="n"/>
      <c r="R4" s="23" t="n"/>
    </row>
    <row r="5" ht="15" customFormat="1" customHeight="1" s="24">
      <c r="G5" s="194" t="inlineStr">
        <is>
          <t>EMPRESA:</t>
        </is>
      </c>
      <c r="H5" s="195" t="n"/>
      <c r="I5" s="27" t="inlineStr">
        <is>
          <t>Grandezza Empreendimentos</t>
        </is>
      </c>
      <c r="J5" s="28" t="n"/>
      <c r="N5" s="29" t="n"/>
      <c r="O5" s="29" t="n"/>
      <c r="P5" s="29" t="n"/>
      <c r="Q5" s="29" t="n"/>
      <c r="R5" s="29" t="n"/>
    </row>
    <row r="6" ht="18" customFormat="1" customHeight="1" s="31">
      <c r="A6" s="30" t="inlineStr">
        <is>
          <t>Unidade Construtiva</t>
        </is>
      </c>
      <c r="B6" s="30" t="inlineStr">
        <is>
          <t>Célula Construtiva</t>
        </is>
      </c>
      <c r="C6" s="30" t="inlineStr">
        <is>
          <t>Etapa</t>
        </is>
      </c>
      <c r="D6" s="30" t="inlineStr">
        <is>
          <t>Subetapa</t>
        </is>
      </c>
      <c r="E6" s="30" t="inlineStr">
        <is>
          <t>Serviço</t>
        </is>
      </c>
      <c r="F6" s="24" t="n"/>
      <c r="G6" s="178" t="inlineStr">
        <is>
          <t>GERENCIAMENTO TÉCNICO E ADMINISTRATIVO</t>
        </is>
      </c>
      <c r="H6" s="178" t="n"/>
      <c r="I6" s="178" t="n"/>
      <c r="J6" s="178" t="n"/>
      <c r="K6" s="196" t="inlineStr">
        <is>
          <t>GRAN ROYAL</t>
        </is>
      </c>
      <c r="L6" s="197" t="n"/>
      <c r="M6" s="197" t="n"/>
      <c r="N6" s="198" t="n"/>
      <c r="O6" s="196" t="inlineStr">
        <is>
          <t>GRAN TOWER</t>
        </is>
      </c>
      <c r="P6" s="197" t="n"/>
      <c r="Q6" s="197" t="n"/>
      <c r="R6" s="198" t="n"/>
    </row>
    <row r="7" ht="24" customFormat="1" customHeight="1" s="34">
      <c r="A7" s="199" t="n">
        <v>0</v>
      </c>
      <c r="B7" s="199" t="n">
        <v>0</v>
      </c>
      <c r="C7" s="199" t="n">
        <v>0</v>
      </c>
      <c r="D7" s="200" t="n">
        <v>0</v>
      </c>
      <c r="E7" s="200" t="n">
        <v>0</v>
      </c>
      <c r="G7" s="35" t="inlineStr">
        <is>
          <t>Atalho</t>
        </is>
      </c>
      <c r="H7" s="36" t="inlineStr">
        <is>
          <t>NIVEL</t>
        </is>
      </c>
      <c r="I7" s="37" t="inlineStr">
        <is>
          <t>Item</t>
        </is>
      </c>
      <c r="J7" s="38" t="inlineStr">
        <is>
          <t>Descrição</t>
        </is>
      </c>
      <c r="K7" s="39" t="inlineStr">
        <is>
          <t>Unidade</t>
        </is>
      </c>
      <c r="L7" s="40" t="inlineStr">
        <is>
          <t xml:space="preserve">Quant. </t>
        </is>
      </c>
      <c r="M7" s="40" t="inlineStr">
        <is>
          <t>Preço un</t>
        </is>
      </c>
      <c r="N7" s="40" t="inlineStr">
        <is>
          <t>Total</t>
        </is>
      </c>
      <c r="O7" s="39" t="inlineStr">
        <is>
          <t>Unidade</t>
        </is>
      </c>
      <c r="P7" s="40" t="inlineStr">
        <is>
          <t xml:space="preserve">Quant. </t>
        </is>
      </c>
      <c r="Q7" s="40" t="inlineStr">
        <is>
          <t>Preço un</t>
        </is>
      </c>
      <c r="R7" s="40" t="inlineStr">
        <is>
          <t>Total</t>
        </is>
      </c>
    </row>
    <row r="8" ht="13.95" customFormat="1" customHeight="1" s="31">
      <c r="A8" s="199">
        <f>IF($H8="UNIDADE CONSTRUTIVA",OFFSET(A8,-1,0)+1,LARGE(A$3:A7,1))</f>
        <v/>
      </c>
      <c r="B8" s="199">
        <f>IF(H8="UNIDADE CONSTRUTIVA",0,IF(H8="CÉLULA CONSTRUTIVA",OFFSET(B8,-1,0)+1,OFFSET(B8,-1,0)))</f>
        <v/>
      </c>
      <c r="C8" s="199">
        <f>IF(H8="CÉLULA CONSTRUTIVA",0,IF(H8="ETAPA",OFFSET(C8,-1,0)+1,OFFSET(C8,-1,0)))</f>
        <v/>
      </c>
      <c r="D8" s="200">
        <f>IF(H8="ETAPA",0,IF(H8="SUBETAPA",OFFSET(D8,-1,0)+1,OFFSET(D8,-1,0)))</f>
        <v/>
      </c>
      <c r="E8" s="200">
        <f>IF(H8="Subetapa",0,IF(H8="serviço",OFFSET(E8,-1,0)+1,OFFSET(E8,-1,0)))</f>
        <v/>
      </c>
      <c r="G8" s="41" t="n"/>
      <c r="H8" s="42" t="inlineStr">
        <is>
          <t>CÉLULA CONSTRUTIVA</t>
        </is>
      </c>
      <c r="I8" s="43">
        <f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/>
      </c>
      <c r="J8" s="44" t="inlineStr">
        <is>
          <t xml:space="preserve">SERVIÇOS TÉCNICOS </t>
        </is>
      </c>
      <c r="K8" s="45" t="n"/>
      <c r="L8" s="46" t="n"/>
      <c r="M8" s="46" t="n"/>
      <c r="N8" s="47">
        <f>IF(H8="Serviço",M8*L8,IF(H8="CÉLULA CONSTRUTIVA",SUMIFS($N$8:$N$442,$B$8:$B$442,B8,$H$8:$H$442,"Serviço"),IF(H8="ETAPA",SUMIFS($N$8:$N$442,$B$8:$B$442,B8,$C$8:$C$442,C8,$H$8:$H$442,"Serviço"),IF(H8="SUBETAPA",SUMIFS($N$8:$N$442,$B$8:$B$442,B8,$C$8:$C$442,C8,$D$8:$D$442,D8,$H$8:$H$442,"Serviço"),0))))</f>
        <v/>
      </c>
      <c r="O8" s="41" t="n"/>
      <c r="P8" s="42" t="n"/>
      <c r="Q8" s="43" t="n"/>
      <c r="R8" s="44" t="n"/>
    </row>
    <row r="9" outlineLevel="1" ht="13.95" customFormat="1" customHeight="1" s="31">
      <c r="A9" s="199">
        <f>IF($H9="UNIDADE CONSTRUTIVA",OFFSET(A9,-1,0)+1,LARGE(A$3:A8,1))</f>
        <v/>
      </c>
      <c r="B9" s="199">
        <f>IF(H9="UNIDADE CONSTRUTIVA",0,IF(H9="CÉLULA CONSTRUTIVA",OFFSET(B9,-1,0)+1,OFFSET(B9,-1,0)))</f>
        <v/>
      </c>
      <c r="C9" s="199">
        <f>IF(H9="CÉLULA CONSTRUTIVA",0,IF(H9="ETAPA",OFFSET(C9,-1,0)+1,OFFSET(C9,-1,0)))</f>
        <v/>
      </c>
      <c r="D9" s="200">
        <f>IF(H9="ETAPA",0,IF(H9="SUBETAPA",OFFSET(D9,-1,0)+1,OFFSET(D9,-1,0)))</f>
        <v/>
      </c>
      <c r="E9" s="200">
        <f>IF(H9="Subetapa",0,IF(H9="serviço",OFFSET(E9,-1,0)+1,OFFSET(E9,-1,0)))</f>
        <v/>
      </c>
      <c r="G9" s="41" t="n"/>
      <c r="H9" s="42" t="inlineStr">
        <is>
          <t>ETAPA</t>
        </is>
      </c>
      <c r="I9" s="43">
        <f>IF(H9="Unidade Construtiva",TEXT(A9,"00"),IF(H9="Célula Construtiva",TEXT(B9,"00"),IF(H9="Etapa",CONCATENATE(TEXT(B9,"00"),".",TEXT(C9,"000")),IF(H9="Subetapa",CONCATENATE(TEXT(B9,"00"),".",TEXT(C9,"000"),".",TEXT(D9,"000")),IF(H9="Serviço",CONCATENATE(TEXT(B9,"00"),".",TEXT(C9,"000"),".",TEXT(D9,"000"),".",TEXT(E9,"000")),"")))))</f>
        <v/>
      </c>
      <c r="J9" s="44" t="inlineStr">
        <is>
          <t>ESTUDOS, PROJETOS, CONSULTORIA E ENSAIOS</t>
        </is>
      </c>
      <c r="K9" s="45" t="n"/>
      <c r="L9" s="46" t="n"/>
      <c r="M9" s="46" t="n"/>
      <c r="N9" s="47">
        <f>IF(H9="Serviço",M9*L9,IF(H9="CÉLULA CONSTRUTIVA",SUMIFS($N$8:$N$442,$B$8:$B$442,B9,$H$8:$H$442,"Serviço"),IF(H9="ETAPA",SUMIFS($N$8:$N$442,$B$8:$B$442,B9,$C$8:$C$442,C9,$H$8:$H$442,"Serviço"),IF(H9="SUBETAPA",SUMIFS($N$8:$N$442,$B$8:$B$442,B9,$C$8:$C$442,C9,$D$8:$D$442,D9,$H$8:$H$442,"Serviço"),0))))</f>
        <v/>
      </c>
      <c r="O9" s="41" t="n"/>
      <c r="P9" s="42" t="n"/>
      <c r="Q9" s="43" t="n"/>
      <c r="R9" s="44" t="n"/>
    </row>
    <row r="10" outlineLevel="1" ht="13.95" customFormat="1" customHeight="1" s="31">
      <c r="A10" s="199">
        <f>IF($H10="UNIDADE CONSTRUTIVA",OFFSET(A10,-1,0)+1,LARGE(A$3:A9,1))</f>
        <v/>
      </c>
      <c r="B10" s="199">
        <f>IF(H10="UNIDADE CONSTRUTIVA",0,IF(H10="CÉLULA CONSTRUTIVA",OFFSET(B10,-1,0)+1,OFFSET(B10,-1,0)))</f>
        <v/>
      </c>
      <c r="C10" s="199">
        <f>IF(H10="CÉLULA CONSTRUTIVA",0,IF(H10="ETAPA",OFFSET(C10,-1,0)+1,OFFSET(C10,-1,0)))</f>
        <v/>
      </c>
      <c r="D10" s="200">
        <f>IF(H10="ETAPA",0,IF(H10="SUBETAPA",OFFSET(D10,-1,0)+1,OFFSET(D10,-1,0)))</f>
        <v/>
      </c>
      <c r="E10" s="200">
        <f>IF(H10="Subetapa",0,IF(H10="serviço",OFFSET(E10,-1,0)+1,OFFSET(E10,-1,0)))</f>
        <v/>
      </c>
      <c r="G10" s="41" t="n"/>
      <c r="H10" s="42" t="inlineStr">
        <is>
          <t>SUBETAPA</t>
        </is>
      </c>
      <c r="I10" s="43">
        <f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/>
      </c>
      <c r="J10" s="44" t="inlineStr">
        <is>
          <t>Estudos</t>
        </is>
      </c>
      <c r="K10" s="45" t="n"/>
      <c r="L10" s="46" t="n"/>
      <c r="M10" s="46" t="n"/>
      <c r="N10" s="47">
        <f>IF(H10="Serviço",M10*L10,IF(H10="CÉLULA CONSTRUTIVA",SUMIFS($N$8:$N$442,$B$8:$B$442,B10,$H$8:$H$442,"Serviço"),IF(H10="ETAPA",SUMIFS($N$8:$N$442,$B$8:$B$442,B10,$C$8:$C$442,C10,$H$8:$H$442,"Serviço"),IF(H10="SUBETAPA",SUMIFS($N$8:$N$442,$B$8:$B$442,B10,$C$8:$C$442,C10,$D$8:$D$442,D10,$H$8:$H$442,"Serviço"),0))))</f>
        <v/>
      </c>
      <c r="O10" s="41" t="n"/>
      <c r="P10" s="42" t="n"/>
      <c r="Q10" s="43" t="n"/>
      <c r="R10" s="201" t="inlineStr">
        <is>
          <t>01.001.001.003 - Estudo geológico</t>
        </is>
      </c>
    </row>
    <row r="11" outlineLevel="2" ht="13.95" customFormat="1" customHeight="1" s="31">
      <c r="A11" s="199">
        <f>IF($H11="UNIDADE CONSTRUTIVA",OFFSET(A11,-1,0)+1,LARGE(A$3:A10,1))</f>
        <v/>
      </c>
      <c r="B11" s="199">
        <f>IF(H11="UNIDADE CONSTRUTIVA",0,IF(H11="CÉLULA CONSTRUTIVA",OFFSET(B11,-1,0)+1,OFFSET(B11,-1,0)))</f>
        <v/>
      </c>
      <c r="C11" s="199">
        <f>IF(H11="CÉLULA CONSTRUTIVA",0,IF(H11="ETAPA",OFFSET(C11,-1,0)+1,OFFSET(C11,-1,0)))</f>
        <v/>
      </c>
      <c r="D11" s="200">
        <f>IF(H11="ETAPA",0,IF(H11="SUBETAPA",OFFSET(D11,-1,0)+1,OFFSET(D11,-1,0)))</f>
        <v/>
      </c>
      <c r="E11" s="200">
        <f>IF(H11="Subetapa",0,IF(H11="serviço",OFFSET(E11,-1,0)+1,OFFSET(E11,-1,0)))</f>
        <v/>
      </c>
      <c r="G11" s="41" t="n"/>
      <c r="H11" s="42" t="inlineStr">
        <is>
          <t>SERVIÇO</t>
        </is>
      </c>
      <c r="I11" s="43">
        <f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/>
      </c>
      <c r="J11" s="44" t="inlineStr">
        <is>
          <t>Levantamento topográfico</t>
        </is>
      </c>
      <c r="K11" s="46" t="inlineStr">
        <is>
          <t>vb</t>
        </is>
      </c>
      <c r="L11" s="46" t="n">
        <v>1</v>
      </c>
      <c r="M11" s="46" t="n">
        <v>3150</v>
      </c>
      <c r="N11" s="47">
        <f>IF(H11="Serviço",M11*L11,IF(H11="CÉLULA CONSTRUTIVA",SUMIFS($N$8:$N$442,$B$8:$B$442,B11,$H$8:$H$442,"Serviço"),IF(H11="ETAPA",SUMIFS($N$8:$N$442,$B$8:$B$442,B11,$C$8:$C$442,C11,$H$8:$H$442,"Serviço"),IF(H11="SUBETAPA",SUMIFS($N$8:$N$442,$B$8:$B$442,B11,$C$8:$C$442,C11,$D$8:$D$442,D11,$H$8:$H$442,"Serviço"),0))))</f>
        <v/>
      </c>
      <c r="O11" s="41" t="n"/>
      <c r="P11" s="42" t="n"/>
      <c r="Q11" s="43" t="n"/>
      <c r="R11" s="44" t="n"/>
    </row>
    <row r="12" outlineLevel="2" ht="13.95" customFormat="1" customHeight="1" s="31">
      <c r="A12" s="199">
        <f>IF($H12="UNIDADE CONSTRUTIVA",OFFSET(A12,-1,0)+1,LARGE(A$3:A11,1))</f>
        <v/>
      </c>
      <c r="B12" s="199">
        <f>IF(H12="UNIDADE CONSTRUTIVA",0,IF(H12="CÉLULA CONSTRUTIVA",OFFSET(B12,-1,0)+1,OFFSET(B12,-1,0)))</f>
        <v/>
      </c>
      <c r="C12" s="199">
        <f>IF(H12="CÉLULA CONSTRUTIVA",0,IF(H12="ETAPA",OFFSET(C12,-1,0)+1,OFFSET(C12,-1,0)))</f>
        <v/>
      </c>
      <c r="D12" s="200">
        <f>IF(H12="ETAPA",0,IF(H12="SUBETAPA",OFFSET(D12,-1,0)+1,OFFSET(D12,-1,0)))</f>
        <v/>
      </c>
      <c r="E12" s="200">
        <f>IF(H12="Subetapa",0,IF(H12="serviço",OFFSET(E12,-1,0)+1,OFFSET(E12,-1,0)))</f>
        <v/>
      </c>
      <c r="G12" s="41" t="n"/>
      <c r="H12" s="42" t="inlineStr">
        <is>
          <t>SERVIÇO</t>
        </is>
      </c>
      <c r="I12" s="43">
        <f>IF(H12="Unidade Construtiva",TEXT(A12,"00"),IF(H12="Célula Construtiva",TEXT(B12,"00"),IF(H12="Etapa",CONCATENATE(TEXT(B12,"00"),".",TEXT(C12,"000")),IF(H12="Subetapa",CONCATENATE(TEXT(B12,"00"),".",TEXT(C12,"000"),".",TEXT(D12,"000")),IF(H12="Serviço",CONCATENATE(TEXT(B12,"00"),".",TEXT(C12,"000"),".",TEXT(D12,"000"),".",TEXT(E12,"000")),"")))))</f>
        <v/>
      </c>
      <c r="J12" s="44" t="inlineStr">
        <is>
          <t>Estudo ambiental</t>
        </is>
      </c>
      <c r="K12" s="46" t="inlineStr">
        <is>
          <t>vb</t>
        </is>
      </c>
      <c r="L12" s="46" t="n">
        <v>1</v>
      </c>
      <c r="M12" s="46" t="n">
        <v>5512</v>
      </c>
      <c r="N12" s="47">
        <f>IF(H12="Serviço",M12*L12,IF(H12="CÉLULA CONSTRUTIVA",SUMIFS($N$8:$N$442,$B$8:$B$442,B12,$H$8:$H$442,"Serviço"),IF(H12="ETAPA",SUMIFS($N$8:$N$442,$B$8:$B$442,B12,$C$8:$C$442,C12,$H$8:$H$442,"Serviço"),IF(H12="SUBETAPA",SUMIFS($N$8:$N$442,$B$8:$B$442,B12,$C$8:$C$442,C12,$D$8:$D$442,D12,$H$8:$H$442,"Serviço"),0))))</f>
        <v/>
      </c>
      <c r="O12" s="41" t="n"/>
      <c r="P12" s="42" t="n"/>
      <c r="Q12" s="43" t="n"/>
      <c r="R12" s="44" t="n"/>
    </row>
    <row r="13" outlineLevel="2" ht="13.95" customFormat="1" customHeight="1" s="31">
      <c r="A13" s="199">
        <f>IF($H13="UNIDADE CONSTRUTIVA",OFFSET(A13,-1,0)+1,LARGE(A$3:A12,1))</f>
        <v/>
      </c>
      <c r="B13" s="199">
        <f>IF(H13="UNIDADE CONSTRUTIVA",0,IF(H13="CÉLULA CONSTRUTIVA",OFFSET(B13,-1,0)+1,OFFSET(B13,-1,0)))</f>
        <v/>
      </c>
      <c r="C13" s="199">
        <f>IF(H13="CÉLULA CONSTRUTIVA",0,IF(H13="ETAPA",OFFSET(C13,-1,0)+1,OFFSET(C13,-1,0)))</f>
        <v/>
      </c>
      <c r="D13" s="200">
        <f>IF(H13="ETAPA",0,IF(H13="SUBETAPA",OFFSET(D13,-1,0)+1,OFFSET(D13,-1,0)))</f>
        <v/>
      </c>
      <c r="E13" s="200">
        <f>IF(H13="Subetapa",0,IF(H13="serviço",OFFSET(E13,-1,0)+1,OFFSET(E13,-1,0)))</f>
        <v/>
      </c>
      <c r="G13" s="41" t="n"/>
      <c r="H13" s="42" t="inlineStr">
        <is>
          <t>SERVIÇO</t>
        </is>
      </c>
      <c r="I13" s="43">
        <f>IF(H13="Unidade Construtiva",TEXT(A13,"00"),IF(H13="Célula Construtiva",TEXT(B13,"00"),IF(H13="Etapa",CONCATENATE(TEXT(B13,"00"),".",TEXT(C13,"000")),IF(H13="Subetapa",CONCATENATE(TEXT(B13,"00"),".",TEXT(C13,"000"),".",TEXT(D13,"000")),IF(H13="Serviço",CONCATENATE(TEXT(B13,"00"),".",TEXT(C13,"000"),".",TEXT(D13,"000"),".",TEXT(E13,"000")),"")))))</f>
        <v/>
      </c>
      <c r="J13" s="44" t="inlineStr">
        <is>
          <t>Sondagem do terreno</t>
        </is>
      </c>
      <c r="K13" s="46" t="inlineStr">
        <is>
          <t>vb</t>
        </is>
      </c>
      <c r="L13" s="46" t="n">
        <v>1</v>
      </c>
      <c r="M13" s="46" t="n">
        <v>8819.195643116382</v>
      </c>
      <c r="N13" s="47">
        <f>IF(H13="Serviço",M13*L13,IF(H13="CÉLULA CONSTRUTIVA",SUMIFS($N$8:$N$442,$B$8:$B$442,B13,$H$8:$H$442,"Serviço"),IF(H13="ETAPA",SUMIFS($N$8:$N$442,$B$8:$B$442,B13,$C$8:$C$442,C13,$H$8:$H$442,"Serviço"),IF(H13="SUBETAPA",SUMIFS($N$8:$N$442,$B$8:$B$442,B13,$C$8:$C$442,C13,$D$8:$D$442,D13,$H$8:$H$442,"Serviço"),0))))</f>
        <v/>
      </c>
      <c r="O13" s="41" t="n"/>
      <c r="P13" s="42" t="n"/>
      <c r="Q13" s="43" t="n"/>
      <c r="R13" s="44" t="n"/>
    </row>
    <row r="14" outlineLevel="1" ht="13.95" customFormat="1" customHeight="1" s="31">
      <c r="A14" s="199">
        <f>IF($H14="UNIDADE CONSTRUTIVA",OFFSET(A14,-1,0)+1,LARGE(A$3:A13,1))</f>
        <v/>
      </c>
      <c r="B14" s="199">
        <f>IF(H14="UNIDADE CONSTRUTIVA",0,IF(H14="CÉLULA CONSTRUTIVA",OFFSET(B14,-1,0)+1,OFFSET(B14,-1,0)))</f>
        <v/>
      </c>
      <c r="C14" s="199">
        <f>IF(H14="CÉLULA CONSTRUTIVA",0,IF(H14="ETAPA",OFFSET(C14,-1,0)+1,OFFSET(C14,-1,0)))</f>
        <v/>
      </c>
      <c r="D14" s="200">
        <f>IF(H14="ETAPA",0,IF(H14="SUBETAPA",OFFSET(D14,-1,0)+1,OFFSET(D14,-1,0)))</f>
        <v/>
      </c>
      <c r="E14" s="200">
        <f>IF(H14="Subetapa",0,IF(H14="serviço",OFFSET(E14,-1,0)+1,OFFSET(E14,-1,0)))</f>
        <v/>
      </c>
      <c r="G14" s="41" t="n"/>
      <c r="H14" s="42" t="inlineStr">
        <is>
          <t>SUBETAPA</t>
        </is>
      </c>
      <c r="I14" s="43">
        <f>IF(H14="Unidade Construtiva",TEXT(A14,"00"),IF(H14="Célula Construtiva",TEXT(B14,"00"),IF(H14="Etapa",CONCATENATE(TEXT(B14,"00"),".",TEXT(C14,"000")),IF(H14="Subetapa",CONCATENATE(TEXT(B14,"00"),".",TEXT(C14,"000"),".",TEXT(D14,"000")),IF(H14="Serviço",CONCATENATE(TEXT(B14,"00"),".",TEXT(C14,"000"),".",TEXT(D14,"000"),".",TEXT(E14,"000")),"")))))</f>
        <v/>
      </c>
      <c r="J14" s="44" t="inlineStr">
        <is>
          <t>Projetos</t>
        </is>
      </c>
      <c r="K14" s="46" t="n"/>
      <c r="L14" s="46" t="n"/>
      <c r="M14" s="46" t="n"/>
      <c r="N14" s="47">
        <f>IF(H14="Serviço",M14*L14,IF(H14="CÉLULA CONSTRUTIVA",SUMIFS($N$8:$N$442,$B$8:$B$442,B14,$H$8:$H$442,"Serviço"),IF(H14="ETAPA",SUMIFS($N$8:$N$442,$B$8:$B$442,B14,$C$8:$C$442,C14,$H$8:$H$442,"Serviço"),IF(H14="SUBETAPA",SUMIFS($N$8:$N$442,$B$8:$B$442,B14,$C$8:$C$442,C14,$D$8:$D$442,D14,$H$8:$H$442,"Serviço"),0))))</f>
        <v/>
      </c>
      <c r="O14" s="41" t="n"/>
      <c r="P14" s="42" t="n"/>
      <c r="Q14" s="43" t="n"/>
      <c r="R14" s="201" t="inlineStr">
        <is>
          <t>01.01.001.0002.0015 - Projeto de piscina</t>
        </is>
      </c>
    </row>
    <row r="15" outlineLevel="2" ht="10.8" customFormat="1" customHeight="1" s="31">
      <c r="A15" s="199">
        <f>IF($H15="UNIDADE CONSTRUTIVA",OFFSET(A15,-1,0)+1,LARGE(A$3:A14,1))</f>
        <v/>
      </c>
      <c r="B15" s="199">
        <f>IF(H15="UNIDADE CONSTRUTIVA",0,IF(H15="CÉLULA CONSTRUTIVA",OFFSET(B15,-1,0)+1,OFFSET(B15,-1,0)))</f>
        <v/>
      </c>
      <c r="C15" s="199">
        <f>IF(H15="CÉLULA CONSTRUTIVA",0,IF(H15="ETAPA",OFFSET(C15,-1,0)+1,OFFSET(C15,-1,0)))</f>
        <v/>
      </c>
      <c r="D15" s="200">
        <f>IF(H15="ETAPA",0,IF(H15="SUBETAPA",OFFSET(D15,-1,0)+1,OFFSET(D15,-1,0)))</f>
        <v/>
      </c>
      <c r="E15" s="200">
        <f>IF(H15="Subetapa",0,IF(H15="serviço",OFFSET(E15,-1,0)+1,OFFSET(E15,-1,0)))</f>
        <v/>
      </c>
      <c r="G15" s="41" t="n"/>
      <c r="H15" s="42" t="inlineStr">
        <is>
          <t>SERVIÇO</t>
        </is>
      </c>
      <c r="I15" s="43">
        <f>IF(H15="Unidade Construtiva",TEXT(A15,"00"),IF(H15="Célula Construtiva",TEXT(B15,"00"),IF(H15="Etapa",CONCATENATE(TEXT(B15,"00"),".",TEXT(C15,"000")),IF(H15="Subetapa",CONCATENATE(TEXT(B15,"00"),".",TEXT(C15,"000"),".",TEXT(D15,"000")),IF(H15="Serviço",CONCATENATE(TEXT(B15,"00"),".",TEXT(C15,"000"),".",TEXT(D15,"000"),".",TEXT(E15,"000")),"")))))</f>
        <v/>
      </c>
      <c r="J15" s="44" t="inlineStr">
        <is>
          <t>Legalização de incorporação</t>
        </is>
      </c>
      <c r="K15" s="46" t="inlineStr">
        <is>
          <t>vb</t>
        </is>
      </c>
      <c r="L15" s="46" t="n">
        <v>1</v>
      </c>
      <c r="M15" s="46" t="n">
        <v>19313.7</v>
      </c>
      <c r="N15" s="47">
        <f>IF(H15="Serviço",M15*L15,IF(H15="CÉLULA CONSTRUTIVA",SUMIFS($N$8:$N$442,$B$8:$B$442,B15,$H$8:$H$442,"Serviço"),IF(H15="ETAPA",SUMIFS($N$8:$N$442,$B$8:$B$442,B15,$C$8:$C$442,C15,$H$8:$H$442,"Serviço"),IF(H15="SUBETAPA",SUMIFS($N$8:$N$442,$B$8:$B$442,B15,$C$8:$C$442,C15,$D$8:$D$442,D15,$H$8:$H$442,"Serviço"),0))))</f>
        <v/>
      </c>
      <c r="O15" s="41" t="n"/>
      <c r="P15" s="42" t="n"/>
      <c r="Q15" s="43" t="n"/>
      <c r="R15" s="44" t="n"/>
    </row>
    <row r="16" outlineLevel="2" ht="10.8" customFormat="1" customHeight="1" s="31">
      <c r="A16" s="199">
        <f>IF($H16="UNIDADE CONSTRUTIVA",OFFSET(A16,-1,0)+1,LARGE(A$3:A15,1))</f>
        <v/>
      </c>
      <c r="B16" s="199">
        <f>IF(H16="UNIDADE CONSTRUTIVA",0,IF(H16="CÉLULA CONSTRUTIVA",OFFSET(B16,-1,0)+1,OFFSET(B16,-1,0)))</f>
        <v/>
      </c>
      <c r="C16" s="199">
        <f>IF(H16="CÉLULA CONSTRUTIVA",0,IF(H16="ETAPA",OFFSET(C16,-1,0)+1,OFFSET(C16,-1,0)))</f>
        <v/>
      </c>
      <c r="D16" s="200">
        <f>IF(H16="ETAPA",0,IF(H16="SUBETAPA",OFFSET(D16,-1,0)+1,OFFSET(D16,-1,0)))</f>
        <v/>
      </c>
      <c r="E16" s="200">
        <f>IF(H16="Subetapa",0,IF(H16="serviço",OFFSET(E16,-1,0)+1,OFFSET(E16,-1,0)))</f>
        <v/>
      </c>
      <c r="G16" s="41" t="n"/>
      <c r="H16" s="42" t="inlineStr">
        <is>
          <t>SERVIÇO</t>
        </is>
      </c>
      <c r="I16" s="43">
        <f>IF(H16="Unidade Construtiva",TEXT(A16,"00"),IF(H16="Célula Construtiva",TEXT(B16,"00"),IF(H16="Etapa",CONCATENATE(TEXT(B16,"00"),".",TEXT(C16,"000")),IF(H16="Subetapa",CONCATENATE(TEXT(B16,"00"),".",TEXT(C16,"000"),".",TEXT(D16,"000")),IF(H16="Serviço",CONCATENATE(TEXT(B16,"00"),".",TEXT(C16,"000"),".",TEXT(D16,"000"),".",TEXT(E16,"000")),"")))))</f>
        <v/>
      </c>
      <c r="J16" s="44" t="inlineStr">
        <is>
          <t>Projeto Arquitetônico Legal</t>
        </is>
      </c>
      <c r="K16" s="46" t="inlineStr">
        <is>
          <t>vb</t>
        </is>
      </c>
      <c r="L16" s="46" t="n">
        <v>1</v>
      </c>
      <c r="M16" s="46" t="n">
        <v>23238</v>
      </c>
      <c r="N16" s="47">
        <f>IF(H16="Serviço",M16*L16,IF(H16="CÉLULA CONSTRUTIVA",SUMIFS($N$8:$N$442,$B$8:$B$442,B16,$H$8:$H$442,"Serviço"),IF(H16="ETAPA",SUMIFS($N$8:$N$442,$B$8:$B$442,B16,$C$8:$C$442,C16,$H$8:$H$442,"Serviço"),IF(H16="SUBETAPA",SUMIFS($N$8:$N$442,$B$8:$B$442,B16,$C$8:$C$442,C16,$D$8:$D$442,D16,$H$8:$H$442,"Serviço"),0))))</f>
        <v/>
      </c>
      <c r="O16" s="41" t="n"/>
      <c r="P16" s="42" t="n"/>
      <c r="Q16" s="43" t="n"/>
      <c r="R16" s="44" t="n"/>
    </row>
    <row r="17" outlineLevel="2" ht="10.8" customFormat="1" customHeight="1" s="31">
      <c r="A17" s="199">
        <f>IF($H17="UNIDADE CONSTRUTIVA",OFFSET(A17,-1,0)+1,LARGE(A$3:A16,1))</f>
        <v/>
      </c>
      <c r="B17" s="199">
        <f>IF(H17="UNIDADE CONSTRUTIVA",0,IF(H17="CÉLULA CONSTRUTIVA",OFFSET(B17,-1,0)+1,OFFSET(B17,-1,0)))</f>
        <v/>
      </c>
      <c r="C17" s="199">
        <f>IF(H17="CÉLULA CONSTRUTIVA",0,IF(H17="ETAPA",OFFSET(C17,-1,0)+1,OFFSET(C17,-1,0)))</f>
        <v/>
      </c>
      <c r="D17" s="200">
        <f>IF(H17="ETAPA",0,IF(H17="SUBETAPA",OFFSET(D17,-1,0)+1,OFFSET(D17,-1,0)))</f>
        <v/>
      </c>
      <c r="E17" s="200">
        <f>IF(H17="Subetapa",0,IF(H17="serviço",OFFSET(E17,-1,0)+1,OFFSET(E17,-1,0)))</f>
        <v/>
      </c>
      <c r="G17" s="41" t="n"/>
      <c r="H17" s="42" t="inlineStr">
        <is>
          <t>SERVIÇO</t>
        </is>
      </c>
      <c r="I17" s="43">
        <f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/>
      </c>
      <c r="J17" s="44" t="inlineStr">
        <is>
          <t>Projeto Arquitetônico Executivo</t>
        </is>
      </c>
      <c r="K17" s="46" t="inlineStr">
        <is>
          <t>vb</t>
        </is>
      </c>
      <c r="L17" s="46" t="n">
        <v>1</v>
      </c>
      <c r="M17" s="46" t="n">
        <v>35241.51404339137</v>
      </c>
      <c r="N17" s="47">
        <f>IF(H17="Serviço",M17*L17,IF(H17="CÉLULA CONSTRUTIVA",SUMIFS($N$8:$N$442,$B$8:$B$442,B17,$H$8:$H$442,"Serviço"),IF(H17="ETAPA",SUMIFS($N$8:$N$442,$B$8:$B$442,B17,$C$8:$C$442,C17,$H$8:$H$442,"Serviço"),IF(H17="SUBETAPA",SUMIFS($N$8:$N$442,$B$8:$B$442,B17,$C$8:$C$442,C17,$D$8:$D$442,D17,$H$8:$H$442,"Serviço"),0))))</f>
        <v/>
      </c>
      <c r="O17" s="41" t="n"/>
      <c r="P17" s="42" t="n"/>
      <c r="Q17" s="43" t="n"/>
      <c r="R17" s="44" t="n"/>
    </row>
    <row r="18" outlineLevel="2" ht="10.8" customFormat="1" customHeight="1" s="31">
      <c r="A18" s="199">
        <f>IF($H18="UNIDADE CONSTRUTIVA",OFFSET(A18,-1,0)+1,LARGE(A$3:A17,1))</f>
        <v/>
      </c>
      <c r="B18" s="199">
        <f>IF(H18="UNIDADE CONSTRUTIVA",0,IF(H18="CÉLULA CONSTRUTIVA",OFFSET(B18,-1,0)+1,OFFSET(B18,-1,0)))</f>
        <v/>
      </c>
      <c r="C18" s="199">
        <f>IF(H18="CÉLULA CONSTRUTIVA",0,IF(H18="ETAPA",OFFSET(C18,-1,0)+1,OFFSET(C18,-1,0)))</f>
        <v/>
      </c>
      <c r="D18" s="200">
        <f>IF(H18="ETAPA",0,IF(H18="SUBETAPA",OFFSET(D18,-1,0)+1,OFFSET(D18,-1,0)))</f>
        <v/>
      </c>
      <c r="E18" s="200">
        <f>IF(H18="Subetapa",0,IF(H18="serviço",OFFSET(E18,-1,0)+1,OFFSET(E18,-1,0)))</f>
        <v/>
      </c>
      <c r="G18" s="41" t="n"/>
      <c r="H18" s="42" t="inlineStr">
        <is>
          <t>SERVIÇO</t>
        </is>
      </c>
      <c r="I18" s="43">
        <f>IF(H18="Unidade Construtiva",TEXT(A18,"00"),IF(H18="Célula Construtiva",TEXT(B18,"00"),IF(H18="Etapa",CONCATENATE(TEXT(B18,"00"),".",TEXT(C18,"000")),IF(H18="Subetapa",CONCATENATE(TEXT(B18,"00"),".",TEXT(C18,"000"),".",TEXT(D18,"000")),IF(H18="Serviço",CONCATENATE(TEXT(B18,"00"),".",TEXT(C18,"000"),".",TEXT(D18,"000"),".",TEXT(E18,"000")),"")))))</f>
        <v/>
      </c>
      <c r="J18" s="44" t="inlineStr">
        <is>
          <t>Projeto arquitetônico de fachada</t>
        </is>
      </c>
      <c r="K18" s="46" t="inlineStr">
        <is>
          <t>vb</t>
        </is>
      </c>
      <c r="L18" s="46" t="n">
        <v>1</v>
      </c>
      <c r="M18" s="46" t="n">
        <v>81250</v>
      </c>
      <c r="N18" s="47">
        <f>IF(H18="Serviço",M18*L18,IF(H18="CÉLULA CONSTRUTIVA",SUMIFS($N$8:$N$442,$B$8:$B$442,B18,$H$8:$H$442,"Serviço"),IF(H18="ETAPA",SUMIFS($N$8:$N$442,$B$8:$B$442,B18,$C$8:$C$442,C18,$H$8:$H$442,"Serviço"),IF(H18="SUBETAPA",SUMIFS($N$8:$N$442,$B$8:$B$442,B18,$C$8:$C$442,C18,$D$8:$D$442,D18,$H$8:$H$442,"Serviço"),0))))</f>
        <v/>
      </c>
      <c r="O18" s="41" t="n"/>
      <c r="P18" s="42" t="n"/>
      <c r="Q18" s="43" t="n"/>
      <c r="R18" s="44" t="n"/>
    </row>
    <row r="19" outlineLevel="2" ht="10.8" customFormat="1" customHeight="1" s="31">
      <c r="A19" s="199">
        <f>IF($H19="UNIDADE CONSTRUTIVA",OFFSET(A19,-1,0)+1,LARGE(A$3:A18,1))</f>
        <v/>
      </c>
      <c r="B19" s="199">
        <f>IF(H19="UNIDADE CONSTRUTIVA",0,IF(H19="CÉLULA CONSTRUTIVA",OFFSET(B19,-1,0)+1,OFFSET(B19,-1,0)))</f>
        <v/>
      </c>
      <c r="C19" s="199">
        <f>IF(H19="CÉLULA CONSTRUTIVA",0,IF(H19="ETAPA",OFFSET(C19,-1,0)+1,OFFSET(C19,-1,0)))</f>
        <v/>
      </c>
      <c r="D19" s="200">
        <f>IF(H19="ETAPA",0,IF(H19="SUBETAPA",OFFSET(D19,-1,0)+1,OFFSET(D19,-1,0)))</f>
        <v/>
      </c>
      <c r="E19" s="200">
        <f>IF(H19="Subetapa",0,IF(H19="serviço",OFFSET(E19,-1,0)+1,OFFSET(E19,-1,0)))</f>
        <v/>
      </c>
      <c r="G19" s="41" t="n"/>
      <c r="H19" s="42" t="inlineStr">
        <is>
          <t>SERVIÇO</t>
        </is>
      </c>
      <c r="I19" s="43">
        <f>IF(H19="Unidade Construtiva",TEXT(A19,"00"),IF(H19="Célula Construtiva",TEXT(B19,"00"),IF(H19="Etapa",CONCATENATE(TEXT(B19,"00"),".",TEXT(C19,"000")),IF(H19="Subetapa",CONCATENATE(TEXT(B19,"00"),".",TEXT(C19,"000"),".",TEXT(D19,"000")),IF(H19="Serviço",CONCATENATE(TEXT(B19,"00"),".",TEXT(C19,"000"),".",TEXT(D19,"000"),".",TEXT(E19,"000")),"")))))</f>
        <v/>
      </c>
      <c r="J19" s="44" t="inlineStr">
        <is>
          <t>Projeto estrutural</t>
        </is>
      </c>
      <c r="K19" s="46" t="inlineStr">
        <is>
          <t>vb</t>
        </is>
      </c>
      <c r="L19" s="46" t="n">
        <v>1</v>
      </c>
      <c r="M19" s="46" t="n">
        <v>130000</v>
      </c>
      <c r="N19" s="47">
        <f>IF(H19="Serviço",M19*L19,IF(H19="CÉLULA CONSTRUTIVA",SUMIFS($N$8:$N$442,$B$8:$B$442,B19,$H$8:$H$442,"Serviço"),IF(H19="ETAPA",SUMIFS($N$8:$N$442,$B$8:$B$442,B19,$C$8:$C$442,C19,$H$8:$H$442,"Serviço"),IF(H19="SUBETAPA",SUMIFS($N$8:$N$442,$B$8:$B$442,B19,$C$8:$C$442,C19,$D$8:$D$442,D19,$H$8:$H$442,"Serviço"),0))))</f>
        <v/>
      </c>
      <c r="O19" s="41" t="n"/>
      <c r="P19" s="42" t="n"/>
      <c r="Q19" s="43" t="n"/>
      <c r="R19" s="44" t="n"/>
    </row>
    <row r="20" outlineLevel="2" ht="10.8" customFormat="1" customHeight="1" s="31">
      <c r="A20" s="199">
        <f>IF($H20="UNIDADE CONSTRUTIVA",OFFSET(A20,-1,0)+1,LARGE(A$3:A19,1))</f>
        <v/>
      </c>
      <c r="B20" s="199">
        <f>IF(H20="UNIDADE CONSTRUTIVA",0,IF(H20="CÉLULA CONSTRUTIVA",OFFSET(B20,-1,0)+1,OFFSET(B20,-1,0)))</f>
        <v/>
      </c>
      <c r="C20" s="199">
        <f>IF(H20="CÉLULA CONSTRUTIVA",0,IF(H20="ETAPA",OFFSET(C20,-1,0)+1,OFFSET(C20,-1,0)))</f>
        <v/>
      </c>
      <c r="D20" s="200">
        <f>IF(H20="ETAPA",0,IF(H20="SUBETAPA",OFFSET(D20,-1,0)+1,OFFSET(D20,-1,0)))</f>
        <v/>
      </c>
      <c r="E20" s="200">
        <f>IF(H20="Subetapa",0,IF(H20="serviço",OFFSET(E20,-1,0)+1,OFFSET(E20,-1,0)))</f>
        <v/>
      </c>
      <c r="G20" s="41" t="n"/>
      <c r="H20" s="42" t="inlineStr">
        <is>
          <t>SERVIÇO</t>
        </is>
      </c>
      <c r="I20" s="43">
        <f>IF(H20="Unidade Construtiva",TEXT(A20,"00"),IF(H20="Célula Construtiva",TEXT(B20,"00"),IF(H20="Etapa",CONCATENATE(TEXT(B20,"00"),".",TEXT(C20,"000")),IF(H20="Subetapa",CONCATENATE(TEXT(B20,"00"),".",TEXT(C20,"000"),".",TEXT(D20,"000")),IF(H20="Serviço",CONCATENATE(TEXT(B20,"00"),".",TEXT(C20,"000"),".",TEXT(D20,"000"),".",TEXT(E20,"000")),"")))))</f>
        <v/>
      </c>
      <c r="J20" s="44" t="inlineStr">
        <is>
          <t>Projeto elétrico/comunicação/telefonia/luminotécnico</t>
        </is>
      </c>
      <c r="K20" s="46" t="inlineStr">
        <is>
          <t>vb</t>
        </is>
      </c>
      <c r="L20" s="46" t="n">
        <v>1</v>
      </c>
      <c r="M20" s="46" t="n">
        <v>14671.56757489595</v>
      </c>
      <c r="N20" s="47">
        <f>IF(H20="Serviço",M20*L20,IF(H20="CÉLULA CONSTRUTIVA",SUMIFS($N$8:$N$442,$B$8:$B$442,B20,$H$8:$H$442,"Serviço"),IF(H20="ETAPA",SUMIFS($N$8:$N$442,$B$8:$B$442,B20,$C$8:$C$442,C20,$H$8:$H$442,"Serviço"),IF(H20="SUBETAPA",SUMIFS($N$8:$N$442,$B$8:$B$442,B20,$C$8:$C$442,C20,$D$8:$D$442,D20,$H$8:$H$442,"Serviço"),0))))</f>
        <v/>
      </c>
      <c r="O20" s="41" t="n"/>
      <c r="P20" s="42" t="n"/>
      <c r="Q20" s="43" t="n"/>
      <c r="R20" s="44" t="n"/>
    </row>
    <row r="21" outlineLevel="2" ht="10.8" customFormat="1" customHeight="1" s="31">
      <c r="A21" s="199">
        <f>IF($H21="UNIDADE CONSTRUTIVA",OFFSET(A21,-1,0)+1,LARGE(A$3:A20,1))</f>
        <v/>
      </c>
      <c r="B21" s="199">
        <f>IF(H21="UNIDADE CONSTRUTIVA",0,IF(H21="CÉLULA CONSTRUTIVA",OFFSET(B21,-1,0)+1,OFFSET(B21,-1,0)))</f>
        <v/>
      </c>
      <c r="C21" s="199">
        <f>IF(H21="CÉLULA CONSTRUTIVA",0,IF(H21="ETAPA",OFFSET(C21,-1,0)+1,OFFSET(C21,-1,0)))</f>
        <v/>
      </c>
      <c r="D21" s="200">
        <f>IF(H21="ETAPA",0,IF(H21="SUBETAPA",OFFSET(D21,-1,0)+1,OFFSET(D21,-1,0)))</f>
        <v/>
      </c>
      <c r="E21" s="200">
        <f>IF(H21="Subetapa",0,IF(H21="serviço",OFFSET(E21,-1,0)+1,OFFSET(E21,-1,0)))</f>
        <v/>
      </c>
      <c r="G21" s="41" t="n"/>
      <c r="H21" s="42" t="inlineStr">
        <is>
          <t>SERVIÇO</t>
        </is>
      </c>
      <c r="I21" s="43">
        <f>IF(H21="Unidade Construtiva",TEXT(A21,"00"),IF(H21="Célula Construtiva",TEXT(B21,"00"),IF(H21="Etapa",CONCATENATE(TEXT(B21,"00"),".",TEXT(C21,"000")),IF(H21="Subetapa",CONCATENATE(TEXT(B21,"00"),".",TEXT(C21,"000"),".",TEXT(D21,"000")),IF(H21="Serviço",CONCATENATE(TEXT(B21,"00"),".",TEXT(C21,"000"),".",TEXT(D21,"000"),".",TEXT(E21,"000")),"")))))</f>
        <v/>
      </c>
      <c r="J21" s="44" t="inlineStr">
        <is>
          <t>Projeto de Paisagismo</t>
        </is>
      </c>
      <c r="K21" s="46" t="inlineStr">
        <is>
          <t>vb</t>
        </is>
      </c>
      <c r="L21" s="46" t="n">
        <v>1</v>
      </c>
      <c r="M21" s="46" t="n">
        <v>1382.565026887615</v>
      </c>
      <c r="N21" s="47">
        <f>IF(H21="Serviço",M21*L21,IF(H21="CÉLULA CONSTRUTIVA",SUMIFS($N$8:$N$442,$B$8:$B$442,B21,$H$8:$H$442,"Serviço"),IF(H21="ETAPA",SUMIFS($N$8:$N$442,$B$8:$B$442,B21,$C$8:$C$442,C21,$H$8:$H$442,"Serviço"),IF(H21="SUBETAPA",SUMIFS($N$8:$N$442,$B$8:$B$442,B21,$C$8:$C$442,C21,$D$8:$D$442,D21,$H$8:$H$442,"Serviço"),0))))</f>
        <v/>
      </c>
      <c r="O21" s="41" t="n"/>
      <c r="P21" s="42" t="n"/>
      <c r="Q21" s="43" t="n"/>
      <c r="R21" s="44" t="n"/>
    </row>
    <row r="22" outlineLevel="1" ht="13.95" customFormat="1" customHeight="1" s="31">
      <c r="A22" s="199">
        <f>IF($H22="UNIDADE CONSTRUTIVA",OFFSET(A22,-1,0)+1,LARGE(A$3:A21,1))</f>
        <v/>
      </c>
      <c r="B22" s="199">
        <f>IF(H22="UNIDADE CONSTRUTIVA",0,IF(H22="CÉLULA CONSTRUTIVA",OFFSET(B22,-1,0)+1,OFFSET(B22,-1,0)))</f>
        <v/>
      </c>
      <c r="C22" s="199">
        <f>IF(H22="CÉLULA CONSTRUTIVA",0,IF(H22="ETAPA",OFFSET(C22,-1,0)+1,OFFSET(C22,-1,0)))</f>
        <v/>
      </c>
      <c r="D22" s="200">
        <f>IF(H22="ETAPA",0,IF(H22="SUBETAPA",OFFSET(D22,-1,0)+1,OFFSET(D22,-1,0)))</f>
        <v/>
      </c>
      <c r="E22" s="200">
        <f>IF(H22="Subetapa",0,IF(H22="serviço",OFFSET(E22,-1,0)+1,OFFSET(E22,-1,0)))</f>
        <v/>
      </c>
      <c r="G22" s="41" t="n"/>
      <c r="H22" s="42" t="inlineStr">
        <is>
          <t>SUBETAPA</t>
        </is>
      </c>
      <c r="I22" s="43">
        <f>IF(H22="Unidade Construtiva",TEXT(A22,"00"),IF(H22="Célula Construtiva",TEXT(B22,"00"),IF(H22="Etapa",CONCATENATE(TEXT(B22,"00"),".",TEXT(C22,"000")),IF(H22="Subetapa",CONCATENATE(TEXT(B22,"00"),".",TEXT(C22,"000"),".",TEXT(D22,"000")),IF(H22="Serviço",CONCATENATE(TEXT(B22,"00"),".",TEXT(C22,"000"),".",TEXT(D22,"000"),".",TEXT(E22,"000")),"")))))</f>
        <v/>
      </c>
      <c r="J22" s="44" t="inlineStr">
        <is>
          <t>Consultorias</t>
        </is>
      </c>
      <c r="K22" s="46" t="n"/>
      <c r="L22" s="46" t="n"/>
      <c r="M22" s="46" t="n"/>
      <c r="N22" s="47">
        <f>IF(H22="Serviço",M22*L22,IF(H22="CÉLULA CONSTRUTIVA",SUMIFS($N$8:$N$442,$B$8:$B$442,B22,$H$8:$H$442,"Serviço"),IF(H22="ETAPA",SUMIFS($N$8:$N$442,$B$8:$B$442,B22,$C$8:$C$442,C22,$H$8:$H$442,"Serviço"),IF(H22="SUBETAPA",SUMIFS($N$8:$N$442,$B$8:$B$442,B22,$C$8:$C$442,C22,$D$8:$D$442,D22,$H$8:$H$442,"Serviço"),0))))</f>
        <v/>
      </c>
      <c r="O22" s="41" t="n"/>
      <c r="P22" s="42" t="n"/>
      <c r="Q22" s="43" t="n"/>
      <c r="R22" s="44" t="n"/>
    </row>
    <row r="23" outlineLevel="2" ht="13.95" customFormat="1" customHeight="1" s="31">
      <c r="A23" s="199">
        <f>IF($H23="UNIDADE CONSTRUTIVA",OFFSET(A23,-1,0)+1,LARGE(A$3:A22,1))</f>
        <v/>
      </c>
      <c r="B23" s="199">
        <f>IF(H23="UNIDADE CONSTRUTIVA",0,IF(H23="CÉLULA CONSTRUTIVA",OFFSET(B23,-1,0)+1,OFFSET(B23,-1,0)))</f>
        <v/>
      </c>
      <c r="C23" s="199">
        <f>IF(H23="CÉLULA CONSTRUTIVA",0,IF(H23="ETAPA",OFFSET(C23,-1,0)+1,OFFSET(C23,-1,0)))</f>
        <v/>
      </c>
      <c r="D23" s="200">
        <f>IF(H23="ETAPA",0,IF(H23="SUBETAPA",OFFSET(D23,-1,0)+1,OFFSET(D23,-1,0)))</f>
        <v/>
      </c>
      <c r="E23" s="200">
        <f>IF(H23="Subetapa",0,IF(H23="serviço",OFFSET(E23,-1,0)+1,OFFSET(E23,-1,0)))</f>
        <v/>
      </c>
      <c r="G23" s="41" t="n"/>
      <c r="H23" s="42" t="inlineStr">
        <is>
          <t>SERVIÇO</t>
        </is>
      </c>
      <c r="I23" s="43">
        <f>IF(H23="Unidade Construtiva",TEXT(A23,"00"),IF(H23="Célula Construtiva",TEXT(B23,"00"),IF(H23="Etapa",CONCATENATE(TEXT(B23,"00"),".",TEXT(C23,"000")),IF(H23="Subetapa",CONCATENATE(TEXT(B23,"00"),".",TEXT(C23,"000"),".",TEXT(D23,"000")),IF(H23="Serviço",CONCATENATE(TEXT(B23,"00"),".",TEXT(C23,"000"),".",TEXT(D23,"000"),".",TEXT(E23,"000")),"")))))</f>
        <v/>
      </c>
      <c r="J23" s="44" t="inlineStr">
        <is>
          <t>Consultorias Técnicas de esquadrias</t>
        </is>
      </c>
      <c r="K23" s="46" t="inlineStr">
        <is>
          <t>vb</t>
        </is>
      </c>
      <c r="L23" s="46" t="n">
        <v>1</v>
      </c>
      <c r="M23" s="46" t="n">
        <v>21946.386</v>
      </c>
      <c r="N23" s="47">
        <f>IF(H23="Serviço",M23*L23,IF(H23="CÉLULA CONSTRUTIVA",SUMIFS($N$8:$N$442,$B$8:$B$442,B23,$H$8:$H$442,"Serviço"),IF(H23="ETAPA",SUMIFS($N$8:$N$442,$B$8:$B$442,B23,$C$8:$C$442,C23,$H$8:$H$442,"Serviço"),IF(H23="SUBETAPA",SUMIFS($N$8:$N$442,$B$8:$B$442,B23,$C$8:$C$442,C23,$D$8:$D$442,D23,$H$8:$H$442,"Serviço"),0))))</f>
        <v/>
      </c>
      <c r="O23" s="41" t="n"/>
      <c r="P23" s="42" t="n"/>
      <c r="Q23" s="43" t="n"/>
      <c r="R23" s="44" t="n"/>
    </row>
    <row r="24" outlineLevel="2" ht="13.95" customFormat="1" customHeight="1" s="31">
      <c r="A24" s="199">
        <f>IF($H24="UNIDADE CONSTRUTIVA",OFFSET(A24,-1,0)+1,LARGE(A$3:A23,1))</f>
        <v/>
      </c>
      <c r="B24" s="199">
        <f>IF(H24="UNIDADE CONSTRUTIVA",0,IF(H24="CÉLULA CONSTRUTIVA",OFFSET(B24,-1,0)+1,OFFSET(B24,-1,0)))</f>
        <v/>
      </c>
      <c r="C24" s="199">
        <f>IF(H24="CÉLULA CONSTRUTIVA",0,IF(H24="ETAPA",OFFSET(C24,-1,0)+1,OFFSET(C24,-1,0)))</f>
        <v/>
      </c>
      <c r="D24" s="200">
        <f>IF(H24="ETAPA",0,IF(H24="SUBETAPA",OFFSET(D24,-1,0)+1,OFFSET(D24,-1,0)))</f>
        <v/>
      </c>
      <c r="E24" s="200">
        <f>IF(H24="Subetapa",0,IF(H24="serviço",OFFSET(E24,-1,0)+1,OFFSET(E24,-1,0)))</f>
        <v/>
      </c>
      <c r="G24" s="41" t="n"/>
      <c r="H24" s="42" t="inlineStr">
        <is>
          <t>SERVIÇO</t>
        </is>
      </c>
      <c r="I24" s="43">
        <f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/>
      </c>
      <c r="J24" s="44" t="inlineStr">
        <is>
          <t>Consultoria técnica de legalização</t>
        </is>
      </c>
      <c r="K24" s="46" t="inlineStr">
        <is>
          <t>vb</t>
        </is>
      </c>
      <c r="L24" s="46" t="n">
        <v>1</v>
      </c>
      <c r="M24" s="46" t="n">
        <v>14397.92765234248</v>
      </c>
      <c r="N24" s="47">
        <f>IF(H24="Serviço",M24*L24,IF(H24="CÉLULA CONSTRUTIVA",SUMIFS($N$8:$N$442,$B$8:$B$442,B24,$H$8:$H$442,"Serviço"),IF(H24="ETAPA",SUMIFS($N$8:$N$442,$B$8:$B$442,B24,$C$8:$C$442,C24,$H$8:$H$442,"Serviço"),IF(H24="SUBETAPA",SUMIFS($N$8:$N$442,$B$8:$B$442,B24,$C$8:$C$442,C24,$D$8:$D$442,D24,$H$8:$H$442,"Serviço"),0))))</f>
        <v/>
      </c>
      <c r="O24" s="41" t="n"/>
      <c r="P24" s="42" t="n"/>
      <c r="Q24" s="43" t="n"/>
      <c r="R24" s="44" t="n"/>
    </row>
    <row r="25" outlineLevel="2" ht="13.95" customFormat="1" customHeight="1" s="31">
      <c r="A25" s="199">
        <f>IF($H25="UNIDADE CONSTRUTIVA",OFFSET(A25,-1,0)+1,LARGE(A$3:A24,1))</f>
        <v/>
      </c>
      <c r="B25" s="199">
        <f>IF(H25="UNIDADE CONSTRUTIVA",0,IF(H25="CÉLULA CONSTRUTIVA",OFFSET(B25,-1,0)+1,OFFSET(B25,-1,0)))</f>
        <v/>
      </c>
      <c r="C25" s="199">
        <f>IF(H25="CÉLULA CONSTRUTIVA",0,IF(H25="ETAPA",OFFSET(C25,-1,0)+1,OFFSET(C25,-1,0)))</f>
        <v/>
      </c>
      <c r="D25" s="200">
        <f>IF(H25="ETAPA",0,IF(H25="SUBETAPA",OFFSET(D25,-1,0)+1,OFFSET(D25,-1,0)))</f>
        <v/>
      </c>
      <c r="E25" s="200">
        <f>IF(H25="Subetapa",0,IF(H25="serviço",OFFSET(E25,-1,0)+1,OFFSET(E25,-1,0)))</f>
        <v/>
      </c>
      <c r="G25" s="41" t="n"/>
      <c r="H25" s="42" t="inlineStr">
        <is>
          <t>SERVIÇO</t>
        </is>
      </c>
      <c r="I25" s="43">
        <f>IF(H25="Unidade Construtiva",TEXT(A25,"00"),IF(H25="Célula Construtiva",TEXT(B25,"00"),IF(H25="Etapa",CONCATENATE(TEXT(B25,"00"),".",TEXT(C25,"000")),IF(H25="Subetapa",CONCATENATE(TEXT(B25,"00"),".",TEXT(C25,"000"),".",TEXT(D25,"000")),IF(H25="Serviço",CONCATENATE(TEXT(B25,"00"),".",TEXT(C25,"000"),".",TEXT(D25,"000"),".",TEXT(E25,"000")),"")))))</f>
        <v/>
      </c>
      <c r="J25" s="44" t="inlineStr">
        <is>
          <t>Orçamento e planejamento</t>
        </is>
      </c>
      <c r="K25" s="46" t="inlineStr">
        <is>
          <t>vb</t>
        </is>
      </c>
      <c r="L25" s="46" t="n">
        <v>1</v>
      </c>
      <c r="M25" s="46" t="n">
        <v>27770</v>
      </c>
      <c r="N25" s="47">
        <f>IF(H25="Serviço",M25*L25,IF(H25="CÉLULA CONSTRUTIVA",SUMIFS($N$8:$N$442,$B$8:$B$442,B25,$H$8:$H$442,"Serviço"),IF(H25="ETAPA",SUMIFS($N$8:$N$442,$B$8:$B$442,B25,$C$8:$C$442,C25,$H$8:$H$442,"Serviço"),IF(H25="SUBETAPA",SUMIFS($N$8:$N$442,$B$8:$B$442,B25,$C$8:$C$442,C25,$D$8:$D$442,D25,$H$8:$H$442,"Serviço"),0))))</f>
        <v/>
      </c>
      <c r="O25" s="41" t="n"/>
      <c r="P25" s="42" t="n"/>
      <c r="Q25" s="43" t="n"/>
      <c r="R25" s="44" t="n"/>
    </row>
    <row r="26" outlineLevel="2" ht="13.95" customFormat="1" customHeight="1" s="31">
      <c r="A26" s="199">
        <f>IF($H26="UNIDADE CONSTRUTIVA",OFFSET(A26,-1,0)+1,LARGE(A$3:A25,1))</f>
        <v/>
      </c>
      <c r="B26" s="199">
        <f>IF(H26="UNIDADE CONSTRUTIVA",0,IF(H26="CÉLULA CONSTRUTIVA",OFFSET(B26,-1,0)+1,OFFSET(B26,-1,0)))</f>
        <v/>
      </c>
      <c r="C26" s="199">
        <f>IF(H26="CÉLULA CONSTRUTIVA",0,IF(H26="ETAPA",OFFSET(C26,-1,0)+1,OFFSET(C26,-1,0)))</f>
        <v/>
      </c>
      <c r="D26" s="200">
        <f>IF(H26="ETAPA",0,IF(H26="SUBETAPA",OFFSET(D26,-1,0)+1,OFFSET(D26,-1,0)))</f>
        <v/>
      </c>
      <c r="E26" s="200">
        <f>IF(H26="Subetapa",0,IF(H26="serviço",OFFSET(E26,-1,0)+1,OFFSET(E26,-1,0)))</f>
        <v/>
      </c>
      <c r="G26" s="41" t="n"/>
      <c r="H26" s="42" t="inlineStr">
        <is>
          <t>SERVIÇO</t>
        </is>
      </c>
      <c r="I26" s="43">
        <f>IF(H26="Unidade Construtiva",TEXT(A26,"00"),IF(H26="Célula Construtiva",TEXT(B26,"00"),IF(H26="Etapa",CONCATENATE(TEXT(B26,"00"),".",TEXT(C26,"000")),IF(H26="Subetapa",CONCATENATE(TEXT(B26,"00"),".",TEXT(C26,"000"),".",TEXT(D26,"000")),IF(H26="Serviço",CONCATENATE(TEXT(B26,"00"),".",TEXT(C26,"000"),".",TEXT(D26,"000"),".",TEXT(E26,"000")),"")))))</f>
        <v/>
      </c>
      <c r="J26" s="44" t="inlineStr">
        <is>
          <t>Consultoria em Licenciamento Ambiental</t>
        </is>
      </c>
      <c r="K26" s="46" t="inlineStr">
        <is>
          <t>vb</t>
        </is>
      </c>
      <c r="L26" s="46" t="n">
        <v>1</v>
      </c>
      <c r="M26" s="46" t="n">
        <v>10973.193</v>
      </c>
      <c r="N26" s="47">
        <f>IF(H26="Serviço",M26*L26,IF(H26="CÉLULA CONSTRUTIVA",SUMIFS($N$8:$N$442,$B$8:$B$442,B26,$H$8:$H$442,"Serviço"),IF(H26="ETAPA",SUMIFS($N$8:$N$442,$B$8:$B$442,B26,$C$8:$C$442,C26,$H$8:$H$442,"Serviço"),IF(H26="SUBETAPA",SUMIFS($N$8:$N$442,$B$8:$B$442,B26,$C$8:$C$442,C26,$D$8:$D$442,D26,$H$8:$H$442,"Serviço"),0))))</f>
        <v/>
      </c>
      <c r="O26" s="41" t="n"/>
      <c r="P26" s="42" t="n"/>
      <c r="Q26" s="43" t="n"/>
      <c r="R26" s="44" t="n"/>
    </row>
    <row r="27" outlineLevel="1" ht="13.95" customFormat="1" customHeight="1" s="31">
      <c r="A27" s="199">
        <f>IF($H27="UNIDADE CONSTRUTIVA",OFFSET(A27,-1,0)+1,LARGE(A$3:A26,1))</f>
        <v/>
      </c>
      <c r="B27" s="199">
        <f>IF(H27="UNIDADE CONSTRUTIVA",0,IF(H27="CÉLULA CONSTRUTIVA",OFFSET(B27,-1,0)+1,OFFSET(B27,-1,0)))</f>
        <v/>
      </c>
      <c r="C27" s="199">
        <f>IF(H27="CÉLULA CONSTRUTIVA",0,IF(H27="ETAPA",OFFSET(C27,-1,0)+1,OFFSET(C27,-1,0)))</f>
        <v/>
      </c>
      <c r="D27" s="200">
        <f>IF(H27="ETAPA",0,IF(H27="SUBETAPA",OFFSET(D27,-1,0)+1,OFFSET(D27,-1,0)))</f>
        <v/>
      </c>
      <c r="E27" s="200">
        <f>IF(H27="Subetapa",0,IF(H27="serviço",OFFSET(E27,-1,0)+1,OFFSET(E27,-1,0)))</f>
        <v/>
      </c>
      <c r="G27" s="41" t="n"/>
      <c r="H27" s="42" t="inlineStr">
        <is>
          <t>SUBETAPA</t>
        </is>
      </c>
      <c r="I27" s="43">
        <f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/>
      </c>
      <c r="J27" s="44" t="inlineStr">
        <is>
          <t>Ensaios</t>
        </is>
      </c>
      <c r="K27" s="46" t="n"/>
      <c r="L27" s="46" t="n"/>
      <c r="M27" s="46" t="n"/>
      <c r="N27" s="47">
        <f>IF(H27="Serviço",M27*L27,IF(H27="CÉLULA CONSTRUTIVA",SUMIFS($N$8:$N$442,$B$8:$B$442,B27,$H$8:$H$442,"Serviço"),IF(H27="ETAPA",SUMIFS($N$8:$N$442,$B$8:$B$442,B27,$C$8:$C$442,C27,$H$8:$H$442,"Serviço"),IF(H27="SUBETAPA",SUMIFS($N$8:$N$442,$B$8:$B$442,B27,$C$8:$C$442,C27,$D$8:$D$442,D27,$H$8:$H$442,"Serviço"),0))))</f>
        <v/>
      </c>
      <c r="O27" s="41" t="n"/>
      <c r="P27" s="42" t="n"/>
      <c r="Q27" s="43" t="n"/>
      <c r="R27" s="44" t="n"/>
    </row>
    <row r="28" outlineLevel="2" ht="13.95" customFormat="1" customHeight="1" s="31">
      <c r="A28" s="199">
        <f>IF($H28="UNIDADE CONSTRUTIVA",OFFSET(A28,-1,0)+1,LARGE(A$3:A27,1))</f>
        <v/>
      </c>
      <c r="B28" s="199">
        <f>IF(H28="UNIDADE CONSTRUTIVA",0,IF(H28="CÉLULA CONSTRUTIVA",OFFSET(B28,-1,0)+1,OFFSET(B28,-1,0)))</f>
        <v/>
      </c>
      <c r="C28" s="199">
        <f>IF(H28="CÉLULA CONSTRUTIVA",0,IF(H28="ETAPA",OFFSET(C28,-1,0)+1,OFFSET(C28,-1,0)))</f>
        <v/>
      </c>
      <c r="D28" s="200">
        <f>IF(H28="ETAPA",0,IF(H28="SUBETAPA",OFFSET(D28,-1,0)+1,OFFSET(D28,-1,0)))</f>
        <v/>
      </c>
      <c r="E28" s="200">
        <f>IF(H28="Subetapa",0,IF(H28="serviço",OFFSET(E28,-1,0)+1,OFFSET(E28,-1,0)))</f>
        <v/>
      </c>
      <c r="G28" s="41" t="n"/>
      <c r="H28" s="42" t="inlineStr">
        <is>
          <t>SERVIÇO</t>
        </is>
      </c>
      <c r="I28" s="43">
        <f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/>
      </c>
      <c r="J28" s="44" t="inlineStr">
        <is>
          <t>Controle tecnológico do concreto</t>
        </is>
      </c>
      <c r="K28" s="46" t="inlineStr">
        <is>
          <t>vb</t>
        </is>
      </c>
      <c r="L28" s="46" t="n">
        <v>1</v>
      </c>
      <c r="M28" s="46" t="n">
        <v>56607.5</v>
      </c>
      <c r="N28" s="47">
        <f>IF(H28="Serviço",M28*L28,IF(H28="CÉLULA CONSTRUTIVA",SUMIFS($N$8:$N$442,$B$8:$B$442,B28,$H$8:$H$442,"Serviço"),IF(H28="ETAPA",SUMIFS($N$8:$N$442,$B$8:$B$442,B28,$C$8:$C$442,C28,$H$8:$H$442,"Serviço"),IF(H28="SUBETAPA",SUMIFS($N$8:$N$442,$B$8:$B$442,B28,$C$8:$C$442,C28,$D$8:$D$442,D28,$H$8:$H$442,"Serviço"),0))))</f>
        <v/>
      </c>
      <c r="O28" s="41" t="n"/>
      <c r="P28" s="42" t="n"/>
      <c r="Q28" s="43" t="n"/>
      <c r="R28" s="44" t="n"/>
    </row>
    <row r="29" outlineLevel="2" ht="10.8" customFormat="1" customHeight="1" s="31">
      <c r="A29" s="199">
        <f>IF($H29="UNIDADE CONSTRUTIVA",OFFSET(A29,-1,0)+1,LARGE(A$3:A28,1))</f>
        <v/>
      </c>
      <c r="B29" s="199">
        <f>IF(H29="UNIDADE CONSTRUTIVA",0,IF(H29="CÉLULA CONSTRUTIVA",OFFSET(B29,-1,0)+1,OFFSET(B29,-1,0)))</f>
        <v/>
      </c>
      <c r="C29" s="199">
        <f>IF(H29="CÉLULA CONSTRUTIVA",0,IF(H29="ETAPA",OFFSET(C29,-1,0)+1,OFFSET(C29,-1,0)))</f>
        <v/>
      </c>
      <c r="D29" s="200">
        <f>IF(H29="ETAPA",0,IF(H29="SUBETAPA",OFFSET(D29,-1,0)+1,OFFSET(D29,-1,0)))</f>
        <v/>
      </c>
      <c r="E29" s="200">
        <f>IF(H29="Subetapa",0,IF(H29="serviço",OFFSET(E29,-1,0)+1,OFFSET(E29,-1,0)))</f>
        <v/>
      </c>
      <c r="G29" s="41" t="n"/>
      <c r="H29" s="42" t="inlineStr">
        <is>
          <t>SERVIÇO</t>
        </is>
      </c>
      <c r="I29" s="43">
        <f>IF(H29="Unidade Construtiva",TEXT(A29,"00"),IF(H29="Célula Construtiva",TEXT(B29,"00"),IF(H29="Etapa",CONCATENATE(TEXT(B29,"00"),".",TEXT(C29,"000")),IF(H29="Subetapa",CONCATENATE(TEXT(B29,"00"),".",TEXT(C29,"000"),".",TEXT(D29,"000")),IF(H29="Serviço",CONCATENATE(TEXT(B29,"00"),".",TEXT(C29,"000"),".",TEXT(D29,"000"),".",TEXT(E29,"000")),"")))))</f>
        <v/>
      </c>
      <c r="J29" s="44" t="inlineStr">
        <is>
          <t>Prova de carga</t>
        </is>
      </c>
      <c r="K29" s="46" t="inlineStr">
        <is>
          <t>vb</t>
        </is>
      </c>
      <c r="L29" s="46" t="n">
        <v>1</v>
      </c>
      <c r="M29" s="46" t="n">
        <v>5900</v>
      </c>
      <c r="N29" s="47">
        <f>IF(H29="Serviço",M29*L29,IF(H29="CÉLULA CONSTRUTIVA",SUMIFS($N$8:$N$442,$B$8:$B$442,B29,$H$8:$H$442,"Serviço"),IF(H29="ETAPA",SUMIFS($N$8:$N$442,$B$8:$B$442,B29,$C$8:$C$442,C29,$H$8:$H$442,"Serviço"),IF(H29="SUBETAPA",SUMIFS($N$8:$N$442,$B$8:$B$442,B29,$C$8:$C$442,C29,$D$8:$D$442,D29,$H$8:$H$442,"Serviço"),0))))</f>
        <v/>
      </c>
      <c r="O29" s="41" t="n"/>
      <c r="P29" s="42" t="n"/>
      <c r="Q29" s="43" t="n"/>
      <c r="R29" s="44" t="n"/>
    </row>
    <row r="30" outlineLevel="2" ht="13.95" customFormat="1" customHeight="1" s="31">
      <c r="A30" s="199">
        <f>IF($H30="UNIDADE CONSTRUTIVA",OFFSET(A30,-1,0)+1,LARGE(A$3:A29,1))</f>
        <v/>
      </c>
      <c r="B30" s="199">
        <f>IF(H30="UNIDADE CONSTRUTIVA",0,IF(H30="CÉLULA CONSTRUTIVA",OFFSET(B30,-1,0)+1,OFFSET(B30,-1,0)))</f>
        <v/>
      </c>
      <c r="C30" s="199">
        <f>IF(H30="CÉLULA CONSTRUTIVA",0,IF(H30="ETAPA",OFFSET(C30,-1,0)+1,OFFSET(C30,-1,0)))</f>
        <v/>
      </c>
      <c r="D30" s="200">
        <f>IF(H30="ETAPA",0,IF(H30="SUBETAPA",OFFSET(D30,-1,0)+1,OFFSET(D30,-1,0)))</f>
        <v/>
      </c>
      <c r="E30" s="200">
        <f>IF(H30="Subetapa",0,IF(H30="serviço",OFFSET(E30,-1,0)+1,OFFSET(E30,-1,0)))</f>
        <v/>
      </c>
      <c r="G30" s="41" t="n"/>
      <c r="H30" s="42" t="inlineStr">
        <is>
          <t>SERVIÇO</t>
        </is>
      </c>
      <c r="I30" s="43">
        <f>IF(H30="Unidade Construtiva",TEXT(A30,"00"),IF(H30="Célula Construtiva",TEXT(B30,"00"),IF(H30="Etapa",CONCATENATE(TEXT(B30,"00"),".",TEXT(C30,"000")),IF(H30="Subetapa",CONCATENATE(TEXT(B30,"00"),".",TEXT(C30,"000"),".",TEXT(D30,"000")),IF(H30="Serviço",CONCATENATE(TEXT(B30,"00"),".",TEXT(C30,"000"),".",TEXT(D30,"000"),".",TEXT(E30,"000")),"")))))</f>
        <v/>
      </c>
      <c r="J30" s="44" t="inlineStr">
        <is>
          <t>Ensaio de arrancamento de reboco</t>
        </is>
      </c>
      <c r="K30" s="46" t="inlineStr">
        <is>
          <t>vb</t>
        </is>
      </c>
      <c r="L30" s="46" t="n">
        <v>1</v>
      </c>
      <c r="M30" s="46" t="n">
        <v>6300</v>
      </c>
      <c r="N30" s="47">
        <f>IF(H30="Serviço",M30*L30,IF(H30="CÉLULA CONSTRUTIVA",SUMIFS($N$8:$N$442,$B$8:$B$442,B30,$H$8:$H$442,"Serviço"),IF(H30="ETAPA",SUMIFS($N$8:$N$442,$B$8:$B$442,B30,$C$8:$C$442,C30,$H$8:$H$442,"Serviço"),IF(H30="SUBETAPA",SUMIFS($N$8:$N$442,$B$8:$B$442,B30,$C$8:$C$442,C30,$D$8:$D$442,D30,$H$8:$H$442,"Serviço"),0))))</f>
        <v/>
      </c>
      <c r="O30" s="41" t="n"/>
      <c r="P30" s="42" t="n"/>
      <c r="Q30" s="43" t="n"/>
      <c r="R30" s="44" t="n"/>
    </row>
    <row r="31" outlineLevel="2" ht="13.95" customFormat="1" customHeight="1" s="31">
      <c r="A31" s="199">
        <f>IF($H31="UNIDADE CONSTRUTIVA",OFFSET(A31,-1,0)+1,LARGE(A$3:A30,1))</f>
        <v/>
      </c>
      <c r="B31" s="199">
        <f>IF(H31="UNIDADE CONSTRUTIVA",0,IF(H31="CÉLULA CONSTRUTIVA",OFFSET(B31,-1,0)+1,OFFSET(B31,-1,0)))</f>
        <v/>
      </c>
      <c r="C31" s="199">
        <f>IF(H31="CÉLULA CONSTRUTIVA",0,IF(H31="ETAPA",OFFSET(C31,-1,0)+1,OFFSET(C31,-1,0)))</f>
        <v/>
      </c>
      <c r="D31" s="200">
        <f>IF(H31="ETAPA",0,IF(H31="SUBETAPA",OFFSET(D31,-1,0)+1,OFFSET(D31,-1,0)))</f>
        <v/>
      </c>
      <c r="E31" s="200">
        <f>IF(H31="Subetapa",0,IF(H31="serviço",OFFSET(E31,-1,0)+1,OFFSET(E31,-1,0)))</f>
        <v/>
      </c>
      <c r="G31" s="41" t="n"/>
      <c r="H31" s="42" t="inlineStr">
        <is>
          <t>SERVIÇO</t>
        </is>
      </c>
      <c r="I31" s="43">
        <f>IF(H31="Unidade Construtiva",TEXT(A31,"00"),IF(H31="Célula Construtiva",TEXT(B31,"00"),IF(H31="Etapa",CONCATENATE(TEXT(B31,"00"),".",TEXT(C31,"000")),IF(H31="Subetapa",CONCATENATE(TEXT(B31,"00"),".",TEXT(C31,"000"),".",TEXT(D31,"000")),IF(H31="Serviço",CONCATENATE(TEXT(B31,"00"),".",TEXT(C31,"000"),".",TEXT(D31,"000"),".",TEXT(E31,"000")),"")))))</f>
        <v/>
      </c>
      <c r="J31" s="44" t="inlineStr">
        <is>
          <t>Laudo de Vizinhança</t>
        </is>
      </c>
      <c r="K31" s="46" t="inlineStr">
        <is>
          <t>vb</t>
        </is>
      </c>
      <c r="L31" s="46" t="n">
        <v>1</v>
      </c>
      <c r="M31" s="46" t="n">
        <v>1478.13</v>
      </c>
      <c r="N31" s="47">
        <f>IF(H31="Serviço",M31*L31,IF(H31="CÉLULA CONSTRUTIVA",SUMIFS($N$8:$N$442,$B$8:$B$442,B31,$H$8:$H$442,"Serviço"),IF(H31="ETAPA",SUMIFS($N$8:$N$442,$B$8:$B$442,B31,$C$8:$C$442,C31,$H$8:$H$442,"Serviço"),IF(H31="SUBETAPA",SUMIFS($N$8:$N$442,$B$8:$B$442,B31,$C$8:$C$442,C31,$D$8:$D$442,D31,$H$8:$H$442,"Serviço"),0))))</f>
        <v/>
      </c>
      <c r="O31" s="41" t="n"/>
      <c r="P31" s="42" t="n"/>
      <c r="Q31" s="43" t="n"/>
      <c r="R31" s="44" t="n"/>
    </row>
    <row r="32" outlineLevel="1" ht="17.25" customFormat="1" customHeight="1" s="31">
      <c r="A32" s="199">
        <f>IF($H32="UNIDADE CONSTRUTIVA",OFFSET(A32,-1,0)+1,LARGE(A$3:A31,1))</f>
        <v/>
      </c>
      <c r="B32" s="199">
        <f>IF(H32="UNIDADE CONSTRUTIVA",0,IF(H32="CÉLULA CONSTRUTIVA",OFFSET(B32,-1,0)+1,OFFSET(B32,-1,0)))</f>
        <v/>
      </c>
      <c r="C32" s="199">
        <f>IF(H32="CÉLULA CONSTRUTIVA",0,IF(H32="ETAPA",OFFSET(C32,-1,0)+1,OFFSET(C32,-1,0)))</f>
        <v/>
      </c>
      <c r="D32" s="200">
        <f>IF(H32="ETAPA",0,IF(H32="SUBETAPA",OFFSET(D32,-1,0)+1,OFFSET(D32,-1,0)))</f>
        <v/>
      </c>
      <c r="E32" s="200">
        <f>IF(H32="Subetapa",0,IF(H32="serviço",OFFSET(E32,-1,0)+1,OFFSET(E32,-1,0)))</f>
        <v/>
      </c>
      <c r="G32" s="41" t="n"/>
      <c r="H32" s="42" t="inlineStr">
        <is>
          <t>ETAPA</t>
        </is>
      </c>
      <c r="I32" s="43">
        <f>IF(H32="Unidade Construtiva",TEXT(A32,"00"),IF(H32="Célula Construtiva",TEXT(B32,"00"),IF(H32="Etapa",CONCATENATE(TEXT(B32,"00"),".",TEXT(C32,"000")),IF(H32="Subetapa",CONCATENATE(TEXT(B32,"00"),".",TEXT(C32,"000"),".",TEXT(D32,"000")),IF(H32="Serviço",CONCATENATE(TEXT(B32,"00"),".",TEXT(C32,"000"),".",TEXT(D32,"000"),".",TEXT(E32,"000")),"")))))</f>
        <v/>
      </c>
      <c r="J32" s="44" t="inlineStr">
        <is>
          <t xml:space="preserve">CONSUMOS, TAXAS E DOCUMENTOS </t>
        </is>
      </c>
      <c r="K32" s="46" t="n"/>
      <c r="L32" s="46" t="n"/>
      <c r="M32" s="46" t="n"/>
      <c r="N32" s="47">
        <f>IF(H32="Serviço",M32*L32,IF(H32="CÉLULA CONSTRUTIVA",SUMIFS($N$8:$N$442,$B$8:$B$442,B32,$H$8:$H$442,"Serviço"),IF(H32="ETAPA",SUMIFS($N$8:$N$442,$B$8:$B$442,B32,$C$8:$C$442,C32,$H$8:$H$442,"Serviço"),IF(H32="SUBETAPA",SUMIFS($N$8:$N$442,$B$8:$B$442,B32,$C$8:$C$442,C32,$D$8:$D$442,D32,$H$8:$H$442,"Serviço"),0))))</f>
        <v/>
      </c>
      <c r="O32" s="41" t="n"/>
      <c r="P32" s="42" t="n"/>
      <c r="Q32" s="43" t="n"/>
      <c r="R32" s="44" t="n"/>
    </row>
    <row r="33" outlineLevel="1" ht="12" customFormat="1" customHeight="1" s="31">
      <c r="A33" s="199">
        <f>IF($H33="UNIDADE CONSTRUTIVA",OFFSET(A33,-1,0)+1,LARGE(A$3:A32,1))</f>
        <v/>
      </c>
      <c r="B33" s="199">
        <f>IF(H33="UNIDADE CONSTRUTIVA",0,IF(H33="CÉLULA CONSTRUTIVA",OFFSET(B33,-1,0)+1,OFFSET(B33,-1,0)))</f>
        <v/>
      </c>
      <c r="C33" s="199">
        <f>IF(H33="CÉLULA CONSTRUTIVA",0,IF(H33="ETAPA",OFFSET(C33,-1,0)+1,OFFSET(C33,-1,0)))</f>
        <v/>
      </c>
      <c r="D33" s="200">
        <f>IF(H33="ETAPA",0,IF(H33="SUBETAPA",OFFSET(D33,-1,0)+1,OFFSET(D33,-1,0)))</f>
        <v/>
      </c>
      <c r="E33" s="200">
        <f>IF(H33="Subetapa",0,IF(H33="serviço",OFFSET(E33,-1,0)+1,OFFSET(E33,-1,0)))</f>
        <v/>
      </c>
      <c r="G33" s="41" t="n"/>
      <c r="H33" s="42" t="inlineStr">
        <is>
          <t>SUBETAPA</t>
        </is>
      </c>
      <c r="I33" s="43">
        <f>IF(H33="Unidade Construtiva",TEXT(A33,"00"),IF(H33="Célula Construtiva",TEXT(B33,"00"),IF(H33="Etapa",CONCATENATE(TEXT(B33,"00"),".",TEXT(C33,"000")),IF(H33="Subetapa",CONCATENATE(TEXT(B33,"00"),".",TEXT(C33,"000"),".",TEXT(D33,"000")),IF(H33="Serviço",CONCATENATE(TEXT(B33,"00"),".",TEXT(C33,"000"),".",TEXT(D33,"000"),".",TEXT(E33,"000")),"")))))</f>
        <v/>
      </c>
      <c r="J33" s="48" t="inlineStr">
        <is>
          <t>Licenciamentos, Taxas, Impostos, Aprovações e Seguros</t>
        </is>
      </c>
      <c r="K33" s="46" t="n"/>
      <c r="L33" s="46" t="n"/>
      <c r="M33" s="46" t="n"/>
      <c r="N33" s="47">
        <f>IF(H33="Serviço",M33*L33,IF(H33="CÉLULA CONSTRUTIVA",SUMIFS($N$8:$N$467,$B$8:$B$467,B33,$H$8:$H$467,"Serviço"),IF(H33="ETAPA",SUMIFS($N$8:$N$467,$B$8:$B$467,B33,$C$8:$C$467,C33,$H$8:$H$467,"Serviço"),IF(H33="SUBETAPA",SUMIFS($N$8:$N$467,$B$8:$B$467,B33,$C$8:$C$467,C33,$D$8:$D$467,D33,$H$8:$H$467,"Serviço"),0))))</f>
        <v/>
      </c>
      <c r="O33" s="41" t="n"/>
      <c r="P33" s="42" t="n"/>
      <c r="Q33" s="43" t="n"/>
      <c r="R33" s="201" t="inlineStr">
        <is>
          <t>07.001.006.001 - Luminárias, lâmpadas e acessórios</t>
        </is>
      </c>
    </row>
    <row r="34" outlineLevel="2" ht="12" customFormat="1" customHeight="1" s="31">
      <c r="A34" s="199">
        <f>IF($H34="UNIDADE CONSTRUTIVA",OFFSET(A34,-1,0)+1,LARGE(A$3:A33,1))</f>
        <v/>
      </c>
      <c r="B34" s="199">
        <f>IF(H34="UNIDADE CONSTRUTIVA",0,IF(H34="CÉLULA CONSTRUTIVA",OFFSET(B34,-1,0)+1,OFFSET(B34,-1,0)))</f>
        <v/>
      </c>
      <c r="C34" s="199">
        <f>IF(H34="CÉLULA CONSTRUTIVA",0,IF(H34="ETAPA",OFFSET(C34,-1,0)+1,OFFSET(C34,-1,0)))</f>
        <v/>
      </c>
      <c r="D34" s="200">
        <f>IF(H34="ETAPA",0,IF(H34="SUBETAPA",OFFSET(D34,-1,0)+1,OFFSET(D34,-1,0)))</f>
        <v/>
      </c>
      <c r="E34" s="200">
        <f>IF(H34="Subetapa",0,IF(H34="serviço",OFFSET(E34,-1,0)+1,OFFSET(E34,-1,0)))</f>
        <v/>
      </c>
      <c r="G34" s="41" t="n"/>
      <c r="H34" s="42" t="inlineStr">
        <is>
          <t>SERVIÇO</t>
        </is>
      </c>
      <c r="I34" s="43">
        <f>IF(H34="Unidade Construtiva",TEXT(A34,"00"),IF(H34="Célula Construtiva",TEXT(B34,"00"),IF(H34="Etapa",CONCATENATE(TEXT(B34,"00"),".",TEXT(C34,"000")),IF(H34="Subetapa",CONCATENATE(TEXT(B34,"00"),".",TEXT(C34,"000"),".",TEXT(D34,"000")),IF(H34="Serviço",CONCATENATE(TEXT(B34,"00"),".",TEXT(C34,"000"),".",TEXT(D34,"000"),".",TEXT(E34,"000")),"")))))</f>
        <v/>
      </c>
      <c r="J34" s="48" t="inlineStr">
        <is>
          <t>Despesas de Seguros</t>
        </is>
      </c>
      <c r="K34" s="46" t="inlineStr">
        <is>
          <t>vb</t>
        </is>
      </c>
      <c r="L34" s="46" t="n">
        <v>1</v>
      </c>
      <c r="M34" s="46" t="n">
        <v>15642.02</v>
      </c>
      <c r="N34" s="47">
        <f>IF(H34="Serviço",M34*L34,IF(H34="CÉLULA CONSTRUTIVA",SUMIFS($N$8:$N$467,$B$8:$B$467,B34,$H$8:$H$467,"Serviço"),IF(H34="ETAPA",SUMIFS($N$8:$N$467,$B$8:$B$467,B34,$C$8:$C$467,C34,$H$8:$H$467,"Serviço"),IF(H34="SUBETAPA",SUMIFS($N$8:$N$467,$B$8:$B$467,B34,$C$8:$C$467,C34,$D$8:$D$467,D34,$H$8:$H$467,"Serviço"),0))))</f>
        <v/>
      </c>
      <c r="O34" s="41" t="n"/>
      <c r="P34" s="42" t="n"/>
      <c r="Q34" s="43" t="n"/>
      <c r="R34" s="48" t="n"/>
    </row>
    <row r="35" outlineLevel="2" ht="12" customFormat="1" customHeight="1" s="31">
      <c r="A35" s="199">
        <f>IF($H35="UNIDADE CONSTRUTIVA",OFFSET(A35,-1,0)+1,LARGE(A$3:A34,1))</f>
        <v/>
      </c>
      <c r="B35" s="199">
        <f>IF(H35="UNIDADE CONSTRUTIVA",0,IF(H35="CÉLULA CONSTRUTIVA",OFFSET(B35,-1,0)+1,OFFSET(B35,-1,0)))</f>
        <v/>
      </c>
      <c r="C35" s="199">
        <f>IF(H35="CÉLULA CONSTRUTIVA",0,IF(H35="ETAPA",OFFSET(C35,-1,0)+1,OFFSET(C35,-1,0)))</f>
        <v/>
      </c>
      <c r="D35" s="200">
        <f>IF(H35="ETAPA",0,IF(H35="SUBETAPA",OFFSET(D35,-1,0)+1,OFFSET(D35,-1,0)))</f>
        <v/>
      </c>
      <c r="E35" s="200">
        <f>IF(H35="Subetapa",0,IF(H35="serviço",OFFSET(E35,-1,0)+1,OFFSET(E35,-1,0)))</f>
        <v/>
      </c>
      <c r="G35" s="41" t="n"/>
      <c r="H35" s="42" t="inlineStr">
        <is>
          <t>SERVIÇO</t>
        </is>
      </c>
      <c r="I35" s="43">
        <f>IF(H35="Unidade Construtiva",TEXT(A35,"00"),IF(H35="Célula Construtiva",TEXT(B35,"00"),IF(H35="Etapa",CONCATENATE(TEXT(B35,"00"),".",TEXT(C35,"000")),IF(H35="Subetapa",CONCATENATE(TEXT(B35,"00"),".",TEXT(C35,"000"),".",TEXT(D35,"000")),IF(H35="Serviço",CONCATENATE(TEXT(B35,"00"),".",TEXT(C35,"000"),".",TEXT(D35,"000"),".",TEXT(E35,"000")),"")))))</f>
        <v/>
      </c>
      <c r="J35" s="48" t="inlineStr">
        <is>
          <t>Taxas de consulta de viabilidade</t>
        </is>
      </c>
      <c r="K35" s="46" t="inlineStr">
        <is>
          <t>vb</t>
        </is>
      </c>
      <c r="L35" s="46" t="n">
        <v>1</v>
      </c>
      <c r="M35" s="46" t="n">
        <v>250</v>
      </c>
      <c r="N35" s="47">
        <f>IF(H35="Serviço",M35*L35,IF(H35="CÉLULA CONSTRUTIVA",SUMIFS($N$8:$N$467,$B$8:$B$467,B35,$H$8:$H$467,"Serviço"),IF(H35="ETAPA",SUMIFS($N$8:$N$467,$B$8:$B$467,B35,$C$8:$C$467,C35,$H$8:$H$467,"Serviço"),IF(H35="SUBETAPA",SUMIFS($N$8:$N$467,$B$8:$B$467,B35,$C$8:$C$467,C35,$D$8:$D$467,D35,$H$8:$H$467,"Serviço"),0))))</f>
        <v/>
      </c>
      <c r="O35" s="41" t="n"/>
      <c r="P35" s="42" t="n"/>
      <c r="Q35" s="43" t="n"/>
      <c r="R35" s="48" t="n"/>
    </row>
    <row r="36" outlineLevel="2" ht="12" customFormat="1" customHeight="1" s="31">
      <c r="A36" s="199">
        <f>IF($H36="UNIDADE CONSTRUTIVA",OFFSET(A36,-1,0)+1,LARGE(A$3:A35,1))</f>
        <v/>
      </c>
      <c r="B36" s="199">
        <f>IF(H36="UNIDADE CONSTRUTIVA",0,IF(H36="CÉLULA CONSTRUTIVA",OFFSET(B36,-1,0)+1,OFFSET(B36,-1,0)))</f>
        <v/>
      </c>
      <c r="C36" s="199">
        <f>IF(H36="CÉLULA CONSTRUTIVA",0,IF(H36="ETAPA",OFFSET(C36,-1,0)+1,OFFSET(C36,-1,0)))</f>
        <v/>
      </c>
      <c r="D36" s="200">
        <f>IF(H36="ETAPA",0,IF(H36="SUBETAPA",OFFSET(D36,-1,0)+1,OFFSET(D36,-1,0)))</f>
        <v/>
      </c>
      <c r="E36" s="200">
        <f>IF(H36="Subetapa",0,IF(H36="serviço",OFFSET(E36,-1,0)+1,OFFSET(E36,-1,0)))</f>
        <v/>
      </c>
      <c r="G36" s="41" t="n"/>
      <c r="H36" s="42" t="inlineStr">
        <is>
          <t>SERVIÇO</t>
        </is>
      </c>
      <c r="I36" s="43">
        <f>IF(H36="Unidade Construtiva",TEXT(A36,"00"),IF(H36="Célula Construtiva",TEXT(B36,"00"),IF(H36="Etapa",CONCATENATE(TEXT(B36,"00"),".",TEXT(C36,"000")),IF(H36="Subetapa",CONCATENATE(TEXT(B36,"00"),".",TEXT(C36,"000"),".",TEXT(D36,"000")),IF(H36="Serviço",CONCATENATE(TEXT(B36,"00"),".",TEXT(C36,"000"),".",TEXT(D36,"000"),".",TEXT(E36,"000")),"")))))</f>
        <v/>
      </c>
      <c r="J36" s="48" t="inlineStr">
        <is>
          <t>Avaliação e Legalização ambiental</t>
        </is>
      </c>
      <c r="K36" s="46" t="inlineStr">
        <is>
          <t>vb</t>
        </is>
      </c>
      <c r="L36" s="46" t="n">
        <v>1</v>
      </c>
      <c r="M36" s="46" t="n">
        <v>4538.926439230113</v>
      </c>
      <c r="N36" s="47">
        <f>IF(H36="Serviço",M36*L36,IF(H36="CÉLULA CONSTRUTIVA",SUMIFS($N$8:$N$467,$B$8:$B$467,B36,$H$8:$H$467,"Serviço"),IF(H36="ETAPA",SUMIFS($N$8:$N$467,$B$8:$B$467,B36,$C$8:$C$467,C36,$H$8:$H$467,"Serviço"),IF(H36="SUBETAPA",SUMIFS($N$8:$N$467,$B$8:$B$467,B36,$C$8:$C$467,C36,$D$8:$D$467,D36,$H$8:$H$467,"Serviço"),0))))</f>
        <v/>
      </c>
      <c r="O36" s="41" t="n"/>
      <c r="P36" s="42" t="n"/>
      <c r="Q36" s="43" t="n"/>
      <c r="R36" s="48" t="n"/>
    </row>
    <row r="37" outlineLevel="2" ht="12" customFormat="1" customHeight="1" s="31">
      <c r="A37" s="199">
        <f>IF($H37="UNIDADE CONSTRUTIVA",OFFSET(A37,-1,0)+1,LARGE(A$3:A36,1))</f>
        <v/>
      </c>
      <c r="B37" s="199">
        <f>IF(H37="UNIDADE CONSTRUTIVA",0,IF(H37="CÉLULA CONSTRUTIVA",OFFSET(B37,-1,0)+1,OFFSET(B37,-1,0)))</f>
        <v/>
      </c>
      <c r="C37" s="199">
        <f>IF(H37="CÉLULA CONSTRUTIVA",0,IF(H37="ETAPA",OFFSET(C37,-1,0)+1,OFFSET(C37,-1,0)))</f>
        <v/>
      </c>
      <c r="D37" s="200">
        <f>IF(H37="ETAPA",0,IF(H37="SUBETAPA",OFFSET(D37,-1,0)+1,OFFSET(D37,-1,0)))</f>
        <v/>
      </c>
      <c r="E37" s="200">
        <f>IF(H37="Subetapa",0,IF(H37="serviço",OFFSET(E37,-1,0)+1,OFFSET(E37,-1,0)))</f>
        <v/>
      </c>
      <c r="G37" s="41" t="n"/>
      <c r="H37" s="42" t="inlineStr">
        <is>
          <t>SERVIÇO</t>
        </is>
      </c>
      <c r="I37" s="43">
        <f>IF(H37="Unidade Construtiva",TEXT(A37,"00"),IF(H37="Célula Construtiva",TEXT(B37,"00"),IF(H37="Etapa",CONCATENATE(TEXT(B37,"00"),".",TEXT(C37,"000")),IF(H37="Subetapa",CONCATENATE(TEXT(B37,"00"),".",TEXT(C37,"000"),".",TEXT(D37,"000")),IF(H37="Serviço",CONCATENATE(TEXT(B37,"00"),".",TEXT(C37,"000"),".",TEXT(D37,"000"),".",TEXT(E37,"000")),"")))))</f>
        <v/>
      </c>
      <c r="J37" s="48" t="inlineStr">
        <is>
          <t>Aprovação e legalização prefeitura</t>
        </is>
      </c>
      <c r="K37" s="46" t="inlineStr">
        <is>
          <t>vb</t>
        </is>
      </c>
      <c r="L37" s="46" t="n">
        <v>1</v>
      </c>
      <c r="M37" s="46" t="n">
        <v>9161.734377811992</v>
      </c>
      <c r="N37" s="47">
        <f>IF(H37="Serviço",M37*L37,IF(H37="CÉLULA CONSTRUTIVA",SUMIFS($N$8:$N$467,$B$8:$B$467,B37,$H$8:$H$467,"Serviço"),IF(H37="ETAPA",SUMIFS($N$8:$N$467,$B$8:$B$467,B37,$C$8:$C$467,C37,$H$8:$H$467,"Serviço"),IF(H37="SUBETAPA",SUMIFS($N$8:$N$467,$B$8:$B$467,B37,$C$8:$C$467,C37,$D$8:$D$467,D37,$H$8:$H$467,"Serviço"),0))))</f>
        <v/>
      </c>
      <c r="O37" s="41" t="n"/>
      <c r="P37" s="42" t="n"/>
      <c r="Q37" s="43" t="n"/>
      <c r="R37" s="48" t="n"/>
    </row>
    <row r="38" outlineLevel="2" ht="12" customFormat="1" customHeight="1" s="31">
      <c r="A38" s="199">
        <f>IF($H38="UNIDADE CONSTRUTIVA",OFFSET(A38,-1,0)+1,LARGE(A$3:A37,1))</f>
        <v/>
      </c>
      <c r="B38" s="199">
        <f>IF(H38="UNIDADE CONSTRUTIVA",0,IF(H38="CÉLULA CONSTRUTIVA",OFFSET(B38,-1,0)+1,OFFSET(B38,-1,0)))</f>
        <v/>
      </c>
      <c r="C38" s="199">
        <f>IF(H38="CÉLULA CONSTRUTIVA",0,IF(H38="ETAPA",OFFSET(C38,-1,0)+1,OFFSET(C38,-1,0)))</f>
        <v/>
      </c>
      <c r="D38" s="200">
        <f>IF(H38="ETAPA",0,IF(H38="SUBETAPA",OFFSET(D38,-1,0)+1,OFFSET(D38,-1,0)))</f>
        <v/>
      </c>
      <c r="E38" s="200">
        <f>IF(H38="Subetapa",0,IF(H38="serviço",OFFSET(E38,-1,0)+1,OFFSET(E38,-1,0)))</f>
        <v/>
      </c>
      <c r="G38" s="41" t="n"/>
      <c r="H38" s="42" t="inlineStr">
        <is>
          <t>SERVIÇO</t>
        </is>
      </c>
      <c r="I38" s="43">
        <f>IF(H38="Unidade Construtiva",TEXT(A38,"00"),IF(H38="Célula Construtiva",TEXT(B38,"00"),IF(H38="Etapa",CONCATENATE(TEXT(B38,"00"),".",TEXT(C38,"000")),IF(H38="Subetapa",CONCATENATE(TEXT(B38,"00"),".",TEXT(C38,"000"),".",TEXT(D38,"000")),IF(H38="Serviço",CONCATENATE(TEXT(B38,"00"),".",TEXT(C38,"000"),".",TEXT(D38,"000"),".",TEXT(E38,"000")),"")))))</f>
        <v/>
      </c>
      <c r="J38" s="48" t="inlineStr">
        <is>
          <t>Aprovação e legalização água e esgoto</t>
        </is>
      </c>
      <c r="K38" s="46" t="inlineStr">
        <is>
          <t>vb</t>
        </is>
      </c>
      <c r="L38" s="46" t="n">
        <v>1</v>
      </c>
      <c r="M38" s="46" t="n">
        <v>3766.087383167391</v>
      </c>
      <c r="N38" s="47">
        <f>IF(H38="Serviço",M38*L38,IF(H38="CÉLULA CONSTRUTIVA",SUMIFS($N$8:$N$467,$B$8:$B$467,B38,$H$8:$H$467,"Serviço"),IF(H38="ETAPA",SUMIFS($N$8:$N$467,$B$8:$B$467,B38,$C$8:$C$467,C38,$H$8:$H$467,"Serviço"),IF(H38="SUBETAPA",SUMIFS($N$8:$N$467,$B$8:$B$467,B38,$C$8:$C$467,C38,$D$8:$D$467,D38,$H$8:$H$467,"Serviço"),0))))</f>
        <v/>
      </c>
      <c r="O38" s="41" t="n"/>
      <c r="P38" s="42" t="n"/>
      <c r="Q38" s="43" t="n"/>
      <c r="R38" s="48" t="n"/>
    </row>
    <row r="39" outlineLevel="2" ht="12" customFormat="1" customHeight="1" s="31">
      <c r="A39" s="199">
        <f>IF($H39="UNIDADE CONSTRUTIVA",OFFSET(A39,-1,0)+1,LARGE(A$3:A38,1))</f>
        <v/>
      </c>
      <c r="B39" s="199">
        <f>IF(H39="UNIDADE CONSTRUTIVA",0,IF(H39="CÉLULA CONSTRUTIVA",OFFSET(B39,-1,0)+1,OFFSET(B39,-1,0)))</f>
        <v/>
      </c>
      <c r="C39" s="199">
        <f>IF(H39="CÉLULA CONSTRUTIVA",0,IF(H39="ETAPA",OFFSET(C39,-1,0)+1,OFFSET(C39,-1,0)))</f>
        <v/>
      </c>
      <c r="D39" s="200">
        <f>IF(H39="ETAPA",0,IF(H39="SUBETAPA",OFFSET(D39,-1,0)+1,OFFSET(D39,-1,0)))</f>
        <v/>
      </c>
      <c r="E39" s="200">
        <f>IF(H39="Subetapa",0,IF(H39="serviço",OFFSET(E39,-1,0)+1,OFFSET(E39,-1,0)))</f>
        <v/>
      </c>
      <c r="G39" s="41" t="n"/>
      <c r="H39" s="42" t="inlineStr">
        <is>
          <t>SERVIÇO</t>
        </is>
      </c>
      <c r="I39" s="43">
        <f>IF(H39="Unidade Construtiva",TEXT(A39,"00"),IF(H39="Célula Construtiva",TEXT(B39,"00"),IF(H39="Etapa",CONCATENATE(TEXT(B39,"00"),".",TEXT(C39,"000")),IF(H39="Subetapa",CONCATENATE(TEXT(B39,"00"),".",TEXT(C39,"000"),".",TEXT(D39,"000")),IF(H39="Serviço",CONCATENATE(TEXT(B39,"00"),".",TEXT(C39,"000"),".",TEXT(D39,"000"),".",TEXT(E39,"000")),"")))))</f>
        <v/>
      </c>
      <c r="J39" s="48" t="inlineStr">
        <is>
          <t>Aprovação e legalização elétrico</t>
        </is>
      </c>
      <c r="K39" s="46" t="inlineStr">
        <is>
          <t>vb</t>
        </is>
      </c>
      <c r="L39" s="46" t="n">
        <v>1</v>
      </c>
      <c r="M39" s="46" t="n">
        <v>3365.217743938148</v>
      </c>
      <c r="N39" s="47">
        <f>IF(H39="Serviço",M39*L39,IF(H39="CÉLULA CONSTRUTIVA",SUMIFS($N$8:$N$467,$B$8:$B$467,B39,$H$8:$H$467,"Serviço"),IF(H39="ETAPA",SUMIFS($N$8:$N$467,$B$8:$B$467,B39,$C$8:$C$467,C39,$H$8:$H$467,"Serviço"),IF(H39="SUBETAPA",SUMIFS($N$8:$N$467,$B$8:$B$467,B39,$C$8:$C$467,C39,$D$8:$D$467,D39,$H$8:$H$467,"Serviço"),0))))</f>
        <v/>
      </c>
      <c r="O39" s="41" t="n"/>
      <c r="P39" s="42" t="n"/>
      <c r="Q39" s="43" t="n"/>
      <c r="R39" s="48" t="n"/>
    </row>
    <row r="40" outlineLevel="2" ht="12" customFormat="1" customHeight="1" s="31">
      <c r="A40" s="199">
        <f>IF($H40="UNIDADE CONSTRUTIVA",OFFSET(A40,-1,0)+1,LARGE(A$3:A39,1))</f>
        <v/>
      </c>
      <c r="B40" s="199">
        <f>IF(H40="UNIDADE CONSTRUTIVA",0,IF(H40="CÉLULA CONSTRUTIVA",OFFSET(B40,-1,0)+1,OFFSET(B40,-1,0)))</f>
        <v/>
      </c>
      <c r="C40" s="199">
        <f>IF(H40="CÉLULA CONSTRUTIVA",0,IF(H40="ETAPA",OFFSET(C40,-1,0)+1,OFFSET(C40,-1,0)))</f>
        <v/>
      </c>
      <c r="D40" s="200">
        <f>IF(H40="ETAPA",0,IF(H40="SUBETAPA",OFFSET(D40,-1,0)+1,OFFSET(D40,-1,0)))</f>
        <v/>
      </c>
      <c r="E40" s="200">
        <f>IF(H40="Subetapa",0,IF(H40="serviço",OFFSET(E40,-1,0)+1,OFFSET(E40,-1,0)))</f>
        <v/>
      </c>
      <c r="G40" s="41" t="n"/>
      <c r="H40" s="42" t="inlineStr">
        <is>
          <t>SERVIÇO</t>
        </is>
      </c>
      <c r="I40" s="43">
        <f>IF(H40="Unidade Construtiva",TEXT(A40,"00"),IF(H40="Célula Construtiva",TEXT(B40,"00"),IF(H40="Etapa",CONCATENATE(TEXT(B40,"00"),".",TEXT(C40,"000")),IF(H40="Subetapa",CONCATENATE(TEXT(B40,"00"),".",TEXT(C40,"000"),".",TEXT(D40,"000")),IF(H40="Serviço",CONCATENATE(TEXT(B40,"00"),".",TEXT(C40,"000"),".",TEXT(D40,"000"),".",TEXT(E40,"000")),"")))))</f>
        <v/>
      </c>
      <c r="J40" s="48" t="inlineStr">
        <is>
          <t>Aprovação e legalização bombeiros</t>
        </is>
      </c>
      <c r="K40" s="46" t="inlineStr">
        <is>
          <t>vb</t>
        </is>
      </c>
      <c r="L40" s="46" t="n">
        <v>1</v>
      </c>
      <c r="M40" s="46" t="n">
        <v>4608.277408875443</v>
      </c>
      <c r="N40" s="47">
        <f>IF(H40="Serviço",M40*L40,IF(H40="CÉLULA CONSTRUTIVA",SUMIFS($N$8:$N$467,$B$8:$B$467,B40,$H$8:$H$467,"Serviço"),IF(H40="ETAPA",SUMIFS($N$8:$N$467,$B$8:$B$467,B40,$C$8:$C$467,C40,$H$8:$H$467,"Serviço"),IF(H40="SUBETAPA",SUMIFS($N$8:$N$467,$B$8:$B$467,B40,$C$8:$C$467,C40,$D$8:$D$467,D40,$H$8:$H$467,"Serviço"),0))))</f>
        <v/>
      </c>
      <c r="O40" s="41" t="n"/>
      <c r="P40" s="42" t="n"/>
      <c r="Q40" s="43" t="n"/>
      <c r="R40" s="48" t="n"/>
    </row>
    <row r="41" outlineLevel="2" ht="12" customFormat="1" customHeight="1" s="31">
      <c r="A41" s="199">
        <f>IF($H41="UNIDADE CONSTRUTIVA",OFFSET(A41,-1,0)+1,LARGE(A$3:A40,1))</f>
        <v/>
      </c>
      <c r="B41" s="199">
        <f>IF(H41="UNIDADE CONSTRUTIVA",0,IF(H41="CÉLULA CONSTRUTIVA",OFFSET(B41,-1,0)+1,OFFSET(B41,-1,0)))</f>
        <v/>
      </c>
      <c r="C41" s="199">
        <f>IF(H41="CÉLULA CONSTRUTIVA",0,IF(H41="ETAPA",OFFSET(C41,-1,0)+1,OFFSET(C41,-1,0)))</f>
        <v/>
      </c>
      <c r="D41" s="200">
        <f>IF(H41="ETAPA",0,IF(H41="SUBETAPA",OFFSET(D41,-1,0)+1,OFFSET(D41,-1,0)))</f>
        <v/>
      </c>
      <c r="E41" s="200">
        <f>IF(H41="Subetapa",0,IF(H41="serviço",OFFSET(E41,-1,0)+1,OFFSET(E41,-1,0)))</f>
        <v/>
      </c>
      <c r="G41" s="41" t="n"/>
      <c r="H41" s="42" t="inlineStr">
        <is>
          <t>SERVIÇO</t>
        </is>
      </c>
      <c r="I41" s="43">
        <f>IF(H41="Unidade Construtiva",TEXT(A41,"00"),IF(H41="Célula Construtiva",TEXT(B41,"00"),IF(H41="Etapa",CONCATENATE(TEXT(B41,"00"),".",TEXT(C41,"000")),IF(H41="Subetapa",CONCATENATE(TEXT(B41,"00"),".",TEXT(C41,"000"),".",TEXT(D41,"000")),IF(H41="Serviço",CONCATENATE(TEXT(B41,"00"),".",TEXT(C41,"000"),".",TEXT(D41,"000"),".",TEXT(E41,"000")),"")))))</f>
        <v/>
      </c>
      <c r="J41" s="48" t="inlineStr">
        <is>
          <t>Taxas ART</t>
        </is>
      </c>
      <c r="K41" s="46" t="inlineStr">
        <is>
          <t>vb</t>
        </is>
      </c>
      <c r="L41" s="46" t="n">
        <v>1</v>
      </c>
      <c r="M41" s="46" t="n">
        <v>815</v>
      </c>
      <c r="N41" s="47">
        <f>IF(H41="Serviço",M41*L41,IF(H41="CÉLULA CONSTRUTIVA",SUMIFS($N$8:$N$467,$B$8:$B$467,B41,$H$8:$H$467,"Serviço"),IF(H41="ETAPA",SUMIFS($N$8:$N$467,$B$8:$B$467,B41,$C$8:$C$467,C41,$H$8:$H$467,"Serviço"),IF(H41="SUBETAPA",SUMIFS($N$8:$N$467,$B$8:$B$467,B41,$C$8:$C$467,C41,$D$8:$D$467,D41,$H$8:$H$467,"Serviço"),0))))</f>
        <v/>
      </c>
      <c r="O41" s="41" t="n"/>
      <c r="P41" s="42" t="n"/>
      <c r="Q41" s="43" t="n"/>
      <c r="R41" s="48" t="n"/>
    </row>
    <row r="42" outlineLevel="2" ht="12" customFormat="1" customHeight="1" s="31">
      <c r="A42" s="199">
        <f>IF($H42="UNIDADE CONSTRUTIVA",OFFSET(A42,-1,0)+1,LARGE(A$3:A41,1))</f>
        <v/>
      </c>
      <c r="B42" s="199">
        <f>IF(H42="UNIDADE CONSTRUTIVA",0,IF(H42="CÉLULA CONSTRUTIVA",OFFSET(B42,-1,0)+1,OFFSET(B42,-1,0)))</f>
        <v/>
      </c>
      <c r="C42" s="199">
        <f>IF(H42="CÉLULA CONSTRUTIVA",0,IF(H42="ETAPA",OFFSET(C42,-1,0)+1,OFFSET(C42,-1,0)))</f>
        <v/>
      </c>
      <c r="D42" s="200">
        <f>IF(H42="ETAPA",0,IF(H42="SUBETAPA",OFFSET(D42,-1,0)+1,OFFSET(D42,-1,0)))</f>
        <v/>
      </c>
      <c r="E42" s="200">
        <f>IF(H42="Subetapa",0,IF(H42="serviço",OFFSET(E42,-1,0)+1,OFFSET(E42,-1,0)))</f>
        <v/>
      </c>
      <c r="G42" s="41" t="n"/>
      <c r="H42" s="42" t="inlineStr">
        <is>
          <t>SERVIÇO</t>
        </is>
      </c>
      <c r="I42" s="43">
        <f>IF(H42="Unidade Construtiva",TEXT(A42,"00"),IF(H42="Célula Construtiva",TEXT(B42,"00"),IF(H42="Etapa",CONCATENATE(TEXT(B42,"00"),".",TEXT(C42,"000")),IF(H42="Subetapa",CONCATENATE(TEXT(B42,"00"),".",TEXT(C42,"000"),".",TEXT(D42,"000")),IF(H42="Serviço",CONCATENATE(TEXT(B42,"00"),".",TEXT(C42,"000"),".",TEXT(D42,"000"),".",TEXT(E42,"000")),"")))))</f>
        <v/>
      </c>
      <c r="J42" s="48" t="inlineStr">
        <is>
          <t>Taxas alvará</t>
        </is>
      </c>
      <c r="K42" s="46" t="inlineStr">
        <is>
          <t>vb</t>
        </is>
      </c>
      <c r="L42" s="46" t="n">
        <v>1</v>
      </c>
      <c r="M42" s="46" t="n">
        <v>14894.10090089646</v>
      </c>
      <c r="N42" s="47">
        <f>IF(H42="Serviço",M42*L42,IF(H42="CÉLULA CONSTRUTIVA",SUMIFS($N$8:$N$467,$B$8:$B$467,B42,$H$8:$H$467,"Serviço"),IF(H42="ETAPA",SUMIFS($N$8:$N$467,$B$8:$B$467,B42,$C$8:$C$467,C42,$H$8:$H$467,"Serviço"),IF(H42="SUBETAPA",SUMIFS($N$8:$N$467,$B$8:$B$467,B42,$C$8:$C$467,C42,$D$8:$D$467,D42,$H$8:$H$467,"Serviço"),0))))</f>
        <v/>
      </c>
      <c r="O42" s="41" t="n"/>
      <c r="P42" s="42" t="n"/>
      <c r="Q42" s="43" t="n"/>
      <c r="R42" s="48" t="n"/>
    </row>
    <row r="43" outlineLevel="2" ht="12" customFormat="1" customHeight="1" s="31">
      <c r="A43" s="199">
        <f>IF($H43="UNIDADE CONSTRUTIVA",OFFSET(A43,-1,0)+1,LARGE(A$3:A42,1))</f>
        <v/>
      </c>
      <c r="B43" s="199">
        <f>IF(H43="UNIDADE CONSTRUTIVA",0,IF(H43="CÉLULA CONSTRUTIVA",OFFSET(B43,-1,0)+1,OFFSET(B43,-1,0)))</f>
        <v/>
      </c>
      <c r="C43" s="199">
        <f>IF(H43="CÉLULA CONSTRUTIVA",0,IF(H43="ETAPA",OFFSET(C43,-1,0)+1,OFFSET(C43,-1,0)))</f>
        <v/>
      </c>
      <c r="D43" s="200">
        <f>IF(H43="ETAPA",0,IF(H43="SUBETAPA",OFFSET(D43,-1,0)+1,OFFSET(D43,-1,0)))</f>
        <v/>
      </c>
      <c r="E43" s="200">
        <f>IF(H43="Subetapa",0,IF(H43="serviço",OFFSET(E43,-1,0)+1,OFFSET(E43,-1,0)))</f>
        <v/>
      </c>
      <c r="G43" s="41" t="n"/>
      <c r="H43" s="42" t="inlineStr">
        <is>
          <t>SERVIÇO</t>
        </is>
      </c>
      <c r="I43" s="43">
        <f>IF(H43="Unidade Construtiva",TEXT(A43,"00"),IF(H43="Célula Construtiva",TEXT(B43,"00"),IF(H43="Etapa",CONCATENATE(TEXT(B43,"00"),".",TEXT(C43,"000")),IF(H43="Subetapa",CONCATENATE(TEXT(B43,"00"),".",TEXT(C43,"000"),".",TEXT(D43,"000")),IF(H43="Serviço",CONCATENATE(TEXT(B43,"00"),".",TEXT(C43,"000"),".",TEXT(D43,"000"),".",TEXT(E43,"000")),"")))))</f>
        <v/>
      </c>
      <c r="J43" s="48" t="inlineStr">
        <is>
          <t>Taxa Renovação Alvará de Construção</t>
        </is>
      </c>
      <c r="K43" s="46" t="inlineStr">
        <is>
          <t>vb</t>
        </is>
      </c>
      <c r="L43" s="46" t="n">
        <v>1</v>
      </c>
      <c r="M43" s="46" t="n">
        <v>4704.300699950872</v>
      </c>
      <c r="N43" s="47">
        <f>IF(H43="Serviço",M43*L43,IF(H43="CÉLULA CONSTRUTIVA",SUMIFS($N$8:$N$467,$B$8:$B$467,B43,$H$8:$H$467,"Serviço"),IF(H43="ETAPA",SUMIFS($N$8:$N$467,$B$8:$B$467,B43,$C$8:$C$467,C43,$H$8:$H$467,"Serviço"),IF(H43="SUBETAPA",SUMIFS($N$8:$N$467,$B$8:$B$467,B43,$C$8:$C$467,C43,$D$8:$D$467,D43,$H$8:$H$467,"Serviço"),0))))</f>
        <v/>
      </c>
      <c r="O43" s="41" t="n"/>
      <c r="P43" s="42" t="n"/>
      <c r="Q43" s="43" t="n"/>
      <c r="R43" s="48" t="n"/>
    </row>
    <row r="44" outlineLevel="2" ht="12" customFormat="1" customHeight="1" s="31">
      <c r="A44" s="199">
        <f>IF($H44="UNIDADE CONSTRUTIVA",OFFSET(A44,-1,0)+1,LARGE(A$3:A43,1))</f>
        <v/>
      </c>
      <c r="B44" s="199">
        <f>IF(H44="UNIDADE CONSTRUTIVA",0,IF(H44="CÉLULA CONSTRUTIVA",OFFSET(B44,-1,0)+1,OFFSET(B44,-1,0)))</f>
        <v/>
      </c>
      <c r="C44" s="199">
        <f>IF(H44="CÉLULA CONSTRUTIVA",0,IF(H44="ETAPA",OFFSET(C44,-1,0)+1,OFFSET(C44,-1,0)))</f>
        <v/>
      </c>
      <c r="D44" s="200">
        <f>IF(H44="ETAPA",0,IF(H44="SUBETAPA",OFFSET(D44,-1,0)+1,OFFSET(D44,-1,0)))</f>
        <v/>
      </c>
      <c r="E44" s="200">
        <f>IF(H44="Subetapa",0,IF(H44="serviço",OFFSET(E44,-1,0)+1,OFFSET(E44,-1,0)))</f>
        <v/>
      </c>
      <c r="G44" s="41" t="n"/>
      <c r="H44" s="42" t="inlineStr">
        <is>
          <t>SERVIÇO</t>
        </is>
      </c>
      <c r="I44" s="43">
        <f>IF(H44="Unidade Construtiva",TEXT(A44,"00"),IF(H44="Célula Construtiva",TEXT(B44,"00"),IF(H44="Etapa",CONCATENATE(TEXT(B44,"00"),".",TEXT(C44,"000")),IF(H44="Subetapa",CONCATENATE(TEXT(B44,"00"),".",TEXT(C44,"000"),".",TEXT(D44,"000")),IF(H44="Serviço",CONCATENATE(TEXT(B44,"00"),".",TEXT(C44,"000"),".",TEXT(D44,"000"),".",TEXT(E44,"000")),"")))))</f>
        <v/>
      </c>
      <c r="J44" s="48" t="inlineStr">
        <is>
          <t>Taxas de Alvará de Demolição</t>
        </is>
      </c>
      <c r="K44" s="46" t="inlineStr">
        <is>
          <t>vb</t>
        </is>
      </c>
      <c r="L44" s="46" t="n">
        <v>1</v>
      </c>
      <c r="M44" s="46" t="n">
        <v>435.5833981435993</v>
      </c>
      <c r="N44" s="47">
        <f>IF(H44="Serviço",M44*L44,IF(H44="CÉLULA CONSTRUTIVA",SUMIFS($N$8:$N$467,$B$8:$B$467,B44,$H$8:$H$467,"Serviço"),IF(H44="ETAPA",SUMIFS($N$8:$N$467,$B$8:$B$467,B44,$C$8:$C$467,C44,$H$8:$H$467,"Serviço"),IF(H44="SUBETAPA",SUMIFS($N$8:$N$467,$B$8:$B$467,B44,$C$8:$C$467,C44,$D$8:$D$467,D44,$H$8:$H$467,"Serviço"),0))))</f>
        <v/>
      </c>
      <c r="O44" s="41" t="n"/>
      <c r="P44" s="42" t="n"/>
      <c r="Q44" s="43" t="n"/>
      <c r="R44" s="48" t="n"/>
    </row>
    <row r="45" outlineLevel="2" ht="12" customFormat="1" customHeight="1" s="31">
      <c r="A45" s="199">
        <f>IF($H45="UNIDADE CONSTRUTIVA",OFFSET(A45,-1,0)+1,LARGE(A$3:A44,1))</f>
        <v/>
      </c>
      <c r="B45" s="199">
        <f>IF(H45="UNIDADE CONSTRUTIVA",0,IF(H45="CÉLULA CONSTRUTIVA",OFFSET(B45,-1,0)+1,OFFSET(B45,-1,0)))</f>
        <v/>
      </c>
      <c r="C45" s="199">
        <f>IF(H45="CÉLULA CONSTRUTIVA",0,IF(H45="ETAPA",OFFSET(C45,-1,0)+1,OFFSET(C45,-1,0)))</f>
        <v/>
      </c>
      <c r="D45" s="200">
        <f>IF(H45="ETAPA",0,IF(H45="SUBETAPA",OFFSET(D45,-1,0)+1,OFFSET(D45,-1,0)))</f>
        <v/>
      </c>
      <c r="E45" s="200">
        <f>IF(H45="Subetapa",0,IF(H45="serviço",OFFSET(E45,-1,0)+1,OFFSET(E45,-1,0)))</f>
        <v/>
      </c>
      <c r="G45" s="41" t="n"/>
      <c r="H45" s="42" t="inlineStr">
        <is>
          <t>SERVIÇO</t>
        </is>
      </c>
      <c r="I45" s="43">
        <f>IF(H45="Unidade Construtiva",TEXT(A45,"00"),IF(H45="Célula Construtiva",TEXT(B45,"00"),IF(H45="Etapa",CONCATENATE(TEXT(B45,"00"),".",TEXT(C45,"000")),IF(H45="Subetapa",CONCATENATE(TEXT(B45,"00"),".",TEXT(C45,"000"),".",TEXT(D45,"000")),IF(H45="Serviço",CONCATENATE(TEXT(B45,"00"),".",TEXT(C45,"000"),".",TEXT(D45,"000"),".",TEXT(E45,"000")),"")))))</f>
        <v/>
      </c>
      <c r="J45" s="48" t="inlineStr">
        <is>
          <t>Despesas cartório, licenças, certidões e jurídicas</t>
        </is>
      </c>
      <c r="K45" s="46" t="inlineStr">
        <is>
          <t>vb</t>
        </is>
      </c>
      <c r="L45" s="46" t="n">
        <v>1</v>
      </c>
      <c r="M45" s="46" t="n">
        <v>3808.189102578955</v>
      </c>
      <c r="N45" s="47">
        <f>IF(H45="Serviço",M45*L45,IF(H45="CÉLULA CONSTRUTIVA",SUMIFS($N$8:$N$467,$B$8:$B$467,B45,$H$8:$H$467,"Serviço"),IF(H45="ETAPA",SUMIFS($N$8:$N$467,$B$8:$B$467,B45,$C$8:$C$467,C45,$H$8:$H$467,"Serviço"),IF(H45="SUBETAPA",SUMIFS($N$8:$N$467,$B$8:$B$467,B45,$C$8:$C$467,C45,$D$8:$D$467,D45,$H$8:$H$467,"Serviço"),0))))</f>
        <v/>
      </c>
      <c r="O45" s="41" t="n"/>
      <c r="P45" s="42" t="n"/>
      <c r="Q45" s="43" t="n"/>
      <c r="R45" s="48" t="n"/>
    </row>
    <row r="46" outlineLevel="2" ht="12" customFormat="1" customHeight="1" s="31">
      <c r="A46" s="199">
        <f>IF($H46="UNIDADE CONSTRUTIVA",OFFSET(A46,-1,0)+1,LARGE(A$3:A45,1))</f>
        <v/>
      </c>
      <c r="B46" s="199">
        <f>IF(H46="UNIDADE CONSTRUTIVA",0,IF(H46="CÉLULA CONSTRUTIVA",OFFSET(B46,-1,0)+1,OFFSET(B46,-1,0)))</f>
        <v/>
      </c>
      <c r="C46" s="199">
        <f>IF(H46="CÉLULA CONSTRUTIVA",0,IF(H46="ETAPA",OFFSET(C46,-1,0)+1,OFFSET(C46,-1,0)))</f>
        <v/>
      </c>
      <c r="D46" s="200">
        <f>IF(H46="ETAPA",0,IF(H46="SUBETAPA",OFFSET(D46,-1,0)+1,OFFSET(D46,-1,0)))</f>
        <v/>
      </c>
      <c r="E46" s="200">
        <f>IF(H46="Subetapa",0,IF(H46="serviço",OFFSET(E46,-1,0)+1,OFFSET(E46,-1,0)))</f>
        <v/>
      </c>
      <c r="G46" s="41" t="n"/>
      <c r="H46" s="42" t="inlineStr">
        <is>
          <t>SERVIÇO</t>
        </is>
      </c>
      <c r="I46" s="43">
        <f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/>
      </c>
      <c r="J46" s="48" t="inlineStr">
        <is>
          <t>Incorporação</t>
        </is>
      </c>
      <c r="K46" s="46" t="inlineStr">
        <is>
          <t>vb</t>
        </is>
      </c>
      <c r="L46" s="46" t="n">
        <v>1</v>
      </c>
      <c r="M46" s="46" t="n">
        <v>19248.21</v>
      </c>
      <c r="N46" s="47">
        <f>IF(H46="Serviço",M46*L46,IF(H46="CÉLULA CONSTRUTIVA",SUMIFS($N$8:$N$467,$B$8:$B$467,B46,$H$8:$H$467,"Serviço"),IF(H46="ETAPA",SUMIFS($N$8:$N$467,$B$8:$B$467,B46,$C$8:$C$467,C46,$H$8:$H$467,"Serviço"),IF(H46="SUBETAPA",SUMIFS($N$8:$N$467,$B$8:$B$467,B46,$C$8:$C$467,C46,$D$8:$D$467,D46,$H$8:$H$467,"Serviço"),0))))</f>
        <v/>
      </c>
      <c r="O46" s="41" t="n"/>
      <c r="P46" s="42" t="n"/>
      <c r="Q46" s="43" t="n"/>
      <c r="R46" s="48" t="n"/>
    </row>
    <row r="47" outlineLevel="2" ht="12" customFormat="1" customHeight="1" s="31">
      <c r="A47" s="199">
        <f>IF($H47="UNIDADE CONSTRUTIVA",OFFSET(A47,-1,0)+1,LARGE(A$3:A46,1))</f>
        <v/>
      </c>
      <c r="B47" s="199">
        <f>IF(H47="UNIDADE CONSTRUTIVA",0,IF(H47="CÉLULA CONSTRUTIVA",OFFSET(B47,-1,0)+1,OFFSET(B47,-1,0)))</f>
        <v/>
      </c>
      <c r="C47" s="199">
        <f>IF(H47="CÉLULA CONSTRUTIVA",0,IF(H47="ETAPA",OFFSET(C47,-1,0)+1,OFFSET(C47,-1,0)))</f>
        <v/>
      </c>
      <c r="D47" s="200">
        <f>IF(H47="ETAPA",0,IF(H47="SUBETAPA",OFFSET(D47,-1,0)+1,OFFSET(D47,-1,0)))</f>
        <v/>
      </c>
      <c r="E47" s="200">
        <f>IF(H47="Subetapa",0,IF(H47="serviço",OFFSET(E47,-1,0)+1,OFFSET(E47,-1,0)))</f>
        <v/>
      </c>
      <c r="G47" s="41" t="n"/>
      <c r="H47" s="42" t="inlineStr">
        <is>
          <t>SERVIÇO</t>
        </is>
      </c>
      <c r="I47" s="43">
        <f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/>
      </c>
      <c r="J47" s="48" t="inlineStr">
        <is>
          <t>IPTU</t>
        </is>
      </c>
      <c r="K47" s="46" t="inlineStr">
        <is>
          <t>vb</t>
        </is>
      </c>
      <c r="L47" s="46" t="n">
        <v>1</v>
      </c>
      <c r="M47" s="46" t="n">
        <v>14782.31</v>
      </c>
      <c r="N47" s="47">
        <f>IF(H47="Serviço",M47*L47,IF(H47="CÉLULA CONSTRUTIVA",SUMIFS($N$8:$N$467,$B$8:$B$467,B47,$H$8:$H$467,"Serviço"),IF(H47="ETAPA",SUMIFS($N$8:$N$467,$B$8:$B$467,B47,$C$8:$C$467,C47,$H$8:$H$467,"Serviço"),IF(H47="SUBETAPA",SUMIFS($N$8:$N$467,$B$8:$B$467,B47,$C$8:$C$467,C47,$D$8:$D$467,D47,$H$8:$H$467,"Serviço"),0))))</f>
        <v/>
      </c>
      <c r="O47" s="41" t="n"/>
      <c r="P47" s="42" t="n"/>
      <c r="Q47" s="43" t="n"/>
      <c r="R47" s="48" t="n"/>
    </row>
    <row r="48" outlineLevel="2" ht="12" customFormat="1" customHeight="1" s="31">
      <c r="A48" s="199">
        <f>IF($H48="UNIDADE CONSTRUTIVA",OFFSET(A48,-1,0)+1,LARGE(A$3:A47,1))</f>
        <v/>
      </c>
      <c r="B48" s="199">
        <f>IF(H48="UNIDADE CONSTRUTIVA",0,IF(H48="CÉLULA CONSTRUTIVA",OFFSET(B48,-1,0)+1,OFFSET(B48,-1,0)))</f>
        <v/>
      </c>
      <c r="C48" s="199">
        <f>IF(H48="CÉLULA CONSTRUTIVA",0,IF(H48="ETAPA",OFFSET(C48,-1,0)+1,OFFSET(C48,-1,0)))</f>
        <v/>
      </c>
      <c r="D48" s="200">
        <f>IF(H48="ETAPA",0,IF(H48="SUBETAPA",OFFSET(D48,-1,0)+1,OFFSET(D48,-1,0)))</f>
        <v/>
      </c>
      <c r="E48" s="200">
        <f>IF(H48="Subetapa",0,IF(H48="serviço",OFFSET(E48,-1,0)+1,OFFSET(E48,-1,0)))</f>
        <v/>
      </c>
      <c r="G48" s="41" t="n"/>
      <c r="H48" s="42" t="inlineStr">
        <is>
          <t>SERVIÇO</t>
        </is>
      </c>
      <c r="I48" s="43">
        <f>IF(H48="Unidade Construtiva",TEXT(A48,"00"),IF(H48="Célula Construtiva",TEXT(B48,"00"),IF(H48="Etapa",CONCATENATE(TEXT(B48,"00"),".",TEXT(C48,"000")),IF(H48="Subetapa",CONCATENATE(TEXT(B48,"00"),".",TEXT(C48,"000"),".",TEXT(D48,"000")),IF(H48="Serviço",CONCATENATE(TEXT(B48,"00"),".",TEXT(C48,"000"),".",TEXT(D48,"000"),".",TEXT(E48,"000")),"")))))</f>
        <v/>
      </c>
      <c r="J48" s="48" t="inlineStr">
        <is>
          <t>Taxa Habite-se</t>
        </is>
      </c>
      <c r="K48" s="46" t="inlineStr">
        <is>
          <t>vb</t>
        </is>
      </c>
      <c r="L48" s="46" t="n">
        <v>1</v>
      </c>
      <c r="M48" s="46" t="n">
        <v>4493.7838</v>
      </c>
      <c r="N48" s="47">
        <f>IF(H48="Serviço",M48*L48,IF(H48="CÉLULA CONSTRUTIVA",SUMIFS($N$8:$N$467,$B$8:$B$467,B48,$H$8:$H$467,"Serviço"),IF(H48="ETAPA",SUMIFS($N$8:$N$467,$B$8:$B$467,B48,$C$8:$C$467,C48,$H$8:$H$467,"Serviço"),IF(H48="SUBETAPA",SUMIFS($N$8:$N$467,$B$8:$B$467,B48,$C$8:$C$467,C48,$D$8:$D$467,D48,$H$8:$H$467,"Serviço"),0))))</f>
        <v/>
      </c>
      <c r="O48" s="41" t="n"/>
      <c r="P48" s="42" t="n"/>
      <c r="Q48" s="43" t="n"/>
      <c r="R48" s="48" t="n"/>
    </row>
    <row r="49" outlineLevel="1" ht="12" customFormat="1" customHeight="1" s="31">
      <c r="A49" s="199">
        <f>IF($H49="UNIDADE CONSTRUTIVA",OFFSET(A49,-1,0)+1,LARGE(A$3:A48,1))</f>
        <v/>
      </c>
      <c r="B49" s="199">
        <f>IF(H49="UNIDADE CONSTRUTIVA",0,IF(H49="CÉLULA CONSTRUTIVA",OFFSET(B49,-1,0)+1,OFFSET(B49,-1,0)))</f>
        <v/>
      </c>
      <c r="C49" s="199">
        <f>IF(H49="CÉLULA CONSTRUTIVA",0,IF(H49="ETAPA",OFFSET(C49,-1,0)+1,OFFSET(C49,-1,0)))</f>
        <v/>
      </c>
      <c r="D49" s="200">
        <f>IF(H49="ETAPA",0,IF(H49="SUBETAPA",OFFSET(D49,-1,0)+1,OFFSET(D49,-1,0)))</f>
        <v/>
      </c>
      <c r="E49" s="200">
        <f>IF(H49="Subetapa",0,IF(H49="serviço",OFFSET(E49,-1,0)+1,OFFSET(E49,-1,0)))</f>
        <v/>
      </c>
      <c r="G49" s="41" t="n"/>
      <c r="H49" s="42" t="inlineStr">
        <is>
          <t>SUBETAPA</t>
        </is>
      </c>
      <c r="I49" s="43">
        <f>IF(H49="Unidade Construtiva",TEXT(A49,"00"),IF(H49="Célula Construtiva",TEXT(B49,"00"),IF(H49="Etapa",CONCATENATE(TEXT(B49,"00"),".",TEXT(C49,"000")),IF(H49="Subetapa",CONCATENATE(TEXT(B49,"00"),".",TEXT(C49,"000"),".",TEXT(D49,"000")),IF(H49="Serviço",CONCATENATE(TEXT(B49,"00"),".",TEXT(C49,"000"),".",TEXT(D49,"000"),".",TEXT(E49,"000")),"")))))</f>
        <v/>
      </c>
      <c r="J49" s="48" t="inlineStr">
        <is>
          <t>Documentos</t>
        </is>
      </c>
      <c r="K49" s="46" t="n"/>
      <c r="L49" s="46" t="n"/>
      <c r="M49" s="46" t="n"/>
      <c r="N49" s="47">
        <f>IF(H49="Serviço",M49*L49,IF(H49="CÉLULA CONSTRUTIVA",SUMIFS($N$8:$N$467,$B$8:$B$467,B49,$H$8:$H$467,"Serviço"),IF(H49="ETAPA",SUMIFS($N$8:$N$467,$B$8:$B$467,B49,$C$8:$C$467,C49,$H$8:$H$467,"Serviço"),IF(H49="SUBETAPA",SUMIFS($N$8:$N$467,$B$8:$B$467,B49,$C$8:$C$467,C49,$D$8:$D$467,D49,$H$8:$H$467,"Serviço"),0))))</f>
        <v/>
      </c>
      <c r="O49" s="41" t="n"/>
      <c r="P49" s="42" t="n"/>
      <c r="Q49" s="43" t="n"/>
      <c r="R49" s="201" t="inlineStr">
        <is>
          <t>06.001.004.001 - Hidrômetro</t>
        </is>
      </c>
    </row>
    <row r="50" outlineLevel="2" ht="12" customFormat="1" customHeight="1" s="31">
      <c r="A50" s="199">
        <f>IF($H50="UNIDADE CONSTRUTIVA",OFFSET(A50,-1,0)+1,LARGE(A$3:A49,1))</f>
        <v/>
      </c>
      <c r="B50" s="199">
        <f>IF(H50="UNIDADE CONSTRUTIVA",0,IF(H50="CÉLULA CONSTRUTIVA",OFFSET(B50,-1,0)+1,OFFSET(B50,-1,0)))</f>
        <v/>
      </c>
      <c r="C50" s="199">
        <f>IF(H50="CÉLULA CONSTRUTIVA",0,IF(H50="ETAPA",OFFSET(C50,-1,0)+1,OFFSET(C50,-1,0)))</f>
        <v/>
      </c>
      <c r="D50" s="200">
        <f>IF(H50="ETAPA",0,IF(H50="SUBETAPA",OFFSET(D50,-1,0)+1,OFFSET(D50,-1,0)))</f>
        <v/>
      </c>
      <c r="E50" s="200">
        <f>IF(H50="Subetapa",0,IF(H50="serviço",OFFSET(E50,-1,0)+1,OFFSET(E50,-1,0)))</f>
        <v/>
      </c>
      <c r="G50" s="41" t="n"/>
      <c r="H50" s="42" t="inlineStr">
        <is>
          <t>SERVIÇO</t>
        </is>
      </c>
      <c r="I50" s="43">
        <f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/>
      </c>
      <c r="J50" s="48" t="inlineStr">
        <is>
          <t>As Built</t>
        </is>
      </c>
      <c r="K50" s="46" t="inlineStr">
        <is>
          <t>vb</t>
        </is>
      </c>
      <c r="L50" s="46" t="n">
        <v>1</v>
      </c>
      <c r="M50" s="46" t="n">
        <v>6051.052402604253</v>
      </c>
      <c r="N50" s="47">
        <f>IF(H50="Serviço",M50*L50,IF(H50="CÉLULA CONSTRUTIVA",SUMIFS($N$8:$N$467,$B$8:$B$467,B50,$H$8:$H$467,"Serviço"),IF(H50="ETAPA",SUMIFS($N$8:$N$467,$B$8:$B$467,B50,$C$8:$C$467,C50,$H$8:$H$467,"Serviço"),IF(H50="SUBETAPA",SUMIFS($N$8:$N$467,$B$8:$B$467,B50,$C$8:$C$467,C50,$D$8:$D$467,D50,$H$8:$H$467,"Serviço"),0))))</f>
        <v/>
      </c>
      <c r="O50" s="41" t="n"/>
      <c r="P50" s="42" t="n"/>
      <c r="Q50" s="43" t="n"/>
      <c r="R50" s="48" t="n"/>
    </row>
    <row r="51" outlineLevel="2" ht="12" customFormat="1" customHeight="1" s="31">
      <c r="A51" s="199">
        <f>IF($H51="UNIDADE CONSTRUTIVA",OFFSET(A51,-1,0)+1,LARGE(A$3:A50,1))</f>
        <v/>
      </c>
      <c r="B51" s="199">
        <f>IF(H51="UNIDADE CONSTRUTIVA",0,IF(H51="CÉLULA CONSTRUTIVA",OFFSET(B51,-1,0)+1,OFFSET(B51,-1,0)))</f>
        <v/>
      </c>
      <c r="C51" s="199">
        <f>IF(H51="CÉLULA CONSTRUTIVA",0,IF(H51="ETAPA",OFFSET(C51,-1,0)+1,OFFSET(C51,-1,0)))</f>
        <v/>
      </c>
      <c r="D51" s="200">
        <f>IF(H51="ETAPA",0,IF(H51="SUBETAPA",OFFSET(D51,-1,0)+1,OFFSET(D51,-1,0)))</f>
        <v/>
      </c>
      <c r="E51" s="200">
        <f>IF(H51="Subetapa",0,IF(H51="serviço",OFFSET(E51,-1,0)+1,OFFSET(E51,-1,0)))</f>
        <v/>
      </c>
      <c r="G51" s="41" t="n"/>
      <c r="H51" s="42" t="inlineStr">
        <is>
          <t>SERVIÇO</t>
        </is>
      </c>
      <c r="I51" s="43">
        <f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/>
      </c>
      <c r="J51" s="48" t="inlineStr">
        <is>
          <t>Laudo técnico de vistoria de entrega</t>
        </is>
      </c>
      <c r="K51" s="46" t="inlineStr">
        <is>
          <t>vb</t>
        </is>
      </c>
      <c r="L51" s="46" t="n">
        <v>1</v>
      </c>
      <c r="M51" s="46" t="n">
        <v>15766.59739048222</v>
      </c>
      <c r="N51" s="47">
        <f>IF(H51="Serviço",M51*L51,IF(H51="CÉLULA CONSTRUTIVA",SUMIFS($N$8:$N$467,$B$8:$B$467,B51,$H$8:$H$467,"Serviço"),IF(H51="ETAPA",SUMIFS($N$8:$N$467,$B$8:$B$467,B51,$C$8:$C$467,C51,$H$8:$H$467,"Serviço"),IF(H51="SUBETAPA",SUMIFS($N$8:$N$467,$B$8:$B$467,B51,$C$8:$C$467,C51,$D$8:$D$467,D51,$H$8:$H$467,"Serviço"),0))))</f>
        <v/>
      </c>
      <c r="O51" s="41" t="n"/>
      <c r="P51" s="42" t="n"/>
      <c r="Q51" s="43" t="n"/>
      <c r="R51" s="48" t="n"/>
    </row>
    <row r="52" outlineLevel="2" ht="12" customFormat="1" customHeight="1" s="31">
      <c r="A52" s="199">
        <f>IF($H52="UNIDADE CONSTRUTIVA",OFFSET(A52,-1,0)+1,LARGE(A$3:A51,1))</f>
        <v/>
      </c>
      <c r="B52" s="199">
        <f>IF(H52="UNIDADE CONSTRUTIVA",0,IF(H52="CÉLULA CONSTRUTIVA",OFFSET(B52,-1,0)+1,OFFSET(B52,-1,0)))</f>
        <v/>
      </c>
      <c r="C52" s="199">
        <f>IF(H52="CÉLULA CONSTRUTIVA",0,IF(H52="ETAPA",OFFSET(C52,-1,0)+1,OFFSET(C52,-1,0)))</f>
        <v/>
      </c>
      <c r="D52" s="200">
        <f>IF(H52="ETAPA",0,IF(H52="SUBETAPA",OFFSET(D52,-1,0)+1,OFFSET(D52,-1,0)))</f>
        <v/>
      </c>
      <c r="E52" s="200">
        <f>IF(H52="Subetapa",0,IF(H52="serviço",OFFSET(E52,-1,0)+1,OFFSET(E52,-1,0)))</f>
        <v/>
      </c>
      <c r="G52" s="41" t="n"/>
      <c r="H52" s="42" t="inlineStr">
        <is>
          <t>SERVIÇO</t>
        </is>
      </c>
      <c r="I52" s="43">
        <f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/>
      </c>
      <c r="J52" s="48" t="inlineStr">
        <is>
          <t>Manuais técnicos condomínio/proprietários</t>
        </is>
      </c>
      <c r="K52" s="46" t="inlineStr">
        <is>
          <t>vb</t>
        </is>
      </c>
      <c r="L52" s="46" t="n">
        <v>1</v>
      </c>
      <c r="M52" s="46" t="n">
        <v>15133.7741540495</v>
      </c>
      <c r="N52" s="47">
        <f>IF(H52="Serviço",M52*L52,IF(H52="CÉLULA CONSTRUTIVA",SUMIFS($N$8:$N$467,$B$8:$B$467,B52,$H$8:$H$467,"Serviço"),IF(H52="ETAPA",SUMIFS($N$8:$N$467,$B$8:$B$467,B52,$C$8:$C$467,C52,$H$8:$H$467,"Serviço"),IF(H52="SUBETAPA",SUMIFS($N$8:$N$467,$B$8:$B$467,B52,$C$8:$C$467,C52,$D$8:$D$467,D52,$H$8:$H$467,"Serviço"),0))))</f>
        <v/>
      </c>
      <c r="O52" s="41" t="n"/>
      <c r="P52" s="42" t="n"/>
      <c r="Q52" s="43" t="n"/>
      <c r="R52" s="48" t="n"/>
    </row>
    <row r="53" outlineLevel="2" ht="12" customFormat="1" customHeight="1" s="31">
      <c r="A53" s="199">
        <f>IF($H53="UNIDADE CONSTRUTIVA",OFFSET(A53,-1,0)+1,LARGE(A$3:A52,1))</f>
        <v/>
      </c>
      <c r="B53" s="199">
        <f>IF(H53="UNIDADE CONSTRUTIVA",0,IF(H53="CÉLULA CONSTRUTIVA",OFFSET(B53,-1,0)+1,OFFSET(B53,-1,0)))</f>
        <v/>
      </c>
      <c r="C53" s="199">
        <f>IF(H53="CÉLULA CONSTRUTIVA",0,IF(H53="ETAPA",OFFSET(C53,-1,0)+1,OFFSET(C53,-1,0)))</f>
        <v/>
      </c>
      <c r="D53" s="200">
        <f>IF(H53="ETAPA",0,IF(H53="SUBETAPA",OFFSET(D53,-1,0)+1,OFFSET(D53,-1,0)))</f>
        <v/>
      </c>
      <c r="E53" s="200">
        <f>IF(H53="Subetapa",0,IF(H53="serviço",OFFSET(E53,-1,0)+1,OFFSET(E53,-1,0)))</f>
        <v/>
      </c>
      <c r="G53" s="41" t="n"/>
      <c r="H53" s="42" t="inlineStr">
        <is>
          <t>SERVIÇO</t>
        </is>
      </c>
      <c r="I53" s="43">
        <f>IF(H53="Unidade Construtiva",TEXT(A53,"00"),IF(H53="Célula Construtiva",TEXT(B53,"00"),IF(H53="Etapa",CONCATENATE(TEXT(B53,"00"),".",TEXT(C53,"000")),IF(H53="Subetapa",CONCATENATE(TEXT(B53,"00"),".",TEXT(C53,"000"),".",TEXT(D53,"000")),IF(H53="Serviço",CONCATENATE(TEXT(B53,"00"),".",TEXT(C53,"000"),".",TEXT(D53,"000"),".",TEXT(E53,"000")),"")))))</f>
        <v/>
      </c>
      <c r="J53" s="48" t="inlineStr">
        <is>
          <t>Certidão INSS</t>
        </is>
      </c>
      <c r="K53" s="46" t="inlineStr">
        <is>
          <t>vb</t>
        </is>
      </c>
      <c r="L53" s="46" t="n">
        <v>1</v>
      </c>
      <c r="M53" s="46" t="n">
        <v>6019.535049368377</v>
      </c>
      <c r="N53" s="47">
        <f>IF(H53="Serviço",M53*L53,IF(H53="CÉLULA CONSTRUTIVA",SUMIFS($N$8:$N$467,$B$8:$B$467,B53,$H$8:$H$467,"Serviço"),IF(H53="ETAPA",SUMIFS($N$8:$N$467,$B$8:$B$467,B53,$C$8:$C$467,C53,$H$8:$H$467,"Serviço"),IF(H53="SUBETAPA",SUMIFS($N$8:$N$467,$B$8:$B$467,B53,$C$8:$C$467,C53,$D$8:$D$467,D53,$H$8:$H$467,"Serviço"),0))))</f>
        <v/>
      </c>
      <c r="O53" s="41" t="n"/>
      <c r="P53" s="42" t="n"/>
      <c r="Q53" s="43" t="n"/>
      <c r="R53" s="48" t="n"/>
    </row>
    <row r="54" ht="13.95" customFormat="1" customHeight="1" s="31">
      <c r="A54" s="199">
        <f>IF($H54="UNIDADE CONSTRUTIVA",OFFSET(A54,-1,0)+1,LARGE(A$3:A53,1))</f>
        <v/>
      </c>
      <c r="B54" s="199">
        <f>IF(H54="UNIDADE CONSTRUTIVA",0,IF(H54="CÉLULA CONSTRUTIVA",OFFSET(B54,-1,0)+1,OFFSET(B54,-1,0)))</f>
        <v/>
      </c>
      <c r="C54" s="199">
        <f>IF(H54="CÉLULA CONSTRUTIVA",0,IF(H54="ETAPA",OFFSET(C54,-1,0)+1,OFFSET(C54,-1,0)))</f>
        <v/>
      </c>
      <c r="D54" s="200">
        <f>IF(H54="ETAPA",0,IF(H54="SUBETAPA",OFFSET(D54,-1,0)+1,OFFSET(D54,-1,0)))</f>
        <v/>
      </c>
      <c r="E54" s="200">
        <f>IF(H54="Subetapa",0,IF(H54="serviço",OFFSET(E54,-1,0)+1,OFFSET(E54,-1,0)))</f>
        <v/>
      </c>
      <c r="G54" s="41" t="n"/>
      <c r="H54" s="42" t="inlineStr">
        <is>
          <t>CÉLULA CONSTRUTIVA</t>
        </is>
      </c>
      <c r="I54" s="50">
        <f>IF(H54="Unidade Construtiva",TEXT(A54,"00"),IF(H54="Célula Construtiva",TEXT(B54,"00"),IF(H54="Etapa",CONCATENATE(TEXT(B54,"00"),".",TEXT(C54,"000")),IF(H54="Subetapa",CONCATENATE(TEXT(B54,"00"),".",TEXT(C54,"000"),".",TEXT(D54,"000")),IF(H54="Serviço",CONCATENATE(TEXT(B54,"00"),".",TEXT(C54,"000"),".",TEXT(D54,"000"),".",TEXT(E54,"000")),"")))))</f>
        <v/>
      </c>
      <c r="J54" s="44" t="inlineStr">
        <is>
          <t>SERVIÇOS INICIAIS</t>
        </is>
      </c>
      <c r="K54" s="46" t="n"/>
      <c r="L54" s="46" t="n"/>
      <c r="M54" s="46" t="n"/>
      <c r="N54" s="47">
        <f>IF(H54="Serviço",M54*L54,IF(H54="CÉLULA CONSTRUTIVA",SUMIFS($N$8:$N$442,$B$8:$B$442,B54,$H$8:$H$442,"Serviço"),IF(H54="ETAPA",SUMIFS($N$8:$N$442,$B$8:$B$442,B54,$C$8:$C$442,C54,$H$8:$H$442,"Serviço"),IF(H54="SUBETAPA",SUMIFS($N$8:$N$442,$B$8:$B$442,B54,$C$8:$C$442,C54,$D$8:$D$442,D54,$H$8:$H$442,"Serviço"),0))))</f>
        <v/>
      </c>
      <c r="O54" s="41" t="n"/>
      <c r="P54" s="42" t="n"/>
      <c r="Q54" s="50" t="n"/>
      <c r="R54" s="44" t="n"/>
    </row>
    <row r="55" outlineLevel="1" ht="13.95" customFormat="1" customHeight="1" s="31">
      <c r="A55" s="199">
        <f>IF($H55="UNIDADE CONSTRUTIVA",OFFSET(A55,-1,0)+1,LARGE(A$3:A54,1))</f>
        <v/>
      </c>
      <c r="B55" s="199">
        <f>IF(H55="UNIDADE CONSTRUTIVA",0,IF(H55="CÉLULA CONSTRUTIVA",OFFSET(B55,-1,0)+1,OFFSET(B55,-1,0)))</f>
        <v/>
      </c>
      <c r="C55" s="199">
        <f>IF(H55="CÉLULA CONSTRUTIVA",0,IF(H55="ETAPA",OFFSET(C55,-1,0)+1,OFFSET(C55,-1,0)))</f>
        <v/>
      </c>
      <c r="D55" s="200">
        <f>IF(H55="ETAPA",0,IF(H55="SUBETAPA",OFFSET(D55,-1,0)+1,OFFSET(D55,-1,0)))</f>
        <v/>
      </c>
      <c r="E55" s="200">
        <f>IF(H55="Subetapa",0,IF(H55="serviço",OFFSET(E55,-1,0)+1,OFFSET(E55,-1,0)))</f>
        <v/>
      </c>
      <c r="G55" s="41" t="n"/>
      <c r="H55" s="42" t="inlineStr">
        <is>
          <t>ETAPA</t>
        </is>
      </c>
      <c r="I55" s="43">
        <f>IF(H55="Unidade Construtiva",TEXT(A55,"00"),IF(H55="Célula Construtiva",TEXT(B55,"00"),IF(H55="Etapa",CONCATENATE(TEXT(B55,"00"),".",TEXT(C55,"000")),IF(H55="Subetapa",CONCATENATE(TEXT(B55,"00"),".",TEXT(C55,"000"),".",TEXT(D55,"000")),IF(H55="Serviço",CONCATENATE(TEXT(B55,"00"),".",TEXT(C55,"000"),".",TEXT(D55,"000"),".",TEXT(E55,"000")),"")))))</f>
        <v/>
      </c>
      <c r="J55" s="44" t="inlineStr">
        <is>
          <t>SEGURANÇA, MEIO AMBIENTE E SAÚDE</t>
        </is>
      </c>
      <c r="K55" s="46" t="n"/>
      <c r="L55" s="46" t="n"/>
      <c r="M55" s="46" t="n"/>
      <c r="N55" s="47">
        <f>IF(H55="Serviço",M55*L55,IF(H55="CÉLULA CONSTRUTIVA",SUMIFS($N$8:$N$442,$B$8:$B$442,B55,$H$8:$H$442,"Serviço"),IF(H55="ETAPA",SUMIFS($N$8:$N$442,$B$8:$B$442,B55,$C$8:$C$442,C55,$H$8:$H$442,"Serviço"),IF(H55="SUBETAPA",SUMIFS($N$8:$N$442,$B$8:$B$442,B55,$C$8:$C$442,C55,$D$8:$D$442,D55,$H$8:$H$442,"Serviço"),0))))</f>
        <v/>
      </c>
      <c r="O55" s="41" t="n"/>
      <c r="P55" s="42" t="n"/>
      <c r="Q55" s="43" t="n"/>
      <c r="R55" s="44" t="n"/>
    </row>
    <row r="56" outlineLevel="1" ht="12" customFormat="1" customHeight="1" s="31">
      <c r="A56" s="199">
        <f>IF($H56="UNIDADE CONSTRUTIVA",OFFSET(A56,-1,0)+1,LARGE(A$3:A55,1))</f>
        <v/>
      </c>
      <c r="B56" s="199">
        <f>IF(H56="UNIDADE CONSTRUTIVA",0,IF(H56="CÉLULA CONSTRUTIVA",OFFSET(B56,-1,0)+1,OFFSET(B56,-1,0)))</f>
        <v/>
      </c>
      <c r="C56" s="199">
        <f>IF(H56="CÉLULA CONSTRUTIVA",0,IF(H56="ETAPA",OFFSET(C56,-1,0)+1,OFFSET(C56,-1,0)))</f>
        <v/>
      </c>
      <c r="D56" s="200">
        <f>IF(H56="ETAPA",0,IF(H56="SUBETAPA",OFFSET(D56,-1,0)+1,OFFSET(D56,-1,0)))</f>
        <v/>
      </c>
      <c r="E56" s="200">
        <f>IF(H56="Subetapa",0,IF(H56="serviço",OFFSET(E56,-1,0)+1,OFFSET(E56,-1,0)))</f>
        <v/>
      </c>
      <c r="G56" s="41" t="n"/>
      <c r="H56" s="42" t="inlineStr">
        <is>
          <t>SUBETAPA</t>
        </is>
      </c>
      <c r="I56" s="43">
        <f>IF(H56="Unidade Construtiva",TEXT(A56,"00"),IF(H56="Célula Construtiva",TEXT(B56,"00"),IF(H56="Etapa",CONCATENATE(TEXT(B56,"00"),".",TEXT(C56,"000")),IF(H56="Subetapa",CONCATENATE(TEXT(B56,"00"),".",TEXT(C56,"000"),".",TEXT(D56,"000")),IF(H56="Serviço",CONCATENATE(TEXT(B56,"00"),".",TEXT(C56,"000"),".",TEXT(D56,"000"),".",TEXT(E56,"000")),"")))))</f>
        <v/>
      </c>
      <c r="J56" s="48" t="inlineStr">
        <is>
          <t>Segurança do Trabalho</t>
        </is>
      </c>
      <c r="K56" s="46" t="n"/>
      <c r="L56" s="46" t="n"/>
      <c r="M56" s="46" t="n"/>
      <c r="N56" s="47">
        <f>IF(H56="Serviço",M56*L56,IF(H56="CÉLULA CONSTRUTIVA",SUMIFS($N$8:$N$487,$B$8:$B$487,B56,$H$8:$H$487,"Serviço"),IF(H56="ETAPA",SUMIFS($N$8:$N$487,$B$8:$B$487,B56,$C$8:$C$487,C56,$H$8:$H$487,"Serviço"),IF(H56="SUBETAPA",SUMIFS($N$8:$N$487,$B$8:$B$487,B56,$C$8:$C$487,C56,$D$8:$D$487,D56,$H$8:$H$487,"Serviço"),0))))</f>
        <v/>
      </c>
      <c r="O56" s="41" t="n"/>
      <c r="P56" s="42" t="n"/>
      <c r="Q56" s="43" t="n"/>
      <c r="R56" s="201" t="inlineStr">
        <is>
          <t>02.001.001.001 - Projetos de segurança do trabalho</t>
        </is>
      </c>
    </row>
    <row r="57" outlineLevel="2" ht="12" customFormat="1" customHeight="1" s="31">
      <c r="A57" s="199">
        <f>IF($H57="UNIDADE CONSTRUTIVA",OFFSET(A57,-1,0)+1,LARGE(A$3:A56,1))</f>
        <v/>
      </c>
      <c r="B57" s="199">
        <f>IF(H57="UNIDADE CONSTRUTIVA",0,IF(H57="CÉLULA CONSTRUTIVA",OFFSET(B57,-1,0)+1,OFFSET(B57,-1,0)))</f>
        <v/>
      </c>
      <c r="C57" s="199">
        <f>IF(H57="CÉLULA CONSTRUTIVA",0,IF(H57="ETAPA",OFFSET(C57,-1,0)+1,OFFSET(C57,-1,0)))</f>
        <v/>
      </c>
      <c r="D57" s="200">
        <f>IF(H57="ETAPA",0,IF(H57="SUBETAPA",OFFSET(D57,-1,0)+1,OFFSET(D57,-1,0)))</f>
        <v/>
      </c>
      <c r="E57" s="200">
        <f>IF(H57="Subetapa",0,IF(H57="serviço",OFFSET(E57,-1,0)+1,OFFSET(E57,-1,0)))</f>
        <v/>
      </c>
      <c r="G57" s="41" t="n"/>
      <c r="H57" s="42" t="inlineStr">
        <is>
          <t>SERVIÇO</t>
        </is>
      </c>
      <c r="I57" s="43">
        <f>IF(H57="Unidade Construtiva",TEXT(A57,"00"),IF(H57="Célula Construtiva",TEXT(B57,"00"),IF(H57="Etapa",CONCATENATE(TEXT(B57,"00"),".",TEXT(C57,"000")),IF(H57="Subetapa",CONCATENATE(TEXT(B57,"00"),".",TEXT(C57,"000"),".",TEXT(D57,"000")),IF(H57="Serviço",CONCATENATE(TEXT(B57,"00"),".",TEXT(C57,"000"),".",TEXT(D57,"000"),".",TEXT(E57,"000")),"")))))</f>
        <v/>
      </c>
      <c r="J57" s="48" t="inlineStr">
        <is>
          <t>Serviço terceirizado de segurança do trabalho - Valor/mês (R$)</t>
        </is>
      </c>
      <c r="K57" s="46" t="inlineStr">
        <is>
          <t>mês</t>
        </is>
      </c>
      <c r="L57" s="46" t="n">
        <v>36</v>
      </c>
      <c r="M57" s="46" t="n">
        <v>2500</v>
      </c>
      <c r="N57" s="47">
        <f>IF(H57="Serviço",M57*L57,IF(H57="CÉLULA CONSTRUTIVA",SUMIFS($N$8:$N$487,$B$8:$B$487,B57,$H$8:$H$487,"Serviço"),IF(H57="ETAPA",SUMIFS($N$8:$N$487,$B$8:$B$487,B57,$C$8:$C$487,C57,$H$8:$H$487,"Serviço"),IF(H57="SUBETAPA",SUMIFS($N$8:$N$487,$B$8:$B$487,B57,$C$8:$C$487,C57,$D$8:$D$487,D57,$H$8:$H$487,"Serviço"),0))))</f>
        <v/>
      </c>
      <c r="O57" s="41" t="n"/>
      <c r="P57" s="42" t="n"/>
      <c r="Q57" s="43" t="n"/>
      <c r="R57" s="48" t="n"/>
    </row>
    <row r="58" outlineLevel="2" ht="12" customFormat="1" customHeight="1" s="31">
      <c r="A58" s="199">
        <f>IF($H58="UNIDADE CONSTRUTIVA",OFFSET(A58,-1,0)+1,LARGE(A$3:A57,1))</f>
        <v/>
      </c>
      <c r="B58" s="199">
        <f>IF(H58="UNIDADE CONSTRUTIVA",0,IF(H58="CÉLULA CONSTRUTIVA",OFFSET(B58,-1,0)+1,OFFSET(B58,-1,0)))</f>
        <v/>
      </c>
      <c r="C58" s="199">
        <f>IF(H58="CÉLULA CONSTRUTIVA",0,IF(H58="ETAPA",OFFSET(C58,-1,0)+1,OFFSET(C58,-1,0)))</f>
        <v/>
      </c>
      <c r="D58" s="200">
        <f>IF(H58="ETAPA",0,IF(H58="SUBETAPA",OFFSET(D58,-1,0)+1,OFFSET(D58,-1,0)))</f>
        <v/>
      </c>
      <c r="E58" s="200">
        <f>IF(H58="Subetapa",0,IF(H58="serviço",OFFSET(E58,-1,0)+1,OFFSET(E58,-1,0)))</f>
        <v/>
      </c>
      <c r="G58" s="41" t="n"/>
      <c r="H58" s="42" t="inlineStr">
        <is>
          <t>SERVIÇO</t>
        </is>
      </c>
      <c r="I58" s="43">
        <f>IF(H58="Unidade Construtiva",TEXT(A58,"00"),IF(H58="Célula Construtiva",TEXT(B58,"00"),IF(H58="Etapa",CONCATENATE(TEXT(B58,"00"),".",TEXT(C58,"000")),IF(H58="Subetapa",CONCATENATE(TEXT(B58,"00"),".",TEXT(C58,"000"),".",TEXT(D58,"000")),IF(H58="Serviço",CONCATENATE(TEXT(B58,"00"),".",TEXT(C58,"000"),".",TEXT(D58,"000"),".",TEXT(E58,"000")),"")))))</f>
        <v/>
      </c>
      <c r="J58" s="48" t="inlineStr">
        <is>
          <t>Treinamento por funcionário (R$)</t>
        </is>
      </c>
      <c r="K58" s="46" t="inlineStr">
        <is>
          <t>vb</t>
        </is>
      </c>
      <c r="L58" s="46" t="n">
        <v>1</v>
      </c>
      <c r="M58" s="46" t="n">
        <v>22000</v>
      </c>
      <c r="N58" s="47">
        <f>IF(H58="Serviço",M58*L58,IF(H58="CÉLULA CONSTRUTIVA",SUMIFS($N$8:$N$422,$B$8:$B$422,B58,$H$8:$H$422,"Serviço"),IF(H58="ETAPA",SUMIFS($N$8:$N$422,$B$8:$B$422,B58,$C$8:$C$422,C58,$H$8:$H$422,"Serviço"),IF(H58="SUBETAPA",SUMIFS($N$8:$N$422,$B$8:$B$422,B58,$C$8:$C$422,C58,$D$8:$D$422,D58,$H$8:$H$422,"Serviço"),0))))</f>
        <v/>
      </c>
      <c r="O58" s="41" t="n"/>
      <c r="P58" s="42" t="n"/>
      <c r="Q58" s="43" t="n"/>
      <c r="R58" s="48" t="n"/>
    </row>
    <row r="59" outlineLevel="2" ht="12" customFormat="1" customHeight="1" s="31">
      <c r="A59" s="199">
        <f>IF($H59="UNIDADE CONSTRUTIVA",OFFSET(A59,-1,0)+1,LARGE(A$3:A58,1))</f>
        <v/>
      </c>
      <c r="B59" s="199">
        <f>IF(H59="UNIDADE CONSTRUTIVA",0,IF(H59="CÉLULA CONSTRUTIVA",OFFSET(B59,-1,0)+1,OFFSET(B59,-1,0)))</f>
        <v/>
      </c>
      <c r="C59" s="199">
        <f>IF(H59="CÉLULA CONSTRUTIVA",0,IF(H59="ETAPA",OFFSET(C59,-1,0)+1,OFFSET(C59,-1,0)))</f>
        <v/>
      </c>
      <c r="D59" s="200">
        <f>IF(H59="ETAPA",0,IF(H59="SUBETAPA",OFFSET(D59,-1,0)+1,OFFSET(D59,-1,0)))</f>
        <v/>
      </c>
      <c r="E59" s="200">
        <f>IF(H59="Subetapa",0,IF(H59="serviço",OFFSET(E59,-1,0)+1,OFFSET(E59,-1,0)))</f>
        <v/>
      </c>
      <c r="G59" s="41" t="n"/>
      <c r="H59" s="42" t="inlineStr">
        <is>
          <t>SERVIÇO</t>
        </is>
      </c>
      <c r="I59" s="43">
        <f>IF(H59="Unidade Construtiva",TEXT(A59,"00"),IF(H59="Célula Construtiva",TEXT(B59,"00"),IF(H59="Etapa",CONCATENATE(TEXT(B59,"00"),".",TEXT(C59,"000")),IF(H59="Subetapa",CONCATENATE(TEXT(B59,"00"),".",TEXT(C59,"000"),".",TEXT(D59,"000")),IF(H59="Serviço",CONCATENATE(TEXT(B59,"00"),".",TEXT(C59,"000"),".",TEXT(D59,"000"),".",TEXT(E59,"000")),"")))))</f>
        <v/>
      </c>
      <c r="J59" s="48" t="inlineStr">
        <is>
          <t>Projetos de segurança do trabalho</t>
        </is>
      </c>
      <c r="K59" s="46" t="inlineStr">
        <is>
          <t>vb</t>
        </is>
      </c>
      <c r="L59" s="46" t="n">
        <v>1</v>
      </c>
      <c r="M59" s="46" t="n">
        <v>2931.01327088219</v>
      </c>
      <c r="N59" s="47">
        <f>IF(H59="Serviço",M59*L59,IF(H59="CÉLULA CONSTRUTIVA",SUMIFS($N$8:$N$422,$B$8:$B$422,B59,$H$8:$H$422,"Serviço"),IF(H59="ETAPA",SUMIFS($N$8:$N$422,$B$8:$B$422,B59,$C$8:$C$422,C59,$H$8:$H$422,"Serviço"),IF(H59="SUBETAPA",SUMIFS($N$8:$N$422,$B$8:$B$422,B59,$C$8:$C$422,C59,$D$8:$D$422,D59,$H$8:$H$422,"Serviço"),0))))</f>
        <v/>
      </c>
      <c r="O59" s="41" t="n"/>
      <c r="P59" s="42" t="n"/>
      <c r="Q59" s="43" t="n"/>
      <c r="R59" s="48" t="n"/>
    </row>
    <row r="60" outlineLevel="1" ht="13.95" customFormat="1" customHeight="1" s="31">
      <c r="A60" s="199">
        <f>IF($H60="UNIDADE CONSTRUTIVA",OFFSET(A60,-1,0)+1,LARGE(A$3:A59,1))</f>
        <v/>
      </c>
      <c r="B60" s="199">
        <f>IF(H60="UNIDADE CONSTRUTIVA",0,IF(H60="CÉLULA CONSTRUTIVA",OFFSET(B60,-1,0)+1,OFFSET(B60,-1,0)))</f>
        <v/>
      </c>
      <c r="C60" s="199">
        <f>IF(H60="CÉLULA CONSTRUTIVA",0,IF(H60="ETAPA",OFFSET(C60,-1,0)+1,OFFSET(C60,-1,0)))</f>
        <v/>
      </c>
      <c r="D60" s="200">
        <f>IF(H60="ETAPA",0,IF(H60="SUBETAPA",OFFSET(D60,-1,0)+1,OFFSET(D60,-1,0)))</f>
        <v/>
      </c>
      <c r="E60" s="200">
        <f>IF(H60="Subetapa",0,IF(H60="serviço",OFFSET(E60,-1,0)+1,OFFSET(E60,-1,0)))</f>
        <v/>
      </c>
      <c r="G60" s="41" t="n"/>
      <c r="H60" s="42" t="inlineStr">
        <is>
          <t>SUBETAPA</t>
        </is>
      </c>
      <c r="I60" s="43">
        <f>IF(H60="Unidade Construtiva",TEXT(A60,"00"),IF(H60="Célula Construtiva",TEXT(B60,"00"),IF(H60="Etapa",CONCATENATE(TEXT(B60,"00"),".",TEXT(C60,"000")),IF(H60="Subetapa",CONCATENATE(TEXT(B60,"00"),".",TEXT(C60,"000"),".",TEXT(D60,"000")),IF(H60="Serviço",CONCATENATE(TEXT(B60,"00"),".",TEXT(C60,"000"),".",TEXT(D60,"000"),".",TEXT(E60,"000")),"")))))</f>
        <v/>
      </c>
      <c r="J60" s="44" t="inlineStr">
        <is>
          <t>Equipamentos de proteção</t>
        </is>
      </c>
      <c r="K60" s="46" t="n"/>
      <c r="L60" s="46" t="n"/>
      <c r="M60" s="46" t="n"/>
      <c r="N60" s="47">
        <f>IF(H60="Serviço",M60*L60,IF(H60="CÉLULA CONSTRUTIVA",SUMIFS($N$8:$N$442,$B$8:$B$442,B60,$H$8:$H$442,"Serviço"),IF(H60="ETAPA",SUMIFS($N$8:$N$442,$B$8:$B$442,B60,$C$8:$C$442,C60,$H$8:$H$442,"Serviço"),IF(H60="SUBETAPA",SUMIFS($N$8:$N$442,$B$8:$B$442,B60,$C$8:$C$442,C60,$D$8:$D$442,D60,$H$8:$H$442,"Serviço"),0))))</f>
        <v/>
      </c>
      <c r="O60" s="41" t="n"/>
      <c r="P60" s="42" t="n"/>
      <c r="Q60" s="43" t="n"/>
      <c r="R60" s="201" t="inlineStr">
        <is>
          <t>02.001.002.001 - Equipamentos de proteção individual - EPI</t>
        </is>
      </c>
    </row>
    <row r="61" outlineLevel="2" ht="13.95" customFormat="1" customHeight="1" s="31">
      <c r="A61" s="199">
        <f>IF($H61="UNIDADE CONSTRUTIVA",OFFSET(A61,-1,0)+1,LARGE(A$3:A60,1))</f>
        <v/>
      </c>
      <c r="B61" s="199">
        <f>IF(H61="UNIDADE CONSTRUTIVA",0,IF(H61="CÉLULA CONSTRUTIVA",OFFSET(B61,-1,0)+1,OFFSET(B61,-1,0)))</f>
        <v/>
      </c>
      <c r="C61" s="199">
        <f>IF(H61="CÉLULA CONSTRUTIVA",0,IF(H61="ETAPA",OFFSET(C61,-1,0)+1,OFFSET(C61,-1,0)))</f>
        <v/>
      </c>
      <c r="D61" s="200">
        <f>IF(H61="ETAPA",0,IF(H61="SUBETAPA",OFFSET(D61,-1,0)+1,OFFSET(D61,-1,0)))</f>
        <v/>
      </c>
      <c r="E61" s="200">
        <f>IF(H61="Subetapa",0,IF(H61="serviço",OFFSET(E61,-1,0)+1,OFFSET(E61,-1,0)))</f>
        <v/>
      </c>
      <c r="G61" s="41" t="n"/>
      <c r="H61" s="42" t="inlineStr">
        <is>
          <t>SERVIÇO</t>
        </is>
      </c>
      <c r="I61" s="43">
        <f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/>
      </c>
      <c r="J61" s="44" t="inlineStr">
        <is>
          <t>Equipamentos de proteção individual - EPI</t>
        </is>
      </c>
      <c r="K61" s="46" t="inlineStr">
        <is>
          <t>vb</t>
        </is>
      </c>
      <c r="L61" s="46" t="n">
        <v>1</v>
      </c>
      <c r="M61" s="46" t="n">
        <v>33000</v>
      </c>
      <c r="N61" s="47">
        <f>IF(H61="Serviço",M61*L61,IF(H61="CÉLULA CONSTRUTIVA",SUMIFS($N$8:$N$442,$B$8:$B$442,B61,$H$8:$H$442,"Serviço"),IF(H61="ETAPA",SUMIFS($N$8:$N$442,$B$8:$B$442,B61,$C$8:$C$442,C61,$H$8:$H$442,"Serviço"),IF(H61="SUBETAPA",SUMIFS($N$8:$N$442,$B$8:$B$442,B61,$C$8:$C$442,C61,$D$8:$D$442,D61,$H$8:$H$442,"Serviço"),0))))</f>
        <v/>
      </c>
      <c r="O61" s="41" t="n"/>
      <c r="P61" s="42" t="n"/>
      <c r="Q61" s="43" t="n"/>
      <c r="R61" s="44" t="n"/>
    </row>
    <row r="62" outlineLevel="2" ht="13.95" customFormat="1" customHeight="1" s="31">
      <c r="A62" s="199">
        <f>IF($H62="UNIDADE CONSTRUTIVA",OFFSET(A62,-1,0)+1,LARGE(A$3:A61,1))</f>
        <v/>
      </c>
      <c r="B62" s="199">
        <f>IF(H62="UNIDADE CONSTRUTIVA",0,IF(H62="CÉLULA CONSTRUTIVA",OFFSET(B62,-1,0)+1,OFFSET(B62,-1,0)))</f>
        <v/>
      </c>
      <c r="C62" s="199">
        <f>IF(H62="CÉLULA CONSTRUTIVA",0,IF(H62="ETAPA",OFFSET(C62,-1,0)+1,OFFSET(C62,-1,0)))</f>
        <v/>
      </c>
      <c r="D62" s="200">
        <f>IF(H62="ETAPA",0,IF(H62="SUBETAPA",OFFSET(D62,-1,0)+1,OFFSET(D62,-1,0)))</f>
        <v/>
      </c>
      <c r="E62" s="200">
        <f>IF(H62="Subetapa",0,IF(H62="serviço",OFFSET(E62,-1,0)+1,OFFSET(E62,-1,0)))</f>
        <v/>
      </c>
      <c r="G62" s="41" t="n"/>
      <c r="H62" s="42" t="inlineStr">
        <is>
          <t>SERVIÇO</t>
        </is>
      </c>
      <c r="I62" s="43">
        <f>IF(H62="Unidade Construtiva",TEXT(A62,"00"),IF(H62="Célula Construtiva",TEXT(B62,"00"),IF(H62="Etapa",CONCATENATE(TEXT(B62,"00"),".",TEXT(C62,"000")),IF(H62="Subetapa",CONCATENATE(TEXT(B62,"00"),".",TEXT(C62,"000"),".",TEXT(D62,"000")),IF(H62="Serviço",CONCATENATE(TEXT(B62,"00"),".",TEXT(C62,"000"),".",TEXT(D62,"000"),".",TEXT(E62,"000")),"")))))</f>
        <v/>
      </c>
      <c r="J62" s="44" t="inlineStr">
        <is>
          <t>Bandeja de proteção primária</t>
        </is>
      </c>
      <c r="K62" s="46" t="inlineStr">
        <is>
          <t>m</t>
        </is>
      </c>
      <c r="L62" s="46" t="n">
        <v>81.84</v>
      </c>
      <c r="M62" s="46" t="n">
        <v>364.8661463728191</v>
      </c>
      <c r="N62" s="47">
        <f>IF(H62="Serviço",M62*L62,IF(H62="CÉLULA CONSTRUTIVA",SUMIFS($N$8:$N$442,$B$8:$B$442,B62,$H$8:$H$442,"Serviço"),IF(H62="ETAPA",SUMIFS($N$8:$N$442,$B$8:$B$442,B62,$C$8:$C$442,C62,$H$8:$H$442,"Serviço"),IF(H62="SUBETAPA",SUMIFS($N$8:$N$442,$B$8:$B$442,B62,$C$8:$C$442,C62,$D$8:$D$442,D62,$H$8:$H$442,"Serviço"),0))))</f>
        <v/>
      </c>
      <c r="O62" s="41" t="n"/>
      <c r="P62" s="42" t="n"/>
      <c r="Q62" s="43" t="n"/>
      <c r="R62" s="44" t="n"/>
    </row>
    <row r="63" outlineLevel="2" ht="13.95" customFormat="1" customHeight="1" s="31">
      <c r="A63" s="199">
        <f>IF($H63="UNIDADE CONSTRUTIVA",OFFSET(A63,-1,0)+1,LARGE(A$3:A62,1))</f>
        <v/>
      </c>
      <c r="B63" s="199">
        <f>IF(H63="UNIDADE CONSTRUTIVA",0,IF(H63="CÉLULA CONSTRUTIVA",OFFSET(B63,-1,0)+1,OFFSET(B63,-1,0)))</f>
        <v/>
      </c>
      <c r="C63" s="199">
        <f>IF(H63="CÉLULA CONSTRUTIVA",0,IF(H63="ETAPA",OFFSET(C63,-1,0)+1,OFFSET(C63,-1,0)))</f>
        <v/>
      </c>
      <c r="D63" s="200">
        <f>IF(H63="ETAPA",0,IF(H63="SUBETAPA",OFFSET(D63,-1,0)+1,OFFSET(D63,-1,0)))</f>
        <v/>
      </c>
      <c r="E63" s="200">
        <f>IF(H63="Subetapa",0,IF(H63="serviço",OFFSET(E63,-1,0)+1,OFFSET(E63,-1,0)))</f>
        <v/>
      </c>
      <c r="G63" s="41" t="n"/>
      <c r="H63" s="42" t="inlineStr">
        <is>
          <t>SERVIÇO</t>
        </is>
      </c>
      <c r="I63" s="43">
        <f>IF(H63="Unidade Construtiva",TEXT(A63,"00"),IF(H63="Célula Construtiva",TEXT(B63,"00"),IF(H63="Etapa",CONCATENATE(TEXT(B63,"00"),".",TEXT(C63,"000")),IF(H63="Subetapa",CONCATENATE(TEXT(B63,"00"),".",TEXT(C63,"000"),".",TEXT(D63,"000")),IF(H63="Serviço",CONCATENATE(TEXT(B63,"00"),".",TEXT(C63,"000"),".",TEXT(D63,"000"),".",TEXT(E63,"000")),"")))))</f>
        <v/>
      </c>
      <c r="J63" s="44" t="inlineStr">
        <is>
          <t>Guarda-corpo de vãos, fixado em fôrma de madeira, em trama de madeira com tela de polipropileno</t>
        </is>
      </c>
      <c r="K63" s="46" t="inlineStr">
        <is>
          <t>m2</t>
        </is>
      </c>
      <c r="L63" s="51" t="n">
        <v>0</v>
      </c>
      <c r="M63" s="46" t="n">
        <v>38.622647</v>
      </c>
      <c r="N63" s="47">
        <f>IF(H63="Serviço",M63*L63,IF(H63="CÉLULA CONSTRUTIVA",SUMIFS($N$8:$N$442,$B$8:$B$442,B63,$H$8:$H$442,"Serviço"),IF(H63="ETAPA",SUMIFS($N$8:$N$442,$B$8:$B$442,B63,$C$8:$C$442,C63,$H$8:$H$442,"Serviço"),IF(H63="SUBETAPA",SUMIFS($N$8:$N$442,$B$8:$B$442,B63,$C$8:$C$442,C63,$D$8:$D$442,D63,$H$8:$H$442,"Serviço"),0))))</f>
        <v/>
      </c>
      <c r="O63" s="41" t="n"/>
      <c r="P63" s="42" t="n"/>
      <c r="Q63" s="43" t="n"/>
      <c r="R63" s="44" t="n"/>
    </row>
    <row r="64" outlineLevel="2" ht="13.95" customFormat="1" customHeight="1" s="31">
      <c r="A64" s="199">
        <f>IF($H64="UNIDADE CONSTRUTIVA",OFFSET(A64,-1,0)+1,LARGE(A$3:A63,1))</f>
        <v/>
      </c>
      <c r="B64" s="199">
        <f>IF(H64="UNIDADE CONSTRUTIVA",0,IF(H64="CÉLULA CONSTRUTIVA",OFFSET(B64,-1,0)+1,OFFSET(B64,-1,0)))</f>
        <v/>
      </c>
      <c r="C64" s="199">
        <f>IF(H64="CÉLULA CONSTRUTIVA",0,IF(H64="ETAPA",OFFSET(C64,-1,0)+1,OFFSET(C64,-1,0)))</f>
        <v/>
      </c>
      <c r="D64" s="200">
        <f>IF(H64="ETAPA",0,IF(H64="SUBETAPA",OFFSET(D64,-1,0)+1,OFFSET(D64,-1,0)))</f>
        <v/>
      </c>
      <c r="E64" s="200">
        <f>IF(H64="Subetapa",0,IF(H64="serviço",OFFSET(E64,-1,0)+1,OFFSET(E64,-1,0)))</f>
        <v/>
      </c>
      <c r="G64" s="41" t="n"/>
      <c r="H64" s="42" t="inlineStr">
        <is>
          <t>SERVIÇO</t>
        </is>
      </c>
      <c r="I64" s="43">
        <f>IF(H64="Unidade Construtiva",TEXT(A64,"00"),IF(H64="Célula Construtiva",TEXT(B64,"00"),IF(H64="Etapa",CONCATENATE(TEXT(B64,"00"),".",TEXT(C64,"000")),IF(H64="Subetapa",CONCATENATE(TEXT(B64,"00"),".",TEXT(C64,"000"),".",TEXT(D64,"000")),IF(H64="Serviço",CONCATENATE(TEXT(B64,"00"),".",TEXT(C64,"000"),".",TEXT(D64,"000"),".",TEXT(E64,"000")),"")))))</f>
        <v/>
      </c>
      <c r="J64" s="44" t="inlineStr">
        <is>
          <t>Tela fachadeira</t>
        </is>
      </c>
      <c r="K64" s="46" t="inlineStr">
        <is>
          <t>m2</t>
        </is>
      </c>
      <c r="L64" s="46" t="n">
        <v>4615.087599999999</v>
      </c>
      <c r="M64" s="46" t="n">
        <v>10.6113</v>
      </c>
      <c r="N64" s="47">
        <f>IF(H64="Serviço",M64*L64,IF(H64="CÉLULA CONSTRUTIVA",SUMIFS($N$8:$N$442,$B$8:$B$442,B64,$H$8:$H$442,"Serviço"),IF(H64="ETAPA",SUMIFS($N$8:$N$442,$B$8:$B$442,B64,$C$8:$C$442,C64,$H$8:$H$442,"Serviço"),IF(H64="SUBETAPA",SUMIFS($N$8:$N$442,$B$8:$B$442,B64,$C$8:$C$442,C64,$D$8:$D$442,D64,$H$8:$H$442,"Serviço"),0))))</f>
        <v/>
      </c>
      <c r="O64" s="41" t="n"/>
      <c r="P64" s="42" t="n"/>
      <c r="Q64" s="43" t="n"/>
      <c r="R64" s="44" t="n"/>
    </row>
    <row r="65" outlineLevel="2" ht="13.95" customFormat="1" customHeight="1" s="31">
      <c r="A65" s="199">
        <f>IF($H65="UNIDADE CONSTRUTIVA",OFFSET(A65,-1,0)+1,LARGE(A$3:A64,1))</f>
        <v/>
      </c>
      <c r="B65" s="199">
        <f>IF(H65="UNIDADE CONSTRUTIVA",0,IF(H65="CÉLULA CONSTRUTIVA",OFFSET(B65,-1,0)+1,OFFSET(B65,-1,0)))</f>
        <v/>
      </c>
      <c r="C65" s="199">
        <f>IF(H65="CÉLULA CONSTRUTIVA",0,IF(H65="ETAPA",OFFSET(C65,-1,0)+1,OFFSET(C65,-1,0)))</f>
        <v/>
      </c>
      <c r="D65" s="200">
        <f>IF(H65="ETAPA",0,IF(H65="SUBETAPA",OFFSET(D65,-1,0)+1,OFFSET(D65,-1,0)))</f>
        <v/>
      </c>
      <c r="E65" s="200">
        <f>IF(H65="Subetapa",0,IF(H65="serviço",OFFSET(E65,-1,0)+1,OFFSET(E65,-1,0)))</f>
        <v/>
      </c>
      <c r="G65" s="41" t="n"/>
      <c r="H65" s="42" t="inlineStr">
        <is>
          <t>SERVIÇO</t>
        </is>
      </c>
      <c r="I65" s="43">
        <f>IF(H65="Unidade Construtiva",TEXT(A65,"00"),IF(H65="Célula Construtiva",TEXT(B65,"00"),IF(H65="Etapa",CONCATENATE(TEXT(B65,"00"),".",TEXT(C65,"000")),IF(H65="Subetapa",CONCATENATE(TEXT(B65,"00"),".",TEXT(C65,"000"),".",TEXT(D65,"000")),IF(H65="Serviço",CONCATENATE(TEXT(B65,"00"),".",TEXT(C65,"000"),".",TEXT(D65,"000"),".",TEXT(E65,"000")),"")))))</f>
        <v/>
      </c>
      <c r="J65" s="44" t="inlineStr">
        <is>
          <t>Fechamento removível de vãos de porta de elevador em madeira</t>
        </is>
      </c>
      <c r="K65" s="46" t="inlineStr">
        <is>
          <t>m2</t>
        </is>
      </c>
      <c r="L65" s="46" t="n">
        <v>92.40000000000002</v>
      </c>
      <c r="M65" s="46" t="n">
        <v>49.519651</v>
      </c>
      <c r="N65" s="47">
        <f>IF(H65="Serviço",M65*L65,IF(H65="CÉLULA CONSTRUTIVA",SUMIFS($N$8:$N$442,$B$8:$B$442,B65,$H$8:$H$442,"Serviço"),IF(H65="ETAPA",SUMIFS($N$8:$N$442,$B$8:$B$442,B65,$C$8:$C$442,C65,$H$8:$H$442,"Serviço"),IF(H65="SUBETAPA",SUMIFS($N$8:$N$442,$B$8:$B$442,B65,$C$8:$C$442,C65,$D$8:$D$442,D65,$H$8:$H$442,"Serviço"),0))))</f>
        <v/>
      </c>
      <c r="O65" s="41" t="n"/>
      <c r="P65" s="42" t="n"/>
      <c r="Q65" s="43" t="n"/>
      <c r="R65" s="44" t="n"/>
    </row>
    <row r="66" outlineLevel="2" ht="13.95" customFormat="1" customHeight="1" s="31">
      <c r="A66" s="199">
        <f>IF($H66="UNIDADE CONSTRUTIVA",OFFSET(A66,-1,0)+1,LARGE(A$3:A65,1))</f>
        <v/>
      </c>
      <c r="B66" s="199">
        <f>IF(H66="UNIDADE CONSTRUTIVA",0,IF(H66="CÉLULA CONSTRUTIVA",OFFSET(B66,-1,0)+1,OFFSET(B66,-1,0)))</f>
        <v/>
      </c>
      <c r="C66" s="199">
        <f>IF(H66="CÉLULA CONSTRUTIVA",0,IF(H66="ETAPA",OFFSET(C66,-1,0)+1,OFFSET(C66,-1,0)))</f>
        <v/>
      </c>
      <c r="D66" s="200">
        <f>IF(H66="ETAPA",0,IF(H66="SUBETAPA",OFFSET(D66,-1,0)+1,OFFSET(D66,-1,0)))</f>
        <v/>
      </c>
      <c r="E66" s="200">
        <f>IF(H66="Subetapa",0,IF(H66="serviço",OFFSET(E66,-1,0)+1,OFFSET(E66,-1,0)))</f>
        <v/>
      </c>
      <c r="G66" s="41" t="n"/>
      <c r="H66" s="42" t="inlineStr">
        <is>
          <t>SERVIÇO</t>
        </is>
      </c>
      <c r="I66" s="43">
        <f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/>
      </c>
      <c r="J66" s="44" t="inlineStr">
        <is>
          <t>Fechamento removível de vãos de porta de entrada dos aptos. em madeira</t>
        </is>
      </c>
      <c r="K66" s="46" t="inlineStr">
        <is>
          <t>m2</t>
        </is>
      </c>
      <c r="L66" s="46" t="n">
        <v>56.7</v>
      </c>
      <c r="M66" s="46" t="n">
        <v>49.519651</v>
      </c>
      <c r="N66" s="47">
        <f>IF(H66="Serviço",M66*L66,IF(H66="CÉLULA CONSTRUTIVA",SUMIFS($N$8:$N$442,$B$8:$B$442,B66,$H$8:$H$442,"Serviço"),IF(H66="ETAPA",SUMIFS($N$8:$N$442,$B$8:$B$442,B66,$C$8:$C$442,C66,$H$8:$H$442,"Serviço"),IF(H66="SUBETAPA",SUMIFS($N$8:$N$442,$B$8:$B$442,B66,$C$8:$C$442,C66,$D$8:$D$442,D66,$H$8:$H$442,"Serviço"),0))))</f>
        <v/>
      </c>
      <c r="O66" s="41" t="n"/>
      <c r="P66" s="42" t="n"/>
      <c r="Q66" s="43" t="n"/>
      <c r="R66" s="44" t="n"/>
    </row>
    <row r="67" outlineLevel="2" ht="13.95" customFormat="1" customHeight="1" s="31">
      <c r="A67" s="199">
        <f>IF($H67="UNIDADE CONSTRUTIVA",OFFSET(A67,-1,0)+1,LARGE(A$3:A66,1))</f>
        <v/>
      </c>
      <c r="B67" s="199">
        <f>IF(H67="UNIDADE CONSTRUTIVA",0,IF(H67="CÉLULA CONSTRUTIVA",OFFSET(B67,-1,0)+1,OFFSET(B67,-1,0)))</f>
        <v/>
      </c>
      <c r="C67" s="199">
        <f>IF(H67="CÉLULA CONSTRUTIVA",0,IF(H67="ETAPA",OFFSET(C67,-1,0)+1,OFFSET(C67,-1,0)))</f>
        <v/>
      </c>
      <c r="D67" s="200">
        <f>IF(H67="ETAPA",0,IF(H67="SUBETAPA",OFFSET(D67,-1,0)+1,OFFSET(D67,-1,0)))</f>
        <v/>
      </c>
      <c r="E67" s="200">
        <f>IF(H67="Subetapa",0,IF(H67="serviço",OFFSET(E67,-1,0)+1,OFFSET(E67,-1,0)))</f>
        <v/>
      </c>
      <c r="G67" s="41" t="n"/>
      <c r="H67" s="42" t="inlineStr">
        <is>
          <t>SERVIÇO</t>
        </is>
      </c>
      <c r="I67" s="43">
        <f>IF(H67="Unidade Construtiva",TEXT(A67,"00"),IF(H67="Célula Construtiva",TEXT(B67,"00"),IF(H67="Etapa",CONCATENATE(TEXT(B67,"00"),".",TEXT(C67,"000")),IF(H67="Subetapa",CONCATENATE(TEXT(B67,"00"),".",TEXT(C67,"000"),".",TEXT(D67,"000")),IF(H67="Serviço",CONCATENATE(TEXT(B67,"00"),".",TEXT(C67,"000"),".",TEXT(D67,"000"),".",TEXT(E67,"000")),"")))))</f>
        <v/>
      </c>
      <c r="J67" s="44" t="inlineStr">
        <is>
          <t>Cobertura para Proteção de Pedestres</t>
        </is>
      </c>
      <c r="K67" s="46" t="inlineStr">
        <is>
          <t>m</t>
        </is>
      </c>
      <c r="L67" s="46" t="n">
        <v>28</v>
      </c>
      <c r="M67" s="46" t="n">
        <v>247.08</v>
      </c>
      <c r="N67" s="47">
        <f>IF(H67="Serviço",M67*L67,IF(H67="CÉLULA CONSTRUTIVA",SUMIFS($N$8:$N$442,$B$8:$B$442,B67,$H$8:$H$442,"Serviço"),IF(H67="ETAPA",SUMIFS($N$8:$N$442,$B$8:$B$442,B67,$C$8:$C$442,C67,$H$8:$H$442,"Serviço"),IF(H67="SUBETAPA",SUMIFS($N$8:$N$442,$B$8:$B$442,B67,$C$8:$C$442,C67,$D$8:$D$442,D67,$H$8:$H$442,"Serviço"),0))))</f>
        <v/>
      </c>
      <c r="O67" s="41" t="n"/>
      <c r="P67" s="42" t="n"/>
      <c r="Q67" s="43" t="n"/>
      <c r="R67" s="44" t="n"/>
    </row>
    <row r="68" outlineLevel="2" ht="13.95" customFormat="1" customHeight="1" s="31">
      <c r="A68" s="199">
        <f>IF($H68="UNIDADE CONSTRUTIVA",OFFSET(A68,-1,0)+1,LARGE(A$3:A67,1))</f>
        <v/>
      </c>
      <c r="B68" s="199">
        <f>IF(H68="UNIDADE CONSTRUTIVA",0,IF(H68="CÉLULA CONSTRUTIVA",OFFSET(B68,-1,0)+1,OFFSET(B68,-1,0)))</f>
        <v/>
      </c>
      <c r="C68" s="199">
        <f>IF(H68="CÉLULA CONSTRUTIVA",0,IF(H68="ETAPA",OFFSET(C68,-1,0)+1,OFFSET(C68,-1,0)))</f>
        <v/>
      </c>
      <c r="D68" s="200">
        <f>IF(H68="ETAPA",0,IF(H68="SUBETAPA",OFFSET(D68,-1,0)+1,OFFSET(D68,-1,0)))</f>
        <v/>
      </c>
      <c r="E68" s="200">
        <f>IF(H68="Subetapa",0,IF(H68="serviço",OFFSET(E68,-1,0)+1,OFFSET(E68,-1,0)))</f>
        <v/>
      </c>
      <c r="G68" s="41" t="n"/>
      <c r="H68" s="42" t="inlineStr">
        <is>
          <t>SERVIÇO</t>
        </is>
      </c>
      <c r="I68" s="43">
        <f>IF(H68="Unidade Construtiva",TEXT(A68,"00"),IF(H68="Célula Construtiva",TEXT(B68,"00"),IF(H68="Etapa",CONCATENATE(TEXT(B68,"00"),".",TEXT(C68,"000")),IF(H68="Subetapa",CONCATENATE(TEXT(B68,"00"),".",TEXT(C68,"000"),".",TEXT(D68,"000")),IF(H68="Serviço",CONCATENATE(TEXT(B68,"00"),".",TEXT(C68,"000"),".",TEXT(D68,"000"),".",TEXT(E68,"000")),"")))))</f>
        <v/>
      </c>
      <c r="J68" s="44" t="inlineStr">
        <is>
          <t>Varal de segurança com cabo de aço (linha de vida)</t>
        </is>
      </c>
      <c r="K68" s="46" t="inlineStr">
        <is>
          <t>m</t>
        </is>
      </c>
      <c r="L68" s="46" t="n">
        <v>244.96</v>
      </c>
      <c r="M68" s="46" t="n">
        <v>101.514</v>
      </c>
      <c r="N68" s="47">
        <f>IF(H68="Serviço",M68*L68,IF(H68="CÉLULA CONSTRUTIVA",SUMIFS($N$8:$N$442,$B$8:$B$442,B68,$H$8:$H$442,"Serviço"),IF(H68="ETAPA",SUMIFS($N$8:$N$442,$B$8:$B$442,B68,$C$8:$C$442,C68,$H$8:$H$442,"Serviço"),IF(H68="SUBETAPA",SUMIFS($N$8:$N$442,$B$8:$B$442,B68,$C$8:$C$442,C68,$D$8:$D$442,D68,$H$8:$H$442,"Serviço"),0))))</f>
        <v/>
      </c>
      <c r="O68" s="41" t="n"/>
      <c r="P68" s="42" t="n"/>
      <c r="Q68" s="43" t="n"/>
      <c r="R68" s="44" t="n"/>
    </row>
    <row r="69" outlineLevel="2" ht="13.95" customFormat="1" customHeight="1" s="31">
      <c r="A69" s="199">
        <f>IF($H69="UNIDADE CONSTRUTIVA",OFFSET(A69,-1,0)+1,LARGE(A$3:A68,1))</f>
        <v/>
      </c>
      <c r="B69" s="199">
        <f>IF(H69="UNIDADE CONSTRUTIVA",0,IF(H69="CÉLULA CONSTRUTIVA",OFFSET(B69,-1,0)+1,OFFSET(B69,-1,0)))</f>
        <v/>
      </c>
      <c r="C69" s="199">
        <f>IF(H69="CÉLULA CONSTRUTIVA",0,IF(H69="ETAPA",OFFSET(C69,-1,0)+1,OFFSET(C69,-1,0)))</f>
        <v/>
      </c>
      <c r="D69" s="200">
        <f>IF(H69="ETAPA",0,IF(H69="SUBETAPA",OFFSET(D69,-1,0)+1,OFFSET(D69,-1,0)))</f>
        <v/>
      </c>
      <c r="E69" s="200">
        <f>IF(H69="Subetapa",0,IF(H69="serviço",OFFSET(E69,-1,0)+1,OFFSET(E69,-1,0)))</f>
        <v/>
      </c>
      <c r="G69" s="41" t="n"/>
      <c r="H69" s="42" t="inlineStr">
        <is>
          <t>SERVIÇO</t>
        </is>
      </c>
      <c r="I69" s="43">
        <f>IF(H69="Unidade Construtiva",TEXT(A69,"00"),IF(H69="Célula Construtiva",TEXT(B69,"00"),IF(H69="Etapa",CONCATENATE(TEXT(B69,"00"),".",TEXT(C69,"000")),IF(H69="Subetapa",CONCATENATE(TEXT(B69,"00"),".",TEXT(C69,"000"),".",TEXT(D69,"000")),IF(H69="Serviço",CONCATENATE(TEXT(B69,"00"),".",TEXT(C69,"000"),".",TEXT(D69,"000"),".",TEXT(E69,"000")),"")))))</f>
        <v/>
      </c>
      <c r="J69" s="44" t="inlineStr">
        <is>
          <t>Tela SLQA</t>
        </is>
      </c>
      <c r="K69" s="46" t="inlineStr">
        <is>
          <t>m</t>
        </is>
      </c>
      <c r="L69" s="46" t="n">
        <v>61.24</v>
      </c>
      <c r="M69" s="46" t="n">
        <v>1968.75</v>
      </c>
      <c r="N69" s="47">
        <f>IF(H69="Serviço",M69*L69,IF(H69="CÉLULA CONSTRUTIVA",SUMIFS($N$8:$N$442,$B$8:$B$442,B69,$H$8:$H$442,"Serviço"),IF(H69="ETAPA",SUMIFS($N$8:$N$442,$B$8:$B$442,B69,$C$8:$C$442,C69,$H$8:$H$442,"Serviço"),IF(H69="SUBETAPA",SUMIFS($N$8:$N$442,$B$8:$B$442,B69,$C$8:$C$442,C69,$D$8:$D$442,D69,$H$8:$H$442,"Serviço"),0))))</f>
        <v/>
      </c>
      <c r="O69" s="41" t="n"/>
      <c r="P69" s="42" t="n"/>
      <c r="Q69" s="43" t="n"/>
      <c r="R69" s="44" t="n"/>
    </row>
    <row r="70" outlineLevel="1" ht="12" customFormat="1" customHeight="1" s="31">
      <c r="A70" s="199">
        <f>IF($H70="UNIDADE CONSTRUTIVA",OFFSET(A70,-1,0)+1,LARGE(A$3:A69,1))</f>
        <v/>
      </c>
      <c r="B70" s="199">
        <f>IF(H70="UNIDADE CONSTRUTIVA",0,IF(H70="CÉLULA CONSTRUTIVA",OFFSET(B70,-1,0)+1,OFFSET(B70,-1,0)))</f>
        <v/>
      </c>
      <c r="C70" s="199">
        <f>IF(H70="CÉLULA CONSTRUTIVA",0,IF(H70="ETAPA",OFFSET(C70,-1,0)+1,OFFSET(C70,-1,0)))</f>
        <v/>
      </c>
      <c r="D70" s="200">
        <f>IF(H70="ETAPA",0,IF(H70="SUBETAPA",OFFSET(D70,-1,0)+1,OFFSET(D70,-1,0)))</f>
        <v/>
      </c>
      <c r="E70" s="200">
        <f>IF(H70="Subetapa",0,IF(H70="serviço",OFFSET(E70,-1,0)+1,OFFSET(E70,-1,0)))</f>
        <v/>
      </c>
      <c r="G70" s="41" t="n"/>
      <c r="H70" s="42" t="inlineStr">
        <is>
          <t>SUBETAPA</t>
        </is>
      </c>
      <c r="I70" s="43">
        <f>IF(H70="Unidade Construtiva",TEXT(A70,"00"),IF(H70="Célula Construtiva",TEXT(B70,"00"),IF(H70="Etapa",CONCATENATE(TEXT(B70,"00"),".",TEXT(C70,"000")),IF(H70="Subetapa",CONCATENATE(TEXT(B70,"00"),".",TEXT(C70,"000"),".",TEXT(D70,"000")),IF(H70="Serviço",CONCATENATE(TEXT(B70,"00"),".",TEXT(C70,"000"),".",TEXT(D70,"000"),".",TEXT(E70,"000")),"")))))</f>
        <v/>
      </c>
      <c r="J70" s="48" t="inlineStr">
        <is>
          <t>Meio Ambiente</t>
        </is>
      </c>
      <c r="K70" s="46" t="n"/>
      <c r="L70" s="46" t="n"/>
      <c r="M70" s="52" t="n"/>
      <c r="N70" s="47">
        <f>IF(H70="Serviço",M70*L70,IF(H70="CÉLULA CONSTRUTIVA",SUMIFS($N$8:$N$422,$B$8:$B$422,B70,$H$8:$H$422,"Serviço"),IF(H70="ETAPA",SUMIFS($N$8:$N$422,$B$8:$B$422,B70,$C$8:$C$422,C70,$H$8:$H$422,"Serviço"),IF(H70="SUBETAPA",SUMIFS($N$8:$N$422,$B$8:$B$422,B70,$C$8:$C$422,C70,$D$8:$D$422,D70,$H$8:$H$422,"Serviço"),0))))</f>
        <v/>
      </c>
      <c r="O70" s="41" t="n"/>
      <c r="P70" s="42" t="n"/>
      <c r="Q70" s="43" t="n"/>
      <c r="R70" s="201" t="inlineStr">
        <is>
          <t>01.001.001.004 - Estudo ambiental</t>
        </is>
      </c>
    </row>
    <row r="71" outlineLevel="2" ht="12" customFormat="1" customHeight="1" s="31">
      <c r="A71" s="199">
        <f>IF($H71="UNIDADE CONSTRUTIVA",OFFSET(A71,-1,0)+1,LARGE(A$3:A70,1))</f>
        <v/>
      </c>
      <c r="B71" s="199">
        <f>IF(H71="UNIDADE CONSTRUTIVA",0,IF(H71="CÉLULA CONSTRUTIVA",OFFSET(B71,-1,0)+1,OFFSET(B71,-1,0)))</f>
        <v/>
      </c>
      <c r="C71" s="199">
        <f>IF(H71="CÉLULA CONSTRUTIVA",0,IF(H71="ETAPA",OFFSET(C71,-1,0)+1,OFFSET(C71,-1,0)))</f>
        <v/>
      </c>
      <c r="D71" s="200">
        <f>IF(H71="ETAPA",0,IF(H71="SUBETAPA",OFFSET(D71,-1,0)+1,OFFSET(D71,-1,0)))</f>
        <v/>
      </c>
      <c r="E71" s="200">
        <f>IF(H71="Subetapa",0,IF(H71="serviço",OFFSET(E71,-1,0)+1,OFFSET(E71,-1,0)))</f>
        <v/>
      </c>
      <c r="G71" s="41" t="n"/>
      <c r="H71" s="42" t="inlineStr">
        <is>
          <t>SERVIÇO</t>
        </is>
      </c>
      <c r="I71" s="43">
        <f>IF(H71="Unidade Construtiva",TEXT(A71,"00"),IF(H71="Célula Construtiva",TEXT(B71,"00"),IF(H71="Etapa",CONCATENATE(TEXT(B71,"00"),".",TEXT(C71,"000")),IF(H71="Subetapa",CONCATENATE(TEXT(B71,"00"),".",TEXT(C71,"000"),".",TEXT(D71,"000")),IF(H71="Serviço",CONCATENATE(TEXT(B71,"00"),".",TEXT(C71,"000"),".",TEXT(D71,"000"),".",TEXT(E71,"000")),"")))))</f>
        <v/>
      </c>
      <c r="J71" s="48" t="inlineStr">
        <is>
          <t>Elaboração do Programa de Controle Médico de Saúde Ocupacional (PCMSO)</t>
        </is>
      </c>
      <c r="K71" s="46" t="inlineStr">
        <is>
          <t>vb</t>
        </is>
      </c>
      <c r="L71" s="46" t="n">
        <v>1</v>
      </c>
      <c r="M71" s="46" t="n">
        <v>2738.69254177199</v>
      </c>
      <c r="N71" s="47">
        <f>IF(H71="Serviço",M71*L71,IF(H71="CÉLULA CONSTRUTIVA",SUMIFS($N$8:$N$422,$B$8:$B$422,B71,$H$8:$H$422,"Serviço"),IF(H71="ETAPA",SUMIFS($N$8:$N$422,$B$8:$B$422,B71,$C$8:$C$422,C71,$H$8:$H$422,"Serviço"),IF(H71="SUBETAPA",SUMIFS($N$8:$N$422,$B$8:$B$422,B71,$C$8:$C$422,C71,$D$8:$D$422,D71,$H$8:$H$422,"Serviço"),0))))</f>
        <v/>
      </c>
      <c r="O71" s="41" t="n"/>
      <c r="P71" s="42" t="n"/>
      <c r="Q71" s="43" t="n"/>
      <c r="R71" s="48" t="n"/>
    </row>
    <row r="72" outlineLevel="2" ht="12" customFormat="1" customHeight="1" s="31">
      <c r="A72" s="199">
        <f>IF($H72="UNIDADE CONSTRUTIVA",OFFSET(A72,-1,0)+1,LARGE(A$3:A71,1))</f>
        <v/>
      </c>
      <c r="B72" s="199">
        <f>IF(H72="UNIDADE CONSTRUTIVA",0,IF(H72="CÉLULA CONSTRUTIVA",OFFSET(B72,-1,0)+1,OFFSET(B72,-1,0)))</f>
        <v/>
      </c>
      <c r="C72" s="199">
        <f>IF(H72="CÉLULA CONSTRUTIVA",0,IF(H72="ETAPA",OFFSET(C72,-1,0)+1,OFFSET(C72,-1,0)))</f>
        <v/>
      </c>
      <c r="D72" s="200">
        <f>IF(H72="ETAPA",0,IF(H72="SUBETAPA",OFFSET(D72,-1,0)+1,OFFSET(D72,-1,0)))</f>
        <v/>
      </c>
      <c r="E72" s="200">
        <f>IF(H72="Subetapa",0,IF(H72="serviço",OFFSET(E72,-1,0)+1,OFFSET(E72,-1,0)))</f>
        <v/>
      </c>
      <c r="G72" s="41" t="n"/>
      <c r="H72" s="42" t="inlineStr">
        <is>
          <t>SERVIÇO</t>
        </is>
      </c>
      <c r="I72" s="43">
        <f>IF(H72="Unidade Construtiva",TEXT(A72,"00"),IF(H72="Célula Construtiva",TEXT(B72,"00"),IF(H72="Etapa",CONCATENATE(TEXT(B72,"00"),".",TEXT(C72,"000")),IF(H72="Subetapa",CONCATENATE(TEXT(B72,"00"),".",TEXT(C72,"000"),".",TEXT(D72,"000")),IF(H72="Serviço",CONCATENATE(TEXT(B72,"00"),".",TEXT(C72,"000"),".",TEXT(D72,"000"),".",TEXT(E72,"000")),"")))))</f>
        <v/>
      </c>
      <c r="J72" s="48" t="inlineStr">
        <is>
          <t>Elaboração do programa de gerenciamento de riscos (PGR)</t>
        </is>
      </c>
      <c r="K72" s="46" t="inlineStr">
        <is>
          <t>vb</t>
        </is>
      </c>
      <c r="L72" s="46" t="n">
        <v>1</v>
      </c>
      <c r="M72" s="46" t="n">
        <v>3419.299389483393</v>
      </c>
      <c r="N72" s="47">
        <f>IF(H72="Serviço",M72*L72,IF(H72="CÉLULA CONSTRUTIVA",SUMIFS($N$8:$N$422,$B$8:$B$422,B72,$H$8:$H$422,"Serviço"),IF(H72="ETAPA",SUMIFS($N$8:$N$422,$B$8:$B$422,B72,$C$8:$C$422,C72,$H$8:$H$422,"Serviço"),IF(H72="SUBETAPA",SUMIFS($N$8:$N$422,$B$8:$B$422,B72,$C$8:$C$422,C72,$D$8:$D$422,D72,$H$8:$H$422,"Serviço"),0))))</f>
        <v/>
      </c>
      <c r="O72" s="41" t="n"/>
      <c r="P72" s="42" t="n"/>
      <c r="Q72" s="43" t="n"/>
      <c r="R72" s="48" t="n"/>
    </row>
    <row r="73" outlineLevel="2" ht="12" customFormat="1" customHeight="1" s="31">
      <c r="A73" s="199">
        <f>IF($H73="UNIDADE CONSTRUTIVA",OFFSET(A73,-1,0)+1,LARGE(A$3:A72,1))</f>
        <v/>
      </c>
      <c r="B73" s="199">
        <f>IF(H73="UNIDADE CONSTRUTIVA",0,IF(H73="CÉLULA CONSTRUTIVA",OFFSET(B73,-1,0)+1,OFFSET(B73,-1,0)))</f>
        <v/>
      </c>
      <c r="C73" s="199">
        <f>IF(H73="CÉLULA CONSTRUTIVA",0,IF(H73="ETAPA",OFFSET(C73,-1,0)+1,OFFSET(C73,-1,0)))</f>
        <v/>
      </c>
      <c r="D73" s="200">
        <f>IF(H73="ETAPA",0,IF(H73="SUBETAPA",OFFSET(D73,-1,0)+1,OFFSET(D73,-1,0)))</f>
        <v/>
      </c>
      <c r="E73" s="200">
        <f>IF(H73="Subetapa",0,IF(H73="serviço",OFFSET(E73,-1,0)+1,OFFSET(E73,-1,0)))</f>
        <v/>
      </c>
      <c r="G73" s="41" t="n"/>
      <c r="H73" s="42" t="inlineStr">
        <is>
          <t>SERVIÇO</t>
        </is>
      </c>
      <c r="I73" s="43">
        <f>IF(H73="Unidade Construtiva",TEXT(A73,"00"),IF(H73="Célula Construtiva",TEXT(B73,"00"),IF(H73="Etapa",CONCATENATE(TEXT(B73,"00"),".",TEXT(C73,"000")),IF(H73="Subetapa",CONCATENATE(TEXT(B73,"00"),".",TEXT(C73,"000"),".",TEXT(D73,"000")),IF(H73="Serviço",CONCATENATE(TEXT(B73,"00"),".",TEXT(C73,"000"),".",TEXT(D73,"000"),".",TEXT(E73,"000")),"")))))</f>
        <v/>
      </c>
      <c r="J73" s="48" t="inlineStr">
        <is>
          <t>Remoção de entulhos e resíduos</t>
        </is>
      </c>
      <c r="K73" s="46" t="inlineStr">
        <is>
          <t>mês</t>
        </is>
      </c>
      <c r="L73" s="46" t="n">
        <v>36</v>
      </c>
      <c r="M73" s="46" t="n">
        <v>2000</v>
      </c>
      <c r="N73" s="47">
        <f>IF(H73="Serviço",M73*L73,IF(H73="CÉLULA CONSTRUTIVA",SUMIFS($N$8:$N$422,$B$8:$B$422,B73,$H$8:$H$422,"Serviço"),IF(H73="ETAPA",SUMIFS($N$8:$N$422,$B$8:$B$422,B73,$C$8:$C$422,C73,$H$8:$H$422,"Serviço"),IF(H73="SUBETAPA",SUMIFS($N$8:$N$422,$B$8:$B$422,B73,$C$8:$C$422,C73,$D$8:$D$422,D73,$H$8:$H$422,"Serviço"),0))))</f>
        <v/>
      </c>
      <c r="O73" s="41" t="n"/>
      <c r="P73" s="42" t="n"/>
      <c r="Q73" s="43" t="n"/>
      <c r="R73" s="48" t="n"/>
    </row>
    <row r="74" outlineLevel="1" ht="12" customFormat="1" customHeight="1" s="31">
      <c r="A74" s="199">
        <f>IF($H74="UNIDADE CONSTRUTIVA",OFFSET(A74,-1,0)+1,LARGE(A$3:A73,1))</f>
        <v/>
      </c>
      <c r="B74" s="199">
        <f>IF(H74="UNIDADE CONSTRUTIVA",0,IF(H74="CÉLULA CONSTRUTIVA",OFFSET(B74,-1,0)+1,OFFSET(B74,-1,0)))</f>
        <v/>
      </c>
      <c r="C74" s="199">
        <f>IF(H74="CÉLULA CONSTRUTIVA",0,IF(H74="ETAPA",OFFSET(C74,-1,0)+1,OFFSET(C74,-1,0)))</f>
        <v/>
      </c>
      <c r="D74" s="200">
        <f>IF(H74="ETAPA",0,IF(H74="SUBETAPA",OFFSET(D74,-1,0)+1,OFFSET(D74,-1,0)))</f>
        <v/>
      </c>
      <c r="E74" s="200">
        <f>IF(H74="Subetapa",0,IF(H74="serviço",OFFSET(E74,-1,0)+1,OFFSET(E74,-1,0)))</f>
        <v/>
      </c>
      <c r="G74" s="41" t="n"/>
      <c r="H74" s="42" t="inlineStr">
        <is>
          <t>SUBETAPA</t>
        </is>
      </c>
      <c r="I74" s="43">
        <f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/>
      </c>
      <c r="J74" s="48" t="inlineStr">
        <is>
          <t>Saúde Ocupacional</t>
        </is>
      </c>
      <c r="K74" s="46" t="n"/>
      <c r="L74" s="46" t="n"/>
      <c r="M74" s="52" t="n"/>
      <c r="N74" s="47">
        <f>IF(H74="Serviço",M74*L74,IF(H74="CÉLULA CONSTRUTIVA",SUMIFS($N$8:$N$422,$B$8:$B$422,B74,$H$8:$H$422,"Serviço"),IF(H74="ETAPA",SUMIFS($N$8:$N$422,$B$8:$B$422,B74,$C$8:$C$422,C74,$H$8:$H$422,"Serviço"),IF(H74="SUBETAPA",SUMIFS($N$8:$N$422,$B$8:$B$422,B74,$C$8:$C$422,C74,$D$8:$D$422,D74,$H$8:$H$422,"Serviço"),0))))</f>
        <v/>
      </c>
      <c r="O74" s="41" t="n"/>
      <c r="P74" s="42" t="n"/>
      <c r="Q74" s="43" t="n"/>
      <c r="R74" s="48" t="n"/>
    </row>
    <row r="75" outlineLevel="2" ht="12" customFormat="1" customHeight="1" s="31">
      <c r="A75" s="199">
        <f>IF($H75="UNIDADE CONSTRUTIVA",OFFSET(A75,-1,0)+1,LARGE(A$3:A74,1))</f>
        <v/>
      </c>
      <c r="B75" s="199">
        <f>IF(H75="UNIDADE CONSTRUTIVA",0,IF(H75="CÉLULA CONSTRUTIVA",OFFSET(B75,-1,0)+1,OFFSET(B75,-1,0)))</f>
        <v/>
      </c>
      <c r="C75" s="199">
        <f>IF(H75="CÉLULA CONSTRUTIVA",0,IF(H75="ETAPA",OFFSET(C75,-1,0)+1,OFFSET(C75,-1,0)))</f>
        <v/>
      </c>
      <c r="D75" s="200">
        <f>IF(H75="ETAPA",0,IF(H75="SUBETAPA",OFFSET(D75,-1,0)+1,OFFSET(D75,-1,0)))</f>
        <v/>
      </c>
      <c r="E75" s="200">
        <f>IF(H75="Subetapa",0,IF(H75="serviço",OFFSET(E75,-1,0)+1,OFFSET(E75,-1,0)))</f>
        <v/>
      </c>
      <c r="G75" s="41" t="n"/>
      <c r="H75" s="42" t="inlineStr">
        <is>
          <t>SERVIÇO</t>
        </is>
      </c>
      <c r="I75" s="43">
        <f>IF(H75="Unidade Construtiva",TEXT(A75,"00"),IF(H75="Célula Construtiva",TEXT(B75,"00"),IF(H75="Etapa",CONCATENATE(TEXT(B75,"00"),".",TEXT(C75,"000")),IF(H75="Subetapa",CONCATENATE(TEXT(B75,"00"),".",TEXT(C75,"000"),".",TEXT(D75,"000")),IF(H75="Serviço",CONCATENATE(TEXT(B75,"00"),".",TEXT(C75,"000"),".",TEXT(D75,"000"),".",TEXT(E75,"000")),"")))))</f>
        <v/>
      </c>
      <c r="J75" s="48" t="inlineStr">
        <is>
          <t>Medicamentos preventivos e de emergência</t>
        </is>
      </c>
      <c r="K75" s="46" t="inlineStr">
        <is>
          <t>vb</t>
        </is>
      </c>
      <c r="L75" s="46" t="n">
        <v>1</v>
      </c>
      <c r="M75" s="46" t="n">
        <v>558.5353210048369</v>
      </c>
      <c r="N75" s="47">
        <f>IF(H75="Serviço",M75*L75,IF(H75="CÉLULA CONSTRUTIVA",SUMIFS($N$8:$N$422,$B$8:$B$422,B75,$H$8:$H$422,"Serviço"),IF(H75="ETAPA",SUMIFS($N$8:$N$422,$B$8:$B$422,B75,$C$8:$C$422,C75,$H$8:$H$422,"Serviço"),IF(H75="SUBETAPA",SUMIFS($N$8:$N$422,$B$8:$B$422,B75,$C$8:$C$422,C75,$D$8:$D$422,D75,$H$8:$H$422,"Serviço"),0))))</f>
        <v/>
      </c>
      <c r="O75" s="41" t="n"/>
      <c r="P75" s="42" t="n"/>
      <c r="Q75" s="43" t="n"/>
      <c r="R75" s="48" t="n"/>
    </row>
    <row r="76" outlineLevel="2" ht="12" customFormat="1" customHeight="1" s="31">
      <c r="A76" s="199">
        <f>IF($H76="UNIDADE CONSTRUTIVA",OFFSET(A76,-1,0)+1,LARGE(A$3:A75,1))</f>
        <v/>
      </c>
      <c r="B76" s="199">
        <f>IF(H76="UNIDADE CONSTRUTIVA",0,IF(H76="CÉLULA CONSTRUTIVA",OFFSET(B76,-1,0)+1,OFFSET(B76,-1,0)))</f>
        <v/>
      </c>
      <c r="C76" s="199">
        <f>IF(H76="CÉLULA CONSTRUTIVA",0,IF(H76="ETAPA",OFFSET(C76,-1,0)+1,OFFSET(C76,-1,0)))</f>
        <v/>
      </c>
      <c r="D76" s="200">
        <f>IF(H76="ETAPA",0,IF(H76="SUBETAPA",OFFSET(D76,-1,0)+1,OFFSET(D76,-1,0)))</f>
        <v/>
      </c>
      <c r="E76" s="200">
        <f>IF(H76="Subetapa",0,IF(H76="serviço",OFFSET(E76,-1,0)+1,OFFSET(E76,-1,0)))</f>
        <v/>
      </c>
      <c r="G76" s="41" t="n"/>
      <c r="H76" s="42" t="inlineStr">
        <is>
          <t>SERVIÇO</t>
        </is>
      </c>
      <c r="I76" s="43">
        <f>IF(H76="Unidade Construtiva",TEXT(A76,"00"),IF(H76="Célula Construtiva",TEXT(B76,"00"),IF(H76="Etapa",CONCATENATE(TEXT(B76,"00"),".",TEXT(C76,"000")),IF(H76="Subetapa",CONCATENATE(TEXT(B76,"00"),".",TEXT(C76,"000"),".",TEXT(D76,"000")),IF(H76="Serviço",CONCATENATE(TEXT(B76,"00"),".",TEXT(C76,"000"),".",TEXT(D76,"000"),".",TEXT(E76,"000")),"")))))</f>
        <v/>
      </c>
      <c r="J76" s="48" t="inlineStr">
        <is>
          <t>Kit socorrista</t>
        </is>
      </c>
      <c r="K76" s="46" t="inlineStr">
        <is>
          <t>vb</t>
        </is>
      </c>
      <c r="L76" s="46" t="n">
        <v>1</v>
      </c>
      <c r="M76" s="46" t="n">
        <v>174.1032186448164</v>
      </c>
      <c r="N76" s="47">
        <f>IF(H76="Serviço",M76*L76,IF(H76="CÉLULA CONSTRUTIVA",SUMIFS($N$8:$N$422,$B$8:$B$422,B76,$H$8:$H$422,"Serviço"),IF(H76="ETAPA",SUMIFS($N$8:$N$422,$B$8:$B$422,B76,$C$8:$C$422,C76,$H$8:$H$422,"Serviço"),IF(H76="SUBETAPA",SUMIFS($N$8:$N$422,$B$8:$B$422,B76,$C$8:$C$422,C76,$D$8:$D$422,D76,$H$8:$H$422,"Serviço"),0))))</f>
        <v/>
      </c>
      <c r="O76" s="41" t="n"/>
      <c r="P76" s="42" t="n"/>
      <c r="Q76" s="43" t="n"/>
      <c r="R76" s="48" t="n"/>
    </row>
    <row r="77" outlineLevel="2" ht="12" customFormat="1" customHeight="1" s="31">
      <c r="A77" s="199">
        <f>IF($H77="UNIDADE CONSTRUTIVA",OFFSET(A77,-1,0)+1,LARGE(A$3:A76,1))</f>
        <v/>
      </c>
      <c r="B77" s="199">
        <f>IF(H77="UNIDADE CONSTRUTIVA",0,IF(H77="CÉLULA CONSTRUTIVA",OFFSET(B77,-1,0)+1,OFFSET(B77,-1,0)))</f>
        <v/>
      </c>
      <c r="C77" s="199">
        <f>IF(H77="CÉLULA CONSTRUTIVA",0,IF(H77="ETAPA",OFFSET(C77,-1,0)+1,OFFSET(C77,-1,0)))</f>
        <v/>
      </c>
      <c r="D77" s="200">
        <f>IF(H77="ETAPA",0,IF(H77="SUBETAPA",OFFSET(D77,-1,0)+1,OFFSET(D77,-1,0)))</f>
        <v/>
      </c>
      <c r="E77" s="200">
        <f>IF(H77="Subetapa",0,IF(H77="serviço",OFFSET(E77,-1,0)+1,OFFSET(E77,-1,0)))</f>
        <v/>
      </c>
      <c r="G77" s="41" t="n"/>
      <c r="H77" s="42" t="inlineStr">
        <is>
          <t>SERVIÇO</t>
        </is>
      </c>
      <c r="I77" s="43">
        <f>IF(H77="Unidade Construtiva",TEXT(A77,"00"),IF(H77="Célula Construtiva",TEXT(B77,"00"),IF(H77="Etapa",CONCATENATE(TEXT(B77,"00"),".",TEXT(C77,"000")),IF(H77="Subetapa",CONCATENATE(TEXT(B77,"00"),".",TEXT(C77,"000"),".",TEXT(D77,"000")),IF(H77="Serviço",CONCATENATE(TEXT(B77,"00"),".",TEXT(C77,"000"),".",TEXT(D77,"000"),".",TEXT(E77,"000")),"")))))</f>
        <v/>
      </c>
      <c r="J77" s="48" t="inlineStr">
        <is>
          <t>Dedetização, desratização e sanitização dos ambientes</t>
        </is>
      </c>
      <c r="K77" s="46" t="inlineStr">
        <is>
          <t>mês</t>
        </is>
      </c>
      <c r="L77" s="46" t="n">
        <v>18</v>
      </c>
      <c r="M77" s="46" t="n">
        <v>250</v>
      </c>
      <c r="N77" s="47">
        <f>IF(H77="Serviço",M77*L77,IF(H77="CÉLULA CONSTRUTIVA",SUMIFS($N$8:$N$422,$B$8:$B$422,B77,$H$8:$H$422,"Serviço"),IF(H77="ETAPA",SUMIFS($N$8:$N$422,$B$8:$B$422,B77,$C$8:$C$422,C77,$H$8:$H$422,"Serviço"),IF(H77="SUBETAPA",SUMIFS($N$8:$N$422,$B$8:$B$422,B77,$C$8:$C$422,C77,$D$8:$D$422,D77,$H$8:$H$422,"Serviço"),0))))</f>
        <v/>
      </c>
      <c r="O77" s="41" t="n"/>
      <c r="P77" s="42" t="n"/>
      <c r="Q77" s="43" t="n"/>
      <c r="R77" s="48" t="n"/>
    </row>
    <row r="78" outlineLevel="1" ht="12" customFormat="1" customHeight="1" s="31">
      <c r="A78" s="199">
        <f>IF($H78="UNIDADE CONSTRUTIVA",OFFSET(A78,-1,0)+1,LARGE(A$3:A77,1))</f>
        <v/>
      </c>
      <c r="B78" s="199">
        <f>IF(H78="UNIDADE CONSTRUTIVA",0,IF(H78="CÉLULA CONSTRUTIVA",OFFSET(B78,-1,0)+1,OFFSET(B78,-1,0)))</f>
        <v/>
      </c>
      <c r="C78" s="199">
        <f>IF(H78="CÉLULA CONSTRUTIVA",0,IF(H78="ETAPA",OFFSET(C78,-1,0)+1,OFFSET(C78,-1,0)))</f>
        <v/>
      </c>
      <c r="D78" s="200">
        <f>IF(H78="ETAPA",0,IF(H78="SUBETAPA",OFFSET(D78,-1,0)+1,OFFSET(D78,-1,0)))</f>
        <v/>
      </c>
      <c r="E78" s="200">
        <f>IF(H78="Subetapa",0,IF(H78="serviço",OFFSET(E78,-1,0)+1,OFFSET(E78,-1,0)))</f>
        <v/>
      </c>
      <c r="G78" s="41" t="n"/>
      <c r="H78" s="42" t="inlineStr">
        <is>
          <t>ETAPA</t>
        </is>
      </c>
      <c r="I78" s="43">
        <f>IF(H78="Unidade Construtiva",TEXT(A78,"00"),IF(H78="Célula Construtiva",TEXT(B78,"00"),IF(H78="Etapa",CONCATENATE(TEXT(B78,"00"),".",TEXT(C78,"000")),IF(H78="Subetapa",CONCATENATE(TEXT(B78,"00"),".",TEXT(C78,"000"),".",TEXT(D78,"000")),IF(H78="Serviço",CONCATENATE(TEXT(B78,"00"),".",TEXT(C78,"000"),".",TEXT(D78,"000"),".",TEXT(E78,"000")),"")))))</f>
        <v/>
      </c>
      <c r="J78" s="48" t="inlineStr">
        <is>
          <t>ADMINISTRAÇÃO E CANTEIRO DE OBRA</t>
        </is>
      </c>
      <c r="K78" s="46" t="n"/>
      <c r="L78" s="46" t="n"/>
      <c r="M78" s="46" t="n"/>
      <c r="N78" s="47">
        <f>IF(H78="Serviço",M78*L78,IF(H78="CÉLULA CONSTRUTIVA",SUMIFS($N$8:$N$422,$B$8:$B$422,B78,$H$8:$H$422,"Serviço"),IF(H78="ETAPA",SUMIFS($N$8:$N$422,$B$8:$B$422,B78,$C$8:$C$422,C78,$H$8:$H$422,"Serviço"),IF(H78="SUBETAPA",SUMIFS($N$8:$N$422,$B$8:$B$422,B78,$C$8:$C$422,C78,$D$8:$D$422,D78,$H$8:$H$422,"Serviço"),0))))</f>
        <v/>
      </c>
      <c r="O78" s="41" t="n"/>
      <c r="P78" s="42" t="n"/>
      <c r="Q78" s="43" t="n"/>
      <c r="R78" s="48" t="n"/>
    </row>
    <row r="79" outlineLevel="1" ht="12" customFormat="1" customHeight="1" s="31">
      <c r="A79" s="199">
        <f>IF($H79="UNIDADE CONSTRUTIVA",OFFSET(A79,-1,0)+1,LARGE(A$3:A78,1))</f>
        <v/>
      </c>
      <c r="B79" s="199">
        <f>IF(H79="UNIDADE CONSTRUTIVA",0,IF(H79="CÉLULA CONSTRUTIVA",OFFSET(B79,-1,0)+1,OFFSET(B79,-1,0)))</f>
        <v/>
      </c>
      <c r="C79" s="199">
        <f>IF(H79="CÉLULA CONSTRUTIVA",0,IF(H79="ETAPA",OFFSET(C79,-1,0)+1,OFFSET(C79,-1,0)))</f>
        <v/>
      </c>
      <c r="D79" s="200">
        <f>IF(H79="ETAPA",0,IF(H79="SUBETAPA",OFFSET(D79,-1,0)+1,OFFSET(D79,-1,0)))</f>
        <v/>
      </c>
      <c r="E79" s="200">
        <f>IF(H79="Subetapa",0,IF(H79="serviço",OFFSET(E79,-1,0)+1,OFFSET(E79,-1,0)))</f>
        <v/>
      </c>
      <c r="G79" s="41" t="n"/>
      <c r="H79" s="42" t="inlineStr">
        <is>
          <t>SUBETAPA</t>
        </is>
      </c>
      <c r="I79" s="43">
        <f>IF(H79="Unidade Construtiva",TEXT(A79,"00"),IF(H79="Célula Construtiva",TEXT(B79,"00"),IF(H79="Etapa",CONCATENATE(TEXT(B79,"00"),".",TEXT(C79,"000")),IF(H79="Subetapa",CONCATENATE(TEXT(B79,"00"),".",TEXT(C79,"000"),".",TEXT(D79,"000")),IF(H79="Serviço",CONCATENATE(TEXT(B79,"00"),".",TEXT(C79,"000"),".",TEXT(D79,"000"),".",TEXT(E79,"000")),"")))))</f>
        <v/>
      </c>
      <c r="J79" s="48" t="inlineStr">
        <is>
          <t>Equipe de Gestão e Apoio</t>
        </is>
      </c>
      <c r="K79" s="46" t="n"/>
      <c r="L79" s="46" t="n"/>
      <c r="M79" s="46" t="n"/>
      <c r="N79" s="47">
        <f>IF(H79="Serviço",M79*L79,IF(H79="CÉLULA CONSTRUTIVA",SUMIFS($N$8:$N$422,$B$8:$B$422,B79,$H$8:$H$422,"Serviço"),IF(H79="ETAPA",SUMIFS($N$8:$N$422,$B$8:$B$422,B79,$C$8:$C$422,C79,$H$8:$H$422,"Serviço"),IF(H79="SUBETAPA",SUMIFS($N$8:$N$422,$B$8:$B$422,B79,$C$8:$C$422,C79,$D$8:$D$422,D79,$H$8:$H$422,"Serviço"),0))))</f>
        <v/>
      </c>
      <c r="O79" s="41" t="n"/>
      <c r="P79" s="42" t="n"/>
      <c r="Q79" s="43" t="n"/>
      <c r="R79" s="201" t="inlineStr">
        <is>
          <t>02.002.004.004 - Equipamentos de escritório</t>
        </is>
      </c>
    </row>
    <row r="80" outlineLevel="2" ht="12" customFormat="1" customHeight="1" s="31">
      <c r="A80" s="199">
        <f>IF($H80="UNIDADE CONSTRUTIVA",OFFSET(A80,-1,0)+1,LARGE(A$3:A79,1))</f>
        <v/>
      </c>
      <c r="B80" s="199">
        <f>IF(H80="UNIDADE CONSTRUTIVA",0,IF(H80="CÉLULA CONSTRUTIVA",OFFSET(B80,-1,0)+1,OFFSET(B80,-1,0)))</f>
        <v/>
      </c>
      <c r="C80" s="199">
        <f>IF(H80="CÉLULA CONSTRUTIVA",0,IF(H80="ETAPA",OFFSET(C80,-1,0)+1,OFFSET(C80,-1,0)))</f>
        <v/>
      </c>
      <c r="D80" s="200">
        <f>IF(H80="ETAPA",0,IF(H80="SUBETAPA",OFFSET(D80,-1,0)+1,OFFSET(D80,-1,0)))</f>
        <v/>
      </c>
      <c r="E80" s="200">
        <f>IF(H80="Subetapa",0,IF(H80="serviço",OFFSET(E80,-1,0)+1,OFFSET(E80,-1,0)))</f>
        <v/>
      </c>
      <c r="G80" s="41" t="n"/>
      <c r="H80" s="42" t="inlineStr">
        <is>
          <t>SERVIÇO</t>
        </is>
      </c>
      <c r="I80" s="43">
        <f>IF(H80="Unidade Construtiva",TEXT(A80,"00"),IF(H80="Célula Construtiva",TEXT(B80,"00"),IF(H80="Etapa",CONCATENATE(TEXT(B80,"00"),".",TEXT(C80,"000")),IF(H80="Subetapa",CONCATENATE(TEXT(B80,"00"),".",TEXT(C80,"000"),".",TEXT(D80,"000")),IF(H80="Serviço",CONCATENATE(TEXT(B80,"00"),".",TEXT(C80,"000"),".",TEXT(D80,"000"),".",TEXT(E80,"000")),"")))))</f>
        <v/>
      </c>
      <c r="J80" s="48" t="inlineStr">
        <is>
          <t>Engenheiro Civil</t>
        </is>
      </c>
      <c r="K80" s="46" t="inlineStr">
        <is>
          <t>mês</t>
        </is>
      </c>
      <c r="L80" s="46" t="n">
        <v>36</v>
      </c>
      <c r="M80" s="46" t="n">
        <v>8800</v>
      </c>
      <c r="N80" s="47">
        <f>IF(H80="Serviço",M80*L80,IF(H80="CÉLULA CONSTRUTIVA",SUMIFS($N$8:$N$422,$B$8:$B$422,B80,$H$8:$H$422,"Serviço"),IF(H80="ETAPA",SUMIFS($N$8:$N$422,$B$8:$B$422,B80,$C$8:$C$422,C80,$H$8:$H$422,"Serviço"),IF(H80="SUBETAPA",SUMIFS($N$8:$N$422,$B$8:$B$422,B80,$C$8:$C$422,C80,$D$8:$D$422,D80,$H$8:$H$422,"Serviço"),0))))</f>
        <v/>
      </c>
      <c r="O80" s="41" t="n"/>
      <c r="P80" s="42" t="n"/>
      <c r="Q80" s="43" t="n"/>
      <c r="R80" s="48" t="n"/>
    </row>
    <row r="81" outlineLevel="2" ht="12" customFormat="1" customHeight="1" s="31">
      <c r="A81" s="199">
        <f>IF($H81="UNIDADE CONSTRUTIVA",OFFSET(A81,-1,0)+1,LARGE(A$3:A80,1))</f>
        <v/>
      </c>
      <c r="B81" s="199">
        <f>IF(H81="UNIDADE CONSTRUTIVA",0,IF(H81="CÉLULA CONSTRUTIVA",OFFSET(B81,-1,0)+1,OFFSET(B81,-1,0)))</f>
        <v/>
      </c>
      <c r="C81" s="199">
        <f>IF(H81="CÉLULA CONSTRUTIVA",0,IF(H81="ETAPA",OFFSET(C81,-1,0)+1,OFFSET(C81,-1,0)))</f>
        <v/>
      </c>
      <c r="D81" s="200">
        <f>IF(H81="ETAPA",0,IF(H81="SUBETAPA",OFFSET(D81,-1,0)+1,OFFSET(D81,-1,0)))</f>
        <v/>
      </c>
      <c r="E81" s="200">
        <f>IF(H81="Subetapa",0,IF(H81="serviço",OFFSET(E81,-1,0)+1,OFFSET(E81,-1,0)))</f>
        <v/>
      </c>
      <c r="G81" s="41" t="n"/>
      <c r="H81" s="42" t="inlineStr">
        <is>
          <t>SERVIÇO</t>
        </is>
      </c>
      <c r="I81" s="43">
        <f>IF(H81="Unidade Construtiva",TEXT(A81,"00"),IF(H81="Célula Construtiva",TEXT(B81,"00"),IF(H81="Etapa",CONCATENATE(TEXT(B81,"00"),".",TEXT(C81,"000")),IF(H81="Subetapa",CONCATENATE(TEXT(B81,"00"),".",TEXT(C81,"000"),".",TEXT(D81,"000")),IF(H81="Serviço",CONCATENATE(TEXT(B81,"00"),".",TEXT(C81,"000"),".",TEXT(D81,"000"),".",TEXT(E81,"000")),"")))))</f>
        <v/>
      </c>
      <c r="J81" s="48" t="inlineStr">
        <is>
          <t>Mestre De Obras</t>
        </is>
      </c>
      <c r="K81" s="46" t="inlineStr">
        <is>
          <t>mês</t>
        </is>
      </c>
      <c r="L81" s="46" t="n">
        <v>36</v>
      </c>
      <c r="M81" s="46" t="n">
        <v>5500</v>
      </c>
      <c r="N81" s="47">
        <f>IF(H81="Serviço",M81*L81,IF(H81="CÉLULA CONSTRUTIVA",SUMIFS($N$8:$N$422,$B$8:$B$422,B81,$H$8:$H$422,"Serviço"),IF(H81="ETAPA",SUMIFS($N$8:$N$422,$B$8:$B$422,B81,$C$8:$C$422,C81,$H$8:$H$422,"Serviço"),IF(H81="SUBETAPA",SUMIFS($N$8:$N$422,$B$8:$B$422,B81,$C$8:$C$422,C81,$D$8:$D$422,D81,$H$8:$H$422,"Serviço"),0))))</f>
        <v/>
      </c>
      <c r="O81" s="41" t="n"/>
      <c r="P81" s="42" t="n"/>
      <c r="Q81" s="43" t="n"/>
      <c r="R81" s="48" t="n"/>
    </row>
    <row r="82" outlineLevel="2" ht="12" customFormat="1" customHeight="1" s="31">
      <c r="A82" s="199">
        <f>IF($H82="UNIDADE CONSTRUTIVA",OFFSET(A82,-1,0)+1,LARGE(A$3:A81,1))</f>
        <v/>
      </c>
      <c r="B82" s="199">
        <f>IF(H82="UNIDADE CONSTRUTIVA",0,IF(H82="CÉLULA CONSTRUTIVA",OFFSET(B82,-1,0)+1,OFFSET(B82,-1,0)))</f>
        <v/>
      </c>
      <c r="C82" s="199">
        <f>IF(H82="CÉLULA CONSTRUTIVA",0,IF(H82="ETAPA",OFFSET(C82,-1,0)+1,OFFSET(C82,-1,0)))</f>
        <v/>
      </c>
      <c r="D82" s="200">
        <f>IF(H82="ETAPA",0,IF(H82="SUBETAPA",OFFSET(D82,-1,0)+1,OFFSET(D82,-1,0)))</f>
        <v/>
      </c>
      <c r="E82" s="200">
        <f>IF(H82="Subetapa",0,IF(H82="serviço",OFFSET(E82,-1,0)+1,OFFSET(E82,-1,0)))</f>
        <v/>
      </c>
      <c r="G82" s="41" t="n"/>
      <c r="H82" s="42" t="inlineStr">
        <is>
          <t>SERVIÇO</t>
        </is>
      </c>
      <c r="I82" s="43">
        <f>IF(H82="Unidade Construtiva",TEXT(A82,"00"),IF(H82="Célula Construtiva",TEXT(B82,"00"),IF(H82="Etapa",CONCATENATE(TEXT(B82,"00"),".",TEXT(C82,"000")),IF(H82="Subetapa",CONCATENATE(TEXT(B82,"00"),".",TEXT(C82,"000"),".",TEXT(D82,"000")),IF(H82="Serviço",CONCATENATE(TEXT(B82,"00"),".",TEXT(C82,"000"),".",TEXT(D82,"000"),".",TEXT(E82,"000")),"")))))</f>
        <v/>
      </c>
      <c r="J82" s="48" t="inlineStr">
        <is>
          <t>Auxiliar de engenharia</t>
        </is>
      </c>
      <c r="K82" s="46" t="inlineStr">
        <is>
          <t>mês</t>
        </is>
      </c>
      <c r="L82" s="46" t="n">
        <v>36</v>
      </c>
      <c r="M82" s="46" t="n">
        <v>4200</v>
      </c>
      <c r="N82" s="47">
        <f>IF(H82="Serviço",M82*L82,IF(H82="CÉLULA CONSTRUTIVA",SUMIFS($N$8:$N$422,$B$8:$B$422,B82,$H$8:$H$422,"Serviço"),IF(H82="ETAPA",SUMIFS($N$8:$N$422,$B$8:$B$422,B82,$C$8:$C$422,C82,$H$8:$H$422,"Serviço"),IF(H82="SUBETAPA",SUMIFS($N$8:$N$422,$B$8:$B$422,B82,$C$8:$C$422,C82,$D$8:$D$422,D82,$H$8:$H$422,"Serviço"),0))))</f>
        <v/>
      </c>
      <c r="O82" s="41" t="n"/>
      <c r="P82" s="42" t="n"/>
      <c r="Q82" s="43" t="n"/>
      <c r="R82" s="48" t="n"/>
    </row>
    <row r="83" outlineLevel="2" ht="12" customFormat="1" customHeight="1" s="31">
      <c r="A83" s="199">
        <f>IF($H83="UNIDADE CONSTRUTIVA",OFFSET(A83,-1,0)+1,LARGE(A$3:A82,1))</f>
        <v/>
      </c>
      <c r="B83" s="199">
        <f>IF(H83="UNIDADE CONSTRUTIVA",0,IF(H83="CÉLULA CONSTRUTIVA",OFFSET(B83,-1,0)+1,OFFSET(B83,-1,0)))</f>
        <v/>
      </c>
      <c r="C83" s="199">
        <f>IF(H83="CÉLULA CONSTRUTIVA",0,IF(H83="ETAPA",OFFSET(C83,-1,0)+1,OFFSET(C83,-1,0)))</f>
        <v/>
      </c>
      <c r="D83" s="200">
        <f>IF(H83="ETAPA",0,IF(H83="SUBETAPA",OFFSET(D83,-1,0)+1,OFFSET(D83,-1,0)))</f>
        <v/>
      </c>
      <c r="E83" s="200">
        <f>IF(H83="Subetapa",0,IF(H83="serviço",OFFSET(E83,-1,0)+1,OFFSET(E83,-1,0)))</f>
        <v/>
      </c>
      <c r="G83" s="41" t="n"/>
      <c r="H83" s="42" t="inlineStr">
        <is>
          <t>SERVIÇO</t>
        </is>
      </c>
      <c r="I83" s="43">
        <f>IF(H83="Unidade Construtiva",TEXT(A83,"00"),IF(H83="Célula Construtiva",TEXT(B83,"00"),IF(H83="Etapa",CONCATENATE(TEXT(B83,"00"),".",TEXT(C83,"000")),IF(H83="Subetapa",CONCATENATE(TEXT(B83,"00"),".",TEXT(C83,"000"),".",TEXT(D83,"000")),IF(H83="Serviço",CONCATENATE(TEXT(B83,"00"),".",TEXT(C83,"000"),".",TEXT(D83,"000"),".",TEXT(E83,"000")),"")))))</f>
        <v/>
      </c>
      <c r="J83" s="48" t="inlineStr">
        <is>
          <t>Estagiário</t>
        </is>
      </c>
      <c r="K83" s="46" t="inlineStr">
        <is>
          <t>mês</t>
        </is>
      </c>
      <c r="L83" s="46" t="n">
        <v>36</v>
      </c>
      <c r="M83" s="46" t="n">
        <v>1500</v>
      </c>
      <c r="N83" s="47">
        <f>IF(H83="Serviço",M83*L83,IF(H83="CÉLULA CONSTRUTIVA",SUMIFS($N$8:$N$422,$B$8:$B$422,B83,$H$8:$H$422,"Serviço"),IF(H83="ETAPA",SUMIFS($N$8:$N$422,$B$8:$B$422,B83,$C$8:$C$422,C83,$H$8:$H$422,"Serviço"),IF(H83="SUBETAPA",SUMIFS($N$8:$N$422,$B$8:$B$422,B83,$C$8:$C$422,C83,$D$8:$D$422,D83,$H$8:$H$422,"Serviço"),0))))</f>
        <v/>
      </c>
      <c r="O83" s="41" t="n"/>
      <c r="P83" s="42" t="n"/>
      <c r="Q83" s="43" t="n"/>
      <c r="R83" s="48" t="n"/>
    </row>
    <row r="84" outlineLevel="2" ht="12" customFormat="1" customHeight="1" s="31">
      <c r="A84" s="199">
        <f>IF($H84="UNIDADE CONSTRUTIVA",OFFSET(A84,-1,0)+1,LARGE(A$3:A83,1))</f>
        <v/>
      </c>
      <c r="B84" s="199">
        <f>IF(H84="UNIDADE CONSTRUTIVA",0,IF(H84="CÉLULA CONSTRUTIVA",OFFSET(B84,-1,0)+1,OFFSET(B84,-1,0)))</f>
        <v/>
      </c>
      <c r="C84" s="199">
        <f>IF(H84="CÉLULA CONSTRUTIVA",0,IF(H84="ETAPA",OFFSET(C84,-1,0)+1,OFFSET(C84,-1,0)))</f>
        <v/>
      </c>
      <c r="D84" s="200">
        <f>IF(H84="ETAPA",0,IF(H84="SUBETAPA",OFFSET(D84,-1,0)+1,OFFSET(D84,-1,0)))</f>
        <v/>
      </c>
      <c r="E84" s="200">
        <f>IF(H84="Subetapa",0,IF(H84="serviço",OFFSET(E84,-1,0)+1,OFFSET(E84,-1,0)))</f>
        <v/>
      </c>
      <c r="G84" s="41" t="n"/>
      <c r="H84" s="42" t="inlineStr">
        <is>
          <t>SERVIÇO</t>
        </is>
      </c>
      <c r="I84" s="43">
        <f>IF(H84="Unidade Construtiva",TEXT(A84,"00"),IF(H84="Célula Construtiva",TEXT(B84,"00"),IF(H84="Etapa",CONCATENATE(TEXT(B84,"00"),".",TEXT(C84,"000")),IF(H84="Subetapa",CONCATENATE(TEXT(B84,"00"),".",TEXT(C84,"000"),".",TEXT(D84,"000")),IF(H84="Serviço",CONCATENATE(TEXT(B84,"00"),".",TEXT(C84,"000"),".",TEXT(D84,"000"),".",TEXT(E84,"000")),"")))))</f>
        <v/>
      </c>
      <c r="J84" s="48" t="inlineStr">
        <is>
          <t>Guincheiro</t>
        </is>
      </c>
      <c r="K84" s="46" t="inlineStr">
        <is>
          <t>mês</t>
        </is>
      </c>
      <c r="L84" s="46" t="n">
        <v>36</v>
      </c>
      <c r="M84" s="46" t="n">
        <v>2500</v>
      </c>
      <c r="N84" s="47">
        <f>IF(H84="Serviço",M84*L84,IF(H84="CÉLULA CONSTRUTIVA",SUMIFS($N$8:$N$422,$B$8:$B$422,B84,$H$8:$H$422,"Serviço"),IF(H84="ETAPA",SUMIFS($N$8:$N$422,$B$8:$B$422,B84,$C$8:$C$422,C84,$H$8:$H$422,"Serviço"),IF(H84="SUBETAPA",SUMIFS($N$8:$N$422,$B$8:$B$422,B84,$C$8:$C$422,C84,$D$8:$D$422,D84,$H$8:$H$422,"Serviço"),0))))</f>
        <v/>
      </c>
      <c r="O84" s="41" t="n"/>
      <c r="P84" s="42" t="n"/>
      <c r="Q84" s="43" t="n"/>
      <c r="R84" s="48" t="n"/>
    </row>
    <row r="85" outlineLevel="2" ht="10.8" customFormat="1" customHeight="1" s="31">
      <c r="A85" s="199">
        <f>IF($H85="UNIDADE CONSTRUTIVA",OFFSET(A85,-1,0)+1,LARGE(A$3:A84,1))</f>
        <v/>
      </c>
      <c r="B85" s="199">
        <f>IF(H85="UNIDADE CONSTRUTIVA",0,IF(H85="CÉLULA CONSTRUTIVA",OFFSET(B85,-1,0)+1,OFFSET(B85,-1,0)))</f>
        <v/>
      </c>
      <c r="C85" s="199">
        <f>IF(H85="CÉLULA CONSTRUTIVA",0,IF(H85="ETAPA",OFFSET(C85,-1,0)+1,OFFSET(C85,-1,0)))</f>
        <v/>
      </c>
      <c r="D85" s="200">
        <f>IF(H85="ETAPA",0,IF(H85="SUBETAPA",OFFSET(D85,-1,0)+1,OFFSET(D85,-1,0)))</f>
        <v/>
      </c>
      <c r="E85" s="200">
        <f>IF(H85="Subetapa",0,IF(H85="serviço",OFFSET(E85,-1,0)+1,OFFSET(E85,-1,0)))</f>
        <v/>
      </c>
      <c r="G85" s="41" t="n"/>
      <c r="H85" s="42" t="inlineStr">
        <is>
          <t>SERVIÇO</t>
        </is>
      </c>
      <c r="I85" s="43">
        <f>IF(H85="Unidade Construtiva",TEXT(A85,"00"),IF(H85="Célula Construtiva",TEXT(B85,"00"),IF(H85="Etapa",CONCATENATE(TEXT(B85,"00"),".",TEXT(C85,"000")),IF(H85="Subetapa",CONCATENATE(TEXT(B85,"00"),".",TEXT(C85,"000"),".",TEXT(D85,"000")),IF(H85="Serviço",CONCATENATE(TEXT(B85,"00"),".",TEXT(C85,"000"),".",TEXT(D85,"000"),".",TEXT(E85,"000")),"")))))</f>
        <v/>
      </c>
      <c r="J85" s="48" t="inlineStr">
        <is>
          <t>Equipe de apoio</t>
        </is>
      </c>
      <c r="K85" s="46" t="inlineStr">
        <is>
          <t>mês</t>
        </is>
      </c>
      <c r="L85" s="46" t="n">
        <v>36</v>
      </c>
      <c r="M85" s="46" t="n">
        <v>11600</v>
      </c>
      <c r="N85" s="47">
        <f>IF(H85="Serviço",M85*L85,IF(H85="CÉLULA CONSTRUTIVA",SUMIFS($N$8:$N$422,$B$8:$B$422,B85,$H$8:$H$422,"Serviço"),IF(H85="ETAPA",SUMIFS($N$8:$N$422,$B$8:$B$422,B85,$C$8:$C$422,C85,$H$8:$H$422,"Serviço"),IF(H85="SUBETAPA",SUMIFS($N$8:$N$422,$B$8:$B$422,B85,$C$8:$C$422,C85,$D$8:$D$422,D85,$H$8:$H$422,"Serviço"),0))))</f>
        <v/>
      </c>
      <c r="O85" s="41" t="n"/>
      <c r="P85" s="42" t="n"/>
      <c r="Q85" s="43" t="n"/>
      <c r="R85" s="48" t="n"/>
    </row>
    <row r="86" outlineLevel="1" ht="12" customFormat="1" customHeight="1" s="31">
      <c r="A86" s="199">
        <f>IF($H86="UNIDADE CONSTRUTIVA",OFFSET(A86,-1,0)+1,LARGE(A$3:A85,1))</f>
        <v/>
      </c>
      <c r="B86" s="199">
        <f>IF(H86="UNIDADE CONSTRUTIVA",0,IF(H86="CÉLULA CONSTRUTIVA",OFFSET(B86,-1,0)+1,OFFSET(B86,-1,0)))</f>
        <v/>
      </c>
      <c r="C86" s="199">
        <f>IF(H86="CÉLULA CONSTRUTIVA",0,IF(H86="ETAPA",OFFSET(C86,-1,0)+1,OFFSET(C86,-1,0)))</f>
        <v/>
      </c>
      <c r="D86" s="200">
        <f>IF(H86="ETAPA",0,IF(H86="SUBETAPA",OFFSET(D86,-1,0)+1,OFFSET(D86,-1,0)))</f>
        <v/>
      </c>
      <c r="E86" s="200">
        <f>IF(H86="Subetapa",0,IF(H86="serviço",OFFSET(E86,-1,0)+1,OFFSET(E86,-1,0)))</f>
        <v/>
      </c>
      <c r="G86" s="41" t="n"/>
      <c r="H86" s="42" t="inlineStr">
        <is>
          <t>SUBETAPA</t>
        </is>
      </c>
      <c r="I86" s="43">
        <f>IF(H86="Unidade Construtiva",TEXT(A86,"00"),IF(H86="Célula Construtiva",TEXT(B86,"00"),IF(H86="Etapa",CONCATENATE(TEXT(B86,"00"),".",TEXT(C86,"000")),IF(H86="Subetapa",CONCATENATE(TEXT(B86,"00"),".",TEXT(C86,"000"),".",TEXT(D86,"000")),IF(H86="Serviço",CONCATENATE(TEXT(B86,"00"),".",TEXT(C86,"000"),".",TEXT(D86,"000"),".",TEXT(E86,"000")),"")))))</f>
        <v/>
      </c>
      <c r="J86" s="48" t="inlineStr">
        <is>
          <t>Despesas de Consumo e Manutenção</t>
        </is>
      </c>
      <c r="K86" s="46" t="n"/>
      <c r="L86" s="46" t="n"/>
      <c r="M86" s="46" t="n"/>
      <c r="N86" s="47">
        <f>IF(H86="Serviço",M86*L86,IF(H86="CÉLULA CONSTRUTIVA",SUMIFS($N$8:$N$422,$B$8:$B$422,B86,$H$8:$H$422,"Serviço"),IF(H86="ETAPA",SUMIFS($N$8:$N$422,$B$8:$B$422,B86,$C$8:$C$422,C86,$H$8:$H$422,"Serviço"),IF(H86="SUBETAPA",SUMIFS($N$8:$N$422,$B$8:$B$422,B86,$C$8:$C$422,C86,$D$8:$D$422,D86,$H$8:$H$422,"Serviço"),0))))</f>
        <v/>
      </c>
      <c r="O86" s="41" t="n"/>
      <c r="P86" s="42" t="n"/>
      <c r="Q86" s="43" t="n"/>
      <c r="R86" s="201" t="inlineStr">
        <is>
          <t>01.02.002.0002.0004 - Despesas de Consumo e Manutenção</t>
        </is>
      </c>
    </row>
    <row r="87" outlineLevel="2" ht="12" customFormat="1" customHeight="1" s="31">
      <c r="A87" s="199">
        <f>IF($H87="UNIDADE CONSTRUTIVA",OFFSET(A87,-1,0)+1,LARGE(A$3:A86,1))</f>
        <v/>
      </c>
      <c r="B87" s="199">
        <f>IF(H87="UNIDADE CONSTRUTIVA",0,IF(H87="CÉLULA CONSTRUTIVA",OFFSET(B87,-1,0)+1,OFFSET(B87,-1,0)))</f>
        <v/>
      </c>
      <c r="C87" s="199">
        <f>IF(H87="CÉLULA CONSTRUTIVA",0,IF(H87="ETAPA",OFFSET(C87,-1,0)+1,OFFSET(C87,-1,0)))</f>
        <v/>
      </c>
      <c r="D87" s="200">
        <f>IF(H87="ETAPA",0,IF(H87="SUBETAPA",OFFSET(D87,-1,0)+1,OFFSET(D87,-1,0)))</f>
        <v/>
      </c>
      <c r="E87" s="200">
        <f>IF(H87="Subetapa",0,IF(H87="serviço",OFFSET(E87,-1,0)+1,OFFSET(E87,-1,0)))</f>
        <v/>
      </c>
      <c r="G87" s="41" t="n"/>
      <c r="H87" s="42" t="inlineStr">
        <is>
          <t>SERVIÇO</t>
        </is>
      </c>
      <c r="I87" s="43">
        <f>IF(H87="Unidade Construtiva",TEXT(A87,"00"),IF(H87="Célula Construtiva",TEXT(B87,"00"),IF(H87="Etapa",CONCATENATE(TEXT(B87,"00"),".",TEXT(C87,"000")),IF(H87="Subetapa",CONCATENATE(TEXT(B87,"00"),".",TEXT(C87,"000"),".",TEXT(D87,"000")),IF(H87="Serviço",CONCATENATE(TEXT(B87,"00"),".",TEXT(C87,"000"),".",TEXT(D87,"000"),".",TEXT(E87,"000")),"")))))</f>
        <v/>
      </c>
      <c r="J87" s="48" t="inlineStr">
        <is>
          <t>Consumos Mensais: Água e Esgoto</t>
        </is>
      </c>
      <c r="K87" s="46" t="inlineStr">
        <is>
          <t>mês</t>
        </is>
      </c>
      <c r="L87" s="46" t="n">
        <v>36</v>
      </c>
      <c r="M87" s="46" t="n">
        <v>599.773666648066</v>
      </c>
      <c r="N87" s="47">
        <f>IF(H87="Serviço",M87*L87,IF(H87="CÉLULA CONSTRUTIVA",SUMIFS($N$8:$N$422,$B$8:$B$422,B87,$H$8:$H$422,"Serviço"),IF(H87="ETAPA",SUMIFS($N$8:$N$422,$B$8:$B$422,B87,$C$8:$C$422,C87,$H$8:$H$422,"Serviço"),IF(H87="SUBETAPA",SUMIFS($N$8:$N$422,$B$8:$B$422,B87,$C$8:$C$422,C87,$D$8:$D$422,D87,$H$8:$H$422,"Serviço"),0))))</f>
        <v/>
      </c>
      <c r="O87" s="41" t="n"/>
      <c r="P87" s="42" t="n"/>
      <c r="Q87" s="43" t="n"/>
      <c r="R87" s="48" t="n"/>
    </row>
    <row r="88" outlineLevel="2" ht="12" customFormat="1" customHeight="1" s="31">
      <c r="A88" s="199">
        <f>IF($H88="UNIDADE CONSTRUTIVA",OFFSET(A88,-1,0)+1,LARGE(A$3:A87,1))</f>
        <v/>
      </c>
      <c r="B88" s="199">
        <f>IF(H88="UNIDADE CONSTRUTIVA",0,IF(H88="CÉLULA CONSTRUTIVA",OFFSET(B88,-1,0)+1,OFFSET(B88,-1,0)))</f>
        <v/>
      </c>
      <c r="C88" s="199">
        <f>IF(H88="CÉLULA CONSTRUTIVA",0,IF(H88="ETAPA",OFFSET(C88,-1,0)+1,OFFSET(C88,-1,0)))</f>
        <v/>
      </c>
      <c r="D88" s="200">
        <f>IF(H88="ETAPA",0,IF(H88="SUBETAPA",OFFSET(D88,-1,0)+1,OFFSET(D88,-1,0)))</f>
        <v/>
      </c>
      <c r="E88" s="200">
        <f>IF(H88="Subetapa",0,IF(H88="serviço",OFFSET(E88,-1,0)+1,OFFSET(E88,-1,0)))</f>
        <v/>
      </c>
      <c r="G88" s="41" t="n"/>
      <c r="H88" s="42" t="inlineStr">
        <is>
          <t>SERVIÇO</t>
        </is>
      </c>
      <c r="I88" s="43">
        <f>IF(H88="Unidade Construtiva",TEXT(A88,"00"),IF(H88="Célula Construtiva",TEXT(B88,"00"),IF(H88="Etapa",CONCATENATE(TEXT(B88,"00"),".",TEXT(C88,"000")),IF(H88="Subetapa",CONCATENATE(TEXT(B88,"00"),".",TEXT(C88,"000"),".",TEXT(D88,"000")),IF(H88="Serviço",CONCATENATE(TEXT(B88,"00"),".",TEXT(C88,"000"),".",TEXT(D88,"000"),".",TEXT(E88,"000")),"")))))</f>
        <v/>
      </c>
      <c r="J88" s="48" t="inlineStr">
        <is>
          <t>Consumos Mensais: Luz/energia</t>
        </is>
      </c>
      <c r="K88" s="46" t="inlineStr">
        <is>
          <t>mês</t>
        </is>
      </c>
      <c r="L88" s="46" t="n">
        <v>36</v>
      </c>
      <c r="M88" s="46" t="n">
        <v>785.0918619746373</v>
      </c>
      <c r="N88" s="47">
        <f>IF(H88="Serviço",M88*L88,IF(H88="CÉLULA CONSTRUTIVA",SUMIFS($N$8:$N$422,$B$8:$B$422,B88,$H$8:$H$422,"Serviço"),IF(H88="ETAPA",SUMIFS($N$8:$N$422,$B$8:$B$422,B88,$C$8:$C$422,C88,$H$8:$H$422,"Serviço"),IF(H88="SUBETAPA",SUMIFS($N$8:$N$422,$B$8:$B$422,B88,$C$8:$C$422,C88,$D$8:$D$422,D88,$H$8:$H$422,"Serviço"),0))))</f>
        <v/>
      </c>
      <c r="O88" s="41" t="n"/>
      <c r="P88" s="42" t="n"/>
      <c r="Q88" s="43" t="n"/>
      <c r="R88" s="48" t="n"/>
    </row>
    <row r="89" outlineLevel="2" ht="12" customFormat="1" customHeight="1" s="31">
      <c r="A89" s="199">
        <f>IF($H89="UNIDADE CONSTRUTIVA",OFFSET(A89,-1,0)+1,LARGE(A$3:A88,1))</f>
        <v/>
      </c>
      <c r="B89" s="199">
        <f>IF(H89="UNIDADE CONSTRUTIVA",0,IF(H89="CÉLULA CONSTRUTIVA",OFFSET(B89,-1,0)+1,OFFSET(B89,-1,0)))</f>
        <v/>
      </c>
      <c r="C89" s="199">
        <f>IF(H89="CÉLULA CONSTRUTIVA",0,IF(H89="ETAPA",OFFSET(C89,-1,0)+1,OFFSET(C89,-1,0)))</f>
        <v/>
      </c>
      <c r="D89" s="200">
        <f>IF(H89="ETAPA",0,IF(H89="SUBETAPA",OFFSET(D89,-1,0)+1,OFFSET(D89,-1,0)))</f>
        <v/>
      </c>
      <c r="E89" s="200">
        <f>IF(H89="Subetapa",0,IF(H89="serviço",OFFSET(E89,-1,0)+1,OFFSET(E89,-1,0)))</f>
        <v/>
      </c>
      <c r="G89" s="41" t="n"/>
      <c r="H89" s="42" t="inlineStr">
        <is>
          <t>SERVIÇO</t>
        </is>
      </c>
      <c r="I89" s="43">
        <f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/>
      </c>
      <c r="J89" s="48" t="inlineStr">
        <is>
          <t>Consumos Mensais: Telefone</t>
        </is>
      </c>
      <c r="K89" s="46" t="inlineStr">
        <is>
          <t>mês</t>
        </is>
      </c>
      <c r="L89" s="46" t="n">
        <v>36</v>
      </c>
      <c r="M89" s="46" t="n">
        <v>119.9</v>
      </c>
      <c r="N89" s="47">
        <f>IF(H89="Serviço",M89*L89,IF(H89="CÉLULA CONSTRUTIVA",SUMIFS($N$8:$N$422,$B$8:$B$422,B89,$H$8:$H$422,"Serviço"),IF(H89="ETAPA",SUMIFS($N$8:$N$422,$B$8:$B$422,B89,$C$8:$C$422,C89,$H$8:$H$422,"Serviço"),IF(H89="SUBETAPA",SUMIFS($N$8:$N$422,$B$8:$B$422,B89,$C$8:$C$422,C89,$D$8:$D$422,D89,$H$8:$H$422,"Serviço"),0))))</f>
        <v/>
      </c>
      <c r="O89" s="41" t="n"/>
      <c r="P89" s="42" t="n"/>
      <c r="Q89" s="43" t="n"/>
      <c r="R89" s="48" t="n"/>
    </row>
    <row r="90" outlineLevel="2" ht="12" customFormat="1" customHeight="1" s="31">
      <c r="A90" s="199">
        <f>IF($H90="UNIDADE CONSTRUTIVA",OFFSET(A90,-1,0)+1,LARGE(A$3:A89,1))</f>
        <v/>
      </c>
      <c r="B90" s="199">
        <f>IF(H90="UNIDADE CONSTRUTIVA",0,IF(H90="CÉLULA CONSTRUTIVA",OFFSET(B90,-1,0)+1,OFFSET(B90,-1,0)))</f>
        <v/>
      </c>
      <c r="C90" s="199">
        <f>IF(H90="CÉLULA CONSTRUTIVA",0,IF(H90="ETAPA",OFFSET(C90,-1,0)+1,OFFSET(C90,-1,0)))</f>
        <v/>
      </c>
      <c r="D90" s="200">
        <f>IF(H90="ETAPA",0,IF(H90="SUBETAPA",OFFSET(D90,-1,0)+1,OFFSET(D90,-1,0)))</f>
        <v/>
      </c>
      <c r="E90" s="200">
        <f>IF(H90="Subetapa",0,IF(H90="serviço",OFFSET(E90,-1,0)+1,OFFSET(E90,-1,0)))</f>
        <v/>
      </c>
      <c r="G90" s="41" t="n"/>
      <c r="H90" s="42" t="inlineStr">
        <is>
          <t>SERVIÇO</t>
        </is>
      </c>
      <c r="I90" s="43">
        <f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/>
      </c>
      <c r="J90" s="48" t="inlineStr">
        <is>
          <t>Consumos Mensais: Coleta de Lixo</t>
        </is>
      </c>
      <c r="K90" s="46" t="inlineStr">
        <is>
          <t>mês</t>
        </is>
      </c>
      <c r="L90" s="46" t="n">
        <v>36</v>
      </c>
      <c r="M90" s="46" t="n">
        <v>70</v>
      </c>
      <c r="N90" s="47">
        <f>IF(H90="Serviço",M90*L90,IF(H90="CÉLULA CONSTRUTIVA",SUMIFS($N$8:$N$422,$B$8:$B$422,B90,$H$8:$H$422,"Serviço"),IF(H90="ETAPA",SUMIFS($N$8:$N$422,$B$8:$B$422,B90,$C$8:$C$422,C90,$H$8:$H$422,"Serviço"),IF(H90="SUBETAPA",SUMIFS($N$8:$N$422,$B$8:$B$422,B90,$C$8:$C$422,C90,$D$8:$D$422,D90,$H$8:$H$422,"Serviço"),0))))</f>
        <v/>
      </c>
      <c r="O90" s="41" t="n"/>
      <c r="P90" s="42" t="n"/>
      <c r="Q90" s="43" t="n"/>
      <c r="R90" s="48" t="n"/>
    </row>
    <row r="91" outlineLevel="2" ht="12" customFormat="1" customHeight="1" s="31">
      <c r="A91" s="199">
        <f>IF($H91="UNIDADE CONSTRUTIVA",OFFSET(A91,-1,0)+1,LARGE(A$3:A90,1))</f>
        <v/>
      </c>
      <c r="B91" s="199">
        <f>IF(H91="UNIDADE CONSTRUTIVA",0,IF(H91="CÉLULA CONSTRUTIVA",OFFSET(B91,-1,0)+1,OFFSET(B91,-1,0)))</f>
        <v/>
      </c>
      <c r="C91" s="199">
        <f>IF(H91="CÉLULA CONSTRUTIVA",0,IF(H91="ETAPA",OFFSET(C91,-1,0)+1,OFFSET(C91,-1,0)))</f>
        <v/>
      </c>
      <c r="D91" s="200">
        <f>IF(H91="ETAPA",0,IF(H91="SUBETAPA",OFFSET(D91,-1,0)+1,OFFSET(D91,-1,0)))</f>
        <v/>
      </c>
      <c r="E91" s="200">
        <f>IF(H91="Subetapa",0,IF(H91="serviço",OFFSET(E91,-1,0)+1,OFFSET(E91,-1,0)))</f>
        <v/>
      </c>
      <c r="G91" s="41" t="n"/>
      <c r="H91" s="42" t="inlineStr">
        <is>
          <t>SERVIÇO</t>
        </is>
      </c>
      <c r="I91" s="43">
        <f>IF(H91="Unidade Construtiva",TEXT(A91,"00"),IF(H91="Célula Construtiva",TEXT(B91,"00"),IF(H91="Etapa",CONCATENATE(TEXT(B91,"00"),".",TEXT(C91,"000")),IF(H91="Subetapa",CONCATENATE(TEXT(B91,"00"),".",TEXT(C91,"000"),".",TEXT(D91,"000")),IF(H91="Serviço",CONCATENATE(TEXT(B91,"00"),".",TEXT(C91,"000"),".",TEXT(D91,"000"),".",TEXT(E91,"000")),"")))))</f>
        <v/>
      </c>
      <c r="J91" s="48" t="inlineStr">
        <is>
          <t>Consumos Mensais: Alimentação</t>
        </is>
      </c>
      <c r="K91" s="46" t="inlineStr">
        <is>
          <t>mês</t>
        </is>
      </c>
      <c r="L91" s="46" t="n">
        <v>36</v>
      </c>
      <c r="M91" s="46" t="n">
        <v>2723.173284035282</v>
      </c>
      <c r="N91" s="47">
        <f>IF(H91="Serviço",M91*L91,IF(H91="CÉLULA CONSTRUTIVA",SUMIFS($N$8:$N$422,$B$8:$B$422,B91,$H$8:$H$422,"Serviço"),IF(H91="ETAPA",SUMIFS($N$8:$N$422,$B$8:$B$422,B91,$C$8:$C$422,C91,$H$8:$H$422,"Serviço"),IF(H91="SUBETAPA",SUMIFS($N$8:$N$422,$B$8:$B$422,B91,$C$8:$C$422,C91,$D$8:$D$422,D91,$H$8:$H$422,"Serviço"),0))))</f>
        <v/>
      </c>
      <c r="O91" s="41" t="n"/>
      <c r="P91" s="42" t="n"/>
      <c r="Q91" s="43" t="n"/>
      <c r="R91" s="48" t="n"/>
    </row>
    <row r="92" outlineLevel="2" ht="12" customFormat="1" customHeight="1" s="31">
      <c r="A92" s="199">
        <f>IF($H92="UNIDADE CONSTRUTIVA",OFFSET(A92,-1,0)+1,LARGE(A$3:A91,1))</f>
        <v/>
      </c>
      <c r="B92" s="199">
        <f>IF(H92="UNIDADE CONSTRUTIVA",0,IF(H92="CÉLULA CONSTRUTIVA",OFFSET(B92,-1,0)+1,OFFSET(B92,-1,0)))</f>
        <v/>
      </c>
      <c r="C92" s="199">
        <f>IF(H92="CÉLULA CONSTRUTIVA",0,IF(H92="ETAPA",OFFSET(C92,-1,0)+1,OFFSET(C92,-1,0)))</f>
        <v/>
      </c>
      <c r="D92" s="200">
        <f>IF(H92="ETAPA",0,IF(H92="SUBETAPA",OFFSET(D92,-1,0)+1,OFFSET(D92,-1,0)))</f>
        <v/>
      </c>
      <c r="E92" s="200">
        <f>IF(H92="Subetapa",0,IF(H92="serviço",OFFSET(E92,-1,0)+1,OFFSET(E92,-1,0)))</f>
        <v/>
      </c>
      <c r="G92" s="41" t="n"/>
      <c r="H92" s="42" t="inlineStr">
        <is>
          <t>SERVIÇO</t>
        </is>
      </c>
      <c r="I92" s="43">
        <f>IF(H92="Unidade Construtiva",TEXT(A92,"00"),IF(H92="Célula Construtiva",TEXT(B92,"00"),IF(H92="Etapa",CONCATENATE(TEXT(B92,"00"),".",TEXT(C92,"000")),IF(H92="Subetapa",CONCATENATE(TEXT(B92,"00"),".",TEXT(C92,"000"),".",TEXT(D92,"000")),IF(H92="Serviço",CONCATENATE(TEXT(B92,"00"),".",TEXT(C92,"000"),".",TEXT(D92,"000"),".",TEXT(E92,"000")),"")))))</f>
        <v/>
      </c>
      <c r="J92" s="48" t="inlineStr">
        <is>
          <t>Consumos Mensais: Mateirial de expediênte/escritório</t>
        </is>
      </c>
      <c r="K92" s="46" t="inlineStr">
        <is>
          <t>mês</t>
        </is>
      </c>
      <c r="L92" s="46" t="n">
        <v>36</v>
      </c>
      <c r="M92" s="46" t="n">
        <v>300</v>
      </c>
      <c r="N92" s="47">
        <f>IF(H92="Serviço",M92*L92,IF(H92="CÉLULA CONSTRUTIVA",SUMIFS($N$8:$N$422,$B$8:$B$422,B92,$H$8:$H$422,"Serviço"),IF(H92="ETAPA",SUMIFS($N$8:$N$422,$B$8:$B$422,B92,$C$8:$C$422,C92,$H$8:$H$422,"Serviço"),IF(H92="SUBETAPA",SUMIFS($N$8:$N$422,$B$8:$B$422,B92,$C$8:$C$422,C92,$D$8:$D$422,D92,$H$8:$H$422,"Serviço"),0))))</f>
        <v/>
      </c>
      <c r="O92" s="41" t="n"/>
      <c r="P92" s="42" t="n"/>
      <c r="Q92" s="43" t="n"/>
      <c r="R92" s="48" t="n"/>
    </row>
    <row r="93" outlineLevel="2" ht="12" customFormat="1" customHeight="1" s="31">
      <c r="A93" s="199">
        <f>IF($H93="UNIDADE CONSTRUTIVA",OFFSET(A93,-1,0)+1,LARGE(A$3:A92,1))</f>
        <v/>
      </c>
      <c r="B93" s="199">
        <f>IF(H93="UNIDADE CONSTRUTIVA",0,IF(H93="CÉLULA CONSTRUTIVA",OFFSET(B93,-1,0)+1,OFFSET(B93,-1,0)))</f>
        <v/>
      </c>
      <c r="C93" s="199">
        <f>IF(H93="CÉLULA CONSTRUTIVA",0,IF(H93="ETAPA",OFFSET(C93,-1,0)+1,OFFSET(C93,-1,0)))</f>
        <v/>
      </c>
      <c r="D93" s="200">
        <f>IF(H93="ETAPA",0,IF(H93="SUBETAPA",OFFSET(D93,-1,0)+1,OFFSET(D93,-1,0)))</f>
        <v/>
      </c>
      <c r="E93" s="200">
        <f>IF(H93="Subetapa",0,IF(H93="serviço",OFFSET(E93,-1,0)+1,OFFSET(E93,-1,0)))</f>
        <v/>
      </c>
      <c r="G93" s="41" t="n"/>
      <c r="H93" s="42" t="inlineStr">
        <is>
          <t>SERVIÇO</t>
        </is>
      </c>
      <c r="I93" s="43">
        <f>IF(H93="Unidade Construtiva",TEXT(A93,"00"),IF(H93="Célula Construtiva",TEXT(B93,"00"),IF(H93="Etapa",CONCATENATE(TEXT(B93,"00"),".",TEXT(C93,"000")),IF(H93="Subetapa",CONCATENATE(TEXT(B93,"00"),".",TEXT(C93,"000"),".",TEXT(D93,"000")),IF(H93="Serviço",CONCATENATE(TEXT(B93,"00"),".",TEXT(C93,"000"),".",TEXT(D93,"000"),".",TEXT(E93,"000")),"")))))</f>
        <v/>
      </c>
      <c r="J93" s="48" t="inlineStr">
        <is>
          <t>Consumos Mensais: Material de higiêne e limpeza</t>
        </is>
      </c>
      <c r="K93" s="46" t="inlineStr">
        <is>
          <t>mês</t>
        </is>
      </c>
      <c r="L93" s="46" t="n">
        <v>36</v>
      </c>
      <c r="M93" s="46" t="n">
        <v>500</v>
      </c>
      <c r="N93" s="47">
        <f>IF(H93="Serviço",M93*L93,IF(H93="CÉLULA CONSTRUTIVA",SUMIFS($N$8:$N$422,$B$8:$B$422,B93,$H$8:$H$422,"Serviço"),IF(H93="ETAPA",SUMIFS($N$8:$N$422,$B$8:$B$422,B93,$C$8:$C$422,C93,$H$8:$H$422,"Serviço"),IF(H93="SUBETAPA",SUMIFS($N$8:$N$422,$B$8:$B$422,B93,$C$8:$C$422,C93,$D$8:$D$422,D93,$H$8:$H$422,"Serviço"),0))))</f>
        <v/>
      </c>
      <c r="O93" s="41" t="n"/>
      <c r="P93" s="42" t="n"/>
      <c r="Q93" s="43" t="n"/>
      <c r="R93" s="48" t="n"/>
    </row>
    <row r="94" outlineLevel="2" ht="13.5" customFormat="1" customHeight="1" s="31">
      <c r="A94" s="199">
        <f>IF($H94="UNIDADE CONSTRUTIVA",OFFSET(A94,-1,0)+1,LARGE(A$3:A93,1))</f>
        <v/>
      </c>
      <c r="B94" s="199">
        <f>IF(H94="UNIDADE CONSTRUTIVA",0,IF(H94="CÉLULA CONSTRUTIVA",OFFSET(B94,-1,0)+1,OFFSET(B94,-1,0)))</f>
        <v/>
      </c>
      <c r="C94" s="199">
        <f>IF(H94="CÉLULA CONSTRUTIVA",0,IF(H94="ETAPA",OFFSET(C94,-1,0)+1,OFFSET(C94,-1,0)))</f>
        <v/>
      </c>
      <c r="D94" s="200">
        <f>IF(H94="ETAPA",0,IF(H94="SUBETAPA",OFFSET(D94,-1,0)+1,OFFSET(D94,-1,0)))</f>
        <v/>
      </c>
      <c r="E94" s="200">
        <f>IF(H94="Subetapa",0,IF(H94="serviço",OFFSET(E94,-1,0)+1,OFFSET(E94,-1,0)))</f>
        <v/>
      </c>
      <c r="G94" s="41" t="n"/>
      <c r="H94" s="42" t="inlineStr">
        <is>
          <t>SERVIÇO</t>
        </is>
      </c>
      <c r="I94" s="43">
        <f>IF(H94="Unidade Construtiva",TEXT(A94,"00"),IF(H94="Célula Construtiva",TEXT(B94,"00"),IF(H94="Etapa",CONCATENATE(TEXT(B94,"00"),".",TEXT(C94,"000")),IF(H94="Subetapa",CONCATENATE(TEXT(B94,"00"),".",TEXT(C94,"000"),".",TEXT(D94,"000")),IF(H94="Serviço",CONCATENATE(TEXT(B94,"00"),".",TEXT(C94,"000"),".",TEXT(D94,"000"),".",TEXT(E94,"000")),"")))))</f>
        <v/>
      </c>
      <c r="J94" s="48" t="inlineStr">
        <is>
          <t>Consumos gerais: Fretes</t>
        </is>
      </c>
      <c r="K94" s="46" t="inlineStr">
        <is>
          <t>mês</t>
        </is>
      </c>
      <c r="L94" s="46" t="n">
        <v>36</v>
      </c>
      <c r="M94" s="46" t="n">
        <v>405.8907680325386</v>
      </c>
      <c r="N94" s="47">
        <f>IF(H94="Serviço",M94*L94,IF(H94="CÉLULA CONSTRUTIVA",SUMIFS($N$8:$N$422,$B$8:$B$422,B94,$H$8:$H$422,"Serviço"),IF(H94="ETAPA",SUMIFS($N$8:$N$422,$B$8:$B$422,B94,$C$8:$C$422,C94,$H$8:$H$422,"Serviço"),IF(H94="SUBETAPA",SUMIFS($N$8:$N$422,$B$8:$B$422,B94,$C$8:$C$422,C94,$D$8:$D$422,D94,$H$8:$H$422,"Serviço"),0))))</f>
        <v/>
      </c>
      <c r="O94" s="41" t="n"/>
      <c r="P94" s="42" t="n"/>
      <c r="Q94" s="43" t="n"/>
      <c r="R94" s="48" t="n"/>
    </row>
    <row r="95" outlineLevel="2" ht="12" customFormat="1" customHeight="1" s="31">
      <c r="A95" s="199">
        <f>IF($H95="UNIDADE CONSTRUTIVA",OFFSET(A95,-1,0)+1,LARGE(A$3:A94,1))</f>
        <v/>
      </c>
      <c r="B95" s="199">
        <f>IF(H95="UNIDADE CONSTRUTIVA",0,IF(H95="CÉLULA CONSTRUTIVA",OFFSET(B95,-1,0)+1,OFFSET(B95,-1,0)))</f>
        <v/>
      </c>
      <c r="C95" s="199">
        <f>IF(H95="CÉLULA CONSTRUTIVA",0,IF(H95="ETAPA",OFFSET(C95,-1,0)+1,OFFSET(C95,-1,0)))</f>
        <v/>
      </c>
      <c r="D95" s="200">
        <f>IF(H95="ETAPA",0,IF(H95="SUBETAPA",OFFSET(D95,-1,0)+1,OFFSET(D95,-1,0)))</f>
        <v/>
      </c>
      <c r="E95" s="200">
        <f>IF(H95="Subetapa",0,IF(H95="serviço",OFFSET(E95,-1,0)+1,OFFSET(E95,-1,0)))</f>
        <v/>
      </c>
      <c r="G95" s="41" t="n"/>
      <c r="H95" s="42" t="inlineStr">
        <is>
          <t>SERVIÇO</t>
        </is>
      </c>
      <c r="I95" s="43">
        <f>IF(H95="Unidade Construtiva",TEXT(A95,"00"),IF(H95="Célula Construtiva",TEXT(B95,"00"),IF(H95="Etapa",CONCATENATE(TEXT(B95,"00"),".",TEXT(C95,"000")),IF(H95="Subetapa",CONCATENATE(TEXT(B95,"00"),".",TEXT(C95,"000"),".",TEXT(D95,"000")),IF(H95="Serviço",CONCATENATE(TEXT(B95,"00"),".",TEXT(C95,"000"),".",TEXT(D95,"000"),".",TEXT(E95,"000")),"")))))</f>
        <v/>
      </c>
      <c r="J95" s="48" t="inlineStr">
        <is>
          <t>Consumos gerais: Consumo de cópias</t>
        </is>
      </c>
      <c r="K95" s="46" t="inlineStr">
        <is>
          <t>mês</t>
        </is>
      </c>
      <c r="L95" s="46" t="n">
        <v>36</v>
      </c>
      <c r="M95" s="46" t="n">
        <v>170.3587348785217</v>
      </c>
      <c r="N95" s="47">
        <f>IF(H95="Serviço",M95*L95,IF(H95="CÉLULA CONSTRUTIVA",SUMIFS($N$8:$N$422,$B$8:$B$422,B95,$H$8:$H$422,"Serviço"),IF(H95="ETAPA",SUMIFS($N$8:$N$422,$B$8:$B$422,B95,$C$8:$C$422,C95,$H$8:$H$422,"Serviço"),IF(H95="SUBETAPA",SUMIFS($N$8:$N$422,$B$8:$B$422,B95,$C$8:$C$422,C95,$D$8:$D$422,D95,$H$8:$H$422,"Serviço"),0))))</f>
        <v/>
      </c>
      <c r="O95" s="41" t="n"/>
      <c r="P95" s="42" t="n"/>
      <c r="Q95" s="43" t="n"/>
      <c r="R95" s="48" t="n"/>
    </row>
    <row r="96" outlineLevel="2" ht="12" customFormat="1" customHeight="1" s="31">
      <c r="A96" s="199">
        <f>IF($H96="UNIDADE CONSTRUTIVA",OFFSET(A96,-1,0)+1,LARGE(A$3:A95,1))</f>
        <v/>
      </c>
      <c r="B96" s="199">
        <f>IF(H96="UNIDADE CONSTRUTIVA",0,IF(H96="CÉLULA CONSTRUTIVA",OFFSET(B96,-1,0)+1,OFFSET(B96,-1,0)))</f>
        <v/>
      </c>
      <c r="C96" s="199">
        <f>IF(H96="CÉLULA CONSTRUTIVA",0,IF(H96="ETAPA",OFFSET(C96,-1,0)+1,OFFSET(C96,-1,0)))</f>
        <v/>
      </c>
      <c r="D96" s="200">
        <f>IF(H96="ETAPA",0,IF(H96="SUBETAPA",OFFSET(D96,-1,0)+1,OFFSET(D96,-1,0)))</f>
        <v/>
      </c>
      <c r="E96" s="200">
        <f>IF(H96="Subetapa",0,IF(H96="serviço",OFFSET(E96,-1,0)+1,OFFSET(E96,-1,0)))</f>
        <v/>
      </c>
      <c r="G96" s="41" t="n"/>
      <c r="H96" s="42" t="inlineStr">
        <is>
          <t>SERVIÇO</t>
        </is>
      </c>
      <c r="I96" s="43">
        <f>IF(H96="Unidade Construtiva",TEXT(A96,"00"),IF(H96="Célula Construtiva",TEXT(B96,"00"),IF(H96="Etapa",CONCATENATE(TEXT(B96,"00"),".",TEXT(C96,"000")),IF(H96="Subetapa",CONCATENATE(TEXT(B96,"00"),".",TEXT(C96,"000"),".",TEXT(D96,"000")),IF(H96="Serviço",CONCATENATE(TEXT(B96,"00"),".",TEXT(C96,"000"),".",TEXT(D96,"000"),".",TEXT(E96,"000")),"")))))</f>
        <v/>
      </c>
      <c r="J96" s="48" t="inlineStr">
        <is>
          <t>Consumos gerais: Gerenciamento Eletrônico</t>
        </is>
      </c>
      <c r="K96" s="46" t="inlineStr">
        <is>
          <t>mês</t>
        </is>
      </c>
      <c r="L96" s="46" t="n">
        <v>36</v>
      </c>
      <c r="M96" s="46" t="n">
        <v>355.0467764428471</v>
      </c>
      <c r="N96" s="47">
        <f>IF(H96="Serviço",M96*L96,IF(H96="CÉLULA CONSTRUTIVA",SUMIFS($N$8:$N$422,$B$8:$B$422,B96,$H$8:$H$422,"Serviço"),IF(H96="ETAPA",SUMIFS($N$8:$N$422,$B$8:$B$422,B96,$C$8:$C$422,C96,$H$8:$H$422,"Serviço"),IF(H96="SUBETAPA",SUMIFS($N$8:$N$422,$B$8:$B$422,B96,$C$8:$C$422,C96,$D$8:$D$422,D96,$H$8:$H$422,"Serviço"),0))))</f>
        <v/>
      </c>
      <c r="O96" s="41" t="n"/>
      <c r="P96" s="42" t="n"/>
      <c r="Q96" s="43" t="n"/>
      <c r="R96" s="48" t="n"/>
    </row>
    <row r="97" outlineLevel="2" ht="12" customFormat="1" customHeight="1" s="31">
      <c r="A97" s="199">
        <f>IF($H97="UNIDADE CONSTRUTIVA",OFFSET(A97,-1,0)+1,LARGE(A$3:A96,1))</f>
        <v/>
      </c>
      <c r="B97" s="199">
        <f>IF(H97="UNIDADE CONSTRUTIVA",0,IF(H97="CÉLULA CONSTRUTIVA",OFFSET(B97,-1,0)+1,OFFSET(B97,-1,0)))</f>
        <v/>
      </c>
      <c r="C97" s="199">
        <f>IF(H97="CÉLULA CONSTRUTIVA",0,IF(H97="ETAPA",OFFSET(C97,-1,0)+1,OFFSET(C97,-1,0)))</f>
        <v/>
      </c>
      <c r="D97" s="200">
        <f>IF(H97="ETAPA",0,IF(H97="SUBETAPA",OFFSET(D97,-1,0)+1,OFFSET(D97,-1,0)))</f>
        <v/>
      </c>
      <c r="E97" s="200">
        <f>IF(H97="Subetapa",0,IF(H97="serviço",OFFSET(E97,-1,0)+1,OFFSET(E97,-1,0)))</f>
        <v/>
      </c>
      <c r="G97" s="41" t="n"/>
      <c r="H97" s="42" t="inlineStr">
        <is>
          <t>SERVIÇO</t>
        </is>
      </c>
      <c r="I97" s="43">
        <f>IF(H97="Unidade Construtiva",TEXT(A97,"00"),IF(H97="Célula Construtiva",TEXT(B97,"00"),IF(H97="Etapa",CONCATENATE(TEXT(B97,"00"),".",TEXT(C97,"000")),IF(H97="Subetapa",CONCATENATE(TEXT(B97,"00"),".",TEXT(C97,"000"),".",TEXT(D97,"000")),IF(H97="Serviço",CONCATENATE(TEXT(B97,"00"),".",TEXT(C97,"000"),".",TEXT(D97,"000"),".",TEXT(E97,"000")),"")))))</f>
        <v/>
      </c>
      <c r="J97" s="48" t="inlineStr">
        <is>
          <t>Consumos gerais: Despesas com vizinhos</t>
        </is>
      </c>
      <c r="K97" s="46" t="inlineStr">
        <is>
          <t>vb</t>
        </is>
      </c>
      <c r="L97" s="46" t="n">
        <v>1</v>
      </c>
      <c r="M97" s="46" t="n">
        <v>11954.18899066587</v>
      </c>
      <c r="N97" s="47">
        <f>IF(H97="Serviço",M97*L97,IF(H97="CÉLULA CONSTRUTIVA",SUMIFS($N$8:$N$422,$B$8:$B$422,B97,$H$8:$H$422,"Serviço"),IF(H97="ETAPA",SUMIFS($N$8:$N$422,$B$8:$B$422,B97,$C$8:$C$422,C97,$H$8:$H$422,"Serviço"),IF(H97="SUBETAPA",SUMIFS($N$8:$N$422,$B$8:$B$422,B97,$C$8:$C$422,C97,$D$8:$D$422,D97,$H$8:$H$422,"Serviço"),0))))</f>
        <v/>
      </c>
      <c r="O97" s="41" t="n"/>
      <c r="P97" s="42" t="n"/>
      <c r="Q97" s="43" t="n"/>
      <c r="R97" s="48" t="n"/>
    </row>
    <row r="98" outlineLevel="2" ht="13.5" customFormat="1" customHeight="1" s="31">
      <c r="A98" s="199">
        <f>IF($H98="UNIDADE CONSTRUTIVA",OFFSET(A98,-1,0)+1,LARGE(A$3:A97,1))</f>
        <v/>
      </c>
      <c r="B98" s="199">
        <f>IF(H98="UNIDADE CONSTRUTIVA",0,IF(H98="CÉLULA CONSTRUTIVA",OFFSET(B98,-1,0)+1,OFFSET(B98,-1,0)))</f>
        <v/>
      </c>
      <c r="C98" s="199">
        <f>IF(H98="CÉLULA CONSTRUTIVA",0,IF(H98="ETAPA",OFFSET(C98,-1,0)+1,OFFSET(C98,-1,0)))</f>
        <v/>
      </c>
      <c r="D98" s="200">
        <f>IF(H98="ETAPA",0,IF(H98="SUBETAPA",OFFSET(D98,-1,0)+1,OFFSET(D98,-1,0)))</f>
        <v/>
      </c>
      <c r="E98" s="200">
        <f>IF(H98="Subetapa",0,IF(H98="serviço",OFFSET(E98,-1,0)+1,OFFSET(E98,-1,0)))</f>
        <v/>
      </c>
      <c r="G98" s="41" t="n"/>
      <c r="H98" s="42" t="inlineStr">
        <is>
          <t>SERVIÇO</t>
        </is>
      </c>
      <c r="I98" s="43">
        <f>IF(H98="Unidade Construtiva",TEXT(A98,"00"),IF(H98="Célula Construtiva",TEXT(B98,"00"),IF(H98="Etapa",CONCATENATE(TEXT(B98,"00"),".",TEXT(C98,"000")),IF(H98="Subetapa",CONCATENATE(TEXT(B98,"00"),".",TEXT(C98,"000"),".",TEXT(D98,"000")),IF(H98="Serviço",CONCATENATE(TEXT(B98,"00"),".",TEXT(C98,"000"),".",TEXT(D98,"000"),".",TEXT(E98,"000")),"")))))</f>
        <v/>
      </c>
      <c r="J98" s="48" t="inlineStr">
        <is>
          <t>Consumos gerais: Esgotamento de sistema sanitário temporário</t>
        </is>
      </c>
      <c r="K98" s="46" t="inlineStr">
        <is>
          <t>mês</t>
        </is>
      </c>
      <c r="L98" s="46" t="n">
        <v>36</v>
      </c>
      <c r="M98" s="46" t="n">
        <v>180</v>
      </c>
      <c r="N98" s="47">
        <f>IF(H98="Serviço",M98*L98,IF(H98="CÉLULA CONSTRUTIVA",SUMIFS($N$8:$N$422,$B$8:$B$422,B98,$H$8:$H$422,"Serviço"),IF(H98="ETAPA",SUMIFS($N$8:$N$422,$B$8:$B$422,B98,$C$8:$C$422,C98,$H$8:$H$422,"Serviço"),IF(H98="SUBETAPA",SUMIFS($N$8:$N$422,$B$8:$B$422,B98,$C$8:$C$422,C98,$D$8:$D$422,D98,$H$8:$H$422,"Serviço"),0))))</f>
        <v/>
      </c>
      <c r="O98" s="41" t="n"/>
      <c r="P98" s="42" t="n"/>
      <c r="Q98" s="43" t="n"/>
      <c r="R98" s="48" t="n"/>
    </row>
    <row r="99" outlineLevel="2" ht="12.75" customFormat="1" customHeight="1" s="31">
      <c r="A99" s="199">
        <f>IF($H99="UNIDADE CONSTRUTIVA",OFFSET(A99,-1,0)+1,LARGE(A$3:A98,1))</f>
        <v/>
      </c>
      <c r="B99" s="199">
        <f>IF(H99="UNIDADE CONSTRUTIVA",0,IF(H99="CÉLULA CONSTRUTIVA",OFFSET(B99,-1,0)+1,OFFSET(B99,-1,0)))</f>
        <v/>
      </c>
      <c r="C99" s="199">
        <f>IF(H99="CÉLULA CONSTRUTIVA",0,IF(H99="ETAPA",OFFSET(C99,-1,0)+1,OFFSET(C99,-1,0)))</f>
        <v/>
      </c>
      <c r="D99" s="200">
        <f>IF(H99="ETAPA",0,IF(H99="SUBETAPA",OFFSET(D99,-1,0)+1,OFFSET(D99,-1,0)))</f>
        <v/>
      </c>
      <c r="E99" s="200">
        <f>IF(H99="Subetapa",0,IF(H99="serviço",OFFSET(E99,-1,0)+1,OFFSET(E99,-1,0)))</f>
        <v/>
      </c>
      <c r="G99" s="41" t="n"/>
      <c r="H99" s="42" t="inlineStr">
        <is>
          <t>SERVIÇO</t>
        </is>
      </c>
      <c r="I99" s="43">
        <f>IF(H99="Unidade Construtiva",TEXT(A99,"00"),IF(H99="Célula Construtiva",TEXT(B99,"00"),IF(H99="Etapa",CONCATENATE(TEXT(B99,"00"),".",TEXT(C99,"000")),IF(H99="Subetapa",CONCATENATE(TEXT(B99,"00"),".",TEXT(C99,"000"),".",TEXT(D99,"000")),IF(H99="Serviço",CONCATENATE(TEXT(B99,"00"),".",TEXT(C99,"000"),".",TEXT(D99,"000"),".",TEXT(E99,"000")),"")))))</f>
        <v/>
      </c>
      <c r="J99" s="48" t="inlineStr">
        <is>
          <t>Mobiliario de apoio a obra</t>
        </is>
      </c>
      <c r="K99" s="46" t="inlineStr">
        <is>
          <t>vb</t>
        </is>
      </c>
      <c r="L99" s="46" t="n">
        <v>1</v>
      </c>
      <c r="M99" s="46" t="n">
        <v>11850</v>
      </c>
      <c r="N99" s="47">
        <f>IF(H99="Serviço",M99*L99,IF(H99="CÉLULA CONSTRUTIVA",SUMIFS($N$8:$N$422,$B$8:$B$422,B99,$H$8:$H$422,"Serviço"),IF(H99="ETAPA",SUMIFS($N$8:$N$422,$B$8:$B$422,B99,$C$8:$C$422,C99,$H$8:$H$422,"Serviço"),IF(H99="SUBETAPA",SUMIFS($N$8:$N$422,$B$8:$B$422,B99,$C$8:$C$422,C99,$D$8:$D$422,D99,$H$8:$H$422,"Serviço"),0))))</f>
        <v/>
      </c>
      <c r="O99" s="41" t="n"/>
      <c r="P99" s="42" t="n"/>
      <c r="Q99" s="43" t="n"/>
      <c r="R99" s="48" t="n"/>
    </row>
    <row r="100" outlineLevel="2" ht="12.75" customFormat="1" customHeight="1" s="31">
      <c r="A100" s="199">
        <f>IF($H100="UNIDADE CONSTRUTIVA",OFFSET(A100,-1,0)+1,LARGE(A$3:A99,1))</f>
        <v/>
      </c>
      <c r="B100" s="199">
        <f>IF(H100="UNIDADE CONSTRUTIVA",0,IF(H100="CÉLULA CONSTRUTIVA",OFFSET(B100,-1,0)+1,OFFSET(B100,-1,0)))</f>
        <v/>
      </c>
      <c r="C100" s="199">
        <f>IF(H100="CÉLULA CONSTRUTIVA",0,IF(H100="ETAPA",OFFSET(C100,-1,0)+1,OFFSET(C100,-1,0)))</f>
        <v/>
      </c>
      <c r="D100" s="200">
        <f>IF(H100="ETAPA",0,IF(H100="SUBETAPA",OFFSET(D100,-1,0)+1,OFFSET(D100,-1,0)))</f>
        <v/>
      </c>
      <c r="E100" s="200">
        <f>IF(H100="Subetapa",0,IF(H100="serviço",OFFSET(E100,-1,0)+1,OFFSET(E100,-1,0)))</f>
        <v/>
      </c>
      <c r="G100" s="41" t="n"/>
      <c r="H100" s="42" t="inlineStr">
        <is>
          <t>SERVIÇO</t>
        </is>
      </c>
      <c r="I100" s="43">
        <f>IF(H100="Unidade Construtiva",TEXT(A100,"00"),IF(H100="Célula Construtiva",TEXT(B100,"00"),IF(H100="Etapa",CONCATENATE(TEXT(B100,"00"),".",TEXT(C100,"000")),IF(H100="Subetapa",CONCATENATE(TEXT(B100,"00"),".",TEXT(C100,"000"),".",TEXT(D100,"000")),IF(H100="Serviço",CONCATENATE(TEXT(B100,"00"),".",TEXT(C100,"000"),".",TEXT(D100,"000"),".",TEXT(E100,"000")),"")))))</f>
        <v/>
      </c>
      <c r="J100" s="48" t="inlineStr">
        <is>
          <t>Equipamentos de escritorio</t>
        </is>
      </c>
      <c r="K100" s="46" t="inlineStr">
        <is>
          <t>vb</t>
        </is>
      </c>
      <c r="L100" s="46" t="n">
        <v>1</v>
      </c>
      <c r="M100" s="46" t="n">
        <v>15900</v>
      </c>
      <c r="N100" s="47">
        <f>IF(H100="Serviço",M100*L100,IF(H100="CÉLULA CONSTRUTIVA",SUMIFS($N$8:$N$422,$B$8:$B$422,B100,$H$8:$H$422,"Serviço"),IF(H100="ETAPA",SUMIFS($N$8:$N$422,$B$8:$B$422,B100,$C$8:$C$422,C100,$H$8:$H$422,"Serviço"),IF(H100="SUBETAPA",SUMIFS($N$8:$N$422,$B$8:$B$422,B100,$C$8:$C$422,C100,$D$8:$D$422,D100,$H$8:$H$422,"Serviço"),0))))</f>
        <v/>
      </c>
      <c r="O100" s="41" t="n"/>
      <c r="P100" s="42" t="n"/>
      <c r="Q100" s="43" t="n"/>
      <c r="R100" s="48" t="n"/>
    </row>
    <row r="101" outlineLevel="2" ht="10.8" customFormat="1" customHeight="1" s="31">
      <c r="A101" s="199">
        <f>IF($H101="UNIDADE CONSTRUTIVA",OFFSET(A101,-1,0)+1,LARGE(A$3:A100,1))</f>
        <v/>
      </c>
      <c r="B101" s="199">
        <f>IF(H101="UNIDADE CONSTRUTIVA",0,IF(H101="CÉLULA CONSTRUTIVA",OFFSET(B101,-1,0)+1,OFFSET(B101,-1,0)))</f>
        <v/>
      </c>
      <c r="C101" s="199">
        <f>IF(H101="CÉLULA CONSTRUTIVA",0,IF(H101="ETAPA",OFFSET(C101,-1,0)+1,OFFSET(C101,-1,0)))</f>
        <v/>
      </c>
      <c r="D101" s="200">
        <f>IF(H101="ETAPA",0,IF(H101="SUBETAPA",OFFSET(D101,-1,0)+1,OFFSET(D101,-1,0)))</f>
        <v/>
      </c>
      <c r="E101" s="200">
        <f>IF(H101="Subetapa",0,IF(H101="serviço",OFFSET(E101,-1,0)+1,OFFSET(E101,-1,0)))</f>
        <v/>
      </c>
      <c r="G101" s="41" t="n"/>
      <c r="H101" s="42" t="inlineStr">
        <is>
          <t>SERVIÇO</t>
        </is>
      </c>
      <c r="I101" s="43">
        <f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/>
      </c>
      <c r="J101" s="48" t="inlineStr">
        <is>
          <t>Sinalizacao Plaqueiro</t>
        </is>
      </c>
      <c r="K101" s="46" t="inlineStr">
        <is>
          <t>vb</t>
        </is>
      </c>
      <c r="L101" s="46" t="n">
        <v>1</v>
      </c>
      <c r="M101" s="46" t="n">
        <v>3005</v>
      </c>
      <c r="N101" s="47">
        <f>IF(H101="Serviço",M101*L101,IF(H101="CÉLULA CONSTRUTIVA",SUMIFS($N$8:$N$422,$B$8:$B$422,B101,$H$8:$H$422,"Serviço"),IF(H101="ETAPA",SUMIFS($N$8:$N$422,$B$8:$B$422,B101,$C$8:$C$422,C101,$H$8:$H$422,"Serviço"),IF(H101="SUBETAPA",SUMIFS($N$8:$N$422,$B$8:$B$422,B101,$C$8:$C$422,C101,$D$8:$D$422,D101,$H$8:$H$422,"Serviço"),0))))</f>
        <v/>
      </c>
      <c r="O101" s="41" t="n"/>
      <c r="P101" s="42" t="n"/>
      <c r="Q101" s="43" t="n"/>
      <c r="R101" s="48" t="n"/>
    </row>
    <row r="102" outlineLevel="1" ht="12" customFormat="1" customHeight="1" s="31">
      <c r="A102" s="199">
        <f>IF($H102="UNIDADE CONSTRUTIVA",OFFSET(A102,-1,0)+1,LARGE(A$3:A101,1))</f>
        <v/>
      </c>
      <c r="B102" s="199">
        <f>IF(H102="UNIDADE CONSTRUTIVA",0,IF(H102="CÉLULA CONSTRUTIVA",OFFSET(B102,-1,0)+1,OFFSET(B102,-1,0)))</f>
        <v/>
      </c>
      <c r="C102" s="199">
        <f>IF(H102="CÉLULA CONSTRUTIVA",0,IF(H102="ETAPA",OFFSET(C102,-1,0)+1,OFFSET(C102,-1,0)))</f>
        <v/>
      </c>
      <c r="D102" s="200">
        <f>IF(H102="ETAPA",0,IF(H102="SUBETAPA",OFFSET(D102,-1,0)+1,OFFSET(D102,-1,0)))</f>
        <v/>
      </c>
      <c r="E102" s="200">
        <f>IF(H102="Subetapa",0,IF(H102="serviço",OFFSET(E102,-1,0)+1,OFFSET(E102,-1,0)))</f>
        <v/>
      </c>
      <c r="G102" s="41" t="n"/>
      <c r="H102" s="42" t="inlineStr">
        <is>
          <t>SUBETAPA</t>
        </is>
      </c>
      <c r="I102" s="43">
        <f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/>
      </c>
      <c r="J102" s="48" t="inlineStr">
        <is>
          <t>Manutenção de Canteiro de Obra</t>
        </is>
      </c>
      <c r="K102" s="46" t="n"/>
      <c r="L102" s="46" t="n"/>
      <c r="M102" s="46" t="n"/>
      <c r="N102" s="47">
        <f>IF(H102="Serviço",M102*L102,IF(H102="CÉLULA CONSTRUTIVA",SUMIFS($N$8:$N$422,$B$8:$B$422,B102,$H$8:$H$422,"Serviço"),IF(H102="ETAPA",SUMIFS($N$8:$N$422,$B$8:$B$422,B102,$C$8:$C$422,C102,$H$8:$H$422,"Serviço"),IF(H102="SUBETAPA",SUMIFS($N$8:$N$422,$B$8:$B$422,B102,$C$8:$C$422,C102,$D$8:$D$422,D102,$H$8:$H$422,"Serviço"),0))))</f>
        <v/>
      </c>
      <c r="O102" s="41" t="n"/>
      <c r="P102" s="42" t="n"/>
      <c r="Q102" s="43" t="n"/>
      <c r="R102" s="201" t="inlineStr">
        <is>
          <t>03.001.001.003 - Manutenção de elevador cremalheira</t>
        </is>
      </c>
    </row>
    <row r="103" outlineLevel="2" ht="12.75" customFormat="1" customHeight="1" s="31">
      <c r="A103" s="199">
        <f>IF($H103="UNIDADE CONSTRUTIVA",OFFSET(A103,-1,0)+1,LARGE(A$3:A102,1))</f>
        <v/>
      </c>
      <c r="B103" s="199">
        <f>IF(H103="UNIDADE CONSTRUTIVA",0,IF(H103="CÉLULA CONSTRUTIVA",OFFSET(B103,-1,0)+1,OFFSET(B103,-1,0)))</f>
        <v/>
      </c>
      <c r="C103" s="199">
        <f>IF(H103="CÉLULA CONSTRUTIVA",0,IF(H103="ETAPA",OFFSET(C103,-1,0)+1,OFFSET(C103,-1,0)))</f>
        <v/>
      </c>
      <c r="D103" s="200">
        <f>IF(H103="ETAPA",0,IF(H103="SUBETAPA",OFFSET(D103,-1,0)+1,OFFSET(D103,-1,0)))</f>
        <v/>
      </c>
      <c r="E103" s="200">
        <f>IF(H103="Subetapa",0,IF(H103="serviço",OFFSET(E103,-1,0)+1,OFFSET(E103,-1,0)))</f>
        <v/>
      </c>
      <c r="G103" s="41" t="n"/>
      <c r="H103" s="42" t="inlineStr">
        <is>
          <t>SERVIÇO</t>
        </is>
      </c>
      <c r="I103" s="43">
        <f>IF(H103="Unidade Construtiva",TEXT(A103,"00"),IF(H103="Célula Construtiva",TEXT(B103,"00"),IF(H103="Etapa",CONCATENATE(TEXT(B103,"00"),".",TEXT(C103,"000")),IF(H103="Subetapa",CONCATENATE(TEXT(B103,"00"),".",TEXT(C103,"000"),".",TEXT(D103,"000")),IF(H103="Serviço",CONCATENATE(TEXT(B103,"00"),".",TEXT(C103,"000"),".",TEXT(D103,"000"),".",TEXT(E103,"000")),"")))))</f>
        <v/>
      </c>
      <c r="J103" s="48" t="inlineStr">
        <is>
          <t>Despesas de manutenção: Manutenção provisória do canteiro</t>
        </is>
      </c>
      <c r="K103" s="46" t="inlineStr">
        <is>
          <t>mês</t>
        </is>
      </c>
      <c r="L103" s="46" t="n">
        <v>36</v>
      </c>
      <c r="M103" s="46" t="n">
        <v>1274.100765088952</v>
      </c>
      <c r="N103" s="47">
        <f>IF(H103="Serviço",M103*L103,IF(H103="CÉLULA CONSTRUTIVA",SUMIFS($N$8:$N$422,$B$8:$B$422,B103,$H$8:$H$422,"Serviço"),IF(H103="ETAPA",SUMIFS($N$8:$N$422,$B$8:$B$422,B103,$C$8:$C$422,C103,$H$8:$H$422,"Serviço"),IF(H103="SUBETAPA",SUMIFS($N$8:$N$422,$B$8:$B$422,B103,$C$8:$C$422,C103,$D$8:$D$422,D103,$H$8:$H$422,"Serviço"),0))))</f>
        <v/>
      </c>
      <c r="O103" s="41" t="n"/>
      <c r="P103" s="42" t="n"/>
      <c r="Q103" s="43" t="n"/>
      <c r="R103" s="48" t="n"/>
    </row>
    <row r="104" outlineLevel="2" ht="12.75" customFormat="1" customHeight="1" s="31">
      <c r="A104" s="199">
        <f>IF($H104="UNIDADE CONSTRUTIVA",OFFSET(A104,-1,0)+1,LARGE(A$3:A103,1))</f>
        <v/>
      </c>
      <c r="B104" s="199">
        <f>IF(H104="UNIDADE CONSTRUTIVA",0,IF(H104="CÉLULA CONSTRUTIVA",OFFSET(B104,-1,0)+1,OFFSET(B104,-1,0)))</f>
        <v/>
      </c>
      <c r="C104" s="199">
        <f>IF(H104="CÉLULA CONSTRUTIVA",0,IF(H104="ETAPA",OFFSET(C104,-1,0)+1,OFFSET(C104,-1,0)))</f>
        <v/>
      </c>
      <c r="D104" s="200">
        <f>IF(H104="ETAPA",0,IF(H104="SUBETAPA",OFFSET(D104,-1,0)+1,OFFSET(D104,-1,0)))</f>
        <v/>
      </c>
      <c r="E104" s="200">
        <f>IF(H104="Subetapa",0,IF(H104="serviço",OFFSET(E104,-1,0)+1,OFFSET(E104,-1,0)))</f>
        <v/>
      </c>
      <c r="G104" s="41" t="n"/>
      <c r="H104" s="42" t="inlineStr">
        <is>
          <t>SERVIÇO</t>
        </is>
      </c>
      <c r="I104" s="43">
        <f>IF(H104="Unidade Construtiva",TEXT(A104,"00"),IF(H104="Célula Construtiva",TEXT(B104,"00"),IF(H104="Etapa",CONCATENATE(TEXT(B104,"00"),".",TEXT(C104,"000")),IF(H104="Subetapa",CONCATENATE(TEXT(B104,"00"),".",TEXT(C104,"000"),".",TEXT(D104,"000")),IF(H104="Serviço",CONCATENATE(TEXT(B104,"00"),".",TEXT(C104,"000"),".",TEXT(D104,"000"),".",TEXT(E104,"000")),"")))))</f>
        <v/>
      </c>
      <c r="J104" s="48" t="inlineStr">
        <is>
          <t>Despesas de manutenção: Manutenção provisória elétrica</t>
        </is>
      </c>
      <c r="K104" s="46" t="inlineStr">
        <is>
          <t>mês</t>
        </is>
      </c>
      <c r="L104" s="46" t="n">
        <v>36</v>
      </c>
      <c r="M104" s="46" t="n">
        <v>2304.322403018031</v>
      </c>
      <c r="N104" s="47">
        <f>IF(H104="Serviço",M104*L104,IF(H104="CÉLULA CONSTRUTIVA",SUMIFS($N$8:$N$422,$B$8:$B$422,B104,$H$8:$H$422,"Serviço"),IF(H104="ETAPA",SUMIFS($N$8:$N$422,$B$8:$B$422,B104,$C$8:$C$422,C104,$H$8:$H$422,"Serviço"),IF(H104="SUBETAPA",SUMIFS($N$8:$N$422,$B$8:$B$422,B104,$C$8:$C$422,C104,$D$8:$D$422,D104,$H$8:$H$422,"Serviço"),0))))</f>
        <v/>
      </c>
      <c r="O104" s="41" t="n"/>
      <c r="P104" s="42" t="n"/>
      <c r="Q104" s="43" t="n"/>
      <c r="R104" s="48" t="n"/>
    </row>
    <row r="105" outlineLevel="2" ht="13.5" customFormat="1" customHeight="1" s="31">
      <c r="A105" s="199">
        <f>IF($H105="UNIDADE CONSTRUTIVA",OFFSET(A105,-1,0)+1,LARGE(A$3:A104,1))</f>
        <v/>
      </c>
      <c r="B105" s="199">
        <f>IF(H105="UNIDADE CONSTRUTIVA",0,IF(H105="CÉLULA CONSTRUTIVA",OFFSET(B105,-1,0)+1,OFFSET(B105,-1,0)))</f>
        <v/>
      </c>
      <c r="C105" s="199">
        <f>IF(H105="CÉLULA CONSTRUTIVA",0,IF(H105="ETAPA",OFFSET(C105,-1,0)+1,OFFSET(C105,-1,0)))</f>
        <v/>
      </c>
      <c r="D105" s="200">
        <f>IF(H105="ETAPA",0,IF(H105="SUBETAPA",OFFSET(D105,-1,0)+1,OFFSET(D105,-1,0)))</f>
        <v/>
      </c>
      <c r="E105" s="200">
        <f>IF(H105="Subetapa",0,IF(H105="serviço",OFFSET(E105,-1,0)+1,OFFSET(E105,-1,0)))</f>
        <v/>
      </c>
      <c r="G105" s="41" t="n"/>
      <c r="H105" s="42" t="inlineStr">
        <is>
          <t>SERVIÇO</t>
        </is>
      </c>
      <c r="I105" s="43">
        <f>IF(H105="Unidade Construtiva",TEXT(A105,"00"),IF(H105="Célula Construtiva",TEXT(B105,"00"),IF(H105="Etapa",CONCATENATE(TEXT(B105,"00"),".",TEXT(C105,"000")),IF(H105="Subetapa",CONCATENATE(TEXT(B105,"00"),".",TEXT(C105,"000"),".",TEXT(D105,"000")),IF(H105="Serviço",CONCATENATE(TEXT(B105,"00"),".",TEXT(C105,"000"),".",TEXT(D105,"000"),".",TEXT(E105,"000")),"")))))</f>
        <v/>
      </c>
      <c r="J105" s="48" t="inlineStr">
        <is>
          <t>Despesas de manutenção: Manutenção provisória hidrossanitária</t>
        </is>
      </c>
      <c r="K105" s="46" t="inlineStr">
        <is>
          <t>mês</t>
        </is>
      </c>
      <c r="L105" s="46" t="n">
        <v>36</v>
      </c>
      <c r="M105" s="46" t="n">
        <v>921.6602394622382</v>
      </c>
      <c r="N105" s="47">
        <f>IF(H105="Serviço",M105*L105,IF(H105="CÉLULA CONSTRUTIVA",SUMIFS($N$8:$N$422,$B$8:$B$422,B105,$H$8:$H$422,"Serviço"),IF(H105="ETAPA",SUMIFS($N$8:$N$422,$B$8:$B$422,B105,$C$8:$C$422,C105,$H$8:$H$422,"Serviço"),IF(H105="SUBETAPA",SUMIFS($N$8:$N$422,$B$8:$B$422,B105,$C$8:$C$422,C105,$D$8:$D$422,D105,$H$8:$H$422,"Serviço"),0))))</f>
        <v/>
      </c>
      <c r="O105" s="41" t="n"/>
      <c r="P105" s="42" t="n"/>
      <c r="Q105" s="43" t="n"/>
      <c r="R105" s="48" t="n"/>
    </row>
    <row r="106" outlineLevel="2" ht="13.5" customFormat="1" customHeight="1" s="31">
      <c r="A106" s="199">
        <f>IF($H106="UNIDADE CONSTRUTIVA",OFFSET(A106,-1,0)+1,LARGE(A$3:A105,1))</f>
        <v/>
      </c>
      <c r="B106" s="199">
        <f>IF(H106="UNIDADE CONSTRUTIVA",0,IF(H106="CÉLULA CONSTRUTIVA",OFFSET(B106,-1,0)+1,OFFSET(B106,-1,0)))</f>
        <v/>
      </c>
      <c r="C106" s="199">
        <f>IF(H106="CÉLULA CONSTRUTIVA",0,IF(H106="ETAPA",OFFSET(C106,-1,0)+1,OFFSET(C106,-1,0)))</f>
        <v/>
      </c>
      <c r="D106" s="200">
        <f>IF(H106="ETAPA",0,IF(H106="SUBETAPA",OFFSET(D106,-1,0)+1,OFFSET(D106,-1,0)))</f>
        <v/>
      </c>
      <c r="E106" s="200">
        <f>IF(H106="Subetapa",0,IF(H106="serviço",OFFSET(E106,-1,0)+1,OFFSET(E106,-1,0)))</f>
        <v/>
      </c>
      <c r="G106" s="41" t="n"/>
      <c r="H106" s="42" t="inlineStr">
        <is>
          <t>SERVIÇO</t>
        </is>
      </c>
      <c r="I106" s="43">
        <f>IF(H106="Unidade Construtiva",TEXT(A106,"00"),IF(H106="Célula Construtiva",TEXT(B106,"00"),IF(H106="Etapa",CONCATENATE(TEXT(B106,"00"),".",TEXT(C106,"000")),IF(H106="Subetapa",CONCATENATE(TEXT(B106,"00"),".",TEXT(C106,"000"),".",TEXT(D106,"000")),IF(H106="Serviço",CONCATENATE(TEXT(B106,"00"),".",TEXT(C106,"000"),".",TEXT(D106,"000"),".",TEXT(E106,"000")),"")))))</f>
        <v/>
      </c>
      <c r="J106" s="48" t="inlineStr">
        <is>
          <t>Despesas de manutenção: Manutenção provisória vigilância e acessos</t>
        </is>
      </c>
      <c r="K106" s="46" t="inlineStr">
        <is>
          <t>mês</t>
        </is>
      </c>
      <c r="L106" s="46" t="n">
        <v>36</v>
      </c>
      <c r="M106" s="46" t="n">
        <v>99.20239141127567</v>
      </c>
      <c r="N106" s="47">
        <f>IF(H106="Serviço",M106*L106,IF(H106="CÉLULA CONSTRUTIVA",SUMIFS($N$8:$N$422,$B$8:$B$422,B106,$H$8:$H$422,"Serviço"),IF(H106="ETAPA",SUMIFS($N$8:$N$422,$B$8:$B$422,B106,$C$8:$C$422,C106,$H$8:$H$422,"Serviço"),IF(H106="SUBETAPA",SUMIFS($N$8:$N$422,$B$8:$B$422,B106,$C$8:$C$422,C106,$D$8:$D$422,D106,$H$8:$H$422,"Serviço"),0))))</f>
        <v/>
      </c>
      <c r="O106" s="41" t="n"/>
      <c r="P106" s="42" t="n"/>
      <c r="Q106" s="43" t="n"/>
      <c r="R106" s="48" t="n"/>
    </row>
    <row r="107" outlineLevel="1" ht="12" customFormat="1" customHeight="1" s="31">
      <c r="A107" s="199">
        <f>IF($H107="UNIDADE CONSTRUTIVA",OFFSET(A107,-1,0)+1,LARGE(A$3:A106,1))</f>
        <v/>
      </c>
      <c r="B107" s="199">
        <f>IF(H107="UNIDADE CONSTRUTIVA",0,IF(H107="CÉLULA CONSTRUTIVA",OFFSET(B107,-1,0)+1,OFFSET(B107,-1,0)))</f>
        <v/>
      </c>
      <c r="C107" s="199">
        <f>IF(H107="CÉLULA CONSTRUTIVA",0,IF(H107="ETAPA",OFFSET(C107,-1,0)+1,OFFSET(C107,-1,0)))</f>
        <v/>
      </c>
      <c r="D107" s="200">
        <f>IF(H107="ETAPA",0,IF(H107="SUBETAPA",OFFSET(D107,-1,0)+1,OFFSET(D107,-1,0)))</f>
        <v/>
      </c>
      <c r="E107" s="200">
        <f>IF(H107="Subetapa",0,IF(H107="serviço",OFFSET(E107,-1,0)+1,OFFSET(E107,-1,0)))</f>
        <v/>
      </c>
      <c r="G107" s="41" t="n"/>
      <c r="H107" s="42" t="inlineStr">
        <is>
          <t>SUBETAPA</t>
        </is>
      </c>
      <c r="I107" s="43">
        <f>IF(H107="Unidade Construtiva",TEXT(A107,"00"),IF(H107="Célula Construtiva",TEXT(B107,"00"),IF(H107="Etapa",CONCATENATE(TEXT(B107,"00"),".",TEXT(C107,"000")),IF(H107="Subetapa",CONCATENATE(TEXT(B107,"00"),".",TEXT(C107,"000"),".",TEXT(D107,"000")),IF(H107="Serviço",CONCATENATE(TEXT(B107,"00"),".",TEXT(C107,"000"),".",TEXT(D107,"000"),".",TEXT(E107,"000")),"")))))</f>
        <v/>
      </c>
      <c r="J107" s="48" t="inlineStr">
        <is>
          <t>Instalações e Ligações Provisórias</t>
        </is>
      </c>
      <c r="K107" s="46" t="n"/>
      <c r="L107" s="46" t="n"/>
      <c r="M107" s="46" t="n"/>
      <c r="N107" s="47">
        <f>IF(H107="Serviço",M107*L107,IF(H107="CÉLULA CONSTRUTIVA",SUMIFS($N$8:$N$422,$B$8:$B$422,B107,$H$8:$H$422,"Serviço"),IF(H107="ETAPA",SUMIFS($N$8:$N$422,$B$8:$B$422,B107,$C$8:$C$422,C107,$H$8:$H$422,"Serviço"),IF(H107="SUBETAPA",SUMIFS($N$8:$N$422,$B$8:$B$422,B107,$C$8:$C$422,C107,$D$8:$D$422,D107,$H$8:$H$422,"Serviço"),0))))</f>
        <v/>
      </c>
      <c r="O107" s="41" t="n"/>
      <c r="P107" s="42" t="n"/>
      <c r="Q107" s="43" t="n"/>
      <c r="R107" s="201" t="inlineStr">
        <is>
          <t>06.001.001.001 - Instalações de água fria</t>
        </is>
      </c>
    </row>
    <row r="108" outlineLevel="2" ht="12" customFormat="1" customHeight="1" s="31">
      <c r="A108" s="199">
        <f>IF($H108="UNIDADE CONSTRUTIVA",OFFSET(A108,-1,0)+1,LARGE(A$3:A107,1))</f>
        <v/>
      </c>
      <c r="B108" s="199">
        <f>IF(H108="UNIDADE CONSTRUTIVA",0,IF(H108="CÉLULA CONSTRUTIVA",OFFSET(B108,-1,0)+1,OFFSET(B108,-1,0)))</f>
        <v/>
      </c>
      <c r="C108" s="199">
        <f>IF(H108="CÉLULA CONSTRUTIVA",0,IF(H108="ETAPA",OFFSET(C108,-1,0)+1,OFFSET(C108,-1,0)))</f>
        <v/>
      </c>
      <c r="D108" s="200">
        <f>IF(H108="ETAPA",0,IF(H108="SUBETAPA",OFFSET(D108,-1,0)+1,OFFSET(D108,-1,0)))</f>
        <v/>
      </c>
      <c r="E108" s="200">
        <f>IF(H108="Subetapa",0,IF(H108="serviço",OFFSET(E108,-1,0)+1,OFFSET(E108,-1,0)))</f>
        <v/>
      </c>
      <c r="G108" s="41" t="n"/>
      <c r="H108" s="42" t="inlineStr">
        <is>
          <t>SERVIÇO</t>
        </is>
      </c>
      <c r="I108" s="43">
        <f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/>
      </c>
      <c r="J108" s="48" t="inlineStr">
        <is>
          <t>Instalações Provisórias (central de aço, formas, argamassa, almoxarifado geral, construções temporárias)</t>
        </is>
      </c>
      <c r="K108" s="46" t="inlineStr">
        <is>
          <t>vb</t>
        </is>
      </c>
      <c r="L108" s="46" t="n">
        <v>1</v>
      </c>
      <c r="M108" s="46" t="n">
        <v>79984.79333333333</v>
      </c>
      <c r="N108" s="47">
        <f>IF(H108="Serviço",M108*L108,IF(H108="CÉLULA CONSTRUTIVA",SUMIFS($N$8:$N$422,$B$8:$B$422,B108,$H$8:$H$422,"Serviço"),IF(H108="ETAPA",SUMIFS($N$8:$N$422,$B$8:$B$422,B108,$C$8:$C$422,C108,$H$8:$H$422,"Serviço"),IF(H108="SUBETAPA",SUMIFS($N$8:$N$422,$B$8:$B$422,B108,$C$8:$C$422,C108,$D$8:$D$422,D108,$H$8:$H$422,"Serviço"),0))))</f>
        <v/>
      </c>
      <c r="O108" s="41" t="n"/>
      <c r="P108" s="42" t="n"/>
      <c r="Q108" s="43" t="n"/>
      <c r="R108" s="48" t="n"/>
    </row>
    <row r="109" outlineLevel="2" ht="12" customFormat="1" customHeight="1" s="31">
      <c r="A109" s="199">
        <f>IF($H109="UNIDADE CONSTRUTIVA",OFFSET(A109,-1,0)+1,LARGE(A$3:A108,1))</f>
        <v/>
      </c>
      <c r="B109" s="199">
        <f>IF(H109="UNIDADE CONSTRUTIVA",0,IF(H109="CÉLULA CONSTRUTIVA",OFFSET(B109,-1,0)+1,OFFSET(B109,-1,0)))</f>
        <v/>
      </c>
      <c r="C109" s="199">
        <f>IF(H109="CÉLULA CONSTRUTIVA",0,IF(H109="ETAPA",OFFSET(C109,-1,0)+1,OFFSET(C109,-1,0)))</f>
        <v/>
      </c>
      <c r="D109" s="200">
        <f>IF(H109="ETAPA",0,IF(H109="SUBETAPA",OFFSET(D109,-1,0)+1,OFFSET(D109,-1,0)))</f>
        <v/>
      </c>
      <c r="E109" s="200">
        <f>IF(H109="Subetapa",0,IF(H109="serviço",OFFSET(E109,-1,0)+1,OFFSET(E109,-1,0)))</f>
        <v/>
      </c>
      <c r="G109" s="41" t="n"/>
      <c r="H109" s="42" t="inlineStr">
        <is>
          <t>SERVIÇO</t>
        </is>
      </c>
      <c r="I109" s="43">
        <f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/>
      </c>
      <c r="J109" s="48" t="inlineStr">
        <is>
          <t>Alugueis Terrenos Apoio</t>
        </is>
      </c>
      <c r="K109" s="46" t="inlineStr">
        <is>
          <t>mês</t>
        </is>
      </c>
      <c r="L109" s="46" t="n">
        <v>36</v>
      </c>
      <c r="M109" s="46" t="n">
        <v>2455.075</v>
      </c>
      <c r="N109" s="47">
        <f>IF(H109="Serviço",M109*L109,IF(H109="CÉLULA CONSTRUTIVA",SUMIFS($N$8:$N$422,$B$8:$B$422,B109,$H$8:$H$422,"Serviço"),IF(H109="ETAPA",SUMIFS($N$8:$N$422,$B$8:$B$422,B109,$C$8:$C$422,C109,$H$8:$H$422,"Serviço"),IF(H109="SUBETAPA",SUMIFS($N$8:$N$422,$B$8:$B$422,B109,$C$8:$C$422,C109,$D$8:$D$422,D109,$H$8:$H$422,"Serviço"),0))))</f>
        <v/>
      </c>
      <c r="O109" s="41" t="n"/>
      <c r="P109" s="42" t="n"/>
      <c r="Q109" s="43" t="n"/>
      <c r="R109" s="48" t="n"/>
    </row>
    <row r="110" outlineLevel="2" ht="12" customFormat="1" customHeight="1" s="31">
      <c r="A110" s="199">
        <f>IF($H110="UNIDADE CONSTRUTIVA",OFFSET(A110,-1,0)+1,LARGE(A$3:A109,1))</f>
        <v/>
      </c>
      <c r="B110" s="199">
        <f>IF(H110="UNIDADE CONSTRUTIVA",0,IF(H110="CÉLULA CONSTRUTIVA",OFFSET(B110,-1,0)+1,OFFSET(B110,-1,0)))</f>
        <v/>
      </c>
      <c r="C110" s="199">
        <f>IF(H110="CÉLULA CONSTRUTIVA",0,IF(H110="ETAPA",OFFSET(C110,-1,0)+1,OFFSET(C110,-1,0)))</f>
        <v/>
      </c>
      <c r="D110" s="200">
        <f>IF(H110="ETAPA",0,IF(H110="SUBETAPA",OFFSET(D110,-1,0)+1,OFFSET(D110,-1,0)))</f>
        <v/>
      </c>
      <c r="E110" s="200">
        <f>IF(H110="Subetapa",0,IF(H110="serviço",OFFSET(E110,-1,0)+1,OFFSET(E110,-1,0)))</f>
        <v/>
      </c>
      <c r="G110" s="41" t="n"/>
      <c r="H110" s="42" t="inlineStr">
        <is>
          <t>SERVIÇO</t>
        </is>
      </c>
      <c r="I110" s="43">
        <f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/>
      </c>
      <c r="J110" s="48" t="inlineStr">
        <is>
          <t>Redes Provisórias: Rede de água fria, esgoto e drenagem</t>
        </is>
      </c>
      <c r="K110" s="46" t="inlineStr">
        <is>
          <t>vb</t>
        </is>
      </c>
      <c r="L110" s="46" t="n">
        <v>1</v>
      </c>
      <c r="M110" s="46" t="n">
        <v>7392.512144232085</v>
      </c>
      <c r="N110" s="47">
        <f>IF(H110="Serviço",M110*L110,IF(H110="CÉLULA CONSTRUTIVA",SUMIFS($N$8:$N$422,$B$8:$B$422,B110,$H$8:$H$422,"Serviço"),IF(H110="ETAPA",SUMIFS($N$8:$N$422,$B$8:$B$422,B110,$C$8:$C$422,C110,$H$8:$H$422,"Serviço"),IF(H110="SUBETAPA",SUMIFS($N$8:$N$422,$B$8:$B$422,B110,$C$8:$C$422,C110,$D$8:$D$422,D110,$H$8:$H$422,"Serviço"),0))))</f>
        <v/>
      </c>
      <c r="O110" s="41" t="n"/>
      <c r="P110" s="42" t="n"/>
      <c r="Q110" s="43" t="n"/>
      <c r="R110" s="48" t="n"/>
    </row>
    <row r="111" outlineLevel="2" ht="12" customFormat="1" customHeight="1" s="31">
      <c r="A111" s="199">
        <f>IF($H111="UNIDADE CONSTRUTIVA",OFFSET(A111,-1,0)+1,LARGE(A$3:A110,1))</f>
        <v/>
      </c>
      <c r="B111" s="199">
        <f>IF(H111="UNIDADE CONSTRUTIVA",0,IF(H111="CÉLULA CONSTRUTIVA",OFFSET(B111,-1,0)+1,OFFSET(B111,-1,0)))</f>
        <v/>
      </c>
      <c r="C111" s="199">
        <f>IF(H111="CÉLULA CONSTRUTIVA",0,IF(H111="ETAPA",OFFSET(C111,-1,0)+1,OFFSET(C111,-1,0)))</f>
        <v/>
      </c>
      <c r="D111" s="200">
        <f>IF(H111="ETAPA",0,IF(H111="SUBETAPA",OFFSET(D111,-1,0)+1,OFFSET(D111,-1,0)))</f>
        <v/>
      </c>
      <c r="E111" s="200">
        <f>IF(H111="Subetapa",0,IF(H111="serviço",OFFSET(E111,-1,0)+1,OFFSET(E111,-1,0)))</f>
        <v/>
      </c>
      <c r="G111" s="41" t="n"/>
      <c r="H111" s="42" t="inlineStr">
        <is>
          <t>SERVIÇO</t>
        </is>
      </c>
      <c r="I111" s="43">
        <f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/>
      </c>
      <c r="J111" s="48" t="inlineStr">
        <is>
          <t>Redes Provisórias: Redes elétricas, comunicação e dados</t>
        </is>
      </c>
      <c r="K111" s="46" t="inlineStr">
        <is>
          <t>vb</t>
        </is>
      </c>
      <c r="L111" s="46" t="n">
        <v>1</v>
      </c>
      <c r="M111" s="46" t="n">
        <v>6729.404908991852</v>
      </c>
      <c r="N111" s="47">
        <f>IF(H111="Serviço",M111*L111,IF(H111="CÉLULA CONSTRUTIVA",SUMIFS($N$8:$N$422,$B$8:$B$422,B111,$H$8:$H$422,"Serviço"),IF(H111="ETAPA",SUMIFS($N$8:$N$422,$B$8:$B$422,B111,$C$8:$C$422,C111,$H$8:$H$422,"Serviço"),IF(H111="SUBETAPA",SUMIFS($N$8:$N$422,$B$8:$B$422,B111,$C$8:$C$422,C111,$D$8:$D$422,D111,$H$8:$H$422,"Serviço"),0))))</f>
        <v/>
      </c>
      <c r="O111" s="41" t="n"/>
      <c r="P111" s="42" t="n"/>
      <c r="Q111" s="43" t="n"/>
      <c r="R111" s="48" t="n"/>
    </row>
    <row r="112" outlineLevel="2" ht="10.8" customFormat="1" customHeight="1" s="31">
      <c r="A112" s="199">
        <f>IF($H112="UNIDADE CONSTRUTIVA",OFFSET(A112,-1,0)+1,LARGE(A$3:A111,1))</f>
        <v/>
      </c>
      <c r="B112" s="199">
        <f>IF(H112="UNIDADE CONSTRUTIVA",0,IF(H112="CÉLULA CONSTRUTIVA",OFFSET(B112,-1,0)+1,OFFSET(B112,-1,0)))</f>
        <v/>
      </c>
      <c r="C112" s="199">
        <f>IF(H112="CÉLULA CONSTRUTIVA",0,IF(H112="ETAPA",OFFSET(C112,-1,0)+1,OFFSET(C112,-1,0)))</f>
        <v/>
      </c>
      <c r="D112" s="200">
        <f>IF(H112="ETAPA",0,IF(H112="SUBETAPA",OFFSET(D112,-1,0)+1,OFFSET(D112,-1,0)))</f>
        <v/>
      </c>
      <c r="E112" s="200">
        <f>IF(H112="Subetapa",0,IF(H112="serviço",OFFSET(E112,-1,0)+1,OFFSET(E112,-1,0)))</f>
        <v/>
      </c>
      <c r="G112" s="41" t="n"/>
      <c r="H112" s="42" t="inlineStr">
        <is>
          <t>SERVIÇO</t>
        </is>
      </c>
      <c r="I112" s="43">
        <f>IF(H112="Unidade Construtiva",TEXT(A112,"00"),IF(H112="Célula Construtiva",TEXT(B112,"00"),IF(H112="Etapa",CONCATENATE(TEXT(B112,"00"),".",TEXT(C112,"000")),IF(H112="Subetapa",CONCATENATE(TEXT(B112,"00"),".",TEXT(C112,"000"),".",TEXT(D112,"000")),IF(H112="Serviço",CONCATENATE(TEXT(B112,"00"),".",TEXT(C112,"000"),".",TEXT(D112,"000"),".",TEXT(E112,"000")),"")))))</f>
        <v/>
      </c>
      <c r="J112" s="48" t="inlineStr">
        <is>
          <t>Tapume em telha metálica trapezoidal</t>
        </is>
      </c>
      <c r="K112" s="46" t="inlineStr">
        <is>
          <t>m2</t>
        </is>
      </c>
      <c r="L112" s="46" t="n">
        <v>67.2</v>
      </c>
      <c r="M112" s="46" t="n">
        <v>164.0766</v>
      </c>
      <c r="N112" s="47">
        <f>IF(H112="Serviço",M112*L112,IF(H112="CÉLULA CONSTRUTIVA",SUMIFS($N$8:$N$422,$B$8:$B$422,B112,$H$8:$H$422,"Serviço"),IF(H112="ETAPA",SUMIFS($N$8:$N$422,$B$8:$B$422,B112,$C$8:$C$422,C112,$H$8:$H$422,"Serviço"),IF(H112="SUBETAPA",SUMIFS($N$8:$N$422,$B$8:$B$422,B112,$C$8:$C$422,C112,$D$8:$D$422,D112,$H$8:$H$422,"Serviço"),0))))</f>
        <v/>
      </c>
      <c r="O112" s="41" t="n"/>
      <c r="P112" s="42" t="n"/>
      <c r="Q112" s="43" t="n"/>
      <c r="R112" s="48" t="n"/>
    </row>
    <row r="113" outlineLevel="1" ht="12" customFormat="1" customHeight="1" s="31">
      <c r="A113" s="199">
        <f>IF($H113="UNIDADE CONSTRUTIVA",OFFSET(A113,-1,0)+1,LARGE(A$3:A112,1))</f>
        <v/>
      </c>
      <c r="B113" s="199">
        <f>IF(H113="UNIDADE CONSTRUTIVA",0,IF(H113="CÉLULA CONSTRUTIVA",OFFSET(B113,-1,0)+1,OFFSET(B113,-1,0)))</f>
        <v/>
      </c>
      <c r="C113" s="199">
        <f>IF(H113="CÉLULA CONSTRUTIVA",0,IF(H113="ETAPA",OFFSET(C113,-1,0)+1,OFFSET(C113,-1,0)))</f>
        <v/>
      </c>
      <c r="D113" s="200">
        <f>IF(H113="ETAPA",0,IF(H113="SUBETAPA",OFFSET(D113,-1,0)+1,OFFSET(D113,-1,0)))</f>
        <v/>
      </c>
      <c r="E113" s="200">
        <f>IF(H113="Subetapa",0,IF(H113="serviço",OFFSET(E113,-1,0)+1,OFFSET(E113,-1,0)))</f>
        <v/>
      </c>
      <c r="G113" s="41" t="n"/>
      <c r="H113" s="42" t="inlineStr">
        <is>
          <t>ETAPA</t>
        </is>
      </c>
      <c r="I113" s="43">
        <f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/>
      </c>
      <c r="J113" s="48" t="inlineStr">
        <is>
          <t>SERVIÇOS PRELIMINARES</t>
        </is>
      </c>
      <c r="K113" s="46" t="n"/>
      <c r="L113" s="46" t="n"/>
      <c r="M113" s="46" t="n"/>
      <c r="N113" s="47">
        <f>IF(H113="Serviço",M113*L113,IF(H113="CÉLULA CONSTRUTIVA",SUMIFS($N$8:$N$422,$B$8:$B$422,B113,$H$8:$H$422,"Serviço"),IF(H113="ETAPA",SUMIFS($N$8:$N$422,$B$8:$B$422,B113,$C$8:$C$422,C113,$H$8:$H$422,"Serviço"),IF(H113="SUBETAPA",SUMIFS($N$8:$N$422,$B$8:$B$422,B113,$C$8:$C$422,C113,$D$8:$D$422,D113,$H$8:$H$422,"Serviço"),0))))</f>
        <v/>
      </c>
      <c r="O113" s="41" t="n"/>
      <c r="P113" s="42" t="n"/>
      <c r="Q113" s="43" t="n"/>
      <c r="R113" s="48" t="n"/>
    </row>
    <row r="114" outlineLevel="1" ht="12" customFormat="1" customHeight="1" s="31">
      <c r="A114" s="199">
        <f>IF($H114="UNIDADE CONSTRUTIVA",OFFSET(A114,-1,0)+1,LARGE(A$3:A113,1))</f>
        <v/>
      </c>
      <c r="B114" s="199">
        <f>IF(H114="UNIDADE CONSTRUTIVA",0,IF(H114="CÉLULA CONSTRUTIVA",OFFSET(B114,-1,0)+1,OFFSET(B114,-1,0)))</f>
        <v/>
      </c>
      <c r="C114" s="199">
        <f>IF(H114="CÉLULA CONSTRUTIVA",0,IF(H114="ETAPA",OFFSET(C114,-1,0)+1,OFFSET(C114,-1,0)))</f>
        <v/>
      </c>
      <c r="D114" s="200">
        <f>IF(H114="ETAPA",0,IF(H114="SUBETAPA",OFFSET(D114,-1,0)+1,OFFSET(D114,-1,0)))</f>
        <v/>
      </c>
      <c r="E114" s="200">
        <f>IF(H114="Subetapa",0,IF(H114="serviço",OFFSET(E114,-1,0)+1,OFFSET(E114,-1,0)))</f>
        <v/>
      </c>
      <c r="G114" s="41" t="n"/>
      <c r="H114" s="42" t="inlineStr">
        <is>
          <t>SUBETAPA</t>
        </is>
      </c>
      <c r="I114" s="43">
        <f>IF(H114="Unidade Construtiva",TEXT(A114,"00"),IF(H114="Célula Construtiva",TEXT(B114,"00"),IF(H114="Etapa",CONCATENATE(TEXT(B114,"00"),".",TEXT(C114,"000")),IF(H114="Subetapa",CONCATENATE(TEXT(B114,"00"),".",TEXT(C114,"000"),".",TEXT(D114,"000")),IF(H114="Serviço",CONCATENATE(TEXT(B114,"00"),".",TEXT(C114,"000"),".",TEXT(D114,"000"),".",TEXT(E114,"000")),"")))))</f>
        <v/>
      </c>
      <c r="J114" s="48" t="inlineStr">
        <is>
          <t xml:space="preserve">Demolições </t>
        </is>
      </c>
      <c r="K114" s="46" t="n"/>
      <c r="L114" s="46" t="n"/>
      <c r="M114" s="46" t="n"/>
      <c r="N114" s="47">
        <f>IF(H114="Serviço",M114*L114,IF(H114="CÉLULA CONSTRUTIVA",SUMIFS($N$8:$N$422,$B$8:$B$422,B114,$H$8:$H$422,"Serviço"),IF(H114="ETAPA",SUMIFS($N$8:$N$422,$B$8:$B$422,B114,$C$8:$C$422,C114,$H$8:$H$422,"Serviço"),IF(H114="SUBETAPA",SUMIFS($N$8:$N$422,$B$8:$B$422,B114,$C$8:$C$422,C114,$D$8:$D$422,D114,$H$8:$H$422,"Serviço"),0))))</f>
        <v/>
      </c>
      <c r="O114" s="41" t="n"/>
      <c r="P114" s="42" t="n"/>
      <c r="Q114" s="43" t="n"/>
      <c r="R114" s="201" t="inlineStr">
        <is>
          <t>01.02.002.0002.0003 - Demolições</t>
        </is>
      </c>
    </row>
    <row r="115" outlineLevel="2" ht="12" customFormat="1" customHeight="1" s="31">
      <c r="A115" s="199">
        <f>IF($H115="UNIDADE CONSTRUTIVA",OFFSET(A115,-1,0)+1,LARGE(A$3:A114,1))</f>
        <v/>
      </c>
      <c r="B115" s="199">
        <f>IF(H115="UNIDADE CONSTRUTIVA",0,IF(H115="CÉLULA CONSTRUTIVA",OFFSET(B115,-1,0)+1,OFFSET(B115,-1,0)))</f>
        <v/>
      </c>
      <c r="C115" s="199">
        <f>IF(H115="CÉLULA CONSTRUTIVA",0,IF(H115="ETAPA",OFFSET(C115,-1,0)+1,OFFSET(C115,-1,0)))</f>
        <v/>
      </c>
      <c r="D115" s="200">
        <f>IF(H115="ETAPA",0,IF(H115="SUBETAPA",OFFSET(D115,-1,0)+1,OFFSET(D115,-1,0)))</f>
        <v/>
      </c>
      <c r="E115" s="200">
        <f>IF(H115="Subetapa",0,IF(H115="serviço",OFFSET(E115,-1,0)+1,OFFSET(E115,-1,0)))</f>
        <v/>
      </c>
      <c r="G115" s="41" t="n"/>
      <c r="H115" s="42" t="inlineStr">
        <is>
          <t>SERVIÇO</t>
        </is>
      </c>
      <c r="I115" s="43">
        <f>IF(H115="Unidade Construtiva",TEXT(A115,"00"),IF(H115="Célula Construtiva",TEXT(B115,"00"),IF(H115="Etapa",CONCATENATE(TEXT(B115,"00"),".",TEXT(C115,"000")),IF(H115="Subetapa",CONCATENATE(TEXT(B115,"00"),".",TEXT(C115,"000"),".",TEXT(D115,"000")),IF(H115="Serviço",CONCATENATE(TEXT(B115,"00"),".",TEXT(C115,"000"),".",TEXT(D115,"000"),".",TEXT(E115,"000")),"")))))</f>
        <v/>
      </c>
      <c r="J115" s="48" t="inlineStr">
        <is>
          <t>Demolições</t>
        </is>
      </c>
      <c r="K115" s="46" t="inlineStr">
        <is>
          <t>m2</t>
        </is>
      </c>
      <c r="L115" s="46" t="n">
        <v>299.88</v>
      </c>
      <c r="M115" s="46" t="n">
        <v>190</v>
      </c>
      <c r="N115" s="47">
        <f>IF(H115="Serviço",M115*L115,IF(H115="CÉLULA CONSTRUTIVA",SUMIFS($N$8:$N$422,$B$8:$B$422,B115,$H$8:$H$422,"Serviço"),IF(H115="ETAPA",SUMIFS($N$8:$N$422,$B$8:$B$422,B115,$C$8:$C$422,C115,$H$8:$H$422,"Serviço"),IF(H115="SUBETAPA",SUMIFS($N$8:$N$422,$B$8:$B$422,B115,$C$8:$C$422,C115,$D$8:$D$422,D115,$H$8:$H$422,"Serviço"),0))))</f>
        <v/>
      </c>
      <c r="O115" s="41" t="n"/>
      <c r="P115" s="42" t="n"/>
      <c r="Q115" s="43" t="n"/>
      <c r="R115" s="48" t="n"/>
    </row>
    <row r="116" outlineLevel="2" ht="12" customFormat="1" customHeight="1" s="31">
      <c r="A116" s="199">
        <f>IF($H116="UNIDADE CONSTRUTIVA",OFFSET(A116,-1,0)+1,LARGE(A$3:A115,1))</f>
        <v/>
      </c>
      <c r="B116" s="199">
        <f>IF(H116="UNIDADE CONSTRUTIVA",0,IF(H116="CÉLULA CONSTRUTIVA",OFFSET(B116,-1,0)+1,OFFSET(B116,-1,0)))</f>
        <v/>
      </c>
      <c r="C116" s="199">
        <f>IF(H116="CÉLULA CONSTRUTIVA",0,IF(H116="ETAPA",OFFSET(C116,-1,0)+1,OFFSET(C116,-1,0)))</f>
        <v/>
      </c>
      <c r="D116" s="200">
        <f>IF(H116="ETAPA",0,IF(H116="SUBETAPA",OFFSET(D116,-1,0)+1,OFFSET(D116,-1,0)))</f>
        <v/>
      </c>
      <c r="E116" s="200">
        <f>IF(H116="Subetapa",0,IF(H116="serviço",OFFSET(E116,-1,0)+1,OFFSET(E116,-1,0)))</f>
        <v/>
      </c>
      <c r="G116" s="41" t="n"/>
      <c r="H116" s="42" t="inlineStr">
        <is>
          <t>SERVIÇO</t>
        </is>
      </c>
      <c r="I116" s="43">
        <f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/>
      </c>
      <c r="J116" s="48" t="inlineStr">
        <is>
          <t>Limpeza da camada vegetal</t>
        </is>
      </c>
      <c r="K116" s="46" t="inlineStr">
        <is>
          <t>m2</t>
        </is>
      </c>
      <c r="L116" s="46" t="n">
        <v>499.8</v>
      </c>
      <c r="M116" s="46" t="n">
        <v>12.5</v>
      </c>
      <c r="N116" s="47">
        <f>IF(H116="Serviço",M116*L116,IF(H116="CÉLULA CONSTRUTIVA",SUMIFS($N$8:$N$422,$B$8:$B$422,B116,$H$8:$H$422,"Serviço"),IF(H116="ETAPA",SUMIFS($N$8:$N$422,$B$8:$B$422,B116,$C$8:$C$422,C116,$H$8:$H$422,"Serviço"),IF(H116="SUBETAPA",SUMIFS($N$8:$N$422,$B$8:$B$422,B116,$C$8:$C$422,C116,$D$8:$D$422,D116,$H$8:$H$422,"Serviço"),0))))</f>
        <v/>
      </c>
      <c r="O116" s="41" t="n"/>
      <c r="P116" s="42" t="n"/>
      <c r="Q116" s="43" t="n"/>
      <c r="R116" s="48" t="n"/>
    </row>
    <row r="117" ht="13.95" customFormat="1" customHeight="1" s="31">
      <c r="A117" s="199">
        <f>IF($H117="UNIDADE CONSTRUTIVA",OFFSET(A117,-1,0)+1,LARGE(A$3:A116,1))</f>
        <v/>
      </c>
      <c r="B117" s="199">
        <f>IF(H117="UNIDADE CONSTRUTIVA",0,IF(H117="CÉLULA CONSTRUTIVA",OFFSET(B117,-1,0)+1,OFFSET(B117,-1,0)))</f>
        <v/>
      </c>
      <c r="C117" s="199">
        <f>IF(H117="CÉLULA CONSTRUTIVA",0,IF(H117="ETAPA",OFFSET(C117,-1,0)+1,OFFSET(C117,-1,0)))</f>
        <v/>
      </c>
      <c r="D117" s="200">
        <f>IF(H117="ETAPA",0,IF(H117="SUBETAPA",OFFSET(D117,-1,0)+1,OFFSET(D117,-1,0)))</f>
        <v/>
      </c>
      <c r="E117" s="200">
        <f>IF(H117="Subetapa",0,IF(H117="serviço",OFFSET(E117,-1,0)+1,OFFSET(E117,-1,0)))</f>
        <v/>
      </c>
      <c r="G117" s="41" t="n"/>
      <c r="H117" s="42" t="inlineStr">
        <is>
          <t>CÉLULA CONSTRUTIVA</t>
        </is>
      </c>
      <c r="I117" s="43">
        <f>IF(H117="Unidade Construtiva",TEXT(A117,"00"),IF(H117="Célula Construtiva",TEXT(B117,"00"),IF(H117="Etapa",CONCATENATE(TEXT(B117,"00"),".",TEXT(C117,"000")),IF(H117="Subetapa",CONCATENATE(TEXT(B117,"00"),".",TEXT(C117,"000"),".",TEXT(D117,"000")),IF(H117="Serviço",CONCATENATE(TEXT(B117,"00"),".",TEXT(C117,"000"),".",TEXT(D117,"000"),".",TEXT(E117,"000")),"")))))</f>
        <v/>
      </c>
      <c r="J117" s="44" t="inlineStr">
        <is>
          <t>EQUIPAMENTOS</t>
        </is>
      </c>
      <c r="K117" s="46" t="n"/>
      <c r="L117" s="46" t="n"/>
      <c r="M117" s="46" t="n"/>
      <c r="N117" s="47">
        <f>IF(H117="Serviço",M117*L117,IF(H117="CÉLULA CONSTRUTIVA",SUMIFS($N$8:$N$442,$B$8:$B$442,B117,$H$8:$H$442,"Serviço"),IF(H117="ETAPA",SUMIFS($N$8:$N$442,$B$8:$B$442,B117,$C$8:$C$442,C117,$H$8:$H$442,"Serviço"),IF(H117="SUBETAPA",SUMIFS($N$8:$N$442,$B$8:$B$442,B117,$C$8:$C$442,C117,$D$8:$D$442,D117,$H$8:$H$442,"Serviço"),0))))</f>
        <v/>
      </c>
      <c r="O117" s="41" t="n"/>
      <c r="P117" s="42" t="n"/>
      <c r="Q117" s="43" t="n"/>
      <c r="R117" s="44" t="n"/>
    </row>
    <row r="118" outlineLevel="1" ht="13.95" customFormat="1" customHeight="1" s="31">
      <c r="A118" s="199">
        <f>IF($H118="UNIDADE CONSTRUTIVA",OFFSET(A118,-1,0)+1,LARGE(A$3:A117,1))</f>
        <v/>
      </c>
      <c r="B118" s="199">
        <f>IF(H118="UNIDADE CONSTRUTIVA",0,IF(H118="CÉLULA CONSTRUTIVA",OFFSET(B118,-1,0)+1,OFFSET(B118,-1,0)))</f>
        <v/>
      </c>
      <c r="C118" s="199">
        <f>IF(H118="CÉLULA CONSTRUTIVA",0,IF(H118="ETAPA",OFFSET(C118,-1,0)+1,OFFSET(C118,-1,0)))</f>
        <v/>
      </c>
      <c r="D118" s="200">
        <f>IF(H118="ETAPA",0,IF(H118="SUBETAPA",OFFSET(D118,-1,0)+1,OFFSET(D118,-1,0)))</f>
        <v/>
      </c>
      <c r="E118" s="200">
        <f>IF(H118="Subetapa",0,IF(H118="serviço",OFFSET(E118,-1,0)+1,OFFSET(E118,-1,0)))</f>
        <v/>
      </c>
      <c r="G118" s="41" t="n"/>
      <c r="H118" s="42" t="inlineStr">
        <is>
          <t>ETAPA</t>
        </is>
      </c>
      <c r="I118" s="43">
        <f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/>
      </c>
      <c r="J118" s="44" t="inlineStr">
        <is>
          <t>EQUIPAMENTOS</t>
        </is>
      </c>
      <c r="K118" s="46" t="n"/>
      <c r="L118" s="46" t="n"/>
      <c r="M118" s="46" t="n"/>
      <c r="N118" s="47">
        <f>IF(H118="Serviço",M118*L118,IF(H118="CÉLULA CONSTRUTIVA",SUMIFS($N$8:$N$442,$B$8:$B$442,B118,$H$8:$H$442,"Serviço"),IF(H118="ETAPA",SUMIFS($N$8:$N$442,$B$8:$B$442,B118,$C$8:$C$442,C118,$H$8:$H$442,"Serviço"),IF(H118="SUBETAPA",SUMIFS($N$8:$N$442,$B$8:$B$442,B118,$C$8:$C$442,C118,$D$8:$D$442,D118,$H$8:$H$442,"Serviço"),0))))</f>
        <v/>
      </c>
      <c r="O118" s="41" t="n"/>
      <c r="P118" s="42" t="n"/>
      <c r="Q118" s="43" t="n"/>
      <c r="R118" s="44" t="n"/>
    </row>
    <row r="119" outlineLevel="1" ht="13.95" customFormat="1" customHeight="1" s="31">
      <c r="A119" s="199">
        <f>IF($H119="UNIDADE CONSTRUTIVA",OFFSET(A119,-1,0)+1,LARGE(A$3:A118,1))</f>
        <v/>
      </c>
      <c r="B119" s="199">
        <f>IF(H119="UNIDADE CONSTRUTIVA",0,IF(H119="CÉLULA CONSTRUTIVA",OFFSET(B119,-1,0)+1,OFFSET(B119,-1,0)))</f>
        <v/>
      </c>
      <c r="C119" s="199">
        <f>IF(H119="CÉLULA CONSTRUTIVA",0,IF(H119="ETAPA",OFFSET(C119,-1,0)+1,OFFSET(C119,-1,0)))</f>
        <v/>
      </c>
      <c r="D119" s="200">
        <f>IF(H119="ETAPA",0,IF(H119="SUBETAPA",OFFSET(D119,-1,0)+1,OFFSET(D119,-1,0)))</f>
        <v/>
      </c>
      <c r="E119" s="200">
        <f>IF(H119="Subetapa",0,IF(H119="serviço",OFFSET(E119,-1,0)+1,OFFSET(E119,-1,0)))</f>
        <v/>
      </c>
      <c r="G119" s="41" t="n"/>
      <c r="H119" s="42" t="inlineStr">
        <is>
          <t>SUBETAPA</t>
        </is>
      </c>
      <c r="I119" s="43">
        <f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/>
      </c>
      <c r="J119" s="44" t="inlineStr">
        <is>
          <t>Equipamentos de carga e transporte</t>
        </is>
      </c>
      <c r="K119" s="46" t="n"/>
      <c r="L119" s="46" t="n"/>
      <c r="M119" s="46" t="n"/>
      <c r="N119" s="47">
        <f>IF(H119="Serviço",M119*L119,IF(H119="CÉLULA CONSTRUTIVA",SUMIFS($N$8:$N$442,$B$8:$B$442,B119,$H$8:$H$442,"Serviço"),IF(H119="ETAPA",SUMIFS($N$8:$N$442,$B$8:$B$442,B119,$C$8:$C$442,C119,$H$8:$H$442,"Serviço"),IF(H119="SUBETAPA",SUMIFS($N$8:$N$442,$B$8:$B$442,B119,$C$8:$C$442,C119,$D$8:$D$442,D119,$H$8:$H$442,"Serviço"),0))))</f>
        <v/>
      </c>
      <c r="O119" s="41" t="n"/>
      <c r="P119" s="42" t="n"/>
      <c r="Q119" s="43" t="n"/>
      <c r="R119" s="201" t="inlineStr">
        <is>
          <t>02.002.004.004 - Equipamentos de escritório</t>
        </is>
      </c>
    </row>
    <row r="120" outlineLevel="2" ht="13.95" customFormat="1" customHeight="1" s="31">
      <c r="A120" s="199">
        <f>IF($H120="UNIDADE CONSTRUTIVA",OFFSET(A120,-1,0)+1,LARGE(A$3:A119,1))</f>
        <v/>
      </c>
      <c r="B120" s="199">
        <f>IF(H120="UNIDADE CONSTRUTIVA",0,IF(H120="CÉLULA CONSTRUTIVA",OFFSET(B120,-1,0)+1,OFFSET(B120,-1,0)))</f>
        <v/>
      </c>
      <c r="C120" s="199">
        <f>IF(H120="CÉLULA CONSTRUTIVA",0,IF(H120="ETAPA",OFFSET(C120,-1,0)+1,OFFSET(C120,-1,0)))</f>
        <v/>
      </c>
      <c r="D120" s="200">
        <f>IF(H120="ETAPA",0,IF(H120="SUBETAPA",OFFSET(D120,-1,0)+1,OFFSET(D120,-1,0)))</f>
        <v/>
      </c>
      <c r="E120" s="200">
        <f>IF(H120="Subetapa",0,IF(H120="serviço",OFFSET(E120,-1,0)+1,OFFSET(E120,-1,0)))</f>
        <v/>
      </c>
      <c r="G120" s="41" t="n"/>
      <c r="H120" s="42" t="inlineStr">
        <is>
          <t>SERVIÇO</t>
        </is>
      </c>
      <c r="I120" s="43">
        <f>IF(H120="Unidade Construtiva",TEXT(A120,"00"),IF(H120="Célula Construtiva",TEXT(B120,"00"),IF(H120="Etapa",CONCATENATE(TEXT(B120,"00"),".",TEXT(C120,"000")),IF(H120="Subetapa",CONCATENATE(TEXT(B120,"00"),".",TEXT(C120,"000"),".",TEXT(D120,"000")),IF(H120="Serviço",CONCATENATE(TEXT(B120,"00"),".",TEXT(C120,"000"),".",TEXT(D120,"000"),".",TEXT(E120,"000")),"")))))</f>
        <v/>
      </c>
      <c r="J120" s="44" t="inlineStr">
        <is>
          <t>Manutenção Inicial Elevador cremalheira</t>
        </is>
      </c>
      <c r="K120" s="46" t="inlineStr">
        <is>
          <t>UN</t>
        </is>
      </c>
      <c r="L120" s="46" t="n">
        <v>1</v>
      </c>
      <c r="M120" s="46" t="n">
        <v>75000</v>
      </c>
      <c r="N120" s="47">
        <f>IF(H120="Serviço",M120*L120,IF(H120="CÉLULA CONSTRUTIVA",SUMIFS($N$8:$N$422,$B$8:$B$422,B120,$H$8:$H$422,"Serviço"),IF(H120="ETAPA",SUMIFS($N$8:$N$422,$B$8:$B$422,B120,$C$8:$C$422,C120,$H$8:$H$422,"Serviço"),IF(H120="SUBETAPA",SUMIFS($N$8:$N$422,$B$8:$B$422,B120,$C$8:$C$422,C120,$D$8:$D$422,D120,$H$8:$H$422,"Serviço"),0))))</f>
        <v/>
      </c>
      <c r="O120" s="41" t="n"/>
      <c r="P120" s="42" t="n"/>
      <c r="Q120" s="43" t="n"/>
      <c r="R120" s="44" t="n"/>
    </row>
    <row r="121" outlineLevel="2" ht="13.95" customFormat="1" customHeight="1" s="31">
      <c r="A121" s="199">
        <f>IF($H121="UNIDADE CONSTRUTIVA",OFFSET(A121,-1,0)+1,LARGE(A$3:A120,1))</f>
        <v/>
      </c>
      <c r="B121" s="199">
        <f>IF(H121="UNIDADE CONSTRUTIVA",0,IF(H121="CÉLULA CONSTRUTIVA",OFFSET(B121,-1,0)+1,OFFSET(B121,-1,0)))</f>
        <v/>
      </c>
      <c r="C121" s="199">
        <f>IF(H121="CÉLULA CONSTRUTIVA",0,IF(H121="ETAPA",OFFSET(C121,-1,0)+1,OFFSET(C121,-1,0)))</f>
        <v/>
      </c>
      <c r="D121" s="200">
        <f>IF(H121="ETAPA",0,IF(H121="SUBETAPA",OFFSET(D121,-1,0)+1,OFFSET(D121,-1,0)))</f>
        <v/>
      </c>
      <c r="E121" s="200">
        <f>IF(H121="Subetapa",0,IF(H121="serviço",OFFSET(E121,-1,0)+1,OFFSET(E121,-1,0)))</f>
        <v/>
      </c>
      <c r="G121" s="41" t="n"/>
      <c r="H121" s="42" t="inlineStr">
        <is>
          <t>SERVIÇO</t>
        </is>
      </c>
      <c r="I121" s="43">
        <f>IF(H121="Unidade Construtiva",TEXT(A121,"00"),IF(H121="Célula Construtiva",TEXT(B121,"00"),IF(H121="Etapa",CONCATENATE(TEXT(B121,"00"),".",TEXT(C121,"000")),IF(H121="Subetapa",CONCATENATE(TEXT(B121,"00"),".",TEXT(C121,"000"),".",TEXT(D121,"000")),IF(H121="Serviço",CONCATENATE(TEXT(B121,"00"),".",TEXT(C121,"000"),".",TEXT(D121,"000"),".",TEXT(E121,"000")),"")))))</f>
        <v/>
      </c>
      <c r="J121" s="44" t="inlineStr">
        <is>
          <t>Manutenção Periódica Elevador cremalheira</t>
        </is>
      </c>
      <c r="K121" s="46" t="inlineStr">
        <is>
          <t>mês</t>
        </is>
      </c>
      <c r="L121" s="46" t="n">
        <v>20</v>
      </c>
      <c r="M121" s="46" t="n">
        <v>860</v>
      </c>
      <c r="N121" s="47">
        <f>IF(H121="Serviço",M121*L121,IF(H121="CÉLULA CONSTRUTIVA",SUMIFS($N$8:$N$422,$B$8:$B$422,B121,$H$8:$H$422,"Serviço"),IF(H121="ETAPA",SUMIFS($N$8:$N$422,$B$8:$B$422,B121,$C$8:$C$422,C121,$H$8:$H$422,"Serviço"),IF(H121="SUBETAPA",SUMIFS($N$8:$N$422,$B$8:$B$422,B121,$C$8:$C$422,C121,$D$8:$D$422,D121,$H$8:$H$422,"Serviço"),0))))</f>
        <v/>
      </c>
      <c r="O121" s="41" t="n"/>
      <c r="P121" s="42" t="n"/>
      <c r="Q121" s="43" t="n"/>
      <c r="R121" s="44" t="n"/>
    </row>
    <row r="122" outlineLevel="2" ht="13.95" customFormat="1" customHeight="1" s="31">
      <c r="A122" s="199">
        <f>IF($H122="UNIDADE CONSTRUTIVA",OFFSET(A122,-1,0)+1,LARGE(A$3:A121,1))</f>
        <v/>
      </c>
      <c r="B122" s="199">
        <f>IF(H122="UNIDADE CONSTRUTIVA",0,IF(H122="CÉLULA CONSTRUTIVA",OFFSET(B122,-1,0)+1,OFFSET(B122,-1,0)))</f>
        <v/>
      </c>
      <c r="C122" s="199">
        <f>IF(H122="CÉLULA CONSTRUTIVA",0,IF(H122="ETAPA",OFFSET(C122,-1,0)+1,OFFSET(C122,-1,0)))</f>
        <v/>
      </c>
      <c r="D122" s="200">
        <f>IF(H122="ETAPA",0,IF(H122="SUBETAPA",OFFSET(D122,-1,0)+1,OFFSET(D122,-1,0)))</f>
        <v/>
      </c>
      <c r="E122" s="200">
        <f>IF(H122="Subetapa",0,IF(H122="serviço",OFFSET(E122,-1,0)+1,OFFSET(E122,-1,0)))</f>
        <v/>
      </c>
      <c r="G122" s="41" t="n"/>
      <c r="H122" s="42" t="inlineStr">
        <is>
          <t>SERVIÇO</t>
        </is>
      </c>
      <c r="I122" s="43">
        <f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/>
      </c>
      <c r="J122" s="44" t="inlineStr">
        <is>
          <t>Montagem e Desmontagem Elevador cremalheira</t>
        </is>
      </c>
      <c r="K122" s="46" t="inlineStr">
        <is>
          <t>UN</t>
        </is>
      </c>
      <c r="L122" s="46" t="n">
        <v>1</v>
      </c>
      <c r="M122" s="46" t="n">
        <v>32200</v>
      </c>
      <c r="N122" s="47">
        <f>IF(H122="Serviço",M122*L122,IF(H122="CÉLULA CONSTRUTIVA",SUMIFS($N$8:$N$422,$B$8:$B$422,B122,$H$8:$H$422,"Serviço"),IF(H122="ETAPA",SUMIFS($N$8:$N$422,$B$8:$B$422,B122,$C$8:$C$422,C122,$H$8:$H$422,"Serviço"),IF(H122="SUBETAPA",SUMIFS($N$8:$N$422,$B$8:$B$422,B122,$C$8:$C$422,C122,$D$8:$D$422,D122,$H$8:$H$422,"Serviço"),0))))</f>
        <v/>
      </c>
      <c r="O122" s="41" t="n"/>
      <c r="P122" s="42" t="n"/>
      <c r="Q122" s="43" t="n"/>
      <c r="R122" s="44" t="n"/>
    </row>
    <row r="123" outlineLevel="2" ht="13.95" customFormat="1" customHeight="1" s="31">
      <c r="A123" s="199">
        <f>IF($H123="UNIDADE CONSTRUTIVA",OFFSET(A123,-1,0)+1,LARGE(A$3:A122,1))</f>
        <v/>
      </c>
      <c r="B123" s="199">
        <f>IF(H123="UNIDADE CONSTRUTIVA",0,IF(H123="CÉLULA CONSTRUTIVA",OFFSET(B123,-1,0)+1,OFFSET(B123,-1,0)))</f>
        <v/>
      </c>
      <c r="C123" s="199">
        <f>IF(H123="CÉLULA CONSTRUTIVA",0,IF(H123="ETAPA",OFFSET(C123,-1,0)+1,OFFSET(C123,-1,0)))</f>
        <v/>
      </c>
      <c r="D123" s="200">
        <f>IF(H123="ETAPA",0,IF(H123="SUBETAPA",OFFSET(D123,-1,0)+1,OFFSET(D123,-1,0)))</f>
        <v/>
      </c>
      <c r="E123" s="200">
        <f>IF(H123="Subetapa",0,IF(H123="serviço",OFFSET(E123,-1,0)+1,OFFSET(E123,-1,0)))</f>
        <v/>
      </c>
      <c r="G123" s="41" t="n"/>
      <c r="H123" s="42" t="inlineStr">
        <is>
          <t>SERVIÇO</t>
        </is>
      </c>
      <c r="I123" s="43">
        <f>IF(H123="Unidade Construtiva",TEXT(A123,"00"),IF(H123="Célula Construtiva",TEXT(B123,"00"),IF(H123="Etapa",CONCATENATE(TEXT(B123,"00"),".",TEXT(C123,"000")),IF(H123="Subetapa",CONCATENATE(TEXT(B123,"00"),".",TEXT(C123,"000"),".",TEXT(D123,"000")),IF(H123="Serviço",CONCATENATE(TEXT(B123,"00"),".",TEXT(C123,"000"),".",TEXT(D123,"000"),".",TEXT(E123,"000")),"")))))</f>
        <v/>
      </c>
      <c r="J123" s="44" t="inlineStr">
        <is>
          <t>Mobilização e Desmobilização Elevador cremalheira</t>
        </is>
      </c>
      <c r="K123" s="46" t="inlineStr">
        <is>
          <t>UN</t>
        </is>
      </c>
      <c r="L123" s="46" t="n">
        <v>1</v>
      </c>
      <c r="M123" s="46" t="n">
        <v>9500</v>
      </c>
      <c r="N123" s="47">
        <f>IF(H123="Serviço",M123*L123,IF(H123="CÉLULA CONSTRUTIVA",SUMIFS($N$8:$N$422,$B$8:$B$422,B123,$H$8:$H$422,"Serviço"),IF(H123="ETAPA",SUMIFS($N$8:$N$422,$B$8:$B$422,B123,$C$8:$C$422,C123,$H$8:$H$422,"Serviço"),IF(H123="SUBETAPA",SUMIFS($N$8:$N$422,$B$8:$B$422,B123,$C$8:$C$422,C123,$D$8:$D$422,D123,$H$8:$H$422,"Serviço"),0))))</f>
        <v/>
      </c>
      <c r="O123" s="41" t="n"/>
      <c r="P123" s="42" t="n"/>
      <c r="Q123" s="43" t="n"/>
      <c r="R123" s="44" t="n"/>
    </row>
    <row r="124" outlineLevel="2" ht="13.95" customFormat="1" customHeight="1" s="31">
      <c r="A124" s="199">
        <f>IF($H124="UNIDADE CONSTRUTIVA",OFFSET(A124,-1,0)+1,LARGE(A$3:A123,1))</f>
        <v/>
      </c>
      <c r="B124" s="199">
        <f>IF(H124="UNIDADE CONSTRUTIVA",0,IF(H124="CÉLULA CONSTRUTIVA",OFFSET(B124,-1,0)+1,OFFSET(B124,-1,0)))</f>
        <v/>
      </c>
      <c r="C124" s="199">
        <f>IF(H124="CÉLULA CONSTRUTIVA",0,IF(H124="ETAPA",OFFSET(C124,-1,0)+1,OFFSET(C124,-1,0)))</f>
        <v/>
      </c>
      <c r="D124" s="200">
        <f>IF(H124="ETAPA",0,IF(H124="SUBETAPA",OFFSET(D124,-1,0)+1,OFFSET(D124,-1,0)))</f>
        <v/>
      </c>
      <c r="E124" s="200">
        <f>IF(H124="Subetapa",0,IF(H124="serviço",OFFSET(E124,-1,0)+1,OFFSET(E124,-1,0)))</f>
        <v/>
      </c>
      <c r="G124" s="41" t="n"/>
      <c r="H124" s="42" t="inlineStr">
        <is>
          <t>SERVIÇO</t>
        </is>
      </c>
      <c r="I124" s="43">
        <f>IF(H124="Unidade Construtiva",TEXT(A124,"00"),IF(H124="Célula Construtiva",TEXT(B124,"00"),IF(H124="Etapa",CONCATENATE(TEXT(B124,"00"),".",TEXT(C124,"000")),IF(H124="Subetapa",CONCATENATE(TEXT(B124,"00"),".",TEXT(C124,"000"),".",TEXT(D124,"000")),IF(H124="Serviço",CONCATENATE(TEXT(B124,"00"),".",TEXT(C124,"000"),".",TEXT(D124,"000"),".",TEXT(E124,"000")),"")))))</f>
        <v/>
      </c>
      <c r="J124" s="44" t="inlineStr">
        <is>
          <t>Manutenção Inicial Mini Grua</t>
        </is>
      </c>
      <c r="K124" s="46" t="inlineStr">
        <is>
          <t>UN</t>
        </is>
      </c>
      <c r="L124" s="46" t="n">
        <v>1</v>
      </c>
      <c r="M124" s="46" t="n">
        <v>52000</v>
      </c>
      <c r="N124" s="47">
        <f>IF(H124="Serviço",M124*L124,IF(H124="CÉLULA CONSTRUTIVA",SUMIFS($N$8:$N$422,$B$8:$B$422,B124,$H$8:$H$422,"Serviço"),IF(H124="ETAPA",SUMIFS($N$8:$N$422,$B$8:$B$422,B124,$C$8:$C$422,C124,$H$8:$H$422,"Serviço"),IF(H124="SUBETAPA",SUMIFS($N$8:$N$422,$B$8:$B$422,B124,$C$8:$C$422,C124,$D$8:$D$422,D124,$H$8:$H$422,"Serviço"),0))))</f>
        <v/>
      </c>
      <c r="O124" s="41" t="n"/>
      <c r="P124" s="42" t="n"/>
      <c r="Q124" s="43" t="n"/>
      <c r="R124" s="44" t="n"/>
    </row>
    <row r="125" outlineLevel="2" ht="13.95" customFormat="1" customHeight="1" s="31">
      <c r="A125" s="199">
        <f>IF($H125="UNIDADE CONSTRUTIVA",OFFSET(A125,-1,0)+1,LARGE(A$3:A124,1))</f>
        <v/>
      </c>
      <c r="B125" s="199">
        <f>IF(H125="UNIDADE CONSTRUTIVA",0,IF(H125="CÉLULA CONSTRUTIVA",OFFSET(B125,-1,0)+1,OFFSET(B125,-1,0)))</f>
        <v/>
      </c>
      <c r="C125" s="199">
        <f>IF(H125="CÉLULA CONSTRUTIVA",0,IF(H125="ETAPA",OFFSET(C125,-1,0)+1,OFFSET(C125,-1,0)))</f>
        <v/>
      </c>
      <c r="D125" s="200">
        <f>IF(H125="ETAPA",0,IF(H125="SUBETAPA",OFFSET(D125,-1,0)+1,OFFSET(D125,-1,0)))</f>
        <v/>
      </c>
      <c r="E125" s="200">
        <f>IF(H125="Subetapa",0,IF(H125="serviço",OFFSET(E125,-1,0)+1,OFFSET(E125,-1,0)))</f>
        <v/>
      </c>
      <c r="G125" s="41" t="n"/>
      <c r="H125" s="42" t="inlineStr">
        <is>
          <t>SERVIÇO</t>
        </is>
      </c>
      <c r="I125" s="43">
        <f>IF(H125="Unidade Construtiva",TEXT(A125,"00"),IF(H125="Célula Construtiva",TEXT(B125,"00"),IF(H125="Etapa",CONCATENATE(TEXT(B125,"00"),".",TEXT(C125,"000")),IF(H125="Subetapa",CONCATENATE(TEXT(B125,"00"),".",TEXT(C125,"000"),".",TEXT(D125,"000")),IF(H125="Serviço",CONCATENATE(TEXT(B125,"00"),".",TEXT(C125,"000"),".",TEXT(D125,"000"),".",TEXT(E125,"000")),"")))))</f>
        <v/>
      </c>
      <c r="J125" s="44" t="inlineStr">
        <is>
          <t>Manutenção Periódica Mini Grua</t>
        </is>
      </c>
      <c r="K125" s="46" t="inlineStr">
        <is>
          <t>mês</t>
        </is>
      </c>
      <c r="L125" s="46" t="n">
        <v>17</v>
      </c>
      <c r="M125" s="46" t="n">
        <v>800</v>
      </c>
      <c r="N125" s="47">
        <f>IF(H125="Serviço",M125*L125,IF(H125="CÉLULA CONSTRUTIVA",SUMIFS($N$8:$N$422,$B$8:$B$422,B125,$H$8:$H$422,"Serviço"),IF(H125="ETAPA",SUMIFS($N$8:$N$422,$B$8:$B$422,B125,$C$8:$C$422,C125,$H$8:$H$422,"Serviço"),IF(H125="SUBETAPA",SUMIFS($N$8:$N$422,$B$8:$B$422,B125,$C$8:$C$422,C125,$D$8:$D$422,D125,$H$8:$H$422,"Serviço"),0))))</f>
        <v/>
      </c>
      <c r="O125" s="41" t="n"/>
      <c r="P125" s="42" t="n"/>
      <c r="Q125" s="43" t="n"/>
      <c r="R125" s="44" t="n"/>
    </row>
    <row r="126" outlineLevel="2" ht="13.95" customFormat="1" customHeight="1" s="31">
      <c r="A126" s="199">
        <f>IF($H126="UNIDADE CONSTRUTIVA",OFFSET(A126,-1,0)+1,LARGE(A$3:A125,1))</f>
        <v/>
      </c>
      <c r="B126" s="199">
        <f>IF(H126="UNIDADE CONSTRUTIVA",0,IF(H126="CÉLULA CONSTRUTIVA",OFFSET(B126,-1,0)+1,OFFSET(B126,-1,0)))</f>
        <v/>
      </c>
      <c r="C126" s="199">
        <f>IF(H126="CÉLULA CONSTRUTIVA",0,IF(H126="ETAPA",OFFSET(C126,-1,0)+1,OFFSET(C126,-1,0)))</f>
        <v/>
      </c>
      <c r="D126" s="200">
        <f>IF(H126="ETAPA",0,IF(H126="SUBETAPA",OFFSET(D126,-1,0)+1,OFFSET(D126,-1,0)))</f>
        <v/>
      </c>
      <c r="E126" s="200">
        <f>IF(H126="Subetapa",0,IF(H126="serviço",OFFSET(E126,-1,0)+1,OFFSET(E126,-1,0)))</f>
        <v/>
      </c>
      <c r="G126" s="41" t="n"/>
      <c r="H126" s="42" t="inlineStr">
        <is>
          <t>SERVIÇO</t>
        </is>
      </c>
      <c r="I126" s="43">
        <f>IF(H126="Unidade Construtiva",TEXT(A126,"00"),IF(H126="Célula Construtiva",TEXT(B126,"00"),IF(H126="Etapa",CONCATENATE(TEXT(B126,"00"),".",TEXT(C126,"000")),IF(H126="Subetapa",CONCATENATE(TEXT(B126,"00"),".",TEXT(C126,"000"),".",TEXT(D126,"000")),IF(H126="Serviço",CONCATENATE(TEXT(B126,"00"),".",TEXT(C126,"000"),".",TEXT(D126,"000"),".",TEXT(E126,"000")),"")))))</f>
        <v/>
      </c>
      <c r="J126" s="44" t="inlineStr">
        <is>
          <t>Montagem e Desmontagem Mini Grua</t>
        </is>
      </c>
      <c r="K126" s="46" t="inlineStr">
        <is>
          <t>UN</t>
        </is>
      </c>
      <c r="L126" s="46" t="n">
        <v>1</v>
      </c>
      <c r="M126" s="46" t="n">
        <v>2800</v>
      </c>
      <c r="N126" s="47">
        <f>IF(H126="Serviço",M126*L126,IF(H126="CÉLULA CONSTRUTIVA",SUMIFS($N$8:$N$422,$B$8:$B$422,B126,$H$8:$H$422,"Serviço"),IF(H126="ETAPA",SUMIFS($N$8:$N$422,$B$8:$B$422,B126,$C$8:$C$422,C126,$H$8:$H$422,"Serviço"),IF(H126="SUBETAPA",SUMIFS($N$8:$N$422,$B$8:$B$422,B126,$C$8:$C$422,C126,$D$8:$D$422,D126,$H$8:$H$422,"Serviço"),0))))</f>
        <v/>
      </c>
      <c r="O126" s="41" t="n"/>
      <c r="P126" s="42" t="n"/>
      <c r="Q126" s="43" t="n"/>
      <c r="R126" s="44" t="n"/>
    </row>
    <row r="127" outlineLevel="2" ht="13.95" customFormat="1" customHeight="1" s="31">
      <c r="A127" s="199">
        <f>IF($H127="UNIDADE CONSTRUTIVA",OFFSET(A127,-1,0)+1,LARGE(A$3:A126,1))</f>
        <v/>
      </c>
      <c r="B127" s="199">
        <f>IF(H127="UNIDADE CONSTRUTIVA",0,IF(H127="CÉLULA CONSTRUTIVA",OFFSET(B127,-1,0)+1,OFFSET(B127,-1,0)))</f>
        <v/>
      </c>
      <c r="C127" s="199">
        <f>IF(H127="CÉLULA CONSTRUTIVA",0,IF(H127="ETAPA",OFFSET(C127,-1,0)+1,OFFSET(C127,-1,0)))</f>
        <v/>
      </c>
      <c r="D127" s="200">
        <f>IF(H127="ETAPA",0,IF(H127="SUBETAPA",OFFSET(D127,-1,0)+1,OFFSET(D127,-1,0)))</f>
        <v/>
      </c>
      <c r="E127" s="200">
        <f>IF(H127="Subetapa",0,IF(H127="serviço",OFFSET(E127,-1,0)+1,OFFSET(E127,-1,0)))</f>
        <v/>
      </c>
      <c r="G127" s="41" t="n"/>
      <c r="H127" s="42" t="inlineStr">
        <is>
          <t>SERVIÇO</t>
        </is>
      </c>
      <c r="I127" s="43">
        <f>IF(H127="Unidade Construtiva",TEXT(A127,"00"),IF(H127="Célula Construtiva",TEXT(B127,"00"),IF(H127="Etapa",CONCATENATE(TEXT(B127,"00"),".",TEXT(C127,"000")),IF(H127="Subetapa",CONCATENATE(TEXT(B127,"00"),".",TEXT(C127,"000"),".",TEXT(D127,"000")),IF(H127="Serviço",CONCATENATE(TEXT(B127,"00"),".",TEXT(C127,"000"),".",TEXT(D127,"000"),".",TEXT(E127,"000")),"")))))</f>
        <v/>
      </c>
      <c r="J127" s="44" t="inlineStr">
        <is>
          <t>Mobilização e Desmobilização Mini Grua</t>
        </is>
      </c>
      <c r="K127" s="46" t="inlineStr">
        <is>
          <t>UN</t>
        </is>
      </c>
      <c r="L127" s="46" t="n">
        <v>1</v>
      </c>
      <c r="M127" s="46" t="n">
        <v>32800</v>
      </c>
      <c r="N127" s="47">
        <f>IF(H127="Serviço",M127*L127,IF(H127="CÉLULA CONSTRUTIVA",SUMIFS($N$8:$N$422,$B$8:$B$422,B127,$H$8:$H$422,"Serviço"),IF(H127="ETAPA",SUMIFS($N$8:$N$422,$B$8:$B$422,B127,$C$8:$C$422,C127,$H$8:$H$422,"Serviço"),IF(H127="SUBETAPA",SUMIFS($N$8:$N$422,$B$8:$B$422,B127,$C$8:$C$422,C127,$D$8:$D$422,D127,$H$8:$H$422,"Serviço"),0))))</f>
        <v/>
      </c>
      <c r="O127" s="41" t="n"/>
      <c r="P127" s="42" t="n"/>
      <c r="Q127" s="43" t="n"/>
      <c r="R127" s="44" t="n"/>
    </row>
    <row r="128" outlineLevel="2" ht="13.95" customFormat="1" customHeight="1" s="31">
      <c r="A128" s="199">
        <f>IF($H128="UNIDADE CONSTRUTIVA",OFFSET(A128,-1,0)+1,LARGE(A$3:A127,1))</f>
        <v/>
      </c>
      <c r="B128" s="199">
        <f>IF(H128="UNIDADE CONSTRUTIVA",0,IF(H128="CÉLULA CONSTRUTIVA",OFFSET(B128,-1,0)+1,OFFSET(B128,-1,0)))</f>
        <v/>
      </c>
      <c r="C128" s="199">
        <f>IF(H128="CÉLULA CONSTRUTIVA",0,IF(H128="ETAPA",OFFSET(C128,-1,0)+1,OFFSET(C128,-1,0)))</f>
        <v/>
      </c>
      <c r="D128" s="200">
        <f>IF(H128="ETAPA",0,IF(H128="SUBETAPA",OFFSET(D128,-1,0)+1,OFFSET(D128,-1,0)))</f>
        <v/>
      </c>
      <c r="E128" s="200">
        <f>IF(H128="Subetapa",0,IF(H128="serviço",OFFSET(E128,-1,0)+1,OFFSET(E128,-1,0)))</f>
        <v/>
      </c>
      <c r="G128" s="41" t="n"/>
      <c r="H128" s="42" t="inlineStr">
        <is>
          <t>SERVIÇO</t>
        </is>
      </c>
      <c r="I128" s="43">
        <f>IF(H128="Unidade Construtiva",TEXT(A128,"00"),IF(H128="Célula Construtiva",TEXT(B128,"00"),IF(H128="Etapa",CONCATENATE(TEXT(B128,"00"),".",TEXT(C128,"000")),IF(H128="Subetapa",CONCATENATE(TEXT(B128,"00"),".",TEXT(C128,"000"),".",TEXT(D128,"000")),IF(H128="Serviço",CONCATENATE(TEXT(B128,"00"),".",TEXT(C128,"000"),".",TEXT(D128,"000"),".",TEXT(E128,"000")),"")))))</f>
        <v/>
      </c>
      <c r="J128" s="44" t="inlineStr">
        <is>
          <t>Aquisição Guincho de coluna</t>
        </is>
      </c>
      <c r="K128" s="46" t="inlineStr">
        <is>
          <t>UN</t>
        </is>
      </c>
      <c r="L128" s="46" t="n">
        <v>1</v>
      </c>
      <c r="M128" s="46" t="n">
        <v>1600</v>
      </c>
      <c r="N128" s="47">
        <f>IF(H128="Serviço",M128*L128,IF(H128="CÉLULA CONSTRUTIVA",SUMIFS($N$8:$N$422,$B$8:$B$422,B128,$H$8:$H$422,"Serviço"),IF(H128="ETAPA",SUMIFS($N$8:$N$422,$B$8:$B$422,B128,$C$8:$C$422,C128,$H$8:$H$422,"Serviço"),IF(H128="SUBETAPA",SUMIFS($N$8:$N$422,$B$8:$B$422,B128,$C$8:$C$422,C128,$D$8:$D$422,D128,$H$8:$H$422,"Serviço"),0))))</f>
        <v/>
      </c>
      <c r="O128" s="41" t="n"/>
      <c r="P128" s="42" t="n"/>
      <c r="Q128" s="43" t="n"/>
      <c r="R128" s="44" t="n"/>
    </row>
    <row r="129" outlineLevel="2" ht="13.95" customFormat="1" customHeight="1" s="31">
      <c r="A129" s="199">
        <f>IF($H129="UNIDADE CONSTRUTIVA",OFFSET(A129,-1,0)+1,LARGE(A$3:A128,1))</f>
        <v/>
      </c>
      <c r="B129" s="199">
        <f>IF(H129="UNIDADE CONSTRUTIVA",0,IF(H129="CÉLULA CONSTRUTIVA",OFFSET(B129,-1,0)+1,OFFSET(B129,-1,0)))</f>
        <v/>
      </c>
      <c r="C129" s="199">
        <f>IF(H129="CÉLULA CONSTRUTIVA",0,IF(H129="ETAPA",OFFSET(C129,-1,0)+1,OFFSET(C129,-1,0)))</f>
        <v/>
      </c>
      <c r="D129" s="200">
        <f>IF(H129="ETAPA",0,IF(H129="SUBETAPA",OFFSET(D129,-1,0)+1,OFFSET(D129,-1,0)))</f>
        <v/>
      </c>
      <c r="E129" s="200">
        <f>IF(H129="Subetapa",0,IF(H129="serviço",OFFSET(E129,-1,0)+1,OFFSET(E129,-1,0)))</f>
        <v/>
      </c>
      <c r="G129" s="41" t="n"/>
      <c r="H129" s="42" t="inlineStr">
        <is>
          <t>SERVIÇO</t>
        </is>
      </c>
      <c r="I129" s="43">
        <f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/>
      </c>
      <c r="J129" s="44" t="inlineStr">
        <is>
          <t>Manutenção Periódica Guincho de coluna</t>
        </is>
      </c>
      <c r="K129" s="46" t="inlineStr">
        <is>
          <t>mês</t>
        </is>
      </c>
      <c r="L129" s="46" t="n">
        <v>17</v>
      </c>
      <c r="M129" s="46" t="n">
        <v>350</v>
      </c>
      <c r="N129" s="47">
        <f>IF(H129="Serviço",M129*L129,IF(H129="CÉLULA CONSTRUTIVA",SUMIFS($N$8:$N$422,$B$8:$B$422,B129,$H$8:$H$422,"Serviço"),IF(H129="ETAPA",SUMIFS($N$8:$N$422,$B$8:$B$422,B129,$C$8:$C$422,C129,$H$8:$H$422,"Serviço"),IF(H129="SUBETAPA",SUMIFS($N$8:$N$422,$B$8:$B$422,B129,$C$8:$C$422,C129,$D$8:$D$422,D129,$H$8:$H$422,"Serviço"),0))))</f>
        <v/>
      </c>
      <c r="O129" s="41" t="n"/>
      <c r="P129" s="42" t="n"/>
      <c r="Q129" s="43" t="n"/>
      <c r="R129" s="44" t="n"/>
    </row>
    <row r="130" outlineLevel="2" ht="13.95" customFormat="1" customHeight="1" s="31">
      <c r="A130" s="199">
        <f>IF($H130="UNIDADE CONSTRUTIVA",OFFSET(A130,-1,0)+1,LARGE(A$3:A129,1))</f>
        <v/>
      </c>
      <c r="B130" s="199">
        <f>IF(H130="UNIDADE CONSTRUTIVA",0,IF(H130="CÉLULA CONSTRUTIVA",OFFSET(B130,-1,0)+1,OFFSET(B130,-1,0)))</f>
        <v/>
      </c>
      <c r="C130" s="199">
        <f>IF(H130="CÉLULA CONSTRUTIVA",0,IF(H130="ETAPA",OFFSET(C130,-1,0)+1,OFFSET(C130,-1,0)))</f>
        <v/>
      </c>
      <c r="D130" s="200">
        <f>IF(H130="ETAPA",0,IF(H130="SUBETAPA",OFFSET(D130,-1,0)+1,OFFSET(D130,-1,0)))</f>
        <v/>
      </c>
      <c r="E130" s="200">
        <f>IF(H130="Subetapa",0,IF(H130="serviço",OFFSET(E130,-1,0)+1,OFFSET(E130,-1,0)))</f>
        <v/>
      </c>
      <c r="G130" s="41" t="n"/>
      <c r="H130" s="42" t="inlineStr">
        <is>
          <t>SERVIÇO</t>
        </is>
      </c>
      <c r="I130" s="43">
        <f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/>
      </c>
      <c r="J130" s="44" t="inlineStr">
        <is>
          <t>Montagem e Desmontagem Guincho de coluna</t>
        </is>
      </c>
      <c r="K130" s="46" t="inlineStr">
        <is>
          <t>UN</t>
        </is>
      </c>
      <c r="L130" s="46" t="n">
        <v>1</v>
      </c>
      <c r="M130" s="46" t="n">
        <v>950</v>
      </c>
      <c r="N130" s="47">
        <f>IF(H130="Serviço",M130*L130,IF(H130="CÉLULA CONSTRUTIVA",SUMIFS($N$8:$N$422,$B$8:$B$422,B130,$H$8:$H$422,"Serviço"),IF(H130="ETAPA",SUMIFS($N$8:$N$422,$B$8:$B$422,B130,$C$8:$C$422,C130,$H$8:$H$422,"Serviço"),IF(H130="SUBETAPA",SUMIFS($N$8:$N$422,$B$8:$B$422,B130,$C$8:$C$422,C130,$D$8:$D$422,D130,$H$8:$H$422,"Serviço"),0))))</f>
        <v/>
      </c>
      <c r="O130" s="41" t="n"/>
      <c r="P130" s="42" t="n"/>
      <c r="Q130" s="43" t="n"/>
      <c r="R130" s="44" t="n"/>
    </row>
    <row r="131" outlineLevel="1" ht="13.95" customFormat="1" customHeight="1" s="31">
      <c r="A131" s="199">
        <f>IF($H131="UNIDADE CONSTRUTIVA",OFFSET(A131,-1,0)+1,LARGE(A$3:A130,1))</f>
        <v/>
      </c>
      <c r="B131" s="199">
        <f>IF(H131="UNIDADE CONSTRUTIVA",0,IF(H131="CÉLULA CONSTRUTIVA",OFFSET(B131,-1,0)+1,OFFSET(B131,-1,0)))</f>
        <v/>
      </c>
      <c r="C131" s="199">
        <f>IF(H131="CÉLULA CONSTRUTIVA",0,IF(H131="ETAPA",OFFSET(C131,-1,0)+1,OFFSET(C131,-1,0)))</f>
        <v/>
      </c>
      <c r="D131" s="200">
        <f>IF(H131="ETAPA",0,IF(H131="SUBETAPA",OFFSET(D131,-1,0)+1,OFFSET(D131,-1,0)))</f>
        <v/>
      </c>
      <c r="E131" s="200">
        <f>IF(H131="Subetapa",0,IF(H131="serviço",OFFSET(E131,-1,0)+1,OFFSET(E131,-1,0)))</f>
        <v/>
      </c>
      <c r="G131" s="41" t="n"/>
      <c r="H131" s="42" t="inlineStr">
        <is>
          <t>SUBETAPA</t>
        </is>
      </c>
      <c r="I131" s="43">
        <f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/>
      </c>
      <c r="J131" s="44" t="inlineStr">
        <is>
          <t>Equipamentos de obra</t>
        </is>
      </c>
      <c r="K131" s="46" t="n"/>
      <c r="L131" s="46" t="n"/>
      <c r="M131" s="46" t="n"/>
      <c r="N131" s="47">
        <f>IF(H131="Serviço",M131*L131,IF(H131="CÉLULA CONSTRUTIVA",SUMIFS($N$8:$N$422,$B$8:$B$422,B131,$H$8:$H$422,"Serviço"),IF(H131="ETAPA",SUMIFS($N$8:$N$422,$B$8:$B$422,B131,$C$8:$C$422,C131,$H$8:$H$422,"Serviço"),IF(H131="SUBETAPA",SUMIFS($N$8:$N$422,$B$8:$B$422,B131,$C$8:$C$422,C131,$D$8:$D$422,D131,$H$8:$H$422,"Serviço"),0))))</f>
        <v/>
      </c>
      <c r="O131" s="41" t="n"/>
      <c r="P131" s="42" t="n"/>
      <c r="Q131" s="43" t="n"/>
      <c r="R131" s="201" t="inlineStr">
        <is>
          <t>02.002.004.004 - Equipamentos de escritório</t>
        </is>
      </c>
    </row>
    <row r="132" outlineLevel="2" ht="13.95" customFormat="1" customHeight="1" s="31">
      <c r="A132" s="199">
        <f>IF($H132="UNIDADE CONSTRUTIVA",OFFSET(A132,-1,0)+1,LARGE(A$3:A131,1))</f>
        <v/>
      </c>
      <c r="B132" s="199">
        <f>IF(H132="UNIDADE CONSTRUTIVA",0,IF(H132="CÉLULA CONSTRUTIVA",OFFSET(B132,-1,0)+1,OFFSET(B132,-1,0)))</f>
        <v/>
      </c>
      <c r="C132" s="199">
        <f>IF(H132="CÉLULA CONSTRUTIVA",0,IF(H132="ETAPA",OFFSET(C132,-1,0)+1,OFFSET(C132,-1,0)))</f>
        <v/>
      </c>
      <c r="D132" s="200">
        <f>IF(H132="ETAPA",0,IF(H132="SUBETAPA",OFFSET(D132,-1,0)+1,OFFSET(D132,-1,0)))</f>
        <v/>
      </c>
      <c r="E132" s="200">
        <f>IF(H132="Subetapa",0,IF(H132="serviço",OFFSET(E132,-1,0)+1,OFFSET(E132,-1,0)))</f>
        <v/>
      </c>
      <c r="G132" s="41" t="n"/>
      <c r="H132" s="42" t="inlineStr">
        <is>
          <t>SERVIÇO</t>
        </is>
      </c>
      <c r="I132" s="43">
        <f>IF(H132="Unidade Construtiva",TEXT(A132,"00"),IF(H132="Célula Construtiva",TEXT(B132,"00"),IF(H132="Etapa",CONCATENATE(TEXT(B132,"00"),".",TEXT(C132,"000")),IF(H132="Subetapa",CONCATENATE(TEXT(B132,"00"),".",TEXT(C132,"000"),".",TEXT(D132,"000")),IF(H132="Serviço",CONCATENATE(TEXT(B132,"00"),".",TEXT(C132,"000"),".",TEXT(D132,"000"),".",TEXT(E132,"000")),"")))))</f>
        <v/>
      </c>
      <c r="J132" s="44" t="inlineStr">
        <is>
          <t>Aquisição Carrinho de mão</t>
        </is>
      </c>
      <c r="K132" s="46" t="inlineStr">
        <is>
          <t>UN</t>
        </is>
      </c>
      <c r="L132" s="46" t="n">
        <v>1</v>
      </c>
      <c r="M132" s="46" t="n">
        <v>290</v>
      </c>
      <c r="N132" s="47">
        <f>IF(H132="Serviço",M132*L132,IF(H132="CÉLULA CONSTRUTIVA",SUMIFS($N$8:$N$422,$B$8:$B$422,B132,$H$8:$H$422,"Serviço"),IF(H132="ETAPA",SUMIFS($N$8:$N$422,$B$8:$B$422,B132,$C$8:$C$422,C132,$H$8:$H$422,"Serviço"),IF(H132="SUBETAPA",SUMIFS($N$8:$N$422,$B$8:$B$422,B132,$C$8:$C$422,C132,$D$8:$D$422,D132,$H$8:$H$422,"Serviço"),0))))</f>
        <v/>
      </c>
      <c r="O132" s="41" t="n"/>
      <c r="P132" s="42" t="n"/>
      <c r="Q132" s="43" t="n"/>
      <c r="R132" s="44" t="n"/>
    </row>
    <row r="133" outlineLevel="2" ht="13.95" customFormat="1" customHeight="1" s="31">
      <c r="A133" s="199">
        <f>IF($H133="UNIDADE CONSTRUTIVA",OFFSET(A133,-1,0)+1,LARGE(A$3:A132,1))</f>
        <v/>
      </c>
      <c r="B133" s="199">
        <f>IF(H133="UNIDADE CONSTRUTIVA",0,IF(H133="CÉLULA CONSTRUTIVA",OFFSET(B133,-1,0)+1,OFFSET(B133,-1,0)))</f>
        <v/>
      </c>
      <c r="C133" s="199">
        <f>IF(H133="CÉLULA CONSTRUTIVA",0,IF(H133="ETAPA",OFFSET(C133,-1,0)+1,OFFSET(C133,-1,0)))</f>
        <v/>
      </c>
      <c r="D133" s="200">
        <f>IF(H133="ETAPA",0,IF(H133="SUBETAPA",OFFSET(D133,-1,0)+1,OFFSET(D133,-1,0)))</f>
        <v/>
      </c>
      <c r="E133" s="200">
        <f>IF(H133="Subetapa",0,IF(H133="serviço",OFFSET(E133,-1,0)+1,OFFSET(E133,-1,0)))</f>
        <v/>
      </c>
      <c r="G133" s="41" t="n"/>
      <c r="H133" s="42" t="inlineStr">
        <is>
          <t>SERVIÇO</t>
        </is>
      </c>
      <c r="I133" s="43">
        <f>IF(H133="Unidade Construtiva",TEXT(A133,"00"),IF(H133="Célula Construtiva",TEXT(B133,"00"),IF(H133="Etapa",CONCATENATE(TEXT(B133,"00"),".",TEXT(C133,"000")),IF(H133="Subetapa",CONCATENATE(TEXT(B133,"00"),".",TEXT(C133,"000"),".",TEXT(D133,"000")),IF(H133="Serviço",CONCATENATE(TEXT(B133,"00"),".",TEXT(C133,"000"),".",TEXT(D133,"000"),".",TEXT(E133,"000")),"")))))</f>
        <v/>
      </c>
      <c r="J133" s="44" t="inlineStr">
        <is>
          <t>Aquisição Girica 60L</t>
        </is>
      </c>
      <c r="K133" s="46" t="inlineStr">
        <is>
          <t>UN</t>
        </is>
      </c>
      <c r="L133" s="46" t="n">
        <v>1</v>
      </c>
      <c r="M133" s="46" t="n">
        <v>410</v>
      </c>
      <c r="N133" s="47">
        <f>IF(H133="Serviço",M133*L133,IF(H133="CÉLULA CONSTRUTIVA",SUMIFS($N$8:$N$422,$B$8:$B$422,B133,$H$8:$H$422,"Serviço"),IF(H133="ETAPA",SUMIFS($N$8:$N$422,$B$8:$B$422,B133,$C$8:$C$422,C133,$H$8:$H$422,"Serviço"),IF(H133="SUBETAPA",SUMIFS($N$8:$N$422,$B$8:$B$422,B133,$C$8:$C$422,C133,$D$8:$D$422,D133,$H$8:$H$422,"Serviço"),0))))</f>
        <v/>
      </c>
      <c r="O133" s="41" t="n"/>
      <c r="P133" s="42" t="n"/>
      <c r="Q133" s="43" t="n"/>
      <c r="R133" s="44" t="n"/>
    </row>
    <row r="134" outlineLevel="2" ht="13.95" customFormat="1" customHeight="1" s="31">
      <c r="A134" s="199">
        <f>IF($H134="UNIDADE CONSTRUTIVA",OFFSET(A134,-1,0)+1,LARGE(A$3:A133,1))</f>
        <v/>
      </c>
      <c r="B134" s="199">
        <f>IF(H134="UNIDADE CONSTRUTIVA",0,IF(H134="CÉLULA CONSTRUTIVA",OFFSET(B134,-1,0)+1,OFFSET(B134,-1,0)))</f>
        <v/>
      </c>
      <c r="C134" s="199">
        <f>IF(H134="CÉLULA CONSTRUTIVA",0,IF(H134="ETAPA",OFFSET(C134,-1,0)+1,OFFSET(C134,-1,0)))</f>
        <v/>
      </c>
      <c r="D134" s="200">
        <f>IF(H134="ETAPA",0,IF(H134="SUBETAPA",OFFSET(D134,-1,0)+1,OFFSET(D134,-1,0)))</f>
        <v/>
      </c>
      <c r="E134" s="200">
        <f>IF(H134="Subetapa",0,IF(H134="serviço",OFFSET(E134,-1,0)+1,OFFSET(E134,-1,0)))</f>
        <v/>
      </c>
      <c r="G134" s="41" t="n"/>
      <c r="H134" s="42" t="inlineStr">
        <is>
          <t>SERVIÇO</t>
        </is>
      </c>
      <c r="I134" s="43">
        <f>IF(H134="Unidade Construtiva",TEXT(A134,"00"),IF(H134="Célula Construtiva",TEXT(B134,"00"),IF(H134="Etapa",CONCATENATE(TEXT(B134,"00"),".",TEXT(C134,"000")),IF(H134="Subetapa",CONCATENATE(TEXT(B134,"00"),".",TEXT(C134,"000"),".",TEXT(D134,"000")),IF(H134="Serviço",CONCATENATE(TEXT(B134,"00"),".",TEXT(C134,"000"),".",TEXT(D134,"000"),".",TEXT(E134,"000")),"")))))</f>
        <v/>
      </c>
      <c r="J134" s="44" t="inlineStr">
        <is>
          <t>Aquisição Girica 90L</t>
        </is>
      </c>
      <c r="K134" s="46" t="inlineStr">
        <is>
          <t>UN</t>
        </is>
      </c>
      <c r="L134" s="46" t="n">
        <v>1</v>
      </c>
      <c r="M134" s="46" t="n">
        <v>530</v>
      </c>
      <c r="N134" s="47">
        <f>IF(H134="Serviço",M134*L134,IF(H134="CÉLULA CONSTRUTIVA",SUMIFS($N$8:$N$422,$B$8:$B$422,B134,$H$8:$H$422,"Serviço"),IF(H134="ETAPA",SUMIFS($N$8:$N$422,$B$8:$B$422,B134,$C$8:$C$422,C134,$H$8:$H$422,"Serviço"),IF(H134="SUBETAPA",SUMIFS($N$8:$N$422,$B$8:$B$422,B134,$C$8:$C$422,C134,$D$8:$D$422,D134,$H$8:$H$422,"Serviço"),0))))</f>
        <v/>
      </c>
      <c r="O134" s="41" t="n"/>
      <c r="P134" s="42" t="n"/>
      <c r="Q134" s="43" t="n"/>
      <c r="R134" s="44" t="n"/>
    </row>
    <row r="135" outlineLevel="2" ht="13.95" customFormat="1" customHeight="1" s="31">
      <c r="A135" s="199">
        <f>IF($H135="UNIDADE CONSTRUTIVA",OFFSET(A135,-1,0)+1,LARGE(A$3:A134,1))</f>
        <v/>
      </c>
      <c r="B135" s="199">
        <f>IF(H135="UNIDADE CONSTRUTIVA",0,IF(H135="CÉLULA CONSTRUTIVA",OFFSET(B135,-1,0)+1,OFFSET(B135,-1,0)))</f>
        <v/>
      </c>
      <c r="C135" s="199">
        <f>IF(H135="CÉLULA CONSTRUTIVA",0,IF(H135="ETAPA",OFFSET(C135,-1,0)+1,OFFSET(C135,-1,0)))</f>
        <v/>
      </c>
      <c r="D135" s="200">
        <f>IF(H135="ETAPA",0,IF(H135="SUBETAPA",OFFSET(D135,-1,0)+1,OFFSET(D135,-1,0)))</f>
        <v/>
      </c>
      <c r="E135" s="200">
        <f>IF(H135="Subetapa",0,IF(H135="serviço",OFFSET(E135,-1,0)+1,OFFSET(E135,-1,0)))</f>
        <v/>
      </c>
      <c r="G135" s="41" t="n"/>
      <c r="H135" s="42" t="inlineStr">
        <is>
          <t>SERVIÇO</t>
        </is>
      </c>
      <c r="I135" s="43">
        <f>IF(H135="Unidade Construtiva",TEXT(A135,"00"),IF(H135="Célula Construtiva",TEXT(B135,"00"),IF(H135="Etapa",CONCATENATE(TEXT(B135,"00"),".",TEXT(C135,"000")),IF(H135="Subetapa",CONCATENATE(TEXT(B135,"00"),".",TEXT(C135,"000"),".",TEXT(D135,"000")),IF(H135="Serviço",CONCATENATE(TEXT(B135,"00"),".",TEXT(C135,"000"),".",TEXT(D135,"000"),".",TEXT(E135,"000")),"")))))</f>
        <v/>
      </c>
      <c r="J135" s="44" t="inlineStr">
        <is>
          <t>Aquisição Condutor de entulho vertical</t>
        </is>
      </c>
      <c r="K135" s="46" t="inlineStr">
        <is>
          <t>UN</t>
        </is>
      </c>
      <c r="L135" s="46" t="n">
        <v>1</v>
      </c>
      <c r="M135" s="46" t="n">
        <v>12600</v>
      </c>
      <c r="N135" s="47">
        <f>IF(H135="Serviço",M135*L135,IF(H135="CÉLULA CONSTRUTIVA",SUMIFS($N$8:$N$422,$B$8:$B$422,B135,$H$8:$H$422,"Serviço"),IF(H135="ETAPA",SUMIFS($N$8:$N$422,$B$8:$B$422,B135,$C$8:$C$422,C135,$H$8:$H$422,"Serviço"),IF(H135="SUBETAPA",SUMIFS($N$8:$N$422,$B$8:$B$422,B135,$C$8:$C$422,C135,$D$8:$D$422,D135,$H$8:$H$422,"Serviço"),0))))</f>
        <v/>
      </c>
      <c r="O135" s="41" t="n"/>
      <c r="P135" s="42" t="n"/>
      <c r="Q135" s="43" t="n"/>
      <c r="R135" s="44" t="n"/>
    </row>
    <row r="136" outlineLevel="2" ht="13.95" customFormat="1" customHeight="1" s="31">
      <c r="A136" s="199">
        <f>IF($H136="UNIDADE CONSTRUTIVA",OFFSET(A136,-1,0)+1,LARGE(A$3:A135,1))</f>
        <v/>
      </c>
      <c r="B136" s="199">
        <f>IF(H136="UNIDADE CONSTRUTIVA",0,IF(H136="CÉLULA CONSTRUTIVA",OFFSET(B136,-1,0)+1,OFFSET(B136,-1,0)))</f>
        <v/>
      </c>
      <c r="C136" s="199">
        <f>IF(H136="CÉLULA CONSTRUTIVA",0,IF(H136="ETAPA",OFFSET(C136,-1,0)+1,OFFSET(C136,-1,0)))</f>
        <v/>
      </c>
      <c r="D136" s="200">
        <f>IF(H136="ETAPA",0,IF(H136="SUBETAPA",OFFSET(D136,-1,0)+1,OFFSET(D136,-1,0)))</f>
        <v/>
      </c>
      <c r="E136" s="200">
        <f>IF(H136="Subetapa",0,IF(H136="serviço",OFFSET(E136,-1,0)+1,OFFSET(E136,-1,0)))</f>
        <v/>
      </c>
      <c r="G136" s="41" t="n"/>
      <c r="H136" s="42" t="inlineStr">
        <is>
          <t>SERVIÇO</t>
        </is>
      </c>
      <c r="I136" s="43">
        <f>IF(H136="Unidade Construtiva",TEXT(A136,"00"),IF(H136="Célula Construtiva",TEXT(B136,"00"),IF(H136="Etapa",CONCATENATE(TEXT(B136,"00"),".",TEXT(C136,"000")),IF(H136="Subetapa",CONCATENATE(TEXT(B136,"00"),".",TEXT(C136,"000"),".",TEXT(D136,"000")),IF(H136="Serviço",CONCATENATE(TEXT(B136,"00"),".",TEXT(C136,"000"),".",TEXT(D136,"000"),".",TEXT(E136,"000")),"")))))</f>
        <v/>
      </c>
      <c r="J136" s="44" t="inlineStr">
        <is>
          <t>Locação Betoneira</t>
        </is>
      </c>
      <c r="K136" s="46" t="inlineStr">
        <is>
          <t>mês</t>
        </is>
      </c>
      <c r="L136" s="46" t="n">
        <v>24</v>
      </c>
      <c r="M136" s="46" t="n">
        <v>420</v>
      </c>
      <c r="N136" s="47">
        <f>IF(H136="Serviço",M136*L136,IF(H136="CÉLULA CONSTRUTIVA",SUMIFS($N$8:$N$422,$B$8:$B$422,B136,$H$8:$H$422,"Serviço"),IF(H136="ETAPA",SUMIFS($N$8:$N$422,$B$8:$B$422,B136,$C$8:$C$422,C136,$H$8:$H$422,"Serviço"),IF(H136="SUBETAPA",SUMIFS($N$8:$N$422,$B$8:$B$422,B136,$C$8:$C$422,C136,$D$8:$D$422,D136,$H$8:$H$422,"Serviço"),0))))</f>
        <v/>
      </c>
      <c r="O136" s="41" t="n"/>
      <c r="P136" s="42" t="n"/>
      <c r="Q136" s="43" t="n"/>
      <c r="R136" s="44" t="n"/>
    </row>
    <row r="137" outlineLevel="2" ht="13.95" customFormat="1" customHeight="1" s="31">
      <c r="A137" s="199">
        <f>IF($H137="UNIDADE CONSTRUTIVA",OFFSET(A137,-1,0)+1,LARGE(A$3:A136,1))</f>
        <v/>
      </c>
      <c r="B137" s="199">
        <f>IF(H137="UNIDADE CONSTRUTIVA",0,IF(H137="CÉLULA CONSTRUTIVA",OFFSET(B137,-1,0)+1,OFFSET(B137,-1,0)))</f>
        <v/>
      </c>
      <c r="C137" s="199">
        <f>IF(H137="CÉLULA CONSTRUTIVA",0,IF(H137="ETAPA",OFFSET(C137,-1,0)+1,OFFSET(C137,-1,0)))</f>
        <v/>
      </c>
      <c r="D137" s="200">
        <f>IF(H137="ETAPA",0,IF(H137="SUBETAPA",OFFSET(D137,-1,0)+1,OFFSET(D137,-1,0)))</f>
        <v/>
      </c>
      <c r="E137" s="200">
        <f>IF(H137="Subetapa",0,IF(H137="serviço",OFFSET(E137,-1,0)+1,OFFSET(E137,-1,0)))</f>
        <v/>
      </c>
      <c r="G137" s="41" t="n"/>
      <c r="H137" s="42" t="inlineStr">
        <is>
          <t>SERVIÇO</t>
        </is>
      </c>
      <c r="I137" s="43">
        <f>IF(H137="Unidade Construtiva",TEXT(A137,"00"),IF(H137="Célula Construtiva",TEXT(B137,"00"),IF(H137="Etapa",CONCATENATE(TEXT(B137,"00"),".",TEXT(C137,"000")),IF(H137="Subetapa",CONCATENATE(TEXT(B137,"00"),".",TEXT(C137,"000"),".",TEXT(D137,"000")),IF(H137="Serviço",CONCATENATE(TEXT(B137,"00"),".",TEXT(C137,"000"),".",TEXT(D137,"000"),".",TEXT(E137,"000")),"")))))</f>
        <v/>
      </c>
      <c r="J137" s="44" t="inlineStr">
        <is>
          <t>Locação Rompedor</t>
        </is>
      </c>
      <c r="K137" s="46" t="inlineStr">
        <is>
          <t>mês</t>
        </is>
      </c>
      <c r="L137" s="46" t="n">
        <v>24</v>
      </c>
      <c r="M137" s="46" t="n">
        <v>760.5</v>
      </c>
      <c r="N137" s="47">
        <f>IF(H137="Serviço",M137*L137,IF(H137="CÉLULA CONSTRUTIVA",SUMIFS($N$8:$N$422,$B$8:$B$422,B137,$H$8:$H$422,"Serviço"),IF(H137="ETAPA",SUMIFS($N$8:$N$422,$B$8:$B$422,B137,$C$8:$C$422,C137,$H$8:$H$422,"Serviço"),IF(H137="SUBETAPA",SUMIFS($N$8:$N$422,$B$8:$B$422,B137,$C$8:$C$422,C137,$D$8:$D$422,D137,$H$8:$H$422,"Serviço"),0))))</f>
        <v/>
      </c>
      <c r="O137" s="41" t="n"/>
      <c r="P137" s="42" t="n"/>
      <c r="Q137" s="43" t="n"/>
      <c r="R137" s="44" t="n"/>
    </row>
    <row r="138" outlineLevel="2" ht="10.8" customFormat="1" customHeight="1" s="31">
      <c r="A138" s="199">
        <f>IF($H138="UNIDADE CONSTRUTIVA",OFFSET(A138,-1,0)+1,LARGE(A$3:A137,1))</f>
        <v/>
      </c>
      <c r="B138" s="199">
        <f>IF(H138="UNIDADE CONSTRUTIVA",0,IF(H138="CÉLULA CONSTRUTIVA",OFFSET(B138,-1,0)+1,OFFSET(B138,-1,0)))</f>
        <v/>
      </c>
      <c r="C138" s="199">
        <f>IF(H138="CÉLULA CONSTRUTIVA",0,IF(H138="ETAPA",OFFSET(C138,-1,0)+1,OFFSET(C138,-1,0)))</f>
        <v/>
      </c>
      <c r="D138" s="200">
        <f>IF(H138="ETAPA",0,IF(H138="SUBETAPA",OFFSET(D138,-1,0)+1,OFFSET(D138,-1,0)))</f>
        <v/>
      </c>
      <c r="E138" s="200">
        <f>IF(H138="Subetapa",0,IF(H138="serviço",OFFSET(E138,-1,0)+1,OFFSET(E138,-1,0)))</f>
        <v/>
      </c>
      <c r="G138" s="41" t="n"/>
      <c r="H138" s="42" t="inlineStr">
        <is>
          <t>SERVIÇO</t>
        </is>
      </c>
      <c r="I138" s="43">
        <f>IF(H138="Unidade Construtiva",TEXT(A138,"00"),IF(H138="Célula Construtiva",TEXT(B138,"00"),IF(H138="Etapa",CONCATENATE(TEXT(B138,"00"),".",TEXT(C138,"000")),IF(H138="Subetapa",CONCATENATE(TEXT(B138,"00"),".",TEXT(C138,"000"),".",TEXT(D138,"000")),IF(H138="Serviço",CONCATENATE(TEXT(B138,"00"),".",TEXT(C138,"000"),".",TEXT(D138,"000"),".",TEXT(E138,"000")),"")))))</f>
        <v/>
      </c>
      <c r="J138" s="44" t="inlineStr">
        <is>
          <t>Locação Martelete</t>
        </is>
      </c>
      <c r="K138" s="46" t="inlineStr">
        <is>
          <t>mês</t>
        </is>
      </c>
      <c r="L138" s="46" t="n">
        <v>24</v>
      </c>
      <c r="M138" s="46" t="n">
        <v>600</v>
      </c>
      <c r="N138" s="47">
        <f>IF(H138="Serviço",M138*L138,IF(H138="CÉLULA CONSTRUTIVA",SUMIFS($N$8:$N$422,$B$8:$B$422,B138,$H$8:$H$422,"Serviço"),IF(H138="ETAPA",SUMIFS($N$8:$N$422,$B$8:$B$422,B138,$C$8:$C$422,C138,$H$8:$H$422,"Serviço"),IF(H138="SUBETAPA",SUMIFS($N$8:$N$422,$B$8:$B$422,B138,$C$8:$C$422,C138,$D$8:$D$422,D138,$H$8:$H$422,"Serviço"),0))))</f>
        <v/>
      </c>
      <c r="O138" s="41" t="n"/>
      <c r="P138" s="42" t="n"/>
      <c r="Q138" s="43" t="n"/>
      <c r="R138" s="44" t="n"/>
    </row>
    <row r="139" outlineLevel="2" ht="10.8" customFormat="1" customHeight="1" s="31">
      <c r="A139" s="199">
        <f>IF($H139="UNIDADE CONSTRUTIVA",OFFSET(A139,-1,0)+1,LARGE(A$3:A138,1))</f>
        <v/>
      </c>
      <c r="B139" s="199">
        <f>IF(H139="UNIDADE CONSTRUTIVA",0,IF(H139="CÉLULA CONSTRUTIVA",OFFSET(B139,-1,0)+1,OFFSET(B139,-1,0)))</f>
        <v/>
      </c>
      <c r="C139" s="199">
        <f>IF(H139="CÉLULA CONSTRUTIVA",0,IF(H139="ETAPA",OFFSET(C139,-1,0)+1,OFFSET(C139,-1,0)))</f>
        <v/>
      </c>
      <c r="D139" s="200">
        <f>IF(H139="ETAPA",0,IF(H139="SUBETAPA",OFFSET(D139,-1,0)+1,OFFSET(D139,-1,0)))</f>
        <v/>
      </c>
      <c r="E139" s="200">
        <f>IF(H139="Subetapa",0,IF(H139="serviço",OFFSET(E139,-1,0)+1,OFFSET(E139,-1,0)))</f>
        <v/>
      </c>
      <c r="G139" s="41" t="n"/>
      <c r="H139" s="42" t="inlineStr">
        <is>
          <t>SERVIÇO</t>
        </is>
      </c>
      <c r="I139" s="43">
        <f>IF(H139="Unidade Construtiva",TEXT(A139,"00"),IF(H139="Célula Construtiva",TEXT(B139,"00"),IF(H139="Etapa",CONCATENATE(TEXT(B139,"00"),".",TEXT(C139,"000")),IF(H139="Subetapa",CONCATENATE(TEXT(B139,"00"),".",TEXT(C139,"000"),".",TEXT(D139,"000")),IF(H139="Serviço",CONCATENATE(TEXT(B139,"00"),".",TEXT(C139,"000"),".",TEXT(D139,"000"),".",TEXT(E139,"000")),"")))))</f>
        <v/>
      </c>
      <c r="J139" s="44" t="inlineStr">
        <is>
          <t>Manutenção Veículo de apoio: Carro com caçamba</t>
        </is>
      </c>
      <c r="K139" s="46" t="inlineStr">
        <is>
          <t>mês</t>
        </is>
      </c>
      <c r="L139" s="46" t="n">
        <v>36</v>
      </c>
      <c r="M139" s="46" t="n">
        <v>650</v>
      </c>
      <c r="N139" s="47">
        <f>IF(H139="Serviço",M139*L139,IF(H139="CÉLULA CONSTRUTIVA",SUMIFS($N$8:$N$422,$B$8:$B$422,B139,$H$8:$H$422,"Serviço"),IF(H139="ETAPA",SUMIFS($N$8:$N$422,$B$8:$B$422,B139,$C$8:$C$422,C139,$H$8:$H$422,"Serviço"),IF(H139="SUBETAPA",SUMIFS($N$8:$N$422,$B$8:$B$422,B139,$C$8:$C$422,C139,$D$8:$D$422,D139,$H$8:$H$422,"Serviço"),0))))</f>
        <v/>
      </c>
      <c r="O139" s="41" t="n"/>
      <c r="P139" s="42" t="n"/>
      <c r="Q139" s="43" t="n"/>
      <c r="R139" s="44" t="n"/>
    </row>
    <row r="140" outlineLevel="1" ht="13.95" customFormat="1" customHeight="1" s="31">
      <c r="A140" s="199">
        <f>IF($H140="UNIDADE CONSTRUTIVA",OFFSET(A140,-1,0)+1,LARGE(A$3:A139,1))</f>
        <v/>
      </c>
      <c r="B140" s="199">
        <f>IF(H140="UNIDADE CONSTRUTIVA",0,IF(H140="CÉLULA CONSTRUTIVA",OFFSET(B140,-1,0)+1,OFFSET(B140,-1,0)))</f>
        <v/>
      </c>
      <c r="C140" s="199">
        <f>IF(H140="CÉLULA CONSTRUTIVA",0,IF(H140="ETAPA",OFFSET(C140,-1,0)+1,OFFSET(C140,-1,0)))</f>
        <v/>
      </c>
      <c r="D140" s="200">
        <f>IF(H140="ETAPA",0,IF(H140="SUBETAPA",OFFSET(D140,-1,0)+1,OFFSET(D140,-1,0)))</f>
        <v/>
      </c>
      <c r="E140" s="200">
        <f>IF(H140="Subetapa",0,IF(H140="serviço",OFFSET(E140,-1,0)+1,OFFSET(E140,-1,0)))</f>
        <v/>
      </c>
      <c r="G140" s="41" t="n"/>
      <c r="H140" s="42" t="inlineStr">
        <is>
          <t>SUBETAPA</t>
        </is>
      </c>
      <c r="I140" s="43">
        <f>IF(H140="Unidade Construtiva",TEXT(A140,"00"),IF(H140="Célula Construtiva",TEXT(B140,"00"),IF(H140="Etapa",CONCATENATE(TEXT(B140,"00"),".",TEXT(C140,"000")),IF(H140="Subetapa",CONCATENATE(TEXT(B140,"00"),".",TEXT(C140,"000"),".",TEXT(D140,"000")),IF(H140="Serviço",CONCATENATE(TEXT(B140,"00"),".",TEXT(C140,"000"),".",TEXT(D140,"000"),".",TEXT(E140,"000")),"")))))</f>
        <v/>
      </c>
      <c r="J140" s="44" t="inlineStr">
        <is>
          <t>Balancins e Andaimes</t>
        </is>
      </c>
      <c r="K140" s="46" t="n"/>
      <c r="L140" s="46" t="n"/>
      <c r="M140" s="46" t="n"/>
      <c r="N140" s="47">
        <f>IF(H140="Serviço",M140*L140,IF(H140="CÉLULA CONSTRUTIVA",SUMIFS($N$8:$N$422,$B$8:$B$422,B140,$H$8:$H$422,"Serviço"),IF(H140="ETAPA",SUMIFS($N$8:$N$422,$B$8:$B$422,B140,$C$8:$C$422,C140,$H$8:$H$422,"Serviço"),IF(H140="SUBETAPA",SUMIFS($N$8:$N$422,$B$8:$B$422,B140,$C$8:$C$422,C140,$D$8:$D$422,D140,$H$8:$H$422,"Serviço"),0))))</f>
        <v/>
      </c>
      <c r="O140" s="41" t="n"/>
      <c r="P140" s="42" t="n"/>
      <c r="Q140" s="43" t="n"/>
      <c r="R140" s="201" t="inlineStr">
        <is>
          <t>02.002.002.001 - Armação de blocos e baldrames</t>
        </is>
      </c>
    </row>
    <row r="141" outlineLevel="2" ht="13.95" customFormat="1" customHeight="1" s="31">
      <c r="A141" s="199">
        <f>IF($H141="UNIDADE CONSTRUTIVA",OFFSET(A141,-1,0)+1,LARGE(A$3:A140,1))</f>
        <v/>
      </c>
      <c r="B141" s="199">
        <f>IF(H141="UNIDADE CONSTRUTIVA",0,IF(H141="CÉLULA CONSTRUTIVA",OFFSET(B141,-1,0)+1,OFFSET(B141,-1,0)))</f>
        <v/>
      </c>
      <c r="C141" s="199">
        <f>IF(H141="CÉLULA CONSTRUTIVA",0,IF(H141="ETAPA",OFFSET(C141,-1,0)+1,OFFSET(C141,-1,0)))</f>
        <v/>
      </c>
      <c r="D141" s="200">
        <f>IF(H141="ETAPA",0,IF(H141="SUBETAPA",OFFSET(D141,-1,0)+1,OFFSET(D141,-1,0)))</f>
        <v/>
      </c>
      <c r="E141" s="200">
        <f>IF(H141="Subetapa",0,IF(H141="serviço",OFFSET(E141,-1,0)+1,OFFSET(E141,-1,0)))</f>
        <v/>
      </c>
      <c r="G141" s="41" t="n"/>
      <c r="H141" s="42" t="inlineStr">
        <is>
          <t>SERVIÇO</t>
        </is>
      </c>
      <c r="I141" s="43">
        <f>IF(H141="Unidade Construtiva",TEXT(A141,"00"),IF(H141="Célula Construtiva",TEXT(B141,"00"),IF(H141="Etapa",CONCATENATE(TEXT(B141,"00"),".",TEXT(C141,"000")),IF(H141="Subetapa",CONCATENATE(TEXT(B141,"00"),".",TEXT(C141,"000"),".",TEXT(D141,"000")),IF(H141="Serviço",CONCATENATE(TEXT(B141,"00"),".",TEXT(C141,"000"),".",TEXT(D141,"000"),".",TEXT(E141,"000")),"")))))</f>
        <v/>
      </c>
      <c r="J141" s="44" t="inlineStr">
        <is>
          <t>Locação de Andaime modular fachadeiro</t>
        </is>
      </c>
      <c r="K141" s="46" t="inlineStr">
        <is>
          <t>mês</t>
        </is>
      </c>
      <c r="L141" s="46" t="n">
        <v>6</v>
      </c>
      <c r="M141" s="46">
        <f>3772</f>
        <v/>
      </c>
      <c r="N141" s="47">
        <f>IF(H141="Serviço",M141*L141,IF(H141="CÉLULA CONSTRUTIVA",SUMIFS($N$8:$N$422,$B$8:$B$422,B141,$H$8:$H$422,"Serviço"),IF(H141="ETAPA",SUMIFS($N$8:$N$422,$B$8:$B$422,B141,$C$8:$C$422,C141,$H$8:$H$422,"Serviço"),IF(H141="SUBETAPA",SUMIFS($N$8:$N$422,$B$8:$B$422,B141,$C$8:$C$422,C141,$D$8:$D$422,D141,$H$8:$H$422,"Serviço"),0))))</f>
        <v/>
      </c>
      <c r="O141" s="41" t="n"/>
      <c r="P141" s="42" t="n"/>
      <c r="Q141" s="43" t="n"/>
      <c r="R141" s="44" t="n"/>
    </row>
    <row r="142" outlineLevel="2" ht="13.95" customFormat="1" customHeight="1" s="31">
      <c r="A142" s="199">
        <f>IF($H142="UNIDADE CONSTRUTIVA",OFFSET(A142,-1,0)+1,LARGE(A$3:A141,1))</f>
        <v/>
      </c>
      <c r="B142" s="199">
        <f>IF(H142="UNIDADE CONSTRUTIVA",0,IF(H142="CÉLULA CONSTRUTIVA",OFFSET(B142,-1,0)+1,OFFSET(B142,-1,0)))</f>
        <v/>
      </c>
      <c r="C142" s="199">
        <f>IF(H142="CÉLULA CONSTRUTIVA",0,IF(H142="ETAPA",OFFSET(C142,-1,0)+1,OFFSET(C142,-1,0)))</f>
        <v/>
      </c>
      <c r="D142" s="200">
        <f>IF(H142="ETAPA",0,IF(H142="SUBETAPA",OFFSET(D142,-1,0)+1,OFFSET(D142,-1,0)))</f>
        <v/>
      </c>
      <c r="E142" s="200">
        <f>IF(H142="Subetapa",0,IF(H142="serviço",OFFSET(E142,-1,0)+1,OFFSET(E142,-1,0)))</f>
        <v/>
      </c>
      <c r="G142" s="41" t="n"/>
      <c r="H142" s="42" t="inlineStr">
        <is>
          <t>SERVIÇO</t>
        </is>
      </c>
      <c r="I142" s="43">
        <f>IF(H142="Unidade Construtiva",TEXT(A142,"00"),IF(H142="Célula Construtiva",TEXT(B142,"00"),IF(H142="Etapa",CONCATENATE(TEXT(B142,"00"),".",TEXT(C142,"000")),IF(H142="Subetapa",CONCATENATE(TEXT(B142,"00"),".",TEXT(C142,"000"),".",TEXT(D142,"000")),IF(H142="Serviço",CONCATENATE(TEXT(B142,"00"),".",TEXT(C142,"000"),".",TEXT(D142,"000"),".",TEXT(E142,"000")),"")))))</f>
        <v/>
      </c>
      <c r="J142" s="44" t="inlineStr">
        <is>
          <t>Montagem e desmontagem de andaime modular fachadeiro</t>
        </is>
      </c>
      <c r="K142" s="46" t="inlineStr">
        <is>
          <t>M2</t>
        </is>
      </c>
      <c r="L142" s="46">
        <f>(28+13.32)*12*2</f>
        <v/>
      </c>
      <c r="M142" s="46" t="n">
        <v>50</v>
      </c>
      <c r="N142" s="47">
        <f>IF(H142="Serviço",M142*L142,IF(H142="CÉLULA CONSTRUTIVA",SUMIFS($N$8:$N$422,$B$8:$B$422,B142,$H$8:$H$422,"Serviço"),IF(H142="ETAPA",SUMIFS($N$8:$N$422,$B$8:$B$422,B142,$C$8:$C$422,C142,$H$8:$H$422,"Serviço"),IF(H142="SUBETAPA",SUMIFS($N$8:$N$422,$B$8:$B$422,B142,$C$8:$C$422,C142,$D$8:$D$422,D142,$H$8:$H$422,"Serviço"),0))))</f>
        <v/>
      </c>
      <c r="O142" s="41" t="n"/>
      <c r="P142" s="42" t="n"/>
      <c r="Q142" s="43" t="n"/>
      <c r="R142" s="44" t="n"/>
    </row>
    <row r="143" outlineLevel="2" ht="13.95" customFormat="1" customHeight="1" s="31">
      <c r="A143" s="199">
        <f>IF($H143="UNIDADE CONSTRUTIVA",OFFSET(A143,-1,0)+1,LARGE(A$3:A142,1))</f>
        <v/>
      </c>
      <c r="B143" s="199">
        <f>IF(H143="UNIDADE CONSTRUTIVA",0,IF(H143="CÉLULA CONSTRUTIVA",OFFSET(B143,-1,0)+1,OFFSET(B143,-1,0)))</f>
        <v/>
      </c>
      <c r="C143" s="199">
        <f>IF(H143="CÉLULA CONSTRUTIVA",0,IF(H143="ETAPA",OFFSET(C143,-1,0)+1,OFFSET(C143,-1,0)))</f>
        <v/>
      </c>
      <c r="D143" s="200">
        <f>IF(H143="ETAPA",0,IF(H143="SUBETAPA",OFFSET(D143,-1,0)+1,OFFSET(D143,-1,0)))</f>
        <v/>
      </c>
      <c r="E143" s="200">
        <f>IF(H143="Subetapa",0,IF(H143="serviço",OFFSET(E143,-1,0)+1,OFFSET(E143,-1,0)))</f>
        <v/>
      </c>
      <c r="G143" s="41" t="n"/>
      <c r="H143" s="42" t="inlineStr">
        <is>
          <t>SERVIÇO</t>
        </is>
      </c>
      <c r="I143" s="43">
        <f>IF(H143="Unidade Construtiva",TEXT(A143,"00"),IF(H143="Célula Construtiva",TEXT(B143,"00"),IF(H143="Etapa",CONCATENATE(TEXT(B143,"00"),".",TEXT(C143,"000")),IF(H143="Subetapa",CONCATENATE(TEXT(B143,"00"),".",TEXT(C143,"000"),".",TEXT(D143,"000")),IF(H143="Serviço",CONCATENATE(TEXT(B143,"00"),".",TEXT(C143,"000"),".",TEXT(D143,"000"),".",TEXT(E143,"000")),"")))))</f>
        <v/>
      </c>
      <c r="J143" s="44" t="inlineStr">
        <is>
          <t>Locação Andaime suspenso motorizado</t>
        </is>
      </c>
      <c r="K143" s="46" t="inlineStr">
        <is>
          <t>mês</t>
        </is>
      </c>
      <c r="L143" s="46" t="n">
        <v>9</v>
      </c>
      <c r="M143" s="46">
        <f>1850*2</f>
        <v/>
      </c>
      <c r="N143" s="47">
        <f>IF(H143="Serviço",M143*L143,IF(H143="CÉLULA CONSTRUTIVA",SUMIFS($N$8:$N$422,$B$8:$B$422,B143,$H$8:$H$422,"Serviço"),IF(H143="ETAPA",SUMIFS($N$8:$N$422,$B$8:$B$422,B143,$C$8:$C$422,C143,$H$8:$H$422,"Serviço"),IF(H143="SUBETAPA",SUMIFS($N$8:$N$422,$B$8:$B$422,B143,$C$8:$C$422,C143,$D$8:$D$422,D143,$H$8:$H$422,"Serviço"),0))))</f>
        <v/>
      </c>
      <c r="O143" s="41" t="n"/>
      <c r="P143" s="42" t="n"/>
      <c r="Q143" s="43" t="n"/>
      <c r="R143" s="44" t="n"/>
    </row>
    <row r="144" outlineLevel="2" ht="13.95" customFormat="1" customHeight="1" s="31">
      <c r="A144" s="199">
        <f>IF($H144="UNIDADE CONSTRUTIVA",OFFSET(A144,-1,0)+1,LARGE(A$3:A143,1))</f>
        <v/>
      </c>
      <c r="B144" s="199">
        <f>IF(H144="UNIDADE CONSTRUTIVA",0,IF(H144="CÉLULA CONSTRUTIVA",OFFSET(B144,-1,0)+1,OFFSET(B144,-1,0)))</f>
        <v/>
      </c>
      <c r="C144" s="199">
        <f>IF(H144="CÉLULA CONSTRUTIVA",0,IF(H144="ETAPA",OFFSET(C144,-1,0)+1,OFFSET(C144,-1,0)))</f>
        <v/>
      </c>
      <c r="D144" s="200">
        <f>IF(H144="ETAPA",0,IF(H144="SUBETAPA",OFFSET(D144,-1,0)+1,OFFSET(D144,-1,0)))</f>
        <v/>
      </c>
      <c r="E144" s="200">
        <f>IF(H144="Subetapa",0,IF(H144="serviço",OFFSET(E144,-1,0)+1,OFFSET(E144,-1,0)))</f>
        <v/>
      </c>
      <c r="G144" s="41" t="n"/>
      <c r="H144" s="42" t="inlineStr">
        <is>
          <t>SERVIÇO</t>
        </is>
      </c>
      <c r="I144" s="43">
        <f>IF(H144="Unidade Construtiva",TEXT(A144,"00"),IF(H144="Célula Construtiva",TEXT(B144,"00"),IF(H144="Etapa",CONCATENATE(TEXT(B144,"00"),".",TEXT(C144,"000")),IF(H144="Subetapa",CONCATENATE(TEXT(B144,"00"),".",TEXT(C144,"000"),".",TEXT(D144,"000")),IF(H144="Serviço",CONCATENATE(TEXT(B144,"00"),".",TEXT(C144,"000"),".",TEXT(D144,"000"),".",TEXT(E144,"000")),"")))))</f>
        <v/>
      </c>
      <c r="J144" s="44" t="inlineStr">
        <is>
          <t>Montagem e Desmontagem Andaime suspenso motorizado</t>
        </is>
      </c>
      <c r="K144" s="46" t="inlineStr">
        <is>
          <t>UN</t>
        </is>
      </c>
      <c r="L144" s="46" t="n">
        <v>25</v>
      </c>
      <c r="M144" s="46" t="n">
        <v>450</v>
      </c>
      <c r="N144" s="47">
        <f>IF(H144="Serviço",M144*L144,IF(H144="CÉLULA CONSTRUTIVA",SUMIFS($N$8:$N$422,$B$8:$B$422,B144,$H$8:$H$422,"Serviço"),IF(H144="ETAPA",SUMIFS($N$8:$N$422,$B$8:$B$422,B144,$C$8:$C$422,C144,$H$8:$H$422,"Serviço"),IF(H144="SUBETAPA",SUMIFS($N$8:$N$422,$B$8:$B$422,B144,$C$8:$C$422,C144,$D$8:$D$422,D144,$H$8:$H$422,"Serviço"),0))))</f>
        <v/>
      </c>
      <c r="O144" s="41" t="n"/>
      <c r="P144" s="42" t="n"/>
      <c r="Q144" s="43" t="n"/>
      <c r="R144" s="44" t="n"/>
    </row>
    <row r="145" ht="10.8" customFormat="1" customHeight="1" s="59">
      <c r="A145" s="199">
        <f>IF($H145="UNIDADE CONSTRUTIVA",OFFSET(A145,-1,0)+1,LARGE(A$3:A144,1))</f>
        <v/>
      </c>
      <c r="B145" s="199">
        <f>IF(H145="UNIDADE CONSTRUTIVA",0,IF(H145="CÉLULA CONSTRUTIVA",OFFSET(B145,-1,0)+1,OFFSET(B145,-1,0)))</f>
        <v/>
      </c>
      <c r="C145" s="199">
        <f>IF(H145="CÉLULA CONSTRUTIVA",0,IF(H145="ETAPA",OFFSET(C145,-1,0)+1,OFFSET(C145,-1,0)))</f>
        <v/>
      </c>
      <c r="D145" s="200">
        <f>IF(H145="ETAPA",0,IF(H145="SUBETAPA",OFFSET(D145,-1,0)+1,OFFSET(D145,-1,0)))</f>
        <v/>
      </c>
      <c r="E145" s="200">
        <f>IF(H145="Subetapa",0,IF(H145="serviço",OFFSET(E145,-1,0)+1,OFFSET(E145,-1,0)))</f>
        <v/>
      </c>
      <c r="F145" s="53" t="n"/>
      <c r="G145" s="54" t="n"/>
      <c r="H145" s="54" t="n"/>
      <c r="I145" s="54" t="n"/>
      <c r="J145" s="55" t="inlineStr">
        <is>
          <t>TOTAL</t>
        </is>
      </c>
      <c r="K145" s="56" t="n"/>
      <c r="L145" s="57" t="n"/>
      <c r="M145" s="57" t="n"/>
      <c r="N145" s="202">
        <f>SUM(N7:N144)/4</f>
        <v/>
      </c>
      <c r="O145" s="54" t="n"/>
      <c r="P145" s="54" t="n"/>
      <c r="Q145" s="54" t="n"/>
      <c r="R145" s="55" t="n"/>
    </row>
    <row r="146" ht="14.1" customFormat="1" customHeight="1" s="60">
      <c r="A146" s="199">
        <f>IF($H146="UNIDADE CONSTRUTIVA",OFFSET(A146,-1,0)+1,LARGE(A$3:A145,1))</f>
        <v/>
      </c>
      <c r="B146" s="199">
        <f>IF(H146="UNIDADE CONSTRUTIVA",0,IF(H146="CÉLULA CONSTRUTIVA",OFFSET(B146,-1,0)+1,OFFSET(B146,-1,0)))</f>
        <v/>
      </c>
      <c r="C146" s="199">
        <f>IF(H146="CÉLULA CONSTRUTIVA",0,IF(H146="ETAPA",OFFSET(C146,-1,0)+1,OFFSET(C146,-1,0)))</f>
        <v/>
      </c>
      <c r="D146" s="200">
        <f>IF(H146="ETAPA",0,IF(H146="SUBETAPA",OFFSET(D146,-1,0)+1,OFFSET(D146,-1,0)))</f>
        <v/>
      </c>
      <c r="E146" s="200">
        <f>IF(H146="Subetapa",0,IF(H146="serviço",OFFSET(E146,-1,0)+1,OFFSET(E146,-1,0)))</f>
        <v/>
      </c>
      <c r="F146" s="31" t="n"/>
      <c r="J146" s="61" t="n"/>
      <c r="K146" s="62" t="n"/>
      <c r="L146" s="63" t="n"/>
      <c r="M146" s="203">
        <f>SUMIFS($N$7:$N$437,$H$7:$H$437,N146)</f>
        <v/>
      </c>
      <c r="N146" s="65" t="inlineStr">
        <is>
          <t>CÉLULA CONSTRUTIVA</t>
        </is>
      </c>
      <c r="O146" s="65" t="n"/>
      <c r="P146" s="65" t="n"/>
      <c r="Q146" s="65" t="n"/>
      <c r="R146" s="65" t="n"/>
    </row>
    <row r="147" ht="14.1" customFormat="1" customHeight="1" s="60">
      <c r="A147" s="199">
        <f>IF($H147="UNIDADE CONSTRUTIVA",OFFSET(A147,-1,0)+1,LARGE(A$3:A146,1))</f>
        <v/>
      </c>
      <c r="B147" s="199">
        <f>IF(H147="UNIDADE CONSTRUTIVA",0,IF(H147="CÉLULA CONSTRUTIVA",OFFSET(B147,-1,0)+1,OFFSET(B147,-1,0)))</f>
        <v/>
      </c>
      <c r="C147" s="199">
        <f>IF(H147="CÉLULA CONSTRUTIVA",0,IF(H147="ETAPA",OFFSET(C147,-1,0)+1,OFFSET(C147,-1,0)))</f>
        <v/>
      </c>
      <c r="D147" s="200">
        <f>IF(H147="ETAPA",0,IF(H147="SUBETAPA",OFFSET(D147,-1,0)+1,OFFSET(D147,-1,0)))</f>
        <v/>
      </c>
      <c r="E147" s="200">
        <f>IF(H147="Subetapa",0,IF(H147="serviço",OFFSET(E147,-1,0)+1,OFFSET(E147,-1,0)))</f>
        <v/>
      </c>
      <c r="F147" s="31" t="n"/>
      <c r="J147" s="61" t="n"/>
      <c r="K147" s="62" t="n"/>
      <c r="L147" s="63" t="n"/>
      <c r="M147" s="203">
        <f>SUMIFS($N$7:$N$437,$H$7:$H$437,N147)</f>
        <v/>
      </c>
      <c r="N147" s="65" t="inlineStr">
        <is>
          <t>ETAPA</t>
        </is>
      </c>
      <c r="O147" s="65" t="n"/>
      <c r="P147" s="65" t="n"/>
      <c r="Q147" s="65" t="n"/>
      <c r="R147" s="65" t="n"/>
    </row>
    <row r="148" ht="14.1" customFormat="1" customHeight="1" s="60">
      <c r="A148" s="199">
        <f>IF($H148="UNIDADE CONSTRUTIVA",OFFSET(A148,-1,0)+1,LARGE(A$3:A147,1))</f>
        <v/>
      </c>
      <c r="B148" s="199">
        <f>IF(H148="UNIDADE CONSTRUTIVA",0,IF(H148="CÉLULA CONSTRUTIVA",OFFSET(B148,-1,0)+1,OFFSET(B148,-1,0)))</f>
        <v/>
      </c>
      <c r="C148" s="199">
        <f>IF(H148="CÉLULA CONSTRUTIVA",0,IF(H148="ETAPA",OFFSET(C148,-1,0)+1,OFFSET(C148,-1,0)))</f>
        <v/>
      </c>
      <c r="D148" s="200">
        <f>IF(H148="ETAPA",0,IF(H148="SUBETAPA",OFFSET(D148,-1,0)+1,OFFSET(D148,-1,0)))</f>
        <v/>
      </c>
      <c r="E148" s="200">
        <f>IF(H148="Subetapa",0,IF(H148="serviço",OFFSET(E148,-1,0)+1,OFFSET(E148,-1,0)))</f>
        <v/>
      </c>
      <c r="F148" s="31" t="n"/>
      <c r="J148" s="61" t="n"/>
      <c r="K148" s="62" t="n"/>
      <c r="L148" s="63" t="n"/>
      <c r="M148" s="203">
        <f>SUMIFS($N$7:$N$437,$H$7:$H$437,N148)</f>
        <v/>
      </c>
      <c r="N148" s="65" t="inlineStr">
        <is>
          <t>SUBETAPA</t>
        </is>
      </c>
      <c r="O148" s="65" t="n"/>
      <c r="P148" s="65" t="n"/>
      <c r="Q148" s="65" t="n"/>
      <c r="R148" s="65" t="n"/>
    </row>
    <row r="149" ht="14.1" customFormat="1" customHeight="1" s="60">
      <c r="A149" s="199">
        <f>IF($H149="UNIDADE CONSTRUTIVA",OFFSET(A149,-1,0)+1,LARGE(A$3:A148,1))</f>
        <v/>
      </c>
      <c r="B149" s="199">
        <f>IF(H149="UNIDADE CONSTRUTIVA",0,IF(H149="CÉLULA CONSTRUTIVA",OFFSET(B149,-1,0)+1,OFFSET(B149,-1,0)))</f>
        <v/>
      </c>
      <c r="C149" s="199">
        <f>IF(H149="CÉLULA CONSTRUTIVA",0,IF(H149="ETAPA",OFFSET(C149,-1,0)+1,OFFSET(C149,-1,0)))</f>
        <v/>
      </c>
      <c r="D149" s="200">
        <f>IF(H149="ETAPA",0,IF(H149="SUBETAPA",OFFSET(D149,-1,0)+1,OFFSET(D149,-1,0)))</f>
        <v/>
      </c>
      <c r="E149" s="200">
        <f>IF(H149="Subetapa",0,IF(H149="serviço",OFFSET(E149,-1,0)+1,OFFSET(E149,-1,0)))</f>
        <v/>
      </c>
      <c r="F149" s="31" t="n"/>
      <c r="J149" s="204" t="n"/>
      <c r="K149" s="62" t="n"/>
      <c r="L149" s="63" t="n"/>
      <c r="M149" s="203">
        <f>SUMIFS($N$7:$N$437,$H$7:$H$437,N149)</f>
        <v/>
      </c>
      <c r="N149" s="65" t="inlineStr">
        <is>
          <t>SERVIÇO</t>
        </is>
      </c>
      <c r="O149" s="65" t="n"/>
      <c r="P149" s="65" t="n"/>
      <c r="Q149" s="65" t="n"/>
      <c r="R149" s="65" t="n"/>
    </row>
    <row r="150" ht="14.1" customFormat="1" customHeight="1" s="60">
      <c r="A150" s="199">
        <f>IF($H150="UNIDADE CONSTRUTIVA",OFFSET(A150,-1,0)+1,LARGE(A$3:A149,1))</f>
        <v/>
      </c>
      <c r="B150" s="199">
        <f>IF(H150="UNIDADE CONSTRUTIVA",0,IF(H150="CÉLULA CONSTRUTIVA",OFFSET(B150,-1,0)+1,OFFSET(B150,-1,0)))</f>
        <v/>
      </c>
      <c r="C150" s="199">
        <f>IF(H150="CÉLULA CONSTRUTIVA",0,IF(H150="ETAPA",OFFSET(C150,-1,0)+1,OFFSET(C150,-1,0)))</f>
        <v/>
      </c>
      <c r="D150" s="200">
        <f>IF(H150="ETAPA",0,IF(H150="SUBETAPA",OFFSET(D150,-1,0)+1,OFFSET(D150,-1,0)))</f>
        <v/>
      </c>
      <c r="E150" s="200">
        <f>IF(H150="Subetapa",0,IF(H150="serviço",OFFSET(E150,-1,0)+1,OFFSET(E150,-1,0)))</f>
        <v/>
      </c>
      <c r="F150" s="31" t="n"/>
      <c r="J150" s="204" t="n"/>
      <c r="K150" s="204" t="n"/>
      <c r="M150" s="203" t="n"/>
      <c r="N150" s="65" t="n"/>
      <c r="O150" s="65" t="n"/>
      <c r="P150" s="65" t="n"/>
      <c r="Q150" s="65" t="n"/>
      <c r="R150" s="65" t="n"/>
    </row>
    <row r="151" ht="14.1" customFormat="1" customHeight="1" s="60">
      <c r="A151" s="199">
        <f>IF($H151="UNIDADE CONSTRUTIVA",OFFSET(A151,-1,0)+1,LARGE(A$3:A150,1))</f>
        <v/>
      </c>
      <c r="B151" s="199">
        <f>IF(H151="UNIDADE CONSTRUTIVA",0,IF(H151="CÉLULA CONSTRUTIVA",OFFSET(B151,-1,0)+1,OFFSET(B151,-1,0)))</f>
        <v/>
      </c>
      <c r="C151" s="199">
        <f>IF(H151="CÉLULA CONSTRUTIVA",0,IF(H151="ETAPA",OFFSET(C151,-1,0)+1,OFFSET(C151,-1,0)))</f>
        <v/>
      </c>
      <c r="D151" s="200">
        <f>IF(H151="ETAPA",0,IF(H151="SUBETAPA",OFFSET(D151,-1,0)+1,OFFSET(D151,-1,0)))</f>
        <v/>
      </c>
      <c r="E151" s="200">
        <f>IF(H151="Subetapa",0,IF(H151="serviço",OFFSET(E151,-1,0)+1,OFFSET(E151,-1,0)))</f>
        <v/>
      </c>
      <c r="F151" s="31" t="n"/>
      <c r="J151" s="61" t="n"/>
      <c r="K151" s="62" t="n"/>
      <c r="L151" s="63" t="n"/>
      <c r="M151" s="205" t="n"/>
      <c r="N151" s="65" t="n"/>
      <c r="O151" s="65" t="n"/>
      <c r="P151" s="65" t="n"/>
      <c r="Q151" s="65" t="n"/>
      <c r="R151" s="65" t="n"/>
    </row>
    <row r="152" ht="14.1" customFormat="1" customHeight="1" s="60">
      <c r="A152" s="199">
        <f>IF($H152="UNIDADE CONSTRUTIVA",OFFSET(A152,-1,0)+1,LARGE(A$3:A151,1))</f>
        <v/>
      </c>
      <c r="B152" s="199">
        <f>IF(H152="UNIDADE CONSTRUTIVA",0,IF(H152="CÉLULA CONSTRUTIVA",OFFSET(B152,-1,0)+1,OFFSET(B152,-1,0)))</f>
        <v/>
      </c>
      <c r="C152" s="199">
        <f>IF(H152="CÉLULA CONSTRUTIVA",0,IF(H152="ETAPA",OFFSET(C152,-1,0)+1,OFFSET(C152,-1,0)))</f>
        <v/>
      </c>
      <c r="D152" s="200">
        <f>IF(H152="ETAPA",0,IF(H152="SUBETAPA",OFFSET(D152,-1,0)+1,OFFSET(D152,-1,0)))</f>
        <v/>
      </c>
      <c r="E152" s="200">
        <f>IF(H152="Subetapa",0,IF(H152="serviço",OFFSET(E152,-1,0)+1,OFFSET(E152,-1,0)))</f>
        <v/>
      </c>
      <c r="F152" s="31" t="n"/>
      <c r="J152" s="61" t="n"/>
      <c r="K152" s="62" t="n"/>
      <c r="L152" s="63" t="n"/>
      <c r="M152" s="63" t="n"/>
      <c r="N152" s="68" t="n"/>
      <c r="O152" s="68" t="n"/>
      <c r="P152" s="68" t="n"/>
      <c r="Q152" s="68" t="n"/>
      <c r="R152" s="68" t="n"/>
    </row>
    <row r="153" ht="14.1" customFormat="1" customHeight="1" s="60">
      <c r="A153" s="199">
        <f>IF($H153="UNIDADE CONSTRUTIVA",OFFSET(A153,-1,0)+1,LARGE(A$3:A152,1))</f>
        <v/>
      </c>
      <c r="B153" s="199">
        <f>IF(H153="UNIDADE CONSTRUTIVA",0,IF(H153="CÉLULA CONSTRUTIVA",OFFSET(B153,-1,0)+1,OFFSET(B153,-1,0)))</f>
        <v/>
      </c>
      <c r="C153" s="199">
        <f>IF(H153="CÉLULA CONSTRUTIVA",0,IF(H153="ETAPA",OFFSET(C153,-1,0)+1,OFFSET(C153,-1,0)))</f>
        <v/>
      </c>
      <c r="D153" s="200">
        <f>IF(H153="ETAPA",0,IF(H153="SUBETAPA",OFFSET(D153,-1,0)+1,OFFSET(D153,-1,0)))</f>
        <v/>
      </c>
      <c r="E153" s="200">
        <f>IF(H153="Subetapa",0,IF(H153="serviço",OFFSET(E153,-1,0)+1,OFFSET(E153,-1,0)))</f>
        <v/>
      </c>
      <c r="F153" s="31" t="n"/>
      <c r="J153" s="61" t="n"/>
      <c r="K153" s="62" t="n"/>
      <c r="L153" s="63" t="n"/>
      <c r="M153" s="63" t="n"/>
      <c r="N153" s="68" t="n"/>
      <c r="O153" s="68" t="n"/>
      <c r="P153" s="68" t="n"/>
      <c r="Q153" s="68" t="n"/>
      <c r="R153" s="68" t="n"/>
    </row>
    <row r="154" ht="14.1" customFormat="1" customHeight="1" s="60">
      <c r="A154" s="199">
        <f>IF($H154="UNIDADE CONSTRUTIVA",OFFSET(A154,-1,0)+1,LARGE(A$3:A153,1))</f>
        <v/>
      </c>
      <c r="B154" s="199">
        <f>IF(H154="UNIDADE CONSTRUTIVA",0,IF(H154="CÉLULA CONSTRUTIVA",OFFSET(B154,-1,0)+1,OFFSET(B154,-1,0)))</f>
        <v/>
      </c>
      <c r="C154" s="199">
        <f>IF(H154="CÉLULA CONSTRUTIVA",0,IF(H154="ETAPA",OFFSET(C154,-1,0)+1,OFFSET(C154,-1,0)))</f>
        <v/>
      </c>
      <c r="D154" s="200">
        <f>IF(H154="ETAPA",0,IF(H154="SUBETAPA",OFFSET(D154,-1,0)+1,OFFSET(D154,-1,0)))</f>
        <v/>
      </c>
      <c r="E154" s="200">
        <f>IF(H154="Subetapa",0,IF(H154="serviço",OFFSET(E154,-1,0)+1,OFFSET(E154,-1,0)))</f>
        <v/>
      </c>
      <c r="F154" s="31" t="n"/>
      <c r="J154" s="61" t="n"/>
      <c r="K154" s="62" t="n"/>
      <c r="L154" s="63" t="n"/>
      <c r="M154" s="63" t="n"/>
      <c r="N154" s="68" t="n"/>
      <c r="O154" s="68" t="n"/>
      <c r="P154" s="68" t="n"/>
      <c r="Q154" s="68" t="n"/>
      <c r="R154" s="68" t="n"/>
    </row>
    <row r="155" ht="14.1" customFormat="1" customHeight="1" s="60">
      <c r="A155" s="199">
        <f>IF($H155="UNIDADE CONSTRUTIVA",OFFSET(A155,-1,0)+1,LARGE(A$3:A154,1))</f>
        <v/>
      </c>
      <c r="B155" s="199">
        <f>IF(H155="UNIDADE CONSTRUTIVA",0,IF(H155="CÉLULA CONSTRUTIVA",OFFSET(B155,-1,0)+1,OFFSET(B155,-1,0)))</f>
        <v/>
      </c>
      <c r="C155" s="199">
        <f>IF(H155="CÉLULA CONSTRUTIVA",0,IF(H155="ETAPA",OFFSET(C155,-1,0)+1,OFFSET(C155,-1,0)))</f>
        <v/>
      </c>
      <c r="D155" s="200">
        <f>IF(H155="ETAPA",0,IF(H155="SUBETAPA",OFFSET(D155,-1,0)+1,OFFSET(D155,-1,0)))</f>
        <v/>
      </c>
      <c r="E155" s="200">
        <f>IF(H155="Subetapa",0,IF(H155="serviço",OFFSET(E155,-1,0)+1,OFFSET(E155,-1,0)))</f>
        <v/>
      </c>
      <c r="F155" s="31" t="n"/>
      <c r="J155" s="61" t="n"/>
      <c r="K155" s="62" t="n"/>
      <c r="L155" s="63" t="n"/>
      <c r="M155" s="63" t="n"/>
      <c r="N155" s="68" t="n"/>
      <c r="O155" s="68" t="n"/>
      <c r="P155" s="68" t="n"/>
      <c r="Q155" s="68" t="n"/>
      <c r="R155" s="68" t="n"/>
    </row>
    <row r="156" ht="14.1" customFormat="1" customHeight="1" s="60">
      <c r="A156" s="199">
        <f>IF($H156="UNIDADE CONSTRUTIVA",OFFSET(A156,-1,0)+1,LARGE(A$3:A155,1))</f>
        <v/>
      </c>
      <c r="B156" s="199">
        <f>IF(H156="UNIDADE CONSTRUTIVA",0,IF(H156="CÉLULA CONSTRUTIVA",OFFSET(B156,-1,0)+1,OFFSET(B156,-1,0)))</f>
        <v/>
      </c>
      <c r="C156" s="199">
        <f>IF(H156="CÉLULA CONSTRUTIVA",0,IF(H156="ETAPA",OFFSET(C156,-1,0)+1,OFFSET(C156,-1,0)))</f>
        <v/>
      </c>
      <c r="D156" s="200">
        <f>IF(H156="ETAPA",0,IF(H156="SUBETAPA",OFFSET(D156,-1,0)+1,OFFSET(D156,-1,0)))</f>
        <v/>
      </c>
      <c r="E156" s="200">
        <f>IF(H156="Subetapa",0,IF(H156="serviço",OFFSET(E156,-1,0)+1,OFFSET(E156,-1,0)))</f>
        <v/>
      </c>
      <c r="F156" s="31" t="n"/>
      <c r="J156" s="61" t="n"/>
      <c r="K156" s="62" t="n"/>
      <c r="L156" s="63" t="n"/>
      <c r="M156" s="63" t="n"/>
      <c r="N156" s="68" t="n"/>
      <c r="O156" s="68" t="n"/>
      <c r="P156" s="68" t="n"/>
      <c r="Q156" s="68" t="n"/>
      <c r="R156" s="68" t="n"/>
    </row>
    <row r="157" ht="14.1" customFormat="1" customHeight="1" s="60">
      <c r="A157" s="199">
        <f>IF($H157="UNIDADE CONSTRUTIVA",OFFSET(A157,-1,0)+1,LARGE(A$3:A156,1))</f>
        <v/>
      </c>
      <c r="B157" s="199">
        <f>IF(H157="UNIDADE CONSTRUTIVA",0,IF(H157="CÉLULA CONSTRUTIVA",OFFSET(B157,-1,0)+1,OFFSET(B157,-1,0)))</f>
        <v/>
      </c>
      <c r="C157" s="199">
        <f>IF(H157="CÉLULA CONSTRUTIVA",0,IF(H157="ETAPA",OFFSET(C157,-1,0)+1,OFFSET(C157,-1,0)))</f>
        <v/>
      </c>
      <c r="D157" s="200">
        <f>IF(H157="ETAPA",0,IF(H157="SUBETAPA",OFFSET(D157,-1,0)+1,OFFSET(D157,-1,0)))</f>
        <v/>
      </c>
      <c r="E157" s="200">
        <f>IF(H157="Subetapa",0,IF(H157="serviço",OFFSET(E157,-1,0)+1,OFFSET(E157,-1,0)))</f>
        <v/>
      </c>
      <c r="F157" s="31" t="n"/>
      <c r="J157" s="61" t="n"/>
      <c r="K157" s="62" t="n"/>
      <c r="L157" s="63" t="n"/>
      <c r="M157" s="63" t="n"/>
      <c r="N157" s="68" t="n"/>
      <c r="O157" s="68" t="n"/>
      <c r="P157" s="68" t="n"/>
      <c r="Q157" s="68" t="n"/>
      <c r="R157" s="68" t="n"/>
    </row>
    <row r="158" ht="14.1" customFormat="1" customHeight="1" s="60">
      <c r="A158" s="199">
        <f>IF($H158="UNIDADE CONSTRUTIVA",OFFSET(A158,-1,0)+1,LARGE(A$3:A157,1))</f>
        <v/>
      </c>
      <c r="B158" s="199">
        <f>IF(H158="UNIDADE CONSTRUTIVA",0,IF(H158="CÉLULA CONSTRUTIVA",OFFSET(B158,-1,0)+1,OFFSET(B158,-1,0)))</f>
        <v/>
      </c>
      <c r="C158" s="199">
        <f>IF(H158="CÉLULA CONSTRUTIVA",0,IF(H158="ETAPA",OFFSET(C158,-1,0)+1,OFFSET(C158,-1,0)))</f>
        <v/>
      </c>
      <c r="D158" s="200">
        <f>IF(H158="ETAPA",0,IF(H158="SUBETAPA",OFFSET(D158,-1,0)+1,OFFSET(D158,-1,0)))</f>
        <v/>
      </c>
      <c r="E158" s="200">
        <f>IF(H158="Subetapa",0,IF(H158="serviço",OFFSET(E158,-1,0)+1,OFFSET(E158,-1,0)))</f>
        <v/>
      </c>
      <c r="F158" s="31" t="n"/>
      <c r="J158" s="61" t="n"/>
      <c r="K158" s="62" t="n"/>
      <c r="L158" s="63" t="n"/>
      <c r="M158" s="63" t="n"/>
      <c r="N158" s="68" t="n"/>
      <c r="O158" s="68" t="n"/>
      <c r="P158" s="68" t="n"/>
      <c r="Q158" s="68" t="n"/>
      <c r="R158" s="68" t="n"/>
    </row>
    <row r="159" ht="14.1" customFormat="1" customHeight="1" s="60">
      <c r="A159" s="199">
        <f>IF($H159="UNIDADE CONSTRUTIVA",OFFSET(A159,-1,0)+1,LARGE(A$3:A158,1))</f>
        <v/>
      </c>
      <c r="B159" s="199">
        <f>IF(H159="UNIDADE CONSTRUTIVA",0,IF(H159="CÉLULA CONSTRUTIVA",OFFSET(B159,-1,0)+1,OFFSET(B159,-1,0)))</f>
        <v/>
      </c>
      <c r="C159" s="199">
        <f>IF(H159="CÉLULA CONSTRUTIVA",0,IF(H159="ETAPA",OFFSET(C159,-1,0)+1,OFFSET(C159,-1,0)))</f>
        <v/>
      </c>
      <c r="D159" s="200">
        <f>IF(H159="ETAPA",0,IF(H159="SUBETAPA",OFFSET(D159,-1,0)+1,OFFSET(D159,-1,0)))</f>
        <v/>
      </c>
      <c r="E159" s="200">
        <f>IF(H159="Subetapa",0,IF(H159="serviço",OFFSET(E159,-1,0)+1,OFFSET(E159,-1,0)))</f>
        <v/>
      </c>
      <c r="F159" s="31" t="n"/>
      <c r="J159" s="61" t="n"/>
      <c r="K159" s="62" t="n"/>
      <c r="L159" s="63" t="n"/>
      <c r="M159" s="63" t="n"/>
      <c r="N159" s="68" t="n"/>
      <c r="O159" s="68" t="n"/>
      <c r="P159" s="68" t="n"/>
      <c r="Q159" s="68" t="n"/>
      <c r="R159" s="68" t="n"/>
    </row>
    <row r="160" ht="14.1" customFormat="1" customHeight="1" s="60">
      <c r="A160" s="199">
        <f>IF($H160="UNIDADE CONSTRUTIVA",OFFSET(A160,-1,0)+1,LARGE(A$3:A159,1))</f>
        <v/>
      </c>
      <c r="B160" s="199">
        <f>IF(H160="UNIDADE CONSTRUTIVA",0,IF(H160="CÉLULA CONSTRUTIVA",OFFSET(B160,-1,0)+1,OFFSET(B160,-1,0)))</f>
        <v/>
      </c>
      <c r="C160" s="199">
        <f>IF(H160="CÉLULA CONSTRUTIVA",0,IF(H160="ETAPA",OFFSET(C160,-1,0)+1,OFFSET(C160,-1,0)))</f>
        <v/>
      </c>
      <c r="D160" s="200">
        <f>IF(H160="ETAPA",0,IF(H160="SUBETAPA",OFFSET(D160,-1,0)+1,OFFSET(D160,-1,0)))</f>
        <v/>
      </c>
      <c r="E160" s="200">
        <f>IF(H160="Subetapa",0,IF(H160="serviço",OFFSET(E160,-1,0)+1,OFFSET(E160,-1,0)))</f>
        <v/>
      </c>
      <c r="F160" s="31" t="n"/>
      <c r="J160" s="61" t="n"/>
      <c r="K160" s="62" t="n"/>
      <c r="L160" s="63" t="n"/>
      <c r="M160" s="63" t="n"/>
      <c r="N160" s="68" t="n"/>
      <c r="O160" s="68" t="n"/>
      <c r="P160" s="68" t="n"/>
      <c r="Q160" s="68" t="n"/>
      <c r="R160" s="68" t="n"/>
    </row>
    <row r="161" ht="14.1" customFormat="1" customHeight="1" s="60">
      <c r="A161" s="199">
        <f>IF($H161="UNIDADE CONSTRUTIVA",OFFSET(A161,-1,0)+1,LARGE(A$3:A160,1))</f>
        <v/>
      </c>
      <c r="B161" s="199">
        <f>IF(H161="UNIDADE CONSTRUTIVA",0,IF(H161="CÉLULA CONSTRUTIVA",OFFSET(B161,-1,0)+1,OFFSET(B161,-1,0)))</f>
        <v/>
      </c>
      <c r="C161" s="199">
        <f>IF(H161="CÉLULA CONSTRUTIVA",0,IF(H161="ETAPA",OFFSET(C161,-1,0)+1,OFFSET(C161,-1,0)))</f>
        <v/>
      </c>
      <c r="D161" s="200">
        <f>IF(H161="ETAPA",0,IF(H161="SUBETAPA",OFFSET(D161,-1,0)+1,OFFSET(D161,-1,0)))</f>
        <v/>
      </c>
      <c r="E161" s="200">
        <f>IF(H161="Subetapa",0,IF(H161="serviço",OFFSET(E161,-1,0)+1,OFFSET(E161,-1,0)))</f>
        <v/>
      </c>
      <c r="F161" s="31" t="n"/>
      <c r="J161" s="61" t="n"/>
      <c r="K161" s="62" t="n"/>
      <c r="L161" s="63" t="n"/>
      <c r="M161" s="63" t="n"/>
      <c r="N161" s="68" t="n"/>
      <c r="O161" s="68" t="n"/>
      <c r="P161" s="68" t="n"/>
      <c r="Q161" s="68" t="n"/>
      <c r="R161" s="68" t="n"/>
    </row>
    <row r="162" ht="14.1" customFormat="1" customHeight="1" s="60">
      <c r="A162" s="199">
        <f>IF($H162="UNIDADE CONSTRUTIVA",OFFSET(A162,-1,0)+1,LARGE(A$3:A161,1))</f>
        <v/>
      </c>
      <c r="B162" s="199">
        <f>IF(H162="UNIDADE CONSTRUTIVA",0,IF(H162="CÉLULA CONSTRUTIVA",OFFSET(B162,-1,0)+1,OFFSET(B162,-1,0)))</f>
        <v/>
      </c>
      <c r="C162" s="199">
        <f>IF(H162="CÉLULA CONSTRUTIVA",0,IF(H162="ETAPA",OFFSET(C162,-1,0)+1,OFFSET(C162,-1,0)))</f>
        <v/>
      </c>
      <c r="D162" s="200">
        <f>IF(H162="ETAPA",0,IF(H162="SUBETAPA",OFFSET(D162,-1,0)+1,OFFSET(D162,-1,0)))</f>
        <v/>
      </c>
      <c r="E162" s="200">
        <f>IF(H162="Subetapa",0,IF(H162="serviço",OFFSET(E162,-1,0)+1,OFFSET(E162,-1,0)))</f>
        <v/>
      </c>
      <c r="F162" s="31" t="n"/>
      <c r="J162" s="61" t="n"/>
      <c r="K162" s="62" t="n"/>
      <c r="L162" s="63" t="n"/>
      <c r="M162" s="63" t="n"/>
      <c r="N162" s="68" t="n"/>
      <c r="O162" s="68" t="n"/>
      <c r="P162" s="68" t="n"/>
      <c r="Q162" s="68" t="n"/>
      <c r="R162" s="68" t="n"/>
    </row>
    <row r="163" ht="14.1" customFormat="1" customHeight="1" s="60">
      <c r="A163" s="199">
        <f>IF($H163="UNIDADE CONSTRUTIVA",OFFSET(A163,-1,0)+1,LARGE(A$3:A162,1))</f>
        <v/>
      </c>
      <c r="B163" s="199">
        <f>IF(H163="UNIDADE CONSTRUTIVA",0,IF(H163="CÉLULA CONSTRUTIVA",OFFSET(B163,-1,0)+1,OFFSET(B163,-1,0)))</f>
        <v/>
      </c>
      <c r="C163" s="199">
        <f>IF(H163="CÉLULA CONSTRUTIVA",0,IF(H163="ETAPA",OFFSET(C163,-1,0)+1,OFFSET(C163,-1,0)))</f>
        <v/>
      </c>
      <c r="D163" s="200">
        <f>IF(H163="ETAPA",0,IF(H163="SUBETAPA",OFFSET(D163,-1,0)+1,OFFSET(D163,-1,0)))</f>
        <v/>
      </c>
      <c r="E163" s="200">
        <f>IF(H163="Subetapa",0,IF(H163="serviço",OFFSET(E163,-1,0)+1,OFFSET(E163,-1,0)))</f>
        <v/>
      </c>
      <c r="F163" s="31" t="n"/>
      <c r="J163" s="61" t="n"/>
      <c r="K163" s="62" t="n"/>
      <c r="L163" s="63" t="n"/>
      <c r="M163" s="63" t="n"/>
      <c r="N163" s="68" t="n"/>
      <c r="O163" s="68" t="n"/>
      <c r="P163" s="68" t="n"/>
      <c r="Q163" s="68" t="n"/>
      <c r="R163" s="68" t="n"/>
    </row>
    <row r="164" ht="14.1" customFormat="1" customHeight="1" s="60">
      <c r="A164" s="199">
        <f>IF($H164="UNIDADE CONSTRUTIVA",OFFSET(A164,-1,0)+1,LARGE(A$3:A163,1))</f>
        <v/>
      </c>
      <c r="B164" s="199">
        <f>IF(H164="UNIDADE CONSTRUTIVA",0,IF(H164="CÉLULA CONSTRUTIVA",OFFSET(B164,-1,0)+1,OFFSET(B164,-1,0)))</f>
        <v/>
      </c>
      <c r="C164" s="199">
        <f>IF(H164="CÉLULA CONSTRUTIVA",0,IF(H164="ETAPA",OFFSET(C164,-1,0)+1,OFFSET(C164,-1,0)))</f>
        <v/>
      </c>
      <c r="D164" s="200">
        <f>IF(H164="ETAPA",0,IF(H164="SUBETAPA",OFFSET(D164,-1,0)+1,OFFSET(D164,-1,0)))</f>
        <v/>
      </c>
      <c r="E164" s="200">
        <f>IF(H164="Subetapa",0,IF(H164="serviço",OFFSET(E164,-1,0)+1,OFFSET(E164,-1,0)))</f>
        <v/>
      </c>
      <c r="F164" s="31" t="n"/>
      <c r="J164" s="61" t="n"/>
      <c r="K164" s="62" t="n"/>
      <c r="L164" s="63" t="n"/>
      <c r="M164" s="63" t="n"/>
      <c r="N164" s="68" t="n"/>
      <c r="O164" s="68" t="n"/>
      <c r="P164" s="68" t="n"/>
      <c r="Q164" s="68" t="n"/>
      <c r="R164" s="68" t="n"/>
    </row>
    <row r="165" ht="14.1" customFormat="1" customHeight="1" s="60">
      <c r="A165" s="199">
        <f>IF($H165="UNIDADE CONSTRUTIVA",OFFSET(A165,-1,0)+1,LARGE(A$3:A164,1))</f>
        <v/>
      </c>
      <c r="B165" s="199">
        <f>IF(H165="UNIDADE CONSTRUTIVA",0,IF(H165="CÉLULA CONSTRUTIVA",OFFSET(B165,-1,0)+1,OFFSET(B165,-1,0)))</f>
        <v/>
      </c>
      <c r="C165" s="199">
        <f>IF(H165="CÉLULA CONSTRUTIVA",0,IF(H165="ETAPA",OFFSET(C165,-1,0)+1,OFFSET(C165,-1,0)))</f>
        <v/>
      </c>
      <c r="D165" s="200">
        <f>IF(H165="ETAPA",0,IF(H165="SUBETAPA",OFFSET(D165,-1,0)+1,OFFSET(D165,-1,0)))</f>
        <v/>
      </c>
      <c r="E165" s="200">
        <f>IF(H165="Subetapa",0,IF(H165="serviço",OFFSET(E165,-1,0)+1,OFFSET(E165,-1,0)))</f>
        <v/>
      </c>
      <c r="F165" s="31" t="n"/>
      <c r="J165" s="61" t="n"/>
      <c r="K165" s="62" t="n"/>
      <c r="L165" s="63" t="n"/>
      <c r="M165" s="63" t="n"/>
      <c r="N165" s="68" t="n"/>
      <c r="O165" s="68" t="n"/>
      <c r="P165" s="68" t="n"/>
      <c r="Q165" s="68" t="n"/>
      <c r="R165" s="68" t="n"/>
    </row>
    <row r="166" ht="14.1" customFormat="1" customHeight="1" s="60">
      <c r="A166" s="199">
        <f>IF($H166="UNIDADE CONSTRUTIVA",OFFSET(A166,-1,0)+1,LARGE(A$3:A165,1))</f>
        <v/>
      </c>
      <c r="B166" s="199">
        <f>IF(H166="UNIDADE CONSTRUTIVA",0,IF(H166="CÉLULA CONSTRUTIVA",OFFSET(B166,-1,0)+1,OFFSET(B166,-1,0)))</f>
        <v/>
      </c>
      <c r="C166" s="199">
        <f>IF(H166="CÉLULA CONSTRUTIVA",0,IF(H166="ETAPA",OFFSET(C166,-1,0)+1,OFFSET(C166,-1,0)))</f>
        <v/>
      </c>
      <c r="D166" s="200">
        <f>IF(H166="ETAPA",0,IF(H166="SUBETAPA",OFFSET(D166,-1,0)+1,OFFSET(D166,-1,0)))</f>
        <v/>
      </c>
      <c r="E166" s="200">
        <f>IF(H166="Subetapa",0,IF(H166="serviço",OFFSET(E166,-1,0)+1,OFFSET(E166,-1,0)))</f>
        <v/>
      </c>
      <c r="F166" s="31" t="n"/>
      <c r="J166" s="61" t="n"/>
      <c r="K166" s="62" t="n"/>
      <c r="L166" s="63" t="n"/>
      <c r="M166" s="63" t="n"/>
      <c r="N166" s="68" t="n"/>
      <c r="O166" s="68" t="n"/>
      <c r="P166" s="68" t="n"/>
      <c r="Q166" s="68" t="n"/>
      <c r="R166" s="68" t="n"/>
    </row>
    <row r="167" ht="14.1" customFormat="1" customHeight="1" s="60">
      <c r="A167" s="199">
        <f>IF($H167="UNIDADE CONSTRUTIVA",OFFSET(A167,-1,0)+1,LARGE(A$3:A166,1))</f>
        <v/>
      </c>
      <c r="B167" s="199">
        <f>IF(H167="UNIDADE CONSTRUTIVA",0,IF(H167="CÉLULA CONSTRUTIVA",OFFSET(B167,-1,0)+1,OFFSET(B167,-1,0)))</f>
        <v/>
      </c>
      <c r="C167" s="199">
        <f>IF(H167="CÉLULA CONSTRUTIVA",0,IF(H167="ETAPA",OFFSET(C167,-1,0)+1,OFFSET(C167,-1,0)))</f>
        <v/>
      </c>
      <c r="D167" s="200">
        <f>IF(H167="ETAPA",0,IF(H167="SUBETAPA",OFFSET(D167,-1,0)+1,OFFSET(D167,-1,0)))</f>
        <v/>
      </c>
      <c r="E167" s="200">
        <f>IF(H167="Subetapa",0,IF(H167="serviço",OFFSET(E167,-1,0)+1,OFFSET(E167,-1,0)))</f>
        <v/>
      </c>
      <c r="F167" s="31" t="n"/>
      <c r="J167" s="61" t="n"/>
      <c r="K167" s="62" t="n"/>
      <c r="L167" s="63" t="n"/>
      <c r="M167" s="63" t="n"/>
      <c r="N167" s="68" t="n"/>
      <c r="O167" s="68" t="n"/>
      <c r="P167" s="68" t="n"/>
      <c r="Q167" s="68" t="n"/>
      <c r="R167" s="68" t="n"/>
    </row>
    <row r="168" ht="14.1" customFormat="1" customHeight="1" s="60">
      <c r="A168" s="199">
        <f>IF($H168="UNIDADE CONSTRUTIVA",OFFSET(A168,-1,0)+1,LARGE(A$3:A167,1))</f>
        <v/>
      </c>
      <c r="B168" s="199">
        <f>IF(H168="UNIDADE CONSTRUTIVA",0,IF(H168="CÉLULA CONSTRUTIVA",OFFSET(B168,-1,0)+1,OFFSET(B168,-1,0)))</f>
        <v/>
      </c>
      <c r="C168" s="199">
        <f>IF(H168="CÉLULA CONSTRUTIVA",0,IF(H168="ETAPA",OFFSET(C168,-1,0)+1,OFFSET(C168,-1,0)))</f>
        <v/>
      </c>
      <c r="D168" s="200">
        <f>IF(H168="ETAPA",0,IF(H168="SUBETAPA",OFFSET(D168,-1,0)+1,OFFSET(D168,-1,0)))</f>
        <v/>
      </c>
      <c r="E168" s="200">
        <f>IF(H168="Subetapa",0,IF(H168="serviço",OFFSET(E168,-1,0)+1,OFFSET(E168,-1,0)))</f>
        <v/>
      </c>
      <c r="F168" s="31" t="n"/>
      <c r="J168" s="61" t="n"/>
      <c r="K168" s="62" t="n"/>
      <c r="L168" s="63" t="n"/>
      <c r="M168" s="63" t="n"/>
      <c r="N168" s="68" t="n"/>
      <c r="O168" s="68" t="n"/>
      <c r="P168" s="68" t="n"/>
      <c r="Q168" s="68" t="n"/>
      <c r="R168" s="68" t="n"/>
    </row>
    <row r="169" ht="14.1" customFormat="1" customHeight="1" s="60">
      <c r="A169" s="199">
        <f>IF($H169="UNIDADE CONSTRUTIVA",OFFSET(A169,-1,0)+1,LARGE(A$3:A168,1))</f>
        <v/>
      </c>
      <c r="B169" s="199">
        <f>IF(H169="UNIDADE CONSTRUTIVA",0,IF(H169="CÉLULA CONSTRUTIVA",OFFSET(B169,-1,0)+1,OFFSET(B169,-1,0)))</f>
        <v/>
      </c>
      <c r="C169" s="199">
        <f>IF(H169="CÉLULA CONSTRUTIVA",0,IF(H169="ETAPA",OFFSET(C169,-1,0)+1,OFFSET(C169,-1,0)))</f>
        <v/>
      </c>
      <c r="D169" s="200">
        <f>IF(H169="ETAPA",0,IF(H169="SUBETAPA",OFFSET(D169,-1,0)+1,OFFSET(D169,-1,0)))</f>
        <v/>
      </c>
      <c r="E169" s="200">
        <f>IF(H169="Subetapa",0,IF(H169="serviço",OFFSET(E169,-1,0)+1,OFFSET(E169,-1,0)))</f>
        <v/>
      </c>
      <c r="F169" s="31" t="n"/>
      <c r="J169" s="61" t="n"/>
      <c r="K169" s="62" t="n"/>
      <c r="L169" s="63" t="n"/>
      <c r="M169" s="63" t="n"/>
      <c r="N169" s="68" t="n"/>
      <c r="O169" s="68" t="n"/>
      <c r="P169" s="68" t="n"/>
      <c r="Q169" s="68" t="n"/>
      <c r="R169" s="68" t="n"/>
    </row>
    <row r="170" ht="14.1" customFormat="1" customHeight="1" s="60">
      <c r="A170" s="199">
        <f>IF($H170="UNIDADE CONSTRUTIVA",OFFSET(A170,-1,0)+1,LARGE(A$3:A169,1))</f>
        <v/>
      </c>
      <c r="B170" s="199">
        <f>IF(H170="UNIDADE CONSTRUTIVA",0,IF(H170="CÉLULA CONSTRUTIVA",OFFSET(B170,-1,0)+1,OFFSET(B170,-1,0)))</f>
        <v/>
      </c>
      <c r="C170" s="199">
        <f>IF(H170="CÉLULA CONSTRUTIVA",0,IF(H170="ETAPA",OFFSET(C170,-1,0)+1,OFFSET(C170,-1,0)))</f>
        <v/>
      </c>
      <c r="D170" s="200">
        <f>IF(H170="ETAPA",0,IF(H170="SUBETAPA",OFFSET(D170,-1,0)+1,OFFSET(D170,-1,0)))</f>
        <v/>
      </c>
      <c r="E170" s="200">
        <f>IF(H170="Subetapa",0,IF(H170="serviço",OFFSET(E170,-1,0)+1,OFFSET(E170,-1,0)))</f>
        <v/>
      </c>
      <c r="F170" s="31" t="n"/>
      <c r="J170" s="61" t="n"/>
      <c r="K170" s="62" t="n"/>
      <c r="L170" s="63" t="n"/>
      <c r="M170" s="63" t="n"/>
      <c r="N170" s="68" t="n"/>
      <c r="O170" s="68" t="n"/>
      <c r="P170" s="68" t="n"/>
      <c r="Q170" s="68" t="n"/>
      <c r="R170" s="68" t="n"/>
    </row>
    <row r="171" ht="14.1" customFormat="1" customHeight="1" s="60">
      <c r="A171" s="199">
        <f>IF($H171="UNIDADE CONSTRUTIVA",OFFSET(A171,-1,0)+1,LARGE(A$3:A170,1))</f>
        <v/>
      </c>
      <c r="B171" s="199">
        <f>IF(H171="UNIDADE CONSTRUTIVA",0,IF(H171="CÉLULA CONSTRUTIVA",OFFSET(B171,-1,0)+1,OFFSET(B171,-1,0)))</f>
        <v/>
      </c>
      <c r="C171" s="199">
        <f>IF(H171="CÉLULA CONSTRUTIVA",0,IF(H171="ETAPA",OFFSET(C171,-1,0)+1,OFFSET(C171,-1,0)))</f>
        <v/>
      </c>
      <c r="D171" s="200">
        <f>IF(H171="ETAPA",0,IF(H171="SUBETAPA",OFFSET(D171,-1,0)+1,OFFSET(D171,-1,0)))</f>
        <v/>
      </c>
      <c r="E171" s="200">
        <f>IF(H171="Subetapa",0,IF(H171="serviço",OFFSET(E171,-1,0)+1,OFFSET(E171,-1,0)))</f>
        <v/>
      </c>
      <c r="F171" s="31" t="n"/>
      <c r="J171" s="61" t="n"/>
      <c r="K171" s="62" t="n"/>
      <c r="L171" s="63" t="n"/>
      <c r="M171" s="63" t="n"/>
      <c r="N171" s="68" t="n"/>
      <c r="O171" s="68" t="n"/>
      <c r="P171" s="68" t="n"/>
      <c r="Q171" s="68" t="n"/>
      <c r="R171" s="68" t="n"/>
    </row>
    <row r="172" ht="14.1" customFormat="1" customHeight="1" s="60">
      <c r="A172" s="199">
        <f>IF($H172="UNIDADE CONSTRUTIVA",OFFSET(A172,-1,0)+1,LARGE(A$3:A171,1))</f>
        <v/>
      </c>
      <c r="B172" s="199">
        <f>IF(H172="UNIDADE CONSTRUTIVA",0,IF(H172="CÉLULA CONSTRUTIVA",OFFSET(B172,-1,0)+1,OFFSET(B172,-1,0)))</f>
        <v/>
      </c>
      <c r="C172" s="199">
        <f>IF(H172="CÉLULA CONSTRUTIVA",0,IF(H172="ETAPA",OFFSET(C172,-1,0)+1,OFFSET(C172,-1,0)))</f>
        <v/>
      </c>
      <c r="D172" s="200">
        <f>IF(H172="ETAPA",0,IF(H172="SUBETAPA",OFFSET(D172,-1,0)+1,OFFSET(D172,-1,0)))</f>
        <v/>
      </c>
      <c r="E172" s="200">
        <f>IF(H172="Subetapa",0,IF(H172="serviço",OFFSET(E172,-1,0)+1,OFFSET(E172,-1,0)))</f>
        <v/>
      </c>
      <c r="F172" s="31" t="n"/>
      <c r="J172" s="61" t="n"/>
      <c r="K172" s="62" t="n"/>
      <c r="L172" s="63" t="n"/>
      <c r="M172" s="63" t="n"/>
      <c r="N172" s="68" t="n"/>
      <c r="O172" s="68" t="n"/>
      <c r="P172" s="68" t="n"/>
      <c r="Q172" s="68" t="n"/>
      <c r="R172" s="68" t="n"/>
    </row>
    <row r="173" ht="14.1" customFormat="1" customHeight="1" s="60">
      <c r="A173" s="199">
        <f>IF($H173="UNIDADE CONSTRUTIVA",OFFSET(A173,-1,0)+1,LARGE(A$3:A172,1))</f>
        <v/>
      </c>
      <c r="B173" s="199">
        <f>IF(H173="UNIDADE CONSTRUTIVA",0,IF(H173="CÉLULA CONSTRUTIVA",OFFSET(B173,-1,0)+1,OFFSET(B173,-1,0)))</f>
        <v/>
      </c>
      <c r="C173" s="199">
        <f>IF(H173="CÉLULA CONSTRUTIVA",0,IF(H173="ETAPA",OFFSET(C173,-1,0)+1,OFFSET(C173,-1,0)))</f>
        <v/>
      </c>
      <c r="D173" s="200">
        <f>IF(H173="ETAPA",0,IF(H173="SUBETAPA",OFFSET(D173,-1,0)+1,OFFSET(D173,-1,0)))</f>
        <v/>
      </c>
      <c r="E173" s="200">
        <f>IF(H173="Subetapa",0,IF(H173="serviço",OFFSET(E173,-1,0)+1,OFFSET(E173,-1,0)))</f>
        <v/>
      </c>
      <c r="F173" s="31" t="n"/>
      <c r="J173" s="61" t="n"/>
      <c r="K173" s="62" t="n"/>
      <c r="L173" s="63" t="n"/>
      <c r="M173" s="63" t="n"/>
      <c r="N173" s="68" t="n"/>
      <c r="O173" s="68" t="n"/>
      <c r="P173" s="68" t="n"/>
      <c r="Q173" s="68" t="n"/>
      <c r="R173" s="68" t="n"/>
    </row>
    <row r="174" ht="14.1" customFormat="1" customHeight="1" s="60">
      <c r="A174" s="199">
        <f>IF($H174="UNIDADE CONSTRUTIVA",OFFSET(A174,-1,0)+1,LARGE(A$3:A173,1))</f>
        <v/>
      </c>
      <c r="B174" s="199">
        <f>IF(H174="UNIDADE CONSTRUTIVA",0,IF(H174="CÉLULA CONSTRUTIVA",OFFSET(B174,-1,0)+1,OFFSET(B174,-1,0)))</f>
        <v/>
      </c>
      <c r="C174" s="199">
        <f>IF(H174="CÉLULA CONSTRUTIVA",0,IF(H174="ETAPA",OFFSET(C174,-1,0)+1,OFFSET(C174,-1,0)))</f>
        <v/>
      </c>
      <c r="D174" s="200">
        <f>IF(H174="ETAPA",0,IF(H174="SUBETAPA",OFFSET(D174,-1,0)+1,OFFSET(D174,-1,0)))</f>
        <v/>
      </c>
      <c r="E174" s="200">
        <f>IF(H174="Subetapa",0,IF(H174="serviço",OFFSET(E174,-1,0)+1,OFFSET(E174,-1,0)))</f>
        <v/>
      </c>
      <c r="F174" s="31" t="n"/>
      <c r="J174" s="61" t="n"/>
      <c r="K174" s="62" t="n"/>
      <c r="L174" s="63" t="n"/>
      <c r="M174" s="63" t="n"/>
      <c r="N174" s="68" t="n"/>
      <c r="O174" s="68" t="n"/>
      <c r="P174" s="68" t="n"/>
      <c r="Q174" s="68" t="n"/>
      <c r="R174" s="68" t="n"/>
    </row>
    <row r="175" ht="14.1" customFormat="1" customHeight="1" s="60">
      <c r="A175" s="199">
        <f>IF($H175="UNIDADE CONSTRUTIVA",OFFSET(A175,-1,0)+1,LARGE(A$3:A174,1))</f>
        <v/>
      </c>
      <c r="B175" s="199">
        <f>IF(H175="UNIDADE CONSTRUTIVA",0,IF(H175="CÉLULA CONSTRUTIVA",OFFSET(B175,-1,0)+1,OFFSET(B175,-1,0)))</f>
        <v/>
      </c>
      <c r="C175" s="199">
        <f>IF(H175="CÉLULA CONSTRUTIVA",0,IF(H175="ETAPA",OFFSET(C175,-1,0)+1,OFFSET(C175,-1,0)))</f>
        <v/>
      </c>
      <c r="D175" s="200">
        <f>IF(H175="ETAPA",0,IF(H175="SUBETAPA",OFFSET(D175,-1,0)+1,OFFSET(D175,-1,0)))</f>
        <v/>
      </c>
      <c r="E175" s="200">
        <f>IF(H175="Subetapa",0,IF(H175="serviço",OFFSET(E175,-1,0)+1,OFFSET(E175,-1,0)))</f>
        <v/>
      </c>
      <c r="F175" s="31" t="n"/>
      <c r="J175" s="61" t="n"/>
      <c r="K175" s="62" t="n"/>
      <c r="L175" s="63" t="n"/>
      <c r="M175" s="63" t="n"/>
      <c r="N175" s="68" t="n"/>
      <c r="O175" s="68" t="n"/>
      <c r="P175" s="68" t="n"/>
      <c r="Q175" s="68" t="n"/>
      <c r="R175" s="68" t="n"/>
    </row>
    <row r="176" ht="14.1" customFormat="1" customHeight="1" s="60">
      <c r="A176" s="199">
        <f>IF($H176="UNIDADE CONSTRUTIVA",OFFSET(A176,-1,0)+1,LARGE(A$3:A175,1))</f>
        <v/>
      </c>
      <c r="B176" s="199">
        <f>IF(H176="UNIDADE CONSTRUTIVA",0,IF(H176="CÉLULA CONSTRUTIVA",OFFSET(B176,-1,0)+1,OFFSET(B176,-1,0)))</f>
        <v/>
      </c>
      <c r="C176" s="199">
        <f>IF(H176="CÉLULA CONSTRUTIVA",0,IF(H176="ETAPA",OFFSET(C176,-1,0)+1,OFFSET(C176,-1,0)))</f>
        <v/>
      </c>
      <c r="D176" s="200">
        <f>IF(H176="ETAPA",0,IF(H176="SUBETAPA",OFFSET(D176,-1,0)+1,OFFSET(D176,-1,0)))</f>
        <v/>
      </c>
      <c r="E176" s="200">
        <f>IF(H176="Subetapa",0,IF(H176="serviço",OFFSET(E176,-1,0)+1,OFFSET(E176,-1,0)))</f>
        <v/>
      </c>
      <c r="F176" s="31" t="n"/>
      <c r="J176" s="61" t="n"/>
      <c r="K176" s="62" t="n"/>
      <c r="L176" s="63" t="n"/>
      <c r="M176" s="63" t="n"/>
      <c r="N176" s="68" t="n"/>
      <c r="O176" s="68" t="n"/>
      <c r="P176" s="68" t="n"/>
      <c r="Q176" s="68" t="n"/>
      <c r="R176" s="68" t="n"/>
    </row>
    <row r="177" ht="14.1" customFormat="1" customHeight="1" s="60">
      <c r="A177" s="199">
        <f>IF($H177="UNIDADE CONSTRUTIVA",OFFSET(A177,-1,0)+1,LARGE(A$3:A176,1))</f>
        <v/>
      </c>
      <c r="B177" s="199">
        <f>IF(H177="UNIDADE CONSTRUTIVA",0,IF(H177="CÉLULA CONSTRUTIVA",OFFSET(B177,-1,0)+1,OFFSET(B177,-1,0)))</f>
        <v/>
      </c>
      <c r="C177" s="199">
        <f>IF(H177="CÉLULA CONSTRUTIVA",0,IF(H177="ETAPA",OFFSET(C177,-1,0)+1,OFFSET(C177,-1,0)))</f>
        <v/>
      </c>
      <c r="D177" s="200">
        <f>IF(H177="ETAPA",0,IF(H177="SUBETAPA",OFFSET(D177,-1,0)+1,OFFSET(D177,-1,0)))</f>
        <v/>
      </c>
      <c r="E177" s="200">
        <f>IF(H177="Subetapa",0,IF(H177="serviço",OFFSET(E177,-1,0)+1,OFFSET(E177,-1,0)))</f>
        <v/>
      </c>
      <c r="F177" s="31" t="n"/>
      <c r="J177" s="61" t="n"/>
      <c r="K177" s="62" t="n"/>
      <c r="L177" s="63" t="n"/>
      <c r="M177" s="63" t="n"/>
      <c r="N177" s="68" t="n"/>
      <c r="O177" s="68" t="n"/>
      <c r="P177" s="68" t="n"/>
      <c r="Q177" s="68" t="n"/>
      <c r="R177" s="68" t="n"/>
    </row>
    <row r="178" ht="14.1" customFormat="1" customHeight="1" s="60">
      <c r="A178" s="199">
        <f>IF($H178="UNIDADE CONSTRUTIVA",OFFSET(A178,-1,0)+1,LARGE(A$3:A177,1))</f>
        <v/>
      </c>
      <c r="B178" s="199">
        <f>IF(H178="UNIDADE CONSTRUTIVA",0,IF(H178="CÉLULA CONSTRUTIVA",OFFSET(B178,-1,0)+1,OFFSET(B178,-1,0)))</f>
        <v/>
      </c>
      <c r="C178" s="199">
        <f>IF(H178="CÉLULA CONSTRUTIVA",0,IF(H178="ETAPA",OFFSET(C178,-1,0)+1,OFFSET(C178,-1,0)))</f>
        <v/>
      </c>
      <c r="D178" s="200">
        <f>IF(H178="ETAPA",0,IF(H178="SUBETAPA",OFFSET(D178,-1,0)+1,OFFSET(D178,-1,0)))</f>
        <v/>
      </c>
      <c r="E178" s="200">
        <f>IF(H178="Subetapa",0,IF(H178="serviço",OFFSET(E178,-1,0)+1,OFFSET(E178,-1,0)))</f>
        <v/>
      </c>
      <c r="F178" s="31" t="n"/>
      <c r="J178" s="61" t="n"/>
      <c r="K178" s="62" t="n"/>
      <c r="L178" s="63" t="n"/>
      <c r="M178" s="63" t="n"/>
      <c r="N178" s="68" t="n"/>
      <c r="O178" s="68" t="n"/>
      <c r="P178" s="68" t="n"/>
      <c r="Q178" s="68" t="n"/>
      <c r="R178" s="68" t="n"/>
    </row>
    <row r="179" ht="14.1" customFormat="1" customHeight="1" s="60">
      <c r="A179" s="199">
        <f>IF($H179="UNIDADE CONSTRUTIVA",OFFSET(A179,-1,0)+1,LARGE(A$3:A178,1))</f>
        <v/>
      </c>
      <c r="B179" s="199">
        <f>IF(H179="UNIDADE CONSTRUTIVA",0,IF(H179="CÉLULA CONSTRUTIVA",OFFSET(B179,-1,0)+1,OFFSET(B179,-1,0)))</f>
        <v/>
      </c>
      <c r="C179" s="199">
        <f>IF(H179="CÉLULA CONSTRUTIVA",0,IF(H179="ETAPA",OFFSET(C179,-1,0)+1,OFFSET(C179,-1,0)))</f>
        <v/>
      </c>
      <c r="D179" s="200">
        <f>IF(H179="ETAPA",0,IF(H179="SUBETAPA",OFFSET(D179,-1,0)+1,OFFSET(D179,-1,0)))</f>
        <v/>
      </c>
      <c r="E179" s="200">
        <f>IF(H179="Subetapa",0,IF(H179="serviço",OFFSET(E179,-1,0)+1,OFFSET(E179,-1,0)))</f>
        <v/>
      </c>
      <c r="F179" s="31" t="n"/>
      <c r="J179" s="61" t="n"/>
      <c r="K179" s="62" t="n"/>
      <c r="L179" s="63" t="n"/>
      <c r="M179" s="63" t="n"/>
      <c r="N179" s="68" t="n"/>
      <c r="O179" s="68" t="n"/>
      <c r="P179" s="68" t="n"/>
      <c r="Q179" s="68" t="n"/>
      <c r="R179" s="68" t="n"/>
    </row>
    <row r="180" ht="14.1" customFormat="1" customHeight="1" s="60">
      <c r="A180" s="199">
        <f>IF($H180="UNIDADE CONSTRUTIVA",OFFSET(A180,-1,0)+1,LARGE(A$3:A179,1))</f>
        <v/>
      </c>
      <c r="B180" s="199">
        <f>IF(H180="UNIDADE CONSTRUTIVA",0,IF(H180="CÉLULA CONSTRUTIVA",OFFSET(B180,-1,0)+1,OFFSET(B180,-1,0)))</f>
        <v/>
      </c>
      <c r="C180" s="199">
        <f>IF(H180="CÉLULA CONSTRUTIVA",0,IF(H180="ETAPA",OFFSET(C180,-1,0)+1,OFFSET(C180,-1,0)))</f>
        <v/>
      </c>
      <c r="D180" s="200">
        <f>IF(H180="ETAPA",0,IF(H180="SUBETAPA",OFFSET(D180,-1,0)+1,OFFSET(D180,-1,0)))</f>
        <v/>
      </c>
      <c r="E180" s="200">
        <f>IF(H180="Subetapa",0,IF(H180="serviço",OFFSET(E180,-1,0)+1,OFFSET(E180,-1,0)))</f>
        <v/>
      </c>
      <c r="F180" s="31" t="n"/>
      <c r="J180" s="61" t="n"/>
      <c r="K180" s="62" t="n"/>
      <c r="L180" s="63" t="n"/>
      <c r="M180" s="63" t="n"/>
      <c r="N180" s="68" t="n"/>
      <c r="O180" s="68" t="n"/>
      <c r="P180" s="68" t="n"/>
      <c r="Q180" s="68" t="n"/>
      <c r="R180" s="68" t="n"/>
    </row>
    <row r="181" ht="14.1" customFormat="1" customHeight="1" s="60">
      <c r="A181" s="199">
        <f>IF($H181="UNIDADE CONSTRUTIVA",OFFSET(A181,-1,0)+1,LARGE(A$3:A180,1))</f>
        <v/>
      </c>
      <c r="B181" s="199">
        <f>IF(H181="UNIDADE CONSTRUTIVA",0,IF(H181="CÉLULA CONSTRUTIVA",OFFSET(B181,-1,0)+1,OFFSET(B181,-1,0)))</f>
        <v/>
      </c>
      <c r="C181" s="199">
        <f>IF(H181="CÉLULA CONSTRUTIVA",0,IF(H181="ETAPA",OFFSET(C181,-1,0)+1,OFFSET(C181,-1,0)))</f>
        <v/>
      </c>
      <c r="D181" s="200">
        <f>IF(H181="ETAPA",0,IF(H181="SUBETAPA",OFFSET(D181,-1,0)+1,OFFSET(D181,-1,0)))</f>
        <v/>
      </c>
      <c r="E181" s="200">
        <f>IF(H181="Subetapa",0,IF(H181="serviço",OFFSET(E181,-1,0)+1,OFFSET(E181,-1,0)))</f>
        <v/>
      </c>
      <c r="F181" s="31" t="n"/>
      <c r="J181" s="61" t="n"/>
      <c r="K181" s="62" t="n"/>
      <c r="L181" s="63" t="n"/>
      <c r="M181" s="63" t="n"/>
      <c r="N181" s="68" t="n"/>
      <c r="O181" s="68" t="n"/>
      <c r="P181" s="68" t="n"/>
      <c r="Q181" s="68" t="n"/>
      <c r="R181" s="68" t="n"/>
    </row>
    <row r="182" ht="14.1" customFormat="1" customHeight="1" s="60">
      <c r="A182" s="199">
        <f>IF($H182="UNIDADE CONSTRUTIVA",OFFSET(A182,-1,0)+1,LARGE(A$3:A181,1))</f>
        <v/>
      </c>
      <c r="B182" s="199">
        <f>IF(H182="UNIDADE CONSTRUTIVA",0,IF(H182="CÉLULA CONSTRUTIVA",OFFSET(B182,-1,0)+1,OFFSET(B182,-1,0)))</f>
        <v/>
      </c>
      <c r="C182" s="199">
        <f>IF(H182="CÉLULA CONSTRUTIVA",0,IF(H182="ETAPA",OFFSET(C182,-1,0)+1,OFFSET(C182,-1,0)))</f>
        <v/>
      </c>
      <c r="D182" s="200">
        <f>IF(H182="ETAPA",0,IF(H182="SUBETAPA",OFFSET(D182,-1,0)+1,OFFSET(D182,-1,0)))</f>
        <v/>
      </c>
      <c r="E182" s="200">
        <f>IF(H182="Subetapa",0,IF(H182="serviço",OFFSET(E182,-1,0)+1,OFFSET(E182,-1,0)))</f>
        <v/>
      </c>
      <c r="F182" s="31" t="n"/>
      <c r="J182" s="61" t="n"/>
      <c r="K182" s="62" t="n"/>
      <c r="L182" s="63" t="n"/>
      <c r="M182" s="63" t="n"/>
      <c r="N182" s="68" t="n"/>
      <c r="O182" s="68" t="n"/>
      <c r="P182" s="68" t="n"/>
      <c r="Q182" s="68" t="n"/>
      <c r="R182" s="68" t="n"/>
    </row>
    <row r="183" ht="14.1" customFormat="1" customHeight="1" s="60">
      <c r="A183" s="199">
        <f>IF($H183="UNIDADE CONSTRUTIVA",OFFSET(A183,-1,0)+1,LARGE(A$3:A182,1))</f>
        <v/>
      </c>
      <c r="B183" s="199">
        <f>IF(H183="UNIDADE CONSTRUTIVA",0,IF(H183="CÉLULA CONSTRUTIVA",OFFSET(B183,-1,0)+1,OFFSET(B183,-1,0)))</f>
        <v/>
      </c>
      <c r="C183" s="199">
        <f>IF(H183="CÉLULA CONSTRUTIVA",0,IF(H183="ETAPA",OFFSET(C183,-1,0)+1,OFFSET(C183,-1,0)))</f>
        <v/>
      </c>
      <c r="D183" s="200">
        <f>IF(H183="ETAPA",0,IF(H183="SUBETAPA",OFFSET(D183,-1,0)+1,OFFSET(D183,-1,0)))</f>
        <v/>
      </c>
      <c r="E183" s="200">
        <f>IF(H183="Subetapa",0,IF(H183="serviço",OFFSET(E183,-1,0)+1,OFFSET(E183,-1,0)))</f>
        <v/>
      </c>
      <c r="F183" s="31" t="n"/>
      <c r="J183" s="61" t="n"/>
      <c r="K183" s="62" t="n"/>
      <c r="L183" s="63" t="n"/>
      <c r="M183" s="63" t="n"/>
      <c r="N183" s="68" t="n"/>
      <c r="O183" s="68" t="n"/>
      <c r="P183" s="68" t="n"/>
      <c r="Q183" s="68" t="n"/>
      <c r="R183" s="68" t="n"/>
    </row>
    <row r="184" ht="14.1" customFormat="1" customHeight="1" s="60">
      <c r="A184" s="199">
        <f>IF($H184="UNIDADE CONSTRUTIVA",OFFSET(A184,-1,0)+1,LARGE(A$3:A183,1))</f>
        <v/>
      </c>
      <c r="B184" s="199">
        <f>IF(H184="UNIDADE CONSTRUTIVA",0,IF(H184="CÉLULA CONSTRUTIVA",OFFSET(B184,-1,0)+1,OFFSET(B184,-1,0)))</f>
        <v/>
      </c>
      <c r="C184" s="199">
        <f>IF(H184="CÉLULA CONSTRUTIVA",0,IF(H184="ETAPA",OFFSET(C184,-1,0)+1,OFFSET(C184,-1,0)))</f>
        <v/>
      </c>
      <c r="D184" s="200">
        <f>IF(H184="ETAPA",0,IF(H184="SUBETAPA",OFFSET(D184,-1,0)+1,OFFSET(D184,-1,0)))</f>
        <v/>
      </c>
      <c r="E184" s="200">
        <f>IF(H184="Subetapa",0,IF(H184="serviço",OFFSET(E184,-1,0)+1,OFFSET(E184,-1,0)))</f>
        <v/>
      </c>
      <c r="F184" s="31" t="n"/>
      <c r="J184" s="61" t="n"/>
      <c r="K184" s="62" t="n"/>
      <c r="L184" s="63" t="n"/>
      <c r="M184" s="63" t="n"/>
      <c r="N184" s="68" t="n"/>
      <c r="O184" s="68" t="n"/>
      <c r="P184" s="68" t="n"/>
      <c r="Q184" s="68" t="n"/>
      <c r="R184" s="68" t="n"/>
    </row>
    <row r="185" ht="14.1" customFormat="1" customHeight="1" s="60">
      <c r="A185" s="199">
        <f>IF($H185="UNIDADE CONSTRUTIVA",OFFSET(A185,-1,0)+1,LARGE(A$3:A184,1))</f>
        <v/>
      </c>
      <c r="B185" s="199">
        <f>IF(H185="UNIDADE CONSTRUTIVA",0,IF(H185="CÉLULA CONSTRUTIVA",OFFSET(B185,-1,0)+1,OFFSET(B185,-1,0)))</f>
        <v/>
      </c>
      <c r="C185" s="199">
        <f>IF(H185="CÉLULA CONSTRUTIVA",0,IF(H185="ETAPA",OFFSET(C185,-1,0)+1,OFFSET(C185,-1,0)))</f>
        <v/>
      </c>
      <c r="D185" s="200">
        <f>IF(H185="ETAPA",0,IF(H185="SUBETAPA",OFFSET(D185,-1,0)+1,OFFSET(D185,-1,0)))</f>
        <v/>
      </c>
      <c r="E185" s="200">
        <f>IF(H185="Subetapa",0,IF(H185="serviço",OFFSET(E185,-1,0)+1,OFFSET(E185,-1,0)))</f>
        <v/>
      </c>
      <c r="F185" s="31" t="n"/>
      <c r="J185" s="61" t="n"/>
      <c r="K185" s="62" t="n"/>
      <c r="L185" s="63" t="n"/>
      <c r="M185" s="63" t="n"/>
      <c r="N185" s="68" t="n"/>
      <c r="O185" s="68" t="n"/>
      <c r="P185" s="68" t="n"/>
      <c r="Q185" s="68" t="n"/>
      <c r="R185" s="68" t="n"/>
    </row>
    <row r="186" ht="14.1" customFormat="1" customHeight="1" s="60">
      <c r="A186" s="199">
        <f>IF($H186="UNIDADE CONSTRUTIVA",OFFSET(A186,-1,0)+1,LARGE(A$3:A185,1))</f>
        <v/>
      </c>
      <c r="B186" s="199">
        <f>IF(H186="UNIDADE CONSTRUTIVA",0,IF(H186="CÉLULA CONSTRUTIVA",OFFSET(B186,-1,0)+1,OFFSET(B186,-1,0)))</f>
        <v/>
      </c>
      <c r="C186" s="199">
        <f>IF(H186="CÉLULA CONSTRUTIVA",0,IF(H186="ETAPA",OFFSET(C186,-1,0)+1,OFFSET(C186,-1,0)))</f>
        <v/>
      </c>
      <c r="D186" s="200">
        <f>IF(H186="ETAPA",0,IF(H186="SUBETAPA",OFFSET(D186,-1,0)+1,OFFSET(D186,-1,0)))</f>
        <v/>
      </c>
      <c r="E186" s="200">
        <f>IF(H186="Subetapa",0,IF(H186="serviço",OFFSET(E186,-1,0)+1,OFFSET(E186,-1,0)))</f>
        <v/>
      </c>
      <c r="F186" s="31" t="n"/>
      <c r="J186" s="61" t="n"/>
      <c r="K186" s="62" t="n"/>
      <c r="L186" s="63" t="n"/>
      <c r="M186" s="63" t="n"/>
      <c r="N186" s="68" t="n"/>
      <c r="O186" s="68" t="n"/>
      <c r="P186" s="68" t="n"/>
      <c r="Q186" s="68" t="n"/>
      <c r="R186" s="68" t="n"/>
    </row>
    <row r="187" ht="14.1" customFormat="1" customHeight="1" s="60">
      <c r="A187" s="199">
        <f>IF($H187="UNIDADE CONSTRUTIVA",OFFSET(A187,-1,0)+1,LARGE(A$3:A186,1))</f>
        <v/>
      </c>
      <c r="B187" s="199">
        <f>IF(H187="UNIDADE CONSTRUTIVA",0,IF(H187="CÉLULA CONSTRUTIVA",OFFSET(B187,-1,0)+1,OFFSET(B187,-1,0)))</f>
        <v/>
      </c>
      <c r="C187" s="199">
        <f>IF(H187="CÉLULA CONSTRUTIVA",0,IF(H187="ETAPA",OFFSET(C187,-1,0)+1,OFFSET(C187,-1,0)))</f>
        <v/>
      </c>
      <c r="D187" s="200">
        <f>IF(H187="ETAPA",0,IF(H187="SUBETAPA",OFFSET(D187,-1,0)+1,OFFSET(D187,-1,0)))</f>
        <v/>
      </c>
      <c r="E187" s="200">
        <f>IF(H187="Subetapa",0,IF(H187="serviço",OFFSET(E187,-1,0)+1,OFFSET(E187,-1,0)))</f>
        <v/>
      </c>
      <c r="F187" s="31" t="n"/>
      <c r="J187" s="61" t="n"/>
      <c r="K187" s="62" t="n"/>
      <c r="L187" s="63" t="n"/>
      <c r="M187" s="63" t="n"/>
      <c r="N187" s="68" t="n"/>
      <c r="O187" s="68" t="n"/>
      <c r="P187" s="68" t="n"/>
      <c r="Q187" s="68" t="n"/>
      <c r="R187" s="68" t="n"/>
    </row>
    <row r="188" ht="14.1" customFormat="1" customHeight="1" s="60">
      <c r="A188" s="199">
        <f>IF($H188="UNIDADE CONSTRUTIVA",OFFSET(A188,-1,0)+1,LARGE(A$3:A187,1))</f>
        <v/>
      </c>
      <c r="B188" s="199">
        <f>IF(H188="UNIDADE CONSTRUTIVA",0,IF(H188="CÉLULA CONSTRUTIVA",OFFSET(B188,-1,0)+1,OFFSET(B188,-1,0)))</f>
        <v/>
      </c>
      <c r="C188" s="199">
        <f>IF(H188="CÉLULA CONSTRUTIVA",0,IF(H188="ETAPA",OFFSET(C188,-1,0)+1,OFFSET(C188,-1,0)))</f>
        <v/>
      </c>
      <c r="D188" s="200">
        <f>IF(H188="ETAPA",0,IF(H188="SUBETAPA",OFFSET(D188,-1,0)+1,OFFSET(D188,-1,0)))</f>
        <v/>
      </c>
      <c r="E188" s="200">
        <f>IF(H188="Subetapa",0,IF(H188="serviço",OFFSET(E188,-1,0)+1,OFFSET(E188,-1,0)))</f>
        <v/>
      </c>
      <c r="F188" s="31" t="n"/>
      <c r="J188" s="61" t="n"/>
      <c r="K188" s="62" t="n"/>
      <c r="L188" s="63" t="n"/>
      <c r="M188" s="63" t="n"/>
      <c r="N188" s="68" t="n"/>
      <c r="O188" s="68" t="n"/>
      <c r="P188" s="68" t="n"/>
      <c r="Q188" s="68" t="n"/>
      <c r="R188" s="68" t="n"/>
    </row>
    <row r="189" ht="14.1" customFormat="1" customHeight="1" s="60">
      <c r="A189" s="199">
        <f>IF($H189="UNIDADE CONSTRUTIVA",OFFSET(A189,-1,0)+1,LARGE(A$3:A188,1))</f>
        <v/>
      </c>
      <c r="B189" s="199">
        <f>IF(H189="UNIDADE CONSTRUTIVA",0,IF(H189="CÉLULA CONSTRUTIVA",OFFSET(B189,-1,0)+1,OFFSET(B189,-1,0)))</f>
        <v/>
      </c>
      <c r="C189" s="199">
        <f>IF(H189="CÉLULA CONSTRUTIVA",0,IF(H189="ETAPA",OFFSET(C189,-1,0)+1,OFFSET(C189,-1,0)))</f>
        <v/>
      </c>
      <c r="D189" s="200">
        <f>IF(H189="ETAPA",0,IF(H189="SUBETAPA",OFFSET(D189,-1,0)+1,OFFSET(D189,-1,0)))</f>
        <v/>
      </c>
      <c r="E189" s="200">
        <f>IF(H189="Subetapa",0,IF(H189="serviço",OFFSET(E189,-1,0)+1,OFFSET(E189,-1,0)))</f>
        <v/>
      </c>
      <c r="F189" s="31" t="n"/>
      <c r="J189" s="61" t="n"/>
      <c r="K189" s="62" t="n"/>
      <c r="L189" s="63" t="n"/>
      <c r="M189" s="63" t="n"/>
      <c r="N189" s="68" t="n"/>
      <c r="O189" s="68" t="n"/>
      <c r="P189" s="68" t="n"/>
      <c r="Q189" s="68" t="n"/>
      <c r="R189" s="68" t="n"/>
    </row>
    <row r="190" ht="14.1" customFormat="1" customHeight="1" s="60">
      <c r="A190" s="199">
        <f>IF($H190="UNIDADE CONSTRUTIVA",OFFSET(A190,-1,0)+1,LARGE(A$3:A189,1))</f>
        <v/>
      </c>
      <c r="B190" s="199">
        <f>IF(H190="UNIDADE CONSTRUTIVA",0,IF(H190="CÉLULA CONSTRUTIVA",OFFSET(B190,-1,0)+1,OFFSET(B190,-1,0)))</f>
        <v/>
      </c>
      <c r="C190" s="199">
        <f>IF(H190="CÉLULA CONSTRUTIVA",0,IF(H190="ETAPA",OFFSET(C190,-1,0)+1,OFFSET(C190,-1,0)))</f>
        <v/>
      </c>
      <c r="D190" s="200">
        <f>IF(H190="ETAPA",0,IF(H190="SUBETAPA",OFFSET(D190,-1,0)+1,OFFSET(D190,-1,0)))</f>
        <v/>
      </c>
      <c r="E190" s="200">
        <f>IF(H190="Subetapa",0,IF(H190="serviço",OFFSET(E190,-1,0)+1,OFFSET(E190,-1,0)))</f>
        <v/>
      </c>
      <c r="F190" s="31" t="n"/>
      <c r="J190" s="61" t="n"/>
      <c r="K190" s="62" t="n"/>
      <c r="L190" s="63" t="n"/>
      <c r="M190" s="63" t="n"/>
      <c r="N190" s="68" t="n"/>
      <c r="O190" s="68" t="n"/>
      <c r="P190" s="68" t="n"/>
      <c r="Q190" s="68" t="n"/>
      <c r="R190" s="68" t="n"/>
    </row>
    <row r="191" ht="14.1" customFormat="1" customHeight="1" s="60">
      <c r="A191" s="199">
        <f>IF($H191="UNIDADE CONSTRUTIVA",OFFSET(A191,-1,0)+1,LARGE(A$3:A190,1))</f>
        <v/>
      </c>
      <c r="B191" s="199">
        <f>IF(H191="UNIDADE CONSTRUTIVA",0,IF(H191="CÉLULA CONSTRUTIVA",OFFSET(B191,-1,0)+1,OFFSET(B191,-1,0)))</f>
        <v/>
      </c>
      <c r="C191" s="199">
        <f>IF(H191="CÉLULA CONSTRUTIVA",0,IF(H191="ETAPA",OFFSET(C191,-1,0)+1,OFFSET(C191,-1,0)))</f>
        <v/>
      </c>
      <c r="D191" s="200">
        <f>IF(H191="ETAPA",0,IF(H191="SUBETAPA",OFFSET(D191,-1,0)+1,OFFSET(D191,-1,0)))</f>
        <v/>
      </c>
      <c r="E191" s="200">
        <f>IF(H191="Subetapa",0,IF(H191="serviço",OFFSET(E191,-1,0)+1,OFFSET(E191,-1,0)))</f>
        <v/>
      </c>
      <c r="F191" s="31" t="n"/>
      <c r="J191" s="61" t="n"/>
      <c r="K191" s="62" t="n"/>
      <c r="L191" s="63" t="n"/>
      <c r="M191" s="63" t="n"/>
      <c r="N191" s="68" t="n"/>
      <c r="O191" s="68" t="n"/>
      <c r="P191" s="68" t="n"/>
      <c r="Q191" s="68" t="n"/>
      <c r="R191" s="68" t="n"/>
    </row>
    <row r="192" ht="14.1" customFormat="1" customHeight="1" s="60">
      <c r="A192" s="199">
        <f>IF($H192="UNIDADE CONSTRUTIVA",OFFSET(A192,-1,0)+1,LARGE(A$3:A191,1))</f>
        <v/>
      </c>
      <c r="B192" s="199">
        <f>IF(H192="UNIDADE CONSTRUTIVA",0,IF(H192="CÉLULA CONSTRUTIVA",OFFSET(B192,-1,0)+1,OFFSET(B192,-1,0)))</f>
        <v/>
      </c>
      <c r="C192" s="199">
        <f>IF(H192="CÉLULA CONSTRUTIVA",0,IF(H192="ETAPA",OFFSET(C192,-1,0)+1,OFFSET(C192,-1,0)))</f>
        <v/>
      </c>
      <c r="D192" s="200">
        <f>IF(H192="ETAPA",0,IF(H192="SUBETAPA",OFFSET(D192,-1,0)+1,OFFSET(D192,-1,0)))</f>
        <v/>
      </c>
      <c r="E192" s="200">
        <f>IF(H192="Subetapa",0,IF(H192="serviço",OFFSET(E192,-1,0)+1,OFFSET(E192,-1,0)))</f>
        <v/>
      </c>
      <c r="F192" s="31" t="n"/>
      <c r="J192" s="61" t="n"/>
      <c r="K192" s="62" t="n"/>
      <c r="L192" s="63" t="n"/>
      <c r="M192" s="63" t="n"/>
      <c r="N192" s="68" t="n"/>
      <c r="O192" s="68" t="n"/>
      <c r="P192" s="68" t="n"/>
      <c r="Q192" s="68" t="n"/>
      <c r="R192" s="68" t="n"/>
    </row>
    <row r="193" ht="14.1" customFormat="1" customHeight="1" s="60">
      <c r="A193" s="199">
        <f>IF($H193="UNIDADE CONSTRUTIVA",OFFSET(A193,-1,0)+1,LARGE(A$3:A192,1))</f>
        <v/>
      </c>
      <c r="B193" s="199">
        <f>IF(H193="UNIDADE CONSTRUTIVA",0,IF(H193="CÉLULA CONSTRUTIVA",OFFSET(B193,-1,0)+1,OFFSET(B193,-1,0)))</f>
        <v/>
      </c>
      <c r="C193" s="199">
        <f>IF(H193="CÉLULA CONSTRUTIVA",0,IF(H193="ETAPA",OFFSET(C193,-1,0)+1,OFFSET(C193,-1,0)))</f>
        <v/>
      </c>
      <c r="D193" s="200">
        <f>IF(H193="ETAPA",0,IF(H193="SUBETAPA",OFFSET(D193,-1,0)+1,OFFSET(D193,-1,0)))</f>
        <v/>
      </c>
      <c r="E193" s="200">
        <f>IF(H193="Subetapa",0,IF(H193="serviço",OFFSET(E193,-1,0)+1,OFFSET(E193,-1,0)))</f>
        <v/>
      </c>
      <c r="F193" s="31" t="n"/>
      <c r="J193" s="61" t="n"/>
      <c r="K193" s="62" t="n"/>
      <c r="L193" s="63" t="n"/>
      <c r="M193" s="63" t="n"/>
      <c r="N193" s="68" t="n"/>
      <c r="O193" s="68" t="n"/>
      <c r="P193" s="68" t="n"/>
      <c r="Q193" s="68" t="n"/>
      <c r="R193" s="68" t="n"/>
    </row>
    <row r="194" ht="14.1" customFormat="1" customHeight="1" s="60">
      <c r="A194" s="199">
        <f>IF($H194="UNIDADE CONSTRUTIVA",OFFSET(A194,-1,0)+1,LARGE(A$3:A193,1))</f>
        <v/>
      </c>
      <c r="B194" s="199">
        <f>IF(H194="UNIDADE CONSTRUTIVA",0,IF(H194="CÉLULA CONSTRUTIVA",OFFSET(B194,-1,0)+1,OFFSET(B194,-1,0)))</f>
        <v/>
      </c>
      <c r="C194" s="199">
        <f>IF(H194="CÉLULA CONSTRUTIVA",0,IF(H194="ETAPA",OFFSET(C194,-1,0)+1,OFFSET(C194,-1,0)))</f>
        <v/>
      </c>
      <c r="D194" s="200">
        <f>IF(H194="ETAPA",0,IF(H194="SUBETAPA",OFFSET(D194,-1,0)+1,OFFSET(D194,-1,0)))</f>
        <v/>
      </c>
      <c r="E194" s="200">
        <f>IF(H194="Subetapa",0,IF(H194="serviço",OFFSET(E194,-1,0)+1,OFFSET(E194,-1,0)))</f>
        <v/>
      </c>
      <c r="F194" s="31" t="n"/>
      <c r="J194" s="61" t="n"/>
      <c r="K194" s="62" t="n"/>
      <c r="L194" s="63" t="n"/>
      <c r="M194" s="63" t="n"/>
      <c r="N194" s="68" t="n"/>
      <c r="O194" s="68" t="n"/>
      <c r="P194" s="68" t="n"/>
      <c r="Q194" s="68" t="n"/>
      <c r="R194" s="68" t="n"/>
    </row>
    <row r="195" ht="14.1" customFormat="1" customHeight="1" s="60">
      <c r="A195" s="199">
        <f>IF($H195="UNIDADE CONSTRUTIVA",OFFSET(A195,-1,0)+1,LARGE(A$3:A194,1))</f>
        <v/>
      </c>
      <c r="B195" s="199">
        <f>IF(H195="UNIDADE CONSTRUTIVA",0,IF(H195="CÉLULA CONSTRUTIVA",OFFSET(B195,-1,0)+1,OFFSET(B195,-1,0)))</f>
        <v/>
      </c>
      <c r="C195" s="199">
        <f>IF(H195="CÉLULA CONSTRUTIVA",0,IF(H195="ETAPA",OFFSET(C195,-1,0)+1,OFFSET(C195,-1,0)))</f>
        <v/>
      </c>
      <c r="D195" s="200">
        <f>IF(H195="ETAPA",0,IF(H195="SUBETAPA",OFFSET(D195,-1,0)+1,OFFSET(D195,-1,0)))</f>
        <v/>
      </c>
      <c r="E195" s="200">
        <f>IF(H195="Subetapa",0,IF(H195="serviço",OFFSET(E195,-1,0)+1,OFFSET(E195,-1,0)))</f>
        <v/>
      </c>
      <c r="F195" s="31" t="n"/>
      <c r="J195" s="61" t="n"/>
      <c r="K195" s="62" t="n"/>
      <c r="L195" s="63" t="n"/>
      <c r="M195" s="63" t="n"/>
      <c r="N195" s="68" t="n"/>
      <c r="O195" s="68" t="n"/>
      <c r="P195" s="68" t="n"/>
      <c r="Q195" s="68" t="n"/>
      <c r="R195" s="68" t="n"/>
    </row>
    <row r="196" ht="14.1" customFormat="1" customHeight="1" s="60">
      <c r="A196" s="199">
        <f>IF($H196="UNIDADE CONSTRUTIVA",OFFSET(A196,-1,0)+1,LARGE(A$3:A195,1))</f>
        <v/>
      </c>
      <c r="B196" s="199">
        <f>IF(H196="UNIDADE CONSTRUTIVA",0,IF(H196="CÉLULA CONSTRUTIVA",OFFSET(B196,-1,0)+1,OFFSET(B196,-1,0)))</f>
        <v/>
      </c>
      <c r="C196" s="199">
        <f>IF(H196="CÉLULA CONSTRUTIVA",0,IF(H196="ETAPA",OFFSET(C196,-1,0)+1,OFFSET(C196,-1,0)))</f>
        <v/>
      </c>
      <c r="D196" s="200">
        <f>IF(H196="ETAPA",0,IF(H196="SUBETAPA",OFFSET(D196,-1,0)+1,OFFSET(D196,-1,0)))</f>
        <v/>
      </c>
      <c r="E196" s="200">
        <f>IF(H196="Subetapa",0,IF(H196="serviço",OFFSET(E196,-1,0)+1,OFFSET(E196,-1,0)))</f>
        <v/>
      </c>
      <c r="F196" s="31" t="n"/>
      <c r="J196" s="61" t="n"/>
      <c r="K196" s="62" t="n"/>
      <c r="L196" s="63" t="n"/>
      <c r="M196" s="63" t="n"/>
      <c r="N196" s="68" t="n"/>
      <c r="O196" s="68" t="n"/>
      <c r="P196" s="68" t="n"/>
      <c r="Q196" s="68" t="n"/>
      <c r="R196" s="68" t="n"/>
    </row>
    <row r="197" ht="14.1" customFormat="1" customHeight="1" s="60">
      <c r="A197" s="199">
        <f>IF($H197="UNIDADE CONSTRUTIVA",OFFSET(A197,-1,0)+1,LARGE(A$3:A196,1))</f>
        <v/>
      </c>
      <c r="B197" s="199">
        <f>IF(H197="UNIDADE CONSTRUTIVA",0,IF(H197="CÉLULA CONSTRUTIVA",OFFSET(B197,-1,0)+1,OFFSET(B197,-1,0)))</f>
        <v/>
      </c>
      <c r="C197" s="199">
        <f>IF(H197="CÉLULA CONSTRUTIVA",0,IF(H197="ETAPA",OFFSET(C197,-1,0)+1,OFFSET(C197,-1,0)))</f>
        <v/>
      </c>
      <c r="D197" s="200">
        <f>IF(H197="ETAPA",0,IF(H197="SUBETAPA",OFFSET(D197,-1,0)+1,OFFSET(D197,-1,0)))</f>
        <v/>
      </c>
      <c r="E197" s="200">
        <f>IF(H197="Subetapa",0,IF(H197="serviço",OFFSET(E197,-1,0)+1,OFFSET(E197,-1,0)))</f>
        <v/>
      </c>
      <c r="F197" s="31" t="n"/>
      <c r="J197" s="61" t="n"/>
      <c r="K197" s="62" t="n"/>
      <c r="L197" s="63" t="n"/>
      <c r="M197" s="63" t="n"/>
      <c r="N197" s="68" t="n"/>
      <c r="O197" s="68" t="n"/>
      <c r="P197" s="68" t="n"/>
      <c r="Q197" s="68" t="n"/>
      <c r="R197" s="68" t="n"/>
    </row>
    <row r="198" ht="14.1" customFormat="1" customHeight="1" s="60">
      <c r="A198" s="199">
        <f>IF($H198="UNIDADE CONSTRUTIVA",OFFSET(A198,-1,0)+1,LARGE(A$3:A197,1))</f>
        <v/>
      </c>
      <c r="B198" s="199">
        <f>IF(H198="UNIDADE CONSTRUTIVA",0,IF(H198="CÉLULA CONSTRUTIVA",OFFSET(B198,-1,0)+1,OFFSET(B198,-1,0)))</f>
        <v/>
      </c>
      <c r="C198" s="199">
        <f>IF(H198="CÉLULA CONSTRUTIVA",0,IF(H198="ETAPA",OFFSET(C198,-1,0)+1,OFFSET(C198,-1,0)))</f>
        <v/>
      </c>
      <c r="D198" s="200">
        <f>IF(H198="ETAPA",0,IF(H198="SUBETAPA",OFFSET(D198,-1,0)+1,OFFSET(D198,-1,0)))</f>
        <v/>
      </c>
      <c r="E198" s="200">
        <f>IF(H198="Subetapa",0,IF(H198="serviço",OFFSET(E198,-1,0)+1,OFFSET(E198,-1,0)))</f>
        <v/>
      </c>
      <c r="F198" s="31" t="n"/>
      <c r="J198" s="61" t="n"/>
      <c r="K198" s="62" t="n"/>
      <c r="L198" s="63" t="n"/>
      <c r="M198" s="63" t="n"/>
      <c r="N198" s="68" t="n"/>
      <c r="O198" s="68" t="n"/>
      <c r="P198" s="68" t="n"/>
      <c r="Q198" s="68" t="n"/>
      <c r="R198" s="68" t="n"/>
    </row>
    <row r="199" ht="14.1" customFormat="1" customHeight="1" s="60">
      <c r="A199" s="199">
        <f>IF($H199="UNIDADE CONSTRUTIVA",OFFSET(A199,-1,0)+1,LARGE(A$3:A198,1))</f>
        <v/>
      </c>
      <c r="B199" s="199">
        <f>IF(H199="UNIDADE CONSTRUTIVA",0,IF(H199="CÉLULA CONSTRUTIVA",OFFSET(B199,-1,0)+1,OFFSET(B199,-1,0)))</f>
        <v/>
      </c>
      <c r="C199" s="199">
        <f>IF(H199="CÉLULA CONSTRUTIVA",0,IF(H199="ETAPA",OFFSET(C199,-1,0)+1,OFFSET(C199,-1,0)))</f>
        <v/>
      </c>
      <c r="D199" s="200">
        <f>IF(H199="ETAPA",0,IF(H199="SUBETAPA",OFFSET(D199,-1,0)+1,OFFSET(D199,-1,0)))</f>
        <v/>
      </c>
      <c r="E199" s="200">
        <f>IF(H199="Subetapa",0,IF(H199="serviço",OFFSET(E199,-1,0)+1,OFFSET(E199,-1,0)))</f>
        <v/>
      </c>
      <c r="F199" s="31" t="n"/>
      <c r="J199" s="61" t="n"/>
      <c r="K199" s="62" t="n"/>
      <c r="L199" s="63" t="n"/>
      <c r="M199" s="63" t="n"/>
      <c r="N199" s="68" t="n"/>
      <c r="O199" s="68" t="n"/>
      <c r="P199" s="68" t="n"/>
      <c r="Q199" s="68" t="n"/>
      <c r="R199" s="68" t="n"/>
    </row>
    <row r="200" ht="14.1" customFormat="1" customHeight="1" s="60">
      <c r="A200" s="199">
        <f>IF($H200="UNIDADE CONSTRUTIVA",OFFSET(A200,-1,0)+1,LARGE(A$3:A199,1))</f>
        <v/>
      </c>
      <c r="B200" s="199">
        <f>IF(H200="UNIDADE CONSTRUTIVA",0,IF(H200="CÉLULA CONSTRUTIVA",OFFSET(B200,-1,0)+1,OFFSET(B200,-1,0)))</f>
        <v/>
      </c>
      <c r="C200" s="199">
        <f>IF(H200="CÉLULA CONSTRUTIVA",0,IF(H200="ETAPA",OFFSET(C200,-1,0)+1,OFFSET(C200,-1,0)))</f>
        <v/>
      </c>
      <c r="D200" s="200">
        <f>IF(H200="ETAPA",0,IF(H200="SUBETAPA",OFFSET(D200,-1,0)+1,OFFSET(D200,-1,0)))</f>
        <v/>
      </c>
      <c r="E200" s="200">
        <f>IF(H200="Subetapa",0,IF(H200="serviço",OFFSET(E200,-1,0)+1,OFFSET(E200,-1,0)))</f>
        <v/>
      </c>
      <c r="F200" s="31" t="n"/>
      <c r="J200" s="61" t="n"/>
      <c r="K200" s="62" t="n"/>
      <c r="L200" s="63" t="n"/>
      <c r="M200" s="63" t="n"/>
      <c r="N200" s="68" t="n"/>
      <c r="O200" s="68" t="n"/>
      <c r="P200" s="68" t="n"/>
      <c r="Q200" s="68" t="n"/>
      <c r="R200" s="68" t="n"/>
    </row>
    <row r="201" ht="14.1" customFormat="1" customHeight="1" s="60">
      <c r="A201" s="199">
        <f>IF($H201="UNIDADE CONSTRUTIVA",OFFSET(A201,-1,0)+1,LARGE(A$3:A200,1))</f>
        <v/>
      </c>
      <c r="B201" s="199">
        <f>IF(H201="UNIDADE CONSTRUTIVA",0,IF(H201="CÉLULA CONSTRUTIVA",OFFSET(B201,-1,0)+1,OFFSET(B201,-1,0)))</f>
        <v/>
      </c>
      <c r="C201" s="199">
        <f>IF(H201="CÉLULA CONSTRUTIVA",0,IF(H201="ETAPA",OFFSET(C201,-1,0)+1,OFFSET(C201,-1,0)))</f>
        <v/>
      </c>
      <c r="D201" s="200">
        <f>IF(H201="ETAPA",0,IF(H201="SUBETAPA",OFFSET(D201,-1,0)+1,OFFSET(D201,-1,0)))</f>
        <v/>
      </c>
      <c r="E201" s="200">
        <f>IF(H201="Subetapa",0,IF(H201="serviço",OFFSET(E201,-1,0)+1,OFFSET(E201,-1,0)))</f>
        <v/>
      </c>
      <c r="F201" s="31" t="n"/>
      <c r="J201" s="61" t="n"/>
      <c r="K201" s="62" t="n"/>
      <c r="L201" s="63" t="n"/>
      <c r="M201" s="63" t="n"/>
      <c r="N201" s="68" t="n"/>
      <c r="O201" s="68" t="n"/>
      <c r="P201" s="68" t="n"/>
      <c r="Q201" s="68" t="n"/>
      <c r="R201" s="68" t="n"/>
    </row>
    <row r="202" ht="14.1" customFormat="1" customHeight="1" s="60">
      <c r="A202" s="199">
        <f>IF($H202="UNIDADE CONSTRUTIVA",OFFSET(A202,-1,0)+1,LARGE(A$3:A201,1))</f>
        <v/>
      </c>
      <c r="B202" s="199">
        <f>IF(H202="UNIDADE CONSTRUTIVA",0,IF(H202="CÉLULA CONSTRUTIVA",OFFSET(B202,-1,0)+1,OFFSET(B202,-1,0)))</f>
        <v/>
      </c>
      <c r="C202" s="199">
        <f>IF(H202="CÉLULA CONSTRUTIVA",0,IF(H202="ETAPA",OFFSET(C202,-1,0)+1,OFFSET(C202,-1,0)))</f>
        <v/>
      </c>
      <c r="D202" s="200">
        <f>IF(H202="ETAPA",0,IF(H202="SUBETAPA",OFFSET(D202,-1,0)+1,OFFSET(D202,-1,0)))</f>
        <v/>
      </c>
      <c r="E202" s="200">
        <f>IF(H202="Subetapa",0,IF(H202="serviço",OFFSET(E202,-1,0)+1,OFFSET(E202,-1,0)))</f>
        <v/>
      </c>
      <c r="F202" s="31" t="n"/>
      <c r="J202" s="61" t="n"/>
      <c r="K202" s="62" t="n"/>
      <c r="L202" s="63" t="n"/>
      <c r="M202" s="63" t="n"/>
      <c r="N202" s="68" t="n"/>
      <c r="O202" s="68" t="n"/>
      <c r="P202" s="68" t="n"/>
      <c r="Q202" s="68" t="n"/>
      <c r="R202" s="68" t="n"/>
    </row>
    <row r="203" ht="14.1" customFormat="1" customHeight="1" s="60">
      <c r="A203" s="199">
        <f>IF($H203="UNIDADE CONSTRUTIVA",OFFSET(A203,-1,0)+1,LARGE(A$3:A202,1))</f>
        <v/>
      </c>
      <c r="B203" s="199">
        <f>IF(H203="UNIDADE CONSTRUTIVA",0,IF(H203="CÉLULA CONSTRUTIVA",OFFSET(B203,-1,0)+1,OFFSET(B203,-1,0)))</f>
        <v/>
      </c>
      <c r="C203" s="199">
        <f>IF(H203="CÉLULA CONSTRUTIVA",0,IF(H203="ETAPA",OFFSET(C203,-1,0)+1,OFFSET(C203,-1,0)))</f>
        <v/>
      </c>
      <c r="D203" s="200">
        <f>IF(H203="ETAPA",0,IF(H203="SUBETAPA",OFFSET(D203,-1,0)+1,OFFSET(D203,-1,0)))</f>
        <v/>
      </c>
      <c r="E203" s="200">
        <f>IF(H203="Subetapa",0,IF(H203="serviço",OFFSET(E203,-1,0)+1,OFFSET(E203,-1,0)))</f>
        <v/>
      </c>
      <c r="F203" s="31" t="n"/>
      <c r="J203" s="61" t="n"/>
      <c r="K203" s="62" t="n"/>
      <c r="L203" s="63" t="n"/>
      <c r="M203" s="63" t="n"/>
      <c r="N203" s="68" t="n"/>
      <c r="O203" s="68" t="n"/>
      <c r="P203" s="68" t="n"/>
      <c r="Q203" s="68" t="n"/>
      <c r="R203" s="68" t="n"/>
    </row>
    <row r="204" ht="14.1" customFormat="1" customHeight="1" s="60">
      <c r="A204" s="199">
        <f>IF($H204="UNIDADE CONSTRUTIVA",OFFSET(A204,-1,0)+1,LARGE(A$3:A203,1))</f>
        <v/>
      </c>
      <c r="B204" s="199">
        <f>IF(H204="UNIDADE CONSTRUTIVA",0,IF(H204="CÉLULA CONSTRUTIVA",OFFSET(B204,-1,0)+1,OFFSET(B204,-1,0)))</f>
        <v/>
      </c>
      <c r="C204" s="199">
        <f>IF(H204="CÉLULA CONSTRUTIVA",0,IF(H204="ETAPA",OFFSET(C204,-1,0)+1,OFFSET(C204,-1,0)))</f>
        <v/>
      </c>
      <c r="D204" s="200">
        <f>IF(H204="ETAPA",0,IF(H204="SUBETAPA",OFFSET(D204,-1,0)+1,OFFSET(D204,-1,0)))</f>
        <v/>
      </c>
      <c r="E204" s="200">
        <f>IF(H204="Subetapa",0,IF(H204="serviço",OFFSET(E204,-1,0)+1,OFFSET(E204,-1,0)))</f>
        <v/>
      </c>
      <c r="F204" s="31" t="n"/>
      <c r="J204" s="61" t="n"/>
      <c r="K204" s="62" t="n"/>
      <c r="L204" s="63" t="n"/>
      <c r="M204" s="63" t="n"/>
      <c r="N204" s="68" t="n"/>
      <c r="O204" s="68" t="n"/>
      <c r="P204" s="68" t="n"/>
      <c r="Q204" s="68" t="n"/>
      <c r="R204" s="68" t="n"/>
    </row>
    <row r="205" ht="14.1" customFormat="1" customHeight="1" s="60">
      <c r="A205" s="199">
        <f>IF($H205="UNIDADE CONSTRUTIVA",OFFSET(A205,-1,0)+1,LARGE(A$3:A204,1))</f>
        <v/>
      </c>
      <c r="B205" s="199">
        <f>IF(H205="UNIDADE CONSTRUTIVA",0,IF(H205="CÉLULA CONSTRUTIVA",OFFSET(B205,-1,0)+1,OFFSET(B205,-1,0)))</f>
        <v/>
      </c>
      <c r="C205" s="199">
        <f>IF(H205="CÉLULA CONSTRUTIVA",0,IF(H205="ETAPA",OFFSET(C205,-1,0)+1,OFFSET(C205,-1,0)))</f>
        <v/>
      </c>
      <c r="D205" s="200">
        <f>IF(H205="ETAPA",0,IF(H205="SUBETAPA",OFFSET(D205,-1,0)+1,OFFSET(D205,-1,0)))</f>
        <v/>
      </c>
      <c r="E205" s="200">
        <f>IF(H205="Subetapa",0,IF(H205="serviço",OFFSET(E205,-1,0)+1,OFFSET(E205,-1,0)))</f>
        <v/>
      </c>
      <c r="F205" s="31" t="n"/>
      <c r="J205" s="61" t="n"/>
      <c r="K205" s="62" t="n"/>
      <c r="L205" s="63" t="n"/>
      <c r="M205" s="63" t="n"/>
      <c r="N205" s="68" t="n"/>
      <c r="O205" s="68" t="n"/>
      <c r="P205" s="68" t="n"/>
      <c r="Q205" s="68" t="n"/>
      <c r="R205" s="68" t="n"/>
    </row>
    <row r="206" ht="14.1" customFormat="1" customHeight="1" s="60">
      <c r="A206" s="199">
        <f>IF($H206="UNIDADE CONSTRUTIVA",OFFSET(A206,-1,0)+1,LARGE(A$3:A205,1))</f>
        <v/>
      </c>
      <c r="B206" s="199">
        <f>IF(H206="UNIDADE CONSTRUTIVA",0,IF(H206="CÉLULA CONSTRUTIVA",OFFSET(B206,-1,0)+1,OFFSET(B206,-1,0)))</f>
        <v/>
      </c>
      <c r="C206" s="199">
        <f>IF(H206="CÉLULA CONSTRUTIVA",0,IF(H206="ETAPA",OFFSET(C206,-1,0)+1,OFFSET(C206,-1,0)))</f>
        <v/>
      </c>
      <c r="D206" s="200">
        <f>IF(H206="ETAPA",0,IF(H206="SUBETAPA",OFFSET(D206,-1,0)+1,OFFSET(D206,-1,0)))</f>
        <v/>
      </c>
      <c r="E206" s="200">
        <f>IF(H206="Subetapa",0,IF(H206="serviço",OFFSET(E206,-1,0)+1,OFFSET(E206,-1,0)))</f>
        <v/>
      </c>
      <c r="F206" s="31" t="n"/>
      <c r="J206" s="61" t="n"/>
      <c r="K206" s="62" t="n"/>
      <c r="L206" s="63" t="n"/>
      <c r="M206" s="63" t="n"/>
      <c r="N206" s="68" t="n"/>
      <c r="O206" s="68" t="n"/>
      <c r="P206" s="68" t="n"/>
      <c r="Q206" s="68" t="n"/>
      <c r="R206" s="68" t="n"/>
    </row>
    <row r="207" ht="14.1" customFormat="1" customHeight="1" s="60">
      <c r="A207" s="199">
        <f>IF($H207="UNIDADE CONSTRUTIVA",OFFSET(A207,-1,0)+1,LARGE(A$3:A206,1))</f>
        <v/>
      </c>
      <c r="B207" s="199">
        <f>IF(H207="UNIDADE CONSTRUTIVA",0,IF(H207="CÉLULA CONSTRUTIVA",OFFSET(B207,-1,0)+1,OFFSET(B207,-1,0)))</f>
        <v/>
      </c>
      <c r="C207" s="199">
        <f>IF(H207="CÉLULA CONSTRUTIVA",0,IF(H207="ETAPA",OFFSET(C207,-1,0)+1,OFFSET(C207,-1,0)))</f>
        <v/>
      </c>
      <c r="D207" s="200">
        <f>IF(H207="ETAPA",0,IF(H207="SUBETAPA",OFFSET(D207,-1,0)+1,OFFSET(D207,-1,0)))</f>
        <v/>
      </c>
      <c r="E207" s="200">
        <f>IF(H207="Subetapa",0,IF(H207="serviço",OFFSET(E207,-1,0)+1,OFFSET(E207,-1,0)))</f>
        <v/>
      </c>
      <c r="F207" s="31" t="n"/>
      <c r="J207" s="61" t="n"/>
      <c r="K207" s="62" t="n"/>
      <c r="L207" s="63" t="n"/>
      <c r="M207" s="63" t="n"/>
      <c r="N207" s="68" t="n"/>
      <c r="O207" s="68" t="n"/>
      <c r="P207" s="68" t="n"/>
      <c r="Q207" s="68" t="n"/>
      <c r="R207" s="68" t="n"/>
    </row>
    <row r="208" ht="14.1" customFormat="1" customHeight="1" s="60">
      <c r="A208" s="199">
        <f>IF($H208="UNIDADE CONSTRUTIVA",OFFSET(A208,-1,0)+1,LARGE(A$3:A207,1))</f>
        <v/>
      </c>
      <c r="B208" s="199">
        <f>IF(H208="UNIDADE CONSTRUTIVA",0,IF(H208="CÉLULA CONSTRUTIVA",OFFSET(B208,-1,0)+1,OFFSET(B208,-1,0)))</f>
        <v/>
      </c>
      <c r="C208" s="199">
        <f>IF(H208="CÉLULA CONSTRUTIVA",0,IF(H208="ETAPA",OFFSET(C208,-1,0)+1,OFFSET(C208,-1,0)))</f>
        <v/>
      </c>
      <c r="D208" s="200">
        <f>IF(H208="ETAPA",0,IF(H208="SUBETAPA",OFFSET(D208,-1,0)+1,OFFSET(D208,-1,0)))</f>
        <v/>
      </c>
      <c r="E208" s="200">
        <f>IF(H208="Subetapa",0,IF(H208="serviço",OFFSET(E208,-1,0)+1,OFFSET(E208,-1,0)))</f>
        <v/>
      </c>
      <c r="F208" s="31" t="n"/>
      <c r="J208" s="61" t="n"/>
      <c r="K208" s="62" t="n"/>
      <c r="L208" s="63" t="n"/>
      <c r="M208" s="63" t="n"/>
      <c r="N208" s="68" t="n"/>
      <c r="O208" s="68" t="n"/>
      <c r="P208" s="68" t="n"/>
      <c r="Q208" s="68" t="n"/>
      <c r="R208" s="68" t="n"/>
    </row>
    <row r="209" ht="14.1" customFormat="1" customHeight="1" s="60">
      <c r="A209" s="199">
        <f>IF($H209="UNIDADE CONSTRUTIVA",OFFSET(A209,-1,0)+1,LARGE(A$3:A208,1))</f>
        <v/>
      </c>
      <c r="B209" s="199">
        <f>IF(H209="UNIDADE CONSTRUTIVA",0,IF(H209="CÉLULA CONSTRUTIVA",OFFSET(B209,-1,0)+1,OFFSET(B209,-1,0)))</f>
        <v/>
      </c>
      <c r="C209" s="199">
        <f>IF(H209="CÉLULA CONSTRUTIVA",0,IF(H209="ETAPA",OFFSET(C209,-1,0)+1,OFFSET(C209,-1,0)))</f>
        <v/>
      </c>
      <c r="D209" s="200">
        <f>IF(H209="ETAPA",0,IF(H209="SUBETAPA",OFFSET(D209,-1,0)+1,OFFSET(D209,-1,0)))</f>
        <v/>
      </c>
      <c r="E209" s="200">
        <f>IF(H209="Subetapa",0,IF(H209="serviço",OFFSET(E209,-1,0)+1,OFFSET(E209,-1,0)))</f>
        <v/>
      </c>
      <c r="F209" s="31" t="n"/>
      <c r="J209" s="61" t="n"/>
      <c r="K209" s="62" t="n"/>
      <c r="L209" s="63" t="n"/>
      <c r="M209" s="63" t="n"/>
      <c r="N209" s="68" t="n"/>
      <c r="O209" s="68" t="n"/>
      <c r="P209" s="68" t="n"/>
      <c r="Q209" s="68" t="n"/>
      <c r="R209" s="68" t="n"/>
    </row>
    <row r="210" ht="14.1" customFormat="1" customHeight="1" s="60">
      <c r="A210" s="199">
        <f>IF($H210="UNIDADE CONSTRUTIVA",OFFSET(A210,-1,0)+1,LARGE(A$3:A209,1))</f>
        <v/>
      </c>
      <c r="B210" s="199">
        <f>IF(H210="UNIDADE CONSTRUTIVA",0,IF(H210="CÉLULA CONSTRUTIVA",OFFSET(B210,-1,0)+1,OFFSET(B210,-1,0)))</f>
        <v/>
      </c>
      <c r="C210" s="199">
        <f>IF(H210="CÉLULA CONSTRUTIVA",0,IF(H210="ETAPA",OFFSET(C210,-1,0)+1,OFFSET(C210,-1,0)))</f>
        <v/>
      </c>
      <c r="D210" s="200">
        <f>IF(H210="ETAPA",0,IF(H210="SUBETAPA",OFFSET(D210,-1,0)+1,OFFSET(D210,-1,0)))</f>
        <v/>
      </c>
      <c r="E210" s="200">
        <f>IF(H210="Subetapa",0,IF(H210="serviço",OFFSET(E210,-1,0)+1,OFFSET(E210,-1,0)))</f>
        <v/>
      </c>
      <c r="F210" s="31" t="n"/>
      <c r="J210" s="61" t="n"/>
      <c r="K210" s="62" t="n"/>
      <c r="L210" s="63" t="n"/>
      <c r="M210" s="63" t="n"/>
      <c r="N210" s="68" t="n"/>
      <c r="O210" s="68" t="n"/>
      <c r="P210" s="68" t="n"/>
      <c r="Q210" s="68" t="n"/>
      <c r="R210" s="68" t="n"/>
    </row>
    <row r="211" ht="14.1" customFormat="1" customHeight="1" s="60">
      <c r="A211" s="199">
        <f>IF($H211="UNIDADE CONSTRUTIVA",OFFSET(A211,-1,0)+1,LARGE(A$3:A210,1))</f>
        <v/>
      </c>
      <c r="B211" s="199">
        <f>IF(H211="UNIDADE CONSTRUTIVA",0,IF(H211="CÉLULA CONSTRUTIVA",OFFSET(B211,-1,0)+1,OFFSET(B211,-1,0)))</f>
        <v/>
      </c>
      <c r="C211" s="199">
        <f>IF(H211="CÉLULA CONSTRUTIVA",0,IF(H211="ETAPA",OFFSET(C211,-1,0)+1,OFFSET(C211,-1,0)))</f>
        <v/>
      </c>
      <c r="D211" s="200">
        <f>IF(H211="ETAPA",0,IF(H211="SUBETAPA",OFFSET(D211,-1,0)+1,OFFSET(D211,-1,0)))</f>
        <v/>
      </c>
      <c r="E211" s="200">
        <f>IF(H211="Subetapa",0,IF(H211="serviço",OFFSET(E211,-1,0)+1,OFFSET(E211,-1,0)))</f>
        <v/>
      </c>
      <c r="F211" s="31" t="n"/>
      <c r="J211" s="61" t="n"/>
      <c r="K211" s="62" t="n"/>
      <c r="L211" s="63" t="n"/>
      <c r="M211" s="63" t="n"/>
      <c r="N211" s="68" t="n"/>
      <c r="O211" s="68" t="n"/>
      <c r="P211" s="68" t="n"/>
      <c r="Q211" s="68" t="n"/>
      <c r="R211" s="68" t="n"/>
    </row>
    <row r="212" ht="14.1" customFormat="1" customHeight="1" s="60">
      <c r="A212" s="199">
        <f>IF($H212="UNIDADE CONSTRUTIVA",OFFSET(A212,-1,0)+1,LARGE(A$3:A211,1))</f>
        <v/>
      </c>
      <c r="B212" s="199">
        <f>IF(H212="UNIDADE CONSTRUTIVA",0,IF(H212="CÉLULA CONSTRUTIVA",OFFSET(B212,-1,0)+1,OFFSET(B212,-1,0)))</f>
        <v/>
      </c>
      <c r="C212" s="199">
        <f>IF(H212="CÉLULA CONSTRUTIVA",0,IF(H212="ETAPA",OFFSET(C212,-1,0)+1,OFFSET(C212,-1,0)))</f>
        <v/>
      </c>
      <c r="D212" s="200">
        <f>IF(H212="ETAPA",0,IF(H212="SUBETAPA",OFFSET(D212,-1,0)+1,OFFSET(D212,-1,0)))</f>
        <v/>
      </c>
      <c r="E212" s="200">
        <f>IF(H212="Subetapa",0,IF(H212="serviço",OFFSET(E212,-1,0)+1,OFFSET(E212,-1,0)))</f>
        <v/>
      </c>
      <c r="F212" s="31" t="n"/>
      <c r="J212" s="61" t="n"/>
      <c r="K212" s="62" t="n"/>
      <c r="L212" s="63" t="n"/>
      <c r="M212" s="63" t="n"/>
      <c r="N212" s="68" t="n"/>
      <c r="O212" s="68" t="n"/>
      <c r="P212" s="68" t="n"/>
      <c r="Q212" s="68" t="n"/>
      <c r="R212" s="68" t="n"/>
    </row>
    <row r="213" ht="14.1" customFormat="1" customHeight="1" s="60">
      <c r="A213" s="199">
        <f>IF($H213="UNIDADE CONSTRUTIVA",OFFSET(A213,-1,0)+1,LARGE(A$3:A212,1))</f>
        <v/>
      </c>
      <c r="B213" s="199">
        <f>IF(H213="UNIDADE CONSTRUTIVA",0,IF(H213="CÉLULA CONSTRUTIVA",OFFSET(B213,-1,0)+1,OFFSET(B213,-1,0)))</f>
        <v/>
      </c>
      <c r="C213" s="199">
        <f>IF(H213="CÉLULA CONSTRUTIVA",0,IF(H213="ETAPA",OFFSET(C213,-1,0)+1,OFFSET(C213,-1,0)))</f>
        <v/>
      </c>
      <c r="D213" s="200">
        <f>IF(H213="ETAPA",0,IF(H213="SUBETAPA",OFFSET(D213,-1,0)+1,OFFSET(D213,-1,0)))</f>
        <v/>
      </c>
      <c r="E213" s="200">
        <f>IF(H213="Subetapa",0,IF(H213="serviço",OFFSET(E213,-1,0)+1,OFFSET(E213,-1,0)))</f>
        <v/>
      </c>
      <c r="F213" s="31" t="n"/>
      <c r="J213" s="61" t="n"/>
      <c r="K213" s="62" t="n"/>
      <c r="L213" s="63" t="n"/>
      <c r="M213" s="63" t="n"/>
      <c r="N213" s="68" t="n"/>
      <c r="O213" s="68" t="n"/>
      <c r="P213" s="68" t="n"/>
      <c r="Q213" s="68" t="n"/>
      <c r="R213" s="68" t="n"/>
    </row>
    <row r="214" ht="14.1" customFormat="1" customHeight="1" s="60">
      <c r="A214" s="199">
        <f>IF($H214="UNIDADE CONSTRUTIVA",OFFSET(A214,-1,0)+1,LARGE(A$3:A213,1))</f>
        <v/>
      </c>
      <c r="B214" s="199">
        <f>IF(H214="UNIDADE CONSTRUTIVA",0,IF(H214="CÉLULA CONSTRUTIVA",OFFSET(B214,-1,0)+1,OFFSET(B214,-1,0)))</f>
        <v/>
      </c>
      <c r="C214" s="199">
        <f>IF(H214="CÉLULA CONSTRUTIVA",0,IF(H214="ETAPA",OFFSET(C214,-1,0)+1,OFFSET(C214,-1,0)))</f>
        <v/>
      </c>
      <c r="D214" s="200">
        <f>IF(H214="ETAPA",0,IF(H214="SUBETAPA",OFFSET(D214,-1,0)+1,OFFSET(D214,-1,0)))</f>
        <v/>
      </c>
      <c r="E214" s="200">
        <f>IF(H214="Subetapa",0,IF(H214="serviço",OFFSET(E214,-1,0)+1,OFFSET(E214,-1,0)))</f>
        <v/>
      </c>
      <c r="F214" s="31" t="n"/>
      <c r="J214" s="61" t="n"/>
      <c r="K214" s="62" t="n"/>
      <c r="L214" s="63" t="n"/>
      <c r="M214" s="63" t="n"/>
      <c r="N214" s="68" t="n"/>
      <c r="O214" s="68" t="n"/>
      <c r="P214" s="68" t="n"/>
      <c r="Q214" s="68" t="n"/>
      <c r="R214" s="68" t="n"/>
    </row>
    <row r="215" ht="14.1" customFormat="1" customHeight="1" s="60">
      <c r="A215" s="199">
        <f>IF($H215="UNIDADE CONSTRUTIVA",OFFSET(A215,-1,0)+1,LARGE(A$3:A214,1))</f>
        <v/>
      </c>
      <c r="B215" s="199">
        <f>IF(H215="UNIDADE CONSTRUTIVA",0,IF(H215="CÉLULA CONSTRUTIVA",OFFSET(B215,-1,0)+1,OFFSET(B215,-1,0)))</f>
        <v/>
      </c>
      <c r="C215" s="199">
        <f>IF(H215="CÉLULA CONSTRUTIVA",0,IF(H215="ETAPA",OFFSET(C215,-1,0)+1,OFFSET(C215,-1,0)))</f>
        <v/>
      </c>
      <c r="D215" s="200">
        <f>IF(H215="ETAPA",0,IF(H215="SUBETAPA",OFFSET(D215,-1,0)+1,OFFSET(D215,-1,0)))</f>
        <v/>
      </c>
      <c r="E215" s="200">
        <f>IF(H215="Subetapa",0,IF(H215="serviço",OFFSET(E215,-1,0)+1,OFFSET(E215,-1,0)))</f>
        <v/>
      </c>
      <c r="F215" s="31" t="n"/>
      <c r="J215" s="61" t="n"/>
      <c r="K215" s="62" t="n"/>
      <c r="L215" s="63" t="n"/>
      <c r="M215" s="63" t="n"/>
      <c r="N215" s="68" t="n"/>
      <c r="O215" s="68" t="n"/>
      <c r="P215" s="68" t="n"/>
      <c r="Q215" s="68" t="n"/>
      <c r="R215" s="68" t="n"/>
    </row>
    <row r="216" ht="14.1" customFormat="1" customHeight="1" s="60">
      <c r="A216" s="199">
        <f>IF($H216="UNIDADE CONSTRUTIVA",OFFSET(A216,-1,0)+1,LARGE(A$3:A215,1))</f>
        <v/>
      </c>
      <c r="B216" s="199">
        <f>IF(H216="UNIDADE CONSTRUTIVA",0,IF(H216="CÉLULA CONSTRUTIVA",OFFSET(B216,-1,0)+1,OFFSET(B216,-1,0)))</f>
        <v/>
      </c>
      <c r="C216" s="199">
        <f>IF(H216="CÉLULA CONSTRUTIVA",0,IF(H216="ETAPA",OFFSET(C216,-1,0)+1,OFFSET(C216,-1,0)))</f>
        <v/>
      </c>
      <c r="D216" s="200">
        <f>IF(H216="ETAPA",0,IF(H216="SUBETAPA",OFFSET(D216,-1,0)+1,OFFSET(D216,-1,0)))</f>
        <v/>
      </c>
      <c r="E216" s="200">
        <f>IF(H216="Subetapa",0,IF(H216="serviço",OFFSET(E216,-1,0)+1,OFFSET(E216,-1,0)))</f>
        <v/>
      </c>
      <c r="F216" s="31" t="n"/>
      <c r="J216" s="61" t="n"/>
      <c r="K216" s="62" t="n"/>
      <c r="L216" s="63" t="n"/>
      <c r="M216" s="63" t="n"/>
      <c r="N216" s="68" t="n"/>
      <c r="O216" s="68" t="n"/>
      <c r="P216" s="68" t="n"/>
      <c r="Q216" s="68" t="n"/>
      <c r="R216" s="68" t="n"/>
    </row>
    <row r="217" ht="14.1" customFormat="1" customHeight="1" s="60">
      <c r="A217" s="199">
        <f>IF($H217="UNIDADE CONSTRUTIVA",OFFSET(A217,-1,0)+1,LARGE(A$3:A216,1))</f>
        <v/>
      </c>
      <c r="B217" s="199">
        <f>IF(H217="UNIDADE CONSTRUTIVA",0,IF(H217="CÉLULA CONSTRUTIVA",OFFSET(B217,-1,0)+1,OFFSET(B217,-1,0)))</f>
        <v/>
      </c>
      <c r="C217" s="199">
        <f>IF(H217="CÉLULA CONSTRUTIVA",0,IF(H217="ETAPA",OFFSET(C217,-1,0)+1,OFFSET(C217,-1,0)))</f>
        <v/>
      </c>
      <c r="D217" s="200">
        <f>IF(H217="ETAPA",0,IF(H217="SUBETAPA",OFFSET(D217,-1,0)+1,OFFSET(D217,-1,0)))</f>
        <v/>
      </c>
      <c r="E217" s="200">
        <f>IF(H217="Subetapa",0,IF(H217="serviço",OFFSET(E217,-1,0)+1,OFFSET(E217,-1,0)))</f>
        <v/>
      </c>
      <c r="F217" s="31" t="n"/>
      <c r="J217" s="61" t="n"/>
      <c r="K217" s="62" t="n"/>
      <c r="L217" s="63" t="n"/>
      <c r="M217" s="63" t="n"/>
      <c r="N217" s="68" t="n"/>
      <c r="O217" s="68" t="n"/>
      <c r="P217" s="68" t="n"/>
      <c r="Q217" s="68" t="n"/>
      <c r="R217" s="68" t="n"/>
    </row>
    <row r="218" ht="14.1" customFormat="1" customHeight="1" s="60">
      <c r="A218" s="199">
        <f>IF($H218="UNIDADE CONSTRUTIVA",OFFSET(A218,-1,0)+1,LARGE(A$3:A217,1))</f>
        <v/>
      </c>
      <c r="B218" s="199">
        <f>IF(H218="UNIDADE CONSTRUTIVA",0,IF(H218="CÉLULA CONSTRUTIVA",OFFSET(B218,-1,0)+1,OFFSET(B218,-1,0)))</f>
        <v/>
      </c>
      <c r="C218" s="199">
        <f>IF(H218="CÉLULA CONSTRUTIVA",0,IF(H218="ETAPA",OFFSET(C218,-1,0)+1,OFFSET(C218,-1,0)))</f>
        <v/>
      </c>
      <c r="D218" s="200">
        <f>IF(H218="ETAPA",0,IF(H218="SUBETAPA",OFFSET(D218,-1,0)+1,OFFSET(D218,-1,0)))</f>
        <v/>
      </c>
      <c r="E218" s="200">
        <f>IF(H218="Subetapa",0,IF(H218="serviço",OFFSET(E218,-1,0)+1,OFFSET(E218,-1,0)))</f>
        <v/>
      </c>
      <c r="F218" s="31" t="n"/>
      <c r="J218" s="61" t="n"/>
      <c r="K218" s="62" t="n"/>
      <c r="L218" s="63" t="n"/>
      <c r="M218" s="63" t="n"/>
      <c r="N218" s="68" t="n"/>
      <c r="O218" s="68" t="n"/>
      <c r="P218" s="68" t="n"/>
      <c r="Q218" s="68" t="n"/>
      <c r="R218" s="68" t="n"/>
    </row>
    <row r="219" ht="14.1" customFormat="1" customHeight="1" s="60">
      <c r="A219" s="199">
        <f>IF($H219="UNIDADE CONSTRUTIVA",OFFSET(A219,-1,0)+1,LARGE(A$3:A218,1))</f>
        <v/>
      </c>
      <c r="B219" s="199">
        <f>IF(H219="UNIDADE CONSTRUTIVA",0,IF(H219="CÉLULA CONSTRUTIVA",OFFSET(B219,-1,0)+1,OFFSET(B219,-1,0)))</f>
        <v/>
      </c>
      <c r="C219" s="199">
        <f>IF(H219="CÉLULA CONSTRUTIVA",0,IF(H219="ETAPA",OFFSET(C219,-1,0)+1,OFFSET(C219,-1,0)))</f>
        <v/>
      </c>
      <c r="D219" s="200">
        <f>IF(H219="ETAPA",0,IF(H219="SUBETAPA",OFFSET(D219,-1,0)+1,OFFSET(D219,-1,0)))</f>
        <v/>
      </c>
      <c r="E219" s="200">
        <f>IF(H219="Subetapa",0,IF(H219="serviço",OFFSET(E219,-1,0)+1,OFFSET(E219,-1,0)))</f>
        <v/>
      </c>
      <c r="F219" s="31" t="n"/>
      <c r="J219" s="61" t="n"/>
      <c r="K219" s="62" t="n"/>
      <c r="L219" s="63" t="n"/>
      <c r="M219" s="63" t="n"/>
      <c r="N219" s="68" t="n"/>
      <c r="O219" s="68" t="n"/>
      <c r="P219" s="68" t="n"/>
      <c r="Q219" s="68" t="n"/>
      <c r="R219" s="68" t="n"/>
    </row>
    <row r="220" ht="14.1" customFormat="1" customHeight="1" s="60">
      <c r="A220" s="199">
        <f>IF($H220="UNIDADE CONSTRUTIVA",OFFSET(A220,-1,0)+1,LARGE(A$3:A219,1))</f>
        <v/>
      </c>
      <c r="B220" s="199">
        <f>IF(H220="UNIDADE CONSTRUTIVA",0,IF(H220="CÉLULA CONSTRUTIVA",OFFSET(B220,-1,0)+1,OFFSET(B220,-1,0)))</f>
        <v/>
      </c>
      <c r="C220" s="199">
        <f>IF(H220="CÉLULA CONSTRUTIVA",0,IF(H220="ETAPA",OFFSET(C220,-1,0)+1,OFFSET(C220,-1,0)))</f>
        <v/>
      </c>
      <c r="D220" s="200">
        <f>IF(H220="ETAPA",0,IF(H220="SUBETAPA",OFFSET(D220,-1,0)+1,OFFSET(D220,-1,0)))</f>
        <v/>
      </c>
      <c r="E220" s="200">
        <f>IF(H220="Subetapa",0,IF(H220="serviço",OFFSET(E220,-1,0)+1,OFFSET(E220,-1,0)))</f>
        <v/>
      </c>
      <c r="F220" s="31" t="n"/>
      <c r="J220" s="61" t="n"/>
      <c r="K220" s="62" t="n"/>
      <c r="L220" s="63" t="n"/>
      <c r="M220" s="63" t="n"/>
      <c r="N220" s="68" t="n"/>
      <c r="O220" s="68" t="n"/>
      <c r="P220" s="68" t="n"/>
      <c r="Q220" s="68" t="n"/>
      <c r="R220" s="68" t="n"/>
    </row>
    <row r="221" ht="14.1" customFormat="1" customHeight="1" s="60">
      <c r="A221" s="199">
        <f>IF($H221="UNIDADE CONSTRUTIVA",OFFSET(A221,-1,0)+1,LARGE(A$3:A220,1))</f>
        <v/>
      </c>
      <c r="B221" s="199">
        <f>IF(H221="UNIDADE CONSTRUTIVA",0,IF(H221="CÉLULA CONSTRUTIVA",OFFSET(B221,-1,0)+1,OFFSET(B221,-1,0)))</f>
        <v/>
      </c>
      <c r="C221" s="199">
        <f>IF(H221="CÉLULA CONSTRUTIVA",0,IF(H221="ETAPA",OFFSET(C221,-1,0)+1,OFFSET(C221,-1,0)))</f>
        <v/>
      </c>
      <c r="D221" s="200">
        <f>IF(H221="ETAPA",0,IF(H221="SUBETAPA",OFFSET(D221,-1,0)+1,OFFSET(D221,-1,0)))</f>
        <v/>
      </c>
      <c r="E221" s="200">
        <f>IF(H221="Subetapa",0,IF(H221="serviço",OFFSET(E221,-1,0)+1,OFFSET(E221,-1,0)))</f>
        <v/>
      </c>
      <c r="F221" s="31" t="n"/>
      <c r="J221" s="61" t="n"/>
      <c r="K221" s="62" t="n"/>
      <c r="L221" s="63" t="n"/>
      <c r="M221" s="63" t="n"/>
      <c r="N221" s="68" t="n"/>
      <c r="O221" s="68" t="n"/>
      <c r="P221" s="68" t="n"/>
      <c r="Q221" s="68" t="n"/>
      <c r="R221" s="68" t="n"/>
    </row>
    <row r="222" ht="14.1" customFormat="1" customHeight="1" s="60">
      <c r="A222" s="199">
        <f>IF($H222="UNIDADE CONSTRUTIVA",OFFSET(A222,-1,0)+1,LARGE(A$3:A221,1))</f>
        <v/>
      </c>
      <c r="B222" s="199">
        <f>IF(H222="UNIDADE CONSTRUTIVA",0,IF(H222="CÉLULA CONSTRUTIVA",OFFSET(B222,-1,0)+1,OFFSET(B222,-1,0)))</f>
        <v/>
      </c>
      <c r="C222" s="199">
        <f>IF(H222="CÉLULA CONSTRUTIVA",0,IF(H222="ETAPA",OFFSET(C222,-1,0)+1,OFFSET(C222,-1,0)))</f>
        <v/>
      </c>
      <c r="D222" s="200">
        <f>IF(H222="ETAPA",0,IF(H222="SUBETAPA",OFFSET(D222,-1,0)+1,OFFSET(D222,-1,0)))</f>
        <v/>
      </c>
      <c r="E222" s="200">
        <f>IF(H222="Subetapa",0,IF(H222="serviço",OFFSET(E222,-1,0)+1,OFFSET(E222,-1,0)))</f>
        <v/>
      </c>
      <c r="F222" s="31" t="n"/>
      <c r="J222" s="61" t="n"/>
      <c r="K222" s="62" t="n"/>
      <c r="L222" s="63" t="n"/>
      <c r="M222" s="63" t="n"/>
      <c r="N222" s="68" t="n"/>
      <c r="O222" s="68" t="n"/>
      <c r="P222" s="68" t="n"/>
      <c r="Q222" s="68" t="n"/>
      <c r="R222" s="68" t="n"/>
    </row>
    <row r="223" ht="14.1" customFormat="1" customHeight="1" s="60">
      <c r="A223" s="199">
        <f>IF($H223="UNIDADE CONSTRUTIVA",OFFSET(A223,-1,0)+1,LARGE(A$3:A222,1))</f>
        <v/>
      </c>
      <c r="B223" s="199">
        <f>IF(H223="UNIDADE CONSTRUTIVA",0,IF(H223="CÉLULA CONSTRUTIVA",OFFSET(B223,-1,0)+1,OFFSET(B223,-1,0)))</f>
        <v/>
      </c>
      <c r="C223" s="199">
        <f>IF(H223="CÉLULA CONSTRUTIVA",0,IF(H223="ETAPA",OFFSET(C223,-1,0)+1,OFFSET(C223,-1,0)))</f>
        <v/>
      </c>
      <c r="D223" s="200">
        <f>IF(H223="ETAPA",0,IF(H223="SUBETAPA",OFFSET(D223,-1,0)+1,OFFSET(D223,-1,0)))</f>
        <v/>
      </c>
      <c r="E223" s="200">
        <f>IF(H223="Subetapa",0,IF(H223="serviço",OFFSET(E223,-1,0)+1,OFFSET(E223,-1,0)))</f>
        <v/>
      </c>
      <c r="F223" s="31" t="n"/>
      <c r="J223" s="61" t="n"/>
      <c r="K223" s="62" t="n"/>
      <c r="L223" s="63" t="n"/>
      <c r="M223" s="63" t="n"/>
      <c r="N223" s="68" t="n"/>
      <c r="O223" s="68" t="n"/>
      <c r="P223" s="68" t="n"/>
      <c r="Q223" s="68" t="n"/>
      <c r="R223" s="68" t="n"/>
    </row>
    <row r="224" ht="14.1" customFormat="1" customHeight="1" s="60">
      <c r="A224" s="199">
        <f>IF($H224="UNIDADE CONSTRUTIVA",OFFSET(A224,-1,0)+1,LARGE(A$3:A223,1))</f>
        <v/>
      </c>
      <c r="B224" s="199">
        <f>IF(H224="UNIDADE CONSTRUTIVA",0,IF(H224="CÉLULA CONSTRUTIVA",OFFSET(B224,-1,0)+1,OFFSET(B224,-1,0)))</f>
        <v/>
      </c>
      <c r="C224" s="199">
        <f>IF(H224="CÉLULA CONSTRUTIVA",0,IF(H224="ETAPA",OFFSET(C224,-1,0)+1,OFFSET(C224,-1,0)))</f>
        <v/>
      </c>
      <c r="D224" s="200">
        <f>IF(H224="ETAPA",0,IF(H224="SUBETAPA",OFFSET(D224,-1,0)+1,OFFSET(D224,-1,0)))</f>
        <v/>
      </c>
      <c r="E224" s="200">
        <f>IF(H224="Subetapa",0,IF(H224="serviço",OFFSET(E224,-1,0)+1,OFFSET(E224,-1,0)))</f>
        <v/>
      </c>
      <c r="F224" s="31" t="n"/>
      <c r="J224" s="61" t="n"/>
      <c r="K224" s="62" t="n"/>
      <c r="L224" s="63" t="n"/>
      <c r="M224" s="63" t="n"/>
      <c r="N224" s="68" t="n"/>
      <c r="O224" s="68" t="n"/>
      <c r="P224" s="68" t="n"/>
      <c r="Q224" s="68" t="n"/>
      <c r="R224" s="68" t="n"/>
    </row>
    <row r="225" ht="14.1" customFormat="1" customHeight="1" s="60">
      <c r="A225" s="199">
        <f>IF($H225="UNIDADE CONSTRUTIVA",OFFSET(A225,-1,0)+1,LARGE(A$3:A224,1))</f>
        <v/>
      </c>
      <c r="B225" s="199">
        <f>IF(H225="UNIDADE CONSTRUTIVA",0,IF(H225="CÉLULA CONSTRUTIVA",OFFSET(B225,-1,0)+1,OFFSET(B225,-1,0)))</f>
        <v/>
      </c>
      <c r="C225" s="199">
        <f>IF(H225="CÉLULA CONSTRUTIVA",0,IF(H225="ETAPA",OFFSET(C225,-1,0)+1,OFFSET(C225,-1,0)))</f>
        <v/>
      </c>
      <c r="D225" s="200">
        <f>IF(H225="ETAPA",0,IF(H225="SUBETAPA",OFFSET(D225,-1,0)+1,OFFSET(D225,-1,0)))</f>
        <v/>
      </c>
      <c r="E225" s="200">
        <f>IF(H225="Subetapa",0,IF(H225="serviço",OFFSET(E225,-1,0)+1,OFFSET(E225,-1,0)))</f>
        <v/>
      </c>
      <c r="F225" s="31" t="n"/>
      <c r="J225" s="61" t="n"/>
      <c r="K225" s="62" t="n"/>
      <c r="L225" s="63" t="n"/>
      <c r="M225" s="63" t="n"/>
      <c r="N225" s="68" t="n"/>
      <c r="O225" s="68" t="n"/>
      <c r="P225" s="68" t="n"/>
      <c r="Q225" s="68" t="n"/>
      <c r="R225" s="68" t="n"/>
    </row>
    <row r="226" ht="14.1" customFormat="1" customHeight="1" s="60">
      <c r="A226" s="199">
        <f>IF($H226="UNIDADE CONSTRUTIVA",OFFSET(A226,-1,0)+1,LARGE(A$3:A225,1))</f>
        <v/>
      </c>
      <c r="B226" s="199">
        <f>IF(H226="UNIDADE CONSTRUTIVA",0,IF(H226="CÉLULA CONSTRUTIVA",OFFSET(B226,-1,0)+1,OFFSET(B226,-1,0)))</f>
        <v/>
      </c>
      <c r="C226" s="199">
        <f>IF(H226="CÉLULA CONSTRUTIVA",0,IF(H226="ETAPA",OFFSET(C226,-1,0)+1,OFFSET(C226,-1,0)))</f>
        <v/>
      </c>
      <c r="D226" s="200">
        <f>IF(H226="ETAPA",0,IF(H226="SUBETAPA",OFFSET(D226,-1,0)+1,OFFSET(D226,-1,0)))</f>
        <v/>
      </c>
      <c r="E226" s="200">
        <f>IF(H226="Subetapa",0,IF(H226="serviço",OFFSET(E226,-1,0)+1,OFFSET(E226,-1,0)))</f>
        <v/>
      </c>
      <c r="F226" s="31" t="n"/>
      <c r="J226" s="61" t="n"/>
      <c r="K226" s="62" t="n"/>
      <c r="L226" s="63" t="n"/>
      <c r="M226" s="63" t="n"/>
      <c r="N226" s="68" t="n"/>
      <c r="O226" s="68" t="n"/>
      <c r="P226" s="68" t="n"/>
      <c r="Q226" s="68" t="n"/>
      <c r="R226" s="68" t="n"/>
    </row>
    <row r="227" ht="14.1" customFormat="1" customHeight="1" s="60">
      <c r="A227" s="199">
        <f>IF($H227="UNIDADE CONSTRUTIVA",OFFSET(A227,-1,0)+1,LARGE(A$3:A226,1))</f>
        <v/>
      </c>
      <c r="B227" s="199">
        <f>IF(H227="UNIDADE CONSTRUTIVA",0,IF(H227="CÉLULA CONSTRUTIVA",OFFSET(B227,-1,0)+1,OFFSET(B227,-1,0)))</f>
        <v/>
      </c>
      <c r="C227" s="199">
        <f>IF(H227="CÉLULA CONSTRUTIVA",0,IF(H227="ETAPA",OFFSET(C227,-1,0)+1,OFFSET(C227,-1,0)))</f>
        <v/>
      </c>
      <c r="D227" s="200">
        <f>IF(H227="ETAPA",0,IF(H227="SUBETAPA",OFFSET(D227,-1,0)+1,OFFSET(D227,-1,0)))</f>
        <v/>
      </c>
      <c r="E227" s="200">
        <f>IF(H227="Subetapa",0,IF(H227="serviço",OFFSET(E227,-1,0)+1,OFFSET(E227,-1,0)))</f>
        <v/>
      </c>
      <c r="F227" s="31" t="n"/>
      <c r="J227" s="61" t="n"/>
      <c r="K227" s="62" t="n"/>
      <c r="L227" s="63" t="n"/>
      <c r="M227" s="63" t="n"/>
      <c r="N227" s="68" t="n"/>
      <c r="O227" s="68" t="n"/>
      <c r="P227" s="68" t="n"/>
      <c r="Q227" s="68" t="n"/>
      <c r="R227" s="68" t="n"/>
    </row>
    <row r="228" ht="14.1" customFormat="1" customHeight="1" s="60">
      <c r="A228" s="199">
        <f>IF($H228="UNIDADE CONSTRUTIVA",OFFSET(A228,-1,0)+1,LARGE(A$3:A227,1))</f>
        <v/>
      </c>
      <c r="B228" s="199">
        <f>IF(H228="UNIDADE CONSTRUTIVA",0,IF(H228="CÉLULA CONSTRUTIVA",OFFSET(B228,-1,0)+1,OFFSET(B228,-1,0)))</f>
        <v/>
      </c>
      <c r="C228" s="199">
        <f>IF(H228="CÉLULA CONSTRUTIVA",0,IF(H228="ETAPA",OFFSET(C228,-1,0)+1,OFFSET(C228,-1,0)))</f>
        <v/>
      </c>
      <c r="D228" s="200">
        <f>IF(H228="ETAPA",0,IF(H228="SUBETAPA",OFFSET(D228,-1,0)+1,OFFSET(D228,-1,0)))</f>
        <v/>
      </c>
      <c r="E228" s="200">
        <f>IF(H228="Subetapa",0,IF(H228="serviço",OFFSET(E228,-1,0)+1,OFFSET(E228,-1,0)))</f>
        <v/>
      </c>
      <c r="F228" s="31" t="n"/>
      <c r="J228" s="61" t="n"/>
      <c r="K228" s="62" t="n"/>
      <c r="L228" s="63" t="n"/>
      <c r="M228" s="63" t="n"/>
      <c r="N228" s="68" t="n"/>
      <c r="O228" s="68" t="n"/>
      <c r="P228" s="68" t="n"/>
      <c r="Q228" s="68" t="n"/>
      <c r="R228" s="68" t="n"/>
    </row>
    <row r="229" ht="14.1" customFormat="1" customHeight="1" s="60">
      <c r="A229" s="199">
        <f>IF($H229="UNIDADE CONSTRUTIVA",OFFSET(A229,-1,0)+1,LARGE(A$3:A228,1))</f>
        <v/>
      </c>
      <c r="B229" s="199">
        <f>IF(H229="UNIDADE CONSTRUTIVA",0,IF(H229="CÉLULA CONSTRUTIVA",OFFSET(B229,-1,0)+1,OFFSET(B229,-1,0)))</f>
        <v/>
      </c>
      <c r="C229" s="199">
        <f>IF(H229="CÉLULA CONSTRUTIVA",0,IF(H229="ETAPA",OFFSET(C229,-1,0)+1,OFFSET(C229,-1,0)))</f>
        <v/>
      </c>
      <c r="D229" s="200">
        <f>IF(H229="ETAPA",0,IF(H229="SUBETAPA",OFFSET(D229,-1,0)+1,OFFSET(D229,-1,0)))</f>
        <v/>
      </c>
      <c r="E229" s="200">
        <f>IF(H229="Subetapa",0,IF(H229="serviço",OFFSET(E229,-1,0)+1,OFFSET(E229,-1,0)))</f>
        <v/>
      </c>
      <c r="F229" s="31" t="n"/>
      <c r="J229" s="61" t="n"/>
      <c r="K229" s="62" t="n"/>
      <c r="L229" s="63" t="n"/>
      <c r="M229" s="63" t="n"/>
      <c r="N229" s="68" t="n"/>
      <c r="O229" s="68" t="n"/>
      <c r="P229" s="68" t="n"/>
      <c r="Q229" s="68" t="n"/>
      <c r="R229" s="68" t="n"/>
    </row>
    <row r="230" ht="14.1" customFormat="1" customHeight="1" s="60">
      <c r="A230" s="199">
        <f>IF($H230="UNIDADE CONSTRUTIVA",OFFSET(A230,-1,0)+1,LARGE(A$3:A229,1))</f>
        <v/>
      </c>
      <c r="B230" s="199">
        <f>IF(H230="UNIDADE CONSTRUTIVA",0,IF(H230="CÉLULA CONSTRUTIVA",OFFSET(B230,-1,0)+1,OFFSET(B230,-1,0)))</f>
        <v/>
      </c>
      <c r="C230" s="199">
        <f>IF(H230="CÉLULA CONSTRUTIVA",0,IF(H230="ETAPA",OFFSET(C230,-1,0)+1,OFFSET(C230,-1,0)))</f>
        <v/>
      </c>
      <c r="D230" s="200">
        <f>IF(H230="ETAPA",0,IF(H230="SUBETAPA",OFFSET(D230,-1,0)+1,OFFSET(D230,-1,0)))</f>
        <v/>
      </c>
      <c r="E230" s="200">
        <f>IF(H230="Subetapa",0,IF(H230="serviço",OFFSET(E230,-1,0)+1,OFFSET(E230,-1,0)))</f>
        <v/>
      </c>
      <c r="F230" s="31" t="n"/>
      <c r="J230" s="61" t="n"/>
      <c r="K230" s="62" t="n"/>
      <c r="L230" s="63" t="n"/>
      <c r="M230" s="63" t="n"/>
      <c r="N230" s="68" t="n"/>
      <c r="O230" s="68" t="n"/>
      <c r="P230" s="68" t="n"/>
      <c r="Q230" s="68" t="n"/>
      <c r="R230" s="68" t="n"/>
    </row>
    <row r="231" ht="14.1" customFormat="1" customHeight="1" s="60">
      <c r="A231" s="199">
        <f>IF($H231="UNIDADE CONSTRUTIVA",OFFSET(A231,-1,0)+1,LARGE(A$3:A230,1))</f>
        <v/>
      </c>
      <c r="B231" s="199">
        <f>IF(H231="UNIDADE CONSTRUTIVA",0,IF(H231="CÉLULA CONSTRUTIVA",OFFSET(B231,-1,0)+1,OFFSET(B231,-1,0)))</f>
        <v/>
      </c>
      <c r="C231" s="199">
        <f>IF(H231="CÉLULA CONSTRUTIVA",0,IF(H231="ETAPA",OFFSET(C231,-1,0)+1,OFFSET(C231,-1,0)))</f>
        <v/>
      </c>
      <c r="D231" s="200">
        <f>IF(H231="ETAPA",0,IF(H231="SUBETAPA",OFFSET(D231,-1,0)+1,OFFSET(D231,-1,0)))</f>
        <v/>
      </c>
      <c r="E231" s="200">
        <f>IF(H231="Subetapa",0,IF(H231="serviço",OFFSET(E231,-1,0)+1,OFFSET(E231,-1,0)))</f>
        <v/>
      </c>
      <c r="F231" s="31" t="n"/>
      <c r="J231" s="61" t="n"/>
      <c r="K231" s="62" t="n"/>
      <c r="L231" s="63" t="n"/>
      <c r="M231" s="63" t="n"/>
      <c r="N231" s="68" t="n"/>
      <c r="O231" s="68" t="n"/>
      <c r="P231" s="68" t="n"/>
      <c r="Q231" s="68" t="n"/>
      <c r="R231" s="68" t="n"/>
    </row>
    <row r="232" ht="14.1" customFormat="1" customHeight="1" s="60">
      <c r="A232" s="199">
        <f>IF($H232="UNIDADE CONSTRUTIVA",OFFSET(A232,-1,0)+1,LARGE(A$3:A231,1))</f>
        <v/>
      </c>
      <c r="B232" s="199">
        <f>IF(H232="UNIDADE CONSTRUTIVA",0,IF(H232="CÉLULA CONSTRUTIVA",OFFSET(B232,-1,0)+1,OFFSET(B232,-1,0)))</f>
        <v/>
      </c>
      <c r="C232" s="199">
        <f>IF(H232="CÉLULA CONSTRUTIVA",0,IF(H232="ETAPA",OFFSET(C232,-1,0)+1,OFFSET(C232,-1,0)))</f>
        <v/>
      </c>
      <c r="D232" s="200">
        <f>IF(H232="ETAPA",0,IF(H232="SUBETAPA",OFFSET(D232,-1,0)+1,OFFSET(D232,-1,0)))</f>
        <v/>
      </c>
      <c r="E232" s="200">
        <f>IF(H232="Subetapa",0,IF(H232="serviço",OFFSET(E232,-1,0)+1,OFFSET(E232,-1,0)))</f>
        <v/>
      </c>
      <c r="F232" s="31" t="n"/>
      <c r="J232" s="61" t="n"/>
      <c r="K232" s="62" t="n"/>
      <c r="L232" s="63" t="n"/>
      <c r="M232" s="63" t="n"/>
      <c r="N232" s="68" t="n"/>
      <c r="O232" s="68" t="n"/>
      <c r="P232" s="68" t="n"/>
      <c r="Q232" s="68" t="n"/>
      <c r="R232" s="68" t="n"/>
    </row>
    <row r="233" ht="14.1" customFormat="1" customHeight="1" s="60">
      <c r="A233" s="199">
        <f>IF($H233="UNIDADE CONSTRUTIVA",OFFSET(A233,-1,0)+1,LARGE(A$3:A232,1))</f>
        <v/>
      </c>
      <c r="B233" s="199">
        <f>IF(H233="UNIDADE CONSTRUTIVA",0,IF(H233="CÉLULA CONSTRUTIVA",OFFSET(B233,-1,0)+1,OFFSET(B233,-1,0)))</f>
        <v/>
      </c>
      <c r="C233" s="199">
        <f>IF(H233="CÉLULA CONSTRUTIVA",0,IF(H233="ETAPA",OFFSET(C233,-1,0)+1,OFFSET(C233,-1,0)))</f>
        <v/>
      </c>
      <c r="D233" s="200">
        <f>IF(H233="ETAPA",0,IF(H233="SUBETAPA",OFFSET(D233,-1,0)+1,OFFSET(D233,-1,0)))</f>
        <v/>
      </c>
      <c r="E233" s="200">
        <f>IF(H233="Subetapa",0,IF(H233="serviço",OFFSET(E233,-1,0)+1,OFFSET(E233,-1,0)))</f>
        <v/>
      </c>
      <c r="F233" s="31" t="n"/>
      <c r="J233" s="61" t="n"/>
      <c r="K233" s="62" t="n"/>
      <c r="L233" s="63" t="n"/>
      <c r="M233" s="63" t="n"/>
      <c r="N233" s="68" t="n"/>
      <c r="O233" s="68" t="n"/>
      <c r="P233" s="68" t="n"/>
      <c r="Q233" s="68" t="n"/>
      <c r="R233" s="68" t="n"/>
    </row>
    <row r="234" ht="14.1" customFormat="1" customHeight="1" s="60">
      <c r="A234" s="199">
        <f>IF($H234="UNIDADE CONSTRUTIVA",OFFSET(A234,-1,0)+1,LARGE(A$3:A233,1))</f>
        <v/>
      </c>
      <c r="B234" s="199">
        <f>IF(H234="UNIDADE CONSTRUTIVA",0,IF(H234="CÉLULA CONSTRUTIVA",OFFSET(B234,-1,0)+1,OFFSET(B234,-1,0)))</f>
        <v/>
      </c>
      <c r="C234" s="199">
        <f>IF(H234="CÉLULA CONSTRUTIVA",0,IF(H234="ETAPA",OFFSET(C234,-1,0)+1,OFFSET(C234,-1,0)))</f>
        <v/>
      </c>
      <c r="D234" s="200">
        <f>IF(H234="ETAPA",0,IF(H234="SUBETAPA",OFFSET(D234,-1,0)+1,OFFSET(D234,-1,0)))</f>
        <v/>
      </c>
      <c r="E234" s="200">
        <f>IF(H234="Subetapa",0,IF(H234="serviço",OFFSET(E234,-1,0)+1,OFFSET(E234,-1,0)))</f>
        <v/>
      </c>
      <c r="F234" s="31" t="n"/>
      <c r="J234" s="61" t="n"/>
      <c r="K234" s="62" t="n"/>
      <c r="L234" s="63" t="n"/>
      <c r="M234" s="63" t="n"/>
      <c r="N234" s="68" t="n"/>
      <c r="O234" s="68" t="n"/>
      <c r="P234" s="68" t="n"/>
      <c r="Q234" s="68" t="n"/>
      <c r="R234" s="68" t="n"/>
    </row>
    <row r="235" ht="14.1" customFormat="1" customHeight="1" s="60">
      <c r="A235" s="199">
        <f>IF($H235="UNIDADE CONSTRUTIVA",OFFSET(A235,-1,0)+1,LARGE(A$3:A234,1))</f>
        <v/>
      </c>
      <c r="B235" s="199">
        <f>IF(H235="UNIDADE CONSTRUTIVA",0,IF(H235="CÉLULA CONSTRUTIVA",OFFSET(B235,-1,0)+1,OFFSET(B235,-1,0)))</f>
        <v/>
      </c>
      <c r="C235" s="199">
        <f>IF(H235="CÉLULA CONSTRUTIVA",0,IF(H235="ETAPA",OFFSET(C235,-1,0)+1,OFFSET(C235,-1,0)))</f>
        <v/>
      </c>
      <c r="D235" s="200">
        <f>IF(H235="ETAPA",0,IF(H235="SUBETAPA",OFFSET(D235,-1,0)+1,OFFSET(D235,-1,0)))</f>
        <v/>
      </c>
      <c r="E235" s="200">
        <f>IF(H235="Subetapa",0,IF(H235="serviço",OFFSET(E235,-1,0)+1,OFFSET(E235,-1,0)))</f>
        <v/>
      </c>
      <c r="F235" s="31" t="n"/>
      <c r="J235" s="61" t="n"/>
      <c r="K235" s="62" t="n"/>
      <c r="L235" s="63" t="n"/>
      <c r="M235" s="63" t="n"/>
      <c r="N235" s="68" t="n"/>
      <c r="O235" s="68" t="n"/>
      <c r="P235" s="68" t="n"/>
      <c r="Q235" s="68" t="n"/>
      <c r="R235" s="68" t="n"/>
    </row>
    <row r="236" ht="14.1" customFormat="1" customHeight="1" s="60">
      <c r="A236" s="199">
        <f>IF($H236="UNIDADE CONSTRUTIVA",OFFSET(A236,-1,0)+1,LARGE(A$3:A235,1))</f>
        <v/>
      </c>
      <c r="B236" s="199">
        <f>IF(H236="UNIDADE CONSTRUTIVA",0,IF(H236="CÉLULA CONSTRUTIVA",OFFSET(B236,-1,0)+1,OFFSET(B236,-1,0)))</f>
        <v/>
      </c>
      <c r="C236" s="199">
        <f>IF(H236="CÉLULA CONSTRUTIVA",0,IF(H236="ETAPA",OFFSET(C236,-1,0)+1,OFFSET(C236,-1,0)))</f>
        <v/>
      </c>
      <c r="D236" s="200">
        <f>IF(H236="ETAPA",0,IF(H236="SUBETAPA",OFFSET(D236,-1,0)+1,OFFSET(D236,-1,0)))</f>
        <v/>
      </c>
      <c r="E236" s="200">
        <f>IF(H236="Subetapa",0,IF(H236="serviço",OFFSET(E236,-1,0)+1,OFFSET(E236,-1,0)))</f>
        <v/>
      </c>
      <c r="F236" s="31" t="n"/>
      <c r="J236" s="61" t="n"/>
      <c r="K236" s="62" t="n"/>
      <c r="L236" s="63" t="n"/>
      <c r="M236" s="63" t="n"/>
      <c r="N236" s="68" t="n"/>
      <c r="O236" s="68" t="n"/>
      <c r="P236" s="68" t="n"/>
      <c r="Q236" s="68" t="n"/>
      <c r="R236" s="68" t="n"/>
    </row>
    <row r="237" ht="14.1" customFormat="1" customHeight="1" s="60">
      <c r="A237" s="199">
        <f>IF($H237="UNIDADE CONSTRUTIVA",OFFSET(A237,-1,0)+1,LARGE(A$3:A236,1))</f>
        <v/>
      </c>
      <c r="B237" s="199">
        <f>IF(H237="UNIDADE CONSTRUTIVA",0,IF(H237="CÉLULA CONSTRUTIVA",OFFSET(B237,-1,0)+1,OFFSET(B237,-1,0)))</f>
        <v/>
      </c>
      <c r="C237" s="199">
        <f>IF(H237="CÉLULA CONSTRUTIVA",0,IF(H237="ETAPA",OFFSET(C237,-1,0)+1,OFFSET(C237,-1,0)))</f>
        <v/>
      </c>
      <c r="D237" s="200">
        <f>IF(H237="ETAPA",0,IF(H237="SUBETAPA",OFFSET(D237,-1,0)+1,OFFSET(D237,-1,0)))</f>
        <v/>
      </c>
      <c r="E237" s="200">
        <f>IF(H237="Subetapa",0,IF(H237="serviço",OFFSET(E237,-1,0)+1,OFFSET(E237,-1,0)))</f>
        <v/>
      </c>
      <c r="F237" s="31" t="n"/>
      <c r="J237" s="61" t="n"/>
      <c r="K237" s="62" t="n"/>
      <c r="L237" s="63" t="n"/>
      <c r="M237" s="63" t="n"/>
      <c r="N237" s="68" t="n"/>
      <c r="O237" s="68" t="n"/>
      <c r="P237" s="68" t="n"/>
      <c r="Q237" s="68" t="n"/>
      <c r="R237" s="68" t="n"/>
    </row>
    <row r="238" ht="14.1" customFormat="1" customHeight="1" s="60">
      <c r="A238" s="199">
        <f>IF($H238="UNIDADE CONSTRUTIVA",OFFSET(A238,-1,0)+1,LARGE(A$3:A237,1))</f>
        <v/>
      </c>
      <c r="B238" s="199">
        <f>IF(H238="UNIDADE CONSTRUTIVA",0,IF(H238="CÉLULA CONSTRUTIVA",OFFSET(B238,-1,0)+1,OFFSET(B238,-1,0)))</f>
        <v/>
      </c>
      <c r="C238" s="199">
        <f>IF(H238="CÉLULA CONSTRUTIVA",0,IF(H238="ETAPA",OFFSET(C238,-1,0)+1,OFFSET(C238,-1,0)))</f>
        <v/>
      </c>
      <c r="D238" s="200">
        <f>IF(H238="ETAPA",0,IF(H238="SUBETAPA",OFFSET(D238,-1,0)+1,OFFSET(D238,-1,0)))</f>
        <v/>
      </c>
      <c r="E238" s="200">
        <f>IF(H238="Subetapa",0,IF(H238="serviço",OFFSET(E238,-1,0)+1,OFFSET(E238,-1,0)))</f>
        <v/>
      </c>
      <c r="F238" s="31" t="n"/>
      <c r="J238" s="61" t="n"/>
      <c r="K238" s="62" t="n"/>
      <c r="L238" s="63" t="n"/>
      <c r="M238" s="63" t="n"/>
      <c r="N238" s="68" t="n"/>
      <c r="O238" s="68" t="n"/>
      <c r="P238" s="68" t="n"/>
      <c r="Q238" s="68" t="n"/>
      <c r="R238" s="68" t="n"/>
    </row>
    <row r="239" ht="14.1" customFormat="1" customHeight="1" s="60">
      <c r="A239" s="199">
        <f>IF($H239="UNIDADE CONSTRUTIVA",OFFSET(A239,-1,0)+1,LARGE(A$3:A238,1))</f>
        <v/>
      </c>
      <c r="B239" s="199">
        <f>IF(H239="UNIDADE CONSTRUTIVA",0,IF(H239="CÉLULA CONSTRUTIVA",OFFSET(B239,-1,0)+1,OFFSET(B239,-1,0)))</f>
        <v/>
      </c>
      <c r="C239" s="199">
        <f>IF(H239="CÉLULA CONSTRUTIVA",0,IF(H239="ETAPA",OFFSET(C239,-1,0)+1,OFFSET(C239,-1,0)))</f>
        <v/>
      </c>
      <c r="D239" s="200">
        <f>IF(H239="ETAPA",0,IF(H239="SUBETAPA",OFFSET(D239,-1,0)+1,OFFSET(D239,-1,0)))</f>
        <v/>
      </c>
      <c r="E239" s="200">
        <f>IF(H239="Subetapa",0,IF(H239="serviço",OFFSET(E239,-1,0)+1,OFFSET(E239,-1,0)))</f>
        <v/>
      </c>
      <c r="F239" s="31" t="n"/>
      <c r="J239" s="61" t="n"/>
      <c r="K239" s="62" t="n"/>
      <c r="L239" s="63" t="n"/>
      <c r="M239" s="63" t="n"/>
      <c r="N239" s="68" t="n"/>
      <c r="O239" s="68" t="n"/>
      <c r="P239" s="68" t="n"/>
      <c r="Q239" s="68" t="n"/>
      <c r="R239" s="68" t="n"/>
    </row>
    <row r="240" ht="14.1" customFormat="1" customHeight="1" s="60">
      <c r="A240" s="199">
        <f>IF($H240="UNIDADE CONSTRUTIVA",OFFSET(A240,-1,0)+1,LARGE(A$3:A239,1))</f>
        <v/>
      </c>
      <c r="B240" s="199">
        <f>IF(H240="UNIDADE CONSTRUTIVA",0,IF(H240="CÉLULA CONSTRUTIVA",OFFSET(B240,-1,0)+1,OFFSET(B240,-1,0)))</f>
        <v/>
      </c>
      <c r="C240" s="199">
        <f>IF(H240="CÉLULA CONSTRUTIVA",0,IF(H240="ETAPA",OFFSET(C240,-1,0)+1,OFFSET(C240,-1,0)))</f>
        <v/>
      </c>
      <c r="D240" s="200">
        <f>IF(H240="ETAPA",0,IF(H240="SUBETAPA",OFFSET(D240,-1,0)+1,OFFSET(D240,-1,0)))</f>
        <v/>
      </c>
      <c r="E240" s="200">
        <f>IF(H240="Subetapa",0,IF(H240="serviço",OFFSET(E240,-1,0)+1,OFFSET(E240,-1,0)))</f>
        <v/>
      </c>
      <c r="F240" s="31" t="n"/>
      <c r="J240" s="61" t="n"/>
      <c r="K240" s="62" t="n"/>
      <c r="L240" s="63" t="n"/>
      <c r="M240" s="63" t="n"/>
      <c r="N240" s="68" t="n"/>
      <c r="O240" s="68" t="n"/>
      <c r="P240" s="68" t="n"/>
      <c r="Q240" s="68" t="n"/>
      <c r="R240" s="68" t="n"/>
    </row>
    <row r="241" ht="14.1" customFormat="1" customHeight="1" s="60">
      <c r="A241" s="199">
        <f>IF($H241="UNIDADE CONSTRUTIVA",OFFSET(A241,-1,0)+1,LARGE(A$3:A240,1))</f>
        <v/>
      </c>
      <c r="B241" s="199">
        <f>IF(H241="UNIDADE CONSTRUTIVA",0,IF(H241="CÉLULA CONSTRUTIVA",OFFSET(B241,-1,0)+1,OFFSET(B241,-1,0)))</f>
        <v/>
      </c>
      <c r="C241" s="199">
        <f>IF(H241="CÉLULA CONSTRUTIVA",0,IF(H241="ETAPA",OFFSET(C241,-1,0)+1,OFFSET(C241,-1,0)))</f>
        <v/>
      </c>
      <c r="D241" s="200">
        <f>IF(H241="ETAPA",0,IF(H241="SUBETAPA",OFFSET(D241,-1,0)+1,OFFSET(D241,-1,0)))</f>
        <v/>
      </c>
      <c r="E241" s="200">
        <f>IF(H241="Subetapa",0,IF(H241="serviço",OFFSET(E241,-1,0)+1,OFFSET(E241,-1,0)))</f>
        <v/>
      </c>
      <c r="F241" s="31" t="n"/>
      <c r="J241" s="61" t="n"/>
      <c r="K241" s="62" t="n"/>
      <c r="L241" s="63" t="n"/>
      <c r="M241" s="63" t="n"/>
      <c r="N241" s="68" t="n"/>
      <c r="O241" s="68" t="n"/>
      <c r="P241" s="68" t="n"/>
      <c r="Q241" s="68" t="n"/>
      <c r="R241" s="68" t="n"/>
    </row>
    <row r="242" ht="14.1" customFormat="1" customHeight="1" s="60">
      <c r="A242" s="199">
        <f>IF($H242="UNIDADE CONSTRUTIVA",OFFSET(A242,-1,0)+1,LARGE(A$3:A241,1))</f>
        <v/>
      </c>
      <c r="B242" s="199">
        <f>IF(H242="UNIDADE CONSTRUTIVA",0,IF(H242="CÉLULA CONSTRUTIVA",OFFSET(B242,-1,0)+1,OFFSET(B242,-1,0)))</f>
        <v/>
      </c>
      <c r="C242" s="199">
        <f>IF(H242="CÉLULA CONSTRUTIVA",0,IF(H242="ETAPA",OFFSET(C242,-1,0)+1,OFFSET(C242,-1,0)))</f>
        <v/>
      </c>
      <c r="D242" s="200">
        <f>IF(H242="ETAPA",0,IF(H242="SUBETAPA",OFFSET(D242,-1,0)+1,OFFSET(D242,-1,0)))</f>
        <v/>
      </c>
      <c r="E242" s="200">
        <f>IF(H242="Subetapa",0,IF(H242="serviço",OFFSET(E242,-1,0)+1,OFFSET(E242,-1,0)))</f>
        <v/>
      </c>
      <c r="F242" s="31" t="n"/>
      <c r="J242" s="61" t="n"/>
      <c r="K242" s="62" t="n"/>
      <c r="L242" s="63" t="n"/>
      <c r="M242" s="63" t="n"/>
      <c r="N242" s="68" t="n"/>
      <c r="O242" s="68" t="n"/>
      <c r="P242" s="68" t="n"/>
      <c r="Q242" s="68" t="n"/>
      <c r="R242" s="68" t="n"/>
    </row>
    <row r="243" ht="14.1" customFormat="1" customHeight="1" s="60">
      <c r="A243" s="199">
        <f>IF($H243="UNIDADE CONSTRUTIVA",OFFSET(A243,-1,0)+1,LARGE(A$3:A242,1))</f>
        <v/>
      </c>
      <c r="B243" s="199">
        <f>IF(H243="UNIDADE CONSTRUTIVA",0,IF(H243="CÉLULA CONSTRUTIVA",OFFSET(B243,-1,0)+1,OFFSET(B243,-1,0)))</f>
        <v/>
      </c>
      <c r="C243" s="199">
        <f>IF(H243="CÉLULA CONSTRUTIVA",0,IF(H243="ETAPA",OFFSET(C243,-1,0)+1,OFFSET(C243,-1,0)))</f>
        <v/>
      </c>
      <c r="D243" s="200">
        <f>IF(H243="ETAPA",0,IF(H243="SUBETAPA",OFFSET(D243,-1,0)+1,OFFSET(D243,-1,0)))</f>
        <v/>
      </c>
      <c r="E243" s="200">
        <f>IF(H243="Subetapa",0,IF(H243="serviço",OFFSET(E243,-1,0)+1,OFFSET(E243,-1,0)))</f>
        <v/>
      </c>
      <c r="F243" s="31" t="n"/>
      <c r="J243" s="61" t="n"/>
      <c r="K243" s="62" t="n"/>
      <c r="L243" s="63" t="n"/>
      <c r="M243" s="63" t="n"/>
      <c r="N243" s="68" t="n"/>
      <c r="O243" s="68" t="n"/>
      <c r="P243" s="68" t="n"/>
      <c r="Q243" s="68" t="n"/>
      <c r="R243" s="68" t="n"/>
    </row>
    <row r="244" ht="14.1" customFormat="1" customHeight="1" s="60">
      <c r="A244" s="199">
        <f>IF($H244="UNIDADE CONSTRUTIVA",OFFSET(A244,-1,0)+1,LARGE(A$3:A243,1))</f>
        <v/>
      </c>
      <c r="B244" s="199">
        <f>IF(H244="UNIDADE CONSTRUTIVA",0,IF(H244="CÉLULA CONSTRUTIVA",OFFSET(B244,-1,0)+1,OFFSET(B244,-1,0)))</f>
        <v/>
      </c>
      <c r="C244" s="199">
        <f>IF(H244="CÉLULA CONSTRUTIVA",0,IF(H244="ETAPA",OFFSET(C244,-1,0)+1,OFFSET(C244,-1,0)))</f>
        <v/>
      </c>
      <c r="D244" s="200">
        <f>IF(H244="ETAPA",0,IF(H244="SUBETAPA",OFFSET(D244,-1,0)+1,OFFSET(D244,-1,0)))</f>
        <v/>
      </c>
      <c r="E244" s="200">
        <f>IF(H244="Subetapa",0,IF(H244="serviço",OFFSET(E244,-1,0)+1,OFFSET(E244,-1,0)))</f>
        <v/>
      </c>
      <c r="F244" s="31" t="n"/>
      <c r="J244" s="61" t="n"/>
      <c r="K244" s="62" t="n"/>
      <c r="L244" s="63" t="n"/>
      <c r="M244" s="63" t="n"/>
      <c r="N244" s="68" t="n"/>
      <c r="O244" s="68" t="n"/>
      <c r="P244" s="68" t="n"/>
      <c r="Q244" s="68" t="n"/>
      <c r="R244" s="68" t="n"/>
    </row>
    <row r="245" ht="14.1" customFormat="1" customHeight="1" s="60">
      <c r="A245" s="199">
        <f>IF($H245="UNIDADE CONSTRUTIVA",OFFSET(A245,-1,0)+1,LARGE(A$3:A244,1))</f>
        <v/>
      </c>
      <c r="B245" s="199">
        <f>IF(H245="UNIDADE CONSTRUTIVA",0,IF(H245="CÉLULA CONSTRUTIVA",OFFSET(B245,-1,0)+1,OFFSET(B245,-1,0)))</f>
        <v/>
      </c>
      <c r="C245" s="199">
        <f>IF(H245="CÉLULA CONSTRUTIVA",0,IF(H245="ETAPA",OFFSET(C245,-1,0)+1,OFFSET(C245,-1,0)))</f>
        <v/>
      </c>
      <c r="D245" s="200">
        <f>IF(H245="ETAPA",0,IF(H245="SUBETAPA",OFFSET(D245,-1,0)+1,OFFSET(D245,-1,0)))</f>
        <v/>
      </c>
      <c r="E245" s="200">
        <f>IF(H245="Subetapa",0,IF(H245="serviço",OFFSET(E245,-1,0)+1,OFFSET(E245,-1,0)))</f>
        <v/>
      </c>
      <c r="F245" s="31" t="n"/>
      <c r="J245" s="61" t="n"/>
      <c r="K245" s="62" t="n"/>
      <c r="L245" s="63" t="n"/>
      <c r="M245" s="63" t="n"/>
      <c r="N245" s="68" t="n"/>
      <c r="O245" s="68" t="n"/>
      <c r="P245" s="68" t="n"/>
      <c r="Q245" s="68" t="n"/>
      <c r="R245" s="68" t="n"/>
    </row>
    <row r="246" ht="14.1" customFormat="1" customHeight="1" s="60">
      <c r="A246" s="199">
        <f>IF($H246="UNIDADE CONSTRUTIVA",OFFSET(A246,-1,0)+1,LARGE(A$3:A245,1))</f>
        <v/>
      </c>
      <c r="B246" s="199">
        <f>IF(H246="UNIDADE CONSTRUTIVA",0,IF(H246="CÉLULA CONSTRUTIVA",OFFSET(B246,-1,0)+1,OFFSET(B246,-1,0)))</f>
        <v/>
      </c>
      <c r="C246" s="199">
        <f>IF(H246="CÉLULA CONSTRUTIVA",0,IF(H246="ETAPA",OFFSET(C246,-1,0)+1,OFFSET(C246,-1,0)))</f>
        <v/>
      </c>
      <c r="D246" s="200">
        <f>IF(H246="ETAPA",0,IF(H246="SUBETAPA",OFFSET(D246,-1,0)+1,OFFSET(D246,-1,0)))</f>
        <v/>
      </c>
      <c r="E246" s="200">
        <f>IF(H246="Subetapa",0,IF(H246="serviço",OFFSET(E246,-1,0)+1,OFFSET(E246,-1,0)))</f>
        <v/>
      </c>
      <c r="F246" s="31" t="n"/>
      <c r="J246" s="61" t="n"/>
      <c r="K246" s="62" t="n"/>
      <c r="L246" s="63" t="n"/>
      <c r="M246" s="63" t="n"/>
      <c r="N246" s="68" t="n"/>
      <c r="O246" s="68" t="n"/>
      <c r="P246" s="68" t="n"/>
      <c r="Q246" s="68" t="n"/>
      <c r="R246" s="68" t="n"/>
    </row>
    <row r="247" ht="14.1" customFormat="1" customHeight="1" s="60">
      <c r="A247" s="199">
        <f>IF($H247="UNIDADE CONSTRUTIVA",OFFSET(A247,-1,0)+1,LARGE(A$3:A246,1))</f>
        <v/>
      </c>
      <c r="B247" s="199">
        <f>IF(H247="UNIDADE CONSTRUTIVA",0,IF(H247="CÉLULA CONSTRUTIVA",OFFSET(B247,-1,0)+1,OFFSET(B247,-1,0)))</f>
        <v/>
      </c>
      <c r="C247" s="199">
        <f>IF(H247="CÉLULA CONSTRUTIVA",0,IF(H247="ETAPA",OFFSET(C247,-1,0)+1,OFFSET(C247,-1,0)))</f>
        <v/>
      </c>
      <c r="D247" s="200">
        <f>IF(H247="ETAPA",0,IF(H247="SUBETAPA",OFFSET(D247,-1,0)+1,OFFSET(D247,-1,0)))</f>
        <v/>
      </c>
      <c r="E247" s="200">
        <f>IF(H247="Subetapa",0,IF(H247="serviço",OFFSET(E247,-1,0)+1,OFFSET(E247,-1,0)))</f>
        <v/>
      </c>
      <c r="F247" s="31" t="n"/>
      <c r="J247" s="61" t="n"/>
      <c r="K247" s="62" t="n"/>
      <c r="L247" s="63" t="n"/>
      <c r="M247" s="63" t="n"/>
      <c r="N247" s="68" t="n"/>
      <c r="O247" s="68" t="n"/>
      <c r="P247" s="68" t="n"/>
      <c r="Q247" s="68" t="n"/>
      <c r="R247" s="68" t="n"/>
    </row>
    <row r="248" ht="14.1" customFormat="1" customHeight="1" s="60">
      <c r="A248" s="199">
        <f>IF($H248="UNIDADE CONSTRUTIVA",OFFSET(A248,-1,0)+1,LARGE(A$3:A247,1))</f>
        <v/>
      </c>
      <c r="B248" s="199">
        <f>IF(H248="UNIDADE CONSTRUTIVA",0,IF(H248="CÉLULA CONSTRUTIVA",OFFSET(B248,-1,0)+1,OFFSET(B248,-1,0)))</f>
        <v/>
      </c>
      <c r="C248" s="199">
        <f>IF(H248="CÉLULA CONSTRUTIVA",0,IF(H248="ETAPA",OFFSET(C248,-1,0)+1,OFFSET(C248,-1,0)))</f>
        <v/>
      </c>
      <c r="D248" s="200">
        <f>IF(H248="ETAPA",0,IF(H248="SUBETAPA",OFFSET(D248,-1,0)+1,OFFSET(D248,-1,0)))</f>
        <v/>
      </c>
      <c r="E248" s="200">
        <f>IF(H248="Subetapa",0,IF(H248="serviço",OFFSET(E248,-1,0)+1,OFFSET(E248,-1,0)))</f>
        <v/>
      </c>
      <c r="F248" s="31" t="n"/>
      <c r="J248" s="61" t="n"/>
      <c r="K248" s="62" t="n"/>
      <c r="L248" s="63" t="n"/>
      <c r="M248" s="63" t="n"/>
      <c r="N248" s="68" t="n"/>
      <c r="O248" s="68" t="n"/>
      <c r="P248" s="68" t="n"/>
      <c r="Q248" s="68" t="n"/>
      <c r="R248" s="68" t="n"/>
    </row>
    <row r="249" ht="14.1" customFormat="1" customHeight="1" s="60">
      <c r="A249" s="199">
        <f>IF($H249="UNIDADE CONSTRUTIVA",OFFSET(A249,-1,0)+1,LARGE(A$3:A248,1))</f>
        <v/>
      </c>
      <c r="B249" s="199">
        <f>IF(H249="UNIDADE CONSTRUTIVA",0,IF(H249="CÉLULA CONSTRUTIVA",OFFSET(B249,-1,0)+1,OFFSET(B249,-1,0)))</f>
        <v/>
      </c>
      <c r="C249" s="199">
        <f>IF(H249="CÉLULA CONSTRUTIVA",0,IF(H249="ETAPA",OFFSET(C249,-1,0)+1,OFFSET(C249,-1,0)))</f>
        <v/>
      </c>
      <c r="D249" s="200">
        <f>IF(H249="ETAPA",0,IF(H249="SUBETAPA",OFFSET(D249,-1,0)+1,OFFSET(D249,-1,0)))</f>
        <v/>
      </c>
      <c r="E249" s="200">
        <f>IF(H249="Subetapa",0,IF(H249="serviço",OFFSET(E249,-1,0)+1,OFFSET(E249,-1,0)))</f>
        <v/>
      </c>
      <c r="F249" s="31" t="n"/>
      <c r="J249" s="61" t="n"/>
      <c r="K249" s="62" t="n"/>
      <c r="L249" s="63" t="n"/>
      <c r="M249" s="63" t="n"/>
      <c r="N249" s="68" t="n"/>
      <c r="O249" s="68" t="n"/>
      <c r="P249" s="68" t="n"/>
      <c r="Q249" s="68" t="n"/>
      <c r="R249" s="68" t="n"/>
    </row>
    <row r="250" ht="14.1" customFormat="1" customHeight="1" s="60">
      <c r="A250" s="199">
        <f>IF($H250="UNIDADE CONSTRUTIVA",OFFSET(A250,-1,0)+1,LARGE(A$3:A249,1))</f>
        <v/>
      </c>
      <c r="B250" s="199">
        <f>IF(H250="UNIDADE CONSTRUTIVA",0,IF(H250="CÉLULA CONSTRUTIVA",OFFSET(B250,-1,0)+1,OFFSET(B250,-1,0)))</f>
        <v/>
      </c>
      <c r="C250" s="199">
        <f>IF(H250="CÉLULA CONSTRUTIVA",0,IF(H250="ETAPA",OFFSET(C250,-1,0)+1,OFFSET(C250,-1,0)))</f>
        <v/>
      </c>
      <c r="D250" s="200">
        <f>IF(H250="ETAPA",0,IF(H250="SUBETAPA",OFFSET(D250,-1,0)+1,OFFSET(D250,-1,0)))</f>
        <v/>
      </c>
      <c r="E250" s="200">
        <f>IF(H250="Subetapa",0,IF(H250="serviço",OFFSET(E250,-1,0)+1,OFFSET(E250,-1,0)))</f>
        <v/>
      </c>
      <c r="F250" s="31" t="n"/>
      <c r="J250" s="61" t="n"/>
      <c r="K250" s="62" t="n"/>
      <c r="L250" s="63" t="n"/>
      <c r="M250" s="63" t="n"/>
      <c r="N250" s="68" t="n"/>
      <c r="O250" s="68" t="n"/>
      <c r="P250" s="68" t="n"/>
      <c r="Q250" s="68" t="n"/>
      <c r="R250" s="68" t="n"/>
    </row>
    <row r="251" ht="14.1" customFormat="1" customHeight="1" s="60">
      <c r="A251" s="199">
        <f>IF($H251="UNIDADE CONSTRUTIVA",OFFSET(A251,-1,0)+1,LARGE(A$3:A250,1))</f>
        <v/>
      </c>
      <c r="B251" s="199">
        <f>IF(H251="UNIDADE CONSTRUTIVA",0,IF(H251="CÉLULA CONSTRUTIVA",OFFSET(B251,-1,0)+1,OFFSET(B251,-1,0)))</f>
        <v/>
      </c>
      <c r="C251" s="199">
        <f>IF(H251="CÉLULA CONSTRUTIVA",0,IF(H251="ETAPA",OFFSET(C251,-1,0)+1,OFFSET(C251,-1,0)))</f>
        <v/>
      </c>
      <c r="D251" s="200">
        <f>IF(H251="ETAPA",0,IF(H251="SUBETAPA",OFFSET(D251,-1,0)+1,OFFSET(D251,-1,0)))</f>
        <v/>
      </c>
      <c r="E251" s="200">
        <f>IF(H251="Subetapa",0,IF(H251="serviço",OFFSET(E251,-1,0)+1,OFFSET(E251,-1,0)))</f>
        <v/>
      </c>
      <c r="F251" s="31" t="n"/>
      <c r="J251" s="61" t="n"/>
      <c r="K251" s="62" t="n"/>
      <c r="L251" s="63" t="n"/>
      <c r="M251" s="63" t="n"/>
      <c r="N251" s="68" t="n"/>
      <c r="O251" s="68" t="n"/>
      <c r="P251" s="68" t="n"/>
      <c r="Q251" s="68" t="n"/>
      <c r="R251" s="68" t="n"/>
    </row>
    <row r="252" ht="14.1" customFormat="1" customHeight="1" s="60">
      <c r="A252" s="199">
        <f>IF($H252="UNIDADE CONSTRUTIVA",OFFSET(A252,-1,0)+1,LARGE(A$3:A251,1))</f>
        <v/>
      </c>
      <c r="B252" s="199">
        <f>IF(H252="UNIDADE CONSTRUTIVA",0,IF(H252="CÉLULA CONSTRUTIVA",OFFSET(B252,-1,0)+1,OFFSET(B252,-1,0)))</f>
        <v/>
      </c>
      <c r="C252" s="199">
        <f>IF(H252="CÉLULA CONSTRUTIVA",0,IF(H252="ETAPA",OFFSET(C252,-1,0)+1,OFFSET(C252,-1,0)))</f>
        <v/>
      </c>
      <c r="D252" s="200">
        <f>IF(H252="ETAPA",0,IF(H252="SUBETAPA",OFFSET(D252,-1,0)+1,OFFSET(D252,-1,0)))</f>
        <v/>
      </c>
      <c r="E252" s="200">
        <f>IF(H252="Subetapa",0,IF(H252="serviço",OFFSET(E252,-1,0)+1,OFFSET(E252,-1,0)))</f>
        <v/>
      </c>
      <c r="F252" s="31" t="n"/>
      <c r="J252" s="61" t="n"/>
      <c r="K252" s="62" t="n"/>
      <c r="L252" s="63" t="n"/>
      <c r="M252" s="63" t="n"/>
      <c r="N252" s="68" t="n"/>
      <c r="O252" s="68" t="n"/>
      <c r="P252" s="68" t="n"/>
      <c r="Q252" s="68" t="n"/>
      <c r="R252" s="68" t="n"/>
    </row>
    <row r="253" ht="14.1" customFormat="1" customHeight="1" s="60">
      <c r="A253" s="199">
        <f>IF($H253="UNIDADE CONSTRUTIVA",OFFSET(A253,-1,0)+1,LARGE(A$3:A252,1))</f>
        <v/>
      </c>
      <c r="B253" s="199">
        <f>IF(H253="UNIDADE CONSTRUTIVA",0,IF(H253="CÉLULA CONSTRUTIVA",OFFSET(B253,-1,0)+1,OFFSET(B253,-1,0)))</f>
        <v/>
      </c>
      <c r="C253" s="199">
        <f>IF(H253="CÉLULA CONSTRUTIVA",0,IF(H253="ETAPA",OFFSET(C253,-1,0)+1,OFFSET(C253,-1,0)))</f>
        <v/>
      </c>
      <c r="D253" s="200">
        <f>IF(H253="ETAPA",0,IF(H253="SUBETAPA",OFFSET(D253,-1,0)+1,OFFSET(D253,-1,0)))</f>
        <v/>
      </c>
      <c r="E253" s="200">
        <f>IF(H253="Subetapa",0,IF(H253="serviço",OFFSET(E253,-1,0)+1,OFFSET(E253,-1,0)))</f>
        <v/>
      </c>
      <c r="F253" s="31" t="n"/>
      <c r="J253" s="61" t="n"/>
      <c r="K253" s="62" t="n"/>
      <c r="L253" s="63" t="n"/>
      <c r="M253" s="63" t="n"/>
      <c r="N253" s="68" t="n"/>
      <c r="O253" s="68" t="n"/>
      <c r="P253" s="68" t="n"/>
      <c r="Q253" s="68" t="n"/>
      <c r="R253" s="68" t="n"/>
    </row>
    <row r="254" ht="14.1" customFormat="1" customHeight="1" s="60">
      <c r="A254" s="199">
        <f>IF($H254="UNIDADE CONSTRUTIVA",OFFSET(A254,-1,0)+1,LARGE(A$3:A253,1))</f>
        <v/>
      </c>
      <c r="B254" s="199">
        <f>IF(H254="UNIDADE CONSTRUTIVA",0,IF(H254="CÉLULA CONSTRUTIVA",OFFSET(B254,-1,0)+1,OFFSET(B254,-1,0)))</f>
        <v/>
      </c>
      <c r="C254" s="199">
        <f>IF(H254="CÉLULA CONSTRUTIVA",0,IF(H254="ETAPA",OFFSET(C254,-1,0)+1,OFFSET(C254,-1,0)))</f>
        <v/>
      </c>
      <c r="D254" s="200">
        <f>IF(H254="ETAPA",0,IF(H254="SUBETAPA",OFFSET(D254,-1,0)+1,OFFSET(D254,-1,0)))</f>
        <v/>
      </c>
      <c r="E254" s="200">
        <f>IF(H254="Subetapa",0,IF(H254="serviço",OFFSET(E254,-1,0)+1,OFFSET(E254,-1,0)))</f>
        <v/>
      </c>
      <c r="F254" s="31" t="n"/>
      <c r="J254" s="61" t="n"/>
      <c r="K254" s="62" t="n"/>
      <c r="L254" s="63" t="n"/>
      <c r="M254" s="63" t="n"/>
      <c r="N254" s="68" t="n"/>
      <c r="O254" s="68" t="n"/>
      <c r="P254" s="68" t="n"/>
      <c r="Q254" s="68" t="n"/>
      <c r="R254" s="68" t="n"/>
    </row>
    <row r="255" ht="14.1" customFormat="1" customHeight="1" s="60">
      <c r="A255" s="199">
        <f>IF($H255="UNIDADE CONSTRUTIVA",OFFSET(A255,-1,0)+1,LARGE(A$3:A254,1))</f>
        <v/>
      </c>
      <c r="B255" s="199">
        <f>IF(H255="UNIDADE CONSTRUTIVA",0,IF(H255="CÉLULA CONSTRUTIVA",OFFSET(B255,-1,0)+1,OFFSET(B255,-1,0)))</f>
        <v/>
      </c>
      <c r="C255" s="199">
        <f>IF(H255="CÉLULA CONSTRUTIVA",0,IF(H255="ETAPA",OFFSET(C255,-1,0)+1,OFFSET(C255,-1,0)))</f>
        <v/>
      </c>
      <c r="D255" s="200">
        <f>IF(H255="ETAPA",0,IF(H255="SUBETAPA",OFFSET(D255,-1,0)+1,OFFSET(D255,-1,0)))</f>
        <v/>
      </c>
      <c r="E255" s="200">
        <f>IF(H255="Subetapa",0,IF(H255="serviço",OFFSET(E255,-1,0)+1,OFFSET(E255,-1,0)))</f>
        <v/>
      </c>
      <c r="F255" s="31" t="n"/>
      <c r="J255" s="61" t="n"/>
      <c r="K255" s="62" t="n"/>
      <c r="L255" s="63" t="n"/>
      <c r="M255" s="63" t="n"/>
      <c r="N255" s="68" t="n"/>
      <c r="O255" s="68" t="n"/>
      <c r="P255" s="68" t="n"/>
      <c r="Q255" s="68" t="n"/>
      <c r="R255" s="68" t="n"/>
    </row>
    <row r="256" ht="14.1" customFormat="1" customHeight="1" s="60">
      <c r="A256" s="199">
        <f>IF($H256="UNIDADE CONSTRUTIVA",OFFSET(A256,-1,0)+1,LARGE(A$3:A255,1))</f>
        <v/>
      </c>
      <c r="B256" s="199">
        <f>IF(H256="UNIDADE CONSTRUTIVA",0,IF(H256="CÉLULA CONSTRUTIVA",OFFSET(B256,-1,0)+1,OFFSET(B256,-1,0)))</f>
        <v/>
      </c>
      <c r="C256" s="199">
        <f>IF(H256="CÉLULA CONSTRUTIVA",0,IF(H256="ETAPA",OFFSET(C256,-1,0)+1,OFFSET(C256,-1,0)))</f>
        <v/>
      </c>
      <c r="D256" s="200">
        <f>IF(H256="ETAPA",0,IF(H256="SUBETAPA",OFFSET(D256,-1,0)+1,OFFSET(D256,-1,0)))</f>
        <v/>
      </c>
      <c r="E256" s="200">
        <f>IF(H256="Subetapa",0,IF(H256="serviço",OFFSET(E256,-1,0)+1,OFFSET(E256,-1,0)))</f>
        <v/>
      </c>
      <c r="F256" s="31" t="n"/>
      <c r="J256" s="61" t="n"/>
      <c r="K256" s="62" t="n"/>
      <c r="L256" s="63" t="n"/>
      <c r="M256" s="63" t="n"/>
      <c r="N256" s="68" t="n"/>
      <c r="O256" s="68" t="n"/>
      <c r="P256" s="68" t="n"/>
      <c r="Q256" s="68" t="n"/>
      <c r="R256" s="68" t="n"/>
    </row>
    <row r="257" ht="14.1" customFormat="1" customHeight="1" s="60">
      <c r="A257" s="199">
        <f>IF($H257="UNIDADE CONSTRUTIVA",OFFSET(A257,-1,0)+1,LARGE(A$3:A256,1))</f>
        <v/>
      </c>
      <c r="B257" s="199">
        <f>IF(H257="UNIDADE CONSTRUTIVA",0,IF(H257="CÉLULA CONSTRUTIVA",OFFSET(B257,-1,0)+1,OFFSET(B257,-1,0)))</f>
        <v/>
      </c>
      <c r="C257" s="199">
        <f>IF(H257="CÉLULA CONSTRUTIVA",0,IF(H257="ETAPA",OFFSET(C257,-1,0)+1,OFFSET(C257,-1,0)))</f>
        <v/>
      </c>
      <c r="D257" s="200">
        <f>IF(H257="ETAPA",0,IF(H257="SUBETAPA",OFFSET(D257,-1,0)+1,OFFSET(D257,-1,0)))</f>
        <v/>
      </c>
      <c r="E257" s="200">
        <f>IF(H257="Subetapa",0,IF(H257="serviço",OFFSET(E257,-1,0)+1,OFFSET(E257,-1,0)))</f>
        <v/>
      </c>
      <c r="F257" s="31" t="n"/>
      <c r="J257" s="61" t="n"/>
      <c r="K257" s="62" t="n"/>
      <c r="L257" s="63" t="n"/>
      <c r="M257" s="63" t="n"/>
      <c r="N257" s="68" t="n"/>
      <c r="O257" s="68" t="n"/>
      <c r="P257" s="68" t="n"/>
      <c r="Q257" s="68" t="n"/>
      <c r="R257" s="68" t="n"/>
    </row>
    <row r="258" ht="14.1" customFormat="1" customHeight="1" s="60">
      <c r="A258" s="199">
        <f>IF($H258="UNIDADE CONSTRUTIVA",OFFSET(A258,-1,0)+1,LARGE(A$3:A257,1))</f>
        <v/>
      </c>
      <c r="B258" s="199">
        <f>IF(H258="UNIDADE CONSTRUTIVA",0,IF(H258="CÉLULA CONSTRUTIVA",OFFSET(B258,-1,0)+1,OFFSET(B258,-1,0)))</f>
        <v/>
      </c>
      <c r="C258" s="199">
        <f>IF(H258="CÉLULA CONSTRUTIVA",0,IF(H258="ETAPA",OFFSET(C258,-1,0)+1,OFFSET(C258,-1,0)))</f>
        <v/>
      </c>
      <c r="D258" s="200">
        <f>IF(H258="ETAPA",0,IF(H258="SUBETAPA",OFFSET(D258,-1,0)+1,OFFSET(D258,-1,0)))</f>
        <v/>
      </c>
      <c r="E258" s="200">
        <f>IF(H258="Subetapa",0,IF(H258="serviço",OFFSET(E258,-1,0)+1,OFFSET(E258,-1,0)))</f>
        <v/>
      </c>
      <c r="F258" s="31" t="n"/>
      <c r="J258" s="61" t="n"/>
      <c r="K258" s="62" t="n"/>
      <c r="L258" s="63" t="n"/>
      <c r="M258" s="63" t="n"/>
      <c r="N258" s="68" t="n"/>
      <c r="O258" s="68" t="n"/>
      <c r="P258" s="68" t="n"/>
      <c r="Q258" s="68" t="n"/>
      <c r="R258" s="68" t="n"/>
    </row>
    <row r="259" ht="14.1" customFormat="1" customHeight="1" s="60">
      <c r="A259" s="199">
        <f>IF($H259="UNIDADE CONSTRUTIVA",OFFSET(A259,-1,0)+1,LARGE(A$3:A258,1))</f>
        <v/>
      </c>
      <c r="B259" s="199">
        <f>IF(H259="UNIDADE CONSTRUTIVA",0,IF(H259="CÉLULA CONSTRUTIVA",OFFSET(B259,-1,0)+1,OFFSET(B259,-1,0)))</f>
        <v/>
      </c>
      <c r="C259" s="199">
        <f>IF(H259="CÉLULA CONSTRUTIVA",0,IF(H259="ETAPA",OFFSET(C259,-1,0)+1,OFFSET(C259,-1,0)))</f>
        <v/>
      </c>
      <c r="D259" s="200">
        <f>IF(H259="ETAPA",0,IF(H259="SUBETAPA",OFFSET(D259,-1,0)+1,OFFSET(D259,-1,0)))</f>
        <v/>
      </c>
      <c r="E259" s="200">
        <f>IF(H259="Subetapa",0,IF(H259="serviço",OFFSET(E259,-1,0)+1,OFFSET(E259,-1,0)))</f>
        <v/>
      </c>
      <c r="F259" s="31" t="n"/>
      <c r="J259" s="61" t="n"/>
      <c r="K259" s="62" t="n"/>
      <c r="L259" s="63" t="n"/>
      <c r="M259" s="63" t="n"/>
      <c r="N259" s="68" t="n"/>
      <c r="O259" s="68" t="n"/>
      <c r="P259" s="68" t="n"/>
      <c r="Q259" s="68" t="n"/>
      <c r="R259" s="68" t="n"/>
    </row>
    <row r="260" ht="14.1" customFormat="1" customHeight="1" s="60">
      <c r="A260" s="199">
        <f>IF($H260="UNIDADE CONSTRUTIVA",OFFSET(A260,-1,0)+1,LARGE(A$3:A259,1))</f>
        <v/>
      </c>
      <c r="B260" s="199">
        <f>IF(H260="UNIDADE CONSTRUTIVA",0,IF(H260="CÉLULA CONSTRUTIVA",OFFSET(B260,-1,0)+1,OFFSET(B260,-1,0)))</f>
        <v/>
      </c>
      <c r="C260" s="199">
        <f>IF(H260="CÉLULA CONSTRUTIVA",0,IF(H260="ETAPA",OFFSET(C260,-1,0)+1,OFFSET(C260,-1,0)))</f>
        <v/>
      </c>
      <c r="D260" s="200">
        <f>IF(H260="ETAPA",0,IF(H260="SUBETAPA",OFFSET(D260,-1,0)+1,OFFSET(D260,-1,0)))</f>
        <v/>
      </c>
      <c r="E260" s="200">
        <f>IF(H260="Subetapa",0,IF(H260="serviço",OFFSET(E260,-1,0)+1,OFFSET(E260,-1,0)))</f>
        <v/>
      </c>
      <c r="F260" s="31" t="n"/>
      <c r="J260" s="61" t="n"/>
      <c r="K260" s="62" t="n"/>
      <c r="L260" s="63" t="n"/>
      <c r="M260" s="63" t="n"/>
      <c r="N260" s="68" t="n"/>
      <c r="O260" s="68" t="n"/>
      <c r="P260" s="68" t="n"/>
      <c r="Q260" s="68" t="n"/>
      <c r="R260" s="68" t="n"/>
    </row>
    <row r="261" ht="14.1" customFormat="1" customHeight="1" s="60">
      <c r="A261" s="199">
        <f>IF($H261="UNIDADE CONSTRUTIVA",OFFSET(A261,-1,0)+1,LARGE(A$3:A260,1))</f>
        <v/>
      </c>
      <c r="B261" s="199">
        <f>IF(H261="UNIDADE CONSTRUTIVA",0,IF(H261="CÉLULA CONSTRUTIVA",OFFSET(B261,-1,0)+1,OFFSET(B261,-1,0)))</f>
        <v/>
      </c>
      <c r="C261" s="199">
        <f>IF(H261="CÉLULA CONSTRUTIVA",0,IF(H261="ETAPA",OFFSET(C261,-1,0)+1,OFFSET(C261,-1,0)))</f>
        <v/>
      </c>
      <c r="D261" s="200">
        <f>IF(H261="ETAPA",0,IF(H261="SUBETAPA",OFFSET(D261,-1,0)+1,OFFSET(D261,-1,0)))</f>
        <v/>
      </c>
      <c r="E261" s="200">
        <f>IF(H261="Subetapa",0,IF(H261="serviço",OFFSET(E261,-1,0)+1,OFFSET(E261,-1,0)))</f>
        <v/>
      </c>
      <c r="F261" s="31" t="n"/>
      <c r="J261" s="61" t="n"/>
      <c r="K261" s="62" t="n"/>
      <c r="L261" s="63" t="n"/>
      <c r="M261" s="63" t="n"/>
      <c r="N261" s="68" t="n"/>
      <c r="O261" s="68" t="n"/>
      <c r="P261" s="68" t="n"/>
      <c r="Q261" s="68" t="n"/>
      <c r="R261" s="68" t="n"/>
    </row>
    <row r="262" ht="14.1" customFormat="1" customHeight="1" s="60">
      <c r="A262" s="199">
        <f>IF($H262="UNIDADE CONSTRUTIVA",OFFSET(A262,-1,0)+1,LARGE(A$3:A261,1))</f>
        <v/>
      </c>
      <c r="B262" s="199">
        <f>IF(H262="UNIDADE CONSTRUTIVA",0,IF(H262="CÉLULA CONSTRUTIVA",OFFSET(B262,-1,0)+1,OFFSET(B262,-1,0)))</f>
        <v/>
      </c>
      <c r="C262" s="199">
        <f>IF(H262="CÉLULA CONSTRUTIVA",0,IF(H262="ETAPA",OFFSET(C262,-1,0)+1,OFFSET(C262,-1,0)))</f>
        <v/>
      </c>
      <c r="D262" s="200">
        <f>IF(H262="ETAPA",0,IF(H262="SUBETAPA",OFFSET(D262,-1,0)+1,OFFSET(D262,-1,0)))</f>
        <v/>
      </c>
      <c r="E262" s="200">
        <f>IF(H262="Subetapa",0,IF(H262="serviço",OFFSET(E262,-1,0)+1,OFFSET(E262,-1,0)))</f>
        <v/>
      </c>
      <c r="F262" s="31" t="n"/>
      <c r="J262" s="61" t="n"/>
      <c r="K262" s="62" t="n"/>
      <c r="L262" s="63" t="n"/>
      <c r="M262" s="63" t="n"/>
      <c r="N262" s="68" t="n"/>
      <c r="O262" s="68" t="n"/>
      <c r="P262" s="68" t="n"/>
      <c r="Q262" s="68" t="n"/>
      <c r="R262" s="68" t="n"/>
    </row>
    <row r="263" ht="14.1" customFormat="1" customHeight="1" s="60">
      <c r="A263" s="199">
        <f>IF($H263="UNIDADE CONSTRUTIVA",OFFSET(A263,-1,0)+1,LARGE(A$3:A262,1))</f>
        <v/>
      </c>
      <c r="B263" s="199">
        <f>IF(H263="UNIDADE CONSTRUTIVA",0,IF(H263="CÉLULA CONSTRUTIVA",OFFSET(B263,-1,0)+1,OFFSET(B263,-1,0)))</f>
        <v/>
      </c>
      <c r="C263" s="199">
        <f>IF(H263="CÉLULA CONSTRUTIVA",0,IF(H263="ETAPA",OFFSET(C263,-1,0)+1,OFFSET(C263,-1,0)))</f>
        <v/>
      </c>
      <c r="D263" s="200">
        <f>IF(H263="ETAPA",0,IF(H263="SUBETAPA",OFFSET(D263,-1,0)+1,OFFSET(D263,-1,0)))</f>
        <v/>
      </c>
      <c r="E263" s="200">
        <f>IF(H263="Subetapa",0,IF(H263="serviço",OFFSET(E263,-1,0)+1,OFFSET(E263,-1,0)))</f>
        <v/>
      </c>
      <c r="F263" s="31" t="n"/>
      <c r="J263" s="61" t="n"/>
      <c r="K263" s="62" t="n"/>
      <c r="L263" s="63" t="n"/>
      <c r="M263" s="63" t="n"/>
      <c r="N263" s="68" t="n"/>
      <c r="O263" s="68" t="n"/>
      <c r="P263" s="68" t="n"/>
      <c r="Q263" s="68" t="n"/>
      <c r="R263" s="68" t="n"/>
    </row>
    <row r="264" ht="14.1" customFormat="1" customHeight="1" s="60">
      <c r="A264" s="199">
        <f>IF($H264="UNIDADE CONSTRUTIVA",OFFSET(A264,-1,0)+1,LARGE(A$3:A263,1))</f>
        <v/>
      </c>
      <c r="B264" s="199">
        <f>IF(H264="UNIDADE CONSTRUTIVA",0,IF(H264="CÉLULA CONSTRUTIVA",OFFSET(B264,-1,0)+1,OFFSET(B264,-1,0)))</f>
        <v/>
      </c>
      <c r="C264" s="199">
        <f>IF(H264="CÉLULA CONSTRUTIVA",0,IF(H264="ETAPA",OFFSET(C264,-1,0)+1,OFFSET(C264,-1,0)))</f>
        <v/>
      </c>
      <c r="D264" s="200">
        <f>IF(H264="ETAPA",0,IF(H264="SUBETAPA",OFFSET(D264,-1,0)+1,OFFSET(D264,-1,0)))</f>
        <v/>
      </c>
      <c r="E264" s="200">
        <f>IF(H264="Subetapa",0,IF(H264="serviço",OFFSET(E264,-1,0)+1,OFFSET(E264,-1,0)))</f>
        <v/>
      </c>
      <c r="F264" s="31" t="n"/>
      <c r="J264" s="61" t="n"/>
      <c r="K264" s="62" t="n"/>
      <c r="L264" s="63" t="n"/>
      <c r="M264" s="63" t="n"/>
      <c r="N264" s="68" t="n"/>
      <c r="O264" s="68" t="n"/>
      <c r="P264" s="68" t="n"/>
      <c r="Q264" s="68" t="n"/>
      <c r="R264" s="68" t="n"/>
    </row>
    <row r="265" ht="14.1" customFormat="1" customHeight="1" s="60">
      <c r="A265" s="199">
        <f>IF($H265="UNIDADE CONSTRUTIVA",OFFSET(A265,-1,0)+1,LARGE(A$3:A264,1))</f>
        <v/>
      </c>
      <c r="B265" s="199">
        <f>IF(H265="UNIDADE CONSTRUTIVA",0,IF(H265="CÉLULA CONSTRUTIVA",OFFSET(B265,-1,0)+1,OFFSET(B265,-1,0)))</f>
        <v/>
      </c>
      <c r="C265" s="199">
        <f>IF(H265="CÉLULA CONSTRUTIVA",0,IF(H265="ETAPA",OFFSET(C265,-1,0)+1,OFFSET(C265,-1,0)))</f>
        <v/>
      </c>
      <c r="D265" s="200">
        <f>IF(H265="ETAPA",0,IF(H265="SUBETAPA",OFFSET(D265,-1,0)+1,OFFSET(D265,-1,0)))</f>
        <v/>
      </c>
      <c r="E265" s="200">
        <f>IF(H265="Subetapa",0,IF(H265="serviço",OFFSET(E265,-1,0)+1,OFFSET(E265,-1,0)))</f>
        <v/>
      </c>
      <c r="F265" s="31" t="n"/>
      <c r="J265" s="61" t="n"/>
      <c r="K265" s="62" t="n"/>
      <c r="L265" s="63" t="n"/>
      <c r="M265" s="63" t="n"/>
      <c r="N265" s="68" t="n"/>
      <c r="O265" s="68" t="n"/>
      <c r="P265" s="68" t="n"/>
      <c r="Q265" s="68" t="n"/>
      <c r="R265" s="68" t="n"/>
    </row>
    <row r="266" ht="14.1" customFormat="1" customHeight="1" s="60">
      <c r="A266" s="199">
        <f>IF($H266="UNIDADE CONSTRUTIVA",OFFSET(A266,-1,0)+1,LARGE(A$3:A265,1))</f>
        <v/>
      </c>
      <c r="B266" s="199">
        <f>IF(H266="UNIDADE CONSTRUTIVA",0,IF(H266="CÉLULA CONSTRUTIVA",OFFSET(B266,-1,0)+1,OFFSET(B266,-1,0)))</f>
        <v/>
      </c>
      <c r="C266" s="199">
        <f>IF(H266="CÉLULA CONSTRUTIVA",0,IF(H266="ETAPA",OFFSET(C266,-1,0)+1,OFFSET(C266,-1,0)))</f>
        <v/>
      </c>
      <c r="D266" s="200">
        <f>IF(H266="ETAPA",0,IF(H266="SUBETAPA",OFFSET(D266,-1,0)+1,OFFSET(D266,-1,0)))</f>
        <v/>
      </c>
      <c r="E266" s="200">
        <f>IF(H266="Subetapa",0,IF(H266="serviço",OFFSET(E266,-1,0)+1,OFFSET(E266,-1,0)))</f>
        <v/>
      </c>
      <c r="F266" s="31" t="n"/>
      <c r="J266" s="61" t="n"/>
      <c r="K266" s="62" t="n"/>
      <c r="L266" s="63" t="n"/>
      <c r="M266" s="63" t="n"/>
      <c r="N266" s="68" t="n"/>
      <c r="O266" s="68" t="n"/>
      <c r="P266" s="68" t="n"/>
      <c r="Q266" s="68" t="n"/>
      <c r="R266" s="68" t="n"/>
    </row>
    <row r="267" ht="14.1" customFormat="1" customHeight="1" s="60">
      <c r="A267" s="199">
        <f>IF($H267="UNIDADE CONSTRUTIVA",OFFSET(A267,-1,0)+1,LARGE(A$3:A266,1))</f>
        <v/>
      </c>
      <c r="B267" s="199">
        <f>IF(H267="UNIDADE CONSTRUTIVA",0,IF(H267="CÉLULA CONSTRUTIVA",OFFSET(B267,-1,0)+1,OFFSET(B267,-1,0)))</f>
        <v/>
      </c>
      <c r="C267" s="199">
        <f>IF(H267="CÉLULA CONSTRUTIVA",0,IF(H267="ETAPA",OFFSET(C267,-1,0)+1,OFFSET(C267,-1,0)))</f>
        <v/>
      </c>
      <c r="D267" s="200">
        <f>IF(H267="ETAPA",0,IF(H267="SUBETAPA",OFFSET(D267,-1,0)+1,OFFSET(D267,-1,0)))</f>
        <v/>
      </c>
      <c r="E267" s="200">
        <f>IF(H267="Subetapa",0,IF(H267="serviço",OFFSET(E267,-1,0)+1,OFFSET(E267,-1,0)))</f>
        <v/>
      </c>
      <c r="F267" s="31" t="n"/>
      <c r="J267" s="61" t="n"/>
      <c r="K267" s="62" t="n"/>
      <c r="L267" s="63" t="n"/>
      <c r="M267" s="63" t="n"/>
      <c r="N267" s="68" t="n"/>
      <c r="O267" s="68" t="n"/>
      <c r="P267" s="68" t="n"/>
      <c r="Q267" s="68" t="n"/>
      <c r="R267" s="68" t="n"/>
    </row>
    <row r="268" ht="14.1" customFormat="1" customHeight="1" s="60">
      <c r="A268" s="199">
        <f>IF($H268="UNIDADE CONSTRUTIVA",OFFSET(A268,-1,0)+1,LARGE(A$3:A267,1))</f>
        <v/>
      </c>
      <c r="B268" s="199">
        <f>IF(H268="UNIDADE CONSTRUTIVA",0,IF(H268="CÉLULA CONSTRUTIVA",OFFSET(B268,-1,0)+1,OFFSET(B268,-1,0)))</f>
        <v/>
      </c>
      <c r="C268" s="199">
        <f>IF(H268="CÉLULA CONSTRUTIVA",0,IF(H268="ETAPA",OFFSET(C268,-1,0)+1,OFFSET(C268,-1,0)))</f>
        <v/>
      </c>
      <c r="D268" s="200">
        <f>IF(H268="ETAPA",0,IF(H268="SUBETAPA",OFFSET(D268,-1,0)+1,OFFSET(D268,-1,0)))</f>
        <v/>
      </c>
      <c r="E268" s="200">
        <f>IF(H268="Subetapa",0,IF(H268="serviço",OFFSET(E268,-1,0)+1,OFFSET(E268,-1,0)))</f>
        <v/>
      </c>
      <c r="F268" s="31" t="n"/>
      <c r="J268" s="61" t="n"/>
      <c r="K268" s="62" t="n"/>
      <c r="L268" s="63" t="n"/>
      <c r="M268" s="63" t="n"/>
      <c r="N268" s="68" t="n"/>
      <c r="O268" s="68" t="n"/>
      <c r="P268" s="68" t="n"/>
      <c r="Q268" s="68" t="n"/>
      <c r="R268" s="68" t="n"/>
    </row>
    <row r="269" ht="14.1" customFormat="1" customHeight="1" s="60">
      <c r="A269" s="199">
        <f>IF($H269="UNIDADE CONSTRUTIVA",OFFSET(A269,-1,0)+1,LARGE(A$3:A268,1))</f>
        <v/>
      </c>
      <c r="B269" s="199">
        <f>IF(H269="UNIDADE CONSTRUTIVA",0,IF(H269="CÉLULA CONSTRUTIVA",OFFSET(B269,-1,0)+1,OFFSET(B269,-1,0)))</f>
        <v/>
      </c>
      <c r="C269" s="199">
        <f>IF(H269="CÉLULA CONSTRUTIVA",0,IF(H269="ETAPA",OFFSET(C269,-1,0)+1,OFFSET(C269,-1,0)))</f>
        <v/>
      </c>
      <c r="D269" s="200">
        <f>IF(H269="ETAPA",0,IF(H269="SUBETAPA",OFFSET(D269,-1,0)+1,OFFSET(D269,-1,0)))</f>
        <v/>
      </c>
      <c r="E269" s="200">
        <f>IF(H269="Subetapa",0,IF(H269="serviço",OFFSET(E269,-1,0)+1,OFFSET(E269,-1,0)))</f>
        <v/>
      </c>
      <c r="F269" s="31" t="n"/>
      <c r="J269" s="61" t="n"/>
      <c r="K269" s="62" t="n"/>
      <c r="L269" s="63" t="n"/>
      <c r="M269" s="63" t="n"/>
      <c r="N269" s="68" t="n"/>
      <c r="O269" s="68" t="n"/>
      <c r="P269" s="68" t="n"/>
      <c r="Q269" s="68" t="n"/>
      <c r="R269" s="68" t="n"/>
    </row>
    <row r="270" ht="14.1" customFormat="1" customHeight="1" s="60">
      <c r="A270" s="199">
        <f>IF($H270="UNIDADE CONSTRUTIVA",OFFSET(A270,-1,0)+1,LARGE(A$3:A269,1))</f>
        <v/>
      </c>
      <c r="B270" s="199">
        <f>IF(H270="UNIDADE CONSTRUTIVA",0,IF(H270="CÉLULA CONSTRUTIVA",OFFSET(B270,-1,0)+1,OFFSET(B270,-1,0)))</f>
        <v/>
      </c>
      <c r="C270" s="199">
        <f>IF(H270="CÉLULA CONSTRUTIVA",0,IF(H270="ETAPA",OFFSET(C270,-1,0)+1,OFFSET(C270,-1,0)))</f>
        <v/>
      </c>
      <c r="D270" s="200">
        <f>IF(H270="ETAPA",0,IF(H270="SUBETAPA",OFFSET(D270,-1,0)+1,OFFSET(D270,-1,0)))</f>
        <v/>
      </c>
      <c r="E270" s="200">
        <f>IF(H270="Subetapa",0,IF(H270="serviço",OFFSET(E270,-1,0)+1,OFFSET(E270,-1,0)))</f>
        <v/>
      </c>
      <c r="F270" s="31" t="n"/>
      <c r="J270" s="61" t="n"/>
      <c r="K270" s="62" t="n"/>
      <c r="L270" s="63" t="n"/>
      <c r="M270" s="63" t="n"/>
      <c r="N270" s="68" t="n"/>
      <c r="O270" s="68" t="n"/>
      <c r="P270" s="68" t="n"/>
      <c r="Q270" s="68" t="n"/>
      <c r="R270" s="68" t="n"/>
    </row>
    <row r="271" ht="14.1" customFormat="1" customHeight="1" s="60">
      <c r="A271" s="199">
        <f>IF($H271="UNIDADE CONSTRUTIVA",OFFSET(A271,-1,0)+1,LARGE(A$3:A270,1))</f>
        <v/>
      </c>
      <c r="B271" s="199">
        <f>IF(H271="UNIDADE CONSTRUTIVA",0,IF(H271="CÉLULA CONSTRUTIVA",OFFSET(B271,-1,0)+1,OFFSET(B271,-1,0)))</f>
        <v/>
      </c>
      <c r="C271" s="199">
        <f>IF(H271="CÉLULA CONSTRUTIVA",0,IF(H271="ETAPA",OFFSET(C271,-1,0)+1,OFFSET(C271,-1,0)))</f>
        <v/>
      </c>
      <c r="D271" s="200">
        <f>IF(H271="ETAPA",0,IF(H271="SUBETAPA",OFFSET(D271,-1,0)+1,OFFSET(D271,-1,0)))</f>
        <v/>
      </c>
      <c r="E271" s="200">
        <f>IF(H271="Subetapa",0,IF(H271="serviço",OFFSET(E271,-1,0)+1,OFFSET(E271,-1,0)))</f>
        <v/>
      </c>
      <c r="F271" s="31" t="n"/>
      <c r="J271" s="61" t="n"/>
      <c r="K271" s="62" t="n"/>
      <c r="L271" s="63" t="n"/>
      <c r="M271" s="63" t="n"/>
      <c r="N271" s="68" t="n"/>
      <c r="O271" s="68" t="n"/>
      <c r="P271" s="68" t="n"/>
      <c r="Q271" s="68" t="n"/>
      <c r="R271" s="68" t="n"/>
    </row>
    <row r="272" ht="14.1" customFormat="1" customHeight="1" s="60">
      <c r="A272" s="199">
        <f>IF($H272="UNIDADE CONSTRUTIVA",OFFSET(A272,-1,0)+1,LARGE(A$3:A271,1))</f>
        <v/>
      </c>
      <c r="B272" s="199">
        <f>IF(H272="UNIDADE CONSTRUTIVA",0,IF(H272="CÉLULA CONSTRUTIVA",OFFSET(B272,-1,0)+1,OFFSET(B272,-1,0)))</f>
        <v/>
      </c>
      <c r="C272" s="199">
        <f>IF(H272="CÉLULA CONSTRUTIVA",0,IF(H272="ETAPA",OFFSET(C272,-1,0)+1,OFFSET(C272,-1,0)))</f>
        <v/>
      </c>
      <c r="D272" s="200">
        <f>IF(H272="ETAPA",0,IF(H272="SUBETAPA",OFFSET(D272,-1,0)+1,OFFSET(D272,-1,0)))</f>
        <v/>
      </c>
      <c r="E272" s="200">
        <f>IF(H272="Subetapa",0,IF(H272="serviço",OFFSET(E272,-1,0)+1,OFFSET(E272,-1,0)))</f>
        <v/>
      </c>
      <c r="F272" s="31" t="n"/>
      <c r="J272" s="61" t="n"/>
      <c r="K272" s="62" t="n"/>
      <c r="L272" s="63" t="n"/>
      <c r="M272" s="63" t="n"/>
      <c r="N272" s="68" t="n"/>
      <c r="O272" s="68" t="n"/>
      <c r="P272" s="68" t="n"/>
      <c r="Q272" s="68" t="n"/>
      <c r="R272" s="68" t="n"/>
    </row>
    <row r="273" ht="14.1" customFormat="1" customHeight="1" s="60">
      <c r="A273" s="199">
        <f>IF($H273="UNIDADE CONSTRUTIVA",OFFSET(A273,-1,0)+1,LARGE(A$3:A272,1))</f>
        <v/>
      </c>
      <c r="B273" s="199">
        <f>IF(H273="UNIDADE CONSTRUTIVA",0,IF(H273="CÉLULA CONSTRUTIVA",OFFSET(B273,-1,0)+1,OFFSET(B273,-1,0)))</f>
        <v/>
      </c>
      <c r="C273" s="199">
        <f>IF(H273="CÉLULA CONSTRUTIVA",0,IF(H273="ETAPA",OFFSET(C273,-1,0)+1,OFFSET(C273,-1,0)))</f>
        <v/>
      </c>
      <c r="D273" s="200">
        <f>IF(H273="ETAPA",0,IF(H273="SUBETAPA",OFFSET(D273,-1,0)+1,OFFSET(D273,-1,0)))</f>
        <v/>
      </c>
      <c r="E273" s="200">
        <f>IF(H273="Subetapa",0,IF(H273="serviço",OFFSET(E273,-1,0)+1,OFFSET(E273,-1,0)))</f>
        <v/>
      </c>
      <c r="F273" s="31" t="n"/>
      <c r="J273" s="61" t="n"/>
      <c r="K273" s="62" t="n"/>
      <c r="L273" s="63" t="n"/>
      <c r="M273" s="63" t="n"/>
      <c r="N273" s="68" t="n"/>
      <c r="O273" s="68" t="n"/>
      <c r="P273" s="68" t="n"/>
      <c r="Q273" s="68" t="n"/>
      <c r="R273" s="68" t="n"/>
    </row>
    <row r="274" ht="14.1" customFormat="1" customHeight="1" s="60">
      <c r="A274" s="199">
        <f>IF($H274="UNIDADE CONSTRUTIVA",OFFSET(A274,-1,0)+1,LARGE(A$3:A273,1))</f>
        <v/>
      </c>
      <c r="B274" s="199">
        <f>IF(H274="UNIDADE CONSTRUTIVA",0,IF(H274="CÉLULA CONSTRUTIVA",OFFSET(B274,-1,0)+1,OFFSET(B274,-1,0)))</f>
        <v/>
      </c>
      <c r="C274" s="199">
        <f>IF(H274="CÉLULA CONSTRUTIVA",0,IF(H274="ETAPA",OFFSET(C274,-1,0)+1,OFFSET(C274,-1,0)))</f>
        <v/>
      </c>
      <c r="D274" s="200">
        <f>IF(H274="ETAPA",0,IF(H274="SUBETAPA",OFFSET(D274,-1,0)+1,OFFSET(D274,-1,0)))</f>
        <v/>
      </c>
      <c r="E274" s="200">
        <f>IF(H274="Subetapa",0,IF(H274="serviço",OFFSET(E274,-1,0)+1,OFFSET(E274,-1,0)))</f>
        <v/>
      </c>
      <c r="F274" s="31" t="n"/>
      <c r="J274" s="61" t="n"/>
      <c r="K274" s="62" t="n"/>
      <c r="L274" s="63" t="n"/>
      <c r="M274" s="63" t="n"/>
      <c r="N274" s="68" t="n"/>
      <c r="O274" s="68" t="n"/>
      <c r="P274" s="68" t="n"/>
      <c r="Q274" s="68" t="n"/>
      <c r="R274" s="68" t="n"/>
    </row>
    <row r="275" ht="14.1" customFormat="1" customHeight="1" s="60">
      <c r="A275" s="199">
        <f>IF($H275="UNIDADE CONSTRUTIVA",OFFSET(A275,-1,0)+1,LARGE(A$3:A274,1))</f>
        <v/>
      </c>
      <c r="B275" s="199">
        <f>IF(H275="UNIDADE CONSTRUTIVA",0,IF(H275="CÉLULA CONSTRUTIVA",OFFSET(B275,-1,0)+1,OFFSET(B275,-1,0)))</f>
        <v/>
      </c>
      <c r="C275" s="199">
        <f>IF(H275="CÉLULA CONSTRUTIVA",0,IF(H275="ETAPA",OFFSET(C275,-1,0)+1,OFFSET(C275,-1,0)))</f>
        <v/>
      </c>
      <c r="D275" s="200">
        <f>IF(H275="ETAPA",0,IF(H275="SUBETAPA",OFFSET(D275,-1,0)+1,OFFSET(D275,-1,0)))</f>
        <v/>
      </c>
      <c r="E275" s="200">
        <f>IF(H275="Subetapa",0,IF(H275="serviço",OFFSET(E275,-1,0)+1,OFFSET(E275,-1,0)))</f>
        <v/>
      </c>
      <c r="F275" s="31" t="n"/>
      <c r="J275" s="61" t="n"/>
      <c r="K275" s="62" t="n"/>
      <c r="L275" s="63" t="n"/>
      <c r="M275" s="63" t="n"/>
      <c r="N275" s="68" t="n"/>
      <c r="O275" s="68" t="n"/>
      <c r="P275" s="68" t="n"/>
      <c r="Q275" s="68" t="n"/>
      <c r="R275" s="68" t="n"/>
    </row>
    <row r="276" ht="14.1" customFormat="1" customHeight="1" s="60">
      <c r="A276" s="199">
        <f>IF($H276="UNIDADE CONSTRUTIVA",OFFSET(A276,-1,0)+1,LARGE(A$3:A275,1))</f>
        <v/>
      </c>
      <c r="B276" s="199">
        <f>IF(H276="UNIDADE CONSTRUTIVA",0,IF(H276="CÉLULA CONSTRUTIVA",OFFSET(B276,-1,0)+1,OFFSET(B276,-1,0)))</f>
        <v/>
      </c>
      <c r="C276" s="199">
        <f>IF(H276="CÉLULA CONSTRUTIVA",0,IF(H276="ETAPA",OFFSET(C276,-1,0)+1,OFFSET(C276,-1,0)))</f>
        <v/>
      </c>
      <c r="D276" s="200">
        <f>IF(H276="ETAPA",0,IF(H276="SUBETAPA",OFFSET(D276,-1,0)+1,OFFSET(D276,-1,0)))</f>
        <v/>
      </c>
      <c r="E276" s="200">
        <f>IF(H276="Subetapa",0,IF(H276="serviço",OFFSET(E276,-1,0)+1,OFFSET(E276,-1,0)))</f>
        <v/>
      </c>
      <c r="F276" s="31" t="n"/>
      <c r="J276" s="61" t="n"/>
      <c r="K276" s="62" t="n"/>
      <c r="L276" s="63" t="n"/>
      <c r="M276" s="63" t="n"/>
      <c r="N276" s="68" t="n"/>
      <c r="O276" s="68" t="n"/>
      <c r="P276" s="68" t="n"/>
      <c r="Q276" s="68" t="n"/>
      <c r="R276" s="68" t="n"/>
    </row>
    <row r="277" ht="14.1" customFormat="1" customHeight="1" s="60">
      <c r="A277" s="199">
        <f>IF($H277="UNIDADE CONSTRUTIVA",OFFSET(A277,-1,0)+1,LARGE(A$3:A276,1))</f>
        <v/>
      </c>
      <c r="B277" s="199">
        <f>IF(H277="UNIDADE CONSTRUTIVA",0,IF(H277="CÉLULA CONSTRUTIVA",OFFSET(B277,-1,0)+1,OFFSET(B277,-1,0)))</f>
        <v/>
      </c>
      <c r="C277" s="199">
        <f>IF(H277="CÉLULA CONSTRUTIVA",0,IF(H277="ETAPA",OFFSET(C277,-1,0)+1,OFFSET(C277,-1,0)))</f>
        <v/>
      </c>
      <c r="D277" s="200">
        <f>IF(H277="ETAPA",0,IF(H277="SUBETAPA",OFFSET(D277,-1,0)+1,OFFSET(D277,-1,0)))</f>
        <v/>
      </c>
      <c r="E277" s="200">
        <f>IF(H277="Subetapa",0,IF(H277="serviço",OFFSET(E277,-1,0)+1,OFFSET(E277,-1,0)))</f>
        <v/>
      </c>
      <c r="F277" s="31" t="n"/>
      <c r="J277" s="61" t="n"/>
      <c r="K277" s="62" t="n"/>
      <c r="L277" s="63" t="n"/>
      <c r="M277" s="63" t="n"/>
      <c r="N277" s="68" t="n"/>
      <c r="O277" s="68" t="n"/>
      <c r="P277" s="68" t="n"/>
      <c r="Q277" s="68" t="n"/>
      <c r="R277" s="68" t="n"/>
    </row>
    <row r="278" ht="14.1" customFormat="1" customHeight="1" s="60">
      <c r="A278" s="199">
        <f>IF($H278="UNIDADE CONSTRUTIVA",OFFSET(A278,-1,0)+1,LARGE(A$3:A277,1))</f>
        <v/>
      </c>
      <c r="B278" s="199">
        <f>IF(H278="UNIDADE CONSTRUTIVA",0,IF(H278="CÉLULA CONSTRUTIVA",OFFSET(B278,-1,0)+1,OFFSET(B278,-1,0)))</f>
        <v/>
      </c>
      <c r="C278" s="199">
        <f>IF(H278="CÉLULA CONSTRUTIVA",0,IF(H278="ETAPA",OFFSET(C278,-1,0)+1,OFFSET(C278,-1,0)))</f>
        <v/>
      </c>
      <c r="D278" s="200">
        <f>IF(H278="ETAPA",0,IF(H278="SUBETAPA",OFFSET(D278,-1,0)+1,OFFSET(D278,-1,0)))</f>
        <v/>
      </c>
      <c r="E278" s="200">
        <f>IF(H278="Subetapa",0,IF(H278="serviço",OFFSET(E278,-1,0)+1,OFFSET(E278,-1,0)))</f>
        <v/>
      </c>
      <c r="F278" s="31" t="n"/>
      <c r="J278" s="61" t="n"/>
      <c r="K278" s="62" t="n"/>
      <c r="L278" s="63" t="n"/>
      <c r="M278" s="63" t="n"/>
      <c r="N278" s="68" t="n"/>
      <c r="O278" s="68" t="n"/>
      <c r="P278" s="68" t="n"/>
      <c r="Q278" s="68" t="n"/>
      <c r="R278" s="68" t="n"/>
    </row>
    <row r="279" ht="14.1" customFormat="1" customHeight="1" s="60">
      <c r="A279" s="199">
        <f>IF($H279="UNIDADE CONSTRUTIVA",OFFSET(A279,-1,0)+1,LARGE(A$3:A278,1))</f>
        <v/>
      </c>
      <c r="B279" s="199">
        <f>IF(H279="UNIDADE CONSTRUTIVA",0,IF(H279="CÉLULA CONSTRUTIVA",OFFSET(B279,-1,0)+1,OFFSET(B279,-1,0)))</f>
        <v/>
      </c>
      <c r="C279" s="199">
        <f>IF(H279="CÉLULA CONSTRUTIVA",0,IF(H279="ETAPA",OFFSET(C279,-1,0)+1,OFFSET(C279,-1,0)))</f>
        <v/>
      </c>
      <c r="D279" s="200">
        <f>IF(H279="ETAPA",0,IF(H279="SUBETAPA",OFFSET(D279,-1,0)+1,OFFSET(D279,-1,0)))</f>
        <v/>
      </c>
      <c r="E279" s="200">
        <f>IF(H279="Subetapa",0,IF(H279="serviço",OFFSET(E279,-1,0)+1,OFFSET(E279,-1,0)))</f>
        <v/>
      </c>
      <c r="F279" s="31" t="n"/>
      <c r="J279" s="61" t="n"/>
      <c r="K279" s="62" t="n"/>
      <c r="L279" s="63" t="n"/>
      <c r="M279" s="63" t="n"/>
      <c r="N279" s="68" t="n"/>
      <c r="O279" s="68" t="n"/>
      <c r="P279" s="68" t="n"/>
      <c r="Q279" s="68" t="n"/>
      <c r="R279" s="68" t="n"/>
    </row>
    <row r="280" ht="14.1" customFormat="1" customHeight="1" s="60">
      <c r="A280" s="199">
        <f>IF($H280="UNIDADE CONSTRUTIVA",OFFSET(A280,-1,0)+1,LARGE(A$3:A279,1))</f>
        <v/>
      </c>
      <c r="B280" s="199">
        <f>IF(H280="UNIDADE CONSTRUTIVA",0,IF(H280="CÉLULA CONSTRUTIVA",OFFSET(B280,-1,0)+1,OFFSET(B280,-1,0)))</f>
        <v/>
      </c>
      <c r="C280" s="199">
        <f>IF(H280="CÉLULA CONSTRUTIVA",0,IF(H280="ETAPA",OFFSET(C280,-1,0)+1,OFFSET(C280,-1,0)))</f>
        <v/>
      </c>
      <c r="D280" s="200">
        <f>IF(H280="ETAPA",0,IF(H280="SUBETAPA",OFFSET(D280,-1,0)+1,OFFSET(D280,-1,0)))</f>
        <v/>
      </c>
      <c r="E280" s="200">
        <f>IF(H280="Subetapa",0,IF(H280="serviço",OFFSET(E280,-1,0)+1,OFFSET(E280,-1,0)))</f>
        <v/>
      </c>
      <c r="F280" s="31" t="n"/>
      <c r="J280" s="61" t="n"/>
      <c r="K280" s="62" t="n"/>
      <c r="L280" s="63" t="n"/>
      <c r="M280" s="63" t="n"/>
      <c r="N280" s="68" t="n"/>
      <c r="O280" s="68" t="n"/>
      <c r="P280" s="68" t="n"/>
      <c r="Q280" s="68" t="n"/>
      <c r="R280" s="68" t="n"/>
    </row>
    <row r="281" ht="14.1" customFormat="1" customHeight="1" s="60">
      <c r="A281" s="199">
        <f>IF($H281="UNIDADE CONSTRUTIVA",OFFSET(A281,-1,0)+1,LARGE(A$3:A280,1))</f>
        <v/>
      </c>
      <c r="B281" s="199">
        <f>IF(H281="UNIDADE CONSTRUTIVA",0,IF(H281="CÉLULA CONSTRUTIVA",OFFSET(B281,-1,0)+1,OFFSET(B281,-1,0)))</f>
        <v/>
      </c>
      <c r="C281" s="199">
        <f>IF(H281="CÉLULA CONSTRUTIVA",0,IF(H281="ETAPA",OFFSET(C281,-1,0)+1,OFFSET(C281,-1,0)))</f>
        <v/>
      </c>
      <c r="D281" s="200">
        <f>IF(H281="ETAPA",0,IF(H281="SUBETAPA",OFFSET(D281,-1,0)+1,OFFSET(D281,-1,0)))</f>
        <v/>
      </c>
      <c r="E281" s="200">
        <f>IF(H281="Subetapa",0,IF(H281="serviço",OFFSET(E281,-1,0)+1,OFFSET(E281,-1,0)))</f>
        <v/>
      </c>
      <c r="F281" s="31" t="n"/>
      <c r="J281" s="61" t="n"/>
      <c r="K281" s="62" t="n"/>
      <c r="L281" s="63" t="n"/>
      <c r="M281" s="63" t="n"/>
      <c r="N281" s="68" t="n"/>
      <c r="O281" s="68" t="n"/>
      <c r="P281" s="68" t="n"/>
      <c r="Q281" s="68" t="n"/>
      <c r="R281" s="68" t="n"/>
    </row>
    <row r="282" ht="14.1" customFormat="1" customHeight="1" s="60">
      <c r="A282" s="199">
        <f>IF($H282="UNIDADE CONSTRUTIVA",OFFSET(A282,-1,0)+1,LARGE(A$3:A281,1))</f>
        <v/>
      </c>
      <c r="B282" s="199">
        <f>IF(H282="UNIDADE CONSTRUTIVA",0,IF(H282="CÉLULA CONSTRUTIVA",OFFSET(B282,-1,0)+1,OFFSET(B282,-1,0)))</f>
        <v/>
      </c>
      <c r="C282" s="199">
        <f>IF(H282="CÉLULA CONSTRUTIVA",0,IF(H282="ETAPA",OFFSET(C282,-1,0)+1,OFFSET(C282,-1,0)))</f>
        <v/>
      </c>
      <c r="D282" s="200">
        <f>IF(H282="ETAPA",0,IF(H282="SUBETAPA",OFFSET(D282,-1,0)+1,OFFSET(D282,-1,0)))</f>
        <v/>
      </c>
      <c r="E282" s="200">
        <f>IF(H282="Subetapa",0,IF(H282="serviço",OFFSET(E282,-1,0)+1,OFFSET(E282,-1,0)))</f>
        <v/>
      </c>
      <c r="F282" s="31" t="n"/>
      <c r="J282" s="61" t="n"/>
      <c r="K282" s="62" t="n"/>
      <c r="L282" s="63" t="n"/>
      <c r="M282" s="63" t="n"/>
      <c r="N282" s="68" t="n"/>
      <c r="O282" s="68" t="n"/>
      <c r="P282" s="68" t="n"/>
      <c r="Q282" s="68" t="n"/>
      <c r="R282" s="68" t="n"/>
    </row>
    <row r="283" ht="14.1" customFormat="1" customHeight="1" s="60">
      <c r="A283" s="199">
        <f>IF($H283="UNIDADE CONSTRUTIVA",OFFSET(A283,-1,0)+1,LARGE(A$3:A282,1))</f>
        <v/>
      </c>
      <c r="B283" s="199">
        <f>IF(H283="UNIDADE CONSTRUTIVA",0,IF(H283="CÉLULA CONSTRUTIVA",OFFSET(B283,-1,0)+1,OFFSET(B283,-1,0)))</f>
        <v/>
      </c>
      <c r="C283" s="199">
        <f>IF(H283="CÉLULA CONSTRUTIVA",0,IF(H283="ETAPA",OFFSET(C283,-1,0)+1,OFFSET(C283,-1,0)))</f>
        <v/>
      </c>
      <c r="D283" s="200">
        <f>IF(H283="ETAPA",0,IF(H283="SUBETAPA",OFFSET(D283,-1,0)+1,OFFSET(D283,-1,0)))</f>
        <v/>
      </c>
      <c r="E283" s="200">
        <f>IF(H283="Subetapa",0,IF(H283="serviço",OFFSET(E283,-1,0)+1,OFFSET(E283,-1,0)))</f>
        <v/>
      </c>
      <c r="F283" s="31" t="n"/>
      <c r="J283" s="61" t="n"/>
      <c r="K283" s="62" t="n"/>
      <c r="L283" s="63" t="n"/>
      <c r="M283" s="63" t="n"/>
      <c r="N283" s="68" t="n"/>
      <c r="O283" s="68" t="n"/>
      <c r="P283" s="68" t="n"/>
      <c r="Q283" s="68" t="n"/>
      <c r="R283" s="68" t="n"/>
    </row>
    <row r="284" ht="14.1" customFormat="1" customHeight="1" s="60">
      <c r="A284" s="199">
        <f>IF($H284="UNIDADE CONSTRUTIVA",OFFSET(A284,-1,0)+1,LARGE(A$3:A283,1))</f>
        <v/>
      </c>
      <c r="B284" s="199">
        <f>IF(H284="UNIDADE CONSTRUTIVA",0,IF(H284="CÉLULA CONSTRUTIVA",OFFSET(B284,-1,0)+1,OFFSET(B284,-1,0)))</f>
        <v/>
      </c>
      <c r="C284" s="199">
        <f>IF(H284="CÉLULA CONSTRUTIVA",0,IF(H284="ETAPA",OFFSET(C284,-1,0)+1,OFFSET(C284,-1,0)))</f>
        <v/>
      </c>
      <c r="D284" s="200">
        <f>IF(H284="ETAPA",0,IF(H284="SUBETAPA",OFFSET(D284,-1,0)+1,OFFSET(D284,-1,0)))</f>
        <v/>
      </c>
      <c r="E284" s="200">
        <f>IF(H284="Subetapa",0,IF(H284="serviço",OFFSET(E284,-1,0)+1,OFFSET(E284,-1,0)))</f>
        <v/>
      </c>
      <c r="F284" s="31" t="n"/>
      <c r="J284" s="61" t="n"/>
      <c r="K284" s="62" t="n"/>
      <c r="L284" s="63" t="n"/>
      <c r="M284" s="63" t="n"/>
      <c r="N284" s="68" t="n"/>
      <c r="O284" s="68" t="n"/>
      <c r="P284" s="68" t="n"/>
      <c r="Q284" s="68" t="n"/>
      <c r="R284" s="68" t="n"/>
    </row>
    <row r="285" ht="14.1" customFormat="1" customHeight="1" s="60">
      <c r="A285" s="199">
        <f>IF($H285="UNIDADE CONSTRUTIVA",OFFSET(A285,-1,0)+1,LARGE(A$3:A284,1))</f>
        <v/>
      </c>
      <c r="B285" s="199">
        <f>IF(H285="UNIDADE CONSTRUTIVA",0,IF(H285="CÉLULA CONSTRUTIVA",OFFSET(B285,-1,0)+1,OFFSET(B285,-1,0)))</f>
        <v/>
      </c>
      <c r="C285" s="199">
        <f>IF(H285="CÉLULA CONSTRUTIVA",0,IF(H285="ETAPA",OFFSET(C285,-1,0)+1,OFFSET(C285,-1,0)))</f>
        <v/>
      </c>
      <c r="D285" s="200">
        <f>IF(H285="ETAPA",0,IF(H285="SUBETAPA",OFFSET(D285,-1,0)+1,OFFSET(D285,-1,0)))</f>
        <v/>
      </c>
      <c r="E285" s="200">
        <f>IF(H285="Subetapa",0,IF(H285="serviço",OFFSET(E285,-1,0)+1,OFFSET(E285,-1,0)))</f>
        <v/>
      </c>
      <c r="F285" s="31" t="n"/>
      <c r="J285" s="61" t="n"/>
      <c r="K285" s="62" t="n"/>
      <c r="L285" s="63" t="n"/>
      <c r="M285" s="63" t="n"/>
      <c r="N285" s="68" t="n"/>
      <c r="O285" s="68" t="n"/>
      <c r="P285" s="68" t="n"/>
      <c r="Q285" s="68" t="n"/>
      <c r="R285" s="68" t="n"/>
    </row>
    <row r="286" ht="14.1" customFormat="1" customHeight="1" s="60">
      <c r="A286" s="199">
        <f>IF($H286="UNIDADE CONSTRUTIVA",OFFSET(A286,-1,0)+1,LARGE(A$3:A285,1))</f>
        <v/>
      </c>
      <c r="B286" s="199">
        <f>IF(H286="UNIDADE CONSTRUTIVA",0,IF(H286="CÉLULA CONSTRUTIVA",OFFSET(B286,-1,0)+1,OFFSET(B286,-1,0)))</f>
        <v/>
      </c>
      <c r="C286" s="199">
        <f>IF(H286="CÉLULA CONSTRUTIVA",0,IF(H286="ETAPA",OFFSET(C286,-1,0)+1,OFFSET(C286,-1,0)))</f>
        <v/>
      </c>
      <c r="D286" s="200">
        <f>IF(H286="ETAPA",0,IF(H286="SUBETAPA",OFFSET(D286,-1,0)+1,OFFSET(D286,-1,0)))</f>
        <v/>
      </c>
      <c r="E286" s="200">
        <f>IF(H286="Subetapa",0,IF(H286="serviço",OFFSET(E286,-1,0)+1,OFFSET(E286,-1,0)))</f>
        <v/>
      </c>
      <c r="F286" s="31" t="n"/>
      <c r="J286" s="61" t="n"/>
      <c r="K286" s="62" t="n"/>
      <c r="L286" s="63" t="n"/>
      <c r="M286" s="63" t="n"/>
      <c r="N286" s="68" t="n"/>
      <c r="O286" s="68" t="n"/>
      <c r="P286" s="68" t="n"/>
      <c r="Q286" s="68" t="n"/>
      <c r="R286" s="68" t="n"/>
    </row>
    <row r="287" ht="14.1" customFormat="1" customHeight="1" s="60">
      <c r="A287" s="199">
        <f>IF($H287="UNIDADE CONSTRUTIVA",OFFSET(A287,-1,0)+1,LARGE(A$3:A286,1))</f>
        <v/>
      </c>
      <c r="B287" s="199">
        <f>IF(H287="UNIDADE CONSTRUTIVA",0,IF(H287="CÉLULA CONSTRUTIVA",OFFSET(B287,-1,0)+1,OFFSET(B287,-1,0)))</f>
        <v/>
      </c>
      <c r="C287" s="199">
        <f>IF(H287="CÉLULA CONSTRUTIVA",0,IF(H287="ETAPA",OFFSET(C287,-1,0)+1,OFFSET(C287,-1,0)))</f>
        <v/>
      </c>
      <c r="D287" s="200">
        <f>IF(H287="ETAPA",0,IF(H287="SUBETAPA",OFFSET(D287,-1,0)+1,OFFSET(D287,-1,0)))</f>
        <v/>
      </c>
      <c r="E287" s="200">
        <f>IF(H287="Subetapa",0,IF(H287="serviço",OFFSET(E287,-1,0)+1,OFFSET(E287,-1,0)))</f>
        <v/>
      </c>
      <c r="F287" s="31" t="n"/>
      <c r="J287" s="61" t="n"/>
      <c r="K287" s="62" t="n"/>
      <c r="L287" s="63" t="n"/>
      <c r="M287" s="63" t="n"/>
      <c r="N287" s="68" t="n"/>
      <c r="O287" s="68" t="n"/>
      <c r="P287" s="68" t="n"/>
      <c r="Q287" s="68" t="n"/>
      <c r="R287" s="68" t="n"/>
    </row>
    <row r="288" ht="14.1" customFormat="1" customHeight="1" s="60">
      <c r="A288" s="199">
        <f>IF($H288="UNIDADE CONSTRUTIVA",OFFSET(A288,-1,0)+1,LARGE(A$3:A287,1))</f>
        <v/>
      </c>
      <c r="B288" s="199">
        <f>IF(H288="UNIDADE CONSTRUTIVA",0,IF(H288="CÉLULA CONSTRUTIVA",OFFSET(B288,-1,0)+1,OFFSET(B288,-1,0)))</f>
        <v/>
      </c>
      <c r="C288" s="199">
        <f>IF(H288="CÉLULA CONSTRUTIVA",0,IF(H288="ETAPA",OFFSET(C288,-1,0)+1,OFFSET(C288,-1,0)))</f>
        <v/>
      </c>
      <c r="D288" s="200">
        <f>IF(H288="ETAPA",0,IF(H288="SUBETAPA",OFFSET(D288,-1,0)+1,OFFSET(D288,-1,0)))</f>
        <v/>
      </c>
      <c r="E288" s="200">
        <f>IF(H288="Subetapa",0,IF(H288="serviço",OFFSET(E288,-1,0)+1,OFFSET(E288,-1,0)))</f>
        <v/>
      </c>
      <c r="F288" s="31" t="n"/>
      <c r="J288" s="61" t="n"/>
      <c r="K288" s="62" t="n"/>
      <c r="L288" s="63" t="n"/>
      <c r="M288" s="63" t="n"/>
      <c r="N288" s="68" t="n"/>
      <c r="O288" s="68" t="n"/>
      <c r="P288" s="68" t="n"/>
      <c r="Q288" s="68" t="n"/>
      <c r="R288" s="68" t="n"/>
    </row>
    <row r="289" ht="14.1" customFormat="1" customHeight="1" s="60">
      <c r="A289" s="199">
        <f>IF($H289="UNIDADE CONSTRUTIVA",OFFSET(A289,-1,0)+1,LARGE(A$3:A288,1))</f>
        <v/>
      </c>
      <c r="B289" s="199">
        <f>IF(H289="UNIDADE CONSTRUTIVA",0,IF(H289="CÉLULA CONSTRUTIVA",OFFSET(B289,-1,0)+1,OFFSET(B289,-1,0)))</f>
        <v/>
      </c>
      <c r="C289" s="199">
        <f>IF(H289="CÉLULA CONSTRUTIVA",0,IF(H289="ETAPA",OFFSET(C289,-1,0)+1,OFFSET(C289,-1,0)))</f>
        <v/>
      </c>
      <c r="D289" s="200">
        <f>IF(H289="ETAPA",0,IF(H289="SUBETAPA",OFFSET(D289,-1,0)+1,OFFSET(D289,-1,0)))</f>
        <v/>
      </c>
      <c r="E289" s="200">
        <f>IF(H289="Subetapa",0,IF(H289="serviço",OFFSET(E289,-1,0)+1,OFFSET(E289,-1,0)))</f>
        <v/>
      </c>
      <c r="F289" s="31" t="n"/>
      <c r="J289" s="61" t="n"/>
      <c r="K289" s="62" t="n"/>
      <c r="L289" s="63" t="n"/>
      <c r="M289" s="63" t="n"/>
      <c r="N289" s="68" t="n"/>
      <c r="O289" s="68" t="n"/>
      <c r="P289" s="68" t="n"/>
      <c r="Q289" s="68" t="n"/>
      <c r="R289" s="68" t="n"/>
    </row>
    <row r="290" ht="14.1" customFormat="1" customHeight="1" s="60">
      <c r="A290" s="199">
        <f>IF($H290="UNIDADE CONSTRUTIVA",OFFSET(A290,-1,0)+1,LARGE(A$3:A289,1))</f>
        <v/>
      </c>
      <c r="B290" s="199">
        <f>IF(H290="UNIDADE CONSTRUTIVA",0,IF(H290="CÉLULA CONSTRUTIVA",OFFSET(B290,-1,0)+1,OFFSET(B290,-1,0)))</f>
        <v/>
      </c>
      <c r="C290" s="199">
        <f>IF(H290="CÉLULA CONSTRUTIVA",0,IF(H290="ETAPA",OFFSET(C290,-1,0)+1,OFFSET(C290,-1,0)))</f>
        <v/>
      </c>
      <c r="D290" s="200">
        <f>IF(H290="ETAPA",0,IF(H290="SUBETAPA",OFFSET(D290,-1,0)+1,OFFSET(D290,-1,0)))</f>
        <v/>
      </c>
      <c r="E290" s="200">
        <f>IF(H290="Subetapa",0,IF(H290="serviço",OFFSET(E290,-1,0)+1,OFFSET(E290,-1,0)))</f>
        <v/>
      </c>
      <c r="F290" s="31" t="n"/>
      <c r="J290" s="61" t="n"/>
      <c r="K290" s="62" t="n"/>
      <c r="L290" s="63" t="n"/>
      <c r="M290" s="63" t="n"/>
      <c r="N290" s="68" t="n"/>
      <c r="O290" s="68" t="n"/>
      <c r="P290" s="68" t="n"/>
      <c r="Q290" s="68" t="n"/>
      <c r="R290" s="68" t="n"/>
    </row>
    <row r="291" ht="14.1" customFormat="1" customHeight="1" s="60">
      <c r="A291" s="199">
        <f>IF($H291="UNIDADE CONSTRUTIVA",OFFSET(A291,-1,0)+1,LARGE(A$3:A290,1))</f>
        <v/>
      </c>
      <c r="B291" s="199">
        <f>IF(H291="UNIDADE CONSTRUTIVA",0,IF(H291="CÉLULA CONSTRUTIVA",OFFSET(B291,-1,0)+1,OFFSET(B291,-1,0)))</f>
        <v/>
      </c>
      <c r="C291" s="199">
        <f>IF(H291="CÉLULA CONSTRUTIVA",0,IF(H291="ETAPA",OFFSET(C291,-1,0)+1,OFFSET(C291,-1,0)))</f>
        <v/>
      </c>
      <c r="D291" s="200">
        <f>IF(H291="ETAPA",0,IF(H291="SUBETAPA",OFFSET(D291,-1,0)+1,OFFSET(D291,-1,0)))</f>
        <v/>
      </c>
      <c r="E291" s="200">
        <f>IF(H291="Subetapa",0,IF(H291="serviço",OFFSET(E291,-1,0)+1,OFFSET(E291,-1,0)))</f>
        <v/>
      </c>
      <c r="F291" s="31" t="n"/>
      <c r="J291" s="61" t="n"/>
      <c r="K291" s="62" t="n"/>
      <c r="L291" s="63" t="n"/>
      <c r="M291" s="63" t="n"/>
      <c r="N291" s="68" t="n"/>
      <c r="O291" s="68" t="n"/>
      <c r="P291" s="68" t="n"/>
      <c r="Q291" s="68" t="n"/>
      <c r="R291" s="68" t="n"/>
    </row>
    <row r="292" ht="14.1" customFormat="1" customHeight="1" s="60">
      <c r="A292" s="199">
        <f>IF($H292="UNIDADE CONSTRUTIVA",OFFSET(A292,-1,0)+1,LARGE(A$3:A291,1))</f>
        <v/>
      </c>
      <c r="B292" s="199">
        <f>IF(H292="UNIDADE CONSTRUTIVA",0,IF(H292="CÉLULA CONSTRUTIVA",OFFSET(B292,-1,0)+1,OFFSET(B292,-1,0)))</f>
        <v/>
      </c>
      <c r="C292" s="199">
        <f>IF(H292="CÉLULA CONSTRUTIVA",0,IF(H292="ETAPA",OFFSET(C292,-1,0)+1,OFFSET(C292,-1,0)))</f>
        <v/>
      </c>
      <c r="D292" s="200">
        <f>IF(H292="ETAPA",0,IF(H292="SUBETAPA",OFFSET(D292,-1,0)+1,OFFSET(D292,-1,0)))</f>
        <v/>
      </c>
      <c r="E292" s="200">
        <f>IF(H292="Subetapa",0,IF(H292="serviço",OFFSET(E292,-1,0)+1,OFFSET(E292,-1,0)))</f>
        <v/>
      </c>
      <c r="F292" s="31" t="n"/>
      <c r="J292" s="61" t="n"/>
      <c r="K292" s="62" t="n"/>
      <c r="L292" s="63" t="n"/>
      <c r="M292" s="63" t="n"/>
      <c r="N292" s="68" t="n"/>
      <c r="O292" s="68" t="n"/>
      <c r="P292" s="68" t="n"/>
      <c r="Q292" s="68" t="n"/>
      <c r="R292" s="68" t="n"/>
    </row>
    <row r="293" ht="14.1" customFormat="1" customHeight="1" s="60">
      <c r="A293" s="199">
        <f>IF($H293="UNIDADE CONSTRUTIVA",OFFSET(A293,-1,0)+1,LARGE(A$3:A292,1))</f>
        <v/>
      </c>
      <c r="B293" s="199">
        <f>IF(H293="UNIDADE CONSTRUTIVA",0,IF(H293="CÉLULA CONSTRUTIVA",OFFSET(B293,-1,0)+1,OFFSET(B293,-1,0)))</f>
        <v/>
      </c>
      <c r="C293" s="199">
        <f>IF(H293="CÉLULA CONSTRUTIVA",0,IF(H293="ETAPA",OFFSET(C293,-1,0)+1,OFFSET(C293,-1,0)))</f>
        <v/>
      </c>
      <c r="D293" s="200">
        <f>IF(H293="ETAPA",0,IF(H293="SUBETAPA",OFFSET(D293,-1,0)+1,OFFSET(D293,-1,0)))</f>
        <v/>
      </c>
      <c r="E293" s="200">
        <f>IF(H293="Subetapa",0,IF(H293="serviço",OFFSET(E293,-1,0)+1,OFFSET(E293,-1,0)))</f>
        <v/>
      </c>
      <c r="F293" s="31" t="n"/>
      <c r="J293" s="61" t="n"/>
      <c r="K293" s="62" t="n"/>
      <c r="L293" s="63" t="n"/>
      <c r="M293" s="63" t="n"/>
      <c r="N293" s="68" t="n"/>
      <c r="O293" s="68" t="n"/>
      <c r="P293" s="68" t="n"/>
      <c r="Q293" s="68" t="n"/>
      <c r="R293" s="68" t="n"/>
    </row>
    <row r="294" ht="14.1" customFormat="1" customHeight="1" s="60">
      <c r="A294" s="199">
        <f>IF($H294="UNIDADE CONSTRUTIVA",OFFSET(A294,-1,0)+1,LARGE(A$3:A293,1))</f>
        <v/>
      </c>
      <c r="B294" s="199">
        <f>IF(H294="UNIDADE CONSTRUTIVA",0,IF(H294="CÉLULA CONSTRUTIVA",OFFSET(B294,-1,0)+1,OFFSET(B294,-1,0)))</f>
        <v/>
      </c>
      <c r="C294" s="199">
        <f>IF(H294="CÉLULA CONSTRUTIVA",0,IF(H294="ETAPA",OFFSET(C294,-1,0)+1,OFFSET(C294,-1,0)))</f>
        <v/>
      </c>
      <c r="D294" s="200">
        <f>IF(H294="ETAPA",0,IF(H294="SUBETAPA",OFFSET(D294,-1,0)+1,OFFSET(D294,-1,0)))</f>
        <v/>
      </c>
      <c r="E294" s="200">
        <f>IF(H294="Subetapa",0,IF(H294="serviço",OFFSET(E294,-1,0)+1,OFFSET(E294,-1,0)))</f>
        <v/>
      </c>
      <c r="F294" s="31" t="n"/>
      <c r="J294" s="61" t="n"/>
      <c r="K294" s="62" t="n"/>
      <c r="L294" s="63" t="n"/>
      <c r="M294" s="63" t="n"/>
      <c r="N294" s="68" t="n"/>
      <c r="O294" s="68" t="n"/>
      <c r="P294" s="68" t="n"/>
      <c r="Q294" s="68" t="n"/>
      <c r="R294" s="68" t="n"/>
    </row>
    <row r="295" ht="14.1" customFormat="1" customHeight="1" s="60">
      <c r="A295" s="199">
        <f>IF($H295="UNIDADE CONSTRUTIVA",OFFSET(A295,-1,0)+1,LARGE(A$3:A294,1))</f>
        <v/>
      </c>
      <c r="B295" s="199">
        <f>IF(H295="UNIDADE CONSTRUTIVA",0,IF(H295="CÉLULA CONSTRUTIVA",OFFSET(B295,-1,0)+1,OFFSET(B295,-1,0)))</f>
        <v/>
      </c>
      <c r="C295" s="199">
        <f>IF(H295="CÉLULA CONSTRUTIVA",0,IF(H295="ETAPA",OFFSET(C295,-1,0)+1,OFFSET(C295,-1,0)))</f>
        <v/>
      </c>
      <c r="D295" s="200">
        <f>IF(H295="ETAPA",0,IF(H295="SUBETAPA",OFFSET(D295,-1,0)+1,OFFSET(D295,-1,0)))</f>
        <v/>
      </c>
      <c r="E295" s="200">
        <f>IF(H295="Subetapa",0,IF(H295="serviço",OFFSET(E295,-1,0)+1,OFFSET(E295,-1,0)))</f>
        <v/>
      </c>
      <c r="F295" s="31" t="n"/>
      <c r="J295" s="61" t="n"/>
      <c r="K295" s="62" t="n"/>
      <c r="L295" s="63" t="n"/>
      <c r="M295" s="63" t="n"/>
      <c r="N295" s="68" t="n"/>
      <c r="O295" s="68" t="n"/>
      <c r="P295" s="68" t="n"/>
      <c r="Q295" s="68" t="n"/>
      <c r="R295" s="68" t="n"/>
    </row>
    <row r="296" ht="14.1" customFormat="1" customHeight="1" s="60">
      <c r="A296" s="199">
        <f>IF($H296="UNIDADE CONSTRUTIVA",OFFSET(A296,-1,0)+1,LARGE(A$3:A295,1))</f>
        <v/>
      </c>
      <c r="B296" s="199">
        <f>IF(H296="UNIDADE CONSTRUTIVA",0,IF(H296="CÉLULA CONSTRUTIVA",OFFSET(B296,-1,0)+1,OFFSET(B296,-1,0)))</f>
        <v/>
      </c>
      <c r="C296" s="199">
        <f>IF(H296="CÉLULA CONSTRUTIVA",0,IF(H296="ETAPA",OFFSET(C296,-1,0)+1,OFFSET(C296,-1,0)))</f>
        <v/>
      </c>
      <c r="D296" s="200">
        <f>IF(H296="ETAPA",0,IF(H296="SUBETAPA",OFFSET(D296,-1,0)+1,OFFSET(D296,-1,0)))</f>
        <v/>
      </c>
      <c r="E296" s="200">
        <f>IF(H296="Subetapa",0,IF(H296="serviço",OFFSET(E296,-1,0)+1,OFFSET(E296,-1,0)))</f>
        <v/>
      </c>
      <c r="F296" s="31" t="n"/>
      <c r="J296" s="61" t="n"/>
      <c r="K296" s="62" t="n"/>
      <c r="L296" s="63" t="n"/>
      <c r="M296" s="63" t="n"/>
      <c r="N296" s="68" t="n"/>
      <c r="O296" s="68" t="n"/>
      <c r="P296" s="68" t="n"/>
      <c r="Q296" s="68" t="n"/>
      <c r="R296" s="68" t="n"/>
    </row>
    <row r="297" ht="14.1" customFormat="1" customHeight="1" s="60">
      <c r="A297" s="199">
        <f>IF($H297="UNIDADE CONSTRUTIVA",OFFSET(A297,-1,0)+1,LARGE(A$3:A296,1))</f>
        <v/>
      </c>
      <c r="B297" s="199">
        <f>IF(H297="UNIDADE CONSTRUTIVA",0,IF(H297="CÉLULA CONSTRUTIVA",OFFSET(B297,-1,0)+1,OFFSET(B297,-1,0)))</f>
        <v/>
      </c>
      <c r="C297" s="199">
        <f>IF(H297="CÉLULA CONSTRUTIVA",0,IF(H297="ETAPA",OFFSET(C297,-1,0)+1,OFFSET(C297,-1,0)))</f>
        <v/>
      </c>
      <c r="D297" s="200">
        <f>IF(H297="ETAPA",0,IF(H297="SUBETAPA",OFFSET(D297,-1,0)+1,OFFSET(D297,-1,0)))</f>
        <v/>
      </c>
      <c r="E297" s="200">
        <f>IF(H297="Subetapa",0,IF(H297="serviço",OFFSET(E297,-1,0)+1,OFFSET(E297,-1,0)))</f>
        <v/>
      </c>
      <c r="F297" s="31" t="n"/>
      <c r="J297" s="61" t="n"/>
      <c r="K297" s="62" t="n"/>
      <c r="L297" s="63" t="n"/>
      <c r="M297" s="63" t="n"/>
      <c r="N297" s="68" t="n"/>
      <c r="O297" s="68" t="n"/>
      <c r="P297" s="68" t="n"/>
      <c r="Q297" s="68" t="n"/>
      <c r="R297" s="68" t="n"/>
    </row>
    <row r="298" ht="14.1" customFormat="1" customHeight="1" s="60">
      <c r="A298" s="199">
        <f>IF($H298="UNIDADE CONSTRUTIVA",OFFSET(A298,-1,0)+1,LARGE(A$3:A297,1))</f>
        <v/>
      </c>
      <c r="B298" s="199">
        <f>IF(H298="UNIDADE CONSTRUTIVA",0,IF(H298="CÉLULA CONSTRUTIVA",OFFSET(B298,-1,0)+1,OFFSET(B298,-1,0)))</f>
        <v/>
      </c>
      <c r="C298" s="199">
        <f>IF(H298="CÉLULA CONSTRUTIVA",0,IF(H298="ETAPA",OFFSET(C298,-1,0)+1,OFFSET(C298,-1,0)))</f>
        <v/>
      </c>
      <c r="D298" s="200">
        <f>IF(H298="ETAPA",0,IF(H298="SUBETAPA",OFFSET(D298,-1,0)+1,OFFSET(D298,-1,0)))</f>
        <v/>
      </c>
      <c r="E298" s="200">
        <f>IF(H298="Subetapa",0,IF(H298="serviço",OFFSET(E298,-1,0)+1,OFFSET(E298,-1,0)))</f>
        <v/>
      </c>
      <c r="F298" s="31" t="n"/>
      <c r="J298" s="61" t="n"/>
      <c r="K298" s="62" t="n"/>
      <c r="L298" s="63" t="n"/>
      <c r="M298" s="63" t="n"/>
      <c r="N298" s="68" t="n"/>
      <c r="O298" s="68" t="n"/>
      <c r="P298" s="68" t="n"/>
      <c r="Q298" s="68" t="n"/>
      <c r="R298" s="68" t="n"/>
    </row>
    <row r="299" ht="14.1" customFormat="1" customHeight="1" s="60">
      <c r="A299" s="199">
        <f>IF($H299="UNIDADE CONSTRUTIVA",OFFSET(A299,-1,0)+1,LARGE(A$3:A298,1))</f>
        <v/>
      </c>
      <c r="B299" s="199">
        <f>IF(H299="UNIDADE CONSTRUTIVA",0,IF(H299="CÉLULA CONSTRUTIVA",OFFSET(B299,-1,0)+1,OFFSET(B299,-1,0)))</f>
        <v/>
      </c>
      <c r="C299" s="199">
        <f>IF(H299="CÉLULA CONSTRUTIVA",0,IF(H299="ETAPA",OFFSET(C299,-1,0)+1,OFFSET(C299,-1,0)))</f>
        <v/>
      </c>
      <c r="D299" s="200">
        <f>IF(H299="ETAPA",0,IF(H299="SUBETAPA",OFFSET(D299,-1,0)+1,OFFSET(D299,-1,0)))</f>
        <v/>
      </c>
      <c r="E299" s="200">
        <f>IF(H299="Subetapa",0,IF(H299="serviço",OFFSET(E299,-1,0)+1,OFFSET(E299,-1,0)))</f>
        <v/>
      </c>
      <c r="F299" s="31" t="n"/>
      <c r="J299" s="61" t="n"/>
      <c r="K299" s="62" t="n"/>
      <c r="L299" s="63" t="n"/>
      <c r="M299" s="63" t="n"/>
      <c r="N299" s="68" t="n"/>
      <c r="O299" s="68" t="n"/>
      <c r="P299" s="68" t="n"/>
      <c r="Q299" s="68" t="n"/>
      <c r="R299" s="68" t="n"/>
    </row>
    <row r="300" ht="14.1" customFormat="1" customHeight="1" s="60">
      <c r="A300" s="199">
        <f>IF($H300="UNIDADE CONSTRUTIVA",OFFSET(A300,-1,0)+1,LARGE(A$3:A299,1))</f>
        <v/>
      </c>
      <c r="B300" s="199">
        <f>IF(H300="UNIDADE CONSTRUTIVA",0,IF(H300="CÉLULA CONSTRUTIVA",OFFSET(B300,-1,0)+1,OFFSET(B300,-1,0)))</f>
        <v/>
      </c>
      <c r="C300" s="199">
        <f>IF(H300="CÉLULA CONSTRUTIVA",0,IF(H300="ETAPA",OFFSET(C300,-1,0)+1,OFFSET(C300,-1,0)))</f>
        <v/>
      </c>
      <c r="D300" s="200">
        <f>IF(H300="ETAPA",0,IF(H300="SUBETAPA",OFFSET(D300,-1,0)+1,OFFSET(D300,-1,0)))</f>
        <v/>
      </c>
      <c r="E300" s="200">
        <f>IF(H300="Subetapa",0,IF(H300="serviço",OFFSET(E300,-1,0)+1,OFFSET(E300,-1,0)))</f>
        <v/>
      </c>
      <c r="F300" s="31" t="n"/>
      <c r="J300" s="61" t="n"/>
      <c r="K300" s="62" t="n"/>
      <c r="L300" s="63" t="n"/>
      <c r="M300" s="63" t="n"/>
      <c r="N300" s="68" t="n"/>
      <c r="O300" s="68" t="n"/>
      <c r="P300" s="68" t="n"/>
      <c r="Q300" s="68" t="n"/>
      <c r="R300" s="68" t="n"/>
    </row>
    <row r="301" ht="14.1" customFormat="1" customHeight="1" s="60">
      <c r="A301" s="199">
        <f>IF($H301="UNIDADE CONSTRUTIVA",OFFSET(A301,-1,0)+1,LARGE(A$3:A300,1))</f>
        <v/>
      </c>
      <c r="B301" s="199">
        <f>IF(H301="UNIDADE CONSTRUTIVA",0,IF(H301="CÉLULA CONSTRUTIVA",OFFSET(B301,-1,0)+1,OFFSET(B301,-1,0)))</f>
        <v/>
      </c>
      <c r="C301" s="199">
        <f>IF(H301="CÉLULA CONSTRUTIVA",0,IF(H301="ETAPA",OFFSET(C301,-1,0)+1,OFFSET(C301,-1,0)))</f>
        <v/>
      </c>
      <c r="D301" s="200">
        <f>IF(H301="ETAPA",0,IF(H301="SUBETAPA",OFFSET(D301,-1,0)+1,OFFSET(D301,-1,0)))</f>
        <v/>
      </c>
      <c r="E301" s="200">
        <f>IF(H301="Subetapa",0,IF(H301="serviço",OFFSET(E301,-1,0)+1,OFFSET(E301,-1,0)))</f>
        <v/>
      </c>
      <c r="F301" s="31" t="n"/>
      <c r="J301" s="61" t="n"/>
      <c r="K301" s="62" t="n"/>
      <c r="L301" s="63" t="n"/>
      <c r="M301" s="63" t="n"/>
      <c r="N301" s="68" t="n"/>
      <c r="O301" s="68" t="n"/>
      <c r="P301" s="68" t="n"/>
      <c r="Q301" s="68" t="n"/>
      <c r="R301" s="68" t="n"/>
    </row>
    <row r="302" ht="14.1" customFormat="1" customHeight="1" s="60">
      <c r="A302" s="199">
        <f>IF($H302="UNIDADE CONSTRUTIVA",OFFSET(A302,-1,0)+1,LARGE(A$3:A301,1))</f>
        <v/>
      </c>
      <c r="B302" s="199">
        <f>IF(H302="UNIDADE CONSTRUTIVA",0,IF(H302="CÉLULA CONSTRUTIVA",OFFSET(B302,-1,0)+1,OFFSET(B302,-1,0)))</f>
        <v/>
      </c>
      <c r="C302" s="199">
        <f>IF(H302="CÉLULA CONSTRUTIVA",0,IF(H302="ETAPA",OFFSET(C302,-1,0)+1,OFFSET(C302,-1,0)))</f>
        <v/>
      </c>
      <c r="D302" s="200">
        <f>IF(H302="ETAPA",0,IF(H302="SUBETAPA",OFFSET(D302,-1,0)+1,OFFSET(D302,-1,0)))</f>
        <v/>
      </c>
      <c r="E302" s="200">
        <f>IF(H302="Subetapa",0,IF(H302="serviço",OFFSET(E302,-1,0)+1,OFFSET(E302,-1,0)))</f>
        <v/>
      </c>
      <c r="F302" s="31" t="n"/>
      <c r="J302" s="61" t="n"/>
      <c r="K302" s="62" t="n"/>
      <c r="L302" s="63" t="n"/>
      <c r="M302" s="63" t="n"/>
      <c r="N302" s="68" t="n"/>
      <c r="O302" s="68" t="n"/>
      <c r="P302" s="68" t="n"/>
      <c r="Q302" s="68" t="n"/>
      <c r="R302" s="68" t="n"/>
    </row>
    <row r="303" ht="14.1" customFormat="1" customHeight="1" s="60">
      <c r="A303" s="199">
        <f>IF($H303="UNIDADE CONSTRUTIVA",OFFSET(A303,-1,0)+1,LARGE(A$3:A302,1))</f>
        <v/>
      </c>
      <c r="B303" s="199">
        <f>IF(H303="UNIDADE CONSTRUTIVA",0,IF(H303="CÉLULA CONSTRUTIVA",OFFSET(B303,-1,0)+1,OFFSET(B303,-1,0)))</f>
        <v/>
      </c>
      <c r="C303" s="199">
        <f>IF(H303="CÉLULA CONSTRUTIVA",0,IF(H303="ETAPA",OFFSET(C303,-1,0)+1,OFFSET(C303,-1,0)))</f>
        <v/>
      </c>
      <c r="D303" s="200">
        <f>IF(H303="ETAPA",0,IF(H303="SUBETAPA",OFFSET(D303,-1,0)+1,OFFSET(D303,-1,0)))</f>
        <v/>
      </c>
      <c r="E303" s="200">
        <f>IF(H303="Subetapa",0,IF(H303="serviço",OFFSET(E303,-1,0)+1,OFFSET(E303,-1,0)))</f>
        <v/>
      </c>
      <c r="F303" s="31" t="n"/>
      <c r="J303" s="61" t="n"/>
      <c r="K303" s="62" t="n"/>
      <c r="L303" s="63" t="n"/>
      <c r="M303" s="63" t="n"/>
      <c r="N303" s="68" t="n"/>
      <c r="O303" s="68" t="n"/>
      <c r="P303" s="68" t="n"/>
      <c r="Q303" s="68" t="n"/>
      <c r="R303" s="68" t="n"/>
    </row>
    <row r="304" ht="14.1" customFormat="1" customHeight="1" s="60">
      <c r="A304" s="199">
        <f>IF($H304="UNIDADE CONSTRUTIVA",OFFSET(A304,-1,0)+1,LARGE(A$3:A303,1))</f>
        <v/>
      </c>
      <c r="B304" s="199">
        <f>IF(H304="UNIDADE CONSTRUTIVA",0,IF(H304="CÉLULA CONSTRUTIVA",OFFSET(B304,-1,0)+1,OFFSET(B304,-1,0)))</f>
        <v/>
      </c>
      <c r="C304" s="199">
        <f>IF(H304="CÉLULA CONSTRUTIVA",0,IF(H304="ETAPA",OFFSET(C304,-1,0)+1,OFFSET(C304,-1,0)))</f>
        <v/>
      </c>
      <c r="D304" s="200">
        <f>IF(H304="ETAPA",0,IF(H304="SUBETAPA",OFFSET(D304,-1,0)+1,OFFSET(D304,-1,0)))</f>
        <v/>
      </c>
      <c r="E304" s="200">
        <f>IF(H304="Subetapa",0,IF(H304="serviço",OFFSET(E304,-1,0)+1,OFFSET(E304,-1,0)))</f>
        <v/>
      </c>
      <c r="F304" s="31" t="n"/>
      <c r="J304" s="61" t="n"/>
      <c r="K304" s="62" t="n"/>
      <c r="L304" s="63" t="n"/>
      <c r="M304" s="63" t="n"/>
      <c r="N304" s="68" t="n"/>
      <c r="O304" s="68" t="n"/>
      <c r="P304" s="68" t="n"/>
      <c r="Q304" s="68" t="n"/>
      <c r="R304" s="68" t="n"/>
    </row>
    <row r="305" ht="14.1" customFormat="1" customHeight="1" s="60">
      <c r="A305" s="199">
        <f>IF($H305="UNIDADE CONSTRUTIVA",OFFSET(A305,-1,0)+1,LARGE(A$3:A304,1))</f>
        <v/>
      </c>
      <c r="B305" s="199">
        <f>IF(H305="UNIDADE CONSTRUTIVA",0,IF(H305="CÉLULA CONSTRUTIVA",OFFSET(B305,-1,0)+1,OFFSET(B305,-1,0)))</f>
        <v/>
      </c>
      <c r="C305" s="199">
        <f>IF(H305="CÉLULA CONSTRUTIVA",0,IF(H305="ETAPA",OFFSET(C305,-1,0)+1,OFFSET(C305,-1,0)))</f>
        <v/>
      </c>
      <c r="D305" s="200">
        <f>IF(H305="ETAPA",0,IF(H305="SUBETAPA",OFFSET(D305,-1,0)+1,OFFSET(D305,-1,0)))</f>
        <v/>
      </c>
      <c r="E305" s="200">
        <f>IF(H305="Subetapa",0,IF(H305="serviço",OFFSET(E305,-1,0)+1,OFFSET(E305,-1,0)))</f>
        <v/>
      </c>
      <c r="F305" s="31" t="n"/>
      <c r="J305" s="61" t="n"/>
      <c r="K305" s="62" t="n"/>
      <c r="L305" s="63" t="n"/>
      <c r="M305" s="63" t="n"/>
      <c r="N305" s="68" t="n"/>
      <c r="O305" s="68" t="n"/>
      <c r="P305" s="68" t="n"/>
      <c r="Q305" s="68" t="n"/>
      <c r="R305" s="68" t="n"/>
    </row>
    <row r="306" ht="14.1" customFormat="1" customHeight="1" s="60">
      <c r="A306" s="199">
        <f>IF($H306="UNIDADE CONSTRUTIVA",OFFSET(A306,-1,0)+1,LARGE(A$3:A305,1))</f>
        <v/>
      </c>
      <c r="B306" s="199">
        <f>IF(H306="UNIDADE CONSTRUTIVA",0,IF(H306="CÉLULA CONSTRUTIVA",OFFSET(B306,-1,0)+1,OFFSET(B306,-1,0)))</f>
        <v/>
      </c>
      <c r="C306" s="199">
        <f>IF(H306="CÉLULA CONSTRUTIVA",0,IF(H306="ETAPA",OFFSET(C306,-1,0)+1,OFFSET(C306,-1,0)))</f>
        <v/>
      </c>
      <c r="D306" s="200">
        <f>IF(H306="ETAPA",0,IF(H306="SUBETAPA",OFFSET(D306,-1,0)+1,OFFSET(D306,-1,0)))</f>
        <v/>
      </c>
      <c r="E306" s="200">
        <f>IF(H306="Subetapa",0,IF(H306="serviço",OFFSET(E306,-1,0)+1,OFFSET(E306,-1,0)))</f>
        <v/>
      </c>
      <c r="F306" s="31" t="n"/>
      <c r="J306" s="61" t="n"/>
      <c r="K306" s="62" t="n"/>
      <c r="L306" s="63" t="n"/>
      <c r="M306" s="63" t="n"/>
      <c r="N306" s="68" t="n"/>
      <c r="O306" s="68" t="n"/>
      <c r="P306" s="68" t="n"/>
      <c r="Q306" s="68" t="n"/>
      <c r="R306" s="68" t="n"/>
    </row>
    <row r="307" ht="14.1" customFormat="1" customHeight="1" s="60">
      <c r="A307" s="199">
        <f>IF($H307="UNIDADE CONSTRUTIVA",OFFSET(A307,-1,0)+1,LARGE(A$3:A306,1))</f>
        <v/>
      </c>
      <c r="B307" s="199">
        <f>IF(H307="UNIDADE CONSTRUTIVA",0,IF(H307="CÉLULA CONSTRUTIVA",OFFSET(B307,-1,0)+1,OFFSET(B307,-1,0)))</f>
        <v/>
      </c>
      <c r="C307" s="199">
        <f>IF(H307="CÉLULA CONSTRUTIVA",0,IF(H307="ETAPA",OFFSET(C307,-1,0)+1,OFFSET(C307,-1,0)))</f>
        <v/>
      </c>
      <c r="D307" s="200">
        <f>IF(H307="ETAPA",0,IF(H307="SUBETAPA",OFFSET(D307,-1,0)+1,OFFSET(D307,-1,0)))</f>
        <v/>
      </c>
      <c r="E307" s="200">
        <f>IF(H307="Subetapa",0,IF(H307="serviço",OFFSET(E307,-1,0)+1,OFFSET(E307,-1,0)))</f>
        <v/>
      </c>
      <c r="F307" s="31" t="n"/>
      <c r="J307" s="61" t="n"/>
      <c r="K307" s="62" t="n"/>
      <c r="L307" s="63" t="n"/>
      <c r="M307" s="63" t="n"/>
      <c r="N307" s="68" t="n"/>
      <c r="O307" s="68" t="n"/>
      <c r="P307" s="68" t="n"/>
      <c r="Q307" s="68" t="n"/>
      <c r="R307" s="68" t="n"/>
    </row>
    <row r="308" ht="14.1" customFormat="1" customHeight="1" s="60">
      <c r="A308" s="199">
        <f>IF($H308="UNIDADE CONSTRUTIVA",OFFSET(A308,-1,0)+1,LARGE(A$3:A307,1))</f>
        <v/>
      </c>
      <c r="B308" s="199">
        <f>IF(H308="UNIDADE CONSTRUTIVA",0,IF(H308="CÉLULA CONSTRUTIVA",OFFSET(B308,-1,0)+1,OFFSET(B308,-1,0)))</f>
        <v/>
      </c>
      <c r="C308" s="199">
        <f>IF(H308="CÉLULA CONSTRUTIVA",0,IF(H308="ETAPA",OFFSET(C308,-1,0)+1,OFFSET(C308,-1,0)))</f>
        <v/>
      </c>
      <c r="D308" s="200">
        <f>IF(H308="ETAPA",0,IF(H308="SUBETAPA",OFFSET(D308,-1,0)+1,OFFSET(D308,-1,0)))</f>
        <v/>
      </c>
      <c r="E308" s="200">
        <f>IF(H308="Subetapa",0,IF(H308="serviço",OFFSET(E308,-1,0)+1,OFFSET(E308,-1,0)))</f>
        <v/>
      </c>
      <c r="F308" s="31" t="n"/>
      <c r="J308" s="61" t="n"/>
      <c r="K308" s="62" t="n"/>
      <c r="L308" s="63" t="n"/>
      <c r="M308" s="63" t="n"/>
      <c r="N308" s="68" t="n"/>
      <c r="O308" s="68" t="n"/>
      <c r="P308" s="68" t="n"/>
      <c r="Q308" s="68" t="n"/>
      <c r="R308" s="68" t="n"/>
    </row>
    <row r="309" ht="14.1" customFormat="1" customHeight="1" s="60">
      <c r="A309" s="199">
        <f>IF($H309="UNIDADE CONSTRUTIVA",OFFSET(A309,-1,0)+1,LARGE(A$3:A308,1))</f>
        <v/>
      </c>
      <c r="B309" s="199">
        <f>IF(H309="UNIDADE CONSTRUTIVA",0,IF(H309="CÉLULA CONSTRUTIVA",OFFSET(B309,-1,0)+1,OFFSET(B309,-1,0)))</f>
        <v/>
      </c>
      <c r="C309" s="199">
        <f>IF(H309="CÉLULA CONSTRUTIVA",0,IF(H309="ETAPA",OFFSET(C309,-1,0)+1,OFFSET(C309,-1,0)))</f>
        <v/>
      </c>
      <c r="D309" s="200">
        <f>IF(H309="ETAPA",0,IF(H309="SUBETAPA",OFFSET(D309,-1,0)+1,OFFSET(D309,-1,0)))</f>
        <v/>
      </c>
      <c r="E309" s="200">
        <f>IF(H309="Subetapa",0,IF(H309="serviço",OFFSET(E309,-1,0)+1,OFFSET(E309,-1,0)))</f>
        <v/>
      </c>
      <c r="F309" s="31" t="n"/>
      <c r="J309" s="61" t="n"/>
      <c r="K309" s="62" t="n"/>
      <c r="L309" s="63" t="n"/>
      <c r="M309" s="63" t="n"/>
      <c r="N309" s="68" t="n"/>
      <c r="O309" s="68" t="n"/>
      <c r="P309" s="68" t="n"/>
      <c r="Q309" s="68" t="n"/>
      <c r="R309" s="68" t="n"/>
    </row>
    <row r="310" ht="14.1" customFormat="1" customHeight="1" s="60">
      <c r="A310" s="199">
        <f>IF($H310="UNIDADE CONSTRUTIVA",OFFSET(A310,-1,0)+1,LARGE(A$3:A309,1))</f>
        <v/>
      </c>
      <c r="B310" s="199">
        <f>IF(H310="UNIDADE CONSTRUTIVA",0,IF(H310="CÉLULA CONSTRUTIVA",OFFSET(B310,-1,0)+1,OFFSET(B310,-1,0)))</f>
        <v/>
      </c>
      <c r="C310" s="199">
        <f>IF(H310="CÉLULA CONSTRUTIVA",0,IF(H310="ETAPA",OFFSET(C310,-1,0)+1,OFFSET(C310,-1,0)))</f>
        <v/>
      </c>
      <c r="D310" s="200">
        <f>IF(H310="ETAPA",0,IF(H310="SUBETAPA",OFFSET(D310,-1,0)+1,OFFSET(D310,-1,0)))</f>
        <v/>
      </c>
      <c r="E310" s="200">
        <f>IF(H310="Subetapa",0,IF(H310="serviço",OFFSET(E310,-1,0)+1,OFFSET(E310,-1,0)))</f>
        <v/>
      </c>
      <c r="F310" s="31" t="n"/>
      <c r="J310" s="61" t="n"/>
      <c r="K310" s="62" t="n"/>
      <c r="L310" s="63" t="n"/>
      <c r="M310" s="63" t="n"/>
      <c r="N310" s="68" t="n"/>
      <c r="O310" s="68" t="n"/>
      <c r="P310" s="68" t="n"/>
      <c r="Q310" s="68" t="n"/>
      <c r="R310" s="68" t="n"/>
    </row>
    <row r="311" ht="14.1" customFormat="1" customHeight="1" s="60">
      <c r="A311" s="199">
        <f>IF($H311="UNIDADE CONSTRUTIVA",OFFSET(A311,-1,0)+1,LARGE(A$3:A310,1))</f>
        <v/>
      </c>
      <c r="B311" s="199">
        <f>IF(H311="UNIDADE CONSTRUTIVA",0,IF(H311="CÉLULA CONSTRUTIVA",OFFSET(B311,-1,0)+1,OFFSET(B311,-1,0)))</f>
        <v/>
      </c>
      <c r="C311" s="199">
        <f>IF(H311="CÉLULA CONSTRUTIVA",0,IF(H311="ETAPA",OFFSET(C311,-1,0)+1,OFFSET(C311,-1,0)))</f>
        <v/>
      </c>
      <c r="D311" s="200">
        <f>IF(H311="ETAPA",0,IF(H311="SUBETAPA",OFFSET(D311,-1,0)+1,OFFSET(D311,-1,0)))</f>
        <v/>
      </c>
      <c r="E311" s="200">
        <f>IF(H311="Subetapa",0,IF(H311="serviço",OFFSET(E311,-1,0)+1,OFFSET(E311,-1,0)))</f>
        <v/>
      </c>
      <c r="F311" s="31" t="n"/>
      <c r="J311" s="61" t="n"/>
      <c r="K311" s="62" t="n"/>
      <c r="L311" s="63" t="n"/>
      <c r="M311" s="63" t="n"/>
      <c r="N311" s="68" t="n"/>
      <c r="O311" s="68" t="n"/>
      <c r="P311" s="68" t="n"/>
      <c r="Q311" s="68" t="n"/>
      <c r="R311" s="68" t="n"/>
    </row>
    <row r="312" ht="14.1" customFormat="1" customHeight="1" s="60">
      <c r="A312" s="199">
        <f>IF($H312="UNIDADE CONSTRUTIVA",OFFSET(A312,-1,0)+1,LARGE(A$3:A311,1))</f>
        <v/>
      </c>
      <c r="B312" s="199">
        <f>IF(H312="UNIDADE CONSTRUTIVA",0,IF(H312="CÉLULA CONSTRUTIVA",OFFSET(B312,-1,0)+1,OFFSET(B312,-1,0)))</f>
        <v/>
      </c>
      <c r="C312" s="199">
        <f>IF(H312="CÉLULA CONSTRUTIVA",0,IF(H312="ETAPA",OFFSET(C312,-1,0)+1,OFFSET(C312,-1,0)))</f>
        <v/>
      </c>
      <c r="D312" s="200">
        <f>IF(H312="ETAPA",0,IF(H312="SUBETAPA",OFFSET(D312,-1,0)+1,OFFSET(D312,-1,0)))</f>
        <v/>
      </c>
      <c r="E312" s="200">
        <f>IF(H312="Subetapa",0,IF(H312="serviço",OFFSET(E312,-1,0)+1,OFFSET(E312,-1,0)))</f>
        <v/>
      </c>
      <c r="F312" s="31" t="n"/>
      <c r="J312" s="61" t="n"/>
      <c r="K312" s="62" t="n"/>
      <c r="L312" s="63" t="n"/>
      <c r="M312" s="63" t="n"/>
      <c r="N312" s="68" t="n"/>
      <c r="O312" s="68" t="n"/>
      <c r="P312" s="68" t="n"/>
      <c r="Q312" s="68" t="n"/>
      <c r="R312" s="68" t="n"/>
    </row>
    <row r="313" ht="14.1" customFormat="1" customHeight="1" s="60">
      <c r="A313" s="199">
        <f>IF($H313="UNIDADE CONSTRUTIVA",OFFSET(A313,-1,0)+1,LARGE(A$3:A312,1))</f>
        <v/>
      </c>
      <c r="B313" s="199">
        <f>IF(H313="UNIDADE CONSTRUTIVA",0,IF(H313="CÉLULA CONSTRUTIVA",OFFSET(B313,-1,0)+1,OFFSET(B313,-1,0)))</f>
        <v/>
      </c>
      <c r="C313" s="199">
        <f>IF(H313="CÉLULA CONSTRUTIVA",0,IF(H313="ETAPA",OFFSET(C313,-1,0)+1,OFFSET(C313,-1,0)))</f>
        <v/>
      </c>
      <c r="D313" s="200">
        <f>IF(H313="ETAPA",0,IF(H313="SUBETAPA",OFFSET(D313,-1,0)+1,OFFSET(D313,-1,0)))</f>
        <v/>
      </c>
      <c r="E313" s="200">
        <f>IF(H313="Subetapa",0,IF(H313="serviço",OFFSET(E313,-1,0)+1,OFFSET(E313,-1,0)))</f>
        <v/>
      </c>
      <c r="F313" s="31" t="n"/>
      <c r="J313" s="61" t="n"/>
      <c r="K313" s="62" t="n"/>
      <c r="L313" s="63" t="n"/>
      <c r="M313" s="63" t="n"/>
      <c r="N313" s="68" t="n"/>
      <c r="O313" s="68" t="n"/>
      <c r="P313" s="68" t="n"/>
      <c r="Q313" s="68" t="n"/>
      <c r="R313" s="68" t="n"/>
    </row>
    <row r="314" ht="14.1" customFormat="1" customHeight="1" s="60">
      <c r="A314" s="199">
        <f>IF($H314="UNIDADE CONSTRUTIVA",OFFSET(A314,-1,0)+1,LARGE(A$3:A313,1))</f>
        <v/>
      </c>
      <c r="B314" s="199">
        <f>IF(H314="UNIDADE CONSTRUTIVA",0,IF(H314="CÉLULA CONSTRUTIVA",OFFSET(B314,-1,0)+1,OFFSET(B314,-1,0)))</f>
        <v/>
      </c>
      <c r="C314" s="199">
        <f>IF(H314="CÉLULA CONSTRUTIVA",0,IF(H314="ETAPA",OFFSET(C314,-1,0)+1,OFFSET(C314,-1,0)))</f>
        <v/>
      </c>
      <c r="D314" s="200">
        <f>IF(H314="ETAPA",0,IF(H314="SUBETAPA",OFFSET(D314,-1,0)+1,OFFSET(D314,-1,0)))</f>
        <v/>
      </c>
      <c r="E314" s="200">
        <f>IF(H314="Subetapa",0,IF(H314="serviço",OFFSET(E314,-1,0)+1,OFFSET(E314,-1,0)))</f>
        <v/>
      </c>
      <c r="F314" s="31" t="n"/>
      <c r="J314" s="61" t="n"/>
      <c r="K314" s="62" t="n"/>
      <c r="L314" s="63" t="n"/>
      <c r="M314" s="63" t="n"/>
      <c r="N314" s="68" t="n"/>
      <c r="O314" s="68" t="n"/>
      <c r="P314" s="68" t="n"/>
      <c r="Q314" s="68" t="n"/>
      <c r="R314" s="68" t="n"/>
    </row>
    <row r="315" ht="14.1" customFormat="1" customHeight="1" s="60">
      <c r="A315" s="199">
        <f>IF($H315="UNIDADE CONSTRUTIVA",OFFSET(A315,-1,0)+1,LARGE(A$3:A314,1))</f>
        <v/>
      </c>
      <c r="B315" s="199">
        <f>IF(H315="UNIDADE CONSTRUTIVA",0,IF(H315="CÉLULA CONSTRUTIVA",OFFSET(B315,-1,0)+1,OFFSET(B315,-1,0)))</f>
        <v/>
      </c>
      <c r="C315" s="199">
        <f>IF(H315="CÉLULA CONSTRUTIVA",0,IF(H315="ETAPA",OFFSET(C315,-1,0)+1,OFFSET(C315,-1,0)))</f>
        <v/>
      </c>
      <c r="D315" s="200">
        <f>IF(H315="ETAPA",0,IF(H315="SUBETAPA",OFFSET(D315,-1,0)+1,OFFSET(D315,-1,0)))</f>
        <v/>
      </c>
      <c r="E315" s="200">
        <f>IF(H315="Subetapa",0,IF(H315="serviço",OFFSET(E315,-1,0)+1,OFFSET(E315,-1,0)))</f>
        <v/>
      </c>
      <c r="F315" s="31" t="n"/>
      <c r="J315" s="61" t="n"/>
      <c r="K315" s="62" t="n"/>
      <c r="L315" s="63" t="n"/>
      <c r="M315" s="63" t="n"/>
      <c r="N315" s="68" t="n"/>
      <c r="O315" s="68" t="n"/>
      <c r="P315" s="68" t="n"/>
      <c r="Q315" s="68" t="n"/>
      <c r="R315" s="68" t="n"/>
    </row>
    <row r="316" ht="14.1" customFormat="1" customHeight="1" s="60">
      <c r="A316" s="199">
        <f>IF($H316="UNIDADE CONSTRUTIVA",OFFSET(A316,-1,0)+1,LARGE(A$3:A315,1))</f>
        <v/>
      </c>
      <c r="B316" s="199">
        <f>IF(H316="UNIDADE CONSTRUTIVA",0,IF(H316="CÉLULA CONSTRUTIVA",OFFSET(B316,-1,0)+1,OFFSET(B316,-1,0)))</f>
        <v/>
      </c>
      <c r="C316" s="199">
        <f>IF(H316="CÉLULA CONSTRUTIVA",0,IF(H316="ETAPA",OFFSET(C316,-1,0)+1,OFFSET(C316,-1,0)))</f>
        <v/>
      </c>
      <c r="D316" s="200">
        <f>IF(H316="ETAPA",0,IF(H316="SUBETAPA",OFFSET(D316,-1,0)+1,OFFSET(D316,-1,0)))</f>
        <v/>
      </c>
      <c r="E316" s="200">
        <f>IF(H316="Subetapa",0,IF(H316="serviço",OFFSET(E316,-1,0)+1,OFFSET(E316,-1,0)))</f>
        <v/>
      </c>
      <c r="F316" s="31" t="n"/>
      <c r="J316" s="61" t="n"/>
      <c r="K316" s="62" t="n"/>
      <c r="L316" s="63" t="n"/>
      <c r="M316" s="63" t="n"/>
      <c r="N316" s="68" t="n"/>
      <c r="O316" s="68" t="n"/>
      <c r="P316" s="68" t="n"/>
      <c r="Q316" s="68" t="n"/>
      <c r="R316" s="68" t="n"/>
    </row>
    <row r="317" ht="14.1" customFormat="1" customHeight="1" s="60">
      <c r="A317" s="199">
        <f>IF($H317="UNIDADE CONSTRUTIVA",OFFSET(A317,-1,0)+1,LARGE(A$3:A316,1))</f>
        <v/>
      </c>
      <c r="B317" s="199">
        <f>IF(H317="UNIDADE CONSTRUTIVA",0,IF(H317="CÉLULA CONSTRUTIVA",OFFSET(B317,-1,0)+1,OFFSET(B317,-1,0)))</f>
        <v/>
      </c>
      <c r="C317" s="199">
        <f>IF(H317="CÉLULA CONSTRUTIVA",0,IF(H317="ETAPA",OFFSET(C317,-1,0)+1,OFFSET(C317,-1,0)))</f>
        <v/>
      </c>
      <c r="D317" s="200">
        <f>IF(H317="ETAPA",0,IF(H317="SUBETAPA",OFFSET(D317,-1,0)+1,OFFSET(D317,-1,0)))</f>
        <v/>
      </c>
      <c r="E317" s="200">
        <f>IF(H317="Subetapa",0,IF(H317="serviço",OFFSET(E317,-1,0)+1,OFFSET(E317,-1,0)))</f>
        <v/>
      </c>
      <c r="F317" s="31" t="n"/>
      <c r="J317" s="61" t="n"/>
      <c r="K317" s="62" t="n"/>
      <c r="L317" s="63" t="n"/>
      <c r="M317" s="63" t="n"/>
      <c r="N317" s="68" t="n"/>
      <c r="O317" s="68" t="n"/>
      <c r="P317" s="68" t="n"/>
      <c r="Q317" s="68" t="n"/>
      <c r="R317" s="68" t="n"/>
    </row>
    <row r="318" ht="14.1" customFormat="1" customHeight="1" s="60">
      <c r="A318" s="199">
        <f>IF($H318="UNIDADE CONSTRUTIVA",OFFSET(A318,-1,0)+1,LARGE(A$3:A317,1))</f>
        <v/>
      </c>
      <c r="B318" s="199">
        <f>IF(H318="UNIDADE CONSTRUTIVA",0,IF(H318="CÉLULA CONSTRUTIVA",OFFSET(B318,-1,0)+1,OFFSET(B318,-1,0)))</f>
        <v/>
      </c>
      <c r="C318" s="199">
        <f>IF(H318="CÉLULA CONSTRUTIVA",0,IF(H318="ETAPA",OFFSET(C318,-1,0)+1,OFFSET(C318,-1,0)))</f>
        <v/>
      </c>
      <c r="D318" s="200">
        <f>IF(H318="ETAPA",0,IF(H318="SUBETAPA",OFFSET(D318,-1,0)+1,OFFSET(D318,-1,0)))</f>
        <v/>
      </c>
      <c r="E318" s="200">
        <f>IF(H318="Subetapa",0,IF(H318="serviço",OFFSET(E318,-1,0)+1,OFFSET(E318,-1,0)))</f>
        <v/>
      </c>
      <c r="F318" s="31" t="n"/>
      <c r="J318" s="61" t="n"/>
      <c r="K318" s="62" t="n"/>
      <c r="L318" s="63" t="n"/>
      <c r="M318" s="63" t="n"/>
      <c r="N318" s="68" t="n"/>
      <c r="O318" s="68" t="n"/>
      <c r="P318" s="68" t="n"/>
      <c r="Q318" s="68" t="n"/>
      <c r="R318" s="68" t="n"/>
    </row>
    <row r="319" ht="14.1" customFormat="1" customHeight="1" s="60">
      <c r="A319" s="199">
        <f>IF($H319="UNIDADE CONSTRUTIVA",OFFSET(A319,-1,0)+1,LARGE(A$3:A318,1))</f>
        <v/>
      </c>
      <c r="B319" s="199">
        <f>IF(H319="UNIDADE CONSTRUTIVA",0,IF(H319="CÉLULA CONSTRUTIVA",OFFSET(B319,-1,0)+1,OFFSET(B319,-1,0)))</f>
        <v/>
      </c>
      <c r="C319" s="199">
        <f>IF(H319="CÉLULA CONSTRUTIVA",0,IF(H319="ETAPA",OFFSET(C319,-1,0)+1,OFFSET(C319,-1,0)))</f>
        <v/>
      </c>
      <c r="D319" s="200">
        <f>IF(H319="ETAPA",0,IF(H319="SUBETAPA",OFFSET(D319,-1,0)+1,OFFSET(D319,-1,0)))</f>
        <v/>
      </c>
      <c r="E319" s="200">
        <f>IF(H319="Subetapa",0,IF(H319="serviço",OFFSET(E319,-1,0)+1,OFFSET(E319,-1,0)))</f>
        <v/>
      </c>
      <c r="F319" s="31" t="n"/>
      <c r="J319" s="61" t="n"/>
      <c r="K319" s="62" t="n"/>
      <c r="L319" s="63" t="n"/>
      <c r="M319" s="63" t="n"/>
      <c r="N319" s="68" t="n"/>
      <c r="O319" s="68" t="n"/>
      <c r="P319" s="68" t="n"/>
      <c r="Q319" s="68" t="n"/>
      <c r="R319" s="68" t="n"/>
    </row>
    <row r="320" ht="14.1" customFormat="1" customHeight="1" s="60">
      <c r="A320" s="199">
        <f>IF($H320="UNIDADE CONSTRUTIVA",OFFSET(A320,-1,0)+1,LARGE(A$3:A319,1))</f>
        <v/>
      </c>
      <c r="B320" s="199">
        <f>IF(H320="UNIDADE CONSTRUTIVA",0,IF(H320="CÉLULA CONSTRUTIVA",OFFSET(B320,-1,0)+1,OFFSET(B320,-1,0)))</f>
        <v/>
      </c>
      <c r="C320" s="199">
        <f>IF(H320="CÉLULA CONSTRUTIVA",0,IF(H320="ETAPA",OFFSET(C320,-1,0)+1,OFFSET(C320,-1,0)))</f>
        <v/>
      </c>
      <c r="D320" s="200">
        <f>IF(H320="ETAPA",0,IF(H320="SUBETAPA",OFFSET(D320,-1,0)+1,OFFSET(D320,-1,0)))</f>
        <v/>
      </c>
      <c r="E320" s="200">
        <f>IF(H320="Subetapa",0,IF(H320="serviço",OFFSET(E320,-1,0)+1,OFFSET(E320,-1,0)))</f>
        <v/>
      </c>
      <c r="F320" s="31" t="n"/>
      <c r="J320" s="61" t="n"/>
      <c r="K320" s="62" t="n"/>
      <c r="L320" s="63" t="n"/>
      <c r="M320" s="63" t="n"/>
      <c r="N320" s="68" t="n"/>
      <c r="O320" s="68" t="n"/>
      <c r="P320" s="68" t="n"/>
      <c r="Q320" s="68" t="n"/>
      <c r="R320" s="68" t="n"/>
    </row>
    <row r="321" ht="14.1" customFormat="1" customHeight="1" s="60">
      <c r="A321" s="199">
        <f>IF($H321="UNIDADE CONSTRUTIVA",OFFSET(A321,-1,0)+1,LARGE(A$3:A320,1))</f>
        <v/>
      </c>
      <c r="B321" s="199">
        <f>IF(H321="UNIDADE CONSTRUTIVA",0,IF(H321="CÉLULA CONSTRUTIVA",OFFSET(B321,-1,0)+1,OFFSET(B321,-1,0)))</f>
        <v/>
      </c>
      <c r="C321" s="199">
        <f>IF(H321="CÉLULA CONSTRUTIVA",0,IF(H321="ETAPA",OFFSET(C321,-1,0)+1,OFFSET(C321,-1,0)))</f>
        <v/>
      </c>
      <c r="D321" s="200">
        <f>IF(H321="ETAPA",0,IF(H321="SUBETAPA",OFFSET(D321,-1,0)+1,OFFSET(D321,-1,0)))</f>
        <v/>
      </c>
      <c r="E321" s="200">
        <f>IF(H321="Subetapa",0,IF(H321="serviço",OFFSET(E321,-1,0)+1,OFFSET(E321,-1,0)))</f>
        <v/>
      </c>
      <c r="F321" s="31" t="n"/>
      <c r="J321" s="61" t="n"/>
      <c r="K321" s="62" t="n"/>
      <c r="L321" s="63" t="n"/>
      <c r="M321" s="63" t="n"/>
      <c r="N321" s="68" t="n"/>
      <c r="O321" s="68" t="n"/>
      <c r="P321" s="68" t="n"/>
      <c r="Q321" s="68" t="n"/>
      <c r="R321" s="68" t="n"/>
    </row>
    <row r="322" ht="14.1" customFormat="1" customHeight="1" s="60">
      <c r="A322" s="199">
        <f>IF($H322="UNIDADE CONSTRUTIVA",OFFSET(A322,-1,0)+1,LARGE(A$3:A321,1))</f>
        <v/>
      </c>
      <c r="B322" s="199">
        <f>IF(H322="UNIDADE CONSTRUTIVA",0,IF(H322="CÉLULA CONSTRUTIVA",OFFSET(B322,-1,0)+1,OFFSET(B322,-1,0)))</f>
        <v/>
      </c>
      <c r="C322" s="199">
        <f>IF(H322="CÉLULA CONSTRUTIVA",0,IF(H322="ETAPA",OFFSET(C322,-1,0)+1,OFFSET(C322,-1,0)))</f>
        <v/>
      </c>
      <c r="D322" s="200">
        <f>IF(H322="ETAPA",0,IF(H322="SUBETAPA",OFFSET(D322,-1,0)+1,OFFSET(D322,-1,0)))</f>
        <v/>
      </c>
      <c r="E322" s="200">
        <f>IF(H322="Subetapa",0,IF(H322="serviço",OFFSET(E322,-1,0)+1,OFFSET(E322,-1,0)))</f>
        <v/>
      </c>
      <c r="F322" s="31" t="n"/>
      <c r="J322" s="61" t="n"/>
      <c r="K322" s="62" t="n"/>
      <c r="L322" s="63" t="n"/>
      <c r="M322" s="63" t="n"/>
      <c r="N322" s="68" t="n"/>
      <c r="O322" s="68" t="n"/>
      <c r="P322" s="68" t="n"/>
      <c r="Q322" s="68" t="n"/>
      <c r="R322" s="68" t="n"/>
    </row>
    <row r="323" ht="14.1" customFormat="1" customHeight="1" s="60">
      <c r="A323" s="199">
        <f>IF($H323="UNIDADE CONSTRUTIVA",OFFSET(A323,-1,0)+1,LARGE(A$3:A322,1))</f>
        <v/>
      </c>
      <c r="B323" s="199">
        <f>IF(H323="UNIDADE CONSTRUTIVA",0,IF(H323="CÉLULA CONSTRUTIVA",OFFSET(B323,-1,0)+1,OFFSET(B323,-1,0)))</f>
        <v/>
      </c>
      <c r="C323" s="199">
        <f>IF(H323="CÉLULA CONSTRUTIVA",0,IF(H323="ETAPA",OFFSET(C323,-1,0)+1,OFFSET(C323,-1,0)))</f>
        <v/>
      </c>
      <c r="D323" s="200">
        <f>IF(H323="ETAPA",0,IF(H323="SUBETAPA",OFFSET(D323,-1,0)+1,OFFSET(D323,-1,0)))</f>
        <v/>
      </c>
      <c r="E323" s="200">
        <f>IF(H323="Subetapa",0,IF(H323="serviço",OFFSET(E323,-1,0)+1,OFFSET(E323,-1,0)))</f>
        <v/>
      </c>
      <c r="F323" s="31" t="n"/>
      <c r="J323" s="61" t="n"/>
      <c r="K323" s="62" t="n"/>
      <c r="L323" s="63" t="n"/>
      <c r="M323" s="63" t="n"/>
      <c r="N323" s="68" t="n"/>
      <c r="O323" s="68" t="n"/>
      <c r="P323" s="68" t="n"/>
      <c r="Q323" s="68" t="n"/>
      <c r="R323" s="68" t="n"/>
    </row>
    <row r="324" ht="14.1" customFormat="1" customHeight="1" s="60">
      <c r="A324" s="199">
        <f>IF($H324="UNIDADE CONSTRUTIVA",OFFSET(A324,-1,0)+1,LARGE(A$3:A323,1))</f>
        <v/>
      </c>
      <c r="B324" s="199">
        <f>IF(H324="UNIDADE CONSTRUTIVA",0,IF(H324="CÉLULA CONSTRUTIVA",OFFSET(B324,-1,0)+1,OFFSET(B324,-1,0)))</f>
        <v/>
      </c>
      <c r="C324" s="199">
        <f>IF(H324="CÉLULA CONSTRUTIVA",0,IF(H324="ETAPA",OFFSET(C324,-1,0)+1,OFFSET(C324,-1,0)))</f>
        <v/>
      </c>
      <c r="D324" s="200">
        <f>IF(H324="ETAPA",0,IF(H324="SUBETAPA",OFFSET(D324,-1,0)+1,OFFSET(D324,-1,0)))</f>
        <v/>
      </c>
      <c r="E324" s="200">
        <f>IF(H324="Subetapa",0,IF(H324="serviço",OFFSET(E324,-1,0)+1,OFFSET(E324,-1,0)))</f>
        <v/>
      </c>
      <c r="F324" s="31" t="n"/>
      <c r="J324" s="61" t="n"/>
      <c r="K324" s="62" t="n"/>
      <c r="L324" s="63" t="n"/>
      <c r="M324" s="63" t="n"/>
      <c r="N324" s="68" t="n"/>
      <c r="O324" s="68" t="n"/>
      <c r="P324" s="68" t="n"/>
      <c r="Q324" s="68" t="n"/>
      <c r="R324" s="68" t="n"/>
    </row>
    <row r="325" ht="14.1" customFormat="1" customHeight="1" s="60">
      <c r="A325" s="199">
        <f>IF($H325="UNIDADE CONSTRUTIVA",OFFSET(A325,-1,0)+1,LARGE(A$3:A324,1))</f>
        <v/>
      </c>
      <c r="B325" s="199">
        <f>IF(H325="UNIDADE CONSTRUTIVA",0,IF(H325="CÉLULA CONSTRUTIVA",OFFSET(B325,-1,0)+1,OFFSET(B325,-1,0)))</f>
        <v/>
      </c>
      <c r="C325" s="199">
        <f>IF(H325="CÉLULA CONSTRUTIVA",0,IF(H325="ETAPA",OFFSET(C325,-1,0)+1,OFFSET(C325,-1,0)))</f>
        <v/>
      </c>
      <c r="D325" s="200">
        <f>IF(H325="ETAPA",0,IF(H325="SUBETAPA",OFFSET(D325,-1,0)+1,OFFSET(D325,-1,0)))</f>
        <v/>
      </c>
      <c r="E325" s="200">
        <f>IF(H325="Subetapa",0,IF(H325="serviço",OFFSET(E325,-1,0)+1,OFFSET(E325,-1,0)))</f>
        <v/>
      </c>
      <c r="F325" s="31" t="n"/>
      <c r="J325" s="61" t="n"/>
      <c r="K325" s="62" t="n"/>
      <c r="L325" s="63" t="n"/>
      <c r="M325" s="63" t="n"/>
      <c r="N325" s="68" t="n"/>
      <c r="O325" s="68" t="n"/>
      <c r="P325" s="68" t="n"/>
      <c r="Q325" s="68" t="n"/>
      <c r="R325" s="68" t="n"/>
    </row>
    <row r="326" ht="14.1" customFormat="1" customHeight="1" s="60">
      <c r="A326" s="199">
        <f>IF($H326="UNIDADE CONSTRUTIVA",OFFSET(A326,-1,0)+1,LARGE(A$3:A325,1))</f>
        <v/>
      </c>
      <c r="B326" s="199">
        <f>IF(H326="UNIDADE CONSTRUTIVA",0,IF(H326="CÉLULA CONSTRUTIVA",OFFSET(B326,-1,0)+1,OFFSET(B326,-1,0)))</f>
        <v/>
      </c>
      <c r="C326" s="199">
        <f>IF(H326="CÉLULA CONSTRUTIVA",0,IF(H326="ETAPA",OFFSET(C326,-1,0)+1,OFFSET(C326,-1,0)))</f>
        <v/>
      </c>
      <c r="D326" s="200">
        <f>IF(H326="ETAPA",0,IF(H326="SUBETAPA",OFFSET(D326,-1,0)+1,OFFSET(D326,-1,0)))</f>
        <v/>
      </c>
      <c r="E326" s="200">
        <f>IF(H326="Subetapa",0,IF(H326="serviço",OFFSET(E326,-1,0)+1,OFFSET(E326,-1,0)))</f>
        <v/>
      </c>
      <c r="F326" s="31" t="n"/>
      <c r="J326" s="61" t="n"/>
      <c r="K326" s="62" t="n"/>
      <c r="L326" s="63" t="n"/>
      <c r="M326" s="63" t="n"/>
      <c r="N326" s="68" t="n"/>
      <c r="O326" s="68" t="n"/>
      <c r="P326" s="68" t="n"/>
      <c r="Q326" s="68" t="n"/>
      <c r="R326" s="68" t="n"/>
    </row>
    <row r="327" ht="14.1" customFormat="1" customHeight="1" s="60">
      <c r="A327" s="199">
        <f>IF($H327="UNIDADE CONSTRUTIVA",OFFSET(A327,-1,0)+1,LARGE(A$3:A326,1))</f>
        <v/>
      </c>
      <c r="B327" s="199">
        <f>IF(H327="UNIDADE CONSTRUTIVA",0,IF(H327="CÉLULA CONSTRUTIVA",OFFSET(B327,-1,0)+1,OFFSET(B327,-1,0)))</f>
        <v/>
      </c>
      <c r="C327" s="199">
        <f>IF(H327="CÉLULA CONSTRUTIVA",0,IF(H327="ETAPA",OFFSET(C327,-1,0)+1,OFFSET(C327,-1,0)))</f>
        <v/>
      </c>
      <c r="D327" s="200">
        <f>IF(H327="ETAPA",0,IF(H327="SUBETAPA",OFFSET(D327,-1,0)+1,OFFSET(D327,-1,0)))</f>
        <v/>
      </c>
      <c r="E327" s="200">
        <f>IF(H327="Subetapa",0,IF(H327="serviço",OFFSET(E327,-1,0)+1,OFFSET(E327,-1,0)))</f>
        <v/>
      </c>
      <c r="F327" s="31" t="n"/>
      <c r="J327" s="61" t="n"/>
      <c r="K327" s="62" t="n"/>
      <c r="L327" s="63" t="n"/>
      <c r="M327" s="63" t="n"/>
      <c r="N327" s="68" t="n"/>
      <c r="O327" s="68" t="n"/>
      <c r="P327" s="68" t="n"/>
      <c r="Q327" s="68" t="n"/>
      <c r="R327" s="68" t="n"/>
    </row>
    <row r="328" ht="14.1" customFormat="1" customHeight="1" s="60">
      <c r="A328" s="199">
        <f>IF($H328="UNIDADE CONSTRUTIVA",OFFSET(A328,-1,0)+1,LARGE(A$3:A327,1))</f>
        <v/>
      </c>
      <c r="B328" s="199">
        <f>IF(H328="UNIDADE CONSTRUTIVA",0,IF(H328="CÉLULA CONSTRUTIVA",OFFSET(B328,-1,0)+1,OFFSET(B328,-1,0)))</f>
        <v/>
      </c>
      <c r="C328" s="199">
        <f>IF(H328="CÉLULA CONSTRUTIVA",0,IF(H328="ETAPA",OFFSET(C328,-1,0)+1,OFFSET(C328,-1,0)))</f>
        <v/>
      </c>
      <c r="D328" s="200">
        <f>IF(H328="ETAPA",0,IF(H328="SUBETAPA",OFFSET(D328,-1,0)+1,OFFSET(D328,-1,0)))</f>
        <v/>
      </c>
      <c r="E328" s="200">
        <f>IF(H328="Subetapa",0,IF(H328="serviço",OFFSET(E328,-1,0)+1,OFFSET(E328,-1,0)))</f>
        <v/>
      </c>
      <c r="F328" s="31" t="n"/>
      <c r="J328" s="61" t="n"/>
      <c r="K328" s="62" t="n"/>
      <c r="L328" s="63" t="n"/>
      <c r="M328" s="63" t="n"/>
      <c r="N328" s="68" t="n"/>
      <c r="O328" s="68" t="n"/>
      <c r="P328" s="68" t="n"/>
      <c r="Q328" s="68" t="n"/>
      <c r="R328" s="68" t="n"/>
    </row>
    <row r="329" ht="14.1" customFormat="1" customHeight="1" s="60">
      <c r="A329" s="199">
        <f>IF($H329="UNIDADE CONSTRUTIVA",OFFSET(A329,-1,0)+1,LARGE(A$3:A328,1))</f>
        <v/>
      </c>
      <c r="B329" s="199">
        <f>IF(H329="UNIDADE CONSTRUTIVA",0,IF(H329="CÉLULA CONSTRUTIVA",OFFSET(B329,-1,0)+1,OFFSET(B329,-1,0)))</f>
        <v/>
      </c>
      <c r="C329" s="199">
        <f>IF(H329="CÉLULA CONSTRUTIVA",0,IF(H329="ETAPA",OFFSET(C329,-1,0)+1,OFFSET(C329,-1,0)))</f>
        <v/>
      </c>
      <c r="D329" s="200">
        <f>IF(H329="ETAPA",0,IF(H329="SUBETAPA",OFFSET(D329,-1,0)+1,OFFSET(D329,-1,0)))</f>
        <v/>
      </c>
      <c r="E329" s="200">
        <f>IF(H329="Subetapa",0,IF(H329="serviço",OFFSET(E329,-1,0)+1,OFFSET(E329,-1,0)))</f>
        <v/>
      </c>
      <c r="F329" s="31" t="n"/>
      <c r="J329" s="61" t="n"/>
      <c r="K329" s="62" t="n"/>
      <c r="L329" s="63" t="n"/>
      <c r="M329" s="63" t="n"/>
      <c r="N329" s="68" t="n"/>
      <c r="O329" s="68" t="n"/>
      <c r="P329" s="68" t="n"/>
      <c r="Q329" s="68" t="n"/>
      <c r="R329" s="68" t="n"/>
    </row>
    <row r="330" ht="14.1" customFormat="1" customHeight="1" s="60">
      <c r="A330" s="199">
        <f>IF($H330="UNIDADE CONSTRUTIVA",OFFSET(A330,-1,0)+1,LARGE(A$3:A329,1))</f>
        <v/>
      </c>
      <c r="B330" s="199">
        <f>IF(H330="UNIDADE CONSTRUTIVA",0,IF(H330="CÉLULA CONSTRUTIVA",OFFSET(B330,-1,0)+1,OFFSET(B330,-1,0)))</f>
        <v/>
      </c>
      <c r="C330" s="199">
        <f>IF(H330="CÉLULA CONSTRUTIVA",0,IF(H330="ETAPA",OFFSET(C330,-1,0)+1,OFFSET(C330,-1,0)))</f>
        <v/>
      </c>
      <c r="D330" s="200">
        <f>IF(H330="ETAPA",0,IF(H330="SUBETAPA",OFFSET(D330,-1,0)+1,OFFSET(D330,-1,0)))</f>
        <v/>
      </c>
      <c r="E330" s="200">
        <f>IF(H330="Subetapa",0,IF(H330="serviço",OFFSET(E330,-1,0)+1,OFFSET(E330,-1,0)))</f>
        <v/>
      </c>
      <c r="F330" s="31" t="n"/>
      <c r="J330" s="61" t="n"/>
      <c r="K330" s="62" t="n"/>
      <c r="L330" s="63" t="n"/>
      <c r="M330" s="63" t="n"/>
      <c r="N330" s="68" t="n"/>
      <c r="O330" s="68" t="n"/>
      <c r="P330" s="68" t="n"/>
      <c r="Q330" s="68" t="n"/>
      <c r="R330" s="68" t="n"/>
    </row>
    <row r="331" ht="14.1" customFormat="1" customHeight="1" s="60">
      <c r="A331" s="199">
        <f>IF($H331="UNIDADE CONSTRUTIVA",OFFSET(A331,-1,0)+1,LARGE(A$3:A330,1))</f>
        <v/>
      </c>
      <c r="B331" s="199">
        <f>IF(H331="UNIDADE CONSTRUTIVA",0,IF(H331="CÉLULA CONSTRUTIVA",OFFSET(B331,-1,0)+1,OFFSET(B331,-1,0)))</f>
        <v/>
      </c>
      <c r="C331" s="199">
        <f>IF(H331="CÉLULA CONSTRUTIVA",0,IF(H331="ETAPA",OFFSET(C331,-1,0)+1,OFFSET(C331,-1,0)))</f>
        <v/>
      </c>
      <c r="D331" s="200">
        <f>IF(H331="ETAPA",0,IF(H331="SUBETAPA",OFFSET(D331,-1,0)+1,OFFSET(D331,-1,0)))</f>
        <v/>
      </c>
      <c r="E331" s="200">
        <f>IF(H331="Subetapa",0,IF(H331="serviço",OFFSET(E331,-1,0)+1,OFFSET(E331,-1,0)))</f>
        <v/>
      </c>
      <c r="F331" s="31" t="n"/>
      <c r="J331" s="61" t="n"/>
      <c r="K331" s="62" t="n"/>
      <c r="L331" s="63" t="n"/>
      <c r="M331" s="63" t="n"/>
      <c r="N331" s="68" t="n"/>
      <c r="O331" s="68" t="n"/>
      <c r="P331" s="68" t="n"/>
      <c r="Q331" s="68" t="n"/>
      <c r="R331" s="68" t="n"/>
    </row>
    <row r="332" ht="14.1" customFormat="1" customHeight="1" s="60">
      <c r="A332" s="199">
        <f>IF($H332="UNIDADE CONSTRUTIVA",OFFSET(A332,-1,0)+1,LARGE(A$3:A331,1))</f>
        <v/>
      </c>
      <c r="B332" s="199">
        <f>IF(H332="UNIDADE CONSTRUTIVA",0,IF(H332="CÉLULA CONSTRUTIVA",OFFSET(B332,-1,0)+1,OFFSET(B332,-1,0)))</f>
        <v/>
      </c>
      <c r="C332" s="199">
        <f>IF(H332="CÉLULA CONSTRUTIVA",0,IF(H332="ETAPA",OFFSET(C332,-1,0)+1,OFFSET(C332,-1,0)))</f>
        <v/>
      </c>
      <c r="D332" s="200">
        <f>IF(H332="ETAPA",0,IF(H332="SUBETAPA",OFFSET(D332,-1,0)+1,OFFSET(D332,-1,0)))</f>
        <v/>
      </c>
      <c r="E332" s="200">
        <f>IF(H332="Subetapa",0,IF(H332="serviço",OFFSET(E332,-1,0)+1,OFFSET(E332,-1,0)))</f>
        <v/>
      </c>
      <c r="F332" s="31" t="n"/>
      <c r="J332" s="61" t="n"/>
      <c r="K332" s="62" t="n"/>
      <c r="L332" s="63" t="n"/>
      <c r="M332" s="63" t="n"/>
      <c r="N332" s="68" t="n"/>
      <c r="O332" s="68" t="n"/>
      <c r="P332" s="68" t="n"/>
      <c r="Q332" s="68" t="n"/>
      <c r="R332" s="68" t="n"/>
    </row>
    <row r="333" ht="14.1" customFormat="1" customHeight="1" s="60">
      <c r="A333" s="199">
        <f>IF($H333="UNIDADE CONSTRUTIVA",OFFSET(A333,-1,0)+1,LARGE(A$3:A332,1))</f>
        <v/>
      </c>
      <c r="B333" s="199">
        <f>IF(H333="UNIDADE CONSTRUTIVA",0,IF(H333="CÉLULA CONSTRUTIVA",OFFSET(B333,-1,0)+1,OFFSET(B333,-1,0)))</f>
        <v/>
      </c>
      <c r="C333" s="199">
        <f>IF(H333="CÉLULA CONSTRUTIVA",0,IF(H333="ETAPA",OFFSET(C333,-1,0)+1,OFFSET(C333,-1,0)))</f>
        <v/>
      </c>
      <c r="D333" s="200">
        <f>IF(H333="ETAPA",0,IF(H333="SUBETAPA",OFFSET(D333,-1,0)+1,OFFSET(D333,-1,0)))</f>
        <v/>
      </c>
      <c r="E333" s="200">
        <f>IF(H333="Subetapa",0,IF(H333="serviço",OFFSET(E333,-1,0)+1,OFFSET(E333,-1,0)))</f>
        <v/>
      </c>
      <c r="F333" s="31" t="n"/>
      <c r="J333" s="61" t="n"/>
      <c r="K333" s="62" t="n"/>
      <c r="L333" s="63" t="n"/>
      <c r="M333" s="63" t="n"/>
      <c r="N333" s="68" t="n"/>
      <c r="O333" s="68" t="n"/>
      <c r="P333" s="68" t="n"/>
      <c r="Q333" s="68" t="n"/>
      <c r="R333" s="68" t="n"/>
    </row>
    <row r="334" ht="14.1" customFormat="1" customHeight="1" s="60">
      <c r="A334" s="199">
        <f>IF($H334="UNIDADE CONSTRUTIVA",OFFSET(A334,-1,0)+1,LARGE(A$3:A333,1))</f>
        <v/>
      </c>
      <c r="B334" s="199">
        <f>IF(H334="UNIDADE CONSTRUTIVA",0,IF(H334="CÉLULA CONSTRUTIVA",OFFSET(B334,-1,0)+1,OFFSET(B334,-1,0)))</f>
        <v/>
      </c>
      <c r="C334" s="199">
        <f>IF(H334="CÉLULA CONSTRUTIVA",0,IF(H334="ETAPA",OFFSET(C334,-1,0)+1,OFFSET(C334,-1,0)))</f>
        <v/>
      </c>
      <c r="D334" s="200">
        <f>IF(H334="ETAPA",0,IF(H334="SUBETAPA",OFFSET(D334,-1,0)+1,OFFSET(D334,-1,0)))</f>
        <v/>
      </c>
      <c r="E334" s="200">
        <f>IF(H334="Subetapa",0,IF(H334="serviço",OFFSET(E334,-1,0)+1,OFFSET(E334,-1,0)))</f>
        <v/>
      </c>
      <c r="F334" s="31" t="n"/>
      <c r="J334" s="61" t="n"/>
      <c r="K334" s="62" t="n"/>
      <c r="L334" s="63" t="n"/>
      <c r="M334" s="63" t="n"/>
      <c r="N334" s="68" t="n"/>
      <c r="O334" s="68" t="n"/>
      <c r="P334" s="68" t="n"/>
      <c r="Q334" s="68" t="n"/>
      <c r="R334" s="68" t="n"/>
    </row>
    <row r="335" ht="14.1" customFormat="1" customHeight="1" s="60">
      <c r="A335" s="199">
        <f>IF($H335="UNIDADE CONSTRUTIVA",OFFSET(A335,-1,0)+1,LARGE(A$3:A334,1))</f>
        <v/>
      </c>
      <c r="B335" s="199">
        <f>IF(H335="UNIDADE CONSTRUTIVA",0,IF(H335="CÉLULA CONSTRUTIVA",OFFSET(B335,-1,0)+1,OFFSET(B335,-1,0)))</f>
        <v/>
      </c>
      <c r="C335" s="199">
        <f>IF(H335="CÉLULA CONSTRUTIVA",0,IF(H335="ETAPA",OFFSET(C335,-1,0)+1,OFFSET(C335,-1,0)))</f>
        <v/>
      </c>
      <c r="D335" s="200">
        <f>IF(H335="ETAPA",0,IF(H335="SUBETAPA",OFFSET(D335,-1,0)+1,OFFSET(D335,-1,0)))</f>
        <v/>
      </c>
      <c r="E335" s="200">
        <f>IF(H335="Subetapa",0,IF(H335="serviço",OFFSET(E335,-1,0)+1,OFFSET(E335,-1,0)))</f>
        <v/>
      </c>
      <c r="F335" s="31" t="n"/>
      <c r="J335" s="61" t="n"/>
      <c r="K335" s="62" t="n"/>
      <c r="L335" s="63" t="n"/>
      <c r="M335" s="63" t="n"/>
      <c r="N335" s="68" t="n"/>
      <c r="O335" s="68" t="n"/>
      <c r="P335" s="68" t="n"/>
      <c r="Q335" s="68" t="n"/>
      <c r="R335" s="68" t="n"/>
    </row>
    <row r="336" ht="14.1" customFormat="1" customHeight="1" s="60">
      <c r="A336" s="199">
        <f>IF($H336="UNIDADE CONSTRUTIVA",OFFSET(A336,-1,0)+1,LARGE(A$3:A335,1))</f>
        <v/>
      </c>
      <c r="B336" s="199">
        <f>IF(H336="UNIDADE CONSTRUTIVA",0,IF(H336="CÉLULA CONSTRUTIVA",OFFSET(B336,-1,0)+1,OFFSET(B336,-1,0)))</f>
        <v/>
      </c>
      <c r="C336" s="199">
        <f>IF(H336="CÉLULA CONSTRUTIVA",0,IF(H336="ETAPA",OFFSET(C336,-1,0)+1,OFFSET(C336,-1,0)))</f>
        <v/>
      </c>
      <c r="D336" s="200">
        <f>IF(H336="ETAPA",0,IF(H336="SUBETAPA",OFFSET(D336,-1,0)+1,OFFSET(D336,-1,0)))</f>
        <v/>
      </c>
      <c r="E336" s="200">
        <f>IF(H336="Subetapa",0,IF(H336="serviço",OFFSET(E336,-1,0)+1,OFFSET(E336,-1,0)))</f>
        <v/>
      </c>
      <c r="F336" s="31" t="n"/>
      <c r="J336" s="61" t="n"/>
      <c r="K336" s="62" t="n"/>
      <c r="L336" s="63" t="n"/>
      <c r="M336" s="63" t="n"/>
      <c r="N336" s="68" t="n"/>
      <c r="O336" s="68" t="n"/>
      <c r="P336" s="68" t="n"/>
      <c r="Q336" s="68" t="n"/>
      <c r="R336" s="68" t="n"/>
    </row>
    <row r="337" ht="14.1" customFormat="1" customHeight="1" s="60">
      <c r="A337" s="199">
        <f>IF($H337="UNIDADE CONSTRUTIVA",OFFSET(A337,-1,0)+1,LARGE(A$3:A336,1))</f>
        <v/>
      </c>
      <c r="B337" s="199">
        <f>IF(H337="UNIDADE CONSTRUTIVA",0,IF(H337="CÉLULA CONSTRUTIVA",OFFSET(B337,-1,0)+1,OFFSET(B337,-1,0)))</f>
        <v/>
      </c>
      <c r="C337" s="199">
        <f>IF(H337="CÉLULA CONSTRUTIVA",0,IF(H337="ETAPA",OFFSET(C337,-1,0)+1,OFFSET(C337,-1,0)))</f>
        <v/>
      </c>
      <c r="D337" s="200">
        <f>IF(H337="ETAPA",0,IF(H337="SUBETAPA",OFFSET(D337,-1,0)+1,OFFSET(D337,-1,0)))</f>
        <v/>
      </c>
      <c r="E337" s="200">
        <f>IF(H337="Subetapa",0,IF(H337="serviço",OFFSET(E337,-1,0)+1,OFFSET(E337,-1,0)))</f>
        <v/>
      </c>
      <c r="F337" s="31" t="n"/>
      <c r="J337" s="61" t="n"/>
      <c r="K337" s="62" t="n"/>
      <c r="L337" s="63" t="n"/>
      <c r="M337" s="63" t="n"/>
      <c r="N337" s="68" t="n"/>
      <c r="O337" s="68" t="n"/>
      <c r="P337" s="68" t="n"/>
      <c r="Q337" s="68" t="n"/>
      <c r="R337" s="68" t="n"/>
    </row>
    <row r="338" ht="14.1" customFormat="1" customHeight="1" s="60">
      <c r="A338" s="199">
        <f>IF($H338="UNIDADE CONSTRUTIVA",OFFSET(A338,-1,0)+1,LARGE(A$3:A337,1))</f>
        <v/>
      </c>
      <c r="B338" s="199">
        <f>IF(H338="UNIDADE CONSTRUTIVA",0,IF(H338="CÉLULA CONSTRUTIVA",OFFSET(B338,-1,0)+1,OFFSET(B338,-1,0)))</f>
        <v/>
      </c>
      <c r="C338" s="199">
        <f>IF(H338="CÉLULA CONSTRUTIVA",0,IF(H338="ETAPA",OFFSET(C338,-1,0)+1,OFFSET(C338,-1,0)))</f>
        <v/>
      </c>
      <c r="D338" s="200">
        <f>IF(H338="ETAPA",0,IF(H338="SUBETAPA",OFFSET(D338,-1,0)+1,OFFSET(D338,-1,0)))</f>
        <v/>
      </c>
      <c r="E338" s="200">
        <f>IF(H338="Subetapa",0,IF(H338="serviço",OFFSET(E338,-1,0)+1,OFFSET(E338,-1,0)))</f>
        <v/>
      </c>
      <c r="F338" s="31" t="n"/>
      <c r="J338" s="61" t="n"/>
      <c r="K338" s="62" t="n"/>
      <c r="L338" s="63" t="n"/>
      <c r="M338" s="63" t="n"/>
      <c r="N338" s="68" t="n"/>
      <c r="O338" s="68" t="n"/>
      <c r="P338" s="68" t="n"/>
      <c r="Q338" s="68" t="n"/>
      <c r="R338" s="68" t="n"/>
    </row>
    <row r="339" ht="14.1" customFormat="1" customHeight="1" s="60">
      <c r="A339" s="199">
        <f>IF($H339="UNIDADE CONSTRUTIVA",OFFSET(A339,-1,0)+1,LARGE(A$3:A338,1))</f>
        <v/>
      </c>
      <c r="B339" s="199">
        <f>IF(H339="UNIDADE CONSTRUTIVA",0,IF(H339="CÉLULA CONSTRUTIVA",OFFSET(B339,-1,0)+1,OFFSET(B339,-1,0)))</f>
        <v/>
      </c>
      <c r="C339" s="199">
        <f>IF(H339="CÉLULA CONSTRUTIVA",0,IF(H339="ETAPA",OFFSET(C339,-1,0)+1,OFFSET(C339,-1,0)))</f>
        <v/>
      </c>
      <c r="D339" s="200">
        <f>IF(H339="ETAPA",0,IF(H339="SUBETAPA",OFFSET(D339,-1,0)+1,OFFSET(D339,-1,0)))</f>
        <v/>
      </c>
      <c r="E339" s="200">
        <f>IF(H339="Subetapa",0,IF(H339="serviço",OFFSET(E339,-1,0)+1,OFFSET(E339,-1,0)))</f>
        <v/>
      </c>
      <c r="F339" s="31" t="n"/>
      <c r="J339" s="61" t="n"/>
      <c r="K339" s="62" t="n"/>
      <c r="L339" s="63" t="n"/>
      <c r="M339" s="63" t="n"/>
      <c r="N339" s="68" t="n"/>
      <c r="O339" s="68" t="n"/>
      <c r="P339" s="68" t="n"/>
      <c r="Q339" s="68" t="n"/>
      <c r="R339" s="68" t="n"/>
    </row>
    <row r="340" ht="14.1" customFormat="1" customHeight="1" s="60">
      <c r="A340" s="199">
        <f>IF($H340="UNIDADE CONSTRUTIVA",OFFSET(A340,-1,0)+1,LARGE(A$3:A339,1))</f>
        <v/>
      </c>
      <c r="B340" s="199">
        <f>IF(H340="UNIDADE CONSTRUTIVA",0,IF(H340="CÉLULA CONSTRUTIVA",OFFSET(B340,-1,0)+1,OFFSET(B340,-1,0)))</f>
        <v/>
      </c>
      <c r="C340" s="199">
        <f>IF(H340="CÉLULA CONSTRUTIVA",0,IF(H340="ETAPA",OFFSET(C340,-1,0)+1,OFFSET(C340,-1,0)))</f>
        <v/>
      </c>
      <c r="D340" s="200">
        <f>IF(H340="ETAPA",0,IF(H340="SUBETAPA",OFFSET(D340,-1,0)+1,OFFSET(D340,-1,0)))</f>
        <v/>
      </c>
      <c r="E340" s="200">
        <f>IF(H340="Subetapa",0,IF(H340="serviço",OFFSET(E340,-1,0)+1,OFFSET(E340,-1,0)))</f>
        <v/>
      </c>
      <c r="F340" s="31" t="n"/>
      <c r="J340" s="61" t="n"/>
      <c r="K340" s="62" t="n"/>
      <c r="L340" s="63" t="n"/>
      <c r="M340" s="63" t="n"/>
      <c r="N340" s="68" t="n"/>
      <c r="O340" s="68" t="n"/>
      <c r="P340" s="68" t="n"/>
      <c r="Q340" s="68" t="n"/>
      <c r="R340" s="68" t="n"/>
    </row>
    <row r="341" ht="14.1" customFormat="1" customHeight="1" s="60">
      <c r="A341" s="199">
        <f>IF($H341="UNIDADE CONSTRUTIVA",OFFSET(A341,-1,0)+1,LARGE(A$3:A340,1))</f>
        <v/>
      </c>
      <c r="B341" s="199">
        <f>IF(H341="UNIDADE CONSTRUTIVA",0,IF(H341="CÉLULA CONSTRUTIVA",OFFSET(B341,-1,0)+1,OFFSET(B341,-1,0)))</f>
        <v/>
      </c>
      <c r="C341" s="199">
        <f>IF(H341="CÉLULA CONSTRUTIVA",0,IF(H341="ETAPA",OFFSET(C341,-1,0)+1,OFFSET(C341,-1,0)))</f>
        <v/>
      </c>
      <c r="D341" s="200">
        <f>IF(H341="ETAPA",0,IF(H341="SUBETAPA",OFFSET(D341,-1,0)+1,OFFSET(D341,-1,0)))</f>
        <v/>
      </c>
      <c r="E341" s="200">
        <f>IF(H341="Subetapa",0,IF(H341="serviço",OFFSET(E341,-1,0)+1,OFFSET(E341,-1,0)))</f>
        <v/>
      </c>
      <c r="F341" s="31" t="n"/>
      <c r="J341" s="61" t="n"/>
      <c r="K341" s="62" t="n"/>
      <c r="L341" s="63" t="n"/>
      <c r="M341" s="63" t="n"/>
      <c r="N341" s="68" t="n"/>
      <c r="O341" s="68" t="n"/>
      <c r="P341" s="68" t="n"/>
      <c r="Q341" s="68" t="n"/>
      <c r="R341" s="68" t="n"/>
    </row>
    <row r="342" ht="14.1" customFormat="1" customHeight="1" s="60">
      <c r="A342" s="199">
        <f>IF($H342="UNIDADE CONSTRUTIVA",OFFSET(A342,-1,0)+1,LARGE(A$3:A341,1))</f>
        <v/>
      </c>
      <c r="B342" s="199">
        <f>IF(H342="UNIDADE CONSTRUTIVA",0,IF(H342="CÉLULA CONSTRUTIVA",OFFSET(B342,-1,0)+1,OFFSET(B342,-1,0)))</f>
        <v/>
      </c>
      <c r="C342" s="199">
        <f>IF(H342="CÉLULA CONSTRUTIVA",0,IF(H342="ETAPA",OFFSET(C342,-1,0)+1,OFFSET(C342,-1,0)))</f>
        <v/>
      </c>
      <c r="D342" s="200">
        <f>IF(H342="ETAPA",0,IF(H342="SUBETAPA",OFFSET(D342,-1,0)+1,OFFSET(D342,-1,0)))</f>
        <v/>
      </c>
      <c r="E342" s="200">
        <f>IF(H342="Subetapa",0,IF(H342="serviço",OFFSET(E342,-1,0)+1,OFFSET(E342,-1,0)))</f>
        <v/>
      </c>
      <c r="F342" s="31" t="n"/>
      <c r="J342" s="61" t="n"/>
      <c r="K342" s="62" t="n"/>
      <c r="L342" s="63" t="n"/>
      <c r="M342" s="63" t="n"/>
      <c r="N342" s="68" t="n"/>
      <c r="O342" s="68" t="n"/>
      <c r="P342" s="68" t="n"/>
      <c r="Q342" s="68" t="n"/>
      <c r="R342" s="68" t="n"/>
    </row>
    <row r="343" ht="14.1" customFormat="1" customHeight="1" s="60">
      <c r="A343" s="199">
        <f>IF($H343="UNIDADE CONSTRUTIVA",OFFSET(A343,-1,0)+1,LARGE(A$3:A342,1))</f>
        <v/>
      </c>
      <c r="B343" s="199">
        <f>IF(H343="UNIDADE CONSTRUTIVA",0,IF(H343="CÉLULA CONSTRUTIVA",OFFSET(B343,-1,0)+1,OFFSET(B343,-1,0)))</f>
        <v/>
      </c>
      <c r="C343" s="199">
        <f>IF(H343="CÉLULA CONSTRUTIVA",0,IF(H343="ETAPA",OFFSET(C343,-1,0)+1,OFFSET(C343,-1,0)))</f>
        <v/>
      </c>
      <c r="D343" s="200">
        <f>IF(H343="ETAPA",0,IF(H343="SUBETAPA",OFFSET(D343,-1,0)+1,OFFSET(D343,-1,0)))</f>
        <v/>
      </c>
      <c r="E343" s="200">
        <f>IF(H343="Subetapa",0,IF(H343="serviço",OFFSET(E343,-1,0)+1,OFFSET(E343,-1,0)))</f>
        <v/>
      </c>
      <c r="F343" s="31" t="n"/>
      <c r="J343" s="61" t="n"/>
      <c r="K343" s="62" t="n"/>
      <c r="L343" s="63" t="n"/>
      <c r="M343" s="63" t="n"/>
      <c r="N343" s="68" t="n"/>
      <c r="O343" s="68" t="n"/>
      <c r="P343" s="68" t="n"/>
      <c r="Q343" s="68" t="n"/>
      <c r="R343" s="68" t="n"/>
    </row>
    <row r="344" ht="14.1" customFormat="1" customHeight="1" s="60">
      <c r="A344" s="199">
        <f>IF($H344="UNIDADE CONSTRUTIVA",OFFSET(A344,-1,0)+1,LARGE(A$3:A343,1))</f>
        <v/>
      </c>
      <c r="B344" s="199">
        <f>IF(H344="UNIDADE CONSTRUTIVA",0,IF(H344="CÉLULA CONSTRUTIVA",OFFSET(B344,-1,0)+1,OFFSET(B344,-1,0)))</f>
        <v/>
      </c>
      <c r="C344" s="199">
        <f>IF(H344="CÉLULA CONSTRUTIVA",0,IF(H344="ETAPA",OFFSET(C344,-1,0)+1,OFFSET(C344,-1,0)))</f>
        <v/>
      </c>
      <c r="D344" s="200">
        <f>IF(H344="ETAPA",0,IF(H344="SUBETAPA",OFFSET(D344,-1,0)+1,OFFSET(D344,-1,0)))</f>
        <v/>
      </c>
      <c r="E344" s="200">
        <f>IF(H344="Subetapa",0,IF(H344="serviço",OFFSET(E344,-1,0)+1,OFFSET(E344,-1,0)))</f>
        <v/>
      </c>
      <c r="F344" s="31" t="n"/>
      <c r="J344" s="61" t="n"/>
      <c r="K344" s="62" t="n"/>
      <c r="L344" s="63" t="n"/>
      <c r="M344" s="63" t="n"/>
      <c r="N344" s="68" t="n"/>
      <c r="O344" s="68" t="n"/>
      <c r="P344" s="68" t="n"/>
      <c r="Q344" s="68" t="n"/>
      <c r="R344" s="68" t="n"/>
    </row>
    <row r="345" ht="14.1" customFormat="1" customHeight="1" s="60">
      <c r="A345" s="199">
        <f>IF($H345="UNIDADE CONSTRUTIVA",OFFSET(A345,-1,0)+1,LARGE(A$3:A344,1))</f>
        <v/>
      </c>
      <c r="B345" s="199">
        <f>IF(H345="UNIDADE CONSTRUTIVA",0,IF(H345="CÉLULA CONSTRUTIVA",OFFSET(B345,-1,0)+1,OFFSET(B345,-1,0)))</f>
        <v/>
      </c>
      <c r="C345" s="199">
        <f>IF(H345="CÉLULA CONSTRUTIVA",0,IF(H345="ETAPA",OFFSET(C345,-1,0)+1,OFFSET(C345,-1,0)))</f>
        <v/>
      </c>
      <c r="D345" s="200">
        <f>IF(H345="ETAPA",0,IF(H345="SUBETAPA",OFFSET(D345,-1,0)+1,OFFSET(D345,-1,0)))</f>
        <v/>
      </c>
      <c r="E345" s="200">
        <f>IF(H345="Subetapa",0,IF(H345="serviço",OFFSET(E345,-1,0)+1,OFFSET(E345,-1,0)))</f>
        <v/>
      </c>
      <c r="F345" s="31" t="n"/>
      <c r="J345" s="61" t="n"/>
      <c r="K345" s="62" t="n"/>
      <c r="L345" s="63" t="n"/>
      <c r="M345" s="63" t="n"/>
      <c r="N345" s="68" t="n"/>
      <c r="O345" s="68" t="n"/>
      <c r="P345" s="68" t="n"/>
      <c r="Q345" s="68" t="n"/>
      <c r="R345" s="68" t="n"/>
    </row>
    <row r="346" ht="14.1" customFormat="1" customHeight="1" s="60">
      <c r="A346" s="199">
        <f>IF($H346="UNIDADE CONSTRUTIVA",OFFSET(A346,-1,0)+1,LARGE(A$3:A345,1))</f>
        <v/>
      </c>
      <c r="B346" s="199">
        <f>IF(H346="UNIDADE CONSTRUTIVA",0,IF(H346="CÉLULA CONSTRUTIVA",OFFSET(B346,-1,0)+1,OFFSET(B346,-1,0)))</f>
        <v/>
      </c>
      <c r="C346" s="199">
        <f>IF(H346="CÉLULA CONSTRUTIVA",0,IF(H346="ETAPA",OFFSET(C346,-1,0)+1,OFFSET(C346,-1,0)))</f>
        <v/>
      </c>
      <c r="D346" s="200">
        <f>IF(H346="ETAPA",0,IF(H346="SUBETAPA",OFFSET(D346,-1,0)+1,OFFSET(D346,-1,0)))</f>
        <v/>
      </c>
      <c r="E346" s="200">
        <f>IF(H346="Subetapa",0,IF(H346="serviço",OFFSET(E346,-1,0)+1,OFFSET(E346,-1,0)))</f>
        <v/>
      </c>
      <c r="F346" s="31" t="n"/>
      <c r="J346" s="61" t="n"/>
      <c r="K346" s="62" t="n"/>
      <c r="L346" s="63" t="n"/>
      <c r="M346" s="63" t="n"/>
      <c r="N346" s="68" t="n"/>
      <c r="O346" s="68" t="n"/>
      <c r="P346" s="68" t="n"/>
      <c r="Q346" s="68" t="n"/>
      <c r="R346" s="68" t="n"/>
    </row>
    <row r="347" ht="14.1" customFormat="1" customHeight="1" s="60">
      <c r="A347" s="199">
        <f>IF($H347="UNIDADE CONSTRUTIVA",OFFSET(A347,-1,0)+1,LARGE(A$3:A346,1))</f>
        <v/>
      </c>
      <c r="B347" s="199">
        <f>IF(H347="UNIDADE CONSTRUTIVA",0,IF(H347="CÉLULA CONSTRUTIVA",OFFSET(B347,-1,0)+1,OFFSET(B347,-1,0)))</f>
        <v/>
      </c>
      <c r="C347" s="199">
        <f>IF(H347="CÉLULA CONSTRUTIVA",0,IF(H347="ETAPA",OFFSET(C347,-1,0)+1,OFFSET(C347,-1,0)))</f>
        <v/>
      </c>
      <c r="D347" s="200">
        <f>IF(H347="ETAPA",0,IF(H347="SUBETAPA",OFFSET(D347,-1,0)+1,OFFSET(D347,-1,0)))</f>
        <v/>
      </c>
      <c r="E347" s="200">
        <f>IF(H347="Subetapa",0,IF(H347="serviço",OFFSET(E347,-1,0)+1,OFFSET(E347,-1,0)))</f>
        <v/>
      </c>
      <c r="F347" s="31" t="n"/>
      <c r="J347" s="61" t="n"/>
      <c r="K347" s="62" t="n"/>
      <c r="L347" s="63" t="n"/>
      <c r="M347" s="63" t="n"/>
      <c r="N347" s="68" t="n"/>
      <c r="O347" s="68" t="n"/>
      <c r="P347" s="68" t="n"/>
      <c r="Q347" s="68" t="n"/>
      <c r="R347" s="68" t="n"/>
    </row>
    <row r="348" ht="14.1" customFormat="1" customHeight="1" s="60">
      <c r="A348" s="199">
        <f>IF($H348="UNIDADE CONSTRUTIVA",OFFSET(A348,-1,0)+1,LARGE(A$3:A347,1))</f>
        <v/>
      </c>
      <c r="B348" s="199">
        <f>IF(H348="UNIDADE CONSTRUTIVA",0,IF(H348="CÉLULA CONSTRUTIVA",OFFSET(B348,-1,0)+1,OFFSET(B348,-1,0)))</f>
        <v/>
      </c>
      <c r="C348" s="199">
        <f>IF(H348="CÉLULA CONSTRUTIVA",0,IF(H348="ETAPA",OFFSET(C348,-1,0)+1,OFFSET(C348,-1,0)))</f>
        <v/>
      </c>
      <c r="D348" s="200">
        <f>IF(H348="ETAPA",0,IF(H348="SUBETAPA",OFFSET(D348,-1,0)+1,OFFSET(D348,-1,0)))</f>
        <v/>
      </c>
      <c r="E348" s="200">
        <f>IF(H348="Subetapa",0,IF(H348="serviço",OFFSET(E348,-1,0)+1,OFFSET(E348,-1,0)))</f>
        <v/>
      </c>
      <c r="F348" s="31" t="n"/>
      <c r="J348" s="61" t="n"/>
      <c r="K348" s="62" t="n"/>
      <c r="L348" s="63" t="n"/>
      <c r="M348" s="63" t="n"/>
      <c r="N348" s="68" t="n"/>
      <c r="O348" s="68" t="n"/>
      <c r="P348" s="68" t="n"/>
      <c r="Q348" s="68" t="n"/>
      <c r="R348" s="68" t="n"/>
    </row>
    <row r="349" ht="14.1" customFormat="1" customHeight="1" s="60">
      <c r="A349" s="199">
        <f>IF($H349="UNIDADE CONSTRUTIVA",OFFSET(A349,-1,0)+1,LARGE(A$3:A348,1))</f>
        <v/>
      </c>
      <c r="B349" s="199">
        <f>IF(H349="UNIDADE CONSTRUTIVA",0,IF(H349="CÉLULA CONSTRUTIVA",OFFSET(B349,-1,0)+1,OFFSET(B349,-1,0)))</f>
        <v/>
      </c>
      <c r="C349" s="199">
        <f>IF(H349="CÉLULA CONSTRUTIVA",0,IF(H349="ETAPA",OFFSET(C349,-1,0)+1,OFFSET(C349,-1,0)))</f>
        <v/>
      </c>
      <c r="D349" s="200">
        <f>IF(H349="ETAPA",0,IF(H349="SUBETAPA",OFFSET(D349,-1,0)+1,OFFSET(D349,-1,0)))</f>
        <v/>
      </c>
      <c r="E349" s="200">
        <f>IF(H349="Subetapa",0,IF(H349="serviço",OFFSET(E349,-1,0)+1,OFFSET(E349,-1,0)))</f>
        <v/>
      </c>
      <c r="F349" s="31" t="n"/>
      <c r="J349" s="61" t="n"/>
      <c r="K349" s="62" t="n"/>
      <c r="L349" s="63" t="n"/>
      <c r="M349" s="63" t="n"/>
      <c r="N349" s="68" t="n"/>
      <c r="O349" s="68" t="n"/>
      <c r="P349" s="68" t="n"/>
      <c r="Q349" s="68" t="n"/>
      <c r="R349" s="68" t="n"/>
    </row>
    <row r="350" ht="14.1" customFormat="1" customHeight="1" s="60">
      <c r="A350" s="199">
        <f>IF($H350="UNIDADE CONSTRUTIVA",OFFSET(A350,-1,0)+1,LARGE(A$3:A349,1))</f>
        <v/>
      </c>
      <c r="B350" s="199">
        <f>IF(H350="UNIDADE CONSTRUTIVA",0,IF(H350="CÉLULA CONSTRUTIVA",OFFSET(B350,-1,0)+1,OFFSET(B350,-1,0)))</f>
        <v/>
      </c>
      <c r="C350" s="199">
        <f>IF(H350="CÉLULA CONSTRUTIVA",0,IF(H350="ETAPA",OFFSET(C350,-1,0)+1,OFFSET(C350,-1,0)))</f>
        <v/>
      </c>
      <c r="D350" s="200">
        <f>IF(H350="ETAPA",0,IF(H350="SUBETAPA",OFFSET(D350,-1,0)+1,OFFSET(D350,-1,0)))</f>
        <v/>
      </c>
      <c r="E350" s="200">
        <f>IF(H350="Subetapa",0,IF(H350="serviço",OFFSET(E350,-1,0)+1,OFFSET(E350,-1,0)))</f>
        <v/>
      </c>
      <c r="F350" s="31" t="n"/>
      <c r="J350" s="61" t="n"/>
      <c r="K350" s="62" t="n"/>
      <c r="L350" s="63" t="n"/>
      <c r="M350" s="63" t="n"/>
      <c r="N350" s="68" t="n"/>
      <c r="O350" s="68" t="n"/>
      <c r="P350" s="68" t="n"/>
      <c r="Q350" s="68" t="n"/>
      <c r="R350" s="68" t="n"/>
    </row>
    <row r="351" ht="14.1" customFormat="1" customHeight="1" s="60">
      <c r="A351" s="199">
        <f>IF($H351="UNIDADE CONSTRUTIVA",OFFSET(A351,-1,0)+1,LARGE(A$3:A350,1))</f>
        <v/>
      </c>
      <c r="B351" s="199">
        <f>IF(H351="UNIDADE CONSTRUTIVA",0,IF(H351="CÉLULA CONSTRUTIVA",OFFSET(B351,-1,0)+1,OFFSET(B351,-1,0)))</f>
        <v/>
      </c>
      <c r="C351" s="199">
        <f>IF(H351="CÉLULA CONSTRUTIVA",0,IF(H351="ETAPA",OFFSET(C351,-1,0)+1,OFFSET(C351,-1,0)))</f>
        <v/>
      </c>
      <c r="D351" s="200">
        <f>IF(H351="ETAPA",0,IF(H351="SUBETAPA",OFFSET(D351,-1,0)+1,OFFSET(D351,-1,0)))</f>
        <v/>
      </c>
      <c r="E351" s="200">
        <f>IF(H351="Subetapa",0,IF(H351="serviço",OFFSET(E351,-1,0)+1,OFFSET(E351,-1,0)))</f>
        <v/>
      </c>
      <c r="F351" s="31" t="n"/>
      <c r="J351" s="61" t="n"/>
      <c r="K351" s="62" t="n"/>
      <c r="L351" s="63" t="n"/>
      <c r="M351" s="63" t="n"/>
      <c r="N351" s="68" t="n"/>
      <c r="O351" s="68" t="n"/>
      <c r="P351" s="68" t="n"/>
      <c r="Q351" s="68" t="n"/>
      <c r="R351" s="68" t="n"/>
    </row>
    <row r="352" ht="14.1" customFormat="1" customHeight="1" s="60">
      <c r="A352" s="199">
        <f>IF($H352="UNIDADE CONSTRUTIVA",OFFSET(A352,-1,0)+1,LARGE(A$3:A351,1))</f>
        <v/>
      </c>
      <c r="B352" s="199">
        <f>IF(H352="UNIDADE CONSTRUTIVA",0,IF(H352="CÉLULA CONSTRUTIVA",OFFSET(B352,-1,0)+1,OFFSET(B352,-1,0)))</f>
        <v/>
      </c>
      <c r="C352" s="199">
        <f>IF(H352="CÉLULA CONSTRUTIVA",0,IF(H352="ETAPA",OFFSET(C352,-1,0)+1,OFFSET(C352,-1,0)))</f>
        <v/>
      </c>
      <c r="D352" s="200">
        <f>IF(H352="ETAPA",0,IF(H352="SUBETAPA",OFFSET(D352,-1,0)+1,OFFSET(D352,-1,0)))</f>
        <v/>
      </c>
      <c r="E352" s="200">
        <f>IF(H352="Subetapa",0,IF(H352="serviço",OFFSET(E352,-1,0)+1,OFFSET(E352,-1,0)))</f>
        <v/>
      </c>
      <c r="F352" s="31" t="n"/>
      <c r="J352" s="61" t="n"/>
      <c r="K352" s="62" t="n"/>
      <c r="L352" s="63" t="n"/>
      <c r="M352" s="63" t="n"/>
      <c r="N352" s="68" t="n"/>
      <c r="O352" s="68" t="n"/>
      <c r="P352" s="68" t="n"/>
      <c r="Q352" s="68" t="n"/>
      <c r="R352" s="68" t="n"/>
    </row>
    <row r="353" ht="14.1" customFormat="1" customHeight="1" s="60">
      <c r="A353" s="199">
        <f>IF($H353="UNIDADE CONSTRUTIVA",OFFSET(A353,-1,0)+1,LARGE(A$3:A352,1))</f>
        <v/>
      </c>
      <c r="B353" s="199">
        <f>IF(H353="UNIDADE CONSTRUTIVA",0,IF(H353="CÉLULA CONSTRUTIVA",OFFSET(B353,-1,0)+1,OFFSET(B353,-1,0)))</f>
        <v/>
      </c>
      <c r="C353" s="199">
        <f>IF(H353="CÉLULA CONSTRUTIVA",0,IF(H353="ETAPA",OFFSET(C353,-1,0)+1,OFFSET(C353,-1,0)))</f>
        <v/>
      </c>
      <c r="D353" s="200">
        <f>IF(H353="ETAPA",0,IF(H353="SUBETAPA",OFFSET(D353,-1,0)+1,OFFSET(D353,-1,0)))</f>
        <v/>
      </c>
      <c r="E353" s="200">
        <f>IF(H353="Subetapa",0,IF(H353="serviço",OFFSET(E353,-1,0)+1,OFFSET(E353,-1,0)))</f>
        <v/>
      </c>
      <c r="F353" s="31" t="n"/>
      <c r="J353" s="61" t="n"/>
      <c r="K353" s="62" t="n"/>
      <c r="L353" s="63" t="n"/>
      <c r="M353" s="63" t="n"/>
      <c r="N353" s="68" t="n"/>
      <c r="O353" s="68" t="n"/>
      <c r="P353" s="68" t="n"/>
      <c r="Q353" s="68" t="n"/>
      <c r="R353" s="68" t="n"/>
    </row>
    <row r="354" ht="14.1" customFormat="1" customHeight="1" s="60">
      <c r="A354" s="199">
        <f>IF($H354="UNIDADE CONSTRUTIVA",OFFSET(A354,-1,0)+1,LARGE(A$3:A353,1))</f>
        <v/>
      </c>
      <c r="B354" s="199">
        <f>IF(H354="UNIDADE CONSTRUTIVA",0,IF(H354="CÉLULA CONSTRUTIVA",OFFSET(B354,-1,0)+1,OFFSET(B354,-1,0)))</f>
        <v/>
      </c>
      <c r="C354" s="199">
        <f>IF(H354="CÉLULA CONSTRUTIVA",0,IF(H354="ETAPA",OFFSET(C354,-1,0)+1,OFFSET(C354,-1,0)))</f>
        <v/>
      </c>
      <c r="D354" s="200">
        <f>IF(H354="ETAPA",0,IF(H354="SUBETAPA",OFFSET(D354,-1,0)+1,OFFSET(D354,-1,0)))</f>
        <v/>
      </c>
      <c r="E354" s="200">
        <f>IF(H354="Subetapa",0,IF(H354="serviço",OFFSET(E354,-1,0)+1,OFFSET(E354,-1,0)))</f>
        <v/>
      </c>
      <c r="F354" s="31" t="n"/>
      <c r="J354" s="61" t="n"/>
      <c r="K354" s="62" t="n"/>
      <c r="L354" s="63" t="n"/>
      <c r="M354" s="63" t="n"/>
      <c r="N354" s="68" t="n"/>
      <c r="O354" s="68" t="n"/>
      <c r="P354" s="68" t="n"/>
      <c r="Q354" s="68" t="n"/>
      <c r="R354" s="68" t="n"/>
    </row>
    <row r="355" ht="14.1" customFormat="1" customHeight="1" s="60">
      <c r="A355" s="199">
        <f>IF($H355="UNIDADE CONSTRUTIVA",OFFSET(A355,-1,0)+1,LARGE(A$3:A354,1))</f>
        <v/>
      </c>
      <c r="B355" s="199">
        <f>IF(H355="UNIDADE CONSTRUTIVA",0,IF(H355="CÉLULA CONSTRUTIVA",OFFSET(B355,-1,0)+1,OFFSET(B355,-1,0)))</f>
        <v/>
      </c>
      <c r="C355" s="199">
        <f>IF(H355="CÉLULA CONSTRUTIVA",0,IF(H355="ETAPA",OFFSET(C355,-1,0)+1,OFFSET(C355,-1,0)))</f>
        <v/>
      </c>
      <c r="D355" s="200">
        <f>IF(H355="ETAPA",0,IF(H355="SUBETAPA",OFFSET(D355,-1,0)+1,OFFSET(D355,-1,0)))</f>
        <v/>
      </c>
      <c r="E355" s="200">
        <f>IF(H355="Subetapa",0,IF(H355="serviço",OFFSET(E355,-1,0)+1,OFFSET(E355,-1,0)))</f>
        <v/>
      </c>
      <c r="F355" s="31" t="n"/>
      <c r="J355" s="61" t="n"/>
      <c r="K355" s="62" t="n"/>
      <c r="L355" s="63" t="n"/>
      <c r="M355" s="63" t="n"/>
      <c r="N355" s="68" t="n"/>
      <c r="O355" s="68" t="n"/>
      <c r="P355" s="68" t="n"/>
      <c r="Q355" s="68" t="n"/>
      <c r="R355" s="68" t="n"/>
    </row>
    <row r="356" ht="14.1" customFormat="1" customHeight="1" s="60">
      <c r="A356" s="199">
        <f>IF($H356="UNIDADE CONSTRUTIVA",OFFSET(A356,-1,0)+1,LARGE(A$3:A355,1))</f>
        <v/>
      </c>
      <c r="B356" s="199">
        <f>IF(H356="UNIDADE CONSTRUTIVA",0,IF(H356="CÉLULA CONSTRUTIVA",OFFSET(B356,-1,0)+1,OFFSET(B356,-1,0)))</f>
        <v/>
      </c>
      <c r="C356" s="199">
        <f>IF(H356="CÉLULA CONSTRUTIVA",0,IF(H356="ETAPA",OFFSET(C356,-1,0)+1,OFFSET(C356,-1,0)))</f>
        <v/>
      </c>
      <c r="D356" s="200">
        <f>IF(H356="ETAPA",0,IF(H356="SUBETAPA",OFFSET(D356,-1,0)+1,OFFSET(D356,-1,0)))</f>
        <v/>
      </c>
      <c r="E356" s="200">
        <f>IF(H356="Subetapa",0,IF(H356="serviço",OFFSET(E356,-1,0)+1,OFFSET(E356,-1,0)))</f>
        <v/>
      </c>
      <c r="F356" s="31" t="n"/>
      <c r="J356" s="61" t="n"/>
      <c r="K356" s="62" t="n"/>
      <c r="L356" s="63" t="n"/>
      <c r="M356" s="63" t="n"/>
      <c r="N356" s="68" t="n"/>
      <c r="O356" s="68" t="n"/>
      <c r="P356" s="68" t="n"/>
      <c r="Q356" s="68" t="n"/>
      <c r="R356" s="68" t="n"/>
    </row>
    <row r="357" ht="14.1" customFormat="1" customHeight="1" s="60">
      <c r="A357" s="199">
        <f>IF($H357="UNIDADE CONSTRUTIVA",OFFSET(A357,-1,0)+1,LARGE(A$3:A356,1))</f>
        <v/>
      </c>
      <c r="B357" s="199">
        <f>IF(H357="UNIDADE CONSTRUTIVA",0,IF(H357="CÉLULA CONSTRUTIVA",OFFSET(B357,-1,0)+1,OFFSET(B357,-1,0)))</f>
        <v/>
      </c>
      <c r="C357" s="199">
        <f>IF(H357="CÉLULA CONSTRUTIVA",0,IF(H357="ETAPA",OFFSET(C357,-1,0)+1,OFFSET(C357,-1,0)))</f>
        <v/>
      </c>
      <c r="D357" s="200">
        <f>IF(H357="ETAPA",0,IF(H357="SUBETAPA",OFFSET(D357,-1,0)+1,OFFSET(D357,-1,0)))</f>
        <v/>
      </c>
      <c r="E357" s="200">
        <f>IF(H357="Subetapa",0,IF(H357="serviço",OFFSET(E357,-1,0)+1,OFFSET(E357,-1,0)))</f>
        <v/>
      </c>
      <c r="F357" s="31" t="n"/>
      <c r="J357" s="61" t="n"/>
      <c r="K357" s="62" t="n"/>
      <c r="L357" s="63" t="n"/>
      <c r="M357" s="63" t="n"/>
      <c r="N357" s="68" t="n"/>
      <c r="O357" s="68" t="n"/>
      <c r="P357" s="68" t="n"/>
      <c r="Q357" s="68" t="n"/>
      <c r="R357" s="68" t="n"/>
    </row>
    <row r="358" ht="14.1" customFormat="1" customHeight="1" s="60">
      <c r="A358" s="199">
        <f>IF($H358="UNIDADE CONSTRUTIVA",OFFSET(A358,-1,0)+1,LARGE(A$3:A357,1))</f>
        <v/>
      </c>
      <c r="B358" s="199">
        <f>IF(H358="UNIDADE CONSTRUTIVA",0,IF(H358="CÉLULA CONSTRUTIVA",OFFSET(B358,-1,0)+1,OFFSET(B358,-1,0)))</f>
        <v/>
      </c>
      <c r="C358" s="199">
        <f>IF(H358="CÉLULA CONSTRUTIVA",0,IF(H358="ETAPA",OFFSET(C358,-1,0)+1,OFFSET(C358,-1,0)))</f>
        <v/>
      </c>
      <c r="D358" s="200">
        <f>IF(H358="ETAPA",0,IF(H358="SUBETAPA",OFFSET(D358,-1,0)+1,OFFSET(D358,-1,0)))</f>
        <v/>
      </c>
      <c r="E358" s="200">
        <f>IF(H358="Subetapa",0,IF(H358="serviço",OFFSET(E358,-1,0)+1,OFFSET(E358,-1,0)))</f>
        <v/>
      </c>
      <c r="F358" s="31" t="n"/>
      <c r="J358" s="61" t="n"/>
      <c r="K358" s="62" t="n"/>
      <c r="L358" s="63" t="n"/>
      <c r="M358" s="63" t="n"/>
      <c r="N358" s="68" t="n"/>
      <c r="O358" s="68" t="n"/>
      <c r="P358" s="68" t="n"/>
      <c r="Q358" s="68" t="n"/>
      <c r="R358" s="68" t="n"/>
    </row>
    <row r="359" ht="14.1" customFormat="1" customHeight="1" s="60">
      <c r="A359" s="199">
        <f>IF($H359="UNIDADE CONSTRUTIVA",OFFSET(A359,-1,0)+1,LARGE(A$3:A358,1))</f>
        <v/>
      </c>
      <c r="B359" s="199">
        <f>IF(H359="UNIDADE CONSTRUTIVA",0,IF(H359="CÉLULA CONSTRUTIVA",OFFSET(B359,-1,0)+1,OFFSET(B359,-1,0)))</f>
        <v/>
      </c>
      <c r="C359" s="199">
        <f>IF(H359="CÉLULA CONSTRUTIVA",0,IF(H359="ETAPA",OFFSET(C359,-1,0)+1,OFFSET(C359,-1,0)))</f>
        <v/>
      </c>
      <c r="D359" s="200">
        <f>IF(H359="ETAPA",0,IF(H359="SUBETAPA",OFFSET(D359,-1,0)+1,OFFSET(D359,-1,0)))</f>
        <v/>
      </c>
      <c r="E359" s="200">
        <f>IF(H359="Subetapa",0,IF(H359="serviço",OFFSET(E359,-1,0)+1,OFFSET(E359,-1,0)))</f>
        <v/>
      </c>
      <c r="F359" s="31" t="n"/>
      <c r="J359" s="61" t="n"/>
      <c r="K359" s="62" t="n"/>
      <c r="L359" s="63" t="n"/>
      <c r="M359" s="63" t="n"/>
      <c r="N359" s="68" t="n"/>
      <c r="O359" s="68" t="n"/>
      <c r="P359" s="68" t="n"/>
      <c r="Q359" s="68" t="n"/>
      <c r="R359" s="68" t="n"/>
    </row>
    <row r="360" ht="14.1" customFormat="1" customHeight="1" s="60">
      <c r="A360" s="199">
        <f>IF($H360="UNIDADE CONSTRUTIVA",OFFSET(A360,-1,0)+1,LARGE(A$3:A359,1))</f>
        <v/>
      </c>
      <c r="B360" s="199">
        <f>IF(H360="UNIDADE CONSTRUTIVA",0,IF(H360="CÉLULA CONSTRUTIVA",OFFSET(B360,-1,0)+1,OFFSET(B360,-1,0)))</f>
        <v/>
      </c>
      <c r="C360" s="199">
        <f>IF(H360="CÉLULA CONSTRUTIVA",0,IF(H360="ETAPA",OFFSET(C360,-1,0)+1,OFFSET(C360,-1,0)))</f>
        <v/>
      </c>
      <c r="D360" s="200">
        <f>IF(H360="ETAPA",0,IF(H360="SUBETAPA",OFFSET(D360,-1,0)+1,OFFSET(D360,-1,0)))</f>
        <v/>
      </c>
      <c r="E360" s="200">
        <f>IF(H360="Subetapa",0,IF(H360="serviço",OFFSET(E360,-1,0)+1,OFFSET(E360,-1,0)))</f>
        <v/>
      </c>
      <c r="F360" s="31" t="n"/>
      <c r="J360" s="61" t="n"/>
      <c r="K360" s="62" t="n"/>
      <c r="L360" s="63" t="n"/>
      <c r="M360" s="63" t="n"/>
      <c r="N360" s="68" t="n"/>
      <c r="O360" s="68" t="n"/>
      <c r="P360" s="68" t="n"/>
      <c r="Q360" s="68" t="n"/>
      <c r="R360" s="68" t="n"/>
    </row>
    <row r="361" ht="14.1" customFormat="1" customHeight="1" s="60">
      <c r="A361" s="199">
        <f>IF($H361="UNIDADE CONSTRUTIVA",OFFSET(A361,-1,0)+1,LARGE(A$3:A360,1))</f>
        <v/>
      </c>
      <c r="B361" s="199">
        <f>IF(H361="UNIDADE CONSTRUTIVA",0,IF(H361="CÉLULA CONSTRUTIVA",OFFSET(B361,-1,0)+1,OFFSET(B361,-1,0)))</f>
        <v/>
      </c>
      <c r="C361" s="199">
        <f>IF(H361="CÉLULA CONSTRUTIVA",0,IF(H361="ETAPA",OFFSET(C361,-1,0)+1,OFFSET(C361,-1,0)))</f>
        <v/>
      </c>
      <c r="D361" s="200">
        <f>IF(H361="ETAPA",0,IF(H361="SUBETAPA",OFFSET(D361,-1,0)+1,OFFSET(D361,-1,0)))</f>
        <v/>
      </c>
      <c r="E361" s="200">
        <f>IF(H361="Subetapa",0,IF(H361="serviço",OFFSET(E361,-1,0)+1,OFFSET(E361,-1,0)))</f>
        <v/>
      </c>
      <c r="F361" s="31" t="n"/>
      <c r="J361" s="61" t="n"/>
      <c r="K361" s="62" t="n"/>
      <c r="L361" s="63" t="n"/>
      <c r="M361" s="63" t="n"/>
      <c r="N361" s="68" t="n"/>
      <c r="O361" s="68" t="n"/>
      <c r="P361" s="68" t="n"/>
      <c r="Q361" s="68" t="n"/>
      <c r="R361" s="68" t="n"/>
    </row>
    <row r="362" ht="14.1" customFormat="1" customHeight="1" s="60">
      <c r="A362" s="199">
        <f>IF($H362="UNIDADE CONSTRUTIVA",OFFSET(A362,-1,0)+1,LARGE(A$3:A361,1))</f>
        <v/>
      </c>
      <c r="B362" s="199">
        <f>IF(H362="UNIDADE CONSTRUTIVA",0,IF(H362="CÉLULA CONSTRUTIVA",OFFSET(B362,-1,0)+1,OFFSET(B362,-1,0)))</f>
        <v/>
      </c>
      <c r="C362" s="199">
        <f>IF(H362="CÉLULA CONSTRUTIVA",0,IF(H362="ETAPA",OFFSET(C362,-1,0)+1,OFFSET(C362,-1,0)))</f>
        <v/>
      </c>
      <c r="D362" s="200">
        <f>IF(H362="ETAPA",0,IF(H362="SUBETAPA",OFFSET(D362,-1,0)+1,OFFSET(D362,-1,0)))</f>
        <v/>
      </c>
      <c r="E362" s="200">
        <f>IF(H362="Subetapa",0,IF(H362="serviço",OFFSET(E362,-1,0)+1,OFFSET(E362,-1,0)))</f>
        <v/>
      </c>
      <c r="F362" s="31" t="n"/>
      <c r="J362" s="61" t="n"/>
      <c r="K362" s="62" t="n"/>
      <c r="L362" s="63" t="n"/>
      <c r="M362" s="63" t="n"/>
      <c r="N362" s="68" t="n"/>
      <c r="O362" s="68" t="n"/>
      <c r="P362" s="68" t="n"/>
      <c r="Q362" s="68" t="n"/>
      <c r="R362" s="68" t="n"/>
    </row>
    <row r="363" ht="14.1" customFormat="1" customHeight="1" s="60">
      <c r="A363" s="199">
        <f>IF($H363="UNIDADE CONSTRUTIVA",OFFSET(A363,-1,0)+1,LARGE(A$3:A362,1))</f>
        <v/>
      </c>
      <c r="B363" s="199">
        <f>IF(H363="UNIDADE CONSTRUTIVA",0,IF(H363="CÉLULA CONSTRUTIVA",OFFSET(B363,-1,0)+1,OFFSET(B363,-1,0)))</f>
        <v/>
      </c>
      <c r="C363" s="199">
        <f>IF(H363="CÉLULA CONSTRUTIVA",0,IF(H363="ETAPA",OFFSET(C363,-1,0)+1,OFFSET(C363,-1,0)))</f>
        <v/>
      </c>
      <c r="D363" s="200">
        <f>IF(H363="ETAPA",0,IF(H363="SUBETAPA",OFFSET(D363,-1,0)+1,OFFSET(D363,-1,0)))</f>
        <v/>
      </c>
      <c r="E363" s="200">
        <f>IF(H363="Subetapa",0,IF(H363="serviço",OFFSET(E363,-1,0)+1,OFFSET(E363,-1,0)))</f>
        <v/>
      </c>
      <c r="F363" s="31" t="n"/>
      <c r="J363" s="61" t="n"/>
      <c r="K363" s="62" t="n"/>
      <c r="L363" s="63" t="n"/>
      <c r="M363" s="63" t="n"/>
      <c r="N363" s="68" t="n"/>
      <c r="O363" s="68" t="n"/>
      <c r="P363" s="68" t="n"/>
      <c r="Q363" s="68" t="n"/>
      <c r="R363" s="68" t="n"/>
    </row>
    <row r="364" ht="14.1" customFormat="1" customHeight="1" s="60">
      <c r="A364" s="199">
        <f>IF($H364="UNIDADE CONSTRUTIVA",OFFSET(A364,-1,0)+1,LARGE(A$3:A363,1))</f>
        <v/>
      </c>
      <c r="B364" s="199">
        <f>IF(H364="UNIDADE CONSTRUTIVA",0,IF(H364="CÉLULA CONSTRUTIVA",OFFSET(B364,-1,0)+1,OFFSET(B364,-1,0)))</f>
        <v/>
      </c>
      <c r="C364" s="199">
        <f>IF(H364="CÉLULA CONSTRUTIVA",0,IF(H364="ETAPA",OFFSET(C364,-1,0)+1,OFFSET(C364,-1,0)))</f>
        <v/>
      </c>
      <c r="D364" s="200">
        <f>IF(H364="ETAPA",0,IF(H364="SUBETAPA",OFFSET(D364,-1,0)+1,OFFSET(D364,-1,0)))</f>
        <v/>
      </c>
      <c r="E364" s="200">
        <f>IF(H364="Subetapa",0,IF(H364="serviço",OFFSET(E364,-1,0)+1,OFFSET(E364,-1,0)))</f>
        <v/>
      </c>
      <c r="F364" s="31" t="n"/>
      <c r="J364" s="61" t="n"/>
      <c r="K364" s="62" t="n"/>
      <c r="L364" s="63" t="n"/>
      <c r="M364" s="63" t="n"/>
      <c r="N364" s="68" t="n"/>
      <c r="O364" s="68" t="n"/>
      <c r="P364" s="68" t="n"/>
      <c r="Q364" s="68" t="n"/>
      <c r="R364" s="68" t="n"/>
    </row>
    <row r="365" ht="14.1" customFormat="1" customHeight="1" s="60">
      <c r="A365" s="199">
        <f>IF($H365="UNIDADE CONSTRUTIVA",OFFSET(A365,-1,0)+1,LARGE(A$3:A364,1))</f>
        <v/>
      </c>
      <c r="B365" s="199">
        <f>IF(H365="UNIDADE CONSTRUTIVA",0,IF(H365="CÉLULA CONSTRUTIVA",OFFSET(B365,-1,0)+1,OFFSET(B365,-1,0)))</f>
        <v/>
      </c>
      <c r="C365" s="199">
        <f>IF(H365="CÉLULA CONSTRUTIVA",0,IF(H365="ETAPA",OFFSET(C365,-1,0)+1,OFFSET(C365,-1,0)))</f>
        <v/>
      </c>
      <c r="D365" s="200">
        <f>IF(H365="ETAPA",0,IF(H365="SUBETAPA",OFFSET(D365,-1,0)+1,OFFSET(D365,-1,0)))</f>
        <v/>
      </c>
      <c r="E365" s="200">
        <f>IF(H365="Subetapa",0,IF(H365="serviço",OFFSET(E365,-1,0)+1,OFFSET(E365,-1,0)))</f>
        <v/>
      </c>
      <c r="F365" s="31" t="n"/>
      <c r="J365" s="61" t="n"/>
      <c r="K365" s="62" t="n"/>
      <c r="L365" s="63" t="n"/>
      <c r="M365" s="63" t="n"/>
      <c r="N365" s="68" t="n"/>
      <c r="O365" s="68" t="n"/>
      <c r="P365" s="68" t="n"/>
      <c r="Q365" s="68" t="n"/>
      <c r="R365" s="68" t="n"/>
    </row>
    <row r="366" ht="14.1" customFormat="1" customHeight="1" s="60">
      <c r="A366" s="199">
        <f>IF($H366="UNIDADE CONSTRUTIVA",OFFSET(A366,-1,0)+1,LARGE(A$3:A365,1))</f>
        <v/>
      </c>
      <c r="B366" s="199">
        <f>IF(H366="UNIDADE CONSTRUTIVA",0,IF(H366="CÉLULA CONSTRUTIVA",OFFSET(B366,-1,0)+1,OFFSET(B366,-1,0)))</f>
        <v/>
      </c>
      <c r="C366" s="199">
        <f>IF(H366="CÉLULA CONSTRUTIVA",0,IF(H366="ETAPA",OFFSET(C366,-1,0)+1,OFFSET(C366,-1,0)))</f>
        <v/>
      </c>
      <c r="D366" s="200">
        <f>IF(H366="ETAPA",0,IF(H366="SUBETAPA",OFFSET(D366,-1,0)+1,OFFSET(D366,-1,0)))</f>
        <v/>
      </c>
      <c r="E366" s="200">
        <f>IF(H366="Subetapa",0,IF(H366="serviço",OFFSET(E366,-1,0)+1,OFFSET(E366,-1,0)))</f>
        <v/>
      </c>
      <c r="F366" s="31" t="n"/>
      <c r="J366" s="61" t="n"/>
      <c r="K366" s="62" t="n"/>
      <c r="L366" s="63" t="n"/>
      <c r="M366" s="63" t="n"/>
      <c r="N366" s="68" t="n"/>
      <c r="O366" s="68" t="n"/>
      <c r="P366" s="68" t="n"/>
      <c r="Q366" s="68" t="n"/>
      <c r="R366" s="68" t="n"/>
    </row>
    <row r="367" ht="14.1" customFormat="1" customHeight="1" s="60">
      <c r="A367" s="199">
        <f>IF($H367="UNIDADE CONSTRUTIVA",OFFSET(A367,-1,0)+1,LARGE(A$3:A366,1))</f>
        <v/>
      </c>
      <c r="B367" s="199">
        <f>IF(H367="UNIDADE CONSTRUTIVA",0,IF(H367="CÉLULA CONSTRUTIVA",OFFSET(B367,-1,0)+1,OFFSET(B367,-1,0)))</f>
        <v/>
      </c>
      <c r="C367" s="199">
        <f>IF(H367="CÉLULA CONSTRUTIVA",0,IF(H367="ETAPA",OFFSET(C367,-1,0)+1,OFFSET(C367,-1,0)))</f>
        <v/>
      </c>
      <c r="D367" s="200">
        <f>IF(H367="ETAPA",0,IF(H367="SUBETAPA",OFFSET(D367,-1,0)+1,OFFSET(D367,-1,0)))</f>
        <v/>
      </c>
      <c r="E367" s="200">
        <f>IF(H367="Subetapa",0,IF(H367="serviço",OFFSET(E367,-1,0)+1,OFFSET(E367,-1,0)))</f>
        <v/>
      </c>
      <c r="F367" s="31" t="n"/>
      <c r="J367" s="61" t="n"/>
      <c r="K367" s="62" t="n"/>
      <c r="L367" s="63" t="n"/>
      <c r="M367" s="63" t="n"/>
      <c r="N367" s="68" t="n"/>
      <c r="O367" s="68" t="n"/>
      <c r="P367" s="68" t="n"/>
      <c r="Q367" s="68" t="n"/>
      <c r="R367" s="68" t="n"/>
    </row>
    <row r="368" ht="14.1" customFormat="1" customHeight="1" s="60">
      <c r="A368" s="199">
        <f>IF($H368="UNIDADE CONSTRUTIVA",OFFSET(A368,-1,0)+1,LARGE(A$3:A367,1))</f>
        <v/>
      </c>
      <c r="B368" s="199">
        <f>IF(H368="UNIDADE CONSTRUTIVA",0,IF(H368="CÉLULA CONSTRUTIVA",OFFSET(B368,-1,0)+1,OFFSET(B368,-1,0)))</f>
        <v/>
      </c>
      <c r="C368" s="199">
        <f>IF(H368="CÉLULA CONSTRUTIVA",0,IF(H368="ETAPA",OFFSET(C368,-1,0)+1,OFFSET(C368,-1,0)))</f>
        <v/>
      </c>
      <c r="D368" s="200">
        <f>IF(H368="ETAPA",0,IF(H368="SUBETAPA",OFFSET(D368,-1,0)+1,OFFSET(D368,-1,0)))</f>
        <v/>
      </c>
      <c r="E368" s="200">
        <f>IF(H368="Subetapa",0,IF(H368="serviço",OFFSET(E368,-1,0)+1,OFFSET(E368,-1,0)))</f>
        <v/>
      </c>
      <c r="F368" s="31" t="n"/>
      <c r="J368" s="61" t="n"/>
      <c r="K368" s="62" t="n"/>
      <c r="L368" s="63" t="n"/>
      <c r="M368" s="63" t="n"/>
      <c r="N368" s="68" t="n"/>
      <c r="O368" s="68" t="n"/>
      <c r="P368" s="68" t="n"/>
      <c r="Q368" s="68" t="n"/>
      <c r="R368" s="68" t="n"/>
    </row>
    <row r="369" ht="14.1" customFormat="1" customHeight="1" s="60">
      <c r="A369" s="199">
        <f>IF($H369="UNIDADE CONSTRUTIVA",OFFSET(A369,-1,0)+1,LARGE(A$3:A368,1))</f>
        <v/>
      </c>
      <c r="B369" s="199">
        <f>IF(H369="UNIDADE CONSTRUTIVA",0,IF(H369="CÉLULA CONSTRUTIVA",OFFSET(B369,-1,0)+1,OFFSET(B369,-1,0)))</f>
        <v/>
      </c>
      <c r="C369" s="199">
        <f>IF(H369="CÉLULA CONSTRUTIVA",0,IF(H369="ETAPA",OFFSET(C369,-1,0)+1,OFFSET(C369,-1,0)))</f>
        <v/>
      </c>
      <c r="D369" s="200">
        <f>IF(H369="ETAPA",0,IF(H369="SUBETAPA",OFFSET(D369,-1,0)+1,OFFSET(D369,-1,0)))</f>
        <v/>
      </c>
      <c r="E369" s="200">
        <f>IF(H369="Subetapa",0,IF(H369="serviço",OFFSET(E369,-1,0)+1,OFFSET(E369,-1,0)))</f>
        <v/>
      </c>
      <c r="F369" s="31" t="n"/>
      <c r="J369" s="61" t="n"/>
      <c r="K369" s="62" t="n"/>
      <c r="L369" s="63" t="n"/>
      <c r="M369" s="63" t="n"/>
      <c r="N369" s="68" t="n"/>
      <c r="O369" s="68" t="n"/>
      <c r="P369" s="68" t="n"/>
      <c r="Q369" s="68" t="n"/>
      <c r="R369" s="68" t="n"/>
    </row>
    <row r="370" ht="14.1" customFormat="1" customHeight="1" s="60">
      <c r="A370" s="199">
        <f>IF($H370="UNIDADE CONSTRUTIVA",OFFSET(A370,-1,0)+1,LARGE(A$3:A369,1))</f>
        <v/>
      </c>
      <c r="B370" s="199">
        <f>IF(H370="UNIDADE CONSTRUTIVA",0,IF(H370="CÉLULA CONSTRUTIVA",OFFSET(B370,-1,0)+1,OFFSET(B370,-1,0)))</f>
        <v/>
      </c>
      <c r="C370" s="199">
        <f>IF(H370="CÉLULA CONSTRUTIVA",0,IF(H370="ETAPA",OFFSET(C370,-1,0)+1,OFFSET(C370,-1,0)))</f>
        <v/>
      </c>
      <c r="D370" s="200">
        <f>IF(H370="ETAPA",0,IF(H370="SUBETAPA",OFFSET(D370,-1,0)+1,OFFSET(D370,-1,0)))</f>
        <v/>
      </c>
      <c r="E370" s="200">
        <f>IF(H370="Subetapa",0,IF(H370="serviço",OFFSET(E370,-1,0)+1,OFFSET(E370,-1,0)))</f>
        <v/>
      </c>
      <c r="F370" s="31" t="n"/>
      <c r="J370" s="61" t="n"/>
      <c r="K370" s="62" t="n"/>
      <c r="L370" s="63" t="n"/>
      <c r="M370" s="63" t="n"/>
      <c r="N370" s="68" t="n"/>
      <c r="O370" s="68" t="n"/>
      <c r="P370" s="68" t="n"/>
      <c r="Q370" s="68" t="n"/>
      <c r="R370" s="68" t="n"/>
    </row>
    <row r="371" ht="14.1" customFormat="1" customHeight="1" s="60">
      <c r="A371" s="199">
        <f>IF($H371="UNIDADE CONSTRUTIVA",OFFSET(A371,-1,0)+1,LARGE(A$3:A370,1))</f>
        <v/>
      </c>
      <c r="B371" s="199">
        <f>IF(H371="UNIDADE CONSTRUTIVA",0,IF(H371="CÉLULA CONSTRUTIVA",OFFSET(B371,-1,0)+1,OFFSET(B371,-1,0)))</f>
        <v/>
      </c>
      <c r="C371" s="199">
        <f>IF(H371="CÉLULA CONSTRUTIVA",0,IF(H371="ETAPA",OFFSET(C371,-1,0)+1,OFFSET(C371,-1,0)))</f>
        <v/>
      </c>
      <c r="D371" s="200">
        <f>IF(H371="ETAPA",0,IF(H371="SUBETAPA",OFFSET(D371,-1,0)+1,OFFSET(D371,-1,0)))</f>
        <v/>
      </c>
      <c r="E371" s="200">
        <f>IF(H371="Subetapa",0,IF(H371="serviço",OFFSET(E371,-1,0)+1,OFFSET(E371,-1,0)))</f>
        <v/>
      </c>
      <c r="F371" s="31" t="n"/>
      <c r="J371" s="61" t="n"/>
      <c r="K371" s="62" t="n"/>
      <c r="L371" s="63" t="n"/>
      <c r="M371" s="63" t="n"/>
      <c r="N371" s="68" t="n"/>
      <c r="O371" s="68" t="n"/>
      <c r="P371" s="68" t="n"/>
      <c r="Q371" s="68" t="n"/>
      <c r="R371" s="68" t="n"/>
    </row>
    <row r="372" ht="14.1" customFormat="1" customHeight="1" s="60">
      <c r="A372" s="199">
        <f>IF($H372="UNIDADE CONSTRUTIVA",OFFSET(A372,-1,0)+1,LARGE(A$3:A371,1))</f>
        <v/>
      </c>
      <c r="B372" s="199">
        <f>IF(H372="UNIDADE CONSTRUTIVA",0,IF(H372="CÉLULA CONSTRUTIVA",OFFSET(B372,-1,0)+1,OFFSET(B372,-1,0)))</f>
        <v/>
      </c>
      <c r="C372" s="199">
        <f>IF(H372="CÉLULA CONSTRUTIVA",0,IF(H372="ETAPA",OFFSET(C372,-1,0)+1,OFFSET(C372,-1,0)))</f>
        <v/>
      </c>
      <c r="D372" s="200">
        <f>IF(H372="ETAPA",0,IF(H372="SUBETAPA",OFFSET(D372,-1,0)+1,OFFSET(D372,-1,0)))</f>
        <v/>
      </c>
      <c r="E372" s="200">
        <f>IF(H372="Subetapa",0,IF(H372="serviço",OFFSET(E372,-1,0)+1,OFFSET(E372,-1,0)))</f>
        <v/>
      </c>
      <c r="F372" s="31" t="n"/>
      <c r="J372" s="61" t="n"/>
      <c r="K372" s="62" t="n"/>
      <c r="L372" s="63" t="n"/>
      <c r="M372" s="63" t="n"/>
      <c r="N372" s="68" t="n"/>
      <c r="O372" s="68" t="n"/>
      <c r="P372" s="68" t="n"/>
      <c r="Q372" s="68" t="n"/>
      <c r="R372" s="68" t="n"/>
    </row>
    <row r="373" ht="14.1" customFormat="1" customHeight="1" s="60">
      <c r="A373" s="199">
        <f>IF($H373="UNIDADE CONSTRUTIVA",OFFSET(A373,-1,0)+1,LARGE(A$3:A372,1))</f>
        <v/>
      </c>
      <c r="B373" s="199">
        <f>IF(H373="UNIDADE CONSTRUTIVA",0,IF(H373="CÉLULA CONSTRUTIVA",OFFSET(B373,-1,0)+1,OFFSET(B373,-1,0)))</f>
        <v/>
      </c>
      <c r="C373" s="199">
        <f>IF(H373="CÉLULA CONSTRUTIVA",0,IF(H373="ETAPA",OFFSET(C373,-1,0)+1,OFFSET(C373,-1,0)))</f>
        <v/>
      </c>
      <c r="D373" s="200">
        <f>IF(H373="ETAPA",0,IF(H373="SUBETAPA",OFFSET(D373,-1,0)+1,OFFSET(D373,-1,0)))</f>
        <v/>
      </c>
      <c r="E373" s="200">
        <f>IF(H373="Subetapa",0,IF(H373="serviço",OFFSET(E373,-1,0)+1,OFFSET(E373,-1,0)))</f>
        <v/>
      </c>
      <c r="F373" s="31" t="n"/>
      <c r="J373" s="61" t="n"/>
      <c r="K373" s="62" t="n"/>
      <c r="L373" s="63" t="n"/>
      <c r="M373" s="63" t="n"/>
      <c r="N373" s="68" t="n"/>
      <c r="O373" s="68" t="n"/>
      <c r="P373" s="68" t="n"/>
      <c r="Q373" s="68" t="n"/>
      <c r="R373" s="68" t="n"/>
    </row>
    <row r="374" ht="14.1" customFormat="1" customHeight="1" s="60">
      <c r="A374" s="199">
        <f>IF($H374="UNIDADE CONSTRUTIVA",OFFSET(A374,-1,0)+1,LARGE(A$3:A373,1))</f>
        <v/>
      </c>
      <c r="B374" s="199">
        <f>IF(H374="UNIDADE CONSTRUTIVA",0,IF(H374="CÉLULA CONSTRUTIVA",OFFSET(B374,-1,0)+1,OFFSET(B374,-1,0)))</f>
        <v/>
      </c>
      <c r="C374" s="199">
        <f>IF(H374="CÉLULA CONSTRUTIVA",0,IF(H374="ETAPA",OFFSET(C374,-1,0)+1,OFFSET(C374,-1,0)))</f>
        <v/>
      </c>
      <c r="D374" s="200">
        <f>IF(H374="ETAPA",0,IF(H374="SUBETAPA",OFFSET(D374,-1,0)+1,OFFSET(D374,-1,0)))</f>
        <v/>
      </c>
      <c r="E374" s="200">
        <f>IF(H374="Subetapa",0,IF(H374="serviço",OFFSET(E374,-1,0)+1,OFFSET(E374,-1,0)))</f>
        <v/>
      </c>
      <c r="F374" s="31" t="n"/>
      <c r="J374" s="61" t="n"/>
      <c r="K374" s="62" t="n"/>
      <c r="L374" s="63" t="n"/>
      <c r="M374" s="63" t="n"/>
      <c r="N374" s="68" t="n"/>
      <c r="O374" s="68" t="n"/>
      <c r="P374" s="68" t="n"/>
      <c r="Q374" s="68" t="n"/>
      <c r="R374" s="68" t="n"/>
    </row>
    <row r="375" ht="14.1" customFormat="1" customHeight="1" s="60">
      <c r="A375" s="199">
        <f>IF($H375="UNIDADE CONSTRUTIVA",OFFSET(A375,-1,0)+1,LARGE(A$3:A374,1))</f>
        <v/>
      </c>
      <c r="B375" s="199">
        <f>IF(H375="UNIDADE CONSTRUTIVA",0,IF(H375="CÉLULA CONSTRUTIVA",OFFSET(B375,-1,0)+1,OFFSET(B375,-1,0)))</f>
        <v/>
      </c>
      <c r="C375" s="199">
        <f>IF(H375="CÉLULA CONSTRUTIVA",0,IF(H375="ETAPA",OFFSET(C375,-1,0)+1,OFFSET(C375,-1,0)))</f>
        <v/>
      </c>
      <c r="D375" s="200">
        <f>IF(H375="ETAPA",0,IF(H375="SUBETAPA",OFFSET(D375,-1,0)+1,OFFSET(D375,-1,0)))</f>
        <v/>
      </c>
      <c r="E375" s="200">
        <f>IF(H375="Subetapa",0,IF(H375="serviço",OFFSET(E375,-1,0)+1,OFFSET(E375,-1,0)))</f>
        <v/>
      </c>
      <c r="F375" s="31" t="n"/>
      <c r="J375" s="61" t="n"/>
      <c r="K375" s="62" t="n"/>
      <c r="L375" s="63" t="n"/>
      <c r="M375" s="63" t="n"/>
      <c r="N375" s="68" t="n"/>
      <c r="O375" s="68" t="n"/>
      <c r="P375" s="68" t="n"/>
      <c r="Q375" s="68" t="n"/>
      <c r="R375" s="68" t="n"/>
    </row>
    <row r="376" ht="14.1" customFormat="1" customHeight="1" s="60">
      <c r="A376" s="199">
        <f>IF($H376="UNIDADE CONSTRUTIVA",OFFSET(A376,-1,0)+1,LARGE(A$3:A375,1))</f>
        <v/>
      </c>
      <c r="B376" s="199">
        <f>IF(H376="UNIDADE CONSTRUTIVA",0,IF(H376="CÉLULA CONSTRUTIVA",OFFSET(B376,-1,0)+1,OFFSET(B376,-1,0)))</f>
        <v/>
      </c>
      <c r="C376" s="199">
        <f>IF(H376="CÉLULA CONSTRUTIVA",0,IF(H376="ETAPA",OFFSET(C376,-1,0)+1,OFFSET(C376,-1,0)))</f>
        <v/>
      </c>
      <c r="D376" s="200">
        <f>IF(H376="ETAPA",0,IF(H376="SUBETAPA",OFFSET(D376,-1,0)+1,OFFSET(D376,-1,0)))</f>
        <v/>
      </c>
      <c r="E376" s="200">
        <f>IF(H376="Subetapa",0,IF(H376="serviço",OFFSET(E376,-1,0)+1,OFFSET(E376,-1,0)))</f>
        <v/>
      </c>
      <c r="F376" s="31" t="n"/>
      <c r="J376" s="61" t="n"/>
      <c r="K376" s="62" t="n"/>
      <c r="L376" s="63" t="n"/>
      <c r="M376" s="63" t="n"/>
      <c r="N376" s="68" t="n"/>
      <c r="O376" s="68" t="n"/>
      <c r="P376" s="68" t="n"/>
      <c r="Q376" s="68" t="n"/>
      <c r="R376" s="68" t="n"/>
    </row>
    <row r="377" ht="14.1" customFormat="1" customHeight="1" s="60">
      <c r="A377" s="199">
        <f>IF($H377="UNIDADE CONSTRUTIVA",OFFSET(A377,-1,0)+1,LARGE(A$3:A376,1))</f>
        <v/>
      </c>
      <c r="B377" s="199">
        <f>IF(H377="UNIDADE CONSTRUTIVA",0,IF(H377="CÉLULA CONSTRUTIVA",OFFSET(B377,-1,0)+1,OFFSET(B377,-1,0)))</f>
        <v/>
      </c>
      <c r="C377" s="199">
        <f>IF(H377="CÉLULA CONSTRUTIVA",0,IF(H377="ETAPA",OFFSET(C377,-1,0)+1,OFFSET(C377,-1,0)))</f>
        <v/>
      </c>
      <c r="D377" s="200">
        <f>IF(H377="ETAPA",0,IF(H377="SUBETAPA",OFFSET(D377,-1,0)+1,OFFSET(D377,-1,0)))</f>
        <v/>
      </c>
      <c r="E377" s="200">
        <f>IF(H377="Subetapa",0,IF(H377="serviço",OFFSET(E377,-1,0)+1,OFFSET(E377,-1,0)))</f>
        <v/>
      </c>
      <c r="F377" s="31" t="n"/>
      <c r="J377" s="61" t="n"/>
      <c r="K377" s="62" t="n"/>
      <c r="L377" s="63" t="n"/>
      <c r="M377" s="63" t="n"/>
      <c r="N377" s="68" t="n"/>
      <c r="O377" s="68" t="n"/>
      <c r="P377" s="68" t="n"/>
      <c r="Q377" s="68" t="n"/>
      <c r="R377" s="68" t="n"/>
    </row>
    <row r="378" ht="14.1" customFormat="1" customHeight="1" s="60">
      <c r="A378" s="199">
        <f>IF($H378="UNIDADE CONSTRUTIVA",OFFSET(A378,-1,0)+1,LARGE(A$3:A377,1))</f>
        <v/>
      </c>
      <c r="B378" s="199">
        <f>IF(H378="UNIDADE CONSTRUTIVA",0,IF(H378="CÉLULA CONSTRUTIVA",OFFSET(B378,-1,0)+1,OFFSET(B378,-1,0)))</f>
        <v/>
      </c>
      <c r="C378" s="199">
        <f>IF(H378="CÉLULA CONSTRUTIVA",0,IF(H378="ETAPA",OFFSET(C378,-1,0)+1,OFFSET(C378,-1,0)))</f>
        <v/>
      </c>
      <c r="D378" s="200">
        <f>IF(H378="ETAPA",0,IF(H378="SUBETAPA",OFFSET(D378,-1,0)+1,OFFSET(D378,-1,0)))</f>
        <v/>
      </c>
      <c r="E378" s="200">
        <f>IF(H378="Subetapa",0,IF(H378="serviço",OFFSET(E378,-1,0)+1,OFFSET(E378,-1,0)))</f>
        <v/>
      </c>
      <c r="F378" s="31" t="n"/>
      <c r="J378" s="61" t="n"/>
      <c r="K378" s="62" t="n"/>
      <c r="L378" s="63" t="n"/>
      <c r="M378" s="63" t="n"/>
      <c r="N378" s="68" t="n"/>
      <c r="O378" s="68" t="n"/>
      <c r="P378" s="68" t="n"/>
      <c r="Q378" s="68" t="n"/>
      <c r="R378" s="68" t="n"/>
    </row>
    <row r="379" ht="14.1" customFormat="1" customHeight="1" s="60">
      <c r="A379" s="199">
        <f>IF($H379="UNIDADE CONSTRUTIVA",OFFSET(A379,-1,0)+1,LARGE(A$3:A378,1))</f>
        <v/>
      </c>
      <c r="B379" s="199">
        <f>IF(H379="UNIDADE CONSTRUTIVA",0,IF(H379="CÉLULA CONSTRUTIVA",OFFSET(B379,-1,0)+1,OFFSET(B379,-1,0)))</f>
        <v/>
      </c>
      <c r="C379" s="199">
        <f>IF(H379="CÉLULA CONSTRUTIVA",0,IF(H379="ETAPA",OFFSET(C379,-1,0)+1,OFFSET(C379,-1,0)))</f>
        <v/>
      </c>
      <c r="D379" s="200">
        <f>IF(H379="ETAPA",0,IF(H379="SUBETAPA",OFFSET(D379,-1,0)+1,OFFSET(D379,-1,0)))</f>
        <v/>
      </c>
      <c r="E379" s="200">
        <f>IF(H379="Subetapa",0,IF(H379="serviço",OFFSET(E379,-1,0)+1,OFFSET(E379,-1,0)))</f>
        <v/>
      </c>
      <c r="F379" s="31" t="n"/>
      <c r="J379" s="61" t="n"/>
      <c r="K379" s="62" t="n"/>
      <c r="L379" s="63" t="n"/>
      <c r="M379" s="63" t="n"/>
      <c r="N379" s="68" t="n"/>
      <c r="O379" s="68" t="n"/>
      <c r="P379" s="68" t="n"/>
      <c r="Q379" s="68" t="n"/>
      <c r="R379" s="68" t="n"/>
    </row>
    <row r="380" ht="14.1" customFormat="1" customHeight="1" s="60">
      <c r="A380" s="199">
        <f>IF($H380="UNIDADE CONSTRUTIVA",OFFSET(A380,-1,0)+1,LARGE(A$3:A379,1))</f>
        <v/>
      </c>
      <c r="B380" s="199">
        <f>IF(H380="UNIDADE CONSTRUTIVA",0,IF(H380="CÉLULA CONSTRUTIVA",OFFSET(B380,-1,0)+1,OFFSET(B380,-1,0)))</f>
        <v/>
      </c>
      <c r="C380" s="199">
        <f>IF(H380="CÉLULA CONSTRUTIVA",0,IF(H380="ETAPA",OFFSET(C380,-1,0)+1,OFFSET(C380,-1,0)))</f>
        <v/>
      </c>
      <c r="D380" s="200">
        <f>IF(H380="ETAPA",0,IF(H380="SUBETAPA",OFFSET(D380,-1,0)+1,OFFSET(D380,-1,0)))</f>
        <v/>
      </c>
      <c r="E380" s="200">
        <f>IF(H380="Subetapa",0,IF(H380="serviço",OFFSET(E380,-1,0)+1,OFFSET(E380,-1,0)))</f>
        <v/>
      </c>
      <c r="F380" s="31" t="n"/>
      <c r="J380" s="61" t="n"/>
      <c r="K380" s="62" t="n"/>
      <c r="L380" s="63" t="n"/>
      <c r="M380" s="63" t="n"/>
      <c r="N380" s="68" t="n"/>
      <c r="O380" s="68" t="n"/>
      <c r="P380" s="68" t="n"/>
      <c r="Q380" s="68" t="n"/>
      <c r="R380" s="68" t="n"/>
    </row>
    <row r="381" ht="14.1" customFormat="1" customHeight="1" s="60">
      <c r="A381" s="199">
        <f>IF($H381="UNIDADE CONSTRUTIVA",OFFSET(A381,-1,0)+1,LARGE(A$3:A380,1))</f>
        <v/>
      </c>
      <c r="B381" s="199">
        <f>IF(H381="UNIDADE CONSTRUTIVA",0,IF(H381="CÉLULA CONSTRUTIVA",OFFSET(B381,-1,0)+1,OFFSET(B381,-1,0)))</f>
        <v/>
      </c>
      <c r="C381" s="199">
        <f>IF(H381="CÉLULA CONSTRUTIVA",0,IF(H381="ETAPA",OFFSET(C381,-1,0)+1,OFFSET(C381,-1,0)))</f>
        <v/>
      </c>
      <c r="D381" s="200">
        <f>IF(H381="ETAPA",0,IF(H381="SUBETAPA",OFFSET(D381,-1,0)+1,OFFSET(D381,-1,0)))</f>
        <v/>
      </c>
      <c r="E381" s="200">
        <f>IF(H381="Subetapa",0,IF(H381="serviço",OFFSET(E381,-1,0)+1,OFFSET(E381,-1,0)))</f>
        <v/>
      </c>
      <c r="F381" s="31" t="n"/>
      <c r="J381" s="61" t="n"/>
      <c r="K381" s="62" t="n"/>
      <c r="L381" s="63" t="n"/>
      <c r="M381" s="63" t="n"/>
      <c r="N381" s="68" t="n"/>
      <c r="O381" s="68" t="n"/>
      <c r="P381" s="68" t="n"/>
      <c r="Q381" s="68" t="n"/>
      <c r="R381" s="68" t="n"/>
    </row>
    <row r="382" ht="14.1" customFormat="1" customHeight="1" s="60">
      <c r="A382" s="199">
        <f>IF($H382="UNIDADE CONSTRUTIVA",OFFSET(A382,-1,0)+1,LARGE(A$3:A381,1))</f>
        <v/>
      </c>
      <c r="B382" s="199">
        <f>IF(H382="UNIDADE CONSTRUTIVA",0,IF(H382="CÉLULA CONSTRUTIVA",OFFSET(B382,-1,0)+1,OFFSET(B382,-1,0)))</f>
        <v/>
      </c>
      <c r="C382" s="199">
        <f>IF(H382="CÉLULA CONSTRUTIVA",0,IF(H382="ETAPA",OFFSET(C382,-1,0)+1,OFFSET(C382,-1,0)))</f>
        <v/>
      </c>
      <c r="D382" s="200">
        <f>IF(H382="ETAPA",0,IF(H382="SUBETAPA",OFFSET(D382,-1,0)+1,OFFSET(D382,-1,0)))</f>
        <v/>
      </c>
      <c r="E382" s="200">
        <f>IF(H382="Subetapa",0,IF(H382="serviço",OFFSET(E382,-1,0)+1,OFFSET(E382,-1,0)))</f>
        <v/>
      </c>
      <c r="F382" s="31" t="n"/>
      <c r="J382" s="61" t="n"/>
      <c r="K382" s="62" t="n"/>
      <c r="L382" s="63" t="n"/>
      <c r="M382" s="63" t="n"/>
      <c r="N382" s="68" t="n"/>
      <c r="O382" s="68" t="n"/>
      <c r="P382" s="68" t="n"/>
      <c r="Q382" s="68" t="n"/>
      <c r="R382" s="68" t="n"/>
    </row>
    <row r="383" ht="14.1" customFormat="1" customHeight="1" s="60">
      <c r="A383" s="199">
        <f>IF($H383="UNIDADE CONSTRUTIVA",OFFSET(A383,-1,0)+1,LARGE(A$3:A382,1))</f>
        <v/>
      </c>
      <c r="B383" s="199">
        <f>IF(H383="UNIDADE CONSTRUTIVA",0,IF(H383="CÉLULA CONSTRUTIVA",OFFSET(B383,-1,0)+1,OFFSET(B383,-1,0)))</f>
        <v/>
      </c>
      <c r="C383" s="199">
        <f>IF(H383="CÉLULA CONSTRUTIVA",0,IF(H383="ETAPA",OFFSET(C383,-1,0)+1,OFFSET(C383,-1,0)))</f>
        <v/>
      </c>
      <c r="D383" s="200">
        <f>IF(H383="ETAPA",0,IF(H383="SUBETAPA",OFFSET(D383,-1,0)+1,OFFSET(D383,-1,0)))</f>
        <v/>
      </c>
      <c r="E383" s="200">
        <f>IF(H383="Subetapa",0,IF(H383="serviço",OFFSET(E383,-1,0)+1,OFFSET(E383,-1,0)))</f>
        <v/>
      </c>
      <c r="F383" s="31" t="n"/>
      <c r="J383" s="61" t="n"/>
      <c r="K383" s="62" t="n"/>
      <c r="L383" s="63" t="n"/>
      <c r="M383" s="63" t="n"/>
      <c r="N383" s="68" t="n"/>
      <c r="O383" s="68" t="n"/>
      <c r="P383" s="68" t="n"/>
      <c r="Q383" s="68" t="n"/>
      <c r="R383" s="68" t="n"/>
    </row>
    <row r="384" ht="14.1" customFormat="1" customHeight="1" s="60">
      <c r="A384" s="199">
        <f>IF($H384="UNIDADE CONSTRUTIVA",OFFSET(A384,-1,0)+1,LARGE(A$3:A383,1))</f>
        <v/>
      </c>
      <c r="B384" s="199">
        <f>IF(H384="UNIDADE CONSTRUTIVA",0,IF(H384="CÉLULA CONSTRUTIVA",OFFSET(B384,-1,0)+1,OFFSET(B384,-1,0)))</f>
        <v/>
      </c>
      <c r="C384" s="199">
        <f>IF(H384="CÉLULA CONSTRUTIVA",0,IF(H384="ETAPA",OFFSET(C384,-1,0)+1,OFFSET(C384,-1,0)))</f>
        <v/>
      </c>
      <c r="D384" s="200">
        <f>IF(H384="ETAPA",0,IF(H384="SUBETAPA",OFFSET(D384,-1,0)+1,OFFSET(D384,-1,0)))</f>
        <v/>
      </c>
      <c r="E384" s="200">
        <f>IF(H384="Subetapa",0,IF(H384="serviço",OFFSET(E384,-1,0)+1,OFFSET(E384,-1,0)))</f>
        <v/>
      </c>
      <c r="F384" s="31" t="n"/>
      <c r="J384" s="61" t="n"/>
      <c r="K384" s="62" t="n"/>
      <c r="L384" s="63" t="n"/>
      <c r="M384" s="63" t="n"/>
      <c r="N384" s="68" t="n"/>
      <c r="O384" s="68" t="n"/>
      <c r="P384" s="68" t="n"/>
      <c r="Q384" s="68" t="n"/>
      <c r="R384" s="68" t="n"/>
    </row>
    <row r="385" ht="14.1" customFormat="1" customHeight="1" s="60">
      <c r="A385" s="199">
        <f>IF($H385="UNIDADE CONSTRUTIVA",OFFSET(A385,-1,0)+1,LARGE(A$3:A384,1))</f>
        <v/>
      </c>
      <c r="B385" s="199">
        <f>IF(H385="UNIDADE CONSTRUTIVA",0,IF(H385="CÉLULA CONSTRUTIVA",OFFSET(B385,-1,0)+1,OFFSET(B385,-1,0)))</f>
        <v/>
      </c>
      <c r="C385" s="199">
        <f>IF(H385="CÉLULA CONSTRUTIVA",0,IF(H385="ETAPA",OFFSET(C385,-1,0)+1,OFFSET(C385,-1,0)))</f>
        <v/>
      </c>
      <c r="D385" s="200">
        <f>IF(H385="ETAPA",0,IF(H385="SUBETAPA",OFFSET(D385,-1,0)+1,OFFSET(D385,-1,0)))</f>
        <v/>
      </c>
      <c r="E385" s="200">
        <f>IF(H385="Subetapa",0,IF(H385="serviço",OFFSET(E385,-1,0)+1,OFFSET(E385,-1,0)))</f>
        <v/>
      </c>
      <c r="F385" s="31" t="n"/>
      <c r="J385" s="61" t="n"/>
      <c r="K385" s="62" t="n"/>
      <c r="L385" s="63" t="n"/>
      <c r="M385" s="63" t="n"/>
      <c r="N385" s="68" t="n"/>
      <c r="O385" s="68" t="n"/>
      <c r="P385" s="68" t="n"/>
      <c r="Q385" s="68" t="n"/>
      <c r="R385" s="68" t="n"/>
    </row>
    <row r="386" ht="14.1" customFormat="1" customHeight="1" s="60">
      <c r="A386" s="199">
        <f>IF($H386="UNIDADE CONSTRUTIVA",OFFSET(A386,-1,0)+1,LARGE(A$3:A385,1))</f>
        <v/>
      </c>
      <c r="B386" s="199">
        <f>IF(H386="UNIDADE CONSTRUTIVA",0,IF(H386="CÉLULA CONSTRUTIVA",OFFSET(B386,-1,0)+1,OFFSET(B386,-1,0)))</f>
        <v/>
      </c>
      <c r="C386" s="199">
        <f>IF(H386="CÉLULA CONSTRUTIVA",0,IF(H386="ETAPA",OFFSET(C386,-1,0)+1,OFFSET(C386,-1,0)))</f>
        <v/>
      </c>
      <c r="D386" s="200">
        <f>IF(H386="ETAPA",0,IF(H386="SUBETAPA",OFFSET(D386,-1,0)+1,OFFSET(D386,-1,0)))</f>
        <v/>
      </c>
      <c r="E386" s="200">
        <f>IF(H386="Subetapa",0,IF(H386="serviço",OFFSET(E386,-1,0)+1,OFFSET(E386,-1,0)))</f>
        <v/>
      </c>
      <c r="F386" s="31" t="n"/>
      <c r="J386" s="61" t="n"/>
      <c r="K386" s="62" t="n"/>
      <c r="L386" s="63" t="n"/>
      <c r="M386" s="63" t="n"/>
      <c r="N386" s="68" t="n"/>
      <c r="O386" s="68" t="n"/>
      <c r="P386" s="68" t="n"/>
      <c r="Q386" s="68" t="n"/>
      <c r="R386" s="68" t="n"/>
    </row>
    <row r="387" ht="14.1" customFormat="1" customHeight="1" s="60">
      <c r="A387" s="199">
        <f>IF($H387="UNIDADE CONSTRUTIVA",OFFSET(A387,-1,0)+1,LARGE(A$3:A386,1))</f>
        <v/>
      </c>
      <c r="B387" s="199">
        <f>IF(H387="UNIDADE CONSTRUTIVA",0,IF(H387="CÉLULA CONSTRUTIVA",OFFSET(B387,-1,0)+1,OFFSET(B387,-1,0)))</f>
        <v/>
      </c>
      <c r="C387" s="199">
        <f>IF(H387="CÉLULA CONSTRUTIVA",0,IF(H387="ETAPA",OFFSET(C387,-1,0)+1,OFFSET(C387,-1,0)))</f>
        <v/>
      </c>
      <c r="D387" s="200">
        <f>IF(H387="ETAPA",0,IF(H387="SUBETAPA",OFFSET(D387,-1,0)+1,OFFSET(D387,-1,0)))</f>
        <v/>
      </c>
      <c r="E387" s="200">
        <f>IF(H387="Subetapa",0,IF(H387="serviço",OFFSET(E387,-1,0)+1,OFFSET(E387,-1,0)))</f>
        <v/>
      </c>
      <c r="F387" s="31" t="n"/>
      <c r="J387" s="61" t="n"/>
      <c r="K387" s="62" t="n"/>
      <c r="L387" s="63" t="n"/>
      <c r="M387" s="63" t="n"/>
      <c r="N387" s="68" t="n"/>
      <c r="O387" s="68" t="n"/>
      <c r="P387" s="68" t="n"/>
      <c r="Q387" s="68" t="n"/>
      <c r="R387" s="68" t="n"/>
    </row>
    <row r="388" ht="14.1" customFormat="1" customHeight="1" s="60">
      <c r="A388" s="199">
        <f>IF($H388="UNIDADE CONSTRUTIVA",OFFSET(A388,-1,0)+1,LARGE(A$3:A387,1))</f>
        <v/>
      </c>
      <c r="B388" s="199">
        <f>IF(H388="UNIDADE CONSTRUTIVA",0,IF(H388="CÉLULA CONSTRUTIVA",OFFSET(B388,-1,0)+1,OFFSET(B388,-1,0)))</f>
        <v/>
      </c>
      <c r="C388" s="199">
        <f>IF(H388="CÉLULA CONSTRUTIVA",0,IF(H388="ETAPA",OFFSET(C388,-1,0)+1,OFFSET(C388,-1,0)))</f>
        <v/>
      </c>
      <c r="D388" s="200">
        <f>IF(H388="ETAPA",0,IF(H388="SUBETAPA",OFFSET(D388,-1,0)+1,OFFSET(D388,-1,0)))</f>
        <v/>
      </c>
      <c r="E388" s="200">
        <f>IF(H388="Subetapa",0,IF(H388="serviço",OFFSET(E388,-1,0)+1,OFFSET(E388,-1,0)))</f>
        <v/>
      </c>
      <c r="F388" s="31" t="n"/>
      <c r="J388" s="61" t="n"/>
      <c r="K388" s="62" t="n"/>
      <c r="L388" s="63" t="n"/>
      <c r="M388" s="63" t="n"/>
      <c r="N388" s="68" t="n"/>
      <c r="O388" s="68" t="n"/>
      <c r="P388" s="68" t="n"/>
      <c r="Q388" s="68" t="n"/>
      <c r="R388" s="68" t="n"/>
    </row>
    <row r="389" ht="14.1" customFormat="1" customHeight="1" s="60">
      <c r="A389" s="199">
        <f>IF($H389="UNIDADE CONSTRUTIVA",OFFSET(A389,-1,0)+1,LARGE(A$3:A388,1))</f>
        <v/>
      </c>
      <c r="B389" s="199">
        <f>IF(H389="UNIDADE CONSTRUTIVA",0,IF(H389="CÉLULA CONSTRUTIVA",OFFSET(B389,-1,0)+1,OFFSET(B389,-1,0)))</f>
        <v/>
      </c>
      <c r="C389" s="199">
        <f>IF(H389="CÉLULA CONSTRUTIVA",0,IF(H389="ETAPA",OFFSET(C389,-1,0)+1,OFFSET(C389,-1,0)))</f>
        <v/>
      </c>
      <c r="D389" s="200">
        <f>IF(H389="ETAPA",0,IF(H389="SUBETAPA",OFFSET(D389,-1,0)+1,OFFSET(D389,-1,0)))</f>
        <v/>
      </c>
      <c r="E389" s="200">
        <f>IF(H389="Subetapa",0,IF(H389="serviço",OFFSET(E389,-1,0)+1,OFFSET(E389,-1,0)))</f>
        <v/>
      </c>
      <c r="F389" s="31" t="n"/>
      <c r="J389" s="61" t="n"/>
      <c r="K389" s="62" t="n"/>
      <c r="L389" s="63" t="n"/>
      <c r="M389" s="63" t="n"/>
      <c r="N389" s="68" t="n"/>
      <c r="O389" s="68" t="n"/>
      <c r="P389" s="68" t="n"/>
      <c r="Q389" s="68" t="n"/>
      <c r="R389" s="68" t="n"/>
    </row>
    <row r="390" ht="14.1" customFormat="1" customHeight="1" s="60">
      <c r="A390" s="199">
        <f>IF($H390="UNIDADE CONSTRUTIVA",OFFSET(A390,-1,0)+1,LARGE(A$3:A389,1))</f>
        <v/>
      </c>
      <c r="B390" s="199">
        <f>IF(H390="UNIDADE CONSTRUTIVA",0,IF(H390="CÉLULA CONSTRUTIVA",OFFSET(B390,-1,0)+1,OFFSET(B390,-1,0)))</f>
        <v/>
      </c>
      <c r="C390" s="199">
        <f>IF(H390="CÉLULA CONSTRUTIVA",0,IF(H390="ETAPA",OFFSET(C390,-1,0)+1,OFFSET(C390,-1,0)))</f>
        <v/>
      </c>
      <c r="D390" s="200">
        <f>IF(H390="ETAPA",0,IF(H390="SUBETAPA",OFFSET(D390,-1,0)+1,OFFSET(D390,-1,0)))</f>
        <v/>
      </c>
      <c r="E390" s="200">
        <f>IF(H390="Subetapa",0,IF(H390="serviço",OFFSET(E390,-1,0)+1,OFFSET(E390,-1,0)))</f>
        <v/>
      </c>
      <c r="F390" s="31" t="n"/>
      <c r="J390" s="61" t="n"/>
      <c r="K390" s="62" t="n"/>
      <c r="L390" s="63" t="n"/>
      <c r="M390" s="63" t="n"/>
      <c r="N390" s="68" t="n"/>
      <c r="O390" s="68" t="n"/>
      <c r="P390" s="68" t="n"/>
      <c r="Q390" s="68" t="n"/>
      <c r="R390" s="68" t="n"/>
    </row>
    <row r="391" ht="14.1" customFormat="1" customHeight="1" s="60">
      <c r="A391" s="199">
        <f>IF($H391="UNIDADE CONSTRUTIVA",OFFSET(A391,-1,0)+1,LARGE(A$3:A390,1))</f>
        <v/>
      </c>
      <c r="B391" s="199">
        <f>IF(H391="UNIDADE CONSTRUTIVA",0,IF(H391="CÉLULA CONSTRUTIVA",OFFSET(B391,-1,0)+1,OFFSET(B391,-1,0)))</f>
        <v/>
      </c>
      <c r="C391" s="199">
        <f>IF(H391="CÉLULA CONSTRUTIVA",0,IF(H391="ETAPA",OFFSET(C391,-1,0)+1,OFFSET(C391,-1,0)))</f>
        <v/>
      </c>
      <c r="D391" s="200">
        <f>IF(H391="ETAPA",0,IF(H391="SUBETAPA",OFFSET(D391,-1,0)+1,OFFSET(D391,-1,0)))</f>
        <v/>
      </c>
      <c r="E391" s="200">
        <f>IF(H391="Subetapa",0,IF(H391="serviço",OFFSET(E391,-1,0)+1,OFFSET(E391,-1,0)))</f>
        <v/>
      </c>
      <c r="F391" s="31" t="n"/>
      <c r="J391" s="61" t="n"/>
      <c r="K391" s="62" t="n"/>
      <c r="L391" s="63" t="n"/>
      <c r="M391" s="63" t="n"/>
      <c r="N391" s="68" t="n"/>
      <c r="O391" s="68" t="n"/>
      <c r="P391" s="68" t="n"/>
      <c r="Q391" s="68" t="n"/>
      <c r="R391" s="68" t="n"/>
    </row>
    <row r="392" ht="14.1" customFormat="1" customHeight="1" s="60">
      <c r="A392" s="199">
        <f>IF($H392="UNIDADE CONSTRUTIVA",OFFSET(A392,-1,0)+1,LARGE(A$3:A391,1))</f>
        <v/>
      </c>
      <c r="B392" s="199">
        <f>IF(H392="UNIDADE CONSTRUTIVA",0,IF(H392="CÉLULA CONSTRUTIVA",OFFSET(B392,-1,0)+1,OFFSET(B392,-1,0)))</f>
        <v/>
      </c>
      <c r="C392" s="199">
        <f>IF(H392="CÉLULA CONSTRUTIVA",0,IF(H392="ETAPA",OFFSET(C392,-1,0)+1,OFFSET(C392,-1,0)))</f>
        <v/>
      </c>
      <c r="D392" s="200">
        <f>IF(H392="ETAPA",0,IF(H392="SUBETAPA",OFFSET(D392,-1,0)+1,OFFSET(D392,-1,0)))</f>
        <v/>
      </c>
      <c r="E392" s="200">
        <f>IF(H392="Subetapa",0,IF(H392="serviço",OFFSET(E392,-1,0)+1,OFFSET(E392,-1,0)))</f>
        <v/>
      </c>
      <c r="F392" s="31" t="n"/>
      <c r="J392" s="61" t="n"/>
      <c r="K392" s="62" t="n"/>
      <c r="L392" s="63" t="n"/>
      <c r="M392" s="63" t="n"/>
      <c r="N392" s="68" t="n"/>
      <c r="O392" s="68" t="n"/>
      <c r="P392" s="68" t="n"/>
      <c r="Q392" s="68" t="n"/>
      <c r="R392" s="68" t="n"/>
    </row>
    <row r="393" ht="14.1" customFormat="1" customHeight="1" s="60">
      <c r="A393" s="199">
        <f>IF($H393="UNIDADE CONSTRUTIVA",OFFSET(A393,-1,0)+1,LARGE(A$3:A392,1))</f>
        <v/>
      </c>
      <c r="B393" s="199">
        <f>IF(H393="UNIDADE CONSTRUTIVA",0,IF(H393="CÉLULA CONSTRUTIVA",OFFSET(B393,-1,0)+1,OFFSET(B393,-1,0)))</f>
        <v/>
      </c>
      <c r="C393" s="199">
        <f>IF(H393="CÉLULA CONSTRUTIVA",0,IF(H393="ETAPA",OFFSET(C393,-1,0)+1,OFFSET(C393,-1,0)))</f>
        <v/>
      </c>
      <c r="D393" s="200">
        <f>IF(H393="ETAPA",0,IF(H393="SUBETAPA",OFFSET(D393,-1,0)+1,OFFSET(D393,-1,0)))</f>
        <v/>
      </c>
      <c r="E393" s="200">
        <f>IF(H393="Subetapa",0,IF(H393="serviço",OFFSET(E393,-1,0)+1,OFFSET(E393,-1,0)))</f>
        <v/>
      </c>
      <c r="F393" s="31" t="n"/>
      <c r="J393" s="61" t="n"/>
      <c r="K393" s="62" t="n"/>
      <c r="L393" s="63" t="n"/>
      <c r="M393" s="63" t="n"/>
      <c r="N393" s="68" t="n"/>
      <c r="O393" s="68" t="n"/>
      <c r="P393" s="68" t="n"/>
      <c r="Q393" s="68" t="n"/>
      <c r="R393" s="68" t="n"/>
    </row>
    <row r="394" ht="14.1" customFormat="1" customHeight="1" s="60">
      <c r="A394" s="199">
        <f>IF($H394="UNIDADE CONSTRUTIVA",OFFSET(A394,-1,0)+1,LARGE(A$3:A393,1))</f>
        <v/>
      </c>
      <c r="B394" s="199">
        <f>IF(H394="UNIDADE CONSTRUTIVA",0,IF(H394="CÉLULA CONSTRUTIVA",OFFSET(B394,-1,0)+1,OFFSET(B394,-1,0)))</f>
        <v/>
      </c>
      <c r="C394" s="199">
        <f>IF(H394="CÉLULA CONSTRUTIVA",0,IF(H394="ETAPA",OFFSET(C394,-1,0)+1,OFFSET(C394,-1,0)))</f>
        <v/>
      </c>
      <c r="D394" s="200">
        <f>IF(H394="ETAPA",0,IF(H394="SUBETAPA",OFFSET(D394,-1,0)+1,OFFSET(D394,-1,0)))</f>
        <v/>
      </c>
      <c r="E394" s="200">
        <f>IF(H394="Subetapa",0,IF(H394="serviço",OFFSET(E394,-1,0)+1,OFFSET(E394,-1,0)))</f>
        <v/>
      </c>
      <c r="F394" s="31" t="n"/>
      <c r="J394" s="61" t="n"/>
      <c r="K394" s="62" t="n"/>
      <c r="L394" s="63" t="n"/>
      <c r="M394" s="63" t="n"/>
      <c r="N394" s="68" t="n"/>
      <c r="O394" s="68" t="n"/>
      <c r="P394" s="68" t="n"/>
      <c r="Q394" s="68" t="n"/>
      <c r="R394" s="68" t="n"/>
    </row>
    <row r="395" ht="14.1" customFormat="1" customHeight="1" s="60">
      <c r="A395" s="199">
        <f>IF($H395="UNIDADE CONSTRUTIVA",OFFSET(A395,-1,0)+1,LARGE(A$3:A394,1))</f>
        <v/>
      </c>
      <c r="B395" s="199">
        <f>IF(H395="UNIDADE CONSTRUTIVA",0,IF(H395="CÉLULA CONSTRUTIVA",OFFSET(B395,-1,0)+1,OFFSET(B395,-1,0)))</f>
        <v/>
      </c>
      <c r="C395" s="199">
        <f>IF(H395="CÉLULA CONSTRUTIVA",0,IF(H395="ETAPA",OFFSET(C395,-1,0)+1,OFFSET(C395,-1,0)))</f>
        <v/>
      </c>
      <c r="D395" s="200">
        <f>IF(H395="ETAPA",0,IF(H395="SUBETAPA",OFFSET(D395,-1,0)+1,OFFSET(D395,-1,0)))</f>
        <v/>
      </c>
      <c r="E395" s="200">
        <f>IF(H395="Subetapa",0,IF(H395="serviço",OFFSET(E395,-1,0)+1,OFFSET(E395,-1,0)))</f>
        <v/>
      </c>
      <c r="F395" s="31" t="n"/>
      <c r="J395" s="61" t="n"/>
      <c r="K395" s="62" t="n"/>
      <c r="L395" s="63" t="n"/>
      <c r="M395" s="63" t="n"/>
      <c r="N395" s="68" t="n"/>
      <c r="O395" s="68" t="n"/>
      <c r="P395" s="68" t="n"/>
      <c r="Q395" s="68" t="n"/>
      <c r="R395" s="68" t="n"/>
    </row>
    <row r="396" ht="14.1" customFormat="1" customHeight="1" s="60">
      <c r="A396" s="199">
        <f>IF($H396="UNIDADE CONSTRUTIVA",OFFSET(A396,-1,0)+1,LARGE(A$3:A395,1))</f>
        <v/>
      </c>
      <c r="B396" s="199">
        <f>IF(H396="UNIDADE CONSTRUTIVA",0,IF(H396="CÉLULA CONSTRUTIVA",OFFSET(B396,-1,0)+1,OFFSET(B396,-1,0)))</f>
        <v/>
      </c>
      <c r="C396" s="199">
        <f>IF(H396="CÉLULA CONSTRUTIVA",0,IF(H396="ETAPA",OFFSET(C396,-1,0)+1,OFFSET(C396,-1,0)))</f>
        <v/>
      </c>
      <c r="D396" s="200">
        <f>IF(H396="ETAPA",0,IF(H396="SUBETAPA",OFFSET(D396,-1,0)+1,OFFSET(D396,-1,0)))</f>
        <v/>
      </c>
      <c r="E396" s="200">
        <f>IF(H396="Subetapa",0,IF(H396="serviço",OFFSET(E396,-1,0)+1,OFFSET(E396,-1,0)))</f>
        <v/>
      </c>
      <c r="F396" s="31" t="n"/>
      <c r="J396" s="61" t="n"/>
      <c r="K396" s="62" t="n"/>
      <c r="L396" s="63" t="n"/>
      <c r="M396" s="63" t="n"/>
      <c r="N396" s="68" t="n"/>
      <c r="O396" s="68" t="n"/>
      <c r="P396" s="68" t="n"/>
      <c r="Q396" s="68" t="n"/>
      <c r="R396" s="68" t="n"/>
    </row>
    <row r="397" ht="14.1" customFormat="1" customHeight="1" s="60">
      <c r="A397" s="199">
        <f>IF($H397="UNIDADE CONSTRUTIVA",OFFSET(A397,-1,0)+1,LARGE(A$3:A396,1))</f>
        <v/>
      </c>
      <c r="B397" s="199">
        <f>IF(H397="UNIDADE CONSTRUTIVA",0,IF(H397="CÉLULA CONSTRUTIVA",OFFSET(B397,-1,0)+1,OFFSET(B397,-1,0)))</f>
        <v/>
      </c>
      <c r="C397" s="199">
        <f>IF(H397="CÉLULA CONSTRUTIVA",0,IF(H397="ETAPA",OFFSET(C397,-1,0)+1,OFFSET(C397,-1,0)))</f>
        <v/>
      </c>
      <c r="D397" s="200">
        <f>IF(H397="ETAPA",0,IF(H397="SUBETAPA",OFFSET(D397,-1,0)+1,OFFSET(D397,-1,0)))</f>
        <v/>
      </c>
      <c r="E397" s="200">
        <f>IF(H397="Subetapa",0,IF(H397="serviço",OFFSET(E397,-1,0)+1,OFFSET(E397,-1,0)))</f>
        <v/>
      </c>
      <c r="F397" s="31" t="n"/>
      <c r="J397" s="61" t="n"/>
      <c r="K397" s="62" t="n"/>
      <c r="L397" s="63" t="n"/>
      <c r="M397" s="63" t="n"/>
      <c r="N397" s="68" t="n"/>
      <c r="O397" s="68" t="n"/>
      <c r="P397" s="68" t="n"/>
      <c r="Q397" s="68" t="n"/>
      <c r="R397" s="68" t="n"/>
    </row>
    <row r="398" ht="14.1" customFormat="1" customHeight="1" s="60">
      <c r="A398" s="199">
        <f>IF($H398="UNIDADE CONSTRUTIVA",OFFSET(A398,-1,0)+1,LARGE(A$3:A397,1))</f>
        <v/>
      </c>
      <c r="B398" s="199">
        <f>IF(H398="UNIDADE CONSTRUTIVA",0,IF(H398="CÉLULA CONSTRUTIVA",OFFSET(B398,-1,0)+1,OFFSET(B398,-1,0)))</f>
        <v/>
      </c>
      <c r="C398" s="199">
        <f>IF(H398="CÉLULA CONSTRUTIVA",0,IF(H398="ETAPA",OFFSET(C398,-1,0)+1,OFFSET(C398,-1,0)))</f>
        <v/>
      </c>
      <c r="D398" s="200">
        <f>IF(H398="ETAPA",0,IF(H398="SUBETAPA",OFFSET(D398,-1,0)+1,OFFSET(D398,-1,0)))</f>
        <v/>
      </c>
      <c r="E398" s="200">
        <f>IF(H398="Subetapa",0,IF(H398="serviço",OFFSET(E398,-1,0)+1,OFFSET(E398,-1,0)))</f>
        <v/>
      </c>
      <c r="F398" s="31" t="n"/>
      <c r="J398" s="61" t="n"/>
      <c r="K398" s="62" t="n"/>
      <c r="L398" s="63" t="n"/>
      <c r="M398" s="63" t="n"/>
      <c r="N398" s="68" t="n"/>
      <c r="O398" s="68" t="n"/>
      <c r="P398" s="68" t="n"/>
      <c r="Q398" s="68" t="n"/>
      <c r="R398" s="68" t="n"/>
    </row>
    <row r="399" ht="14.1" customFormat="1" customHeight="1" s="60">
      <c r="A399" s="199">
        <f>IF($H399="UNIDADE CONSTRUTIVA",OFFSET(A399,-1,0)+1,LARGE(A$3:A398,1))</f>
        <v/>
      </c>
      <c r="B399" s="199">
        <f>IF(H399="UNIDADE CONSTRUTIVA",0,IF(H399="CÉLULA CONSTRUTIVA",OFFSET(B399,-1,0)+1,OFFSET(B399,-1,0)))</f>
        <v/>
      </c>
      <c r="C399" s="199">
        <f>IF(H399="CÉLULA CONSTRUTIVA",0,IF(H399="ETAPA",OFFSET(C399,-1,0)+1,OFFSET(C399,-1,0)))</f>
        <v/>
      </c>
      <c r="D399" s="200">
        <f>IF(H399="ETAPA",0,IF(H399="SUBETAPA",OFFSET(D399,-1,0)+1,OFFSET(D399,-1,0)))</f>
        <v/>
      </c>
      <c r="E399" s="200">
        <f>IF(H399="Subetapa",0,IF(H399="serviço",OFFSET(E399,-1,0)+1,OFFSET(E399,-1,0)))</f>
        <v/>
      </c>
      <c r="F399" s="31" t="n"/>
      <c r="J399" s="61" t="n"/>
      <c r="K399" s="62" t="n"/>
      <c r="L399" s="63" t="n"/>
      <c r="M399" s="63" t="n"/>
      <c r="N399" s="68" t="n"/>
      <c r="O399" s="68" t="n"/>
      <c r="P399" s="68" t="n"/>
      <c r="Q399" s="68" t="n"/>
      <c r="R399" s="68" t="n"/>
    </row>
    <row r="400" ht="14.1" customFormat="1" customHeight="1" s="60">
      <c r="A400" s="199">
        <f>IF($H400="UNIDADE CONSTRUTIVA",OFFSET(A400,-1,0)+1,LARGE(A$3:A399,1))</f>
        <v/>
      </c>
      <c r="B400" s="199">
        <f>IF(H400="UNIDADE CONSTRUTIVA",0,IF(H400="CÉLULA CONSTRUTIVA",OFFSET(B400,-1,0)+1,OFFSET(B400,-1,0)))</f>
        <v/>
      </c>
      <c r="C400" s="199">
        <f>IF(H400="CÉLULA CONSTRUTIVA",0,IF(H400="ETAPA",OFFSET(C400,-1,0)+1,OFFSET(C400,-1,0)))</f>
        <v/>
      </c>
      <c r="D400" s="200">
        <f>IF(H400="ETAPA",0,IF(H400="SUBETAPA",OFFSET(D400,-1,0)+1,OFFSET(D400,-1,0)))</f>
        <v/>
      </c>
      <c r="E400" s="200">
        <f>IF(H400="Subetapa",0,IF(H400="serviço",OFFSET(E400,-1,0)+1,OFFSET(E400,-1,0)))</f>
        <v/>
      </c>
      <c r="F400" s="31" t="n"/>
      <c r="J400" s="61" t="n"/>
      <c r="K400" s="62" t="n"/>
      <c r="L400" s="63" t="n"/>
      <c r="M400" s="63" t="n"/>
      <c r="N400" s="68" t="n"/>
      <c r="O400" s="68" t="n"/>
      <c r="P400" s="68" t="n"/>
      <c r="Q400" s="68" t="n"/>
      <c r="R400" s="68" t="n"/>
    </row>
    <row r="401" ht="14.1" customFormat="1" customHeight="1" s="60">
      <c r="A401" s="199">
        <f>IF($H401="UNIDADE CONSTRUTIVA",OFFSET(A401,-1,0)+1,LARGE(A$3:A400,1))</f>
        <v/>
      </c>
      <c r="B401" s="199">
        <f>IF(H401="UNIDADE CONSTRUTIVA",0,IF(H401="CÉLULA CONSTRUTIVA",OFFSET(B401,-1,0)+1,OFFSET(B401,-1,0)))</f>
        <v/>
      </c>
      <c r="C401" s="199">
        <f>IF(H401="CÉLULA CONSTRUTIVA",0,IF(H401="ETAPA",OFFSET(C401,-1,0)+1,OFFSET(C401,-1,0)))</f>
        <v/>
      </c>
      <c r="D401" s="200">
        <f>IF(H401="ETAPA",0,IF(H401="SUBETAPA",OFFSET(D401,-1,0)+1,OFFSET(D401,-1,0)))</f>
        <v/>
      </c>
      <c r="E401" s="200">
        <f>IF(H401="Subetapa",0,IF(H401="serviço",OFFSET(E401,-1,0)+1,OFFSET(E401,-1,0)))</f>
        <v/>
      </c>
      <c r="F401" s="31" t="n"/>
      <c r="J401" s="61" t="n"/>
      <c r="K401" s="62" t="n"/>
      <c r="L401" s="63" t="n"/>
      <c r="M401" s="63" t="n"/>
      <c r="N401" s="68" t="n"/>
      <c r="O401" s="68" t="n"/>
      <c r="P401" s="68" t="n"/>
      <c r="Q401" s="68" t="n"/>
      <c r="R401" s="68" t="n"/>
    </row>
    <row r="402" ht="14.1" customFormat="1" customHeight="1" s="60">
      <c r="A402" s="199">
        <f>IF($H402="UNIDADE CONSTRUTIVA",OFFSET(A402,-1,0)+1,LARGE(A$3:A401,1))</f>
        <v/>
      </c>
      <c r="B402" s="199">
        <f>IF(H402="UNIDADE CONSTRUTIVA",0,IF(H402="CÉLULA CONSTRUTIVA",OFFSET(B402,-1,0)+1,OFFSET(B402,-1,0)))</f>
        <v/>
      </c>
      <c r="C402" s="199">
        <f>IF(H402="CÉLULA CONSTRUTIVA",0,IF(H402="ETAPA",OFFSET(C402,-1,0)+1,OFFSET(C402,-1,0)))</f>
        <v/>
      </c>
      <c r="D402" s="200">
        <f>IF(H402="ETAPA",0,IF(H402="SUBETAPA",OFFSET(D402,-1,0)+1,OFFSET(D402,-1,0)))</f>
        <v/>
      </c>
      <c r="E402" s="200">
        <f>IF(H402="Subetapa",0,IF(H402="serviço",OFFSET(E402,-1,0)+1,OFFSET(E402,-1,0)))</f>
        <v/>
      </c>
      <c r="F402" s="31" t="n"/>
      <c r="J402" s="61" t="n"/>
      <c r="K402" s="62" t="n"/>
      <c r="L402" s="63" t="n"/>
      <c r="M402" s="63" t="n"/>
      <c r="N402" s="68" t="n"/>
      <c r="O402" s="68" t="n"/>
      <c r="P402" s="68" t="n"/>
      <c r="Q402" s="68" t="n"/>
      <c r="R402" s="68" t="n"/>
    </row>
    <row r="403" ht="14.1" customFormat="1" customHeight="1" s="60">
      <c r="A403" s="199">
        <f>IF($H403="UNIDADE CONSTRUTIVA",OFFSET(A403,-1,0)+1,LARGE(A$3:A402,1))</f>
        <v/>
      </c>
      <c r="B403" s="199">
        <f>IF(H403="UNIDADE CONSTRUTIVA",0,IF(H403="CÉLULA CONSTRUTIVA",OFFSET(B403,-1,0)+1,OFFSET(B403,-1,0)))</f>
        <v/>
      </c>
      <c r="C403" s="199">
        <f>IF(H403="CÉLULA CONSTRUTIVA",0,IF(H403="ETAPA",OFFSET(C403,-1,0)+1,OFFSET(C403,-1,0)))</f>
        <v/>
      </c>
      <c r="D403" s="200">
        <f>IF(H403="ETAPA",0,IF(H403="SUBETAPA",OFFSET(D403,-1,0)+1,OFFSET(D403,-1,0)))</f>
        <v/>
      </c>
      <c r="E403" s="200">
        <f>IF(H403="Subetapa",0,IF(H403="serviço",OFFSET(E403,-1,0)+1,OFFSET(E403,-1,0)))</f>
        <v/>
      </c>
      <c r="F403" s="31" t="n"/>
      <c r="J403" s="61" t="n"/>
      <c r="K403" s="62" t="n"/>
      <c r="L403" s="63" t="n"/>
      <c r="M403" s="63" t="n"/>
      <c r="N403" s="68" t="n"/>
      <c r="O403" s="68" t="n"/>
      <c r="P403" s="68" t="n"/>
      <c r="Q403" s="68" t="n"/>
      <c r="R403" s="68" t="n"/>
    </row>
    <row r="404" ht="14.1" customFormat="1" customHeight="1" s="60">
      <c r="A404" s="199">
        <f>IF($H404="UNIDADE CONSTRUTIVA",OFFSET(A404,-1,0)+1,LARGE(A$3:A403,1))</f>
        <v/>
      </c>
      <c r="B404" s="199">
        <f>IF(H404="UNIDADE CONSTRUTIVA",0,IF(H404="CÉLULA CONSTRUTIVA",OFFSET(B404,-1,0)+1,OFFSET(B404,-1,0)))</f>
        <v/>
      </c>
      <c r="C404" s="199">
        <f>IF(H404="CÉLULA CONSTRUTIVA",0,IF(H404="ETAPA",OFFSET(C404,-1,0)+1,OFFSET(C404,-1,0)))</f>
        <v/>
      </c>
      <c r="D404" s="200">
        <f>IF(H404="ETAPA",0,IF(H404="SUBETAPA",OFFSET(D404,-1,0)+1,OFFSET(D404,-1,0)))</f>
        <v/>
      </c>
      <c r="E404" s="200">
        <f>IF(H404="Subetapa",0,IF(H404="serviço",OFFSET(E404,-1,0)+1,OFFSET(E404,-1,0)))</f>
        <v/>
      </c>
      <c r="F404" s="31" t="n"/>
      <c r="J404" s="61" t="n"/>
      <c r="K404" s="62" t="n"/>
      <c r="L404" s="63" t="n"/>
      <c r="M404" s="63" t="n"/>
      <c r="N404" s="68" t="n"/>
      <c r="O404" s="68" t="n"/>
      <c r="P404" s="68" t="n"/>
      <c r="Q404" s="68" t="n"/>
      <c r="R404" s="68" t="n"/>
    </row>
    <row r="405" ht="14.1" customFormat="1" customHeight="1" s="60">
      <c r="A405" s="199">
        <f>IF($H405="UNIDADE CONSTRUTIVA",OFFSET(A405,-1,0)+1,LARGE(A$3:A404,1))</f>
        <v/>
      </c>
      <c r="B405" s="199">
        <f>IF(H405="UNIDADE CONSTRUTIVA",0,IF(H405="CÉLULA CONSTRUTIVA",OFFSET(B405,-1,0)+1,OFFSET(B405,-1,0)))</f>
        <v/>
      </c>
      <c r="C405" s="199">
        <f>IF(H405="CÉLULA CONSTRUTIVA",0,IF(H405="ETAPA",OFFSET(C405,-1,0)+1,OFFSET(C405,-1,0)))</f>
        <v/>
      </c>
      <c r="D405" s="200">
        <f>IF(H405="ETAPA",0,IF(H405="SUBETAPA",OFFSET(D405,-1,0)+1,OFFSET(D405,-1,0)))</f>
        <v/>
      </c>
      <c r="E405" s="200">
        <f>IF(H405="Subetapa",0,IF(H405="serviço",OFFSET(E405,-1,0)+1,OFFSET(E405,-1,0)))</f>
        <v/>
      </c>
      <c r="F405" s="31" t="n"/>
      <c r="J405" s="61" t="n"/>
      <c r="K405" s="62" t="n"/>
      <c r="L405" s="63" t="n"/>
      <c r="M405" s="63" t="n"/>
      <c r="N405" s="68" t="n"/>
      <c r="O405" s="68" t="n"/>
      <c r="P405" s="68" t="n"/>
      <c r="Q405" s="68" t="n"/>
      <c r="R405" s="68" t="n"/>
    </row>
    <row r="406" ht="14.1" customFormat="1" customHeight="1" s="60">
      <c r="A406" s="199">
        <f>IF($H406="UNIDADE CONSTRUTIVA",OFFSET(A406,-1,0)+1,LARGE(A$3:A405,1))</f>
        <v/>
      </c>
      <c r="B406" s="199">
        <f>IF(H406="UNIDADE CONSTRUTIVA",0,IF(H406="CÉLULA CONSTRUTIVA",OFFSET(B406,-1,0)+1,OFFSET(B406,-1,0)))</f>
        <v/>
      </c>
      <c r="C406" s="199">
        <f>IF(H406="CÉLULA CONSTRUTIVA",0,IF(H406="ETAPA",OFFSET(C406,-1,0)+1,OFFSET(C406,-1,0)))</f>
        <v/>
      </c>
      <c r="D406" s="200">
        <f>IF(H406="ETAPA",0,IF(H406="SUBETAPA",OFFSET(D406,-1,0)+1,OFFSET(D406,-1,0)))</f>
        <v/>
      </c>
      <c r="E406" s="200">
        <f>IF(H406="Subetapa",0,IF(H406="serviço",OFFSET(E406,-1,0)+1,OFFSET(E406,-1,0)))</f>
        <v/>
      </c>
      <c r="F406" s="31" t="n"/>
      <c r="J406" s="61" t="n"/>
      <c r="K406" s="62" t="n"/>
      <c r="L406" s="63" t="n"/>
      <c r="M406" s="63" t="n"/>
      <c r="N406" s="68" t="n"/>
      <c r="O406" s="68" t="n"/>
      <c r="P406" s="68" t="n"/>
      <c r="Q406" s="68" t="n"/>
      <c r="R406" s="68" t="n"/>
    </row>
    <row r="407" ht="14.1" customFormat="1" customHeight="1" s="60">
      <c r="A407" s="199">
        <f>IF($H407="UNIDADE CONSTRUTIVA",OFFSET(A407,-1,0)+1,LARGE(A$3:A406,1))</f>
        <v/>
      </c>
      <c r="B407" s="199">
        <f>IF(H407="UNIDADE CONSTRUTIVA",0,IF(H407="CÉLULA CONSTRUTIVA",OFFSET(B407,-1,0)+1,OFFSET(B407,-1,0)))</f>
        <v/>
      </c>
      <c r="C407" s="199">
        <f>IF(H407="CÉLULA CONSTRUTIVA",0,IF(H407="ETAPA",OFFSET(C407,-1,0)+1,OFFSET(C407,-1,0)))</f>
        <v/>
      </c>
      <c r="D407" s="200">
        <f>IF(H407="ETAPA",0,IF(H407="SUBETAPA",OFFSET(D407,-1,0)+1,OFFSET(D407,-1,0)))</f>
        <v/>
      </c>
      <c r="E407" s="200">
        <f>IF(H407="Subetapa",0,IF(H407="serviço",OFFSET(E407,-1,0)+1,OFFSET(E407,-1,0)))</f>
        <v/>
      </c>
      <c r="F407" s="31" t="n"/>
      <c r="J407" s="61" t="n"/>
      <c r="K407" s="62" t="n"/>
      <c r="L407" s="63" t="n"/>
      <c r="M407" s="63" t="n"/>
      <c r="N407" s="68" t="n"/>
      <c r="O407" s="68" t="n"/>
      <c r="P407" s="68" t="n"/>
      <c r="Q407" s="68" t="n"/>
      <c r="R407" s="68" t="n"/>
    </row>
    <row r="408" ht="14.1" customFormat="1" customHeight="1" s="60">
      <c r="A408" s="199">
        <f>IF($H408="UNIDADE CONSTRUTIVA",OFFSET(A408,-1,0)+1,LARGE(A$3:A407,1))</f>
        <v/>
      </c>
      <c r="B408" s="199">
        <f>IF(H408="UNIDADE CONSTRUTIVA",0,IF(H408="CÉLULA CONSTRUTIVA",OFFSET(B408,-1,0)+1,OFFSET(B408,-1,0)))</f>
        <v/>
      </c>
      <c r="C408" s="199">
        <f>IF(H408="CÉLULA CONSTRUTIVA",0,IF(H408="ETAPA",OFFSET(C408,-1,0)+1,OFFSET(C408,-1,0)))</f>
        <v/>
      </c>
      <c r="D408" s="200">
        <f>IF(H408="ETAPA",0,IF(H408="SUBETAPA",OFFSET(D408,-1,0)+1,OFFSET(D408,-1,0)))</f>
        <v/>
      </c>
      <c r="E408" s="200">
        <f>IF(H408="Subetapa",0,IF(H408="serviço",OFFSET(E408,-1,0)+1,OFFSET(E408,-1,0)))</f>
        <v/>
      </c>
      <c r="F408" s="31" t="n"/>
      <c r="J408" s="61" t="n"/>
      <c r="K408" s="62" t="n"/>
      <c r="L408" s="63" t="n"/>
      <c r="M408" s="63" t="n"/>
      <c r="N408" s="68" t="n"/>
      <c r="O408" s="68" t="n"/>
      <c r="P408" s="68" t="n"/>
      <c r="Q408" s="68" t="n"/>
      <c r="R408" s="68" t="n"/>
    </row>
    <row r="409" ht="14.1" customFormat="1" customHeight="1" s="60">
      <c r="A409" s="199">
        <f>IF($H409="UNIDADE CONSTRUTIVA",OFFSET(A409,-1,0)+1,LARGE(A$3:A408,1))</f>
        <v/>
      </c>
      <c r="B409" s="199">
        <f>IF(H409="UNIDADE CONSTRUTIVA",0,IF(H409="CÉLULA CONSTRUTIVA",OFFSET(B409,-1,0)+1,OFFSET(B409,-1,0)))</f>
        <v/>
      </c>
      <c r="C409" s="199">
        <f>IF(H409="CÉLULA CONSTRUTIVA",0,IF(H409="ETAPA",OFFSET(C409,-1,0)+1,OFFSET(C409,-1,0)))</f>
        <v/>
      </c>
      <c r="D409" s="200">
        <f>IF(H409="ETAPA",0,IF(H409="SUBETAPA",OFFSET(D409,-1,0)+1,OFFSET(D409,-1,0)))</f>
        <v/>
      </c>
      <c r="E409" s="200">
        <f>IF(H409="Subetapa",0,IF(H409="serviço",OFFSET(E409,-1,0)+1,OFFSET(E409,-1,0)))</f>
        <v/>
      </c>
      <c r="F409" s="31" t="n"/>
      <c r="J409" s="61" t="n"/>
      <c r="K409" s="62" t="n"/>
      <c r="L409" s="63" t="n"/>
      <c r="M409" s="63" t="n"/>
      <c r="N409" s="68" t="n"/>
      <c r="O409" s="68" t="n"/>
      <c r="P409" s="68" t="n"/>
      <c r="Q409" s="68" t="n"/>
      <c r="R409" s="68" t="n"/>
    </row>
    <row r="410" ht="14.1" customFormat="1" customHeight="1" s="60">
      <c r="A410" s="199">
        <f>IF($H410="UNIDADE CONSTRUTIVA",OFFSET(A410,-1,0)+1,LARGE(A$3:A409,1))</f>
        <v/>
      </c>
      <c r="B410" s="199">
        <f>IF(H410="UNIDADE CONSTRUTIVA",0,IF(H410="CÉLULA CONSTRUTIVA",OFFSET(B410,-1,0)+1,OFFSET(B410,-1,0)))</f>
        <v/>
      </c>
      <c r="C410" s="199">
        <f>IF(H410="CÉLULA CONSTRUTIVA",0,IF(H410="ETAPA",OFFSET(C410,-1,0)+1,OFFSET(C410,-1,0)))</f>
        <v/>
      </c>
      <c r="D410" s="200">
        <f>IF(H410="ETAPA",0,IF(H410="SUBETAPA",OFFSET(D410,-1,0)+1,OFFSET(D410,-1,0)))</f>
        <v/>
      </c>
      <c r="E410" s="200">
        <f>IF(H410="Subetapa",0,IF(H410="serviço",OFFSET(E410,-1,0)+1,OFFSET(E410,-1,0)))</f>
        <v/>
      </c>
      <c r="F410" s="31" t="n"/>
      <c r="J410" s="61" t="n"/>
      <c r="K410" s="62" t="n"/>
      <c r="L410" s="63" t="n"/>
      <c r="M410" s="63" t="n"/>
      <c r="N410" s="68" t="n"/>
      <c r="O410" s="68" t="n"/>
      <c r="P410" s="68" t="n"/>
      <c r="Q410" s="68" t="n"/>
      <c r="R410" s="68" t="n"/>
    </row>
    <row r="411" ht="14.1" customFormat="1" customHeight="1" s="60">
      <c r="A411" s="199">
        <f>IF($H411="UNIDADE CONSTRUTIVA",OFFSET(A411,-1,0)+1,LARGE(A$3:A410,1))</f>
        <v/>
      </c>
      <c r="B411" s="199">
        <f>IF(H411="UNIDADE CONSTRUTIVA",0,IF(H411="CÉLULA CONSTRUTIVA",OFFSET(B411,-1,0)+1,OFFSET(B411,-1,0)))</f>
        <v/>
      </c>
      <c r="C411" s="199">
        <f>IF(H411="CÉLULA CONSTRUTIVA",0,IF(H411="ETAPA",OFFSET(C411,-1,0)+1,OFFSET(C411,-1,0)))</f>
        <v/>
      </c>
      <c r="D411" s="200">
        <f>IF(H411="ETAPA",0,IF(H411="SUBETAPA",OFFSET(D411,-1,0)+1,OFFSET(D411,-1,0)))</f>
        <v/>
      </c>
      <c r="E411" s="200">
        <f>IF(H411="Subetapa",0,IF(H411="serviço",OFFSET(E411,-1,0)+1,OFFSET(E411,-1,0)))</f>
        <v/>
      </c>
      <c r="F411" s="31" t="n"/>
      <c r="J411" s="61" t="n"/>
      <c r="K411" s="62" t="n"/>
      <c r="L411" s="63" t="n"/>
      <c r="M411" s="63" t="n"/>
      <c r="N411" s="68" t="n"/>
      <c r="O411" s="68" t="n"/>
      <c r="P411" s="68" t="n"/>
      <c r="Q411" s="68" t="n"/>
      <c r="R411" s="68" t="n"/>
    </row>
    <row r="412" ht="14.1" customFormat="1" customHeight="1" s="60">
      <c r="A412" s="199">
        <f>IF($H412="UNIDADE CONSTRUTIVA",OFFSET(A412,-1,0)+1,LARGE(A$3:A411,1))</f>
        <v/>
      </c>
      <c r="B412" s="199">
        <f>IF(H412="UNIDADE CONSTRUTIVA",0,IF(H412="CÉLULA CONSTRUTIVA",OFFSET(B412,-1,0)+1,OFFSET(B412,-1,0)))</f>
        <v/>
      </c>
      <c r="C412" s="199">
        <f>IF(H412="CÉLULA CONSTRUTIVA",0,IF(H412="ETAPA",OFFSET(C412,-1,0)+1,OFFSET(C412,-1,0)))</f>
        <v/>
      </c>
      <c r="D412" s="200">
        <f>IF(H412="ETAPA",0,IF(H412="SUBETAPA",OFFSET(D412,-1,0)+1,OFFSET(D412,-1,0)))</f>
        <v/>
      </c>
      <c r="E412" s="200">
        <f>IF(H412="Subetapa",0,IF(H412="serviço",OFFSET(E412,-1,0)+1,OFFSET(E412,-1,0)))</f>
        <v/>
      </c>
      <c r="F412" s="31" t="n"/>
      <c r="J412" s="61" t="n"/>
      <c r="K412" s="62" t="n"/>
      <c r="L412" s="63" t="n"/>
      <c r="M412" s="63" t="n"/>
      <c r="N412" s="68" t="n"/>
      <c r="O412" s="68" t="n"/>
      <c r="P412" s="68" t="n"/>
      <c r="Q412" s="68" t="n"/>
      <c r="R412" s="68" t="n"/>
    </row>
    <row r="413" ht="14.1" customFormat="1" customHeight="1" s="60">
      <c r="A413" s="199">
        <f>IF($H413="UNIDADE CONSTRUTIVA",OFFSET(A413,-1,0)+1,LARGE(A$3:A412,1))</f>
        <v/>
      </c>
      <c r="B413" s="199">
        <f>IF(H413="UNIDADE CONSTRUTIVA",0,IF(H413="CÉLULA CONSTRUTIVA",OFFSET(B413,-1,0)+1,OFFSET(B413,-1,0)))</f>
        <v/>
      </c>
      <c r="C413" s="199">
        <f>IF(H413="CÉLULA CONSTRUTIVA",0,IF(H413="ETAPA",OFFSET(C413,-1,0)+1,OFFSET(C413,-1,0)))</f>
        <v/>
      </c>
      <c r="D413" s="200">
        <f>IF(H413="ETAPA",0,IF(H413="SUBETAPA",OFFSET(D413,-1,0)+1,OFFSET(D413,-1,0)))</f>
        <v/>
      </c>
      <c r="E413" s="200">
        <f>IF(H413="Subetapa",0,IF(H413="serviço",OFFSET(E413,-1,0)+1,OFFSET(E413,-1,0)))</f>
        <v/>
      </c>
      <c r="F413" s="31" t="n"/>
      <c r="J413" s="61" t="n"/>
      <c r="K413" s="62" t="n"/>
      <c r="L413" s="63" t="n"/>
      <c r="M413" s="63" t="n"/>
      <c r="N413" s="68" t="n"/>
      <c r="O413" s="68" t="n"/>
      <c r="P413" s="68" t="n"/>
      <c r="Q413" s="68" t="n"/>
      <c r="R413" s="68" t="n"/>
    </row>
    <row r="414" ht="14.1" customFormat="1" customHeight="1" s="60">
      <c r="A414" s="199">
        <f>IF($H414="UNIDADE CONSTRUTIVA",OFFSET(A414,-1,0)+1,LARGE(A$3:A413,1))</f>
        <v/>
      </c>
      <c r="B414" s="199">
        <f>IF(H414="UNIDADE CONSTRUTIVA",0,IF(H414="CÉLULA CONSTRUTIVA",OFFSET(B414,-1,0)+1,OFFSET(B414,-1,0)))</f>
        <v/>
      </c>
      <c r="C414" s="199">
        <f>IF(H414="CÉLULA CONSTRUTIVA",0,IF(H414="ETAPA",OFFSET(C414,-1,0)+1,OFFSET(C414,-1,0)))</f>
        <v/>
      </c>
      <c r="D414" s="200">
        <f>IF(H414="ETAPA",0,IF(H414="SUBETAPA",OFFSET(D414,-1,0)+1,OFFSET(D414,-1,0)))</f>
        <v/>
      </c>
      <c r="E414" s="200">
        <f>IF(H414="Subetapa",0,IF(H414="serviço",OFFSET(E414,-1,0)+1,OFFSET(E414,-1,0)))</f>
        <v/>
      </c>
      <c r="F414" s="31" t="n"/>
      <c r="J414" s="61" t="n"/>
      <c r="K414" s="62" t="n"/>
      <c r="L414" s="63" t="n"/>
      <c r="M414" s="63" t="n"/>
      <c r="N414" s="68" t="n"/>
      <c r="O414" s="68" t="n"/>
      <c r="P414" s="68" t="n"/>
      <c r="Q414" s="68" t="n"/>
      <c r="R414" s="68" t="n"/>
    </row>
    <row r="415" ht="14.1" customFormat="1" customHeight="1" s="60">
      <c r="A415" s="199">
        <f>IF($H415="UNIDADE CONSTRUTIVA",OFFSET(A415,-1,0)+1,LARGE(A$3:A414,1))</f>
        <v/>
      </c>
      <c r="B415" s="199">
        <f>IF(H415="UNIDADE CONSTRUTIVA",0,IF(H415="CÉLULA CONSTRUTIVA",OFFSET(B415,-1,0)+1,OFFSET(B415,-1,0)))</f>
        <v/>
      </c>
      <c r="C415" s="199">
        <f>IF(H415="CÉLULA CONSTRUTIVA",0,IF(H415="ETAPA",OFFSET(C415,-1,0)+1,OFFSET(C415,-1,0)))</f>
        <v/>
      </c>
      <c r="D415" s="200">
        <f>IF(H415="ETAPA",0,IF(H415="SUBETAPA",OFFSET(D415,-1,0)+1,OFFSET(D415,-1,0)))</f>
        <v/>
      </c>
      <c r="E415" s="200">
        <f>IF(H415="Subetapa",0,IF(H415="serviço",OFFSET(E415,-1,0)+1,OFFSET(E415,-1,0)))</f>
        <v/>
      </c>
      <c r="F415" s="31" t="n"/>
      <c r="J415" s="61" t="n"/>
      <c r="K415" s="62" t="n"/>
      <c r="L415" s="63" t="n"/>
      <c r="M415" s="63" t="n"/>
      <c r="N415" s="68" t="n"/>
      <c r="O415" s="68" t="n"/>
      <c r="P415" s="68" t="n"/>
      <c r="Q415" s="68" t="n"/>
      <c r="R415" s="68" t="n"/>
    </row>
    <row r="416" ht="14.1" customFormat="1" customHeight="1" s="60">
      <c r="A416" s="199">
        <f>IF($H416="UNIDADE CONSTRUTIVA",OFFSET(A416,-1,0)+1,LARGE(A$3:A415,1))</f>
        <v/>
      </c>
      <c r="B416" s="199">
        <f>IF(H416="UNIDADE CONSTRUTIVA",0,IF(H416="CÉLULA CONSTRUTIVA",OFFSET(B416,-1,0)+1,OFFSET(B416,-1,0)))</f>
        <v/>
      </c>
      <c r="C416" s="199">
        <f>IF(H416="CÉLULA CONSTRUTIVA",0,IF(H416="ETAPA",OFFSET(C416,-1,0)+1,OFFSET(C416,-1,0)))</f>
        <v/>
      </c>
      <c r="D416" s="200">
        <f>IF(H416="ETAPA",0,IF(H416="SUBETAPA",OFFSET(D416,-1,0)+1,OFFSET(D416,-1,0)))</f>
        <v/>
      </c>
      <c r="E416" s="200">
        <f>IF(H416="Subetapa",0,IF(H416="serviço",OFFSET(E416,-1,0)+1,OFFSET(E416,-1,0)))</f>
        <v/>
      </c>
      <c r="F416" s="31" t="n"/>
      <c r="J416" s="61" t="n"/>
      <c r="K416" s="62" t="n"/>
      <c r="L416" s="63" t="n"/>
      <c r="M416" s="63" t="n"/>
      <c r="N416" s="68" t="n"/>
      <c r="O416" s="68" t="n"/>
      <c r="P416" s="68" t="n"/>
      <c r="Q416" s="68" t="n"/>
      <c r="R416" s="68" t="n"/>
    </row>
    <row r="417" ht="14.1" customFormat="1" customHeight="1" s="60">
      <c r="A417" s="199">
        <f>IF($H417="UNIDADE CONSTRUTIVA",OFFSET(A417,-1,0)+1,LARGE(A$3:A416,1))</f>
        <v/>
      </c>
      <c r="B417" s="199">
        <f>IF(H417="UNIDADE CONSTRUTIVA",0,IF(H417="CÉLULA CONSTRUTIVA",OFFSET(B417,-1,0)+1,OFFSET(B417,-1,0)))</f>
        <v/>
      </c>
      <c r="C417" s="199">
        <f>IF(H417="CÉLULA CONSTRUTIVA",0,IF(H417="ETAPA",OFFSET(C417,-1,0)+1,OFFSET(C417,-1,0)))</f>
        <v/>
      </c>
      <c r="D417" s="200">
        <f>IF(H417="ETAPA",0,IF(H417="SUBETAPA",OFFSET(D417,-1,0)+1,OFFSET(D417,-1,0)))</f>
        <v/>
      </c>
      <c r="E417" s="200">
        <f>IF(H417="Subetapa",0,IF(H417="serviço",OFFSET(E417,-1,0)+1,OFFSET(E417,-1,0)))</f>
        <v/>
      </c>
      <c r="F417" s="31" t="n"/>
      <c r="J417" s="61" t="n"/>
      <c r="K417" s="62" t="n"/>
      <c r="L417" s="63" t="n"/>
      <c r="M417" s="63" t="n"/>
      <c r="N417" s="68" t="n"/>
      <c r="O417" s="68" t="n"/>
      <c r="P417" s="68" t="n"/>
      <c r="Q417" s="68" t="n"/>
      <c r="R417" s="68" t="n"/>
    </row>
    <row r="418" ht="14.1" customFormat="1" customHeight="1" s="60">
      <c r="A418" s="199">
        <f>IF($H418="UNIDADE CONSTRUTIVA",OFFSET(A418,-1,0)+1,LARGE(A$3:A417,1))</f>
        <v/>
      </c>
      <c r="B418" s="199">
        <f>IF(H418="UNIDADE CONSTRUTIVA",0,IF(H418="CÉLULA CONSTRUTIVA",OFFSET(B418,-1,0)+1,OFFSET(B418,-1,0)))</f>
        <v/>
      </c>
      <c r="C418" s="199">
        <f>IF(H418="CÉLULA CONSTRUTIVA",0,IF(H418="ETAPA",OFFSET(C418,-1,0)+1,OFFSET(C418,-1,0)))</f>
        <v/>
      </c>
      <c r="D418" s="200">
        <f>IF(H418="ETAPA",0,IF(H418="SUBETAPA",OFFSET(D418,-1,0)+1,OFFSET(D418,-1,0)))</f>
        <v/>
      </c>
      <c r="E418" s="200">
        <f>IF(H418="Subetapa",0,IF(H418="serviço",OFFSET(E418,-1,0)+1,OFFSET(E418,-1,0)))</f>
        <v/>
      </c>
      <c r="F418" s="31" t="n"/>
      <c r="J418" s="61" t="n"/>
      <c r="K418" s="62" t="n"/>
      <c r="L418" s="63" t="n"/>
      <c r="M418" s="63" t="n"/>
      <c r="N418" s="68" t="n"/>
      <c r="O418" s="68" t="n"/>
      <c r="P418" s="68" t="n"/>
      <c r="Q418" s="68" t="n"/>
      <c r="R418" s="68" t="n"/>
    </row>
    <row r="419" ht="14.1" customFormat="1" customHeight="1" s="60">
      <c r="A419" s="199">
        <f>IF($H419="UNIDADE CONSTRUTIVA",OFFSET(A419,-1,0)+1,LARGE(A$3:A418,1))</f>
        <v/>
      </c>
      <c r="B419" s="199">
        <f>IF(H419="UNIDADE CONSTRUTIVA",0,IF(H419="CÉLULA CONSTRUTIVA",OFFSET(B419,-1,0)+1,OFFSET(B419,-1,0)))</f>
        <v/>
      </c>
      <c r="C419" s="199">
        <f>IF(H419="CÉLULA CONSTRUTIVA",0,IF(H419="ETAPA",OFFSET(C419,-1,0)+1,OFFSET(C419,-1,0)))</f>
        <v/>
      </c>
      <c r="D419" s="200">
        <f>IF(H419="ETAPA",0,IF(H419="SUBETAPA",OFFSET(D419,-1,0)+1,OFFSET(D419,-1,0)))</f>
        <v/>
      </c>
      <c r="E419" s="200">
        <f>IF(H419="Subetapa",0,IF(H419="serviço",OFFSET(E419,-1,0)+1,OFFSET(E419,-1,0)))</f>
        <v/>
      </c>
      <c r="F419" s="31" t="n"/>
      <c r="J419" s="61" t="n"/>
      <c r="K419" s="62" t="n"/>
      <c r="L419" s="63" t="n"/>
      <c r="M419" s="63" t="n"/>
      <c r="N419" s="68" t="n"/>
      <c r="O419" s="68" t="n"/>
      <c r="P419" s="68" t="n"/>
      <c r="Q419" s="68" t="n"/>
      <c r="R419" s="68" t="n"/>
    </row>
    <row r="420" ht="14.1" customFormat="1" customHeight="1" s="60">
      <c r="A420" s="199">
        <f>IF($H420="UNIDADE CONSTRUTIVA",OFFSET(A420,-1,0)+1,LARGE(A$3:A419,1))</f>
        <v/>
      </c>
      <c r="B420" s="199">
        <f>IF(H420="UNIDADE CONSTRUTIVA",0,IF(H420="CÉLULA CONSTRUTIVA",OFFSET(B420,-1,0)+1,OFFSET(B420,-1,0)))</f>
        <v/>
      </c>
      <c r="C420" s="199">
        <f>IF(H420="CÉLULA CONSTRUTIVA",0,IF(H420="ETAPA",OFFSET(C420,-1,0)+1,OFFSET(C420,-1,0)))</f>
        <v/>
      </c>
      <c r="D420" s="200">
        <f>IF(H420="ETAPA",0,IF(H420="SUBETAPA",OFFSET(D420,-1,0)+1,OFFSET(D420,-1,0)))</f>
        <v/>
      </c>
      <c r="E420" s="200">
        <f>IF(H420="Subetapa",0,IF(H420="serviço",OFFSET(E420,-1,0)+1,OFFSET(E420,-1,0)))</f>
        <v/>
      </c>
      <c r="F420" s="31" t="n"/>
      <c r="J420" s="61" t="n"/>
      <c r="K420" s="62" t="n"/>
      <c r="L420" s="63" t="n"/>
      <c r="M420" s="63" t="n"/>
      <c r="N420" s="68" t="n"/>
      <c r="O420" s="68" t="n"/>
      <c r="P420" s="68" t="n"/>
      <c r="Q420" s="68" t="n"/>
      <c r="R420" s="68" t="n"/>
    </row>
    <row r="421" ht="14.1" customFormat="1" customHeight="1" s="60">
      <c r="A421" s="199">
        <f>IF($H421="UNIDADE CONSTRUTIVA",OFFSET(A421,-1,0)+1,LARGE(A$3:A420,1))</f>
        <v/>
      </c>
      <c r="B421" s="199">
        <f>IF(H421="UNIDADE CONSTRUTIVA",0,IF(H421="CÉLULA CONSTRUTIVA",OFFSET(B421,-1,0)+1,OFFSET(B421,-1,0)))</f>
        <v/>
      </c>
      <c r="C421" s="199">
        <f>IF(H421="CÉLULA CONSTRUTIVA",0,IF(H421="ETAPA",OFFSET(C421,-1,0)+1,OFFSET(C421,-1,0)))</f>
        <v/>
      </c>
      <c r="D421" s="200">
        <f>IF(H421="ETAPA",0,IF(H421="SUBETAPA",OFFSET(D421,-1,0)+1,OFFSET(D421,-1,0)))</f>
        <v/>
      </c>
      <c r="E421" s="200">
        <f>IF(H421="Subetapa",0,IF(H421="serviço",OFFSET(E421,-1,0)+1,OFFSET(E421,-1,0)))</f>
        <v/>
      </c>
      <c r="F421" s="31" t="n"/>
      <c r="J421" s="61" t="n"/>
      <c r="K421" s="62" t="n"/>
      <c r="L421" s="63" t="n"/>
      <c r="M421" s="63" t="n"/>
      <c r="N421" s="68" t="n"/>
      <c r="O421" s="68" t="n"/>
      <c r="P421" s="68" t="n"/>
      <c r="Q421" s="68" t="n"/>
      <c r="R421" s="68" t="n"/>
    </row>
    <row r="422" ht="14.1" customFormat="1" customHeight="1" s="60">
      <c r="A422" s="199">
        <f>IF($H422="UNIDADE CONSTRUTIVA",OFFSET(A422,-1,0)+1,LARGE(A$3:A421,1))</f>
        <v/>
      </c>
      <c r="B422" s="199">
        <f>IF(H422="UNIDADE CONSTRUTIVA",0,IF(H422="CÉLULA CONSTRUTIVA",OFFSET(B422,-1,0)+1,OFFSET(B422,-1,0)))</f>
        <v/>
      </c>
      <c r="C422" s="199">
        <f>IF(H422="CÉLULA CONSTRUTIVA",0,IF(H422="ETAPA",OFFSET(C422,-1,0)+1,OFFSET(C422,-1,0)))</f>
        <v/>
      </c>
      <c r="D422" s="200">
        <f>IF(H422="ETAPA",0,IF(H422="SUBETAPA",OFFSET(D422,-1,0)+1,OFFSET(D422,-1,0)))</f>
        <v/>
      </c>
      <c r="E422" s="200">
        <f>IF(H422="Subetapa",0,IF(H422="serviço",OFFSET(E422,-1,0)+1,OFFSET(E422,-1,0)))</f>
        <v/>
      </c>
      <c r="F422" s="31" t="n"/>
      <c r="J422" s="61" t="n"/>
      <c r="K422" s="62" t="n"/>
      <c r="L422" s="63" t="n"/>
      <c r="M422" s="63" t="n"/>
      <c r="N422" s="68" t="n"/>
      <c r="O422" s="68" t="n"/>
      <c r="P422" s="68" t="n"/>
      <c r="Q422" s="68" t="n"/>
      <c r="R422" s="68" t="n"/>
    </row>
    <row r="423" ht="14.1" customFormat="1" customHeight="1" s="60">
      <c r="A423" s="199">
        <f>IF($H423="UNIDADE CONSTRUTIVA",OFFSET(A423,-1,0)+1,LARGE(A$3:A422,1))</f>
        <v/>
      </c>
      <c r="B423" s="199">
        <f>IF(H423="UNIDADE CONSTRUTIVA",0,IF(H423="CÉLULA CONSTRUTIVA",OFFSET(B423,-1,0)+1,OFFSET(B423,-1,0)))</f>
        <v/>
      </c>
      <c r="C423" s="199">
        <f>IF(H423="CÉLULA CONSTRUTIVA",0,IF(H423="ETAPA",OFFSET(C423,-1,0)+1,OFFSET(C423,-1,0)))</f>
        <v/>
      </c>
      <c r="D423" s="200">
        <f>IF(H423="ETAPA",0,IF(H423="SUBETAPA",OFFSET(D423,-1,0)+1,OFFSET(D423,-1,0)))</f>
        <v/>
      </c>
      <c r="E423" s="200">
        <f>IF(H423="Subetapa",0,IF(H423="serviço",OFFSET(E423,-1,0)+1,OFFSET(E423,-1,0)))</f>
        <v/>
      </c>
      <c r="F423" s="31" t="n"/>
      <c r="J423" s="61" t="n"/>
      <c r="K423" s="62" t="n"/>
      <c r="L423" s="63" t="n"/>
      <c r="M423" s="63" t="n"/>
      <c r="N423" s="68" t="n"/>
      <c r="O423" s="68" t="n"/>
      <c r="P423" s="68" t="n"/>
      <c r="Q423" s="68" t="n"/>
      <c r="R423" s="68" t="n"/>
    </row>
    <row r="424" ht="14.1" customFormat="1" customHeight="1" s="60">
      <c r="A424" s="199">
        <f>IF($H424="UNIDADE CONSTRUTIVA",OFFSET(A424,-1,0)+1,LARGE(A$3:A423,1))</f>
        <v/>
      </c>
      <c r="B424" s="199">
        <f>IF(H424="UNIDADE CONSTRUTIVA",0,IF(H424="CÉLULA CONSTRUTIVA",OFFSET(B424,-1,0)+1,OFFSET(B424,-1,0)))</f>
        <v/>
      </c>
      <c r="C424" s="199">
        <f>IF(H424="CÉLULA CONSTRUTIVA",0,IF(H424="ETAPA",OFFSET(C424,-1,0)+1,OFFSET(C424,-1,0)))</f>
        <v/>
      </c>
      <c r="D424" s="200">
        <f>IF(H424="ETAPA",0,IF(H424="SUBETAPA",OFFSET(D424,-1,0)+1,OFFSET(D424,-1,0)))</f>
        <v/>
      </c>
      <c r="E424" s="200">
        <f>IF(H424="Subetapa",0,IF(H424="serviço",OFFSET(E424,-1,0)+1,OFFSET(E424,-1,0)))</f>
        <v/>
      </c>
      <c r="F424" s="31" t="n"/>
      <c r="J424" s="61" t="n"/>
      <c r="K424" s="62" t="n"/>
      <c r="L424" s="63" t="n"/>
      <c r="M424" s="63" t="n"/>
      <c r="N424" s="68" t="n"/>
      <c r="O424" s="68" t="n"/>
      <c r="P424" s="68" t="n"/>
      <c r="Q424" s="68" t="n"/>
      <c r="R424" s="68" t="n"/>
    </row>
    <row r="425" ht="14.1" customFormat="1" customHeight="1" s="60">
      <c r="A425" s="199">
        <f>IF($H425="UNIDADE CONSTRUTIVA",OFFSET(A425,-1,0)+1,LARGE(A$3:A424,1))</f>
        <v/>
      </c>
      <c r="B425" s="199">
        <f>IF(H425="UNIDADE CONSTRUTIVA",0,IF(H425="CÉLULA CONSTRUTIVA",OFFSET(B425,-1,0)+1,OFFSET(B425,-1,0)))</f>
        <v/>
      </c>
      <c r="C425" s="199">
        <f>IF(H425="CÉLULA CONSTRUTIVA",0,IF(H425="ETAPA",OFFSET(C425,-1,0)+1,OFFSET(C425,-1,0)))</f>
        <v/>
      </c>
      <c r="D425" s="200">
        <f>IF(H425="ETAPA",0,IF(H425="SUBETAPA",OFFSET(D425,-1,0)+1,OFFSET(D425,-1,0)))</f>
        <v/>
      </c>
      <c r="E425" s="200">
        <f>IF(H425="Subetapa",0,IF(H425="serviço",OFFSET(E425,-1,0)+1,OFFSET(E425,-1,0)))</f>
        <v/>
      </c>
      <c r="F425" s="31" t="n"/>
      <c r="J425" s="61" t="n"/>
      <c r="K425" s="62" t="n"/>
      <c r="L425" s="63" t="n"/>
      <c r="M425" s="63" t="n"/>
      <c r="N425" s="68" t="n"/>
      <c r="O425" s="68" t="n"/>
      <c r="P425" s="68" t="n"/>
      <c r="Q425" s="68" t="n"/>
      <c r="R425" s="68" t="n"/>
    </row>
    <row r="426" ht="14.1" customFormat="1" customHeight="1" s="60">
      <c r="A426" s="199">
        <f>IF($H426="UNIDADE CONSTRUTIVA",OFFSET(A426,-1,0)+1,LARGE(A$3:A425,1))</f>
        <v/>
      </c>
      <c r="B426" s="199">
        <f>IF(H426="UNIDADE CONSTRUTIVA",0,IF(H426="CÉLULA CONSTRUTIVA",OFFSET(B426,-1,0)+1,OFFSET(B426,-1,0)))</f>
        <v/>
      </c>
      <c r="C426" s="199">
        <f>IF(H426="CÉLULA CONSTRUTIVA",0,IF(H426="ETAPA",OFFSET(C426,-1,0)+1,OFFSET(C426,-1,0)))</f>
        <v/>
      </c>
      <c r="D426" s="200">
        <f>IF(H426="ETAPA",0,IF(H426="SUBETAPA",OFFSET(D426,-1,0)+1,OFFSET(D426,-1,0)))</f>
        <v/>
      </c>
      <c r="E426" s="200">
        <f>IF(H426="Subetapa",0,IF(H426="serviço",OFFSET(E426,-1,0)+1,OFFSET(E426,-1,0)))</f>
        <v/>
      </c>
      <c r="F426" s="31" t="n"/>
      <c r="J426" s="61" t="n"/>
      <c r="K426" s="62" t="n"/>
      <c r="L426" s="63" t="n"/>
      <c r="M426" s="63" t="n"/>
      <c r="N426" s="68" t="n"/>
      <c r="O426" s="68" t="n"/>
      <c r="P426" s="68" t="n"/>
      <c r="Q426" s="68" t="n"/>
      <c r="R426" s="68" t="n"/>
    </row>
    <row r="427" ht="14.1" customFormat="1" customHeight="1" s="60">
      <c r="A427" s="199">
        <f>IF($H427="UNIDADE CONSTRUTIVA",OFFSET(A427,-1,0)+1,LARGE(A$3:A426,1))</f>
        <v/>
      </c>
      <c r="B427" s="199">
        <f>IF(H427="UNIDADE CONSTRUTIVA",0,IF(H427="CÉLULA CONSTRUTIVA",OFFSET(B427,-1,0)+1,OFFSET(B427,-1,0)))</f>
        <v/>
      </c>
      <c r="C427" s="199">
        <f>IF(H427="CÉLULA CONSTRUTIVA",0,IF(H427="ETAPA",OFFSET(C427,-1,0)+1,OFFSET(C427,-1,0)))</f>
        <v/>
      </c>
      <c r="D427" s="200">
        <f>IF(H427="ETAPA",0,IF(H427="SUBETAPA",OFFSET(D427,-1,0)+1,OFFSET(D427,-1,0)))</f>
        <v/>
      </c>
      <c r="E427" s="200">
        <f>IF(H427="Subetapa",0,IF(H427="serviço",OFFSET(E427,-1,0)+1,OFFSET(E427,-1,0)))</f>
        <v/>
      </c>
      <c r="F427" s="31" t="n"/>
      <c r="J427" s="61" t="n"/>
      <c r="K427" s="62" t="n"/>
      <c r="L427" s="63" t="n"/>
      <c r="M427" s="63" t="n"/>
      <c r="N427" s="68" t="n"/>
      <c r="O427" s="68" t="n"/>
      <c r="P427" s="68" t="n"/>
      <c r="Q427" s="68" t="n"/>
      <c r="R427" s="68" t="n"/>
    </row>
    <row r="428" ht="14.1" customFormat="1" customHeight="1" s="60">
      <c r="A428" s="199">
        <f>IF($H428="UNIDADE CONSTRUTIVA",OFFSET(A428,-1,0)+1,LARGE(A$3:A427,1))</f>
        <v/>
      </c>
      <c r="B428" s="199">
        <f>IF(H428="UNIDADE CONSTRUTIVA",0,IF(H428="CÉLULA CONSTRUTIVA",OFFSET(B428,-1,0)+1,OFFSET(B428,-1,0)))</f>
        <v/>
      </c>
      <c r="C428" s="199">
        <f>IF(H428="CÉLULA CONSTRUTIVA",0,IF(H428="ETAPA",OFFSET(C428,-1,0)+1,OFFSET(C428,-1,0)))</f>
        <v/>
      </c>
      <c r="D428" s="200">
        <f>IF(H428="ETAPA",0,IF(H428="SUBETAPA",OFFSET(D428,-1,0)+1,OFFSET(D428,-1,0)))</f>
        <v/>
      </c>
      <c r="E428" s="200">
        <f>IF(H428="Subetapa",0,IF(H428="serviço",OFFSET(E428,-1,0)+1,OFFSET(E428,-1,0)))</f>
        <v/>
      </c>
      <c r="F428" s="31" t="n"/>
      <c r="J428" s="61" t="n"/>
      <c r="K428" s="62" t="n"/>
      <c r="L428" s="63" t="n"/>
      <c r="M428" s="63" t="n"/>
      <c r="N428" s="68" t="n"/>
      <c r="O428" s="68" t="n"/>
      <c r="P428" s="68" t="n"/>
      <c r="Q428" s="68" t="n"/>
      <c r="R428" s="68" t="n"/>
    </row>
    <row r="429" ht="14.1" customFormat="1" customHeight="1" s="60">
      <c r="A429" s="199">
        <f>IF($H429="UNIDADE CONSTRUTIVA",OFFSET(A429,-1,0)+1,LARGE(A$3:A428,1))</f>
        <v/>
      </c>
      <c r="B429" s="199">
        <f>IF(H429="UNIDADE CONSTRUTIVA",0,IF(H429="CÉLULA CONSTRUTIVA",OFFSET(B429,-1,0)+1,OFFSET(B429,-1,0)))</f>
        <v/>
      </c>
      <c r="C429" s="199">
        <f>IF(H429="CÉLULA CONSTRUTIVA",0,IF(H429="ETAPA",OFFSET(C429,-1,0)+1,OFFSET(C429,-1,0)))</f>
        <v/>
      </c>
      <c r="D429" s="200">
        <f>IF(H429="ETAPA",0,IF(H429="SUBETAPA",OFFSET(D429,-1,0)+1,OFFSET(D429,-1,0)))</f>
        <v/>
      </c>
      <c r="E429" s="200">
        <f>IF(H429="Subetapa",0,IF(H429="serviço",OFFSET(E429,-1,0)+1,OFFSET(E429,-1,0)))</f>
        <v/>
      </c>
      <c r="F429" s="31" t="n"/>
      <c r="J429" s="61" t="n"/>
      <c r="K429" s="62" t="n"/>
      <c r="L429" s="63" t="n"/>
      <c r="M429" s="63" t="n"/>
      <c r="N429" s="68" t="n"/>
      <c r="O429" s="68" t="n"/>
      <c r="P429" s="68" t="n"/>
      <c r="Q429" s="68" t="n"/>
      <c r="R429" s="68" t="n"/>
    </row>
    <row r="430" ht="14.1" customFormat="1" customHeight="1" s="60">
      <c r="A430" s="199">
        <f>IF($H430="UNIDADE CONSTRUTIVA",OFFSET(A430,-1,0)+1,LARGE(A$3:A429,1))</f>
        <v/>
      </c>
      <c r="B430" s="199">
        <f>IF(H430="UNIDADE CONSTRUTIVA",0,IF(H430="CÉLULA CONSTRUTIVA",OFFSET(B430,-1,0)+1,OFFSET(B430,-1,0)))</f>
        <v/>
      </c>
      <c r="C430" s="199">
        <f>IF(H430="CÉLULA CONSTRUTIVA",0,IF(H430="ETAPA",OFFSET(C430,-1,0)+1,OFFSET(C430,-1,0)))</f>
        <v/>
      </c>
      <c r="D430" s="200">
        <f>IF(H430="ETAPA",0,IF(H430="SUBETAPA",OFFSET(D430,-1,0)+1,OFFSET(D430,-1,0)))</f>
        <v/>
      </c>
      <c r="E430" s="200">
        <f>IF(H430="Subetapa",0,IF(H430="serviço",OFFSET(E430,-1,0)+1,OFFSET(E430,-1,0)))</f>
        <v/>
      </c>
      <c r="F430" s="31" t="n"/>
      <c r="J430" s="61" t="n"/>
      <c r="K430" s="62" t="n"/>
      <c r="L430" s="63" t="n"/>
      <c r="M430" s="63" t="n"/>
      <c r="N430" s="68" t="n"/>
      <c r="O430" s="68" t="n"/>
      <c r="P430" s="68" t="n"/>
      <c r="Q430" s="68" t="n"/>
      <c r="R430" s="68" t="n"/>
    </row>
    <row r="431" ht="14.1" customFormat="1" customHeight="1" s="60">
      <c r="A431" s="199">
        <f>IF($H431="UNIDADE CONSTRUTIVA",OFFSET(A431,-1,0)+1,LARGE(A$3:A430,1))</f>
        <v/>
      </c>
      <c r="B431" s="199">
        <f>IF(H431="UNIDADE CONSTRUTIVA",0,IF(H431="CÉLULA CONSTRUTIVA",OFFSET(B431,-1,0)+1,OFFSET(B431,-1,0)))</f>
        <v/>
      </c>
      <c r="C431" s="199">
        <f>IF(H431="CÉLULA CONSTRUTIVA",0,IF(H431="ETAPA",OFFSET(C431,-1,0)+1,OFFSET(C431,-1,0)))</f>
        <v/>
      </c>
      <c r="D431" s="200">
        <f>IF(H431="ETAPA",0,IF(H431="SUBETAPA",OFFSET(D431,-1,0)+1,OFFSET(D431,-1,0)))</f>
        <v/>
      </c>
      <c r="E431" s="200">
        <f>IF(H431="Subetapa",0,IF(H431="serviço",OFFSET(E431,-1,0)+1,OFFSET(E431,-1,0)))</f>
        <v/>
      </c>
      <c r="F431" s="31" t="n"/>
      <c r="J431" s="61" t="n"/>
      <c r="K431" s="62" t="n"/>
      <c r="L431" s="63" t="n"/>
      <c r="M431" s="63" t="n"/>
      <c r="N431" s="68" t="n"/>
      <c r="O431" s="68" t="n"/>
      <c r="P431" s="68" t="n"/>
      <c r="Q431" s="68" t="n"/>
      <c r="R431" s="68" t="n"/>
    </row>
    <row r="432" ht="14.1" customFormat="1" customHeight="1" s="60">
      <c r="A432" s="199">
        <f>IF($H432="UNIDADE CONSTRUTIVA",OFFSET(A432,-1,0)+1,LARGE(A$3:A431,1))</f>
        <v/>
      </c>
      <c r="B432" s="199">
        <f>IF(H432="UNIDADE CONSTRUTIVA",0,IF(H432="CÉLULA CONSTRUTIVA",OFFSET(B432,-1,0)+1,OFFSET(B432,-1,0)))</f>
        <v/>
      </c>
      <c r="C432" s="199">
        <f>IF(H432="CÉLULA CONSTRUTIVA",0,IF(H432="ETAPA",OFFSET(C432,-1,0)+1,OFFSET(C432,-1,0)))</f>
        <v/>
      </c>
      <c r="D432" s="200">
        <f>IF(H432="ETAPA",0,IF(H432="SUBETAPA",OFFSET(D432,-1,0)+1,OFFSET(D432,-1,0)))</f>
        <v/>
      </c>
      <c r="E432" s="200">
        <f>IF(H432="Subetapa",0,IF(H432="serviço",OFFSET(E432,-1,0)+1,OFFSET(E432,-1,0)))</f>
        <v/>
      </c>
      <c r="F432" s="31" t="n"/>
      <c r="J432" s="61" t="n"/>
      <c r="K432" s="62" t="n"/>
      <c r="L432" s="63" t="n"/>
      <c r="M432" s="63" t="n"/>
      <c r="N432" s="68" t="n"/>
      <c r="O432" s="68" t="n"/>
      <c r="P432" s="68" t="n"/>
      <c r="Q432" s="68" t="n"/>
      <c r="R432" s="68" t="n"/>
    </row>
    <row r="433" ht="14.1" customFormat="1" customHeight="1" s="60">
      <c r="A433" s="199">
        <f>IF($H433="UNIDADE CONSTRUTIVA",OFFSET(A433,-1,0)+1,LARGE(A$3:A432,1))</f>
        <v/>
      </c>
      <c r="B433" s="199">
        <f>IF(H433="UNIDADE CONSTRUTIVA",0,IF(H433="CÉLULA CONSTRUTIVA",OFFSET(B433,-1,0)+1,OFFSET(B433,-1,0)))</f>
        <v/>
      </c>
      <c r="C433" s="199">
        <f>IF(H433="CÉLULA CONSTRUTIVA",0,IF(H433="ETAPA",OFFSET(C433,-1,0)+1,OFFSET(C433,-1,0)))</f>
        <v/>
      </c>
      <c r="D433" s="200">
        <f>IF(H433="ETAPA",0,IF(H433="SUBETAPA",OFFSET(D433,-1,0)+1,OFFSET(D433,-1,0)))</f>
        <v/>
      </c>
      <c r="E433" s="200">
        <f>IF(H433="Subetapa",0,IF(H433="serviço",OFFSET(E433,-1,0)+1,OFFSET(E433,-1,0)))</f>
        <v/>
      </c>
      <c r="F433" s="31" t="n"/>
      <c r="J433" s="61" t="n"/>
      <c r="K433" s="62" t="n"/>
      <c r="L433" s="63" t="n"/>
      <c r="M433" s="63" t="n"/>
      <c r="N433" s="68" t="n"/>
      <c r="O433" s="68" t="n"/>
      <c r="P433" s="68" t="n"/>
      <c r="Q433" s="68" t="n"/>
      <c r="R433" s="68" t="n"/>
    </row>
    <row r="434" ht="14.1" customFormat="1" customHeight="1" s="60">
      <c r="A434" s="199">
        <f>IF($H434="UNIDADE CONSTRUTIVA",OFFSET(A434,-1,0)+1,LARGE(A$3:A433,1))</f>
        <v/>
      </c>
      <c r="B434" s="199">
        <f>IF(H434="UNIDADE CONSTRUTIVA",0,IF(H434="CÉLULA CONSTRUTIVA",OFFSET(B434,-1,0)+1,OFFSET(B434,-1,0)))</f>
        <v/>
      </c>
      <c r="C434" s="199">
        <f>IF(H434="CÉLULA CONSTRUTIVA",0,IF(H434="ETAPA",OFFSET(C434,-1,0)+1,OFFSET(C434,-1,0)))</f>
        <v/>
      </c>
      <c r="D434" s="200">
        <f>IF(H434="ETAPA",0,IF(H434="SUBETAPA",OFFSET(D434,-1,0)+1,OFFSET(D434,-1,0)))</f>
        <v/>
      </c>
      <c r="E434" s="200">
        <f>IF(H434="Subetapa",0,IF(H434="serviço",OFFSET(E434,-1,0)+1,OFFSET(E434,-1,0)))</f>
        <v/>
      </c>
      <c r="F434" s="31" t="n"/>
      <c r="J434" s="61" t="n"/>
      <c r="K434" s="62" t="n"/>
      <c r="L434" s="63" t="n"/>
      <c r="M434" s="63" t="n"/>
      <c r="N434" s="68" t="n"/>
      <c r="O434" s="68" t="n"/>
      <c r="P434" s="68" t="n"/>
      <c r="Q434" s="68" t="n"/>
      <c r="R434" s="68" t="n"/>
    </row>
    <row r="435" ht="14.1" customFormat="1" customHeight="1" s="60">
      <c r="A435" s="199">
        <f>IF($H435="UNIDADE CONSTRUTIVA",OFFSET(A435,-1,0)+1,LARGE(A$3:A434,1))</f>
        <v/>
      </c>
      <c r="B435" s="199">
        <f>IF(H435="UNIDADE CONSTRUTIVA",0,IF(H435="CÉLULA CONSTRUTIVA",OFFSET(B435,-1,0)+1,OFFSET(B435,-1,0)))</f>
        <v/>
      </c>
      <c r="C435" s="199">
        <f>IF(H435="CÉLULA CONSTRUTIVA",0,IF(H435="ETAPA",OFFSET(C435,-1,0)+1,OFFSET(C435,-1,0)))</f>
        <v/>
      </c>
      <c r="D435" s="200">
        <f>IF(H435="ETAPA",0,IF(H435="SUBETAPA",OFFSET(D435,-1,0)+1,OFFSET(D435,-1,0)))</f>
        <v/>
      </c>
      <c r="E435" s="200">
        <f>IF(H435="Subetapa",0,IF(H435="serviço",OFFSET(E435,-1,0)+1,OFFSET(E435,-1,0)))</f>
        <v/>
      </c>
      <c r="F435" s="31" t="n"/>
      <c r="J435" s="61" t="n"/>
      <c r="K435" s="62" t="n"/>
      <c r="L435" s="63" t="n"/>
      <c r="M435" s="63" t="n"/>
      <c r="N435" s="68" t="n"/>
      <c r="O435" s="68" t="n"/>
      <c r="P435" s="68" t="n"/>
      <c r="Q435" s="68" t="n"/>
      <c r="R435" s="68" t="n"/>
    </row>
    <row r="436" ht="14.1" customFormat="1" customHeight="1" s="60">
      <c r="A436" s="199">
        <f>IF($H436="UNIDADE CONSTRUTIVA",OFFSET(A436,-1,0)+1,LARGE(A$3:A435,1))</f>
        <v/>
      </c>
      <c r="B436" s="199">
        <f>IF(H436="UNIDADE CONSTRUTIVA",0,IF(H436="CÉLULA CONSTRUTIVA",OFFSET(B436,-1,0)+1,OFFSET(B436,-1,0)))</f>
        <v/>
      </c>
      <c r="C436" s="199">
        <f>IF(H436="CÉLULA CONSTRUTIVA",0,IF(H436="ETAPA",OFFSET(C436,-1,0)+1,OFFSET(C436,-1,0)))</f>
        <v/>
      </c>
      <c r="D436" s="200">
        <f>IF(H436="ETAPA",0,IF(H436="SUBETAPA",OFFSET(D436,-1,0)+1,OFFSET(D436,-1,0)))</f>
        <v/>
      </c>
      <c r="E436" s="200">
        <f>IF(H436="Subetapa",0,IF(H436="serviço",OFFSET(E436,-1,0)+1,OFFSET(E436,-1,0)))</f>
        <v/>
      </c>
      <c r="F436" s="31" t="n"/>
      <c r="J436" s="61" t="n"/>
      <c r="K436" s="62" t="n"/>
      <c r="L436" s="63" t="n"/>
      <c r="M436" s="63" t="n"/>
      <c r="N436" s="68" t="n"/>
      <c r="O436" s="68" t="n"/>
      <c r="P436" s="68" t="n"/>
      <c r="Q436" s="68" t="n"/>
      <c r="R436" s="68" t="n"/>
    </row>
    <row r="437" ht="14.1" customFormat="1" customHeight="1" s="60">
      <c r="A437" s="199">
        <f>IF($H437="UNIDADE CONSTRUTIVA",OFFSET(A437,-1,0)+1,LARGE(A$3:A436,1))</f>
        <v/>
      </c>
      <c r="B437" s="199">
        <f>IF(H437="UNIDADE CONSTRUTIVA",0,IF(H437="CÉLULA CONSTRUTIVA",OFFSET(B437,-1,0)+1,OFFSET(B437,-1,0)))</f>
        <v/>
      </c>
      <c r="C437" s="199">
        <f>IF(H437="CÉLULA CONSTRUTIVA",0,IF(H437="ETAPA",OFFSET(C437,-1,0)+1,OFFSET(C437,-1,0)))</f>
        <v/>
      </c>
      <c r="D437" s="200">
        <f>IF(H437="ETAPA",0,IF(H437="SUBETAPA",OFFSET(D437,-1,0)+1,OFFSET(D437,-1,0)))</f>
        <v/>
      </c>
      <c r="E437" s="200">
        <f>IF(H437="Subetapa",0,IF(H437="serviço",OFFSET(E437,-1,0)+1,OFFSET(E437,-1,0)))</f>
        <v/>
      </c>
      <c r="F437" s="31" t="n"/>
      <c r="J437" s="61" t="n"/>
      <c r="K437" s="62" t="n"/>
      <c r="L437" s="63" t="n"/>
      <c r="M437" s="63" t="n"/>
      <c r="N437" s="68" t="n"/>
      <c r="O437" s="68" t="n"/>
      <c r="P437" s="68" t="n"/>
      <c r="Q437" s="68" t="n"/>
      <c r="R437" s="68" t="n"/>
    </row>
    <row r="438" ht="14.1" customFormat="1" customHeight="1" s="60">
      <c r="A438" s="199">
        <f>IF($H438="UNIDADE CONSTRUTIVA",OFFSET(A438,-1,0)+1,LARGE(A$3:A437,1))</f>
        <v/>
      </c>
      <c r="B438" s="199">
        <f>IF(H438="UNIDADE CONSTRUTIVA",0,IF(H438="CÉLULA CONSTRUTIVA",OFFSET(B438,-1,0)+1,OFFSET(B438,-1,0)))</f>
        <v/>
      </c>
      <c r="C438" s="199">
        <f>IF(H438="CÉLULA CONSTRUTIVA",0,IF(H438="ETAPA",OFFSET(C438,-1,0)+1,OFFSET(C438,-1,0)))</f>
        <v/>
      </c>
      <c r="D438" s="200">
        <f>IF(H438="ETAPA",0,IF(H438="SUBETAPA",OFFSET(D438,-1,0)+1,OFFSET(D438,-1,0)))</f>
        <v/>
      </c>
      <c r="E438" s="200">
        <f>IF(H438="Subetapa",0,IF(H438="serviço",OFFSET(E438,-1,0)+1,OFFSET(E438,-1,0)))</f>
        <v/>
      </c>
      <c r="F438" s="31" t="n"/>
      <c r="J438" s="61" t="n"/>
      <c r="K438" s="62" t="n"/>
      <c r="L438" s="63" t="n"/>
      <c r="M438" s="63" t="n"/>
      <c r="N438" s="68" t="n"/>
      <c r="O438" s="68" t="n"/>
      <c r="P438" s="68" t="n"/>
      <c r="Q438" s="68" t="n"/>
      <c r="R438" s="68" t="n"/>
    </row>
    <row r="439" ht="14.1" customFormat="1" customHeight="1" s="60">
      <c r="A439" s="199">
        <f>IF($H439="UNIDADE CONSTRUTIVA",OFFSET(A439,-1,0)+1,LARGE(A$3:A438,1))</f>
        <v/>
      </c>
      <c r="B439" s="199">
        <f>IF(H439="UNIDADE CONSTRUTIVA",0,IF(H439="CÉLULA CONSTRUTIVA",OFFSET(B439,-1,0)+1,OFFSET(B439,-1,0)))</f>
        <v/>
      </c>
      <c r="C439" s="199">
        <f>IF(H439="CÉLULA CONSTRUTIVA",0,IF(H439="ETAPA",OFFSET(C439,-1,0)+1,OFFSET(C439,-1,0)))</f>
        <v/>
      </c>
      <c r="D439" s="200">
        <f>IF(H439="ETAPA",0,IF(H439="SUBETAPA",OFFSET(D439,-1,0)+1,OFFSET(D439,-1,0)))</f>
        <v/>
      </c>
      <c r="E439" s="200">
        <f>IF(H439="Subetapa",0,IF(H439="serviço",OFFSET(E439,-1,0)+1,OFFSET(E439,-1,0)))</f>
        <v/>
      </c>
      <c r="F439" s="31" t="n"/>
      <c r="J439" s="61" t="n"/>
      <c r="K439" s="62" t="n"/>
      <c r="L439" s="63" t="n"/>
      <c r="M439" s="63" t="n"/>
      <c r="N439" s="68" t="n"/>
      <c r="O439" s="68" t="n"/>
      <c r="P439" s="68" t="n"/>
      <c r="Q439" s="68" t="n"/>
      <c r="R439" s="68" t="n"/>
    </row>
    <row r="440" ht="14.1" customFormat="1" customHeight="1" s="60">
      <c r="A440" s="199">
        <f>IF($H440="UNIDADE CONSTRUTIVA",OFFSET(A440,-1,0)+1,LARGE(A$3:A439,1))</f>
        <v/>
      </c>
      <c r="B440" s="199">
        <f>IF(H440="UNIDADE CONSTRUTIVA",0,IF(H440="CÉLULA CONSTRUTIVA",OFFSET(B440,-1,0)+1,OFFSET(B440,-1,0)))</f>
        <v/>
      </c>
      <c r="C440" s="199">
        <f>IF(H440="CÉLULA CONSTRUTIVA",0,IF(H440="ETAPA",OFFSET(C440,-1,0)+1,OFFSET(C440,-1,0)))</f>
        <v/>
      </c>
      <c r="D440" s="200">
        <f>IF(H440="ETAPA",0,IF(H440="SUBETAPA",OFFSET(D440,-1,0)+1,OFFSET(D440,-1,0)))</f>
        <v/>
      </c>
      <c r="E440" s="200">
        <f>IF(H440="Subetapa",0,IF(H440="serviço",OFFSET(E440,-1,0)+1,OFFSET(E440,-1,0)))</f>
        <v/>
      </c>
      <c r="F440" s="31" t="n"/>
      <c r="J440" s="61" t="n"/>
      <c r="K440" s="62" t="n"/>
      <c r="L440" s="63" t="n"/>
      <c r="M440" s="63" t="n"/>
      <c r="N440" s="68" t="n"/>
      <c r="O440" s="68" t="n"/>
      <c r="P440" s="68" t="n"/>
      <c r="Q440" s="68" t="n"/>
      <c r="R440" s="68" t="n"/>
    </row>
    <row r="441" ht="14.1" customFormat="1" customHeight="1" s="60">
      <c r="A441" s="199">
        <f>IF($H441="UNIDADE CONSTRUTIVA",OFFSET(A441,-1,0)+1,LARGE(A$3:A440,1))</f>
        <v/>
      </c>
      <c r="B441" s="199">
        <f>IF(H441="UNIDADE CONSTRUTIVA",0,IF(H441="CÉLULA CONSTRUTIVA",OFFSET(B441,-1,0)+1,OFFSET(B441,-1,0)))</f>
        <v/>
      </c>
      <c r="C441" s="199">
        <f>IF(H441="CÉLULA CONSTRUTIVA",0,IF(H441="ETAPA",OFFSET(C441,-1,0)+1,OFFSET(C441,-1,0)))</f>
        <v/>
      </c>
      <c r="D441" s="200">
        <f>IF(H441="ETAPA",0,IF(H441="SUBETAPA",OFFSET(D441,-1,0)+1,OFFSET(D441,-1,0)))</f>
        <v/>
      </c>
      <c r="E441" s="200">
        <f>IF(H441="Subetapa",0,IF(H441="serviço",OFFSET(E441,-1,0)+1,OFFSET(E441,-1,0)))</f>
        <v/>
      </c>
      <c r="F441" s="31" t="n"/>
      <c r="J441" s="61" t="n"/>
      <c r="K441" s="62" t="n"/>
      <c r="L441" s="63" t="n"/>
      <c r="M441" s="63" t="n"/>
      <c r="N441" s="68" t="n"/>
      <c r="O441" s="68" t="n"/>
      <c r="P441" s="68" t="n"/>
      <c r="Q441" s="68" t="n"/>
      <c r="R441" s="68" t="n"/>
    </row>
    <row r="442" ht="14.1" customFormat="1" customHeight="1" s="60">
      <c r="A442" s="199">
        <f>IF($H442="UNIDADE CONSTRUTIVA",OFFSET(A442,-1,0)+1,LARGE(A$3:A441,1))</f>
        <v/>
      </c>
      <c r="B442" s="199">
        <f>IF(H442="UNIDADE CONSTRUTIVA",0,IF(H442="CÉLULA CONSTRUTIVA",OFFSET(B442,-1,0)+1,OFFSET(B442,-1,0)))</f>
        <v/>
      </c>
      <c r="C442" s="199">
        <f>IF(H442="CÉLULA CONSTRUTIVA",0,IF(H442="ETAPA",OFFSET(C442,-1,0)+1,OFFSET(C442,-1,0)))</f>
        <v/>
      </c>
      <c r="D442" s="200">
        <f>IF(H442="ETAPA",0,IF(H442="SUBETAPA",OFFSET(D442,-1,0)+1,OFFSET(D442,-1,0)))</f>
        <v/>
      </c>
      <c r="E442" s="200">
        <f>IF(H442="Subetapa",0,IF(H442="serviço",OFFSET(E442,-1,0)+1,OFFSET(E442,-1,0)))</f>
        <v/>
      </c>
      <c r="F442" s="31" t="n"/>
      <c r="J442" s="61" t="n"/>
      <c r="K442" s="62" t="n"/>
      <c r="L442" s="63" t="n"/>
      <c r="M442" s="63" t="n"/>
      <c r="N442" s="68" t="n"/>
      <c r="O442" s="68" t="n"/>
      <c r="P442" s="68" t="n"/>
      <c r="Q442" s="68" t="n"/>
      <c r="R442" s="68" t="n"/>
    </row>
    <row r="443" ht="14.1" customFormat="1" customHeight="1" s="60">
      <c r="A443" s="199">
        <f>IF($H443="UNIDADE CONSTRUTIVA",OFFSET(A443,-1,0)+1,LARGE(A$3:A442,1))</f>
        <v/>
      </c>
      <c r="B443" s="199">
        <f>IF(H443="UNIDADE CONSTRUTIVA",0,IF(H443="CÉLULA CONSTRUTIVA",OFFSET(B443,-1,0)+1,OFFSET(B443,-1,0)))</f>
        <v/>
      </c>
      <c r="C443" s="199">
        <f>IF(H443="CÉLULA CONSTRUTIVA",0,IF(H443="ETAPA",OFFSET(C443,-1,0)+1,OFFSET(C443,-1,0)))</f>
        <v/>
      </c>
      <c r="D443" s="200">
        <f>IF(H443="ETAPA",0,IF(H443="SUBETAPA",OFFSET(D443,-1,0)+1,OFFSET(D443,-1,0)))</f>
        <v/>
      </c>
      <c r="E443" s="200">
        <f>IF(H443="Subetapa",0,IF(H443="serviço",OFFSET(E443,-1,0)+1,OFFSET(E443,-1,0)))</f>
        <v/>
      </c>
      <c r="F443" s="31" t="n"/>
      <c r="J443" s="61" t="n"/>
      <c r="K443" s="62" t="n"/>
      <c r="L443" s="63" t="n"/>
      <c r="M443" s="63" t="n"/>
      <c r="N443" s="68" t="n"/>
      <c r="O443" s="68" t="n"/>
      <c r="P443" s="68" t="n"/>
      <c r="Q443" s="68" t="n"/>
      <c r="R443" s="68" t="n"/>
    </row>
    <row r="444" ht="14.1" customFormat="1" customHeight="1" s="60">
      <c r="A444" s="199">
        <f>IF($H444="UNIDADE CONSTRUTIVA",OFFSET(A444,-1,0)+1,LARGE(A$3:A443,1))</f>
        <v/>
      </c>
      <c r="B444" s="199">
        <f>IF(H444="UNIDADE CONSTRUTIVA",0,IF(H444="CÉLULA CONSTRUTIVA",OFFSET(B444,-1,0)+1,OFFSET(B444,-1,0)))</f>
        <v/>
      </c>
      <c r="C444" s="199">
        <f>IF(H444="CÉLULA CONSTRUTIVA",0,IF(H444="ETAPA",OFFSET(C444,-1,0)+1,OFFSET(C444,-1,0)))</f>
        <v/>
      </c>
      <c r="D444" s="200">
        <f>IF(H444="ETAPA",0,IF(H444="SUBETAPA",OFFSET(D444,-1,0)+1,OFFSET(D444,-1,0)))</f>
        <v/>
      </c>
      <c r="E444" s="200">
        <f>IF(H444="Subetapa",0,IF(H444="serviço",OFFSET(E444,-1,0)+1,OFFSET(E444,-1,0)))</f>
        <v/>
      </c>
      <c r="F444" s="31" t="n"/>
      <c r="J444" s="61" t="n"/>
      <c r="K444" s="62" t="n"/>
      <c r="L444" s="63" t="n"/>
      <c r="M444" s="63" t="n"/>
      <c r="N444" s="68" t="n"/>
      <c r="O444" s="68" t="n"/>
      <c r="P444" s="68" t="n"/>
      <c r="Q444" s="68" t="n"/>
      <c r="R444" s="68" t="n"/>
    </row>
    <row r="445" ht="14.1" customFormat="1" customHeight="1" s="60">
      <c r="A445" s="199">
        <f>IF($H445="UNIDADE CONSTRUTIVA",OFFSET(A445,-1,0)+1,LARGE(A$3:A444,1))</f>
        <v/>
      </c>
      <c r="B445" s="199">
        <f>IF(H445="UNIDADE CONSTRUTIVA",0,IF(H445="CÉLULA CONSTRUTIVA",OFFSET(B445,-1,0)+1,OFFSET(B445,-1,0)))</f>
        <v/>
      </c>
      <c r="C445" s="199">
        <f>IF(H445="CÉLULA CONSTRUTIVA",0,IF(H445="ETAPA",OFFSET(C445,-1,0)+1,OFFSET(C445,-1,0)))</f>
        <v/>
      </c>
      <c r="D445" s="200">
        <f>IF(H445="ETAPA",0,IF(H445="SUBETAPA",OFFSET(D445,-1,0)+1,OFFSET(D445,-1,0)))</f>
        <v/>
      </c>
      <c r="E445" s="200">
        <f>IF(H445="Subetapa",0,IF(H445="serviço",OFFSET(E445,-1,0)+1,OFFSET(E445,-1,0)))</f>
        <v/>
      </c>
      <c r="F445" s="31" t="n"/>
      <c r="J445" s="61" t="n"/>
      <c r="K445" s="62" t="n"/>
      <c r="L445" s="63" t="n"/>
      <c r="M445" s="63" t="n"/>
      <c r="N445" s="68" t="n"/>
      <c r="O445" s="68" t="n"/>
      <c r="P445" s="68" t="n"/>
      <c r="Q445" s="68" t="n"/>
      <c r="R445" s="68" t="n"/>
    </row>
    <row r="446" ht="14.1" customFormat="1" customHeight="1" s="60">
      <c r="A446" s="199">
        <f>IF($H446="UNIDADE CONSTRUTIVA",OFFSET(A446,-1,0)+1,LARGE(A$3:A445,1))</f>
        <v/>
      </c>
      <c r="B446" s="199">
        <f>IF(H446="UNIDADE CONSTRUTIVA",0,IF(H446="CÉLULA CONSTRUTIVA",OFFSET(B446,-1,0)+1,OFFSET(B446,-1,0)))</f>
        <v/>
      </c>
      <c r="C446" s="199">
        <f>IF(H446="CÉLULA CONSTRUTIVA",0,IF(H446="ETAPA",OFFSET(C446,-1,0)+1,OFFSET(C446,-1,0)))</f>
        <v/>
      </c>
      <c r="D446" s="200">
        <f>IF(H446="ETAPA",0,IF(H446="SUBETAPA",OFFSET(D446,-1,0)+1,OFFSET(D446,-1,0)))</f>
        <v/>
      </c>
      <c r="E446" s="200">
        <f>IF(H446="Subetapa",0,IF(H446="serviço",OFFSET(E446,-1,0)+1,OFFSET(E446,-1,0)))</f>
        <v/>
      </c>
      <c r="F446" s="31" t="n"/>
      <c r="J446" s="61" t="n"/>
      <c r="K446" s="62" t="n"/>
      <c r="L446" s="63" t="n"/>
      <c r="M446" s="63" t="n"/>
      <c r="N446" s="68" t="n"/>
      <c r="O446" s="68" t="n"/>
      <c r="P446" s="68" t="n"/>
      <c r="Q446" s="68" t="n"/>
      <c r="R446" s="68" t="n"/>
    </row>
    <row r="447" ht="14.1" customFormat="1" customHeight="1" s="60">
      <c r="A447" s="199">
        <f>IF($H447="UNIDADE CONSTRUTIVA",OFFSET(A447,-1,0)+1,LARGE(A$3:A446,1))</f>
        <v/>
      </c>
      <c r="B447" s="199">
        <f>IF(H447="UNIDADE CONSTRUTIVA",0,IF(H447="CÉLULA CONSTRUTIVA",OFFSET(B447,-1,0)+1,OFFSET(B447,-1,0)))</f>
        <v/>
      </c>
      <c r="C447" s="199">
        <f>IF(H447="CÉLULA CONSTRUTIVA",0,IF(H447="ETAPA",OFFSET(C447,-1,0)+1,OFFSET(C447,-1,0)))</f>
        <v/>
      </c>
      <c r="D447" s="200">
        <f>IF(H447="ETAPA",0,IF(H447="SUBETAPA",OFFSET(D447,-1,0)+1,OFFSET(D447,-1,0)))</f>
        <v/>
      </c>
      <c r="E447" s="200">
        <f>IF(H447="Subetapa",0,IF(H447="serviço",OFFSET(E447,-1,0)+1,OFFSET(E447,-1,0)))</f>
        <v/>
      </c>
      <c r="F447" s="31" t="n"/>
      <c r="J447" s="61" t="n"/>
      <c r="K447" s="62" t="n"/>
      <c r="L447" s="63" t="n"/>
      <c r="M447" s="63" t="n"/>
      <c r="N447" s="68" t="n"/>
      <c r="O447" s="68" t="n"/>
      <c r="P447" s="68" t="n"/>
      <c r="Q447" s="68" t="n"/>
      <c r="R447" s="68" t="n"/>
    </row>
    <row r="448" ht="14.1" customFormat="1" customHeight="1" s="60">
      <c r="A448" s="199">
        <f>IF($H448="UNIDADE CONSTRUTIVA",OFFSET(A448,-1,0)+1,LARGE(A$3:A447,1))</f>
        <v/>
      </c>
      <c r="B448" s="199">
        <f>IF(H448="UNIDADE CONSTRUTIVA",0,IF(H448="CÉLULA CONSTRUTIVA",OFFSET(B448,-1,0)+1,OFFSET(B448,-1,0)))</f>
        <v/>
      </c>
      <c r="C448" s="199">
        <f>IF(H448="CÉLULA CONSTRUTIVA",0,IF(H448="ETAPA",OFFSET(C448,-1,0)+1,OFFSET(C448,-1,0)))</f>
        <v/>
      </c>
      <c r="D448" s="200">
        <f>IF(H448="ETAPA",0,IF(H448="SUBETAPA",OFFSET(D448,-1,0)+1,OFFSET(D448,-1,0)))</f>
        <v/>
      </c>
      <c r="E448" s="200">
        <f>IF(H448="Subetapa",0,IF(H448="serviço",OFFSET(E448,-1,0)+1,OFFSET(E448,-1,0)))</f>
        <v/>
      </c>
      <c r="F448" s="31" t="n"/>
      <c r="J448" s="61" t="n"/>
      <c r="K448" s="62" t="n"/>
      <c r="L448" s="63" t="n"/>
      <c r="M448" s="63" t="n"/>
      <c r="N448" s="68" t="n"/>
      <c r="O448" s="68" t="n"/>
      <c r="P448" s="68" t="n"/>
      <c r="Q448" s="68" t="n"/>
      <c r="R448" s="68" t="n"/>
    </row>
    <row r="449" ht="14.1" customFormat="1" customHeight="1" s="60">
      <c r="A449" s="199">
        <f>IF($H449="UNIDADE CONSTRUTIVA",OFFSET(A449,-1,0)+1,LARGE(A$3:A448,1))</f>
        <v/>
      </c>
      <c r="B449" s="199">
        <f>IF(H449="UNIDADE CONSTRUTIVA",0,IF(H449="CÉLULA CONSTRUTIVA",OFFSET(B449,-1,0)+1,OFFSET(B449,-1,0)))</f>
        <v/>
      </c>
      <c r="C449" s="199">
        <f>IF(H449="CÉLULA CONSTRUTIVA",0,IF(H449="ETAPA",OFFSET(C449,-1,0)+1,OFFSET(C449,-1,0)))</f>
        <v/>
      </c>
      <c r="D449" s="200">
        <f>IF(H449="ETAPA",0,IF(H449="SUBETAPA",OFFSET(D449,-1,0)+1,OFFSET(D449,-1,0)))</f>
        <v/>
      </c>
      <c r="E449" s="200">
        <f>IF(H449="Subetapa",0,IF(H449="serviço",OFFSET(E449,-1,0)+1,OFFSET(E449,-1,0)))</f>
        <v/>
      </c>
      <c r="F449" s="31" t="n"/>
      <c r="J449" s="61" t="n"/>
      <c r="K449" s="62" t="n"/>
      <c r="L449" s="63" t="n"/>
      <c r="M449" s="63" t="n"/>
      <c r="N449" s="68" t="n"/>
      <c r="O449" s="68" t="n"/>
      <c r="P449" s="68" t="n"/>
      <c r="Q449" s="68" t="n"/>
      <c r="R449" s="68" t="n"/>
    </row>
    <row r="450" ht="14.1" customFormat="1" customHeight="1" s="60">
      <c r="A450" s="199">
        <f>IF($H450="UNIDADE CONSTRUTIVA",OFFSET(A450,-1,0)+1,LARGE(A$3:A449,1))</f>
        <v/>
      </c>
      <c r="B450" s="199">
        <f>IF(H450="UNIDADE CONSTRUTIVA",0,IF(H450="CÉLULA CONSTRUTIVA",OFFSET(B450,-1,0)+1,OFFSET(B450,-1,0)))</f>
        <v/>
      </c>
      <c r="C450" s="199">
        <f>IF(H450="CÉLULA CONSTRUTIVA",0,IF(H450="ETAPA",OFFSET(C450,-1,0)+1,OFFSET(C450,-1,0)))</f>
        <v/>
      </c>
      <c r="D450" s="200">
        <f>IF(H450="ETAPA",0,IF(H450="SUBETAPA",OFFSET(D450,-1,0)+1,OFFSET(D450,-1,0)))</f>
        <v/>
      </c>
      <c r="E450" s="200">
        <f>IF(H450="Subetapa",0,IF(H450="serviço",OFFSET(E450,-1,0)+1,OFFSET(E450,-1,0)))</f>
        <v/>
      </c>
      <c r="F450" s="31" t="n"/>
      <c r="J450" s="61" t="n"/>
      <c r="K450" s="62" t="n"/>
      <c r="L450" s="63" t="n"/>
      <c r="M450" s="63" t="n"/>
      <c r="N450" s="68" t="n"/>
      <c r="O450" s="68" t="n"/>
      <c r="P450" s="68" t="n"/>
      <c r="Q450" s="68" t="n"/>
      <c r="R450" s="68" t="n"/>
    </row>
    <row r="451" ht="14.1" customFormat="1" customHeight="1" s="60">
      <c r="A451" s="199">
        <f>IF($H451="UNIDADE CONSTRUTIVA",OFFSET(A451,-1,0)+1,LARGE(A$3:A450,1))</f>
        <v/>
      </c>
      <c r="B451" s="199">
        <f>IF(H451="UNIDADE CONSTRUTIVA",0,IF(H451="CÉLULA CONSTRUTIVA",OFFSET(B451,-1,0)+1,OFFSET(B451,-1,0)))</f>
        <v/>
      </c>
      <c r="C451" s="199">
        <f>IF(H451="CÉLULA CONSTRUTIVA",0,IF(H451="ETAPA",OFFSET(C451,-1,0)+1,OFFSET(C451,-1,0)))</f>
        <v/>
      </c>
      <c r="D451" s="200">
        <f>IF(H451="ETAPA",0,IF(H451="SUBETAPA",OFFSET(D451,-1,0)+1,OFFSET(D451,-1,0)))</f>
        <v/>
      </c>
      <c r="E451" s="200">
        <f>IF(H451="Subetapa",0,IF(H451="serviço",OFFSET(E451,-1,0)+1,OFFSET(E451,-1,0)))</f>
        <v/>
      </c>
      <c r="F451" s="31" t="n"/>
      <c r="J451" s="61" t="n"/>
      <c r="K451" s="62" t="n"/>
      <c r="L451" s="63" t="n"/>
      <c r="M451" s="63" t="n"/>
      <c r="N451" s="68" t="n"/>
      <c r="O451" s="68" t="n"/>
      <c r="P451" s="68" t="n"/>
      <c r="Q451" s="68" t="n"/>
      <c r="R451" s="68" t="n"/>
    </row>
    <row r="452" ht="14.1" customFormat="1" customHeight="1" s="60">
      <c r="A452" s="199">
        <f>IF($H452="UNIDADE CONSTRUTIVA",OFFSET(A452,-1,0)+1,LARGE(A$3:A451,1))</f>
        <v/>
      </c>
      <c r="B452" s="199">
        <f>IF(H452="UNIDADE CONSTRUTIVA",0,IF(H452="CÉLULA CONSTRUTIVA",OFFSET(B452,-1,0)+1,OFFSET(B452,-1,0)))</f>
        <v/>
      </c>
      <c r="C452" s="199">
        <f>IF(H452="CÉLULA CONSTRUTIVA",0,IF(H452="ETAPA",OFFSET(C452,-1,0)+1,OFFSET(C452,-1,0)))</f>
        <v/>
      </c>
      <c r="D452" s="200">
        <f>IF(H452="ETAPA",0,IF(H452="SUBETAPA",OFFSET(D452,-1,0)+1,OFFSET(D452,-1,0)))</f>
        <v/>
      </c>
      <c r="E452" s="200">
        <f>IF(H452="Subetapa",0,IF(H452="serviço",OFFSET(E452,-1,0)+1,OFFSET(E452,-1,0)))</f>
        <v/>
      </c>
      <c r="F452" s="31" t="n"/>
      <c r="J452" s="61" t="n"/>
      <c r="K452" s="62" t="n"/>
      <c r="L452" s="63" t="n"/>
      <c r="M452" s="63" t="n"/>
      <c r="N452" s="68" t="n"/>
      <c r="O452" s="68" t="n"/>
      <c r="P452" s="68" t="n"/>
      <c r="Q452" s="68" t="n"/>
      <c r="R452" s="68" t="n"/>
    </row>
    <row r="453" ht="14.1" customFormat="1" customHeight="1" s="60">
      <c r="A453" s="199">
        <f>IF($H453="UNIDADE CONSTRUTIVA",OFFSET(A453,-1,0)+1,LARGE(A$3:A452,1))</f>
        <v/>
      </c>
      <c r="B453" s="199">
        <f>IF(H453="UNIDADE CONSTRUTIVA",0,IF(H453="CÉLULA CONSTRUTIVA",OFFSET(B453,-1,0)+1,OFFSET(B453,-1,0)))</f>
        <v/>
      </c>
      <c r="C453" s="199">
        <f>IF(H453="CÉLULA CONSTRUTIVA",0,IF(H453="ETAPA",OFFSET(C453,-1,0)+1,OFFSET(C453,-1,0)))</f>
        <v/>
      </c>
      <c r="D453" s="200">
        <f>IF(H453="ETAPA",0,IF(H453="SUBETAPA",OFFSET(D453,-1,0)+1,OFFSET(D453,-1,0)))</f>
        <v/>
      </c>
      <c r="E453" s="200">
        <f>IF(H453="Subetapa",0,IF(H453="serviço",OFFSET(E453,-1,0)+1,OFFSET(E453,-1,0)))</f>
        <v/>
      </c>
      <c r="F453" s="31" t="n"/>
      <c r="J453" s="61" t="n"/>
      <c r="K453" s="62" t="n"/>
      <c r="L453" s="63" t="n"/>
      <c r="M453" s="63" t="n"/>
      <c r="N453" s="68" t="n"/>
      <c r="O453" s="68" t="n"/>
      <c r="P453" s="68" t="n"/>
      <c r="Q453" s="68" t="n"/>
      <c r="R453" s="68" t="n"/>
    </row>
    <row r="454" ht="14.1" customFormat="1" customHeight="1" s="60">
      <c r="A454" s="199">
        <f>IF($H454="UNIDADE CONSTRUTIVA",OFFSET(A454,-1,0)+1,LARGE(A$3:A453,1))</f>
        <v/>
      </c>
      <c r="B454" s="199">
        <f>IF(H454="UNIDADE CONSTRUTIVA",0,IF(H454="CÉLULA CONSTRUTIVA",OFFSET(B454,-1,0)+1,OFFSET(B454,-1,0)))</f>
        <v/>
      </c>
      <c r="C454" s="199">
        <f>IF(H454="CÉLULA CONSTRUTIVA",0,IF(H454="ETAPA",OFFSET(C454,-1,0)+1,OFFSET(C454,-1,0)))</f>
        <v/>
      </c>
      <c r="D454" s="200">
        <f>IF(H454="ETAPA",0,IF(H454="SUBETAPA",OFFSET(D454,-1,0)+1,OFFSET(D454,-1,0)))</f>
        <v/>
      </c>
      <c r="E454" s="200">
        <f>IF(H454="Subetapa",0,IF(H454="serviço",OFFSET(E454,-1,0)+1,OFFSET(E454,-1,0)))</f>
        <v/>
      </c>
      <c r="F454" s="31" t="n"/>
      <c r="J454" s="61" t="n"/>
      <c r="K454" s="62" t="n"/>
      <c r="L454" s="63" t="n"/>
      <c r="M454" s="63" t="n"/>
      <c r="N454" s="68" t="n"/>
      <c r="O454" s="68" t="n"/>
      <c r="P454" s="68" t="n"/>
      <c r="Q454" s="68" t="n"/>
      <c r="R454" s="68" t="n"/>
    </row>
    <row r="455" ht="14.1" customFormat="1" customHeight="1" s="60">
      <c r="A455" s="199">
        <f>IF($H455="UNIDADE CONSTRUTIVA",OFFSET(A455,-1,0)+1,LARGE(A$3:A454,1))</f>
        <v/>
      </c>
      <c r="B455" s="199">
        <f>IF(H455="UNIDADE CONSTRUTIVA",0,IF(H455="CÉLULA CONSTRUTIVA",OFFSET(B455,-1,0)+1,OFFSET(B455,-1,0)))</f>
        <v/>
      </c>
      <c r="C455" s="199">
        <f>IF(H455="CÉLULA CONSTRUTIVA",0,IF(H455="ETAPA",OFFSET(C455,-1,0)+1,OFFSET(C455,-1,0)))</f>
        <v/>
      </c>
      <c r="D455" s="200">
        <f>IF(H455="ETAPA",0,IF(H455="SUBETAPA",OFFSET(D455,-1,0)+1,OFFSET(D455,-1,0)))</f>
        <v/>
      </c>
      <c r="E455" s="200">
        <f>IF(H455="Subetapa",0,IF(H455="serviço",OFFSET(E455,-1,0)+1,OFFSET(E455,-1,0)))</f>
        <v/>
      </c>
      <c r="F455" s="31" t="n"/>
      <c r="J455" s="61" t="n"/>
      <c r="K455" s="62" t="n"/>
      <c r="L455" s="63" t="n"/>
      <c r="M455" s="63" t="n"/>
      <c r="N455" s="68" t="n"/>
      <c r="O455" s="68" t="n"/>
      <c r="P455" s="68" t="n"/>
      <c r="Q455" s="68" t="n"/>
      <c r="R455" s="68" t="n"/>
    </row>
    <row r="456" ht="14.1" customFormat="1" customHeight="1" s="60">
      <c r="A456" s="199">
        <f>IF($H456="UNIDADE CONSTRUTIVA",OFFSET(A456,-1,0)+1,LARGE(A$3:A455,1))</f>
        <v/>
      </c>
      <c r="B456" s="199">
        <f>IF(H456="UNIDADE CONSTRUTIVA",0,IF(H456="CÉLULA CONSTRUTIVA",OFFSET(B456,-1,0)+1,OFFSET(B456,-1,0)))</f>
        <v/>
      </c>
      <c r="C456" s="199">
        <f>IF(H456="CÉLULA CONSTRUTIVA",0,IF(H456="ETAPA",OFFSET(C456,-1,0)+1,OFFSET(C456,-1,0)))</f>
        <v/>
      </c>
      <c r="D456" s="200">
        <f>IF(H456="ETAPA",0,IF(H456="SUBETAPA",OFFSET(D456,-1,0)+1,OFFSET(D456,-1,0)))</f>
        <v/>
      </c>
      <c r="E456" s="200">
        <f>IF(H456="Subetapa",0,IF(H456="serviço",OFFSET(E456,-1,0)+1,OFFSET(E456,-1,0)))</f>
        <v/>
      </c>
      <c r="F456" s="31" t="n"/>
      <c r="J456" s="61" t="n"/>
      <c r="K456" s="62" t="n"/>
      <c r="L456" s="63" t="n"/>
      <c r="M456" s="63" t="n"/>
      <c r="N456" s="68" t="n"/>
      <c r="O456" s="68" t="n"/>
      <c r="P456" s="68" t="n"/>
      <c r="Q456" s="68" t="n"/>
      <c r="R456" s="68" t="n"/>
    </row>
    <row r="457" ht="14.1" customFormat="1" customHeight="1" s="60">
      <c r="A457" s="199">
        <f>IF($H457="UNIDADE CONSTRUTIVA",OFFSET(A457,-1,0)+1,LARGE(A$3:A456,1))</f>
        <v/>
      </c>
      <c r="B457" s="199">
        <f>IF(H457="UNIDADE CONSTRUTIVA",0,IF(H457="CÉLULA CONSTRUTIVA",OFFSET(B457,-1,0)+1,OFFSET(B457,-1,0)))</f>
        <v/>
      </c>
      <c r="C457" s="199">
        <f>IF(H457="CÉLULA CONSTRUTIVA",0,IF(H457="ETAPA",OFFSET(C457,-1,0)+1,OFFSET(C457,-1,0)))</f>
        <v/>
      </c>
      <c r="D457" s="200">
        <f>IF(H457="ETAPA",0,IF(H457="SUBETAPA",OFFSET(D457,-1,0)+1,OFFSET(D457,-1,0)))</f>
        <v/>
      </c>
      <c r="E457" s="200">
        <f>IF(H457="Subetapa",0,IF(H457="serviço",OFFSET(E457,-1,0)+1,OFFSET(E457,-1,0)))</f>
        <v/>
      </c>
      <c r="F457" s="31" t="n"/>
      <c r="J457" s="61" t="n"/>
      <c r="K457" s="62" t="n"/>
      <c r="L457" s="63" t="n"/>
      <c r="M457" s="63" t="n"/>
      <c r="N457" s="68" t="n"/>
      <c r="O457" s="68" t="n"/>
      <c r="P457" s="68" t="n"/>
      <c r="Q457" s="68" t="n"/>
      <c r="R457" s="68" t="n"/>
    </row>
    <row r="458" ht="14.1" customFormat="1" customHeight="1" s="60">
      <c r="A458" s="199">
        <f>IF($H458="UNIDADE CONSTRUTIVA",OFFSET(A458,-1,0)+1,LARGE(A$3:A457,1))</f>
        <v/>
      </c>
      <c r="B458" s="199">
        <f>IF(H458="UNIDADE CONSTRUTIVA",0,IF(H458="CÉLULA CONSTRUTIVA",OFFSET(B458,-1,0)+1,OFFSET(B458,-1,0)))</f>
        <v/>
      </c>
      <c r="C458" s="199">
        <f>IF(H458="CÉLULA CONSTRUTIVA",0,IF(H458="ETAPA",OFFSET(C458,-1,0)+1,OFFSET(C458,-1,0)))</f>
        <v/>
      </c>
      <c r="D458" s="200">
        <f>IF(H458="ETAPA",0,IF(H458="SUBETAPA",OFFSET(D458,-1,0)+1,OFFSET(D458,-1,0)))</f>
        <v/>
      </c>
      <c r="E458" s="200">
        <f>IF(H458="Subetapa",0,IF(H458="serviço",OFFSET(E458,-1,0)+1,OFFSET(E458,-1,0)))</f>
        <v/>
      </c>
      <c r="F458" s="31" t="n"/>
      <c r="J458" s="61" t="n"/>
      <c r="K458" s="62" t="n"/>
      <c r="L458" s="63" t="n"/>
      <c r="M458" s="63" t="n"/>
      <c r="N458" s="68" t="n"/>
      <c r="O458" s="68" t="n"/>
      <c r="P458" s="68" t="n"/>
      <c r="Q458" s="68" t="n"/>
      <c r="R458" s="68" t="n"/>
    </row>
    <row r="459" ht="14.1" customFormat="1" customHeight="1" s="60">
      <c r="A459" s="199">
        <f>IF($H459="UNIDADE CONSTRUTIVA",OFFSET(A459,-1,0)+1,LARGE(A$3:A458,1))</f>
        <v/>
      </c>
      <c r="B459" s="199">
        <f>IF(H459="UNIDADE CONSTRUTIVA",0,IF(H459="CÉLULA CONSTRUTIVA",OFFSET(B459,-1,0)+1,OFFSET(B459,-1,0)))</f>
        <v/>
      </c>
      <c r="C459" s="199">
        <f>IF(H459="CÉLULA CONSTRUTIVA",0,IF(H459="ETAPA",OFFSET(C459,-1,0)+1,OFFSET(C459,-1,0)))</f>
        <v/>
      </c>
      <c r="D459" s="200">
        <f>IF(H459="ETAPA",0,IF(H459="SUBETAPA",OFFSET(D459,-1,0)+1,OFFSET(D459,-1,0)))</f>
        <v/>
      </c>
      <c r="E459" s="200">
        <f>IF(H459="Subetapa",0,IF(H459="serviço",OFFSET(E459,-1,0)+1,OFFSET(E459,-1,0)))</f>
        <v/>
      </c>
      <c r="F459" s="31" t="n"/>
      <c r="J459" s="61" t="n"/>
      <c r="K459" s="62" t="n"/>
      <c r="L459" s="63" t="n"/>
      <c r="M459" s="63" t="n"/>
      <c r="N459" s="68" t="n"/>
      <c r="O459" s="68" t="n"/>
      <c r="P459" s="68" t="n"/>
      <c r="Q459" s="68" t="n"/>
      <c r="R459" s="68" t="n"/>
    </row>
    <row r="460" ht="14.1" customFormat="1" customHeight="1" s="60">
      <c r="A460" s="199">
        <f>IF($H460="UNIDADE CONSTRUTIVA",OFFSET(A460,-1,0)+1,LARGE(A$3:A459,1))</f>
        <v/>
      </c>
      <c r="B460" s="199">
        <f>IF(H460="UNIDADE CONSTRUTIVA",0,IF(H460="CÉLULA CONSTRUTIVA",OFFSET(B460,-1,0)+1,OFFSET(B460,-1,0)))</f>
        <v/>
      </c>
      <c r="C460" s="199">
        <f>IF(H460="CÉLULA CONSTRUTIVA",0,IF(H460="ETAPA",OFFSET(C460,-1,0)+1,OFFSET(C460,-1,0)))</f>
        <v/>
      </c>
      <c r="D460" s="200">
        <f>IF(H460="ETAPA",0,IF(H460="SUBETAPA",OFFSET(D460,-1,0)+1,OFFSET(D460,-1,0)))</f>
        <v/>
      </c>
      <c r="E460" s="200">
        <f>IF(H460="Subetapa",0,IF(H460="serviço",OFFSET(E460,-1,0)+1,OFFSET(E460,-1,0)))</f>
        <v/>
      </c>
      <c r="F460" s="31" t="n"/>
      <c r="J460" s="61" t="n"/>
      <c r="K460" s="62" t="n"/>
      <c r="L460" s="63" t="n"/>
      <c r="M460" s="63" t="n"/>
      <c r="N460" s="68" t="n"/>
      <c r="O460" s="68" t="n"/>
      <c r="P460" s="68" t="n"/>
      <c r="Q460" s="68" t="n"/>
      <c r="R460" s="68" t="n"/>
    </row>
    <row r="461" ht="14.1" customFormat="1" customHeight="1" s="60">
      <c r="A461" s="199">
        <f>IF($H461="UNIDADE CONSTRUTIVA",OFFSET(A461,-1,0)+1,LARGE(A$3:A460,1))</f>
        <v/>
      </c>
      <c r="B461" s="199">
        <f>IF(H461="UNIDADE CONSTRUTIVA",0,IF(H461="CÉLULA CONSTRUTIVA",OFFSET(B461,-1,0)+1,OFFSET(B461,-1,0)))</f>
        <v/>
      </c>
      <c r="C461" s="199">
        <f>IF(H461="CÉLULA CONSTRUTIVA",0,IF(H461="ETAPA",OFFSET(C461,-1,0)+1,OFFSET(C461,-1,0)))</f>
        <v/>
      </c>
      <c r="D461" s="200">
        <f>IF(H461="ETAPA",0,IF(H461="SUBETAPA",OFFSET(D461,-1,0)+1,OFFSET(D461,-1,0)))</f>
        <v/>
      </c>
      <c r="E461" s="200">
        <f>IF(H461="Subetapa",0,IF(H461="serviço",OFFSET(E461,-1,0)+1,OFFSET(E461,-1,0)))</f>
        <v/>
      </c>
      <c r="F461" s="31" t="n"/>
      <c r="J461" s="61" t="n"/>
      <c r="K461" s="62" t="n"/>
      <c r="L461" s="63" t="n"/>
      <c r="M461" s="63" t="n"/>
      <c r="N461" s="68" t="n"/>
      <c r="O461" s="68" t="n"/>
      <c r="P461" s="68" t="n"/>
      <c r="Q461" s="68" t="n"/>
      <c r="R461" s="68" t="n"/>
    </row>
    <row r="462" ht="14.1" customFormat="1" customHeight="1" s="60">
      <c r="A462" s="199">
        <f>IF($H462="UNIDADE CONSTRUTIVA",OFFSET(A462,-1,0)+1,LARGE(A$3:A461,1))</f>
        <v/>
      </c>
      <c r="B462" s="199">
        <f>IF(H462="UNIDADE CONSTRUTIVA",0,IF(H462="CÉLULA CONSTRUTIVA",OFFSET(B462,-1,0)+1,OFFSET(B462,-1,0)))</f>
        <v/>
      </c>
      <c r="C462" s="199">
        <f>IF(H462="CÉLULA CONSTRUTIVA",0,IF(H462="ETAPA",OFFSET(C462,-1,0)+1,OFFSET(C462,-1,0)))</f>
        <v/>
      </c>
      <c r="D462" s="200">
        <f>IF(H462="ETAPA",0,IF(H462="SUBETAPA",OFFSET(D462,-1,0)+1,OFFSET(D462,-1,0)))</f>
        <v/>
      </c>
      <c r="E462" s="200">
        <f>IF(H462="Subetapa",0,IF(H462="serviço",OFFSET(E462,-1,0)+1,OFFSET(E462,-1,0)))</f>
        <v/>
      </c>
      <c r="F462" s="31" t="n"/>
      <c r="J462" s="61" t="n"/>
      <c r="K462" s="62" t="n"/>
      <c r="L462" s="63" t="n"/>
      <c r="M462" s="63" t="n"/>
      <c r="N462" s="68" t="n"/>
      <c r="O462" s="68" t="n"/>
      <c r="P462" s="68" t="n"/>
      <c r="Q462" s="68" t="n"/>
      <c r="R462" s="68" t="n"/>
    </row>
    <row r="463" ht="14.1" customFormat="1" customHeight="1" s="60">
      <c r="A463" s="199">
        <f>IF($H463="UNIDADE CONSTRUTIVA",OFFSET(A463,-1,0)+1,LARGE(A$3:A462,1))</f>
        <v/>
      </c>
      <c r="B463" s="199">
        <f>IF(H463="UNIDADE CONSTRUTIVA",0,IF(H463="CÉLULA CONSTRUTIVA",OFFSET(B463,-1,0)+1,OFFSET(B463,-1,0)))</f>
        <v/>
      </c>
      <c r="C463" s="199">
        <f>IF(H463="CÉLULA CONSTRUTIVA",0,IF(H463="ETAPA",OFFSET(C463,-1,0)+1,OFFSET(C463,-1,0)))</f>
        <v/>
      </c>
      <c r="D463" s="200">
        <f>IF(H463="ETAPA",0,IF(H463="SUBETAPA",OFFSET(D463,-1,0)+1,OFFSET(D463,-1,0)))</f>
        <v/>
      </c>
      <c r="E463" s="200">
        <f>IF(H463="Subetapa",0,IF(H463="serviço",OFFSET(E463,-1,0)+1,OFFSET(E463,-1,0)))</f>
        <v/>
      </c>
      <c r="F463" s="31" t="n"/>
      <c r="J463" s="61" t="n"/>
      <c r="K463" s="62" t="n"/>
      <c r="L463" s="63" t="n"/>
      <c r="M463" s="63" t="n"/>
      <c r="N463" s="68" t="n"/>
      <c r="O463" s="68" t="n"/>
      <c r="P463" s="68" t="n"/>
      <c r="Q463" s="68" t="n"/>
      <c r="R463" s="68" t="n"/>
    </row>
    <row r="464" ht="14.1" customFormat="1" customHeight="1" s="60">
      <c r="A464" s="199">
        <f>IF($H464="UNIDADE CONSTRUTIVA",OFFSET(A464,-1,0)+1,LARGE(A$3:A463,1))</f>
        <v/>
      </c>
      <c r="B464" s="199">
        <f>IF(H464="UNIDADE CONSTRUTIVA",0,IF(H464="CÉLULA CONSTRUTIVA",OFFSET(B464,-1,0)+1,OFFSET(B464,-1,0)))</f>
        <v/>
      </c>
      <c r="C464" s="199">
        <f>IF(H464="CÉLULA CONSTRUTIVA",0,IF(H464="ETAPA",OFFSET(C464,-1,0)+1,OFFSET(C464,-1,0)))</f>
        <v/>
      </c>
      <c r="D464" s="200">
        <f>IF(H464="ETAPA",0,IF(H464="SUBETAPA",OFFSET(D464,-1,0)+1,OFFSET(D464,-1,0)))</f>
        <v/>
      </c>
      <c r="E464" s="200">
        <f>IF(H464="Subetapa",0,IF(H464="serviço",OFFSET(E464,-1,0)+1,OFFSET(E464,-1,0)))</f>
        <v/>
      </c>
      <c r="F464" s="31" t="n"/>
      <c r="J464" s="61" t="n"/>
      <c r="K464" s="62" t="n"/>
      <c r="L464" s="63" t="n"/>
      <c r="M464" s="63" t="n"/>
      <c r="N464" s="68" t="n"/>
      <c r="O464" s="68" t="n"/>
      <c r="P464" s="68" t="n"/>
      <c r="Q464" s="68" t="n"/>
      <c r="R464" s="68" t="n"/>
    </row>
    <row r="465" ht="14.1" customFormat="1" customHeight="1" s="60">
      <c r="A465" s="199">
        <f>IF($H465="UNIDADE CONSTRUTIVA",OFFSET(A465,-1,0)+1,LARGE(A$3:A464,1))</f>
        <v/>
      </c>
      <c r="B465" s="199">
        <f>IF(H465="UNIDADE CONSTRUTIVA",0,IF(H465="CÉLULA CONSTRUTIVA",OFFSET(B465,-1,0)+1,OFFSET(B465,-1,0)))</f>
        <v/>
      </c>
      <c r="C465" s="199">
        <f>IF(H465="CÉLULA CONSTRUTIVA",0,IF(H465="ETAPA",OFFSET(C465,-1,0)+1,OFFSET(C465,-1,0)))</f>
        <v/>
      </c>
      <c r="D465" s="200">
        <f>IF(H465="ETAPA",0,IF(H465="SUBETAPA",OFFSET(D465,-1,0)+1,OFFSET(D465,-1,0)))</f>
        <v/>
      </c>
      <c r="E465" s="200">
        <f>IF(H465="Subetapa",0,IF(H465="serviço",OFFSET(E465,-1,0)+1,OFFSET(E465,-1,0)))</f>
        <v/>
      </c>
      <c r="F465" s="31" t="n"/>
      <c r="J465" s="61" t="n"/>
      <c r="K465" s="62" t="n"/>
      <c r="L465" s="63" t="n"/>
      <c r="M465" s="63" t="n"/>
      <c r="N465" s="68" t="n"/>
      <c r="O465" s="68" t="n"/>
      <c r="P465" s="68" t="n"/>
      <c r="Q465" s="68" t="n"/>
      <c r="R465" s="68" t="n"/>
    </row>
    <row r="466" ht="14.1" customFormat="1" customHeight="1" s="60">
      <c r="A466" s="199">
        <f>IF($H466="UNIDADE CONSTRUTIVA",OFFSET(A466,-1,0)+1,LARGE(A$3:A465,1))</f>
        <v/>
      </c>
      <c r="B466" s="199">
        <f>IF(H466="UNIDADE CONSTRUTIVA",0,IF(H466="CÉLULA CONSTRUTIVA",OFFSET(B466,-1,0)+1,OFFSET(B466,-1,0)))</f>
        <v/>
      </c>
      <c r="C466" s="199">
        <f>IF(H466="CÉLULA CONSTRUTIVA",0,IF(H466="ETAPA",OFFSET(C466,-1,0)+1,OFFSET(C466,-1,0)))</f>
        <v/>
      </c>
      <c r="D466" s="200">
        <f>IF(H466="ETAPA",0,IF(H466="SUBETAPA",OFFSET(D466,-1,0)+1,OFFSET(D466,-1,0)))</f>
        <v/>
      </c>
      <c r="E466" s="200">
        <f>IF(H466="Subetapa",0,IF(H466="serviço",OFFSET(E466,-1,0)+1,OFFSET(E466,-1,0)))</f>
        <v/>
      </c>
      <c r="F466" s="31" t="n"/>
      <c r="J466" s="61" t="n"/>
      <c r="K466" s="62" t="n"/>
      <c r="L466" s="63" t="n"/>
      <c r="M466" s="63" t="n"/>
      <c r="N466" s="68" t="n"/>
      <c r="O466" s="68" t="n"/>
      <c r="P466" s="68" t="n"/>
      <c r="Q466" s="68" t="n"/>
      <c r="R466" s="68" t="n"/>
    </row>
    <row r="467" ht="14.1" customFormat="1" customHeight="1" s="60">
      <c r="A467" s="199">
        <f>IF($H467="UNIDADE CONSTRUTIVA",OFFSET(A467,-1,0)+1,LARGE(A$3:A466,1))</f>
        <v/>
      </c>
      <c r="B467" s="199">
        <f>IF(H467="UNIDADE CONSTRUTIVA",0,IF(H467="CÉLULA CONSTRUTIVA",OFFSET(B467,-1,0)+1,OFFSET(B467,-1,0)))</f>
        <v/>
      </c>
      <c r="C467" s="199">
        <f>IF(H467="CÉLULA CONSTRUTIVA",0,IF(H467="ETAPA",OFFSET(C467,-1,0)+1,OFFSET(C467,-1,0)))</f>
        <v/>
      </c>
      <c r="D467" s="200">
        <f>IF(H467="ETAPA",0,IF(H467="SUBETAPA",OFFSET(D467,-1,0)+1,OFFSET(D467,-1,0)))</f>
        <v/>
      </c>
      <c r="E467" s="200">
        <f>IF(H467="Subetapa",0,IF(H467="serviço",OFFSET(E467,-1,0)+1,OFFSET(E467,-1,0)))</f>
        <v/>
      </c>
      <c r="F467" s="31" t="n"/>
      <c r="J467" s="61" t="n"/>
      <c r="K467" s="62" t="n"/>
      <c r="L467" s="63" t="n"/>
      <c r="M467" s="63" t="n"/>
      <c r="N467" s="68" t="n"/>
      <c r="O467" s="68" t="n"/>
      <c r="P467" s="68" t="n"/>
      <c r="Q467" s="68" t="n"/>
      <c r="R467" s="68" t="n"/>
    </row>
    <row r="468" ht="14.1" customFormat="1" customHeight="1" s="60">
      <c r="A468" s="199">
        <f>IF($H468="UNIDADE CONSTRUTIVA",OFFSET(A468,-1,0)+1,LARGE(A$3:A467,1))</f>
        <v/>
      </c>
      <c r="B468" s="199">
        <f>IF(H468="UNIDADE CONSTRUTIVA",0,IF(H468="CÉLULA CONSTRUTIVA",OFFSET(B468,-1,0)+1,OFFSET(B468,-1,0)))</f>
        <v/>
      </c>
      <c r="C468" s="199">
        <f>IF(H468="CÉLULA CONSTRUTIVA",0,IF(H468="ETAPA",OFFSET(C468,-1,0)+1,OFFSET(C468,-1,0)))</f>
        <v/>
      </c>
      <c r="D468" s="200">
        <f>IF(H468="ETAPA",0,IF(H468="SUBETAPA",OFFSET(D468,-1,0)+1,OFFSET(D468,-1,0)))</f>
        <v/>
      </c>
      <c r="E468" s="200">
        <f>IF(H468="Subetapa",0,IF(H468="serviço",OFFSET(E468,-1,0)+1,OFFSET(E468,-1,0)))</f>
        <v/>
      </c>
      <c r="F468" s="31" t="n"/>
      <c r="J468" s="61" t="n"/>
      <c r="K468" s="62" t="n"/>
      <c r="L468" s="63" t="n"/>
      <c r="M468" s="63" t="n"/>
      <c r="N468" s="68" t="n"/>
      <c r="O468" s="68" t="n"/>
      <c r="P468" s="68" t="n"/>
      <c r="Q468" s="68" t="n"/>
      <c r="R468" s="68" t="n"/>
    </row>
    <row r="469" ht="14.1" customFormat="1" customHeight="1" s="60">
      <c r="A469" s="199">
        <f>IF($H469="UNIDADE CONSTRUTIVA",OFFSET(A469,-1,0)+1,LARGE(A$3:A468,1))</f>
        <v/>
      </c>
      <c r="B469" s="199">
        <f>IF(H469="UNIDADE CONSTRUTIVA",0,IF(H469="CÉLULA CONSTRUTIVA",OFFSET(B469,-1,0)+1,OFFSET(B469,-1,0)))</f>
        <v/>
      </c>
      <c r="C469" s="199">
        <f>IF(H469="CÉLULA CONSTRUTIVA",0,IF(H469="ETAPA",OFFSET(C469,-1,0)+1,OFFSET(C469,-1,0)))</f>
        <v/>
      </c>
      <c r="D469" s="200">
        <f>IF(H469="ETAPA",0,IF(H469="SUBETAPA",OFFSET(D469,-1,0)+1,OFFSET(D469,-1,0)))</f>
        <v/>
      </c>
      <c r="E469" s="200">
        <f>IF(H469="Subetapa",0,IF(H469="serviço",OFFSET(E469,-1,0)+1,OFFSET(E469,-1,0)))</f>
        <v/>
      </c>
      <c r="F469" s="31" t="n"/>
      <c r="J469" s="61" t="n"/>
      <c r="K469" s="62" t="n"/>
      <c r="L469" s="63" t="n"/>
      <c r="M469" s="63" t="n"/>
      <c r="N469" s="68" t="n"/>
      <c r="O469" s="68" t="n"/>
      <c r="P469" s="68" t="n"/>
      <c r="Q469" s="68" t="n"/>
      <c r="R469" s="68" t="n"/>
    </row>
    <row r="470" ht="14.1" customFormat="1" customHeight="1" s="60">
      <c r="A470" s="199">
        <f>IF($H470="UNIDADE CONSTRUTIVA",OFFSET(A470,-1,0)+1,LARGE(A$3:A469,1))</f>
        <v/>
      </c>
      <c r="B470" s="199">
        <f>IF(H470="UNIDADE CONSTRUTIVA",0,IF(H470="CÉLULA CONSTRUTIVA",OFFSET(B470,-1,0)+1,OFFSET(B470,-1,0)))</f>
        <v/>
      </c>
      <c r="C470" s="199">
        <f>IF(H470="CÉLULA CONSTRUTIVA",0,IF(H470="ETAPA",OFFSET(C470,-1,0)+1,OFFSET(C470,-1,0)))</f>
        <v/>
      </c>
      <c r="D470" s="200">
        <f>IF(H470="ETAPA",0,IF(H470="SUBETAPA",OFFSET(D470,-1,0)+1,OFFSET(D470,-1,0)))</f>
        <v/>
      </c>
      <c r="E470" s="200">
        <f>IF(H470="Subetapa",0,IF(H470="serviço",OFFSET(E470,-1,0)+1,OFFSET(E470,-1,0)))</f>
        <v/>
      </c>
      <c r="F470" s="31" t="n"/>
      <c r="J470" s="61" t="n"/>
      <c r="K470" s="62" t="n"/>
      <c r="L470" s="63" t="n"/>
      <c r="M470" s="63" t="n"/>
      <c r="N470" s="68" t="n"/>
      <c r="O470" s="68" t="n"/>
      <c r="P470" s="68" t="n"/>
      <c r="Q470" s="68" t="n"/>
      <c r="R470" s="68" t="n"/>
    </row>
    <row r="471" ht="14.1" customFormat="1" customHeight="1" s="60">
      <c r="A471" s="199">
        <f>IF($H471="UNIDADE CONSTRUTIVA",OFFSET(A471,-1,0)+1,LARGE(A$3:A470,1))</f>
        <v/>
      </c>
      <c r="B471" s="199">
        <f>IF(H471="UNIDADE CONSTRUTIVA",0,IF(H471="CÉLULA CONSTRUTIVA",OFFSET(B471,-1,0)+1,OFFSET(B471,-1,0)))</f>
        <v/>
      </c>
      <c r="C471" s="199">
        <f>IF(H471="CÉLULA CONSTRUTIVA",0,IF(H471="ETAPA",OFFSET(C471,-1,0)+1,OFFSET(C471,-1,0)))</f>
        <v/>
      </c>
      <c r="D471" s="200">
        <f>IF(H471="ETAPA",0,IF(H471="SUBETAPA",OFFSET(D471,-1,0)+1,OFFSET(D471,-1,0)))</f>
        <v/>
      </c>
      <c r="E471" s="200">
        <f>IF(H471="Subetapa",0,IF(H471="serviço",OFFSET(E471,-1,0)+1,OFFSET(E471,-1,0)))</f>
        <v/>
      </c>
      <c r="F471" s="31" t="n"/>
      <c r="J471" s="61" t="n"/>
      <c r="K471" s="62" t="n"/>
      <c r="L471" s="63" t="n"/>
      <c r="M471" s="63" t="n"/>
      <c r="N471" s="68" t="n"/>
      <c r="O471" s="68" t="n"/>
      <c r="P471" s="68" t="n"/>
      <c r="Q471" s="68" t="n"/>
      <c r="R471" s="68" t="n"/>
    </row>
    <row r="472" ht="14.1" customFormat="1" customHeight="1" s="60">
      <c r="A472" s="199">
        <f>IF($H472="UNIDADE CONSTRUTIVA",OFFSET(A472,-1,0)+1,LARGE(A$3:A471,1))</f>
        <v/>
      </c>
      <c r="B472" s="199">
        <f>IF(H472="UNIDADE CONSTRUTIVA",0,IF(H472="CÉLULA CONSTRUTIVA",OFFSET(B472,-1,0)+1,OFFSET(B472,-1,0)))</f>
        <v/>
      </c>
      <c r="C472" s="199">
        <f>IF(H472="CÉLULA CONSTRUTIVA",0,IF(H472="ETAPA",OFFSET(C472,-1,0)+1,OFFSET(C472,-1,0)))</f>
        <v/>
      </c>
      <c r="D472" s="200">
        <f>IF(H472="ETAPA",0,IF(H472="SUBETAPA",OFFSET(D472,-1,0)+1,OFFSET(D472,-1,0)))</f>
        <v/>
      </c>
      <c r="E472" s="200">
        <f>IF(H472="Subetapa",0,IF(H472="serviço",OFFSET(E472,-1,0)+1,OFFSET(E472,-1,0)))</f>
        <v/>
      </c>
      <c r="F472" s="31" t="n"/>
      <c r="J472" s="61" t="n"/>
      <c r="K472" s="62" t="n"/>
      <c r="L472" s="63" t="n"/>
      <c r="M472" s="63" t="n"/>
      <c r="N472" s="68" t="n"/>
      <c r="O472" s="68" t="n"/>
      <c r="P472" s="68" t="n"/>
      <c r="Q472" s="68" t="n"/>
      <c r="R472" s="68" t="n"/>
    </row>
    <row r="473" ht="14.1" customFormat="1" customHeight="1" s="60">
      <c r="A473" s="199">
        <f>IF($H473="UNIDADE CONSTRUTIVA",OFFSET(A473,-1,0)+1,LARGE(A$3:A472,1))</f>
        <v/>
      </c>
      <c r="B473" s="199">
        <f>IF(H473="UNIDADE CONSTRUTIVA",0,IF(H473="CÉLULA CONSTRUTIVA",OFFSET(B473,-1,0)+1,OFFSET(B473,-1,0)))</f>
        <v/>
      </c>
      <c r="C473" s="199">
        <f>IF(H473="CÉLULA CONSTRUTIVA",0,IF(H473="ETAPA",OFFSET(C473,-1,0)+1,OFFSET(C473,-1,0)))</f>
        <v/>
      </c>
      <c r="D473" s="200">
        <f>IF(H473="ETAPA",0,IF(H473="SUBETAPA",OFFSET(D473,-1,0)+1,OFFSET(D473,-1,0)))</f>
        <v/>
      </c>
      <c r="E473" s="200">
        <f>IF(H473="Subetapa",0,IF(H473="serviço",OFFSET(E473,-1,0)+1,OFFSET(E473,-1,0)))</f>
        <v/>
      </c>
      <c r="F473" s="31" t="n"/>
      <c r="J473" s="61" t="n"/>
      <c r="K473" s="62" t="n"/>
      <c r="L473" s="63" t="n"/>
      <c r="M473" s="63" t="n"/>
      <c r="N473" s="68" t="n"/>
      <c r="O473" s="68" t="n"/>
      <c r="P473" s="68" t="n"/>
      <c r="Q473" s="68" t="n"/>
      <c r="R473" s="68" t="n"/>
    </row>
    <row r="474" ht="14.1" customFormat="1" customHeight="1" s="60">
      <c r="A474" s="199">
        <f>IF($H474="UNIDADE CONSTRUTIVA",OFFSET(A474,-1,0)+1,LARGE(A$3:A473,1))</f>
        <v/>
      </c>
      <c r="B474" s="199">
        <f>IF(H474="UNIDADE CONSTRUTIVA",0,IF(H474="CÉLULA CONSTRUTIVA",OFFSET(B474,-1,0)+1,OFFSET(B474,-1,0)))</f>
        <v/>
      </c>
      <c r="C474" s="199">
        <f>IF(H474="CÉLULA CONSTRUTIVA",0,IF(H474="ETAPA",OFFSET(C474,-1,0)+1,OFFSET(C474,-1,0)))</f>
        <v/>
      </c>
      <c r="D474" s="200">
        <f>IF(H474="ETAPA",0,IF(H474="SUBETAPA",OFFSET(D474,-1,0)+1,OFFSET(D474,-1,0)))</f>
        <v/>
      </c>
      <c r="E474" s="200">
        <f>IF(H474="Subetapa",0,IF(H474="serviço",OFFSET(E474,-1,0)+1,OFFSET(E474,-1,0)))</f>
        <v/>
      </c>
      <c r="F474" s="31" t="n"/>
      <c r="J474" s="61" t="n"/>
      <c r="K474" s="62" t="n"/>
      <c r="L474" s="63" t="n"/>
      <c r="M474" s="63" t="n"/>
      <c r="N474" s="68" t="n"/>
      <c r="O474" s="68" t="n"/>
      <c r="P474" s="68" t="n"/>
      <c r="Q474" s="68" t="n"/>
      <c r="R474" s="68" t="n"/>
    </row>
    <row r="475" ht="14.1" customFormat="1" customHeight="1" s="60">
      <c r="A475" s="199">
        <f>IF($H475="UNIDADE CONSTRUTIVA",OFFSET(A475,-1,0)+1,LARGE(A$3:A474,1))</f>
        <v/>
      </c>
      <c r="B475" s="199">
        <f>IF(H475="UNIDADE CONSTRUTIVA",0,IF(H475="CÉLULA CONSTRUTIVA",OFFSET(B475,-1,0)+1,OFFSET(B475,-1,0)))</f>
        <v/>
      </c>
      <c r="C475" s="199">
        <f>IF(H475="CÉLULA CONSTRUTIVA",0,IF(H475="ETAPA",OFFSET(C475,-1,0)+1,OFFSET(C475,-1,0)))</f>
        <v/>
      </c>
      <c r="D475" s="200">
        <f>IF(H475="ETAPA",0,IF(H475="SUBETAPA",OFFSET(D475,-1,0)+1,OFFSET(D475,-1,0)))</f>
        <v/>
      </c>
      <c r="E475" s="200">
        <f>IF(H475="Subetapa",0,IF(H475="serviço",OFFSET(E475,-1,0)+1,OFFSET(E475,-1,0)))</f>
        <v/>
      </c>
      <c r="F475" s="31" t="n"/>
      <c r="J475" s="61" t="n"/>
      <c r="K475" s="62" t="n"/>
      <c r="L475" s="63" t="n"/>
      <c r="M475" s="63" t="n"/>
      <c r="N475" s="68" t="n"/>
      <c r="O475" s="68" t="n"/>
      <c r="P475" s="68" t="n"/>
      <c r="Q475" s="68" t="n"/>
      <c r="R475" s="68" t="n"/>
    </row>
    <row r="476" ht="14.1" customFormat="1" customHeight="1" s="60">
      <c r="A476" s="199">
        <f>IF($H476="UNIDADE CONSTRUTIVA",OFFSET(A476,-1,0)+1,LARGE(A$3:A475,1))</f>
        <v/>
      </c>
      <c r="B476" s="199">
        <f>IF(H476="UNIDADE CONSTRUTIVA",0,IF(H476="CÉLULA CONSTRUTIVA",OFFSET(B476,-1,0)+1,OFFSET(B476,-1,0)))</f>
        <v/>
      </c>
      <c r="C476" s="199">
        <f>IF(H476="CÉLULA CONSTRUTIVA",0,IF(H476="ETAPA",OFFSET(C476,-1,0)+1,OFFSET(C476,-1,0)))</f>
        <v/>
      </c>
      <c r="D476" s="200">
        <f>IF(H476="ETAPA",0,IF(H476="SUBETAPA",OFFSET(D476,-1,0)+1,OFFSET(D476,-1,0)))</f>
        <v/>
      </c>
      <c r="E476" s="200">
        <f>IF(H476="Subetapa",0,IF(H476="serviço",OFFSET(E476,-1,0)+1,OFFSET(E476,-1,0)))</f>
        <v/>
      </c>
      <c r="F476" s="31" t="n"/>
      <c r="J476" s="61" t="n"/>
      <c r="K476" s="62" t="n"/>
      <c r="L476" s="63" t="n"/>
      <c r="M476" s="63" t="n"/>
      <c r="N476" s="68" t="n"/>
      <c r="O476" s="68" t="n"/>
      <c r="P476" s="68" t="n"/>
      <c r="Q476" s="68" t="n"/>
      <c r="R476" s="68" t="n"/>
    </row>
    <row r="477" ht="14.1" customFormat="1" customHeight="1" s="60">
      <c r="A477" s="199">
        <f>IF($H477="UNIDADE CONSTRUTIVA",OFFSET(A477,-1,0)+1,LARGE(A$3:A476,1))</f>
        <v/>
      </c>
      <c r="B477" s="199">
        <f>IF(H477="UNIDADE CONSTRUTIVA",0,IF(H477="CÉLULA CONSTRUTIVA",OFFSET(B477,-1,0)+1,OFFSET(B477,-1,0)))</f>
        <v/>
      </c>
      <c r="C477" s="199">
        <f>IF(H477="CÉLULA CONSTRUTIVA",0,IF(H477="ETAPA",OFFSET(C477,-1,0)+1,OFFSET(C477,-1,0)))</f>
        <v/>
      </c>
      <c r="D477" s="200">
        <f>IF(H477="ETAPA",0,IF(H477="SUBETAPA",OFFSET(D477,-1,0)+1,OFFSET(D477,-1,0)))</f>
        <v/>
      </c>
      <c r="E477" s="200">
        <f>IF(H477="Subetapa",0,IF(H477="serviço",OFFSET(E477,-1,0)+1,OFFSET(E477,-1,0)))</f>
        <v/>
      </c>
      <c r="F477" s="31" t="n"/>
      <c r="J477" s="61" t="n"/>
      <c r="K477" s="62" t="n"/>
      <c r="L477" s="63" t="n"/>
      <c r="M477" s="63" t="n"/>
      <c r="N477" s="68" t="n"/>
      <c r="O477" s="68" t="n"/>
      <c r="P477" s="68" t="n"/>
      <c r="Q477" s="68" t="n"/>
      <c r="R477" s="68" t="n"/>
    </row>
    <row r="478" ht="14.1" customFormat="1" customHeight="1" s="60">
      <c r="A478" s="199">
        <f>IF($H478="UNIDADE CONSTRUTIVA",OFFSET(A478,-1,0)+1,LARGE(A$3:A477,1))</f>
        <v/>
      </c>
      <c r="B478" s="199">
        <f>IF(H478="UNIDADE CONSTRUTIVA",0,IF(H478="CÉLULA CONSTRUTIVA",OFFSET(B478,-1,0)+1,OFFSET(B478,-1,0)))</f>
        <v/>
      </c>
      <c r="C478" s="199">
        <f>IF(H478="CÉLULA CONSTRUTIVA",0,IF(H478="ETAPA",OFFSET(C478,-1,0)+1,OFFSET(C478,-1,0)))</f>
        <v/>
      </c>
      <c r="D478" s="200">
        <f>IF(H478="ETAPA",0,IF(H478="SUBETAPA",OFFSET(D478,-1,0)+1,OFFSET(D478,-1,0)))</f>
        <v/>
      </c>
      <c r="E478" s="200">
        <f>IF(H478="Subetapa",0,IF(H478="serviço",OFFSET(E478,-1,0)+1,OFFSET(E478,-1,0)))</f>
        <v/>
      </c>
      <c r="F478" s="31" t="n"/>
      <c r="J478" s="61" t="n"/>
      <c r="K478" s="62" t="n"/>
      <c r="L478" s="63" t="n"/>
      <c r="M478" s="63" t="n"/>
      <c r="N478" s="68" t="n"/>
      <c r="O478" s="68" t="n"/>
      <c r="P478" s="68" t="n"/>
      <c r="Q478" s="68" t="n"/>
      <c r="R478" s="68" t="n"/>
    </row>
    <row r="479" ht="14.1" customFormat="1" customHeight="1" s="60">
      <c r="A479" s="199">
        <f>IF($H479="UNIDADE CONSTRUTIVA",OFFSET(A479,-1,0)+1,LARGE(A$3:A478,1))</f>
        <v/>
      </c>
      <c r="B479" s="199">
        <f>IF(H479="UNIDADE CONSTRUTIVA",0,IF(H479="CÉLULA CONSTRUTIVA",OFFSET(B479,-1,0)+1,OFFSET(B479,-1,0)))</f>
        <v/>
      </c>
      <c r="C479" s="199">
        <f>IF(H479="CÉLULA CONSTRUTIVA",0,IF(H479="ETAPA",OFFSET(C479,-1,0)+1,OFFSET(C479,-1,0)))</f>
        <v/>
      </c>
      <c r="D479" s="200">
        <f>IF(H479="ETAPA",0,IF(H479="SUBETAPA",OFFSET(D479,-1,0)+1,OFFSET(D479,-1,0)))</f>
        <v/>
      </c>
      <c r="E479" s="200">
        <f>IF(H479="Subetapa",0,IF(H479="serviço",OFFSET(E479,-1,0)+1,OFFSET(E479,-1,0)))</f>
        <v/>
      </c>
      <c r="F479" s="31" t="n"/>
      <c r="J479" s="61" t="n"/>
      <c r="K479" s="62" t="n"/>
      <c r="L479" s="63" t="n"/>
      <c r="M479" s="63" t="n"/>
      <c r="N479" s="68" t="n"/>
      <c r="O479" s="68" t="n"/>
      <c r="P479" s="68" t="n"/>
      <c r="Q479" s="68" t="n"/>
      <c r="R479" s="68" t="n"/>
    </row>
    <row r="480" ht="14.1" customFormat="1" customHeight="1" s="60">
      <c r="A480" s="199">
        <f>IF($H480="UNIDADE CONSTRUTIVA",OFFSET(A480,-1,0)+1,LARGE(A$3:A479,1))</f>
        <v/>
      </c>
      <c r="B480" s="199">
        <f>IF(H480="UNIDADE CONSTRUTIVA",0,IF(H480="CÉLULA CONSTRUTIVA",OFFSET(B480,-1,0)+1,OFFSET(B480,-1,0)))</f>
        <v/>
      </c>
      <c r="C480" s="199">
        <f>IF(H480="CÉLULA CONSTRUTIVA",0,IF(H480="ETAPA",OFFSET(C480,-1,0)+1,OFFSET(C480,-1,0)))</f>
        <v/>
      </c>
      <c r="D480" s="200">
        <f>IF(H480="ETAPA",0,IF(H480="SUBETAPA",OFFSET(D480,-1,0)+1,OFFSET(D480,-1,0)))</f>
        <v/>
      </c>
      <c r="E480" s="200">
        <f>IF(H480="Subetapa",0,IF(H480="serviço",OFFSET(E480,-1,0)+1,OFFSET(E480,-1,0)))</f>
        <v/>
      </c>
      <c r="F480" s="31" t="n"/>
      <c r="J480" s="61" t="n"/>
      <c r="K480" s="62" t="n"/>
      <c r="L480" s="63" t="n"/>
      <c r="M480" s="63" t="n"/>
      <c r="N480" s="68" t="n"/>
      <c r="O480" s="68" t="n"/>
      <c r="P480" s="68" t="n"/>
      <c r="Q480" s="68" t="n"/>
      <c r="R480" s="68" t="n"/>
    </row>
    <row r="481" ht="14.1" customFormat="1" customHeight="1" s="60">
      <c r="A481" s="199">
        <f>IF($H481="UNIDADE CONSTRUTIVA",OFFSET(A481,-1,0)+1,LARGE(A$3:A480,1))</f>
        <v/>
      </c>
      <c r="B481" s="199">
        <f>IF(H481="UNIDADE CONSTRUTIVA",0,IF(H481="CÉLULA CONSTRUTIVA",OFFSET(B481,-1,0)+1,OFFSET(B481,-1,0)))</f>
        <v/>
      </c>
      <c r="C481" s="199">
        <f>IF(H481="CÉLULA CONSTRUTIVA",0,IF(H481="ETAPA",OFFSET(C481,-1,0)+1,OFFSET(C481,-1,0)))</f>
        <v/>
      </c>
      <c r="D481" s="200">
        <f>IF(H481="ETAPA",0,IF(H481="SUBETAPA",OFFSET(D481,-1,0)+1,OFFSET(D481,-1,0)))</f>
        <v/>
      </c>
      <c r="E481" s="200">
        <f>IF(H481="Subetapa",0,IF(H481="serviço",OFFSET(E481,-1,0)+1,OFFSET(E481,-1,0)))</f>
        <v/>
      </c>
      <c r="F481" s="31" t="n"/>
      <c r="J481" s="61" t="n"/>
      <c r="K481" s="62" t="n"/>
      <c r="L481" s="63" t="n"/>
      <c r="M481" s="63" t="n"/>
      <c r="N481" s="68" t="n"/>
      <c r="O481" s="68" t="n"/>
      <c r="P481" s="68" t="n"/>
      <c r="Q481" s="68" t="n"/>
      <c r="R481" s="68" t="n"/>
    </row>
    <row r="482" ht="14.1" customFormat="1" customHeight="1" s="60">
      <c r="A482" s="199">
        <f>IF($H482="UNIDADE CONSTRUTIVA",OFFSET(A482,-1,0)+1,LARGE(A$3:A481,1))</f>
        <v/>
      </c>
      <c r="B482" s="199">
        <f>IF(H482="UNIDADE CONSTRUTIVA",0,IF(H482="CÉLULA CONSTRUTIVA",OFFSET(B482,-1,0)+1,OFFSET(B482,-1,0)))</f>
        <v/>
      </c>
      <c r="C482" s="199">
        <f>IF(H482="CÉLULA CONSTRUTIVA",0,IF(H482="ETAPA",OFFSET(C482,-1,0)+1,OFFSET(C482,-1,0)))</f>
        <v/>
      </c>
      <c r="D482" s="200">
        <f>IF(H482="ETAPA",0,IF(H482="SUBETAPA",OFFSET(D482,-1,0)+1,OFFSET(D482,-1,0)))</f>
        <v/>
      </c>
      <c r="E482" s="200">
        <f>IF(H482="Subetapa",0,IF(H482="serviço",OFFSET(E482,-1,0)+1,OFFSET(E482,-1,0)))</f>
        <v/>
      </c>
      <c r="F482" s="31" t="n"/>
      <c r="J482" s="61" t="n"/>
      <c r="K482" s="62" t="n"/>
      <c r="L482" s="63" t="n"/>
      <c r="M482" s="63" t="n"/>
      <c r="N482" s="68" t="n"/>
      <c r="O482" s="68" t="n"/>
      <c r="P482" s="68" t="n"/>
      <c r="Q482" s="68" t="n"/>
      <c r="R482" s="68" t="n"/>
    </row>
    <row r="483" ht="14.1" customFormat="1" customHeight="1" s="60">
      <c r="A483" s="199">
        <f>IF($H483="UNIDADE CONSTRUTIVA",OFFSET(A483,-1,0)+1,LARGE(A$3:A482,1))</f>
        <v/>
      </c>
      <c r="B483" s="199">
        <f>IF(H483="UNIDADE CONSTRUTIVA",0,IF(H483="CÉLULA CONSTRUTIVA",OFFSET(B483,-1,0)+1,OFFSET(B483,-1,0)))</f>
        <v/>
      </c>
      <c r="C483" s="199">
        <f>IF(H483="CÉLULA CONSTRUTIVA",0,IF(H483="ETAPA",OFFSET(C483,-1,0)+1,OFFSET(C483,-1,0)))</f>
        <v/>
      </c>
      <c r="D483" s="200">
        <f>IF(H483="ETAPA",0,IF(H483="SUBETAPA",OFFSET(D483,-1,0)+1,OFFSET(D483,-1,0)))</f>
        <v/>
      </c>
      <c r="E483" s="200">
        <f>IF(H483="Subetapa",0,IF(H483="serviço",OFFSET(E483,-1,0)+1,OFFSET(E483,-1,0)))</f>
        <v/>
      </c>
      <c r="F483" s="31" t="n"/>
      <c r="J483" s="61" t="n"/>
      <c r="K483" s="62" t="n"/>
      <c r="L483" s="63" t="n"/>
      <c r="M483" s="63" t="n"/>
      <c r="N483" s="68" t="n"/>
      <c r="O483" s="68" t="n"/>
      <c r="P483" s="68" t="n"/>
      <c r="Q483" s="68" t="n"/>
      <c r="R483" s="68" t="n"/>
    </row>
    <row r="484" ht="14.1" customFormat="1" customHeight="1" s="60">
      <c r="A484" s="199">
        <f>IF($H484="UNIDADE CONSTRUTIVA",OFFSET(A484,-1,0)+1,LARGE(A$3:A483,1))</f>
        <v/>
      </c>
      <c r="B484" s="199">
        <f>IF(H484="UNIDADE CONSTRUTIVA",0,IF(H484="CÉLULA CONSTRUTIVA",OFFSET(B484,-1,0)+1,OFFSET(B484,-1,0)))</f>
        <v/>
      </c>
      <c r="C484" s="199">
        <f>IF(H484="CÉLULA CONSTRUTIVA",0,IF(H484="ETAPA",OFFSET(C484,-1,0)+1,OFFSET(C484,-1,0)))</f>
        <v/>
      </c>
      <c r="D484" s="200">
        <f>IF(H484="ETAPA",0,IF(H484="SUBETAPA",OFFSET(D484,-1,0)+1,OFFSET(D484,-1,0)))</f>
        <v/>
      </c>
      <c r="E484" s="200">
        <f>IF(H484="Subetapa",0,IF(H484="serviço",OFFSET(E484,-1,0)+1,OFFSET(E484,-1,0)))</f>
        <v/>
      </c>
      <c r="F484" s="31" t="n"/>
      <c r="J484" s="61" t="n"/>
      <c r="K484" s="62" t="n"/>
      <c r="L484" s="63" t="n"/>
      <c r="M484" s="63" t="n"/>
      <c r="N484" s="68" t="n"/>
      <c r="O484" s="68" t="n"/>
      <c r="P484" s="68" t="n"/>
      <c r="Q484" s="68" t="n"/>
      <c r="R484" s="68" t="n"/>
    </row>
    <row r="485" ht="14.1" customFormat="1" customHeight="1" s="60">
      <c r="A485" s="199">
        <f>IF($H485="UNIDADE CONSTRUTIVA",OFFSET(A485,-1,0)+1,LARGE(A$3:A484,1))</f>
        <v/>
      </c>
      <c r="B485" s="199">
        <f>IF(H485="UNIDADE CONSTRUTIVA",0,IF(H485="CÉLULA CONSTRUTIVA",OFFSET(B485,-1,0)+1,OFFSET(B485,-1,0)))</f>
        <v/>
      </c>
      <c r="C485" s="199">
        <f>IF(H485="CÉLULA CONSTRUTIVA",0,IF(H485="ETAPA",OFFSET(C485,-1,0)+1,OFFSET(C485,-1,0)))</f>
        <v/>
      </c>
      <c r="D485" s="200">
        <f>IF(H485="ETAPA",0,IF(H485="SUBETAPA",OFFSET(D485,-1,0)+1,OFFSET(D485,-1,0)))</f>
        <v/>
      </c>
      <c r="E485" s="200">
        <f>IF(H485="Subetapa",0,IF(H485="serviço",OFFSET(E485,-1,0)+1,OFFSET(E485,-1,0)))</f>
        <v/>
      </c>
      <c r="F485" s="31" t="n"/>
      <c r="J485" s="61" t="n"/>
      <c r="K485" s="62" t="n"/>
      <c r="L485" s="63" t="n"/>
      <c r="M485" s="63" t="n"/>
      <c r="N485" s="68" t="n"/>
      <c r="O485" s="68" t="n"/>
      <c r="P485" s="68" t="n"/>
      <c r="Q485" s="68" t="n"/>
      <c r="R485" s="68" t="n"/>
    </row>
    <row r="486" ht="14.1" customFormat="1" customHeight="1" s="60">
      <c r="A486" s="199">
        <f>IF($H486="UNIDADE CONSTRUTIVA",OFFSET(A486,-1,0)+1,LARGE(A$3:A485,1))</f>
        <v/>
      </c>
      <c r="B486" s="199">
        <f>IF(H486="UNIDADE CONSTRUTIVA",0,IF(H486="CÉLULA CONSTRUTIVA",OFFSET(B486,-1,0)+1,OFFSET(B486,-1,0)))</f>
        <v/>
      </c>
      <c r="C486" s="199">
        <f>IF(H486="CÉLULA CONSTRUTIVA",0,IF(H486="ETAPA",OFFSET(C486,-1,0)+1,OFFSET(C486,-1,0)))</f>
        <v/>
      </c>
      <c r="D486" s="200">
        <f>IF(H486="ETAPA",0,IF(H486="SUBETAPA",OFFSET(D486,-1,0)+1,OFFSET(D486,-1,0)))</f>
        <v/>
      </c>
      <c r="E486" s="200">
        <f>IF(H486="Subetapa",0,IF(H486="serviço",OFFSET(E486,-1,0)+1,OFFSET(E486,-1,0)))</f>
        <v/>
      </c>
      <c r="F486" s="31" t="n"/>
      <c r="J486" s="61" t="n"/>
      <c r="K486" s="62" t="n"/>
      <c r="L486" s="63" t="n"/>
      <c r="M486" s="63" t="n"/>
      <c r="N486" s="68" t="n"/>
      <c r="O486" s="68" t="n"/>
      <c r="P486" s="68" t="n"/>
      <c r="Q486" s="68" t="n"/>
      <c r="R486" s="68" t="n"/>
    </row>
    <row r="487" ht="14.1" customFormat="1" customHeight="1" s="60">
      <c r="A487" s="199">
        <f>IF($H487="UNIDADE CONSTRUTIVA",OFFSET(A487,-1,0)+1,LARGE(A$3:A486,1))</f>
        <v/>
      </c>
      <c r="B487" s="199">
        <f>IF(H487="UNIDADE CONSTRUTIVA",0,IF(H487="CÉLULA CONSTRUTIVA",OFFSET(B487,-1,0)+1,OFFSET(B487,-1,0)))</f>
        <v/>
      </c>
      <c r="C487" s="199">
        <f>IF(H487="CÉLULA CONSTRUTIVA",0,IF(H487="ETAPA",OFFSET(C487,-1,0)+1,OFFSET(C487,-1,0)))</f>
        <v/>
      </c>
      <c r="D487" s="200">
        <f>IF(H487="ETAPA",0,IF(H487="SUBETAPA",OFFSET(D487,-1,0)+1,OFFSET(D487,-1,0)))</f>
        <v/>
      </c>
      <c r="E487" s="200">
        <f>IF(H487="Subetapa",0,IF(H487="serviço",OFFSET(E487,-1,0)+1,OFFSET(E487,-1,0)))</f>
        <v/>
      </c>
      <c r="F487" s="31" t="n"/>
      <c r="J487" s="61" t="n"/>
      <c r="K487" s="62" t="n"/>
      <c r="L487" s="63" t="n"/>
      <c r="M487" s="63" t="n"/>
      <c r="N487" s="68" t="n"/>
      <c r="O487" s="68" t="n"/>
      <c r="P487" s="68" t="n"/>
      <c r="Q487" s="68" t="n"/>
      <c r="R487" s="68" t="n"/>
    </row>
    <row r="488" ht="14.1" customFormat="1" customHeight="1" s="60">
      <c r="A488" s="199">
        <f>IF($H488="UNIDADE CONSTRUTIVA",OFFSET(A488,-1,0)+1,LARGE(A$3:A487,1))</f>
        <v/>
      </c>
      <c r="B488" s="199">
        <f>IF(H488="UNIDADE CONSTRUTIVA",0,IF(H488="CÉLULA CONSTRUTIVA",OFFSET(B488,-1,0)+1,OFFSET(B488,-1,0)))</f>
        <v/>
      </c>
      <c r="C488" s="199">
        <f>IF(H488="CÉLULA CONSTRUTIVA",0,IF(H488="ETAPA",OFFSET(C488,-1,0)+1,OFFSET(C488,-1,0)))</f>
        <v/>
      </c>
      <c r="D488" s="200">
        <f>IF(H488="ETAPA",0,IF(H488="SUBETAPA",OFFSET(D488,-1,0)+1,OFFSET(D488,-1,0)))</f>
        <v/>
      </c>
      <c r="E488" s="200">
        <f>IF(H488="Subetapa",0,IF(H488="serviço",OFFSET(E488,-1,0)+1,OFFSET(E488,-1,0)))</f>
        <v/>
      </c>
      <c r="F488" s="31" t="n"/>
      <c r="J488" s="61" t="n"/>
      <c r="K488" s="62" t="n"/>
      <c r="L488" s="63" t="n"/>
      <c r="M488" s="63" t="n"/>
      <c r="N488" s="68" t="n"/>
      <c r="O488" s="68" t="n"/>
      <c r="P488" s="68" t="n"/>
      <c r="Q488" s="68" t="n"/>
      <c r="R488" s="68" t="n"/>
    </row>
    <row r="489" ht="14.1" customFormat="1" customHeight="1" s="60">
      <c r="A489" s="199">
        <f>IF($H489="UNIDADE CONSTRUTIVA",OFFSET(A489,-1,0)+1,LARGE(A$3:A488,1))</f>
        <v/>
      </c>
      <c r="B489" s="199">
        <f>IF(H489="UNIDADE CONSTRUTIVA",0,IF(H489="CÉLULA CONSTRUTIVA",OFFSET(B489,-1,0)+1,OFFSET(B489,-1,0)))</f>
        <v/>
      </c>
      <c r="C489" s="199">
        <f>IF(H489="CÉLULA CONSTRUTIVA",0,IF(H489="ETAPA",OFFSET(C489,-1,0)+1,OFFSET(C489,-1,0)))</f>
        <v/>
      </c>
      <c r="D489" s="200">
        <f>IF(H489="ETAPA",0,IF(H489="SUBETAPA",OFFSET(D489,-1,0)+1,OFFSET(D489,-1,0)))</f>
        <v/>
      </c>
      <c r="E489" s="200">
        <f>IF(H489="Subetapa",0,IF(H489="serviço",OFFSET(E489,-1,0)+1,OFFSET(E489,-1,0)))</f>
        <v/>
      </c>
      <c r="F489" s="31" t="n"/>
      <c r="J489" s="61" t="n"/>
      <c r="K489" s="62" t="n"/>
      <c r="L489" s="63" t="n"/>
      <c r="M489" s="63" t="n"/>
      <c r="N489" s="68" t="n"/>
      <c r="O489" s="68" t="n"/>
      <c r="P489" s="68" t="n"/>
      <c r="Q489" s="68" t="n"/>
      <c r="R489" s="68" t="n"/>
    </row>
    <row r="490" ht="14.1" customFormat="1" customHeight="1" s="60">
      <c r="A490" s="199">
        <f>IF($H490="UNIDADE CONSTRUTIVA",OFFSET(A490,-1,0)+1,LARGE(A$3:A489,1))</f>
        <v/>
      </c>
      <c r="B490" s="199">
        <f>IF(H490="UNIDADE CONSTRUTIVA",0,IF(H490="CÉLULA CONSTRUTIVA",OFFSET(B490,-1,0)+1,OFFSET(B490,-1,0)))</f>
        <v/>
      </c>
      <c r="C490" s="199">
        <f>IF(H490="CÉLULA CONSTRUTIVA",0,IF(H490="ETAPA",OFFSET(C490,-1,0)+1,OFFSET(C490,-1,0)))</f>
        <v/>
      </c>
      <c r="D490" s="200">
        <f>IF(H490="ETAPA",0,IF(H490="SUBETAPA",OFFSET(D490,-1,0)+1,OFFSET(D490,-1,0)))</f>
        <v/>
      </c>
      <c r="E490" s="200">
        <f>IF(H490="Subetapa",0,IF(H490="serviço",OFFSET(E490,-1,0)+1,OFFSET(E490,-1,0)))</f>
        <v/>
      </c>
      <c r="F490" s="31" t="n"/>
      <c r="J490" s="61" t="n"/>
      <c r="K490" s="62" t="n"/>
      <c r="L490" s="63" t="n"/>
      <c r="M490" s="63" t="n"/>
      <c r="N490" s="68" t="n"/>
      <c r="O490" s="68" t="n"/>
      <c r="P490" s="68" t="n"/>
      <c r="Q490" s="68" t="n"/>
      <c r="R490" s="68" t="n"/>
    </row>
    <row r="491" ht="14.1" customFormat="1" customHeight="1" s="60">
      <c r="A491" s="199">
        <f>IF($H491="UNIDADE CONSTRUTIVA",OFFSET(A491,-1,0)+1,LARGE(A$3:A490,1))</f>
        <v/>
      </c>
      <c r="B491" s="199">
        <f>IF(H491="UNIDADE CONSTRUTIVA",0,IF(H491="CÉLULA CONSTRUTIVA",OFFSET(B491,-1,0)+1,OFFSET(B491,-1,0)))</f>
        <v/>
      </c>
      <c r="C491" s="199">
        <f>IF(H491="CÉLULA CONSTRUTIVA",0,IF(H491="ETAPA",OFFSET(C491,-1,0)+1,OFFSET(C491,-1,0)))</f>
        <v/>
      </c>
      <c r="D491" s="200">
        <f>IF(H491="ETAPA",0,IF(H491="SUBETAPA",OFFSET(D491,-1,0)+1,OFFSET(D491,-1,0)))</f>
        <v/>
      </c>
      <c r="E491" s="200">
        <f>IF(H491="Subetapa",0,IF(H491="serviço",OFFSET(E491,-1,0)+1,OFFSET(E491,-1,0)))</f>
        <v/>
      </c>
      <c r="F491" s="31" t="n"/>
      <c r="J491" s="61" t="n"/>
      <c r="K491" s="62" t="n"/>
      <c r="L491" s="63" t="n"/>
      <c r="M491" s="63" t="n"/>
      <c r="N491" s="68" t="n"/>
      <c r="O491" s="68" t="n"/>
      <c r="P491" s="68" t="n"/>
      <c r="Q491" s="68" t="n"/>
      <c r="R491" s="68" t="n"/>
    </row>
    <row r="492" ht="14.1" customFormat="1" customHeight="1" s="60">
      <c r="A492" s="199">
        <f>IF($H492="UNIDADE CONSTRUTIVA",OFFSET(A492,-1,0)+1,LARGE(A$3:A491,1))</f>
        <v/>
      </c>
      <c r="B492" s="199">
        <f>IF(H492="UNIDADE CONSTRUTIVA",0,IF(H492="CÉLULA CONSTRUTIVA",OFFSET(B492,-1,0)+1,OFFSET(B492,-1,0)))</f>
        <v/>
      </c>
      <c r="C492" s="199">
        <f>IF(H492="CÉLULA CONSTRUTIVA",0,IF(H492="ETAPA",OFFSET(C492,-1,0)+1,OFFSET(C492,-1,0)))</f>
        <v/>
      </c>
      <c r="D492" s="200">
        <f>IF(H492="ETAPA",0,IF(H492="SUBETAPA",OFFSET(D492,-1,0)+1,OFFSET(D492,-1,0)))</f>
        <v/>
      </c>
      <c r="E492" s="200">
        <f>IF(H492="Subetapa",0,IF(H492="serviço",OFFSET(E492,-1,0)+1,OFFSET(E492,-1,0)))</f>
        <v/>
      </c>
      <c r="F492" s="31" t="n"/>
      <c r="J492" s="61" t="n"/>
      <c r="K492" s="62" t="n"/>
      <c r="L492" s="63" t="n"/>
      <c r="M492" s="63" t="n"/>
      <c r="N492" s="68" t="n"/>
      <c r="O492" s="68" t="n"/>
      <c r="P492" s="68" t="n"/>
      <c r="Q492" s="68" t="n"/>
      <c r="R492" s="68" t="n"/>
    </row>
    <row r="493" ht="14.1" customFormat="1" customHeight="1" s="60">
      <c r="A493" s="199">
        <f>IF($H493="UNIDADE CONSTRUTIVA",OFFSET(A493,-1,0)+1,LARGE(A$3:A492,1))</f>
        <v/>
      </c>
      <c r="B493" s="199">
        <f>IF(H493="UNIDADE CONSTRUTIVA",0,IF(H493="CÉLULA CONSTRUTIVA",OFFSET(B493,-1,0)+1,OFFSET(B493,-1,0)))</f>
        <v/>
      </c>
      <c r="C493" s="199">
        <f>IF(H493="CÉLULA CONSTRUTIVA",0,IF(H493="ETAPA",OFFSET(C493,-1,0)+1,OFFSET(C493,-1,0)))</f>
        <v/>
      </c>
      <c r="D493" s="200">
        <f>IF(H493="ETAPA",0,IF(H493="SUBETAPA",OFFSET(D493,-1,0)+1,OFFSET(D493,-1,0)))</f>
        <v/>
      </c>
      <c r="E493" s="200">
        <f>IF(H493="Subetapa",0,IF(H493="serviço",OFFSET(E493,-1,0)+1,OFFSET(E493,-1,0)))</f>
        <v/>
      </c>
      <c r="F493" s="31" t="n"/>
      <c r="J493" s="61" t="n"/>
      <c r="K493" s="62" t="n"/>
      <c r="L493" s="63" t="n"/>
      <c r="M493" s="63" t="n"/>
      <c r="N493" s="68" t="n"/>
      <c r="O493" s="68" t="n"/>
      <c r="P493" s="68" t="n"/>
      <c r="Q493" s="68" t="n"/>
      <c r="R493" s="68" t="n"/>
    </row>
    <row r="494" ht="14.1" customFormat="1" customHeight="1" s="60">
      <c r="A494" s="199">
        <f>IF($H494="UNIDADE CONSTRUTIVA",OFFSET(A494,-1,0)+1,LARGE(A$3:A493,1))</f>
        <v/>
      </c>
      <c r="B494" s="199">
        <f>IF(H494="UNIDADE CONSTRUTIVA",0,IF(H494="CÉLULA CONSTRUTIVA",OFFSET(B494,-1,0)+1,OFFSET(B494,-1,0)))</f>
        <v/>
      </c>
      <c r="C494" s="199">
        <f>IF(H494="CÉLULA CONSTRUTIVA",0,IF(H494="ETAPA",OFFSET(C494,-1,0)+1,OFFSET(C494,-1,0)))</f>
        <v/>
      </c>
      <c r="D494" s="200">
        <f>IF(H494="ETAPA",0,IF(H494="SUBETAPA",OFFSET(D494,-1,0)+1,OFFSET(D494,-1,0)))</f>
        <v/>
      </c>
      <c r="E494" s="200">
        <f>IF(H494="Subetapa",0,IF(H494="serviço",OFFSET(E494,-1,0)+1,OFFSET(E494,-1,0)))</f>
        <v/>
      </c>
      <c r="F494" s="31" t="n"/>
      <c r="J494" s="61" t="n"/>
      <c r="K494" s="62" t="n"/>
      <c r="L494" s="63" t="n"/>
      <c r="M494" s="63" t="n"/>
      <c r="N494" s="68" t="n"/>
      <c r="O494" s="68" t="n"/>
      <c r="P494" s="68" t="n"/>
      <c r="Q494" s="68" t="n"/>
      <c r="R494" s="68" t="n"/>
    </row>
    <row r="495" ht="14.1" customFormat="1" customHeight="1" s="60">
      <c r="A495" s="199">
        <f>IF($H495="UNIDADE CONSTRUTIVA",OFFSET(A495,-1,0)+1,LARGE(A$3:A494,1))</f>
        <v/>
      </c>
      <c r="B495" s="199">
        <f>IF(H495="UNIDADE CONSTRUTIVA",0,IF(H495="CÉLULA CONSTRUTIVA",OFFSET(B495,-1,0)+1,OFFSET(B495,-1,0)))</f>
        <v/>
      </c>
      <c r="C495" s="199">
        <f>IF(H495="CÉLULA CONSTRUTIVA",0,IF(H495="ETAPA",OFFSET(C495,-1,0)+1,OFFSET(C495,-1,0)))</f>
        <v/>
      </c>
      <c r="D495" s="200">
        <f>IF(H495="ETAPA",0,IF(H495="SUBETAPA",OFFSET(D495,-1,0)+1,OFFSET(D495,-1,0)))</f>
        <v/>
      </c>
      <c r="E495" s="200">
        <f>IF(H495="Subetapa",0,IF(H495="serviço",OFFSET(E495,-1,0)+1,OFFSET(E495,-1,0)))</f>
        <v/>
      </c>
      <c r="F495" s="31" t="n"/>
      <c r="J495" s="61" t="n"/>
      <c r="K495" s="62" t="n"/>
      <c r="L495" s="63" t="n"/>
      <c r="M495" s="63" t="n"/>
      <c r="N495" s="68" t="n"/>
      <c r="O495" s="68" t="n"/>
      <c r="P495" s="68" t="n"/>
      <c r="Q495" s="68" t="n"/>
      <c r="R495" s="68" t="n"/>
    </row>
    <row r="496" ht="14.1" customFormat="1" customHeight="1" s="60">
      <c r="A496" s="199">
        <f>IF($H496="UNIDADE CONSTRUTIVA",OFFSET(A496,-1,0)+1,LARGE(A$3:A495,1))</f>
        <v/>
      </c>
      <c r="B496" s="199">
        <f>IF(H496="UNIDADE CONSTRUTIVA",0,IF(H496="CÉLULA CONSTRUTIVA",OFFSET(B496,-1,0)+1,OFFSET(B496,-1,0)))</f>
        <v/>
      </c>
      <c r="C496" s="199">
        <f>IF(H496="CÉLULA CONSTRUTIVA",0,IF(H496="ETAPA",OFFSET(C496,-1,0)+1,OFFSET(C496,-1,0)))</f>
        <v/>
      </c>
      <c r="D496" s="200">
        <f>IF(H496="ETAPA",0,IF(H496="SUBETAPA",OFFSET(D496,-1,0)+1,OFFSET(D496,-1,0)))</f>
        <v/>
      </c>
      <c r="E496" s="200">
        <f>IF(H496="Subetapa",0,IF(H496="serviço",OFFSET(E496,-1,0)+1,OFFSET(E496,-1,0)))</f>
        <v/>
      </c>
      <c r="F496" s="31" t="n"/>
      <c r="J496" s="61" t="n"/>
      <c r="K496" s="62" t="n"/>
      <c r="L496" s="63" t="n"/>
      <c r="M496" s="63" t="n"/>
      <c r="N496" s="68" t="n"/>
      <c r="O496" s="68" t="n"/>
      <c r="P496" s="68" t="n"/>
      <c r="Q496" s="68" t="n"/>
      <c r="R496" s="68" t="n"/>
    </row>
    <row r="497" ht="14.1" customFormat="1" customHeight="1" s="60">
      <c r="A497" s="199">
        <f>IF($H497="UNIDADE CONSTRUTIVA",OFFSET(A497,-1,0)+1,LARGE(A$3:A496,1))</f>
        <v/>
      </c>
      <c r="B497" s="199">
        <f>IF(H497="UNIDADE CONSTRUTIVA",0,IF(H497="CÉLULA CONSTRUTIVA",OFFSET(B497,-1,0)+1,OFFSET(B497,-1,0)))</f>
        <v/>
      </c>
      <c r="C497" s="199">
        <f>IF(H497="CÉLULA CONSTRUTIVA",0,IF(H497="ETAPA",OFFSET(C497,-1,0)+1,OFFSET(C497,-1,0)))</f>
        <v/>
      </c>
      <c r="D497" s="200">
        <f>IF(H497="ETAPA",0,IF(H497="SUBETAPA",OFFSET(D497,-1,0)+1,OFFSET(D497,-1,0)))</f>
        <v/>
      </c>
      <c r="E497" s="200">
        <f>IF(H497="Subetapa",0,IF(H497="serviço",OFFSET(E497,-1,0)+1,OFFSET(E497,-1,0)))</f>
        <v/>
      </c>
      <c r="F497" s="31" t="n"/>
      <c r="J497" s="61" t="n"/>
      <c r="K497" s="62" t="n"/>
      <c r="L497" s="63" t="n"/>
      <c r="M497" s="63" t="n"/>
      <c r="N497" s="68" t="n"/>
      <c r="O497" s="68" t="n"/>
      <c r="P497" s="68" t="n"/>
      <c r="Q497" s="68" t="n"/>
      <c r="R497" s="68" t="n"/>
    </row>
    <row r="498" ht="14.1" customFormat="1" customHeight="1" s="60">
      <c r="A498" s="199">
        <f>IF($H498="UNIDADE CONSTRUTIVA",OFFSET(A498,-1,0)+1,LARGE(A$3:A497,1))</f>
        <v/>
      </c>
      <c r="B498" s="199">
        <f>IF(H498="UNIDADE CONSTRUTIVA",0,IF(H498="CÉLULA CONSTRUTIVA",OFFSET(B498,-1,0)+1,OFFSET(B498,-1,0)))</f>
        <v/>
      </c>
      <c r="C498" s="199">
        <f>IF(H498="CÉLULA CONSTRUTIVA",0,IF(H498="ETAPA",OFFSET(C498,-1,0)+1,OFFSET(C498,-1,0)))</f>
        <v/>
      </c>
      <c r="D498" s="200">
        <f>IF(H498="ETAPA",0,IF(H498="SUBETAPA",OFFSET(D498,-1,0)+1,OFFSET(D498,-1,0)))</f>
        <v/>
      </c>
      <c r="E498" s="200">
        <f>IF(H498="Subetapa",0,IF(H498="serviço",OFFSET(E498,-1,0)+1,OFFSET(E498,-1,0)))</f>
        <v/>
      </c>
      <c r="F498" s="31" t="n"/>
      <c r="J498" s="61" t="n"/>
      <c r="K498" s="62" t="n"/>
      <c r="L498" s="63" t="n"/>
      <c r="M498" s="63" t="n"/>
      <c r="N498" s="68" t="n"/>
      <c r="O498" s="68" t="n"/>
      <c r="P498" s="68" t="n"/>
      <c r="Q498" s="68" t="n"/>
      <c r="R498" s="68" t="n"/>
    </row>
    <row r="499" ht="14.1" customFormat="1" customHeight="1" s="60">
      <c r="A499" s="199">
        <f>IF($H499="UNIDADE CONSTRUTIVA",OFFSET(A499,-1,0)+1,LARGE(A$3:A498,1))</f>
        <v/>
      </c>
      <c r="B499" s="199">
        <f>IF(H499="UNIDADE CONSTRUTIVA",0,IF(H499="CÉLULA CONSTRUTIVA",OFFSET(B499,-1,0)+1,OFFSET(B499,-1,0)))</f>
        <v/>
      </c>
      <c r="C499" s="199">
        <f>IF(H499="CÉLULA CONSTRUTIVA",0,IF(H499="ETAPA",OFFSET(C499,-1,0)+1,OFFSET(C499,-1,0)))</f>
        <v/>
      </c>
      <c r="D499" s="200">
        <f>IF(H499="ETAPA",0,IF(H499="SUBETAPA",OFFSET(D499,-1,0)+1,OFFSET(D499,-1,0)))</f>
        <v/>
      </c>
      <c r="E499" s="200">
        <f>IF(H499="Subetapa",0,IF(H499="serviço",OFFSET(E499,-1,0)+1,OFFSET(E499,-1,0)))</f>
        <v/>
      </c>
      <c r="F499" s="31" t="n"/>
      <c r="J499" s="61" t="n"/>
      <c r="K499" s="62" t="n"/>
      <c r="L499" s="63" t="n"/>
      <c r="M499" s="63" t="n"/>
      <c r="N499" s="68" t="n"/>
      <c r="O499" s="68" t="n"/>
      <c r="P499" s="68" t="n"/>
      <c r="Q499" s="68" t="n"/>
      <c r="R499" s="68" t="n"/>
    </row>
    <row r="500" ht="14.1" customFormat="1" customHeight="1" s="60">
      <c r="A500" s="199">
        <f>IF($H500="UNIDADE CONSTRUTIVA",OFFSET(A500,-1,0)+1,LARGE(A$3:A499,1))</f>
        <v/>
      </c>
      <c r="B500" s="199">
        <f>IF(H500="UNIDADE CONSTRUTIVA",0,IF(H500="CÉLULA CONSTRUTIVA",OFFSET(B500,-1,0)+1,OFFSET(B500,-1,0)))</f>
        <v/>
      </c>
      <c r="C500" s="199">
        <f>IF(H500="CÉLULA CONSTRUTIVA",0,IF(H500="ETAPA",OFFSET(C500,-1,0)+1,OFFSET(C500,-1,0)))</f>
        <v/>
      </c>
      <c r="D500" s="200">
        <f>IF(H500="ETAPA",0,IF(H500="SUBETAPA",OFFSET(D500,-1,0)+1,OFFSET(D500,-1,0)))</f>
        <v/>
      </c>
      <c r="E500" s="200">
        <f>IF(H500="Subetapa",0,IF(H500="serviço",OFFSET(E500,-1,0)+1,OFFSET(E500,-1,0)))</f>
        <v/>
      </c>
      <c r="F500" s="31" t="n"/>
      <c r="J500" s="61" t="n"/>
      <c r="K500" s="62" t="n"/>
      <c r="L500" s="63" t="n"/>
      <c r="M500" s="63" t="n"/>
      <c r="N500" s="68" t="n"/>
      <c r="O500" s="68" t="n"/>
      <c r="P500" s="68" t="n"/>
      <c r="Q500" s="68" t="n"/>
      <c r="R500" s="68" t="n"/>
    </row>
    <row r="501" ht="14.1" customFormat="1" customHeight="1" s="60">
      <c r="A501" s="199">
        <f>IF($H501="UNIDADE CONSTRUTIVA",OFFSET(A501,-1,0)+1,LARGE(A$3:A500,1))</f>
        <v/>
      </c>
      <c r="B501" s="199">
        <f>IF(H501="UNIDADE CONSTRUTIVA",0,IF(H501="CÉLULA CONSTRUTIVA",OFFSET(B501,-1,0)+1,OFFSET(B501,-1,0)))</f>
        <v/>
      </c>
      <c r="C501" s="199">
        <f>IF(H501="CÉLULA CONSTRUTIVA",0,IF(H501="ETAPA",OFFSET(C501,-1,0)+1,OFFSET(C501,-1,0)))</f>
        <v/>
      </c>
      <c r="D501" s="200">
        <f>IF(H501="ETAPA",0,IF(H501="SUBETAPA",OFFSET(D501,-1,0)+1,OFFSET(D501,-1,0)))</f>
        <v/>
      </c>
      <c r="E501" s="200">
        <f>IF(H501="Subetapa",0,IF(H501="serviço",OFFSET(E501,-1,0)+1,OFFSET(E501,-1,0)))</f>
        <v/>
      </c>
      <c r="F501" s="31" t="n"/>
      <c r="J501" s="61" t="n"/>
      <c r="K501" s="62" t="n"/>
      <c r="L501" s="63" t="n"/>
      <c r="M501" s="63" t="n"/>
      <c r="N501" s="68" t="n"/>
      <c r="O501" s="68" t="n"/>
      <c r="P501" s="68" t="n"/>
      <c r="Q501" s="68" t="n"/>
      <c r="R501" s="68" t="n"/>
    </row>
    <row r="502" ht="14.1" customFormat="1" customHeight="1" s="60">
      <c r="A502" s="199">
        <f>IF($H502="UNIDADE CONSTRUTIVA",OFFSET(A502,-1,0)+1,LARGE(A$3:A501,1))</f>
        <v/>
      </c>
      <c r="B502" s="199">
        <f>IF(H502="UNIDADE CONSTRUTIVA",0,IF(H502="CÉLULA CONSTRUTIVA",OFFSET(B502,-1,0)+1,OFFSET(B502,-1,0)))</f>
        <v/>
      </c>
      <c r="C502" s="199">
        <f>IF(H502="CÉLULA CONSTRUTIVA",0,IF(H502="ETAPA",OFFSET(C502,-1,0)+1,OFFSET(C502,-1,0)))</f>
        <v/>
      </c>
      <c r="D502" s="200">
        <f>IF(H502="ETAPA",0,IF(H502="SUBETAPA",OFFSET(D502,-1,0)+1,OFFSET(D502,-1,0)))</f>
        <v/>
      </c>
      <c r="E502" s="200">
        <f>IF(H502="Subetapa",0,IF(H502="serviço",OFFSET(E502,-1,0)+1,OFFSET(E502,-1,0)))</f>
        <v/>
      </c>
      <c r="F502" s="31" t="n"/>
      <c r="J502" s="61" t="n"/>
      <c r="K502" s="62" t="n"/>
      <c r="L502" s="63" t="n"/>
      <c r="M502" s="63" t="n"/>
      <c r="N502" s="68" t="n"/>
      <c r="O502" s="68" t="n"/>
      <c r="P502" s="68" t="n"/>
      <c r="Q502" s="68" t="n"/>
      <c r="R502" s="68" t="n"/>
    </row>
    <row r="503" ht="14.1" customFormat="1" customHeight="1" s="60">
      <c r="A503" s="199">
        <f>IF($H503="UNIDADE CONSTRUTIVA",OFFSET(A503,-1,0)+1,LARGE(A$3:A502,1))</f>
        <v/>
      </c>
      <c r="B503" s="199">
        <f>IF(H503="UNIDADE CONSTRUTIVA",0,IF(H503="CÉLULA CONSTRUTIVA",OFFSET(B503,-1,0)+1,OFFSET(B503,-1,0)))</f>
        <v/>
      </c>
      <c r="C503" s="199">
        <f>IF(H503="CÉLULA CONSTRUTIVA",0,IF(H503="ETAPA",OFFSET(C503,-1,0)+1,OFFSET(C503,-1,0)))</f>
        <v/>
      </c>
      <c r="D503" s="200">
        <f>IF(H503="ETAPA",0,IF(H503="SUBETAPA",OFFSET(D503,-1,0)+1,OFFSET(D503,-1,0)))</f>
        <v/>
      </c>
      <c r="E503" s="200">
        <f>IF(H503="Subetapa",0,IF(H503="serviço",OFFSET(E503,-1,0)+1,OFFSET(E503,-1,0)))</f>
        <v/>
      </c>
      <c r="F503" s="31" t="n"/>
      <c r="J503" s="61" t="n"/>
      <c r="K503" s="62" t="n"/>
      <c r="L503" s="63" t="n"/>
      <c r="M503" s="63" t="n"/>
      <c r="N503" s="68" t="n"/>
      <c r="O503" s="68" t="n"/>
      <c r="P503" s="68" t="n"/>
      <c r="Q503" s="68" t="n"/>
      <c r="R503" s="68" t="n"/>
    </row>
    <row r="504" ht="14.1" customFormat="1" customHeight="1" s="60">
      <c r="A504" s="199">
        <f>IF($H504="UNIDADE CONSTRUTIVA",OFFSET(A504,-1,0)+1,LARGE(A$3:A503,1))</f>
        <v/>
      </c>
      <c r="B504" s="199">
        <f>IF(H504="UNIDADE CONSTRUTIVA",0,IF(H504="CÉLULA CONSTRUTIVA",OFFSET(B504,-1,0)+1,OFFSET(B504,-1,0)))</f>
        <v/>
      </c>
      <c r="C504" s="199">
        <f>IF(H504="CÉLULA CONSTRUTIVA",0,IF(H504="ETAPA",OFFSET(C504,-1,0)+1,OFFSET(C504,-1,0)))</f>
        <v/>
      </c>
      <c r="D504" s="200">
        <f>IF(H504="ETAPA",0,IF(H504="SUBETAPA",OFFSET(D504,-1,0)+1,OFFSET(D504,-1,0)))</f>
        <v/>
      </c>
      <c r="E504" s="200">
        <f>IF(H504="Subetapa",0,IF(H504="serviço",OFFSET(E504,-1,0)+1,OFFSET(E504,-1,0)))</f>
        <v/>
      </c>
      <c r="F504" s="31" t="n"/>
      <c r="J504" s="61" t="n"/>
      <c r="K504" s="62" t="n"/>
      <c r="L504" s="63" t="n"/>
      <c r="M504" s="63" t="n"/>
      <c r="N504" s="68" t="n"/>
      <c r="O504" s="68" t="n"/>
      <c r="P504" s="68" t="n"/>
      <c r="Q504" s="68" t="n"/>
      <c r="R504" s="68" t="n"/>
    </row>
    <row r="505" ht="14.1" customFormat="1" customHeight="1" s="60">
      <c r="A505" s="199">
        <f>IF($H505="UNIDADE CONSTRUTIVA",OFFSET(A505,-1,0)+1,LARGE(A$3:A504,1))</f>
        <v/>
      </c>
      <c r="B505" s="199">
        <f>IF(H505="UNIDADE CONSTRUTIVA",0,IF(H505="CÉLULA CONSTRUTIVA",OFFSET(B505,-1,0)+1,OFFSET(B505,-1,0)))</f>
        <v/>
      </c>
      <c r="C505" s="199">
        <f>IF(H505="CÉLULA CONSTRUTIVA",0,IF(H505="ETAPA",OFFSET(C505,-1,0)+1,OFFSET(C505,-1,0)))</f>
        <v/>
      </c>
      <c r="D505" s="200">
        <f>IF(H505="ETAPA",0,IF(H505="SUBETAPA",OFFSET(D505,-1,0)+1,OFFSET(D505,-1,0)))</f>
        <v/>
      </c>
      <c r="E505" s="200">
        <f>IF(H505="Subetapa",0,IF(H505="serviço",OFFSET(E505,-1,0)+1,OFFSET(E505,-1,0)))</f>
        <v/>
      </c>
      <c r="F505" s="31" t="n"/>
      <c r="J505" s="61" t="n"/>
      <c r="K505" s="62" t="n"/>
      <c r="L505" s="63" t="n"/>
      <c r="M505" s="63" t="n"/>
      <c r="N505" s="68" t="n"/>
      <c r="O505" s="68" t="n"/>
      <c r="P505" s="68" t="n"/>
      <c r="Q505" s="68" t="n"/>
      <c r="R505" s="68" t="n"/>
    </row>
    <row r="506" ht="14.1" customFormat="1" customHeight="1" s="60">
      <c r="A506" s="199">
        <f>IF($H506="UNIDADE CONSTRUTIVA",OFFSET(A506,-1,0)+1,LARGE(A$3:A505,1))</f>
        <v/>
      </c>
      <c r="B506" s="199">
        <f>IF(H506="UNIDADE CONSTRUTIVA",0,IF(H506="CÉLULA CONSTRUTIVA",OFFSET(B506,-1,0)+1,OFFSET(B506,-1,0)))</f>
        <v/>
      </c>
      <c r="C506" s="199">
        <f>IF(H506="CÉLULA CONSTRUTIVA",0,IF(H506="ETAPA",OFFSET(C506,-1,0)+1,OFFSET(C506,-1,0)))</f>
        <v/>
      </c>
      <c r="D506" s="200">
        <f>IF(H506="ETAPA",0,IF(H506="SUBETAPA",OFFSET(D506,-1,0)+1,OFFSET(D506,-1,0)))</f>
        <v/>
      </c>
      <c r="E506" s="200">
        <f>IF(H506="Subetapa",0,IF(H506="serviço",OFFSET(E506,-1,0)+1,OFFSET(E506,-1,0)))</f>
        <v/>
      </c>
      <c r="F506" s="31" t="n"/>
      <c r="J506" s="61" t="n"/>
      <c r="K506" s="62" t="n"/>
      <c r="L506" s="63" t="n"/>
      <c r="M506" s="63" t="n"/>
      <c r="N506" s="68" t="n"/>
      <c r="O506" s="68" t="n"/>
      <c r="P506" s="68" t="n"/>
      <c r="Q506" s="68" t="n"/>
      <c r="R506" s="68" t="n"/>
    </row>
    <row r="507" ht="14.1" customFormat="1" customHeight="1" s="60">
      <c r="A507" s="199">
        <f>IF($H507="UNIDADE CONSTRUTIVA",OFFSET(A507,-1,0)+1,LARGE(A$3:A506,1))</f>
        <v/>
      </c>
      <c r="B507" s="199">
        <f>IF(H507="UNIDADE CONSTRUTIVA",0,IF(H507="CÉLULA CONSTRUTIVA",OFFSET(B507,-1,0)+1,OFFSET(B507,-1,0)))</f>
        <v/>
      </c>
      <c r="C507" s="199">
        <f>IF(H507="CÉLULA CONSTRUTIVA",0,IF(H507="ETAPA",OFFSET(C507,-1,0)+1,OFFSET(C507,-1,0)))</f>
        <v/>
      </c>
      <c r="D507" s="200">
        <f>IF(H507="ETAPA",0,IF(H507="SUBETAPA",OFFSET(D507,-1,0)+1,OFFSET(D507,-1,0)))</f>
        <v/>
      </c>
      <c r="E507" s="200">
        <f>IF(H507="Subetapa",0,IF(H507="serviço",OFFSET(E507,-1,0)+1,OFFSET(E507,-1,0)))</f>
        <v/>
      </c>
      <c r="F507" s="31" t="n"/>
      <c r="J507" s="61" t="n"/>
      <c r="K507" s="62" t="n"/>
      <c r="L507" s="63" t="n"/>
      <c r="M507" s="63" t="n"/>
      <c r="N507" s="68" t="n"/>
      <c r="O507" s="68" t="n"/>
      <c r="P507" s="68" t="n"/>
      <c r="Q507" s="68" t="n"/>
      <c r="R507" s="68" t="n"/>
    </row>
    <row r="508" ht="14.1" customFormat="1" customHeight="1" s="60">
      <c r="A508" s="199">
        <f>IF($H508="UNIDADE CONSTRUTIVA",OFFSET(A508,-1,0)+1,LARGE(A$3:A507,1))</f>
        <v/>
      </c>
      <c r="B508" s="199">
        <f>IF(H508="UNIDADE CONSTRUTIVA",0,IF(H508="CÉLULA CONSTRUTIVA",OFFSET(B508,-1,0)+1,OFFSET(B508,-1,0)))</f>
        <v/>
      </c>
      <c r="C508" s="199">
        <f>IF(H508="CÉLULA CONSTRUTIVA",0,IF(H508="ETAPA",OFFSET(C508,-1,0)+1,OFFSET(C508,-1,0)))</f>
        <v/>
      </c>
      <c r="D508" s="200">
        <f>IF(H508="ETAPA",0,IF(H508="SUBETAPA",OFFSET(D508,-1,0)+1,OFFSET(D508,-1,0)))</f>
        <v/>
      </c>
      <c r="E508" s="200">
        <f>IF(H508="Subetapa",0,IF(H508="serviço",OFFSET(E508,-1,0)+1,OFFSET(E508,-1,0)))</f>
        <v/>
      </c>
      <c r="F508" s="31" t="n"/>
      <c r="J508" s="61" t="n"/>
      <c r="K508" s="62" t="n"/>
      <c r="L508" s="63" t="n"/>
      <c r="M508" s="63" t="n"/>
      <c r="N508" s="68" t="n"/>
      <c r="O508" s="68" t="n"/>
      <c r="P508" s="68" t="n"/>
      <c r="Q508" s="68" t="n"/>
      <c r="R508" s="68" t="n"/>
    </row>
    <row r="509" ht="14.1" customFormat="1" customHeight="1" s="60">
      <c r="A509" s="199">
        <f>IF($H509="UNIDADE CONSTRUTIVA",OFFSET(A509,-1,0)+1,LARGE(A$3:A508,1))</f>
        <v/>
      </c>
      <c r="B509" s="199">
        <f>IF(H509="UNIDADE CONSTRUTIVA",0,IF(H509="CÉLULA CONSTRUTIVA",OFFSET(B509,-1,0)+1,OFFSET(B509,-1,0)))</f>
        <v/>
      </c>
      <c r="C509" s="199">
        <f>IF(H509="CÉLULA CONSTRUTIVA",0,IF(H509="ETAPA",OFFSET(C509,-1,0)+1,OFFSET(C509,-1,0)))</f>
        <v/>
      </c>
      <c r="D509" s="200">
        <f>IF(H509="ETAPA",0,IF(H509="SUBETAPA",OFFSET(D509,-1,0)+1,OFFSET(D509,-1,0)))</f>
        <v/>
      </c>
      <c r="E509" s="200">
        <f>IF(H509="Subetapa",0,IF(H509="serviço",OFFSET(E509,-1,0)+1,OFFSET(E509,-1,0)))</f>
        <v/>
      </c>
      <c r="F509" s="31" t="n"/>
      <c r="J509" s="61" t="n"/>
      <c r="K509" s="62" t="n"/>
      <c r="L509" s="63" t="n"/>
      <c r="M509" s="63" t="n"/>
      <c r="N509" s="68" t="n"/>
      <c r="O509" s="68" t="n"/>
      <c r="P509" s="68" t="n"/>
      <c r="Q509" s="68" t="n"/>
      <c r="R509" s="68" t="n"/>
    </row>
    <row r="510" ht="14.1" customFormat="1" customHeight="1" s="60">
      <c r="A510" s="199">
        <f>IF($H510="UNIDADE CONSTRUTIVA",OFFSET(A510,-1,0)+1,LARGE(A$3:A509,1))</f>
        <v/>
      </c>
      <c r="B510" s="199">
        <f>IF(H510="UNIDADE CONSTRUTIVA",0,IF(H510="CÉLULA CONSTRUTIVA",OFFSET(B510,-1,0)+1,OFFSET(B510,-1,0)))</f>
        <v/>
      </c>
      <c r="C510" s="199">
        <f>IF(H510="CÉLULA CONSTRUTIVA",0,IF(H510="ETAPA",OFFSET(C510,-1,0)+1,OFFSET(C510,-1,0)))</f>
        <v/>
      </c>
      <c r="D510" s="200">
        <f>IF(H510="ETAPA",0,IF(H510="SUBETAPA",OFFSET(D510,-1,0)+1,OFFSET(D510,-1,0)))</f>
        <v/>
      </c>
      <c r="E510" s="200">
        <f>IF(H510="Subetapa",0,IF(H510="serviço",OFFSET(E510,-1,0)+1,OFFSET(E510,-1,0)))</f>
        <v/>
      </c>
      <c r="F510" s="31" t="n"/>
      <c r="J510" s="61" t="n"/>
      <c r="K510" s="62" t="n"/>
      <c r="L510" s="63" t="n"/>
      <c r="M510" s="63" t="n"/>
      <c r="N510" s="68" t="n"/>
      <c r="O510" s="68" t="n"/>
      <c r="P510" s="68" t="n"/>
      <c r="Q510" s="68" t="n"/>
      <c r="R510" s="68" t="n"/>
    </row>
    <row r="511" ht="14.1" customFormat="1" customHeight="1" s="60">
      <c r="A511" s="199">
        <f>IF($H511="UNIDADE CONSTRUTIVA",OFFSET(A511,-1,0)+1,LARGE(A$3:A510,1))</f>
        <v/>
      </c>
      <c r="B511" s="199">
        <f>IF(H511="UNIDADE CONSTRUTIVA",0,IF(H511="CÉLULA CONSTRUTIVA",OFFSET(B511,-1,0)+1,OFFSET(B511,-1,0)))</f>
        <v/>
      </c>
      <c r="C511" s="199">
        <f>IF(H511="CÉLULA CONSTRUTIVA",0,IF(H511="ETAPA",OFFSET(C511,-1,0)+1,OFFSET(C511,-1,0)))</f>
        <v/>
      </c>
      <c r="D511" s="200">
        <f>IF(H511="ETAPA",0,IF(H511="SUBETAPA",OFFSET(D511,-1,0)+1,OFFSET(D511,-1,0)))</f>
        <v/>
      </c>
      <c r="E511" s="200">
        <f>IF(H511="Subetapa",0,IF(H511="serviço",OFFSET(E511,-1,0)+1,OFFSET(E511,-1,0)))</f>
        <v/>
      </c>
      <c r="F511" s="31" t="n"/>
      <c r="J511" s="61" t="n"/>
      <c r="K511" s="62" t="n"/>
      <c r="L511" s="63" t="n"/>
      <c r="M511" s="63" t="n"/>
      <c r="N511" s="68" t="n"/>
      <c r="O511" s="68" t="n"/>
      <c r="P511" s="68" t="n"/>
      <c r="Q511" s="68" t="n"/>
      <c r="R511" s="68" t="n"/>
    </row>
    <row r="512" ht="14.1" customFormat="1" customHeight="1" s="60">
      <c r="A512" s="199">
        <f>IF($H512="UNIDADE CONSTRUTIVA",OFFSET(A512,-1,0)+1,LARGE(A$3:A511,1))</f>
        <v/>
      </c>
      <c r="B512" s="199">
        <f>IF(H512="UNIDADE CONSTRUTIVA",0,IF(H512="CÉLULA CONSTRUTIVA",OFFSET(B512,-1,0)+1,OFFSET(B512,-1,0)))</f>
        <v/>
      </c>
      <c r="C512" s="199">
        <f>IF(H512="CÉLULA CONSTRUTIVA",0,IF(H512="ETAPA",OFFSET(C512,-1,0)+1,OFFSET(C512,-1,0)))</f>
        <v/>
      </c>
      <c r="D512" s="200">
        <f>IF(H512="ETAPA",0,IF(H512="SUBETAPA",OFFSET(D512,-1,0)+1,OFFSET(D512,-1,0)))</f>
        <v/>
      </c>
      <c r="E512" s="200">
        <f>IF(H512="Subetapa",0,IF(H512="serviço",OFFSET(E512,-1,0)+1,OFFSET(E512,-1,0)))</f>
        <v/>
      </c>
      <c r="F512" s="31" t="n"/>
      <c r="J512" s="61" t="n"/>
      <c r="K512" s="62" t="n"/>
      <c r="L512" s="63" t="n"/>
      <c r="M512" s="63" t="n"/>
      <c r="N512" s="68" t="n"/>
      <c r="O512" s="68" t="n"/>
      <c r="P512" s="68" t="n"/>
      <c r="Q512" s="68" t="n"/>
      <c r="R512" s="68" t="n"/>
    </row>
    <row r="513" ht="14.1" customFormat="1" customHeight="1" s="60">
      <c r="A513" s="199">
        <f>IF($H513="UNIDADE CONSTRUTIVA",OFFSET(A513,-1,0)+1,LARGE(A$3:A512,1))</f>
        <v/>
      </c>
      <c r="B513" s="199">
        <f>IF(H513="UNIDADE CONSTRUTIVA",0,IF(H513="CÉLULA CONSTRUTIVA",OFFSET(B513,-1,0)+1,OFFSET(B513,-1,0)))</f>
        <v/>
      </c>
      <c r="C513" s="199">
        <f>IF(H513="CÉLULA CONSTRUTIVA",0,IF(H513="ETAPA",OFFSET(C513,-1,0)+1,OFFSET(C513,-1,0)))</f>
        <v/>
      </c>
      <c r="D513" s="200">
        <f>IF(H513="ETAPA",0,IF(H513="SUBETAPA",OFFSET(D513,-1,0)+1,OFFSET(D513,-1,0)))</f>
        <v/>
      </c>
      <c r="E513" s="200">
        <f>IF(H513="Subetapa",0,IF(H513="serviço",OFFSET(E513,-1,0)+1,OFFSET(E513,-1,0)))</f>
        <v/>
      </c>
      <c r="F513" s="31" t="n"/>
      <c r="J513" s="61" t="n"/>
      <c r="K513" s="62" t="n"/>
      <c r="L513" s="63" t="n"/>
      <c r="M513" s="63" t="n"/>
      <c r="N513" s="68" t="n"/>
      <c r="O513" s="68" t="n"/>
      <c r="P513" s="68" t="n"/>
      <c r="Q513" s="68" t="n"/>
      <c r="R513" s="68" t="n"/>
    </row>
    <row r="514" ht="14.1" customFormat="1" customHeight="1" s="60">
      <c r="A514" s="199">
        <f>IF($H514="UNIDADE CONSTRUTIVA",OFFSET(A514,-1,0)+1,LARGE(A$3:A513,1))</f>
        <v/>
      </c>
      <c r="B514" s="199">
        <f>IF(H514="UNIDADE CONSTRUTIVA",0,IF(H514="CÉLULA CONSTRUTIVA",OFFSET(B514,-1,0)+1,OFFSET(B514,-1,0)))</f>
        <v/>
      </c>
      <c r="C514" s="199">
        <f>IF(H514="CÉLULA CONSTRUTIVA",0,IF(H514="ETAPA",OFFSET(C514,-1,0)+1,OFFSET(C514,-1,0)))</f>
        <v/>
      </c>
      <c r="D514" s="200">
        <f>IF(H514="ETAPA",0,IF(H514="SUBETAPA",OFFSET(D514,-1,0)+1,OFFSET(D514,-1,0)))</f>
        <v/>
      </c>
      <c r="E514" s="200">
        <f>IF(H514="Subetapa",0,IF(H514="serviço",OFFSET(E514,-1,0)+1,OFFSET(E514,-1,0)))</f>
        <v/>
      </c>
      <c r="F514" s="31" t="n"/>
      <c r="J514" s="61" t="n"/>
      <c r="K514" s="62" t="n"/>
      <c r="L514" s="63" t="n"/>
      <c r="M514" s="63" t="n"/>
      <c r="N514" s="68" t="n"/>
      <c r="O514" s="68" t="n"/>
      <c r="P514" s="68" t="n"/>
      <c r="Q514" s="68" t="n"/>
      <c r="R514" s="68" t="n"/>
    </row>
    <row r="515" ht="14.1" customFormat="1" customHeight="1" s="60">
      <c r="A515" s="199">
        <f>IF($H515="UNIDADE CONSTRUTIVA",OFFSET(A515,-1,0)+1,LARGE(A$3:A514,1))</f>
        <v/>
      </c>
      <c r="B515" s="199">
        <f>IF(H515="UNIDADE CONSTRUTIVA",0,IF(H515="CÉLULA CONSTRUTIVA",OFFSET(B515,-1,0)+1,OFFSET(B515,-1,0)))</f>
        <v/>
      </c>
      <c r="C515" s="199">
        <f>IF(H515="CÉLULA CONSTRUTIVA",0,IF(H515="ETAPA",OFFSET(C515,-1,0)+1,OFFSET(C515,-1,0)))</f>
        <v/>
      </c>
      <c r="D515" s="200">
        <f>IF(H515="ETAPA",0,IF(H515="SUBETAPA",OFFSET(D515,-1,0)+1,OFFSET(D515,-1,0)))</f>
        <v/>
      </c>
      <c r="E515" s="200">
        <f>IF(H515="Subetapa",0,IF(H515="serviço",OFFSET(E515,-1,0)+1,OFFSET(E515,-1,0)))</f>
        <v/>
      </c>
      <c r="F515" s="31" t="n"/>
      <c r="J515" s="61" t="n"/>
      <c r="K515" s="62" t="n"/>
      <c r="L515" s="63" t="n"/>
      <c r="M515" s="63" t="n"/>
      <c r="N515" s="68" t="n"/>
      <c r="O515" s="68" t="n"/>
      <c r="P515" s="68" t="n"/>
      <c r="Q515" s="68" t="n"/>
      <c r="R515" s="68" t="n"/>
    </row>
    <row r="516" ht="14.1" customFormat="1" customHeight="1" s="60">
      <c r="A516" s="199">
        <f>IF($H516="UNIDADE CONSTRUTIVA",OFFSET(A516,-1,0)+1,LARGE(A$3:A515,1))</f>
        <v/>
      </c>
      <c r="B516" s="199">
        <f>IF(H516="UNIDADE CONSTRUTIVA",0,IF(H516="CÉLULA CONSTRUTIVA",OFFSET(B516,-1,0)+1,OFFSET(B516,-1,0)))</f>
        <v/>
      </c>
      <c r="C516" s="199">
        <f>IF(H516="CÉLULA CONSTRUTIVA",0,IF(H516="ETAPA",OFFSET(C516,-1,0)+1,OFFSET(C516,-1,0)))</f>
        <v/>
      </c>
      <c r="D516" s="200">
        <f>IF(H516="ETAPA",0,IF(H516="SUBETAPA",OFFSET(D516,-1,0)+1,OFFSET(D516,-1,0)))</f>
        <v/>
      </c>
      <c r="E516" s="200">
        <f>IF(H516="Subetapa",0,IF(H516="serviço",OFFSET(E516,-1,0)+1,OFFSET(E516,-1,0)))</f>
        <v/>
      </c>
      <c r="F516" s="31" t="n"/>
      <c r="J516" s="61" t="n"/>
      <c r="K516" s="62" t="n"/>
      <c r="L516" s="63" t="n"/>
      <c r="M516" s="63" t="n"/>
      <c r="N516" s="68" t="n"/>
      <c r="O516" s="68" t="n"/>
      <c r="P516" s="68" t="n"/>
      <c r="Q516" s="68" t="n"/>
      <c r="R516" s="68" t="n"/>
    </row>
    <row r="517" ht="14.1" customFormat="1" customHeight="1" s="60">
      <c r="A517" s="199">
        <f>IF($H517="UNIDADE CONSTRUTIVA",OFFSET(A517,-1,0)+1,LARGE(A$3:A516,1))</f>
        <v/>
      </c>
      <c r="B517" s="199">
        <f>IF(H517="UNIDADE CONSTRUTIVA",0,IF(H517="CÉLULA CONSTRUTIVA",OFFSET(B517,-1,0)+1,OFFSET(B517,-1,0)))</f>
        <v/>
      </c>
      <c r="C517" s="199">
        <f>IF(H517="CÉLULA CONSTRUTIVA",0,IF(H517="ETAPA",OFFSET(C517,-1,0)+1,OFFSET(C517,-1,0)))</f>
        <v/>
      </c>
      <c r="D517" s="200">
        <f>IF(H517="ETAPA",0,IF(H517="SUBETAPA",OFFSET(D517,-1,0)+1,OFFSET(D517,-1,0)))</f>
        <v/>
      </c>
      <c r="E517" s="200">
        <f>IF(H517="Subetapa",0,IF(H517="serviço",OFFSET(E517,-1,0)+1,OFFSET(E517,-1,0)))</f>
        <v/>
      </c>
      <c r="F517" s="31" t="n"/>
      <c r="J517" s="61" t="n"/>
      <c r="K517" s="62" t="n"/>
      <c r="L517" s="63" t="n"/>
      <c r="M517" s="63" t="n"/>
      <c r="N517" s="68" t="n"/>
      <c r="O517" s="68" t="n"/>
      <c r="P517" s="68" t="n"/>
      <c r="Q517" s="68" t="n"/>
      <c r="R517" s="68" t="n"/>
    </row>
    <row r="518" ht="14.1" customFormat="1" customHeight="1" s="60">
      <c r="A518" s="199">
        <f>IF($H518="UNIDADE CONSTRUTIVA",OFFSET(A518,-1,0)+1,LARGE(A$3:A517,1))</f>
        <v/>
      </c>
      <c r="B518" s="199">
        <f>IF(H518="UNIDADE CONSTRUTIVA",0,IF(H518="CÉLULA CONSTRUTIVA",OFFSET(B518,-1,0)+1,OFFSET(B518,-1,0)))</f>
        <v/>
      </c>
      <c r="C518" s="199">
        <f>IF(H518="CÉLULA CONSTRUTIVA",0,IF(H518="ETAPA",OFFSET(C518,-1,0)+1,OFFSET(C518,-1,0)))</f>
        <v/>
      </c>
      <c r="D518" s="200">
        <f>IF(H518="ETAPA",0,IF(H518="SUBETAPA",OFFSET(D518,-1,0)+1,OFFSET(D518,-1,0)))</f>
        <v/>
      </c>
      <c r="E518" s="200">
        <f>IF(H518="Subetapa",0,IF(H518="serviço",OFFSET(E518,-1,0)+1,OFFSET(E518,-1,0)))</f>
        <v/>
      </c>
      <c r="F518" s="31" t="n"/>
      <c r="J518" s="61" t="n"/>
      <c r="K518" s="62" t="n"/>
      <c r="L518" s="63" t="n"/>
      <c r="M518" s="63" t="n"/>
      <c r="N518" s="68" t="n"/>
      <c r="O518" s="68" t="n"/>
      <c r="P518" s="68" t="n"/>
      <c r="Q518" s="68" t="n"/>
      <c r="R518" s="68" t="n"/>
    </row>
    <row r="519" ht="14.1" customFormat="1" customHeight="1" s="60">
      <c r="A519" s="199">
        <f>IF($H519="UNIDADE CONSTRUTIVA",OFFSET(A519,-1,0)+1,LARGE(A$3:A518,1))</f>
        <v/>
      </c>
      <c r="B519" s="199">
        <f>IF(H519="UNIDADE CONSTRUTIVA",0,IF(H519="CÉLULA CONSTRUTIVA",OFFSET(B519,-1,0)+1,OFFSET(B519,-1,0)))</f>
        <v/>
      </c>
      <c r="C519" s="199">
        <f>IF(H519="CÉLULA CONSTRUTIVA",0,IF(H519="ETAPA",OFFSET(C519,-1,0)+1,OFFSET(C519,-1,0)))</f>
        <v/>
      </c>
      <c r="D519" s="200">
        <f>IF(H519="ETAPA",0,IF(H519="SUBETAPA",OFFSET(D519,-1,0)+1,OFFSET(D519,-1,0)))</f>
        <v/>
      </c>
      <c r="E519" s="200">
        <f>IF(H519="Subetapa",0,IF(H519="serviço",OFFSET(E519,-1,0)+1,OFFSET(E519,-1,0)))</f>
        <v/>
      </c>
      <c r="F519" s="31" t="n"/>
      <c r="J519" s="61" t="n"/>
      <c r="K519" s="62" t="n"/>
      <c r="L519" s="63" t="n"/>
      <c r="M519" s="63" t="n"/>
      <c r="N519" s="68" t="n"/>
      <c r="O519" s="68" t="n"/>
      <c r="P519" s="68" t="n"/>
      <c r="Q519" s="68" t="n"/>
      <c r="R519" s="68" t="n"/>
    </row>
    <row r="520" ht="14.1" customFormat="1" customHeight="1" s="60">
      <c r="A520" s="199">
        <f>IF($H520="UNIDADE CONSTRUTIVA",OFFSET(A520,-1,0)+1,LARGE(A$3:A519,1))</f>
        <v/>
      </c>
      <c r="B520" s="199">
        <f>IF(H520="UNIDADE CONSTRUTIVA",0,IF(H520="CÉLULA CONSTRUTIVA",OFFSET(B520,-1,0)+1,OFFSET(B520,-1,0)))</f>
        <v/>
      </c>
      <c r="C520" s="199">
        <f>IF(H520="CÉLULA CONSTRUTIVA",0,IF(H520="ETAPA",OFFSET(C520,-1,0)+1,OFFSET(C520,-1,0)))</f>
        <v/>
      </c>
      <c r="D520" s="200">
        <f>IF(H520="ETAPA",0,IF(H520="SUBETAPA",OFFSET(D520,-1,0)+1,OFFSET(D520,-1,0)))</f>
        <v/>
      </c>
      <c r="E520" s="200">
        <f>IF(H520="Subetapa",0,IF(H520="serviço",OFFSET(E520,-1,0)+1,OFFSET(E520,-1,0)))</f>
        <v/>
      </c>
      <c r="F520" s="31" t="n"/>
      <c r="J520" s="61" t="n"/>
      <c r="K520" s="62" t="n"/>
      <c r="L520" s="63" t="n"/>
      <c r="M520" s="63" t="n"/>
      <c r="N520" s="68" t="n"/>
      <c r="O520" s="68" t="n"/>
      <c r="P520" s="68" t="n"/>
      <c r="Q520" s="68" t="n"/>
      <c r="R520" s="68" t="n"/>
    </row>
    <row r="521" ht="14.1" customFormat="1" customHeight="1" s="60">
      <c r="A521" s="199">
        <f>IF($H521="UNIDADE CONSTRUTIVA",OFFSET(A521,-1,0)+1,LARGE(A$3:A520,1))</f>
        <v/>
      </c>
      <c r="B521" s="199">
        <f>IF(H521="UNIDADE CONSTRUTIVA",0,IF(H521="CÉLULA CONSTRUTIVA",OFFSET(B521,-1,0)+1,OFFSET(B521,-1,0)))</f>
        <v/>
      </c>
      <c r="C521" s="199">
        <f>IF(H521="CÉLULA CONSTRUTIVA",0,IF(H521="ETAPA",OFFSET(C521,-1,0)+1,OFFSET(C521,-1,0)))</f>
        <v/>
      </c>
      <c r="D521" s="200">
        <f>IF(H521="ETAPA",0,IF(H521="SUBETAPA",OFFSET(D521,-1,0)+1,OFFSET(D521,-1,0)))</f>
        <v/>
      </c>
      <c r="E521" s="200">
        <f>IF(H521="Subetapa",0,IF(H521="serviço",OFFSET(E521,-1,0)+1,OFFSET(E521,-1,0)))</f>
        <v/>
      </c>
      <c r="F521" s="31" t="n"/>
      <c r="J521" s="61" t="n"/>
      <c r="K521" s="62" t="n"/>
      <c r="L521" s="63" t="n"/>
      <c r="M521" s="63" t="n"/>
      <c r="N521" s="68" t="n"/>
      <c r="O521" s="68" t="n"/>
      <c r="P521" s="68" t="n"/>
      <c r="Q521" s="68" t="n"/>
      <c r="R521" s="68" t="n"/>
    </row>
    <row r="522" ht="14.1" customFormat="1" customHeight="1" s="60">
      <c r="A522" s="199">
        <f>IF($H522="UNIDADE CONSTRUTIVA",OFFSET(A522,-1,0)+1,LARGE(A$3:A521,1))</f>
        <v/>
      </c>
      <c r="B522" s="199">
        <f>IF(H522="UNIDADE CONSTRUTIVA",0,IF(H522="CÉLULA CONSTRUTIVA",OFFSET(B522,-1,0)+1,OFFSET(B522,-1,0)))</f>
        <v/>
      </c>
      <c r="C522" s="199">
        <f>IF(H522="CÉLULA CONSTRUTIVA",0,IF(H522="ETAPA",OFFSET(C522,-1,0)+1,OFFSET(C522,-1,0)))</f>
        <v/>
      </c>
      <c r="D522" s="200">
        <f>IF(H522="ETAPA",0,IF(H522="SUBETAPA",OFFSET(D522,-1,0)+1,OFFSET(D522,-1,0)))</f>
        <v/>
      </c>
      <c r="E522" s="200">
        <f>IF(H522="Subetapa",0,IF(H522="serviço",OFFSET(E522,-1,0)+1,OFFSET(E522,-1,0)))</f>
        <v/>
      </c>
      <c r="F522" s="31" t="n"/>
      <c r="J522" s="61" t="n"/>
      <c r="K522" s="62" t="n"/>
      <c r="L522" s="63" t="n"/>
      <c r="M522" s="63" t="n"/>
      <c r="N522" s="68" t="n"/>
      <c r="O522" s="68" t="n"/>
      <c r="P522" s="68" t="n"/>
      <c r="Q522" s="68" t="n"/>
      <c r="R522" s="68" t="n"/>
    </row>
    <row r="523" ht="14.1" customFormat="1" customHeight="1" s="60">
      <c r="A523" s="199">
        <f>IF($H523="UNIDADE CONSTRUTIVA",OFFSET(A523,-1,0)+1,LARGE(A$3:A522,1))</f>
        <v/>
      </c>
      <c r="B523" s="199">
        <f>IF(H523="UNIDADE CONSTRUTIVA",0,IF(H523="CÉLULA CONSTRUTIVA",OFFSET(B523,-1,0)+1,OFFSET(B523,-1,0)))</f>
        <v/>
      </c>
      <c r="C523" s="199">
        <f>IF(H523="CÉLULA CONSTRUTIVA",0,IF(H523="ETAPA",OFFSET(C523,-1,0)+1,OFFSET(C523,-1,0)))</f>
        <v/>
      </c>
      <c r="D523" s="200">
        <f>IF(H523="ETAPA",0,IF(H523="SUBETAPA",OFFSET(D523,-1,0)+1,OFFSET(D523,-1,0)))</f>
        <v/>
      </c>
      <c r="E523" s="200">
        <f>IF(H523="Subetapa",0,IF(H523="serviço",OFFSET(E523,-1,0)+1,OFFSET(E523,-1,0)))</f>
        <v/>
      </c>
      <c r="F523" s="31" t="n"/>
      <c r="J523" s="61" t="n"/>
      <c r="K523" s="62" t="n"/>
      <c r="L523" s="63" t="n"/>
      <c r="M523" s="63" t="n"/>
      <c r="N523" s="68" t="n"/>
      <c r="O523" s="68" t="n"/>
      <c r="P523" s="68" t="n"/>
      <c r="Q523" s="68" t="n"/>
      <c r="R523" s="68" t="n"/>
    </row>
    <row r="524" ht="14.1" customFormat="1" customHeight="1" s="60">
      <c r="A524" s="199">
        <f>IF($H524="UNIDADE CONSTRUTIVA",OFFSET(A524,-1,0)+1,LARGE(A$3:A523,1))</f>
        <v/>
      </c>
      <c r="B524" s="199">
        <f>IF(H524="UNIDADE CONSTRUTIVA",0,IF(H524="CÉLULA CONSTRUTIVA",OFFSET(B524,-1,0)+1,OFFSET(B524,-1,0)))</f>
        <v/>
      </c>
      <c r="C524" s="199">
        <f>IF(H524="CÉLULA CONSTRUTIVA",0,IF(H524="ETAPA",OFFSET(C524,-1,0)+1,OFFSET(C524,-1,0)))</f>
        <v/>
      </c>
      <c r="D524" s="200">
        <f>IF(H524="ETAPA",0,IF(H524="SUBETAPA",OFFSET(D524,-1,0)+1,OFFSET(D524,-1,0)))</f>
        <v/>
      </c>
      <c r="E524" s="200">
        <f>IF(H524="Subetapa",0,IF(H524="serviço",OFFSET(E524,-1,0)+1,OFFSET(E524,-1,0)))</f>
        <v/>
      </c>
      <c r="F524" s="31" t="n"/>
      <c r="J524" s="61" t="n"/>
      <c r="K524" s="62" t="n"/>
      <c r="L524" s="63" t="n"/>
      <c r="M524" s="63" t="n"/>
      <c r="N524" s="68" t="n"/>
      <c r="O524" s="68" t="n"/>
      <c r="P524" s="68" t="n"/>
      <c r="Q524" s="68" t="n"/>
      <c r="R524" s="68" t="n"/>
    </row>
    <row r="525" ht="14.1" customFormat="1" customHeight="1" s="60">
      <c r="A525" s="199">
        <f>IF($H525="UNIDADE CONSTRUTIVA",OFFSET(A525,-1,0)+1,LARGE(A$3:A524,1))</f>
        <v/>
      </c>
      <c r="B525" s="199">
        <f>IF(H525="UNIDADE CONSTRUTIVA",0,IF(H525="CÉLULA CONSTRUTIVA",OFFSET(B525,-1,0)+1,OFFSET(B525,-1,0)))</f>
        <v/>
      </c>
      <c r="C525" s="199">
        <f>IF(H525="CÉLULA CONSTRUTIVA",0,IF(H525="ETAPA",OFFSET(C525,-1,0)+1,OFFSET(C525,-1,0)))</f>
        <v/>
      </c>
      <c r="D525" s="200">
        <f>IF(H525="ETAPA",0,IF(H525="SUBETAPA",OFFSET(D525,-1,0)+1,OFFSET(D525,-1,0)))</f>
        <v/>
      </c>
      <c r="E525" s="200">
        <f>IF(H525="Subetapa",0,IF(H525="serviço",OFFSET(E525,-1,0)+1,OFFSET(E525,-1,0)))</f>
        <v/>
      </c>
      <c r="F525" s="31" t="n"/>
      <c r="J525" s="61" t="n"/>
      <c r="K525" s="62" t="n"/>
      <c r="L525" s="63" t="n"/>
      <c r="M525" s="63" t="n"/>
      <c r="N525" s="68" t="n"/>
      <c r="O525" s="68" t="n"/>
      <c r="P525" s="68" t="n"/>
      <c r="Q525" s="68" t="n"/>
      <c r="R525" s="68" t="n"/>
    </row>
    <row r="526" ht="14.1" customFormat="1" customHeight="1" s="60">
      <c r="A526" s="199">
        <f>IF($H526="UNIDADE CONSTRUTIVA",OFFSET(A526,-1,0)+1,LARGE(A$3:A525,1))</f>
        <v/>
      </c>
      <c r="B526" s="199">
        <f>IF(H526="UNIDADE CONSTRUTIVA",0,IF(H526="CÉLULA CONSTRUTIVA",OFFSET(B526,-1,0)+1,OFFSET(B526,-1,0)))</f>
        <v/>
      </c>
      <c r="C526" s="199">
        <f>IF(H526="CÉLULA CONSTRUTIVA",0,IF(H526="ETAPA",OFFSET(C526,-1,0)+1,OFFSET(C526,-1,0)))</f>
        <v/>
      </c>
      <c r="D526" s="200">
        <f>IF(H526="ETAPA",0,IF(H526="SUBETAPA",OFFSET(D526,-1,0)+1,OFFSET(D526,-1,0)))</f>
        <v/>
      </c>
      <c r="E526" s="200">
        <f>IF(H526="Subetapa",0,IF(H526="serviço",OFFSET(E526,-1,0)+1,OFFSET(E526,-1,0)))</f>
        <v/>
      </c>
      <c r="F526" s="31" t="n"/>
      <c r="J526" s="61" t="n"/>
      <c r="K526" s="62" t="n"/>
      <c r="L526" s="63" t="n"/>
      <c r="M526" s="63" t="n"/>
      <c r="N526" s="68" t="n"/>
      <c r="O526" s="68" t="n"/>
      <c r="P526" s="68" t="n"/>
      <c r="Q526" s="68" t="n"/>
      <c r="R526" s="68" t="n"/>
    </row>
    <row r="527" ht="14.1" customFormat="1" customHeight="1" s="60">
      <c r="A527" s="199">
        <f>IF($H527="UNIDADE CONSTRUTIVA",OFFSET(A527,-1,0)+1,LARGE(A$3:A526,1))</f>
        <v/>
      </c>
      <c r="B527" s="199">
        <f>IF(H527="UNIDADE CONSTRUTIVA",0,IF(H527="CÉLULA CONSTRUTIVA",OFFSET(B527,-1,0)+1,OFFSET(B527,-1,0)))</f>
        <v/>
      </c>
      <c r="C527" s="199">
        <f>IF(H527="CÉLULA CONSTRUTIVA",0,IF(H527="ETAPA",OFFSET(C527,-1,0)+1,OFFSET(C527,-1,0)))</f>
        <v/>
      </c>
      <c r="D527" s="200">
        <f>IF(H527="ETAPA",0,IF(H527="SUBETAPA",OFFSET(D527,-1,0)+1,OFFSET(D527,-1,0)))</f>
        <v/>
      </c>
      <c r="E527" s="200">
        <f>IF(H527="Subetapa",0,IF(H527="serviço",OFFSET(E527,-1,0)+1,OFFSET(E527,-1,0)))</f>
        <v/>
      </c>
      <c r="F527" s="31" t="n"/>
      <c r="J527" s="61" t="n"/>
      <c r="K527" s="62" t="n"/>
      <c r="L527" s="63" t="n"/>
      <c r="M527" s="63" t="n"/>
      <c r="N527" s="68" t="n"/>
      <c r="O527" s="68" t="n"/>
      <c r="P527" s="68" t="n"/>
      <c r="Q527" s="68" t="n"/>
      <c r="R527" s="68" t="n"/>
    </row>
    <row r="528" ht="14.1" customFormat="1" customHeight="1" s="60">
      <c r="A528" s="199">
        <f>IF($H528="UNIDADE CONSTRUTIVA",OFFSET(A528,-1,0)+1,LARGE(A$3:A527,1))</f>
        <v/>
      </c>
      <c r="B528" s="199">
        <f>IF(H528="UNIDADE CONSTRUTIVA",0,IF(H528="CÉLULA CONSTRUTIVA",OFFSET(B528,-1,0)+1,OFFSET(B528,-1,0)))</f>
        <v/>
      </c>
      <c r="C528" s="199">
        <f>IF(H528="CÉLULA CONSTRUTIVA",0,IF(H528="ETAPA",OFFSET(C528,-1,0)+1,OFFSET(C528,-1,0)))</f>
        <v/>
      </c>
      <c r="D528" s="200">
        <f>IF(H528="ETAPA",0,IF(H528="SUBETAPA",OFFSET(D528,-1,0)+1,OFFSET(D528,-1,0)))</f>
        <v/>
      </c>
      <c r="E528" s="200">
        <f>IF(H528="Subetapa",0,IF(H528="serviço",OFFSET(E528,-1,0)+1,OFFSET(E528,-1,0)))</f>
        <v/>
      </c>
      <c r="F528" s="31" t="n"/>
      <c r="J528" s="61" t="n"/>
      <c r="K528" s="62" t="n"/>
      <c r="L528" s="63" t="n"/>
      <c r="M528" s="63" t="n"/>
      <c r="N528" s="68" t="n"/>
      <c r="O528" s="68" t="n"/>
      <c r="P528" s="68" t="n"/>
      <c r="Q528" s="68" t="n"/>
      <c r="R528" s="68" t="n"/>
    </row>
    <row r="529" ht="14.1" customFormat="1" customHeight="1" s="60">
      <c r="A529" s="199">
        <f>IF($H529="UNIDADE CONSTRUTIVA",OFFSET(A529,-1,0)+1,LARGE(A$3:A528,1))</f>
        <v/>
      </c>
      <c r="B529" s="199">
        <f>IF(H529="UNIDADE CONSTRUTIVA",0,IF(H529="CÉLULA CONSTRUTIVA",OFFSET(B529,-1,0)+1,OFFSET(B529,-1,0)))</f>
        <v/>
      </c>
      <c r="C529" s="199">
        <f>IF(H529="CÉLULA CONSTRUTIVA",0,IF(H529="ETAPA",OFFSET(C529,-1,0)+1,OFFSET(C529,-1,0)))</f>
        <v/>
      </c>
      <c r="D529" s="200">
        <f>IF(H529="ETAPA",0,IF(H529="SUBETAPA",OFFSET(D529,-1,0)+1,OFFSET(D529,-1,0)))</f>
        <v/>
      </c>
      <c r="E529" s="200">
        <f>IF(H529="Subetapa",0,IF(H529="serviço",OFFSET(E529,-1,0)+1,OFFSET(E529,-1,0)))</f>
        <v/>
      </c>
      <c r="F529" s="31" t="n"/>
      <c r="J529" s="61" t="n"/>
      <c r="K529" s="62" t="n"/>
      <c r="L529" s="63" t="n"/>
      <c r="M529" s="63" t="n"/>
      <c r="N529" s="68" t="n"/>
      <c r="O529" s="68" t="n"/>
      <c r="P529" s="68" t="n"/>
      <c r="Q529" s="68" t="n"/>
      <c r="R529" s="68" t="n"/>
    </row>
    <row r="530" ht="14.1" customFormat="1" customHeight="1" s="60">
      <c r="A530" s="199">
        <f>IF($H530="UNIDADE CONSTRUTIVA",OFFSET(A530,-1,0)+1,LARGE(A$3:A529,1))</f>
        <v/>
      </c>
      <c r="B530" s="199">
        <f>IF(H530="UNIDADE CONSTRUTIVA",0,IF(H530="CÉLULA CONSTRUTIVA",OFFSET(B530,-1,0)+1,OFFSET(B530,-1,0)))</f>
        <v/>
      </c>
      <c r="C530" s="199">
        <f>IF(H530="CÉLULA CONSTRUTIVA",0,IF(H530="ETAPA",OFFSET(C530,-1,0)+1,OFFSET(C530,-1,0)))</f>
        <v/>
      </c>
      <c r="D530" s="200">
        <f>IF(H530="ETAPA",0,IF(H530="SUBETAPA",OFFSET(D530,-1,0)+1,OFFSET(D530,-1,0)))</f>
        <v/>
      </c>
      <c r="E530" s="200">
        <f>IF(H530="Subetapa",0,IF(H530="serviço",OFFSET(E530,-1,0)+1,OFFSET(E530,-1,0)))</f>
        <v/>
      </c>
      <c r="F530" s="31" t="n"/>
      <c r="J530" s="61" t="n"/>
      <c r="K530" s="62" t="n"/>
      <c r="L530" s="63" t="n"/>
      <c r="M530" s="63" t="n"/>
      <c r="N530" s="68" t="n"/>
      <c r="O530" s="68" t="n"/>
      <c r="P530" s="68" t="n"/>
      <c r="Q530" s="68" t="n"/>
      <c r="R530" s="68" t="n"/>
    </row>
    <row r="531" ht="14.1" customFormat="1" customHeight="1" s="60">
      <c r="A531" s="199">
        <f>IF($H531="UNIDADE CONSTRUTIVA",OFFSET(A531,-1,0)+1,LARGE(A$3:A530,1))</f>
        <v/>
      </c>
      <c r="B531" s="199">
        <f>IF(H531="UNIDADE CONSTRUTIVA",0,IF(H531="CÉLULA CONSTRUTIVA",OFFSET(B531,-1,0)+1,OFFSET(B531,-1,0)))</f>
        <v/>
      </c>
      <c r="C531" s="199">
        <f>IF(H531="CÉLULA CONSTRUTIVA",0,IF(H531="ETAPA",OFFSET(C531,-1,0)+1,OFFSET(C531,-1,0)))</f>
        <v/>
      </c>
      <c r="D531" s="200">
        <f>IF(H531="ETAPA",0,IF(H531="SUBETAPA",OFFSET(D531,-1,0)+1,OFFSET(D531,-1,0)))</f>
        <v/>
      </c>
      <c r="E531" s="200">
        <f>IF(H531="Subetapa",0,IF(H531="serviço",OFFSET(E531,-1,0)+1,OFFSET(E531,-1,0)))</f>
        <v/>
      </c>
      <c r="F531" s="31" t="n"/>
      <c r="J531" s="61" t="n"/>
      <c r="K531" s="62" t="n"/>
      <c r="L531" s="63" t="n"/>
      <c r="M531" s="63" t="n"/>
      <c r="N531" s="68" t="n"/>
      <c r="O531" s="68" t="n"/>
      <c r="P531" s="68" t="n"/>
      <c r="Q531" s="68" t="n"/>
      <c r="R531" s="68" t="n"/>
    </row>
    <row r="532" ht="14.1" customFormat="1" customHeight="1" s="60">
      <c r="A532" s="199">
        <f>IF($H532="UNIDADE CONSTRUTIVA",OFFSET(A532,-1,0)+1,LARGE(A$3:A531,1))</f>
        <v/>
      </c>
      <c r="B532" s="199">
        <f>IF(H532="UNIDADE CONSTRUTIVA",0,IF(H532="CÉLULA CONSTRUTIVA",OFFSET(B532,-1,0)+1,OFFSET(B532,-1,0)))</f>
        <v/>
      </c>
      <c r="C532" s="199">
        <f>IF(H532="CÉLULA CONSTRUTIVA",0,IF(H532="ETAPA",OFFSET(C532,-1,0)+1,OFFSET(C532,-1,0)))</f>
        <v/>
      </c>
      <c r="D532" s="200">
        <f>IF(H532="ETAPA",0,IF(H532="SUBETAPA",OFFSET(D532,-1,0)+1,OFFSET(D532,-1,0)))</f>
        <v/>
      </c>
      <c r="E532" s="200">
        <f>IF(H532="Subetapa",0,IF(H532="serviço",OFFSET(E532,-1,0)+1,OFFSET(E532,-1,0)))</f>
        <v/>
      </c>
      <c r="F532" s="31" t="n"/>
      <c r="J532" s="61" t="n"/>
      <c r="K532" s="62" t="n"/>
      <c r="L532" s="63" t="n"/>
      <c r="M532" s="63" t="n"/>
      <c r="N532" s="68" t="n"/>
      <c r="O532" s="68" t="n"/>
      <c r="P532" s="68" t="n"/>
      <c r="Q532" s="68" t="n"/>
      <c r="R532" s="68" t="n"/>
    </row>
    <row r="533" ht="14.1" customFormat="1" customHeight="1" s="60">
      <c r="A533" s="199">
        <f>IF($H533="UNIDADE CONSTRUTIVA",OFFSET(A533,-1,0)+1,LARGE(A$3:A532,1))</f>
        <v/>
      </c>
      <c r="B533" s="199">
        <f>IF(H533="UNIDADE CONSTRUTIVA",0,IF(H533="CÉLULA CONSTRUTIVA",OFFSET(B533,-1,0)+1,OFFSET(B533,-1,0)))</f>
        <v/>
      </c>
      <c r="C533" s="199">
        <f>IF(H533="CÉLULA CONSTRUTIVA",0,IF(H533="ETAPA",OFFSET(C533,-1,0)+1,OFFSET(C533,-1,0)))</f>
        <v/>
      </c>
      <c r="D533" s="200">
        <f>IF(H533="ETAPA",0,IF(H533="SUBETAPA",OFFSET(D533,-1,0)+1,OFFSET(D533,-1,0)))</f>
        <v/>
      </c>
      <c r="E533" s="200">
        <f>IF(H533="Subetapa",0,IF(H533="serviço",OFFSET(E533,-1,0)+1,OFFSET(E533,-1,0)))</f>
        <v/>
      </c>
      <c r="F533" s="31" t="n"/>
      <c r="J533" s="61" t="n"/>
      <c r="K533" s="62" t="n"/>
      <c r="L533" s="63" t="n"/>
      <c r="M533" s="63" t="n"/>
      <c r="N533" s="68" t="n"/>
      <c r="O533" s="68" t="n"/>
      <c r="P533" s="68" t="n"/>
      <c r="Q533" s="68" t="n"/>
      <c r="R533" s="68" t="n"/>
    </row>
    <row r="534" ht="14.1" customFormat="1" customHeight="1" s="60">
      <c r="A534" s="199">
        <f>IF($H534="UNIDADE CONSTRUTIVA",OFFSET(A534,-1,0)+1,LARGE(A$3:A533,1))</f>
        <v/>
      </c>
      <c r="B534" s="199">
        <f>IF(H534="UNIDADE CONSTRUTIVA",0,IF(H534="CÉLULA CONSTRUTIVA",OFFSET(B534,-1,0)+1,OFFSET(B534,-1,0)))</f>
        <v/>
      </c>
      <c r="C534" s="199">
        <f>IF(H534="CÉLULA CONSTRUTIVA",0,IF(H534="ETAPA",OFFSET(C534,-1,0)+1,OFFSET(C534,-1,0)))</f>
        <v/>
      </c>
      <c r="D534" s="200">
        <f>IF(H534="ETAPA",0,IF(H534="SUBETAPA",OFFSET(D534,-1,0)+1,OFFSET(D534,-1,0)))</f>
        <v/>
      </c>
      <c r="E534" s="200">
        <f>IF(H534="Subetapa",0,IF(H534="serviço",OFFSET(E534,-1,0)+1,OFFSET(E534,-1,0)))</f>
        <v/>
      </c>
      <c r="F534" s="31" t="n"/>
      <c r="J534" s="61" t="n"/>
      <c r="K534" s="62" t="n"/>
      <c r="L534" s="63" t="n"/>
      <c r="M534" s="63" t="n"/>
      <c r="N534" s="68" t="n"/>
      <c r="O534" s="68" t="n"/>
      <c r="P534" s="68" t="n"/>
      <c r="Q534" s="68" t="n"/>
      <c r="R534" s="68" t="n"/>
    </row>
    <row r="535" ht="14.1" customFormat="1" customHeight="1" s="60">
      <c r="A535" s="199">
        <f>IF($H535="UNIDADE CONSTRUTIVA",OFFSET(A535,-1,0)+1,LARGE(A$3:A534,1))</f>
        <v/>
      </c>
      <c r="B535" s="199">
        <f>IF(H535="UNIDADE CONSTRUTIVA",0,IF(H535="CÉLULA CONSTRUTIVA",OFFSET(B535,-1,0)+1,OFFSET(B535,-1,0)))</f>
        <v/>
      </c>
      <c r="C535" s="199">
        <f>IF(H535="CÉLULA CONSTRUTIVA",0,IF(H535="ETAPA",OFFSET(C535,-1,0)+1,OFFSET(C535,-1,0)))</f>
        <v/>
      </c>
      <c r="D535" s="200">
        <f>IF(H535="ETAPA",0,IF(H535="SUBETAPA",OFFSET(D535,-1,0)+1,OFFSET(D535,-1,0)))</f>
        <v/>
      </c>
      <c r="E535" s="200">
        <f>IF(H535="Subetapa",0,IF(H535="serviço",OFFSET(E535,-1,0)+1,OFFSET(E535,-1,0)))</f>
        <v/>
      </c>
      <c r="F535" s="31" t="n"/>
      <c r="J535" s="61" t="n"/>
      <c r="K535" s="62" t="n"/>
      <c r="L535" s="63" t="n"/>
      <c r="M535" s="63" t="n"/>
      <c r="N535" s="68" t="n"/>
      <c r="O535" s="68" t="n"/>
      <c r="P535" s="68" t="n"/>
      <c r="Q535" s="68" t="n"/>
      <c r="R535" s="68" t="n"/>
    </row>
    <row r="536" ht="14.1" customFormat="1" customHeight="1" s="60">
      <c r="A536" s="199">
        <f>IF($H536="UNIDADE CONSTRUTIVA",OFFSET(A536,-1,0)+1,LARGE(A$3:A535,1))</f>
        <v/>
      </c>
      <c r="B536" s="199">
        <f>IF(H536="UNIDADE CONSTRUTIVA",0,IF(H536="CÉLULA CONSTRUTIVA",OFFSET(B536,-1,0)+1,OFFSET(B536,-1,0)))</f>
        <v/>
      </c>
      <c r="C536" s="199">
        <f>IF(H536="CÉLULA CONSTRUTIVA",0,IF(H536="ETAPA",OFFSET(C536,-1,0)+1,OFFSET(C536,-1,0)))</f>
        <v/>
      </c>
      <c r="D536" s="200">
        <f>IF(H536="ETAPA",0,IF(H536="SUBETAPA",OFFSET(D536,-1,0)+1,OFFSET(D536,-1,0)))</f>
        <v/>
      </c>
      <c r="E536" s="200">
        <f>IF(H536="Subetapa",0,IF(H536="serviço",OFFSET(E536,-1,0)+1,OFFSET(E536,-1,0)))</f>
        <v/>
      </c>
      <c r="F536" s="31" t="n"/>
      <c r="J536" s="61" t="n"/>
      <c r="K536" s="62" t="n"/>
      <c r="L536" s="63" t="n"/>
      <c r="M536" s="63" t="n"/>
      <c r="N536" s="68" t="n"/>
      <c r="O536" s="68" t="n"/>
      <c r="P536" s="68" t="n"/>
      <c r="Q536" s="68" t="n"/>
      <c r="R536" s="68" t="n"/>
    </row>
    <row r="537" ht="14.1" customFormat="1" customHeight="1" s="60">
      <c r="A537" s="199">
        <f>IF($H537="UNIDADE CONSTRUTIVA",OFFSET(A537,-1,0)+1,LARGE(A$3:A536,1))</f>
        <v/>
      </c>
      <c r="B537" s="199">
        <f>IF(H537="UNIDADE CONSTRUTIVA",0,IF(H537="CÉLULA CONSTRUTIVA",OFFSET(B537,-1,0)+1,OFFSET(B537,-1,0)))</f>
        <v/>
      </c>
      <c r="C537" s="199">
        <f>IF(H537="CÉLULA CONSTRUTIVA",0,IF(H537="ETAPA",OFFSET(C537,-1,0)+1,OFFSET(C537,-1,0)))</f>
        <v/>
      </c>
      <c r="D537" s="200">
        <f>IF(H537="ETAPA",0,IF(H537="SUBETAPA",OFFSET(D537,-1,0)+1,OFFSET(D537,-1,0)))</f>
        <v/>
      </c>
      <c r="E537" s="200">
        <f>IF(H537="Subetapa",0,IF(H537="serviço",OFFSET(E537,-1,0)+1,OFFSET(E537,-1,0)))</f>
        <v/>
      </c>
      <c r="F537" s="31" t="n"/>
      <c r="J537" s="61" t="n"/>
      <c r="K537" s="62" t="n"/>
      <c r="L537" s="63" t="n"/>
      <c r="M537" s="63" t="n"/>
      <c r="N537" s="68" t="n"/>
      <c r="O537" s="68" t="n"/>
      <c r="P537" s="68" t="n"/>
      <c r="Q537" s="68" t="n"/>
      <c r="R537" s="68" t="n"/>
    </row>
    <row r="538" ht="14.1" customFormat="1" customHeight="1" s="60">
      <c r="A538" s="199">
        <f>IF($H538="UNIDADE CONSTRUTIVA",OFFSET(A538,-1,0)+1,LARGE(A$3:A537,1))</f>
        <v/>
      </c>
      <c r="B538" s="199">
        <f>IF(H538="UNIDADE CONSTRUTIVA",0,IF(H538="CÉLULA CONSTRUTIVA",OFFSET(B538,-1,0)+1,OFFSET(B538,-1,0)))</f>
        <v/>
      </c>
      <c r="C538" s="199">
        <f>IF(H538="CÉLULA CONSTRUTIVA",0,IF(H538="ETAPA",OFFSET(C538,-1,0)+1,OFFSET(C538,-1,0)))</f>
        <v/>
      </c>
      <c r="D538" s="200">
        <f>IF(H538="ETAPA",0,IF(H538="SUBETAPA",OFFSET(D538,-1,0)+1,OFFSET(D538,-1,0)))</f>
        <v/>
      </c>
      <c r="E538" s="200">
        <f>IF(H538="Subetapa",0,IF(H538="serviço",OFFSET(E538,-1,0)+1,OFFSET(E538,-1,0)))</f>
        <v/>
      </c>
      <c r="F538" s="31" t="n"/>
      <c r="J538" s="61" t="n"/>
      <c r="K538" s="62" t="n"/>
      <c r="L538" s="63" t="n"/>
      <c r="M538" s="63" t="n"/>
      <c r="N538" s="68" t="n"/>
      <c r="O538" s="68" t="n"/>
      <c r="P538" s="68" t="n"/>
      <c r="Q538" s="68" t="n"/>
      <c r="R538" s="68" t="n"/>
    </row>
    <row r="539" ht="14.1" customFormat="1" customHeight="1" s="60">
      <c r="A539" s="199">
        <f>IF($H539="UNIDADE CONSTRUTIVA",OFFSET(A539,-1,0)+1,LARGE(A$3:A538,1))</f>
        <v/>
      </c>
      <c r="B539" s="199">
        <f>IF(H539="UNIDADE CONSTRUTIVA",0,IF(H539="CÉLULA CONSTRUTIVA",OFFSET(B539,-1,0)+1,OFFSET(B539,-1,0)))</f>
        <v/>
      </c>
      <c r="C539" s="199">
        <f>IF(H539="CÉLULA CONSTRUTIVA",0,IF(H539="ETAPA",OFFSET(C539,-1,0)+1,OFFSET(C539,-1,0)))</f>
        <v/>
      </c>
      <c r="D539" s="200">
        <f>IF(H539="ETAPA",0,IF(H539="SUBETAPA",OFFSET(D539,-1,0)+1,OFFSET(D539,-1,0)))</f>
        <v/>
      </c>
      <c r="E539" s="200">
        <f>IF(H539="Subetapa",0,IF(H539="serviço",OFFSET(E539,-1,0)+1,OFFSET(E539,-1,0)))</f>
        <v/>
      </c>
      <c r="F539" s="31" t="n"/>
      <c r="J539" s="61" t="n"/>
      <c r="K539" s="62" t="n"/>
      <c r="L539" s="63" t="n"/>
      <c r="M539" s="63" t="n"/>
      <c r="N539" s="68" t="n"/>
      <c r="O539" s="68" t="n"/>
      <c r="P539" s="68" t="n"/>
      <c r="Q539" s="68" t="n"/>
      <c r="R539" s="68" t="n"/>
    </row>
    <row r="540" ht="14.1" customFormat="1" customHeight="1" s="60">
      <c r="A540" s="199">
        <f>IF($H540="UNIDADE CONSTRUTIVA",OFFSET(A540,-1,0)+1,LARGE(A$3:A539,1))</f>
        <v/>
      </c>
      <c r="B540" s="199">
        <f>IF(H540="UNIDADE CONSTRUTIVA",0,IF(H540="CÉLULA CONSTRUTIVA",OFFSET(B540,-1,0)+1,OFFSET(B540,-1,0)))</f>
        <v/>
      </c>
      <c r="C540" s="199">
        <f>IF(H540="CÉLULA CONSTRUTIVA",0,IF(H540="ETAPA",OFFSET(C540,-1,0)+1,OFFSET(C540,-1,0)))</f>
        <v/>
      </c>
      <c r="D540" s="200">
        <f>IF(H540="ETAPA",0,IF(H540="SUBETAPA",OFFSET(D540,-1,0)+1,OFFSET(D540,-1,0)))</f>
        <v/>
      </c>
      <c r="E540" s="200">
        <f>IF(H540="Subetapa",0,IF(H540="serviço",OFFSET(E540,-1,0)+1,OFFSET(E540,-1,0)))</f>
        <v/>
      </c>
      <c r="F540" s="31" t="n"/>
      <c r="J540" s="61" t="n"/>
      <c r="K540" s="62" t="n"/>
      <c r="L540" s="63" t="n"/>
      <c r="M540" s="63" t="n"/>
      <c r="N540" s="68" t="n"/>
      <c r="O540" s="68" t="n"/>
      <c r="P540" s="68" t="n"/>
      <c r="Q540" s="68" t="n"/>
      <c r="R540" s="68" t="n"/>
    </row>
    <row r="541" ht="14.1" customFormat="1" customHeight="1" s="60">
      <c r="A541" s="199">
        <f>IF($H541="UNIDADE CONSTRUTIVA",OFFSET(A541,-1,0)+1,LARGE(A$3:A540,1))</f>
        <v/>
      </c>
      <c r="B541" s="199">
        <f>IF(H541="UNIDADE CONSTRUTIVA",0,IF(H541="CÉLULA CONSTRUTIVA",OFFSET(B541,-1,0)+1,OFFSET(B541,-1,0)))</f>
        <v/>
      </c>
      <c r="C541" s="199">
        <f>IF(H541="CÉLULA CONSTRUTIVA",0,IF(H541="ETAPA",OFFSET(C541,-1,0)+1,OFFSET(C541,-1,0)))</f>
        <v/>
      </c>
      <c r="D541" s="200">
        <f>IF(H541="ETAPA",0,IF(H541="SUBETAPA",OFFSET(D541,-1,0)+1,OFFSET(D541,-1,0)))</f>
        <v/>
      </c>
      <c r="E541" s="200">
        <f>IF(H541="Subetapa",0,IF(H541="serviço",OFFSET(E541,-1,0)+1,OFFSET(E541,-1,0)))</f>
        <v/>
      </c>
      <c r="F541" s="31" t="n"/>
      <c r="J541" s="61" t="n"/>
      <c r="K541" s="62" t="n"/>
      <c r="L541" s="63" t="n"/>
      <c r="M541" s="63" t="n"/>
      <c r="N541" s="68" t="n"/>
      <c r="O541" s="68" t="n"/>
      <c r="P541" s="68" t="n"/>
      <c r="Q541" s="68" t="n"/>
      <c r="R541" s="68" t="n"/>
    </row>
    <row r="542" ht="14.1" customFormat="1" customHeight="1" s="60">
      <c r="A542" s="199">
        <f>IF($H542="UNIDADE CONSTRUTIVA",OFFSET(A542,-1,0)+1,LARGE(A$3:A541,1))</f>
        <v/>
      </c>
      <c r="B542" s="199">
        <f>IF(H542="UNIDADE CONSTRUTIVA",0,IF(H542="CÉLULA CONSTRUTIVA",OFFSET(B542,-1,0)+1,OFFSET(B542,-1,0)))</f>
        <v/>
      </c>
      <c r="C542" s="199">
        <f>IF(H542="CÉLULA CONSTRUTIVA",0,IF(H542="ETAPA",OFFSET(C542,-1,0)+1,OFFSET(C542,-1,0)))</f>
        <v/>
      </c>
      <c r="D542" s="200">
        <f>IF(H542="ETAPA",0,IF(H542="SUBETAPA",OFFSET(D542,-1,0)+1,OFFSET(D542,-1,0)))</f>
        <v/>
      </c>
      <c r="E542" s="200">
        <f>IF(H542="Subetapa",0,IF(H542="serviço",OFFSET(E542,-1,0)+1,OFFSET(E542,-1,0)))</f>
        <v/>
      </c>
      <c r="F542" s="31" t="n"/>
      <c r="J542" s="61" t="n"/>
      <c r="K542" s="62" t="n"/>
      <c r="L542" s="63" t="n"/>
      <c r="M542" s="63" t="n"/>
      <c r="N542" s="68" t="n"/>
      <c r="O542" s="68" t="n"/>
      <c r="P542" s="68" t="n"/>
      <c r="Q542" s="68" t="n"/>
      <c r="R542" s="68" t="n"/>
    </row>
    <row r="543" ht="14.1" customFormat="1" customHeight="1" s="60">
      <c r="A543" s="199">
        <f>IF($H543="UNIDADE CONSTRUTIVA",OFFSET(A543,-1,0)+1,LARGE(A$3:A542,1))</f>
        <v/>
      </c>
      <c r="B543" s="199">
        <f>IF(H543="UNIDADE CONSTRUTIVA",0,IF(H543="CÉLULA CONSTRUTIVA",OFFSET(B543,-1,0)+1,OFFSET(B543,-1,0)))</f>
        <v/>
      </c>
      <c r="C543" s="199">
        <f>IF(H543="CÉLULA CONSTRUTIVA",0,IF(H543="ETAPA",OFFSET(C543,-1,0)+1,OFFSET(C543,-1,0)))</f>
        <v/>
      </c>
      <c r="D543" s="200">
        <f>IF(H543="ETAPA",0,IF(H543="SUBETAPA",OFFSET(D543,-1,0)+1,OFFSET(D543,-1,0)))</f>
        <v/>
      </c>
      <c r="E543" s="200">
        <f>IF(H543="Subetapa",0,IF(H543="serviço",OFFSET(E543,-1,0)+1,OFFSET(E543,-1,0)))</f>
        <v/>
      </c>
      <c r="F543" s="31" t="n"/>
      <c r="J543" s="61" t="n"/>
      <c r="K543" s="62" t="n"/>
      <c r="L543" s="63" t="n"/>
      <c r="M543" s="63" t="n"/>
      <c r="N543" s="68" t="n"/>
      <c r="O543" s="68" t="n"/>
      <c r="P543" s="68" t="n"/>
      <c r="Q543" s="68" t="n"/>
      <c r="R543" s="68" t="n"/>
    </row>
    <row r="544" ht="14.1" customFormat="1" customHeight="1" s="60">
      <c r="A544" s="199">
        <f>IF($H544="UNIDADE CONSTRUTIVA",OFFSET(A544,-1,0)+1,LARGE(A$3:A543,1))</f>
        <v/>
      </c>
      <c r="B544" s="199">
        <f>IF(H544="UNIDADE CONSTRUTIVA",0,IF(H544="CÉLULA CONSTRUTIVA",OFFSET(B544,-1,0)+1,OFFSET(B544,-1,0)))</f>
        <v/>
      </c>
      <c r="C544" s="199">
        <f>IF(H544="CÉLULA CONSTRUTIVA",0,IF(H544="ETAPA",OFFSET(C544,-1,0)+1,OFFSET(C544,-1,0)))</f>
        <v/>
      </c>
      <c r="D544" s="200">
        <f>IF(H544="ETAPA",0,IF(H544="SUBETAPA",OFFSET(D544,-1,0)+1,OFFSET(D544,-1,0)))</f>
        <v/>
      </c>
      <c r="E544" s="200">
        <f>IF(H544="Subetapa",0,IF(H544="serviço",OFFSET(E544,-1,0)+1,OFFSET(E544,-1,0)))</f>
        <v/>
      </c>
      <c r="F544" s="31" t="n"/>
      <c r="J544" s="61" t="n"/>
      <c r="K544" s="62" t="n"/>
      <c r="L544" s="63" t="n"/>
      <c r="M544" s="63" t="n"/>
      <c r="N544" s="68" t="n"/>
      <c r="O544" s="68" t="n"/>
      <c r="P544" s="68" t="n"/>
      <c r="Q544" s="68" t="n"/>
      <c r="R544" s="68" t="n"/>
    </row>
    <row r="545" ht="14.1" customFormat="1" customHeight="1" s="60">
      <c r="A545" s="199">
        <f>IF($H545="UNIDADE CONSTRUTIVA",OFFSET(A545,-1,0)+1,LARGE(A$3:A544,1))</f>
        <v/>
      </c>
      <c r="B545" s="199">
        <f>IF(H545="UNIDADE CONSTRUTIVA",0,IF(H545="CÉLULA CONSTRUTIVA",OFFSET(B545,-1,0)+1,OFFSET(B545,-1,0)))</f>
        <v/>
      </c>
      <c r="C545" s="199">
        <f>IF(H545="CÉLULA CONSTRUTIVA",0,IF(H545="ETAPA",OFFSET(C545,-1,0)+1,OFFSET(C545,-1,0)))</f>
        <v/>
      </c>
      <c r="D545" s="200">
        <f>IF(H545="ETAPA",0,IF(H545="SUBETAPA",OFFSET(D545,-1,0)+1,OFFSET(D545,-1,0)))</f>
        <v/>
      </c>
      <c r="E545" s="200">
        <f>IF(H545="Subetapa",0,IF(H545="serviço",OFFSET(E545,-1,0)+1,OFFSET(E545,-1,0)))</f>
        <v/>
      </c>
      <c r="F545" s="31" t="n"/>
      <c r="J545" s="61" t="n"/>
      <c r="K545" s="62" t="n"/>
      <c r="L545" s="63" t="n"/>
      <c r="M545" s="63" t="n"/>
      <c r="N545" s="68" t="n"/>
      <c r="O545" s="68" t="n"/>
      <c r="P545" s="68" t="n"/>
      <c r="Q545" s="68" t="n"/>
      <c r="R545" s="68" t="n"/>
    </row>
    <row r="546" ht="14.1" customFormat="1" customHeight="1" s="60">
      <c r="A546" s="199">
        <f>IF($H546="UNIDADE CONSTRUTIVA",OFFSET(A546,-1,0)+1,LARGE(A$3:A545,1))</f>
        <v/>
      </c>
      <c r="B546" s="199">
        <f>IF(H546="UNIDADE CONSTRUTIVA",0,IF(H546="CÉLULA CONSTRUTIVA",OFFSET(B546,-1,0)+1,OFFSET(B546,-1,0)))</f>
        <v/>
      </c>
      <c r="C546" s="199">
        <f>IF(H546="CÉLULA CONSTRUTIVA",0,IF(H546="ETAPA",OFFSET(C546,-1,0)+1,OFFSET(C546,-1,0)))</f>
        <v/>
      </c>
      <c r="D546" s="200">
        <f>IF(H546="ETAPA",0,IF(H546="SUBETAPA",OFFSET(D546,-1,0)+1,OFFSET(D546,-1,0)))</f>
        <v/>
      </c>
      <c r="E546" s="200">
        <f>IF(H546="Subetapa",0,IF(H546="serviço",OFFSET(E546,-1,0)+1,OFFSET(E546,-1,0)))</f>
        <v/>
      </c>
      <c r="F546" s="31" t="n"/>
      <c r="J546" s="61" t="n"/>
      <c r="K546" s="62" t="n"/>
      <c r="L546" s="63" t="n"/>
      <c r="M546" s="63" t="n"/>
      <c r="N546" s="68" t="n"/>
      <c r="O546" s="68" t="n"/>
      <c r="P546" s="68" t="n"/>
      <c r="Q546" s="68" t="n"/>
      <c r="R546" s="68" t="n"/>
    </row>
    <row r="547" ht="14.1" customFormat="1" customHeight="1" s="60">
      <c r="A547" s="199">
        <f>IF($H547="UNIDADE CONSTRUTIVA",OFFSET(A547,-1,0)+1,LARGE(A$3:A546,1))</f>
        <v/>
      </c>
      <c r="B547" s="199">
        <f>IF(H547="UNIDADE CONSTRUTIVA",0,IF(H547="CÉLULA CONSTRUTIVA",OFFSET(B547,-1,0)+1,OFFSET(B547,-1,0)))</f>
        <v/>
      </c>
      <c r="C547" s="199">
        <f>IF(H547="CÉLULA CONSTRUTIVA",0,IF(H547="ETAPA",OFFSET(C547,-1,0)+1,OFFSET(C547,-1,0)))</f>
        <v/>
      </c>
      <c r="D547" s="200">
        <f>IF(H547="ETAPA",0,IF(H547="SUBETAPA",OFFSET(D547,-1,0)+1,OFFSET(D547,-1,0)))</f>
        <v/>
      </c>
      <c r="E547" s="200">
        <f>IF(H547="Subetapa",0,IF(H547="serviço",OFFSET(E547,-1,0)+1,OFFSET(E547,-1,0)))</f>
        <v/>
      </c>
      <c r="F547" s="31" t="n"/>
      <c r="J547" s="61" t="n"/>
      <c r="K547" s="62" t="n"/>
      <c r="L547" s="63" t="n"/>
      <c r="M547" s="63" t="n"/>
      <c r="N547" s="68" t="n"/>
      <c r="O547" s="68" t="n"/>
      <c r="P547" s="68" t="n"/>
      <c r="Q547" s="68" t="n"/>
      <c r="R547" s="68" t="n"/>
    </row>
    <row r="548" ht="14.1" customFormat="1" customHeight="1" s="60">
      <c r="A548" s="199">
        <f>IF($H548="UNIDADE CONSTRUTIVA",OFFSET(A548,-1,0)+1,LARGE(A$3:A547,1))</f>
        <v/>
      </c>
      <c r="B548" s="199">
        <f>IF(H548="UNIDADE CONSTRUTIVA",0,IF(H548="CÉLULA CONSTRUTIVA",OFFSET(B548,-1,0)+1,OFFSET(B548,-1,0)))</f>
        <v/>
      </c>
      <c r="C548" s="199">
        <f>IF(H548="CÉLULA CONSTRUTIVA",0,IF(H548="ETAPA",OFFSET(C548,-1,0)+1,OFFSET(C548,-1,0)))</f>
        <v/>
      </c>
      <c r="D548" s="200">
        <f>IF(H548="ETAPA",0,IF(H548="SUBETAPA",OFFSET(D548,-1,0)+1,OFFSET(D548,-1,0)))</f>
        <v/>
      </c>
      <c r="E548" s="200">
        <f>IF(H548="Subetapa",0,IF(H548="serviço",OFFSET(E548,-1,0)+1,OFFSET(E548,-1,0)))</f>
        <v/>
      </c>
      <c r="F548" s="31" t="n"/>
      <c r="J548" s="61" t="n"/>
      <c r="K548" s="62" t="n"/>
      <c r="L548" s="63" t="n"/>
      <c r="M548" s="63" t="n"/>
      <c r="N548" s="68" t="n"/>
      <c r="O548" s="68" t="n"/>
      <c r="P548" s="68" t="n"/>
      <c r="Q548" s="68" t="n"/>
      <c r="R548" s="68" t="n"/>
    </row>
    <row r="549" ht="14.1" customFormat="1" customHeight="1" s="60">
      <c r="A549" s="199">
        <f>IF($H549="UNIDADE CONSTRUTIVA",OFFSET(A549,-1,0)+1,LARGE(A$3:A548,1))</f>
        <v/>
      </c>
      <c r="B549" s="199">
        <f>IF(H549="UNIDADE CONSTRUTIVA",0,IF(H549="CÉLULA CONSTRUTIVA",OFFSET(B549,-1,0)+1,OFFSET(B549,-1,0)))</f>
        <v/>
      </c>
      <c r="C549" s="199">
        <f>IF(H549="CÉLULA CONSTRUTIVA",0,IF(H549="ETAPA",OFFSET(C549,-1,0)+1,OFFSET(C549,-1,0)))</f>
        <v/>
      </c>
      <c r="D549" s="200">
        <f>IF(H549="ETAPA",0,IF(H549="SUBETAPA",OFFSET(D549,-1,0)+1,OFFSET(D549,-1,0)))</f>
        <v/>
      </c>
      <c r="E549" s="200">
        <f>IF(H549="Subetapa",0,IF(H549="serviço",OFFSET(E549,-1,0)+1,OFFSET(E549,-1,0)))</f>
        <v/>
      </c>
      <c r="F549" s="31" t="n"/>
      <c r="J549" s="61" t="n"/>
      <c r="K549" s="62" t="n"/>
      <c r="L549" s="63" t="n"/>
      <c r="M549" s="63" t="n"/>
      <c r="N549" s="68" t="n"/>
      <c r="O549" s="68" t="n"/>
      <c r="P549" s="68" t="n"/>
      <c r="Q549" s="68" t="n"/>
      <c r="R549" s="68" t="n"/>
    </row>
    <row r="550" ht="14.1" customFormat="1" customHeight="1" s="60">
      <c r="A550" s="199">
        <f>IF($H550="UNIDADE CONSTRUTIVA",OFFSET(A550,-1,0)+1,LARGE(A$3:A549,1))</f>
        <v/>
      </c>
      <c r="B550" s="199">
        <f>IF(H550="UNIDADE CONSTRUTIVA",0,IF(H550="CÉLULA CONSTRUTIVA",OFFSET(B550,-1,0)+1,OFFSET(B550,-1,0)))</f>
        <v/>
      </c>
      <c r="C550" s="199">
        <f>IF(H550="CÉLULA CONSTRUTIVA",0,IF(H550="ETAPA",OFFSET(C550,-1,0)+1,OFFSET(C550,-1,0)))</f>
        <v/>
      </c>
      <c r="D550" s="200">
        <f>IF(H550="ETAPA",0,IF(H550="SUBETAPA",OFFSET(D550,-1,0)+1,OFFSET(D550,-1,0)))</f>
        <v/>
      </c>
      <c r="E550" s="200">
        <f>IF(H550="Subetapa",0,IF(H550="serviço",OFFSET(E550,-1,0)+1,OFFSET(E550,-1,0)))</f>
        <v/>
      </c>
      <c r="F550" s="31" t="n"/>
      <c r="J550" s="61" t="n"/>
      <c r="K550" s="62" t="n"/>
      <c r="L550" s="63" t="n"/>
      <c r="M550" s="63" t="n"/>
      <c r="N550" s="68" t="n"/>
      <c r="O550" s="68" t="n"/>
      <c r="P550" s="68" t="n"/>
      <c r="Q550" s="68" t="n"/>
      <c r="R550" s="68" t="n"/>
    </row>
    <row r="551" ht="14.1" customFormat="1" customHeight="1" s="60">
      <c r="A551" s="199">
        <f>IF($H551="UNIDADE CONSTRUTIVA",OFFSET(A551,-1,0)+1,LARGE(A$3:A550,1))</f>
        <v/>
      </c>
      <c r="B551" s="199">
        <f>IF(H551="UNIDADE CONSTRUTIVA",0,IF(H551="CÉLULA CONSTRUTIVA",OFFSET(B551,-1,0)+1,OFFSET(B551,-1,0)))</f>
        <v/>
      </c>
      <c r="C551" s="199">
        <f>IF(H551="CÉLULA CONSTRUTIVA",0,IF(H551="ETAPA",OFFSET(C551,-1,0)+1,OFFSET(C551,-1,0)))</f>
        <v/>
      </c>
      <c r="D551" s="200">
        <f>IF(H551="ETAPA",0,IF(H551="SUBETAPA",OFFSET(D551,-1,0)+1,OFFSET(D551,-1,0)))</f>
        <v/>
      </c>
      <c r="E551" s="200">
        <f>IF(H551="Subetapa",0,IF(H551="serviço",OFFSET(E551,-1,0)+1,OFFSET(E551,-1,0)))</f>
        <v/>
      </c>
      <c r="F551" s="31" t="n"/>
      <c r="J551" s="61" t="n"/>
      <c r="K551" s="62" t="n"/>
      <c r="L551" s="63" t="n"/>
      <c r="M551" s="63" t="n"/>
      <c r="N551" s="68" t="n"/>
      <c r="O551" s="68" t="n"/>
      <c r="P551" s="68" t="n"/>
      <c r="Q551" s="68" t="n"/>
      <c r="R551" s="68" t="n"/>
    </row>
    <row r="552" ht="14.1" customFormat="1" customHeight="1" s="60">
      <c r="A552" s="199">
        <f>IF($H552="UNIDADE CONSTRUTIVA",OFFSET(A552,-1,0)+1,LARGE(A$3:A551,1))</f>
        <v/>
      </c>
      <c r="B552" s="199">
        <f>IF(H552="UNIDADE CONSTRUTIVA",0,IF(H552="CÉLULA CONSTRUTIVA",OFFSET(B552,-1,0)+1,OFFSET(B552,-1,0)))</f>
        <v/>
      </c>
      <c r="C552" s="199">
        <f>IF(H552="CÉLULA CONSTRUTIVA",0,IF(H552="ETAPA",OFFSET(C552,-1,0)+1,OFFSET(C552,-1,0)))</f>
        <v/>
      </c>
      <c r="D552" s="200">
        <f>IF(H552="ETAPA",0,IF(H552="SUBETAPA",OFFSET(D552,-1,0)+1,OFFSET(D552,-1,0)))</f>
        <v/>
      </c>
      <c r="E552" s="200">
        <f>IF(H552="Subetapa",0,IF(H552="serviço",OFFSET(E552,-1,0)+1,OFFSET(E552,-1,0)))</f>
        <v/>
      </c>
      <c r="F552" s="31" t="n"/>
      <c r="J552" s="61" t="n"/>
      <c r="K552" s="62" t="n"/>
      <c r="L552" s="63" t="n"/>
      <c r="M552" s="63" t="n"/>
      <c r="N552" s="68" t="n"/>
      <c r="O552" s="68" t="n"/>
      <c r="P552" s="68" t="n"/>
      <c r="Q552" s="68" t="n"/>
      <c r="R552" s="68" t="n"/>
    </row>
    <row r="553" ht="14.1" customFormat="1" customHeight="1" s="60">
      <c r="A553" s="199">
        <f>IF($H553="UNIDADE CONSTRUTIVA",OFFSET(A553,-1,0)+1,LARGE(A$3:A552,1))</f>
        <v/>
      </c>
      <c r="B553" s="199">
        <f>IF(H553="UNIDADE CONSTRUTIVA",0,IF(H553="CÉLULA CONSTRUTIVA",OFFSET(B553,-1,0)+1,OFFSET(B553,-1,0)))</f>
        <v/>
      </c>
      <c r="C553" s="199">
        <f>IF(H553="CÉLULA CONSTRUTIVA",0,IF(H553="ETAPA",OFFSET(C553,-1,0)+1,OFFSET(C553,-1,0)))</f>
        <v/>
      </c>
      <c r="D553" s="200">
        <f>IF(H553="ETAPA",0,IF(H553="SUBETAPA",OFFSET(D553,-1,0)+1,OFFSET(D553,-1,0)))</f>
        <v/>
      </c>
      <c r="E553" s="200">
        <f>IF(H553="Subetapa",0,IF(H553="serviço",OFFSET(E553,-1,0)+1,OFFSET(E553,-1,0)))</f>
        <v/>
      </c>
      <c r="F553" s="31" t="n"/>
      <c r="J553" s="61" t="n"/>
      <c r="K553" s="62" t="n"/>
      <c r="L553" s="63" t="n"/>
      <c r="M553" s="63" t="n"/>
      <c r="N553" s="68" t="n"/>
      <c r="O553" s="68" t="n"/>
      <c r="P553" s="68" t="n"/>
      <c r="Q553" s="68" t="n"/>
      <c r="R553" s="68" t="n"/>
    </row>
    <row r="554" ht="14.1" customFormat="1" customHeight="1" s="60">
      <c r="A554" s="199">
        <f>IF($H554="UNIDADE CONSTRUTIVA",OFFSET(A554,-1,0)+1,LARGE(A$3:A553,1))</f>
        <v/>
      </c>
      <c r="B554" s="199">
        <f>IF(H554="UNIDADE CONSTRUTIVA",0,IF(H554="CÉLULA CONSTRUTIVA",OFFSET(B554,-1,0)+1,OFFSET(B554,-1,0)))</f>
        <v/>
      </c>
      <c r="C554" s="199">
        <f>IF(H554="CÉLULA CONSTRUTIVA",0,IF(H554="ETAPA",OFFSET(C554,-1,0)+1,OFFSET(C554,-1,0)))</f>
        <v/>
      </c>
      <c r="D554" s="200">
        <f>IF(H554="ETAPA",0,IF(H554="SUBETAPA",OFFSET(D554,-1,0)+1,OFFSET(D554,-1,0)))</f>
        <v/>
      </c>
      <c r="E554" s="200">
        <f>IF(H554="Subetapa",0,IF(H554="serviço",OFFSET(E554,-1,0)+1,OFFSET(E554,-1,0)))</f>
        <v/>
      </c>
      <c r="F554" s="31" t="n"/>
      <c r="J554" s="61" t="n"/>
      <c r="K554" s="62" t="n"/>
      <c r="L554" s="63" t="n"/>
      <c r="M554" s="63" t="n"/>
      <c r="N554" s="68" t="n"/>
      <c r="O554" s="68" t="n"/>
      <c r="P554" s="68" t="n"/>
      <c r="Q554" s="68" t="n"/>
      <c r="R554" s="68" t="n"/>
    </row>
    <row r="555" ht="14.1" customFormat="1" customHeight="1" s="60">
      <c r="A555" s="199">
        <f>IF($H555="UNIDADE CONSTRUTIVA",OFFSET(A555,-1,0)+1,LARGE(A$3:A554,1))</f>
        <v/>
      </c>
      <c r="B555" s="199">
        <f>IF(H555="UNIDADE CONSTRUTIVA",0,IF(H555="CÉLULA CONSTRUTIVA",OFFSET(B555,-1,0)+1,OFFSET(B555,-1,0)))</f>
        <v/>
      </c>
      <c r="C555" s="199">
        <f>IF(H555="CÉLULA CONSTRUTIVA",0,IF(H555="ETAPA",OFFSET(C555,-1,0)+1,OFFSET(C555,-1,0)))</f>
        <v/>
      </c>
      <c r="D555" s="200">
        <f>IF(H555="ETAPA",0,IF(H555="SUBETAPA",OFFSET(D555,-1,0)+1,OFFSET(D555,-1,0)))</f>
        <v/>
      </c>
      <c r="E555" s="200">
        <f>IF(H555="Subetapa",0,IF(H555="serviço",OFFSET(E555,-1,0)+1,OFFSET(E555,-1,0)))</f>
        <v/>
      </c>
      <c r="F555" s="31" t="n"/>
      <c r="J555" s="61" t="n"/>
      <c r="K555" s="62" t="n"/>
      <c r="L555" s="63" t="n"/>
      <c r="M555" s="63" t="n"/>
      <c r="N555" s="68" t="n"/>
      <c r="O555" s="68" t="n"/>
      <c r="P555" s="68" t="n"/>
      <c r="Q555" s="68" t="n"/>
      <c r="R555" s="68" t="n"/>
    </row>
    <row r="556" ht="14.1" customFormat="1" customHeight="1" s="60">
      <c r="A556" s="199">
        <f>IF($H556="UNIDADE CONSTRUTIVA",OFFSET(A556,-1,0)+1,LARGE(A$3:A555,1))</f>
        <v/>
      </c>
      <c r="B556" s="199">
        <f>IF(H556="UNIDADE CONSTRUTIVA",0,IF(H556="CÉLULA CONSTRUTIVA",OFFSET(B556,-1,0)+1,OFFSET(B556,-1,0)))</f>
        <v/>
      </c>
      <c r="C556" s="199">
        <f>IF(H556="CÉLULA CONSTRUTIVA",0,IF(H556="ETAPA",OFFSET(C556,-1,0)+1,OFFSET(C556,-1,0)))</f>
        <v/>
      </c>
      <c r="D556" s="200">
        <f>IF(H556="ETAPA",0,IF(H556="SUBETAPA",OFFSET(D556,-1,0)+1,OFFSET(D556,-1,0)))</f>
        <v/>
      </c>
      <c r="E556" s="200">
        <f>IF(H556="Subetapa",0,IF(H556="serviço",OFFSET(E556,-1,0)+1,OFFSET(E556,-1,0)))</f>
        <v/>
      </c>
      <c r="F556" s="31" t="n"/>
      <c r="J556" s="61" t="n"/>
      <c r="K556" s="62" t="n"/>
      <c r="L556" s="63" t="n"/>
      <c r="M556" s="63" t="n"/>
      <c r="N556" s="68" t="n"/>
      <c r="O556" s="68" t="n"/>
      <c r="P556" s="68" t="n"/>
      <c r="Q556" s="68" t="n"/>
      <c r="R556" s="68" t="n"/>
    </row>
    <row r="557" ht="14.1" customFormat="1" customHeight="1" s="60">
      <c r="A557" s="199">
        <f>IF($H557="UNIDADE CONSTRUTIVA",OFFSET(A557,-1,0)+1,LARGE(A$3:A556,1))</f>
        <v/>
      </c>
      <c r="B557" s="199">
        <f>IF(H557="UNIDADE CONSTRUTIVA",0,IF(H557="CÉLULA CONSTRUTIVA",OFFSET(B557,-1,0)+1,OFFSET(B557,-1,0)))</f>
        <v/>
      </c>
      <c r="C557" s="199">
        <f>IF(H557="CÉLULA CONSTRUTIVA",0,IF(H557="ETAPA",OFFSET(C557,-1,0)+1,OFFSET(C557,-1,0)))</f>
        <v/>
      </c>
      <c r="D557" s="200">
        <f>IF(H557="ETAPA",0,IF(H557="SUBETAPA",OFFSET(D557,-1,0)+1,OFFSET(D557,-1,0)))</f>
        <v/>
      </c>
      <c r="E557" s="200">
        <f>IF(H557="Subetapa",0,IF(H557="serviço",OFFSET(E557,-1,0)+1,OFFSET(E557,-1,0)))</f>
        <v/>
      </c>
      <c r="F557" s="31" t="n"/>
      <c r="J557" s="61" t="n"/>
      <c r="K557" s="62" t="n"/>
      <c r="L557" s="63" t="n"/>
      <c r="M557" s="63" t="n"/>
      <c r="N557" s="68" t="n"/>
      <c r="O557" s="68" t="n"/>
      <c r="P557" s="68" t="n"/>
      <c r="Q557" s="68" t="n"/>
      <c r="R557" s="68" t="n"/>
    </row>
    <row r="558" ht="14.1" customFormat="1" customHeight="1" s="60">
      <c r="A558" s="199">
        <f>IF($H558="UNIDADE CONSTRUTIVA",OFFSET(A558,-1,0)+1,LARGE(A$3:A557,1))</f>
        <v/>
      </c>
      <c r="B558" s="199">
        <f>IF(H558="UNIDADE CONSTRUTIVA",0,IF(H558="CÉLULA CONSTRUTIVA",OFFSET(B558,-1,0)+1,OFFSET(B558,-1,0)))</f>
        <v/>
      </c>
      <c r="C558" s="199">
        <f>IF(H558="CÉLULA CONSTRUTIVA",0,IF(H558="ETAPA",OFFSET(C558,-1,0)+1,OFFSET(C558,-1,0)))</f>
        <v/>
      </c>
      <c r="D558" s="200">
        <f>IF(H558="ETAPA",0,IF(H558="SUBETAPA",OFFSET(D558,-1,0)+1,OFFSET(D558,-1,0)))</f>
        <v/>
      </c>
      <c r="E558" s="200">
        <f>IF(H558="Subetapa",0,IF(H558="serviço",OFFSET(E558,-1,0)+1,OFFSET(E558,-1,0)))</f>
        <v/>
      </c>
      <c r="F558" s="31" t="n"/>
      <c r="J558" s="61" t="n"/>
      <c r="K558" s="62" t="n"/>
      <c r="L558" s="63" t="n"/>
      <c r="M558" s="63" t="n"/>
      <c r="N558" s="68" t="n"/>
      <c r="O558" s="68" t="n"/>
      <c r="P558" s="68" t="n"/>
      <c r="Q558" s="68" t="n"/>
      <c r="R558" s="68" t="n"/>
    </row>
    <row r="559" ht="14.1" customFormat="1" customHeight="1" s="60">
      <c r="A559" s="199">
        <f>IF($H559="UNIDADE CONSTRUTIVA",OFFSET(A559,-1,0)+1,LARGE(A$3:A558,1))</f>
        <v/>
      </c>
      <c r="B559" s="199">
        <f>IF(H559="UNIDADE CONSTRUTIVA",0,IF(H559="CÉLULA CONSTRUTIVA",OFFSET(B559,-1,0)+1,OFFSET(B559,-1,0)))</f>
        <v/>
      </c>
      <c r="C559" s="199">
        <f>IF(H559="CÉLULA CONSTRUTIVA",0,IF(H559="ETAPA",OFFSET(C559,-1,0)+1,OFFSET(C559,-1,0)))</f>
        <v/>
      </c>
      <c r="D559" s="200">
        <f>IF(H559="ETAPA",0,IF(H559="SUBETAPA",OFFSET(D559,-1,0)+1,OFFSET(D559,-1,0)))</f>
        <v/>
      </c>
      <c r="E559" s="200">
        <f>IF(H559="Subetapa",0,IF(H559="serviço",OFFSET(E559,-1,0)+1,OFFSET(E559,-1,0)))</f>
        <v/>
      </c>
      <c r="F559" s="31" t="n"/>
      <c r="J559" s="61" t="n"/>
      <c r="K559" s="62" t="n"/>
      <c r="L559" s="63" t="n"/>
      <c r="M559" s="63" t="n"/>
      <c r="N559" s="68" t="n"/>
      <c r="O559" s="68" t="n"/>
      <c r="P559" s="68" t="n"/>
      <c r="Q559" s="68" t="n"/>
      <c r="R559" s="68" t="n"/>
    </row>
    <row r="560" ht="14.1" customFormat="1" customHeight="1" s="60">
      <c r="A560" s="199">
        <f>IF($H560="UNIDADE CONSTRUTIVA",OFFSET(A560,-1,0)+1,LARGE(A$3:A559,1))</f>
        <v/>
      </c>
      <c r="B560" s="199">
        <f>IF(H560="UNIDADE CONSTRUTIVA",0,IF(H560="CÉLULA CONSTRUTIVA",OFFSET(B560,-1,0)+1,OFFSET(B560,-1,0)))</f>
        <v/>
      </c>
      <c r="C560" s="199">
        <f>IF(H560="CÉLULA CONSTRUTIVA",0,IF(H560="ETAPA",OFFSET(C560,-1,0)+1,OFFSET(C560,-1,0)))</f>
        <v/>
      </c>
      <c r="D560" s="200">
        <f>IF(H560="ETAPA",0,IF(H560="SUBETAPA",OFFSET(D560,-1,0)+1,OFFSET(D560,-1,0)))</f>
        <v/>
      </c>
      <c r="E560" s="200">
        <f>IF(H560="Subetapa",0,IF(H560="serviço",OFFSET(E560,-1,0)+1,OFFSET(E560,-1,0)))</f>
        <v/>
      </c>
      <c r="F560" s="31" t="n"/>
      <c r="J560" s="61" t="n"/>
      <c r="K560" s="62" t="n"/>
      <c r="L560" s="63" t="n"/>
      <c r="M560" s="63" t="n"/>
      <c r="N560" s="68" t="n"/>
      <c r="O560" s="68" t="n"/>
      <c r="P560" s="68" t="n"/>
      <c r="Q560" s="68" t="n"/>
      <c r="R560" s="68" t="n"/>
    </row>
    <row r="561" ht="14.1" customFormat="1" customHeight="1" s="60">
      <c r="A561" s="199">
        <f>IF($H561="UNIDADE CONSTRUTIVA",OFFSET(A561,-1,0)+1,LARGE(A$3:A560,1))</f>
        <v/>
      </c>
      <c r="B561" s="199">
        <f>IF(H561="UNIDADE CONSTRUTIVA",0,IF(H561="CÉLULA CONSTRUTIVA",OFFSET(B561,-1,0)+1,OFFSET(B561,-1,0)))</f>
        <v/>
      </c>
      <c r="C561" s="199">
        <f>IF(H561="CÉLULA CONSTRUTIVA",0,IF(H561="ETAPA",OFFSET(C561,-1,0)+1,OFFSET(C561,-1,0)))</f>
        <v/>
      </c>
      <c r="D561" s="200">
        <f>IF(H561="ETAPA",0,IF(H561="SUBETAPA",OFFSET(D561,-1,0)+1,OFFSET(D561,-1,0)))</f>
        <v/>
      </c>
      <c r="E561" s="200">
        <f>IF(H561="Subetapa",0,IF(H561="serviço",OFFSET(E561,-1,0)+1,OFFSET(E561,-1,0)))</f>
        <v/>
      </c>
      <c r="F561" s="31" t="n"/>
      <c r="J561" s="61" t="n"/>
      <c r="K561" s="62" t="n"/>
      <c r="L561" s="63" t="n"/>
      <c r="M561" s="63" t="n"/>
      <c r="N561" s="68" t="n"/>
      <c r="O561" s="68" t="n"/>
      <c r="P561" s="68" t="n"/>
      <c r="Q561" s="68" t="n"/>
      <c r="R561" s="68" t="n"/>
    </row>
    <row r="562" ht="14.1" customFormat="1" customHeight="1" s="60">
      <c r="A562" s="199">
        <f>IF($H562="UNIDADE CONSTRUTIVA",OFFSET(A562,-1,0)+1,LARGE(A$3:A561,1))</f>
        <v/>
      </c>
      <c r="B562" s="199">
        <f>IF(H562="UNIDADE CONSTRUTIVA",0,IF(H562="CÉLULA CONSTRUTIVA",OFFSET(B562,-1,0)+1,OFFSET(B562,-1,0)))</f>
        <v/>
      </c>
      <c r="C562" s="199">
        <f>IF(H562="CÉLULA CONSTRUTIVA",0,IF(H562="ETAPA",OFFSET(C562,-1,0)+1,OFFSET(C562,-1,0)))</f>
        <v/>
      </c>
      <c r="D562" s="200">
        <f>IF(H562="ETAPA",0,IF(H562="SUBETAPA",OFFSET(D562,-1,0)+1,OFFSET(D562,-1,0)))</f>
        <v/>
      </c>
      <c r="E562" s="200">
        <f>IF(H562="Subetapa",0,IF(H562="serviço",OFFSET(E562,-1,0)+1,OFFSET(E562,-1,0)))</f>
        <v/>
      </c>
      <c r="F562" s="31" t="n"/>
      <c r="J562" s="61" t="n"/>
      <c r="K562" s="62" t="n"/>
      <c r="L562" s="63" t="n"/>
      <c r="M562" s="63" t="n"/>
      <c r="N562" s="68" t="n"/>
      <c r="O562" s="68" t="n"/>
      <c r="P562" s="68" t="n"/>
      <c r="Q562" s="68" t="n"/>
      <c r="R562" s="68" t="n"/>
    </row>
    <row r="563" ht="14.1" customFormat="1" customHeight="1" s="60">
      <c r="A563" s="199">
        <f>IF($H563="UNIDADE CONSTRUTIVA",OFFSET(A563,-1,0)+1,LARGE(A$3:A562,1))</f>
        <v/>
      </c>
      <c r="B563" s="199">
        <f>IF(H563="UNIDADE CONSTRUTIVA",0,IF(H563="CÉLULA CONSTRUTIVA",OFFSET(B563,-1,0)+1,OFFSET(B563,-1,0)))</f>
        <v/>
      </c>
      <c r="C563" s="199">
        <f>IF(H563="CÉLULA CONSTRUTIVA",0,IF(H563="ETAPA",OFFSET(C563,-1,0)+1,OFFSET(C563,-1,0)))</f>
        <v/>
      </c>
      <c r="D563" s="200">
        <f>IF(H563="ETAPA",0,IF(H563="SUBETAPA",OFFSET(D563,-1,0)+1,OFFSET(D563,-1,0)))</f>
        <v/>
      </c>
      <c r="E563" s="200">
        <f>IF(H563="Subetapa",0,IF(H563="serviço",OFFSET(E563,-1,0)+1,OFFSET(E563,-1,0)))</f>
        <v/>
      </c>
      <c r="F563" s="31" t="n"/>
      <c r="J563" s="61" t="n"/>
      <c r="K563" s="62" t="n"/>
      <c r="L563" s="63" t="n"/>
      <c r="M563" s="63" t="n"/>
      <c r="N563" s="68" t="n"/>
      <c r="O563" s="68" t="n"/>
      <c r="P563" s="68" t="n"/>
      <c r="Q563" s="68" t="n"/>
      <c r="R563" s="68" t="n"/>
    </row>
    <row r="564" ht="14.1" customFormat="1" customHeight="1" s="60">
      <c r="A564" s="199">
        <f>IF($H564="UNIDADE CONSTRUTIVA",OFFSET(A564,-1,0)+1,LARGE(A$3:A563,1))</f>
        <v/>
      </c>
      <c r="B564" s="199">
        <f>IF(H564="UNIDADE CONSTRUTIVA",0,IF(H564="CÉLULA CONSTRUTIVA",OFFSET(B564,-1,0)+1,OFFSET(B564,-1,0)))</f>
        <v/>
      </c>
      <c r="C564" s="199">
        <f>IF(H564="CÉLULA CONSTRUTIVA",0,IF(H564="ETAPA",OFFSET(C564,-1,0)+1,OFFSET(C564,-1,0)))</f>
        <v/>
      </c>
      <c r="D564" s="200">
        <f>IF(H564="ETAPA",0,IF(H564="SUBETAPA",OFFSET(D564,-1,0)+1,OFFSET(D564,-1,0)))</f>
        <v/>
      </c>
      <c r="E564" s="200">
        <f>IF(H564="Subetapa",0,IF(H564="serviço",OFFSET(E564,-1,0)+1,OFFSET(E564,-1,0)))</f>
        <v/>
      </c>
      <c r="F564" s="31" t="n"/>
      <c r="J564" s="61" t="n"/>
      <c r="K564" s="62" t="n"/>
      <c r="L564" s="63" t="n"/>
      <c r="M564" s="63" t="n"/>
      <c r="N564" s="68" t="n"/>
      <c r="O564" s="68" t="n"/>
      <c r="P564" s="68" t="n"/>
      <c r="Q564" s="68" t="n"/>
      <c r="R564" s="68" t="n"/>
    </row>
    <row r="565" ht="14.1" customFormat="1" customHeight="1" s="60">
      <c r="A565" s="199">
        <f>IF($H565="UNIDADE CONSTRUTIVA",OFFSET(A565,-1,0)+1,LARGE(A$3:A564,1))</f>
        <v/>
      </c>
      <c r="B565" s="199">
        <f>IF(H565="UNIDADE CONSTRUTIVA",0,IF(H565="CÉLULA CONSTRUTIVA",OFFSET(B565,-1,0)+1,OFFSET(B565,-1,0)))</f>
        <v/>
      </c>
      <c r="C565" s="199">
        <f>IF(H565="CÉLULA CONSTRUTIVA",0,IF(H565="ETAPA",OFFSET(C565,-1,0)+1,OFFSET(C565,-1,0)))</f>
        <v/>
      </c>
      <c r="D565" s="200">
        <f>IF(H565="ETAPA",0,IF(H565="SUBETAPA",OFFSET(D565,-1,0)+1,OFFSET(D565,-1,0)))</f>
        <v/>
      </c>
      <c r="E565" s="200">
        <f>IF(H565="Subetapa",0,IF(H565="serviço",OFFSET(E565,-1,0)+1,OFFSET(E565,-1,0)))</f>
        <v/>
      </c>
      <c r="F565" s="31" t="n"/>
      <c r="J565" s="61" t="n"/>
      <c r="K565" s="62" t="n"/>
      <c r="L565" s="63" t="n"/>
      <c r="M565" s="63" t="n"/>
      <c r="N565" s="68" t="n"/>
      <c r="O565" s="68" t="n"/>
      <c r="P565" s="68" t="n"/>
      <c r="Q565" s="68" t="n"/>
      <c r="R565" s="68" t="n"/>
    </row>
    <row r="566" ht="14.1" customFormat="1" customHeight="1" s="60">
      <c r="A566" s="199">
        <f>IF($H566="UNIDADE CONSTRUTIVA",OFFSET(A566,-1,0)+1,LARGE(A$3:A565,1))</f>
        <v/>
      </c>
      <c r="B566" s="199">
        <f>IF(H566="UNIDADE CONSTRUTIVA",0,IF(H566="CÉLULA CONSTRUTIVA",OFFSET(B566,-1,0)+1,OFFSET(B566,-1,0)))</f>
        <v/>
      </c>
      <c r="C566" s="199">
        <f>IF(H566="CÉLULA CONSTRUTIVA",0,IF(H566="ETAPA",OFFSET(C566,-1,0)+1,OFFSET(C566,-1,0)))</f>
        <v/>
      </c>
      <c r="D566" s="200">
        <f>IF(H566="ETAPA",0,IF(H566="SUBETAPA",OFFSET(D566,-1,0)+1,OFFSET(D566,-1,0)))</f>
        <v/>
      </c>
      <c r="E566" s="200">
        <f>IF(H566="Subetapa",0,IF(H566="serviço",OFFSET(E566,-1,0)+1,OFFSET(E566,-1,0)))</f>
        <v/>
      </c>
      <c r="F566" s="31" t="n"/>
      <c r="J566" s="61" t="n"/>
      <c r="K566" s="62" t="n"/>
      <c r="L566" s="63" t="n"/>
      <c r="M566" s="63" t="n"/>
      <c r="N566" s="68" t="n"/>
      <c r="O566" s="68" t="n"/>
      <c r="P566" s="68" t="n"/>
      <c r="Q566" s="68" t="n"/>
      <c r="R566" s="68" t="n"/>
    </row>
    <row r="567" ht="14.1" customFormat="1" customHeight="1" s="60">
      <c r="A567" s="199">
        <f>IF($H567="UNIDADE CONSTRUTIVA",OFFSET(A567,-1,0)+1,LARGE(A$3:A566,1))</f>
        <v/>
      </c>
      <c r="B567" s="199">
        <f>IF(H567="UNIDADE CONSTRUTIVA",0,IF(H567="CÉLULA CONSTRUTIVA",OFFSET(B567,-1,0)+1,OFFSET(B567,-1,0)))</f>
        <v/>
      </c>
      <c r="C567" s="199">
        <f>IF(H567="CÉLULA CONSTRUTIVA",0,IF(H567="ETAPA",OFFSET(C567,-1,0)+1,OFFSET(C567,-1,0)))</f>
        <v/>
      </c>
      <c r="D567" s="200">
        <f>IF(H567="ETAPA",0,IF(H567="SUBETAPA",OFFSET(D567,-1,0)+1,OFFSET(D567,-1,0)))</f>
        <v/>
      </c>
      <c r="E567" s="200">
        <f>IF(H567="Subetapa",0,IF(H567="serviço",OFFSET(E567,-1,0)+1,OFFSET(E567,-1,0)))</f>
        <v/>
      </c>
      <c r="F567" s="31" t="n"/>
      <c r="J567" s="61" t="n"/>
      <c r="K567" s="62" t="n"/>
      <c r="L567" s="63" t="n"/>
      <c r="M567" s="63" t="n"/>
      <c r="N567" s="68" t="n"/>
      <c r="O567" s="68" t="n"/>
      <c r="P567" s="68" t="n"/>
      <c r="Q567" s="68" t="n"/>
      <c r="R567" s="68" t="n"/>
    </row>
    <row r="568" ht="14.1" customFormat="1" customHeight="1" s="60">
      <c r="A568" s="199">
        <f>IF($H568="UNIDADE CONSTRUTIVA",OFFSET(A568,-1,0)+1,LARGE(A$3:A567,1))</f>
        <v/>
      </c>
      <c r="B568" s="199">
        <f>IF(H568="UNIDADE CONSTRUTIVA",0,IF(H568="CÉLULA CONSTRUTIVA",OFFSET(B568,-1,0)+1,OFFSET(B568,-1,0)))</f>
        <v/>
      </c>
      <c r="C568" s="199">
        <f>IF(H568="CÉLULA CONSTRUTIVA",0,IF(H568="ETAPA",OFFSET(C568,-1,0)+1,OFFSET(C568,-1,0)))</f>
        <v/>
      </c>
      <c r="D568" s="200">
        <f>IF(H568="ETAPA",0,IF(H568="SUBETAPA",OFFSET(D568,-1,0)+1,OFFSET(D568,-1,0)))</f>
        <v/>
      </c>
      <c r="E568" s="200">
        <f>IF(H568="Subetapa",0,IF(H568="serviço",OFFSET(E568,-1,0)+1,OFFSET(E568,-1,0)))</f>
        <v/>
      </c>
      <c r="F568" s="31" t="n"/>
      <c r="J568" s="61" t="n"/>
      <c r="K568" s="62" t="n"/>
      <c r="L568" s="63" t="n"/>
      <c r="M568" s="63" t="n"/>
      <c r="N568" s="68" t="n"/>
      <c r="O568" s="68" t="n"/>
      <c r="P568" s="68" t="n"/>
      <c r="Q568" s="68" t="n"/>
      <c r="R568" s="68" t="n"/>
    </row>
    <row r="569" ht="14.1" customFormat="1" customHeight="1" s="60">
      <c r="A569" s="199">
        <f>IF($H569="UNIDADE CONSTRUTIVA",OFFSET(A569,-1,0)+1,LARGE(A$3:A568,1))</f>
        <v/>
      </c>
      <c r="B569" s="199">
        <f>IF(H569="UNIDADE CONSTRUTIVA",0,IF(H569="CÉLULA CONSTRUTIVA",OFFSET(B569,-1,0)+1,OFFSET(B569,-1,0)))</f>
        <v/>
      </c>
      <c r="C569" s="199">
        <f>IF(H569="CÉLULA CONSTRUTIVA",0,IF(H569="ETAPA",OFFSET(C569,-1,0)+1,OFFSET(C569,-1,0)))</f>
        <v/>
      </c>
      <c r="D569" s="200">
        <f>IF(H569="ETAPA",0,IF(H569="SUBETAPA",OFFSET(D569,-1,0)+1,OFFSET(D569,-1,0)))</f>
        <v/>
      </c>
      <c r="E569" s="200">
        <f>IF(H569="Subetapa",0,IF(H569="serviço",OFFSET(E569,-1,0)+1,OFFSET(E569,-1,0)))</f>
        <v/>
      </c>
      <c r="F569" s="31" t="n"/>
      <c r="J569" s="61" t="n"/>
      <c r="K569" s="62" t="n"/>
      <c r="L569" s="63" t="n"/>
      <c r="M569" s="63" t="n"/>
      <c r="N569" s="68" t="n"/>
      <c r="O569" s="68" t="n"/>
      <c r="P569" s="68" t="n"/>
      <c r="Q569" s="68" t="n"/>
      <c r="R569" s="68" t="n"/>
    </row>
    <row r="570" ht="14.1" customFormat="1" customHeight="1" s="60">
      <c r="A570" s="199">
        <f>IF($H570="UNIDADE CONSTRUTIVA",OFFSET(A570,-1,0)+1,LARGE(A$3:A569,1))</f>
        <v/>
      </c>
      <c r="B570" s="199">
        <f>IF(H570="UNIDADE CONSTRUTIVA",0,IF(H570="CÉLULA CONSTRUTIVA",OFFSET(B570,-1,0)+1,OFFSET(B570,-1,0)))</f>
        <v/>
      </c>
      <c r="C570" s="199">
        <f>IF(H570="CÉLULA CONSTRUTIVA",0,IF(H570="ETAPA",OFFSET(C570,-1,0)+1,OFFSET(C570,-1,0)))</f>
        <v/>
      </c>
      <c r="D570" s="200">
        <f>IF(H570="ETAPA",0,IF(H570="SUBETAPA",OFFSET(D570,-1,0)+1,OFFSET(D570,-1,0)))</f>
        <v/>
      </c>
      <c r="E570" s="200">
        <f>IF(H570="Subetapa",0,IF(H570="serviço",OFFSET(E570,-1,0)+1,OFFSET(E570,-1,0)))</f>
        <v/>
      </c>
      <c r="F570" s="31" t="n"/>
      <c r="J570" s="61" t="n"/>
      <c r="K570" s="62" t="n"/>
      <c r="L570" s="63" t="n"/>
      <c r="M570" s="63" t="n"/>
      <c r="N570" s="68" t="n"/>
      <c r="O570" s="68" t="n"/>
      <c r="P570" s="68" t="n"/>
      <c r="Q570" s="68" t="n"/>
      <c r="R570" s="68" t="n"/>
    </row>
    <row r="571" ht="14.1" customFormat="1" customHeight="1" s="60">
      <c r="A571" s="199">
        <f>IF($H571="UNIDADE CONSTRUTIVA",OFFSET(A571,-1,0)+1,LARGE(A$3:A570,1))</f>
        <v/>
      </c>
      <c r="B571" s="199">
        <f>IF(H571="UNIDADE CONSTRUTIVA",0,IF(H571="CÉLULA CONSTRUTIVA",OFFSET(B571,-1,0)+1,OFFSET(B571,-1,0)))</f>
        <v/>
      </c>
      <c r="C571" s="199">
        <f>IF(H571="CÉLULA CONSTRUTIVA",0,IF(H571="ETAPA",OFFSET(C571,-1,0)+1,OFFSET(C571,-1,0)))</f>
        <v/>
      </c>
      <c r="D571" s="200">
        <f>IF(H571="ETAPA",0,IF(H571="SUBETAPA",OFFSET(D571,-1,0)+1,OFFSET(D571,-1,0)))</f>
        <v/>
      </c>
      <c r="E571" s="200">
        <f>IF(H571="Subetapa",0,IF(H571="serviço",OFFSET(E571,-1,0)+1,OFFSET(E571,-1,0)))</f>
        <v/>
      </c>
      <c r="F571" s="31" t="n"/>
      <c r="J571" s="61" t="n"/>
      <c r="K571" s="62" t="n"/>
      <c r="L571" s="63" t="n"/>
      <c r="M571" s="63" t="n"/>
      <c r="N571" s="68" t="n"/>
      <c r="O571" s="68" t="n"/>
      <c r="P571" s="68" t="n"/>
      <c r="Q571" s="68" t="n"/>
      <c r="R571" s="68" t="n"/>
    </row>
    <row r="572" ht="14.1" customFormat="1" customHeight="1" s="60">
      <c r="A572" s="199">
        <f>IF($H572="UNIDADE CONSTRUTIVA",OFFSET(A572,-1,0)+1,LARGE(A$3:A571,1))</f>
        <v/>
      </c>
      <c r="B572" s="199">
        <f>IF(H572="UNIDADE CONSTRUTIVA",0,IF(H572="CÉLULA CONSTRUTIVA",OFFSET(B572,-1,0)+1,OFFSET(B572,-1,0)))</f>
        <v/>
      </c>
      <c r="C572" s="199">
        <f>IF(H572="CÉLULA CONSTRUTIVA",0,IF(H572="ETAPA",OFFSET(C572,-1,0)+1,OFFSET(C572,-1,0)))</f>
        <v/>
      </c>
      <c r="D572" s="200">
        <f>IF(H572="ETAPA",0,IF(H572="SUBETAPA",OFFSET(D572,-1,0)+1,OFFSET(D572,-1,0)))</f>
        <v/>
      </c>
      <c r="E572" s="200">
        <f>IF(H572="Subetapa",0,IF(H572="serviço",OFFSET(E572,-1,0)+1,OFFSET(E572,-1,0)))</f>
        <v/>
      </c>
      <c r="F572" s="31" t="n"/>
      <c r="J572" s="61" t="n"/>
      <c r="K572" s="62" t="n"/>
      <c r="L572" s="63" t="n"/>
      <c r="M572" s="63" t="n"/>
      <c r="N572" s="68" t="n"/>
      <c r="O572" s="68" t="n"/>
      <c r="P572" s="68" t="n"/>
      <c r="Q572" s="68" t="n"/>
      <c r="R572" s="68" t="n"/>
    </row>
    <row r="573" ht="14.1" customFormat="1" customHeight="1" s="60">
      <c r="A573" s="199">
        <f>IF($H573="UNIDADE CONSTRUTIVA",OFFSET(A573,-1,0)+1,LARGE(A$3:A572,1))</f>
        <v/>
      </c>
      <c r="B573" s="199">
        <f>IF(H573="UNIDADE CONSTRUTIVA",0,IF(H573="CÉLULA CONSTRUTIVA",OFFSET(B573,-1,0)+1,OFFSET(B573,-1,0)))</f>
        <v/>
      </c>
      <c r="C573" s="199">
        <f>IF(H573="CÉLULA CONSTRUTIVA",0,IF(H573="ETAPA",OFFSET(C573,-1,0)+1,OFFSET(C573,-1,0)))</f>
        <v/>
      </c>
      <c r="D573" s="200">
        <f>IF(H573="ETAPA",0,IF(H573="SUBETAPA",OFFSET(D573,-1,0)+1,OFFSET(D573,-1,0)))</f>
        <v/>
      </c>
      <c r="E573" s="200">
        <f>IF(H573="Subetapa",0,IF(H573="serviço",OFFSET(E573,-1,0)+1,OFFSET(E573,-1,0)))</f>
        <v/>
      </c>
      <c r="F573" s="31" t="n"/>
      <c r="J573" s="61" t="n"/>
      <c r="K573" s="62" t="n"/>
      <c r="L573" s="63" t="n"/>
      <c r="M573" s="63" t="n"/>
      <c r="N573" s="68" t="n"/>
      <c r="O573" s="68" t="n"/>
      <c r="P573" s="68" t="n"/>
      <c r="Q573" s="68" t="n"/>
      <c r="R573" s="68" t="n"/>
    </row>
    <row r="574" ht="14.1" customFormat="1" customHeight="1" s="60">
      <c r="A574" s="199">
        <f>IF($H574="UNIDADE CONSTRUTIVA",OFFSET(A574,-1,0)+1,LARGE(A$3:A573,1))</f>
        <v/>
      </c>
      <c r="B574" s="199">
        <f>IF(H574="UNIDADE CONSTRUTIVA",0,IF(H574="CÉLULA CONSTRUTIVA",OFFSET(B574,-1,0)+1,OFFSET(B574,-1,0)))</f>
        <v/>
      </c>
      <c r="C574" s="199">
        <f>IF(H574="CÉLULA CONSTRUTIVA",0,IF(H574="ETAPA",OFFSET(C574,-1,0)+1,OFFSET(C574,-1,0)))</f>
        <v/>
      </c>
      <c r="D574" s="200">
        <f>IF(H574="ETAPA",0,IF(H574="SUBETAPA",OFFSET(D574,-1,0)+1,OFFSET(D574,-1,0)))</f>
        <v/>
      </c>
      <c r="E574" s="200">
        <f>IF(H574="Subetapa",0,IF(H574="serviço",OFFSET(E574,-1,0)+1,OFFSET(E574,-1,0)))</f>
        <v/>
      </c>
      <c r="F574" s="31" t="n"/>
      <c r="J574" s="61" t="n"/>
      <c r="K574" s="62" t="n"/>
      <c r="L574" s="63" t="n"/>
      <c r="M574" s="63" t="n"/>
      <c r="N574" s="68" t="n"/>
      <c r="O574" s="68" t="n"/>
      <c r="P574" s="68" t="n"/>
      <c r="Q574" s="68" t="n"/>
      <c r="R574" s="68" t="n"/>
    </row>
    <row r="575" ht="14.1" customFormat="1" customHeight="1" s="60">
      <c r="A575" s="199">
        <f>IF($H575="UNIDADE CONSTRUTIVA",OFFSET(A575,-1,0)+1,LARGE(A$3:A574,1))</f>
        <v/>
      </c>
      <c r="B575" s="199">
        <f>IF(H575="UNIDADE CONSTRUTIVA",0,IF(H575="CÉLULA CONSTRUTIVA",OFFSET(B575,-1,0)+1,OFFSET(B575,-1,0)))</f>
        <v/>
      </c>
      <c r="C575" s="199">
        <f>IF(H575="CÉLULA CONSTRUTIVA",0,IF(H575="ETAPA",OFFSET(C575,-1,0)+1,OFFSET(C575,-1,0)))</f>
        <v/>
      </c>
      <c r="D575" s="200">
        <f>IF(H575="ETAPA",0,IF(H575="SUBETAPA",OFFSET(D575,-1,0)+1,OFFSET(D575,-1,0)))</f>
        <v/>
      </c>
      <c r="E575" s="200">
        <f>IF(H575="Subetapa",0,IF(H575="serviço",OFFSET(E575,-1,0)+1,OFFSET(E575,-1,0)))</f>
        <v/>
      </c>
      <c r="F575" s="31" t="n"/>
      <c r="J575" s="61" t="n"/>
      <c r="K575" s="62" t="n"/>
      <c r="L575" s="63" t="n"/>
      <c r="M575" s="63" t="n"/>
      <c r="N575" s="68" t="n"/>
      <c r="O575" s="68" t="n"/>
      <c r="P575" s="68" t="n"/>
      <c r="Q575" s="68" t="n"/>
      <c r="R575" s="68" t="n"/>
    </row>
    <row r="576" ht="14.1" customFormat="1" customHeight="1" s="60">
      <c r="A576" s="199">
        <f>IF($H576="UNIDADE CONSTRUTIVA",OFFSET(A576,-1,0)+1,LARGE(A$3:A575,1))</f>
        <v/>
      </c>
      <c r="B576" s="199">
        <f>IF(H576="UNIDADE CONSTRUTIVA",0,IF(H576="CÉLULA CONSTRUTIVA",OFFSET(B576,-1,0)+1,OFFSET(B576,-1,0)))</f>
        <v/>
      </c>
      <c r="C576" s="199">
        <f>IF(H576="CÉLULA CONSTRUTIVA",0,IF(H576="ETAPA",OFFSET(C576,-1,0)+1,OFFSET(C576,-1,0)))</f>
        <v/>
      </c>
      <c r="D576" s="200">
        <f>IF(H576="ETAPA",0,IF(H576="SUBETAPA",OFFSET(D576,-1,0)+1,OFFSET(D576,-1,0)))</f>
        <v/>
      </c>
      <c r="E576" s="200">
        <f>IF(H576="Subetapa",0,IF(H576="serviço",OFFSET(E576,-1,0)+1,OFFSET(E576,-1,0)))</f>
        <v/>
      </c>
      <c r="F576" s="31" t="n"/>
      <c r="J576" s="61" t="n"/>
      <c r="K576" s="62" t="n"/>
      <c r="L576" s="63" t="n"/>
      <c r="M576" s="63" t="n"/>
      <c r="N576" s="68" t="n"/>
      <c r="O576" s="68" t="n"/>
      <c r="P576" s="68" t="n"/>
      <c r="Q576" s="68" t="n"/>
      <c r="R576" s="68" t="n"/>
    </row>
    <row r="577" ht="14.1" customFormat="1" customHeight="1" s="60">
      <c r="A577" s="199">
        <f>IF($H577="UNIDADE CONSTRUTIVA",OFFSET(A577,-1,0)+1,LARGE(A$3:A576,1))</f>
        <v/>
      </c>
      <c r="B577" s="199">
        <f>IF(H577="UNIDADE CONSTRUTIVA",0,IF(H577="CÉLULA CONSTRUTIVA",OFFSET(B577,-1,0)+1,OFFSET(B577,-1,0)))</f>
        <v/>
      </c>
      <c r="C577" s="199">
        <f>IF(H577="CÉLULA CONSTRUTIVA",0,IF(H577="ETAPA",OFFSET(C577,-1,0)+1,OFFSET(C577,-1,0)))</f>
        <v/>
      </c>
      <c r="D577" s="200">
        <f>IF(H577="ETAPA",0,IF(H577="SUBETAPA",OFFSET(D577,-1,0)+1,OFFSET(D577,-1,0)))</f>
        <v/>
      </c>
      <c r="E577" s="200">
        <f>IF(H577="Subetapa",0,IF(H577="serviço",OFFSET(E577,-1,0)+1,OFFSET(E577,-1,0)))</f>
        <v/>
      </c>
      <c r="F577" s="31" t="n"/>
      <c r="J577" s="61" t="n"/>
      <c r="K577" s="62" t="n"/>
      <c r="L577" s="63" t="n"/>
      <c r="M577" s="63" t="n"/>
      <c r="N577" s="68" t="n"/>
      <c r="O577" s="68" t="n"/>
      <c r="P577" s="68" t="n"/>
      <c r="Q577" s="68" t="n"/>
      <c r="R577" s="68" t="n"/>
    </row>
    <row r="578" ht="14.1" customFormat="1" customHeight="1" s="60">
      <c r="A578" s="199">
        <f>IF($H578="UNIDADE CONSTRUTIVA",OFFSET(A578,-1,0)+1,LARGE(A$3:A577,1))</f>
        <v/>
      </c>
      <c r="B578" s="199">
        <f>IF(H578="UNIDADE CONSTRUTIVA",0,IF(H578="CÉLULA CONSTRUTIVA",OFFSET(B578,-1,0)+1,OFFSET(B578,-1,0)))</f>
        <v/>
      </c>
      <c r="C578" s="199">
        <f>IF(H578="CÉLULA CONSTRUTIVA",0,IF(H578="ETAPA",OFFSET(C578,-1,0)+1,OFFSET(C578,-1,0)))</f>
        <v/>
      </c>
      <c r="D578" s="200">
        <f>IF(H578="ETAPA",0,IF(H578="SUBETAPA",OFFSET(D578,-1,0)+1,OFFSET(D578,-1,0)))</f>
        <v/>
      </c>
      <c r="E578" s="200">
        <f>IF(H578="Subetapa",0,IF(H578="serviço",OFFSET(E578,-1,0)+1,OFFSET(E578,-1,0)))</f>
        <v/>
      </c>
      <c r="F578" s="31" t="n"/>
      <c r="J578" s="61" t="n"/>
      <c r="K578" s="62" t="n"/>
      <c r="L578" s="63" t="n"/>
      <c r="M578" s="63" t="n"/>
      <c r="N578" s="68" t="n"/>
      <c r="O578" s="68" t="n"/>
      <c r="P578" s="68" t="n"/>
      <c r="Q578" s="68" t="n"/>
      <c r="R578" s="68" t="n"/>
    </row>
    <row r="579" ht="14.1" customFormat="1" customHeight="1" s="60">
      <c r="A579" s="199">
        <f>IF($H579="UNIDADE CONSTRUTIVA",OFFSET(A579,-1,0)+1,LARGE(A$3:A578,1))</f>
        <v/>
      </c>
      <c r="B579" s="199">
        <f>IF(H579="UNIDADE CONSTRUTIVA",0,IF(H579="CÉLULA CONSTRUTIVA",OFFSET(B579,-1,0)+1,OFFSET(B579,-1,0)))</f>
        <v/>
      </c>
      <c r="C579" s="199">
        <f>IF(H579="CÉLULA CONSTRUTIVA",0,IF(H579="ETAPA",OFFSET(C579,-1,0)+1,OFFSET(C579,-1,0)))</f>
        <v/>
      </c>
      <c r="D579" s="200">
        <f>IF(H579="ETAPA",0,IF(H579="SUBETAPA",OFFSET(D579,-1,0)+1,OFFSET(D579,-1,0)))</f>
        <v/>
      </c>
      <c r="E579" s="200">
        <f>IF(H579="Subetapa",0,IF(H579="serviço",OFFSET(E579,-1,0)+1,OFFSET(E579,-1,0)))</f>
        <v/>
      </c>
      <c r="F579" s="31" t="n"/>
      <c r="J579" s="61" t="n"/>
      <c r="K579" s="62" t="n"/>
      <c r="L579" s="63" t="n"/>
      <c r="M579" s="63" t="n"/>
      <c r="N579" s="68" t="n"/>
      <c r="O579" s="68" t="n"/>
      <c r="P579" s="68" t="n"/>
      <c r="Q579" s="68" t="n"/>
      <c r="R579" s="68" t="n"/>
    </row>
    <row r="580" ht="14.1" customFormat="1" customHeight="1" s="60">
      <c r="A580" s="199">
        <f>IF($H580="UNIDADE CONSTRUTIVA",OFFSET(A580,-1,0)+1,LARGE(A$3:A579,1))</f>
        <v/>
      </c>
      <c r="B580" s="199">
        <f>IF(H580="UNIDADE CONSTRUTIVA",0,IF(H580="CÉLULA CONSTRUTIVA",OFFSET(B580,-1,0)+1,OFFSET(B580,-1,0)))</f>
        <v/>
      </c>
      <c r="C580" s="199">
        <f>IF(H580="CÉLULA CONSTRUTIVA",0,IF(H580="ETAPA",OFFSET(C580,-1,0)+1,OFFSET(C580,-1,0)))</f>
        <v/>
      </c>
      <c r="D580" s="200">
        <f>IF(H580="ETAPA",0,IF(H580="SUBETAPA",OFFSET(D580,-1,0)+1,OFFSET(D580,-1,0)))</f>
        <v/>
      </c>
      <c r="E580" s="200">
        <f>IF(H580="Subetapa",0,IF(H580="serviço",OFFSET(E580,-1,0)+1,OFFSET(E580,-1,0)))</f>
        <v/>
      </c>
      <c r="F580" s="31" t="n"/>
      <c r="J580" s="61" t="n"/>
      <c r="K580" s="62" t="n"/>
      <c r="L580" s="63" t="n"/>
      <c r="M580" s="63" t="n"/>
      <c r="N580" s="68" t="n"/>
      <c r="O580" s="68" t="n"/>
      <c r="P580" s="68" t="n"/>
      <c r="Q580" s="68" t="n"/>
      <c r="R580" s="68" t="n"/>
    </row>
    <row r="581" ht="14.1" customFormat="1" customHeight="1" s="60">
      <c r="A581" s="199">
        <f>IF($H581="UNIDADE CONSTRUTIVA",OFFSET(A581,-1,0)+1,LARGE(A$3:A580,1))</f>
        <v/>
      </c>
      <c r="B581" s="199">
        <f>IF(H581="UNIDADE CONSTRUTIVA",0,IF(H581="CÉLULA CONSTRUTIVA",OFFSET(B581,-1,0)+1,OFFSET(B581,-1,0)))</f>
        <v/>
      </c>
      <c r="C581" s="199">
        <f>IF(H581="CÉLULA CONSTRUTIVA",0,IF(H581="ETAPA",OFFSET(C581,-1,0)+1,OFFSET(C581,-1,0)))</f>
        <v/>
      </c>
      <c r="D581" s="200">
        <f>IF(H581="ETAPA",0,IF(H581="SUBETAPA",OFFSET(D581,-1,0)+1,OFFSET(D581,-1,0)))</f>
        <v/>
      </c>
      <c r="E581" s="200">
        <f>IF(H581="Subetapa",0,IF(H581="serviço",OFFSET(E581,-1,0)+1,OFFSET(E581,-1,0)))</f>
        <v/>
      </c>
      <c r="F581" s="31" t="n"/>
      <c r="J581" s="61" t="n"/>
      <c r="K581" s="62" t="n"/>
      <c r="L581" s="63" t="n"/>
      <c r="M581" s="63" t="n"/>
      <c r="N581" s="68" t="n"/>
      <c r="O581" s="68" t="n"/>
      <c r="P581" s="68" t="n"/>
      <c r="Q581" s="68" t="n"/>
      <c r="R581" s="68" t="n"/>
    </row>
    <row r="582" ht="14.1" customFormat="1" customHeight="1" s="60">
      <c r="A582" s="199">
        <f>IF($H582="UNIDADE CONSTRUTIVA",OFFSET(A582,-1,0)+1,LARGE(A$3:A581,1))</f>
        <v/>
      </c>
      <c r="B582" s="199">
        <f>IF(H582="UNIDADE CONSTRUTIVA",0,IF(H582="CÉLULA CONSTRUTIVA",OFFSET(B582,-1,0)+1,OFFSET(B582,-1,0)))</f>
        <v/>
      </c>
      <c r="C582" s="199">
        <f>IF(H582="CÉLULA CONSTRUTIVA",0,IF(H582="ETAPA",OFFSET(C582,-1,0)+1,OFFSET(C582,-1,0)))</f>
        <v/>
      </c>
      <c r="D582" s="200">
        <f>IF(H582="ETAPA",0,IF(H582="SUBETAPA",OFFSET(D582,-1,0)+1,OFFSET(D582,-1,0)))</f>
        <v/>
      </c>
      <c r="E582" s="200">
        <f>IF(H582="Subetapa",0,IF(H582="serviço",OFFSET(E582,-1,0)+1,OFFSET(E582,-1,0)))</f>
        <v/>
      </c>
      <c r="F582" s="31" t="n"/>
      <c r="J582" s="61" t="n"/>
      <c r="K582" s="62" t="n"/>
      <c r="L582" s="63" t="n"/>
      <c r="M582" s="63" t="n"/>
      <c r="N582" s="68" t="n"/>
      <c r="O582" s="68" t="n"/>
      <c r="P582" s="68" t="n"/>
      <c r="Q582" s="68" t="n"/>
      <c r="R582" s="68" t="n"/>
    </row>
    <row r="583" ht="14.1" customFormat="1" customHeight="1" s="60">
      <c r="A583" s="199">
        <f>IF($H583="UNIDADE CONSTRUTIVA",OFFSET(A583,-1,0)+1,LARGE(A$3:A582,1))</f>
        <v/>
      </c>
      <c r="B583" s="199">
        <f>IF(H583="UNIDADE CONSTRUTIVA",0,IF(H583="CÉLULA CONSTRUTIVA",OFFSET(B583,-1,0)+1,OFFSET(B583,-1,0)))</f>
        <v/>
      </c>
      <c r="C583" s="199">
        <f>IF(H583="CÉLULA CONSTRUTIVA",0,IF(H583="ETAPA",OFFSET(C583,-1,0)+1,OFFSET(C583,-1,0)))</f>
        <v/>
      </c>
      <c r="D583" s="200">
        <f>IF(H583="ETAPA",0,IF(H583="SUBETAPA",OFFSET(D583,-1,0)+1,OFFSET(D583,-1,0)))</f>
        <v/>
      </c>
      <c r="E583" s="200">
        <f>IF(H583="Subetapa",0,IF(H583="serviço",OFFSET(E583,-1,0)+1,OFFSET(E583,-1,0)))</f>
        <v/>
      </c>
      <c r="F583" s="31" t="n"/>
      <c r="J583" s="61" t="n"/>
      <c r="K583" s="62" t="n"/>
      <c r="L583" s="63" t="n"/>
      <c r="M583" s="63" t="n"/>
      <c r="N583" s="68" t="n"/>
      <c r="O583" s="68" t="n"/>
      <c r="P583" s="68" t="n"/>
      <c r="Q583" s="68" t="n"/>
      <c r="R583" s="68" t="n"/>
    </row>
    <row r="584" ht="14.1" customFormat="1" customHeight="1" s="60">
      <c r="A584" s="199">
        <f>IF($H584="UNIDADE CONSTRUTIVA",OFFSET(A584,-1,0)+1,LARGE(A$3:A583,1))</f>
        <v/>
      </c>
      <c r="B584" s="199">
        <f>IF(H584="UNIDADE CONSTRUTIVA",0,IF(H584="CÉLULA CONSTRUTIVA",OFFSET(B584,-1,0)+1,OFFSET(B584,-1,0)))</f>
        <v/>
      </c>
      <c r="C584" s="199">
        <f>IF(H584="CÉLULA CONSTRUTIVA",0,IF(H584="ETAPA",OFFSET(C584,-1,0)+1,OFFSET(C584,-1,0)))</f>
        <v/>
      </c>
      <c r="D584" s="200">
        <f>IF(H584="ETAPA",0,IF(H584="SUBETAPA",OFFSET(D584,-1,0)+1,OFFSET(D584,-1,0)))</f>
        <v/>
      </c>
      <c r="E584" s="200">
        <f>IF(H584="Subetapa",0,IF(H584="serviço",OFFSET(E584,-1,0)+1,OFFSET(E584,-1,0)))</f>
        <v/>
      </c>
      <c r="F584" s="31" t="n"/>
      <c r="J584" s="61" t="n"/>
      <c r="K584" s="62" t="n"/>
      <c r="L584" s="63" t="n"/>
      <c r="M584" s="63" t="n"/>
      <c r="N584" s="68" t="n"/>
      <c r="O584" s="68" t="n"/>
      <c r="P584" s="68" t="n"/>
      <c r="Q584" s="68" t="n"/>
      <c r="R584" s="68" t="n"/>
    </row>
    <row r="585" ht="14.1" customFormat="1" customHeight="1" s="60">
      <c r="A585" s="199">
        <f>IF($H585="UNIDADE CONSTRUTIVA",OFFSET(A585,-1,0)+1,LARGE(A$3:A584,1))</f>
        <v/>
      </c>
      <c r="B585" s="199">
        <f>IF(H585="UNIDADE CONSTRUTIVA",0,IF(H585="CÉLULA CONSTRUTIVA",OFFSET(B585,-1,0)+1,OFFSET(B585,-1,0)))</f>
        <v/>
      </c>
      <c r="C585" s="199">
        <f>IF(H585="CÉLULA CONSTRUTIVA",0,IF(H585="ETAPA",OFFSET(C585,-1,0)+1,OFFSET(C585,-1,0)))</f>
        <v/>
      </c>
      <c r="D585" s="200">
        <f>IF(H585="ETAPA",0,IF(H585="SUBETAPA",OFFSET(D585,-1,0)+1,OFFSET(D585,-1,0)))</f>
        <v/>
      </c>
      <c r="E585" s="200">
        <f>IF(H585="Subetapa",0,IF(H585="serviço",OFFSET(E585,-1,0)+1,OFFSET(E585,-1,0)))</f>
        <v/>
      </c>
      <c r="F585" s="31" t="n"/>
      <c r="J585" s="61" t="n"/>
      <c r="K585" s="62" t="n"/>
      <c r="L585" s="63" t="n"/>
      <c r="M585" s="63" t="n"/>
      <c r="N585" s="68" t="n"/>
      <c r="O585" s="68" t="n"/>
      <c r="P585" s="68" t="n"/>
      <c r="Q585" s="68" t="n"/>
      <c r="R585" s="68" t="n"/>
    </row>
    <row r="586" ht="14.1" customFormat="1" customHeight="1" s="60">
      <c r="A586" s="199">
        <f>IF($H586="UNIDADE CONSTRUTIVA",OFFSET(A586,-1,0)+1,LARGE(A$3:A585,1))</f>
        <v/>
      </c>
      <c r="B586" s="199">
        <f>IF(H586="UNIDADE CONSTRUTIVA",0,IF(H586="CÉLULA CONSTRUTIVA",OFFSET(B586,-1,0)+1,OFFSET(B586,-1,0)))</f>
        <v/>
      </c>
      <c r="C586" s="199">
        <f>IF(H586="CÉLULA CONSTRUTIVA",0,IF(H586="ETAPA",OFFSET(C586,-1,0)+1,OFFSET(C586,-1,0)))</f>
        <v/>
      </c>
      <c r="D586" s="200">
        <f>IF(H586="ETAPA",0,IF(H586="SUBETAPA",OFFSET(D586,-1,0)+1,OFFSET(D586,-1,0)))</f>
        <v/>
      </c>
      <c r="E586" s="200">
        <f>IF(H586="Subetapa",0,IF(H586="serviço",OFFSET(E586,-1,0)+1,OFFSET(E586,-1,0)))</f>
        <v/>
      </c>
      <c r="F586" s="31" t="n"/>
      <c r="J586" s="61" t="n"/>
      <c r="K586" s="62" t="n"/>
      <c r="L586" s="63" t="n"/>
      <c r="M586" s="63" t="n"/>
      <c r="N586" s="68" t="n"/>
      <c r="O586" s="68" t="n"/>
      <c r="P586" s="68" t="n"/>
      <c r="Q586" s="68" t="n"/>
      <c r="R586" s="68" t="n"/>
    </row>
    <row r="587" ht="14.1" customFormat="1" customHeight="1" s="60">
      <c r="A587" s="199">
        <f>IF($H587="UNIDADE CONSTRUTIVA",OFFSET(A587,-1,0)+1,LARGE(A$3:A586,1))</f>
        <v/>
      </c>
      <c r="B587" s="199">
        <f>IF(H587="UNIDADE CONSTRUTIVA",0,IF(H587="CÉLULA CONSTRUTIVA",OFFSET(B587,-1,0)+1,OFFSET(B587,-1,0)))</f>
        <v/>
      </c>
      <c r="C587" s="199">
        <f>IF(H587="CÉLULA CONSTRUTIVA",0,IF(H587="ETAPA",OFFSET(C587,-1,0)+1,OFFSET(C587,-1,0)))</f>
        <v/>
      </c>
      <c r="D587" s="200">
        <f>IF(H587="ETAPA",0,IF(H587="SUBETAPA",OFFSET(D587,-1,0)+1,OFFSET(D587,-1,0)))</f>
        <v/>
      </c>
      <c r="E587" s="200">
        <f>IF(H587="Subetapa",0,IF(H587="serviço",OFFSET(E587,-1,0)+1,OFFSET(E587,-1,0)))</f>
        <v/>
      </c>
      <c r="F587" s="31" t="n"/>
      <c r="J587" s="61" t="n"/>
      <c r="K587" s="62" t="n"/>
      <c r="L587" s="63" t="n"/>
      <c r="M587" s="63" t="n"/>
      <c r="N587" s="68" t="n"/>
      <c r="O587" s="68" t="n"/>
      <c r="P587" s="68" t="n"/>
      <c r="Q587" s="68" t="n"/>
      <c r="R587" s="68" t="n"/>
    </row>
    <row r="588" ht="14.1" customFormat="1" customHeight="1" s="60">
      <c r="A588" s="199">
        <f>IF($H588="UNIDADE CONSTRUTIVA",OFFSET(A588,-1,0)+1,LARGE(A$3:A587,1))</f>
        <v/>
      </c>
      <c r="B588" s="199">
        <f>IF(H588="UNIDADE CONSTRUTIVA",0,IF(H588="CÉLULA CONSTRUTIVA",OFFSET(B588,-1,0)+1,OFFSET(B588,-1,0)))</f>
        <v/>
      </c>
      <c r="C588" s="199">
        <f>IF(H588="CÉLULA CONSTRUTIVA",0,IF(H588="ETAPA",OFFSET(C588,-1,0)+1,OFFSET(C588,-1,0)))</f>
        <v/>
      </c>
      <c r="D588" s="200">
        <f>IF(H588="ETAPA",0,IF(H588="SUBETAPA",OFFSET(D588,-1,0)+1,OFFSET(D588,-1,0)))</f>
        <v/>
      </c>
      <c r="E588" s="200">
        <f>IF(H588="Subetapa",0,IF(H588="serviço",OFFSET(E588,-1,0)+1,OFFSET(E588,-1,0)))</f>
        <v/>
      </c>
      <c r="F588" s="31" t="n"/>
      <c r="J588" s="61" t="n"/>
      <c r="K588" s="62" t="n"/>
      <c r="L588" s="63" t="n"/>
      <c r="M588" s="63" t="n"/>
      <c r="N588" s="68" t="n"/>
      <c r="O588" s="68" t="n"/>
      <c r="P588" s="68" t="n"/>
      <c r="Q588" s="68" t="n"/>
      <c r="R588" s="68" t="n"/>
    </row>
    <row r="589" ht="14.1" customFormat="1" customHeight="1" s="60">
      <c r="A589" s="199">
        <f>IF($H589="UNIDADE CONSTRUTIVA",OFFSET(A589,-1,0)+1,LARGE(A$3:A588,1))</f>
        <v/>
      </c>
      <c r="B589" s="199">
        <f>IF(H589="UNIDADE CONSTRUTIVA",0,IF(H589="CÉLULA CONSTRUTIVA",OFFSET(B589,-1,0)+1,OFFSET(B589,-1,0)))</f>
        <v/>
      </c>
      <c r="C589" s="199">
        <f>IF(H589="CÉLULA CONSTRUTIVA",0,IF(H589="ETAPA",OFFSET(C589,-1,0)+1,OFFSET(C589,-1,0)))</f>
        <v/>
      </c>
      <c r="D589" s="200">
        <f>IF(H589="ETAPA",0,IF(H589="SUBETAPA",OFFSET(D589,-1,0)+1,OFFSET(D589,-1,0)))</f>
        <v/>
      </c>
      <c r="E589" s="200">
        <f>IF(H589="Subetapa",0,IF(H589="serviço",OFFSET(E589,-1,0)+1,OFFSET(E589,-1,0)))</f>
        <v/>
      </c>
      <c r="F589" s="31" t="n"/>
      <c r="J589" s="61" t="n"/>
      <c r="K589" s="62" t="n"/>
      <c r="L589" s="63" t="n"/>
      <c r="M589" s="63" t="n"/>
      <c r="N589" s="68" t="n"/>
      <c r="O589" s="68" t="n"/>
      <c r="P589" s="68" t="n"/>
      <c r="Q589" s="68" t="n"/>
      <c r="R589" s="68" t="n"/>
    </row>
    <row r="590" ht="14.1" customFormat="1" customHeight="1" s="60">
      <c r="A590" s="199">
        <f>IF($H590="UNIDADE CONSTRUTIVA",OFFSET(A590,-1,0)+1,LARGE(A$3:A589,1))</f>
        <v/>
      </c>
      <c r="B590" s="199">
        <f>IF(H590="UNIDADE CONSTRUTIVA",0,IF(H590="CÉLULA CONSTRUTIVA",OFFSET(B590,-1,0)+1,OFFSET(B590,-1,0)))</f>
        <v/>
      </c>
      <c r="C590" s="199">
        <f>IF(H590="CÉLULA CONSTRUTIVA",0,IF(H590="ETAPA",OFFSET(C590,-1,0)+1,OFFSET(C590,-1,0)))</f>
        <v/>
      </c>
      <c r="D590" s="200">
        <f>IF(H590="ETAPA",0,IF(H590="SUBETAPA",OFFSET(D590,-1,0)+1,OFFSET(D590,-1,0)))</f>
        <v/>
      </c>
      <c r="E590" s="200">
        <f>IF(H590="Subetapa",0,IF(H590="serviço",OFFSET(E590,-1,0)+1,OFFSET(E590,-1,0)))</f>
        <v/>
      </c>
      <c r="F590" s="31" t="n"/>
      <c r="J590" s="61" t="n"/>
      <c r="K590" s="62" t="n"/>
      <c r="L590" s="63" t="n"/>
      <c r="M590" s="63" t="n"/>
      <c r="N590" s="68" t="n"/>
      <c r="O590" s="68" t="n"/>
      <c r="P590" s="68" t="n"/>
      <c r="Q590" s="68" t="n"/>
      <c r="R590" s="68" t="n"/>
    </row>
    <row r="591" ht="14.1" customFormat="1" customHeight="1" s="60">
      <c r="A591" s="199">
        <f>IF($H591="UNIDADE CONSTRUTIVA",OFFSET(A591,-1,0)+1,LARGE(A$3:A590,1))</f>
        <v/>
      </c>
      <c r="B591" s="199">
        <f>IF(H591="UNIDADE CONSTRUTIVA",0,IF(H591="CÉLULA CONSTRUTIVA",OFFSET(B591,-1,0)+1,OFFSET(B591,-1,0)))</f>
        <v/>
      </c>
      <c r="C591" s="199">
        <f>IF(H591="CÉLULA CONSTRUTIVA",0,IF(H591="ETAPA",OFFSET(C591,-1,0)+1,OFFSET(C591,-1,0)))</f>
        <v/>
      </c>
      <c r="D591" s="200">
        <f>IF(H591="ETAPA",0,IF(H591="SUBETAPA",OFFSET(D591,-1,0)+1,OFFSET(D591,-1,0)))</f>
        <v/>
      </c>
      <c r="E591" s="200">
        <f>IF(H591="Subetapa",0,IF(H591="serviço",OFFSET(E591,-1,0)+1,OFFSET(E591,-1,0)))</f>
        <v/>
      </c>
      <c r="F591" s="31" t="n"/>
      <c r="J591" s="61" t="n"/>
      <c r="K591" s="62" t="n"/>
      <c r="L591" s="63" t="n"/>
      <c r="M591" s="63" t="n"/>
      <c r="N591" s="68" t="n"/>
      <c r="O591" s="68" t="n"/>
      <c r="P591" s="68" t="n"/>
      <c r="Q591" s="68" t="n"/>
      <c r="R591" s="68" t="n"/>
    </row>
    <row r="592" ht="14.1" customFormat="1" customHeight="1" s="60">
      <c r="A592" s="199">
        <f>IF($H592="UNIDADE CONSTRUTIVA",OFFSET(A592,-1,0)+1,LARGE(A$3:A591,1))</f>
        <v/>
      </c>
      <c r="B592" s="199">
        <f>IF(H592="UNIDADE CONSTRUTIVA",0,IF(H592="CÉLULA CONSTRUTIVA",OFFSET(B592,-1,0)+1,OFFSET(B592,-1,0)))</f>
        <v/>
      </c>
      <c r="C592" s="199">
        <f>IF(H592="CÉLULA CONSTRUTIVA",0,IF(H592="ETAPA",OFFSET(C592,-1,0)+1,OFFSET(C592,-1,0)))</f>
        <v/>
      </c>
      <c r="D592" s="200">
        <f>IF(H592="ETAPA",0,IF(H592="SUBETAPA",OFFSET(D592,-1,0)+1,OFFSET(D592,-1,0)))</f>
        <v/>
      </c>
      <c r="E592" s="200">
        <f>IF(H592="Subetapa",0,IF(H592="serviço",OFFSET(E592,-1,0)+1,OFFSET(E592,-1,0)))</f>
        <v/>
      </c>
      <c r="F592" s="31" t="n"/>
      <c r="J592" s="61" t="n"/>
      <c r="K592" s="62" t="n"/>
      <c r="L592" s="63" t="n"/>
      <c r="M592" s="63" t="n"/>
      <c r="N592" s="68" t="n"/>
      <c r="O592" s="68" t="n"/>
      <c r="P592" s="68" t="n"/>
      <c r="Q592" s="68" t="n"/>
      <c r="R592" s="68" t="n"/>
    </row>
    <row r="593" ht="14.1" customFormat="1" customHeight="1" s="60">
      <c r="A593" s="199">
        <f>IF($H593="UNIDADE CONSTRUTIVA",OFFSET(A593,-1,0)+1,LARGE(A$3:A592,1))</f>
        <v/>
      </c>
      <c r="B593" s="199">
        <f>IF(H593="UNIDADE CONSTRUTIVA",0,IF(H593="CÉLULA CONSTRUTIVA",OFFSET(B593,-1,0)+1,OFFSET(B593,-1,0)))</f>
        <v/>
      </c>
      <c r="C593" s="199">
        <f>IF(H593="CÉLULA CONSTRUTIVA",0,IF(H593="ETAPA",OFFSET(C593,-1,0)+1,OFFSET(C593,-1,0)))</f>
        <v/>
      </c>
      <c r="D593" s="200">
        <f>IF(H593="ETAPA",0,IF(H593="SUBETAPA",OFFSET(D593,-1,0)+1,OFFSET(D593,-1,0)))</f>
        <v/>
      </c>
      <c r="E593" s="200">
        <f>IF(H593="Subetapa",0,IF(H593="serviço",OFFSET(E593,-1,0)+1,OFFSET(E593,-1,0)))</f>
        <v/>
      </c>
      <c r="F593" s="31" t="n"/>
      <c r="J593" s="61" t="n"/>
      <c r="K593" s="62" t="n"/>
      <c r="L593" s="63" t="n"/>
      <c r="M593" s="63" t="n"/>
      <c r="N593" s="68" t="n"/>
      <c r="O593" s="68" t="n"/>
      <c r="P593" s="68" t="n"/>
      <c r="Q593" s="68" t="n"/>
      <c r="R593" s="68" t="n"/>
    </row>
    <row r="594" ht="14.1" customFormat="1" customHeight="1" s="60">
      <c r="A594" s="199">
        <f>IF($H594="UNIDADE CONSTRUTIVA",OFFSET(A594,-1,0)+1,LARGE(A$3:A593,1))</f>
        <v/>
      </c>
      <c r="B594" s="199">
        <f>IF(H594="UNIDADE CONSTRUTIVA",0,IF(H594="CÉLULA CONSTRUTIVA",OFFSET(B594,-1,0)+1,OFFSET(B594,-1,0)))</f>
        <v/>
      </c>
      <c r="C594" s="199">
        <f>IF(H594="CÉLULA CONSTRUTIVA",0,IF(H594="ETAPA",OFFSET(C594,-1,0)+1,OFFSET(C594,-1,0)))</f>
        <v/>
      </c>
      <c r="D594" s="200">
        <f>IF(H594="ETAPA",0,IF(H594="SUBETAPA",OFFSET(D594,-1,0)+1,OFFSET(D594,-1,0)))</f>
        <v/>
      </c>
      <c r="E594" s="200">
        <f>IF(H594="Subetapa",0,IF(H594="serviço",OFFSET(E594,-1,0)+1,OFFSET(E594,-1,0)))</f>
        <v/>
      </c>
      <c r="F594" s="31" t="n"/>
      <c r="J594" s="61" t="n"/>
      <c r="K594" s="62" t="n"/>
      <c r="L594" s="63" t="n"/>
      <c r="M594" s="63" t="n"/>
      <c r="N594" s="68" t="n"/>
      <c r="O594" s="68" t="n"/>
      <c r="P594" s="68" t="n"/>
      <c r="Q594" s="68" t="n"/>
      <c r="R594" s="68" t="n"/>
    </row>
    <row r="595" ht="14.1" customFormat="1" customHeight="1" s="60">
      <c r="A595" s="199">
        <f>IF($H595="UNIDADE CONSTRUTIVA",OFFSET(A595,-1,0)+1,LARGE(A$3:A594,1))</f>
        <v/>
      </c>
      <c r="B595" s="199">
        <f>IF(H595="UNIDADE CONSTRUTIVA",0,IF(H595="CÉLULA CONSTRUTIVA",OFFSET(B595,-1,0)+1,OFFSET(B595,-1,0)))</f>
        <v/>
      </c>
      <c r="C595" s="199">
        <f>IF(H595="CÉLULA CONSTRUTIVA",0,IF(H595="ETAPA",OFFSET(C595,-1,0)+1,OFFSET(C595,-1,0)))</f>
        <v/>
      </c>
      <c r="D595" s="200">
        <f>IF(H595="ETAPA",0,IF(H595="SUBETAPA",OFFSET(D595,-1,0)+1,OFFSET(D595,-1,0)))</f>
        <v/>
      </c>
      <c r="E595" s="200">
        <f>IF(H595="Subetapa",0,IF(H595="serviço",OFFSET(E595,-1,0)+1,OFFSET(E595,-1,0)))</f>
        <v/>
      </c>
      <c r="F595" s="31" t="n"/>
      <c r="J595" s="61" t="n"/>
      <c r="K595" s="62" t="n"/>
      <c r="L595" s="63" t="n"/>
      <c r="M595" s="63" t="n"/>
      <c r="N595" s="68" t="n"/>
      <c r="O595" s="68" t="n"/>
      <c r="P595" s="68" t="n"/>
      <c r="Q595" s="68" t="n"/>
      <c r="R595" s="68" t="n"/>
    </row>
    <row r="596" ht="14.1" customFormat="1" customHeight="1" s="60">
      <c r="A596" s="199">
        <f>IF($H596="UNIDADE CONSTRUTIVA",OFFSET(A596,-1,0)+1,LARGE(A$3:A595,1))</f>
        <v/>
      </c>
      <c r="B596" s="199">
        <f>IF(H596="UNIDADE CONSTRUTIVA",0,IF(H596="CÉLULA CONSTRUTIVA",OFFSET(B596,-1,0)+1,OFFSET(B596,-1,0)))</f>
        <v/>
      </c>
      <c r="C596" s="199">
        <f>IF(H596="CÉLULA CONSTRUTIVA",0,IF(H596="ETAPA",OFFSET(C596,-1,0)+1,OFFSET(C596,-1,0)))</f>
        <v/>
      </c>
      <c r="D596" s="200">
        <f>IF(H596="ETAPA",0,IF(H596="SUBETAPA",OFFSET(D596,-1,0)+1,OFFSET(D596,-1,0)))</f>
        <v/>
      </c>
      <c r="E596" s="200">
        <f>IF(H596="Subetapa",0,IF(H596="serviço",OFFSET(E596,-1,0)+1,OFFSET(E596,-1,0)))</f>
        <v/>
      </c>
      <c r="F596" s="31" t="n"/>
      <c r="J596" s="61" t="n"/>
      <c r="K596" s="62" t="n"/>
      <c r="L596" s="63" t="n"/>
      <c r="M596" s="63" t="n"/>
      <c r="N596" s="68" t="n"/>
      <c r="O596" s="68" t="n"/>
      <c r="P596" s="68" t="n"/>
      <c r="Q596" s="68" t="n"/>
      <c r="R596" s="68" t="n"/>
    </row>
    <row r="597" ht="14.1" customFormat="1" customHeight="1" s="60">
      <c r="A597" s="199">
        <f>IF($H597="UNIDADE CONSTRUTIVA",OFFSET(A597,-1,0)+1,LARGE(A$3:A596,1))</f>
        <v/>
      </c>
      <c r="B597" s="199">
        <f>IF(H597="UNIDADE CONSTRUTIVA",0,IF(H597="CÉLULA CONSTRUTIVA",OFFSET(B597,-1,0)+1,OFFSET(B597,-1,0)))</f>
        <v/>
      </c>
      <c r="C597" s="199">
        <f>IF(H597="CÉLULA CONSTRUTIVA",0,IF(H597="ETAPA",OFFSET(C597,-1,0)+1,OFFSET(C597,-1,0)))</f>
        <v/>
      </c>
      <c r="D597" s="200">
        <f>IF(H597="ETAPA",0,IF(H597="SUBETAPA",OFFSET(D597,-1,0)+1,OFFSET(D597,-1,0)))</f>
        <v/>
      </c>
      <c r="E597" s="200">
        <f>IF(H597="Subetapa",0,IF(H597="serviço",OFFSET(E597,-1,0)+1,OFFSET(E597,-1,0)))</f>
        <v/>
      </c>
      <c r="F597" s="31" t="n"/>
      <c r="J597" s="61" t="n"/>
      <c r="K597" s="62" t="n"/>
      <c r="L597" s="63" t="n"/>
      <c r="M597" s="63" t="n"/>
      <c r="N597" s="68" t="n"/>
      <c r="O597" s="68" t="n"/>
      <c r="P597" s="68" t="n"/>
      <c r="Q597" s="68" t="n"/>
      <c r="R597" s="68" t="n"/>
    </row>
    <row r="598" ht="14.1" customFormat="1" customHeight="1" s="60">
      <c r="A598" s="199">
        <f>IF($H598="UNIDADE CONSTRUTIVA",OFFSET(A598,-1,0)+1,LARGE(A$3:A597,1))</f>
        <v/>
      </c>
      <c r="B598" s="199">
        <f>IF(H598="UNIDADE CONSTRUTIVA",0,IF(H598="CÉLULA CONSTRUTIVA",OFFSET(B598,-1,0)+1,OFFSET(B598,-1,0)))</f>
        <v/>
      </c>
      <c r="C598" s="199">
        <f>IF(H598="CÉLULA CONSTRUTIVA",0,IF(H598="ETAPA",OFFSET(C598,-1,0)+1,OFFSET(C598,-1,0)))</f>
        <v/>
      </c>
      <c r="D598" s="200">
        <f>IF(H598="ETAPA",0,IF(H598="SUBETAPA",OFFSET(D598,-1,0)+1,OFFSET(D598,-1,0)))</f>
        <v/>
      </c>
      <c r="E598" s="200">
        <f>IF(H598="Subetapa",0,IF(H598="serviço",OFFSET(E598,-1,0)+1,OFFSET(E598,-1,0)))</f>
        <v/>
      </c>
      <c r="F598" s="31" t="n"/>
      <c r="J598" s="61" t="n"/>
      <c r="K598" s="62" t="n"/>
      <c r="L598" s="63" t="n"/>
      <c r="M598" s="63" t="n"/>
      <c r="N598" s="68" t="n"/>
      <c r="O598" s="68" t="n"/>
      <c r="P598" s="68" t="n"/>
      <c r="Q598" s="68" t="n"/>
      <c r="R598" s="68" t="n"/>
    </row>
    <row r="599" ht="14.1" customFormat="1" customHeight="1" s="60">
      <c r="A599" s="199">
        <f>IF($H599="UNIDADE CONSTRUTIVA",OFFSET(A599,-1,0)+1,LARGE(A$3:A598,1))</f>
        <v/>
      </c>
      <c r="B599" s="199">
        <f>IF(H599="UNIDADE CONSTRUTIVA",0,IF(H599="CÉLULA CONSTRUTIVA",OFFSET(B599,-1,0)+1,OFFSET(B599,-1,0)))</f>
        <v/>
      </c>
      <c r="C599" s="199">
        <f>IF(H599="CÉLULA CONSTRUTIVA",0,IF(H599="ETAPA",OFFSET(C599,-1,0)+1,OFFSET(C599,-1,0)))</f>
        <v/>
      </c>
      <c r="D599" s="200">
        <f>IF(H599="ETAPA",0,IF(H599="SUBETAPA",OFFSET(D599,-1,0)+1,OFFSET(D599,-1,0)))</f>
        <v/>
      </c>
      <c r="E599" s="200">
        <f>IF(H599="Subetapa",0,IF(H599="serviço",OFFSET(E599,-1,0)+1,OFFSET(E599,-1,0)))</f>
        <v/>
      </c>
      <c r="F599" s="31" t="n"/>
      <c r="J599" s="61" t="n"/>
      <c r="K599" s="62" t="n"/>
      <c r="L599" s="63" t="n"/>
      <c r="M599" s="63" t="n"/>
      <c r="N599" s="68" t="n"/>
      <c r="O599" s="68" t="n"/>
      <c r="P599" s="68" t="n"/>
      <c r="Q599" s="68" t="n"/>
      <c r="R599" s="68" t="n"/>
    </row>
    <row r="600" ht="14.1" customFormat="1" customHeight="1" s="60">
      <c r="A600" s="199">
        <f>IF($H600="UNIDADE CONSTRUTIVA",OFFSET(A600,-1,0)+1,LARGE(A$3:A599,1))</f>
        <v/>
      </c>
      <c r="B600" s="199">
        <f>IF(H600="UNIDADE CONSTRUTIVA",0,IF(H600="CÉLULA CONSTRUTIVA",OFFSET(B600,-1,0)+1,OFFSET(B600,-1,0)))</f>
        <v/>
      </c>
      <c r="C600" s="199">
        <f>IF(H600="CÉLULA CONSTRUTIVA",0,IF(H600="ETAPA",OFFSET(C600,-1,0)+1,OFFSET(C600,-1,0)))</f>
        <v/>
      </c>
      <c r="D600" s="200">
        <f>IF(H600="ETAPA",0,IF(H600="SUBETAPA",OFFSET(D600,-1,0)+1,OFFSET(D600,-1,0)))</f>
        <v/>
      </c>
      <c r="E600" s="200">
        <f>IF(H600="Subetapa",0,IF(H600="serviço",OFFSET(E600,-1,0)+1,OFFSET(E600,-1,0)))</f>
        <v/>
      </c>
      <c r="F600" s="31" t="n"/>
      <c r="J600" s="61" t="n"/>
      <c r="K600" s="62" t="n"/>
      <c r="L600" s="63" t="n"/>
      <c r="M600" s="63" t="n"/>
      <c r="N600" s="68" t="n"/>
      <c r="O600" s="68" t="n"/>
      <c r="P600" s="68" t="n"/>
      <c r="Q600" s="68" t="n"/>
      <c r="R600" s="68" t="n"/>
    </row>
    <row r="601" ht="14.1" customFormat="1" customHeight="1" s="60">
      <c r="A601" s="199">
        <f>IF($H601="UNIDADE CONSTRUTIVA",OFFSET(A601,-1,0)+1,LARGE(A$3:A600,1))</f>
        <v/>
      </c>
      <c r="B601" s="199">
        <f>IF(H601="UNIDADE CONSTRUTIVA",0,IF(H601="CÉLULA CONSTRUTIVA",OFFSET(B601,-1,0)+1,OFFSET(B601,-1,0)))</f>
        <v/>
      </c>
      <c r="C601" s="199">
        <f>IF(H601="CÉLULA CONSTRUTIVA",0,IF(H601="ETAPA",OFFSET(C601,-1,0)+1,OFFSET(C601,-1,0)))</f>
        <v/>
      </c>
      <c r="D601" s="200">
        <f>IF(H601="ETAPA",0,IF(H601="SUBETAPA",OFFSET(D601,-1,0)+1,OFFSET(D601,-1,0)))</f>
        <v/>
      </c>
      <c r="E601" s="200">
        <f>IF(H601="Subetapa",0,IF(H601="serviço",OFFSET(E601,-1,0)+1,OFFSET(E601,-1,0)))</f>
        <v/>
      </c>
      <c r="F601" s="31" t="n"/>
      <c r="J601" s="61" t="n"/>
      <c r="K601" s="62" t="n"/>
      <c r="L601" s="63" t="n"/>
      <c r="M601" s="63" t="n"/>
      <c r="N601" s="68" t="n"/>
      <c r="O601" s="68" t="n"/>
      <c r="P601" s="68" t="n"/>
      <c r="Q601" s="68" t="n"/>
      <c r="R601" s="68" t="n"/>
    </row>
    <row r="602" ht="14.1" customFormat="1" customHeight="1" s="60">
      <c r="A602" s="199">
        <f>IF($H602="UNIDADE CONSTRUTIVA",OFFSET(A602,-1,0)+1,LARGE(A$3:A601,1))</f>
        <v/>
      </c>
      <c r="B602" s="199">
        <f>IF(H602="UNIDADE CONSTRUTIVA",0,IF(H602="CÉLULA CONSTRUTIVA",OFFSET(B602,-1,0)+1,OFFSET(B602,-1,0)))</f>
        <v/>
      </c>
      <c r="C602" s="199">
        <f>IF(H602="CÉLULA CONSTRUTIVA",0,IF(H602="ETAPA",OFFSET(C602,-1,0)+1,OFFSET(C602,-1,0)))</f>
        <v/>
      </c>
      <c r="D602" s="200">
        <f>IF(H602="ETAPA",0,IF(H602="SUBETAPA",OFFSET(D602,-1,0)+1,OFFSET(D602,-1,0)))</f>
        <v/>
      </c>
      <c r="E602" s="200">
        <f>IF(H602="Subetapa",0,IF(H602="serviço",OFFSET(E602,-1,0)+1,OFFSET(E602,-1,0)))</f>
        <v/>
      </c>
      <c r="F602" s="31" t="n"/>
      <c r="J602" s="61" t="n"/>
      <c r="K602" s="62" t="n"/>
      <c r="L602" s="63" t="n"/>
      <c r="M602" s="63" t="n"/>
      <c r="N602" s="68" t="n"/>
      <c r="O602" s="68" t="n"/>
      <c r="P602" s="68" t="n"/>
      <c r="Q602" s="68" t="n"/>
      <c r="R602" s="68" t="n"/>
    </row>
    <row r="603" ht="14.1" customFormat="1" customHeight="1" s="60">
      <c r="A603" s="199">
        <f>IF($H603="UNIDADE CONSTRUTIVA",OFFSET(A603,-1,0)+1,LARGE(A$3:A602,1))</f>
        <v/>
      </c>
      <c r="B603" s="199">
        <f>IF(H603="UNIDADE CONSTRUTIVA",0,IF(H603="CÉLULA CONSTRUTIVA",OFFSET(B603,-1,0)+1,OFFSET(B603,-1,0)))</f>
        <v/>
      </c>
      <c r="C603" s="199">
        <f>IF(H603="CÉLULA CONSTRUTIVA",0,IF(H603="ETAPA",OFFSET(C603,-1,0)+1,OFFSET(C603,-1,0)))</f>
        <v/>
      </c>
      <c r="D603" s="200">
        <f>IF(H603="ETAPA",0,IF(H603="SUBETAPA",OFFSET(D603,-1,0)+1,OFFSET(D603,-1,0)))</f>
        <v/>
      </c>
      <c r="E603" s="200">
        <f>IF(H603="Subetapa",0,IF(H603="serviço",OFFSET(E603,-1,0)+1,OFFSET(E603,-1,0)))</f>
        <v/>
      </c>
      <c r="F603" s="31" t="n"/>
      <c r="J603" s="61" t="n"/>
      <c r="K603" s="62" t="n"/>
      <c r="L603" s="63" t="n"/>
      <c r="M603" s="63" t="n"/>
      <c r="N603" s="68" t="n"/>
      <c r="O603" s="68" t="n"/>
      <c r="P603" s="68" t="n"/>
      <c r="Q603" s="68" t="n"/>
      <c r="R603" s="68" t="n"/>
    </row>
    <row r="604" ht="14.1" customFormat="1" customHeight="1" s="60">
      <c r="A604" s="199">
        <f>IF($H604="UNIDADE CONSTRUTIVA",OFFSET(A604,-1,0)+1,LARGE(A$3:A603,1))</f>
        <v/>
      </c>
      <c r="B604" s="199">
        <f>IF(H604="UNIDADE CONSTRUTIVA",0,IF(H604="CÉLULA CONSTRUTIVA",OFFSET(B604,-1,0)+1,OFFSET(B604,-1,0)))</f>
        <v/>
      </c>
      <c r="C604" s="199">
        <f>IF(H604="CÉLULA CONSTRUTIVA",0,IF(H604="ETAPA",OFFSET(C604,-1,0)+1,OFFSET(C604,-1,0)))</f>
        <v/>
      </c>
      <c r="D604" s="200">
        <f>IF(H604="ETAPA",0,IF(H604="SUBETAPA",OFFSET(D604,-1,0)+1,OFFSET(D604,-1,0)))</f>
        <v/>
      </c>
      <c r="E604" s="200">
        <f>IF(H604="Subetapa",0,IF(H604="serviço",OFFSET(E604,-1,0)+1,OFFSET(E604,-1,0)))</f>
        <v/>
      </c>
      <c r="F604" s="31" t="n"/>
      <c r="J604" s="61" t="n"/>
      <c r="K604" s="62" t="n"/>
      <c r="L604" s="63" t="n"/>
      <c r="M604" s="63" t="n"/>
      <c r="N604" s="68" t="n"/>
      <c r="O604" s="68" t="n"/>
      <c r="P604" s="68" t="n"/>
      <c r="Q604" s="68" t="n"/>
      <c r="R604" s="68" t="n"/>
    </row>
    <row r="605" ht="14.1" customFormat="1" customHeight="1" s="60">
      <c r="A605" s="199">
        <f>IF($H605="UNIDADE CONSTRUTIVA",OFFSET(A605,-1,0)+1,LARGE(A$3:A604,1))</f>
        <v/>
      </c>
      <c r="B605" s="199">
        <f>IF(H605="UNIDADE CONSTRUTIVA",0,IF(H605="CÉLULA CONSTRUTIVA",OFFSET(B605,-1,0)+1,OFFSET(B605,-1,0)))</f>
        <v/>
      </c>
      <c r="C605" s="199">
        <f>IF(H605="CÉLULA CONSTRUTIVA",0,IF(H605="ETAPA",OFFSET(C605,-1,0)+1,OFFSET(C605,-1,0)))</f>
        <v/>
      </c>
      <c r="D605" s="200">
        <f>IF(H605="ETAPA",0,IF(H605="SUBETAPA",OFFSET(D605,-1,0)+1,OFFSET(D605,-1,0)))</f>
        <v/>
      </c>
      <c r="E605" s="200">
        <f>IF(H605="Subetapa",0,IF(H605="serviço",OFFSET(E605,-1,0)+1,OFFSET(E605,-1,0)))</f>
        <v/>
      </c>
      <c r="F605" s="31" t="n"/>
      <c r="J605" s="61" t="n"/>
      <c r="K605" s="62" t="n"/>
      <c r="L605" s="63" t="n"/>
      <c r="M605" s="63" t="n"/>
      <c r="N605" s="68" t="n"/>
      <c r="O605" s="68" t="n"/>
      <c r="P605" s="68" t="n"/>
      <c r="Q605" s="68" t="n"/>
      <c r="R605" s="68" t="n"/>
    </row>
    <row r="606" ht="14.1" customFormat="1" customHeight="1" s="60">
      <c r="A606" s="199">
        <f>IF($H606="UNIDADE CONSTRUTIVA",OFFSET(A606,-1,0)+1,LARGE(A$3:A605,1))</f>
        <v/>
      </c>
      <c r="B606" s="199">
        <f>IF(H606="UNIDADE CONSTRUTIVA",0,IF(H606="CÉLULA CONSTRUTIVA",OFFSET(B606,-1,0)+1,OFFSET(B606,-1,0)))</f>
        <v/>
      </c>
      <c r="C606" s="199">
        <f>IF(H606="CÉLULA CONSTRUTIVA",0,IF(H606="ETAPA",OFFSET(C606,-1,0)+1,OFFSET(C606,-1,0)))</f>
        <v/>
      </c>
      <c r="D606" s="200">
        <f>IF(H606="ETAPA",0,IF(H606="SUBETAPA",OFFSET(D606,-1,0)+1,OFFSET(D606,-1,0)))</f>
        <v/>
      </c>
      <c r="E606" s="200">
        <f>IF(H606="Subetapa",0,IF(H606="serviço",OFFSET(E606,-1,0)+1,OFFSET(E606,-1,0)))</f>
        <v/>
      </c>
      <c r="F606" s="31" t="n"/>
      <c r="J606" s="61" t="n"/>
      <c r="K606" s="62" t="n"/>
      <c r="L606" s="63" t="n"/>
      <c r="M606" s="63" t="n"/>
      <c r="N606" s="68" t="n"/>
      <c r="O606" s="68" t="n"/>
      <c r="P606" s="68" t="n"/>
      <c r="Q606" s="68" t="n"/>
      <c r="R606" s="68" t="n"/>
    </row>
    <row r="607" ht="14.1" customFormat="1" customHeight="1" s="60">
      <c r="A607" s="199">
        <f>IF($H607="UNIDADE CONSTRUTIVA",OFFSET(A607,-1,0)+1,LARGE(A$3:A606,1))</f>
        <v/>
      </c>
      <c r="B607" s="199">
        <f>IF(H607="UNIDADE CONSTRUTIVA",0,IF(H607="CÉLULA CONSTRUTIVA",OFFSET(B607,-1,0)+1,OFFSET(B607,-1,0)))</f>
        <v/>
      </c>
      <c r="C607" s="199">
        <f>IF(H607="CÉLULA CONSTRUTIVA",0,IF(H607="ETAPA",OFFSET(C607,-1,0)+1,OFFSET(C607,-1,0)))</f>
        <v/>
      </c>
      <c r="D607" s="200">
        <f>IF(H607="ETAPA",0,IF(H607="SUBETAPA",OFFSET(D607,-1,0)+1,OFFSET(D607,-1,0)))</f>
        <v/>
      </c>
      <c r="E607" s="200">
        <f>IF(H607="Subetapa",0,IF(H607="serviço",OFFSET(E607,-1,0)+1,OFFSET(E607,-1,0)))</f>
        <v/>
      </c>
      <c r="F607" s="31" t="n"/>
      <c r="J607" s="61" t="n"/>
      <c r="K607" s="62" t="n"/>
      <c r="L607" s="63" t="n"/>
      <c r="M607" s="63" t="n"/>
      <c r="N607" s="68" t="n"/>
      <c r="O607" s="68" t="n"/>
      <c r="P607" s="68" t="n"/>
      <c r="Q607" s="68" t="n"/>
      <c r="R607" s="68" t="n"/>
    </row>
    <row r="608" ht="14.1" customFormat="1" customHeight="1" s="60">
      <c r="A608" s="199">
        <f>IF($H608="UNIDADE CONSTRUTIVA",OFFSET(A608,-1,0)+1,LARGE(A$3:A607,1))</f>
        <v/>
      </c>
      <c r="B608" s="199">
        <f>IF(H608="UNIDADE CONSTRUTIVA",0,IF(H608="CÉLULA CONSTRUTIVA",OFFSET(B608,-1,0)+1,OFFSET(B608,-1,0)))</f>
        <v/>
      </c>
      <c r="C608" s="199">
        <f>IF(H608="CÉLULA CONSTRUTIVA",0,IF(H608="ETAPA",OFFSET(C608,-1,0)+1,OFFSET(C608,-1,0)))</f>
        <v/>
      </c>
      <c r="D608" s="200">
        <f>IF(H608="ETAPA",0,IF(H608="SUBETAPA",OFFSET(D608,-1,0)+1,OFFSET(D608,-1,0)))</f>
        <v/>
      </c>
      <c r="E608" s="200">
        <f>IF(H608="Subetapa",0,IF(H608="serviço",OFFSET(E608,-1,0)+1,OFFSET(E608,-1,0)))</f>
        <v/>
      </c>
      <c r="F608" s="31" t="n"/>
      <c r="J608" s="61" t="n"/>
      <c r="K608" s="62" t="n"/>
      <c r="L608" s="63" t="n"/>
      <c r="M608" s="63" t="n"/>
      <c r="N608" s="68" t="n"/>
      <c r="O608" s="68" t="n"/>
      <c r="P608" s="68" t="n"/>
      <c r="Q608" s="68" t="n"/>
      <c r="R608" s="68" t="n"/>
    </row>
    <row r="609" ht="14.1" customFormat="1" customHeight="1" s="60">
      <c r="A609" s="199">
        <f>IF($H609="UNIDADE CONSTRUTIVA",OFFSET(A609,-1,0)+1,LARGE(A$3:A608,1))</f>
        <v/>
      </c>
      <c r="B609" s="199">
        <f>IF(H609="UNIDADE CONSTRUTIVA",0,IF(H609="CÉLULA CONSTRUTIVA",OFFSET(B609,-1,0)+1,OFFSET(B609,-1,0)))</f>
        <v/>
      </c>
      <c r="C609" s="199">
        <f>IF(H609="CÉLULA CONSTRUTIVA",0,IF(H609="ETAPA",OFFSET(C609,-1,0)+1,OFFSET(C609,-1,0)))</f>
        <v/>
      </c>
      <c r="D609" s="200">
        <f>IF(H609="ETAPA",0,IF(H609="SUBETAPA",OFFSET(D609,-1,0)+1,OFFSET(D609,-1,0)))</f>
        <v/>
      </c>
      <c r="E609" s="200">
        <f>IF(H609="Subetapa",0,IF(H609="serviço",OFFSET(E609,-1,0)+1,OFFSET(E609,-1,0)))</f>
        <v/>
      </c>
      <c r="F609" s="31" t="n"/>
      <c r="J609" s="61" t="n"/>
      <c r="K609" s="62" t="n"/>
      <c r="L609" s="63" t="n"/>
      <c r="M609" s="63" t="n"/>
      <c r="N609" s="68" t="n"/>
      <c r="O609" s="68" t="n"/>
      <c r="P609" s="68" t="n"/>
      <c r="Q609" s="68" t="n"/>
      <c r="R609" s="68" t="n"/>
    </row>
    <row r="610" ht="14.1" customFormat="1" customHeight="1" s="60">
      <c r="A610" s="199">
        <f>IF($H610="UNIDADE CONSTRUTIVA",OFFSET(A610,-1,0)+1,LARGE(A$3:A609,1))</f>
        <v/>
      </c>
      <c r="B610" s="199">
        <f>IF(H610="UNIDADE CONSTRUTIVA",0,IF(H610="CÉLULA CONSTRUTIVA",OFFSET(B610,-1,0)+1,OFFSET(B610,-1,0)))</f>
        <v/>
      </c>
      <c r="C610" s="199">
        <f>IF(H610="CÉLULA CONSTRUTIVA",0,IF(H610="ETAPA",OFFSET(C610,-1,0)+1,OFFSET(C610,-1,0)))</f>
        <v/>
      </c>
      <c r="D610" s="200">
        <f>IF(H610="ETAPA",0,IF(H610="SUBETAPA",OFFSET(D610,-1,0)+1,OFFSET(D610,-1,0)))</f>
        <v/>
      </c>
      <c r="E610" s="200">
        <f>IF(H610="Subetapa",0,IF(H610="serviço",OFFSET(E610,-1,0)+1,OFFSET(E610,-1,0)))</f>
        <v/>
      </c>
      <c r="F610" s="31" t="n"/>
      <c r="J610" s="61" t="n"/>
      <c r="K610" s="62" t="n"/>
      <c r="L610" s="63" t="n"/>
      <c r="M610" s="63" t="n"/>
      <c r="N610" s="68" t="n"/>
      <c r="O610" s="68" t="n"/>
      <c r="P610" s="68" t="n"/>
      <c r="Q610" s="68" t="n"/>
      <c r="R610" s="68" t="n"/>
    </row>
    <row r="611" ht="14.1" customFormat="1" customHeight="1" s="60">
      <c r="A611" s="199">
        <f>IF($H611="UNIDADE CONSTRUTIVA",OFFSET(A611,-1,0)+1,LARGE(A$3:A610,1))</f>
        <v/>
      </c>
      <c r="B611" s="199">
        <f>IF(H611="UNIDADE CONSTRUTIVA",0,IF(H611="CÉLULA CONSTRUTIVA",OFFSET(B611,-1,0)+1,OFFSET(B611,-1,0)))</f>
        <v/>
      </c>
      <c r="C611" s="199">
        <f>IF(H611="CÉLULA CONSTRUTIVA",0,IF(H611="ETAPA",OFFSET(C611,-1,0)+1,OFFSET(C611,-1,0)))</f>
        <v/>
      </c>
      <c r="D611" s="200">
        <f>IF(H611="ETAPA",0,IF(H611="SUBETAPA",OFFSET(D611,-1,0)+1,OFFSET(D611,-1,0)))</f>
        <v/>
      </c>
      <c r="E611" s="200">
        <f>IF(H611="Subetapa",0,IF(H611="serviço",OFFSET(E611,-1,0)+1,OFFSET(E611,-1,0)))</f>
        <v/>
      </c>
      <c r="F611" s="31" t="n"/>
      <c r="J611" s="61" t="n"/>
      <c r="K611" s="62" t="n"/>
      <c r="L611" s="63" t="n"/>
      <c r="M611" s="63" t="n"/>
      <c r="N611" s="68" t="n"/>
      <c r="O611" s="68" t="n"/>
      <c r="P611" s="68" t="n"/>
      <c r="Q611" s="68" t="n"/>
      <c r="R611" s="68" t="n"/>
    </row>
    <row r="612" ht="14.1" customFormat="1" customHeight="1" s="60">
      <c r="A612" s="199">
        <f>IF($H612="UNIDADE CONSTRUTIVA",OFFSET(A612,-1,0)+1,LARGE(A$3:A611,1))</f>
        <v/>
      </c>
      <c r="B612" s="199">
        <f>IF(H612="UNIDADE CONSTRUTIVA",0,IF(H612="CÉLULA CONSTRUTIVA",OFFSET(B612,-1,0)+1,OFFSET(B612,-1,0)))</f>
        <v/>
      </c>
      <c r="C612" s="199">
        <f>IF(H612="CÉLULA CONSTRUTIVA",0,IF(H612="ETAPA",OFFSET(C612,-1,0)+1,OFFSET(C612,-1,0)))</f>
        <v/>
      </c>
      <c r="D612" s="200">
        <f>IF(H612="ETAPA",0,IF(H612="SUBETAPA",OFFSET(D612,-1,0)+1,OFFSET(D612,-1,0)))</f>
        <v/>
      </c>
      <c r="E612" s="200">
        <f>IF(H612="Subetapa",0,IF(H612="serviço",OFFSET(E612,-1,0)+1,OFFSET(E612,-1,0)))</f>
        <v/>
      </c>
      <c r="F612" s="31" t="n"/>
      <c r="J612" s="61" t="n"/>
      <c r="K612" s="62" t="n"/>
      <c r="L612" s="63" t="n"/>
      <c r="M612" s="63" t="n"/>
      <c r="N612" s="68" t="n"/>
      <c r="O612" s="68" t="n"/>
      <c r="P612" s="68" t="n"/>
      <c r="Q612" s="68" t="n"/>
      <c r="R612" s="68" t="n"/>
    </row>
    <row r="613" ht="14.1" customFormat="1" customHeight="1" s="60">
      <c r="A613" s="199">
        <f>IF($H613="UNIDADE CONSTRUTIVA",OFFSET(A613,-1,0)+1,LARGE(A$3:A612,1))</f>
        <v/>
      </c>
      <c r="B613" s="199">
        <f>IF(H613="UNIDADE CONSTRUTIVA",0,IF(H613="CÉLULA CONSTRUTIVA",OFFSET(B613,-1,0)+1,OFFSET(B613,-1,0)))</f>
        <v/>
      </c>
      <c r="C613" s="199">
        <f>IF(H613="CÉLULA CONSTRUTIVA",0,IF(H613="ETAPA",OFFSET(C613,-1,0)+1,OFFSET(C613,-1,0)))</f>
        <v/>
      </c>
      <c r="D613" s="200">
        <f>IF(H613="ETAPA",0,IF(H613="SUBETAPA",OFFSET(D613,-1,0)+1,OFFSET(D613,-1,0)))</f>
        <v/>
      </c>
      <c r="E613" s="200">
        <f>IF(H613="Subetapa",0,IF(H613="serviço",OFFSET(E613,-1,0)+1,OFFSET(E613,-1,0)))</f>
        <v/>
      </c>
      <c r="F613" s="31" t="n"/>
      <c r="J613" s="61" t="n"/>
      <c r="K613" s="62" t="n"/>
      <c r="L613" s="63" t="n"/>
      <c r="M613" s="63" t="n"/>
      <c r="N613" s="68" t="n"/>
      <c r="O613" s="68" t="n"/>
      <c r="P613" s="68" t="n"/>
      <c r="Q613" s="68" t="n"/>
      <c r="R613" s="68" t="n"/>
    </row>
    <row r="614" ht="14.1" customFormat="1" customHeight="1" s="60">
      <c r="A614" s="199">
        <f>IF($H614="UNIDADE CONSTRUTIVA",OFFSET(A614,-1,0)+1,LARGE(A$3:A613,1))</f>
        <v/>
      </c>
      <c r="B614" s="199">
        <f>IF(H614="UNIDADE CONSTRUTIVA",0,IF(H614="CÉLULA CONSTRUTIVA",OFFSET(B614,-1,0)+1,OFFSET(B614,-1,0)))</f>
        <v/>
      </c>
      <c r="C614" s="199">
        <f>IF(H614="CÉLULA CONSTRUTIVA",0,IF(H614="ETAPA",OFFSET(C614,-1,0)+1,OFFSET(C614,-1,0)))</f>
        <v/>
      </c>
      <c r="D614" s="200">
        <f>IF(H614="ETAPA",0,IF(H614="SUBETAPA",OFFSET(D614,-1,0)+1,OFFSET(D614,-1,0)))</f>
        <v/>
      </c>
      <c r="E614" s="200">
        <f>IF(H614="Subetapa",0,IF(H614="serviço",OFFSET(E614,-1,0)+1,OFFSET(E614,-1,0)))</f>
        <v/>
      </c>
      <c r="F614" s="31" t="n"/>
      <c r="J614" s="61" t="n"/>
      <c r="K614" s="62" t="n"/>
      <c r="L614" s="63" t="n"/>
      <c r="M614" s="63" t="n"/>
      <c r="N614" s="68" t="n"/>
      <c r="O614" s="68" t="n"/>
      <c r="P614" s="68" t="n"/>
      <c r="Q614" s="68" t="n"/>
      <c r="R614" s="68" t="n"/>
    </row>
    <row r="615" ht="14.1" customFormat="1" customHeight="1" s="60">
      <c r="A615" s="199">
        <f>IF($H615="UNIDADE CONSTRUTIVA",OFFSET(A615,-1,0)+1,LARGE(A$3:A614,1))</f>
        <v/>
      </c>
      <c r="B615" s="199">
        <f>IF(H615="UNIDADE CONSTRUTIVA",0,IF(H615="CÉLULA CONSTRUTIVA",OFFSET(B615,-1,0)+1,OFFSET(B615,-1,0)))</f>
        <v/>
      </c>
      <c r="C615" s="199">
        <f>IF(H615="CÉLULA CONSTRUTIVA",0,IF(H615="ETAPA",OFFSET(C615,-1,0)+1,OFFSET(C615,-1,0)))</f>
        <v/>
      </c>
      <c r="D615" s="200">
        <f>IF(H615="ETAPA",0,IF(H615="SUBETAPA",OFFSET(D615,-1,0)+1,OFFSET(D615,-1,0)))</f>
        <v/>
      </c>
      <c r="E615" s="200">
        <f>IF(H615="Subetapa",0,IF(H615="serviço",OFFSET(E615,-1,0)+1,OFFSET(E615,-1,0)))</f>
        <v/>
      </c>
      <c r="F615" s="31" t="n"/>
      <c r="J615" s="61" t="n"/>
      <c r="K615" s="62" t="n"/>
      <c r="L615" s="63" t="n"/>
      <c r="M615" s="63" t="n"/>
      <c r="N615" s="68" t="n"/>
      <c r="O615" s="68" t="n"/>
      <c r="P615" s="68" t="n"/>
      <c r="Q615" s="68" t="n"/>
      <c r="R615" s="68" t="n"/>
    </row>
    <row r="616" ht="14.1" customFormat="1" customHeight="1" s="60">
      <c r="A616" s="199">
        <f>IF($H616="UNIDADE CONSTRUTIVA",OFFSET(A616,-1,0)+1,LARGE(A$3:A615,1))</f>
        <v/>
      </c>
      <c r="B616" s="199">
        <f>IF(H616="UNIDADE CONSTRUTIVA",0,IF(H616="CÉLULA CONSTRUTIVA",OFFSET(B616,-1,0)+1,OFFSET(B616,-1,0)))</f>
        <v/>
      </c>
      <c r="C616" s="199">
        <f>IF(H616="CÉLULA CONSTRUTIVA",0,IF(H616="ETAPA",OFFSET(C616,-1,0)+1,OFFSET(C616,-1,0)))</f>
        <v/>
      </c>
      <c r="D616" s="200">
        <f>IF(H616="ETAPA",0,IF(H616="SUBETAPA",OFFSET(D616,-1,0)+1,OFFSET(D616,-1,0)))</f>
        <v/>
      </c>
      <c r="E616" s="200">
        <f>IF(H616="Subetapa",0,IF(H616="serviço",OFFSET(E616,-1,0)+1,OFFSET(E616,-1,0)))</f>
        <v/>
      </c>
      <c r="F616" s="31" t="n"/>
      <c r="J616" s="61" t="n"/>
      <c r="K616" s="62" t="n"/>
      <c r="L616" s="63" t="n"/>
      <c r="M616" s="63" t="n"/>
      <c r="N616" s="68" t="n"/>
      <c r="O616" s="68" t="n"/>
      <c r="P616" s="68" t="n"/>
      <c r="Q616" s="68" t="n"/>
      <c r="R616" s="68" t="n"/>
    </row>
    <row r="617" ht="14.1" customFormat="1" customHeight="1" s="60">
      <c r="A617" s="199">
        <f>IF($H617="UNIDADE CONSTRUTIVA",OFFSET(A617,-1,0)+1,LARGE(A$3:A616,1))</f>
        <v/>
      </c>
      <c r="B617" s="199">
        <f>IF(H617="UNIDADE CONSTRUTIVA",0,IF(H617="CÉLULA CONSTRUTIVA",OFFSET(B617,-1,0)+1,OFFSET(B617,-1,0)))</f>
        <v/>
      </c>
      <c r="C617" s="199">
        <f>IF(H617="CÉLULA CONSTRUTIVA",0,IF(H617="ETAPA",OFFSET(C617,-1,0)+1,OFFSET(C617,-1,0)))</f>
        <v/>
      </c>
      <c r="D617" s="200">
        <f>IF(H617="ETAPA",0,IF(H617="SUBETAPA",OFFSET(D617,-1,0)+1,OFFSET(D617,-1,0)))</f>
        <v/>
      </c>
      <c r="E617" s="200">
        <f>IF(H617="Subetapa",0,IF(H617="serviço",OFFSET(E617,-1,0)+1,OFFSET(E617,-1,0)))</f>
        <v/>
      </c>
      <c r="F617" s="31" t="n"/>
      <c r="J617" s="61" t="n"/>
      <c r="K617" s="62" t="n"/>
      <c r="L617" s="63" t="n"/>
      <c r="M617" s="63" t="n"/>
      <c r="N617" s="68" t="n"/>
      <c r="O617" s="68" t="n"/>
      <c r="P617" s="68" t="n"/>
      <c r="Q617" s="68" t="n"/>
      <c r="R617" s="68" t="n"/>
    </row>
    <row r="618" ht="14.1" customFormat="1" customHeight="1" s="60">
      <c r="A618" s="199">
        <f>IF($H618="UNIDADE CONSTRUTIVA",OFFSET(A618,-1,0)+1,LARGE(A$3:A617,1))</f>
        <v/>
      </c>
      <c r="B618" s="199">
        <f>IF(H618="UNIDADE CONSTRUTIVA",0,IF(H618="CÉLULA CONSTRUTIVA",OFFSET(B618,-1,0)+1,OFFSET(B618,-1,0)))</f>
        <v/>
      </c>
      <c r="C618" s="199">
        <f>IF(H618="CÉLULA CONSTRUTIVA",0,IF(H618="ETAPA",OFFSET(C618,-1,0)+1,OFFSET(C618,-1,0)))</f>
        <v/>
      </c>
      <c r="D618" s="200">
        <f>IF(H618="ETAPA",0,IF(H618="SUBETAPA",OFFSET(D618,-1,0)+1,OFFSET(D618,-1,0)))</f>
        <v/>
      </c>
      <c r="E618" s="200">
        <f>IF(H618="Subetapa",0,IF(H618="serviço",OFFSET(E618,-1,0)+1,OFFSET(E618,-1,0)))</f>
        <v/>
      </c>
      <c r="F618" s="31" t="n"/>
      <c r="J618" s="61" t="n"/>
      <c r="K618" s="62" t="n"/>
      <c r="L618" s="63" t="n"/>
      <c r="M618" s="63" t="n"/>
      <c r="N618" s="68" t="n"/>
      <c r="O618" s="68" t="n"/>
      <c r="P618" s="68" t="n"/>
      <c r="Q618" s="68" t="n"/>
      <c r="R618" s="68" t="n"/>
    </row>
    <row r="619" ht="14.1" customFormat="1" customHeight="1" s="60">
      <c r="A619" s="199">
        <f>IF($H619="UNIDADE CONSTRUTIVA",OFFSET(A619,-1,0)+1,LARGE(A$3:A618,1))</f>
        <v/>
      </c>
      <c r="B619" s="199">
        <f>IF(H619="UNIDADE CONSTRUTIVA",0,IF(H619="CÉLULA CONSTRUTIVA",OFFSET(B619,-1,0)+1,OFFSET(B619,-1,0)))</f>
        <v/>
      </c>
      <c r="C619" s="199">
        <f>IF(H619="CÉLULA CONSTRUTIVA",0,IF(H619="ETAPA",OFFSET(C619,-1,0)+1,OFFSET(C619,-1,0)))</f>
        <v/>
      </c>
      <c r="D619" s="200">
        <f>IF(H619="ETAPA",0,IF(H619="SUBETAPA",OFFSET(D619,-1,0)+1,OFFSET(D619,-1,0)))</f>
        <v/>
      </c>
      <c r="E619" s="200">
        <f>IF(H619="Subetapa",0,IF(H619="serviço",OFFSET(E619,-1,0)+1,OFFSET(E619,-1,0)))</f>
        <v/>
      </c>
      <c r="F619" s="31" t="n"/>
      <c r="J619" s="61" t="n"/>
      <c r="K619" s="62" t="n"/>
      <c r="L619" s="63" t="n"/>
      <c r="M619" s="63" t="n"/>
      <c r="N619" s="68" t="n"/>
      <c r="O619" s="68" t="n"/>
      <c r="P619" s="68" t="n"/>
      <c r="Q619" s="68" t="n"/>
      <c r="R619" s="68" t="n"/>
    </row>
    <row r="620" ht="14.1" customFormat="1" customHeight="1" s="60">
      <c r="A620" s="199">
        <f>IF($H620="UNIDADE CONSTRUTIVA",OFFSET(A620,-1,0)+1,LARGE(A$3:A619,1))</f>
        <v/>
      </c>
      <c r="B620" s="199">
        <f>IF(H620="UNIDADE CONSTRUTIVA",0,IF(H620="CÉLULA CONSTRUTIVA",OFFSET(B620,-1,0)+1,OFFSET(B620,-1,0)))</f>
        <v/>
      </c>
      <c r="C620" s="199">
        <f>IF(H620="CÉLULA CONSTRUTIVA",0,IF(H620="ETAPA",OFFSET(C620,-1,0)+1,OFFSET(C620,-1,0)))</f>
        <v/>
      </c>
      <c r="D620" s="200">
        <f>IF(H620="ETAPA",0,IF(H620="SUBETAPA",OFFSET(D620,-1,0)+1,OFFSET(D620,-1,0)))</f>
        <v/>
      </c>
      <c r="E620" s="200">
        <f>IF(H620="Subetapa",0,IF(H620="serviço",OFFSET(E620,-1,0)+1,OFFSET(E620,-1,0)))</f>
        <v/>
      </c>
      <c r="F620" s="31" t="n"/>
      <c r="J620" s="61" t="n"/>
      <c r="K620" s="62" t="n"/>
      <c r="L620" s="63" t="n"/>
      <c r="M620" s="63" t="n"/>
      <c r="N620" s="68" t="n"/>
      <c r="O620" s="68" t="n"/>
      <c r="P620" s="68" t="n"/>
      <c r="Q620" s="68" t="n"/>
      <c r="R620" s="68" t="n"/>
    </row>
    <row r="621" ht="14.1" customFormat="1" customHeight="1" s="60">
      <c r="A621" s="199">
        <f>IF($H621="UNIDADE CONSTRUTIVA",OFFSET(A621,-1,0)+1,LARGE(A$3:A620,1))</f>
        <v/>
      </c>
      <c r="B621" s="199">
        <f>IF(H621="UNIDADE CONSTRUTIVA",0,IF(H621="CÉLULA CONSTRUTIVA",OFFSET(B621,-1,0)+1,OFFSET(B621,-1,0)))</f>
        <v/>
      </c>
      <c r="C621" s="199">
        <f>IF(H621="CÉLULA CONSTRUTIVA",0,IF(H621="ETAPA",OFFSET(C621,-1,0)+1,OFFSET(C621,-1,0)))</f>
        <v/>
      </c>
      <c r="D621" s="200">
        <f>IF(H621="ETAPA",0,IF(H621="SUBETAPA",OFFSET(D621,-1,0)+1,OFFSET(D621,-1,0)))</f>
        <v/>
      </c>
      <c r="E621" s="200">
        <f>IF(H621="Subetapa",0,IF(H621="serviço",OFFSET(E621,-1,0)+1,OFFSET(E621,-1,0)))</f>
        <v/>
      </c>
      <c r="F621" s="31" t="n"/>
      <c r="J621" s="61" t="n"/>
      <c r="K621" s="62" t="n"/>
      <c r="L621" s="63" t="n"/>
      <c r="M621" s="63" t="n"/>
      <c r="N621" s="68" t="n"/>
      <c r="O621" s="68" t="n"/>
      <c r="P621" s="68" t="n"/>
      <c r="Q621" s="68" t="n"/>
      <c r="R621" s="68" t="n"/>
    </row>
    <row r="622" ht="14.1" customFormat="1" customHeight="1" s="60">
      <c r="A622" s="199">
        <f>IF($H622="UNIDADE CONSTRUTIVA",OFFSET(A622,-1,0)+1,LARGE(A$3:A621,1))</f>
        <v/>
      </c>
      <c r="B622" s="199">
        <f>IF(H622="UNIDADE CONSTRUTIVA",0,IF(H622="CÉLULA CONSTRUTIVA",OFFSET(B622,-1,0)+1,OFFSET(B622,-1,0)))</f>
        <v/>
      </c>
      <c r="C622" s="199">
        <f>IF(H622="CÉLULA CONSTRUTIVA",0,IF(H622="ETAPA",OFFSET(C622,-1,0)+1,OFFSET(C622,-1,0)))</f>
        <v/>
      </c>
      <c r="D622" s="200">
        <f>IF(H622="ETAPA",0,IF(H622="SUBETAPA",OFFSET(D622,-1,0)+1,OFFSET(D622,-1,0)))</f>
        <v/>
      </c>
      <c r="E622" s="200">
        <f>IF(H622="Subetapa",0,IF(H622="serviço",OFFSET(E622,-1,0)+1,OFFSET(E622,-1,0)))</f>
        <v/>
      </c>
      <c r="F622" s="31" t="n"/>
      <c r="J622" s="61" t="n"/>
      <c r="K622" s="62" t="n"/>
      <c r="L622" s="63" t="n"/>
      <c r="M622" s="63" t="n"/>
      <c r="N622" s="68" t="n"/>
      <c r="O622" s="68" t="n"/>
      <c r="P622" s="68" t="n"/>
      <c r="Q622" s="68" t="n"/>
      <c r="R622" s="68" t="n"/>
    </row>
    <row r="623" ht="14.1" customFormat="1" customHeight="1" s="60">
      <c r="A623" s="199">
        <f>IF($H623="UNIDADE CONSTRUTIVA",OFFSET(A623,-1,0)+1,LARGE(A$3:A622,1))</f>
        <v/>
      </c>
      <c r="B623" s="199">
        <f>IF(H623="UNIDADE CONSTRUTIVA",0,IF(H623="CÉLULA CONSTRUTIVA",OFFSET(B623,-1,0)+1,OFFSET(B623,-1,0)))</f>
        <v/>
      </c>
      <c r="C623" s="199">
        <f>IF(H623="CÉLULA CONSTRUTIVA",0,IF(H623="ETAPA",OFFSET(C623,-1,0)+1,OFFSET(C623,-1,0)))</f>
        <v/>
      </c>
      <c r="D623" s="200">
        <f>IF(H623="ETAPA",0,IF(H623="SUBETAPA",OFFSET(D623,-1,0)+1,OFFSET(D623,-1,0)))</f>
        <v/>
      </c>
      <c r="E623" s="200">
        <f>IF(H623="Subetapa",0,IF(H623="serviço",OFFSET(E623,-1,0)+1,OFFSET(E623,-1,0)))</f>
        <v/>
      </c>
      <c r="F623" s="31" t="n"/>
      <c r="J623" s="61" t="n"/>
      <c r="K623" s="62" t="n"/>
      <c r="L623" s="63" t="n"/>
      <c r="M623" s="63" t="n"/>
      <c r="N623" s="68" t="n"/>
      <c r="O623" s="68" t="n"/>
      <c r="P623" s="68" t="n"/>
      <c r="Q623" s="68" t="n"/>
      <c r="R623" s="68" t="n"/>
    </row>
    <row r="624" ht="14.1" customFormat="1" customHeight="1" s="60">
      <c r="A624" s="199">
        <f>IF($H624="UNIDADE CONSTRUTIVA",OFFSET(A624,-1,0)+1,LARGE(A$3:A623,1))</f>
        <v/>
      </c>
      <c r="B624" s="199">
        <f>IF(H624="UNIDADE CONSTRUTIVA",0,IF(H624="CÉLULA CONSTRUTIVA",OFFSET(B624,-1,0)+1,OFFSET(B624,-1,0)))</f>
        <v/>
      </c>
      <c r="C624" s="199">
        <f>IF(H624="CÉLULA CONSTRUTIVA",0,IF(H624="ETAPA",OFFSET(C624,-1,0)+1,OFFSET(C624,-1,0)))</f>
        <v/>
      </c>
      <c r="D624" s="200">
        <f>IF(H624="ETAPA",0,IF(H624="SUBETAPA",OFFSET(D624,-1,0)+1,OFFSET(D624,-1,0)))</f>
        <v/>
      </c>
      <c r="E624" s="200">
        <f>IF(H624="Subetapa",0,IF(H624="serviço",OFFSET(E624,-1,0)+1,OFFSET(E624,-1,0)))</f>
        <v/>
      </c>
      <c r="F624" s="31" t="n"/>
      <c r="J624" s="61" t="n"/>
      <c r="K624" s="62" t="n"/>
      <c r="L624" s="63" t="n"/>
      <c r="M624" s="63" t="n"/>
      <c r="N624" s="68" t="n"/>
      <c r="O624" s="68" t="n"/>
      <c r="P624" s="68" t="n"/>
      <c r="Q624" s="68" t="n"/>
      <c r="R624" s="68" t="n"/>
    </row>
    <row r="625" ht="14.1" customFormat="1" customHeight="1" s="60">
      <c r="A625" s="199">
        <f>IF($H625="UNIDADE CONSTRUTIVA",OFFSET(A625,-1,0)+1,LARGE(A$3:A624,1))</f>
        <v/>
      </c>
      <c r="B625" s="199">
        <f>IF(H625="UNIDADE CONSTRUTIVA",0,IF(H625="CÉLULA CONSTRUTIVA",OFFSET(B625,-1,0)+1,OFFSET(B625,-1,0)))</f>
        <v/>
      </c>
      <c r="C625" s="199">
        <f>IF(H625="CÉLULA CONSTRUTIVA",0,IF(H625="ETAPA",OFFSET(C625,-1,0)+1,OFFSET(C625,-1,0)))</f>
        <v/>
      </c>
      <c r="D625" s="200">
        <f>IF(H625="ETAPA",0,IF(H625="SUBETAPA",OFFSET(D625,-1,0)+1,OFFSET(D625,-1,0)))</f>
        <v/>
      </c>
      <c r="E625" s="200">
        <f>IF(H625="Subetapa",0,IF(H625="serviço",OFFSET(E625,-1,0)+1,OFFSET(E625,-1,0)))</f>
        <v/>
      </c>
      <c r="F625" s="31" t="n"/>
      <c r="J625" s="61" t="n"/>
      <c r="K625" s="62" t="n"/>
      <c r="L625" s="63" t="n"/>
      <c r="M625" s="63" t="n"/>
      <c r="N625" s="68" t="n"/>
      <c r="O625" s="68" t="n"/>
      <c r="P625" s="68" t="n"/>
      <c r="Q625" s="68" t="n"/>
      <c r="R625" s="68" t="n"/>
    </row>
    <row r="626" ht="14.1" customFormat="1" customHeight="1" s="60">
      <c r="A626" s="199">
        <f>IF($H626="UNIDADE CONSTRUTIVA",OFFSET(A626,-1,0)+1,LARGE(A$3:A625,1))</f>
        <v/>
      </c>
      <c r="B626" s="199">
        <f>IF(H626="UNIDADE CONSTRUTIVA",0,IF(H626="CÉLULA CONSTRUTIVA",OFFSET(B626,-1,0)+1,OFFSET(B626,-1,0)))</f>
        <v/>
      </c>
      <c r="C626" s="199">
        <f>IF(H626="CÉLULA CONSTRUTIVA",0,IF(H626="ETAPA",OFFSET(C626,-1,0)+1,OFFSET(C626,-1,0)))</f>
        <v/>
      </c>
      <c r="D626" s="200">
        <f>IF(H626="ETAPA",0,IF(H626="SUBETAPA",OFFSET(D626,-1,0)+1,OFFSET(D626,-1,0)))</f>
        <v/>
      </c>
      <c r="E626" s="200">
        <f>IF(H626="Subetapa",0,IF(H626="serviço",OFFSET(E626,-1,0)+1,OFFSET(E626,-1,0)))</f>
        <v/>
      </c>
      <c r="F626" s="31" t="n"/>
      <c r="J626" s="61" t="n"/>
      <c r="K626" s="62" t="n"/>
      <c r="L626" s="63" t="n"/>
      <c r="M626" s="63" t="n"/>
      <c r="N626" s="68" t="n"/>
      <c r="O626" s="68" t="n"/>
      <c r="P626" s="68" t="n"/>
      <c r="Q626" s="68" t="n"/>
      <c r="R626" s="68" t="n"/>
    </row>
    <row r="627" ht="14.1" customFormat="1" customHeight="1" s="60">
      <c r="A627" s="199">
        <f>IF($H627="UNIDADE CONSTRUTIVA",OFFSET(A627,-1,0)+1,LARGE(A$3:A626,1))</f>
        <v/>
      </c>
      <c r="B627" s="199">
        <f>IF(H627="UNIDADE CONSTRUTIVA",0,IF(H627="CÉLULA CONSTRUTIVA",OFFSET(B627,-1,0)+1,OFFSET(B627,-1,0)))</f>
        <v/>
      </c>
      <c r="C627" s="199">
        <f>IF(H627="CÉLULA CONSTRUTIVA",0,IF(H627="ETAPA",OFFSET(C627,-1,0)+1,OFFSET(C627,-1,0)))</f>
        <v/>
      </c>
      <c r="D627" s="200">
        <f>IF(H627="ETAPA",0,IF(H627="SUBETAPA",OFFSET(D627,-1,0)+1,OFFSET(D627,-1,0)))</f>
        <v/>
      </c>
      <c r="E627" s="200">
        <f>IF(H627="Subetapa",0,IF(H627="serviço",OFFSET(E627,-1,0)+1,OFFSET(E627,-1,0)))</f>
        <v/>
      </c>
      <c r="F627" s="31" t="n"/>
      <c r="J627" s="61" t="n"/>
      <c r="K627" s="62" t="n"/>
      <c r="L627" s="63" t="n"/>
      <c r="M627" s="63" t="n"/>
      <c r="N627" s="68" t="n"/>
      <c r="O627" s="68" t="n"/>
      <c r="P627" s="68" t="n"/>
      <c r="Q627" s="68" t="n"/>
      <c r="R627" s="68" t="n"/>
    </row>
    <row r="628" ht="14.1" customFormat="1" customHeight="1" s="60">
      <c r="A628" s="199">
        <f>IF($H628="UNIDADE CONSTRUTIVA",OFFSET(A628,-1,0)+1,LARGE(A$3:A627,1))</f>
        <v/>
      </c>
      <c r="B628" s="199">
        <f>IF(H628="UNIDADE CONSTRUTIVA",0,IF(H628="CÉLULA CONSTRUTIVA",OFFSET(B628,-1,0)+1,OFFSET(B628,-1,0)))</f>
        <v/>
      </c>
      <c r="C628" s="199">
        <f>IF(H628="CÉLULA CONSTRUTIVA",0,IF(H628="ETAPA",OFFSET(C628,-1,0)+1,OFFSET(C628,-1,0)))</f>
        <v/>
      </c>
      <c r="D628" s="200">
        <f>IF(H628="ETAPA",0,IF(H628="SUBETAPA",OFFSET(D628,-1,0)+1,OFFSET(D628,-1,0)))</f>
        <v/>
      </c>
      <c r="E628" s="200">
        <f>IF(H628="Subetapa",0,IF(H628="serviço",OFFSET(E628,-1,0)+1,OFFSET(E628,-1,0)))</f>
        <v/>
      </c>
      <c r="F628" s="31" t="n"/>
      <c r="J628" s="61" t="n"/>
      <c r="K628" s="62" t="n"/>
      <c r="L628" s="63" t="n"/>
      <c r="M628" s="63" t="n"/>
      <c r="N628" s="68" t="n"/>
      <c r="O628" s="68" t="n"/>
      <c r="P628" s="68" t="n"/>
      <c r="Q628" s="68" t="n"/>
      <c r="R628" s="68" t="n"/>
    </row>
    <row r="629" ht="14.1" customFormat="1" customHeight="1" s="60">
      <c r="A629" s="199">
        <f>IF($H629="UNIDADE CONSTRUTIVA",OFFSET(A629,-1,0)+1,LARGE(A$3:A628,1))</f>
        <v/>
      </c>
      <c r="B629" s="199">
        <f>IF(H629="UNIDADE CONSTRUTIVA",0,IF(H629="CÉLULA CONSTRUTIVA",OFFSET(B629,-1,0)+1,OFFSET(B629,-1,0)))</f>
        <v/>
      </c>
      <c r="C629" s="199">
        <f>IF(H629="CÉLULA CONSTRUTIVA",0,IF(H629="ETAPA",OFFSET(C629,-1,0)+1,OFFSET(C629,-1,0)))</f>
        <v/>
      </c>
      <c r="D629" s="200">
        <f>IF(H629="ETAPA",0,IF(H629="SUBETAPA",OFFSET(D629,-1,0)+1,OFFSET(D629,-1,0)))</f>
        <v/>
      </c>
      <c r="E629" s="200">
        <f>IF(H629="Subetapa",0,IF(H629="serviço",OFFSET(E629,-1,0)+1,OFFSET(E629,-1,0)))</f>
        <v/>
      </c>
      <c r="F629" s="31" t="n"/>
      <c r="J629" s="61" t="n"/>
      <c r="K629" s="62" t="n"/>
      <c r="L629" s="63" t="n"/>
      <c r="M629" s="63" t="n"/>
      <c r="N629" s="68" t="n"/>
      <c r="O629" s="68" t="n"/>
      <c r="P629" s="68" t="n"/>
      <c r="Q629" s="68" t="n"/>
      <c r="R629" s="68" t="n"/>
    </row>
    <row r="630" ht="14.1" customFormat="1" customHeight="1" s="60">
      <c r="A630" s="199">
        <f>IF($H630="UNIDADE CONSTRUTIVA",OFFSET(A630,-1,0)+1,LARGE(A$3:A629,1))</f>
        <v/>
      </c>
      <c r="B630" s="199">
        <f>IF(H630="UNIDADE CONSTRUTIVA",0,IF(H630="CÉLULA CONSTRUTIVA",OFFSET(B630,-1,0)+1,OFFSET(B630,-1,0)))</f>
        <v/>
      </c>
      <c r="C630" s="199">
        <f>IF(H630="CÉLULA CONSTRUTIVA",0,IF(H630="ETAPA",OFFSET(C630,-1,0)+1,OFFSET(C630,-1,0)))</f>
        <v/>
      </c>
      <c r="D630" s="200">
        <f>IF(H630="ETAPA",0,IF(H630="SUBETAPA",OFFSET(D630,-1,0)+1,OFFSET(D630,-1,0)))</f>
        <v/>
      </c>
      <c r="E630" s="200">
        <f>IF(H630="Subetapa",0,IF(H630="serviço",OFFSET(E630,-1,0)+1,OFFSET(E630,-1,0)))</f>
        <v/>
      </c>
      <c r="F630" s="31" t="n"/>
      <c r="J630" s="61" t="n"/>
      <c r="K630" s="62" t="n"/>
      <c r="L630" s="63" t="n"/>
      <c r="M630" s="63" t="n"/>
      <c r="N630" s="68" t="n"/>
      <c r="O630" s="68" t="n"/>
      <c r="P630" s="68" t="n"/>
      <c r="Q630" s="68" t="n"/>
      <c r="R630" s="68" t="n"/>
    </row>
    <row r="631" ht="14.1" customFormat="1" customHeight="1" s="60">
      <c r="A631" s="199">
        <f>IF($H631="UNIDADE CONSTRUTIVA",OFFSET(A631,-1,0)+1,LARGE(A$3:A630,1))</f>
        <v/>
      </c>
      <c r="B631" s="199">
        <f>IF(H631="UNIDADE CONSTRUTIVA",0,IF(H631="CÉLULA CONSTRUTIVA",OFFSET(B631,-1,0)+1,OFFSET(B631,-1,0)))</f>
        <v/>
      </c>
      <c r="C631" s="199">
        <f>IF(H631="CÉLULA CONSTRUTIVA",0,IF(H631="ETAPA",OFFSET(C631,-1,0)+1,OFFSET(C631,-1,0)))</f>
        <v/>
      </c>
      <c r="D631" s="200">
        <f>IF(H631="ETAPA",0,IF(H631="SUBETAPA",OFFSET(D631,-1,0)+1,OFFSET(D631,-1,0)))</f>
        <v/>
      </c>
      <c r="E631" s="200">
        <f>IF(H631="Subetapa",0,IF(H631="serviço",OFFSET(E631,-1,0)+1,OFFSET(E631,-1,0)))</f>
        <v/>
      </c>
      <c r="F631" s="31" t="n"/>
      <c r="J631" s="61" t="n"/>
      <c r="K631" s="62" t="n"/>
      <c r="L631" s="63" t="n"/>
      <c r="M631" s="63" t="n"/>
      <c r="N631" s="68" t="n"/>
      <c r="O631" s="68" t="n"/>
      <c r="P631" s="68" t="n"/>
      <c r="Q631" s="68" t="n"/>
      <c r="R631" s="68" t="n"/>
    </row>
    <row r="632" ht="14.1" customFormat="1" customHeight="1" s="60">
      <c r="A632" s="199">
        <f>IF($H632="UNIDADE CONSTRUTIVA",OFFSET(A632,-1,0)+1,LARGE(A$3:A631,1))</f>
        <v/>
      </c>
      <c r="B632" s="199">
        <f>IF(H632="UNIDADE CONSTRUTIVA",0,IF(H632="CÉLULA CONSTRUTIVA",OFFSET(B632,-1,0)+1,OFFSET(B632,-1,0)))</f>
        <v/>
      </c>
      <c r="C632" s="199">
        <f>IF(H632="CÉLULA CONSTRUTIVA",0,IF(H632="ETAPA",OFFSET(C632,-1,0)+1,OFFSET(C632,-1,0)))</f>
        <v/>
      </c>
      <c r="D632" s="200">
        <f>IF(H632="ETAPA",0,IF(H632="SUBETAPA",OFFSET(D632,-1,0)+1,OFFSET(D632,-1,0)))</f>
        <v/>
      </c>
      <c r="E632" s="200">
        <f>IF(H632="Subetapa",0,IF(H632="serviço",OFFSET(E632,-1,0)+1,OFFSET(E632,-1,0)))</f>
        <v/>
      </c>
      <c r="F632" s="31" t="n"/>
      <c r="J632" s="61" t="n"/>
      <c r="K632" s="62" t="n"/>
      <c r="L632" s="63" t="n"/>
      <c r="M632" s="63" t="n"/>
      <c r="N632" s="68" t="n"/>
      <c r="O632" s="68" t="n"/>
      <c r="P632" s="68" t="n"/>
      <c r="Q632" s="68" t="n"/>
      <c r="R632" s="68" t="n"/>
    </row>
    <row r="633" ht="14.1" customFormat="1" customHeight="1" s="60">
      <c r="A633" s="199">
        <f>IF($H633="UNIDADE CONSTRUTIVA",OFFSET(A633,-1,0)+1,LARGE(A$3:A632,1))</f>
        <v/>
      </c>
      <c r="B633" s="199">
        <f>IF(H633="UNIDADE CONSTRUTIVA",0,IF(H633="CÉLULA CONSTRUTIVA",OFFSET(B633,-1,0)+1,OFFSET(B633,-1,0)))</f>
        <v/>
      </c>
      <c r="C633" s="199">
        <f>IF(H633="CÉLULA CONSTRUTIVA",0,IF(H633="ETAPA",OFFSET(C633,-1,0)+1,OFFSET(C633,-1,0)))</f>
        <v/>
      </c>
      <c r="D633" s="200">
        <f>IF(H633="ETAPA",0,IF(H633="SUBETAPA",OFFSET(D633,-1,0)+1,OFFSET(D633,-1,0)))</f>
        <v/>
      </c>
      <c r="E633" s="200">
        <f>IF(H633="Subetapa",0,IF(H633="serviço",OFFSET(E633,-1,0)+1,OFFSET(E633,-1,0)))</f>
        <v/>
      </c>
      <c r="F633" s="31" t="n"/>
      <c r="J633" s="61" t="n"/>
      <c r="K633" s="62" t="n"/>
      <c r="L633" s="63" t="n"/>
      <c r="M633" s="63" t="n"/>
      <c r="N633" s="68" t="n"/>
      <c r="O633" s="68" t="n"/>
      <c r="P633" s="68" t="n"/>
      <c r="Q633" s="68" t="n"/>
      <c r="R633" s="68" t="n"/>
    </row>
    <row r="634" ht="14.1" customFormat="1" customHeight="1" s="60">
      <c r="A634" s="199">
        <f>IF($H634="UNIDADE CONSTRUTIVA",OFFSET(A634,-1,0)+1,LARGE(A$3:A633,1))</f>
        <v/>
      </c>
      <c r="B634" s="199">
        <f>IF(H634="UNIDADE CONSTRUTIVA",0,IF(H634="CÉLULA CONSTRUTIVA",OFFSET(B634,-1,0)+1,OFFSET(B634,-1,0)))</f>
        <v/>
      </c>
      <c r="C634" s="199">
        <f>IF(H634="CÉLULA CONSTRUTIVA",0,IF(H634="ETAPA",OFFSET(C634,-1,0)+1,OFFSET(C634,-1,0)))</f>
        <v/>
      </c>
      <c r="D634" s="200">
        <f>IF(H634="ETAPA",0,IF(H634="SUBETAPA",OFFSET(D634,-1,0)+1,OFFSET(D634,-1,0)))</f>
        <v/>
      </c>
      <c r="E634" s="200">
        <f>IF(H634="Subetapa",0,IF(H634="serviço",OFFSET(E634,-1,0)+1,OFFSET(E634,-1,0)))</f>
        <v/>
      </c>
      <c r="F634" s="31" t="n"/>
      <c r="J634" s="61" t="n"/>
      <c r="K634" s="62" t="n"/>
      <c r="L634" s="63" t="n"/>
      <c r="M634" s="63" t="n"/>
      <c r="N634" s="68" t="n"/>
      <c r="O634" s="68" t="n"/>
      <c r="P634" s="68" t="n"/>
      <c r="Q634" s="68" t="n"/>
      <c r="R634" s="68" t="n"/>
    </row>
    <row r="635" ht="14.1" customFormat="1" customHeight="1" s="60">
      <c r="A635" s="199">
        <f>IF($H635="UNIDADE CONSTRUTIVA",OFFSET(A635,-1,0)+1,LARGE(A$3:A634,1))</f>
        <v/>
      </c>
      <c r="B635" s="199">
        <f>IF(H635="UNIDADE CONSTRUTIVA",0,IF(H635="CÉLULA CONSTRUTIVA",OFFSET(B635,-1,0)+1,OFFSET(B635,-1,0)))</f>
        <v/>
      </c>
      <c r="C635" s="199">
        <f>IF(H635="CÉLULA CONSTRUTIVA",0,IF(H635="ETAPA",OFFSET(C635,-1,0)+1,OFFSET(C635,-1,0)))</f>
        <v/>
      </c>
      <c r="D635" s="200">
        <f>IF(H635="ETAPA",0,IF(H635="SUBETAPA",OFFSET(D635,-1,0)+1,OFFSET(D635,-1,0)))</f>
        <v/>
      </c>
      <c r="E635" s="200">
        <f>IF(H635="Subetapa",0,IF(H635="serviço",OFFSET(E635,-1,0)+1,OFFSET(E635,-1,0)))</f>
        <v/>
      </c>
      <c r="F635" s="31" t="n"/>
      <c r="J635" s="61" t="n"/>
      <c r="K635" s="62" t="n"/>
      <c r="L635" s="63" t="n"/>
      <c r="M635" s="63" t="n"/>
      <c r="N635" s="68" t="n"/>
      <c r="O635" s="68" t="n"/>
      <c r="P635" s="68" t="n"/>
      <c r="Q635" s="68" t="n"/>
      <c r="R635" s="68" t="n"/>
    </row>
    <row r="636" ht="14.1" customFormat="1" customHeight="1" s="60">
      <c r="A636" s="199">
        <f>IF($H636="UNIDADE CONSTRUTIVA",OFFSET(A636,-1,0)+1,LARGE(A$3:A635,1))</f>
        <v/>
      </c>
      <c r="B636" s="199">
        <f>IF(H636="UNIDADE CONSTRUTIVA",0,IF(H636="CÉLULA CONSTRUTIVA",OFFSET(B636,-1,0)+1,OFFSET(B636,-1,0)))</f>
        <v/>
      </c>
      <c r="C636" s="199">
        <f>IF(H636="CÉLULA CONSTRUTIVA",0,IF(H636="ETAPA",OFFSET(C636,-1,0)+1,OFFSET(C636,-1,0)))</f>
        <v/>
      </c>
      <c r="D636" s="200">
        <f>IF(H636="ETAPA",0,IF(H636="SUBETAPA",OFFSET(D636,-1,0)+1,OFFSET(D636,-1,0)))</f>
        <v/>
      </c>
      <c r="E636" s="200">
        <f>IF(H636="Subetapa",0,IF(H636="serviço",OFFSET(E636,-1,0)+1,OFFSET(E636,-1,0)))</f>
        <v/>
      </c>
      <c r="F636" s="31" t="n"/>
      <c r="J636" s="61" t="n"/>
      <c r="K636" s="62" t="n"/>
      <c r="L636" s="63" t="n"/>
      <c r="M636" s="63" t="n"/>
      <c r="N636" s="68" t="n"/>
      <c r="O636" s="68" t="n"/>
      <c r="P636" s="68" t="n"/>
      <c r="Q636" s="68" t="n"/>
      <c r="R636" s="68" t="n"/>
    </row>
    <row r="637" ht="14.1" customFormat="1" customHeight="1" s="60">
      <c r="A637" s="199">
        <f>IF($H637="UNIDADE CONSTRUTIVA",OFFSET(A637,-1,0)+1,LARGE(A$3:A636,1))</f>
        <v/>
      </c>
      <c r="B637" s="199">
        <f>IF(H637="UNIDADE CONSTRUTIVA",0,IF(H637="CÉLULA CONSTRUTIVA",OFFSET(B637,-1,0)+1,OFFSET(B637,-1,0)))</f>
        <v/>
      </c>
      <c r="C637" s="199">
        <f>IF(H637="CÉLULA CONSTRUTIVA",0,IF(H637="ETAPA",OFFSET(C637,-1,0)+1,OFFSET(C637,-1,0)))</f>
        <v/>
      </c>
      <c r="D637" s="200">
        <f>IF(H637="ETAPA",0,IF(H637="SUBETAPA",OFFSET(D637,-1,0)+1,OFFSET(D637,-1,0)))</f>
        <v/>
      </c>
      <c r="E637" s="200">
        <f>IF(H637="Subetapa",0,IF(H637="serviço",OFFSET(E637,-1,0)+1,OFFSET(E637,-1,0)))</f>
        <v/>
      </c>
      <c r="F637" s="31" t="n"/>
      <c r="J637" s="61" t="n"/>
      <c r="K637" s="62" t="n"/>
      <c r="L637" s="63" t="n"/>
      <c r="M637" s="63" t="n"/>
      <c r="N637" s="68" t="n"/>
      <c r="O637" s="68" t="n"/>
      <c r="P637" s="68" t="n"/>
      <c r="Q637" s="68" t="n"/>
      <c r="R637" s="68" t="n"/>
    </row>
    <row r="638" ht="14.1" customFormat="1" customHeight="1" s="60">
      <c r="A638" s="199">
        <f>IF($H638="UNIDADE CONSTRUTIVA",OFFSET(A638,-1,0)+1,LARGE(A$3:A637,1))</f>
        <v/>
      </c>
      <c r="B638" s="199">
        <f>IF(H638="UNIDADE CONSTRUTIVA",0,IF(H638="CÉLULA CONSTRUTIVA",OFFSET(B638,-1,0)+1,OFFSET(B638,-1,0)))</f>
        <v/>
      </c>
      <c r="C638" s="199">
        <f>IF(H638="CÉLULA CONSTRUTIVA",0,IF(H638="ETAPA",OFFSET(C638,-1,0)+1,OFFSET(C638,-1,0)))</f>
        <v/>
      </c>
      <c r="D638" s="200">
        <f>IF(H638="ETAPA",0,IF(H638="SUBETAPA",OFFSET(D638,-1,0)+1,OFFSET(D638,-1,0)))</f>
        <v/>
      </c>
      <c r="E638" s="200">
        <f>IF(H638="Subetapa",0,IF(H638="serviço",OFFSET(E638,-1,0)+1,OFFSET(E638,-1,0)))</f>
        <v/>
      </c>
      <c r="F638" s="31" t="n"/>
      <c r="J638" s="61" t="n"/>
      <c r="K638" s="62" t="n"/>
      <c r="L638" s="63" t="n"/>
      <c r="M638" s="63" t="n"/>
      <c r="N638" s="68" t="n"/>
      <c r="O638" s="68" t="n"/>
      <c r="P638" s="68" t="n"/>
      <c r="Q638" s="68" t="n"/>
      <c r="R638" s="68" t="n"/>
    </row>
    <row r="639" ht="14.1" customFormat="1" customHeight="1" s="60">
      <c r="A639" s="199">
        <f>IF($H639="UNIDADE CONSTRUTIVA",OFFSET(A639,-1,0)+1,LARGE(A$3:A638,1))</f>
        <v/>
      </c>
      <c r="B639" s="199">
        <f>IF(H639="UNIDADE CONSTRUTIVA",0,IF(H639="CÉLULA CONSTRUTIVA",OFFSET(B639,-1,0)+1,OFFSET(B639,-1,0)))</f>
        <v/>
      </c>
      <c r="C639" s="199">
        <f>IF(H639="CÉLULA CONSTRUTIVA",0,IF(H639="ETAPA",OFFSET(C639,-1,0)+1,OFFSET(C639,-1,0)))</f>
        <v/>
      </c>
      <c r="D639" s="200">
        <f>IF(H639="ETAPA",0,IF(H639="SUBETAPA",OFFSET(D639,-1,0)+1,OFFSET(D639,-1,0)))</f>
        <v/>
      </c>
      <c r="E639" s="200">
        <f>IF(H639="Subetapa",0,IF(H639="serviço",OFFSET(E639,-1,0)+1,OFFSET(E639,-1,0)))</f>
        <v/>
      </c>
      <c r="F639" s="31" t="n"/>
      <c r="J639" s="61" t="n"/>
      <c r="K639" s="62" t="n"/>
      <c r="L639" s="63" t="n"/>
      <c r="M639" s="63" t="n"/>
      <c r="N639" s="68" t="n"/>
      <c r="O639" s="68" t="n"/>
      <c r="P639" s="68" t="n"/>
      <c r="Q639" s="68" t="n"/>
      <c r="R639" s="68" t="n"/>
    </row>
    <row r="640" ht="14.1" customFormat="1" customHeight="1" s="60">
      <c r="A640" s="199">
        <f>IF($H640="UNIDADE CONSTRUTIVA",OFFSET(A640,-1,0)+1,LARGE(A$3:A639,1))</f>
        <v/>
      </c>
      <c r="B640" s="199">
        <f>IF(H640="UNIDADE CONSTRUTIVA",0,IF(H640="CÉLULA CONSTRUTIVA",OFFSET(B640,-1,0)+1,OFFSET(B640,-1,0)))</f>
        <v/>
      </c>
      <c r="C640" s="199">
        <f>IF(H640="CÉLULA CONSTRUTIVA",0,IF(H640="ETAPA",OFFSET(C640,-1,0)+1,OFFSET(C640,-1,0)))</f>
        <v/>
      </c>
      <c r="D640" s="200">
        <f>IF(H640="ETAPA",0,IF(H640="SUBETAPA",OFFSET(D640,-1,0)+1,OFFSET(D640,-1,0)))</f>
        <v/>
      </c>
      <c r="E640" s="200">
        <f>IF(H640="Subetapa",0,IF(H640="serviço",OFFSET(E640,-1,0)+1,OFFSET(E640,-1,0)))</f>
        <v/>
      </c>
      <c r="F640" s="31" t="n"/>
      <c r="J640" s="61" t="n"/>
      <c r="K640" s="62" t="n"/>
      <c r="L640" s="63" t="n"/>
      <c r="M640" s="63" t="n"/>
      <c r="N640" s="68" t="n"/>
      <c r="O640" s="68" t="n"/>
      <c r="P640" s="68" t="n"/>
      <c r="Q640" s="68" t="n"/>
      <c r="R640" s="68" t="n"/>
    </row>
    <row r="641" ht="14.1" customFormat="1" customHeight="1" s="60">
      <c r="A641" s="199">
        <f>IF($H641="UNIDADE CONSTRUTIVA",OFFSET(A641,-1,0)+1,LARGE(A$3:A640,1))</f>
        <v/>
      </c>
      <c r="B641" s="199">
        <f>IF(H641="UNIDADE CONSTRUTIVA",0,IF(H641="CÉLULA CONSTRUTIVA",OFFSET(B641,-1,0)+1,OFFSET(B641,-1,0)))</f>
        <v/>
      </c>
      <c r="C641" s="199">
        <f>IF(H641="CÉLULA CONSTRUTIVA",0,IF(H641="ETAPA",OFFSET(C641,-1,0)+1,OFFSET(C641,-1,0)))</f>
        <v/>
      </c>
      <c r="D641" s="200">
        <f>IF(H641="ETAPA",0,IF(H641="SUBETAPA",OFFSET(D641,-1,0)+1,OFFSET(D641,-1,0)))</f>
        <v/>
      </c>
      <c r="E641" s="200">
        <f>IF(H641="Subetapa",0,IF(H641="serviço",OFFSET(E641,-1,0)+1,OFFSET(E641,-1,0)))</f>
        <v/>
      </c>
      <c r="F641" s="31" t="n"/>
      <c r="J641" s="61" t="n"/>
      <c r="K641" s="62" t="n"/>
      <c r="L641" s="63" t="n"/>
      <c r="M641" s="63" t="n"/>
      <c r="N641" s="68" t="n"/>
      <c r="O641" s="68" t="n"/>
      <c r="P641" s="68" t="n"/>
      <c r="Q641" s="68" t="n"/>
      <c r="R641" s="68" t="n"/>
    </row>
    <row r="642" ht="14.1" customFormat="1" customHeight="1" s="60">
      <c r="A642" s="199">
        <f>IF($H642="UNIDADE CONSTRUTIVA",OFFSET(A642,-1,0)+1,LARGE(A$3:A641,1))</f>
        <v/>
      </c>
      <c r="B642" s="199">
        <f>IF(H642="UNIDADE CONSTRUTIVA",0,IF(H642="CÉLULA CONSTRUTIVA",OFFSET(B642,-1,0)+1,OFFSET(B642,-1,0)))</f>
        <v/>
      </c>
      <c r="C642" s="199">
        <f>IF(H642="CÉLULA CONSTRUTIVA",0,IF(H642="ETAPA",OFFSET(C642,-1,0)+1,OFFSET(C642,-1,0)))</f>
        <v/>
      </c>
      <c r="D642" s="200">
        <f>IF(H642="ETAPA",0,IF(H642="SUBETAPA",OFFSET(D642,-1,0)+1,OFFSET(D642,-1,0)))</f>
        <v/>
      </c>
      <c r="E642" s="200">
        <f>IF(H642="Subetapa",0,IF(H642="serviço",OFFSET(E642,-1,0)+1,OFFSET(E642,-1,0)))</f>
        <v/>
      </c>
      <c r="F642" s="31" t="n"/>
      <c r="J642" s="61" t="n"/>
      <c r="K642" s="62" t="n"/>
      <c r="L642" s="63" t="n"/>
      <c r="M642" s="63" t="n"/>
      <c r="N642" s="68" t="n"/>
      <c r="O642" s="68" t="n"/>
      <c r="P642" s="68" t="n"/>
      <c r="Q642" s="68" t="n"/>
      <c r="R642" s="68" t="n"/>
    </row>
    <row r="643" ht="14.1" customFormat="1" customHeight="1" s="60">
      <c r="A643" s="199">
        <f>IF($H643="UNIDADE CONSTRUTIVA",OFFSET(A643,-1,0)+1,LARGE(A$3:A642,1))</f>
        <v/>
      </c>
      <c r="B643" s="199">
        <f>IF(H643="UNIDADE CONSTRUTIVA",0,IF(H643="CÉLULA CONSTRUTIVA",OFFSET(B643,-1,0)+1,OFFSET(B643,-1,0)))</f>
        <v/>
      </c>
      <c r="C643" s="199">
        <f>IF(H643="CÉLULA CONSTRUTIVA",0,IF(H643="ETAPA",OFFSET(C643,-1,0)+1,OFFSET(C643,-1,0)))</f>
        <v/>
      </c>
      <c r="D643" s="200">
        <f>IF(H643="ETAPA",0,IF(H643="SUBETAPA",OFFSET(D643,-1,0)+1,OFFSET(D643,-1,0)))</f>
        <v/>
      </c>
      <c r="E643" s="200">
        <f>IF(H643="Subetapa",0,IF(H643="serviço",OFFSET(E643,-1,0)+1,OFFSET(E643,-1,0)))</f>
        <v/>
      </c>
      <c r="F643" s="31" t="n"/>
      <c r="J643" s="61" t="n"/>
      <c r="K643" s="62" t="n"/>
      <c r="L643" s="63" t="n"/>
      <c r="M643" s="63" t="n"/>
      <c r="N643" s="68" t="n"/>
      <c r="O643" s="68" t="n"/>
      <c r="P643" s="68" t="n"/>
      <c r="Q643" s="68" t="n"/>
      <c r="R643" s="68" t="n"/>
    </row>
    <row r="644" ht="14.1" customFormat="1" customHeight="1" s="60">
      <c r="A644" s="199">
        <f>IF($H644="UNIDADE CONSTRUTIVA",OFFSET(A644,-1,0)+1,LARGE(A$3:A643,1))</f>
        <v/>
      </c>
      <c r="B644" s="199">
        <f>IF(H644="UNIDADE CONSTRUTIVA",0,IF(H644="CÉLULA CONSTRUTIVA",OFFSET(B644,-1,0)+1,OFFSET(B644,-1,0)))</f>
        <v/>
      </c>
      <c r="C644" s="199">
        <f>IF(H644="CÉLULA CONSTRUTIVA",0,IF(H644="ETAPA",OFFSET(C644,-1,0)+1,OFFSET(C644,-1,0)))</f>
        <v/>
      </c>
      <c r="D644" s="200">
        <f>IF(H644="ETAPA",0,IF(H644="SUBETAPA",OFFSET(D644,-1,0)+1,OFFSET(D644,-1,0)))</f>
        <v/>
      </c>
      <c r="E644" s="200">
        <f>IF(H644="Subetapa",0,IF(H644="serviço",OFFSET(E644,-1,0)+1,OFFSET(E644,-1,0)))</f>
        <v/>
      </c>
      <c r="F644" s="31" t="n"/>
      <c r="J644" s="61" t="n"/>
      <c r="K644" s="62" t="n"/>
      <c r="L644" s="63" t="n"/>
      <c r="M644" s="63" t="n"/>
      <c r="N644" s="68" t="n"/>
      <c r="O644" s="68" t="n"/>
      <c r="P644" s="68" t="n"/>
      <c r="Q644" s="68" t="n"/>
      <c r="R644" s="68" t="n"/>
    </row>
    <row r="645" ht="14.1" customFormat="1" customHeight="1" s="60">
      <c r="A645" s="199">
        <f>IF($H645="UNIDADE CONSTRUTIVA",OFFSET(A645,-1,0)+1,LARGE(A$3:A644,1))</f>
        <v/>
      </c>
      <c r="B645" s="199">
        <f>IF(H645="UNIDADE CONSTRUTIVA",0,IF(H645="CÉLULA CONSTRUTIVA",OFFSET(B645,-1,0)+1,OFFSET(B645,-1,0)))</f>
        <v/>
      </c>
      <c r="C645" s="199">
        <f>IF(H645="CÉLULA CONSTRUTIVA",0,IF(H645="ETAPA",OFFSET(C645,-1,0)+1,OFFSET(C645,-1,0)))</f>
        <v/>
      </c>
      <c r="D645" s="200">
        <f>IF(H645="ETAPA",0,IF(H645="SUBETAPA",OFFSET(D645,-1,0)+1,OFFSET(D645,-1,0)))</f>
        <v/>
      </c>
      <c r="E645" s="200">
        <f>IF(H645="Subetapa",0,IF(H645="serviço",OFFSET(E645,-1,0)+1,OFFSET(E645,-1,0)))</f>
        <v/>
      </c>
      <c r="F645" s="31" t="n"/>
      <c r="J645" s="61" t="n"/>
      <c r="K645" s="62" t="n"/>
      <c r="L645" s="63" t="n"/>
      <c r="M645" s="63" t="n"/>
      <c r="N645" s="68" t="n"/>
      <c r="O645" s="68" t="n"/>
      <c r="P645" s="68" t="n"/>
      <c r="Q645" s="68" t="n"/>
      <c r="R645" s="68" t="n"/>
    </row>
    <row r="646" ht="14.1" customFormat="1" customHeight="1" s="60">
      <c r="A646" s="199">
        <f>IF($H646="UNIDADE CONSTRUTIVA",OFFSET(A646,-1,0)+1,LARGE(A$3:A645,1))</f>
        <v/>
      </c>
      <c r="B646" s="199">
        <f>IF(H646="UNIDADE CONSTRUTIVA",0,IF(H646="CÉLULA CONSTRUTIVA",OFFSET(B646,-1,0)+1,OFFSET(B646,-1,0)))</f>
        <v/>
      </c>
      <c r="C646" s="199">
        <f>IF(H646="CÉLULA CONSTRUTIVA",0,IF(H646="ETAPA",OFFSET(C646,-1,0)+1,OFFSET(C646,-1,0)))</f>
        <v/>
      </c>
      <c r="D646" s="200">
        <f>IF(H646="ETAPA",0,IF(H646="SUBETAPA",OFFSET(D646,-1,0)+1,OFFSET(D646,-1,0)))</f>
        <v/>
      </c>
      <c r="E646" s="200">
        <f>IF(H646="Subetapa",0,IF(H646="serviço",OFFSET(E646,-1,0)+1,OFFSET(E646,-1,0)))</f>
        <v/>
      </c>
      <c r="F646" s="31" t="n"/>
      <c r="J646" s="61" t="n"/>
      <c r="K646" s="62" t="n"/>
      <c r="L646" s="63" t="n"/>
      <c r="M646" s="63" t="n"/>
      <c r="N646" s="68" t="n"/>
      <c r="O646" s="68" t="n"/>
      <c r="P646" s="68" t="n"/>
      <c r="Q646" s="68" t="n"/>
      <c r="R646" s="68" t="n"/>
    </row>
    <row r="647" ht="14.1" customFormat="1" customHeight="1" s="60">
      <c r="A647" s="199">
        <f>IF($H647="UNIDADE CONSTRUTIVA",OFFSET(A647,-1,0)+1,LARGE(A$3:A646,1))</f>
        <v/>
      </c>
      <c r="B647" s="199">
        <f>IF(H647="UNIDADE CONSTRUTIVA",0,IF(H647="CÉLULA CONSTRUTIVA",OFFSET(B647,-1,0)+1,OFFSET(B647,-1,0)))</f>
        <v/>
      </c>
      <c r="C647" s="199">
        <f>IF(H647="CÉLULA CONSTRUTIVA",0,IF(H647="ETAPA",OFFSET(C647,-1,0)+1,OFFSET(C647,-1,0)))</f>
        <v/>
      </c>
      <c r="D647" s="200">
        <f>IF(H647="ETAPA",0,IF(H647="SUBETAPA",OFFSET(D647,-1,0)+1,OFFSET(D647,-1,0)))</f>
        <v/>
      </c>
      <c r="E647" s="200">
        <f>IF(H647="Subetapa",0,IF(H647="serviço",OFFSET(E647,-1,0)+1,OFFSET(E647,-1,0)))</f>
        <v/>
      </c>
      <c r="F647" s="31" t="n"/>
      <c r="J647" s="61" t="n"/>
      <c r="K647" s="62" t="n"/>
      <c r="L647" s="63" t="n"/>
      <c r="M647" s="63" t="n"/>
      <c r="N647" s="68" t="n"/>
      <c r="O647" s="68" t="n"/>
      <c r="P647" s="68" t="n"/>
      <c r="Q647" s="68" t="n"/>
      <c r="R647" s="68" t="n"/>
    </row>
    <row r="648" ht="14.1" customFormat="1" customHeight="1" s="60">
      <c r="A648" s="199">
        <f>IF($H648="UNIDADE CONSTRUTIVA",OFFSET(A648,-1,0)+1,LARGE(A$3:A647,1))</f>
        <v/>
      </c>
      <c r="B648" s="199">
        <f>IF(H648="UNIDADE CONSTRUTIVA",0,IF(H648="CÉLULA CONSTRUTIVA",OFFSET(B648,-1,0)+1,OFFSET(B648,-1,0)))</f>
        <v/>
      </c>
      <c r="C648" s="199">
        <f>IF(H648="CÉLULA CONSTRUTIVA",0,IF(H648="ETAPA",OFFSET(C648,-1,0)+1,OFFSET(C648,-1,0)))</f>
        <v/>
      </c>
      <c r="D648" s="200">
        <f>IF(H648="ETAPA",0,IF(H648="SUBETAPA",OFFSET(D648,-1,0)+1,OFFSET(D648,-1,0)))</f>
        <v/>
      </c>
      <c r="E648" s="200">
        <f>IF(H648="Subetapa",0,IF(H648="serviço",OFFSET(E648,-1,0)+1,OFFSET(E648,-1,0)))</f>
        <v/>
      </c>
      <c r="F648" s="31" t="n"/>
      <c r="J648" s="61" t="n"/>
      <c r="K648" s="62" t="n"/>
      <c r="L648" s="63" t="n"/>
      <c r="M648" s="63" t="n"/>
      <c r="N648" s="68" t="n"/>
      <c r="O648" s="68" t="n"/>
      <c r="P648" s="68" t="n"/>
      <c r="Q648" s="68" t="n"/>
      <c r="R648" s="68" t="n"/>
    </row>
    <row r="649" ht="14.1" customFormat="1" customHeight="1" s="60">
      <c r="A649" s="199">
        <f>IF($H649="UNIDADE CONSTRUTIVA",OFFSET(A649,-1,0)+1,LARGE(A$3:A648,1))</f>
        <v/>
      </c>
      <c r="B649" s="199">
        <f>IF(H649="UNIDADE CONSTRUTIVA",0,IF(H649="CÉLULA CONSTRUTIVA",OFFSET(B649,-1,0)+1,OFFSET(B649,-1,0)))</f>
        <v/>
      </c>
      <c r="C649" s="199">
        <f>IF(H649="CÉLULA CONSTRUTIVA",0,IF(H649="ETAPA",OFFSET(C649,-1,0)+1,OFFSET(C649,-1,0)))</f>
        <v/>
      </c>
      <c r="D649" s="200">
        <f>IF(H649="ETAPA",0,IF(H649="SUBETAPA",OFFSET(D649,-1,0)+1,OFFSET(D649,-1,0)))</f>
        <v/>
      </c>
      <c r="E649" s="200">
        <f>IF(H649="Subetapa",0,IF(H649="serviço",OFFSET(E649,-1,0)+1,OFFSET(E649,-1,0)))</f>
        <v/>
      </c>
      <c r="F649" s="31" t="n"/>
      <c r="J649" s="61" t="n"/>
      <c r="K649" s="62" t="n"/>
      <c r="L649" s="63" t="n"/>
      <c r="M649" s="63" t="n"/>
      <c r="N649" s="68" t="n"/>
      <c r="O649" s="68" t="n"/>
      <c r="P649" s="68" t="n"/>
      <c r="Q649" s="68" t="n"/>
      <c r="R649" s="68" t="n"/>
    </row>
    <row r="650" ht="14.1" customFormat="1" customHeight="1" s="60">
      <c r="A650" s="199">
        <f>IF($H650="UNIDADE CONSTRUTIVA",OFFSET(A650,-1,0)+1,LARGE(A$3:A649,1))</f>
        <v/>
      </c>
      <c r="B650" s="199">
        <f>IF(H650="UNIDADE CONSTRUTIVA",0,IF(H650="CÉLULA CONSTRUTIVA",OFFSET(B650,-1,0)+1,OFFSET(B650,-1,0)))</f>
        <v/>
      </c>
      <c r="C650" s="199">
        <f>IF(H650="CÉLULA CONSTRUTIVA",0,IF(H650="ETAPA",OFFSET(C650,-1,0)+1,OFFSET(C650,-1,0)))</f>
        <v/>
      </c>
      <c r="D650" s="200">
        <f>IF(H650="ETAPA",0,IF(H650="SUBETAPA",OFFSET(D650,-1,0)+1,OFFSET(D650,-1,0)))</f>
        <v/>
      </c>
      <c r="E650" s="200">
        <f>IF(H650="Subetapa",0,IF(H650="serviço",OFFSET(E650,-1,0)+1,OFFSET(E650,-1,0)))</f>
        <v/>
      </c>
      <c r="F650" s="31" t="n"/>
      <c r="J650" s="61" t="n"/>
      <c r="K650" s="62" t="n"/>
      <c r="L650" s="63" t="n"/>
      <c r="M650" s="63" t="n"/>
      <c r="N650" s="68" t="n"/>
      <c r="O650" s="68" t="n"/>
      <c r="P650" s="68" t="n"/>
      <c r="Q650" s="68" t="n"/>
      <c r="R650" s="68" t="n"/>
    </row>
    <row r="651" ht="14.1" customFormat="1" customHeight="1" s="60">
      <c r="A651" s="199">
        <f>IF($H651="UNIDADE CONSTRUTIVA",OFFSET(A651,-1,0)+1,LARGE(A$3:A650,1))</f>
        <v/>
      </c>
      <c r="B651" s="199">
        <f>IF(H651="UNIDADE CONSTRUTIVA",0,IF(H651="CÉLULA CONSTRUTIVA",OFFSET(B651,-1,0)+1,OFFSET(B651,-1,0)))</f>
        <v/>
      </c>
      <c r="C651" s="199">
        <f>IF(H651="CÉLULA CONSTRUTIVA",0,IF(H651="ETAPA",OFFSET(C651,-1,0)+1,OFFSET(C651,-1,0)))</f>
        <v/>
      </c>
      <c r="D651" s="200">
        <f>IF(H651="ETAPA",0,IF(H651="SUBETAPA",OFFSET(D651,-1,0)+1,OFFSET(D651,-1,0)))</f>
        <v/>
      </c>
      <c r="E651" s="200">
        <f>IF(H651="Subetapa",0,IF(H651="serviço",OFFSET(E651,-1,0)+1,OFFSET(E651,-1,0)))</f>
        <v/>
      </c>
      <c r="F651" s="31" t="n"/>
      <c r="J651" s="61" t="n"/>
      <c r="K651" s="62" t="n"/>
      <c r="L651" s="63" t="n"/>
      <c r="M651" s="63" t="n"/>
      <c r="N651" s="68" t="n"/>
      <c r="O651" s="68" t="n"/>
      <c r="P651" s="68" t="n"/>
      <c r="Q651" s="68" t="n"/>
      <c r="R651" s="68" t="n"/>
    </row>
    <row r="652" ht="14.1" customFormat="1" customHeight="1" s="60">
      <c r="A652" s="199">
        <f>IF($H652="UNIDADE CONSTRUTIVA",OFFSET(A652,-1,0)+1,LARGE(A$3:A651,1))</f>
        <v/>
      </c>
      <c r="B652" s="199">
        <f>IF(H652="UNIDADE CONSTRUTIVA",0,IF(H652="CÉLULA CONSTRUTIVA",OFFSET(B652,-1,0)+1,OFFSET(B652,-1,0)))</f>
        <v/>
      </c>
      <c r="C652" s="199">
        <f>IF(H652="CÉLULA CONSTRUTIVA",0,IF(H652="ETAPA",OFFSET(C652,-1,0)+1,OFFSET(C652,-1,0)))</f>
        <v/>
      </c>
      <c r="D652" s="200">
        <f>IF(H652="ETAPA",0,IF(H652="SUBETAPA",OFFSET(D652,-1,0)+1,OFFSET(D652,-1,0)))</f>
        <v/>
      </c>
      <c r="E652" s="200">
        <f>IF(H652="Subetapa",0,IF(H652="serviço",OFFSET(E652,-1,0)+1,OFFSET(E652,-1,0)))</f>
        <v/>
      </c>
      <c r="F652" s="31" t="n"/>
      <c r="J652" s="61" t="n"/>
      <c r="K652" s="62" t="n"/>
      <c r="L652" s="63" t="n"/>
      <c r="M652" s="63" t="n"/>
      <c r="N652" s="68" t="n"/>
      <c r="O652" s="68" t="n"/>
      <c r="P652" s="68" t="n"/>
      <c r="Q652" s="68" t="n"/>
      <c r="R652" s="68" t="n"/>
    </row>
    <row r="653" ht="14.1" customFormat="1" customHeight="1" s="60">
      <c r="A653" s="199">
        <f>IF($H653="UNIDADE CONSTRUTIVA",OFFSET(A653,-1,0)+1,LARGE(A$3:A652,1))</f>
        <v/>
      </c>
      <c r="B653" s="199">
        <f>IF(H653="UNIDADE CONSTRUTIVA",0,IF(H653="CÉLULA CONSTRUTIVA",OFFSET(B653,-1,0)+1,OFFSET(B653,-1,0)))</f>
        <v/>
      </c>
      <c r="C653" s="199">
        <f>IF(H653="CÉLULA CONSTRUTIVA",0,IF(H653="ETAPA",OFFSET(C653,-1,0)+1,OFFSET(C653,-1,0)))</f>
        <v/>
      </c>
      <c r="D653" s="200">
        <f>IF(H653="ETAPA",0,IF(H653="SUBETAPA",OFFSET(D653,-1,0)+1,OFFSET(D653,-1,0)))</f>
        <v/>
      </c>
      <c r="E653" s="200">
        <f>IF(H653="Subetapa",0,IF(H653="serviço",OFFSET(E653,-1,0)+1,OFFSET(E653,-1,0)))</f>
        <v/>
      </c>
      <c r="F653" s="31" t="n"/>
      <c r="J653" s="61" t="n"/>
      <c r="K653" s="62" t="n"/>
      <c r="L653" s="63" t="n"/>
      <c r="M653" s="63" t="n"/>
      <c r="N653" s="68" t="n"/>
      <c r="O653" s="68" t="n"/>
      <c r="P653" s="68" t="n"/>
      <c r="Q653" s="68" t="n"/>
      <c r="R653" s="68" t="n"/>
    </row>
    <row r="654" ht="14.1" customFormat="1" customHeight="1" s="60">
      <c r="A654" s="199">
        <f>IF($H654="UNIDADE CONSTRUTIVA",OFFSET(A654,-1,0)+1,LARGE(A$3:A653,1))</f>
        <v/>
      </c>
      <c r="B654" s="199">
        <f>IF(H654="UNIDADE CONSTRUTIVA",0,IF(H654="CÉLULA CONSTRUTIVA",OFFSET(B654,-1,0)+1,OFFSET(B654,-1,0)))</f>
        <v/>
      </c>
      <c r="C654" s="199">
        <f>IF(H654="CÉLULA CONSTRUTIVA",0,IF(H654="ETAPA",OFFSET(C654,-1,0)+1,OFFSET(C654,-1,0)))</f>
        <v/>
      </c>
      <c r="D654" s="200">
        <f>IF(H654="ETAPA",0,IF(H654="SUBETAPA",OFFSET(D654,-1,0)+1,OFFSET(D654,-1,0)))</f>
        <v/>
      </c>
      <c r="E654" s="200">
        <f>IF(H654="Subetapa",0,IF(H654="serviço",OFFSET(E654,-1,0)+1,OFFSET(E654,-1,0)))</f>
        <v/>
      </c>
      <c r="F654" s="31" t="n"/>
      <c r="J654" s="61" t="n"/>
      <c r="K654" s="62" t="n"/>
      <c r="L654" s="63" t="n"/>
      <c r="M654" s="63" t="n"/>
      <c r="N654" s="68" t="n"/>
      <c r="O654" s="68" t="n"/>
      <c r="P654" s="68" t="n"/>
      <c r="Q654" s="68" t="n"/>
      <c r="R654" s="68" t="n"/>
    </row>
    <row r="655" ht="14.1" customFormat="1" customHeight="1" s="60">
      <c r="A655" s="199">
        <f>IF($H655="UNIDADE CONSTRUTIVA",OFFSET(A655,-1,0)+1,LARGE(A$3:A654,1))</f>
        <v/>
      </c>
      <c r="B655" s="199">
        <f>IF(H655="UNIDADE CONSTRUTIVA",0,IF(H655="CÉLULA CONSTRUTIVA",OFFSET(B655,-1,0)+1,OFFSET(B655,-1,0)))</f>
        <v/>
      </c>
      <c r="C655" s="199">
        <f>IF(H655="CÉLULA CONSTRUTIVA",0,IF(H655="ETAPA",OFFSET(C655,-1,0)+1,OFFSET(C655,-1,0)))</f>
        <v/>
      </c>
      <c r="D655" s="200">
        <f>IF(H655="ETAPA",0,IF(H655="SUBETAPA",OFFSET(D655,-1,0)+1,OFFSET(D655,-1,0)))</f>
        <v/>
      </c>
      <c r="E655" s="200">
        <f>IF(H655="Subetapa",0,IF(H655="serviço",OFFSET(E655,-1,0)+1,OFFSET(E655,-1,0)))</f>
        <v/>
      </c>
      <c r="F655" s="31" t="n"/>
      <c r="J655" s="61" t="n"/>
      <c r="K655" s="62" t="n"/>
      <c r="L655" s="63" t="n"/>
      <c r="M655" s="63" t="n"/>
      <c r="N655" s="68" t="n"/>
      <c r="O655" s="68" t="n"/>
      <c r="P655" s="68" t="n"/>
      <c r="Q655" s="68" t="n"/>
      <c r="R655" s="68" t="n"/>
    </row>
    <row r="656" ht="14.1" customFormat="1" customHeight="1" s="60">
      <c r="A656" s="199">
        <f>IF($H656="UNIDADE CONSTRUTIVA",OFFSET(A656,-1,0)+1,LARGE(A$3:A655,1))</f>
        <v/>
      </c>
      <c r="B656" s="199">
        <f>IF(H656="UNIDADE CONSTRUTIVA",0,IF(H656="CÉLULA CONSTRUTIVA",OFFSET(B656,-1,0)+1,OFFSET(B656,-1,0)))</f>
        <v/>
      </c>
      <c r="C656" s="199">
        <f>IF(H656="CÉLULA CONSTRUTIVA",0,IF(H656="ETAPA",OFFSET(C656,-1,0)+1,OFFSET(C656,-1,0)))</f>
        <v/>
      </c>
      <c r="D656" s="200">
        <f>IF(H656="ETAPA",0,IF(H656="SUBETAPA",OFFSET(D656,-1,0)+1,OFFSET(D656,-1,0)))</f>
        <v/>
      </c>
      <c r="E656" s="200">
        <f>IF(H656="Subetapa",0,IF(H656="serviço",OFFSET(E656,-1,0)+1,OFFSET(E656,-1,0)))</f>
        <v/>
      </c>
      <c r="F656" s="31" t="n"/>
      <c r="J656" s="61" t="n"/>
      <c r="K656" s="62" t="n"/>
      <c r="L656" s="63" t="n"/>
      <c r="M656" s="63" t="n"/>
      <c r="N656" s="68" t="n"/>
      <c r="O656" s="68" t="n"/>
      <c r="P656" s="68" t="n"/>
      <c r="Q656" s="68" t="n"/>
      <c r="R656" s="68" t="n"/>
    </row>
    <row r="657" ht="14.1" customFormat="1" customHeight="1" s="60">
      <c r="A657" s="199">
        <f>IF($H657="UNIDADE CONSTRUTIVA",OFFSET(A657,-1,0)+1,LARGE(A$3:A656,1))</f>
        <v/>
      </c>
      <c r="B657" s="199">
        <f>IF(H657="UNIDADE CONSTRUTIVA",0,IF(H657="CÉLULA CONSTRUTIVA",OFFSET(B657,-1,0)+1,OFFSET(B657,-1,0)))</f>
        <v/>
      </c>
      <c r="C657" s="199">
        <f>IF(H657="CÉLULA CONSTRUTIVA",0,IF(H657="ETAPA",OFFSET(C657,-1,0)+1,OFFSET(C657,-1,0)))</f>
        <v/>
      </c>
      <c r="D657" s="200">
        <f>IF(H657="ETAPA",0,IF(H657="SUBETAPA",OFFSET(D657,-1,0)+1,OFFSET(D657,-1,0)))</f>
        <v/>
      </c>
      <c r="E657" s="200">
        <f>IF(H657="Subetapa",0,IF(H657="serviço",OFFSET(E657,-1,0)+1,OFFSET(E657,-1,0)))</f>
        <v/>
      </c>
      <c r="F657" s="31" t="n"/>
      <c r="J657" s="61" t="n"/>
      <c r="K657" s="62" t="n"/>
      <c r="L657" s="63" t="n"/>
      <c r="M657" s="63" t="n"/>
      <c r="N657" s="68" t="n"/>
      <c r="O657" s="68" t="n"/>
      <c r="P657" s="68" t="n"/>
      <c r="Q657" s="68" t="n"/>
      <c r="R657" s="68" t="n"/>
    </row>
    <row r="658" ht="14.1" customFormat="1" customHeight="1" s="60">
      <c r="A658" s="199">
        <f>IF($H658="UNIDADE CONSTRUTIVA",OFFSET(A658,-1,0)+1,LARGE(A$3:A657,1))</f>
        <v/>
      </c>
      <c r="B658" s="199">
        <f>IF(H658="UNIDADE CONSTRUTIVA",0,IF(H658="CÉLULA CONSTRUTIVA",OFFSET(B658,-1,0)+1,OFFSET(B658,-1,0)))</f>
        <v/>
      </c>
      <c r="C658" s="199">
        <f>IF(H658="CÉLULA CONSTRUTIVA",0,IF(H658="ETAPA",OFFSET(C658,-1,0)+1,OFFSET(C658,-1,0)))</f>
        <v/>
      </c>
      <c r="D658" s="200">
        <f>IF(H658="ETAPA",0,IF(H658="SUBETAPA",OFFSET(D658,-1,0)+1,OFFSET(D658,-1,0)))</f>
        <v/>
      </c>
      <c r="E658" s="200">
        <f>IF(H658="Subetapa",0,IF(H658="serviço",OFFSET(E658,-1,0)+1,OFFSET(E658,-1,0)))</f>
        <v/>
      </c>
      <c r="F658" s="31" t="n"/>
      <c r="J658" s="61" t="n"/>
      <c r="K658" s="62" t="n"/>
      <c r="L658" s="63" t="n"/>
      <c r="M658" s="63" t="n"/>
      <c r="N658" s="68" t="n"/>
      <c r="O658" s="68" t="n"/>
      <c r="P658" s="68" t="n"/>
      <c r="Q658" s="68" t="n"/>
      <c r="R658" s="68" t="n"/>
    </row>
    <row r="659" ht="14.1" customFormat="1" customHeight="1" s="60">
      <c r="A659" s="199">
        <f>IF($H659="UNIDADE CONSTRUTIVA",OFFSET(A659,-1,0)+1,LARGE(A$3:A658,1))</f>
        <v/>
      </c>
      <c r="B659" s="199">
        <f>IF(H659="UNIDADE CONSTRUTIVA",0,IF(H659="CÉLULA CONSTRUTIVA",OFFSET(B659,-1,0)+1,OFFSET(B659,-1,0)))</f>
        <v/>
      </c>
      <c r="C659" s="199">
        <f>IF(H659="CÉLULA CONSTRUTIVA",0,IF(H659="ETAPA",OFFSET(C659,-1,0)+1,OFFSET(C659,-1,0)))</f>
        <v/>
      </c>
      <c r="D659" s="200">
        <f>IF(H659="ETAPA",0,IF(H659="SUBETAPA",OFFSET(D659,-1,0)+1,OFFSET(D659,-1,0)))</f>
        <v/>
      </c>
      <c r="E659" s="200">
        <f>IF(H659="Subetapa",0,IF(H659="serviço",OFFSET(E659,-1,0)+1,OFFSET(E659,-1,0)))</f>
        <v/>
      </c>
      <c r="F659" s="31" t="n"/>
      <c r="J659" s="61" t="n"/>
      <c r="K659" s="62" t="n"/>
      <c r="L659" s="63" t="n"/>
      <c r="M659" s="63" t="n"/>
      <c r="N659" s="68" t="n"/>
      <c r="O659" s="68" t="n"/>
      <c r="P659" s="68" t="n"/>
      <c r="Q659" s="68" t="n"/>
      <c r="R659" s="68" t="n"/>
    </row>
    <row r="660" ht="14.1" customFormat="1" customHeight="1" s="60">
      <c r="A660" s="199">
        <f>IF($H660="UNIDADE CONSTRUTIVA",OFFSET(A660,-1,0)+1,LARGE(A$3:A659,1))</f>
        <v/>
      </c>
      <c r="B660" s="199">
        <f>IF(H660="UNIDADE CONSTRUTIVA",0,IF(H660="CÉLULA CONSTRUTIVA",OFFSET(B660,-1,0)+1,OFFSET(B660,-1,0)))</f>
        <v/>
      </c>
      <c r="C660" s="199">
        <f>IF(H660="CÉLULA CONSTRUTIVA",0,IF(H660="ETAPA",OFFSET(C660,-1,0)+1,OFFSET(C660,-1,0)))</f>
        <v/>
      </c>
      <c r="D660" s="200">
        <f>IF(H660="ETAPA",0,IF(H660="SUBETAPA",OFFSET(D660,-1,0)+1,OFFSET(D660,-1,0)))</f>
        <v/>
      </c>
      <c r="E660" s="200">
        <f>IF(H660="Subetapa",0,IF(H660="serviço",OFFSET(E660,-1,0)+1,OFFSET(E660,-1,0)))</f>
        <v/>
      </c>
      <c r="F660" s="31" t="n"/>
      <c r="J660" s="61" t="n"/>
      <c r="K660" s="62" t="n"/>
      <c r="L660" s="63" t="n"/>
      <c r="M660" s="63" t="n"/>
      <c r="N660" s="68" t="n"/>
      <c r="O660" s="68" t="n"/>
      <c r="P660" s="68" t="n"/>
      <c r="Q660" s="68" t="n"/>
      <c r="R660" s="68" t="n"/>
    </row>
    <row r="661" ht="14.1" customFormat="1" customHeight="1" s="60">
      <c r="A661" s="199">
        <f>IF($H661="UNIDADE CONSTRUTIVA",OFFSET(A661,-1,0)+1,LARGE(A$3:A660,1))</f>
        <v/>
      </c>
      <c r="B661" s="199">
        <f>IF(H661="UNIDADE CONSTRUTIVA",0,IF(H661="CÉLULA CONSTRUTIVA",OFFSET(B661,-1,0)+1,OFFSET(B661,-1,0)))</f>
        <v/>
      </c>
      <c r="C661" s="199">
        <f>IF(H661="CÉLULA CONSTRUTIVA",0,IF(H661="ETAPA",OFFSET(C661,-1,0)+1,OFFSET(C661,-1,0)))</f>
        <v/>
      </c>
      <c r="D661" s="200">
        <f>IF(H661="ETAPA",0,IF(H661="SUBETAPA",OFFSET(D661,-1,0)+1,OFFSET(D661,-1,0)))</f>
        <v/>
      </c>
      <c r="E661" s="200">
        <f>IF(H661="Subetapa",0,IF(H661="serviço",OFFSET(E661,-1,0)+1,OFFSET(E661,-1,0)))</f>
        <v/>
      </c>
      <c r="F661" s="31" t="n"/>
      <c r="J661" s="61" t="n"/>
      <c r="K661" s="62" t="n"/>
      <c r="L661" s="63" t="n"/>
      <c r="M661" s="63" t="n"/>
      <c r="N661" s="68" t="n"/>
      <c r="O661" s="68" t="n"/>
      <c r="P661" s="68" t="n"/>
      <c r="Q661" s="68" t="n"/>
      <c r="R661" s="68" t="n"/>
    </row>
    <row r="662" ht="14.1" customFormat="1" customHeight="1" s="60">
      <c r="A662" s="199">
        <f>IF($H662="UNIDADE CONSTRUTIVA",OFFSET(A662,-1,0)+1,LARGE(A$3:A661,1))</f>
        <v/>
      </c>
      <c r="B662" s="199">
        <f>IF(H662="UNIDADE CONSTRUTIVA",0,IF(H662="CÉLULA CONSTRUTIVA",OFFSET(B662,-1,0)+1,OFFSET(B662,-1,0)))</f>
        <v/>
      </c>
      <c r="C662" s="199">
        <f>IF(H662="CÉLULA CONSTRUTIVA",0,IF(H662="ETAPA",OFFSET(C662,-1,0)+1,OFFSET(C662,-1,0)))</f>
        <v/>
      </c>
      <c r="D662" s="200">
        <f>IF(H662="ETAPA",0,IF(H662="SUBETAPA",OFFSET(D662,-1,0)+1,OFFSET(D662,-1,0)))</f>
        <v/>
      </c>
      <c r="E662" s="200">
        <f>IF(H662="Subetapa",0,IF(H662="serviço",OFFSET(E662,-1,0)+1,OFFSET(E662,-1,0)))</f>
        <v/>
      </c>
      <c r="F662" s="31" t="n"/>
      <c r="J662" s="61" t="n"/>
      <c r="K662" s="62" t="n"/>
      <c r="L662" s="63" t="n"/>
      <c r="M662" s="63" t="n"/>
      <c r="N662" s="68" t="n"/>
      <c r="O662" s="68" t="n"/>
      <c r="P662" s="68" t="n"/>
      <c r="Q662" s="68" t="n"/>
      <c r="R662" s="68" t="n"/>
    </row>
    <row r="663" ht="14.1" customFormat="1" customHeight="1" s="60">
      <c r="A663" s="199">
        <f>IF($H663="UNIDADE CONSTRUTIVA",OFFSET(A663,-1,0)+1,LARGE(A$3:A662,1))</f>
        <v/>
      </c>
      <c r="B663" s="199">
        <f>IF(H663="UNIDADE CONSTRUTIVA",0,IF(H663="CÉLULA CONSTRUTIVA",OFFSET(B663,-1,0)+1,OFFSET(B663,-1,0)))</f>
        <v/>
      </c>
      <c r="C663" s="199">
        <f>IF(H663="CÉLULA CONSTRUTIVA",0,IF(H663="ETAPA",OFFSET(C663,-1,0)+1,OFFSET(C663,-1,0)))</f>
        <v/>
      </c>
      <c r="D663" s="200">
        <f>IF(H663="ETAPA",0,IF(H663="SUBETAPA",OFFSET(D663,-1,0)+1,OFFSET(D663,-1,0)))</f>
        <v/>
      </c>
      <c r="E663" s="200">
        <f>IF(H663="Subetapa",0,IF(H663="serviço",OFFSET(E663,-1,0)+1,OFFSET(E663,-1,0)))</f>
        <v/>
      </c>
      <c r="F663" s="31" t="n"/>
      <c r="J663" s="61" t="n"/>
      <c r="K663" s="62" t="n"/>
      <c r="L663" s="63" t="n"/>
      <c r="M663" s="63" t="n"/>
      <c r="N663" s="68" t="n"/>
      <c r="O663" s="68" t="n"/>
      <c r="P663" s="68" t="n"/>
      <c r="Q663" s="68" t="n"/>
      <c r="R663" s="68" t="n"/>
    </row>
    <row r="664" ht="14.1" customFormat="1" customHeight="1" s="60">
      <c r="A664" s="199">
        <f>IF($H664="UNIDADE CONSTRUTIVA",OFFSET(A664,-1,0)+1,LARGE(A$3:A663,1))</f>
        <v/>
      </c>
      <c r="B664" s="199">
        <f>IF(H664="UNIDADE CONSTRUTIVA",0,IF(H664="CÉLULA CONSTRUTIVA",OFFSET(B664,-1,0)+1,OFFSET(B664,-1,0)))</f>
        <v/>
      </c>
      <c r="C664" s="199">
        <f>IF(H664="CÉLULA CONSTRUTIVA",0,IF(H664="ETAPA",OFFSET(C664,-1,0)+1,OFFSET(C664,-1,0)))</f>
        <v/>
      </c>
      <c r="D664" s="200">
        <f>IF(H664="ETAPA",0,IF(H664="SUBETAPA",OFFSET(D664,-1,0)+1,OFFSET(D664,-1,0)))</f>
        <v/>
      </c>
      <c r="E664" s="200">
        <f>IF(H664="Subetapa",0,IF(H664="serviço",OFFSET(E664,-1,0)+1,OFFSET(E664,-1,0)))</f>
        <v/>
      </c>
      <c r="F664" s="31" t="n"/>
      <c r="J664" s="61" t="n"/>
      <c r="K664" s="62" t="n"/>
      <c r="L664" s="63" t="n"/>
      <c r="M664" s="63" t="n"/>
      <c r="N664" s="68" t="n"/>
      <c r="O664" s="68" t="n"/>
      <c r="P664" s="68" t="n"/>
      <c r="Q664" s="68" t="n"/>
      <c r="R664" s="68" t="n"/>
    </row>
    <row r="665" ht="14.1" customFormat="1" customHeight="1" s="60">
      <c r="A665" s="199">
        <f>IF($H665="UNIDADE CONSTRUTIVA",OFFSET(A665,-1,0)+1,LARGE(A$3:A664,1))</f>
        <v/>
      </c>
      <c r="B665" s="199">
        <f>IF(H665="UNIDADE CONSTRUTIVA",0,IF(H665="CÉLULA CONSTRUTIVA",OFFSET(B665,-1,0)+1,OFFSET(B665,-1,0)))</f>
        <v/>
      </c>
      <c r="C665" s="199">
        <f>IF(H665="CÉLULA CONSTRUTIVA",0,IF(H665="ETAPA",OFFSET(C665,-1,0)+1,OFFSET(C665,-1,0)))</f>
        <v/>
      </c>
      <c r="D665" s="200">
        <f>IF(H665="ETAPA",0,IF(H665="SUBETAPA",OFFSET(D665,-1,0)+1,OFFSET(D665,-1,0)))</f>
        <v/>
      </c>
      <c r="E665" s="200">
        <f>IF(H665="Subetapa",0,IF(H665="serviço",OFFSET(E665,-1,0)+1,OFFSET(E665,-1,0)))</f>
        <v/>
      </c>
      <c r="F665" s="31" t="n"/>
      <c r="J665" s="61" t="n"/>
      <c r="K665" s="62" t="n"/>
      <c r="L665" s="63" t="n"/>
      <c r="M665" s="63" t="n"/>
      <c r="N665" s="68" t="n"/>
      <c r="O665" s="68" t="n"/>
      <c r="P665" s="68" t="n"/>
      <c r="Q665" s="68" t="n"/>
      <c r="R665" s="68" t="n"/>
    </row>
    <row r="666" ht="14.1" customFormat="1" customHeight="1" s="60">
      <c r="A666" s="199">
        <f>IF($H666="UNIDADE CONSTRUTIVA",OFFSET(A666,-1,0)+1,LARGE(A$3:A665,1))</f>
        <v/>
      </c>
      <c r="B666" s="199">
        <f>IF(H666="UNIDADE CONSTRUTIVA",0,IF(H666="CÉLULA CONSTRUTIVA",OFFSET(B666,-1,0)+1,OFFSET(B666,-1,0)))</f>
        <v/>
      </c>
      <c r="C666" s="199">
        <f>IF(H666="CÉLULA CONSTRUTIVA",0,IF(H666="ETAPA",OFFSET(C666,-1,0)+1,OFFSET(C666,-1,0)))</f>
        <v/>
      </c>
      <c r="D666" s="200">
        <f>IF(H666="ETAPA",0,IF(H666="SUBETAPA",OFFSET(D666,-1,0)+1,OFFSET(D666,-1,0)))</f>
        <v/>
      </c>
      <c r="E666" s="200">
        <f>IF(H666="Subetapa",0,IF(H666="serviço",OFFSET(E666,-1,0)+1,OFFSET(E666,-1,0)))</f>
        <v/>
      </c>
      <c r="F666" s="31" t="n"/>
      <c r="J666" s="61" t="n"/>
      <c r="K666" s="62" t="n"/>
      <c r="L666" s="63" t="n"/>
      <c r="M666" s="63" t="n"/>
      <c r="N666" s="68" t="n"/>
      <c r="O666" s="68" t="n"/>
      <c r="P666" s="68" t="n"/>
      <c r="Q666" s="68" t="n"/>
      <c r="R666" s="68" t="n"/>
    </row>
    <row r="667" ht="14.1" customFormat="1" customHeight="1" s="60">
      <c r="A667" s="199">
        <f>IF($H667="UNIDADE CONSTRUTIVA",OFFSET(A667,-1,0)+1,LARGE(A$3:A666,1))</f>
        <v/>
      </c>
      <c r="B667" s="199">
        <f>IF(H667="UNIDADE CONSTRUTIVA",0,IF(H667="CÉLULA CONSTRUTIVA",OFFSET(B667,-1,0)+1,OFFSET(B667,-1,0)))</f>
        <v/>
      </c>
      <c r="C667" s="199">
        <f>IF(H667="CÉLULA CONSTRUTIVA",0,IF(H667="ETAPA",OFFSET(C667,-1,0)+1,OFFSET(C667,-1,0)))</f>
        <v/>
      </c>
      <c r="D667" s="200">
        <f>IF(H667="ETAPA",0,IF(H667="SUBETAPA",OFFSET(D667,-1,0)+1,OFFSET(D667,-1,0)))</f>
        <v/>
      </c>
      <c r="E667" s="200">
        <f>IF(H667="Subetapa",0,IF(H667="serviço",OFFSET(E667,-1,0)+1,OFFSET(E667,-1,0)))</f>
        <v/>
      </c>
      <c r="F667" s="31" t="n"/>
      <c r="J667" s="61" t="n"/>
      <c r="K667" s="62" t="n"/>
      <c r="L667" s="63" t="n"/>
      <c r="M667" s="63" t="n"/>
      <c r="N667" s="68" t="n"/>
      <c r="O667" s="68" t="n"/>
      <c r="P667" s="68" t="n"/>
      <c r="Q667" s="68" t="n"/>
      <c r="R667" s="68" t="n"/>
    </row>
    <row r="668" ht="14.1" customFormat="1" customHeight="1" s="60">
      <c r="A668" s="199">
        <f>IF($H668="UNIDADE CONSTRUTIVA",OFFSET(A668,-1,0)+1,LARGE(A$3:A667,1))</f>
        <v/>
      </c>
      <c r="B668" s="199">
        <f>IF(H668="UNIDADE CONSTRUTIVA",0,IF(H668="CÉLULA CONSTRUTIVA",OFFSET(B668,-1,0)+1,OFFSET(B668,-1,0)))</f>
        <v/>
      </c>
      <c r="C668" s="199">
        <f>IF(H668="CÉLULA CONSTRUTIVA",0,IF(H668="ETAPA",OFFSET(C668,-1,0)+1,OFFSET(C668,-1,0)))</f>
        <v/>
      </c>
      <c r="D668" s="200">
        <f>IF(H668="ETAPA",0,IF(H668="SUBETAPA",OFFSET(D668,-1,0)+1,OFFSET(D668,-1,0)))</f>
        <v/>
      </c>
      <c r="E668" s="200">
        <f>IF(H668="Subetapa",0,IF(H668="serviço",OFFSET(E668,-1,0)+1,OFFSET(E668,-1,0)))</f>
        <v/>
      </c>
      <c r="F668" s="31" t="n"/>
      <c r="J668" s="61" t="n"/>
      <c r="K668" s="62" t="n"/>
      <c r="L668" s="63" t="n"/>
      <c r="M668" s="63" t="n"/>
      <c r="N668" s="68" t="n"/>
      <c r="O668" s="68" t="n"/>
      <c r="P668" s="68" t="n"/>
      <c r="Q668" s="68" t="n"/>
      <c r="R668" s="68" t="n"/>
    </row>
    <row r="669" ht="14.1" customFormat="1" customHeight="1" s="60">
      <c r="A669" s="199">
        <f>IF($H669="UNIDADE CONSTRUTIVA",OFFSET(A669,-1,0)+1,LARGE(A$3:A668,1))</f>
        <v/>
      </c>
      <c r="B669" s="199">
        <f>IF(H669="UNIDADE CONSTRUTIVA",0,IF(H669="CÉLULA CONSTRUTIVA",OFFSET(B669,-1,0)+1,OFFSET(B669,-1,0)))</f>
        <v/>
      </c>
      <c r="C669" s="199">
        <f>IF(H669="CÉLULA CONSTRUTIVA",0,IF(H669="ETAPA",OFFSET(C669,-1,0)+1,OFFSET(C669,-1,0)))</f>
        <v/>
      </c>
      <c r="D669" s="200">
        <f>IF(H669="ETAPA",0,IF(H669="SUBETAPA",OFFSET(D669,-1,0)+1,OFFSET(D669,-1,0)))</f>
        <v/>
      </c>
      <c r="E669" s="200">
        <f>IF(H669="Subetapa",0,IF(H669="serviço",OFFSET(E669,-1,0)+1,OFFSET(E669,-1,0)))</f>
        <v/>
      </c>
      <c r="F669" s="31" t="n"/>
      <c r="J669" s="61" t="n"/>
      <c r="K669" s="62" t="n"/>
      <c r="L669" s="63" t="n"/>
      <c r="M669" s="63" t="n"/>
      <c r="N669" s="68" t="n"/>
      <c r="O669" s="68" t="n"/>
      <c r="P669" s="68" t="n"/>
      <c r="Q669" s="68" t="n"/>
      <c r="R669" s="68" t="n"/>
    </row>
    <row r="670" ht="14.1" customFormat="1" customHeight="1" s="60">
      <c r="A670" s="199">
        <f>IF($H670="UNIDADE CONSTRUTIVA",OFFSET(A670,-1,0)+1,LARGE(A$3:A669,1))</f>
        <v/>
      </c>
      <c r="B670" s="199">
        <f>IF(H670="UNIDADE CONSTRUTIVA",0,IF(H670="CÉLULA CONSTRUTIVA",OFFSET(B670,-1,0)+1,OFFSET(B670,-1,0)))</f>
        <v/>
      </c>
      <c r="C670" s="199">
        <f>IF(H670="CÉLULA CONSTRUTIVA",0,IF(H670="ETAPA",OFFSET(C670,-1,0)+1,OFFSET(C670,-1,0)))</f>
        <v/>
      </c>
      <c r="D670" s="200">
        <f>IF(H670="ETAPA",0,IF(H670="SUBETAPA",OFFSET(D670,-1,0)+1,OFFSET(D670,-1,0)))</f>
        <v/>
      </c>
      <c r="E670" s="200">
        <f>IF(H670="Subetapa",0,IF(H670="serviço",OFFSET(E670,-1,0)+1,OFFSET(E670,-1,0)))</f>
        <v/>
      </c>
      <c r="F670" s="31" t="n"/>
      <c r="J670" s="61" t="n"/>
      <c r="K670" s="62" t="n"/>
      <c r="L670" s="63" t="n"/>
      <c r="M670" s="63" t="n"/>
      <c r="N670" s="68" t="n"/>
      <c r="O670" s="68" t="n"/>
      <c r="P670" s="68" t="n"/>
      <c r="Q670" s="68" t="n"/>
      <c r="R670" s="68" t="n"/>
    </row>
    <row r="671" ht="14.1" customFormat="1" customHeight="1" s="60">
      <c r="A671" s="199">
        <f>IF($H671="UNIDADE CONSTRUTIVA",OFFSET(A671,-1,0)+1,LARGE(A$3:A670,1))</f>
        <v/>
      </c>
      <c r="B671" s="199">
        <f>IF(H671="UNIDADE CONSTRUTIVA",0,IF(H671="CÉLULA CONSTRUTIVA",OFFSET(B671,-1,0)+1,OFFSET(B671,-1,0)))</f>
        <v/>
      </c>
      <c r="C671" s="199">
        <f>IF(H671="CÉLULA CONSTRUTIVA",0,IF(H671="ETAPA",OFFSET(C671,-1,0)+1,OFFSET(C671,-1,0)))</f>
        <v/>
      </c>
      <c r="D671" s="200">
        <f>IF(H671="ETAPA",0,IF(H671="SUBETAPA",OFFSET(D671,-1,0)+1,OFFSET(D671,-1,0)))</f>
        <v/>
      </c>
      <c r="E671" s="200">
        <f>IF(H671="Subetapa",0,IF(H671="serviço",OFFSET(E671,-1,0)+1,OFFSET(E671,-1,0)))</f>
        <v/>
      </c>
      <c r="F671" s="31" t="n"/>
      <c r="J671" s="61" t="n"/>
      <c r="K671" s="62" t="n"/>
      <c r="L671" s="63" t="n"/>
      <c r="M671" s="63" t="n"/>
      <c r="N671" s="68" t="n"/>
      <c r="O671" s="68" t="n"/>
      <c r="P671" s="68" t="n"/>
      <c r="Q671" s="68" t="n"/>
      <c r="R671" s="68" t="n"/>
    </row>
    <row r="672" ht="14.1" customFormat="1" customHeight="1" s="60">
      <c r="A672" s="199">
        <f>IF($H672="UNIDADE CONSTRUTIVA",OFFSET(A672,-1,0)+1,LARGE(A$3:A671,1))</f>
        <v/>
      </c>
      <c r="B672" s="199">
        <f>IF(H672="UNIDADE CONSTRUTIVA",0,IF(H672="CÉLULA CONSTRUTIVA",OFFSET(B672,-1,0)+1,OFFSET(B672,-1,0)))</f>
        <v/>
      </c>
      <c r="C672" s="199">
        <f>IF(H672="CÉLULA CONSTRUTIVA",0,IF(H672="ETAPA",OFFSET(C672,-1,0)+1,OFFSET(C672,-1,0)))</f>
        <v/>
      </c>
      <c r="D672" s="200">
        <f>IF(H672="ETAPA",0,IF(H672="SUBETAPA",OFFSET(D672,-1,0)+1,OFFSET(D672,-1,0)))</f>
        <v/>
      </c>
      <c r="E672" s="200">
        <f>IF(H672="Subetapa",0,IF(H672="serviço",OFFSET(E672,-1,0)+1,OFFSET(E672,-1,0)))</f>
        <v/>
      </c>
      <c r="F672" s="31" t="n"/>
      <c r="J672" s="61" t="n"/>
      <c r="K672" s="62" t="n"/>
      <c r="L672" s="63" t="n"/>
      <c r="M672" s="63" t="n"/>
      <c r="N672" s="68" t="n"/>
      <c r="O672" s="68" t="n"/>
      <c r="P672" s="68" t="n"/>
      <c r="Q672" s="68" t="n"/>
      <c r="R672" s="68" t="n"/>
    </row>
    <row r="673" ht="14.1" customFormat="1" customHeight="1" s="60">
      <c r="A673" s="199">
        <f>IF($H673="UNIDADE CONSTRUTIVA",OFFSET(A673,-1,0)+1,LARGE(A$3:A672,1))</f>
        <v/>
      </c>
      <c r="B673" s="199">
        <f>IF(H673="UNIDADE CONSTRUTIVA",0,IF(H673="CÉLULA CONSTRUTIVA",OFFSET(B673,-1,0)+1,OFFSET(B673,-1,0)))</f>
        <v/>
      </c>
      <c r="C673" s="199">
        <f>IF(H673="CÉLULA CONSTRUTIVA",0,IF(H673="ETAPA",OFFSET(C673,-1,0)+1,OFFSET(C673,-1,0)))</f>
        <v/>
      </c>
      <c r="D673" s="200">
        <f>IF(H673="ETAPA",0,IF(H673="SUBETAPA",OFFSET(D673,-1,0)+1,OFFSET(D673,-1,0)))</f>
        <v/>
      </c>
      <c r="E673" s="200">
        <f>IF(H673="Subetapa",0,IF(H673="serviço",OFFSET(E673,-1,0)+1,OFFSET(E673,-1,0)))</f>
        <v/>
      </c>
      <c r="F673" s="31" t="n"/>
      <c r="J673" s="61" t="n"/>
      <c r="K673" s="62" t="n"/>
      <c r="L673" s="63" t="n"/>
      <c r="M673" s="63" t="n"/>
      <c r="N673" s="68" t="n"/>
      <c r="O673" s="68" t="n"/>
      <c r="P673" s="68" t="n"/>
      <c r="Q673" s="68" t="n"/>
      <c r="R673" s="68" t="n"/>
    </row>
    <row r="674" ht="14.1" customFormat="1" customHeight="1" s="60">
      <c r="A674" s="199">
        <f>IF($H674="UNIDADE CONSTRUTIVA",OFFSET(A674,-1,0)+1,LARGE(A$3:A673,1))</f>
        <v/>
      </c>
      <c r="B674" s="199">
        <f>IF(H674="UNIDADE CONSTRUTIVA",0,IF(H674="CÉLULA CONSTRUTIVA",OFFSET(B674,-1,0)+1,OFFSET(B674,-1,0)))</f>
        <v/>
      </c>
      <c r="C674" s="199">
        <f>IF(H674="CÉLULA CONSTRUTIVA",0,IF(H674="ETAPA",OFFSET(C674,-1,0)+1,OFFSET(C674,-1,0)))</f>
        <v/>
      </c>
      <c r="D674" s="200">
        <f>IF(H674="ETAPA",0,IF(H674="SUBETAPA",OFFSET(D674,-1,0)+1,OFFSET(D674,-1,0)))</f>
        <v/>
      </c>
      <c r="E674" s="200">
        <f>IF(H674="Subetapa",0,IF(H674="serviço",OFFSET(E674,-1,0)+1,OFFSET(E674,-1,0)))</f>
        <v/>
      </c>
      <c r="F674" s="31" t="n"/>
      <c r="J674" s="61" t="n"/>
      <c r="K674" s="62" t="n"/>
      <c r="L674" s="63" t="n"/>
      <c r="M674" s="63" t="n"/>
      <c r="N674" s="68" t="n"/>
      <c r="O674" s="68" t="n"/>
      <c r="P674" s="68" t="n"/>
      <c r="Q674" s="68" t="n"/>
      <c r="R674" s="68" t="n"/>
    </row>
    <row r="675" ht="14.1" customFormat="1" customHeight="1" s="60">
      <c r="A675" s="199">
        <f>IF($H675="UNIDADE CONSTRUTIVA",OFFSET(A675,-1,0)+1,LARGE(A$3:A674,1))</f>
        <v/>
      </c>
      <c r="B675" s="199">
        <f>IF(H675="UNIDADE CONSTRUTIVA",0,IF(H675="CÉLULA CONSTRUTIVA",OFFSET(B675,-1,0)+1,OFFSET(B675,-1,0)))</f>
        <v/>
      </c>
      <c r="C675" s="199">
        <f>IF(H675="CÉLULA CONSTRUTIVA",0,IF(H675="ETAPA",OFFSET(C675,-1,0)+1,OFFSET(C675,-1,0)))</f>
        <v/>
      </c>
      <c r="D675" s="200">
        <f>IF(H675="ETAPA",0,IF(H675="SUBETAPA",OFFSET(D675,-1,0)+1,OFFSET(D675,-1,0)))</f>
        <v/>
      </c>
      <c r="E675" s="200">
        <f>IF(H675="Subetapa",0,IF(H675="serviço",OFFSET(E675,-1,0)+1,OFFSET(E675,-1,0)))</f>
        <v/>
      </c>
      <c r="F675" s="31" t="n"/>
      <c r="J675" s="61" t="n"/>
      <c r="K675" s="62" t="n"/>
      <c r="L675" s="63" t="n"/>
      <c r="M675" s="63" t="n"/>
      <c r="N675" s="68" t="n"/>
      <c r="O675" s="68" t="n"/>
      <c r="P675" s="68" t="n"/>
      <c r="Q675" s="68" t="n"/>
      <c r="R675" s="68" t="n"/>
    </row>
    <row r="676" ht="14.1" customFormat="1" customHeight="1" s="60">
      <c r="A676" s="199">
        <f>IF($H676="UNIDADE CONSTRUTIVA",OFFSET(A676,-1,0)+1,LARGE(A$3:A675,1))</f>
        <v/>
      </c>
      <c r="B676" s="199">
        <f>IF(H676="UNIDADE CONSTRUTIVA",0,IF(H676="CÉLULA CONSTRUTIVA",OFFSET(B676,-1,0)+1,OFFSET(B676,-1,0)))</f>
        <v/>
      </c>
      <c r="C676" s="199">
        <f>IF(H676="CÉLULA CONSTRUTIVA",0,IF(H676="ETAPA",OFFSET(C676,-1,0)+1,OFFSET(C676,-1,0)))</f>
        <v/>
      </c>
      <c r="D676" s="200">
        <f>IF(H676="ETAPA",0,IF(H676="SUBETAPA",OFFSET(D676,-1,0)+1,OFFSET(D676,-1,0)))</f>
        <v/>
      </c>
      <c r="E676" s="200">
        <f>IF(H676="Subetapa",0,IF(H676="serviço",OFFSET(E676,-1,0)+1,OFFSET(E676,-1,0)))</f>
        <v/>
      </c>
      <c r="F676" s="31" t="n"/>
      <c r="J676" s="61" t="n"/>
      <c r="K676" s="62" t="n"/>
      <c r="L676" s="63" t="n"/>
      <c r="M676" s="63" t="n"/>
      <c r="N676" s="68" t="n"/>
      <c r="O676" s="68" t="n"/>
      <c r="P676" s="68" t="n"/>
      <c r="Q676" s="68" t="n"/>
      <c r="R676" s="68" t="n"/>
    </row>
    <row r="677" ht="14.1" customFormat="1" customHeight="1" s="60">
      <c r="A677" s="199">
        <f>IF($H677="UNIDADE CONSTRUTIVA",OFFSET(A677,-1,0)+1,LARGE(A$3:A676,1))</f>
        <v/>
      </c>
      <c r="B677" s="199">
        <f>IF(H677="UNIDADE CONSTRUTIVA",0,IF(H677="CÉLULA CONSTRUTIVA",OFFSET(B677,-1,0)+1,OFFSET(B677,-1,0)))</f>
        <v/>
      </c>
      <c r="C677" s="199">
        <f>IF(H677="CÉLULA CONSTRUTIVA",0,IF(H677="ETAPA",OFFSET(C677,-1,0)+1,OFFSET(C677,-1,0)))</f>
        <v/>
      </c>
      <c r="D677" s="200">
        <f>IF(H677="ETAPA",0,IF(H677="SUBETAPA",OFFSET(D677,-1,0)+1,OFFSET(D677,-1,0)))</f>
        <v/>
      </c>
      <c r="E677" s="200">
        <f>IF(H677="Subetapa",0,IF(H677="serviço",OFFSET(E677,-1,0)+1,OFFSET(E677,-1,0)))</f>
        <v/>
      </c>
      <c r="F677" s="31" t="n"/>
      <c r="J677" s="61" t="n"/>
      <c r="K677" s="62" t="n"/>
      <c r="L677" s="63" t="n"/>
      <c r="M677" s="63" t="n"/>
      <c r="N677" s="68" t="n"/>
      <c r="O677" s="68" t="n"/>
      <c r="P677" s="68" t="n"/>
      <c r="Q677" s="68" t="n"/>
      <c r="R677" s="68" t="n"/>
    </row>
    <row r="678" ht="14.1" customFormat="1" customHeight="1" s="60">
      <c r="A678" s="199">
        <f>IF($H678="UNIDADE CONSTRUTIVA",OFFSET(A678,-1,0)+1,LARGE(A$3:A677,1))</f>
        <v/>
      </c>
      <c r="B678" s="199">
        <f>IF(H678="UNIDADE CONSTRUTIVA",0,IF(H678="CÉLULA CONSTRUTIVA",OFFSET(B678,-1,0)+1,OFFSET(B678,-1,0)))</f>
        <v/>
      </c>
      <c r="C678" s="199">
        <f>IF(H678="CÉLULA CONSTRUTIVA",0,IF(H678="ETAPA",OFFSET(C678,-1,0)+1,OFFSET(C678,-1,0)))</f>
        <v/>
      </c>
      <c r="D678" s="200">
        <f>IF(H678="ETAPA",0,IF(H678="SUBETAPA",OFFSET(D678,-1,0)+1,OFFSET(D678,-1,0)))</f>
        <v/>
      </c>
      <c r="E678" s="200">
        <f>IF(H678="Subetapa",0,IF(H678="serviço",OFFSET(E678,-1,0)+1,OFFSET(E678,-1,0)))</f>
        <v/>
      </c>
      <c r="F678" s="31" t="n"/>
      <c r="J678" s="61" t="n"/>
      <c r="K678" s="62" t="n"/>
      <c r="L678" s="63" t="n"/>
      <c r="M678" s="63" t="n"/>
      <c r="N678" s="68" t="n"/>
      <c r="O678" s="68" t="n"/>
      <c r="P678" s="68" t="n"/>
      <c r="Q678" s="68" t="n"/>
      <c r="R678" s="68" t="n"/>
    </row>
    <row r="679" ht="14.1" customFormat="1" customHeight="1" s="60">
      <c r="A679" s="199">
        <f>IF($H679="UNIDADE CONSTRUTIVA",OFFSET(A679,-1,0)+1,LARGE(A$3:A678,1))</f>
        <v/>
      </c>
      <c r="B679" s="199">
        <f>IF(H679="UNIDADE CONSTRUTIVA",0,IF(H679="CÉLULA CONSTRUTIVA",OFFSET(B679,-1,0)+1,OFFSET(B679,-1,0)))</f>
        <v/>
      </c>
      <c r="C679" s="199">
        <f>IF(H679="CÉLULA CONSTRUTIVA",0,IF(H679="ETAPA",OFFSET(C679,-1,0)+1,OFFSET(C679,-1,0)))</f>
        <v/>
      </c>
      <c r="D679" s="200">
        <f>IF(H679="ETAPA",0,IF(H679="SUBETAPA",OFFSET(D679,-1,0)+1,OFFSET(D679,-1,0)))</f>
        <v/>
      </c>
      <c r="E679" s="200">
        <f>IF(H679="Subetapa",0,IF(H679="serviço",OFFSET(E679,-1,0)+1,OFFSET(E679,-1,0)))</f>
        <v/>
      </c>
      <c r="F679" s="31" t="n"/>
      <c r="J679" s="61" t="n"/>
      <c r="K679" s="62" t="n"/>
      <c r="L679" s="63" t="n"/>
      <c r="M679" s="63" t="n"/>
      <c r="N679" s="68" t="n"/>
      <c r="O679" s="68" t="n"/>
      <c r="P679" s="68" t="n"/>
      <c r="Q679" s="68" t="n"/>
      <c r="R679" s="68" t="n"/>
    </row>
    <row r="680" ht="14.1" customFormat="1" customHeight="1" s="60">
      <c r="A680" s="199">
        <f>IF($H680="UNIDADE CONSTRUTIVA",OFFSET(A680,-1,0)+1,LARGE(A$3:A679,1))</f>
        <v/>
      </c>
      <c r="B680" s="199">
        <f>IF(H680="UNIDADE CONSTRUTIVA",0,IF(H680="CÉLULA CONSTRUTIVA",OFFSET(B680,-1,0)+1,OFFSET(B680,-1,0)))</f>
        <v/>
      </c>
      <c r="C680" s="199">
        <f>IF(H680="CÉLULA CONSTRUTIVA",0,IF(H680="ETAPA",OFFSET(C680,-1,0)+1,OFFSET(C680,-1,0)))</f>
        <v/>
      </c>
      <c r="D680" s="200">
        <f>IF(H680="ETAPA",0,IF(H680="SUBETAPA",OFFSET(D680,-1,0)+1,OFFSET(D680,-1,0)))</f>
        <v/>
      </c>
      <c r="E680" s="200">
        <f>IF(H680="Subetapa",0,IF(H680="serviço",OFFSET(E680,-1,0)+1,OFFSET(E680,-1,0)))</f>
        <v/>
      </c>
      <c r="F680" s="31" t="n"/>
      <c r="J680" s="61" t="n"/>
      <c r="K680" s="62" t="n"/>
      <c r="L680" s="63" t="n"/>
      <c r="M680" s="63" t="n"/>
      <c r="N680" s="68" t="n"/>
      <c r="O680" s="68" t="n"/>
      <c r="P680" s="68" t="n"/>
      <c r="Q680" s="68" t="n"/>
      <c r="R680" s="68" t="n"/>
    </row>
    <row r="681" ht="14.1" customFormat="1" customHeight="1" s="60">
      <c r="A681" s="199">
        <f>IF($H681="UNIDADE CONSTRUTIVA",OFFSET(A681,-1,0)+1,LARGE(A$3:A680,1))</f>
        <v/>
      </c>
      <c r="B681" s="199">
        <f>IF(H681="UNIDADE CONSTRUTIVA",0,IF(H681="CÉLULA CONSTRUTIVA",OFFSET(B681,-1,0)+1,OFFSET(B681,-1,0)))</f>
        <v/>
      </c>
      <c r="C681" s="199">
        <f>IF(H681="CÉLULA CONSTRUTIVA",0,IF(H681="ETAPA",OFFSET(C681,-1,0)+1,OFFSET(C681,-1,0)))</f>
        <v/>
      </c>
      <c r="D681" s="200">
        <f>IF(H681="ETAPA",0,IF(H681="SUBETAPA",OFFSET(D681,-1,0)+1,OFFSET(D681,-1,0)))</f>
        <v/>
      </c>
      <c r="E681" s="200">
        <f>IF(H681="Subetapa",0,IF(H681="serviço",OFFSET(E681,-1,0)+1,OFFSET(E681,-1,0)))</f>
        <v/>
      </c>
      <c r="F681" s="31" t="n"/>
      <c r="J681" s="61" t="n"/>
      <c r="K681" s="62" t="n"/>
      <c r="L681" s="63" t="n"/>
      <c r="M681" s="63" t="n"/>
      <c r="N681" s="68" t="n"/>
      <c r="O681" s="68" t="n"/>
      <c r="P681" s="68" t="n"/>
      <c r="Q681" s="68" t="n"/>
      <c r="R681" s="68" t="n"/>
    </row>
    <row r="682" ht="14.1" customFormat="1" customHeight="1" s="60">
      <c r="A682" s="199">
        <f>IF($H682="UNIDADE CONSTRUTIVA",OFFSET(A682,-1,0)+1,LARGE(A$3:A681,1))</f>
        <v/>
      </c>
      <c r="B682" s="199">
        <f>IF(H682="UNIDADE CONSTRUTIVA",0,IF(H682="CÉLULA CONSTRUTIVA",OFFSET(B682,-1,0)+1,OFFSET(B682,-1,0)))</f>
        <v/>
      </c>
      <c r="C682" s="199">
        <f>IF(H682="CÉLULA CONSTRUTIVA",0,IF(H682="ETAPA",OFFSET(C682,-1,0)+1,OFFSET(C682,-1,0)))</f>
        <v/>
      </c>
      <c r="D682" s="200">
        <f>IF(H682="ETAPA",0,IF(H682="SUBETAPA",OFFSET(D682,-1,0)+1,OFFSET(D682,-1,0)))</f>
        <v/>
      </c>
      <c r="E682" s="200">
        <f>IF(H682="Subetapa",0,IF(H682="serviço",OFFSET(E682,-1,0)+1,OFFSET(E682,-1,0)))</f>
        <v/>
      </c>
      <c r="F682" s="31" t="n"/>
      <c r="J682" s="61" t="n"/>
      <c r="K682" s="62" t="n"/>
      <c r="L682" s="63" t="n"/>
      <c r="M682" s="63" t="n"/>
      <c r="N682" s="68" t="n"/>
      <c r="O682" s="68" t="n"/>
      <c r="P682" s="68" t="n"/>
      <c r="Q682" s="68" t="n"/>
      <c r="R682" s="68" t="n"/>
    </row>
    <row r="683" ht="14.1" customFormat="1" customHeight="1" s="60">
      <c r="A683" s="199">
        <f>IF($H683="UNIDADE CONSTRUTIVA",OFFSET(A683,-1,0)+1,LARGE(A$3:A682,1))</f>
        <v/>
      </c>
      <c r="B683" s="199">
        <f>IF(H683="UNIDADE CONSTRUTIVA",0,IF(H683="CÉLULA CONSTRUTIVA",OFFSET(B683,-1,0)+1,OFFSET(B683,-1,0)))</f>
        <v/>
      </c>
      <c r="C683" s="199">
        <f>IF(H683="CÉLULA CONSTRUTIVA",0,IF(H683="ETAPA",OFFSET(C683,-1,0)+1,OFFSET(C683,-1,0)))</f>
        <v/>
      </c>
      <c r="D683" s="200">
        <f>IF(H683="ETAPA",0,IF(H683="SUBETAPA",OFFSET(D683,-1,0)+1,OFFSET(D683,-1,0)))</f>
        <v/>
      </c>
      <c r="E683" s="200">
        <f>IF(H683="Subetapa",0,IF(H683="serviço",OFFSET(E683,-1,0)+1,OFFSET(E683,-1,0)))</f>
        <v/>
      </c>
      <c r="F683" s="31" t="n"/>
      <c r="J683" s="61" t="n"/>
      <c r="K683" s="62" t="n"/>
      <c r="L683" s="63" t="n"/>
      <c r="M683" s="63" t="n"/>
      <c r="N683" s="68" t="n"/>
      <c r="O683" s="68" t="n"/>
      <c r="P683" s="68" t="n"/>
      <c r="Q683" s="68" t="n"/>
      <c r="R683" s="68" t="n"/>
    </row>
    <row r="684" ht="14.1" customFormat="1" customHeight="1" s="60">
      <c r="A684" s="199">
        <f>IF($H684="UNIDADE CONSTRUTIVA",OFFSET(A684,-1,0)+1,LARGE(A$3:A683,1))</f>
        <v/>
      </c>
      <c r="B684" s="199">
        <f>IF(H684="UNIDADE CONSTRUTIVA",0,IF(H684="CÉLULA CONSTRUTIVA",OFFSET(B684,-1,0)+1,OFFSET(B684,-1,0)))</f>
        <v/>
      </c>
      <c r="C684" s="199">
        <f>IF(H684="CÉLULA CONSTRUTIVA",0,IF(H684="ETAPA",OFFSET(C684,-1,0)+1,OFFSET(C684,-1,0)))</f>
        <v/>
      </c>
      <c r="D684" s="200">
        <f>IF(H684="ETAPA",0,IF(H684="SUBETAPA",OFFSET(D684,-1,0)+1,OFFSET(D684,-1,0)))</f>
        <v/>
      </c>
      <c r="E684" s="200">
        <f>IF(H684="Subetapa",0,IF(H684="serviço",OFFSET(E684,-1,0)+1,OFFSET(E684,-1,0)))</f>
        <v/>
      </c>
      <c r="F684" s="31" t="n"/>
      <c r="J684" s="61" t="n"/>
      <c r="K684" s="62" t="n"/>
      <c r="L684" s="63" t="n"/>
      <c r="M684" s="63" t="n"/>
      <c r="N684" s="68" t="n"/>
      <c r="O684" s="68" t="n"/>
      <c r="P684" s="68" t="n"/>
      <c r="Q684" s="68" t="n"/>
      <c r="R684" s="68" t="n"/>
    </row>
    <row r="685" ht="14.1" customFormat="1" customHeight="1" s="60">
      <c r="A685" s="199">
        <f>IF($H685="UNIDADE CONSTRUTIVA",OFFSET(A685,-1,0)+1,LARGE(A$3:A684,1))</f>
        <v/>
      </c>
      <c r="B685" s="199">
        <f>IF(H685="UNIDADE CONSTRUTIVA",0,IF(H685="CÉLULA CONSTRUTIVA",OFFSET(B685,-1,0)+1,OFFSET(B685,-1,0)))</f>
        <v/>
      </c>
      <c r="C685" s="199">
        <f>IF(H685="CÉLULA CONSTRUTIVA",0,IF(H685="ETAPA",OFFSET(C685,-1,0)+1,OFFSET(C685,-1,0)))</f>
        <v/>
      </c>
      <c r="D685" s="200">
        <f>IF(H685="ETAPA",0,IF(H685="SUBETAPA",OFFSET(D685,-1,0)+1,OFFSET(D685,-1,0)))</f>
        <v/>
      </c>
      <c r="E685" s="200">
        <f>IF(H685="Subetapa",0,IF(H685="serviço",OFFSET(E685,-1,0)+1,OFFSET(E685,-1,0)))</f>
        <v/>
      </c>
      <c r="F685" s="31" t="n"/>
      <c r="J685" s="61" t="n"/>
      <c r="K685" s="62" t="n"/>
      <c r="L685" s="63" t="n"/>
      <c r="M685" s="63" t="n"/>
      <c r="N685" s="68" t="n"/>
      <c r="O685" s="68" t="n"/>
      <c r="P685" s="68" t="n"/>
      <c r="Q685" s="68" t="n"/>
      <c r="R685" s="68" t="n"/>
    </row>
    <row r="686" ht="14.1" customFormat="1" customHeight="1" s="60">
      <c r="A686" s="199">
        <f>IF($H686="UNIDADE CONSTRUTIVA",OFFSET(A686,-1,0)+1,LARGE(A$3:A685,1))</f>
        <v/>
      </c>
      <c r="B686" s="199">
        <f>IF(H686="UNIDADE CONSTRUTIVA",0,IF(H686="CÉLULA CONSTRUTIVA",OFFSET(B686,-1,0)+1,OFFSET(B686,-1,0)))</f>
        <v/>
      </c>
      <c r="C686" s="199">
        <f>IF(H686="CÉLULA CONSTRUTIVA",0,IF(H686="ETAPA",OFFSET(C686,-1,0)+1,OFFSET(C686,-1,0)))</f>
        <v/>
      </c>
      <c r="D686" s="200">
        <f>IF(H686="ETAPA",0,IF(H686="SUBETAPA",OFFSET(D686,-1,0)+1,OFFSET(D686,-1,0)))</f>
        <v/>
      </c>
      <c r="E686" s="200">
        <f>IF(H686="Subetapa",0,IF(H686="serviço",OFFSET(E686,-1,0)+1,OFFSET(E686,-1,0)))</f>
        <v/>
      </c>
      <c r="F686" s="31" t="n"/>
      <c r="J686" s="61" t="n"/>
      <c r="K686" s="62" t="n"/>
      <c r="L686" s="63" t="n"/>
      <c r="M686" s="63" t="n"/>
      <c r="N686" s="68" t="n"/>
      <c r="O686" s="68" t="n"/>
      <c r="P686" s="68" t="n"/>
      <c r="Q686" s="68" t="n"/>
      <c r="R686" s="68" t="n"/>
    </row>
    <row r="687" ht="14.1" customFormat="1" customHeight="1" s="60">
      <c r="A687" s="199">
        <f>IF($H687="UNIDADE CONSTRUTIVA",OFFSET(A687,-1,0)+1,LARGE(A$3:A686,1))</f>
        <v/>
      </c>
      <c r="B687" s="199">
        <f>IF(H687="UNIDADE CONSTRUTIVA",0,IF(H687="CÉLULA CONSTRUTIVA",OFFSET(B687,-1,0)+1,OFFSET(B687,-1,0)))</f>
        <v/>
      </c>
      <c r="C687" s="199">
        <f>IF(H687="CÉLULA CONSTRUTIVA",0,IF(H687="ETAPA",OFFSET(C687,-1,0)+1,OFFSET(C687,-1,0)))</f>
        <v/>
      </c>
      <c r="D687" s="200">
        <f>IF(H687="ETAPA",0,IF(H687="SUBETAPA",OFFSET(D687,-1,0)+1,OFFSET(D687,-1,0)))</f>
        <v/>
      </c>
      <c r="E687" s="200">
        <f>IF(H687="Subetapa",0,IF(H687="serviço",OFFSET(E687,-1,0)+1,OFFSET(E687,-1,0)))</f>
        <v/>
      </c>
      <c r="F687" s="31" t="n"/>
      <c r="J687" s="61" t="n"/>
      <c r="K687" s="62" t="n"/>
      <c r="L687" s="63" t="n"/>
      <c r="M687" s="63" t="n"/>
      <c r="N687" s="68" t="n"/>
      <c r="O687" s="68" t="n"/>
      <c r="P687" s="68" t="n"/>
      <c r="Q687" s="68" t="n"/>
      <c r="R687" s="68" t="n"/>
    </row>
    <row r="688" ht="14.1" customFormat="1" customHeight="1" s="60">
      <c r="A688" s="199">
        <f>IF($H688="UNIDADE CONSTRUTIVA",OFFSET(A688,-1,0)+1,LARGE(A$3:A687,1))</f>
        <v/>
      </c>
      <c r="B688" s="199">
        <f>IF(H688="UNIDADE CONSTRUTIVA",0,IF(H688="CÉLULA CONSTRUTIVA",OFFSET(B688,-1,0)+1,OFFSET(B688,-1,0)))</f>
        <v/>
      </c>
      <c r="C688" s="199">
        <f>IF(H688="CÉLULA CONSTRUTIVA",0,IF(H688="ETAPA",OFFSET(C688,-1,0)+1,OFFSET(C688,-1,0)))</f>
        <v/>
      </c>
      <c r="D688" s="200">
        <f>IF(H688="ETAPA",0,IF(H688="SUBETAPA",OFFSET(D688,-1,0)+1,OFFSET(D688,-1,0)))</f>
        <v/>
      </c>
      <c r="E688" s="200">
        <f>IF(H688="Subetapa",0,IF(H688="serviço",OFFSET(E688,-1,0)+1,OFFSET(E688,-1,0)))</f>
        <v/>
      </c>
      <c r="F688" s="31" t="n"/>
      <c r="J688" s="61" t="n"/>
      <c r="K688" s="62" t="n"/>
      <c r="L688" s="63" t="n"/>
      <c r="M688" s="63" t="n"/>
      <c r="N688" s="68" t="n"/>
      <c r="O688" s="68" t="n"/>
      <c r="P688" s="68" t="n"/>
      <c r="Q688" s="68" t="n"/>
      <c r="R688" s="68" t="n"/>
    </row>
    <row r="689" ht="14.1" customFormat="1" customHeight="1" s="60">
      <c r="A689" s="199">
        <f>IF($H689="UNIDADE CONSTRUTIVA",OFFSET(A689,-1,0)+1,LARGE(A$3:A688,1))</f>
        <v/>
      </c>
      <c r="B689" s="199">
        <f>IF(H689="UNIDADE CONSTRUTIVA",0,IF(H689="CÉLULA CONSTRUTIVA",OFFSET(B689,-1,0)+1,OFFSET(B689,-1,0)))</f>
        <v/>
      </c>
      <c r="C689" s="199">
        <f>IF(H689="CÉLULA CONSTRUTIVA",0,IF(H689="ETAPA",OFFSET(C689,-1,0)+1,OFFSET(C689,-1,0)))</f>
        <v/>
      </c>
      <c r="D689" s="200">
        <f>IF(H689="ETAPA",0,IF(H689="SUBETAPA",OFFSET(D689,-1,0)+1,OFFSET(D689,-1,0)))</f>
        <v/>
      </c>
      <c r="E689" s="200">
        <f>IF(H689="Subetapa",0,IF(H689="serviço",OFFSET(E689,-1,0)+1,OFFSET(E689,-1,0)))</f>
        <v/>
      </c>
      <c r="F689" s="31" t="n"/>
      <c r="J689" s="61" t="n"/>
      <c r="K689" s="62" t="n"/>
      <c r="L689" s="63" t="n"/>
      <c r="M689" s="63" t="n"/>
      <c r="N689" s="68" t="n"/>
      <c r="O689" s="68" t="n"/>
      <c r="P689" s="68" t="n"/>
      <c r="Q689" s="68" t="n"/>
      <c r="R689" s="68" t="n"/>
    </row>
    <row r="690" ht="14.1" customFormat="1" customHeight="1" s="60">
      <c r="A690" s="199">
        <f>IF($H690="UNIDADE CONSTRUTIVA",OFFSET(A690,-1,0)+1,LARGE(A$3:A689,1))</f>
        <v/>
      </c>
      <c r="B690" s="199">
        <f>IF(H690="UNIDADE CONSTRUTIVA",0,IF(H690="CÉLULA CONSTRUTIVA",OFFSET(B690,-1,0)+1,OFFSET(B690,-1,0)))</f>
        <v/>
      </c>
      <c r="C690" s="199">
        <f>IF(H690="CÉLULA CONSTRUTIVA",0,IF(H690="ETAPA",OFFSET(C690,-1,0)+1,OFFSET(C690,-1,0)))</f>
        <v/>
      </c>
      <c r="D690" s="200">
        <f>IF(H690="ETAPA",0,IF(H690="SUBETAPA",OFFSET(D690,-1,0)+1,OFFSET(D690,-1,0)))</f>
        <v/>
      </c>
      <c r="E690" s="200">
        <f>IF(H690="Subetapa",0,IF(H690="serviço",OFFSET(E690,-1,0)+1,OFFSET(E690,-1,0)))</f>
        <v/>
      </c>
      <c r="F690" s="31" t="n"/>
      <c r="J690" s="61" t="n"/>
      <c r="K690" s="62" t="n"/>
      <c r="L690" s="63" t="n"/>
      <c r="M690" s="63" t="n"/>
      <c r="N690" s="68" t="n"/>
      <c r="O690" s="68" t="n"/>
      <c r="P690" s="68" t="n"/>
      <c r="Q690" s="68" t="n"/>
      <c r="R690" s="68" t="n"/>
    </row>
    <row r="691" ht="14.1" customFormat="1" customHeight="1" s="60">
      <c r="A691" s="199">
        <f>IF($H691="UNIDADE CONSTRUTIVA",OFFSET(A691,-1,0)+1,LARGE(A$3:A690,1))</f>
        <v/>
      </c>
      <c r="B691" s="199">
        <f>IF(H691="UNIDADE CONSTRUTIVA",0,IF(H691="CÉLULA CONSTRUTIVA",OFFSET(B691,-1,0)+1,OFFSET(B691,-1,0)))</f>
        <v/>
      </c>
      <c r="C691" s="199">
        <f>IF(H691="CÉLULA CONSTRUTIVA",0,IF(H691="ETAPA",OFFSET(C691,-1,0)+1,OFFSET(C691,-1,0)))</f>
        <v/>
      </c>
      <c r="D691" s="200">
        <f>IF(H691="ETAPA",0,IF(H691="SUBETAPA",OFFSET(D691,-1,0)+1,OFFSET(D691,-1,0)))</f>
        <v/>
      </c>
      <c r="E691" s="200">
        <f>IF(H691="Subetapa",0,IF(H691="serviço",OFFSET(E691,-1,0)+1,OFFSET(E691,-1,0)))</f>
        <v/>
      </c>
      <c r="F691" s="31" t="n"/>
      <c r="J691" s="61" t="n"/>
      <c r="K691" s="62" t="n"/>
      <c r="L691" s="63" t="n"/>
      <c r="M691" s="63" t="n"/>
      <c r="N691" s="68" t="n"/>
      <c r="O691" s="68" t="n"/>
      <c r="P691" s="68" t="n"/>
      <c r="Q691" s="68" t="n"/>
      <c r="R691" s="68" t="n"/>
    </row>
    <row r="692" ht="14.1" customFormat="1" customHeight="1" s="60">
      <c r="A692" s="199">
        <f>IF($H692="UNIDADE CONSTRUTIVA",OFFSET(A692,-1,0)+1,LARGE(A$3:A691,1))</f>
        <v/>
      </c>
      <c r="B692" s="199">
        <f>IF(H692="UNIDADE CONSTRUTIVA",0,IF(H692="CÉLULA CONSTRUTIVA",OFFSET(B692,-1,0)+1,OFFSET(B692,-1,0)))</f>
        <v/>
      </c>
      <c r="C692" s="199">
        <f>IF(H692="CÉLULA CONSTRUTIVA",0,IF(H692="ETAPA",OFFSET(C692,-1,0)+1,OFFSET(C692,-1,0)))</f>
        <v/>
      </c>
      <c r="D692" s="200">
        <f>IF(H692="ETAPA",0,IF(H692="SUBETAPA",OFFSET(D692,-1,0)+1,OFFSET(D692,-1,0)))</f>
        <v/>
      </c>
      <c r="E692" s="200">
        <f>IF(H692="Subetapa",0,IF(H692="serviço",OFFSET(E692,-1,0)+1,OFFSET(E692,-1,0)))</f>
        <v/>
      </c>
      <c r="F692" s="31" t="n"/>
      <c r="J692" s="61" t="n"/>
      <c r="K692" s="62" t="n"/>
      <c r="L692" s="63" t="n"/>
      <c r="M692" s="63" t="n"/>
      <c r="N692" s="68" t="n"/>
      <c r="O692" s="68" t="n"/>
      <c r="P692" s="68" t="n"/>
      <c r="Q692" s="68" t="n"/>
      <c r="R692" s="68" t="n"/>
    </row>
    <row r="693" ht="14.1" customFormat="1" customHeight="1" s="60">
      <c r="A693" s="199">
        <f>IF($H693="UNIDADE CONSTRUTIVA",OFFSET(A693,-1,0)+1,LARGE(A$3:A692,1))</f>
        <v/>
      </c>
      <c r="B693" s="199">
        <f>IF(H693="UNIDADE CONSTRUTIVA",0,IF(H693="CÉLULA CONSTRUTIVA",OFFSET(B693,-1,0)+1,OFFSET(B693,-1,0)))</f>
        <v/>
      </c>
      <c r="C693" s="199">
        <f>IF(H693="CÉLULA CONSTRUTIVA",0,IF(H693="ETAPA",OFFSET(C693,-1,0)+1,OFFSET(C693,-1,0)))</f>
        <v/>
      </c>
      <c r="D693" s="200">
        <f>IF(H693="ETAPA",0,IF(H693="SUBETAPA",OFFSET(D693,-1,0)+1,OFFSET(D693,-1,0)))</f>
        <v/>
      </c>
      <c r="E693" s="200">
        <f>IF(H693="Subetapa",0,IF(H693="serviço",OFFSET(E693,-1,0)+1,OFFSET(E693,-1,0)))</f>
        <v/>
      </c>
      <c r="F693" s="31" t="n"/>
      <c r="J693" s="61" t="n"/>
      <c r="K693" s="62" t="n"/>
      <c r="L693" s="63" t="n"/>
      <c r="M693" s="63" t="n"/>
      <c r="N693" s="68" t="n"/>
      <c r="O693" s="68" t="n"/>
      <c r="P693" s="68" t="n"/>
      <c r="Q693" s="68" t="n"/>
      <c r="R693" s="68" t="n"/>
    </row>
    <row r="694" ht="14.1" customFormat="1" customHeight="1" s="60">
      <c r="A694" s="199">
        <f>IF($H694="UNIDADE CONSTRUTIVA",OFFSET(A694,-1,0)+1,LARGE(A$3:A693,1))</f>
        <v/>
      </c>
      <c r="B694" s="199">
        <f>IF(H694="UNIDADE CONSTRUTIVA",0,IF(H694="CÉLULA CONSTRUTIVA",OFFSET(B694,-1,0)+1,OFFSET(B694,-1,0)))</f>
        <v/>
      </c>
      <c r="C694" s="199">
        <f>IF(H694="CÉLULA CONSTRUTIVA",0,IF(H694="ETAPA",OFFSET(C694,-1,0)+1,OFFSET(C694,-1,0)))</f>
        <v/>
      </c>
      <c r="D694" s="200">
        <f>IF(H694="ETAPA",0,IF(H694="SUBETAPA",OFFSET(D694,-1,0)+1,OFFSET(D694,-1,0)))</f>
        <v/>
      </c>
      <c r="E694" s="200">
        <f>IF(H694="Subetapa",0,IF(H694="serviço",OFFSET(E694,-1,0)+1,OFFSET(E694,-1,0)))</f>
        <v/>
      </c>
      <c r="F694" s="31" t="n"/>
      <c r="J694" s="61" t="n"/>
      <c r="K694" s="62" t="n"/>
      <c r="L694" s="63" t="n"/>
      <c r="M694" s="63" t="n"/>
      <c r="N694" s="68" t="n"/>
      <c r="O694" s="68" t="n"/>
      <c r="P694" s="68" t="n"/>
      <c r="Q694" s="68" t="n"/>
      <c r="R694" s="68" t="n"/>
    </row>
    <row r="695" ht="14.1" customFormat="1" customHeight="1" s="60">
      <c r="A695" s="199">
        <f>IF($H695="UNIDADE CONSTRUTIVA",OFFSET(A695,-1,0)+1,LARGE(A$3:A694,1))</f>
        <v/>
      </c>
      <c r="B695" s="199">
        <f>IF(H695="UNIDADE CONSTRUTIVA",0,IF(H695="CÉLULA CONSTRUTIVA",OFFSET(B695,-1,0)+1,OFFSET(B695,-1,0)))</f>
        <v/>
      </c>
      <c r="C695" s="199">
        <f>IF(H695="CÉLULA CONSTRUTIVA",0,IF(H695="ETAPA",OFFSET(C695,-1,0)+1,OFFSET(C695,-1,0)))</f>
        <v/>
      </c>
      <c r="D695" s="200">
        <f>IF(H695="ETAPA",0,IF(H695="SUBETAPA",OFFSET(D695,-1,0)+1,OFFSET(D695,-1,0)))</f>
        <v/>
      </c>
      <c r="E695" s="200">
        <f>IF(H695="Subetapa",0,IF(H695="serviço",OFFSET(E695,-1,0)+1,OFFSET(E695,-1,0)))</f>
        <v/>
      </c>
      <c r="F695" s="31" t="n"/>
      <c r="J695" s="61" t="n"/>
      <c r="K695" s="62" t="n"/>
      <c r="L695" s="63" t="n"/>
      <c r="M695" s="63" t="n"/>
      <c r="N695" s="68" t="n"/>
      <c r="O695" s="68" t="n"/>
      <c r="P695" s="68" t="n"/>
      <c r="Q695" s="68" t="n"/>
      <c r="R695" s="68" t="n"/>
    </row>
    <row r="696" ht="14.1" customFormat="1" customHeight="1" s="60">
      <c r="A696" s="199">
        <f>IF($H696="UNIDADE CONSTRUTIVA",OFFSET(A696,-1,0)+1,LARGE(A$3:A695,1))</f>
        <v/>
      </c>
      <c r="B696" s="199">
        <f>IF(H696="UNIDADE CONSTRUTIVA",0,IF(H696="CÉLULA CONSTRUTIVA",OFFSET(B696,-1,0)+1,OFFSET(B696,-1,0)))</f>
        <v/>
      </c>
      <c r="C696" s="199">
        <f>IF(H696="CÉLULA CONSTRUTIVA",0,IF(H696="ETAPA",OFFSET(C696,-1,0)+1,OFFSET(C696,-1,0)))</f>
        <v/>
      </c>
      <c r="D696" s="200">
        <f>IF(H696="ETAPA",0,IF(H696="SUBETAPA",OFFSET(D696,-1,0)+1,OFFSET(D696,-1,0)))</f>
        <v/>
      </c>
      <c r="E696" s="200">
        <f>IF(H696="Subetapa",0,IF(H696="serviço",OFFSET(E696,-1,0)+1,OFFSET(E696,-1,0)))</f>
        <v/>
      </c>
      <c r="F696" s="31" t="n"/>
      <c r="J696" s="61" t="n"/>
      <c r="K696" s="62" t="n"/>
      <c r="L696" s="63" t="n"/>
      <c r="M696" s="63" t="n"/>
      <c r="N696" s="68" t="n"/>
      <c r="O696" s="68" t="n"/>
      <c r="P696" s="68" t="n"/>
      <c r="Q696" s="68" t="n"/>
      <c r="R696" s="68" t="n"/>
    </row>
    <row r="697" ht="14.1" customFormat="1" customHeight="1" s="60">
      <c r="A697" s="199">
        <f>IF($H697="UNIDADE CONSTRUTIVA",OFFSET(A697,-1,0)+1,LARGE(A$3:A696,1))</f>
        <v/>
      </c>
      <c r="B697" s="199">
        <f>IF(H697="UNIDADE CONSTRUTIVA",0,IF(H697="CÉLULA CONSTRUTIVA",OFFSET(B697,-1,0)+1,OFFSET(B697,-1,0)))</f>
        <v/>
      </c>
      <c r="C697" s="199">
        <f>IF(H697="CÉLULA CONSTRUTIVA",0,IF(H697="ETAPA",OFFSET(C697,-1,0)+1,OFFSET(C697,-1,0)))</f>
        <v/>
      </c>
      <c r="D697" s="200">
        <f>IF(H697="ETAPA",0,IF(H697="SUBETAPA",OFFSET(D697,-1,0)+1,OFFSET(D697,-1,0)))</f>
        <v/>
      </c>
      <c r="E697" s="200">
        <f>IF(H697="Subetapa",0,IF(H697="serviço",OFFSET(E697,-1,0)+1,OFFSET(E697,-1,0)))</f>
        <v/>
      </c>
      <c r="F697" s="31" t="n"/>
      <c r="J697" s="61" t="n"/>
      <c r="K697" s="62" t="n"/>
      <c r="L697" s="63" t="n"/>
      <c r="M697" s="63" t="n"/>
      <c r="N697" s="68" t="n"/>
      <c r="O697" s="68" t="n"/>
      <c r="P697" s="68" t="n"/>
      <c r="Q697" s="68" t="n"/>
      <c r="R697" s="68" t="n"/>
    </row>
    <row r="698" ht="14.1" customFormat="1" customHeight="1" s="60">
      <c r="A698" s="199">
        <f>IF($H698="UNIDADE CONSTRUTIVA",OFFSET(A698,-1,0)+1,LARGE(A$3:A697,1))</f>
        <v/>
      </c>
      <c r="B698" s="199">
        <f>IF(H698="UNIDADE CONSTRUTIVA",0,IF(H698="CÉLULA CONSTRUTIVA",OFFSET(B698,-1,0)+1,OFFSET(B698,-1,0)))</f>
        <v/>
      </c>
      <c r="C698" s="199">
        <f>IF(H698="CÉLULA CONSTRUTIVA",0,IF(H698="ETAPA",OFFSET(C698,-1,0)+1,OFFSET(C698,-1,0)))</f>
        <v/>
      </c>
      <c r="D698" s="200">
        <f>IF(H698="ETAPA",0,IF(H698="SUBETAPA",OFFSET(D698,-1,0)+1,OFFSET(D698,-1,0)))</f>
        <v/>
      </c>
      <c r="E698" s="200">
        <f>IF(H698="Subetapa",0,IF(H698="serviço",OFFSET(E698,-1,0)+1,OFFSET(E698,-1,0)))</f>
        <v/>
      </c>
      <c r="F698" s="31" t="n"/>
      <c r="J698" s="61" t="n"/>
      <c r="K698" s="62" t="n"/>
      <c r="L698" s="63" t="n"/>
      <c r="M698" s="63" t="n"/>
      <c r="N698" s="68" t="n"/>
      <c r="O698" s="68" t="n"/>
      <c r="P698" s="68" t="n"/>
      <c r="Q698" s="68" t="n"/>
      <c r="R698" s="68" t="n"/>
    </row>
    <row r="699" ht="14.1" customFormat="1" customHeight="1" s="60">
      <c r="A699" s="199">
        <f>IF($H699="UNIDADE CONSTRUTIVA",OFFSET(A699,-1,0)+1,LARGE(A$3:A698,1))</f>
        <v/>
      </c>
      <c r="B699" s="199">
        <f>IF(H699="UNIDADE CONSTRUTIVA",0,IF(H699="CÉLULA CONSTRUTIVA",OFFSET(B699,-1,0)+1,OFFSET(B699,-1,0)))</f>
        <v/>
      </c>
      <c r="C699" s="199">
        <f>IF(H699="CÉLULA CONSTRUTIVA",0,IF(H699="ETAPA",OFFSET(C699,-1,0)+1,OFFSET(C699,-1,0)))</f>
        <v/>
      </c>
      <c r="D699" s="200">
        <f>IF(H699="ETAPA",0,IF(H699="SUBETAPA",OFFSET(D699,-1,0)+1,OFFSET(D699,-1,0)))</f>
        <v/>
      </c>
      <c r="E699" s="200">
        <f>IF(H699="Subetapa",0,IF(H699="serviço",OFFSET(E699,-1,0)+1,OFFSET(E699,-1,0)))</f>
        <v/>
      </c>
      <c r="F699" s="31" t="n"/>
      <c r="J699" s="61" t="n"/>
      <c r="K699" s="62" t="n"/>
      <c r="L699" s="63" t="n"/>
      <c r="M699" s="63" t="n"/>
      <c r="N699" s="68" t="n"/>
      <c r="O699" s="68" t="n"/>
      <c r="P699" s="68" t="n"/>
      <c r="Q699" s="68" t="n"/>
      <c r="R699" s="68" t="n"/>
    </row>
    <row r="700" ht="14.1" customFormat="1" customHeight="1" s="60">
      <c r="A700" s="199">
        <f>IF($H700="UNIDADE CONSTRUTIVA",OFFSET(A700,-1,0)+1,LARGE(A$3:A699,1))</f>
        <v/>
      </c>
      <c r="B700" s="199">
        <f>IF(H700="UNIDADE CONSTRUTIVA",0,IF(H700="CÉLULA CONSTRUTIVA",OFFSET(B700,-1,0)+1,OFFSET(B700,-1,0)))</f>
        <v/>
      </c>
      <c r="C700" s="199">
        <f>IF(H700="CÉLULA CONSTRUTIVA",0,IF(H700="ETAPA",OFFSET(C700,-1,0)+1,OFFSET(C700,-1,0)))</f>
        <v/>
      </c>
      <c r="D700" s="200">
        <f>IF(H700="ETAPA",0,IF(H700="SUBETAPA",OFFSET(D700,-1,0)+1,OFFSET(D700,-1,0)))</f>
        <v/>
      </c>
      <c r="E700" s="200">
        <f>IF(H700="Subetapa",0,IF(H700="serviço",OFFSET(E700,-1,0)+1,OFFSET(E700,-1,0)))</f>
        <v/>
      </c>
      <c r="F700" s="31" t="n"/>
      <c r="J700" s="61" t="n"/>
      <c r="K700" s="62" t="n"/>
      <c r="L700" s="63" t="n"/>
      <c r="M700" s="63" t="n"/>
      <c r="N700" s="68" t="n"/>
      <c r="O700" s="68" t="n"/>
      <c r="P700" s="68" t="n"/>
      <c r="Q700" s="68" t="n"/>
      <c r="R700" s="68" t="n"/>
    </row>
    <row r="701" ht="14.1" customFormat="1" customHeight="1" s="60">
      <c r="A701" s="199">
        <f>IF($H701="UNIDADE CONSTRUTIVA",OFFSET(A701,-1,0)+1,LARGE(A$3:A700,1))</f>
        <v/>
      </c>
      <c r="B701" s="199">
        <f>IF(H701="UNIDADE CONSTRUTIVA",0,IF(H701="CÉLULA CONSTRUTIVA",OFFSET(B701,-1,0)+1,OFFSET(B701,-1,0)))</f>
        <v/>
      </c>
      <c r="C701" s="199">
        <f>IF(H701="CÉLULA CONSTRUTIVA",0,IF(H701="ETAPA",OFFSET(C701,-1,0)+1,OFFSET(C701,-1,0)))</f>
        <v/>
      </c>
      <c r="D701" s="200">
        <f>IF(H701="ETAPA",0,IF(H701="SUBETAPA",OFFSET(D701,-1,0)+1,OFFSET(D701,-1,0)))</f>
        <v/>
      </c>
      <c r="E701" s="200">
        <f>IF(H701="Subetapa",0,IF(H701="serviço",OFFSET(E701,-1,0)+1,OFFSET(E701,-1,0)))</f>
        <v/>
      </c>
      <c r="F701" s="31" t="n"/>
      <c r="J701" s="61" t="n"/>
      <c r="K701" s="62" t="n"/>
      <c r="L701" s="63" t="n"/>
      <c r="M701" s="63" t="n"/>
      <c r="N701" s="68" t="n"/>
      <c r="O701" s="68" t="n"/>
      <c r="P701" s="68" t="n"/>
      <c r="Q701" s="68" t="n"/>
      <c r="R701" s="68" t="n"/>
    </row>
    <row r="702" ht="14.1" customFormat="1" customHeight="1" s="60">
      <c r="A702" s="199">
        <f>IF($H702="UNIDADE CONSTRUTIVA",OFFSET(A702,-1,0)+1,LARGE(A$3:A701,1))</f>
        <v/>
      </c>
      <c r="B702" s="199">
        <f>IF(H702="UNIDADE CONSTRUTIVA",0,IF(H702="CÉLULA CONSTRUTIVA",OFFSET(B702,-1,0)+1,OFFSET(B702,-1,0)))</f>
        <v/>
      </c>
      <c r="C702" s="199">
        <f>IF(H702="CÉLULA CONSTRUTIVA",0,IF(H702="ETAPA",OFFSET(C702,-1,0)+1,OFFSET(C702,-1,0)))</f>
        <v/>
      </c>
      <c r="D702" s="200">
        <f>IF(H702="ETAPA",0,IF(H702="SUBETAPA",OFFSET(D702,-1,0)+1,OFFSET(D702,-1,0)))</f>
        <v/>
      </c>
      <c r="E702" s="200">
        <f>IF(H702="Subetapa",0,IF(H702="serviço",OFFSET(E702,-1,0)+1,OFFSET(E702,-1,0)))</f>
        <v/>
      </c>
      <c r="F702" s="31" t="n"/>
      <c r="J702" s="61" t="n"/>
      <c r="K702" s="62" t="n"/>
      <c r="L702" s="63" t="n"/>
      <c r="M702" s="63" t="n"/>
      <c r="N702" s="68" t="n"/>
      <c r="O702" s="68" t="n"/>
      <c r="P702" s="68" t="n"/>
      <c r="Q702" s="68" t="n"/>
      <c r="R702" s="68" t="n"/>
    </row>
    <row r="703" ht="14.1" customFormat="1" customHeight="1" s="60">
      <c r="A703" s="199">
        <f>IF($H703="UNIDADE CONSTRUTIVA",OFFSET(A703,-1,0)+1,LARGE(A$3:A702,1))</f>
        <v/>
      </c>
      <c r="B703" s="199">
        <f>IF(H703="UNIDADE CONSTRUTIVA",0,IF(H703="CÉLULA CONSTRUTIVA",OFFSET(B703,-1,0)+1,OFFSET(B703,-1,0)))</f>
        <v/>
      </c>
      <c r="C703" s="199">
        <f>IF(H703="CÉLULA CONSTRUTIVA",0,IF(H703="ETAPA",OFFSET(C703,-1,0)+1,OFFSET(C703,-1,0)))</f>
        <v/>
      </c>
      <c r="D703" s="200">
        <f>IF(H703="ETAPA",0,IF(H703="SUBETAPA",OFFSET(D703,-1,0)+1,OFFSET(D703,-1,0)))</f>
        <v/>
      </c>
      <c r="E703" s="200">
        <f>IF(H703="Subetapa",0,IF(H703="serviço",OFFSET(E703,-1,0)+1,OFFSET(E703,-1,0)))</f>
        <v/>
      </c>
      <c r="F703" s="31" t="n"/>
      <c r="J703" s="61" t="n"/>
      <c r="K703" s="62" t="n"/>
      <c r="L703" s="63" t="n"/>
      <c r="M703" s="63" t="n"/>
      <c r="N703" s="68" t="n"/>
      <c r="O703" s="68" t="n"/>
      <c r="P703" s="68" t="n"/>
      <c r="Q703" s="68" t="n"/>
      <c r="R703" s="68" t="n"/>
    </row>
    <row r="704" ht="14.1" customFormat="1" customHeight="1" s="60">
      <c r="A704" s="199">
        <f>IF($H704="UNIDADE CONSTRUTIVA",OFFSET(A704,-1,0)+1,LARGE(A$3:A703,1))</f>
        <v/>
      </c>
      <c r="B704" s="199">
        <f>IF(H704="UNIDADE CONSTRUTIVA",0,IF(H704="CÉLULA CONSTRUTIVA",OFFSET(B704,-1,0)+1,OFFSET(B704,-1,0)))</f>
        <v/>
      </c>
      <c r="C704" s="199">
        <f>IF(H704="CÉLULA CONSTRUTIVA",0,IF(H704="ETAPA",OFFSET(C704,-1,0)+1,OFFSET(C704,-1,0)))</f>
        <v/>
      </c>
      <c r="D704" s="200">
        <f>IF(H704="ETAPA",0,IF(H704="SUBETAPA",OFFSET(D704,-1,0)+1,OFFSET(D704,-1,0)))</f>
        <v/>
      </c>
      <c r="E704" s="200">
        <f>IF(H704="Subetapa",0,IF(H704="serviço",OFFSET(E704,-1,0)+1,OFFSET(E704,-1,0)))</f>
        <v/>
      </c>
      <c r="F704" s="31" t="n"/>
      <c r="J704" s="61" t="n"/>
      <c r="K704" s="62" t="n"/>
      <c r="L704" s="63" t="n"/>
      <c r="M704" s="63" t="n"/>
      <c r="N704" s="68" t="n"/>
      <c r="O704" s="68" t="n"/>
      <c r="P704" s="68" t="n"/>
      <c r="Q704" s="68" t="n"/>
      <c r="R704" s="68" t="n"/>
    </row>
    <row r="705" ht="14.1" customFormat="1" customHeight="1" s="60">
      <c r="A705" s="199">
        <f>IF($H705="UNIDADE CONSTRUTIVA",OFFSET(A705,-1,0)+1,LARGE(A$3:A704,1))</f>
        <v/>
      </c>
      <c r="B705" s="199">
        <f>IF(H705="UNIDADE CONSTRUTIVA",0,IF(H705="CÉLULA CONSTRUTIVA",OFFSET(B705,-1,0)+1,OFFSET(B705,-1,0)))</f>
        <v/>
      </c>
      <c r="C705" s="199">
        <f>IF(H705="CÉLULA CONSTRUTIVA",0,IF(H705="ETAPA",OFFSET(C705,-1,0)+1,OFFSET(C705,-1,0)))</f>
        <v/>
      </c>
      <c r="D705" s="200">
        <f>IF(H705="ETAPA",0,IF(H705="SUBETAPA",OFFSET(D705,-1,0)+1,OFFSET(D705,-1,0)))</f>
        <v/>
      </c>
      <c r="E705" s="200">
        <f>IF(H705="Subetapa",0,IF(H705="serviço",OFFSET(E705,-1,0)+1,OFFSET(E705,-1,0)))</f>
        <v/>
      </c>
      <c r="F705" s="31" t="n"/>
      <c r="J705" s="61" t="n"/>
      <c r="K705" s="62" t="n"/>
      <c r="L705" s="63" t="n"/>
      <c r="M705" s="63" t="n"/>
      <c r="N705" s="68" t="n"/>
      <c r="O705" s="68" t="n"/>
      <c r="P705" s="68" t="n"/>
      <c r="Q705" s="68" t="n"/>
      <c r="R705" s="68" t="n"/>
    </row>
    <row r="706" ht="14.1" customFormat="1" customHeight="1" s="60">
      <c r="A706" s="199">
        <f>IF($H706="UNIDADE CONSTRUTIVA",OFFSET(A706,-1,0)+1,LARGE(A$3:A705,1))</f>
        <v/>
      </c>
      <c r="B706" s="199">
        <f>IF(H706="UNIDADE CONSTRUTIVA",0,IF(H706="CÉLULA CONSTRUTIVA",OFFSET(B706,-1,0)+1,OFFSET(B706,-1,0)))</f>
        <v/>
      </c>
      <c r="C706" s="199">
        <f>IF(H706="CÉLULA CONSTRUTIVA",0,IF(H706="ETAPA",OFFSET(C706,-1,0)+1,OFFSET(C706,-1,0)))</f>
        <v/>
      </c>
      <c r="D706" s="200">
        <f>IF(H706="ETAPA",0,IF(H706="SUBETAPA",OFFSET(D706,-1,0)+1,OFFSET(D706,-1,0)))</f>
        <v/>
      </c>
      <c r="E706" s="200">
        <f>IF(H706="Subetapa",0,IF(H706="serviço",OFFSET(E706,-1,0)+1,OFFSET(E706,-1,0)))</f>
        <v/>
      </c>
      <c r="F706" s="31" t="n"/>
      <c r="J706" s="61" t="n"/>
      <c r="K706" s="62" t="n"/>
      <c r="L706" s="63" t="n"/>
      <c r="M706" s="63" t="n"/>
      <c r="N706" s="68" t="n"/>
      <c r="O706" s="68" t="n"/>
      <c r="P706" s="68" t="n"/>
      <c r="Q706" s="68" t="n"/>
      <c r="R706" s="68" t="n"/>
    </row>
    <row r="707" ht="14.1" customFormat="1" customHeight="1" s="60">
      <c r="A707" s="199">
        <f>IF($H707="UNIDADE CONSTRUTIVA",OFFSET(A707,-1,0)+1,LARGE(A$3:A706,1))</f>
        <v/>
      </c>
      <c r="B707" s="199">
        <f>IF(H707="UNIDADE CONSTRUTIVA",0,IF(H707="CÉLULA CONSTRUTIVA",OFFSET(B707,-1,0)+1,OFFSET(B707,-1,0)))</f>
        <v/>
      </c>
      <c r="C707" s="199">
        <f>IF(H707="CÉLULA CONSTRUTIVA",0,IF(H707="ETAPA",OFFSET(C707,-1,0)+1,OFFSET(C707,-1,0)))</f>
        <v/>
      </c>
      <c r="D707" s="200">
        <f>IF(H707="ETAPA",0,IF(H707="SUBETAPA",OFFSET(D707,-1,0)+1,OFFSET(D707,-1,0)))</f>
        <v/>
      </c>
      <c r="E707" s="200">
        <f>IF(H707="Subetapa",0,IF(H707="serviço",OFFSET(E707,-1,0)+1,OFFSET(E707,-1,0)))</f>
        <v/>
      </c>
      <c r="F707" s="31" t="n"/>
      <c r="J707" s="61" t="n"/>
      <c r="K707" s="62" t="n"/>
      <c r="L707" s="63" t="n"/>
      <c r="M707" s="63" t="n"/>
      <c r="N707" s="68" t="n"/>
      <c r="O707" s="68" t="n"/>
      <c r="P707" s="68" t="n"/>
      <c r="Q707" s="68" t="n"/>
      <c r="R707" s="68" t="n"/>
    </row>
    <row r="708" ht="14.1" customFormat="1" customHeight="1" s="60">
      <c r="A708" s="199">
        <f>IF($H708="UNIDADE CONSTRUTIVA",OFFSET(A708,-1,0)+1,LARGE(A$3:A707,1))</f>
        <v/>
      </c>
      <c r="B708" s="199">
        <f>IF(H708="UNIDADE CONSTRUTIVA",0,IF(H708="CÉLULA CONSTRUTIVA",OFFSET(B708,-1,0)+1,OFFSET(B708,-1,0)))</f>
        <v/>
      </c>
      <c r="C708" s="199">
        <f>IF(H708="CÉLULA CONSTRUTIVA",0,IF(H708="ETAPA",OFFSET(C708,-1,0)+1,OFFSET(C708,-1,0)))</f>
        <v/>
      </c>
      <c r="D708" s="200">
        <f>IF(H708="ETAPA",0,IF(H708="SUBETAPA",OFFSET(D708,-1,0)+1,OFFSET(D708,-1,0)))</f>
        <v/>
      </c>
      <c r="E708" s="200">
        <f>IF(H708="Subetapa",0,IF(H708="serviço",OFFSET(E708,-1,0)+1,OFFSET(E708,-1,0)))</f>
        <v/>
      </c>
      <c r="F708" s="31" t="n"/>
      <c r="J708" s="61" t="n"/>
      <c r="K708" s="62" t="n"/>
      <c r="L708" s="63" t="n"/>
      <c r="M708" s="63" t="n"/>
      <c r="N708" s="68" t="n"/>
      <c r="O708" s="68" t="n"/>
      <c r="P708" s="68" t="n"/>
      <c r="Q708" s="68" t="n"/>
      <c r="R708" s="68" t="n"/>
    </row>
    <row r="709" ht="14.1" customFormat="1" customHeight="1" s="60">
      <c r="A709" s="199">
        <f>IF($H709="UNIDADE CONSTRUTIVA",OFFSET(A709,-1,0)+1,LARGE(A$3:A708,1))</f>
        <v/>
      </c>
      <c r="B709" s="199">
        <f>IF(H709="UNIDADE CONSTRUTIVA",0,IF(H709="CÉLULA CONSTRUTIVA",OFFSET(B709,-1,0)+1,OFFSET(B709,-1,0)))</f>
        <v/>
      </c>
      <c r="C709" s="199">
        <f>IF(H709="CÉLULA CONSTRUTIVA",0,IF(H709="ETAPA",OFFSET(C709,-1,0)+1,OFFSET(C709,-1,0)))</f>
        <v/>
      </c>
      <c r="D709" s="200">
        <f>IF(H709="ETAPA",0,IF(H709="SUBETAPA",OFFSET(D709,-1,0)+1,OFFSET(D709,-1,0)))</f>
        <v/>
      </c>
      <c r="E709" s="200">
        <f>IF(H709="Subetapa",0,IF(H709="serviço",OFFSET(E709,-1,0)+1,OFFSET(E709,-1,0)))</f>
        <v/>
      </c>
      <c r="F709" s="31" t="n"/>
      <c r="J709" s="61" t="n"/>
      <c r="K709" s="62" t="n"/>
      <c r="L709" s="63" t="n"/>
      <c r="M709" s="63" t="n"/>
      <c r="N709" s="68" t="n"/>
      <c r="O709" s="68" t="n"/>
      <c r="P709" s="68" t="n"/>
      <c r="Q709" s="68" t="n"/>
      <c r="R709" s="68" t="n"/>
    </row>
    <row r="710" ht="14.1" customFormat="1" customHeight="1" s="60">
      <c r="A710" s="199">
        <f>IF($H710="UNIDADE CONSTRUTIVA",OFFSET(A710,-1,0)+1,LARGE(A$3:A709,1))</f>
        <v/>
      </c>
      <c r="B710" s="199">
        <f>IF(H710="UNIDADE CONSTRUTIVA",0,IF(H710="CÉLULA CONSTRUTIVA",OFFSET(B710,-1,0)+1,OFFSET(B710,-1,0)))</f>
        <v/>
      </c>
      <c r="C710" s="199">
        <f>IF(H710="CÉLULA CONSTRUTIVA",0,IF(H710="ETAPA",OFFSET(C710,-1,0)+1,OFFSET(C710,-1,0)))</f>
        <v/>
      </c>
      <c r="D710" s="200">
        <f>IF(H710="ETAPA",0,IF(H710="SUBETAPA",OFFSET(D710,-1,0)+1,OFFSET(D710,-1,0)))</f>
        <v/>
      </c>
      <c r="E710" s="200">
        <f>IF(H710="Subetapa",0,IF(H710="serviço",OFFSET(E710,-1,0)+1,OFFSET(E710,-1,0)))</f>
        <v/>
      </c>
      <c r="F710" s="31" t="n"/>
      <c r="J710" s="61" t="n"/>
      <c r="K710" s="62" t="n"/>
      <c r="L710" s="63" t="n"/>
      <c r="M710" s="63" t="n"/>
      <c r="N710" s="68" t="n"/>
      <c r="O710" s="68" t="n"/>
      <c r="P710" s="68" t="n"/>
      <c r="Q710" s="68" t="n"/>
      <c r="R710" s="68" t="n"/>
    </row>
    <row r="711" ht="14.1" customFormat="1" customHeight="1" s="60">
      <c r="A711" s="199">
        <f>IF($H711="UNIDADE CONSTRUTIVA",OFFSET(A711,-1,0)+1,LARGE(A$3:A710,1))</f>
        <v/>
      </c>
      <c r="B711" s="199">
        <f>IF(H711="UNIDADE CONSTRUTIVA",0,IF(H711="CÉLULA CONSTRUTIVA",OFFSET(B711,-1,0)+1,OFFSET(B711,-1,0)))</f>
        <v/>
      </c>
      <c r="C711" s="199">
        <f>IF(H711="CÉLULA CONSTRUTIVA",0,IF(H711="ETAPA",OFFSET(C711,-1,0)+1,OFFSET(C711,-1,0)))</f>
        <v/>
      </c>
      <c r="D711" s="200">
        <f>IF(H711="ETAPA",0,IF(H711="SUBETAPA",OFFSET(D711,-1,0)+1,OFFSET(D711,-1,0)))</f>
        <v/>
      </c>
      <c r="E711" s="200">
        <f>IF(H711="Subetapa",0,IF(H711="serviço",OFFSET(E711,-1,0)+1,OFFSET(E711,-1,0)))</f>
        <v/>
      </c>
      <c r="F711" s="31" t="n"/>
      <c r="J711" s="61" t="n"/>
      <c r="K711" s="62" t="n"/>
      <c r="L711" s="63" t="n"/>
      <c r="M711" s="63" t="n"/>
      <c r="N711" s="68" t="n"/>
      <c r="O711" s="68" t="n"/>
      <c r="P711" s="68" t="n"/>
      <c r="Q711" s="68" t="n"/>
      <c r="R711" s="68" t="n"/>
    </row>
    <row r="712" ht="14.1" customFormat="1" customHeight="1" s="60">
      <c r="A712" s="199">
        <f>IF($H712="UNIDADE CONSTRUTIVA",OFFSET(A712,-1,0)+1,LARGE(A$3:A711,1))</f>
        <v/>
      </c>
      <c r="B712" s="199">
        <f>IF(H712="UNIDADE CONSTRUTIVA",0,IF(H712="CÉLULA CONSTRUTIVA",OFFSET(B712,-1,0)+1,OFFSET(B712,-1,0)))</f>
        <v/>
      </c>
      <c r="C712" s="199">
        <f>IF(H712="CÉLULA CONSTRUTIVA",0,IF(H712="ETAPA",OFFSET(C712,-1,0)+1,OFFSET(C712,-1,0)))</f>
        <v/>
      </c>
      <c r="D712" s="200">
        <f>IF(H712="ETAPA",0,IF(H712="SUBETAPA",OFFSET(D712,-1,0)+1,OFFSET(D712,-1,0)))</f>
        <v/>
      </c>
      <c r="E712" s="200">
        <f>IF(H712="Subetapa",0,IF(H712="serviço",OFFSET(E712,-1,0)+1,OFFSET(E712,-1,0)))</f>
        <v/>
      </c>
      <c r="F712" s="31" t="n"/>
      <c r="J712" s="61" t="n"/>
      <c r="K712" s="62" t="n"/>
      <c r="L712" s="63" t="n"/>
      <c r="M712" s="63" t="n"/>
      <c r="N712" s="68" t="n"/>
      <c r="O712" s="68" t="n"/>
      <c r="P712" s="68" t="n"/>
      <c r="Q712" s="68" t="n"/>
      <c r="R712" s="68" t="n"/>
    </row>
    <row r="713" ht="14.1" customFormat="1" customHeight="1" s="60">
      <c r="A713" s="199">
        <f>IF($H713="UNIDADE CONSTRUTIVA",OFFSET(A713,-1,0)+1,LARGE(A$3:A712,1))</f>
        <v/>
      </c>
      <c r="B713" s="199">
        <f>IF(H713="UNIDADE CONSTRUTIVA",0,IF(H713="CÉLULA CONSTRUTIVA",OFFSET(B713,-1,0)+1,OFFSET(B713,-1,0)))</f>
        <v/>
      </c>
      <c r="C713" s="199">
        <f>IF(H713="CÉLULA CONSTRUTIVA",0,IF(H713="ETAPA",OFFSET(C713,-1,0)+1,OFFSET(C713,-1,0)))</f>
        <v/>
      </c>
      <c r="D713" s="200">
        <f>IF(H713="ETAPA",0,IF(H713="SUBETAPA",OFFSET(D713,-1,0)+1,OFFSET(D713,-1,0)))</f>
        <v/>
      </c>
      <c r="E713" s="200">
        <f>IF(H713="Subetapa",0,IF(H713="serviço",OFFSET(E713,-1,0)+1,OFFSET(E713,-1,0)))</f>
        <v/>
      </c>
      <c r="F713" s="31" t="n"/>
      <c r="J713" s="61" t="n"/>
      <c r="K713" s="62" t="n"/>
      <c r="L713" s="63" t="n"/>
      <c r="M713" s="63" t="n"/>
      <c r="N713" s="68" t="n"/>
      <c r="O713" s="68" t="n"/>
      <c r="P713" s="68" t="n"/>
      <c r="Q713" s="68" t="n"/>
      <c r="R713" s="68" t="n"/>
    </row>
    <row r="714" ht="14.1" customFormat="1" customHeight="1" s="60">
      <c r="A714" s="199">
        <f>IF($H714="UNIDADE CONSTRUTIVA",OFFSET(A714,-1,0)+1,LARGE(A$3:A713,1))</f>
        <v/>
      </c>
      <c r="B714" s="199">
        <f>IF(H714="UNIDADE CONSTRUTIVA",0,IF(H714="CÉLULA CONSTRUTIVA",OFFSET(B714,-1,0)+1,OFFSET(B714,-1,0)))</f>
        <v/>
      </c>
      <c r="C714" s="199">
        <f>IF(H714="CÉLULA CONSTRUTIVA",0,IF(H714="ETAPA",OFFSET(C714,-1,0)+1,OFFSET(C714,-1,0)))</f>
        <v/>
      </c>
      <c r="D714" s="200">
        <f>IF(H714="ETAPA",0,IF(H714="SUBETAPA",OFFSET(D714,-1,0)+1,OFFSET(D714,-1,0)))</f>
        <v/>
      </c>
      <c r="E714" s="200">
        <f>IF(H714="Subetapa",0,IF(H714="serviço",OFFSET(E714,-1,0)+1,OFFSET(E714,-1,0)))</f>
        <v/>
      </c>
      <c r="F714" s="31" t="n"/>
      <c r="J714" s="61" t="n"/>
      <c r="K714" s="62" t="n"/>
      <c r="L714" s="63" t="n"/>
      <c r="M714" s="63" t="n"/>
      <c r="N714" s="68" t="n"/>
      <c r="O714" s="68" t="n"/>
      <c r="P714" s="68" t="n"/>
      <c r="Q714" s="68" t="n"/>
      <c r="R714" s="68" t="n"/>
    </row>
    <row r="715" ht="14.1" customFormat="1" customHeight="1" s="60">
      <c r="A715" s="199">
        <f>IF($H715="UNIDADE CONSTRUTIVA",OFFSET(A715,-1,0)+1,LARGE(A$3:A714,1))</f>
        <v/>
      </c>
      <c r="B715" s="199">
        <f>IF(H715="UNIDADE CONSTRUTIVA",0,IF(H715="CÉLULA CONSTRUTIVA",OFFSET(B715,-1,0)+1,OFFSET(B715,-1,0)))</f>
        <v/>
      </c>
      <c r="C715" s="199">
        <f>IF(H715="CÉLULA CONSTRUTIVA",0,IF(H715="ETAPA",OFFSET(C715,-1,0)+1,OFFSET(C715,-1,0)))</f>
        <v/>
      </c>
      <c r="D715" s="200">
        <f>IF(H715="ETAPA",0,IF(H715="SUBETAPA",OFFSET(D715,-1,0)+1,OFFSET(D715,-1,0)))</f>
        <v/>
      </c>
      <c r="E715" s="200">
        <f>IF(H715="Subetapa",0,IF(H715="serviço",OFFSET(E715,-1,0)+1,OFFSET(E715,-1,0)))</f>
        <v/>
      </c>
      <c r="F715" s="31" t="n"/>
      <c r="J715" s="61" t="n"/>
      <c r="K715" s="62" t="n"/>
      <c r="L715" s="63" t="n"/>
      <c r="M715" s="63" t="n"/>
      <c r="N715" s="68" t="n"/>
      <c r="O715" s="68" t="n"/>
      <c r="P715" s="68" t="n"/>
      <c r="Q715" s="68" t="n"/>
      <c r="R715" s="68" t="n"/>
    </row>
    <row r="716" ht="14.1" customFormat="1" customHeight="1" s="60">
      <c r="A716" s="199">
        <f>IF($H716="UNIDADE CONSTRUTIVA",OFFSET(A716,-1,0)+1,LARGE(A$3:A715,1))</f>
        <v/>
      </c>
      <c r="B716" s="199">
        <f>IF(H716="UNIDADE CONSTRUTIVA",0,IF(H716="CÉLULA CONSTRUTIVA",OFFSET(B716,-1,0)+1,OFFSET(B716,-1,0)))</f>
        <v/>
      </c>
      <c r="C716" s="199">
        <f>IF(H716="CÉLULA CONSTRUTIVA",0,IF(H716="ETAPA",OFFSET(C716,-1,0)+1,OFFSET(C716,-1,0)))</f>
        <v/>
      </c>
      <c r="D716" s="200">
        <f>IF(H716="ETAPA",0,IF(H716="SUBETAPA",OFFSET(D716,-1,0)+1,OFFSET(D716,-1,0)))</f>
        <v/>
      </c>
      <c r="E716" s="200">
        <f>IF(H716="Subetapa",0,IF(H716="serviço",OFFSET(E716,-1,0)+1,OFFSET(E716,-1,0)))</f>
        <v/>
      </c>
      <c r="F716" s="31" t="n"/>
      <c r="J716" s="61" t="n"/>
      <c r="K716" s="62" t="n"/>
      <c r="L716" s="63" t="n"/>
      <c r="M716" s="63" t="n"/>
      <c r="N716" s="68" t="n"/>
      <c r="O716" s="68" t="n"/>
      <c r="P716" s="68" t="n"/>
      <c r="Q716" s="68" t="n"/>
      <c r="R716" s="68" t="n"/>
    </row>
    <row r="717" ht="14.1" customFormat="1" customHeight="1" s="60">
      <c r="A717" s="199">
        <f>IF($H717="UNIDADE CONSTRUTIVA",OFFSET(A717,-1,0)+1,LARGE(A$3:A716,1))</f>
        <v/>
      </c>
      <c r="B717" s="199">
        <f>IF(H717="UNIDADE CONSTRUTIVA",0,IF(H717="CÉLULA CONSTRUTIVA",OFFSET(B717,-1,0)+1,OFFSET(B717,-1,0)))</f>
        <v/>
      </c>
      <c r="C717" s="199">
        <f>IF(H717="CÉLULA CONSTRUTIVA",0,IF(H717="ETAPA",OFFSET(C717,-1,0)+1,OFFSET(C717,-1,0)))</f>
        <v/>
      </c>
      <c r="D717" s="200">
        <f>IF(H717="ETAPA",0,IF(H717="SUBETAPA",OFFSET(D717,-1,0)+1,OFFSET(D717,-1,0)))</f>
        <v/>
      </c>
      <c r="E717" s="200">
        <f>IF(H717="Subetapa",0,IF(H717="serviço",OFFSET(E717,-1,0)+1,OFFSET(E717,-1,0)))</f>
        <v/>
      </c>
      <c r="F717" s="31" t="n"/>
      <c r="J717" s="61" t="n"/>
      <c r="K717" s="62" t="n"/>
      <c r="L717" s="63" t="n"/>
      <c r="M717" s="63" t="n"/>
      <c r="N717" s="68" t="n"/>
      <c r="O717" s="68" t="n"/>
      <c r="P717" s="68" t="n"/>
      <c r="Q717" s="68" t="n"/>
      <c r="R717" s="68" t="n"/>
    </row>
    <row r="718" ht="14.1" customFormat="1" customHeight="1" s="60">
      <c r="A718" s="199">
        <f>IF($H718="UNIDADE CONSTRUTIVA",OFFSET(A718,-1,0)+1,LARGE(A$3:A717,1))</f>
        <v/>
      </c>
      <c r="B718" s="199">
        <f>IF(H718="UNIDADE CONSTRUTIVA",0,IF(H718="CÉLULA CONSTRUTIVA",OFFSET(B718,-1,0)+1,OFFSET(B718,-1,0)))</f>
        <v/>
      </c>
      <c r="C718" s="199">
        <f>IF(H718="CÉLULA CONSTRUTIVA",0,IF(H718="ETAPA",OFFSET(C718,-1,0)+1,OFFSET(C718,-1,0)))</f>
        <v/>
      </c>
      <c r="D718" s="200">
        <f>IF(H718="ETAPA",0,IF(H718="SUBETAPA",OFFSET(D718,-1,0)+1,OFFSET(D718,-1,0)))</f>
        <v/>
      </c>
      <c r="E718" s="200">
        <f>IF(H718="Subetapa",0,IF(H718="serviço",OFFSET(E718,-1,0)+1,OFFSET(E718,-1,0)))</f>
        <v/>
      </c>
      <c r="F718" s="31" t="n"/>
      <c r="J718" s="61" t="n"/>
      <c r="K718" s="62" t="n"/>
      <c r="L718" s="63" t="n"/>
      <c r="M718" s="63" t="n"/>
      <c r="N718" s="68" t="n"/>
      <c r="O718" s="68" t="n"/>
      <c r="P718" s="68" t="n"/>
      <c r="Q718" s="68" t="n"/>
      <c r="R718" s="68" t="n"/>
    </row>
    <row r="719" ht="14.1" customFormat="1" customHeight="1" s="60">
      <c r="A719" s="199">
        <f>IF($H719="UNIDADE CONSTRUTIVA",OFFSET(A719,-1,0)+1,LARGE(A$3:A718,1))</f>
        <v/>
      </c>
      <c r="B719" s="199">
        <f>IF(H719="UNIDADE CONSTRUTIVA",0,IF(H719="CÉLULA CONSTRUTIVA",OFFSET(B719,-1,0)+1,OFFSET(B719,-1,0)))</f>
        <v/>
      </c>
      <c r="C719" s="199">
        <f>IF(H719="CÉLULA CONSTRUTIVA",0,IF(H719="ETAPA",OFFSET(C719,-1,0)+1,OFFSET(C719,-1,0)))</f>
        <v/>
      </c>
      <c r="D719" s="200">
        <f>IF(H719="ETAPA",0,IF(H719="SUBETAPA",OFFSET(D719,-1,0)+1,OFFSET(D719,-1,0)))</f>
        <v/>
      </c>
      <c r="E719" s="200">
        <f>IF(H719="Subetapa",0,IF(H719="serviço",OFFSET(E719,-1,0)+1,OFFSET(E719,-1,0)))</f>
        <v/>
      </c>
      <c r="F719" s="31" t="n"/>
      <c r="J719" s="61" t="n"/>
      <c r="K719" s="62" t="n"/>
      <c r="L719" s="63" t="n"/>
      <c r="M719" s="63" t="n"/>
      <c r="N719" s="68" t="n"/>
      <c r="O719" s="68" t="n"/>
      <c r="P719" s="68" t="n"/>
      <c r="Q719" s="68" t="n"/>
      <c r="R719" s="68" t="n"/>
    </row>
    <row r="720" ht="14.1" customFormat="1" customHeight="1" s="60">
      <c r="A720" s="199">
        <f>IF($H720="UNIDADE CONSTRUTIVA",OFFSET(A720,-1,0)+1,LARGE(A$3:A719,1))</f>
        <v/>
      </c>
      <c r="B720" s="199">
        <f>IF(H720="UNIDADE CONSTRUTIVA",0,IF(H720="CÉLULA CONSTRUTIVA",OFFSET(B720,-1,0)+1,OFFSET(B720,-1,0)))</f>
        <v/>
      </c>
      <c r="C720" s="199">
        <f>IF(H720="CÉLULA CONSTRUTIVA",0,IF(H720="ETAPA",OFFSET(C720,-1,0)+1,OFFSET(C720,-1,0)))</f>
        <v/>
      </c>
      <c r="D720" s="200">
        <f>IF(H720="ETAPA",0,IF(H720="SUBETAPA",OFFSET(D720,-1,0)+1,OFFSET(D720,-1,0)))</f>
        <v/>
      </c>
      <c r="E720" s="200">
        <f>IF(H720="Subetapa",0,IF(H720="serviço",OFFSET(E720,-1,0)+1,OFFSET(E720,-1,0)))</f>
        <v/>
      </c>
      <c r="F720" s="31" t="n"/>
      <c r="J720" s="61" t="n"/>
      <c r="K720" s="62" t="n"/>
      <c r="L720" s="63" t="n"/>
      <c r="M720" s="63" t="n"/>
      <c r="N720" s="68" t="n"/>
      <c r="O720" s="68" t="n"/>
      <c r="P720" s="68" t="n"/>
      <c r="Q720" s="68" t="n"/>
      <c r="R720" s="68" t="n"/>
    </row>
    <row r="721" ht="14.1" customFormat="1" customHeight="1" s="60">
      <c r="A721" s="199">
        <f>IF($H721="UNIDADE CONSTRUTIVA",OFFSET(A721,-1,0)+1,LARGE(A$3:A720,1))</f>
        <v/>
      </c>
      <c r="B721" s="199">
        <f>IF(H721="UNIDADE CONSTRUTIVA",0,IF(H721="CÉLULA CONSTRUTIVA",OFFSET(B721,-1,0)+1,OFFSET(B721,-1,0)))</f>
        <v/>
      </c>
      <c r="C721" s="199">
        <f>IF(H721="CÉLULA CONSTRUTIVA",0,IF(H721="ETAPA",OFFSET(C721,-1,0)+1,OFFSET(C721,-1,0)))</f>
        <v/>
      </c>
      <c r="D721" s="200">
        <f>IF(H721="ETAPA",0,IF(H721="SUBETAPA",OFFSET(D721,-1,0)+1,OFFSET(D721,-1,0)))</f>
        <v/>
      </c>
      <c r="E721" s="200">
        <f>IF(H721="Subetapa",0,IF(H721="serviço",OFFSET(E721,-1,0)+1,OFFSET(E721,-1,0)))</f>
        <v/>
      </c>
      <c r="F721" s="31" t="n"/>
      <c r="J721" s="61" t="n"/>
      <c r="K721" s="62" t="n"/>
      <c r="L721" s="63" t="n"/>
      <c r="M721" s="63" t="n"/>
      <c r="N721" s="68" t="n"/>
      <c r="O721" s="68" t="n"/>
      <c r="P721" s="68" t="n"/>
      <c r="Q721" s="68" t="n"/>
      <c r="R721" s="68" t="n"/>
    </row>
    <row r="722" ht="14.1" customFormat="1" customHeight="1" s="60">
      <c r="A722" s="199">
        <f>IF($H722="UNIDADE CONSTRUTIVA",OFFSET(A722,-1,0)+1,LARGE(A$3:A721,1))</f>
        <v/>
      </c>
      <c r="B722" s="199">
        <f>IF(H722="UNIDADE CONSTRUTIVA",0,IF(H722="CÉLULA CONSTRUTIVA",OFFSET(B722,-1,0)+1,OFFSET(B722,-1,0)))</f>
        <v/>
      </c>
      <c r="C722" s="199">
        <f>IF(H722="CÉLULA CONSTRUTIVA",0,IF(H722="ETAPA",OFFSET(C722,-1,0)+1,OFFSET(C722,-1,0)))</f>
        <v/>
      </c>
      <c r="D722" s="200">
        <f>IF(H722="ETAPA",0,IF(H722="SUBETAPA",OFFSET(D722,-1,0)+1,OFFSET(D722,-1,0)))</f>
        <v/>
      </c>
      <c r="E722" s="200">
        <f>IF(H722="Subetapa",0,IF(H722="serviço",OFFSET(E722,-1,0)+1,OFFSET(E722,-1,0)))</f>
        <v/>
      </c>
      <c r="F722" s="31" t="n"/>
      <c r="J722" s="61" t="n"/>
      <c r="K722" s="62" t="n"/>
      <c r="L722" s="63" t="n"/>
      <c r="M722" s="63" t="n"/>
      <c r="N722" s="68" t="n"/>
      <c r="O722" s="68" t="n"/>
      <c r="P722" s="68" t="n"/>
      <c r="Q722" s="68" t="n"/>
      <c r="R722" s="68" t="n"/>
    </row>
    <row r="723" ht="14.1" customFormat="1" customHeight="1" s="60">
      <c r="A723" s="199">
        <f>IF($H723="UNIDADE CONSTRUTIVA",OFFSET(A723,-1,0)+1,LARGE(A$3:A722,1))</f>
        <v/>
      </c>
      <c r="B723" s="199">
        <f>IF(H723="UNIDADE CONSTRUTIVA",0,IF(H723="CÉLULA CONSTRUTIVA",OFFSET(B723,-1,0)+1,OFFSET(B723,-1,0)))</f>
        <v/>
      </c>
      <c r="C723" s="199">
        <f>IF(H723="CÉLULA CONSTRUTIVA",0,IF(H723="ETAPA",OFFSET(C723,-1,0)+1,OFFSET(C723,-1,0)))</f>
        <v/>
      </c>
      <c r="D723" s="200">
        <f>IF(H723="ETAPA",0,IF(H723="SUBETAPA",OFFSET(D723,-1,0)+1,OFFSET(D723,-1,0)))</f>
        <v/>
      </c>
      <c r="E723" s="200">
        <f>IF(H723="Subetapa",0,IF(H723="serviço",OFFSET(E723,-1,0)+1,OFFSET(E723,-1,0)))</f>
        <v/>
      </c>
      <c r="F723" s="31" t="n"/>
      <c r="J723" s="61" t="n"/>
      <c r="K723" s="62" t="n"/>
      <c r="L723" s="63" t="n"/>
      <c r="M723" s="63" t="n"/>
      <c r="N723" s="68" t="n"/>
      <c r="O723" s="68" t="n"/>
      <c r="P723" s="68" t="n"/>
      <c r="Q723" s="68" t="n"/>
      <c r="R723" s="68" t="n"/>
    </row>
    <row r="724" ht="14.1" customFormat="1" customHeight="1" s="60">
      <c r="A724" s="199">
        <f>IF($H724="UNIDADE CONSTRUTIVA",OFFSET(A724,-1,0)+1,LARGE(A$3:A723,1))</f>
        <v/>
      </c>
      <c r="B724" s="199">
        <f>IF(H724="UNIDADE CONSTRUTIVA",0,IF(H724="CÉLULA CONSTRUTIVA",OFFSET(B724,-1,0)+1,OFFSET(B724,-1,0)))</f>
        <v/>
      </c>
      <c r="C724" s="199">
        <f>IF(H724="CÉLULA CONSTRUTIVA",0,IF(H724="ETAPA",OFFSET(C724,-1,0)+1,OFFSET(C724,-1,0)))</f>
        <v/>
      </c>
      <c r="D724" s="200">
        <f>IF(H724="ETAPA",0,IF(H724="SUBETAPA",OFFSET(D724,-1,0)+1,OFFSET(D724,-1,0)))</f>
        <v/>
      </c>
      <c r="E724" s="200">
        <f>IF(H724="Subetapa",0,IF(H724="serviço",OFFSET(E724,-1,0)+1,OFFSET(E724,-1,0)))</f>
        <v/>
      </c>
      <c r="F724" s="31" t="n"/>
      <c r="J724" s="61" t="n"/>
      <c r="K724" s="62" t="n"/>
      <c r="L724" s="63" t="n"/>
      <c r="M724" s="63" t="n"/>
      <c r="N724" s="68" t="n"/>
      <c r="O724" s="68" t="n"/>
      <c r="P724" s="68" t="n"/>
      <c r="Q724" s="68" t="n"/>
      <c r="R724" s="68" t="n"/>
    </row>
    <row r="725" ht="14.1" customFormat="1" customHeight="1" s="60">
      <c r="A725" s="199">
        <f>IF($H725="UNIDADE CONSTRUTIVA",OFFSET(A725,-1,0)+1,LARGE(A$3:A724,1))</f>
        <v/>
      </c>
      <c r="B725" s="199">
        <f>IF(H725="UNIDADE CONSTRUTIVA",0,IF(H725="CÉLULA CONSTRUTIVA",OFFSET(B725,-1,0)+1,OFFSET(B725,-1,0)))</f>
        <v/>
      </c>
      <c r="C725" s="199">
        <f>IF(H725="CÉLULA CONSTRUTIVA",0,IF(H725="ETAPA",OFFSET(C725,-1,0)+1,OFFSET(C725,-1,0)))</f>
        <v/>
      </c>
      <c r="D725" s="200">
        <f>IF(H725="ETAPA",0,IF(H725="SUBETAPA",OFFSET(D725,-1,0)+1,OFFSET(D725,-1,0)))</f>
        <v/>
      </c>
      <c r="E725" s="200">
        <f>IF(H725="Subetapa",0,IF(H725="serviço",OFFSET(E725,-1,0)+1,OFFSET(E725,-1,0)))</f>
        <v/>
      </c>
      <c r="F725" s="69" t="n"/>
      <c r="J725" s="61" t="n"/>
      <c r="K725" s="62" t="n"/>
      <c r="L725" s="63" t="n"/>
      <c r="M725" s="63" t="n"/>
      <c r="N725" s="68" t="n"/>
      <c r="O725" s="68" t="n"/>
      <c r="P725" s="68" t="n"/>
      <c r="Q725" s="68" t="n"/>
      <c r="R725" s="68" t="n"/>
    </row>
    <row r="726" ht="14.1" customFormat="1" customHeight="1" s="60">
      <c r="A726" s="199">
        <f>IF($H726="UNIDADE CONSTRUTIVA",OFFSET(A726,-1,0)+1,LARGE(A$3:A725,1))</f>
        <v/>
      </c>
      <c r="B726" s="199">
        <f>IF(H726="UNIDADE CONSTRUTIVA",0,IF(H726="CÉLULA CONSTRUTIVA",OFFSET(B726,-1,0)+1,OFFSET(B726,-1,0)))</f>
        <v/>
      </c>
      <c r="C726" s="199">
        <f>IF(H726="CÉLULA CONSTRUTIVA",0,IF(H726="ETAPA",OFFSET(C726,-1,0)+1,OFFSET(C726,-1,0)))</f>
        <v/>
      </c>
      <c r="D726" s="200">
        <f>IF(H726="ETAPA",0,IF(H726="SUBETAPA",OFFSET(D726,-1,0)+1,OFFSET(D726,-1,0)))</f>
        <v/>
      </c>
      <c r="E726" s="200">
        <f>IF(H726="Subetapa",0,IF(H726="serviço",OFFSET(E726,-1,0)+1,OFFSET(E726,-1,0)))</f>
        <v/>
      </c>
      <c r="F726" s="69" t="n"/>
      <c r="J726" s="61" t="n"/>
      <c r="K726" s="62" t="n"/>
      <c r="L726" s="63" t="n"/>
      <c r="M726" s="63" t="n"/>
      <c r="N726" s="68" t="n"/>
      <c r="O726" s="68" t="n"/>
      <c r="P726" s="68" t="n"/>
      <c r="Q726" s="68" t="n"/>
      <c r="R726" s="68" t="n"/>
    </row>
    <row r="727" ht="14.1" customFormat="1" customHeight="1" s="60">
      <c r="A727" s="199">
        <f>IF($H727="UNIDADE CONSTRUTIVA",OFFSET(A727,-1,0)+1,LARGE(A$3:A726,1))</f>
        <v/>
      </c>
      <c r="B727" s="199">
        <f>IF(H727="UNIDADE CONSTRUTIVA",0,IF(H727="CÉLULA CONSTRUTIVA",OFFSET(B727,-1,0)+1,OFFSET(B727,-1,0)))</f>
        <v/>
      </c>
      <c r="C727" s="199">
        <f>IF(H727="CÉLULA CONSTRUTIVA",0,IF(H727="ETAPA",OFFSET(C727,-1,0)+1,OFFSET(C727,-1,0)))</f>
        <v/>
      </c>
      <c r="D727" s="200">
        <f>IF(H727="ETAPA",0,IF(H727="SUBETAPA",OFFSET(D727,-1,0)+1,OFFSET(D727,-1,0)))</f>
        <v/>
      </c>
      <c r="E727" s="200">
        <f>IF(H727="Subetapa",0,IF(H727="serviço",OFFSET(E727,-1,0)+1,OFFSET(E727,-1,0)))</f>
        <v/>
      </c>
      <c r="F727" s="69" t="n"/>
      <c r="J727" s="61" t="n"/>
      <c r="K727" s="62" t="n"/>
      <c r="L727" s="63" t="n"/>
      <c r="M727" s="63" t="n"/>
      <c r="N727" s="68" t="n"/>
      <c r="O727" s="68" t="n"/>
      <c r="P727" s="68" t="n"/>
      <c r="Q727" s="68" t="n"/>
      <c r="R727" s="68" t="n"/>
    </row>
    <row r="728" ht="14.1" customFormat="1" customHeight="1" s="60">
      <c r="A728" s="199">
        <f>IF($H728="UNIDADE CONSTRUTIVA",OFFSET(A728,-1,0)+1,LARGE(A$3:A727,1))</f>
        <v/>
      </c>
      <c r="B728" s="199">
        <f>IF(H728="UNIDADE CONSTRUTIVA",0,IF(H728="CÉLULA CONSTRUTIVA",OFFSET(B728,-1,0)+1,OFFSET(B728,-1,0)))</f>
        <v/>
      </c>
      <c r="C728" s="199">
        <f>IF(H728="CÉLULA CONSTRUTIVA",0,IF(H728="ETAPA",OFFSET(C728,-1,0)+1,OFFSET(C728,-1,0)))</f>
        <v/>
      </c>
      <c r="D728" s="200">
        <f>IF(H728="ETAPA",0,IF(H728="SUBETAPA",OFFSET(D728,-1,0)+1,OFFSET(D728,-1,0)))</f>
        <v/>
      </c>
      <c r="E728" s="200">
        <f>IF(H728="Subetapa",0,IF(H728="serviço",OFFSET(E728,-1,0)+1,OFFSET(E728,-1,0)))</f>
        <v/>
      </c>
      <c r="F728" s="69" t="n"/>
      <c r="J728" s="61" t="n"/>
      <c r="K728" s="62" t="n"/>
      <c r="L728" s="63" t="n"/>
      <c r="M728" s="63" t="n"/>
      <c r="N728" s="68" t="n"/>
      <c r="O728" s="68" t="n"/>
      <c r="P728" s="68" t="n"/>
      <c r="Q728" s="68" t="n"/>
      <c r="R728" s="68" t="n"/>
    </row>
    <row r="729" ht="14.1" customFormat="1" customHeight="1" s="60">
      <c r="A729" s="199">
        <f>IF($H729="UNIDADE CONSTRUTIVA",OFFSET(A729,-1,0)+1,LARGE(A$3:A728,1))</f>
        <v/>
      </c>
      <c r="B729" s="199">
        <f>IF(H729="UNIDADE CONSTRUTIVA",0,IF(H729="CÉLULA CONSTRUTIVA",OFFSET(B729,-1,0)+1,OFFSET(B729,-1,0)))</f>
        <v/>
      </c>
      <c r="C729" s="199">
        <f>IF(H729="CÉLULA CONSTRUTIVA",0,IF(H729="ETAPA",OFFSET(C729,-1,0)+1,OFFSET(C729,-1,0)))</f>
        <v/>
      </c>
      <c r="D729" s="200">
        <f>IF(H729="ETAPA",0,IF(H729="SUBETAPA",OFFSET(D729,-1,0)+1,OFFSET(D729,-1,0)))</f>
        <v/>
      </c>
      <c r="E729" s="200">
        <f>IF(H729="Subetapa",0,IF(H729="serviço",OFFSET(E729,-1,0)+1,OFFSET(E729,-1,0)))</f>
        <v/>
      </c>
      <c r="F729" s="69" t="n"/>
      <c r="J729" s="61" t="n"/>
      <c r="K729" s="62" t="n"/>
      <c r="L729" s="63" t="n"/>
      <c r="M729" s="63" t="n"/>
      <c r="N729" s="68" t="n"/>
      <c r="O729" s="68" t="n"/>
      <c r="P729" s="68" t="n"/>
      <c r="Q729" s="68" t="n"/>
      <c r="R729" s="68" t="n"/>
    </row>
    <row r="730" ht="14.1" customFormat="1" customHeight="1" s="60">
      <c r="A730" s="199">
        <f>IF($H730="UNIDADE CONSTRUTIVA",OFFSET(A730,-1,0)+1,LARGE(A$3:A729,1))</f>
        <v/>
      </c>
      <c r="B730" s="199">
        <f>IF(H730="UNIDADE CONSTRUTIVA",0,IF(H730="CÉLULA CONSTRUTIVA",OFFSET(B730,-1,0)+1,OFFSET(B730,-1,0)))</f>
        <v/>
      </c>
      <c r="C730" s="199">
        <f>IF(H730="CÉLULA CONSTRUTIVA",0,IF(H730="ETAPA",OFFSET(C730,-1,0)+1,OFFSET(C730,-1,0)))</f>
        <v/>
      </c>
      <c r="D730" s="200">
        <f>IF(H730="ETAPA",0,IF(H730="SUBETAPA",OFFSET(D730,-1,0)+1,OFFSET(D730,-1,0)))</f>
        <v/>
      </c>
      <c r="E730" s="200">
        <f>IF(H730="Subetapa",0,IF(H730="serviço",OFFSET(E730,-1,0)+1,OFFSET(E730,-1,0)))</f>
        <v/>
      </c>
      <c r="F730" s="69" t="n"/>
      <c r="J730" s="61" t="n"/>
      <c r="K730" s="62" t="n"/>
      <c r="L730" s="63" t="n"/>
      <c r="M730" s="63" t="n"/>
      <c r="N730" s="68" t="n"/>
      <c r="O730" s="68" t="n"/>
      <c r="P730" s="68" t="n"/>
      <c r="Q730" s="68" t="n"/>
      <c r="R730" s="68" t="n"/>
    </row>
    <row r="731" ht="14.1" customFormat="1" customHeight="1" s="60">
      <c r="A731" s="199">
        <f>IF($H731="UNIDADE CONSTRUTIVA",OFFSET(A731,-1,0)+1,LARGE(A$3:A730,1))</f>
        <v/>
      </c>
      <c r="B731" s="199">
        <f>IF(H731="UNIDADE CONSTRUTIVA",0,IF(H731="CÉLULA CONSTRUTIVA",OFFSET(B731,-1,0)+1,OFFSET(B731,-1,0)))</f>
        <v/>
      </c>
      <c r="C731" s="199">
        <f>IF(H731="CÉLULA CONSTRUTIVA",0,IF(H731="ETAPA",OFFSET(C731,-1,0)+1,OFFSET(C731,-1,0)))</f>
        <v/>
      </c>
      <c r="D731" s="200">
        <f>IF(H731="ETAPA",0,IF(H731="SUBETAPA",OFFSET(D731,-1,0)+1,OFFSET(D731,-1,0)))</f>
        <v/>
      </c>
      <c r="E731" s="200">
        <f>IF(H731="Subetapa",0,IF(H731="serviço",OFFSET(E731,-1,0)+1,OFFSET(E731,-1,0)))</f>
        <v/>
      </c>
      <c r="F731" s="69" t="n"/>
      <c r="J731" s="61" t="n"/>
      <c r="K731" s="62" t="n"/>
      <c r="L731" s="63" t="n"/>
      <c r="M731" s="63" t="n"/>
      <c r="N731" s="68" t="n"/>
      <c r="O731" s="68" t="n"/>
      <c r="P731" s="68" t="n"/>
      <c r="Q731" s="68" t="n"/>
      <c r="R731" s="68" t="n"/>
    </row>
    <row r="732" ht="14.1" customFormat="1" customHeight="1" s="60">
      <c r="A732" s="199">
        <f>IF($H732="UNIDADE CONSTRUTIVA",OFFSET(A732,-1,0)+1,LARGE(A$3:A731,1))</f>
        <v/>
      </c>
      <c r="B732" s="199">
        <f>IF(H732="UNIDADE CONSTRUTIVA",0,IF(H732="CÉLULA CONSTRUTIVA",OFFSET(B732,-1,0)+1,OFFSET(B732,-1,0)))</f>
        <v/>
      </c>
      <c r="C732" s="199">
        <f>IF(H732="CÉLULA CONSTRUTIVA",0,IF(H732="ETAPA",OFFSET(C732,-1,0)+1,OFFSET(C732,-1,0)))</f>
        <v/>
      </c>
      <c r="D732" s="200">
        <f>IF(H732="ETAPA",0,IF(H732="SUBETAPA",OFFSET(D732,-1,0)+1,OFFSET(D732,-1,0)))</f>
        <v/>
      </c>
      <c r="E732" s="200">
        <f>IF(H732="Subetapa",0,IF(H732="serviço",OFFSET(E732,-1,0)+1,OFFSET(E732,-1,0)))</f>
        <v/>
      </c>
      <c r="F732" s="69" t="n"/>
      <c r="J732" s="61" t="n"/>
      <c r="K732" s="62" t="n"/>
      <c r="L732" s="63" t="n"/>
      <c r="M732" s="63" t="n"/>
      <c r="N732" s="68" t="n"/>
      <c r="O732" s="68" t="n"/>
      <c r="P732" s="68" t="n"/>
      <c r="Q732" s="68" t="n"/>
      <c r="R732" s="68" t="n"/>
    </row>
    <row r="733" ht="14.1" customFormat="1" customHeight="1" s="60">
      <c r="A733" s="199">
        <f>IF($H733="UNIDADE CONSTRUTIVA",OFFSET(A733,-1,0)+1,LARGE(A$3:A732,1))</f>
        <v/>
      </c>
      <c r="B733" s="199">
        <f>IF(H733="UNIDADE CONSTRUTIVA",0,IF(H733="CÉLULA CONSTRUTIVA",OFFSET(B733,-1,0)+1,OFFSET(B733,-1,0)))</f>
        <v/>
      </c>
      <c r="C733" s="199">
        <f>IF(H733="CÉLULA CONSTRUTIVA",0,IF(H733="ETAPA",OFFSET(C733,-1,0)+1,OFFSET(C733,-1,0)))</f>
        <v/>
      </c>
      <c r="D733" s="200">
        <f>IF(H733="ETAPA",0,IF(H733="SUBETAPA",OFFSET(D733,-1,0)+1,OFFSET(D733,-1,0)))</f>
        <v/>
      </c>
      <c r="E733" s="200">
        <f>IF(H733="Subetapa",0,IF(H733="serviço",OFFSET(E733,-1,0)+1,OFFSET(E733,-1,0)))</f>
        <v/>
      </c>
      <c r="F733" s="69" t="n"/>
      <c r="J733" s="61" t="n"/>
      <c r="K733" s="62" t="n"/>
      <c r="L733" s="63" t="n"/>
      <c r="M733" s="63" t="n"/>
      <c r="N733" s="68" t="n"/>
      <c r="O733" s="68" t="n"/>
      <c r="P733" s="68" t="n"/>
      <c r="Q733" s="68" t="n"/>
      <c r="R733" s="68" t="n"/>
    </row>
    <row r="734" ht="14.1" customFormat="1" customHeight="1" s="60">
      <c r="A734" s="199">
        <f>IF($H734="UNIDADE CONSTRUTIVA",OFFSET(A734,-1,0)+1,LARGE(A$3:A733,1))</f>
        <v/>
      </c>
      <c r="B734" s="199">
        <f>IF(H734="UNIDADE CONSTRUTIVA",0,IF(H734="CÉLULA CONSTRUTIVA",OFFSET(B734,-1,0)+1,OFFSET(B734,-1,0)))</f>
        <v/>
      </c>
      <c r="C734" s="199">
        <f>IF(H734="CÉLULA CONSTRUTIVA",0,IF(H734="ETAPA",OFFSET(C734,-1,0)+1,OFFSET(C734,-1,0)))</f>
        <v/>
      </c>
      <c r="D734" s="200">
        <f>IF(H734="ETAPA",0,IF(H734="SUBETAPA",OFFSET(D734,-1,0)+1,OFFSET(D734,-1,0)))</f>
        <v/>
      </c>
      <c r="E734" s="200">
        <f>IF(H734="Subetapa",0,IF(H734="serviço",OFFSET(E734,-1,0)+1,OFFSET(E734,-1,0)))</f>
        <v/>
      </c>
      <c r="F734" s="69" t="n"/>
      <c r="J734" s="61" t="n"/>
      <c r="K734" s="62" t="n"/>
      <c r="L734" s="63" t="n"/>
      <c r="M734" s="63" t="n"/>
      <c r="N734" s="68" t="n"/>
      <c r="O734" s="68" t="n"/>
      <c r="P734" s="68" t="n"/>
      <c r="Q734" s="68" t="n"/>
      <c r="R734" s="68" t="n"/>
    </row>
    <row r="735" ht="14.1" customFormat="1" customHeight="1" s="60">
      <c r="A735" s="199">
        <f>IF($H735="UNIDADE CONSTRUTIVA",OFFSET(A735,-1,0)+1,LARGE(A$3:A734,1))</f>
        <v/>
      </c>
      <c r="B735" s="199">
        <f>IF(H735="UNIDADE CONSTRUTIVA",0,IF(H735="CÉLULA CONSTRUTIVA",OFFSET(B735,-1,0)+1,OFFSET(B735,-1,0)))</f>
        <v/>
      </c>
      <c r="C735" s="199">
        <f>IF(H735="CÉLULA CONSTRUTIVA",0,IF(H735="ETAPA",OFFSET(C735,-1,0)+1,OFFSET(C735,-1,0)))</f>
        <v/>
      </c>
      <c r="D735" s="200">
        <f>IF(H735="ETAPA",0,IF(H735="SUBETAPA",OFFSET(D735,-1,0)+1,OFFSET(D735,-1,0)))</f>
        <v/>
      </c>
      <c r="E735" s="200">
        <f>IF(H735="Subetapa",0,IF(H735="serviço",OFFSET(E735,-1,0)+1,OFFSET(E735,-1,0)))</f>
        <v/>
      </c>
      <c r="F735" s="69" t="n"/>
      <c r="J735" s="61" t="n"/>
      <c r="K735" s="62" t="n"/>
      <c r="L735" s="63" t="n"/>
      <c r="M735" s="63" t="n"/>
      <c r="N735" s="68" t="n"/>
      <c r="O735" s="68" t="n"/>
      <c r="P735" s="68" t="n"/>
      <c r="Q735" s="68" t="n"/>
      <c r="R735" s="68" t="n"/>
    </row>
    <row r="736" ht="14.1" customFormat="1" customHeight="1" s="60">
      <c r="A736" s="199">
        <f>IF($H736="UNIDADE CONSTRUTIVA",OFFSET(A736,-1,0)+1,LARGE(A$3:A735,1))</f>
        <v/>
      </c>
      <c r="B736" s="199">
        <f>IF(H736="UNIDADE CONSTRUTIVA",0,IF(H736="CÉLULA CONSTRUTIVA",OFFSET(B736,-1,0)+1,OFFSET(B736,-1,0)))</f>
        <v/>
      </c>
      <c r="C736" s="199">
        <f>IF(H736="CÉLULA CONSTRUTIVA",0,IF(H736="ETAPA",OFFSET(C736,-1,0)+1,OFFSET(C736,-1,0)))</f>
        <v/>
      </c>
      <c r="D736" s="200">
        <f>IF(H736="ETAPA",0,IF(H736="SUBETAPA",OFFSET(D736,-1,0)+1,OFFSET(D736,-1,0)))</f>
        <v/>
      </c>
      <c r="E736" s="200">
        <f>IF(H736="Subetapa",0,IF(H736="serviço",OFFSET(E736,-1,0)+1,OFFSET(E736,-1,0)))</f>
        <v/>
      </c>
      <c r="F736" s="69" t="n"/>
      <c r="J736" s="61" t="n"/>
      <c r="K736" s="62" t="n"/>
      <c r="L736" s="63" t="n"/>
      <c r="M736" s="63" t="n"/>
      <c r="N736" s="68" t="n"/>
      <c r="O736" s="68" t="n"/>
      <c r="P736" s="68" t="n"/>
      <c r="Q736" s="68" t="n"/>
      <c r="R736" s="68" t="n"/>
    </row>
    <row r="737" ht="14.1" customHeight="1">
      <c r="A737" s="199">
        <f>IF($H737="UNIDADE CONSTRUTIVA",OFFSET(A737,-1,0)+1,LARGE(A$3:A736,1))</f>
        <v/>
      </c>
      <c r="B737" s="199">
        <f>IF(H737="UNIDADE CONSTRUTIVA",0,IF(H737="CÉLULA CONSTRUTIVA",OFFSET(B737,-1,0)+1,OFFSET(B737,-1,0)))</f>
        <v/>
      </c>
      <c r="C737" s="199">
        <f>IF(H737="CÉLULA CONSTRUTIVA",0,IF(H737="ETAPA",OFFSET(C737,-1,0)+1,OFFSET(C737,-1,0)))</f>
        <v/>
      </c>
      <c r="D737" s="200">
        <f>IF(H737="ETAPA",0,IF(H737="SUBETAPA",OFFSET(D737,-1,0)+1,OFFSET(D737,-1,0)))</f>
        <v/>
      </c>
      <c r="E737" s="200">
        <f>IF(H737="Subetapa",0,IF(H737="serviço",OFFSET(E737,-1,0)+1,OFFSET(E737,-1,0)))</f>
        <v/>
      </c>
    </row>
    <row r="738" ht="14.1" customHeight="1">
      <c r="A738" s="199">
        <f>IF($H738="UNIDADE CONSTRUTIVA",OFFSET(A738,-1,0)+1,LARGE(A$3:A737,1))</f>
        <v/>
      </c>
      <c r="B738" s="199">
        <f>IF(H738="UNIDADE CONSTRUTIVA",0,IF(H738="CÉLULA CONSTRUTIVA",OFFSET(B738,-1,0)+1,OFFSET(B738,-1,0)))</f>
        <v/>
      </c>
      <c r="C738" s="199">
        <f>IF(H738="CÉLULA CONSTRUTIVA",0,IF(H738="ETAPA",OFFSET(C738,-1,0)+1,OFFSET(C738,-1,0)))</f>
        <v/>
      </c>
      <c r="D738" s="200">
        <f>IF(H738="ETAPA",0,IF(H738="SUBETAPA",OFFSET(D738,-1,0)+1,OFFSET(D738,-1,0)))</f>
        <v/>
      </c>
      <c r="E738" s="200">
        <f>IF(H738="Subetapa",0,IF(H738="serviço",OFFSET(E738,-1,0)+1,OFFSET(E738,-1,0)))</f>
        <v/>
      </c>
    </row>
    <row r="739" ht="14.1" customHeight="1">
      <c r="A739" s="199">
        <f>IF($H739="UNIDADE CONSTRUTIVA",OFFSET(A739,-1,0)+1,LARGE(A$3:A738,1))</f>
        <v/>
      </c>
      <c r="B739" s="199">
        <f>IF(H739="UNIDADE CONSTRUTIVA",0,IF(H739="CÉLULA CONSTRUTIVA",OFFSET(B739,-1,0)+1,OFFSET(B739,-1,0)))</f>
        <v/>
      </c>
      <c r="C739" s="199">
        <f>IF(H739="CÉLULA CONSTRUTIVA",0,IF(H739="ETAPA",OFFSET(C739,-1,0)+1,OFFSET(C739,-1,0)))</f>
        <v/>
      </c>
      <c r="D739" s="200">
        <f>IF(H739="ETAPA",0,IF(H739="SUBETAPA",OFFSET(D739,-1,0)+1,OFFSET(D739,-1,0)))</f>
        <v/>
      </c>
      <c r="E739" s="200">
        <f>IF(H739="Subetapa",0,IF(H739="serviço",OFFSET(E739,-1,0)+1,OFFSET(E739,-1,0)))</f>
        <v/>
      </c>
    </row>
    <row r="740" ht="14.1" customHeight="1">
      <c r="A740" s="199">
        <f>IF($H740="UNIDADE CONSTRUTIVA",OFFSET(A740,-1,0)+1,LARGE(A$3:A739,1))</f>
        <v/>
      </c>
      <c r="B740" s="199">
        <f>IF(H740="UNIDADE CONSTRUTIVA",0,IF(H740="CÉLULA CONSTRUTIVA",OFFSET(B740,-1,0)+1,OFFSET(B740,-1,0)))</f>
        <v/>
      </c>
      <c r="C740" s="199">
        <f>IF(H740="CÉLULA CONSTRUTIVA",0,IF(H740="ETAPA",OFFSET(C740,-1,0)+1,OFFSET(C740,-1,0)))</f>
        <v/>
      </c>
      <c r="D740" s="200">
        <f>IF(H740="ETAPA",0,IF(H740="SUBETAPA",OFFSET(D740,-1,0)+1,OFFSET(D740,-1,0)))</f>
        <v/>
      </c>
      <c r="E740" s="200">
        <f>IF(H740="Subetapa",0,IF(H740="serviço",OFFSET(E740,-1,0)+1,OFFSET(E740,-1,0)))</f>
        <v/>
      </c>
    </row>
    <row r="741" ht="14.1" customHeight="1">
      <c r="A741" s="199">
        <f>IF($H741="UNIDADE CONSTRUTIVA",OFFSET(A741,-1,0)+1,LARGE(A$3:A740,1))</f>
        <v/>
      </c>
      <c r="B741" s="199">
        <f>IF(H741="UNIDADE CONSTRUTIVA",0,IF(H741="CÉLULA CONSTRUTIVA",OFFSET(B741,-1,0)+1,OFFSET(B741,-1,0)))</f>
        <v/>
      </c>
      <c r="C741" s="199">
        <f>IF(H741="CÉLULA CONSTRUTIVA",0,IF(H741="ETAPA",OFFSET(C741,-1,0)+1,OFFSET(C741,-1,0)))</f>
        <v/>
      </c>
      <c r="D741" s="200">
        <f>IF(H741="ETAPA",0,IF(H741="SUBETAPA",OFFSET(D741,-1,0)+1,OFFSET(D741,-1,0)))</f>
        <v/>
      </c>
      <c r="E741" s="200">
        <f>IF(H741="Subetapa",0,IF(H741="serviço",OFFSET(E741,-1,0)+1,OFFSET(E741,-1,0)))</f>
        <v/>
      </c>
    </row>
    <row r="742" ht="14.1" customHeight="1">
      <c r="A742" s="199">
        <f>IF($H742="UNIDADE CONSTRUTIVA",OFFSET(A742,-1,0)+1,LARGE(A$3:A741,1))</f>
        <v/>
      </c>
      <c r="B742" s="199">
        <f>IF(H742="UNIDADE CONSTRUTIVA",0,IF(H742="CÉLULA CONSTRUTIVA",OFFSET(B742,-1,0)+1,OFFSET(B742,-1,0)))</f>
        <v/>
      </c>
      <c r="C742" s="199">
        <f>IF(H742="CÉLULA CONSTRUTIVA",0,IF(H742="ETAPA",OFFSET(C742,-1,0)+1,OFFSET(C742,-1,0)))</f>
        <v/>
      </c>
      <c r="D742" s="200">
        <f>IF(H742="ETAPA",0,IF(H742="SUBETAPA",OFFSET(D742,-1,0)+1,OFFSET(D742,-1,0)))</f>
        <v/>
      </c>
      <c r="E742" s="200">
        <f>IF(H742="Subetapa",0,IF(H742="serviço",OFFSET(E742,-1,0)+1,OFFSET(E742,-1,0)))</f>
        <v/>
      </c>
    </row>
    <row r="743" ht="14.1" customHeight="1">
      <c r="A743" s="199">
        <f>IF($H743="UNIDADE CONSTRUTIVA",OFFSET(A743,-1,0)+1,LARGE(A$3:A742,1))</f>
        <v/>
      </c>
      <c r="B743" s="199">
        <f>IF(H743="UNIDADE CONSTRUTIVA",0,IF(H743="CÉLULA CONSTRUTIVA",OFFSET(B743,-1,0)+1,OFFSET(B743,-1,0)))</f>
        <v/>
      </c>
      <c r="C743" s="199">
        <f>IF(H743="CÉLULA CONSTRUTIVA",0,IF(H743="ETAPA",OFFSET(C743,-1,0)+1,OFFSET(C743,-1,0)))</f>
        <v/>
      </c>
      <c r="D743" s="200">
        <f>IF(H743="ETAPA",0,IF(H743="SUBETAPA",OFFSET(D743,-1,0)+1,OFFSET(D743,-1,0)))</f>
        <v/>
      </c>
      <c r="E743" s="200">
        <f>IF(H743="Subetapa",0,IF(H743="serviço",OFFSET(E743,-1,0)+1,OFFSET(E743,-1,0)))</f>
        <v/>
      </c>
    </row>
    <row r="744" ht="14.1" customHeight="1">
      <c r="A744" s="199">
        <f>IF($H744="UNIDADE CONSTRUTIVA",OFFSET(A744,-1,0)+1,LARGE(A$3:A743,1))</f>
        <v/>
      </c>
      <c r="B744" s="199">
        <f>IF(H744="UNIDADE CONSTRUTIVA",0,IF(H744="CÉLULA CONSTRUTIVA",OFFSET(B744,-1,0)+1,OFFSET(B744,-1,0)))</f>
        <v/>
      </c>
      <c r="C744" s="199">
        <f>IF(H744="CÉLULA CONSTRUTIVA",0,IF(H744="ETAPA",OFFSET(C744,-1,0)+1,OFFSET(C744,-1,0)))</f>
        <v/>
      </c>
      <c r="D744" s="200">
        <f>IF(H744="ETAPA",0,IF(H744="SUBETAPA",OFFSET(D744,-1,0)+1,OFFSET(D744,-1,0)))</f>
        <v/>
      </c>
      <c r="E744" s="200">
        <f>IF(H744="Subetapa",0,IF(H744="serviço",OFFSET(E744,-1,0)+1,OFFSET(E744,-1,0)))</f>
        <v/>
      </c>
    </row>
    <row r="745" ht="14.1" customHeight="1">
      <c r="A745" s="199">
        <f>IF($H745="UNIDADE CONSTRUTIVA",OFFSET(A745,-1,0)+1,LARGE(A$3:A744,1))</f>
        <v/>
      </c>
      <c r="B745" s="199">
        <f>IF(H745="UNIDADE CONSTRUTIVA",0,IF(H745="CÉLULA CONSTRUTIVA",OFFSET(B745,-1,0)+1,OFFSET(B745,-1,0)))</f>
        <v/>
      </c>
      <c r="C745" s="199">
        <f>IF(H745="CÉLULA CONSTRUTIVA",0,IF(H745="ETAPA",OFFSET(C745,-1,0)+1,OFFSET(C745,-1,0)))</f>
        <v/>
      </c>
      <c r="D745" s="200">
        <f>IF(H745="ETAPA",0,IF(H745="SUBETAPA",OFFSET(D745,-1,0)+1,OFFSET(D745,-1,0)))</f>
        <v/>
      </c>
      <c r="E745" s="200">
        <f>IF(H745="Subetapa",0,IF(H745="serviço",OFFSET(E745,-1,0)+1,OFFSET(E745,-1,0)))</f>
        <v/>
      </c>
    </row>
    <row r="746" ht="14.1" customHeight="1">
      <c r="A746" s="199">
        <f>IF($H746="UNIDADE CONSTRUTIVA",OFFSET(A746,-1,0)+1,LARGE(A$3:A745,1))</f>
        <v/>
      </c>
      <c r="B746" s="199">
        <f>IF(H746="UNIDADE CONSTRUTIVA",0,IF(H746="CÉLULA CONSTRUTIVA",OFFSET(B746,-1,0)+1,OFFSET(B746,-1,0)))</f>
        <v/>
      </c>
      <c r="C746" s="199">
        <f>IF(H746="CÉLULA CONSTRUTIVA",0,IF(H746="ETAPA",OFFSET(C746,-1,0)+1,OFFSET(C746,-1,0)))</f>
        <v/>
      </c>
      <c r="D746" s="200">
        <f>IF(H746="ETAPA",0,IF(H746="SUBETAPA",OFFSET(D746,-1,0)+1,OFFSET(D746,-1,0)))</f>
        <v/>
      </c>
      <c r="E746" s="200">
        <f>IF(H746="Subetapa",0,IF(H746="serviço",OFFSET(E746,-1,0)+1,OFFSET(E746,-1,0)))</f>
        <v/>
      </c>
    </row>
    <row r="747" ht="14.1" customHeight="1">
      <c r="A747" s="199">
        <f>IF($H747="UNIDADE CONSTRUTIVA",OFFSET(A747,-1,0)+1,LARGE(A$3:A746,1))</f>
        <v/>
      </c>
      <c r="B747" s="199">
        <f>IF(H747="UNIDADE CONSTRUTIVA",0,IF(H747="CÉLULA CONSTRUTIVA",OFFSET(B747,-1,0)+1,OFFSET(B747,-1,0)))</f>
        <v/>
      </c>
      <c r="C747" s="199">
        <f>IF(H747="CÉLULA CONSTRUTIVA",0,IF(H747="ETAPA",OFFSET(C747,-1,0)+1,OFFSET(C747,-1,0)))</f>
        <v/>
      </c>
      <c r="D747" s="200">
        <f>IF(H747="ETAPA",0,IF(H747="SUBETAPA",OFFSET(D747,-1,0)+1,OFFSET(D747,-1,0)))</f>
        <v/>
      </c>
      <c r="E747" s="200">
        <f>IF(H747="Subetapa",0,IF(H747="serviço",OFFSET(E747,-1,0)+1,OFFSET(E747,-1,0)))</f>
        <v/>
      </c>
    </row>
    <row r="748" ht="14.1" customHeight="1">
      <c r="A748" s="199">
        <f>IF($H748="UNIDADE CONSTRUTIVA",OFFSET(A748,-1,0)+1,LARGE(A$3:A747,1))</f>
        <v/>
      </c>
      <c r="B748" s="199">
        <f>IF(H748="UNIDADE CONSTRUTIVA",0,IF(H748="CÉLULA CONSTRUTIVA",OFFSET(B748,-1,0)+1,OFFSET(B748,-1,0)))</f>
        <v/>
      </c>
      <c r="C748" s="199">
        <f>IF(H748="CÉLULA CONSTRUTIVA",0,IF(H748="ETAPA",OFFSET(C748,-1,0)+1,OFFSET(C748,-1,0)))</f>
        <v/>
      </c>
      <c r="D748" s="200">
        <f>IF(H748="ETAPA",0,IF(H748="SUBETAPA",OFFSET(D748,-1,0)+1,OFFSET(D748,-1,0)))</f>
        <v/>
      </c>
      <c r="E748" s="200">
        <f>IF(H748="Subetapa",0,IF(H748="serviço",OFFSET(E748,-1,0)+1,OFFSET(E748,-1,0)))</f>
        <v/>
      </c>
    </row>
    <row r="749" ht="14.1" customHeight="1">
      <c r="A749" s="199">
        <f>IF($H749="UNIDADE CONSTRUTIVA",OFFSET(A749,-1,0)+1,LARGE(A$3:A748,1))</f>
        <v/>
      </c>
      <c r="B749" s="199">
        <f>IF(H749="UNIDADE CONSTRUTIVA",0,IF(H749="CÉLULA CONSTRUTIVA",OFFSET(B749,-1,0)+1,OFFSET(B749,-1,0)))</f>
        <v/>
      </c>
      <c r="C749" s="199">
        <f>IF(H749="CÉLULA CONSTRUTIVA",0,IF(H749="ETAPA",OFFSET(C749,-1,0)+1,OFFSET(C749,-1,0)))</f>
        <v/>
      </c>
      <c r="D749" s="200">
        <f>IF(H749="ETAPA",0,IF(H749="SUBETAPA",OFFSET(D749,-1,0)+1,OFFSET(D749,-1,0)))</f>
        <v/>
      </c>
      <c r="E749" s="200">
        <f>IF(H749="Subetapa",0,IF(H749="serviço",OFFSET(E749,-1,0)+1,OFFSET(E749,-1,0)))</f>
        <v/>
      </c>
    </row>
    <row r="750" ht="14.1" customHeight="1">
      <c r="A750" s="199">
        <f>IF($H750="UNIDADE CONSTRUTIVA",OFFSET(A750,-1,0)+1,LARGE(A$3:A749,1))</f>
        <v/>
      </c>
      <c r="B750" s="199">
        <f>IF(H750="UNIDADE CONSTRUTIVA",0,IF(H750="CÉLULA CONSTRUTIVA",OFFSET(B750,-1,0)+1,OFFSET(B750,-1,0)))</f>
        <v/>
      </c>
      <c r="C750" s="199">
        <f>IF(H750="CÉLULA CONSTRUTIVA",0,IF(H750="ETAPA",OFFSET(C750,-1,0)+1,OFFSET(C750,-1,0)))</f>
        <v/>
      </c>
      <c r="D750" s="200">
        <f>IF(H750="ETAPA",0,IF(H750="SUBETAPA",OFFSET(D750,-1,0)+1,OFFSET(D750,-1,0)))</f>
        <v/>
      </c>
      <c r="E750" s="200">
        <f>IF(H750="Subetapa",0,IF(H750="serviço",OFFSET(E750,-1,0)+1,OFFSET(E750,-1,0)))</f>
        <v/>
      </c>
    </row>
    <row r="751" ht="14.1" customHeight="1">
      <c r="A751" s="199">
        <f>IF($H751="UNIDADE CONSTRUTIVA",OFFSET(A751,-1,0)+1,LARGE(A$3:A750,1))</f>
        <v/>
      </c>
      <c r="B751" s="199">
        <f>IF(H751="UNIDADE CONSTRUTIVA",0,IF(H751="CÉLULA CONSTRUTIVA",OFFSET(B751,-1,0)+1,OFFSET(B751,-1,0)))</f>
        <v/>
      </c>
      <c r="C751" s="199">
        <f>IF(H751="CÉLULA CONSTRUTIVA",0,IF(H751="ETAPA",OFFSET(C751,-1,0)+1,OFFSET(C751,-1,0)))</f>
        <v/>
      </c>
      <c r="D751" s="200">
        <f>IF(H751="ETAPA",0,IF(H751="SUBETAPA",OFFSET(D751,-1,0)+1,OFFSET(D751,-1,0)))</f>
        <v/>
      </c>
      <c r="E751" s="200">
        <f>IF(H751="Subetapa",0,IF(H751="serviço",OFFSET(E751,-1,0)+1,OFFSET(E751,-1,0)))</f>
        <v/>
      </c>
    </row>
    <row r="752" ht="14.1" customHeight="1">
      <c r="A752" s="199">
        <f>IF($H752="UNIDADE CONSTRUTIVA",OFFSET(A752,-1,0)+1,LARGE(A$3:A751,1))</f>
        <v/>
      </c>
      <c r="B752" s="199">
        <f>IF(H752="UNIDADE CONSTRUTIVA",0,IF(H752="CÉLULA CONSTRUTIVA",OFFSET(B752,-1,0)+1,OFFSET(B752,-1,0)))</f>
        <v/>
      </c>
      <c r="C752" s="199">
        <f>IF(H752="CÉLULA CONSTRUTIVA",0,IF(H752="ETAPA",OFFSET(C752,-1,0)+1,OFFSET(C752,-1,0)))</f>
        <v/>
      </c>
      <c r="D752" s="200">
        <f>IF(H752="ETAPA",0,IF(H752="SUBETAPA",OFFSET(D752,-1,0)+1,OFFSET(D752,-1,0)))</f>
        <v/>
      </c>
      <c r="E752" s="200">
        <f>IF(H752="Subetapa",0,IF(H752="serviço",OFFSET(E752,-1,0)+1,OFFSET(E752,-1,0)))</f>
        <v/>
      </c>
    </row>
    <row r="753" ht="14.1" customHeight="1">
      <c r="A753" s="199">
        <f>IF($H753="UNIDADE CONSTRUTIVA",OFFSET(A753,-1,0)+1,LARGE(A$3:A752,1))</f>
        <v/>
      </c>
      <c r="B753" s="199">
        <f>IF(H753="UNIDADE CONSTRUTIVA",0,IF(H753="CÉLULA CONSTRUTIVA",OFFSET(B753,-1,0)+1,OFFSET(B753,-1,0)))</f>
        <v/>
      </c>
      <c r="C753" s="199">
        <f>IF(H753="CÉLULA CONSTRUTIVA",0,IF(H753="ETAPA",OFFSET(C753,-1,0)+1,OFFSET(C753,-1,0)))</f>
        <v/>
      </c>
      <c r="D753" s="200">
        <f>IF(H753="ETAPA",0,IF(H753="SUBETAPA",OFFSET(D753,-1,0)+1,OFFSET(D753,-1,0)))</f>
        <v/>
      </c>
      <c r="E753" s="200">
        <f>IF(H753="Subetapa",0,IF(H753="serviço",OFFSET(E753,-1,0)+1,OFFSET(E753,-1,0)))</f>
        <v/>
      </c>
    </row>
    <row r="754" ht="14.1" customHeight="1">
      <c r="A754" s="199">
        <f>IF($H754="UNIDADE CONSTRUTIVA",OFFSET(A754,-1,0)+1,LARGE(A$3:A753,1))</f>
        <v/>
      </c>
      <c r="B754" s="199">
        <f>IF(H754="UNIDADE CONSTRUTIVA",0,IF(H754="CÉLULA CONSTRUTIVA",OFFSET(B754,-1,0)+1,OFFSET(B754,-1,0)))</f>
        <v/>
      </c>
      <c r="C754" s="199">
        <f>IF(H754="CÉLULA CONSTRUTIVA",0,IF(H754="ETAPA",OFFSET(C754,-1,0)+1,OFFSET(C754,-1,0)))</f>
        <v/>
      </c>
      <c r="D754" s="200">
        <f>IF(H754="ETAPA",0,IF(H754="SUBETAPA",OFFSET(D754,-1,0)+1,OFFSET(D754,-1,0)))</f>
        <v/>
      </c>
      <c r="E754" s="200">
        <f>IF(H754="Subetapa",0,IF(H754="serviço",OFFSET(E754,-1,0)+1,OFFSET(E754,-1,0)))</f>
        <v/>
      </c>
    </row>
    <row r="755" ht="14.1" customHeight="1">
      <c r="A755" s="199">
        <f>IF($H755="UNIDADE CONSTRUTIVA",OFFSET(A755,-1,0)+1,LARGE(A$3:A754,1))</f>
        <v/>
      </c>
      <c r="B755" s="199">
        <f>IF(H755="UNIDADE CONSTRUTIVA",0,IF(H755="CÉLULA CONSTRUTIVA",OFFSET(B755,-1,0)+1,OFFSET(B755,-1,0)))</f>
        <v/>
      </c>
      <c r="C755" s="199">
        <f>IF(H755="CÉLULA CONSTRUTIVA",0,IF(H755="ETAPA",OFFSET(C755,-1,0)+1,OFFSET(C755,-1,0)))</f>
        <v/>
      </c>
      <c r="D755" s="200">
        <f>IF(H755="ETAPA",0,IF(H755="SUBETAPA",OFFSET(D755,-1,0)+1,OFFSET(D755,-1,0)))</f>
        <v/>
      </c>
      <c r="E755" s="200">
        <f>IF(H755="Subetapa",0,IF(H755="serviço",OFFSET(E755,-1,0)+1,OFFSET(E755,-1,0)))</f>
        <v/>
      </c>
    </row>
    <row r="756" ht="14.1" customHeight="1">
      <c r="A756" s="199">
        <f>IF($H756="UNIDADE CONSTRUTIVA",OFFSET(A756,-1,0)+1,LARGE(A$3:A755,1))</f>
        <v/>
      </c>
      <c r="B756" s="199">
        <f>IF(H756="UNIDADE CONSTRUTIVA",0,IF(H756="CÉLULA CONSTRUTIVA",OFFSET(B756,-1,0)+1,OFFSET(B756,-1,0)))</f>
        <v/>
      </c>
      <c r="C756" s="199">
        <f>IF(H756="CÉLULA CONSTRUTIVA",0,IF(H756="ETAPA",OFFSET(C756,-1,0)+1,OFFSET(C756,-1,0)))</f>
        <v/>
      </c>
      <c r="D756" s="200">
        <f>IF(H756="ETAPA",0,IF(H756="SUBETAPA",OFFSET(D756,-1,0)+1,OFFSET(D756,-1,0)))</f>
        <v/>
      </c>
      <c r="E756" s="200">
        <f>IF(H756="Subetapa",0,IF(H756="serviço",OFFSET(E756,-1,0)+1,OFFSET(E756,-1,0)))</f>
        <v/>
      </c>
    </row>
    <row r="757" ht="14.1" customHeight="1">
      <c r="A757" s="199">
        <f>IF($H757="UNIDADE CONSTRUTIVA",OFFSET(A757,-1,0)+1,LARGE(A$3:A756,1))</f>
        <v/>
      </c>
      <c r="B757" s="199">
        <f>IF(H757="UNIDADE CONSTRUTIVA",0,IF(H757="CÉLULA CONSTRUTIVA",OFFSET(B757,-1,0)+1,OFFSET(B757,-1,0)))</f>
        <v/>
      </c>
      <c r="C757" s="199">
        <f>IF(H757="CÉLULA CONSTRUTIVA",0,IF(H757="ETAPA",OFFSET(C757,-1,0)+1,OFFSET(C757,-1,0)))</f>
        <v/>
      </c>
      <c r="D757" s="200">
        <f>IF(H757="ETAPA",0,IF(H757="SUBETAPA",OFFSET(D757,-1,0)+1,OFFSET(D757,-1,0)))</f>
        <v/>
      </c>
      <c r="E757" s="200">
        <f>IF(H757="Subetapa",0,IF(H757="serviço",OFFSET(E757,-1,0)+1,OFFSET(E757,-1,0)))</f>
        <v/>
      </c>
    </row>
    <row r="758" ht="14.1" customHeight="1">
      <c r="A758" s="199">
        <f>IF($H758="UNIDADE CONSTRUTIVA",OFFSET(A758,-1,0)+1,LARGE(A$3:A757,1))</f>
        <v/>
      </c>
      <c r="B758" s="199">
        <f>IF(H758="UNIDADE CONSTRUTIVA",0,IF(H758="CÉLULA CONSTRUTIVA",OFFSET(B758,-1,0)+1,OFFSET(B758,-1,0)))</f>
        <v/>
      </c>
      <c r="C758" s="199">
        <f>IF(H758="CÉLULA CONSTRUTIVA",0,IF(H758="ETAPA",OFFSET(C758,-1,0)+1,OFFSET(C758,-1,0)))</f>
        <v/>
      </c>
      <c r="D758" s="200">
        <f>IF(H758="ETAPA",0,IF(H758="SUBETAPA",OFFSET(D758,-1,0)+1,OFFSET(D758,-1,0)))</f>
        <v/>
      </c>
      <c r="E758" s="200">
        <f>IF(H758="Subetapa",0,IF(H758="serviço",OFFSET(E758,-1,0)+1,OFFSET(E758,-1,0)))</f>
        <v/>
      </c>
    </row>
    <row r="759" ht="14.1" customHeight="1">
      <c r="A759" s="199">
        <f>IF($H759="UNIDADE CONSTRUTIVA",OFFSET(A759,-1,0)+1,LARGE(A$3:A758,1))</f>
        <v/>
      </c>
      <c r="B759" s="199">
        <f>IF(H759="UNIDADE CONSTRUTIVA",0,IF(H759="CÉLULA CONSTRUTIVA",OFFSET(B759,-1,0)+1,OFFSET(B759,-1,0)))</f>
        <v/>
      </c>
      <c r="C759" s="199">
        <f>IF(H759="CÉLULA CONSTRUTIVA",0,IF(H759="ETAPA",OFFSET(C759,-1,0)+1,OFFSET(C759,-1,0)))</f>
        <v/>
      </c>
      <c r="D759" s="200">
        <f>IF(H759="ETAPA",0,IF(H759="SUBETAPA",OFFSET(D759,-1,0)+1,OFFSET(D759,-1,0)))</f>
        <v/>
      </c>
      <c r="E759" s="200">
        <f>IF(H759="Subetapa",0,IF(H759="serviço",OFFSET(E759,-1,0)+1,OFFSET(E759,-1,0)))</f>
        <v/>
      </c>
    </row>
    <row r="760" ht="14.1" customHeight="1">
      <c r="A760" s="199">
        <f>IF($H760="UNIDADE CONSTRUTIVA",OFFSET(A760,-1,0)+1,LARGE(A$3:A759,1))</f>
        <v/>
      </c>
      <c r="B760" s="199">
        <f>IF(H760="UNIDADE CONSTRUTIVA",0,IF(H760="CÉLULA CONSTRUTIVA",OFFSET(B760,-1,0)+1,OFFSET(B760,-1,0)))</f>
        <v/>
      </c>
      <c r="C760" s="199">
        <f>IF(H760="CÉLULA CONSTRUTIVA",0,IF(H760="ETAPA",OFFSET(C760,-1,0)+1,OFFSET(C760,-1,0)))</f>
        <v/>
      </c>
      <c r="D760" s="200">
        <f>IF(H760="ETAPA",0,IF(H760="SUBETAPA",OFFSET(D760,-1,0)+1,OFFSET(D760,-1,0)))</f>
        <v/>
      </c>
      <c r="E760" s="200">
        <f>IF(H760="Subetapa",0,IF(H760="serviço",OFFSET(E760,-1,0)+1,OFFSET(E760,-1,0)))</f>
        <v/>
      </c>
    </row>
    <row r="761" ht="14.1" customHeight="1">
      <c r="A761" s="199">
        <f>IF($H761="UNIDADE CONSTRUTIVA",OFFSET(A761,-1,0)+1,LARGE(A$3:A760,1))</f>
        <v/>
      </c>
      <c r="B761" s="199">
        <f>IF(H761="UNIDADE CONSTRUTIVA",0,IF(H761="CÉLULA CONSTRUTIVA",OFFSET(B761,-1,0)+1,OFFSET(B761,-1,0)))</f>
        <v/>
      </c>
      <c r="C761" s="199">
        <f>IF(H761="CÉLULA CONSTRUTIVA",0,IF(H761="ETAPA",OFFSET(C761,-1,0)+1,OFFSET(C761,-1,0)))</f>
        <v/>
      </c>
      <c r="D761" s="200">
        <f>IF(H761="ETAPA",0,IF(H761="SUBETAPA",OFFSET(D761,-1,0)+1,OFFSET(D761,-1,0)))</f>
        <v/>
      </c>
      <c r="E761" s="200">
        <f>IF(H761="Subetapa",0,IF(H761="serviço",OFFSET(E761,-1,0)+1,OFFSET(E761,-1,0)))</f>
        <v/>
      </c>
    </row>
    <row r="762" ht="14.1" customHeight="1">
      <c r="A762" s="199">
        <f>IF($H762="UNIDADE CONSTRUTIVA",OFFSET(A762,-1,0)+1,LARGE(A$3:A761,1))</f>
        <v/>
      </c>
      <c r="B762" s="199">
        <f>IF(H762="UNIDADE CONSTRUTIVA",0,IF(H762="CÉLULA CONSTRUTIVA",OFFSET(B762,-1,0)+1,OFFSET(B762,-1,0)))</f>
        <v/>
      </c>
      <c r="C762" s="199">
        <f>IF(H762="CÉLULA CONSTRUTIVA",0,IF(H762="ETAPA",OFFSET(C762,-1,0)+1,OFFSET(C762,-1,0)))</f>
        <v/>
      </c>
      <c r="D762" s="200">
        <f>IF(H762="ETAPA",0,IF(H762="SUBETAPA",OFFSET(D762,-1,0)+1,OFFSET(D762,-1,0)))</f>
        <v/>
      </c>
      <c r="E762" s="200">
        <f>IF(H762="Subetapa",0,IF(H762="serviço",OFFSET(E762,-1,0)+1,OFFSET(E762,-1,0)))</f>
        <v/>
      </c>
    </row>
    <row r="763" ht="14.1" customHeight="1">
      <c r="A763" s="199">
        <f>IF($H763="UNIDADE CONSTRUTIVA",OFFSET(A763,-1,0)+1,LARGE(A$3:A762,1))</f>
        <v/>
      </c>
      <c r="B763" s="199">
        <f>IF(H763="UNIDADE CONSTRUTIVA",0,IF(H763="CÉLULA CONSTRUTIVA",OFFSET(B763,-1,0)+1,OFFSET(B763,-1,0)))</f>
        <v/>
      </c>
      <c r="C763" s="199">
        <f>IF(H763="CÉLULA CONSTRUTIVA",0,IF(H763="ETAPA",OFFSET(C763,-1,0)+1,OFFSET(C763,-1,0)))</f>
        <v/>
      </c>
      <c r="D763" s="200">
        <f>IF(H763="ETAPA",0,IF(H763="SUBETAPA",OFFSET(D763,-1,0)+1,OFFSET(D763,-1,0)))</f>
        <v/>
      </c>
      <c r="E763" s="200">
        <f>IF(H763="Subetapa",0,IF(H763="serviço",OFFSET(E763,-1,0)+1,OFFSET(E763,-1,0)))</f>
        <v/>
      </c>
    </row>
    <row r="764" ht="14.1" customHeight="1">
      <c r="A764" s="199">
        <f>IF($H764="UNIDADE CONSTRUTIVA",OFFSET(A764,-1,0)+1,LARGE(A$3:A763,1))</f>
        <v/>
      </c>
      <c r="B764" s="199">
        <f>IF(H764="UNIDADE CONSTRUTIVA",0,IF(H764="CÉLULA CONSTRUTIVA",OFFSET(B764,-1,0)+1,OFFSET(B764,-1,0)))</f>
        <v/>
      </c>
      <c r="C764" s="199">
        <f>IF(H764="CÉLULA CONSTRUTIVA",0,IF(H764="ETAPA",OFFSET(C764,-1,0)+1,OFFSET(C764,-1,0)))</f>
        <v/>
      </c>
      <c r="D764" s="200">
        <f>IF(H764="ETAPA",0,IF(H764="SUBETAPA",OFFSET(D764,-1,0)+1,OFFSET(D764,-1,0)))</f>
        <v/>
      </c>
      <c r="E764" s="200">
        <f>IF(H764="Subetapa",0,IF(H764="serviço",OFFSET(E764,-1,0)+1,OFFSET(E764,-1,0)))</f>
        <v/>
      </c>
    </row>
    <row r="765" ht="14.1" customHeight="1">
      <c r="A765" s="199">
        <f>IF($H765="UNIDADE CONSTRUTIVA",OFFSET(A765,-1,0)+1,LARGE(A$3:A764,1))</f>
        <v/>
      </c>
      <c r="B765" s="199">
        <f>IF(H765="UNIDADE CONSTRUTIVA",0,IF(H765="CÉLULA CONSTRUTIVA",OFFSET(B765,-1,0)+1,OFFSET(B765,-1,0)))</f>
        <v/>
      </c>
      <c r="C765" s="199">
        <f>IF(H765="CÉLULA CONSTRUTIVA",0,IF(H765="ETAPA",OFFSET(C765,-1,0)+1,OFFSET(C765,-1,0)))</f>
        <v/>
      </c>
      <c r="D765" s="200">
        <f>IF(H765="ETAPA",0,IF(H765="SUBETAPA",OFFSET(D765,-1,0)+1,OFFSET(D765,-1,0)))</f>
        <v/>
      </c>
      <c r="E765" s="200">
        <f>IF(H765="Subetapa",0,IF(H765="serviço",OFFSET(E765,-1,0)+1,OFFSET(E765,-1,0)))</f>
        <v/>
      </c>
    </row>
    <row r="766" ht="14.1" customHeight="1">
      <c r="A766" s="199">
        <f>IF($H766="UNIDADE CONSTRUTIVA",OFFSET(A766,-1,0)+1,LARGE(A$3:A765,1))</f>
        <v/>
      </c>
      <c r="B766" s="199">
        <f>IF(H766="UNIDADE CONSTRUTIVA",0,IF(H766="CÉLULA CONSTRUTIVA",OFFSET(B766,-1,0)+1,OFFSET(B766,-1,0)))</f>
        <v/>
      </c>
      <c r="C766" s="199">
        <f>IF(H766="CÉLULA CONSTRUTIVA",0,IF(H766="ETAPA",OFFSET(C766,-1,0)+1,OFFSET(C766,-1,0)))</f>
        <v/>
      </c>
      <c r="D766" s="200">
        <f>IF(H766="ETAPA",0,IF(H766="SUBETAPA",OFFSET(D766,-1,0)+1,OFFSET(D766,-1,0)))</f>
        <v/>
      </c>
      <c r="E766" s="200">
        <f>IF(H766="Subetapa",0,IF(H766="serviço",OFFSET(E766,-1,0)+1,OFFSET(E766,-1,0)))</f>
        <v/>
      </c>
    </row>
    <row r="767" ht="14.1" customHeight="1">
      <c r="A767" s="199">
        <f>IF($H767="UNIDADE CONSTRUTIVA",OFFSET(A767,-1,0)+1,LARGE(A$3:A766,1))</f>
        <v/>
      </c>
      <c r="B767" s="199">
        <f>IF(H767="UNIDADE CONSTRUTIVA",0,IF(H767="CÉLULA CONSTRUTIVA",OFFSET(B767,-1,0)+1,OFFSET(B767,-1,0)))</f>
        <v/>
      </c>
      <c r="C767" s="199">
        <f>IF(H767="CÉLULA CONSTRUTIVA",0,IF(H767="ETAPA",OFFSET(C767,-1,0)+1,OFFSET(C767,-1,0)))</f>
        <v/>
      </c>
      <c r="D767" s="200">
        <f>IF(H767="ETAPA",0,IF(H767="SUBETAPA",OFFSET(D767,-1,0)+1,OFFSET(D767,-1,0)))</f>
        <v/>
      </c>
      <c r="E767" s="200">
        <f>IF(H767="Subetapa",0,IF(H767="serviço",OFFSET(E767,-1,0)+1,OFFSET(E767,-1,0)))</f>
        <v/>
      </c>
    </row>
    <row r="768" ht="14.1" customHeight="1">
      <c r="A768" s="199">
        <f>IF($H768="UNIDADE CONSTRUTIVA",OFFSET(A768,-1,0)+1,LARGE(A$3:A767,1))</f>
        <v/>
      </c>
      <c r="B768" s="199">
        <f>IF(H768="UNIDADE CONSTRUTIVA",0,IF(H768="CÉLULA CONSTRUTIVA",OFFSET(B768,-1,0)+1,OFFSET(B768,-1,0)))</f>
        <v/>
      </c>
      <c r="C768" s="199">
        <f>IF(H768="CÉLULA CONSTRUTIVA",0,IF(H768="ETAPA",OFFSET(C768,-1,0)+1,OFFSET(C768,-1,0)))</f>
        <v/>
      </c>
      <c r="D768" s="200">
        <f>IF(H768="ETAPA",0,IF(H768="SUBETAPA",OFFSET(D768,-1,0)+1,OFFSET(D768,-1,0)))</f>
        <v/>
      </c>
      <c r="E768" s="200">
        <f>IF(H768="Subetapa",0,IF(H768="serviço",OFFSET(E768,-1,0)+1,OFFSET(E768,-1,0)))</f>
        <v/>
      </c>
    </row>
    <row r="769" ht="14.1" customHeight="1">
      <c r="A769" s="199">
        <f>IF($H769="UNIDADE CONSTRUTIVA",OFFSET(A769,-1,0)+1,LARGE(A$3:A768,1))</f>
        <v/>
      </c>
      <c r="B769" s="199">
        <f>IF(H769="UNIDADE CONSTRUTIVA",0,IF(H769="CÉLULA CONSTRUTIVA",OFFSET(B769,-1,0)+1,OFFSET(B769,-1,0)))</f>
        <v/>
      </c>
      <c r="C769" s="199">
        <f>IF(H769="CÉLULA CONSTRUTIVA",0,IF(H769="ETAPA",OFFSET(C769,-1,0)+1,OFFSET(C769,-1,0)))</f>
        <v/>
      </c>
      <c r="D769" s="200">
        <f>IF(H769="ETAPA",0,IF(H769="SUBETAPA",OFFSET(D769,-1,0)+1,OFFSET(D769,-1,0)))</f>
        <v/>
      </c>
      <c r="E769" s="200">
        <f>IF(H769="Subetapa",0,IF(H769="serviço",OFFSET(E769,-1,0)+1,OFFSET(E769,-1,0)))</f>
        <v/>
      </c>
    </row>
    <row r="770" ht="14.1" customHeight="1">
      <c r="A770" s="199">
        <f>IF($H770="UNIDADE CONSTRUTIVA",OFFSET(A770,-1,0)+1,LARGE(A$3:A769,1))</f>
        <v/>
      </c>
      <c r="B770" s="199">
        <f>IF(H770="UNIDADE CONSTRUTIVA",0,IF(H770="CÉLULA CONSTRUTIVA",OFFSET(B770,-1,0)+1,OFFSET(B770,-1,0)))</f>
        <v/>
      </c>
      <c r="C770" s="199">
        <f>IF(H770="CÉLULA CONSTRUTIVA",0,IF(H770="ETAPA",OFFSET(C770,-1,0)+1,OFFSET(C770,-1,0)))</f>
        <v/>
      </c>
      <c r="D770" s="200">
        <f>IF(H770="ETAPA",0,IF(H770="SUBETAPA",OFFSET(D770,-1,0)+1,OFFSET(D770,-1,0)))</f>
        <v/>
      </c>
      <c r="E770" s="200">
        <f>IF(H770="Subetapa",0,IF(H770="serviço",OFFSET(E770,-1,0)+1,OFFSET(E770,-1,0)))</f>
        <v/>
      </c>
    </row>
    <row r="771" ht="14.1" customHeight="1">
      <c r="A771" s="199">
        <f>IF($H771="UNIDADE CONSTRUTIVA",OFFSET(A771,-1,0)+1,LARGE(A$3:A770,1))</f>
        <v/>
      </c>
      <c r="B771" s="199">
        <f>IF(H771="UNIDADE CONSTRUTIVA",0,IF(H771="CÉLULA CONSTRUTIVA",OFFSET(B771,-1,0)+1,OFFSET(B771,-1,0)))</f>
        <v/>
      </c>
      <c r="C771" s="199">
        <f>IF(H771="CÉLULA CONSTRUTIVA",0,IF(H771="ETAPA",OFFSET(C771,-1,0)+1,OFFSET(C771,-1,0)))</f>
        <v/>
      </c>
      <c r="D771" s="200">
        <f>IF(H771="ETAPA",0,IF(H771="SUBETAPA",OFFSET(D771,-1,0)+1,OFFSET(D771,-1,0)))</f>
        <v/>
      </c>
      <c r="E771" s="200">
        <f>IF(H771="Subetapa",0,IF(H771="serviço",OFFSET(E771,-1,0)+1,OFFSET(E771,-1,0)))</f>
        <v/>
      </c>
    </row>
    <row r="772" ht="14.1" customHeight="1">
      <c r="A772" s="199">
        <f>IF($H772="UNIDADE CONSTRUTIVA",OFFSET(A772,-1,0)+1,LARGE(A$3:A771,1))</f>
        <v/>
      </c>
      <c r="B772" s="199">
        <f>IF(H772="UNIDADE CONSTRUTIVA",0,IF(H772="CÉLULA CONSTRUTIVA",OFFSET(B772,-1,0)+1,OFFSET(B772,-1,0)))</f>
        <v/>
      </c>
      <c r="C772" s="199">
        <f>IF(H772="CÉLULA CONSTRUTIVA",0,IF(H772="ETAPA",OFFSET(C772,-1,0)+1,OFFSET(C772,-1,0)))</f>
        <v/>
      </c>
      <c r="D772" s="200">
        <f>IF(H772="ETAPA",0,IF(H772="SUBETAPA",OFFSET(D772,-1,0)+1,OFFSET(D772,-1,0)))</f>
        <v/>
      </c>
      <c r="E772" s="200">
        <f>IF(H772="Subetapa",0,IF(H772="serviço",OFFSET(E772,-1,0)+1,OFFSET(E772,-1,0)))</f>
        <v/>
      </c>
    </row>
    <row r="773" ht="14.1" customHeight="1">
      <c r="A773" s="199">
        <f>IF($H773="UNIDADE CONSTRUTIVA",OFFSET(A773,-1,0)+1,LARGE(A$3:A772,1))</f>
        <v/>
      </c>
      <c r="B773" s="199">
        <f>IF(H773="UNIDADE CONSTRUTIVA",0,IF(H773="CÉLULA CONSTRUTIVA",OFFSET(B773,-1,0)+1,OFFSET(B773,-1,0)))</f>
        <v/>
      </c>
      <c r="C773" s="199">
        <f>IF(H773="CÉLULA CONSTRUTIVA",0,IF(H773="ETAPA",OFFSET(C773,-1,0)+1,OFFSET(C773,-1,0)))</f>
        <v/>
      </c>
      <c r="D773" s="200">
        <f>IF(H773="ETAPA",0,IF(H773="SUBETAPA",OFFSET(D773,-1,0)+1,OFFSET(D773,-1,0)))</f>
        <v/>
      </c>
      <c r="E773" s="200">
        <f>IF(H773="Subetapa",0,IF(H773="serviço",OFFSET(E773,-1,0)+1,OFFSET(E773,-1,0)))</f>
        <v/>
      </c>
    </row>
    <row r="774" ht="14.1" customHeight="1">
      <c r="A774" s="199">
        <f>IF($H774="UNIDADE CONSTRUTIVA",OFFSET(A774,-1,0)+1,LARGE(A$3:A773,1))</f>
        <v/>
      </c>
      <c r="B774" s="199">
        <f>IF(H774="UNIDADE CONSTRUTIVA",0,IF(H774="CÉLULA CONSTRUTIVA",OFFSET(B774,-1,0)+1,OFFSET(B774,-1,0)))</f>
        <v/>
      </c>
      <c r="C774" s="199">
        <f>IF(H774="CÉLULA CONSTRUTIVA",0,IF(H774="ETAPA",OFFSET(C774,-1,0)+1,OFFSET(C774,-1,0)))</f>
        <v/>
      </c>
      <c r="D774" s="200">
        <f>IF(H774="ETAPA",0,IF(H774="SUBETAPA",OFFSET(D774,-1,0)+1,OFFSET(D774,-1,0)))</f>
        <v/>
      </c>
      <c r="E774" s="200">
        <f>IF(H774="Subetapa",0,IF(H774="serviço",OFFSET(E774,-1,0)+1,OFFSET(E774,-1,0)))</f>
        <v/>
      </c>
    </row>
    <row r="775" ht="14.1" customHeight="1">
      <c r="A775" s="199">
        <f>IF($H775="UNIDADE CONSTRUTIVA",OFFSET(A775,-1,0)+1,LARGE(A$3:A774,1))</f>
        <v/>
      </c>
      <c r="B775" s="199">
        <f>IF(H775="UNIDADE CONSTRUTIVA",0,IF(H775="CÉLULA CONSTRUTIVA",OFFSET(B775,-1,0)+1,OFFSET(B775,-1,0)))</f>
        <v/>
      </c>
      <c r="C775" s="199">
        <f>IF(H775="CÉLULA CONSTRUTIVA",0,IF(H775="ETAPA",OFFSET(C775,-1,0)+1,OFFSET(C775,-1,0)))</f>
        <v/>
      </c>
      <c r="D775" s="200">
        <f>IF(H775="ETAPA",0,IF(H775="SUBETAPA",OFFSET(D775,-1,0)+1,OFFSET(D775,-1,0)))</f>
        <v/>
      </c>
      <c r="E775" s="200">
        <f>IF(H775="Subetapa",0,IF(H775="serviço",OFFSET(E775,-1,0)+1,OFFSET(E775,-1,0)))</f>
        <v/>
      </c>
    </row>
    <row r="776" ht="14.1" customHeight="1">
      <c r="A776" s="199">
        <f>IF($H776="UNIDADE CONSTRUTIVA",OFFSET(A776,-1,0)+1,LARGE(A$3:A775,1))</f>
        <v/>
      </c>
      <c r="B776" s="199">
        <f>IF(H776="UNIDADE CONSTRUTIVA",0,IF(H776="CÉLULA CONSTRUTIVA",OFFSET(B776,-1,0)+1,OFFSET(B776,-1,0)))</f>
        <v/>
      </c>
      <c r="C776" s="199">
        <f>IF(H776="CÉLULA CONSTRUTIVA",0,IF(H776="ETAPA",OFFSET(C776,-1,0)+1,OFFSET(C776,-1,0)))</f>
        <v/>
      </c>
      <c r="D776" s="200">
        <f>IF(H776="ETAPA",0,IF(H776="SUBETAPA",OFFSET(D776,-1,0)+1,OFFSET(D776,-1,0)))</f>
        <v/>
      </c>
      <c r="E776" s="200">
        <f>IF(H776="Subetapa",0,IF(H776="serviço",OFFSET(E776,-1,0)+1,OFFSET(E776,-1,0)))</f>
        <v/>
      </c>
    </row>
    <row r="777" ht="14.1" customHeight="1">
      <c r="A777" s="199">
        <f>IF($H777="UNIDADE CONSTRUTIVA",OFFSET(A777,-1,0)+1,LARGE(A$3:A776,1))</f>
        <v/>
      </c>
      <c r="B777" s="199">
        <f>IF(H777="UNIDADE CONSTRUTIVA",0,IF(H777="CÉLULA CONSTRUTIVA",OFFSET(B777,-1,0)+1,OFFSET(B777,-1,0)))</f>
        <v/>
      </c>
      <c r="C777" s="199">
        <f>IF(H777="CÉLULA CONSTRUTIVA",0,IF(H777="ETAPA",OFFSET(C777,-1,0)+1,OFFSET(C777,-1,0)))</f>
        <v/>
      </c>
      <c r="D777" s="200">
        <f>IF(H777="ETAPA",0,IF(H777="SUBETAPA",OFFSET(D777,-1,0)+1,OFFSET(D777,-1,0)))</f>
        <v/>
      </c>
      <c r="E777" s="200">
        <f>IF(H777="Subetapa",0,IF(H777="serviço",OFFSET(E777,-1,0)+1,OFFSET(E777,-1,0)))</f>
        <v/>
      </c>
    </row>
    <row r="778" ht="14.1" customHeight="1">
      <c r="A778" s="199">
        <f>IF($H778="UNIDADE CONSTRUTIVA",OFFSET(A778,-1,0)+1,LARGE(A$3:A777,1))</f>
        <v/>
      </c>
      <c r="B778" s="199">
        <f>IF(H778="UNIDADE CONSTRUTIVA",0,IF(H778="CÉLULA CONSTRUTIVA",OFFSET(B778,-1,0)+1,OFFSET(B778,-1,0)))</f>
        <v/>
      </c>
      <c r="C778" s="199">
        <f>IF(H778="CÉLULA CONSTRUTIVA",0,IF(H778="ETAPA",OFFSET(C778,-1,0)+1,OFFSET(C778,-1,0)))</f>
        <v/>
      </c>
      <c r="D778" s="200">
        <f>IF(H778="ETAPA",0,IF(H778="SUBETAPA",OFFSET(D778,-1,0)+1,OFFSET(D778,-1,0)))</f>
        <v/>
      </c>
      <c r="E778" s="200">
        <f>IF(H778="Subetapa",0,IF(H778="serviço",OFFSET(E778,-1,0)+1,OFFSET(E778,-1,0)))</f>
        <v/>
      </c>
    </row>
    <row r="779" ht="14.1" customHeight="1">
      <c r="A779" s="199">
        <f>IF($H779="UNIDADE CONSTRUTIVA",OFFSET(A779,-1,0)+1,LARGE(A$3:A778,1))</f>
        <v/>
      </c>
      <c r="B779" s="199">
        <f>IF(H779="UNIDADE CONSTRUTIVA",0,IF(H779="CÉLULA CONSTRUTIVA",OFFSET(B779,-1,0)+1,OFFSET(B779,-1,0)))</f>
        <v/>
      </c>
      <c r="C779" s="199">
        <f>IF(H779="CÉLULA CONSTRUTIVA",0,IF(H779="ETAPA",OFFSET(C779,-1,0)+1,OFFSET(C779,-1,0)))</f>
        <v/>
      </c>
      <c r="D779" s="200">
        <f>IF(H779="ETAPA",0,IF(H779="SUBETAPA",OFFSET(D779,-1,0)+1,OFFSET(D779,-1,0)))</f>
        <v/>
      </c>
      <c r="E779" s="200">
        <f>IF(H779="Subetapa",0,IF(H779="serviço",OFFSET(E779,-1,0)+1,OFFSET(E779,-1,0)))</f>
        <v/>
      </c>
    </row>
    <row r="780" ht="14.1" customHeight="1">
      <c r="A780" s="199">
        <f>IF($H780="UNIDADE CONSTRUTIVA",OFFSET(A780,-1,0)+1,LARGE(A$3:A779,1))</f>
        <v/>
      </c>
      <c r="B780" s="199">
        <f>IF(H780="UNIDADE CONSTRUTIVA",0,IF(H780="CÉLULA CONSTRUTIVA",OFFSET(B780,-1,0)+1,OFFSET(B780,-1,0)))</f>
        <v/>
      </c>
      <c r="C780" s="199">
        <f>IF(H780="CÉLULA CONSTRUTIVA",0,IF(H780="ETAPA",OFFSET(C780,-1,0)+1,OFFSET(C780,-1,0)))</f>
        <v/>
      </c>
      <c r="D780" s="200">
        <f>IF(H780="ETAPA",0,IF(H780="SUBETAPA",OFFSET(D780,-1,0)+1,OFFSET(D780,-1,0)))</f>
        <v/>
      </c>
      <c r="E780" s="200">
        <f>IF(H780="Subetapa",0,IF(H780="serviço",OFFSET(E780,-1,0)+1,OFFSET(E780,-1,0)))</f>
        <v/>
      </c>
    </row>
    <row r="781" ht="14.1" customHeight="1">
      <c r="A781" s="199">
        <f>IF($H781="UNIDADE CONSTRUTIVA",OFFSET(A781,-1,0)+1,LARGE(A$3:A780,1))</f>
        <v/>
      </c>
      <c r="B781" s="199">
        <f>IF(H781="UNIDADE CONSTRUTIVA",0,IF(H781="CÉLULA CONSTRUTIVA",OFFSET(B781,-1,0)+1,OFFSET(B781,-1,0)))</f>
        <v/>
      </c>
      <c r="C781" s="199">
        <f>IF(H781="CÉLULA CONSTRUTIVA",0,IF(H781="ETAPA",OFFSET(C781,-1,0)+1,OFFSET(C781,-1,0)))</f>
        <v/>
      </c>
      <c r="D781" s="200">
        <f>IF(H781="ETAPA",0,IF(H781="SUBETAPA",OFFSET(D781,-1,0)+1,OFFSET(D781,-1,0)))</f>
        <v/>
      </c>
      <c r="E781" s="200">
        <f>IF(H781="Subetapa",0,IF(H781="serviço",OFFSET(E781,-1,0)+1,OFFSET(E781,-1,0)))</f>
        <v/>
      </c>
    </row>
    <row r="782" ht="14.1" customHeight="1">
      <c r="A782" s="199">
        <f>IF($H782="UNIDADE CONSTRUTIVA",OFFSET(A782,-1,0)+1,LARGE(A$3:A781,1))</f>
        <v/>
      </c>
      <c r="B782" s="199">
        <f>IF(H782="UNIDADE CONSTRUTIVA",0,IF(H782="CÉLULA CONSTRUTIVA",OFFSET(B782,-1,0)+1,OFFSET(B782,-1,0)))</f>
        <v/>
      </c>
      <c r="C782" s="199">
        <f>IF(H782="CÉLULA CONSTRUTIVA",0,IF(H782="ETAPA",OFFSET(C782,-1,0)+1,OFFSET(C782,-1,0)))</f>
        <v/>
      </c>
      <c r="D782" s="200">
        <f>IF(H782="ETAPA",0,IF(H782="SUBETAPA",OFFSET(D782,-1,0)+1,OFFSET(D782,-1,0)))</f>
        <v/>
      </c>
      <c r="E782" s="200">
        <f>IF(H782="Subetapa",0,IF(H782="serviço",OFFSET(E782,-1,0)+1,OFFSET(E782,-1,0)))</f>
        <v/>
      </c>
    </row>
  </sheetData>
  <autoFilter ref="A7:R782"/>
  <mergeCells count="2">
    <mergeCell ref="O6:R6"/>
    <mergeCell ref="K6:N6"/>
  </mergeCells>
  <conditionalFormatting sqref="G11:J57 G60:J69 G74:H85 G86:J112 G117:J144 K11:L144 M11:N32 M62 M63:N63 M87:N100 M117:R144 N61:N62 N108:N112 O11:R57 O60:R69 O74:P85 O86:R112">
    <cfRule type="expression" priority="183" dxfId="6">
      <formula>$H11="SUBETAPA"</formula>
    </cfRule>
  </conditionalFormatting>
  <conditionalFormatting sqref="G82:H85 G103:J106 M64:M73 M101:N101 M103:R106 N64:N86 O82:P85">
    <cfRule type="expression" priority="178" dxfId="0">
      <formula>$H64="ETAPA"</formula>
    </cfRule>
  </conditionalFormatting>
  <conditionalFormatting sqref="G113:H113">
    <cfRule type="expression" priority="199" dxfId="2">
      <formula>$H113="CÉLULA CONSTRUTIVA"</formula>
    </cfRule>
    <cfRule type="expression" priority="200" dxfId="0">
      <formula>$H113="ETAPA"</formula>
    </cfRule>
  </conditionalFormatting>
  <conditionalFormatting sqref="G11:J69 G114:J144 K11:L144 M11:N31 M117:N144 O11:R69 O114:R144">
    <cfRule type="expression" priority="162" dxfId="0">
      <formula>$H11="ETAPA"</formula>
    </cfRule>
  </conditionalFormatting>
  <conditionalFormatting sqref="G32:J70 G86:J86 K32:L144 M61:M70 N61:N86 O32:R70 O86:R86">
    <cfRule type="expression" priority="227" dxfId="2">
      <formula>$H32="CÉLULA CONSTRUTIVA"</formula>
    </cfRule>
  </conditionalFormatting>
  <conditionalFormatting sqref="G74:J77">
    <cfRule type="expression" priority="181" dxfId="0">
      <formula>$H74="ETAPA"</formula>
    </cfRule>
  </conditionalFormatting>
  <conditionalFormatting sqref="G86:J86 M102">
    <cfRule type="expression" priority="228" dxfId="0">
      <formula>$H86="ETAPA"</formula>
    </cfRule>
  </conditionalFormatting>
  <conditionalFormatting sqref="G70:I73 G87:J102 M34:M53 M63:N63 M87:N100 N40:N50 O70:Q73 O87:R102">
    <cfRule type="expression" priority="223" dxfId="0">
      <formula>$H34="ETAPA"</formula>
    </cfRule>
  </conditionalFormatting>
  <conditionalFormatting sqref="G102:J112">
    <cfRule type="expression" priority="214" dxfId="2">
      <formula>$H102="CÉLULA CONSTRUTIVA"</formula>
    </cfRule>
  </conditionalFormatting>
  <conditionalFormatting sqref="G107:J112 N108:N110 O107:R112">
    <cfRule type="expression" priority="215" dxfId="0">
      <formula>$H107="ETAPA"</formula>
    </cfRule>
  </conditionalFormatting>
  <conditionalFormatting sqref="G113:J114">
    <cfRule type="expression" priority="201" dxfId="6">
      <formula>$H113="SUBETAPA"</formula>
    </cfRule>
  </conditionalFormatting>
  <conditionalFormatting sqref="G114:J116">
    <cfRule type="expression" priority="204" dxfId="2">
      <formula>$H114="CÉLULA CONSTRUTIVA"</formula>
    </cfRule>
  </conditionalFormatting>
  <conditionalFormatting sqref="G115:J116">
    <cfRule type="expression" priority="139" dxfId="6">
      <formula>$H115="SUBETAPA"</formula>
    </cfRule>
  </conditionalFormatting>
  <conditionalFormatting sqref="G8:R10">
    <cfRule type="expression" priority="300" dxfId="0">
      <formula>$H8="ETAPA"</formula>
    </cfRule>
  </conditionalFormatting>
  <conditionalFormatting sqref="G8:R31 G82:H85 G117:J144 M103:M106 M117:R144 O82:P85">
    <cfRule type="expression" priority="177" dxfId="2">
      <formula>$H8="CÉLULA CONSTRUTIVA"</formula>
    </cfRule>
  </conditionalFormatting>
  <conditionalFormatting sqref="I58:J59">
    <cfRule type="expression" priority="160" dxfId="6">
      <formula>$H58="SUBETAPA"</formula>
    </cfRule>
  </conditionalFormatting>
  <conditionalFormatting sqref="I70:J79">
    <cfRule type="expression" priority="153" dxfId="6">
      <formula>$H70="SUBETAPA"</formula>
    </cfRule>
  </conditionalFormatting>
  <conditionalFormatting sqref="I78:J79">
    <cfRule type="expression" priority="230" dxfId="2">
      <formula>$H78="CÉLULA CONSTRUTIVA"</formula>
    </cfRule>
  </conditionalFormatting>
  <conditionalFormatting sqref="I78:J80 J70">
    <cfRule type="expression" priority="231" dxfId="0">
      <formula>$H70="ETAPA"</formula>
    </cfRule>
  </conditionalFormatting>
  <conditionalFormatting sqref="I113:J113 M57">
    <cfRule type="expression" priority="202" dxfId="2">
      <formula>$H57="CÉLULA CONSTRUTIVA"</formula>
    </cfRule>
    <cfRule type="expression" priority="203" dxfId="0">
      <formula>$H57="ETAPA"</formula>
    </cfRule>
  </conditionalFormatting>
  <conditionalFormatting sqref="J71:J73">
    <cfRule type="expression" priority="155" dxfId="0">
      <formula>$H71="ETAPA"</formula>
    </cfRule>
  </conditionalFormatting>
  <conditionalFormatting sqref="J75:J77">
    <cfRule type="expression" priority="154" dxfId="0">
      <formula>$H75="ETAPA"</formula>
    </cfRule>
  </conditionalFormatting>
  <conditionalFormatting sqref="M11:M13">
    <cfRule type="expression" priority="191" dxfId="2">
      <formula>$H11="CÉLULA CONSTRUTIVA"</formula>
    </cfRule>
    <cfRule type="expression" priority="192" dxfId="0">
      <formula>$H11="ETAPA"</formula>
    </cfRule>
    <cfRule type="expression" priority="193" dxfId="2">
      <formula>$H11="CÉLULA CONSTRUTIVA"</formula>
    </cfRule>
    <cfRule type="expression" priority="194" dxfId="0">
      <formula>$H11="ETAPA"</formula>
    </cfRule>
  </conditionalFormatting>
  <conditionalFormatting sqref="J112 M23:M26">
    <cfRule type="expression" priority="126" dxfId="2">
      <formula>$H23="CÉLULA CONSTRUTIVA"</formula>
    </cfRule>
    <cfRule type="expression" priority="127" dxfId="0">
      <formula>$H23="ETAPA"</formula>
    </cfRule>
  </conditionalFormatting>
  <conditionalFormatting sqref="M33">
    <cfRule type="expression" priority="258" dxfId="2">
      <formula>$H33="CÉLULA CONSTRUTIVA"</formula>
    </cfRule>
    <cfRule type="expression" priority="260" dxfId="0">
      <formula>$H33="ETAPA"</formula>
    </cfRule>
  </conditionalFormatting>
  <conditionalFormatting sqref="G8:R10 G58:H59 M33:M53 N33:N51 O58:P59">
    <cfRule type="expression" priority="170" dxfId="6">
      <formula>$H8="SUBETAPA"</formula>
    </cfRule>
  </conditionalFormatting>
  <conditionalFormatting sqref="M34:M53">
    <cfRule type="expression" priority="169" dxfId="0">
      <formula>$H34="ETAPA"</formula>
    </cfRule>
  </conditionalFormatting>
  <conditionalFormatting sqref="M57:M59 M75:M85">
    <cfRule type="expression" priority="271" dxfId="2">
      <formula>$H57="CÉLULA CONSTRUTIVA"</formula>
    </cfRule>
    <cfRule type="expression" priority="272" dxfId="0">
      <formula>$H57="ETAPA"</formula>
    </cfRule>
    <cfRule type="expression" priority="275" dxfId="0">
      <formula>$H57="ETAPA"</formula>
    </cfRule>
  </conditionalFormatting>
  <conditionalFormatting sqref="I80:J85 M58:M59 M75:M85">
    <cfRule type="expression" priority="273" dxfId="6">
      <formula>$H58="SUBETAPA"</formula>
    </cfRule>
    <cfRule type="expression" priority="274" dxfId="2">
      <formula>$H58="CÉLULA CONSTRUTIVA"</formula>
    </cfRule>
  </conditionalFormatting>
  <conditionalFormatting sqref="M58:M59">
    <cfRule type="expression" priority="161" dxfId="0">
      <formula>$H58="ETAPA"</formula>
    </cfRule>
  </conditionalFormatting>
  <conditionalFormatting sqref="M61">
    <cfRule type="expression" priority="140" dxfId="2">
      <formula>$H61="CÉLULA CONSTRUTIVA"</formula>
    </cfRule>
    <cfRule type="expression" priority="141" dxfId="0">
      <formula>$H61="ETAPA"</formula>
    </cfRule>
    <cfRule type="expression" priority="142" dxfId="2">
      <formula>$H61="CÉLULA CONSTRUTIVA"</formula>
    </cfRule>
    <cfRule type="expression" priority="143" dxfId="0">
      <formula>$H61="ETAPA"</formula>
    </cfRule>
    <cfRule type="expression" priority="144" dxfId="6">
      <formula>$H61="SUBETAPA"</formula>
    </cfRule>
  </conditionalFormatting>
  <conditionalFormatting sqref="M64:M74">
    <cfRule type="expression" priority="179" dxfId="6">
      <formula>$H64="SUBETAPA"</formula>
    </cfRule>
  </conditionalFormatting>
  <conditionalFormatting sqref="G74:J77 M71:M86">
    <cfRule type="expression" priority="180" dxfId="2">
      <formula>$H71="CÉLULA CONSTRUTIVA"</formula>
    </cfRule>
  </conditionalFormatting>
  <conditionalFormatting sqref="M74:M86">
    <cfRule type="expression" priority="182" dxfId="0">
      <formula>$H74="ETAPA"</formula>
    </cfRule>
  </conditionalFormatting>
  <conditionalFormatting sqref="M108:M112">
    <cfRule type="expression" priority="149" dxfId="2">
      <formula>$H108="CÉLULA CONSTRUTIVA"</formula>
    </cfRule>
    <cfRule type="expression" priority="150" dxfId="0">
      <formula>$H108="ETAPA"</formula>
    </cfRule>
    <cfRule type="expression" priority="151" dxfId="6">
      <formula>$H108="SUBETAPA"</formula>
    </cfRule>
  </conditionalFormatting>
  <conditionalFormatting sqref="M115:M116">
    <cfRule type="expression" priority="184" dxfId="2">
      <formula>$H115="CÉLULA CONSTRUTIVA"</formula>
    </cfRule>
    <cfRule type="expression" priority="185" dxfId="0">
      <formula>$H115="ETAPA"</formula>
    </cfRule>
    <cfRule type="expression" priority="186" dxfId="2">
      <formula>$H115="CÉLULA CONSTRUTIVA"</formula>
    </cfRule>
    <cfRule type="expression" priority="187" dxfId="0">
      <formula>$H115="ETAPA"</formula>
    </cfRule>
  </conditionalFormatting>
  <conditionalFormatting sqref="M150">
    <cfRule type="expression" priority="288" dxfId="6">
      <formula>$H147="SUBETAPA"</formula>
    </cfRule>
    <cfRule type="expression" priority="289" dxfId="2">
      <formula>$H147="CÉLULA CONSTRUTIVA"</formula>
    </cfRule>
    <cfRule type="expression" priority="290" dxfId="0">
      <formula>$H147="ETAPA"</formula>
    </cfRule>
  </conditionalFormatting>
  <conditionalFormatting sqref="M57:N57 M102">
    <cfRule type="expression" priority="224" dxfId="6">
      <formula>$H57="SUBETAPA"</formula>
    </cfRule>
    <cfRule type="expression" priority="225" dxfId="2">
      <formula>$H57="CÉLULA CONSTRUTIVA"</formula>
    </cfRule>
  </conditionalFormatting>
  <conditionalFormatting sqref="M61:N62">
    <cfRule type="expression" priority="145" dxfId="0">
      <formula>$H61="ETAPA"</formula>
    </cfRule>
  </conditionalFormatting>
  <conditionalFormatting sqref="M86:N86">
    <cfRule type="expression" priority="229" dxfId="6">
      <formula>$H86="SUBETAPA"</formula>
    </cfRule>
  </conditionalFormatting>
  <conditionalFormatting sqref="M108:N112">
    <cfRule type="expression" priority="152" dxfId="2">
      <formula>$H108="CÉLULA CONSTRUTIVA"</formula>
    </cfRule>
  </conditionalFormatting>
  <conditionalFormatting sqref="M116:N116">
    <cfRule type="expression" priority="188" dxfId="6">
      <formula>$H116="SUBETAPA"</formula>
    </cfRule>
    <cfRule type="expression" priority="189" dxfId="2">
      <formula>$H116="CÉLULA CONSTRUTIVA"</formula>
    </cfRule>
    <cfRule type="expression" priority="190" dxfId="0">
      <formula>$H116="ETAPA"</formula>
    </cfRule>
  </conditionalFormatting>
  <conditionalFormatting sqref="M146:R150">
    <cfRule type="expression" priority="285" dxfId="6">
      <formula>$H146="SUBETAPA"</formula>
    </cfRule>
    <cfRule type="expression" priority="286" dxfId="2">
      <formula>$H146="CÉLULA CONSTRUTIVA"</formula>
    </cfRule>
    <cfRule type="expression" priority="287" dxfId="0">
      <formula>$H146="ETAPA"</formula>
    </cfRule>
  </conditionalFormatting>
  <conditionalFormatting sqref="M115:N115">
    <cfRule type="expression" priority="134" dxfId="6">
      <formula>$H115="SUBETAPA"</formula>
    </cfRule>
    <cfRule type="expression" priority="135" dxfId="2">
      <formula>$H115="CÉLULA CONSTRUTIVA"</formula>
    </cfRule>
    <cfRule type="expression" priority="136" dxfId="0">
      <formula>$H115="ETAPA"</formula>
    </cfRule>
  </conditionalFormatting>
  <conditionalFormatting sqref="M32:N32">
    <cfRule type="expression" priority="276" dxfId="2">
      <formula>$H32="CÉLULA CONSTRUTIVA"</formula>
    </cfRule>
    <cfRule type="expression" priority="277" dxfId="0">
      <formula>$H32="ETAPA"</formula>
    </cfRule>
  </conditionalFormatting>
  <conditionalFormatting sqref="M54:N56">
    <cfRule type="expression" priority="244" dxfId="6">
      <formula>$H54="SUBETAPA"</formula>
    </cfRule>
    <cfRule type="expression" priority="245" dxfId="2">
      <formula>$H54="CÉLULA CONSTRUTIVA"</formula>
    </cfRule>
    <cfRule type="expression" priority="246" dxfId="0">
      <formula>$H54="ETAPA"</formula>
    </cfRule>
  </conditionalFormatting>
  <conditionalFormatting sqref="M58:N59">
    <cfRule type="expression" priority="158" dxfId="2">
      <formula>$H58="CÉLULA CONSTRUTIVA"</formula>
    </cfRule>
  </conditionalFormatting>
  <conditionalFormatting sqref="M60:N60">
    <cfRule type="expression" priority="279" dxfId="2">
      <formula>$H60="CÉLULA CONSTRUTIVA"</formula>
    </cfRule>
    <cfRule type="expression" priority="278" dxfId="6">
      <formula>$H60="SUBETAPA"</formula>
    </cfRule>
  </conditionalFormatting>
  <conditionalFormatting sqref="G87:J101 M87:N100 M101 O87:R101">
    <cfRule type="expression" priority="163" dxfId="2">
      <formula>$H87="CÉLULA CONSTRUTIVA"</formula>
    </cfRule>
  </conditionalFormatting>
  <conditionalFormatting sqref="G71:J73 G78:H81 M101:N101 M103:N107">
    <cfRule type="expression" priority="299" dxfId="2">
      <formula>$H71="CÉLULA CONSTRUTIVA"</formula>
    </cfRule>
  </conditionalFormatting>
  <conditionalFormatting sqref="M113:N113">
    <cfRule type="expression" priority="196" dxfId="6">
      <formula>$H113="SUBETAPA"</formula>
    </cfRule>
    <cfRule type="expression" priority="197" dxfId="2">
      <formula>$H113="CÉLULA CONSTRUTIVA"</formula>
    </cfRule>
    <cfRule type="expression" priority="198" dxfId="0">
      <formula>$H113="ETAPA"</formula>
    </cfRule>
  </conditionalFormatting>
  <conditionalFormatting sqref="M114:N114">
    <cfRule type="expression" priority="211" dxfId="6">
      <formula>$H114="SUBETAPA"</formula>
    </cfRule>
    <cfRule type="expression" priority="212" dxfId="2">
      <formula>$H114="CÉLULA CONSTRUTIVA"</formula>
    </cfRule>
    <cfRule type="expression" priority="213" dxfId="0">
      <formula>$H114="ETAPA"</formula>
    </cfRule>
  </conditionalFormatting>
  <conditionalFormatting sqref="M34:M53 N33:N51">
    <cfRule type="expression" priority="156" dxfId="2">
      <formula>$H33="CÉLULA CONSTRUTIVA"</formula>
    </cfRule>
  </conditionalFormatting>
  <conditionalFormatting sqref="N51:N53">
    <cfRule type="expression" priority="252" dxfId="0">
      <formula>$H51="ETAPA"</formula>
    </cfRule>
  </conditionalFormatting>
  <conditionalFormatting sqref="N57:N59">
    <cfRule type="expression" priority="171" dxfId="0">
      <formula>$H57="ETAPA"</formula>
    </cfRule>
  </conditionalFormatting>
  <conditionalFormatting sqref="G70:H73 M101:N101 M103:N107 N64:N85 O70:P73">
    <cfRule type="expression" priority="235" dxfId="6">
      <formula>$H64="SUBETAPA"</formula>
    </cfRule>
  </conditionalFormatting>
  <conditionalFormatting sqref="N102">
    <cfRule type="expression" priority="233" dxfId="2">
      <formula>$H102="CÉLULA CONSTRUTIVA"</formula>
    </cfRule>
    <cfRule type="expression" priority="234" dxfId="0">
      <formula>$H102="ETAPA"</formula>
    </cfRule>
    <cfRule type="expression" priority="232" dxfId="6">
      <formula>$H102="SUBETAPA"</formula>
    </cfRule>
  </conditionalFormatting>
  <conditionalFormatting sqref="N58:N59">
    <cfRule type="expression" priority="157" dxfId="6">
      <formula>$H58="SUBETAPA"</formula>
    </cfRule>
  </conditionalFormatting>
  <conditionalFormatting sqref="G78:H81 I81:J85 M60:N60 M107:N107 N33:N39 N111:N112">
    <cfRule type="expression" priority="311" dxfId="0">
      <formula>$H33="ETAPA"</formula>
    </cfRule>
  </conditionalFormatting>
  <conditionalFormatting sqref="N52:N53">
    <cfRule type="expression" priority="242" dxfId="6">
      <formula>$H52="SUBETAPA"</formula>
    </cfRule>
    <cfRule type="expression" priority="243" dxfId="2">
      <formula>$H52="CÉLULA CONSTRUTIVA"</formula>
    </cfRule>
  </conditionalFormatting>
  <conditionalFormatting sqref="O113:P113">
    <cfRule type="expression" priority="45" dxfId="2">
      <formula>$H113="CÉLULA CONSTRUTIVA"</formula>
    </cfRule>
    <cfRule type="expression" priority="46" dxfId="0">
      <formula>$H113="ETAPA"</formula>
    </cfRule>
  </conditionalFormatting>
  <conditionalFormatting sqref="O74:R77">
    <cfRule type="expression" priority="29" dxfId="0">
      <formula>$H74="ETAPA"</formula>
    </cfRule>
    <cfRule type="expression" priority="28" dxfId="2">
      <formula>$H74="CÉLULA CONSTRUTIVA"</formula>
    </cfRule>
  </conditionalFormatting>
  <conditionalFormatting sqref="O86:R86">
    <cfRule type="expression" priority="57" dxfId="0">
      <formula>$H86="ETAPA"</formula>
    </cfRule>
  </conditionalFormatting>
  <conditionalFormatting sqref="O102:R112">
    <cfRule type="expression" priority="54" dxfId="2">
      <formula>$H102="CÉLULA CONSTRUTIVA"</formula>
    </cfRule>
  </conditionalFormatting>
  <conditionalFormatting sqref="O113:R114">
    <cfRule type="expression" priority="47" dxfId="6">
      <formula>$H113="SUBETAPA"</formula>
    </cfRule>
  </conditionalFormatting>
  <conditionalFormatting sqref="O114:R116">
    <cfRule type="expression" priority="50" dxfId="2">
      <formula>$H114="CÉLULA CONSTRUTIVA"</formula>
    </cfRule>
  </conditionalFormatting>
  <conditionalFormatting sqref="O115:R116">
    <cfRule type="expression" priority="6" dxfId="6">
      <formula>$H115="SUBETAPA"</formula>
    </cfRule>
  </conditionalFormatting>
  <conditionalFormatting sqref="Q58:R59">
    <cfRule type="expression" priority="23" dxfId="6">
      <formula>$H58="SUBETAPA"</formula>
    </cfRule>
  </conditionalFormatting>
  <conditionalFormatting sqref="Q70:R79">
    <cfRule type="expression" priority="17" dxfId="6">
      <formula>$H70="SUBETAPA"</formula>
    </cfRule>
  </conditionalFormatting>
  <conditionalFormatting sqref="Q78:R79">
    <cfRule type="expression" priority="59" dxfId="2">
      <formula>$H78="CÉLULA CONSTRUTIVA"</formula>
    </cfRule>
  </conditionalFormatting>
  <conditionalFormatting sqref="Q78:R80 R70">
    <cfRule type="expression" priority="60" dxfId="0">
      <formula>$H70="ETAPA"</formula>
    </cfRule>
  </conditionalFormatting>
  <conditionalFormatting sqref="Q113:R113">
    <cfRule type="expression" priority="48" dxfId="2">
      <formula>$H113="CÉLULA CONSTRUTIVA"</formula>
    </cfRule>
    <cfRule type="expression" priority="49" dxfId="0">
      <formula>$H113="ETAPA"</formula>
    </cfRule>
  </conditionalFormatting>
  <conditionalFormatting sqref="R71:R73">
    <cfRule type="expression" priority="19" dxfId="0">
      <formula>$H71="ETAPA"</formula>
    </cfRule>
  </conditionalFormatting>
  <conditionalFormatting sqref="R75:R77">
    <cfRule type="expression" priority="18" dxfId="0">
      <formula>$H75="ETAPA"</formula>
    </cfRule>
  </conditionalFormatting>
  <conditionalFormatting sqref="R112">
    <cfRule type="expression" priority="1" dxfId="2">
      <formula>$H112="CÉLULA CONSTRUTIVA"</formula>
    </cfRule>
    <cfRule type="expression" priority="2" dxfId="0">
      <formula>$H112="ETAPA"</formula>
    </cfRule>
  </conditionalFormatting>
  <conditionalFormatting sqref="Q80:R85">
    <cfRule type="expression" priority="74" dxfId="6">
      <formula>$H80="SUBETAPA"</formula>
    </cfRule>
    <cfRule type="expression" priority="75" dxfId="2">
      <formula>$H80="CÉLULA CONSTRUTIVA"</formula>
    </cfRule>
  </conditionalFormatting>
  <conditionalFormatting sqref="O71:R73 O78:P81">
    <cfRule type="expression" priority="81" dxfId="2">
      <formula>$H71="CÉLULA CONSTRUTIVA"</formula>
    </cfRule>
  </conditionalFormatting>
  <conditionalFormatting sqref="O78:P81 Q81:R85">
    <cfRule type="expression" priority="82" dxfId="0">
      <formula>$H78="ETAPA"</formula>
    </cfRule>
  </conditionalFormatting>
  <dataValidations disablePrompts="1" count="1">
    <dataValidation sqref="H8:H144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/>
    <outlinePr summaryBelow="0"/>
    <pageSetUpPr fitToPage="1"/>
  </sheetPr>
  <dimension ref="A1:AB1074"/>
  <sheetViews>
    <sheetView showGridLines="0" topLeftCell="F1" zoomScale="70" zoomScaleNormal="70" workbookViewId="0">
      <pane ySplit="7" topLeftCell="A8" activePane="bottomLeft" state="frozen"/>
      <selection activeCell="L78" sqref="L78"/>
      <selection pane="bottomLeft" activeCell="N20" sqref="N20"/>
    </sheetView>
  </sheetViews>
  <sheetFormatPr baseColWidth="8" defaultColWidth="12.5546875" defaultRowHeight="15" customHeight="1" outlineLevelRow="3"/>
  <cols>
    <col hidden="1" outlineLevel="1" width="4" customWidth="1" min="1" max="5"/>
    <col collapsed="1" width="3.109375" customWidth="1" style="188" min="6" max="6"/>
    <col width="18.5546875" customWidth="1" min="7" max="7"/>
    <col outlineLevel="1" width="14.5546875" customWidth="1" min="8" max="8"/>
    <col width="12.33203125" customWidth="1" min="9" max="9"/>
    <col width="66.88671875" customWidth="1" min="10" max="10"/>
    <col width="6.88671875" customWidth="1" min="11" max="11"/>
    <col width="13.6640625" customWidth="1" min="12" max="12"/>
    <col width="15.109375" customWidth="1" min="13" max="13"/>
    <col width="15" customWidth="1" min="14" max="18"/>
    <col width="14.6640625" bestFit="1" customWidth="1" style="175" min="19" max="19"/>
    <col width="19.44140625" bestFit="1" customWidth="1" min="20" max="20"/>
  </cols>
  <sheetData>
    <row r="1" ht="6.75" customHeight="1">
      <c r="A1" s="184" t="n"/>
      <c r="B1" s="184" t="n"/>
      <c r="C1" s="184" t="n"/>
      <c r="D1" s="184" t="n"/>
      <c r="E1" s="184" t="n"/>
      <c r="F1" s="184" t="n"/>
      <c r="G1" s="71" t="n"/>
      <c r="H1" s="71" t="n"/>
      <c r="I1" s="71" t="n"/>
      <c r="J1" s="72" t="n"/>
      <c r="K1" s="73" t="n"/>
      <c r="L1" s="72" t="n"/>
      <c r="M1" s="72" t="n"/>
      <c r="N1" s="74" t="n"/>
      <c r="O1" s="182" t="n"/>
      <c r="P1" s="182" t="n"/>
      <c r="Q1" s="182" t="n"/>
      <c r="R1" s="206" t="inlineStr">
        <is>
          <t>Gran Tower Equivalente</t>
        </is>
      </c>
      <c r="S1" s="75" t="n"/>
    </row>
    <row r="2" ht="17.25" customHeight="1">
      <c r="A2" s="185" t="n"/>
      <c r="B2" s="185" t="n"/>
      <c r="C2" s="185" t="n"/>
      <c r="D2" s="185" t="n"/>
      <c r="E2" s="185" t="n"/>
      <c r="F2" s="185" t="n"/>
      <c r="G2" s="77" t="n"/>
      <c r="H2" s="78" t="n"/>
      <c r="I2" s="78" t="n"/>
      <c r="J2" s="78" t="n"/>
      <c r="K2" s="79" t="n"/>
      <c r="L2" s="79" t="n"/>
      <c r="M2" s="79" t="n"/>
      <c r="N2" s="80" t="n"/>
      <c r="O2" s="183" t="n"/>
      <c r="P2" s="183" t="n"/>
      <c r="Q2" s="183" t="n"/>
      <c r="R2" s="183" t="n"/>
      <c r="S2" s="81" t="n"/>
    </row>
    <row r="3" ht="18" customHeight="1">
      <c r="A3" s="185" t="n"/>
      <c r="B3" s="185" t="n"/>
      <c r="C3" s="185" t="n"/>
      <c r="D3" s="185" t="n"/>
      <c r="E3" s="185" t="n"/>
      <c r="F3" s="185" t="n"/>
      <c r="G3" s="82" t="n"/>
      <c r="H3" s="83" t="n"/>
      <c r="I3" s="83" t="n"/>
      <c r="J3" s="83" t="n"/>
      <c r="K3" s="84" t="n"/>
      <c r="L3" s="84" t="n"/>
      <c r="M3" s="84" t="n"/>
      <c r="N3" s="85" t="n"/>
      <c r="O3" s="183" t="n"/>
      <c r="P3" s="183" t="n"/>
      <c r="Q3" s="183" t="n"/>
      <c r="R3" s="183" t="n"/>
      <c r="S3" s="81" t="n"/>
    </row>
    <row r="4" ht="15" customHeight="1">
      <c r="A4" s="186" t="n"/>
      <c r="B4" s="186" t="n"/>
      <c r="C4" s="186" t="n"/>
      <c r="D4" s="186" t="n"/>
      <c r="E4" s="186" t="n"/>
      <c r="F4" s="186" t="n"/>
      <c r="G4" s="87" t="n"/>
      <c r="H4" s="88" t="inlineStr">
        <is>
          <t>PROJETO:</t>
        </is>
      </c>
      <c r="I4" s="187" t="inlineStr">
        <is>
          <t>Gran Royal</t>
        </is>
      </c>
      <c r="J4" s="187" t="n"/>
      <c r="K4" s="186" t="n"/>
      <c r="L4" s="90" t="n"/>
      <c r="M4" s="207" t="n"/>
      <c r="N4" s="92" t="n"/>
      <c r="O4" s="92" t="n"/>
      <c r="P4" s="92" t="n"/>
      <c r="Q4" s="92" t="n"/>
      <c r="R4" s="92" t="n"/>
      <c r="S4" s="93" t="n"/>
    </row>
    <row r="5" ht="15" customHeight="1">
      <c r="A5" s="187" t="n"/>
      <c r="B5" s="187" t="n"/>
      <c r="C5" s="187" t="n"/>
      <c r="D5" s="187" t="n"/>
      <c r="E5" s="187" t="n"/>
      <c r="F5" s="187" t="n"/>
      <c r="G5" s="208" t="n"/>
      <c r="H5" s="209" t="inlineStr">
        <is>
          <t>EMPRESA:</t>
        </is>
      </c>
      <c r="I5" s="187" t="inlineStr">
        <is>
          <t>Grandezza Empreendimentos</t>
        </is>
      </c>
      <c r="J5" s="187" t="n"/>
      <c r="K5" s="187" t="n"/>
      <c r="L5" s="187" t="n"/>
      <c r="M5" s="187" t="n"/>
      <c r="N5" s="96" t="n"/>
      <c r="O5" s="96" t="n"/>
      <c r="P5" s="96" t="n"/>
      <c r="Q5" s="96" t="n"/>
      <c r="R5" s="96" t="n"/>
      <c r="S5" s="93" t="n"/>
    </row>
    <row r="6" ht="18" customHeight="1">
      <c r="A6" s="97" t="inlineStr">
        <is>
          <t>Unidade Construtiva</t>
        </is>
      </c>
      <c r="B6" s="97" t="inlineStr">
        <is>
          <t>Célula Construtiva</t>
        </is>
      </c>
      <c r="C6" s="97" t="inlineStr">
        <is>
          <t>Etapa</t>
        </is>
      </c>
      <c r="D6" s="97" t="inlineStr">
        <is>
          <t>Subetapa</t>
        </is>
      </c>
      <c r="E6" s="97" t="inlineStr">
        <is>
          <t>Serviço</t>
        </is>
      </c>
      <c r="F6" s="187" t="n"/>
      <c r="G6" s="98" t="inlineStr">
        <is>
          <t>GERENCIAMENTO EXECUTIVO</t>
        </is>
      </c>
      <c r="H6" s="210" t="n"/>
      <c r="I6" s="210" t="n"/>
      <c r="J6" s="210" t="n"/>
      <c r="K6" s="196" t="inlineStr">
        <is>
          <t>GRAN ROYAL</t>
        </is>
      </c>
      <c r="L6" s="197" t="n"/>
      <c r="M6" s="197" t="n"/>
      <c r="N6" s="198" t="n"/>
      <c r="O6" s="196" t="inlineStr">
        <is>
          <t>GRAN TOWER</t>
        </is>
      </c>
      <c r="P6" s="197" t="n"/>
      <c r="Q6" s="197" t="n"/>
      <c r="R6" s="198" t="n"/>
      <c r="S6" s="99" t="n"/>
    </row>
    <row r="7" ht="24" customHeight="1">
      <c r="A7" s="211" t="n">
        <v>0</v>
      </c>
      <c r="B7" s="211" t="n">
        <v>0</v>
      </c>
      <c r="C7" s="211" t="n">
        <v>0</v>
      </c>
      <c r="D7" s="212" t="n">
        <v>0</v>
      </c>
      <c r="E7" s="212" t="n">
        <v>0</v>
      </c>
      <c r="G7" s="102" t="inlineStr">
        <is>
          <t>EAP</t>
        </is>
      </c>
      <c r="H7" s="102" t="inlineStr">
        <is>
          <t>NIVEL</t>
        </is>
      </c>
      <c r="I7" s="103" t="inlineStr">
        <is>
          <t>Item</t>
        </is>
      </c>
      <c r="J7" s="104" t="inlineStr">
        <is>
          <t>Descrição</t>
        </is>
      </c>
      <c r="K7" s="105" t="inlineStr">
        <is>
          <t>Unidade</t>
        </is>
      </c>
      <c r="L7" s="106" t="inlineStr">
        <is>
          <t xml:space="preserve">Quant. </t>
        </is>
      </c>
      <c r="M7" s="106" t="inlineStr">
        <is>
          <t>Preço un</t>
        </is>
      </c>
      <c r="N7" s="106" t="inlineStr">
        <is>
          <t>Total</t>
        </is>
      </c>
      <c r="O7" s="105" t="inlineStr">
        <is>
          <t>Unidade</t>
        </is>
      </c>
      <c r="P7" s="106" t="inlineStr">
        <is>
          <t xml:space="preserve">Quant. </t>
        </is>
      </c>
      <c r="Q7" s="106" t="inlineStr">
        <is>
          <t>Preço un</t>
        </is>
      </c>
      <c r="R7" s="106" t="inlineStr">
        <is>
          <t>Total</t>
        </is>
      </c>
      <c r="S7" s="99" t="n"/>
    </row>
    <row r="8" ht="13.95" customFormat="1" customHeight="1" s="31">
      <c r="A8" s="213">
        <f>IF($H8="UNIDADE CONSTRUTIVA",OFFSET(A8,-1,0)+1,LARGE(A$3:A7,1))</f>
        <v/>
      </c>
      <c r="B8" s="213">
        <f>IF(H8="UNIDADE CONSTRUTIVA",0,IF(H8="CÉLULA CONSTRUTIVA",OFFSET(B8,-1,0)+1,OFFSET(B8,-1,0)))</f>
        <v/>
      </c>
      <c r="C8" s="213">
        <f>IF(H8="CÉLULA CONSTRUTIVA",0,IF(H8="ETAPA",OFFSET(C8,-1,0)+1,OFFSET(C8,-1,0)))</f>
        <v/>
      </c>
      <c r="D8" s="214">
        <f>IF(H8="ETAPA",0,IF(H8="SUBETAPA",OFFSET(D8,-1,0)+1,OFFSET(D8,-1,0)))</f>
        <v/>
      </c>
      <c r="E8" s="214">
        <f>IF(H8="Subetapa",0,IF(H8="serviço",OFFSET(E8,-1,0)+1,OFFSET(E8,-1,0)))</f>
        <v/>
      </c>
      <c r="G8" s="41" t="n"/>
      <c r="H8" s="42" t="inlineStr">
        <is>
          <t>CÉLULA CONSTRUTIVA</t>
        </is>
      </c>
      <c r="I8" s="43">
        <f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/>
      </c>
      <c r="J8" s="48" t="inlineStr">
        <is>
          <t>MOVIMENTAÇÃO DE TERRA</t>
        </is>
      </c>
      <c r="K8" s="45" t="n"/>
      <c r="L8" s="46" t="n"/>
      <c r="M8" s="46" t="n"/>
      <c r="N8" s="47">
        <f>IF(H8="Serviço",M8*L8,IF(H8="CÉLULA CONSTRUTIVA",SUMIFS($N$8:$N$298,$B$8:$B$298,B8,$H$8:$H$298,"Serviço"),IF(H8="ETAPA",SUMIFS($N$8:$N$298,$B$8:$B$298,B8,$C$8:$C$298,C8,$H$8:$H$298,"Serviço"),IF(H8="SUBETAPA",SUMIFS($N$8:$N$298,$B$8:$B$298,B8,$C$8:$C$298,C8,$D$8:$D$298,D8,$H$8:$H$298,"Serviço"),0))))</f>
        <v/>
      </c>
      <c r="O8" s="45" t="n"/>
      <c r="P8" s="46" t="n"/>
      <c r="Q8" s="46" t="n"/>
      <c r="R8" s="47" t="n"/>
      <c r="S8" s="109" t="n"/>
      <c r="T8" s="215" t="n"/>
      <c r="U8" s="49" t="n"/>
    </row>
    <row r="9" outlineLevel="1" ht="13.2" customFormat="1" customHeight="1" s="31">
      <c r="A9" s="213">
        <f>IF($H9="UNIDADE CONSTRUTIVA",OFFSET(A9,-1,0)+1,LARGE(A$3:A8,1))</f>
        <v/>
      </c>
      <c r="B9" s="213">
        <f>IF(H9="UNIDADE CONSTRUTIVA",0,IF(H9="CÉLULA CONSTRUTIVA",OFFSET(B9,-1,0)+1,OFFSET(B9,-1,0)))</f>
        <v/>
      </c>
      <c r="C9" s="213">
        <f>IF(H9="CÉLULA CONSTRUTIVA",0,IF(H9="ETAPA",OFFSET(C9,-1,0)+1,OFFSET(C9,-1,0)))</f>
        <v/>
      </c>
      <c r="D9" s="214">
        <f>IF(H9="ETAPA",0,IF(H9="SUBETAPA",OFFSET(D9,-1,0)+1,OFFSET(D9,-1,0)))</f>
        <v/>
      </c>
      <c r="E9" s="214">
        <f>IF(H9="Subetapa",0,IF(H9="serviço",OFFSET(E9,-1,0)+1,OFFSET(E9,-1,0)))</f>
        <v/>
      </c>
      <c r="G9" s="41" t="n"/>
      <c r="H9" s="42" t="inlineStr">
        <is>
          <t>ETAPA</t>
        </is>
      </c>
      <c r="I9" s="43">
        <f>IF(H9="Unidade Construtiva",TEXT(A9,"00"),IF(H9="Célula Construtiva",TEXT(B9,"00"),IF(H9="Etapa",CONCATENATE(TEXT(B9,"00"),".",TEXT(C9,"000")),IF(H9="Subetapa",CONCATENATE(TEXT(B9,"00"),".",TEXT(C9,"000"),".",TEXT(D9,"000")),IF(H9="Serviço",CONCATENATE(TEXT(B9,"00"),".",TEXT(C9,"000"),".",TEXT(D9,"000"),".",TEXT(E9,"000")),"")))))</f>
        <v/>
      </c>
      <c r="J9" s="48" t="inlineStr">
        <is>
          <t>MOVIMENTAÇÃO DE TERRA</t>
        </is>
      </c>
      <c r="K9" s="45" t="n"/>
      <c r="L9" s="46" t="n"/>
      <c r="M9" s="46" t="n"/>
      <c r="N9" s="47">
        <f>IF(H9="Serviço",M9*L9,IF(H9="CÉLULA CONSTRUTIVA",SUMIFS($N$8:$N$298,$B$8:$B$298,B9,$H$8:$H$298,"Serviço"),IF(H9="ETAPA",SUMIFS($N$8:$N$298,$B$8:$B$298,B9,$C$8:$C$298,C9,$H$8:$H$298,"Serviço"),IF(H9="SUBETAPA",SUMIFS($N$8:$N$298,$B$8:$B$298,B9,$C$8:$C$298,C9,$D$8:$D$298,D9,$H$8:$H$298,"Serviço"),0))))</f>
        <v/>
      </c>
      <c r="O9" s="45" t="n"/>
      <c r="P9" s="46" t="n"/>
      <c r="Q9" s="46" t="n"/>
      <c r="R9" s="47" t="n"/>
      <c r="S9" s="109" t="n"/>
      <c r="T9" s="49" t="n"/>
      <c r="U9" s="49" t="n"/>
    </row>
    <row r="10" outlineLevel="2" ht="13.95" customFormat="1" customHeight="1" s="31">
      <c r="A10" s="213">
        <f>IF($H10="UNIDADE CONSTRUTIVA",OFFSET(A10,-1,0)+1,LARGE(A$3:A9,1))</f>
        <v/>
      </c>
      <c r="B10" s="213">
        <f>IF(H10="UNIDADE CONSTRUTIVA",0,IF(H10="CÉLULA CONSTRUTIVA",OFFSET(B10,-1,0)+1,OFFSET(B10,-1,0)))</f>
        <v/>
      </c>
      <c r="C10" s="213">
        <f>IF(H10="CÉLULA CONSTRUTIVA",0,IF(H10="ETAPA",OFFSET(C10,-1,0)+1,OFFSET(C10,-1,0)))</f>
        <v/>
      </c>
      <c r="D10" s="214">
        <f>IF(H10="ETAPA",0,IF(H10="SUBETAPA",OFFSET(D10,-1,0)+1,OFFSET(D10,-1,0)))</f>
        <v/>
      </c>
      <c r="E10" s="214">
        <f>IF(H10="Subetapa",0,IF(H10="serviço",OFFSET(E10,-1,0)+1,OFFSET(E10,-1,0)))</f>
        <v/>
      </c>
      <c r="G10" s="41" t="n"/>
      <c r="H10" s="42" t="inlineStr">
        <is>
          <t>SUBETAPA</t>
        </is>
      </c>
      <c r="I10" s="43">
        <f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/>
      </c>
      <c r="J10" s="48" t="inlineStr">
        <is>
          <t>Corte e Aterro</t>
        </is>
      </c>
      <c r="K10" s="45" t="n"/>
      <c r="L10" s="52" t="n"/>
      <c r="M10" s="52" t="n"/>
      <c r="N10" s="47">
        <f>IF(H10="Serviço",M10*L10,IF(H10="CÉLULA CONSTRUTIVA",SUMIFS($N$8:$N$298,$B$8:$B$298,B10,$H$8:$H$298,"Serviço"),IF(H10="ETAPA",SUMIFS($N$8:$N$298,$B$8:$B$298,B10,$C$8:$C$298,C10,$H$8:$H$298,"Serviço"),IF(H10="SUBETAPA",SUMIFS($N$8:$N$298,$B$8:$B$298,B10,$C$8:$C$298,C10,$D$8:$D$298,D10,$H$8:$H$298,"Serviço"),0))))</f>
        <v/>
      </c>
      <c r="O10" s="45" t="n"/>
      <c r="P10" s="52" t="n"/>
      <c r="Q10" s="52" t="n"/>
      <c r="R10" s="216" t="inlineStr">
        <is>
          <t>01.001.001.005 - Sondagem do terreno</t>
        </is>
      </c>
      <c r="S10" s="109" t="n"/>
      <c r="T10" s="49" t="n"/>
      <c r="U10" s="49" t="n"/>
    </row>
    <row r="11" outlineLevel="3" ht="13.95" customFormat="1" customHeight="1" s="31">
      <c r="A11" s="213">
        <f>IF($H11="UNIDADE CONSTRUTIVA",OFFSET(A11,-1,0)+1,LARGE(A$3:A10,1))</f>
        <v/>
      </c>
      <c r="B11" s="213">
        <f>IF(H11="UNIDADE CONSTRUTIVA",0,IF(H11="CÉLULA CONSTRUTIVA",OFFSET(B11,-1,0)+1,OFFSET(B11,-1,0)))</f>
        <v/>
      </c>
      <c r="C11" s="213">
        <f>IF(H11="CÉLULA CONSTRUTIVA",0,IF(H11="ETAPA",OFFSET(C11,-1,0)+1,OFFSET(C11,-1,0)))</f>
        <v/>
      </c>
      <c r="D11" s="214">
        <f>IF(H11="ETAPA",0,IF(H11="SUBETAPA",OFFSET(D11,-1,0)+1,OFFSET(D11,-1,0)))</f>
        <v/>
      </c>
      <c r="E11" s="214">
        <f>IF(H11="Subetapa",0,IF(H11="serviço",OFFSET(E11,-1,0)+1,OFFSET(E11,-1,0)))</f>
        <v/>
      </c>
      <c r="G11" s="111" t="inlineStr">
        <is>
          <t>MOVIMENTAÇÃO DE TERRA</t>
        </is>
      </c>
      <c r="H11" s="42" t="inlineStr">
        <is>
          <t>SERVIÇO</t>
        </is>
      </c>
      <c r="I11" s="43">
        <f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/>
      </c>
      <c r="J11" s="48" t="inlineStr">
        <is>
          <t>Terraplanagem - Corte e Desaterro Solo</t>
        </is>
      </c>
      <c r="K11" s="45" t="inlineStr">
        <is>
          <t>m3</t>
        </is>
      </c>
      <c r="L11" s="46">
        <f>26.972*15.9*3.25</f>
        <v/>
      </c>
      <c r="M11" s="46" t="n">
        <v>31.5</v>
      </c>
      <c r="N11" s="47">
        <f>IF(H11="Serviço",M11*L11,IF(H11="CÉLULA CONSTRUTIVA",SUMIFS($N$8:$N$298,$B$8:$B$298,B11,$H$8:$H$298,"Serviço"),IF(H11="ETAPA",SUMIFS($N$8:$N$298,$B$8:$B$298,B11,$C$8:$C$298,C11,$H$8:$H$298,"Serviço"),IF(H11="SUBETAPA",SUMIFS($N$8:$N$298,$B$8:$B$298,B11,$C$8:$C$298,C11,$D$8:$D$298,D11,$H$8:$H$298,"Serviço"),0))))</f>
        <v/>
      </c>
      <c r="O11" s="45" t="n"/>
      <c r="P11" s="46" t="n"/>
      <c r="Q11" s="46" t="n"/>
      <c r="R11" s="47" t="n"/>
      <c r="S11" s="109" t="n"/>
      <c r="T11" s="49" t="n"/>
      <c r="U11" s="49" t="n"/>
    </row>
    <row r="12" outlineLevel="2" ht="13.95" customFormat="1" customHeight="1" s="31">
      <c r="A12" s="213">
        <f>IF($H12="UNIDADE CONSTRUTIVA",OFFSET(A12,-1,0)+1,LARGE(A$3:A11,1))</f>
        <v/>
      </c>
      <c r="B12" s="213">
        <f>IF(H12="UNIDADE CONSTRUTIVA",0,IF(H12="CÉLULA CONSTRUTIVA",OFFSET(B12,-1,0)+1,OFFSET(B12,-1,0)))</f>
        <v/>
      </c>
      <c r="C12" s="213">
        <f>IF(H12="CÉLULA CONSTRUTIVA",0,IF(H12="ETAPA",OFFSET(C12,-1,0)+1,OFFSET(C12,-1,0)))</f>
        <v/>
      </c>
      <c r="D12" s="214">
        <f>IF(H12="ETAPA",0,IF(H12="SUBETAPA",OFFSET(D12,-1,0)+1,OFFSET(D12,-1,0)))</f>
        <v/>
      </c>
      <c r="E12" s="214">
        <f>IF(H12="Subetapa",0,IF(H12="serviço",OFFSET(E12,-1,0)+1,OFFSET(E12,-1,0)))</f>
        <v/>
      </c>
      <c r="G12" s="41" t="n"/>
      <c r="H12" s="42" t="inlineStr">
        <is>
          <t>SUBETAPA</t>
        </is>
      </c>
      <c r="I12" s="43">
        <f>IF(H12="Unidade Construtiva",TEXT(A12,"00"),IF(H12="Célula Construtiva",TEXT(B12,"00"),IF(H12="Etapa",CONCATENATE(TEXT(B12,"00"),".",TEXT(C12,"000")),IF(H12="Subetapa",CONCATENATE(TEXT(B12,"00"),".",TEXT(C12,"000"),".",TEXT(D12,"000")),IF(H12="Serviço",CONCATENATE(TEXT(B12,"00"),".",TEXT(C12,"000"),".",TEXT(D12,"000"),".",TEXT(E12,"000")),"")))))</f>
        <v/>
      </c>
      <c r="J12" s="48" t="inlineStr">
        <is>
          <t>Escavação e Reaterro de Valas</t>
        </is>
      </c>
      <c r="K12" s="45" t="n"/>
      <c r="L12" s="52" t="n"/>
      <c r="M12" s="52" t="n"/>
      <c r="N12" s="47">
        <f>IF(H12="Serviço",M12*L12,IF(H12="CÉLULA CONSTRUTIVA",SUMIFS($N$8:$N$298,$B$8:$B$298,B12,$H$8:$H$298,"Serviço"),IF(H12="ETAPA",SUMIFS($N$8:$N$298,$B$8:$B$298,B12,$C$8:$C$298,C12,$H$8:$H$298,"Serviço"),IF(H12="SUBETAPA",SUMIFS($N$8:$N$298,$B$8:$B$298,B12,$C$8:$C$298,C12,$D$8:$D$298,D12,$H$8:$H$298,"Serviço"),0))))</f>
        <v/>
      </c>
      <c r="O12" s="45" t="n"/>
      <c r="P12" s="52" t="n"/>
      <c r="Q12" s="52" t="n"/>
      <c r="R12" s="216" t="inlineStr">
        <is>
          <t>01.001.001.001 - Movimentação de terra</t>
        </is>
      </c>
      <c r="S12" s="109" t="n"/>
      <c r="T12" s="49" t="n"/>
      <c r="U12" s="49" t="n"/>
    </row>
    <row r="13" outlineLevel="3" ht="13.95" customFormat="1" customHeight="1" s="31">
      <c r="A13" s="213">
        <f>IF($H13="UNIDADE CONSTRUTIVA",OFFSET(A13,-1,0)+1,LARGE(A$3:A12,1))</f>
        <v/>
      </c>
      <c r="B13" s="213">
        <f>IF(H13="UNIDADE CONSTRUTIVA",0,IF(H13="CÉLULA CONSTRUTIVA",OFFSET(B13,-1,0)+1,OFFSET(B13,-1,0)))</f>
        <v/>
      </c>
      <c r="C13" s="213">
        <f>IF(H13="CÉLULA CONSTRUTIVA",0,IF(H13="ETAPA",OFFSET(C13,-1,0)+1,OFFSET(C13,-1,0)))</f>
        <v/>
      </c>
      <c r="D13" s="214">
        <f>IF(H13="ETAPA",0,IF(H13="SUBETAPA",OFFSET(D13,-1,0)+1,OFFSET(D13,-1,0)))</f>
        <v/>
      </c>
      <c r="E13" s="214">
        <f>IF(H13="Subetapa",0,IF(H13="serviço",OFFSET(E13,-1,0)+1,OFFSET(E13,-1,0)))</f>
        <v/>
      </c>
      <c r="G13" s="111" t="inlineStr">
        <is>
          <t>MOVIMENTAÇÃO DE TERRA</t>
        </is>
      </c>
      <c r="H13" s="42" t="inlineStr">
        <is>
          <t>SERVIÇO</t>
        </is>
      </c>
      <c r="I13" s="43">
        <f>IF(H13="Unidade Construtiva",TEXT(A13,"00"),IF(H13="Célula Construtiva",TEXT(B13,"00"),IF(H13="Etapa",CONCATENATE(TEXT(B13,"00"),".",TEXT(C13,"000")),IF(H13="Subetapa",CONCATENATE(TEXT(B13,"00"),".",TEXT(C13,"000"),".",TEXT(D13,"000")),IF(H13="Serviço",CONCATENATE(TEXT(B13,"00"),".",TEXT(C13,"000"),".",TEXT(D13,"000"),".",TEXT(E13,"000")),"")))))</f>
        <v/>
      </c>
      <c r="J13" s="48" t="inlineStr">
        <is>
          <t>Escavação mecanizada para blocos de fundação, vigas de fundação e poço de elevador, com retroescavadeira</t>
        </is>
      </c>
      <c r="K13" s="45" t="inlineStr">
        <is>
          <t>m3</t>
        </is>
      </c>
      <c r="L13" s="46" t="n">
        <v>446.41332</v>
      </c>
      <c r="M13" s="46" t="n">
        <v>36.36</v>
      </c>
      <c r="N13" s="47">
        <f>IF(H13="Serviço",M13*L13,IF(H13="CÉLULA CONSTRUTIVA",SUMIFS($N$8:$N$298,$B$8:$B$298,B13,$H$8:$H$298,"Serviço"),IF(H13="ETAPA",SUMIFS($N$8:$N$298,$B$8:$B$298,B13,$C$8:$C$298,C13,$H$8:$H$298,"Serviço"),IF(H13="SUBETAPA",SUMIFS($N$8:$N$298,$B$8:$B$298,B13,$C$8:$C$298,C13,$D$8:$D$298,D13,$H$8:$H$298,"Serviço"),0))))</f>
        <v/>
      </c>
      <c r="O13" s="45" t="n"/>
      <c r="P13" s="46" t="n"/>
      <c r="Q13" s="46" t="n"/>
      <c r="R13" s="47" t="n"/>
      <c r="S13" s="109" t="n"/>
      <c r="T13" s="49" t="n"/>
      <c r="U13" s="49" t="n"/>
    </row>
    <row r="14" outlineLevel="3" ht="13.95" customFormat="1" customHeight="1" s="31">
      <c r="A14" s="213">
        <f>IF($H14="UNIDADE CONSTRUTIVA",OFFSET(A14,-1,0)+1,LARGE(A$3:A13,1))</f>
        <v/>
      </c>
      <c r="B14" s="213">
        <f>IF(H14="UNIDADE CONSTRUTIVA",0,IF(H14="CÉLULA CONSTRUTIVA",OFFSET(B14,-1,0)+1,OFFSET(B14,-1,0)))</f>
        <v/>
      </c>
      <c r="C14" s="213">
        <f>IF(H14="CÉLULA CONSTRUTIVA",0,IF(H14="ETAPA",OFFSET(C14,-1,0)+1,OFFSET(C14,-1,0)))</f>
        <v/>
      </c>
      <c r="D14" s="214">
        <f>IF(H14="ETAPA",0,IF(H14="SUBETAPA",OFFSET(D14,-1,0)+1,OFFSET(D14,-1,0)))</f>
        <v/>
      </c>
      <c r="E14" s="214">
        <f>IF(H14="Subetapa",0,IF(H14="serviço",OFFSET(E14,-1,0)+1,OFFSET(E14,-1,0)))</f>
        <v/>
      </c>
      <c r="G14" s="111" t="inlineStr">
        <is>
          <t>MOVIMENTAÇÃO DE TERRA</t>
        </is>
      </c>
      <c r="H14" s="42" t="inlineStr">
        <is>
          <t>SERVIÇO</t>
        </is>
      </c>
      <c r="I14" s="43">
        <f>IF(H14="Unidade Construtiva",TEXT(A14,"00"),IF(H14="Célula Construtiva",TEXT(B14,"00"),IF(H14="Etapa",CONCATENATE(TEXT(B14,"00"),".",TEXT(C14,"000")),IF(H14="Subetapa",CONCATENATE(TEXT(B14,"00"),".",TEXT(C14,"000"),".",TEXT(D14,"000")),IF(H14="Serviço",CONCATENATE(TEXT(B14,"00"),".",TEXT(C14,"000"),".",TEXT(D14,"000"),".",TEXT(E14,"000")),"")))))</f>
        <v/>
      </c>
      <c r="J14" s="48" t="inlineStr">
        <is>
          <t>Reaterro mecanizado de valas para blocos e vigas de fundação, com retroescavadeira</t>
        </is>
      </c>
      <c r="K14" s="45" t="inlineStr">
        <is>
          <t>m3</t>
        </is>
      </c>
      <c r="L14" s="46" t="n">
        <v>200.030134</v>
      </c>
      <c r="M14" s="46" t="n">
        <v>14.55</v>
      </c>
      <c r="N14" s="47">
        <f>IF(H14="Serviço",M14*L14,IF(H14="CÉLULA CONSTRUTIVA",SUMIFS($N$8:$N$298,$B$8:$B$298,B14,$H$8:$H$298,"Serviço"),IF(H14="ETAPA",SUMIFS($N$8:$N$298,$B$8:$B$298,B14,$C$8:$C$298,C14,$H$8:$H$298,"Serviço"),IF(H14="SUBETAPA",SUMIFS($N$8:$N$298,$B$8:$B$298,B14,$C$8:$C$298,C14,$D$8:$D$298,D14,$H$8:$H$298,"Serviço"),0))))</f>
        <v/>
      </c>
      <c r="O14" s="45" t="n"/>
      <c r="P14" s="46" t="n"/>
      <c r="Q14" s="46" t="n"/>
      <c r="R14" s="47" t="n"/>
      <c r="S14" s="109" t="n"/>
      <c r="T14" s="49" t="n"/>
      <c r="U14" s="49" t="n"/>
    </row>
    <row r="15" outlineLevel="2" ht="13.95" customFormat="1" customHeight="1" s="31">
      <c r="A15" s="213">
        <f>IF($H15="UNIDADE CONSTRUTIVA",OFFSET(A15,-1,0)+1,LARGE(A$3:A14,1))</f>
        <v/>
      </c>
      <c r="B15" s="213">
        <f>IF(H15="UNIDADE CONSTRUTIVA",0,IF(H15="CÉLULA CONSTRUTIVA",OFFSET(B15,-1,0)+1,OFFSET(B15,-1,0)))</f>
        <v/>
      </c>
      <c r="C15" s="213">
        <f>IF(H15="CÉLULA CONSTRUTIVA",0,IF(H15="ETAPA",OFFSET(C15,-1,0)+1,OFFSET(C15,-1,0)))</f>
        <v/>
      </c>
      <c r="D15" s="214">
        <f>IF(H15="ETAPA",0,IF(H15="SUBETAPA",OFFSET(D15,-1,0)+1,OFFSET(D15,-1,0)))</f>
        <v/>
      </c>
      <c r="E15" s="214">
        <f>IF(H15="Subetapa",0,IF(H15="serviço",OFFSET(E15,-1,0)+1,OFFSET(E15,-1,0)))</f>
        <v/>
      </c>
      <c r="G15" s="111" t="n"/>
      <c r="H15" s="42" t="inlineStr">
        <is>
          <t>SUBETAPA</t>
        </is>
      </c>
      <c r="I15" s="43">
        <f>IF(H15="Unidade Construtiva",TEXT(A15,"00"),IF(H15="Célula Construtiva",TEXT(B15,"00"),IF(H15="Etapa",CONCATENATE(TEXT(B15,"00"),".",TEXT(C15,"000")),IF(H15="Subetapa",CONCATENATE(TEXT(B15,"00"),".",TEXT(C15,"000"),".",TEXT(D15,"000")),IF(H15="Serviço",CONCATENATE(TEXT(B15,"00"),".",TEXT(C15,"000"),".",TEXT(D15,"000"),".",TEXT(E15,"000")),"")))))</f>
        <v/>
      </c>
      <c r="J15" s="48" t="inlineStr">
        <is>
          <t>Lastro de estrutura de concreto</t>
        </is>
      </c>
      <c r="K15" s="45" t="n"/>
      <c r="L15" s="52" t="n"/>
      <c r="M15" s="52" t="n"/>
      <c r="N15" s="47">
        <f>IF(H15="Serviço",M15*L15,IF(H15="CÉLULA CONSTRUTIVA",SUMIFS($N$8:$N$298,$B$8:$B$298,B15,$H$8:$H$298,"Serviço"),IF(H15="ETAPA",SUMIFS($N$8:$N$298,$B$8:$B$298,B15,$C$8:$C$298,C15,$H$8:$H$298,"Serviço"),IF(H15="SUBETAPA",SUMIFS($N$8:$N$298,$B$8:$B$298,B15,$C$8:$C$298,C15,$D$8:$D$298,D15,$H$8:$H$298,"Serviço"),0))))</f>
        <v/>
      </c>
      <c r="O15" s="45" t="n"/>
      <c r="P15" s="52" t="n"/>
      <c r="Q15" s="52" t="n"/>
      <c r="R15" s="216" t="inlineStr">
        <is>
          <t>14.001.001.003 - Estucamento de estrutura de concreto em teto</t>
        </is>
      </c>
      <c r="S15" s="109" t="n"/>
      <c r="T15" s="49" t="n"/>
      <c r="U15" s="49" t="n"/>
    </row>
    <row r="16" outlineLevel="3" ht="14.25" customFormat="1" customHeight="1" s="31">
      <c r="A16" s="213">
        <f>IF($H16="UNIDADE CONSTRUTIVA",OFFSET(A16,-1,0)+1,LARGE(A$3:A15,1))</f>
        <v/>
      </c>
      <c r="B16" s="213">
        <f>IF(H16="UNIDADE CONSTRUTIVA",0,IF(H16="CÉLULA CONSTRUTIVA",OFFSET(B16,-1,0)+1,OFFSET(B16,-1,0)))</f>
        <v/>
      </c>
      <c r="C16" s="213">
        <f>IF(H16="CÉLULA CONSTRUTIVA",0,IF(H16="ETAPA",OFFSET(C16,-1,0)+1,OFFSET(C16,-1,0)))</f>
        <v/>
      </c>
      <c r="D16" s="214">
        <f>IF(H16="ETAPA",0,IF(H16="SUBETAPA",OFFSET(D16,-1,0)+1,OFFSET(D16,-1,0)))</f>
        <v/>
      </c>
      <c r="E16" s="214">
        <f>IF(H16="Subetapa",0,IF(H16="serviço",OFFSET(E16,-1,0)+1,OFFSET(E16,-1,0)))</f>
        <v/>
      </c>
      <c r="G16" s="111" t="inlineStr">
        <is>
          <t>MOVIMENTAÇÃO DE TERRA</t>
        </is>
      </c>
      <c r="H16" s="42" t="inlineStr">
        <is>
          <t>SERVIÇO</t>
        </is>
      </c>
      <c r="I16" s="43">
        <f>IF(H16="Unidade Construtiva",TEXT(A16,"00"),IF(H16="Célula Construtiva",TEXT(B16,"00"),IF(H16="Etapa",CONCATENATE(TEXT(B16,"00"),".",TEXT(C16,"000")),IF(H16="Subetapa",CONCATENATE(TEXT(B16,"00"),".",TEXT(C16,"000"),".",TEXT(D16,"000")),IF(H16="Serviço",CONCATENATE(TEXT(B16,"00"),".",TEXT(C16,"000"),".",TEXT(D16,"000"),".",TEXT(E16,"000")),"")))))</f>
        <v/>
      </c>
      <c r="J16" s="48" t="inlineStr">
        <is>
          <t>Lastro de Concreto Magro, Aplicado em Blocos de Fundação</t>
        </is>
      </c>
      <c r="K16" s="45" t="inlineStr">
        <is>
          <t>m3</t>
        </is>
      </c>
      <c r="L16" s="46" t="n">
        <v>18.983222</v>
      </c>
      <c r="M16" s="46" t="n">
        <v>495.247</v>
      </c>
      <c r="N16" s="47">
        <f>IF(H16="Serviço",M16*L16,IF(H16="CÉLULA CONSTRUTIVA",SUMIFS($N$8:$N$298,$B$8:$B$298,B16,$H$8:$H$298,"Serviço"),IF(H16="ETAPA",SUMIFS($N$8:$N$298,$B$8:$B$298,B16,$C$8:$C$298,C16,$H$8:$H$298,"Serviço"),IF(H16="SUBETAPA",SUMIFS($N$8:$N$298,$B$8:$B$298,B16,$C$8:$C$298,C16,$D$8:$D$298,D16,$H$8:$H$298,"Serviço"),0))))</f>
        <v/>
      </c>
      <c r="O16" s="45" t="n"/>
      <c r="P16" s="46" t="n"/>
      <c r="Q16" s="46" t="n"/>
      <c r="R16" s="47" t="n"/>
      <c r="S16" s="109" t="n"/>
      <c r="T16" s="49" t="n"/>
      <c r="U16" s="49" t="n"/>
    </row>
    <row r="17" outlineLevel="3" ht="14.25" customFormat="1" customHeight="1" s="31">
      <c r="A17" s="213">
        <f>IF($H17="UNIDADE CONSTRUTIVA",OFFSET(A17,-1,0)+1,LARGE(A$3:A16,1))</f>
        <v/>
      </c>
      <c r="B17" s="213">
        <f>IF(H17="UNIDADE CONSTRUTIVA",0,IF(H17="CÉLULA CONSTRUTIVA",OFFSET(B17,-1,0)+1,OFFSET(B17,-1,0)))</f>
        <v/>
      </c>
      <c r="C17" s="213">
        <f>IF(H17="CÉLULA CONSTRUTIVA",0,IF(H17="ETAPA",OFFSET(C17,-1,0)+1,OFFSET(C17,-1,0)))</f>
        <v/>
      </c>
      <c r="D17" s="214">
        <f>IF(H17="ETAPA",0,IF(H17="SUBETAPA",OFFSET(D17,-1,0)+1,OFFSET(D17,-1,0)))</f>
        <v/>
      </c>
      <c r="E17" s="214">
        <f>IF(H17="Subetapa",0,IF(H17="serviço",OFFSET(E17,-1,0)+1,OFFSET(E17,-1,0)))</f>
        <v/>
      </c>
      <c r="G17" s="111" t="inlineStr">
        <is>
          <t>MOVIMENTAÇÃO DE TERRA</t>
        </is>
      </c>
      <c r="H17" s="42" t="inlineStr">
        <is>
          <t>SERVIÇO</t>
        </is>
      </c>
      <c r="I17" s="43">
        <f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/>
      </c>
      <c r="J17" s="48" t="inlineStr">
        <is>
          <t>Lona Plastica para Contrapiso Armado</t>
        </is>
      </c>
      <c r="K17" s="45" t="inlineStr">
        <is>
          <t>m2</t>
        </is>
      </c>
      <c r="L17" s="46" t="n">
        <v>395</v>
      </c>
      <c r="M17" s="46" t="n">
        <v>2.763</v>
      </c>
      <c r="N17" s="47">
        <f>IF(H17="Serviço",M17*L17,IF(H17="CÉLULA CONSTRUTIVA",SUMIFS($N$8:$N$298,$B$8:$B$298,B17,$H$8:$H$298,"Serviço"),IF(H17="ETAPA",SUMIFS($N$8:$N$298,$B$8:$B$298,B17,$C$8:$C$298,C17,$H$8:$H$298,"Serviço"),IF(H17="SUBETAPA",SUMIFS($N$8:$N$298,$B$8:$B$298,B17,$C$8:$C$298,C17,$D$8:$D$298,D17,$H$8:$H$298,"Serviço"),0))))</f>
        <v/>
      </c>
      <c r="O17" s="45" t="n"/>
      <c r="P17" s="46" t="n"/>
      <c r="Q17" s="46" t="n"/>
      <c r="R17" s="47" t="n"/>
      <c r="S17" s="109" t="n"/>
      <c r="T17" s="49" t="n"/>
      <c r="U17" s="49" t="n"/>
    </row>
    <row r="18" outlineLevel="2" ht="13.95" customFormat="1" customHeight="1" s="31">
      <c r="A18" s="213">
        <f>IF($H18="UNIDADE CONSTRUTIVA",OFFSET(A18,-1,0)+1,LARGE(A$3:A17,1))</f>
        <v/>
      </c>
      <c r="B18" s="213">
        <f>IF(H18="UNIDADE CONSTRUTIVA",0,IF(H18="CÉLULA CONSTRUTIVA",OFFSET(B18,-1,0)+1,OFFSET(B18,-1,0)))</f>
        <v/>
      </c>
      <c r="C18" s="213">
        <f>IF(H18="CÉLULA CONSTRUTIVA",0,IF(H18="ETAPA",OFFSET(C18,-1,0)+1,OFFSET(C18,-1,0)))</f>
        <v/>
      </c>
      <c r="D18" s="214">
        <f>IF(H18="ETAPA",0,IF(H18="SUBETAPA",OFFSET(D18,-1,0)+1,OFFSET(D18,-1,0)))</f>
        <v/>
      </c>
      <c r="E18" s="214">
        <f>IF(H18="Subetapa",0,IF(H18="serviço",OFFSET(E18,-1,0)+1,OFFSET(E18,-1,0)))</f>
        <v/>
      </c>
      <c r="G18" s="111" t="n"/>
      <c r="H18" s="42" t="inlineStr">
        <is>
          <t>SUBETAPA</t>
        </is>
      </c>
      <c r="I18" s="43">
        <f>IF(H18="Unidade Construtiva",TEXT(A18,"00"),IF(H18="Célula Construtiva",TEXT(B18,"00"),IF(H18="Etapa",CONCATENATE(TEXT(B18,"00"),".",TEXT(C18,"000")),IF(H18="Subetapa",CONCATENATE(TEXT(B18,"00"),".",TEXT(C18,"000"),".",TEXT(D18,"000")),IF(H18="Serviço",CONCATENATE(TEXT(B18,"00"),".",TEXT(C18,"000"),".",TEXT(D18,"000"),".",TEXT(E18,"000")),"")))))</f>
        <v/>
      </c>
      <c r="J18" s="48" t="inlineStr">
        <is>
          <t>Movimentação de bota - fora</t>
        </is>
      </c>
      <c r="K18" s="45" t="n"/>
      <c r="L18" s="52" t="n"/>
      <c r="M18" s="52" t="n"/>
      <c r="N18" s="47">
        <f>IF(H18="Serviço",M18*L18,IF(H18="CÉLULA CONSTRUTIVA",SUMIFS($N$8:$N$298,$B$8:$B$298,B18,$H$8:$H$298,"Serviço"),IF(H18="ETAPA",SUMIFS($N$8:$N$298,$B$8:$B$298,B18,$C$8:$C$298,C18,$H$8:$H$298,"Serviço"),IF(H18="SUBETAPA",SUMIFS($N$8:$N$298,$B$8:$B$298,B18,$C$8:$C$298,C18,$D$8:$D$298,D18,$H$8:$H$298,"Serviço"),0))))</f>
        <v/>
      </c>
      <c r="O18" s="45" t="n"/>
      <c r="P18" s="52" t="n"/>
      <c r="Q18" s="52" t="n"/>
      <c r="R18" s="216" t="inlineStr">
        <is>
          <t>01.001.001.001 - Movimentação de terra</t>
        </is>
      </c>
      <c r="S18" s="109" t="n"/>
      <c r="T18" s="49" t="n"/>
      <c r="U18" s="49" t="n"/>
    </row>
    <row r="19" outlineLevel="3" ht="13.95" customFormat="1" customHeight="1" s="31">
      <c r="A19" s="213">
        <f>IF($H19="UNIDADE CONSTRUTIVA",OFFSET(A19,-1,0)+1,LARGE(A$3:A18,1))</f>
        <v/>
      </c>
      <c r="B19" s="213">
        <f>IF(H19="UNIDADE CONSTRUTIVA",0,IF(H19="CÉLULA CONSTRUTIVA",OFFSET(B19,-1,0)+1,OFFSET(B19,-1,0)))</f>
        <v/>
      </c>
      <c r="C19" s="213">
        <f>IF(H19="CÉLULA CONSTRUTIVA",0,IF(H19="ETAPA",OFFSET(C19,-1,0)+1,OFFSET(C19,-1,0)))</f>
        <v/>
      </c>
      <c r="D19" s="214">
        <f>IF(H19="ETAPA",0,IF(H19="SUBETAPA",OFFSET(D19,-1,0)+1,OFFSET(D19,-1,0)))</f>
        <v/>
      </c>
      <c r="E19" s="214">
        <f>IF(H19="Subetapa",0,IF(H19="serviço",OFFSET(E19,-1,0)+1,OFFSET(E19,-1,0)))</f>
        <v/>
      </c>
      <c r="G19" s="111" t="inlineStr">
        <is>
          <t>MOVIMENTAÇÃO DE TERRA</t>
        </is>
      </c>
      <c r="H19" s="42" t="inlineStr">
        <is>
          <t>SERVIÇO</t>
        </is>
      </c>
      <c r="I19" s="43">
        <f>IF(H19="Unidade Construtiva",TEXT(A19,"00"),IF(H19="Célula Construtiva",TEXT(B19,"00"),IF(H19="Etapa",CONCATENATE(TEXT(B19,"00"),".",TEXT(C19,"000")),IF(H19="Subetapa",CONCATENATE(TEXT(B19,"00"),".",TEXT(C19,"000"),".",TEXT(D19,"000")),IF(H19="Serviço",CONCATENATE(TEXT(B19,"00"),".",TEXT(C19,"000"),".",TEXT(D19,"000"),".",TEXT(E19,"000")),"")))))</f>
        <v/>
      </c>
      <c r="J19" s="48" t="inlineStr">
        <is>
          <t>Movimentação de terra para bota-fora - Escavação Vertical Terraplenagem</t>
        </is>
      </c>
      <c r="K19" s="45" t="inlineStr">
        <is>
          <t>m3</t>
        </is>
      </c>
      <c r="L19" s="46">
        <f>L11*1.3</f>
        <v/>
      </c>
      <c r="M19" s="46" t="n">
        <v>45.45</v>
      </c>
      <c r="N19" s="47">
        <f>IF(H19="Serviço",M19*L19,IF(H19="CÉLULA CONSTRUTIVA",SUMIFS($N$8:$N$298,$B$8:$B$298,B19,$H$8:$H$298,"Serviço"),IF(H19="ETAPA",SUMIFS($N$8:$N$298,$B$8:$B$298,B19,$C$8:$C$298,C19,$H$8:$H$298,"Serviço"),IF(H19="SUBETAPA",SUMIFS($N$8:$N$298,$B$8:$B$298,B19,$C$8:$C$298,C19,$D$8:$D$298,D19,$H$8:$H$298,"Serviço"),0))))</f>
        <v/>
      </c>
      <c r="O19" s="45" t="n"/>
      <c r="P19" s="46" t="n"/>
      <c r="Q19" s="46" t="n"/>
      <c r="R19" s="47" t="n"/>
      <c r="S19" s="109" t="n"/>
      <c r="T19" s="49" t="n"/>
      <c r="U19" s="49" t="n"/>
    </row>
    <row r="20" outlineLevel="3" ht="13.95" customFormat="1" customHeight="1" s="31">
      <c r="A20" s="213">
        <f>IF($H20="UNIDADE CONSTRUTIVA",OFFSET(A20,-1,0)+1,LARGE(A$3:A19,1))</f>
        <v/>
      </c>
      <c r="B20" s="213">
        <f>IF(H20="UNIDADE CONSTRUTIVA",0,IF(H20="CÉLULA CONSTRUTIVA",OFFSET(B20,-1,0)+1,OFFSET(B20,-1,0)))</f>
        <v/>
      </c>
      <c r="C20" s="213">
        <f>IF(H20="CÉLULA CONSTRUTIVA",0,IF(H20="ETAPA",OFFSET(C20,-1,0)+1,OFFSET(C20,-1,0)))</f>
        <v/>
      </c>
      <c r="D20" s="214">
        <f>IF(H20="ETAPA",0,IF(H20="SUBETAPA",OFFSET(D20,-1,0)+1,OFFSET(D20,-1,0)))</f>
        <v/>
      </c>
      <c r="E20" s="214">
        <f>IF(H20="Subetapa",0,IF(H20="serviço",OFFSET(E20,-1,0)+1,OFFSET(E20,-1,0)))</f>
        <v/>
      </c>
      <c r="G20" s="111" t="inlineStr">
        <is>
          <t>MOVIMENTAÇÃO DE TERRA</t>
        </is>
      </c>
      <c r="H20" s="42" t="inlineStr">
        <is>
          <t>SERVIÇO</t>
        </is>
      </c>
      <c r="I20" s="43">
        <f>IF(H20="Unidade Construtiva",TEXT(A20,"00"),IF(H20="Célula Construtiva",TEXT(B20,"00"),IF(H20="Etapa",CONCATENATE(TEXT(B20,"00"),".",TEXT(C20,"000")),IF(H20="Subetapa",CONCATENATE(TEXT(B20,"00"),".",TEXT(C20,"000"),".",TEXT(D20,"000")),IF(H20="Serviço",CONCATENATE(TEXT(B20,"00"),".",TEXT(C20,"000"),".",TEXT(D20,"000"),".",TEXT(E20,"000")),"")))))</f>
        <v/>
      </c>
      <c r="J20" s="48" t="inlineStr">
        <is>
          <t>Movimentação de terra para bota-fora - Escavação de Valas</t>
        </is>
      </c>
      <c r="K20" s="45" t="inlineStr">
        <is>
          <t>m3</t>
        </is>
      </c>
      <c r="L20" s="46" t="n">
        <v>320.2981417999999</v>
      </c>
      <c r="M20" s="46" t="n">
        <v>45.45</v>
      </c>
      <c r="N20" s="47">
        <f>IF(H20="Serviço",M20*L20,IF(H20="CÉLULA CONSTRUTIVA",SUMIFS($N$8:$N$298,$B$8:$B$298,B20,$H$8:$H$298,"Serviço"),IF(H20="ETAPA",SUMIFS($N$8:$N$298,$B$8:$B$298,B20,$C$8:$C$298,C20,$H$8:$H$298,"Serviço"),IF(H20="SUBETAPA",SUMIFS($N$8:$N$298,$B$8:$B$298,B20,$C$8:$C$298,C20,$D$8:$D$298,D20,$H$8:$H$298,"Serviço"),0))))</f>
        <v/>
      </c>
      <c r="O20" s="45" t="n"/>
      <c r="P20" s="46" t="n"/>
      <c r="Q20" s="46" t="n"/>
      <c r="R20" s="47" t="n"/>
      <c r="S20" s="109" t="n"/>
      <c r="T20" s="49" t="n"/>
      <c r="U20" s="49" t="n"/>
    </row>
    <row r="21" outlineLevel="3" ht="13.95" customFormat="1" customHeight="1" s="31">
      <c r="A21" s="213">
        <f>IF($H21="UNIDADE CONSTRUTIVA",OFFSET(A21,-1,0)+1,LARGE(A$3:A20,1))</f>
        <v/>
      </c>
      <c r="B21" s="213">
        <f>IF(H21="UNIDADE CONSTRUTIVA",0,IF(H21="CÉLULA CONSTRUTIVA",OFFSET(B21,-1,0)+1,OFFSET(B21,-1,0)))</f>
        <v/>
      </c>
      <c r="C21" s="213">
        <f>IF(H21="CÉLULA CONSTRUTIVA",0,IF(H21="ETAPA",OFFSET(C21,-1,0)+1,OFFSET(C21,-1,0)))</f>
        <v/>
      </c>
      <c r="D21" s="214">
        <f>IF(H21="ETAPA",0,IF(H21="SUBETAPA",OFFSET(D21,-1,0)+1,OFFSET(D21,-1,0)))</f>
        <v/>
      </c>
      <c r="E21" s="214">
        <f>IF(H21="Subetapa",0,IF(H21="serviço",OFFSET(E21,-1,0)+1,OFFSET(E21,-1,0)))</f>
        <v/>
      </c>
      <c r="G21" s="111" t="inlineStr">
        <is>
          <t>MOVIMENTAÇÃO DE TERRA</t>
        </is>
      </c>
      <c r="H21" s="42" t="inlineStr">
        <is>
          <t>SERVIÇO</t>
        </is>
      </c>
      <c r="I21" s="43">
        <f>IF(H21="Unidade Construtiva",TEXT(A21,"00"),IF(H21="Célula Construtiva",TEXT(B21,"00"),IF(H21="Etapa",CONCATENATE(TEXT(B21,"00"),".",TEXT(C21,"000")),IF(H21="Subetapa",CONCATENATE(TEXT(B21,"00"),".",TEXT(C21,"000"),".",TEXT(D21,"000")),IF(H21="Serviço",CONCATENATE(TEXT(B21,"00"),".",TEXT(C21,"000"),".",TEXT(D21,"000"),".",TEXT(E21,"000")),"")))))</f>
        <v/>
      </c>
      <c r="J21" s="48" t="inlineStr">
        <is>
          <t>Movimentação de terra para bota-fora - Estacas</t>
        </is>
      </c>
      <c r="K21" s="45" t="inlineStr">
        <is>
          <t>m3</t>
        </is>
      </c>
      <c r="L21" s="46" t="n">
        <v>385.638352209781</v>
      </c>
      <c r="M21" s="46" t="n">
        <v>68.18000000000001</v>
      </c>
      <c r="N21" s="47">
        <f>IF(H21="Serviço",M21*L21,IF(H21="CÉLULA CONSTRUTIVA",SUMIFS($N$8:$N$298,$B$8:$B$298,B21,$H$8:$H$298,"Serviço"),IF(H21="ETAPA",SUMIFS($N$8:$N$298,$B$8:$B$298,B21,$C$8:$C$298,C21,$H$8:$H$298,"Serviço"),IF(H21="SUBETAPA",SUMIFS($N$8:$N$298,$B$8:$B$298,B21,$C$8:$C$298,C21,$D$8:$D$298,D21,$H$8:$H$298,"Serviço"),0))))</f>
        <v/>
      </c>
      <c r="O21" s="45" t="n"/>
      <c r="P21" s="46" t="n"/>
      <c r="Q21" s="46" t="n"/>
      <c r="R21" s="47" t="n"/>
      <c r="S21" s="109" t="n"/>
      <c r="T21" s="49" t="n"/>
      <c r="U21" s="49" t="n"/>
    </row>
    <row r="22" outlineLevel="3" ht="13.8" customFormat="1" customHeight="1" s="31">
      <c r="A22" s="213">
        <f>IF($H22="UNIDADE CONSTRUTIVA",OFFSET(A22,-1,0)+1,LARGE(A$3:A21,1))</f>
        <v/>
      </c>
      <c r="B22" s="213">
        <f>IF(H22="UNIDADE CONSTRUTIVA",0,IF(H22="CÉLULA CONSTRUTIVA",OFFSET(B22,-1,0)+1,OFFSET(B22,-1,0)))</f>
        <v/>
      </c>
      <c r="C22" s="213">
        <f>IF(H22="CÉLULA CONSTRUTIVA",0,IF(H22="ETAPA",OFFSET(C22,-1,0)+1,OFFSET(C22,-1,0)))</f>
        <v/>
      </c>
      <c r="D22" s="214">
        <f>IF(H22="ETAPA",0,IF(H22="SUBETAPA",OFFSET(D22,-1,0)+1,OFFSET(D22,-1,0)))</f>
        <v/>
      </c>
      <c r="E22" s="214">
        <f>IF(H22="Subetapa",0,IF(H22="serviço",OFFSET(E22,-1,0)+1,OFFSET(E22,-1,0)))</f>
        <v/>
      </c>
      <c r="G22" s="111" t="inlineStr">
        <is>
          <t>MOVIMENTAÇÃO DE TERRA</t>
        </is>
      </c>
      <c r="H22" s="42" t="inlineStr">
        <is>
          <t>SERVIÇO</t>
        </is>
      </c>
      <c r="I22" s="43">
        <f>IF(H22="Unidade Construtiva",TEXT(A22,"00"),IF(H22="Célula Construtiva",TEXT(B22,"00"),IF(H22="Etapa",CONCATENATE(TEXT(B22,"00"),".",TEXT(C22,"000")),IF(H22="Subetapa",CONCATENATE(TEXT(B22,"00"),".",TEXT(C22,"000"),".",TEXT(D22,"000")),IF(H22="Serviço",CONCATENATE(TEXT(B22,"00"),".",TEXT(C22,"000"),".",TEXT(D22,"000"),".",TEXT(E22,"000")),"")))))</f>
        <v/>
      </c>
      <c r="J22" s="48" t="inlineStr">
        <is>
          <t>Movimentação de terra para bota-fora - Contenção</t>
        </is>
      </c>
      <c r="K22" s="45" t="inlineStr">
        <is>
          <t>m3</t>
        </is>
      </c>
      <c r="L22" s="46" t="n">
        <v>36.8082</v>
      </c>
      <c r="M22" s="46" t="n">
        <v>68.18000000000001</v>
      </c>
      <c r="N22" s="47">
        <f>IF(H22="Serviço",M22*L22,IF(H22="CÉLULA CONSTRUTIVA",SUMIFS($N$8:$N$298,$B$8:$B$298,B22,$H$8:$H$298,"Serviço"),IF(H22="ETAPA",SUMIFS($N$8:$N$298,$B$8:$B$298,B22,$C$8:$C$298,C22,$H$8:$H$298,"Serviço"),IF(H22="SUBETAPA",SUMIFS($N$8:$N$298,$B$8:$B$298,B22,$C$8:$C$298,C22,$D$8:$D$298,D22,$H$8:$H$298,"Serviço"),0))))</f>
        <v/>
      </c>
      <c r="O22" s="45" t="n"/>
      <c r="P22" s="46" t="n"/>
      <c r="Q22" s="46" t="n"/>
      <c r="R22" s="47" t="n"/>
      <c r="S22" s="109" t="n"/>
      <c r="T22" s="49" t="n"/>
      <c r="U22" s="49" t="n"/>
    </row>
    <row r="23" ht="13.95" customFormat="1" customHeight="1" s="31">
      <c r="A23" s="213">
        <f>IF($H23="UNIDADE CONSTRUTIVA",OFFSET(A23,-1,0)+1,LARGE(A$3:A22,1))</f>
        <v/>
      </c>
      <c r="B23" s="213">
        <f>IF(H23="UNIDADE CONSTRUTIVA",0,IF(H23="CÉLULA CONSTRUTIVA",OFFSET(B23,-1,0)+1,OFFSET(B23,-1,0)))</f>
        <v/>
      </c>
      <c r="C23" s="213">
        <f>IF(H23="CÉLULA CONSTRUTIVA",0,IF(H23="ETAPA",OFFSET(C23,-1,0)+1,OFFSET(C23,-1,0)))</f>
        <v/>
      </c>
      <c r="D23" s="214">
        <f>IF(H23="ETAPA",0,IF(H23="SUBETAPA",OFFSET(D23,-1,0)+1,OFFSET(D23,-1,0)))</f>
        <v/>
      </c>
      <c r="E23" s="214">
        <f>IF(H23="Subetapa",0,IF(H23="serviço",OFFSET(E23,-1,0)+1,OFFSET(E23,-1,0)))</f>
        <v/>
      </c>
      <c r="G23" s="41" t="n"/>
      <c r="H23" s="42" t="inlineStr">
        <is>
          <t>CÉLULA CONSTRUTIVA</t>
        </is>
      </c>
      <c r="I23" s="43">
        <f>IF(H23="Unidade Construtiva",TEXT(A23,"00"),IF(H23="Célula Construtiva",TEXT(B23,"00"),IF(H23="Etapa",CONCATENATE(TEXT(B23,"00"),".",TEXT(C23,"000")),IF(H23="Subetapa",CONCATENATE(TEXT(B23,"00"),".",TEXT(C23,"000"),".",TEXT(D23,"000")),IF(H23="Serviço",CONCATENATE(TEXT(B23,"00"),".",TEXT(C23,"000"),".",TEXT(D23,"000"),".",TEXT(E23,"000")),"")))))</f>
        <v/>
      </c>
      <c r="J23" s="48" t="inlineStr">
        <is>
          <t>CONTENÇÃO</t>
        </is>
      </c>
      <c r="K23" s="45" t="n"/>
      <c r="L23" s="46" t="n"/>
      <c r="M23" s="46" t="n"/>
      <c r="N23" s="47">
        <f>IF(H23="Serviço",M23*L23,IF(H23="CÉLULA CONSTRUTIVA",SUMIFS($N$8:$N$266,$B$8:$B$266,B23,$H$8:$H$266,"Serviço"),IF(H23="ETAPA",SUMIFS($N$8:$N$266,$B$8:$B$266,B23,$C$8:$C$266,C23,$H$8:$H$266,"Serviço"),IF(H23="SUBETAPA",SUMIFS($N$8:$N$266,$B$8:$B$266,B23,$C$8:$C$266,C23,$D$8:$D$266,D23,$H$8:$H$266,"Serviço"),0))))</f>
        <v/>
      </c>
      <c r="O23" s="45" t="n"/>
      <c r="P23" s="46" t="n"/>
      <c r="Q23" s="46" t="n"/>
      <c r="R23" s="47" t="n"/>
      <c r="S23" s="112">
        <f>395-173</f>
        <v/>
      </c>
      <c r="T23" s="49" t="n"/>
      <c r="U23" s="49" t="n"/>
    </row>
    <row r="24" outlineLevel="1" ht="13.95" customFormat="1" customHeight="1" s="31">
      <c r="A24" s="213">
        <f>IF($H24="UNIDADE CONSTRUTIVA",OFFSET(A24,-1,0)+1,LARGE(A$3:A23,1))</f>
        <v/>
      </c>
      <c r="B24" s="213">
        <f>IF(H24="UNIDADE CONSTRUTIVA",0,IF(H24="CÉLULA CONSTRUTIVA",OFFSET(B24,-1,0)+1,OFFSET(B24,-1,0)))</f>
        <v/>
      </c>
      <c r="C24" s="213">
        <f>IF(H24="CÉLULA CONSTRUTIVA",0,IF(H24="ETAPA",OFFSET(C24,-1,0)+1,OFFSET(C24,-1,0)))</f>
        <v/>
      </c>
      <c r="D24" s="214">
        <f>IF(H24="ETAPA",0,IF(H24="SUBETAPA",OFFSET(D24,-1,0)+1,OFFSET(D24,-1,0)))</f>
        <v/>
      </c>
      <c r="E24" s="214">
        <f>IF(H24="Subetapa",0,IF(H24="serviço",OFFSET(E24,-1,0)+1,OFFSET(E24,-1,0)))</f>
        <v/>
      </c>
      <c r="G24" s="41" t="n"/>
      <c r="H24" s="42" t="inlineStr">
        <is>
          <t>ETAPA</t>
        </is>
      </c>
      <c r="I24" s="43">
        <f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/>
      </c>
      <c r="J24" s="48" t="inlineStr">
        <is>
          <t>PAREDE DIAFRAGMA</t>
        </is>
      </c>
      <c r="K24" s="45" t="n"/>
      <c r="L24" s="46" t="n"/>
      <c r="M24" s="46" t="n"/>
      <c r="N24" s="47">
        <f>IF(H24="Serviço",M24*L24,IF(H24="CÉLULA CONSTRUTIVA",SUMIFS($N$8:$N$266,$B$8:$B$266,B24,$H$8:$H$266,"Serviço"),IF(H24="ETAPA",SUMIFS($N$8:$N$266,$B$8:$B$266,B24,$C$8:$C$266,C24,$H$8:$H$266,"Serviço"),IF(H24="SUBETAPA",SUMIFS($N$8:$N$266,$B$8:$B$266,B24,$C$8:$C$266,C24,$D$8:$D$266,D24,$H$8:$H$266,"Serviço"),0))))</f>
        <v/>
      </c>
      <c r="O24" s="45" t="n"/>
      <c r="P24" s="46" t="n"/>
      <c r="Q24" s="46" t="n"/>
      <c r="R24" s="47" t="n"/>
      <c r="S24" s="109" t="n"/>
      <c r="T24" s="49" t="n"/>
      <c r="U24" s="49" t="n"/>
    </row>
    <row r="25" outlineLevel="2" ht="13.95" customFormat="1" customHeight="1" s="31">
      <c r="A25" s="213">
        <f>IF($H25="UNIDADE CONSTRUTIVA",OFFSET(A25,-1,0)+1,LARGE(A$3:A24,1))</f>
        <v/>
      </c>
      <c r="B25" s="213">
        <f>IF(H25="UNIDADE CONSTRUTIVA",0,IF(H25="CÉLULA CONSTRUTIVA",OFFSET(B25,-1,0)+1,OFFSET(B25,-1,0)))</f>
        <v/>
      </c>
      <c r="C25" s="213">
        <f>IF(H25="CÉLULA CONSTRUTIVA",0,IF(H25="ETAPA",OFFSET(C25,-1,0)+1,OFFSET(C25,-1,0)))</f>
        <v/>
      </c>
      <c r="D25" s="214">
        <f>IF(H25="ETAPA",0,IF(H25="SUBETAPA",OFFSET(D25,-1,0)+1,OFFSET(D25,-1,0)))</f>
        <v/>
      </c>
      <c r="E25" s="214">
        <f>IF(H25="Subetapa",0,IF(H25="serviço",OFFSET(E25,-1,0)+1,OFFSET(E25,-1,0)))</f>
        <v/>
      </c>
      <c r="G25" s="41" t="n"/>
      <c r="H25" s="42" t="inlineStr">
        <is>
          <t>SUBETAPA</t>
        </is>
      </c>
      <c r="I25" s="43">
        <f>IF(H25="Unidade Construtiva",TEXT(A25,"00"),IF(H25="Célula Construtiva",TEXT(B25,"00"),IF(H25="Etapa",CONCATENATE(TEXT(B25,"00"),".",TEXT(C25,"000")),IF(H25="Subetapa",CONCATENATE(TEXT(B25,"00"),".",TEXT(C25,"000"),".",TEXT(D25,"000")),IF(H25="Serviço",CONCATENATE(TEXT(B25,"00"),".",TEXT(C25,"000"),".",TEXT(D25,"000"),".",TEXT(E25,"000")),"")))))</f>
        <v/>
      </c>
      <c r="J25" s="48" t="inlineStr">
        <is>
          <t>Parede Diafragma</t>
        </is>
      </c>
      <c r="K25" s="45" t="n"/>
      <c r="L25" s="46" t="n"/>
      <c r="M25" s="46" t="n"/>
      <c r="N25" s="47">
        <f>IF(H25="Serviço",M25*L25,IF(H25="CÉLULA CONSTRUTIVA",SUMIFS($N$8:$N$266,$B$8:$B$266,B25,$H$8:$H$266,"Serviço"),IF(H25="ETAPA",SUMIFS($N$8:$N$266,$B$8:$B$266,B25,$C$8:$C$266,C25,$H$8:$H$266,"Serviço"),IF(H25="SUBETAPA",SUMIFS($N$8:$N$266,$B$8:$B$266,B25,$C$8:$C$266,C25,$D$8:$D$266,D25,$H$8:$H$266,"Serviço"),0))))</f>
        <v/>
      </c>
      <c r="O25" s="45" t="n"/>
      <c r="P25" s="46" t="n"/>
      <c r="Q25" s="46" t="n"/>
      <c r="R25" s="216" t="inlineStr">
        <is>
          <t>01.01.001.0002.0016 - Projeto de paisagismo</t>
        </is>
      </c>
      <c r="S25" s="109" t="n"/>
      <c r="T25" s="49" t="n"/>
      <c r="U25" s="49" t="n"/>
    </row>
    <row r="26" outlineLevel="3" ht="13.95" customFormat="1" customHeight="1" s="31">
      <c r="A26" s="213">
        <f>IF($H26="UNIDADE CONSTRUTIVA",OFFSET(A26,-1,0)+1,LARGE(A$3:A25,1))</f>
        <v/>
      </c>
      <c r="B26" s="213">
        <f>IF(H26="UNIDADE CONSTRUTIVA",0,IF(H26="CÉLULA CONSTRUTIVA",OFFSET(B26,-1,0)+1,OFFSET(B26,-1,0)))</f>
        <v/>
      </c>
      <c r="C26" s="213">
        <f>IF(H26="CÉLULA CONSTRUTIVA",0,IF(H26="ETAPA",OFFSET(C26,-1,0)+1,OFFSET(C26,-1,0)))</f>
        <v/>
      </c>
      <c r="D26" s="214">
        <f>IF(H26="ETAPA",0,IF(H26="SUBETAPA",OFFSET(D26,-1,0)+1,OFFSET(D26,-1,0)))</f>
        <v/>
      </c>
      <c r="E26" s="214">
        <f>IF(H26="Subetapa",0,IF(H26="serviço",OFFSET(E26,-1,0)+1,OFFSET(E26,-1,0)))</f>
        <v/>
      </c>
      <c r="G26" s="111" t="inlineStr">
        <is>
          <t>CONTENÇÃO</t>
        </is>
      </c>
      <c r="H26" s="42" t="inlineStr">
        <is>
          <t>SERVIÇO</t>
        </is>
      </c>
      <c r="I26" s="43">
        <f>IF(H26="Unidade Construtiva",TEXT(A26,"00"),IF(H26="Célula Construtiva",TEXT(B26,"00"),IF(H26="Etapa",CONCATENATE(TEXT(B26,"00"),".",TEXT(C26,"000")),IF(H26="Subetapa",CONCATENATE(TEXT(B26,"00"),".",TEXT(C26,"000"),".",TEXT(D26,"000")),IF(H26="Serviço",CONCATENATE(TEXT(B26,"00"),".",TEXT(C26,"000"),".",TEXT(D26,"000"),".",TEXT(E26,"000")),"")))))</f>
        <v/>
      </c>
      <c r="J26" s="48" t="inlineStr">
        <is>
          <t>Execução de parede diafragma</t>
        </is>
      </c>
      <c r="K26" s="45" t="inlineStr">
        <is>
          <t>m2</t>
        </is>
      </c>
      <c r="L26" s="46" t="n">
        <v>889.3400000000001</v>
      </c>
      <c r="M26" s="46" t="n">
        <v>345</v>
      </c>
      <c r="N26" s="47">
        <f>IF(H26="Serviço",M26*L26,IF(H26="CÉLULA CONSTRUTIVA",SUMIFS($N$8:$N$266,$B$8:$B$266,B26,$H$8:$H$266,"Serviço"),IF(H26="ETAPA",SUMIFS($N$8:$N$266,$B$8:$B$266,B26,$C$8:$C$266,C26,$H$8:$H$266,"Serviço"),IF(H26="SUBETAPA",SUMIFS($N$8:$N$266,$B$8:$B$266,B26,$C$8:$C$266,C26,$D$8:$D$266,D26,$H$8:$H$266,"Serviço"),0))))</f>
        <v/>
      </c>
      <c r="O26" s="45" t="n"/>
      <c r="P26" s="46" t="n"/>
      <c r="Q26" s="46" t="n"/>
      <c r="R26" s="47" t="n"/>
      <c r="S26" s="109" t="n"/>
      <c r="T26" s="49" t="n"/>
      <c r="U26" s="49" t="n"/>
    </row>
    <row r="27" outlineLevel="3" ht="13.95" customFormat="1" customHeight="1" s="31">
      <c r="A27" s="213">
        <f>IF($H27="UNIDADE CONSTRUTIVA",OFFSET(A27,-1,0)+1,LARGE(A$3:A26,1))</f>
        <v/>
      </c>
      <c r="B27" s="213">
        <f>IF(H27="UNIDADE CONSTRUTIVA",0,IF(H27="CÉLULA CONSTRUTIVA",OFFSET(B27,-1,0)+1,OFFSET(B27,-1,0)))</f>
        <v/>
      </c>
      <c r="C27" s="213">
        <f>IF(H27="CÉLULA CONSTRUTIVA",0,IF(H27="ETAPA",OFFSET(C27,-1,0)+1,OFFSET(C27,-1,0)))</f>
        <v/>
      </c>
      <c r="D27" s="214">
        <f>IF(H27="ETAPA",0,IF(H27="SUBETAPA",OFFSET(D27,-1,0)+1,OFFSET(D27,-1,0)))</f>
        <v/>
      </c>
      <c r="E27" s="214">
        <f>IF(H27="Subetapa",0,IF(H27="serviço",OFFSET(E27,-1,0)+1,OFFSET(E27,-1,0)))</f>
        <v/>
      </c>
      <c r="G27" s="111" t="inlineStr">
        <is>
          <t>CONTENÇÃO</t>
        </is>
      </c>
      <c r="H27" s="42" t="inlineStr">
        <is>
          <t>SERVIÇO</t>
        </is>
      </c>
      <c r="I27" s="43">
        <f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/>
      </c>
      <c r="J27" s="48" t="inlineStr">
        <is>
          <t xml:space="preserve">	Mobilização e desmobilização de equipamentos - Para execução de estaca hélice</t>
        </is>
      </c>
      <c r="K27" s="45" t="inlineStr">
        <is>
          <t>vb</t>
        </is>
      </c>
      <c r="L27" s="46" t="n">
        <v>1</v>
      </c>
      <c r="M27" s="46" t="n">
        <v>18500</v>
      </c>
      <c r="N27" s="47">
        <f>IF(H27="Serviço",M27*L27,IF(H27="CÉLULA CONSTRUTIVA",SUMIFS($N$8:$N$266,$B$8:$B$266,B27,$H$8:$H$266,"Serviço"),IF(H27="ETAPA",SUMIFS($N$8:$N$266,$B$8:$B$266,B27,$C$8:$C$266,C27,$H$8:$H$266,"Serviço"),IF(H27="SUBETAPA",SUMIFS($N$8:$N$266,$B$8:$B$266,B27,$C$8:$C$266,C27,$D$8:$D$266,D27,$H$8:$H$266,"Serviço"),0))))</f>
        <v/>
      </c>
      <c r="O27" s="45" t="n"/>
      <c r="P27" s="46" t="n"/>
      <c r="Q27" s="46" t="n"/>
      <c r="R27" s="47" t="n"/>
      <c r="S27" s="109" t="n"/>
      <c r="T27" s="49" t="n"/>
      <c r="U27" s="49" t="n"/>
    </row>
    <row r="28" outlineLevel="2" ht="13.95" customFormat="1" customHeight="1" s="31">
      <c r="A28" s="213">
        <f>IF($H28="UNIDADE CONSTRUTIVA",OFFSET(A28,-1,0)+1,LARGE(A$3:A27,1))</f>
        <v/>
      </c>
      <c r="B28" s="213">
        <f>IF(H28="UNIDADE CONSTRUTIVA",0,IF(H28="CÉLULA CONSTRUTIVA",OFFSET(B28,-1,0)+1,OFFSET(B28,-1,0)))</f>
        <v/>
      </c>
      <c r="C28" s="213">
        <f>IF(H28="CÉLULA CONSTRUTIVA",0,IF(H28="ETAPA",OFFSET(C28,-1,0)+1,OFFSET(C28,-1,0)))</f>
        <v/>
      </c>
      <c r="D28" s="214">
        <f>IF(H28="ETAPA",0,IF(H28="SUBETAPA",OFFSET(D28,-1,0)+1,OFFSET(D28,-1,0)))</f>
        <v/>
      </c>
      <c r="E28" s="214">
        <f>IF(H28="Subetapa",0,IF(H28="serviço",OFFSET(E28,-1,0)+1,OFFSET(E28,-1,0)))</f>
        <v/>
      </c>
      <c r="G28" s="41" t="n"/>
      <c r="H28" s="42" t="inlineStr">
        <is>
          <t>SUBETAPA</t>
        </is>
      </c>
      <c r="I28" s="43">
        <f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/>
      </c>
      <c r="J28" s="48" t="inlineStr">
        <is>
          <t>Forma</t>
        </is>
      </c>
      <c r="K28" s="45" t="n"/>
      <c r="L28" s="46" t="n"/>
      <c r="M28" s="46" t="n"/>
      <c r="N28" s="47">
        <f>IF(H28="Serviço",M28*L28,IF(H28="CÉLULA CONSTRUTIVA",SUMIFS($N$8:$N$266,$B$8:$B$266,B28,$H$8:$H$266,"Serviço"),IF(H28="ETAPA",SUMIFS($N$8:$N$266,$B$8:$B$266,B28,$C$8:$C$266,C28,$H$8:$H$266,"Serviço"),IF(H28="SUBETAPA",SUMIFS($N$8:$N$266,$B$8:$B$266,B28,$C$8:$C$266,C28,$D$8:$D$266,D28,$H$8:$H$266,"Serviço"),0))))</f>
        <v/>
      </c>
      <c r="O28" s="45" t="n"/>
      <c r="P28" s="46" t="n"/>
      <c r="Q28" s="46" t="n"/>
      <c r="R28" s="216" t="inlineStr">
        <is>
          <t>15.001.008.003 - Concregrama</t>
        </is>
      </c>
      <c r="S28" s="109" t="n"/>
      <c r="T28" s="49" t="n"/>
      <c r="U28" s="49" t="n"/>
    </row>
    <row r="29" outlineLevel="3" ht="13.95" customFormat="1" customHeight="1" s="31">
      <c r="A29" s="213">
        <f>IF($H29="UNIDADE CONSTRUTIVA",OFFSET(A29,-1,0)+1,LARGE(A$3:A28,1))</f>
        <v/>
      </c>
      <c r="B29" s="213">
        <f>IF(H29="UNIDADE CONSTRUTIVA",0,IF(H29="CÉLULA CONSTRUTIVA",OFFSET(B29,-1,0)+1,OFFSET(B29,-1,0)))</f>
        <v/>
      </c>
      <c r="C29" s="213">
        <f>IF(H29="CÉLULA CONSTRUTIVA",0,IF(H29="ETAPA",OFFSET(C29,-1,0)+1,OFFSET(C29,-1,0)))</f>
        <v/>
      </c>
      <c r="D29" s="214">
        <f>IF(H29="ETAPA",0,IF(H29="SUBETAPA",OFFSET(D29,-1,0)+1,OFFSET(D29,-1,0)))</f>
        <v/>
      </c>
      <c r="E29" s="214">
        <f>IF(H29="Subetapa",0,IF(H29="serviço",OFFSET(E29,-1,0)+1,OFFSET(E29,-1,0)))</f>
        <v/>
      </c>
      <c r="G29" s="111" t="inlineStr">
        <is>
          <t>CONTENÇÃO</t>
        </is>
      </c>
      <c r="H29" s="42" t="inlineStr">
        <is>
          <t>SERVIÇO</t>
        </is>
      </c>
      <c r="I29" s="43">
        <f>IF(H29="Unidade Construtiva",TEXT(A29,"00"),IF(H29="Célula Construtiva",TEXT(B29,"00"),IF(H29="Etapa",CONCATENATE(TEXT(B29,"00"),".",TEXT(C29,"000")),IF(H29="Subetapa",CONCATENATE(TEXT(B29,"00"),".",TEXT(C29,"000"),".",TEXT(D29,"000")),IF(H29="Serviço",CONCATENATE(TEXT(B29,"00"),".",TEXT(C29,"000"),".",TEXT(D29,"000"),".",TEXT(E29,"000")),"")))))</f>
        <v/>
      </c>
      <c r="J29" s="48" t="inlineStr">
        <is>
          <t xml:space="preserve">Forma para Contenções em Tábuas de Madeira Serrada </t>
        </is>
      </c>
      <c r="K29" s="45" t="inlineStr">
        <is>
          <t>m2</t>
        </is>
      </c>
      <c r="L29" s="46" t="n">
        <v>463.3200000000001</v>
      </c>
      <c r="M29" s="46" t="n">
        <v>69.91200499999999</v>
      </c>
      <c r="N29" s="47">
        <f>IF(H29="Serviço",M29*L29,IF(H29="CÉLULA CONSTRUTIVA",SUMIFS($N$8:$N$266,$B$8:$B$266,B29,$H$8:$H$266,"Serviço"),IF(H29="ETAPA",SUMIFS($N$8:$N$266,$B$8:$B$266,B29,$C$8:$C$266,C29,$H$8:$H$266,"Serviço"),IF(H29="SUBETAPA",SUMIFS($N$8:$N$266,$B$8:$B$266,B29,$C$8:$C$266,C29,$D$8:$D$266,D29,$H$8:$H$266,"Serviço"),0))))</f>
        <v/>
      </c>
      <c r="O29" s="45" t="n"/>
      <c r="P29" s="46" t="n"/>
      <c r="Q29" s="46" t="n"/>
      <c r="R29" s="47" t="n"/>
      <c r="S29" s="109" t="n"/>
      <c r="T29" s="49" t="n"/>
      <c r="U29" s="49" t="n"/>
    </row>
    <row r="30" outlineLevel="2" ht="13.95" customFormat="1" customHeight="1" s="31">
      <c r="A30" s="213">
        <f>IF($H30="UNIDADE CONSTRUTIVA",OFFSET(A30,-1,0)+1,LARGE(A$3:A29,1))</f>
        <v/>
      </c>
      <c r="B30" s="213">
        <f>IF(H30="UNIDADE CONSTRUTIVA",0,IF(H30="CÉLULA CONSTRUTIVA",OFFSET(B30,-1,0)+1,OFFSET(B30,-1,0)))</f>
        <v/>
      </c>
      <c r="C30" s="213">
        <f>IF(H30="CÉLULA CONSTRUTIVA",0,IF(H30="ETAPA",OFFSET(C30,-1,0)+1,OFFSET(C30,-1,0)))</f>
        <v/>
      </c>
      <c r="D30" s="214">
        <f>IF(H30="ETAPA",0,IF(H30="SUBETAPA",OFFSET(D30,-1,0)+1,OFFSET(D30,-1,0)))</f>
        <v/>
      </c>
      <c r="E30" s="214">
        <f>IF(H30="Subetapa",0,IF(H30="serviço",OFFSET(E30,-1,0)+1,OFFSET(E30,-1,0)))</f>
        <v/>
      </c>
      <c r="G30" s="111" t="n"/>
      <c r="H30" s="42" t="inlineStr">
        <is>
          <t>SUBETAPA</t>
        </is>
      </c>
      <c r="I30" s="43">
        <f>IF(H30="Unidade Construtiva",TEXT(A30,"00"),IF(H30="Célula Construtiva",TEXT(B30,"00"),IF(H30="Etapa",CONCATENATE(TEXT(B30,"00"),".",TEXT(C30,"000")),IF(H30="Subetapa",CONCATENATE(TEXT(B30,"00"),".",TEXT(C30,"000"),".",TEXT(D30,"000")),IF(H30="Serviço",CONCATENATE(TEXT(B30,"00"),".",TEXT(C30,"000"),".",TEXT(D30,"000"),".",TEXT(E30,"000")),"")))))</f>
        <v/>
      </c>
      <c r="J30" s="48" t="inlineStr">
        <is>
          <t>Armadura</t>
        </is>
      </c>
      <c r="K30" s="45" t="n"/>
      <c r="L30" s="52" t="n"/>
      <c r="M30" s="52" t="n"/>
      <c r="N30" s="47">
        <f>IF(H30="Serviço",M30*L30,IF(H30="CÉLULA CONSTRUTIVA",SUMIFS($N$8:$N$266,$B$8:$B$266,B30,$H$8:$H$266,"Serviço"),IF(H30="ETAPA",SUMIFS($N$8:$N$266,$B$8:$B$266,B30,$C$8:$C$266,C30,$H$8:$H$266,"Serviço"),IF(H30="SUBETAPA",SUMIFS($N$8:$N$266,$B$8:$B$266,B30,$C$8:$C$266,C30,$D$8:$D$266,D30,$H$8:$H$266,"Serviço"),0))))</f>
        <v/>
      </c>
      <c r="O30" s="45" t="n"/>
      <c r="P30" s="52" t="n"/>
      <c r="Q30" s="52" t="n"/>
      <c r="R30" s="47" t="n"/>
      <c r="S30" s="109" t="n"/>
      <c r="T30" s="49" t="n"/>
      <c r="U30" s="49" t="n"/>
    </row>
    <row r="31" outlineLevel="3" ht="13.95" customFormat="1" customHeight="1" s="31">
      <c r="A31" s="213">
        <f>IF($H31="UNIDADE CONSTRUTIVA",OFFSET(A31,-1,0)+1,LARGE(A$3:A30,1))</f>
        <v/>
      </c>
      <c r="B31" s="213">
        <f>IF(H31="UNIDADE CONSTRUTIVA",0,IF(H31="CÉLULA CONSTRUTIVA",OFFSET(B31,-1,0)+1,OFFSET(B31,-1,0)))</f>
        <v/>
      </c>
      <c r="C31" s="213">
        <f>IF(H31="CÉLULA CONSTRUTIVA",0,IF(H31="ETAPA",OFFSET(C31,-1,0)+1,OFFSET(C31,-1,0)))</f>
        <v/>
      </c>
      <c r="D31" s="214">
        <f>IF(H31="ETAPA",0,IF(H31="SUBETAPA",OFFSET(D31,-1,0)+1,OFFSET(D31,-1,0)))</f>
        <v/>
      </c>
      <c r="E31" s="214">
        <f>IF(H31="Subetapa",0,IF(H31="serviço",OFFSET(E31,-1,0)+1,OFFSET(E31,-1,0)))</f>
        <v/>
      </c>
      <c r="G31" s="111" t="inlineStr">
        <is>
          <t>CONTENÇÃO</t>
        </is>
      </c>
      <c r="H31" s="42" t="inlineStr">
        <is>
          <t>SERVIÇO</t>
        </is>
      </c>
      <c r="I31" s="43">
        <f>IF(H31="Unidade Construtiva",TEXT(A31,"00"),IF(H31="Célula Construtiva",TEXT(B31,"00"),IF(H31="Etapa",CONCATENATE(TEXT(B31,"00"),".",TEXT(C31,"000")),IF(H31="Subetapa",CONCATENATE(TEXT(B31,"00"),".",TEXT(C31,"000"),".",TEXT(D31,"000")),IF(H31="Serviço",CONCATENATE(TEXT(B31,"00"),".",TEXT(C31,"000"),".",TEXT(D31,"000"),".",TEXT(E31,"000")),"")))))</f>
        <v/>
      </c>
      <c r="J31" s="48" t="inlineStr">
        <is>
          <t>Armação aço CA-50 ø 6,3mm para Contenções (corte e dobra em obra)</t>
        </is>
      </c>
      <c r="K31" s="45" t="inlineStr">
        <is>
          <t>kg</t>
        </is>
      </c>
      <c r="L31" s="46" t="n">
        <v>545.688</v>
      </c>
      <c r="M31" s="46" t="n">
        <v>6.938145</v>
      </c>
      <c r="N31" s="47">
        <f>IF(H31="Serviço",M31*L31,IF(H31="CÉLULA CONSTRUTIVA",SUMIFS($N$8:$N$266,$B$8:$B$266,B31,$H$8:$H$266,"Serviço"),IF(H31="ETAPA",SUMIFS($N$8:$N$266,$B$8:$B$266,B31,$C$8:$C$266,C31,$H$8:$H$266,"Serviço"),IF(H31="SUBETAPA",SUMIFS($N$8:$N$266,$B$8:$B$266,B31,$C$8:$C$266,C31,$D$8:$D$266,D31,$H$8:$H$266,"Serviço"),0))))</f>
        <v/>
      </c>
      <c r="O31" s="45" t="n"/>
      <c r="P31" s="46" t="n"/>
      <c r="Q31" s="46" t="n"/>
      <c r="R31" s="47" t="n"/>
      <c r="S31" s="109" t="n"/>
      <c r="T31" s="49" t="n"/>
      <c r="U31" s="49" t="n"/>
    </row>
    <row r="32" outlineLevel="3" ht="13.95" customFormat="1" customHeight="1" s="31">
      <c r="A32" s="213">
        <f>IF($H32="UNIDADE CONSTRUTIVA",OFFSET(A32,-1,0)+1,LARGE(A$3:A31,1))</f>
        <v/>
      </c>
      <c r="B32" s="213">
        <f>IF(H32="UNIDADE CONSTRUTIVA",0,IF(H32="CÉLULA CONSTRUTIVA",OFFSET(B32,-1,0)+1,OFFSET(B32,-1,0)))</f>
        <v/>
      </c>
      <c r="C32" s="213">
        <f>IF(H32="CÉLULA CONSTRUTIVA",0,IF(H32="ETAPA",OFFSET(C32,-1,0)+1,OFFSET(C32,-1,0)))</f>
        <v/>
      </c>
      <c r="D32" s="214">
        <f>IF(H32="ETAPA",0,IF(H32="SUBETAPA",OFFSET(D32,-1,0)+1,OFFSET(D32,-1,0)))</f>
        <v/>
      </c>
      <c r="E32" s="214">
        <f>IF(H32="Subetapa",0,IF(H32="serviço",OFFSET(E32,-1,0)+1,OFFSET(E32,-1,0)))</f>
        <v/>
      </c>
      <c r="G32" s="111" t="inlineStr">
        <is>
          <t>CONTENÇÃO</t>
        </is>
      </c>
      <c r="H32" s="42" t="inlineStr">
        <is>
          <t>SERVIÇO</t>
        </is>
      </c>
      <c r="I32" s="43">
        <f>IF(H32="Unidade Construtiva",TEXT(A32,"00"),IF(H32="Célula Construtiva",TEXT(B32,"00"),IF(H32="Etapa",CONCATENATE(TEXT(B32,"00"),".",TEXT(C32,"000")),IF(H32="Subetapa",CONCATENATE(TEXT(B32,"00"),".",TEXT(C32,"000"),".",TEXT(D32,"000")),IF(H32="Serviço",CONCATENATE(TEXT(B32,"00"),".",TEXT(C32,"000"),".",TEXT(D32,"000"),".",TEXT(E32,"000")),"")))))</f>
        <v/>
      </c>
      <c r="J32" s="48" t="inlineStr">
        <is>
          <t xml:space="preserve">Armação aço CA-50 ø 12,5mm para Contenções (corte e dobra em obra) </t>
        </is>
      </c>
      <c r="K32" s="45" t="inlineStr">
        <is>
          <t>kg</t>
        </is>
      </c>
      <c r="L32" s="46" t="n">
        <v>2182.752</v>
      </c>
      <c r="M32" s="46" t="n">
        <v>6.399145</v>
      </c>
      <c r="N32" s="47">
        <f>IF(H32="Serviço",M32*L32,IF(H32="CÉLULA CONSTRUTIVA",SUMIFS($N$8:$N$266,$B$8:$B$266,B32,$H$8:$H$266,"Serviço"),IF(H32="ETAPA",SUMIFS($N$8:$N$266,$B$8:$B$266,B32,$C$8:$C$266,C32,$H$8:$H$266,"Serviço"),IF(H32="SUBETAPA",SUMIFS($N$8:$N$266,$B$8:$B$266,B32,$C$8:$C$266,C32,$D$8:$D$266,D32,$H$8:$H$266,"Serviço"),0))))</f>
        <v/>
      </c>
      <c r="O32" s="45" t="n"/>
      <c r="P32" s="46" t="n"/>
      <c r="Q32" s="46" t="n"/>
      <c r="R32" s="47" t="n"/>
      <c r="S32" s="109" t="n"/>
      <c r="T32" s="49" t="n"/>
      <c r="U32" s="49" t="n"/>
    </row>
    <row r="33" outlineLevel="3" ht="13.95" customFormat="1" customHeight="1" s="31">
      <c r="A33" s="213">
        <f>IF($H33="UNIDADE CONSTRUTIVA",OFFSET(A33,-1,0)+1,LARGE(A$3:A32,1))</f>
        <v/>
      </c>
      <c r="B33" s="213">
        <f>IF(H33="UNIDADE CONSTRUTIVA",0,IF(H33="CÉLULA CONSTRUTIVA",OFFSET(B33,-1,0)+1,OFFSET(B33,-1,0)))</f>
        <v/>
      </c>
      <c r="C33" s="213">
        <f>IF(H33="CÉLULA CONSTRUTIVA",0,IF(H33="ETAPA",OFFSET(C33,-1,0)+1,OFFSET(C33,-1,0)))</f>
        <v/>
      </c>
      <c r="D33" s="214">
        <f>IF(H33="ETAPA",0,IF(H33="SUBETAPA",OFFSET(D33,-1,0)+1,OFFSET(D33,-1,0)))</f>
        <v/>
      </c>
      <c r="E33" s="214">
        <f>IF(H33="Subetapa",0,IF(H33="serviço",OFFSET(E33,-1,0)+1,OFFSET(E33,-1,0)))</f>
        <v/>
      </c>
      <c r="G33" s="111" t="inlineStr">
        <is>
          <t>CONTENÇÃO</t>
        </is>
      </c>
      <c r="H33" s="42" t="inlineStr">
        <is>
          <t>SERVIÇO</t>
        </is>
      </c>
      <c r="I33" s="43">
        <f>IF(H33="Unidade Construtiva",TEXT(A33,"00"),IF(H33="Célula Construtiva",TEXT(B33,"00"),IF(H33="Etapa",CONCATENATE(TEXT(B33,"00"),".",TEXT(C33,"000")),IF(H33="Subetapa",CONCATENATE(TEXT(B33,"00"),".",TEXT(C33,"000"),".",TEXT(D33,"000")),IF(H33="Serviço",CONCATENATE(TEXT(B33,"00"),".",TEXT(C33,"000"),".",TEXT(D33,"000"),".",TEXT(E33,"000")),"")))))</f>
        <v/>
      </c>
      <c r="J33" s="48" t="inlineStr">
        <is>
          <t xml:space="preserve">Armação aço CA-50 ø 12,5mm para Lamelas (corte e dobra em obra) </t>
        </is>
      </c>
      <c r="K33" s="45" t="inlineStr">
        <is>
          <t>kg</t>
        </is>
      </c>
      <c r="L33" s="46" t="n">
        <v>11096.96</v>
      </c>
      <c r="M33" s="46" t="n">
        <v>6.398146625570567</v>
      </c>
      <c r="N33" s="47">
        <f>IF(H33="Serviço",M33*L33,IF(H33="CÉLULA CONSTRUTIVA",SUMIFS($N$8:$N$266,$B$8:$B$266,B33,$H$8:$H$266,"Serviço"),IF(H33="ETAPA",SUMIFS($N$8:$N$266,$B$8:$B$266,B33,$C$8:$C$266,C33,$H$8:$H$266,"Serviço"),IF(H33="SUBETAPA",SUMIFS($N$8:$N$266,$B$8:$B$266,B33,$C$8:$C$266,C33,$D$8:$D$266,D33,$H$8:$H$266,"Serviço"),0))))</f>
        <v/>
      </c>
      <c r="O33" s="45" t="n"/>
      <c r="P33" s="46" t="n"/>
      <c r="Q33" s="46" t="n"/>
      <c r="R33" s="47" t="n"/>
      <c r="S33" s="109" t="n"/>
      <c r="T33" s="49" t="n"/>
      <c r="U33" s="49" t="n"/>
    </row>
    <row r="34" outlineLevel="3" ht="13.95" customFormat="1" customHeight="1" s="31">
      <c r="A34" s="213">
        <f>IF($H34="UNIDADE CONSTRUTIVA",OFFSET(A34,-1,0)+1,LARGE(A$3:A33,1))</f>
        <v/>
      </c>
      <c r="B34" s="213">
        <f>IF(H34="UNIDADE CONSTRUTIVA",0,IF(H34="CÉLULA CONSTRUTIVA",OFFSET(B34,-1,0)+1,OFFSET(B34,-1,0)))</f>
        <v/>
      </c>
      <c r="C34" s="213">
        <f>IF(H34="CÉLULA CONSTRUTIVA",0,IF(H34="ETAPA",OFFSET(C34,-1,0)+1,OFFSET(C34,-1,0)))</f>
        <v/>
      </c>
      <c r="D34" s="214">
        <f>IF(H34="ETAPA",0,IF(H34="SUBETAPA",OFFSET(D34,-1,0)+1,OFFSET(D34,-1,0)))</f>
        <v/>
      </c>
      <c r="E34" s="214">
        <f>IF(H34="Subetapa",0,IF(H34="serviço",OFFSET(E34,-1,0)+1,OFFSET(E34,-1,0)))</f>
        <v/>
      </c>
      <c r="G34" s="111" t="inlineStr">
        <is>
          <t>CONTENÇÃO</t>
        </is>
      </c>
      <c r="H34" s="42" t="inlineStr">
        <is>
          <t>SERVIÇO</t>
        </is>
      </c>
      <c r="I34" s="43">
        <f>IF(H34="Unidade Construtiva",TEXT(A34,"00"),IF(H34="Célula Construtiva",TEXT(B34,"00"),IF(H34="Etapa",CONCATENATE(TEXT(B34,"00"),".",TEXT(C34,"000")),IF(H34="Subetapa",CONCATENATE(TEXT(B34,"00"),".",TEXT(C34,"000"),".",TEXT(D34,"000")),IF(H34="Serviço",CONCATENATE(TEXT(B34,"00"),".",TEXT(C34,"000"),".",TEXT(D34,"000"),".",TEXT(E34,"000")),"")))))</f>
        <v/>
      </c>
      <c r="J34" s="48" t="inlineStr">
        <is>
          <t>Armação aço CA-50 ø 16,0mm para Lamelas (corte e dobra em obra)</t>
        </is>
      </c>
      <c r="K34" s="45" t="inlineStr">
        <is>
          <t>kg</t>
        </is>
      </c>
      <c r="L34" s="46" t="n">
        <v>16739.42</v>
      </c>
      <c r="M34" s="46" t="n">
        <v>6.442146625570566</v>
      </c>
      <c r="N34" s="47">
        <f>IF(H34="Serviço",M34*L34,IF(H34="CÉLULA CONSTRUTIVA",SUMIFS($N$8:$N$266,$B$8:$B$266,B34,$H$8:$H$266,"Serviço"),IF(H34="ETAPA",SUMIFS($N$8:$N$266,$B$8:$B$266,B34,$C$8:$C$266,C34,$H$8:$H$266,"Serviço"),IF(H34="SUBETAPA",SUMIFS($N$8:$N$266,$B$8:$B$266,B34,$C$8:$C$266,C34,$D$8:$D$266,D34,$H$8:$H$266,"Serviço"),0))))</f>
        <v/>
      </c>
      <c r="O34" s="45" t="n"/>
      <c r="P34" s="46" t="n"/>
      <c r="Q34" s="46" t="n"/>
      <c r="R34" s="47" t="n"/>
      <c r="S34" s="109" t="n"/>
      <c r="T34" s="49" t="n"/>
      <c r="U34" s="49" t="n"/>
    </row>
    <row r="35" outlineLevel="2" ht="13.95" customFormat="1" customHeight="1" s="31">
      <c r="A35" s="213">
        <f>IF($H35="UNIDADE CONSTRUTIVA",OFFSET(A35,-1,0)+1,LARGE(A$3:A34,1))</f>
        <v/>
      </c>
      <c r="B35" s="213">
        <f>IF(H35="UNIDADE CONSTRUTIVA",0,IF(H35="CÉLULA CONSTRUTIVA",OFFSET(B35,-1,0)+1,OFFSET(B35,-1,0)))</f>
        <v/>
      </c>
      <c r="C35" s="213">
        <f>IF(H35="CÉLULA CONSTRUTIVA",0,IF(H35="ETAPA",OFFSET(C35,-1,0)+1,OFFSET(C35,-1,0)))</f>
        <v/>
      </c>
      <c r="D35" s="214">
        <f>IF(H35="ETAPA",0,IF(H35="SUBETAPA",OFFSET(D35,-1,0)+1,OFFSET(D35,-1,0)))</f>
        <v/>
      </c>
      <c r="E35" s="214">
        <f>IF(H35="Subetapa",0,IF(H35="serviço",OFFSET(E35,-1,0)+1,OFFSET(E35,-1,0)))</f>
        <v/>
      </c>
      <c r="G35" s="111" t="n"/>
      <c r="H35" s="42" t="inlineStr">
        <is>
          <t>SUBETAPA</t>
        </is>
      </c>
      <c r="I35" s="43">
        <f>IF(H35="Unidade Construtiva",TEXT(A35,"00"),IF(H35="Célula Construtiva",TEXT(B35,"00"),IF(H35="Etapa",CONCATENATE(TEXT(B35,"00"),".",TEXT(C35,"000")),IF(H35="Subetapa",CONCATENATE(TEXT(B35,"00"),".",TEXT(C35,"000"),".",TEXT(D35,"000")),IF(H35="Serviço",CONCATENATE(TEXT(B35,"00"),".",TEXT(C35,"000"),".",TEXT(D35,"000"),".",TEXT(E35,"000")),"")))))</f>
        <v/>
      </c>
      <c r="J35" s="48" t="inlineStr">
        <is>
          <t>Concreto</t>
        </is>
      </c>
      <c r="K35" s="45" t="n"/>
      <c r="L35" s="52" t="n"/>
      <c r="M35" s="52" t="n"/>
      <c r="N35" s="47">
        <f>IF(H35="Serviço",M35*L35,IF(H35="CÉLULA CONSTRUTIVA",SUMIFS($N$8:$N$266,$B$8:$B$266,B35,$H$8:$H$266,"Serviço"),IF(H35="ETAPA",SUMIFS($N$8:$N$266,$B$8:$B$266,B35,$C$8:$C$266,C35,$H$8:$H$266,"Serviço"),IF(H35="SUBETAPA",SUMIFS($N$8:$N$266,$B$8:$B$266,B35,$C$8:$C$266,C35,$D$8:$D$266,D35,$H$8:$H$266,"Serviço"),0))))</f>
        <v/>
      </c>
      <c r="O35" s="45" t="n"/>
      <c r="P35" s="52" t="n"/>
      <c r="Q35" s="52" t="n"/>
      <c r="R35" s="216" t="inlineStr">
        <is>
          <t>15.001.008.003 - Concregrama</t>
        </is>
      </c>
      <c r="S35" s="109" t="n"/>
      <c r="T35" s="49" t="n"/>
      <c r="U35" s="49" t="n"/>
    </row>
    <row r="36" outlineLevel="3" ht="13.95" customFormat="1" customHeight="1" s="31">
      <c r="A36" s="213">
        <f>IF($H36="UNIDADE CONSTRUTIVA",OFFSET(A36,-1,0)+1,LARGE(A$3:A35,1))</f>
        <v/>
      </c>
      <c r="B36" s="213">
        <f>IF(H36="UNIDADE CONSTRUTIVA",0,IF(H36="CÉLULA CONSTRUTIVA",OFFSET(B36,-1,0)+1,OFFSET(B36,-1,0)))</f>
        <v/>
      </c>
      <c r="C36" s="213">
        <f>IF(H36="CÉLULA CONSTRUTIVA",0,IF(H36="ETAPA",OFFSET(C36,-1,0)+1,OFFSET(C36,-1,0)))</f>
        <v/>
      </c>
      <c r="D36" s="214">
        <f>IF(H36="ETAPA",0,IF(H36="SUBETAPA",OFFSET(D36,-1,0)+1,OFFSET(D36,-1,0)))</f>
        <v/>
      </c>
      <c r="E36" s="214">
        <f>IF(H36="Subetapa",0,IF(H36="serviço",OFFSET(E36,-1,0)+1,OFFSET(E36,-1,0)))</f>
        <v/>
      </c>
      <c r="G36" s="111" t="inlineStr">
        <is>
          <t>CONTENÇÃO</t>
        </is>
      </c>
      <c r="H36" s="42" t="inlineStr">
        <is>
          <t>SERVIÇO</t>
        </is>
      </c>
      <c r="I36" s="43">
        <f>IF(H36="Unidade Construtiva",TEXT(A36,"00"),IF(H36="Célula Construtiva",TEXT(B36,"00"),IF(H36="Etapa",CONCATENATE(TEXT(B36,"00"),".",TEXT(C36,"000")),IF(H36="Subetapa",CONCATENATE(TEXT(B36,"00"),".",TEXT(C36,"000"),".",TEXT(D36,"000")),IF(H36="Serviço",CONCATENATE(TEXT(B36,"00"),".",TEXT(C36,"000"),".",TEXT(D36,"000"),".",TEXT(E36,"000")),"")))))</f>
        <v/>
      </c>
      <c r="J36" s="48" t="inlineStr">
        <is>
          <t>Concreto Usinado bombeável para Contenções 20MPa  - incluindo serviço de bombeamento</t>
        </is>
      </c>
      <c r="K36" s="45" t="inlineStr">
        <is>
          <t>m3</t>
        </is>
      </c>
      <c r="L36" s="46" t="n">
        <v>28.314</v>
      </c>
      <c r="M36" s="46" t="n">
        <v>557.7692</v>
      </c>
      <c r="N36" s="47">
        <f>IF(H36="Serviço",M36*L36,IF(H36="CÉLULA CONSTRUTIVA",SUMIFS($N$8:$N$266,$B$8:$B$266,B36,$H$8:$H$266,"Serviço"),IF(H36="ETAPA",SUMIFS($N$8:$N$266,$B$8:$B$266,B36,$C$8:$C$266,C36,$H$8:$H$266,"Serviço"),IF(H36="SUBETAPA",SUMIFS($N$8:$N$266,$B$8:$B$266,B36,$C$8:$C$266,C36,$D$8:$D$266,D36,$H$8:$H$266,"Serviço"),0))))</f>
        <v/>
      </c>
      <c r="O36" s="45" t="n"/>
      <c r="P36" s="46" t="n"/>
      <c r="Q36" s="46" t="n"/>
      <c r="R36" s="47" t="n"/>
      <c r="S36" s="109" t="n"/>
      <c r="T36" s="49" t="n"/>
      <c r="U36" s="49" t="n"/>
    </row>
    <row r="37" outlineLevel="3" ht="13.95" customFormat="1" customHeight="1" s="31">
      <c r="A37" s="213">
        <f>IF($H37="UNIDADE CONSTRUTIVA",OFFSET(A37,-1,0)+1,LARGE(A$3:A36,1))</f>
        <v/>
      </c>
      <c r="B37" s="213">
        <f>IF(H37="UNIDADE CONSTRUTIVA",0,IF(H37="CÉLULA CONSTRUTIVA",OFFSET(B37,-1,0)+1,OFFSET(B37,-1,0)))</f>
        <v/>
      </c>
      <c r="C37" s="213">
        <f>IF(H37="CÉLULA CONSTRUTIVA",0,IF(H37="ETAPA",OFFSET(C37,-1,0)+1,OFFSET(C37,-1,0)))</f>
        <v/>
      </c>
      <c r="D37" s="214">
        <f>IF(H37="ETAPA",0,IF(H37="SUBETAPA",OFFSET(D37,-1,0)+1,OFFSET(D37,-1,0)))</f>
        <v/>
      </c>
      <c r="E37" s="214">
        <f>IF(H37="Subetapa",0,IF(H37="serviço",OFFSET(E37,-1,0)+1,OFFSET(E37,-1,0)))</f>
        <v/>
      </c>
      <c r="G37" s="111" t="inlineStr">
        <is>
          <t>CONTENÇÃO</t>
        </is>
      </c>
      <c r="H37" s="42" t="inlineStr">
        <is>
          <t>SERVIÇO</t>
        </is>
      </c>
      <c r="I37" s="43">
        <f>IF(H37="Unidade Construtiva",TEXT(A37,"00"),IF(H37="Célula Construtiva",TEXT(B37,"00"),IF(H37="Etapa",CONCATENATE(TEXT(B37,"00"),".",TEXT(C37,"000")),IF(H37="Subetapa",CONCATENATE(TEXT(B37,"00"),".",TEXT(C37,"000"),".",TEXT(D37,"000")),IF(H37="Serviço",CONCATENATE(TEXT(B37,"00"),".",TEXT(C37,"000"),".",TEXT(D37,"000"),".",TEXT(E37,"000")),"")))))</f>
        <v/>
      </c>
      <c r="J37" s="48" t="inlineStr">
        <is>
          <t>Concreto Usinado bombeável para Contenções 30MPa  - incluindo serviço de bombeamento</t>
        </is>
      </c>
      <c r="K37" s="45" t="inlineStr">
        <is>
          <t>m3</t>
        </is>
      </c>
      <c r="L37" s="46" t="n">
        <v>17.16</v>
      </c>
      <c r="M37" s="46" t="n">
        <v>578.7692</v>
      </c>
      <c r="N37" s="47">
        <f>IF(H37="Serviço",M37*L37,IF(H37="CÉLULA CONSTRUTIVA",SUMIFS($N$8:$N$266,$B$8:$B$266,B37,$H$8:$H$266,"Serviço"),IF(H37="ETAPA",SUMIFS($N$8:$N$266,$B$8:$B$266,B37,$C$8:$C$266,C37,$H$8:$H$266,"Serviço"),IF(H37="SUBETAPA",SUMIFS($N$8:$N$266,$B$8:$B$266,B37,$C$8:$C$266,C37,$D$8:$D$266,D37,$H$8:$H$266,"Serviço"),0))))</f>
        <v/>
      </c>
      <c r="O37" s="45" t="n"/>
      <c r="P37" s="46" t="n"/>
      <c r="Q37" s="46" t="n"/>
      <c r="R37" s="47" t="n"/>
      <c r="S37" s="109" t="n"/>
      <c r="T37" s="49" t="n"/>
      <c r="U37" s="49" t="n"/>
    </row>
    <row r="38" outlineLevel="3" ht="13.95" customFormat="1" customHeight="1" s="31">
      <c r="A38" s="213">
        <f>IF($H38="UNIDADE CONSTRUTIVA",OFFSET(A38,-1,0)+1,LARGE(A$3:A37,1))</f>
        <v/>
      </c>
      <c r="B38" s="213">
        <f>IF(H38="UNIDADE CONSTRUTIVA",0,IF(H38="CÉLULA CONSTRUTIVA",OFFSET(B38,-1,0)+1,OFFSET(B38,-1,0)))</f>
        <v/>
      </c>
      <c r="C38" s="213">
        <f>IF(H38="CÉLULA CONSTRUTIVA",0,IF(H38="ETAPA",OFFSET(C38,-1,0)+1,OFFSET(C38,-1,0)))</f>
        <v/>
      </c>
      <c r="D38" s="214">
        <f>IF(H38="ETAPA",0,IF(H38="SUBETAPA",OFFSET(D38,-1,0)+1,OFFSET(D38,-1,0)))</f>
        <v/>
      </c>
      <c r="E38" s="214">
        <f>IF(H38="Subetapa",0,IF(H38="serviço",OFFSET(E38,-1,0)+1,OFFSET(E38,-1,0)))</f>
        <v/>
      </c>
      <c r="G38" s="111" t="inlineStr">
        <is>
          <t>CONTENÇÃO</t>
        </is>
      </c>
      <c r="H38" s="42" t="inlineStr">
        <is>
          <t>SERVIÇO</t>
        </is>
      </c>
      <c r="I38" s="43">
        <f>IF(H38="Unidade Construtiva",TEXT(A38,"00"),IF(H38="Célula Construtiva",TEXT(B38,"00"),IF(H38="Etapa",CONCATENATE(TEXT(B38,"00"),".",TEXT(C38,"000")),IF(H38="Subetapa",CONCATENATE(TEXT(B38,"00"),".",TEXT(C38,"000"),".",TEXT(D38,"000")),IF(H38="Serviço",CONCATENATE(TEXT(B38,"00"),".",TEXT(C38,"000"),".",TEXT(D38,"000"),".",TEXT(E38,"000")),"")))))</f>
        <v/>
      </c>
      <c r="J38" s="48" t="inlineStr">
        <is>
          <t>Concreto Usinado bombeável para lamelas 30MPa  - incluindo serviço de bombeamento</t>
        </is>
      </c>
      <c r="K38" s="45" t="inlineStr">
        <is>
          <t>m3</t>
        </is>
      </c>
      <c r="L38" s="46" t="n">
        <v>355.7</v>
      </c>
      <c r="M38" s="46" t="n">
        <v>661.4505142857142</v>
      </c>
      <c r="N38" s="47">
        <f>IF(H38="Serviço",M38*L38,IF(H38="CÉLULA CONSTRUTIVA",SUMIFS($N$8:$N$266,$B$8:$B$266,B38,$H$8:$H$266,"Serviço"),IF(H38="ETAPA",SUMIFS($N$8:$N$266,$B$8:$B$266,B38,$C$8:$C$266,C38,$H$8:$H$266,"Serviço"),IF(H38="SUBETAPA",SUMIFS($N$8:$N$266,$B$8:$B$266,B38,$C$8:$C$266,C38,$D$8:$D$266,D38,$H$8:$H$266,"Serviço"),0))))</f>
        <v/>
      </c>
      <c r="O38" s="45" t="n"/>
      <c r="P38" s="46" t="n"/>
      <c r="Q38" s="46" t="n"/>
      <c r="R38" s="47" t="n"/>
      <c r="S38" s="109" t="n"/>
      <c r="T38" s="49" t="n"/>
      <c r="U38" s="49" t="n"/>
    </row>
    <row r="39" outlineLevel="2" ht="13.95" customFormat="1" customHeight="1" s="31">
      <c r="A39" s="213">
        <f>IF($H39="UNIDADE CONSTRUTIVA",OFFSET(A39,-1,0)+1,LARGE(A$3:A38,1))</f>
        <v/>
      </c>
      <c r="B39" s="213">
        <f>IF(H39="UNIDADE CONSTRUTIVA",0,IF(H39="CÉLULA CONSTRUTIVA",OFFSET(B39,-1,0)+1,OFFSET(B39,-1,0)))</f>
        <v/>
      </c>
      <c r="C39" s="213">
        <f>IF(H39="CÉLULA CONSTRUTIVA",0,IF(H39="ETAPA",OFFSET(C39,-1,0)+1,OFFSET(C39,-1,0)))</f>
        <v/>
      </c>
      <c r="D39" s="214">
        <f>IF(H39="ETAPA",0,IF(H39="SUBETAPA",OFFSET(D39,-1,0)+1,OFFSET(D39,-1,0)))</f>
        <v/>
      </c>
      <c r="E39" s="214">
        <f>IF(H39="Subetapa",0,IF(H39="serviço",OFFSET(E39,-1,0)+1,OFFSET(E39,-1,0)))</f>
        <v/>
      </c>
      <c r="G39" s="111" t="n"/>
      <c r="H39" s="42" t="inlineStr">
        <is>
          <t>SUBETAPA</t>
        </is>
      </c>
      <c r="I39" s="43">
        <f>IF(H39="Unidade Construtiva",TEXT(A39,"00"),IF(H39="Célula Construtiva",TEXT(B39,"00"),IF(H39="Etapa",CONCATENATE(TEXT(B39,"00"),".",TEXT(C39,"000")),IF(H39="Subetapa",CONCATENATE(TEXT(B39,"00"),".",TEXT(C39,"000"),".",TEXT(D39,"000")),IF(H39="Serviço",CONCATENATE(TEXT(B39,"00"),".",TEXT(C39,"000"),".",TEXT(D39,"000"),".",TEXT(E39,"000")),"")))))</f>
        <v/>
      </c>
      <c r="J39" s="48" t="inlineStr">
        <is>
          <t>Mão de Obra</t>
        </is>
      </c>
      <c r="K39" s="45" t="n"/>
      <c r="L39" s="52" t="n"/>
      <c r="M39" s="52" t="n"/>
      <c r="N39" s="47">
        <f>IF(H39="Serviço",M39*L39,IF(H39="CÉLULA CONSTRUTIVA",SUMIFS($N$8:$N$266,$B$8:$B$266,B39,$H$8:$H$266,"Serviço"),IF(H39="ETAPA",SUMIFS($N$8:$N$266,$B$8:$B$266,B39,$C$8:$C$266,C39,$H$8:$H$266,"Serviço"),IF(H39="SUBETAPA",SUMIFS($N$8:$N$266,$B$8:$B$266,B39,$C$8:$C$266,C39,$D$8:$D$266,D39,$H$8:$H$266,"Serviço"),0))))</f>
        <v/>
      </c>
      <c r="O39" s="45" t="n"/>
      <c r="P39" s="52" t="n"/>
      <c r="Q39" s="52" t="n"/>
      <c r="R39" s="216" t="inlineStr">
        <is>
          <t>19.001.005.001 - Mão de obra para telhamento</t>
        </is>
      </c>
      <c r="S39" s="109" t="n"/>
      <c r="T39" s="49" t="n"/>
      <c r="U39" s="49" t="n"/>
    </row>
    <row r="40" outlineLevel="3" ht="13.95" customFormat="1" customHeight="1" s="31">
      <c r="A40" s="213">
        <f>IF($H40="UNIDADE CONSTRUTIVA",OFFSET(A40,-1,0)+1,LARGE(A$3:A39,1))</f>
        <v/>
      </c>
      <c r="B40" s="213">
        <f>IF(H40="UNIDADE CONSTRUTIVA",0,IF(H40="CÉLULA CONSTRUTIVA",OFFSET(B40,-1,0)+1,OFFSET(B40,-1,0)))</f>
        <v/>
      </c>
      <c r="C40" s="213">
        <f>IF(H40="CÉLULA CONSTRUTIVA",0,IF(H40="ETAPA",OFFSET(C40,-1,0)+1,OFFSET(C40,-1,0)))</f>
        <v/>
      </c>
      <c r="D40" s="214">
        <f>IF(H40="ETAPA",0,IF(H40="SUBETAPA",OFFSET(D40,-1,0)+1,OFFSET(D40,-1,0)))</f>
        <v/>
      </c>
      <c r="E40" s="214">
        <f>IF(H40="Subetapa",0,IF(H40="serviço",OFFSET(E40,-1,0)+1,OFFSET(E40,-1,0)))</f>
        <v/>
      </c>
      <c r="G40" s="111" t="inlineStr">
        <is>
          <t>CONTENÇÃO</t>
        </is>
      </c>
      <c r="H40" s="42" t="inlineStr">
        <is>
          <t>SERVIÇO</t>
        </is>
      </c>
      <c r="I40" s="43">
        <f>IF(H40="Unidade Construtiva",TEXT(A40,"00"),IF(H40="Célula Construtiva",TEXT(B40,"00"),IF(H40="Etapa",CONCATENATE(TEXT(B40,"00"),".",TEXT(C40,"000")),IF(H40="Subetapa",CONCATENATE(TEXT(B40,"00"),".",TEXT(C40,"000"),".",TEXT(D40,"000")),IF(H40="Serviço",CONCATENATE(TEXT(B40,"00"),".",TEXT(C40,"000"),".",TEXT(D40,"000"),".",TEXT(E40,"000")),"")))))</f>
        <v/>
      </c>
      <c r="J40" s="48" t="inlineStr">
        <is>
          <t>Mão de obra de apoio para parede diafragma</t>
        </is>
      </c>
      <c r="K40" s="45" t="inlineStr">
        <is>
          <t>m2</t>
        </is>
      </c>
      <c r="L40" s="46">
        <f>L26</f>
        <v/>
      </c>
      <c r="M40" s="46" t="n">
        <v>50</v>
      </c>
      <c r="N40" s="47">
        <f>IF(H40="Serviço",M40*L40,IF(H40="CÉLULA CONSTRUTIVA",SUMIFS($N$8:$N$266,$B$8:$B$266,B40,$H$8:$H$266,"Serviço"),IF(H40="ETAPA",SUMIFS($N$8:$N$266,$B$8:$B$266,B40,$C$8:$C$266,C40,$H$8:$H$266,"Serviço"),IF(H40="SUBETAPA",SUMIFS($N$8:$N$266,$B$8:$B$266,B40,$C$8:$C$266,C40,$D$8:$D$266,D40,$H$8:$H$266,"Serviço"),0))))</f>
        <v/>
      </c>
      <c r="O40" s="45" t="n"/>
      <c r="P40" s="46" t="n"/>
      <c r="Q40" s="46" t="n"/>
      <c r="R40" s="47" t="n"/>
      <c r="S40" s="109" t="n"/>
      <c r="T40" s="49" t="n"/>
      <c r="U40" s="49" t="n"/>
    </row>
    <row r="41" outlineLevel="3" ht="13.95" customFormat="1" customHeight="1" s="31">
      <c r="A41" s="213">
        <f>IF($H41="UNIDADE CONSTRUTIVA",OFFSET(A41,-1,0)+1,LARGE(A$3:A40,1))</f>
        <v/>
      </c>
      <c r="B41" s="213">
        <f>IF(H41="UNIDADE CONSTRUTIVA",0,IF(H41="CÉLULA CONSTRUTIVA",OFFSET(B41,-1,0)+1,OFFSET(B41,-1,0)))</f>
        <v/>
      </c>
      <c r="C41" s="213">
        <f>IF(H41="CÉLULA CONSTRUTIVA",0,IF(H41="ETAPA",OFFSET(C41,-1,0)+1,OFFSET(C41,-1,0)))</f>
        <v/>
      </c>
      <c r="D41" s="214">
        <f>IF(H41="ETAPA",0,IF(H41="SUBETAPA",OFFSET(D41,-1,0)+1,OFFSET(D41,-1,0)))</f>
        <v/>
      </c>
      <c r="E41" s="214">
        <f>IF(H41="Subetapa",0,IF(H41="serviço",OFFSET(E41,-1,0)+1,OFFSET(E41,-1,0)))</f>
        <v/>
      </c>
      <c r="G41" s="111" t="inlineStr">
        <is>
          <t>CONTENÇÃO</t>
        </is>
      </c>
      <c r="H41" s="42" t="inlineStr">
        <is>
          <t>SERVIÇO</t>
        </is>
      </c>
      <c r="I41" s="43">
        <f>IF(H41="Unidade Construtiva",TEXT(A41,"00"),IF(H41="Célula Construtiva",TEXT(B41,"00"),IF(H41="Etapa",CONCATENATE(TEXT(B41,"00"),".",TEXT(C41,"000")),IF(H41="Subetapa",CONCATENATE(TEXT(B41,"00"),".",TEXT(C41,"000"),".",TEXT(D41,"000")),IF(H41="Serviço",CONCATENATE(TEXT(B41,"00"),".",TEXT(C41,"000"),".",TEXT(D41,"000"),".",TEXT(E41,"000")),"")))))</f>
        <v/>
      </c>
      <c r="J41" s="48" t="inlineStr">
        <is>
          <t>Acompanhamento Topografo - Parede Diafragma</t>
        </is>
      </c>
      <c r="K41" s="113" t="inlineStr">
        <is>
          <t>dia</t>
        </is>
      </c>
      <c r="L41" s="114" t="n">
        <v>5</v>
      </c>
      <c r="M41" s="46" t="n">
        <v>1450</v>
      </c>
      <c r="N41" s="47">
        <f>IF(H41="Serviço",M41*L41,IF(H41="CÉLULA CONSTRUTIVA",SUMIFS($N$8:$N$266,$B$8:$B$266,B41,$H$8:$H$266,"Serviço"),IF(H41="ETAPA",SUMIFS($N$8:$N$266,$B$8:$B$266,B41,$C$8:$C$266,C41,$H$8:$H$266,"Serviço"),IF(H41="SUBETAPA",SUMIFS($N$8:$N$266,$B$8:$B$266,B41,$C$8:$C$266,C41,$D$8:$D$266,D41,$H$8:$H$266,"Serviço"),0))))</f>
        <v/>
      </c>
      <c r="O41" s="113" t="n"/>
      <c r="P41" s="114" t="n"/>
      <c r="Q41" s="46" t="n"/>
      <c r="R41" s="47" t="n"/>
      <c r="S41" s="109" t="n"/>
      <c r="T41" s="49" t="n"/>
      <c r="U41" s="49" t="n"/>
    </row>
    <row r="42" outlineLevel="1" ht="13.95" customFormat="1" customHeight="1" s="31">
      <c r="A42" s="213">
        <f>IF($H42="UNIDADE CONSTRUTIVA",OFFSET(A42,-1,0)+1,LARGE(A$3:A41,1))</f>
        <v/>
      </c>
      <c r="B42" s="213">
        <f>IF(H42="UNIDADE CONSTRUTIVA",0,IF(H42="CÉLULA CONSTRUTIVA",OFFSET(B42,-1,0)+1,OFFSET(B42,-1,0)))</f>
        <v/>
      </c>
      <c r="C42" s="213">
        <f>IF(H42="CÉLULA CONSTRUTIVA",0,IF(H42="ETAPA",OFFSET(C42,-1,0)+1,OFFSET(C42,-1,0)))</f>
        <v/>
      </c>
      <c r="D42" s="214">
        <f>IF(H42="ETAPA",0,IF(H42="SUBETAPA",OFFSET(D42,-1,0)+1,OFFSET(D42,-1,0)))</f>
        <v/>
      </c>
      <c r="E42" s="214">
        <f>IF(H42="Subetapa",0,IF(H42="serviço",OFFSET(E42,-1,0)+1,OFFSET(E42,-1,0)))</f>
        <v/>
      </c>
      <c r="G42" s="41" t="n"/>
      <c r="H42" s="42" t="inlineStr">
        <is>
          <t>ETAPA</t>
        </is>
      </c>
      <c r="I42" s="43">
        <f>IF(H42="Unidade Construtiva",TEXT(A42,"00"),IF(H42="Célula Construtiva",TEXT(B42,"00"),IF(H42="Etapa",CONCATENATE(TEXT(B42,"00"),".",TEXT(C42,"000")),IF(H42="Subetapa",CONCATENATE(TEXT(B42,"00"),".",TEXT(C42,"000"),".",TEXT(D42,"000")),IF(H42="Serviço",CONCATENATE(TEXT(B42,"00"),".",TEXT(C42,"000"),".",TEXT(D42,"000"),".",TEXT(E42,"000")),"")))))</f>
        <v/>
      </c>
      <c r="J42" s="48" t="inlineStr">
        <is>
          <t>PAREDE DE CONCRETO</t>
        </is>
      </c>
      <c r="K42" s="45" t="n"/>
      <c r="L42" s="46" t="n"/>
      <c r="M42" s="46" t="n"/>
      <c r="N42" s="47">
        <f>IF(H42="Serviço",M42*L42,IF(H42="CÉLULA CONSTRUTIVA",SUMIFS($N$8:$N$266,$B$8:$B$266,B42,$H$8:$H$266,"Serviço"),IF(H42="ETAPA",SUMIFS($N$8:$N$266,$B$8:$B$266,B42,$C$8:$C$266,C42,$H$8:$H$266,"Serviço"),IF(H42="SUBETAPA",SUMIFS($N$8:$N$266,$B$8:$B$266,B42,$C$8:$C$266,C42,$D$8:$D$266,D42,$H$8:$H$266,"Serviço"),0))))</f>
        <v/>
      </c>
      <c r="O42" s="45" t="n"/>
      <c r="P42" s="46" t="n"/>
      <c r="Q42" s="46" t="n"/>
      <c r="R42" s="47" t="n"/>
      <c r="S42" s="109" t="n"/>
      <c r="T42" s="49" t="n"/>
      <c r="U42" s="49" t="n"/>
    </row>
    <row r="43" outlineLevel="2" ht="13.95" customFormat="1" customHeight="1" s="31">
      <c r="A43" s="213">
        <f>IF($H43="UNIDADE CONSTRUTIVA",OFFSET(A43,-1,0)+1,LARGE(A$3:A42,1))</f>
        <v/>
      </c>
      <c r="B43" s="213">
        <f>IF(H43="UNIDADE CONSTRUTIVA",0,IF(H43="CÉLULA CONSTRUTIVA",OFFSET(B43,-1,0)+1,OFFSET(B43,-1,0)))</f>
        <v/>
      </c>
      <c r="C43" s="213">
        <f>IF(H43="CÉLULA CONSTRUTIVA",0,IF(H43="ETAPA",OFFSET(C43,-1,0)+1,OFFSET(C43,-1,0)))</f>
        <v/>
      </c>
      <c r="D43" s="214">
        <f>IF(H43="ETAPA",0,IF(H43="SUBETAPA",OFFSET(D43,-1,0)+1,OFFSET(D43,-1,0)))</f>
        <v/>
      </c>
      <c r="E43" s="214">
        <f>IF(H43="Subetapa",0,IF(H43="serviço",OFFSET(E43,-1,0)+1,OFFSET(E43,-1,0)))</f>
        <v/>
      </c>
      <c r="G43" s="41" t="n"/>
      <c r="H43" s="42" t="inlineStr">
        <is>
          <t>SUBETAPA</t>
        </is>
      </c>
      <c r="I43" s="43">
        <f>IF(H43="Unidade Construtiva",TEXT(A43,"00"),IF(H43="Célula Construtiva",TEXT(B43,"00"),IF(H43="Etapa",CONCATENATE(TEXT(B43,"00"),".",TEXT(C43,"000")),IF(H43="Subetapa",CONCATENATE(TEXT(B43,"00"),".",TEXT(C43,"000"),".",TEXT(D43,"000")),IF(H43="Serviço",CONCATENATE(TEXT(B43,"00"),".",TEXT(C43,"000"),".",TEXT(D43,"000"),".",TEXT(E43,"000")),"")))))</f>
        <v/>
      </c>
      <c r="J43" s="48" t="inlineStr">
        <is>
          <t>Forma</t>
        </is>
      </c>
      <c r="K43" s="45" t="n"/>
      <c r="L43" s="46" t="n"/>
      <c r="M43" s="46" t="n"/>
      <c r="N43" s="47">
        <f>IF(H43="Serviço",M43*L43,IF(H43="CÉLULA CONSTRUTIVA",SUMIFS($N$8:$N$266,$B$8:$B$266,B43,$H$8:$H$266,"Serviço"),IF(H43="ETAPA",SUMIFS($N$8:$N$266,$B$8:$B$266,B43,$C$8:$C$266,C43,$H$8:$H$266,"Serviço"),IF(H43="SUBETAPA",SUMIFS($N$8:$N$266,$B$8:$B$266,B43,$C$8:$C$266,C43,$D$8:$D$266,D43,$H$8:$H$266,"Serviço"),0))))</f>
        <v/>
      </c>
      <c r="O43" s="45" t="n"/>
      <c r="P43" s="46" t="n"/>
      <c r="Q43" s="46" t="n"/>
      <c r="R43" s="216" t="inlineStr">
        <is>
          <t>15.001.008.003 - Concregrama</t>
        </is>
      </c>
      <c r="S43" s="109" t="n"/>
      <c r="T43" s="49" t="n"/>
      <c r="U43" s="49" t="n"/>
    </row>
    <row r="44" outlineLevel="3" ht="13.95" customFormat="1" customHeight="1" s="31">
      <c r="A44" s="213">
        <f>IF($H44="UNIDADE CONSTRUTIVA",OFFSET(A44,-1,0)+1,LARGE(A$3:A43,1))</f>
        <v/>
      </c>
      <c r="B44" s="213">
        <f>IF(H44="UNIDADE CONSTRUTIVA",0,IF(H44="CÉLULA CONSTRUTIVA",OFFSET(B44,-1,0)+1,OFFSET(B44,-1,0)))</f>
        <v/>
      </c>
      <c r="C44" s="213">
        <f>IF(H44="CÉLULA CONSTRUTIVA",0,IF(H44="ETAPA",OFFSET(C44,-1,0)+1,OFFSET(C44,-1,0)))</f>
        <v/>
      </c>
      <c r="D44" s="214">
        <f>IF(H44="ETAPA",0,IF(H44="SUBETAPA",OFFSET(D44,-1,0)+1,OFFSET(D44,-1,0)))</f>
        <v/>
      </c>
      <c r="E44" s="214">
        <f>IF(H44="Subetapa",0,IF(H44="serviço",OFFSET(E44,-1,0)+1,OFFSET(E44,-1,0)))</f>
        <v/>
      </c>
      <c r="G44" s="111" t="inlineStr">
        <is>
          <t>CONTENÇÃO</t>
        </is>
      </c>
      <c r="H44" s="42" t="inlineStr">
        <is>
          <t>SERVIÇO</t>
        </is>
      </c>
      <c r="I44" s="43">
        <f>IF(H44="Unidade Construtiva",TEXT(A44,"00"),IF(H44="Célula Construtiva",TEXT(B44,"00"),IF(H44="Etapa",CONCATENATE(TEXT(B44,"00"),".",TEXT(C44,"000")),IF(H44="Subetapa",CONCATENATE(TEXT(B44,"00"),".",TEXT(C44,"000"),".",TEXT(D44,"000")),IF(H44="Serviço",CONCATENATE(TEXT(B44,"00"),".",TEXT(C44,"000"),".",TEXT(D44,"000"),".",TEXT(E44,"000")),"")))))</f>
        <v/>
      </c>
      <c r="J44" s="48" t="inlineStr">
        <is>
          <t>Fôrma para Contenção, em Chapa de Madeira Compensada Plastificada, E=18mm</t>
        </is>
      </c>
      <c r="K44" s="45" t="inlineStr">
        <is>
          <t>m2</t>
        </is>
      </c>
      <c r="L44" s="46" t="n">
        <v>192.76</v>
      </c>
      <c r="M44" s="46" t="n">
        <v>81.61409428571429</v>
      </c>
      <c r="N44" s="47">
        <f>IF(H44="Serviço",M44*L44,IF(H44="CÉLULA CONSTRUTIVA",SUMIFS($N$8:$N$266,$B$8:$B$266,B44,$H$8:$H$266,"Serviço"),IF(H44="ETAPA",SUMIFS($N$8:$N$266,$B$8:$B$266,B44,$C$8:$C$266,C44,$H$8:$H$266,"Serviço"),IF(H44="SUBETAPA",SUMIFS($N$8:$N$266,$B$8:$B$266,B44,$C$8:$C$266,C44,$D$8:$D$266,D44,$H$8:$H$266,"Serviço"),0))))</f>
        <v/>
      </c>
      <c r="O44" s="45" t="n"/>
      <c r="P44" s="46" t="n"/>
      <c r="Q44" s="46" t="n"/>
      <c r="R44" s="47" t="n"/>
      <c r="S44" s="109" t="n"/>
      <c r="T44" s="49" t="n"/>
      <c r="U44" s="49" t="n"/>
    </row>
    <row r="45" outlineLevel="2" ht="13.95" customFormat="1" customHeight="1" s="31">
      <c r="A45" s="213">
        <f>IF($H45="UNIDADE CONSTRUTIVA",OFFSET(A45,-1,0)+1,LARGE(A$3:A44,1))</f>
        <v/>
      </c>
      <c r="B45" s="213">
        <f>IF(H45="UNIDADE CONSTRUTIVA",0,IF(H45="CÉLULA CONSTRUTIVA",OFFSET(B45,-1,0)+1,OFFSET(B45,-1,0)))</f>
        <v/>
      </c>
      <c r="C45" s="213">
        <f>IF(H45="CÉLULA CONSTRUTIVA",0,IF(H45="ETAPA",OFFSET(C45,-1,0)+1,OFFSET(C45,-1,0)))</f>
        <v/>
      </c>
      <c r="D45" s="214">
        <f>IF(H45="ETAPA",0,IF(H45="SUBETAPA",OFFSET(D45,-1,0)+1,OFFSET(D45,-1,0)))</f>
        <v/>
      </c>
      <c r="E45" s="214">
        <f>IF(H45="Subetapa",0,IF(H45="serviço",OFFSET(E45,-1,0)+1,OFFSET(E45,-1,0)))</f>
        <v/>
      </c>
      <c r="G45" s="111" t="n"/>
      <c r="H45" s="42" t="inlineStr">
        <is>
          <t>SUBETAPA</t>
        </is>
      </c>
      <c r="I45" s="43">
        <f>IF(H45="Unidade Construtiva",TEXT(A45,"00"),IF(H45="Célula Construtiva",TEXT(B45,"00"),IF(H45="Etapa",CONCATENATE(TEXT(B45,"00"),".",TEXT(C45,"000")),IF(H45="Subetapa",CONCATENATE(TEXT(B45,"00"),".",TEXT(C45,"000"),".",TEXT(D45,"000")),IF(H45="Serviço",CONCATENATE(TEXT(B45,"00"),".",TEXT(C45,"000"),".",TEXT(D45,"000"),".",TEXT(E45,"000")),"")))))</f>
        <v/>
      </c>
      <c r="J45" s="48" t="inlineStr">
        <is>
          <t>Armadura</t>
        </is>
      </c>
      <c r="K45" s="45" t="n"/>
      <c r="L45" s="52" t="n"/>
      <c r="M45" s="52" t="n"/>
      <c r="N45" s="47">
        <f>IF(H45="Serviço",M45*L45,IF(H45="CÉLULA CONSTRUTIVA",SUMIFS($N$8:$N$266,$B$8:$B$266,B45,$H$8:$H$266,"Serviço"),IF(H45="ETAPA",SUMIFS($N$8:$N$266,$B$8:$B$266,B45,$C$8:$C$266,C45,$H$8:$H$266,"Serviço"),IF(H45="SUBETAPA",SUMIFS($N$8:$N$266,$B$8:$B$266,B45,$C$8:$C$266,C45,$D$8:$D$266,D45,$H$8:$H$266,"Serviço"),0))))</f>
        <v/>
      </c>
      <c r="O45" s="45" t="n"/>
      <c r="P45" s="52" t="n"/>
      <c r="Q45" s="52" t="n"/>
      <c r="R45" s="216" t="inlineStr">
        <is>
          <t>02.001.002.001 - Armação de estacas</t>
        </is>
      </c>
      <c r="S45" s="109" t="n"/>
      <c r="T45" s="49" t="n"/>
      <c r="U45" s="49" t="n"/>
    </row>
    <row r="46" outlineLevel="3" ht="13.95" customFormat="1" customHeight="1" s="31">
      <c r="A46" s="213">
        <f>IF($H46="UNIDADE CONSTRUTIVA",OFFSET(A46,-1,0)+1,LARGE(A$3:A45,1))</f>
        <v/>
      </c>
      <c r="B46" s="213">
        <f>IF(H46="UNIDADE CONSTRUTIVA",0,IF(H46="CÉLULA CONSTRUTIVA",OFFSET(B46,-1,0)+1,OFFSET(B46,-1,0)))</f>
        <v/>
      </c>
      <c r="C46" s="213">
        <f>IF(H46="CÉLULA CONSTRUTIVA",0,IF(H46="ETAPA",OFFSET(C46,-1,0)+1,OFFSET(C46,-1,0)))</f>
        <v/>
      </c>
      <c r="D46" s="214">
        <f>IF(H46="ETAPA",0,IF(H46="SUBETAPA",OFFSET(D46,-1,0)+1,OFFSET(D46,-1,0)))</f>
        <v/>
      </c>
      <c r="E46" s="214">
        <f>IF(H46="Subetapa",0,IF(H46="serviço",OFFSET(E46,-1,0)+1,OFFSET(E46,-1,0)))</f>
        <v/>
      </c>
      <c r="G46" s="111" t="inlineStr">
        <is>
          <t>CONTENÇÃO</t>
        </is>
      </c>
      <c r="H46" s="42" t="inlineStr">
        <is>
          <t>SERVIÇO</t>
        </is>
      </c>
      <c r="I46" s="43">
        <f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/>
      </c>
      <c r="J46" s="48" t="inlineStr">
        <is>
          <t>Armação aço CA-50 ø 8,0mm para Contenções (corte e dobra em obra)</t>
        </is>
      </c>
      <c r="K46" s="45" t="inlineStr">
        <is>
          <t>kg</t>
        </is>
      </c>
      <c r="L46" s="46" t="n">
        <v>229.8</v>
      </c>
      <c r="M46" s="46" t="n">
        <v>7.015145</v>
      </c>
      <c r="N46" s="47">
        <f>IF(H46="Serviço",M46*L46,IF(H46="CÉLULA CONSTRUTIVA",SUMIFS($N$8:$N$266,$B$8:$B$266,B46,$H$8:$H$266,"Serviço"),IF(H46="ETAPA",SUMIFS($N$8:$N$266,$B$8:$B$266,B46,$C$8:$C$266,C46,$H$8:$H$266,"Serviço"),IF(H46="SUBETAPA",SUMIFS($N$8:$N$266,$B$8:$B$266,B46,$C$8:$C$266,C46,$D$8:$D$266,D46,$H$8:$H$266,"Serviço"),0))))</f>
        <v/>
      </c>
      <c r="O46" s="45" t="n"/>
      <c r="P46" s="46" t="n"/>
      <c r="Q46" s="46" t="n"/>
      <c r="R46" s="47" t="n"/>
      <c r="S46" s="109" t="n"/>
      <c r="T46" s="49" t="n"/>
      <c r="U46" s="49" t="n"/>
    </row>
    <row r="47" outlineLevel="3" ht="13.95" customFormat="1" customHeight="1" s="31">
      <c r="A47" s="213">
        <f>IF($H47="UNIDADE CONSTRUTIVA",OFFSET(A47,-1,0)+1,LARGE(A$3:A46,1))</f>
        <v/>
      </c>
      <c r="B47" s="213">
        <f>IF(H47="UNIDADE CONSTRUTIVA",0,IF(H47="CÉLULA CONSTRUTIVA",OFFSET(B47,-1,0)+1,OFFSET(B47,-1,0)))</f>
        <v/>
      </c>
      <c r="C47" s="213">
        <f>IF(H47="CÉLULA CONSTRUTIVA",0,IF(H47="ETAPA",OFFSET(C47,-1,0)+1,OFFSET(C47,-1,0)))</f>
        <v/>
      </c>
      <c r="D47" s="214">
        <f>IF(H47="ETAPA",0,IF(H47="SUBETAPA",OFFSET(D47,-1,0)+1,OFFSET(D47,-1,0)))</f>
        <v/>
      </c>
      <c r="E47" s="214">
        <f>IF(H47="Subetapa",0,IF(H47="serviço",OFFSET(E47,-1,0)+1,OFFSET(E47,-1,0)))</f>
        <v/>
      </c>
      <c r="G47" s="111" t="inlineStr">
        <is>
          <t>CONTENÇÃO</t>
        </is>
      </c>
      <c r="H47" s="42" t="inlineStr">
        <is>
          <t>SERVIÇO</t>
        </is>
      </c>
      <c r="I47" s="43">
        <f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/>
      </c>
      <c r="J47" s="48" t="inlineStr">
        <is>
          <t>Armação aço CA-50 ø 10,0mm para Contenções (corte e dobra em obra)</t>
        </is>
      </c>
      <c r="K47" s="45" t="inlineStr">
        <is>
          <t>kg</t>
        </is>
      </c>
      <c r="L47" s="46" t="n">
        <v>756.8</v>
      </c>
      <c r="M47" s="46" t="n">
        <v>6.630145</v>
      </c>
      <c r="N47" s="47">
        <f>IF(H47="Serviço",M47*L47,IF(H47="CÉLULA CONSTRUTIVA",SUMIFS($N$8:$N$266,$B$8:$B$266,B47,$H$8:$H$266,"Serviço"),IF(H47="ETAPA",SUMIFS($N$8:$N$266,$B$8:$B$266,B47,$C$8:$C$266,C47,$H$8:$H$266,"Serviço"),IF(H47="SUBETAPA",SUMIFS($N$8:$N$266,$B$8:$B$266,B47,$C$8:$C$266,C47,$D$8:$D$266,D47,$H$8:$H$266,"Serviço"),0))))</f>
        <v/>
      </c>
      <c r="O47" s="45" t="n"/>
      <c r="P47" s="46" t="n"/>
      <c r="Q47" s="46" t="n"/>
      <c r="R47" s="47" t="n"/>
      <c r="S47" s="109" t="n"/>
      <c r="T47" s="49" t="n"/>
      <c r="U47" s="49" t="n"/>
    </row>
    <row r="48" outlineLevel="3" ht="13.95" customFormat="1" customHeight="1" s="31">
      <c r="A48" s="213">
        <f>IF($H48="UNIDADE CONSTRUTIVA",OFFSET(A48,-1,0)+1,LARGE(A$3:A47,1))</f>
        <v/>
      </c>
      <c r="B48" s="213">
        <f>IF(H48="UNIDADE CONSTRUTIVA",0,IF(H48="CÉLULA CONSTRUTIVA",OFFSET(B48,-1,0)+1,OFFSET(B48,-1,0)))</f>
        <v/>
      </c>
      <c r="C48" s="213">
        <f>IF(H48="CÉLULA CONSTRUTIVA",0,IF(H48="ETAPA",OFFSET(C48,-1,0)+1,OFFSET(C48,-1,0)))</f>
        <v/>
      </c>
      <c r="D48" s="214">
        <f>IF(H48="ETAPA",0,IF(H48="SUBETAPA",OFFSET(D48,-1,0)+1,OFFSET(D48,-1,0)))</f>
        <v/>
      </c>
      <c r="E48" s="214">
        <f>IF(H48="Subetapa",0,IF(H48="serviço",OFFSET(E48,-1,0)+1,OFFSET(E48,-1,0)))</f>
        <v/>
      </c>
      <c r="G48" s="111" t="inlineStr">
        <is>
          <t>CONTENÇÃO</t>
        </is>
      </c>
      <c r="H48" s="42" t="inlineStr">
        <is>
          <t>SERVIÇO</t>
        </is>
      </c>
      <c r="I48" s="43">
        <f>IF(H48="Unidade Construtiva",TEXT(A48,"00"),IF(H48="Célula Construtiva",TEXT(B48,"00"),IF(H48="Etapa",CONCATENATE(TEXT(B48,"00"),".",TEXT(C48,"000")),IF(H48="Subetapa",CONCATENATE(TEXT(B48,"00"),".",TEXT(C48,"000"),".",TEXT(D48,"000")),IF(H48="Serviço",CONCATENATE(TEXT(B48,"00"),".",TEXT(C48,"000"),".",TEXT(D48,"000"),".",TEXT(E48,"000")),"")))))</f>
        <v/>
      </c>
      <c r="J48" s="48" t="inlineStr">
        <is>
          <t xml:space="preserve">Armação aço CA-50 ø 12,5mm para Contenções (corte e dobra em obra) </t>
        </is>
      </c>
      <c r="K48" s="45" t="inlineStr">
        <is>
          <t>kg</t>
        </is>
      </c>
      <c r="L48" s="46" t="n">
        <v>1116.3</v>
      </c>
      <c r="M48" s="46" t="n">
        <v>6.399145</v>
      </c>
      <c r="N48" s="47">
        <f>IF(H48="Serviço",M48*L48,IF(H48="CÉLULA CONSTRUTIVA",SUMIFS($N$8:$N$266,$B$8:$B$266,B48,$H$8:$H$266,"Serviço"),IF(H48="ETAPA",SUMIFS($N$8:$N$266,$B$8:$B$266,B48,$C$8:$C$266,C48,$H$8:$H$266,"Serviço"),IF(H48="SUBETAPA",SUMIFS($N$8:$N$266,$B$8:$B$266,B48,$C$8:$C$266,C48,$D$8:$D$266,D48,$H$8:$H$266,"Serviço"),0))))</f>
        <v/>
      </c>
      <c r="O48" s="45" t="n"/>
      <c r="P48" s="46" t="n"/>
      <c r="Q48" s="46" t="n"/>
      <c r="R48" s="47" t="n"/>
      <c r="S48" s="109" t="n"/>
      <c r="T48" s="49" t="n"/>
      <c r="U48" s="49" t="n"/>
    </row>
    <row r="49" outlineLevel="3" ht="13.95" customFormat="1" customHeight="1" s="31">
      <c r="A49" s="213">
        <f>IF($H49="UNIDADE CONSTRUTIVA",OFFSET(A49,-1,0)+1,LARGE(A$3:A48,1))</f>
        <v/>
      </c>
      <c r="B49" s="213">
        <f>IF(H49="UNIDADE CONSTRUTIVA",0,IF(H49="CÉLULA CONSTRUTIVA",OFFSET(B49,-1,0)+1,OFFSET(B49,-1,0)))</f>
        <v/>
      </c>
      <c r="C49" s="213">
        <f>IF(H49="CÉLULA CONSTRUTIVA",0,IF(H49="ETAPA",OFFSET(C49,-1,0)+1,OFFSET(C49,-1,0)))</f>
        <v/>
      </c>
      <c r="D49" s="214">
        <f>IF(H49="ETAPA",0,IF(H49="SUBETAPA",OFFSET(D49,-1,0)+1,OFFSET(D49,-1,0)))</f>
        <v/>
      </c>
      <c r="E49" s="214">
        <f>IF(H49="Subetapa",0,IF(H49="serviço",OFFSET(E49,-1,0)+1,OFFSET(E49,-1,0)))</f>
        <v/>
      </c>
      <c r="G49" s="111" t="inlineStr">
        <is>
          <t>CONTENÇÃO</t>
        </is>
      </c>
      <c r="H49" s="42" t="inlineStr">
        <is>
          <t>SERVIÇO</t>
        </is>
      </c>
      <c r="I49" s="43">
        <f>IF(H49="Unidade Construtiva",TEXT(A49,"00"),IF(H49="Célula Construtiva",TEXT(B49,"00"),IF(H49="Etapa",CONCATENATE(TEXT(B49,"00"),".",TEXT(C49,"000")),IF(H49="Subetapa",CONCATENATE(TEXT(B49,"00"),".",TEXT(C49,"000"),".",TEXT(D49,"000")),IF(H49="Serviço",CONCATENATE(TEXT(B49,"00"),".",TEXT(C49,"000"),".",TEXT(D49,"000"),".",TEXT(E49,"000")),"")))))</f>
        <v/>
      </c>
      <c r="J49" s="48" t="inlineStr">
        <is>
          <t>Armação aço CA-50 ø 16,0mm para Contenções (corte e dobra em obra)</t>
        </is>
      </c>
      <c r="K49" s="45" t="inlineStr">
        <is>
          <t>kg</t>
        </is>
      </c>
      <c r="L49" s="46" t="n">
        <v>464.8</v>
      </c>
      <c r="M49" s="46" t="n">
        <v>6.443144999999999</v>
      </c>
      <c r="N49" s="47">
        <f>IF(H49="Serviço",M49*L49,IF(H49="CÉLULA CONSTRUTIVA",SUMIFS($N$8:$N$266,$B$8:$B$266,B49,$H$8:$H$266,"Serviço"),IF(H49="ETAPA",SUMIFS($N$8:$N$266,$B$8:$B$266,B49,$C$8:$C$266,C49,$H$8:$H$266,"Serviço"),IF(H49="SUBETAPA",SUMIFS($N$8:$N$266,$B$8:$B$266,B49,$C$8:$C$266,C49,$D$8:$D$266,D49,$H$8:$H$266,"Serviço"),0))))</f>
        <v/>
      </c>
      <c r="O49" s="45" t="n"/>
      <c r="P49" s="46" t="n"/>
      <c r="Q49" s="46" t="n"/>
      <c r="R49" s="47" t="n"/>
      <c r="S49" s="109" t="n"/>
      <c r="T49" s="49" t="n"/>
      <c r="U49" s="49" t="n"/>
    </row>
    <row r="50" outlineLevel="2" ht="13.95" customFormat="1" customHeight="1" s="31">
      <c r="A50" s="213">
        <f>IF($H50="UNIDADE CONSTRUTIVA",OFFSET(A50,-1,0)+1,LARGE(A$3:A49,1))</f>
        <v/>
      </c>
      <c r="B50" s="213">
        <f>IF(H50="UNIDADE CONSTRUTIVA",0,IF(H50="CÉLULA CONSTRUTIVA",OFFSET(B50,-1,0)+1,OFFSET(B50,-1,0)))</f>
        <v/>
      </c>
      <c r="C50" s="213">
        <f>IF(H50="CÉLULA CONSTRUTIVA",0,IF(H50="ETAPA",OFFSET(C50,-1,0)+1,OFFSET(C50,-1,0)))</f>
        <v/>
      </c>
      <c r="D50" s="214">
        <f>IF(H50="ETAPA",0,IF(H50="SUBETAPA",OFFSET(D50,-1,0)+1,OFFSET(D50,-1,0)))</f>
        <v/>
      </c>
      <c r="E50" s="214">
        <f>IF(H50="Subetapa",0,IF(H50="serviço",OFFSET(E50,-1,0)+1,OFFSET(E50,-1,0)))</f>
        <v/>
      </c>
      <c r="G50" s="111" t="n"/>
      <c r="H50" s="42" t="inlineStr">
        <is>
          <t>SUBETAPA</t>
        </is>
      </c>
      <c r="I50" s="43">
        <f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/>
      </c>
      <c r="J50" s="48" t="inlineStr">
        <is>
          <t>Concreto</t>
        </is>
      </c>
      <c r="K50" s="45" t="n"/>
      <c r="L50" s="52" t="n"/>
      <c r="M50" s="52" t="n"/>
      <c r="N50" s="47">
        <f>IF(H50="Serviço",M50*L50,IF(H50="CÉLULA CONSTRUTIVA",SUMIFS($N$8:$N$266,$B$8:$B$266,B50,$H$8:$H$266,"Serviço"),IF(H50="ETAPA",SUMIFS($N$8:$N$266,$B$8:$B$266,B50,$C$8:$C$266,C50,$H$8:$H$266,"Serviço"),IF(H50="SUBETAPA",SUMIFS($N$8:$N$266,$B$8:$B$266,B50,$C$8:$C$266,C50,$D$8:$D$266,D50,$H$8:$H$266,"Serviço"),0))))</f>
        <v/>
      </c>
      <c r="O50" s="45" t="n"/>
      <c r="P50" s="52" t="n"/>
      <c r="Q50" s="52" t="n"/>
      <c r="R50" s="216" t="inlineStr">
        <is>
          <t>15.001.008.003 - Concregrama</t>
        </is>
      </c>
      <c r="S50" s="109" t="n"/>
      <c r="T50" s="49" t="n"/>
      <c r="U50" s="49" t="n"/>
    </row>
    <row r="51" outlineLevel="3" ht="13.95" customFormat="1" customHeight="1" s="31">
      <c r="A51" s="213">
        <f>IF($H51="UNIDADE CONSTRUTIVA",OFFSET(A51,-1,0)+1,LARGE(A$3:A50,1))</f>
        <v/>
      </c>
      <c r="B51" s="213">
        <f>IF(H51="UNIDADE CONSTRUTIVA",0,IF(H51="CÉLULA CONSTRUTIVA",OFFSET(B51,-1,0)+1,OFFSET(B51,-1,0)))</f>
        <v/>
      </c>
      <c r="C51" s="213">
        <f>IF(H51="CÉLULA CONSTRUTIVA",0,IF(H51="ETAPA",OFFSET(C51,-1,0)+1,OFFSET(C51,-1,0)))</f>
        <v/>
      </c>
      <c r="D51" s="214">
        <f>IF(H51="ETAPA",0,IF(H51="SUBETAPA",OFFSET(D51,-1,0)+1,OFFSET(D51,-1,0)))</f>
        <v/>
      </c>
      <c r="E51" s="214">
        <f>IF(H51="Subetapa",0,IF(H51="serviço",OFFSET(E51,-1,0)+1,OFFSET(E51,-1,0)))</f>
        <v/>
      </c>
      <c r="G51" s="111" t="inlineStr">
        <is>
          <t>CONTENÇÃO</t>
        </is>
      </c>
      <c r="H51" s="42" t="inlineStr">
        <is>
          <t>SERVIÇO</t>
        </is>
      </c>
      <c r="I51" s="43">
        <f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/>
      </c>
      <c r="J51" s="48" t="inlineStr">
        <is>
          <t>Concreto Usinado bombeável para Contenções 40MPa  - incluindo serviço de bombeamento</t>
        </is>
      </c>
      <c r="K51" s="45" t="inlineStr">
        <is>
          <t>m3</t>
        </is>
      </c>
      <c r="L51" s="46" t="n">
        <v>18.74</v>
      </c>
      <c r="M51" s="46" t="n">
        <v>636.5192</v>
      </c>
      <c r="N51" s="47">
        <f>IF(H51="Serviço",M51*L51,IF(H51="CÉLULA CONSTRUTIVA",SUMIFS($N$8:$N$266,$B$8:$B$266,B51,$H$8:$H$266,"Serviço"),IF(H51="ETAPA",SUMIFS($N$8:$N$266,$B$8:$B$266,B51,$C$8:$C$266,C51,$H$8:$H$266,"Serviço"),IF(H51="SUBETAPA",SUMIFS($N$8:$N$266,$B$8:$B$266,B51,$C$8:$C$266,C51,$D$8:$D$266,D51,$H$8:$H$266,"Serviço"),0))))</f>
        <v/>
      </c>
      <c r="O51" s="45" t="n"/>
      <c r="P51" s="46" t="n"/>
      <c r="Q51" s="46" t="n"/>
      <c r="R51" s="47" t="n"/>
      <c r="S51" s="109" t="n"/>
      <c r="T51" s="49" t="n"/>
      <c r="U51" s="49" t="n"/>
    </row>
    <row r="52" outlineLevel="2" ht="13.95" customFormat="1" customHeight="1" s="31">
      <c r="A52" s="213">
        <f>IF($H52="UNIDADE CONSTRUTIVA",OFFSET(A52,-1,0)+1,LARGE(A$3:A51,1))</f>
        <v/>
      </c>
      <c r="B52" s="213">
        <f>IF(H52="UNIDADE CONSTRUTIVA",0,IF(H52="CÉLULA CONSTRUTIVA",OFFSET(B52,-1,0)+1,OFFSET(B52,-1,0)))</f>
        <v/>
      </c>
      <c r="C52" s="213">
        <f>IF(H52="CÉLULA CONSTRUTIVA",0,IF(H52="ETAPA",OFFSET(C52,-1,0)+1,OFFSET(C52,-1,0)))</f>
        <v/>
      </c>
      <c r="D52" s="214">
        <f>IF(H52="ETAPA",0,IF(H52="SUBETAPA",OFFSET(D52,-1,0)+1,OFFSET(D52,-1,0)))</f>
        <v/>
      </c>
      <c r="E52" s="214">
        <f>IF(H52="Subetapa",0,IF(H52="serviço",OFFSET(E52,-1,0)+1,OFFSET(E52,-1,0)))</f>
        <v/>
      </c>
      <c r="G52" s="111" t="n"/>
      <c r="H52" s="42" t="inlineStr">
        <is>
          <t>SUBETAPA</t>
        </is>
      </c>
      <c r="I52" s="43">
        <f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/>
      </c>
      <c r="J52" s="48" t="inlineStr">
        <is>
          <t>Mão de Obra</t>
        </is>
      </c>
      <c r="K52" s="45" t="n"/>
      <c r="L52" s="52" t="n"/>
      <c r="M52" s="52" t="n"/>
      <c r="N52" s="47">
        <f>IF(H52="Serviço",M52*L52,IF(H52="CÉLULA CONSTRUTIVA",SUMIFS($N$8:$N$266,$B$8:$B$266,B52,$H$8:$H$266,"Serviço"),IF(H52="ETAPA",SUMIFS($N$8:$N$266,$B$8:$B$266,B52,$C$8:$C$266,C52,$H$8:$H$266,"Serviço"),IF(H52="SUBETAPA",SUMIFS($N$8:$N$266,$B$8:$B$266,B52,$C$8:$C$266,C52,$D$8:$D$266,D52,$H$8:$H$266,"Serviço"),0))))</f>
        <v/>
      </c>
      <c r="O52" s="45" t="n"/>
      <c r="P52" s="52" t="n"/>
      <c r="Q52" s="52" t="n"/>
      <c r="R52" s="216" t="inlineStr">
        <is>
          <t>19.001.005.001 - Mão de obra para telhamento</t>
        </is>
      </c>
      <c r="S52" s="109" t="n"/>
      <c r="T52" s="49" t="n"/>
      <c r="U52" s="49" t="n"/>
    </row>
    <row r="53" outlineLevel="3" ht="13.95" customFormat="1" customHeight="1" s="31">
      <c r="A53" s="213">
        <f>IF($H53="UNIDADE CONSTRUTIVA",OFFSET(A53,-1,0)+1,LARGE(A$3:A52,1))</f>
        <v/>
      </c>
      <c r="B53" s="213">
        <f>IF(H53="UNIDADE CONSTRUTIVA",0,IF(H53="CÉLULA CONSTRUTIVA",OFFSET(B53,-1,0)+1,OFFSET(B53,-1,0)))</f>
        <v/>
      </c>
      <c r="C53" s="213">
        <f>IF(H53="CÉLULA CONSTRUTIVA",0,IF(H53="ETAPA",OFFSET(C53,-1,0)+1,OFFSET(C53,-1,0)))</f>
        <v/>
      </c>
      <c r="D53" s="214">
        <f>IF(H53="ETAPA",0,IF(H53="SUBETAPA",OFFSET(D53,-1,0)+1,OFFSET(D53,-1,0)))</f>
        <v/>
      </c>
      <c r="E53" s="214">
        <f>IF(H53="Subetapa",0,IF(H53="serviço",OFFSET(E53,-1,0)+1,OFFSET(E53,-1,0)))</f>
        <v/>
      </c>
      <c r="G53" s="111" t="inlineStr">
        <is>
          <t>CONTENÇÃO</t>
        </is>
      </c>
      <c r="H53" s="42" t="inlineStr">
        <is>
          <t>SERVIÇO</t>
        </is>
      </c>
      <c r="I53" s="43">
        <f>IF(H53="Unidade Construtiva",TEXT(A53,"00"),IF(H53="Célula Construtiva",TEXT(B53,"00"),IF(H53="Etapa",CONCATENATE(TEXT(B53,"00"),".",TEXT(C53,"000")),IF(H53="Subetapa",CONCATENATE(TEXT(B53,"00"),".",TEXT(C53,"000"),".",TEXT(D53,"000")),IF(H53="Serviço",CONCATENATE(TEXT(B53,"00"),".",TEXT(C53,"000"),".",TEXT(D53,"000"),".",TEXT(E53,"000")),"")))))</f>
        <v/>
      </c>
      <c r="J53" s="48" t="inlineStr">
        <is>
          <t>Mão de obra de obra execução de contenção em cortina de concreto</t>
        </is>
      </c>
      <c r="K53" s="45" t="inlineStr">
        <is>
          <t>m2</t>
        </is>
      </c>
      <c r="L53" s="46">
        <f>L44</f>
        <v/>
      </c>
      <c r="M53" s="46" t="n">
        <v>340</v>
      </c>
      <c r="N53" s="47">
        <f>IF(H53="Serviço",M53*L53,IF(H53="CÉLULA CONSTRUTIVA",SUMIFS($N$8:$N$266,$B$8:$B$266,B53,$H$8:$H$266,"Serviço"),IF(H53="ETAPA",SUMIFS($N$8:$N$266,$B$8:$B$266,B53,$C$8:$C$266,C53,$H$8:$H$266,"Serviço"),IF(H53="SUBETAPA",SUMIFS($N$8:$N$266,$B$8:$B$266,B53,$C$8:$C$266,C53,$D$8:$D$266,D53,$H$8:$H$266,"Serviço"),0))))</f>
        <v/>
      </c>
      <c r="O53" s="45" t="n"/>
      <c r="P53" s="46" t="n"/>
      <c r="Q53" s="46" t="n"/>
      <c r="R53" s="47" t="n"/>
      <c r="S53" s="109" t="n"/>
      <c r="T53" s="49" t="n"/>
      <c r="U53" s="49" t="n"/>
    </row>
    <row r="54" outlineLevel="3" ht="13.95" customFormat="1" customHeight="1" s="31">
      <c r="A54" s="213">
        <f>IF($H54="UNIDADE CONSTRUTIVA",OFFSET(A54,-1,0)+1,LARGE(A$3:A53,1))</f>
        <v/>
      </c>
      <c r="B54" s="213">
        <f>IF(H54="UNIDADE CONSTRUTIVA",0,IF(H54="CÉLULA CONSTRUTIVA",OFFSET(B54,-1,0)+1,OFFSET(B54,-1,0)))</f>
        <v/>
      </c>
      <c r="C54" s="213">
        <f>IF(H54="CÉLULA CONSTRUTIVA",0,IF(H54="ETAPA",OFFSET(C54,-1,0)+1,OFFSET(C54,-1,0)))</f>
        <v/>
      </c>
      <c r="D54" s="214">
        <f>IF(H54="ETAPA",0,IF(H54="SUBETAPA",OFFSET(D54,-1,0)+1,OFFSET(D54,-1,0)))</f>
        <v/>
      </c>
      <c r="E54" s="214">
        <f>IF(H54="Subetapa",0,IF(H54="serviço",OFFSET(E54,-1,0)+1,OFFSET(E54,-1,0)))</f>
        <v/>
      </c>
      <c r="G54" s="111" t="inlineStr">
        <is>
          <t>CONTENÇÃO</t>
        </is>
      </c>
      <c r="H54" s="42" t="inlineStr">
        <is>
          <t>SERVIÇO</t>
        </is>
      </c>
      <c r="I54" s="43">
        <f>IF(H54="Unidade Construtiva",TEXT(A54,"00"),IF(H54="Célula Construtiva",TEXT(B54,"00"),IF(H54="Etapa",CONCATENATE(TEXT(B54,"00"),".",TEXT(C54,"000")),IF(H54="Subetapa",CONCATENATE(TEXT(B54,"00"),".",TEXT(C54,"000"),".",TEXT(D54,"000")),IF(H54="Serviço",CONCATENATE(TEXT(B54,"00"),".",TEXT(C54,"000"),".",TEXT(D54,"000"),".",TEXT(E54,"000")),"")))))</f>
        <v/>
      </c>
      <c r="J54" s="48" t="inlineStr">
        <is>
          <t>Acompanhamento Topografo - Parede Concreto</t>
        </is>
      </c>
      <c r="K54" s="113" t="inlineStr">
        <is>
          <t>dia</t>
        </is>
      </c>
      <c r="L54" s="114" t="n">
        <v>1</v>
      </c>
      <c r="M54" s="46" t="n">
        <v>1450</v>
      </c>
      <c r="N54" s="47">
        <f>IF(H54="Serviço",M54*L54,IF(H54="CÉLULA CONSTRUTIVA",SUMIFS($N$8:$N$266,$B$8:$B$266,B54,$H$8:$H$266,"Serviço"),IF(H54="ETAPA",SUMIFS($N$8:$N$266,$B$8:$B$266,B54,$C$8:$C$266,C54,$H$8:$H$266,"Serviço"),IF(H54="SUBETAPA",SUMIFS($N$8:$N$266,$B$8:$B$266,B54,$C$8:$C$266,C54,$D$8:$D$266,D54,$H$8:$H$266,"Serviço"),0))))</f>
        <v/>
      </c>
      <c r="O54" s="113" t="n"/>
      <c r="P54" s="114" t="n"/>
      <c r="Q54" s="46" t="n"/>
      <c r="R54" s="47" t="n"/>
      <c r="S54" s="109" t="n"/>
      <c r="T54" s="49" t="n"/>
      <c r="U54" s="49" t="n"/>
    </row>
    <row r="55" ht="13.95" customFormat="1" customHeight="1" s="31">
      <c r="A55" s="213">
        <f>IF($H55="UNIDADE CONSTRUTIVA",OFFSET(A55,-1,0)+1,LARGE(A$3:A54,1))</f>
        <v/>
      </c>
      <c r="B55" s="213">
        <f>IF(H55="UNIDADE CONSTRUTIVA",0,IF(H55="CÉLULA CONSTRUTIVA",OFFSET(B55,-1,0)+1,OFFSET(B55,-1,0)))</f>
        <v/>
      </c>
      <c r="C55" s="213">
        <f>IF(H55="CÉLULA CONSTRUTIVA",0,IF(H55="ETAPA",OFFSET(C55,-1,0)+1,OFFSET(C55,-1,0)))</f>
        <v/>
      </c>
      <c r="D55" s="214">
        <f>IF(H55="ETAPA",0,IF(H55="SUBETAPA",OFFSET(D55,-1,0)+1,OFFSET(D55,-1,0)))</f>
        <v/>
      </c>
      <c r="E55" s="214">
        <f>IF(H55="Subetapa",0,IF(H55="serviço",OFFSET(E55,-1,0)+1,OFFSET(E55,-1,0)))</f>
        <v/>
      </c>
      <c r="G55" s="41" t="n"/>
      <c r="H55" s="42" t="inlineStr">
        <is>
          <t>CÉLULA CONSTRUTIVA</t>
        </is>
      </c>
      <c r="I55" s="43">
        <f>IF(H55="Unidade Construtiva",TEXT(A55,"00"),IF(H55="Célula Construtiva",TEXT(B55,"00"),IF(H55="Etapa",CONCATENATE(TEXT(B55,"00"),".",TEXT(C55,"000")),IF(H55="Subetapa",CONCATENATE(TEXT(B55,"00"),".",TEXT(C55,"000"),".",TEXT(D55,"000")),IF(H55="Serviço",CONCATENATE(TEXT(B55,"00"),".",TEXT(C55,"000"),".",TEXT(D55,"000"),".",TEXT(E55,"000")),"")))))</f>
        <v/>
      </c>
      <c r="J55" s="48" t="inlineStr">
        <is>
          <t>INFRAESTRUTURA</t>
        </is>
      </c>
      <c r="K55" s="45" t="n"/>
      <c r="L55" s="46" t="n"/>
      <c r="M55" s="46" t="n"/>
      <c r="N55" s="47">
        <f>IF(H55="Serviço",M55*L55,IF(H55="CÉLULA CONSTRUTIVA",SUMIFS($N$8:$N$155,$B$8:$B$155,B55,$H$8:$H$155,"Serviço"),IF(H55="ETAPA",SUMIFS($N$8:$N$155,$B$8:$B$155,B55,$C$8:$C$155,C55,$H$8:$H$155,"Serviço"),IF(H55="SUBETAPA",SUMIFS($N$8:$N$155,$B$8:$B$155,B55,$C$8:$C$155,C55,$D$8:$D$155,D55,$H$8:$H$155,"Serviço"),0))))</f>
        <v/>
      </c>
      <c r="O55" s="45" t="n"/>
      <c r="P55" s="46" t="n"/>
      <c r="Q55" s="46" t="n"/>
      <c r="R55" s="47" t="n"/>
      <c r="S55" s="109" t="n"/>
      <c r="T55" s="49" t="n"/>
      <c r="U55" s="49" t="n"/>
    </row>
    <row r="56" outlineLevel="1" ht="13.95" customFormat="1" customHeight="1" s="31">
      <c r="A56" s="213">
        <f>IF($H56="UNIDADE CONSTRUTIVA",OFFSET(A56,-1,0)+1,LARGE(A$3:A55,1))</f>
        <v/>
      </c>
      <c r="B56" s="213">
        <f>IF(H56="UNIDADE CONSTRUTIVA",0,IF(H56="CÉLULA CONSTRUTIVA",OFFSET(B56,-1,0)+1,OFFSET(B56,-1,0)))</f>
        <v/>
      </c>
      <c r="C56" s="213">
        <f>IF(H56="CÉLULA CONSTRUTIVA",0,IF(H56="ETAPA",OFFSET(C56,-1,0)+1,OFFSET(C56,-1,0)))</f>
        <v/>
      </c>
      <c r="D56" s="214">
        <f>IF(H56="ETAPA",0,IF(H56="SUBETAPA",OFFSET(D56,-1,0)+1,OFFSET(D56,-1,0)))</f>
        <v/>
      </c>
      <c r="E56" s="214">
        <f>IF(H56="Subetapa",0,IF(H56="serviço",OFFSET(E56,-1,0)+1,OFFSET(E56,-1,0)))</f>
        <v/>
      </c>
      <c r="G56" s="41" t="n"/>
      <c r="H56" s="42" t="inlineStr">
        <is>
          <t>ETAPA</t>
        </is>
      </c>
      <c r="I56" s="43">
        <f>IF(H56="Unidade Construtiva",TEXT(A56,"00"),IF(H56="Célula Construtiva",TEXT(B56,"00"),IF(H56="Etapa",CONCATENATE(TEXT(B56,"00"),".",TEXT(C56,"000")),IF(H56="Subetapa",CONCATENATE(TEXT(B56,"00"),".",TEXT(C56,"000"),".",TEXT(D56,"000")),IF(H56="Serviço",CONCATENATE(TEXT(B56,"00"),".",TEXT(C56,"000"),".",TEXT(D56,"000"),".",TEXT(E56,"000")),"")))))</f>
        <v/>
      </c>
      <c r="J56" s="48" t="inlineStr">
        <is>
          <t>FUNDAÇÃO PROFUNDA</t>
        </is>
      </c>
      <c r="K56" s="45" t="n"/>
      <c r="L56" s="46" t="n"/>
      <c r="M56" s="46" t="n"/>
      <c r="N56" s="47">
        <f>IF(H56="Serviço",M56*L56,IF(H56="CÉLULA CONSTRUTIVA",SUMIFS($N$8:$N$155,$B$8:$B$155,B56,$H$8:$H$155,"Serviço"),IF(H56="ETAPA",SUMIFS($N$8:$N$155,$B$8:$B$155,B56,$C$8:$C$155,C56,$H$8:$H$155,"Serviço"),IF(H56="SUBETAPA",SUMIFS($N$8:$N$155,$B$8:$B$155,B56,$C$8:$C$155,C56,$D$8:$D$155,D56,$H$8:$H$155,"Serviço"),0))))</f>
        <v/>
      </c>
      <c r="O56" s="45" t="n"/>
      <c r="P56" s="46" t="n"/>
      <c r="Q56" s="46" t="n"/>
      <c r="R56" s="47" t="n"/>
      <c r="S56" s="109" t="n"/>
      <c r="T56" s="49" t="n"/>
      <c r="U56" s="49" t="n"/>
    </row>
    <row r="57" outlineLevel="2" ht="13.95" customFormat="1" customHeight="1" s="31">
      <c r="A57" s="213">
        <f>IF($H57="UNIDADE CONSTRUTIVA",OFFSET(A57,-1,0)+1,LARGE(A$3:A56,1))</f>
        <v/>
      </c>
      <c r="B57" s="213">
        <f>IF(H57="UNIDADE CONSTRUTIVA",0,IF(H57="CÉLULA CONSTRUTIVA",OFFSET(B57,-1,0)+1,OFFSET(B57,-1,0)))</f>
        <v/>
      </c>
      <c r="C57" s="213">
        <f>IF(H57="CÉLULA CONSTRUTIVA",0,IF(H57="ETAPA",OFFSET(C57,-1,0)+1,OFFSET(C57,-1,0)))</f>
        <v/>
      </c>
      <c r="D57" s="214">
        <f>IF(H57="ETAPA",0,IF(H57="SUBETAPA",OFFSET(D57,-1,0)+1,OFFSET(D57,-1,0)))</f>
        <v/>
      </c>
      <c r="E57" s="214">
        <f>IF(H57="Subetapa",0,IF(H57="serviço",OFFSET(E57,-1,0)+1,OFFSET(E57,-1,0)))</f>
        <v/>
      </c>
      <c r="G57" s="41" t="n"/>
      <c r="H57" s="42" t="inlineStr">
        <is>
          <t>SUBETAPA</t>
        </is>
      </c>
      <c r="I57" s="43">
        <f>IF(H57="Unidade Construtiva",TEXT(A57,"00"),IF(H57="Célula Construtiva",TEXT(B57,"00"),IF(H57="Etapa",CONCATENATE(TEXT(B57,"00"),".",TEXT(C57,"000")),IF(H57="Subetapa",CONCATENATE(TEXT(B57,"00"),".",TEXT(C57,"000"),".",TEXT(D57,"000")),IF(H57="Serviço",CONCATENATE(TEXT(B57,"00"),".",TEXT(C57,"000"),".",TEXT(D57,"000"),".",TEXT(E57,"000")),"")))))</f>
        <v/>
      </c>
      <c r="J57" s="48" t="inlineStr">
        <is>
          <t>Perfuração</t>
        </is>
      </c>
      <c r="K57" s="45" t="n"/>
      <c r="L57" s="46" t="n"/>
      <c r="M57" s="46" t="n"/>
      <c r="N57" s="47">
        <f>IF(H57="Serviço",M57*L57,IF(H57="CÉLULA CONSTRUTIVA",SUMIFS($N$8:$N$155,$B$8:$B$155,B57,$H$8:$H$155,"Serviço"),IF(H57="ETAPA",SUMIFS($N$8:$N$155,$B$8:$B$155,B57,$C$8:$C$155,C57,$H$8:$H$155,"Serviço"),IF(H57="SUBETAPA",SUMIFS($N$8:$N$155,$B$8:$B$155,B57,$C$8:$C$155,C57,$D$8:$D$155,D57,$H$8:$H$155,"Serviço"),0))))</f>
        <v/>
      </c>
      <c r="O57" s="45" t="n"/>
      <c r="P57" s="46" t="n"/>
      <c r="Q57" s="46" t="n"/>
      <c r="R57" s="216" t="inlineStr">
        <is>
          <t>01.01.001.0002.0006 - Projeto de fundação</t>
        </is>
      </c>
      <c r="S57" s="109" t="n"/>
      <c r="T57" s="49" t="n"/>
      <c r="U57" s="49" t="n"/>
    </row>
    <row r="58" outlineLevel="3" ht="13.95" customFormat="1" customHeight="1" s="31">
      <c r="A58" s="213">
        <f>IF($H58="UNIDADE CONSTRUTIVA",OFFSET(A58,-1,0)+1,LARGE(A$3:A57,1))</f>
        <v/>
      </c>
      <c r="B58" s="213">
        <f>IF(H58="UNIDADE CONSTRUTIVA",0,IF(H58="CÉLULA CONSTRUTIVA",OFFSET(B58,-1,0)+1,OFFSET(B58,-1,0)))</f>
        <v/>
      </c>
      <c r="C58" s="213">
        <f>IF(H58="CÉLULA CONSTRUTIVA",0,IF(H58="ETAPA",OFFSET(C58,-1,0)+1,OFFSET(C58,-1,0)))</f>
        <v/>
      </c>
      <c r="D58" s="214">
        <f>IF(H58="ETAPA",0,IF(H58="SUBETAPA",OFFSET(D58,-1,0)+1,OFFSET(D58,-1,0)))</f>
        <v/>
      </c>
      <c r="E58" s="214">
        <f>IF(H58="Subetapa",0,IF(H58="serviço",OFFSET(E58,-1,0)+1,OFFSET(E58,-1,0)))</f>
        <v/>
      </c>
      <c r="G58" s="111" t="inlineStr">
        <is>
          <t>INFRAESTRUTURA</t>
        </is>
      </c>
      <c r="H58" s="42" t="inlineStr">
        <is>
          <t>SERVIÇO</t>
        </is>
      </c>
      <c r="I58" s="43">
        <f>IF(H58="Unidade Construtiva",TEXT(A58,"00"),IF(H58="Célula Construtiva",TEXT(B58,"00"),IF(H58="Etapa",CONCATENATE(TEXT(B58,"00"),".",TEXT(C58,"000")),IF(H58="Subetapa",CONCATENATE(TEXT(B58,"00"),".",TEXT(C58,"000"),".",TEXT(D58,"000")),IF(H58="Serviço",CONCATENATE(TEXT(B58,"00"),".",TEXT(C58,"000"),".",TEXT(D58,"000"),".",TEXT(E58,"000")),"")))))</f>
        <v/>
      </c>
      <c r="J58" s="48" t="inlineStr">
        <is>
          <t>Execucao Estaca Helice Continua 060Cm</t>
        </is>
      </c>
      <c r="K58" s="45" t="inlineStr">
        <is>
          <t>m</t>
        </is>
      </c>
      <c r="L58" s="46" t="n">
        <v>600</v>
      </c>
      <c r="M58" s="46" t="n">
        <v>150</v>
      </c>
      <c r="N58" s="47">
        <f>IF(H58="Serviço",M58*L58,IF(H58="CÉLULA CONSTRUTIVA",SUMIFS($N$8:$N$155,$B$8:$B$155,B58,$H$8:$H$155,"Serviço"),IF(H58="ETAPA",SUMIFS($N$8:$N$155,$B$8:$B$155,B58,$C$8:$C$155,C58,$H$8:$H$155,"Serviço"),IF(H58="SUBETAPA",SUMIFS($N$8:$N$155,$B$8:$B$155,B58,$C$8:$C$155,C58,$D$8:$D$155,D58,$H$8:$H$155,"Serviço"),0))))</f>
        <v/>
      </c>
      <c r="O58" s="45" t="n"/>
      <c r="P58" s="46" t="n"/>
      <c r="Q58" s="46" t="n"/>
      <c r="R58" s="47" t="n"/>
      <c r="S58" s="109" t="n"/>
      <c r="T58" s="49" t="n"/>
      <c r="U58" s="49" t="n"/>
    </row>
    <row r="59" outlineLevel="3" ht="13.95" customFormat="1" customHeight="1" s="31">
      <c r="A59" s="213">
        <f>IF($H59="UNIDADE CONSTRUTIVA",OFFSET(A59,-1,0)+1,LARGE(A$3:A58,1))</f>
        <v/>
      </c>
      <c r="B59" s="213">
        <f>IF(H59="UNIDADE CONSTRUTIVA",0,IF(H59="CÉLULA CONSTRUTIVA",OFFSET(B59,-1,0)+1,OFFSET(B59,-1,0)))</f>
        <v/>
      </c>
      <c r="C59" s="213">
        <f>IF(H59="CÉLULA CONSTRUTIVA",0,IF(H59="ETAPA",OFFSET(C59,-1,0)+1,OFFSET(C59,-1,0)))</f>
        <v/>
      </c>
      <c r="D59" s="214">
        <f>IF(H59="ETAPA",0,IF(H59="SUBETAPA",OFFSET(D59,-1,0)+1,OFFSET(D59,-1,0)))</f>
        <v/>
      </c>
      <c r="E59" s="214">
        <f>IF(H59="Subetapa",0,IF(H59="serviço",OFFSET(E59,-1,0)+1,OFFSET(E59,-1,0)))</f>
        <v/>
      </c>
      <c r="G59" s="111" t="inlineStr">
        <is>
          <t>INFRAESTRUTURA</t>
        </is>
      </c>
      <c r="H59" s="42" t="inlineStr">
        <is>
          <t>SERVIÇO</t>
        </is>
      </c>
      <c r="I59" s="43">
        <f>IF(H59="Unidade Construtiva",TEXT(A59,"00"),IF(H59="Célula Construtiva",TEXT(B59,"00"),IF(H59="Etapa",CONCATENATE(TEXT(B59,"00"),".",TEXT(C59,"000")),IF(H59="Subetapa",CONCATENATE(TEXT(B59,"00"),".",TEXT(C59,"000"),".",TEXT(D59,"000")),IF(H59="Serviço",CONCATENATE(TEXT(B59,"00"),".",TEXT(C59,"000"),".",TEXT(D59,"000"),".",TEXT(E59,"000")),"")))))</f>
        <v/>
      </c>
      <c r="J59" s="48" t="inlineStr">
        <is>
          <t>Execucao Estaca Helice Continua 070Cm</t>
        </is>
      </c>
      <c r="K59" s="45" t="inlineStr">
        <is>
          <t>m</t>
        </is>
      </c>
      <c r="L59" s="46" t="n">
        <v>330</v>
      </c>
      <c r="M59" s="46" t="n">
        <v>180</v>
      </c>
      <c r="N59" s="47">
        <f>IF(H59="Serviço",M59*L59,IF(H59="CÉLULA CONSTRUTIVA",SUMIFS($N$8:$N$155,$B$8:$B$155,B59,$H$8:$H$155,"Serviço"),IF(H59="ETAPA",SUMIFS($N$8:$N$155,$B$8:$B$155,B59,$C$8:$C$155,C59,$H$8:$H$155,"Serviço"),IF(H59="SUBETAPA",SUMIFS($N$8:$N$155,$B$8:$B$155,B59,$C$8:$C$155,C59,$D$8:$D$155,D59,$H$8:$H$155,"Serviço"),0))))</f>
        <v/>
      </c>
      <c r="O59" s="45" t="n"/>
      <c r="P59" s="46" t="n"/>
      <c r="Q59" s="46" t="n"/>
      <c r="R59" s="47" t="n"/>
      <c r="S59" s="109" t="n"/>
      <c r="T59" s="49" t="n"/>
      <c r="U59" s="49" t="n"/>
    </row>
    <row r="60" outlineLevel="3" ht="13.95" customFormat="1" customHeight="1" s="31">
      <c r="A60" s="213">
        <f>IF($H60="UNIDADE CONSTRUTIVA",OFFSET(A60,-1,0)+1,LARGE(A$3:A59,1))</f>
        <v/>
      </c>
      <c r="B60" s="213">
        <f>IF(H60="UNIDADE CONSTRUTIVA",0,IF(H60="CÉLULA CONSTRUTIVA",OFFSET(B60,-1,0)+1,OFFSET(B60,-1,0)))</f>
        <v/>
      </c>
      <c r="C60" s="213">
        <f>IF(H60="CÉLULA CONSTRUTIVA",0,IF(H60="ETAPA",OFFSET(C60,-1,0)+1,OFFSET(C60,-1,0)))</f>
        <v/>
      </c>
      <c r="D60" s="214">
        <f>IF(H60="ETAPA",0,IF(H60="SUBETAPA",OFFSET(D60,-1,0)+1,OFFSET(D60,-1,0)))</f>
        <v/>
      </c>
      <c r="E60" s="214">
        <f>IF(H60="Subetapa",0,IF(H60="serviço",OFFSET(E60,-1,0)+1,OFFSET(E60,-1,0)))</f>
        <v/>
      </c>
      <c r="G60" s="111" t="inlineStr">
        <is>
          <t>INFRAESTRUTURA</t>
        </is>
      </c>
      <c r="H60" s="42" t="inlineStr">
        <is>
          <t>SERVIÇO</t>
        </is>
      </c>
      <c r="I60" s="43">
        <f>IF(H60="Unidade Construtiva",TEXT(A60,"00"),IF(H60="Célula Construtiva",TEXT(B60,"00"),IF(H60="Etapa",CONCATENATE(TEXT(B60,"00"),".",TEXT(C60,"000")),IF(H60="Subetapa",CONCATENATE(TEXT(B60,"00"),".",TEXT(C60,"000"),".",TEXT(D60,"000")),IF(H60="Serviço",CONCATENATE(TEXT(B60,"00"),".",TEXT(C60,"000"),".",TEXT(D60,"000"),".",TEXT(E60,"000")),"")))))</f>
        <v/>
      </c>
      <c r="J60" s="48" t="inlineStr">
        <is>
          <t xml:space="preserve">	Mobilização e desmobilização de equipamentos - Para execução de estaca hélice</t>
        </is>
      </c>
      <c r="K60" s="45" t="inlineStr">
        <is>
          <t>vb</t>
        </is>
      </c>
      <c r="L60" s="46" t="n">
        <v>1</v>
      </c>
      <c r="M60" s="46" t="n">
        <v>18500</v>
      </c>
      <c r="N60" s="47">
        <f>IF(H60="Serviço",M60*L60,IF(H60="CÉLULA CONSTRUTIVA",SUMIFS($N$8:$N$155,$B$8:$B$155,B60,$H$8:$H$155,"Serviço"),IF(H60="ETAPA",SUMIFS($N$8:$N$155,$B$8:$B$155,B60,$C$8:$C$155,C60,$H$8:$H$155,"Serviço"),IF(H60="SUBETAPA",SUMIFS($N$8:$N$155,$B$8:$B$155,B60,$C$8:$C$155,C60,$D$8:$D$155,D60,$H$8:$H$155,"Serviço"),0))))</f>
        <v/>
      </c>
      <c r="O60" s="45" t="n"/>
      <c r="P60" s="46" t="n"/>
      <c r="Q60" s="46" t="n"/>
      <c r="R60" s="47" t="n"/>
      <c r="S60" s="109" t="n"/>
      <c r="T60" s="49" t="n"/>
      <c r="U60" s="49" t="n"/>
    </row>
    <row r="61" outlineLevel="2" ht="13.95" customFormat="1" customHeight="1" s="31">
      <c r="A61" s="213">
        <f>IF($H61="UNIDADE CONSTRUTIVA",OFFSET(A61,-1,0)+1,LARGE(A$3:A60,1))</f>
        <v/>
      </c>
      <c r="B61" s="213">
        <f>IF(H61="UNIDADE CONSTRUTIVA",0,IF(H61="CÉLULA CONSTRUTIVA",OFFSET(B61,-1,0)+1,OFFSET(B61,-1,0)))</f>
        <v/>
      </c>
      <c r="C61" s="213">
        <f>IF(H61="CÉLULA CONSTRUTIVA",0,IF(H61="ETAPA",OFFSET(C61,-1,0)+1,OFFSET(C61,-1,0)))</f>
        <v/>
      </c>
      <c r="D61" s="214">
        <f>IF(H61="ETAPA",0,IF(H61="SUBETAPA",OFFSET(D61,-1,0)+1,OFFSET(D61,-1,0)))</f>
        <v/>
      </c>
      <c r="E61" s="214">
        <f>IF(H61="Subetapa",0,IF(H61="serviço",OFFSET(E61,-1,0)+1,OFFSET(E61,-1,0)))</f>
        <v/>
      </c>
      <c r="G61" s="111" t="n"/>
      <c r="H61" s="42" t="inlineStr">
        <is>
          <t>SUBETAPA</t>
        </is>
      </c>
      <c r="I61" s="43">
        <f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/>
      </c>
      <c r="J61" s="48" t="inlineStr">
        <is>
          <t>Armadura</t>
        </is>
      </c>
      <c r="K61" s="45" t="n"/>
      <c r="L61" s="52" t="n"/>
      <c r="M61" s="52" t="n"/>
      <c r="N61" s="47">
        <f>IF(H61="Serviço",M61*L61,IF(H61="CÉLULA CONSTRUTIVA",SUMIFS($N$8:$N$155,$B$8:$B$155,B61,$H$8:$H$155,"Serviço"),IF(H61="ETAPA",SUMIFS($N$8:$N$155,$B$8:$B$155,B61,$C$8:$C$155,C61,$H$8:$H$155,"Serviço"),IF(H61="SUBETAPA",SUMIFS($N$8:$N$155,$B$8:$B$155,B61,$C$8:$C$155,C61,$D$8:$D$155,D61,$H$8:$H$155,"Serviço"),0))))</f>
        <v/>
      </c>
      <c r="O61" s="45" t="n"/>
      <c r="P61" s="52" t="n"/>
      <c r="Q61" s="52" t="n"/>
      <c r="R61" s="47" t="n"/>
      <c r="S61" s="109" t="n"/>
      <c r="T61" s="49" t="n"/>
      <c r="U61" s="49" t="n"/>
    </row>
    <row r="62" outlineLevel="3" ht="13.95" customFormat="1" customHeight="1" s="31">
      <c r="A62" s="213">
        <f>IF($H62="UNIDADE CONSTRUTIVA",OFFSET(A62,-1,0)+1,LARGE(A$3:A61,1))</f>
        <v/>
      </c>
      <c r="B62" s="213">
        <f>IF(H62="UNIDADE CONSTRUTIVA",0,IF(H62="CÉLULA CONSTRUTIVA",OFFSET(B62,-1,0)+1,OFFSET(B62,-1,0)))</f>
        <v/>
      </c>
      <c r="C62" s="213">
        <f>IF(H62="CÉLULA CONSTRUTIVA",0,IF(H62="ETAPA",OFFSET(C62,-1,0)+1,OFFSET(C62,-1,0)))</f>
        <v/>
      </c>
      <c r="D62" s="214">
        <f>IF(H62="ETAPA",0,IF(H62="SUBETAPA",OFFSET(D62,-1,0)+1,OFFSET(D62,-1,0)))</f>
        <v/>
      </c>
      <c r="E62" s="214">
        <f>IF(H62="Subetapa",0,IF(H62="serviço",OFFSET(E62,-1,0)+1,OFFSET(E62,-1,0)))</f>
        <v/>
      </c>
      <c r="G62" s="111" t="inlineStr">
        <is>
          <t>INFRAESTRUTURA</t>
        </is>
      </c>
      <c r="H62" s="42" t="inlineStr">
        <is>
          <t>SERVIÇO</t>
        </is>
      </c>
      <c r="I62" s="43">
        <f>IF(H62="Unidade Construtiva",TEXT(A62,"00"),IF(H62="Célula Construtiva",TEXT(B62,"00"),IF(H62="Etapa",CONCATENATE(TEXT(B62,"00"),".",TEXT(C62,"000")),IF(H62="Subetapa",CONCATENATE(TEXT(B62,"00"),".",TEXT(C62,"000"),".",TEXT(D62,"000")),IF(H62="Serviço",CONCATENATE(TEXT(B62,"00"),".",TEXT(C62,"000"),".",TEXT(D62,"000"),".",TEXT(E62,"000")),"")))))</f>
        <v/>
      </c>
      <c r="J62" s="48" t="inlineStr">
        <is>
          <t>Armação aço CA-50 ø 6,3mm para estaca (corte e dobra em obra)</t>
        </is>
      </c>
      <c r="K62" s="45" t="inlineStr">
        <is>
          <t>kg</t>
        </is>
      </c>
      <c r="L62" s="46" t="n">
        <v>444.9673294728243</v>
      </c>
      <c r="M62" s="46" t="n">
        <v>6.938145</v>
      </c>
      <c r="N62" s="47">
        <f>IF(H62="Serviço",M62*L62,IF(H62="CÉLULA CONSTRUTIVA",SUMIFS($N$8:$N$155,$B$8:$B$155,B62,$H$8:$H$155,"Serviço"),IF(H62="ETAPA",SUMIFS($N$8:$N$155,$B$8:$B$155,B62,$C$8:$C$155,C62,$H$8:$H$155,"Serviço"),IF(H62="SUBETAPA",SUMIFS($N$8:$N$155,$B$8:$B$155,B62,$C$8:$C$155,C62,$D$8:$D$155,D62,$H$8:$H$155,"Serviço"),0))))</f>
        <v/>
      </c>
      <c r="O62" s="45" t="n"/>
      <c r="P62" s="46" t="n"/>
      <c r="Q62" s="46" t="n"/>
      <c r="R62" s="47" t="n"/>
      <c r="S62" s="109" t="n"/>
      <c r="T62" s="49" t="n"/>
      <c r="U62" s="49" t="n"/>
    </row>
    <row r="63" outlineLevel="3" ht="13.95" customFormat="1" customHeight="1" s="31">
      <c r="A63" s="213">
        <f>IF($H63="UNIDADE CONSTRUTIVA",OFFSET(A63,-1,0)+1,LARGE(A$3:A62,1))</f>
        <v/>
      </c>
      <c r="B63" s="213">
        <f>IF(H63="UNIDADE CONSTRUTIVA",0,IF(H63="CÉLULA CONSTRUTIVA",OFFSET(B63,-1,0)+1,OFFSET(B63,-1,0)))</f>
        <v/>
      </c>
      <c r="C63" s="213">
        <f>IF(H63="CÉLULA CONSTRUTIVA",0,IF(H63="ETAPA",OFFSET(C63,-1,0)+1,OFFSET(C63,-1,0)))</f>
        <v/>
      </c>
      <c r="D63" s="214">
        <f>IF(H63="ETAPA",0,IF(H63="SUBETAPA",OFFSET(D63,-1,0)+1,OFFSET(D63,-1,0)))</f>
        <v/>
      </c>
      <c r="E63" s="214">
        <f>IF(H63="Subetapa",0,IF(H63="serviço",OFFSET(E63,-1,0)+1,OFFSET(E63,-1,0)))</f>
        <v/>
      </c>
      <c r="G63" s="111" t="inlineStr">
        <is>
          <t>INFRAESTRUTURA</t>
        </is>
      </c>
      <c r="H63" s="42" t="inlineStr">
        <is>
          <t>SERVIÇO</t>
        </is>
      </c>
      <c r="I63" s="43">
        <f>IF(H63="Unidade Construtiva",TEXT(A63,"00"),IF(H63="Célula Construtiva",TEXT(B63,"00"),IF(H63="Etapa",CONCATENATE(TEXT(B63,"00"),".",TEXT(C63,"000")),IF(H63="Subetapa",CONCATENATE(TEXT(B63,"00"),".",TEXT(C63,"000"),".",TEXT(D63,"000")),IF(H63="Serviço",CONCATENATE(TEXT(B63,"00"),".",TEXT(C63,"000"),".",TEXT(D63,"000"),".",TEXT(E63,"000")),"")))))</f>
        <v/>
      </c>
      <c r="J63" s="48" t="inlineStr">
        <is>
          <t>Armação aço CA-50 ø 16,0mm para estaca (corte e dobra em obra)</t>
        </is>
      </c>
      <c r="K63" s="45" t="inlineStr">
        <is>
          <t>kg</t>
        </is>
      </c>
      <c r="L63" s="46" t="n">
        <v>4242.021874307591</v>
      </c>
      <c r="M63" s="46" t="n">
        <v>6.443144999999999</v>
      </c>
      <c r="N63" s="47">
        <f>IF(H63="Serviço",M63*L63,IF(H63="CÉLULA CONSTRUTIVA",SUMIFS($N$8:$N$155,$B$8:$B$155,B63,$H$8:$H$155,"Serviço"),IF(H63="ETAPA",SUMIFS($N$8:$N$155,$B$8:$B$155,B63,$C$8:$C$155,C63,$H$8:$H$155,"Serviço"),IF(H63="SUBETAPA",SUMIFS($N$8:$N$155,$B$8:$B$155,B63,$C$8:$C$155,C63,$D$8:$D$155,D63,$H$8:$H$155,"Serviço"),0))))</f>
        <v/>
      </c>
      <c r="O63" s="45" t="n"/>
      <c r="P63" s="46" t="n"/>
      <c r="Q63" s="46" t="n"/>
      <c r="R63" s="47" t="n"/>
      <c r="S63" s="109" t="n"/>
      <c r="T63" s="49" t="n"/>
      <c r="U63" s="49" t="n"/>
    </row>
    <row r="64" outlineLevel="2" ht="13.95" customFormat="1" customHeight="1" s="31">
      <c r="A64" s="213">
        <f>IF($H64="UNIDADE CONSTRUTIVA",OFFSET(A64,-1,0)+1,LARGE(A$3:A63,1))</f>
        <v/>
      </c>
      <c r="B64" s="213">
        <f>IF(H64="UNIDADE CONSTRUTIVA",0,IF(H64="CÉLULA CONSTRUTIVA",OFFSET(B64,-1,0)+1,OFFSET(B64,-1,0)))</f>
        <v/>
      </c>
      <c r="C64" s="213">
        <f>IF(H64="CÉLULA CONSTRUTIVA",0,IF(H64="ETAPA",OFFSET(C64,-1,0)+1,OFFSET(C64,-1,0)))</f>
        <v/>
      </c>
      <c r="D64" s="214">
        <f>IF(H64="ETAPA",0,IF(H64="SUBETAPA",OFFSET(D64,-1,0)+1,OFFSET(D64,-1,0)))</f>
        <v/>
      </c>
      <c r="E64" s="214">
        <f>IF(H64="Subetapa",0,IF(H64="serviço",OFFSET(E64,-1,0)+1,OFFSET(E64,-1,0)))</f>
        <v/>
      </c>
      <c r="G64" s="111" t="n"/>
      <c r="H64" s="42" t="inlineStr">
        <is>
          <t>SUBETAPA</t>
        </is>
      </c>
      <c r="I64" s="43">
        <f>IF(H64="Unidade Construtiva",TEXT(A64,"00"),IF(H64="Célula Construtiva",TEXT(B64,"00"),IF(H64="Etapa",CONCATENATE(TEXT(B64,"00"),".",TEXT(C64,"000")),IF(H64="Subetapa",CONCATENATE(TEXT(B64,"00"),".",TEXT(C64,"000"),".",TEXT(D64,"000")),IF(H64="Serviço",CONCATENATE(TEXT(B64,"00"),".",TEXT(C64,"000"),".",TEXT(D64,"000"),".",TEXT(E64,"000")),"")))))</f>
        <v/>
      </c>
      <c r="J64" s="48" t="inlineStr">
        <is>
          <t>Concreto</t>
        </is>
      </c>
      <c r="K64" s="45" t="n"/>
      <c r="L64" s="52" t="n"/>
      <c r="M64" s="52" t="n"/>
      <c r="N64" s="47">
        <f>IF(H64="Serviço",M64*L64,IF(H64="CÉLULA CONSTRUTIVA",SUMIFS($N$8:$N$155,$B$8:$B$155,B64,$H$8:$H$155,"Serviço"),IF(H64="ETAPA",SUMIFS($N$8:$N$155,$B$8:$B$155,B64,$C$8:$C$155,C64,$H$8:$H$155,"Serviço"),IF(H64="SUBETAPA",SUMIFS($N$8:$N$155,$B$8:$B$155,B64,$C$8:$C$155,C64,$D$8:$D$155,D64,$H$8:$H$155,"Serviço"),0))))</f>
        <v/>
      </c>
      <c r="O64" s="45" t="n"/>
      <c r="P64" s="52" t="n"/>
      <c r="Q64" s="52" t="n"/>
      <c r="R64" s="216" t="inlineStr">
        <is>
          <t>15.001.008.003 - Concregrama</t>
        </is>
      </c>
      <c r="S64" s="109" t="n"/>
      <c r="T64" s="49" t="n"/>
      <c r="U64" s="49" t="n"/>
    </row>
    <row r="65" outlineLevel="3" ht="13.95" customFormat="1" customHeight="1" s="31">
      <c r="A65" s="213">
        <f>IF($H65="UNIDADE CONSTRUTIVA",OFFSET(A65,-1,0)+1,LARGE(A$3:A64,1))</f>
        <v/>
      </c>
      <c r="B65" s="213">
        <f>IF(H65="UNIDADE CONSTRUTIVA",0,IF(H65="CÉLULA CONSTRUTIVA",OFFSET(B65,-1,0)+1,OFFSET(B65,-1,0)))</f>
        <v/>
      </c>
      <c r="C65" s="213">
        <f>IF(H65="CÉLULA CONSTRUTIVA",0,IF(H65="ETAPA",OFFSET(C65,-1,0)+1,OFFSET(C65,-1,0)))</f>
        <v/>
      </c>
      <c r="D65" s="214">
        <f>IF(H65="ETAPA",0,IF(H65="SUBETAPA",OFFSET(D65,-1,0)+1,OFFSET(D65,-1,0)))</f>
        <v/>
      </c>
      <c r="E65" s="214">
        <f>IF(H65="Subetapa",0,IF(H65="serviço",OFFSET(E65,-1,0)+1,OFFSET(E65,-1,0)))</f>
        <v/>
      </c>
      <c r="G65" s="111" t="inlineStr">
        <is>
          <t>INFRAESTRUTURA</t>
        </is>
      </c>
      <c r="H65" s="42" t="inlineStr">
        <is>
          <t>SERVIÇO</t>
        </is>
      </c>
      <c r="I65" s="43">
        <f>IF(H65="Unidade Construtiva",TEXT(A65,"00"),IF(H65="Célula Construtiva",TEXT(B65,"00"),IF(H65="Etapa",CONCATENATE(TEXT(B65,"00"),".",TEXT(C65,"000")),IF(H65="Subetapa",CONCATENATE(TEXT(B65,"00"),".",TEXT(C65,"000"),".",TEXT(D65,"000")),IF(H65="Serviço",CONCATENATE(TEXT(B65,"00"),".",TEXT(C65,"000"),".",TEXT(D65,"000"),".",TEXT(E65,"000")),"")))))</f>
        <v/>
      </c>
      <c r="J65" s="48" t="inlineStr">
        <is>
          <t>Concreto Usinado bombeável para estacas 40MPa  - incluindo serviço de bombeamento</t>
        </is>
      </c>
      <c r="K65" s="45" t="inlineStr">
        <is>
          <t>m3</t>
        </is>
      </c>
      <c r="L65" s="46" t="n">
        <v>296.6448863152162</v>
      </c>
      <c r="M65" s="46" t="n">
        <v>742.5713904761905</v>
      </c>
      <c r="N65" s="47">
        <f>IF(H65="Serviço",M65*L65,IF(H65="CÉLULA CONSTRUTIVA",SUMIFS($N$8:$N$155,$B$8:$B$155,B65,$H$8:$H$155,"Serviço"),IF(H65="ETAPA",SUMIFS($N$8:$N$155,$B$8:$B$155,B65,$C$8:$C$155,C65,$H$8:$H$155,"Serviço"),IF(H65="SUBETAPA",SUMIFS($N$8:$N$155,$B$8:$B$155,B65,$C$8:$C$155,C65,$D$8:$D$155,D65,$H$8:$H$155,"Serviço"),0))))</f>
        <v/>
      </c>
      <c r="O65" s="45" t="n"/>
      <c r="P65" s="46" t="n"/>
      <c r="Q65" s="46" t="n"/>
      <c r="R65" s="47" t="n"/>
      <c r="S65" s="109" t="n"/>
      <c r="T65" s="49" t="n"/>
      <c r="U65" s="49" t="n"/>
    </row>
    <row r="66" outlineLevel="2" ht="13.95" customFormat="1" customHeight="1" s="31">
      <c r="A66" s="213">
        <f>IF($H66="UNIDADE CONSTRUTIVA",OFFSET(A66,-1,0)+1,LARGE(A$3:A65,1))</f>
        <v/>
      </c>
      <c r="B66" s="213">
        <f>IF(H66="UNIDADE CONSTRUTIVA",0,IF(H66="CÉLULA CONSTRUTIVA",OFFSET(B66,-1,0)+1,OFFSET(B66,-1,0)))</f>
        <v/>
      </c>
      <c r="C66" s="213">
        <f>IF(H66="CÉLULA CONSTRUTIVA",0,IF(H66="ETAPA",OFFSET(C66,-1,0)+1,OFFSET(C66,-1,0)))</f>
        <v/>
      </c>
      <c r="D66" s="214">
        <f>IF(H66="ETAPA",0,IF(H66="SUBETAPA",OFFSET(D66,-1,0)+1,OFFSET(D66,-1,0)))</f>
        <v/>
      </c>
      <c r="E66" s="214">
        <f>IF(H66="Subetapa",0,IF(H66="serviço",OFFSET(E66,-1,0)+1,OFFSET(E66,-1,0)))</f>
        <v/>
      </c>
      <c r="G66" s="111" t="n"/>
      <c r="H66" s="42" t="inlineStr">
        <is>
          <t>SUBETAPA</t>
        </is>
      </c>
      <c r="I66" s="43">
        <f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/>
      </c>
      <c r="J66" s="48" t="inlineStr">
        <is>
          <t>Mão de Obra</t>
        </is>
      </c>
      <c r="K66" s="45" t="n"/>
      <c r="L66" s="52" t="n"/>
      <c r="M66" s="52" t="n"/>
      <c r="N66" s="47">
        <f>IF(H66="Serviço",M66*L66,IF(H66="CÉLULA CONSTRUTIVA",SUMIFS($N$8:$N$155,$B$8:$B$155,B66,$H$8:$H$155,"Serviço"),IF(H66="ETAPA",SUMIFS($N$8:$N$155,$B$8:$B$155,B66,$C$8:$C$155,C66,$H$8:$H$155,"Serviço"),IF(H66="SUBETAPA",SUMIFS($N$8:$N$155,$B$8:$B$155,B66,$C$8:$C$155,C66,$D$8:$D$155,D66,$H$8:$H$155,"Serviço"),0))))</f>
        <v/>
      </c>
      <c r="O66" s="45" t="n"/>
      <c r="P66" s="52" t="n"/>
      <c r="Q66" s="52" t="n"/>
      <c r="R66" s="216" t="inlineStr">
        <is>
          <t>19.001.005.001 - Mão de obra para telhamento</t>
        </is>
      </c>
      <c r="S66" s="109" t="n"/>
      <c r="T66" s="49" t="n"/>
      <c r="U66" s="49" t="n"/>
    </row>
    <row r="67" outlineLevel="3" ht="13.95" customFormat="1" customHeight="1" s="31">
      <c r="A67" s="213">
        <f>IF($H67="UNIDADE CONSTRUTIVA",OFFSET(A67,-1,0)+1,LARGE(A$3:A66,1))</f>
        <v/>
      </c>
      <c r="B67" s="213">
        <f>IF(H67="UNIDADE CONSTRUTIVA",0,IF(H67="CÉLULA CONSTRUTIVA",OFFSET(B67,-1,0)+1,OFFSET(B67,-1,0)))</f>
        <v/>
      </c>
      <c r="C67" s="213">
        <f>IF(H67="CÉLULA CONSTRUTIVA",0,IF(H67="ETAPA",OFFSET(C67,-1,0)+1,OFFSET(C67,-1,0)))</f>
        <v/>
      </c>
      <c r="D67" s="214">
        <f>IF(H67="ETAPA",0,IF(H67="SUBETAPA",OFFSET(D67,-1,0)+1,OFFSET(D67,-1,0)))</f>
        <v/>
      </c>
      <c r="E67" s="214">
        <f>IF(H67="Subetapa",0,IF(H67="serviço",OFFSET(E67,-1,0)+1,OFFSET(E67,-1,0)))</f>
        <v/>
      </c>
      <c r="G67" s="111" t="inlineStr">
        <is>
          <t>INFRAESTRUTURA</t>
        </is>
      </c>
      <c r="H67" s="42" t="inlineStr">
        <is>
          <t>SERVIÇO</t>
        </is>
      </c>
      <c r="I67" s="43">
        <f>IF(H67="Unidade Construtiva",TEXT(A67,"00"),IF(H67="Célula Construtiva",TEXT(B67,"00"),IF(H67="Etapa",CONCATENATE(TEXT(B67,"00"),".",TEXT(C67,"000")),IF(H67="Subetapa",CONCATENATE(TEXT(B67,"00"),".",TEXT(C67,"000"),".",TEXT(D67,"000")),IF(H67="Serviço",CONCATENATE(TEXT(B67,"00"),".",TEXT(C67,"000"),".",TEXT(D67,"000"),".",TEXT(E67,"000")),"")))))</f>
        <v/>
      </c>
      <c r="J67" s="48" t="inlineStr">
        <is>
          <t>Corte e Preparo de Cabeça de Estaca</t>
        </is>
      </c>
      <c r="K67" s="45" t="inlineStr">
        <is>
          <t>un</t>
        </is>
      </c>
      <c r="L67" s="46" t="n">
        <v>62</v>
      </c>
      <c r="M67" s="46" t="n">
        <v>450</v>
      </c>
      <c r="N67" s="47">
        <f>IF(H67="Serviço",M67*L67,IF(H67="CÉLULA CONSTRUTIVA",SUMIFS($N$8:$N$155,$B$8:$B$155,B67,$H$8:$H$155,"Serviço"),IF(H67="ETAPA",SUMIFS($N$8:$N$155,$B$8:$B$155,B67,$C$8:$C$155,C67,$H$8:$H$155,"Serviço"),IF(H67="SUBETAPA",SUMIFS($N$8:$N$155,$B$8:$B$155,B67,$C$8:$C$155,C67,$D$8:$D$155,D67,$H$8:$H$155,"Serviço"),0))))</f>
        <v/>
      </c>
      <c r="O67" s="45" t="n"/>
      <c r="P67" s="46" t="n"/>
      <c r="Q67" s="46" t="n"/>
      <c r="R67" s="47" t="n"/>
      <c r="S67" s="109" t="n"/>
      <c r="T67" s="49" t="n"/>
      <c r="U67" s="49" t="n"/>
    </row>
    <row r="68" outlineLevel="3" ht="13.95" customFormat="1" customHeight="1" s="31">
      <c r="A68" s="213">
        <f>IF($H68="UNIDADE CONSTRUTIVA",OFFSET(A68,-1,0)+1,LARGE(A$3:A67,1))</f>
        <v/>
      </c>
      <c r="B68" s="213">
        <f>IF(H68="UNIDADE CONSTRUTIVA",0,IF(H68="CÉLULA CONSTRUTIVA",OFFSET(B68,-1,0)+1,OFFSET(B68,-1,0)))</f>
        <v/>
      </c>
      <c r="C68" s="213">
        <f>IF(H68="CÉLULA CONSTRUTIVA",0,IF(H68="ETAPA",OFFSET(C68,-1,0)+1,OFFSET(C68,-1,0)))</f>
        <v/>
      </c>
      <c r="D68" s="214">
        <f>IF(H68="ETAPA",0,IF(H68="SUBETAPA",OFFSET(D68,-1,0)+1,OFFSET(D68,-1,0)))</f>
        <v/>
      </c>
      <c r="E68" s="214">
        <f>IF(H68="Subetapa",0,IF(H68="serviço",OFFSET(E68,-1,0)+1,OFFSET(E68,-1,0)))</f>
        <v/>
      </c>
      <c r="G68" s="111" t="inlineStr">
        <is>
          <t>INFRAESTRUTURA</t>
        </is>
      </c>
      <c r="H68" s="42" t="inlineStr">
        <is>
          <t>SERVIÇO</t>
        </is>
      </c>
      <c r="I68" s="43">
        <f>IF(H68="Unidade Construtiva",TEXT(A68,"00"),IF(H68="Célula Construtiva",TEXT(B68,"00"),IF(H68="Etapa",CONCATENATE(TEXT(B68,"00"),".",TEXT(C68,"000")),IF(H68="Subetapa",CONCATENATE(TEXT(B68,"00"),".",TEXT(C68,"000"),".",TEXT(D68,"000")),IF(H68="Serviço",CONCATENATE(TEXT(B68,"00"),".",TEXT(C68,"000"),".",TEXT(D68,"000"),".",TEXT(E68,"000")),"")))))</f>
        <v/>
      </c>
      <c r="J68" s="48" t="inlineStr">
        <is>
          <t>Acompanhamento Topografo - Estacas</t>
        </is>
      </c>
      <c r="K68" s="113" t="inlineStr">
        <is>
          <t>dia</t>
        </is>
      </c>
      <c r="L68" s="114" t="n">
        <v>10</v>
      </c>
      <c r="M68" s="46" t="n">
        <v>1450</v>
      </c>
      <c r="N68" s="47">
        <f>IF(H68="Serviço",M68*L68,IF(H68="CÉLULA CONSTRUTIVA",SUMIFS($N$8:$N$155,$B$8:$B$155,B68,$H$8:$H$155,"Serviço"),IF(H68="ETAPA",SUMIFS($N$8:$N$155,$B$8:$B$155,B68,$C$8:$C$155,C68,$H$8:$H$155,"Serviço"),IF(H68="SUBETAPA",SUMIFS($N$8:$N$155,$B$8:$B$155,B68,$C$8:$C$155,C68,$D$8:$D$155,D68,$H$8:$H$155,"Serviço"),0))))</f>
        <v/>
      </c>
      <c r="O68" s="113" t="n"/>
      <c r="P68" s="114" t="n"/>
      <c r="Q68" s="46" t="n"/>
      <c r="R68" s="47" t="n"/>
      <c r="S68" s="109" t="n"/>
      <c r="T68" s="49" t="n"/>
      <c r="U68" s="49" t="n"/>
    </row>
    <row r="69" outlineLevel="1" ht="13.95" customFormat="1" customHeight="1" s="31">
      <c r="A69" s="217">
        <f>IF($H69="UNIDADE CONSTRUTIVA",OFFSET(A69,-1,0)+1,LARGE(A$3:A68,1))</f>
        <v/>
      </c>
      <c r="B69" s="217">
        <f>IF(H69="UNIDADE CONSTRUTIVA",0,IF(H69="CÉLULA CONSTRUTIVA",OFFSET(B69,-1,0)+1,OFFSET(B69,-1,0)))</f>
        <v/>
      </c>
      <c r="C69" s="217">
        <f>IF(H69="CÉLULA CONSTRUTIVA",0,IF(H69="ETAPA",OFFSET(C69,-1,0)+1,OFFSET(C69,-1,0)))</f>
        <v/>
      </c>
      <c r="D69" s="218">
        <f>IF(H69="ETAPA",0,IF(H69="SUBETAPA",OFFSET(D69,-1,0)+1,OFFSET(D69,-1,0)))</f>
        <v/>
      </c>
      <c r="E69" s="218">
        <f>IF(H69="Subetapa",0,IF(H69="serviço",OFFSET(E69,-1,0)+1,OFFSET(E69,-1,0)))</f>
        <v/>
      </c>
      <c r="G69" s="111" t="n"/>
      <c r="H69" s="42" t="inlineStr">
        <is>
          <t>ETAPA</t>
        </is>
      </c>
      <c r="I69" s="43">
        <f>IF(H69="Unidade Construtiva",TEXT(A69,"00"),IF(H69="Célula Construtiva",TEXT(B69,"00"),IF(H69="Etapa",CONCATENATE(TEXT(B69,"00"),".",TEXT(C69,"000")),IF(H69="Subetapa",CONCATENATE(TEXT(B69,"00"),".",TEXT(C69,"000"),".",TEXT(D69,"000")),IF(H69="Serviço",CONCATENATE(TEXT(B69,"00"),".",TEXT(C69,"000"),".",TEXT(D69,"000"),".",TEXT(E69,"000")),"")))))</f>
        <v/>
      </c>
      <c r="J69" s="48" t="inlineStr">
        <is>
          <t>FUNDAÇÃO RASA</t>
        </is>
      </c>
      <c r="K69" s="45" t="n"/>
      <c r="L69" s="46" t="n"/>
      <c r="M69" s="46" t="n"/>
      <c r="N69" s="47">
        <f>IF(H69="Serviço",M69*L69,IF(H69="CÉLULA CONSTRUTIVA",SUMIFS($N$8:$N$155,$B$8:$B$155,B69,$H$8:$H$155,"Serviço"),IF(H69="ETAPA",SUMIFS($N$8:$N$155,$B$8:$B$155,B69,$C$8:$C$155,C69,$H$8:$H$155,"Serviço"),IF(H69="SUBETAPA",SUMIFS($N$8:$N$155,$B$8:$B$155,B69,$C$8:$C$155,C69,$D$8:$D$155,D69,$H$8:$H$155,"Serviço"),0))))</f>
        <v/>
      </c>
      <c r="O69" s="45" t="n"/>
      <c r="P69" s="46" t="n"/>
      <c r="Q69" s="46" t="n"/>
      <c r="R69" s="47" t="n"/>
      <c r="S69" s="109" t="n"/>
      <c r="T69" s="49" t="n"/>
      <c r="U69" s="49" t="n"/>
    </row>
    <row r="70" outlineLevel="2" ht="13.95" customFormat="1" customHeight="1" s="31">
      <c r="A70" s="217">
        <f>IF($H70="UNIDADE CONSTRUTIVA",OFFSET(A70,-1,0)+1,LARGE(A$3:A69,1))</f>
        <v/>
      </c>
      <c r="B70" s="217">
        <f>IF(H70="UNIDADE CONSTRUTIVA",0,IF(H70="CÉLULA CONSTRUTIVA",OFFSET(B70,-1,0)+1,OFFSET(B70,-1,0)))</f>
        <v/>
      </c>
      <c r="C70" s="217">
        <f>IF(H70="CÉLULA CONSTRUTIVA",0,IF(H70="ETAPA",OFFSET(C70,-1,0)+1,OFFSET(C70,-1,0)))</f>
        <v/>
      </c>
      <c r="D70" s="218">
        <f>IF(H70="ETAPA",0,IF(H70="SUBETAPA",OFFSET(D70,-1,0)+1,OFFSET(D70,-1,0)))</f>
        <v/>
      </c>
      <c r="E70" s="218">
        <f>IF(H70="Subetapa",0,IF(H70="serviço",OFFSET(E70,-1,0)+1,OFFSET(E70,-1,0)))</f>
        <v/>
      </c>
      <c r="G70" s="111" t="n"/>
      <c r="H70" s="42" t="inlineStr">
        <is>
          <t>SUBETAPA</t>
        </is>
      </c>
      <c r="I70" s="43">
        <f>IF(H70="Unidade Construtiva",TEXT(A70,"00"),IF(H70="Célula Construtiva",TEXT(B70,"00"),IF(H70="Etapa",CONCATENATE(TEXT(B70,"00"),".",TEXT(C70,"000")),IF(H70="Subetapa",CONCATENATE(TEXT(B70,"00"),".",TEXT(C70,"000"),".",TEXT(D70,"000")),IF(H70="Serviço",CONCATENATE(TEXT(B70,"00"),".",TEXT(C70,"000"),".",TEXT(D70,"000"),".",TEXT(E70,"000")),"")))))</f>
        <v/>
      </c>
      <c r="J70" s="48" t="inlineStr">
        <is>
          <t>Forma</t>
        </is>
      </c>
      <c r="K70" s="45" t="n"/>
      <c r="L70" s="46" t="n"/>
      <c r="M70" s="46" t="n"/>
      <c r="N70" s="47">
        <f>IF(H70="Serviço",M70*L70,IF(H70="CÉLULA CONSTRUTIVA",SUMIFS($N$8:$N$155,$B$8:$B$155,B70,$H$8:$H$155,"Serviço"),IF(H70="ETAPA",SUMIFS($N$8:$N$155,$B$8:$B$155,B70,$C$8:$C$155,C70,$H$8:$H$155,"Serviço"),IF(H70="SUBETAPA",SUMIFS($N$8:$N$155,$B$8:$B$155,B70,$C$8:$C$155,C70,$D$8:$D$155,D70,$H$8:$H$155,"Serviço"),0))))</f>
        <v/>
      </c>
      <c r="O70" s="45" t="n"/>
      <c r="P70" s="46" t="n"/>
      <c r="Q70" s="46" t="n"/>
      <c r="R70" s="216" t="inlineStr">
        <is>
          <t>15.001.008.003 - Concregrama</t>
        </is>
      </c>
      <c r="S70" s="109" t="n"/>
      <c r="T70" s="49" t="n"/>
      <c r="U70" s="49" t="n"/>
    </row>
    <row r="71" outlineLevel="3" ht="13.95" customFormat="1" customHeight="1" s="31">
      <c r="A71" s="217">
        <f>IF($H71="UNIDADE CONSTRUTIVA",OFFSET(A71,-1,0)+1,LARGE(A$3:A70,1))</f>
        <v/>
      </c>
      <c r="B71" s="217">
        <f>IF(H71="UNIDADE CONSTRUTIVA",0,IF(H71="CÉLULA CONSTRUTIVA",OFFSET(B71,-1,0)+1,OFFSET(B71,-1,0)))</f>
        <v/>
      </c>
      <c r="C71" s="217">
        <f>IF(H71="CÉLULA CONSTRUTIVA",0,IF(H71="ETAPA",OFFSET(C71,-1,0)+1,OFFSET(C71,-1,0)))</f>
        <v/>
      </c>
      <c r="D71" s="218">
        <f>IF(H71="ETAPA",0,IF(H71="SUBETAPA",OFFSET(D71,-1,0)+1,OFFSET(D71,-1,0)))</f>
        <v/>
      </c>
      <c r="E71" s="218">
        <f>IF(H71="Subetapa",0,IF(H71="serviço",OFFSET(E71,-1,0)+1,OFFSET(E71,-1,0)))</f>
        <v/>
      </c>
      <c r="G71" s="111" t="inlineStr">
        <is>
          <t>INFRAESTRUTURA</t>
        </is>
      </c>
      <c r="H71" s="42" t="inlineStr">
        <is>
          <t>SERVIÇO</t>
        </is>
      </c>
      <c r="I71" s="43">
        <f>IF(H71="Unidade Construtiva",TEXT(A71,"00"),IF(H71="Célula Construtiva",TEXT(B71,"00"),IF(H71="Etapa",CONCATENATE(TEXT(B71,"00"),".",TEXT(C71,"000")),IF(H71="Subetapa",CONCATENATE(TEXT(B71,"00"),".",TEXT(C71,"000"),".",TEXT(D71,"000")),IF(H71="Serviço",CONCATENATE(TEXT(B71,"00"),".",TEXT(C71,"000"),".",TEXT(D71,"000"),".",TEXT(E71,"000")),"")))))</f>
        <v/>
      </c>
      <c r="J71" s="48" t="inlineStr">
        <is>
          <t>Forma para infraestrutura em Tábuas de Madeira Serrada 2x reaproveitamento</t>
        </is>
      </c>
      <c r="K71" s="45" t="inlineStr">
        <is>
          <t>m2</t>
        </is>
      </c>
      <c r="L71" s="46" t="n">
        <v>689.64</v>
      </c>
      <c r="M71" s="46" t="n">
        <v>59.95622857142857</v>
      </c>
      <c r="N71" s="47">
        <f>IF(H71="Serviço",M71*L71,IF(H71="CÉLULA CONSTRUTIVA",SUMIFS($N$8:$N$155,$B$8:$B$155,B71,$H$8:$H$155,"Serviço"),IF(H71="ETAPA",SUMIFS($N$8:$N$155,$B$8:$B$155,B71,$C$8:$C$155,C71,$H$8:$H$155,"Serviço"),IF(H71="SUBETAPA",SUMIFS($N$8:$N$155,$B$8:$B$155,B71,$C$8:$C$155,C71,$D$8:$D$155,D71,$H$8:$H$155,"Serviço"),0))))</f>
        <v/>
      </c>
      <c r="O71" s="45" t="n"/>
      <c r="P71" s="46" t="n"/>
      <c r="Q71" s="46" t="n"/>
      <c r="R71" s="47" t="n"/>
      <c r="S71" s="109" t="n"/>
      <c r="T71" s="49" t="n"/>
      <c r="U71" s="49" t="n"/>
    </row>
    <row r="72" outlineLevel="2" ht="13.95" customFormat="1" customHeight="1" s="31">
      <c r="A72" s="217">
        <f>IF($H72="UNIDADE CONSTRUTIVA",OFFSET(A72,-1,0)+1,LARGE(A$3:A71,1))</f>
        <v/>
      </c>
      <c r="B72" s="217">
        <f>IF(H72="UNIDADE CONSTRUTIVA",0,IF(H72="CÉLULA CONSTRUTIVA",OFFSET(B72,-1,0)+1,OFFSET(B72,-1,0)))</f>
        <v/>
      </c>
      <c r="C72" s="217">
        <f>IF(H72="CÉLULA CONSTRUTIVA",0,IF(H72="ETAPA",OFFSET(C72,-1,0)+1,OFFSET(C72,-1,0)))</f>
        <v/>
      </c>
      <c r="D72" s="218">
        <f>IF(H72="ETAPA",0,IF(H72="SUBETAPA",OFFSET(D72,-1,0)+1,OFFSET(D72,-1,0)))</f>
        <v/>
      </c>
      <c r="E72" s="218">
        <f>IF(H72="Subetapa",0,IF(H72="serviço",OFFSET(E72,-1,0)+1,OFFSET(E72,-1,0)))</f>
        <v/>
      </c>
      <c r="G72" s="111" t="n"/>
      <c r="H72" s="42" t="inlineStr">
        <is>
          <t>SUBETAPA</t>
        </is>
      </c>
      <c r="I72" s="43">
        <f>IF(H72="Unidade Construtiva",TEXT(A72,"00"),IF(H72="Célula Construtiva",TEXT(B72,"00"),IF(H72="Etapa",CONCATENATE(TEXT(B72,"00"),".",TEXT(C72,"000")),IF(H72="Subetapa",CONCATENATE(TEXT(B72,"00"),".",TEXT(C72,"000"),".",TEXT(D72,"000")),IF(H72="Serviço",CONCATENATE(TEXT(B72,"00"),".",TEXT(C72,"000"),".",TEXT(D72,"000"),".",TEXT(E72,"000")),"")))))</f>
        <v/>
      </c>
      <c r="J72" s="48" t="inlineStr">
        <is>
          <t>Armadura</t>
        </is>
      </c>
      <c r="K72" s="45" t="n"/>
      <c r="L72" s="52" t="n"/>
      <c r="M72" s="219" t="n"/>
      <c r="N72" s="47">
        <f>IF(H72="Serviço",M72*L72,IF(H72="CÉLULA CONSTRUTIVA",SUMIFS($N$8:$N$155,$B$8:$B$155,B72,$H$8:$H$155,"Serviço"),IF(H72="ETAPA",SUMIFS($N$8:$N$155,$B$8:$B$155,B72,$C$8:$C$155,C72,$H$8:$H$155,"Serviço"),IF(H72="SUBETAPA",SUMIFS($N$8:$N$155,$B$8:$B$155,B72,$C$8:$C$155,C72,$D$8:$D$155,D72,$H$8:$H$155,"Serviço"),0))))</f>
        <v/>
      </c>
      <c r="O72" s="45" t="n"/>
      <c r="P72" s="52" t="n"/>
      <c r="Q72" s="219" t="n"/>
      <c r="R72" s="47" t="n"/>
      <c r="S72" s="109" t="n"/>
      <c r="T72" s="49" t="n"/>
      <c r="U72" s="49" t="n"/>
      <c r="V72" s="49" t="n"/>
    </row>
    <row r="73" outlineLevel="3" ht="13.95" customFormat="1" customHeight="1" s="31">
      <c r="A73" s="217">
        <f>IF($H73="UNIDADE CONSTRUTIVA",OFFSET(A73,-1,0)+1,LARGE(A$3:A72,1))</f>
        <v/>
      </c>
      <c r="B73" s="217">
        <f>IF(H73="UNIDADE CONSTRUTIVA",0,IF(H73="CÉLULA CONSTRUTIVA",OFFSET(B73,-1,0)+1,OFFSET(B73,-1,0)))</f>
        <v/>
      </c>
      <c r="C73" s="217">
        <f>IF(H73="CÉLULA CONSTRUTIVA",0,IF(H73="ETAPA",OFFSET(C73,-1,0)+1,OFFSET(C73,-1,0)))</f>
        <v/>
      </c>
      <c r="D73" s="218">
        <f>IF(H73="ETAPA",0,IF(H73="SUBETAPA",OFFSET(D73,-1,0)+1,OFFSET(D73,-1,0)))</f>
        <v/>
      </c>
      <c r="E73" s="218">
        <f>IF(H73="Subetapa",0,IF(H73="serviço",OFFSET(E73,-1,0)+1,OFFSET(E73,-1,0)))</f>
        <v/>
      </c>
      <c r="G73" s="111" t="inlineStr">
        <is>
          <t>INFRAESTRUTURA</t>
        </is>
      </c>
      <c r="H73" s="42" t="inlineStr">
        <is>
          <t>SERVIÇO</t>
        </is>
      </c>
      <c r="I73" s="43">
        <f>IF(H73="Unidade Construtiva",TEXT(A73,"00"),IF(H73="Célula Construtiva",TEXT(B73,"00"),IF(H73="Etapa",CONCATENATE(TEXT(B73,"00"),".",TEXT(C73,"000")),IF(H73="Subetapa",CONCATENATE(TEXT(B73,"00"),".",TEXT(C73,"000"),".",TEXT(D73,"000")),IF(H73="Serviço",CONCATENATE(TEXT(B73,"00"),".",TEXT(C73,"000"),".",TEXT(D73,"000"),".",TEXT(E73,"000")),"")))))</f>
        <v/>
      </c>
      <c r="J73" s="48" t="inlineStr">
        <is>
          <t>Armação aço CA-50 ø 6,3mm para infraestrutura (corte e dobra em obra)</t>
        </is>
      </c>
      <c r="K73" s="45" t="inlineStr">
        <is>
          <t>kg</t>
        </is>
      </c>
      <c r="L73" s="46" t="n">
        <v>302.7818181818182</v>
      </c>
      <c r="M73" s="46" t="n">
        <v>7.631959500000001</v>
      </c>
      <c r="N73" s="47">
        <f>IF(H73="Serviço",M73*L73,IF(H73="CÉLULA CONSTRUTIVA",SUMIFS($N$8:$N$155,$B$8:$B$155,B73,$H$8:$H$155,"Serviço"),IF(H73="ETAPA",SUMIFS($N$8:$N$155,$B$8:$B$155,B73,$C$8:$C$155,C73,$H$8:$H$155,"Serviço"),IF(H73="SUBETAPA",SUMIFS($N$8:$N$155,$B$8:$B$155,B73,$C$8:$C$155,C73,$D$8:$D$155,D73,$H$8:$H$155,"Serviço"),0))))</f>
        <v/>
      </c>
      <c r="O73" s="45" t="n"/>
      <c r="P73" s="46" t="n"/>
      <c r="Q73" s="46" t="n"/>
      <c r="R73" s="47" t="n"/>
      <c r="S73" s="109" t="n"/>
      <c r="T73" s="49" t="n"/>
      <c r="U73" s="49" t="n"/>
      <c r="V73" s="49" t="n"/>
    </row>
    <row r="74" outlineLevel="3" ht="13.95" customFormat="1" customHeight="1" s="31">
      <c r="A74" s="217">
        <f>IF($H74="UNIDADE CONSTRUTIVA",OFFSET(A74,-1,0)+1,LARGE(A$3:A73,1))</f>
        <v/>
      </c>
      <c r="B74" s="217">
        <f>IF(H74="UNIDADE CONSTRUTIVA",0,IF(H74="CÉLULA CONSTRUTIVA",OFFSET(B74,-1,0)+1,OFFSET(B74,-1,0)))</f>
        <v/>
      </c>
      <c r="C74" s="217">
        <f>IF(H74="CÉLULA CONSTRUTIVA",0,IF(H74="ETAPA",OFFSET(C74,-1,0)+1,OFFSET(C74,-1,0)))</f>
        <v/>
      </c>
      <c r="D74" s="218">
        <f>IF(H74="ETAPA",0,IF(H74="SUBETAPA",OFFSET(D74,-1,0)+1,OFFSET(D74,-1,0)))</f>
        <v/>
      </c>
      <c r="E74" s="218">
        <f>IF(H74="Subetapa",0,IF(H74="serviço",OFFSET(E74,-1,0)+1,OFFSET(E74,-1,0)))</f>
        <v/>
      </c>
      <c r="G74" s="111" t="inlineStr">
        <is>
          <t>INFRAESTRUTURA</t>
        </is>
      </c>
      <c r="H74" s="42" t="inlineStr">
        <is>
          <t>SERVIÇO</t>
        </is>
      </c>
      <c r="I74" s="43">
        <f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/>
      </c>
      <c r="J74" s="48" t="inlineStr">
        <is>
          <t>Armação aço CA-50 ø 8,0mm para infraestrutura (corte e dobra em obra)</t>
        </is>
      </c>
      <c r="K74" s="45" t="inlineStr">
        <is>
          <t>kg</t>
        </is>
      </c>
      <c r="L74" s="46" t="n">
        <v>1810.090909090909</v>
      </c>
      <c r="M74" s="46" t="n">
        <v>7.716659500000001</v>
      </c>
      <c r="N74" s="47">
        <f>IF(H74="Serviço",M74*L74,IF(H74="CÉLULA CONSTRUTIVA",SUMIFS($N$8:$N$155,$B$8:$B$155,B74,$H$8:$H$155,"Serviço"),IF(H74="ETAPA",SUMIFS($N$8:$N$155,$B$8:$B$155,B74,$C$8:$C$155,C74,$H$8:$H$155,"Serviço"),IF(H74="SUBETAPA",SUMIFS($N$8:$N$155,$B$8:$B$155,B74,$C$8:$C$155,C74,$D$8:$D$155,D74,$H$8:$H$155,"Serviço"),0))))</f>
        <v/>
      </c>
      <c r="O74" s="45" t="n"/>
      <c r="P74" s="46" t="n"/>
      <c r="Q74" s="46" t="n"/>
      <c r="R74" s="47" t="n"/>
      <c r="S74" s="109" t="n"/>
      <c r="T74" s="49" t="n"/>
      <c r="U74" s="49" t="n"/>
      <c r="V74" s="49" t="n"/>
    </row>
    <row r="75" outlineLevel="3" ht="13.95" customFormat="1" customHeight="1" s="31">
      <c r="A75" s="217">
        <f>IF($H75="UNIDADE CONSTRUTIVA",OFFSET(A75,-1,0)+1,LARGE(A$3:A74,1))</f>
        <v/>
      </c>
      <c r="B75" s="217">
        <f>IF(H75="UNIDADE CONSTRUTIVA",0,IF(H75="CÉLULA CONSTRUTIVA",OFFSET(B75,-1,0)+1,OFFSET(B75,-1,0)))</f>
        <v/>
      </c>
      <c r="C75" s="217">
        <f>IF(H75="CÉLULA CONSTRUTIVA",0,IF(H75="ETAPA",OFFSET(C75,-1,0)+1,OFFSET(C75,-1,0)))</f>
        <v/>
      </c>
      <c r="D75" s="218">
        <f>IF(H75="ETAPA",0,IF(H75="SUBETAPA",OFFSET(D75,-1,0)+1,OFFSET(D75,-1,0)))</f>
        <v/>
      </c>
      <c r="E75" s="218">
        <f>IF(H75="Subetapa",0,IF(H75="serviço",OFFSET(E75,-1,0)+1,OFFSET(E75,-1,0)))</f>
        <v/>
      </c>
      <c r="G75" s="111" t="inlineStr">
        <is>
          <t>INFRAESTRUTURA</t>
        </is>
      </c>
      <c r="H75" s="42" t="inlineStr">
        <is>
          <t>SERVIÇO</t>
        </is>
      </c>
      <c r="I75" s="43">
        <f>IF(H75="Unidade Construtiva",TEXT(A75,"00"),IF(H75="Célula Construtiva",TEXT(B75,"00"),IF(H75="Etapa",CONCATENATE(TEXT(B75,"00"),".",TEXT(C75,"000")),IF(H75="Subetapa",CONCATENATE(TEXT(B75,"00"),".",TEXT(C75,"000"),".",TEXT(D75,"000")),IF(H75="Serviço",CONCATENATE(TEXT(B75,"00"),".",TEXT(C75,"000"),".",TEXT(D75,"000"),".",TEXT(E75,"000")),"")))))</f>
        <v/>
      </c>
      <c r="J75" s="48" t="inlineStr">
        <is>
          <t>Armação aço CA-50 ø 10,0mm para infraestrutura (corte e dobra em obra)</t>
        </is>
      </c>
      <c r="K75" s="45" t="inlineStr">
        <is>
          <t>kg</t>
        </is>
      </c>
      <c r="L75" s="46" t="n">
        <v>8261.945454545454</v>
      </c>
      <c r="M75" s="46" t="n">
        <v>7.293159500000001</v>
      </c>
      <c r="N75" s="47">
        <f>IF(H75="Serviço",M75*L75,IF(H75="CÉLULA CONSTRUTIVA",SUMIFS($N$8:$N$155,$B$8:$B$155,B75,$H$8:$H$155,"Serviço"),IF(H75="ETAPA",SUMIFS($N$8:$N$155,$B$8:$B$155,B75,$C$8:$C$155,C75,$H$8:$H$155,"Serviço"),IF(H75="SUBETAPA",SUMIFS($N$8:$N$155,$B$8:$B$155,B75,$C$8:$C$155,C75,$D$8:$D$155,D75,$H$8:$H$155,"Serviço"),0))))</f>
        <v/>
      </c>
      <c r="O75" s="45" t="n"/>
      <c r="P75" s="46" t="n"/>
      <c r="Q75" s="46" t="n"/>
      <c r="R75" s="47" t="n"/>
      <c r="S75" s="109" t="n"/>
      <c r="T75" s="49" t="n"/>
      <c r="U75" s="49" t="n"/>
      <c r="V75" s="49" t="n"/>
    </row>
    <row r="76" outlineLevel="3" ht="13.95" customFormat="1" customHeight="1" s="31">
      <c r="A76" s="217">
        <f>IF($H76="UNIDADE CONSTRUTIVA",OFFSET(A76,-1,0)+1,LARGE(A$3:A75,1))</f>
        <v/>
      </c>
      <c r="B76" s="217">
        <f>IF(H76="UNIDADE CONSTRUTIVA",0,IF(H76="CÉLULA CONSTRUTIVA",OFFSET(B76,-1,0)+1,OFFSET(B76,-1,0)))</f>
        <v/>
      </c>
      <c r="C76" s="217">
        <f>IF(H76="CÉLULA CONSTRUTIVA",0,IF(H76="ETAPA",OFFSET(C76,-1,0)+1,OFFSET(C76,-1,0)))</f>
        <v/>
      </c>
      <c r="D76" s="218">
        <f>IF(H76="ETAPA",0,IF(H76="SUBETAPA",OFFSET(D76,-1,0)+1,OFFSET(D76,-1,0)))</f>
        <v/>
      </c>
      <c r="E76" s="218">
        <f>IF(H76="Subetapa",0,IF(H76="serviço",OFFSET(E76,-1,0)+1,OFFSET(E76,-1,0)))</f>
        <v/>
      </c>
      <c r="G76" s="111" t="inlineStr">
        <is>
          <t>INFRAESTRUTURA</t>
        </is>
      </c>
      <c r="H76" s="42" t="inlineStr">
        <is>
          <t>SERVIÇO</t>
        </is>
      </c>
      <c r="I76" s="43">
        <f>IF(H76="Unidade Construtiva",TEXT(A76,"00"),IF(H76="Célula Construtiva",TEXT(B76,"00"),IF(H76="Etapa",CONCATENATE(TEXT(B76,"00"),".",TEXT(C76,"000")),IF(H76="Subetapa",CONCATENATE(TEXT(B76,"00"),".",TEXT(C76,"000"),".",TEXT(D76,"000")),IF(H76="Serviço",CONCATENATE(TEXT(B76,"00"),".",TEXT(C76,"000"),".",TEXT(D76,"000"),".",TEXT(E76,"000")),"")))))</f>
        <v/>
      </c>
      <c r="J76" s="48" t="inlineStr">
        <is>
          <t xml:space="preserve">Armação aço CA-50 ø 12,5mm para infraestrutura (corte e dobra em obra) </t>
        </is>
      </c>
      <c r="K76" s="45" t="inlineStr">
        <is>
          <t>kg</t>
        </is>
      </c>
      <c r="L76" s="46" t="n">
        <v>10827.15454545455</v>
      </c>
      <c r="M76" s="46" t="n">
        <v>7.0390595</v>
      </c>
      <c r="N76" s="47">
        <f>IF(H76="Serviço",M76*L76,IF(H76="CÉLULA CONSTRUTIVA",SUMIFS($N$8:$N$155,$B$8:$B$155,B76,$H$8:$H$155,"Serviço"),IF(H76="ETAPA",SUMIFS($N$8:$N$155,$B$8:$B$155,B76,$C$8:$C$155,C76,$H$8:$H$155,"Serviço"),IF(H76="SUBETAPA",SUMIFS($N$8:$N$155,$B$8:$B$155,B76,$C$8:$C$155,C76,$D$8:$D$155,D76,$H$8:$H$155,"Serviço"),0))))</f>
        <v/>
      </c>
      <c r="O76" s="45" t="n"/>
      <c r="P76" s="46" t="n"/>
      <c r="Q76" s="46" t="n"/>
      <c r="R76" s="47" t="n"/>
      <c r="S76" s="109" t="n"/>
      <c r="T76" s="49" t="n"/>
      <c r="U76" s="49" t="n"/>
      <c r="V76" s="49" t="n"/>
    </row>
    <row r="77" outlineLevel="3" ht="13.95" customFormat="1" customHeight="1" s="31">
      <c r="A77" s="217">
        <f>IF($H77="UNIDADE CONSTRUTIVA",OFFSET(A77,-1,0)+1,LARGE(A$3:A76,1))</f>
        <v/>
      </c>
      <c r="B77" s="217">
        <f>IF(H77="UNIDADE CONSTRUTIVA",0,IF(H77="CÉLULA CONSTRUTIVA",OFFSET(B77,-1,0)+1,OFFSET(B77,-1,0)))</f>
        <v/>
      </c>
      <c r="C77" s="217">
        <f>IF(H77="CÉLULA CONSTRUTIVA",0,IF(H77="ETAPA",OFFSET(C77,-1,0)+1,OFFSET(C77,-1,0)))</f>
        <v/>
      </c>
      <c r="D77" s="218">
        <f>IF(H77="ETAPA",0,IF(H77="SUBETAPA",OFFSET(D77,-1,0)+1,OFFSET(D77,-1,0)))</f>
        <v/>
      </c>
      <c r="E77" s="218">
        <f>IF(H77="Subetapa",0,IF(H77="serviço",OFFSET(E77,-1,0)+1,OFFSET(E77,-1,0)))</f>
        <v/>
      </c>
      <c r="G77" s="111" t="inlineStr">
        <is>
          <t>INFRAESTRUTURA</t>
        </is>
      </c>
      <c r="H77" s="42" t="inlineStr">
        <is>
          <t>SERVIÇO</t>
        </is>
      </c>
      <c r="I77" s="43">
        <f>IF(H77="Unidade Construtiva",TEXT(A77,"00"),IF(H77="Célula Construtiva",TEXT(B77,"00"),IF(H77="Etapa",CONCATENATE(TEXT(B77,"00"),".",TEXT(C77,"000")),IF(H77="Subetapa",CONCATENATE(TEXT(B77,"00"),".",TEXT(C77,"000"),".",TEXT(D77,"000")),IF(H77="Serviço",CONCATENATE(TEXT(B77,"00"),".",TEXT(C77,"000"),".",TEXT(D77,"000"),".",TEXT(E77,"000")),"")))))</f>
        <v/>
      </c>
      <c r="J77" s="48" t="inlineStr">
        <is>
          <t>Armação aço CA-50 ø 16,0mm para infraestrutura (corte e dobra em obra)</t>
        </is>
      </c>
      <c r="K77" s="45" t="inlineStr">
        <is>
          <t>kg</t>
        </is>
      </c>
      <c r="L77" s="46" t="n">
        <v>2410.936363636363</v>
      </c>
      <c r="M77" s="46" t="n">
        <v>7.0874595</v>
      </c>
      <c r="N77" s="47">
        <f>IF(H77="Serviço",M77*L77,IF(H77="CÉLULA CONSTRUTIVA",SUMIFS($N$8:$N$155,$B$8:$B$155,B77,$H$8:$H$155,"Serviço"),IF(H77="ETAPA",SUMIFS($N$8:$N$155,$B$8:$B$155,B77,$C$8:$C$155,C77,$H$8:$H$155,"Serviço"),IF(H77="SUBETAPA",SUMIFS($N$8:$N$155,$B$8:$B$155,B77,$C$8:$C$155,C77,$D$8:$D$155,D77,$H$8:$H$155,"Serviço"),0))))</f>
        <v/>
      </c>
      <c r="O77" s="45" t="n"/>
      <c r="P77" s="46" t="n"/>
      <c r="Q77" s="46" t="n"/>
      <c r="R77" s="47" t="n"/>
      <c r="S77" s="109" t="n"/>
      <c r="T77" s="49" t="n"/>
      <c r="U77" s="49" t="n"/>
      <c r="V77" s="49" t="n"/>
    </row>
    <row r="78" outlineLevel="3" ht="13.95" customFormat="1" customHeight="1" s="31">
      <c r="A78" s="217">
        <f>IF($H78="UNIDADE CONSTRUTIVA",OFFSET(A78,-1,0)+1,LARGE(A$3:A77,1))</f>
        <v/>
      </c>
      <c r="B78" s="217">
        <f>IF(H78="UNIDADE CONSTRUTIVA",0,IF(H78="CÉLULA CONSTRUTIVA",OFFSET(B78,-1,0)+1,OFFSET(B78,-1,0)))</f>
        <v/>
      </c>
      <c r="C78" s="217">
        <f>IF(H78="CÉLULA CONSTRUTIVA",0,IF(H78="ETAPA",OFFSET(C78,-1,0)+1,OFFSET(C78,-1,0)))</f>
        <v/>
      </c>
      <c r="D78" s="218">
        <f>IF(H78="ETAPA",0,IF(H78="SUBETAPA",OFFSET(D78,-1,0)+1,OFFSET(D78,-1,0)))</f>
        <v/>
      </c>
      <c r="E78" s="218">
        <f>IF(H78="Subetapa",0,IF(H78="serviço",OFFSET(E78,-1,0)+1,OFFSET(E78,-1,0)))</f>
        <v/>
      </c>
      <c r="G78" s="111" t="inlineStr">
        <is>
          <t>INFRAESTRUTURA</t>
        </is>
      </c>
      <c r="H78" s="42" t="inlineStr">
        <is>
          <t>SERVIÇO</t>
        </is>
      </c>
      <c r="I78" s="43">
        <f>IF(H78="Unidade Construtiva",TEXT(A78,"00"),IF(H78="Célula Construtiva",TEXT(B78,"00"),IF(H78="Etapa",CONCATENATE(TEXT(B78,"00"),".",TEXT(C78,"000")),IF(H78="Subetapa",CONCATENATE(TEXT(B78,"00"),".",TEXT(C78,"000"),".",TEXT(D78,"000")),IF(H78="Serviço",CONCATENATE(TEXT(B78,"00"),".",TEXT(C78,"000"),".",TEXT(D78,"000"),".",TEXT(E78,"000")),"")))))</f>
        <v/>
      </c>
      <c r="J78" s="48" t="inlineStr">
        <is>
          <t xml:space="preserve">Armação aço CA-50 ø 20,0mm para infraestrutura (corte e dobra em obra) </t>
        </is>
      </c>
      <c r="K78" s="45" t="inlineStr">
        <is>
          <t>kg</t>
        </is>
      </c>
      <c r="L78" s="46" t="n">
        <v>1463.063636363636</v>
      </c>
      <c r="M78" s="46" t="n">
        <v>7.0874595</v>
      </c>
      <c r="N78" s="47">
        <f>IF(H78="Serviço",M78*L78,IF(H78="CÉLULA CONSTRUTIVA",SUMIFS($N$8:$N$155,$B$8:$B$155,B78,$H$8:$H$155,"Serviço"),IF(H78="ETAPA",SUMIFS($N$8:$N$155,$B$8:$B$155,B78,$C$8:$C$155,C78,$H$8:$H$155,"Serviço"),IF(H78="SUBETAPA",SUMIFS($N$8:$N$155,$B$8:$B$155,B78,$C$8:$C$155,C78,$D$8:$D$155,D78,$H$8:$H$155,"Serviço"),0))))</f>
        <v/>
      </c>
      <c r="O78" s="45" t="n"/>
      <c r="P78" s="46" t="n"/>
      <c r="Q78" s="46" t="n"/>
      <c r="R78" s="47" t="n"/>
      <c r="S78" s="109" t="n"/>
      <c r="T78" s="49" t="n"/>
      <c r="U78" s="49" t="n"/>
      <c r="V78" s="49" t="n"/>
    </row>
    <row r="79" outlineLevel="3" ht="13.95" customFormat="1" customHeight="1" s="31">
      <c r="A79" s="217">
        <f>IF($H79="UNIDADE CONSTRUTIVA",OFFSET(A79,-1,0)+1,LARGE(A$3:A78,1))</f>
        <v/>
      </c>
      <c r="B79" s="217">
        <f>IF(H79="UNIDADE CONSTRUTIVA",0,IF(H79="CÉLULA CONSTRUTIVA",OFFSET(B79,-1,0)+1,OFFSET(B79,-1,0)))</f>
        <v/>
      </c>
      <c r="C79" s="217">
        <f>IF(H79="CÉLULA CONSTRUTIVA",0,IF(H79="ETAPA",OFFSET(C79,-1,0)+1,OFFSET(C79,-1,0)))</f>
        <v/>
      </c>
      <c r="D79" s="218">
        <f>IF(H79="ETAPA",0,IF(H79="SUBETAPA",OFFSET(D79,-1,0)+1,OFFSET(D79,-1,0)))</f>
        <v/>
      </c>
      <c r="E79" s="218">
        <f>IF(H79="Subetapa",0,IF(H79="serviço",OFFSET(E79,-1,0)+1,OFFSET(E79,-1,0)))</f>
        <v/>
      </c>
      <c r="G79" s="111" t="inlineStr">
        <is>
          <t>INFRAESTRUTURA</t>
        </is>
      </c>
      <c r="H79" s="42" t="inlineStr">
        <is>
          <t>SERVIÇO</t>
        </is>
      </c>
      <c r="I79" s="43">
        <f>IF(H79="Unidade Construtiva",TEXT(A79,"00"),IF(H79="Célula Construtiva",TEXT(B79,"00"),IF(H79="Etapa",CONCATENATE(TEXT(B79,"00"),".",TEXT(C79,"000")),IF(H79="Subetapa",CONCATENATE(TEXT(B79,"00"),".",TEXT(C79,"000"),".",TEXT(D79,"000")),IF(H79="Serviço",CONCATENATE(TEXT(B79,"00"),".",TEXT(C79,"000"),".",TEXT(D79,"000"),".",TEXT(E79,"000")),"")))))</f>
        <v/>
      </c>
      <c r="J79" s="48" t="inlineStr">
        <is>
          <t xml:space="preserve">Armação aço CA-50 ø 25,0mm para infraestrutura (corte e dobra em obra) </t>
        </is>
      </c>
      <c r="K79" s="45" t="inlineStr">
        <is>
          <t>kg</t>
        </is>
      </c>
      <c r="L79" s="46" t="n">
        <v>15943.81818181818</v>
      </c>
      <c r="M79" s="46" t="n">
        <v>7.0390595</v>
      </c>
      <c r="N79" s="47">
        <f>IF(H79="Serviço",M79*L79,IF(H79="CÉLULA CONSTRUTIVA",SUMIFS($N$8:$N$155,$B$8:$B$155,B79,$H$8:$H$155,"Serviço"),IF(H79="ETAPA",SUMIFS($N$8:$N$155,$B$8:$B$155,B79,$C$8:$C$155,C79,$H$8:$H$155,"Serviço"),IF(H79="SUBETAPA",SUMIFS($N$8:$N$155,$B$8:$B$155,B79,$C$8:$C$155,C79,$D$8:$D$155,D79,$H$8:$H$155,"Serviço"),0))))</f>
        <v/>
      </c>
      <c r="O79" s="45" t="n"/>
      <c r="P79" s="46" t="n"/>
      <c r="Q79" s="46" t="n"/>
      <c r="R79" s="47" t="n"/>
      <c r="S79" s="109" t="n"/>
      <c r="T79" s="49" t="n"/>
      <c r="U79" s="49" t="n"/>
      <c r="V79" s="49" t="n"/>
    </row>
    <row r="80" outlineLevel="3" ht="13.95" customFormat="1" customHeight="1" s="31">
      <c r="A80" s="217">
        <f>IF($H80="UNIDADE CONSTRUTIVA",OFFSET(A80,-1,0)+1,LARGE(A$3:A79,1))</f>
        <v/>
      </c>
      <c r="B80" s="217">
        <f>IF(H80="UNIDADE CONSTRUTIVA",0,IF(H80="CÉLULA CONSTRUTIVA",OFFSET(B80,-1,0)+1,OFFSET(B80,-1,0)))</f>
        <v/>
      </c>
      <c r="C80" s="217">
        <f>IF(H80="CÉLULA CONSTRUTIVA",0,IF(H80="ETAPA",OFFSET(C80,-1,0)+1,OFFSET(C80,-1,0)))</f>
        <v/>
      </c>
      <c r="D80" s="218">
        <f>IF(H80="ETAPA",0,IF(H80="SUBETAPA",OFFSET(D80,-1,0)+1,OFFSET(D80,-1,0)))</f>
        <v/>
      </c>
      <c r="E80" s="218">
        <f>IF(H80="Subetapa",0,IF(H80="serviço",OFFSET(E80,-1,0)+1,OFFSET(E80,-1,0)))</f>
        <v/>
      </c>
      <c r="G80" s="111" t="inlineStr">
        <is>
          <t>INFRAESTRUTURA</t>
        </is>
      </c>
      <c r="H80" s="42" t="inlineStr">
        <is>
          <t>SERVIÇO</t>
        </is>
      </c>
      <c r="I80" s="43">
        <f>IF(H80="Unidade Construtiva",TEXT(A80,"00"),IF(H80="Célula Construtiva",TEXT(B80,"00"),IF(H80="Etapa",CONCATENATE(TEXT(B80,"00"),".",TEXT(C80,"000")),IF(H80="Subetapa",CONCATENATE(TEXT(B80,"00"),".",TEXT(C80,"000"),".",TEXT(D80,"000")),IF(H80="Serviço",CONCATENATE(TEXT(B80,"00"),".",TEXT(C80,"000"),".",TEXT(D80,"000"),".",TEXT(E80,"000")),"")))))</f>
        <v/>
      </c>
      <c r="J80" s="48" t="inlineStr">
        <is>
          <t xml:space="preserve">Armação aço CA-60 ø 5,00mm para infraestrutura (corte e dobra em obra) </t>
        </is>
      </c>
      <c r="K80" s="45" t="inlineStr">
        <is>
          <t>kg</t>
        </is>
      </c>
      <c r="L80" s="46" t="n">
        <v>155.3545454545454</v>
      </c>
      <c r="M80" s="46" t="n">
        <v>8.236959500000001</v>
      </c>
      <c r="N80" s="47">
        <f>IF(H80="Serviço",M80*L80,IF(H80="CÉLULA CONSTRUTIVA",SUMIFS($N$8:$N$155,$B$8:$B$155,B80,$H$8:$H$155,"Serviço"),IF(H80="ETAPA",SUMIFS($N$8:$N$155,$B$8:$B$155,B80,$C$8:$C$155,C80,$H$8:$H$155,"Serviço"),IF(H80="SUBETAPA",SUMIFS($N$8:$N$155,$B$8:$B$155,B80,$C$8:$C$155,C80,$D$8:$D$155,D80,$H$8:$H$155,"Serviço"),0))))</f>
        <v/>
      </c>
      <c r="O80" s="45" t="n"/>
      <c r="P80" s="46" t="n"/>
      <c r="Q80" s="46" t="n"/>
      <c r="R80" s="47" t="n"/>
      <c r="S80" s="109" t="n"/>
      <c r="T80" s="49" t="n"/>
      <c r="U80" s="49" t="n"/>
      <c r="V80" s="49" t="n"/>
    </row>
    <row r="81" outlineLevel="2" ht="13.95" customFormat="1" customHeight="1" s="31">
      <c r="A81" s="217">
        <f>IF($H81="UNIDADE CONSTRUTIVA",OFFSET(A81,-1,0)+1,LARGE(A$3:A80,1))</f>
        <v/>
      </c>
      <c r="B81" s="217">
        <f>IF(H81="UNIDADE CONSTRUTIVA",0,IF(H81="CÉLULA CONSTRUTIVA",OFFSET(B81,-1,0)+1,OFFSET(B81,-1,0)))</f>
        <v/>
      </c>
      <c r="C81" s="217">
        <f>IF(H81="CÉLULA CONSTRUTIVA",0,IF(H81="ETAPA",OFFSET(C81,-1,0)+1,OFFSET(C81,-1,0)))</f>
        <v/>
      </c>
      <c r="D81" s="218">
        <f>IF(H81="ETAPA",0,IF(H81="SUBETAPA",OFFSET(D81,-1,0)+1,OFFSET(D81,-1,0)))</f>
        <v/>
      </c>
      <c r="E81" s="218">
        <f>IF(H81="Subetapa",0,IF(H81="serviço",OFFSET(E81,-1,0)+1,OFFSET(E81,-1,0)))</f>
        <v/>
      </c>
      <c r="G81" s="111" t="n"/>
      <c r="H81" s="42" t="inlineStr">
        <is>
          <t>SUBETAPA</t>
        </is>
      </c>
      <c r="I81" s="43">
        <f>IF(H81="Unidade Construtiva",TEXT(A81,"00"),IF(H81="Célula Construtiva",TEXT(B81,"00"),IF(H81="Etapa",CONCATENATE(TEXT(B81,"00"),".",TEXT(C81,"000")),IF(H81="Subetapa",CONCATENATE(TEXT(B81,"00"),".",TEXT(C81,"000"),".",TEXT(D81,"000")),IF(H81="Serviço",CONCATENATE(TEXT(B81,"00"),".",TEXT(C81,"000"),".",TEXT(D81,"000"),".",TEXT(E81,"000")),"")))))</f>
        <v/>
      </c>
      <c r="J81" s="48" t="inlineStr">
        <is>
          <t>Concreto</t>
        </is>
      </c>
      <c r="K81" s="45" t="n"/>
      <c r="L81" s="52" t="n"/>
      <c r="M81" s="52" t="n"/>
      <c r="N81" s="47">
        <f>IF(H81="Serviço",M81*L81,IF(H81="CÉLULA CONSTRUTIVA",SUMIFS($N$8:$N$155,$B$8:$B$155,B81,$H$8:$H$155,"Serviço"),IF(H81="ETAPA",SUMIFS($N$8:$N$155,$B$8:$B$155,B81,$C$8:$C$155,C81,$H$8:$H$155,"Serviço"),IF(H81="SUBETAPA",SUMIFS($N$8:$N$155,$B$8:$B$155,B81,$C$8:$C$155,C81,$D$8:$D$155,D81,$H$8:$H$155,"Serviço"),0))))</f>
        <v/>
      </c>
      <c r="O81" s="45" t="n"/>
      <c r="P81" s="52" t="n"/>
      <c r="Q81" s="52" t="n"/>
      <c r="R81" s="216" t="inlineStr">
        <is>
          <t>15.001.008.003 - Concregrama</t>
        </is>
      </c>
      <c r="S81" s="109" t="n"/>
      <c r="T81" s="49" t="n"/>
      <c r="U81" s="49" t="n"/>
    </row>
    <row r="82" outlineLevel="3" ht="13.95" customFormat="1" customHeight="1" s="31">
      <c r="A82" s="217">
        <f>IF($H82="UNIDADE CONSTRUTIVA",OFFSET(A82,-1,0)+1,LARGE(A$3:A81,1))</f>
        <v/>
      </c>
      <c r="B82" s="217">
        <f>IF(H82="UNIDADE CONSTRUTIVA",0,IF(H82="CÉLULA CONSTRUTIVA",OFFSET(B82,-1,0)+1,OFFSET(B82,-1,0)))</f>
        <v/>
      </c>
      <c r="C82" s="217">
        <f>IF(H82="CÉLULA CONSTRUTIVA",0,IF(H82="ETAPA",OFFSET(C82,-1,0)+1,OFFSET(C82,-1,0)))</f>
        <v/>
      </c>
      <c r="D82" s="218">
        <f>IF(H82="ETAPA",0,IF(H82="SUBETAPA",OFFSET(D82,-1,0)+1,OFFSET(D82,-1,0)))</f>
        <v/>
      </c>
      <c r="E82" s="218">
        <f>IF(H82="Subetapa",0,IF(H82="serviço",OFFSET(E82,-1,0)+1,OFFSET(E82,-1,0)))</f>
        <v/>
      </c>
      <c r="G82" s="111" t="inlineStr">
        <is>
          <t>INFRAESTRUTURA</t>
        </is>
      </c>
      <c r="H82" s="42" t="inlineStr">
        <is>
          <t>SERVIÇO</t>
        </is>
      </c>
      <c r="I82" s="43">
        <f>IF(H82="Unidade Construtiva",TEXT(A82,"00"),IF(H82="Célula Construtiva",TEXT(B82,"00"),IF(H82="Etapa",CONCATENATE(TEXT(B82,"00"),".",TEXT(C82,"000")),IF(H82="Subetapa",CONCATENATE(TEXT(B82,"00"),".",TEXT(C82,"000"),".",TEXT(D82,"000")),IF(H82="Serviço",CONCATENATE(TEXT(B82,"00"),".",TEXT(C82,"000"),".",TEXT(D82,"000"),".",TEXT(E82,"000")),"")))))</f>
        <v/>
      </c>
      <c r="J82" s="48" t="inlineStr">
        <is>
          <t>Concreto Usinado bombeável 40MPa para infraestrutura- incluindo serviço de bombeamento</t>
        </is>
      </c>
      <c r="K82" s="45" t="inlineStr">
        <is>
          <t>m3</t>
        </is>
      </c>
      <c r="L82" s="46" t="n">
        <v>352.15</v>
      </c>
      <c r="M82" s="46" t="n">
        <v>636.01</v>
      </c>
      <c r="N82" s="47">
        <f>IF(H82="Serviço",M82*L82,IF(H82="CÉLULA CONSTRUTIVA",SUMIFS($N$8:$N$155,$B$8:$B$155,B82,$H$8:$H$155,"Serviço"),IF(H82="ETAPA",SUMIFS($N$8:$N$155,$B$8:$B$155,B82,$C$8:$C$155,C82,$H$8:$H$155,"Serviço"),IF(H82="SUBETAPA",SUMIFS($N$8:$N$155,$B$8:$B$155,B82,$C$8:$C$155,C82,$D$8:$D$155,D82,$H$8:$H$155,"Serviço"),0))))</f>
        <v/>
      </c>
      <c r="O82" s="45" t="n"/>
      <c r="P82" s="46" t="n"/>
      <c r="Q82" s="46" t="n"/>
      <c r="R82" s="47" t="n"/>
      <c r="S82" s="109" t="n"/>
      <c r="T82" s="49" t="n"/>
      <c r="U82" s="49" t="n"/>
    </row>
    <row r="83" outlineLevel="2" ht="13.95" customFormat="1" customHeight="1" s="31">
      <c r="A83" s="217">
        <f>IF($H83="UNIDADE CONSTRUTIVA",OFFSET(A83,-1,0)+1,LARGE(A$3:A82,1))</f>
        <v/>
      </c>
      <c r="B83" s="217">
        <f>IF(H83="UNIDADE CONSTRUTIVA",0,IF(H83="CÉLULA CONSTRUTIVA",OFFSET(B83,-1,0)+1,OFFSET(B83,-1,0)))</f>
        <v/>
      </c>
      <c r="C83" s="217">
        <f>IF(H83="CÉLULA CONSTRUTIVA",0,IF(H83="ETAPA",OFFSET(C83,-1,0)+1,OFFSET(C83,-1,0)))</f>
        <v/>
      </c>
      <c r="D83" s="218">
        <f>IF(H83="ETAPA",0,IF(H83="SUBETAPA",OFFSET(D83,-1,0)+1,OFFSET(D83,-1,0)))</f>
        <v/>
      </c>
      <c r="E83" s="218">
        <f>IF(H83="Subetapa",0,IF(H83="serviço",OFFSET(E83,-1,0)+1,OFFSET(E83,-1,0)))</f>
        <v/>
      </c>
      <c r="G83" s="111" t="n"/>
      <c r="H83" s="42" t="inlineStr">
        <is>
          <t>SUBETAPA</t>
        </is>
      </c>
      <c r="I83" s="43">
        <f>IF(H83="Unidade Construtiva",TEXT(A83,"00"),IF(H83="Célula Construtiva",TEXT(B83,"00"),IF(H83="Etapa",CONCATENATE(TEXT(B83,"00"),".",TEXT(C83,"000")),IF(H83="Subetapa",CONCATENATE(TEXT(B83,"00"),".",TEXT(C83,"000"),".",TEXT(D83,"000")),IF(H83="Serviço",CONCATENATE(TEXT(B83,"00"),".",TEXT(C83,"000"),".",TEXT(D83,"000"),".",TEXT(E83,"000")),"")))))</f>
        <v/>
      </c>
      <c r="J83" s="48" t="inlineStr">
        <is>
          <t>Mão de Obra</t>
        </is>
      </c>
      <c r="K83" s="45" t="n"/>
      <c r="L83" s="52" t="n"/>
      <c r="M83" s="52" t="n"/>
      <c r="N83" s="47">
        <f>IF(H83="Serviço",M83*L83,IF(H83="CÉLULA CONSTRUTIVA",SUMIFS($N$8:$N$155,$B$8:$B$155,B83,$H$8:$H$155,"Serviço"),IF(H83="ETAPA",SUMIFS($N$8:$N$155,$B$8:$B$155,B83,$C$8:$C$155,C83,$H$8:$H$155,"Serviço"),IF(H83="SUBETAPA",SUMIFS($N$8:$N$155,$B$8:$B$155,B83,$C$8:$C$155,C83,$D$8:$D$155,D83,$H$8:$H$155,"Serviço"),0))))</f>
        <v/>
      </c>
      <c r="O83" s="45" t="n"/>
      <c r="P83" s="52" t="n"/>
      <c r="Q83" s="52" t="n"/>
      <c r="R83" s="216" t="inlineStr">
        <is>
          <t>19.001.005.001 - Mão de obra para telhamento</t>
        </is>
      </c>
      <c r="S83" s="109" t="n"/>
      <c r="T83" s="49" t="n"/>
      <c r="U83" s="49" t="n"/>
    </row>
    <row r="84" outlineLevel="3" ht="13.95" customFormat="1" customHeight="1" s="31">
      <c r="A84" s="217">
        <f>IF($H84="UNIDADE CONSTRUTIVA",OFFSET(A84,-1,0)+1,LARGE(A$3:A83,1))</f>
        <v/>
      </c>
      <c r="B84" s="217">
        <f>IF(H84="UNIDADE CONSTRUTIVA",0,IF(H84="CÉLULA CONSTRUTIVA",OFFSET(B84,-1,0)+1,OFFSET(B84,-1,0)))</f>
        <v/>
      </c>
      <c r="C84" s="217">
        <f>IF(H84="CÉLULA CONSTRUTIVA",0,IF(H84="ETAPA",OFFSET(C84,-1,0)+1,OFFSET(C84,-1,0)))</f>
        <v/>
      </c>
      <c r="D84" s="218">
        <f>IF(H84="ETAPA",0,IF(H84="SUBETAPA",OFFSET(D84,-1,0)+1,OFFSET(D84,-1,0)))</f>
        <v/>
      </c>
      <c r="E84" s="218">
        <f>IF(H84="Subetapa",0,IF(H84="serviço",OFFSET(E84,-1,0)+1,OFFSET(E84,-1,0)))</f>
        <v/>
      </c>
      <c r="G84" s="111" t="inlineStr">
        <is>
          <t>INFRAESTRUTURA</t>
        </is>
      </c>
      <c r="H84" s="42" t="inlineStr">
        <is>
          <t>SERVIÇO</t>
        </is>
      </c>
      <c r="I84" s="43">
        <f>IF(H84="Unidade Construtiva",TEXT(A84,"00"),IF(H84="Célula Construtiva",TEXT(B84,"00"),IF(H84="Etapa",CONCATENATE(TEXT(B84,"00"),".",TEXT(C84,"000")),IF(H84="Subetapa",CONCATENATE(TEXT(B84,"00"),".",TEXT(C84,"000"),".",TEXT(D84,"000")),IF(H84="Serviço",CONCATENATE(TEXT(B84,"00"),".",TEXT(C84,"000"),".",TEXT(D84,"000"),".",TEXT(E84,"000")),"")))))</f>
        <v/>
      </c>
      <c r="J84" s="48" t="inlineStr">
        <is>
          <t>Mão de obra para execução de fundação</t>
        </is>
      </c>
      <c r="K84" s="45" t="inlineStr">
        <is>
          <t>m2</t>
        </is>
      </c>
      <c r="L84" s="46" t="n">
        <v>395.52</v>
      </c>
      <c r="M84" s="46" t="n">
        <v>478.5000000000001</v>
      </c>
      <c r="N84" s="47">
        <f>IF(H84="Serviço",M84*L84,IF(H84="CÉLULA CONSTRUTIVA",SUMIFS($N$8:$N$155,$B$8:$B$155,B84,$H$8:$H$155,"Serviço"),IF(H84="ETAPA",SUMIFS($N$8:$N$155,$B$8:$B$155,B84,$C$8:$C$155,C84,$H$8:$H$155,"Serviço"),IF(H84="SUBETAPA",SUMIFS($N$8:$N$155,$B$8:$B$155,B84,$C$8:$C$155,C84,$D$8:$D$155,D84,$H$8:$H$155,"Serviço"),0))))</f>
        <v/>
      </c>
      <c r="O84" s="45" t="n"/>
      <c r="P84" s="46" t="n"/>
      <c r="Q84" s="46" t="n"/>
      <c r="R84" s="47" t="n"/>
      <c r="S84" s="109" t="n"/>
      <c r="T84" s="49" t="n"/>
      <c r="U84" s="49" t="n"/>
    </row>
    <row r="85" outlineLevel="3" ht="13.95" customFormat="1" customHeight="1" s="31">
      <c r="A85" s="217">
        <f>IF($H85="UNIDADE CONSTRUTIVA",OFFSET(A85,-1,0)+1,LARGE(A$3:A84,1))</f>
        <v/>
      </c>
      <c r="B85" s="217">
        <f>IF(H85="UNIDADE CONSTRUTIVA",0,IF(H85="CÉLULA CONSTRUTIVA",OFFSET(B85,-1,0)+1,OFFSET(B85,-1,0)))</f>
        <v/>
      </c>
      <c r="C85" s="217">
        <f>IF(H85="CÉLULA CONSTRUTIVA",0,IF(H85="ETAPA",OFFSET(C85,-1,0)+1,OFFSET(C85,-1,0)))</f>
        <v/>
      </c>
      <c r="D85" s="218">
        <f>IF(H85="ETAPA",0,IF(H85="SUBETAPA",OFFSET(D85,-1,0)+1,OFFSET(D85,-1,0)))</f>
        <v/>
      </c>
      <c r="E85" s="218">
        <f>IF(H85="Subetapa",0,IF(H85="serviço",OFFSET(E85,-1,0)+1,OFFSET(E85,-1,0)))</f>
        <v/>
      </c>
      <c r="G85" s="111" t="inlineStr">
        <is>
          <t>INFRAESTRUTURA</t>
        </is>
      </c>
      <c r="H85" s="42" t="inlineStr">
        <is>
          <t>SERVIÇO</t>
        </is>
      </c>
      <c r="I85" s="43">
        <f>IF(H85="Unidade Construtiva",TEXT(A85,"00"),IF(H85="Célula Construtiva",TEXT(B85,"00"),IF(H85="Etapa",CONCATENATE(TEXT(B85,"00"),".",TEXT(C85,"000")),IF(H85="Subetapa",CONCATENATE(TEXT(B85,"00"),".",TEXT(C85,"000"),".",TEXT(D85,"000")),IF(H85="Serviço",CONCATENATE(TEXT(B85,"00"),".",TEXT(C85,"000"),".",TEXT(D85,"000"),".",TEXT(E85,"000")),"")))))</f>
        <v/>
      </c>
      <c r="J85" s="48" t="inlineStr">
        <is>
          <t>Acompanhamento Topografo - Fundação</t>
        </is>
      </c>
      <c r="K85" s="113" t="inlineStr">
        <is>
          <t>dia</t>
        </is>
      </c>
      <c r="L85" s="114" t="n">
        <v>15</v>
      </c>
      <c r="M85" s="46" t="n">
        <v>1450</v>
      </c>
      <c r="N85" s="47">
        <f>IF(H85="Serviço",M85*L85,IF(H85="CÉLULA CONSTRUTIVA",SUMIFS($N$8:$N$155,$B$8:$B$155,B85,$H$8:$H$155,"Serviço"),IF(H85="ETAPA",SUMIFS($N$8:$N$155,$B$8:$B$155,B85,$C$8:$C$155,C85,$H$8:$H$155,"Serviço"),IF(H85="SUBETAPA",SUMIFS($N$8:$N$155,$B$8:$B$155,B85,$C$8:$C$155,C85,$D$8:$D$155,D85,$H$8:$H$155,"Serviço"),0))))</f>
        <v/>
      </c>
      <c r="O85" s="113" t="n"/>
      <c r="P85" s="114" t="n"/>
      <c r="Q85" s="46" t="n"/>
      <c r="R85" s="47" t="n"/>
      <c r="S85" s="109" t="n"/>
      <c r="T85" s="49" t="n"/>
      <c r="U85" s="49" t="n"/>
    </row>
    <row r="86" ht="13.95" customFormat="1" customHeight="1" s="31">
      <c r="A86" s="217">
        <f>IF($H86="UNIDADE CONSTRUTIVA",OFFSET(A86,-1,0)+1,LARGE(A$3:A85,1))</f>
        <v/>
      </c>
      <c r="B86" s="217">
        <f>IF(H86="UNIDADE CONSTRUTIVA",0,IF(H86="CÉLULA CONSTRUTIVA",OFFSET(B86,-1,0)+1,OFFSET(B86,-1,0)))</f>
        <v/>
      </c>
      <c r="C86" s="217">
        <f>IF(H86="CÉLULA CONSTRUTIVA",0,IF(H86="ETAPA",OFFSET(C86,-1,0)+1,OFFSET(C86,-1,0)))</f>
        <v/>
      </c>
      <c r="D86" s="218">
        <f>IF(H86="ETAPA",0,IF(H86="SUBETAPA",OFFSET(D86,-1,0)+1,OFFSET(D86,-1,0)))</f>
        <v/>
      </c>
      <c r="E86" s="218">
        <f>IF(H86="Subetapa",0,IF(H86="serviço",OFFSET(E86,-1,0)+1,OFFSET(E86,-1,0)))</f>
        <v/>
      </c>
      <c r="G86" s="41" t="n"/>
      <c r="H86" s="42" t="inlineStr">
        <is>
          <t>CÉLULA CONSTRUTIVA</t>
        </is>
      </c>
      <c r="I86" s="43">
        <f>IF(H86="Unidade Construtiva",TEXT(A86,"00"),IF(H86="Célula Construtiva",TEXT(B86,"00"),IF(H86="Etapa",CONCATENATE(TEXT(B86,"00"),".",TEXT(C86,"000")),IF(H86="Subetapa",CONCATENATE(TEXT(B86,"00"),".",TEXT(C86,"000"),".",TEXT(D86,"000")),IF(H86="Serviço",CONCATENATE(TEXT(B86,"00"),".",TEXT(C86,"000"),".",TEXT(D86,"000"),".",TEXT(E86,"000")),"")))))</f>
        <v/>
      </c>
      <c r="J86" s="48" t="inlineStr">
        <is>
          <t>SUPRAESTRUTURA</t>
        </is>
      </c>
      <c r="K86" s="45" t="n"/>
      <c r="L86" s="46" t="n"/>
      <c r="M86" s="46" t="n"/>
      <c r="N86" s="47">
        <f>IF(H86="Serviço",M86*L86,IF(H86="CÉLULA CONSTRUTIVA",SUMIFS($N$8:$N$122,$B$8:$B$122,B86,$H$8:$H$122,"Serviço"),IF(H86="ETAPA",SUMIFS($N$8:$N$122,$B$8:$B$122,B86,$C$8:$C$122,C86,$H$8:$H$122,"Serviço"),IF(H86="SUBETAPA",SUMIFS($N$8:$N$122,$B$8:$B$122,B86,$C$8:$C$122,C86,$D$8:$D$122,D86,$H$8:$H$122,"Serviço"),0))))</f>
        <v/>
      </c>
      <c r="O86" s="45" t="n"/>
      <c r="P86" s="46" t="n"/>
      <c r="Q86" s="46" t="n"/>
      <c r="R86" s="47" t="n"/>
      <c r="S86" s="109" t="n"/>
      <c r="T86" s="215" t="n"/>
      <c r="U86" s="49" t="n"/>
    </row>
    <row r="87" outlineLevel="1" ht="13.95" customFormat="1" customHeight="1" s="31">
      <c r="A87" s="217">
        <f>IF($H87="UNIDADE CONSTRUTIVA",OFFSET(A87,-1,0)+1,LARGE(A$3:A86,1))</f>
        <v/>
      </c>
      <c r="B87" s="217">
        <f>IF(H87="UNIDADE CONSTRUTIVA",0,IF(H87="CÉLULA CONSTRUTIVA",OFFSET(B87,-1,0)+1,OFFSET(B87,-1,0)))</f>
        <v/>
      </c>
      <c r="C87" s="217">
        <f>IF(H87="CÉLULA CONSTRUTIVA",0,IF(H87="ETAPA",OFFSET(C87,-1,0)+1,OFFSET(C87,-1,0)))</f>
        <v/>
      </c>
      <c r="D87" s="218">
        <f>IF(H87="ETAPA",0,IF(H87="SUBETAPA",OFFSET(D87,-1,0)+1,OFFSET(D87,-1,0)))</f>
        <v/>
      </c>
      <c r="E87" s="218">
        <f>IF(H87="Subetapa",0,IF(H87="serviço",OFFSET(E87,-1,0)+1,OFFSET(E87,-1,0)))</f>
        <v/>
      </c>
      <c r="G87" s="41" t="n"/>
      <c r="H87" s="42" t="inlineStr">
        <is>
          <t>ETAPA</t>
        </is>
      </c>
      <c r="I87" s="43">
        <f>IF(H87="Unidade Construtiva",TEXT(A87,"00"),IF(H87="Célula Construtiva",TEXT(B87,"00"),IF(H87="Etapa",CONCATENATE(TEXT(B87,"00"),".",TEXT(C87,"000")),IF(H87="Subetapa",CONCATENATE(TEXT(B87,"00"),".",TEXT(C87,"000"),".",TEXT(D87,"000")),IF(H87="Serviço",CONCATENATE(TEXT(B87,"00"),".",TEXT(C87,"000"),".",TEXT(D87,"000"),".",TEXT(E87,"000")),"")))))</f>
        <v/>
      </c>
      <c r="J87" s="48" t="inlineStr">
        <is>
          <t>SUPRAESTRUTURA</t>
        </is>
      </c>
      <c r="K87" s="45" t="n"/>
      <c r="L87" s="46" t="n"/>
      <c r="M87" s="46" t="n"/>
      <c r="N87" s="47">
        <f>IF(H87="Serviço",M87*L87,IF(H87="CÉLULA CONSTRUTIVA",SUMIFS($N$8:$N$122,$B$8:$B$122,B87,$H$8:$H$122,"Serviço"),IF(H87="ETAPA",SUMIFS($N$8:$N$122,$B$8:$B$122,B87,$C$8:$C$122,C87,$H$8:$H$122,"Serviço"),IF(H87="SUBETAPA",SUMIFS($N$8:$N$122,$B$8:$B$122,B87,$C$8:$C$122,C87,$D$8:$D$122,D87,$H$8:$H$122,"Serviço"),0))))</f>
        <v/>
      </c>
      <c r="O87" s="45" t="n"/>
      <c r="P87" s="46" t="n"/>
      <c r="Q87" s="46" t="n"/>
      <c r="R87" s="47" t="n"/>
      <c r="S87" s="109" t="n"/>
      <c r="T87" s="49" t="n"/>
      <c r="U87" s="49" t="n"/>
    </row>
    <row r="88" outlineLevel="1" ht="13.95" customFormat="1" customHeight="1" s="31">
      <c r="A88" s="217">
        <f>IF($H88="UNIDADE CONSTRUTIVA",OFFSET(A88,-1,0)+1,LARGE(A$3:A87,1))</f>
        <v/>
      </c>
      <c r="B88" s="217">
        <f>IF(H88="UNIDADE CONSTRUTIVA",0,IF(H88="CÉLULA CONSTRUTIVA",OFFSET(B88,-1,0)+1,OFFSET(B88,-1,0)))</f>
        <v/>
      </c>
      <c r="C88" s="217">
        <f>IF(H88="CÉLULA CONSTRUTIVA",0,IF(H88="ETAPA",OFFSET(C88,-1,0)+1,OFFSET(C88,-1,0)))</f>
        <v/>
      </c>
      <c r="D88" s="218">
        <f>IF(H88="ETAPA",0,IF(H88="SUBETAPA",OFFSET(D88,-1,0)+1,OFFSET(D88,-1,0)))</f>
        <v/>
      </c>
      <c r="E88" s="218">
        <f>IF(H88="Subetapa",0,IF(H88="serviço",OFFSET(E88,-1,0)+1,OFFSET(E88,-1,0)))</f>
        <v/>
      </c>
      <c r="G88" s="41" t="n"/>
      <c r="H88" s="42" t="inlineStr">
        <is>
          <t>SUBETAPA</t>
        </is>
      </c>
      <c r="I88" s="43">
        <f>IF(H88="Unidade Construtiva",TEXT(A88,"00"),IF(H88="Célula Construtiva",TEXT(B88,"00"),IF(H88="Etapa",CONCATENATE(TEXT(B88,"00"),".",TEXT(C88,"000")),IF(H88="Subetapa",CONCATENATE(TEXT(B88,"00"),".",TEXT(C88,"000"),".",TEXT(D88,"000")),IF(H88="Serviço",CONCATENATE(TEXT(B88,"00"),".",TEXT(C88,"000"),".",TEXT(D88,"000"),".",TEXT(E88,"000")),"")))))</f>
        <v/>
      </c>
      <c r="J88" s="48" t="inlineStr">
        <is>
          <t>Forma</t>
        </is>
      </c>
      <c r="K88" s="45" t="n"/>
      <c r="L88" s="46" t="n"/>
      <c r="M88" s="46" t="n"/>
      <c r="N88" s="47">
        <f>IF(H88="Serviço",M88*L88,IF(H88="CÉLULA CONSTRUTIVA",SUMIFS($N$8:$N$122,$B$8:$B$122,B88,$H$8:$H$122,"Serviço"),IF(H88="ETAPA",SUMIFS($N$8:$N$122,$B$8:$B$122,B88,$C$8:$C$122,C88,$H$8:$H$122,"Serviço"),IF(H88="SUBETAPA",SUMIFS($N$8:$N$122,$B$8:$B$122,B88,$C$8:$C$122,C88,$D$8:$D$122,D88,$H$8:$H$122,"Serviço"),0))))</f>
        <v/>
      </c>
      <c r="O88" s="45" t="n"/>
      <c r="P88" s="46" t="n"/>
      <c r="Q88" s="46" t="n"/>
      <c r="R88" s="216" t="inlineStr">
        <is>
          <t>15.001.008.003 - Concregrama</t>
        </is>
      </c>
      <c r="S88" s="109" t="n"/>
      <c r="T88" s="49" t="n"/>
      <c r="U88" s="49" t="n"/>
    </row>
    <row r="89" outlineLevel="2" ht="13.95" customFormat="1" customHeight="1" s="31">
      <c r="A89" s="217">
        <f>IF($H89="UNIDADE CONSTRUTIVA",OFFSET(A89,-1,0)+1,LARGE(A$3:A88,1))</f>
        <v/>
      </c>
      <c r="B89" s="217">
        <f>IF(H89="UNIDADE CONSTRUTIVA",0,IF(H89="CÉLULA CONSTRUTIVA",OFFSET(B89,-1,0)+1,OFFSET(B89,-1,0)))</f>
        <v/>
      </c>
      <c r="C89" s="217">
        <f>IF(H89="CÉLULA CONSTRUTIVA",0,IF(H89="ETAPA",OFFSET(C89,-1,0)+1,OFFSET(C89,-1,0)))</f>
        <v/>
      </c>
      <c r="D89" s="218">
        <f>IF(H89="ETAPA",0,IF(H89="SUBETAPA",OFFSET(D89,-1,0)+1,OFFSET(D89,-1,0)))</f>
        <v/>
      </c>
      <c r="E89" s="218">
        <f>IF(H89="Subetapa",0,IF(H89="serviço",OFFSET(E89,-1,0)+1,OFFSET(E89,-1,0)))</f>
        <v/>
      </c>
      <c r="G89" s="41" t="inlineStr">
        <is>
          <t>SUPRAESTRUTURA</t>
        </is>
      </c>
      <c r="H89" s="42" t="inlineStr">
        <is>
          <t>SERVIÇO</t>
        </is>
      </c>
      <c r="I89" s="43">
        <f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/>
      </c>
      <c r="J89" s="118" t="inlineStr">
        <is>
          <t>Fabricação de Fôrma para Pilares, em Chapa de Madeira Compensada Resinada, E=17mm</t>
        </is>
      </c>
      <c r="K89" s="45" t="inlineStr">
        <is>
          <t>m²</t>
        </is>
      </c>
      <c r="L89" s="46">
        <f>L93/4</f>
        <v/>
      </c>
      <c r="M89" s="46" t="n">
        <v>88.64710000000001</v>
      </c>
      <c r="N89" s="47">
        <f>IF(H89="Serviço",M89*L89,IF(H89="CÉLULA CONSTRUTIVA",SUMIFS($N$8:$N$122,$B$8:$B$122,B89,$H$8:$H$122,"Serviço"),IF(H89="ETAPA",SUMIFS($N$8:$N$122,$B$8:$B$122,B89,$C$8:$C$122,C89,$H$8:$H$122,"Serviço"),IF(H89="SUBETAPA",SUMIFS($N$8:$N$122,$B$8:$B$122,B89,$C$8:$C$122,C89,$D$8:$D$122,D89,$H$8:$H$122,"Serviço"),0))))</f>
        <v/>
      </c>
      <c r="O89" s="45" t="n"/>
      <c r="P89" s="46" t="n"/>
      <c r="Q89" s="46" t="n"/>
      <c r="R89" s="47" t="n"/>
      <c r="S89" s="109" t="n"/>
      <c r="T89" s="49" t="n"/>
      <c r="U89" s="49" t="n"/>
    </row>
    <row r="90" outlineLevel="2" ht="13.95" customFormat="1" customHeight="1" s="31">
      <c r="A90" s="217">
        <f>IF($H90="UNIDADE CONSTRUTIVA",OFFSET(A90,-1,0)+1,LARGE(A$3:A89,1))</f>
        <v/>
      </c>
      <c r="B90" s="217">
        <f>IF(H90="UNIDADE CONSTRUTIVA",0,IF(H90="CÉLULA CONSTRUTIVA",OFFSET(B90,-1,0)+1,OFFSET(B90,-1,0)))</f>
        <v/>
      </c>
      <c r="C90" s="217">
        <f>IF(H90="CÉLULA CONSTRUTIVA",0,IF(H90="ETAPA",OFFSET(C90,-1,0)+1,OFFSET(C90,-1,0)))</f>
        <v/>
      </c>
      <c r="D90" s="218">
        <f>IF(H90="ETAPA",0,IF(H90="SUBETAPA",OFFSET(D90,-1,0)+1,OFFSET(D90,-1,0)))</f>
        <v/>
      </c>
      <c r="E90" s="218">
        <f>IF(H90="Subetapa",0,IF(H90="serviço",OFFSET(E90,-1,0)+1,OFFSET(E90,-1,0)))</f>
        <v/>
      </c>
      <c r="G90" s="41" t="inlineStr">
        <is>
          <t>SUPRAESTRUTURA</t>
        </is>
      </c>
      <c r="H90" s="42" t="inlineStr">
        <is>
          <t>SERVIÇO</t>
        </is>
      </c>
      <c r="I90" s="43">
        <f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/>
      </c>
      <c r="J90" s="118" t="inlineStr">
        <is>
          <t>Fabricação de Fôrma para Vigas, em Chapa de Madeira Compensada Resinada, E=17mm</t>
        </is>
      </c>
      <c r="K90" s="45" t="inlineStr">
        <is>
          <t>m²</t>
        </is>
      </c>
      <c r="L90" s="46">
        <f>L94/4</f>
        <v/>
      </c>
      <c r="M90" s="46" t="n">
        <v>72.19483</v>
      </c>
      <c r="N90" s="47">
        <f>IF(H90="Serviço",M90*L90,IF(H90="CÉLULA CONSTRUTIVA",SUMIFS($N$8:$N$122,$B$8:$B$122,B90,$H$8:$H$122,"Serviço"),IF(H90="ETAPA",SUMIFS($N$8:$N$122,$B$8:$B$122,B90,$C$8:$C$122,C90,$H$8:$H$122,"Serviço"),IF(H90="SUBETAPA",SUMIFS($N$8:$N$122,$B$8:$B$122,B90,$C$8:$C$122,C90,$D$8:$D$122,D90,$H$8:$H$122,"Serviço"),0))))</f>
        <v/>
      </c>
      <c r="O90" s="45" t="n"/>
      <c r="P90" s="46" t="n"/>
      <c r="Q90" s="46" t="n"/>
      <c r="R90" s="47" t="n"/>
      <c r="S90" s="109" t="n"/>
      <c r="T90" s="49" t="n"/>
      <c r="U90" s="49" t="n"/>
    </row>
    <row r="91" outlineLevel="2" ht="13.95" customFormat="1" customHeight="1" s="31">
      <c r="A91" s="217">
        <f>IF($H91="UNIDADE CONSTRUTIVA",OFFSET(A91,-1,0)+1,LARGE(A$3:A90,1))</f>
        <v/>
      </c>
      <c r="B91" s="217">
        <f>IF(H91="UNIDADE CONSTRUTIVA",0,IF(H91="CÉLULA CONSTRUTIVA",OFFSET(B91,-1,0)+1,OFFSET(B91,-1,0)))</f>
        <v/>
      </c>
      <c r="C91" s="217">
        <f>IF(H91="CÉLULA CONSTRUTIVA",0,IF(H91="ETAPA",OFFSET(C91,-1,0)+1,OFFSET(C91,-1,0)))</f>
        <v/>
      </c>
      <c r="D91" s="218">
        <f>IF(H91="ETAPA",0,IF(H91="SUBETAPA",OFFSET(D91,-1,0)+1,OFFSET(D91,-1,0)))</f>
        <v/>
      </c>
      <c r="E91" s="218">
        <f>IF(H91="Subetapa",0,IF(H91="serviço",OFFSET(E91,-1,0)+1,OFFSET(E91,-1,0)))</f>
        <v/>
      </c>
      <c r="G91" s="41" t="inlineStr">
        <is>
          <t>SUPRAESTRUTURA</t>
        </is>
      </c>
      <c r="H91" s="42" t="inlineStr">
        <is>
          <t>SERVIÇO</t>
        </is>
      </c>
      <c r="I91" s="43">
        <f>IF(H91="Unidade Construtiva",TEXT(A91,"00"),IF(H91="Célula Construtiva",TEXT(B91,"00"),IF(H91="Etapa",CONCATENATE(TEXT(B91,"00"),".",TEXT(C91,"000")),IF(H91="Subetapa",CONCATENATE(TEXT(B91,"00"),".",TEXT(C91,"000"),".",TEXT(D91,"000")),IF(H91="Serviço",CONCATENATE(TEXT(B91,"00"),".",TEXT(C91,"000"),".",TEXT(D91,"000"),".",TEXT(E91,"000")),"")))))</f>
        <v/>
      </c>
      <c r="J91" s="118" t="inlineStr">
        <is>
          <t>Fabricação de Fôrma para Lajes, em Chapa de Madeira Compensada Resinada, E=17mm</t>
        </is>
      </c>
      <c r="K91" s="45" t="inlineStr">
        <is>
          <t>m²</t>
        </is>
      </c>
      <c r="L91" s="46">
        <f>L95/4</f>
        <v/>
      </c>
      <c r="M91" s="46" t="n">
        <v>46.38482999999999</v>
      </c>
      <c r="N91" s="47">
        <f>IF(H91="Serviço",M91*L91,IF(H91="CÉLULA CONSTRUTIVA",SUMIFS($N$8:$N$122,$B$8:$B$122,B91,$H$8:$H$122,"Serviço"),IF(H91="ETAPA",SUMIFS($N$8:$N$122,$B$8:$B$122,B91,$C$8:$C$122,C91,$H$8:$H$122,"Serviço"),IF(H91="SUBETAPA",SUMIFS($N$8:$N$122,$B$8:$B$122,B91,$C$8:$C$122,C91,$D$8:$D$122,D91,$H$8:$H$122,"Serviço"),0))))</f>
        <v/>
      </c>
      <c r="O91" s="45" t="n"/>
      <c r="P91" s="46" t="n"/>
      <c r="Q91" s="46" t="n"/>
      <c r="R91" s="47" t="n"/>
      <c r="S91" s="109" t="n"/>
      <c r="T91" s="49" t="n"/>
      <c r="U91" s="49" t="n"/>
    </row>
    <row r="92" outlineLevel="2" ht="13.95" customFormat="1" customHeight="1" s="31">
      <c r="A92" s="217">
        <f>IF($H92="UNIDADE CONSTRUTIVA",OFFSET(A92,-1,0)+1,LARGE(A$3:A91,1))</f>
        <v/>
      </c>
      <c r="B92" s="217">
        <f>IF(H92="UNIDADE CONSTRUTIVA",0,IF(H92="CÉLULA CONSTRUTIVA",OFFSET(B92,-1,0)+1,OFFSET(B92,-1,0)))</f>
        <v/>
      </c>
      <c r="C92" s="217">
        <f>IF(H92="CÉLULA CONSTRUTIVA",0,IF(H92="ETAPA",OFFSET(C92,-1,0)+1,OFFSET(C92,-1,0)))</f>
        <v/>
      </c>
      <c r="D92" s="218">
        <f>IF(H92="ETAPA",0,IF(H92="SUBETAPA",OFFSET(D92,-1,0)+1,OFFSET(D92,-1,0)))</f>
        <v/>
      </c>
      <c r="E92" s="218">
        <f>IF(H92="Subetapa",0,IF(H92="serviço",OFFSET(E92,-1,0)+1,OFFSET(E92,-1,0)))</f>
        <v/>
      </c>
      <c r="G92" s="41" t="inlineStr">
        <is>
          <t>SUPRAESTRUTURA</t>
        </is>
      </c>
      <c r="H92" s="42" t="inlineStr">
        <is>
          <t>SERVIÇO</t>
        </is>
      </c>
      <c r="I92" s="43">
        <f>IF(H92="Unidade Construtiva",TEXT(A92,"00"),IF(H92="Célula Construtiva",TEXT(B92,"00"),IF(H92="Etapa",CONCATENATE(TEXT(B92,"00"),".",TEXT(C92,"000")),IF(H92="Subetapa",CONCATENATE(TEXT(B92,"00"),".",TEXT(C92,"000"),".",TEXT(D92,"000")),IF(H92="Serviço",CONCATENATE(TEXT(B92,"00"),".",TEXT(C92,"000"),".",TEXT(D92,"000"),".",TEXT(E92,"000")),"")))))</f>
        <v/>
      </c>
      <c r="J92" s="118" t="inlineStr">
        <is>
          <t>Fabricação de Fôrma para Escadas, em Chapa de Madeira Compensada Resinada, E=17mm</t>
        </is>
      </c>
      <c r="K92" s="45" t="inlineStr">
        <is>
          <t>m²</t>
        </is>
      </c>
      <c r="L92" s="46">
        <f>L96/4</f>
        <v/>
      </c>
      <c r="M92" s="46" t="n">
        <v>104.30944</v>
      </c>
      <c r="N92" s="47">
        <f>IF(H92="Serviço",M92*L92,IF(H92="CÉLULA CONSTRUTIVA",SUMIFS($N$8:$N$122,$B$8:$B$122,B92,$H$8:$H$122,"Serviço"),IF(H92="ETAPA",SUMIFS($N$8:$N$122,$B$8:$B$122,B92,$C$8:$C$122,C92,$H$8:$H$122,"Serviço"),IF(H92="SUBETAPA",SUMIFS($N$8:$N$122,$B$8:$B$122,B92,$C$8:$C$122,C92,$D$8:$D$122,D92,$H$8:$H$122,"Serviço"),0))))</f>
        <v/>
      </c>
      <c r="O92" s="45" t="n"/>
      <c r="P92" s="46" t="n"/>
      <c r="Q92" s="46" t="n"/>
      <c r="R92" s="47" t="n"/>
      <c r="S92" s="109" t="n"/>
      <c r="T92" s="49" t="n"/>
      <c r="U92" s="49" t="n"/>
    </row>
    <row r="93" outlineLevel="2" ht="13.95" customFormat="1" customHeight="1" s="31">
      <c r="A93" s="217">
        <f>IF($H93="UNIDADE CONSTRUTIVA",OFFSET(A93,-1,0)+1,LARGE(A$3:A92,1))</f>
        <v/>
      </c>
      <c r="B93" s="217">
        <f>IF(H93="UNIDADE CONSTRUTIVA",0,IF(H93="CÉLULA CONSTRUTIVA",OFFSET(B93,-1,0)+1,OFFSET(B93,-1,0)))</f>
        <v/>
      </c>
      <c r="C93" s="217">
        <f>IF(H93="CÉLULA CONSTRUTIVA",0,IF(H93="ETAPA",OFFSET(C93,-1,0)+1,OFFSET(C93,-1,0)))</f>
        <v/>
      </c>
      <c r="D93" s="218">
        <f>IF(H93="ETAPA",0,IF(H93="SUBETAPA",OFFSET(D93,-1,0)+1,OFFSET(D93,-1,0)))</f>
        <v/>
      </c>
      <c r="E93" s="218">
        <f>IF(H93="Subetapa",0,IF(H93="serviço",OFFSET(E93,-1,0)+1,OFFSET(E93,-1,0)))</f>
        <v/>
      </c>
      <c r="G93" s="41" t="inlineStr">
        <is>
          <t>SUPRAESTRUTURA</t>
        </is>
      </c>
      <c r="H93" s="42" t="inlineStr">
        <is>
          <t>SERVIÇO</t>
        </is>
      </c>
      <c r="I93" s="43">
        <f>IF(H93="Unidade Construtiva",TEXT(A93,"00"),IF(H93="Célula Construtiva",TEXT(B93,"00"),IF(H93="Etapa",CONCATENATE(TEXT(B93,"00"),".",TEXT(C93,"000")),IF(H93="Subetapa",CONCATENATE(TEXT(B93,"00"),".",TEXT(C93,"000"),".",TEXT(D93,"000")),IF(H93="Serviço",CONCATENATE(TEXT(B93,"00"),".",TEXT(C93,"000"),".",TEXT(D93,"000"),".",TEXT(E93,"000")),"")))))</f>
        <v/>
      </c>
      <c r="J93" s="48" t="inlineStr">
        <is>
          <t>Montagem e Desmontagem de Fôrma de Pilares</t>
        </is>
      </c>
      <c r="K93" s="45" t="inlineStr">
        <is>
          <t>m²</t>
        </is>
      </c>
      <c r="L93" s="46" t="n">
        <v>3596.72</v>
      </c>
      <c r="M93" s="46" t="n">
        <v>0.6916599999999999</v>
      </c>
      <c r="N93" s="47">
        <f>IF(H93="Serviço",M93*L93,IF(H93="CÉLULA CONSTRUTIVA",SUMIFS($N$8:$N$122,$B$8:$B$122,B93,$H$8:$H$122,"Serviço"),IF(H93="ETAPA",SUMIFS($N$8:$N$122,$B$8:$B$122,B93,$C$8:$C$122,C93,$H$8:$H$122,"Serviço"),IF(H93="SUBETAPA",SUMIFS($N$8:$N$122,$B$8:$B$122,B93,$C$8:$C$122,C93,$D$8:$D$122,D93,$H$8:$H$122,"Serviço"),0))))</f>
        <v/>
      </c>
      <c r="O93" s="45" t="n"/>
      <c r="P93" s="46" t="n"/>
      <c r="Q93" s="46" t="n"/>
      <c r="R93" s="47" t="n"/>
      <c r="S93" s="109" t="n"/>
      <c r="T93" s="49" t="n"/>
      <c r="U93" s="49" t="n"/>
    </row>
    <row r="94" outlineLevel="2" ht="13.95" customFormat="1" customHeight="1" s="31">
      <c r="A94" s="217">
        <f>IF($H94="UNIDADE CONSTRUTIVA",OFFSET(A94,-1,0)+1,LARGE(A$3:A93,1))</f>
        <v/>
      </c>
      <c r="B94" s="217">
        <f>IF(H94="UNIDADE CONSTRUTIVA",0,IF(H94="CÉLULA CONSTRUTIVA",OFFSET(B94,-1,0)+1,OFFSET(B94,-1,0)))</f>
        <v/>
      </c>
      <c r="C94" s="217">
        <f>IF(H94="CÉLULA CONSTRUTIVA",0,IF(H94="ETAPA",OFFSET(C94,-1,0)+1,OFFSET(C94,-1,0)))</f>
        <v/>
      </c>
      <c r="D94" s="218">
        <f>IF(H94="ETAPA",0,IF(H94="SUBETAPA",OFFSET(D94,-1,0)+1,OFFSET(D94,-1,0)))</f>
        <v/>
      </c>
      <c r="E94" s="218">
        <f>IF(H94="Subetapa",0,IF(H94="serviço",OFFSET(E94,-1,0)+1,OFFSET(E94,-1,0)))</f>
        <v/>
      </c>
      <c r="G94" s="41" t="inlineStr">
        <is>
          <t>SUPRAESTRUTURA</t>
        </is>
      </c>
      <c r="H94" s="42" t="inlineStr">
        <is>
          <t>SERVIÇO</t>
        </is>
      </c>
      <c r="I94" s="43">
        <f>IF(H94="Unidade Construtiva",TEXT(A94,"00"),IF(H94="Célula Construtiva",TEXT(B94,"00"),IF(H94="Etapa",CONCATENATE(TEXT(B94,"00"),".",TEXT(C94,"000")),IF(H94="Subetapa",CONCATENATE(TEXT(B94,"00"),".",TEXT(C94,"000"),".",TEXT(D94,"000")),IF(H94="Serviço",CONCATENATE(TEXT(B94,"00"),".",TEXT(C94,"000"),".",TEXT(D94,"000"),".",TEXT(E94,"000")),"")))))</f>
        <v/>
      </c>
      <c r="J94" s="48" t="inlineStr">
        <is>
          <t>Montagem e Desmontagem de Fôrma de Vigas</t>
        </is>
      </c>
      <c r="K94" s="45" t="inlineStr">
        <is>
          <t>m²</t>
        </is>
      </c>
      <c r="L94" s="46" t="n">
        <v>1203.49</v>
      </c>
      <c r="M94" s="46" t="n">
        <v>4.6844188</v>
      </c>
      <c r="N94" s="47">
        <f>IF(H94="Serviço",M94*L94,IF(H94="CÉLULA CONSTRUTIVA",SUMIFS($N$8:$N$122,$B$8:$B$122,B94,$H$8:$H$122,"Serviço"),IF(H94="ETAPA",SUMIFS($N$8:$N$122,$B$8:$B$122,B94,$C$8:$C$122,C94,$H$8:$H$122,"Serviço"),IF(H94="SUBETAPA",SUMIFS($N$8:$N$122,$B$8:$B$122,B94,$C$8:$C$122,C94,$D$8:$D$122,D94,$H$8:$H$122,"Serviço"),0))))</f>
        <v/>
      </c>
      <c r="O94" s="45" t="n"/>
      <c r="P94" s="46" t="n"/>
      <c r="Q94" s="46" t="n"/>
      <c r="R94" s="47" t="n"/>
      <c r="S94" s="109" t="n"/>
      <c r="T94" s="49" t="n"/>
      <c r="U94" s="49" t="n"/>
    </row>
    <row r="95" outlineLevel="2" ht="13.95" customFormat="1" customHeight="1" s="31">
      <c r="A95" s="217">
        <f>IF($H95="UNIDADE CONSTRUTIVA",OFFSET(A95,-1,0)+1,LARGE(A$3:A94,1))</f>
        <v/>
      </c>
      <c r="B95" s="217">
        <f>IF(H95="UNIDADE CONSTRUTIVA",0,IF(H95="CÉLULA CONSTRUTIVA",OFFSET(B95,-1,0)+1,OFFSET(B95,-1,0)))</f>
        <v/>
      </c>
      <c r="C95" s="217">
        <f>IF(H95="CÉLULA CONSTRUTIVA",0,IF(H95="ETAPA",OFFSET(C95,-1,0)+1,OFFSET(C95,-1,0)))</f>
        <v/>
      </c>
      <c r="D95" s="218">
        <f>IF(H95="ETAPA",0,IF(H95="SUBETAPA",OFFSET(D95,-1,0)+1,OFFSET(D95,-1,0)))</f>
        <v/>
      </c>
      <c r="E95" s="218">
        <f>IF(H95="Subetapa",0,IF(H95="serviço",OFFSET(E95,-1,0)+1,OFFSET(E95,-1,0)))</f>
        <v/>
      </c>
      <c r="G95" s="41" t="inlineStr">
        <is>
          <t>SUPRAESTRUTURA</t>
        </is>
      </c>
      <c r="H95" s="42" t="inlineStr">
        <is>
          <t>SERVIÇO</t>
        </is>
      </c>
      <c r="I95" s="43">
        <f>IF(H95="Unidade Construtiva",TEXT(A95,"00"),IF(H95="Célula Construtiva",TEXT(B95,"00"),IF(H95="Etapa",CONCATENATE(TEXT(B95,"00"),".",TEXT(C95,"000")),IF(H95="Subetapa",CONCATENATE(TEXT(B95,"00"),".",TEXT(C95,"000"),".",TEXT(D95,"000")),IF(H95="Serviço",CONCATENATE(TEXT(B95,"00"),".",TEXT(C95,"000"),".",TEXT(D95,"000"),".",TEXT(E95,"000")),"")))))</f>
        <v/>
      </c>
      <c r="J95" s="48" t="inlineStr">
        <is>
          <t>Montagem e Desmontagem de Fôrma de Lajes</t>
        </is>
      </c>
      <c r="K95" s="45" t="inlineStr">
        <is>
          <t>m²</t>
        </is>
      </c>
      <c r="L95" s="46" t="n">
        <v>5151.61</v>
      </c>
      <c r="M95" s="46" t="n">
        <v>0.6916599999999999</v>
      </c>
      <c r="N95" s="47">
        <f>IF(H95="Serviço",M95*L95,IF(H95="CÉLULA CONSTRUTIVA",SUMIFS($N$8:$N$122,$B$8:$B$122,B95,$H$8:$H$122,"Serviço"),IF(H95="ETAPA",SUMIFS($N$8:$N$122,$B$8:$B$122,B95,$C$8:$C$122,C95,$H$8:$H$122,"Serviço"),IF(H95="SUBETAPA",SUMIFS($N$8:$N$122,$B$8:$B$122,B95,$C$8:$C$122,C95,$D$8:$D$122,D95,$H$8:$H$122,"Serviço"),0))))</f>
        <v/>
      </c>
      <c r="O95" s="45" t="n"/>
      <c r="P95" s="46" t="n"/>
      <c r="Q95" s="46" t="n"/>
      <c r="R95" s="47" t="n"/>
      <c r="S95" s="109" t="n"/>
      <c r="T95" s="49" t="n"/>
      <c r="U95" s="49" t="n"/>
    </row>
    <row r="96" outlineLevel="2" ht="13.95" customFormat="1" customHeight="1" s="31">
      <c r="A96" s="217">
        <f>IF($H96="UNIDADE CONSTRUTIVA",OFFSET(A96,-1,0)+1,LARGE(A$3:A95,1))</f>
        <v/>
      </c>
      <c r="B96" s="217">
        <f>IF(H96="UNIDADE CONSTRUTIVA",0,IF(H96="CÉLULA CONSTRUTIVA",OFFSET(B96,-1,0)+1,OFFSET(B96,-1,0)))</f>
        <v/>
      </c>
      <c r="C96" s="217">
        <f>IF(H96="CÉLULA CONSTRUTIVA",0,IF(H96="ETAPA",OFFSET(C96,-1,0)+1,OFFSET(C96,-1,0)))</f>
        <v/>
      </c>
      <c r="D96" s="218">
        <f>IF(H96="ETAPA",0,IF(H96="SUBETAPA",OFFSET(D96,-1,0)+1,OFFSET(D96,-1,0)))</f>
        <v/>
      </c>
      <c r="E96" s="218">
        <f>IF(H96="Subetapa",0,IF(H96="serviço",OFFSET(E96,-1,0)+1,OFFSET(E96,-1,0)))</f>
        <v/>
      </c>
      <c r="G96" s="41" t="inlineStr">
        <is>
          <t>SUPRAESTRUTURA</t>
        </is>
      </c>
      <c r="H96" s="42" t="inlineStr">
        <is>
          <t>SERVIÇO</t>
        </is>
      </c>
      <c r="I96" s="43">
        <f>IF(H96="Unidade Construtiva",TEXT(A96,"00"),IF(H96="Célula Construtiva",TEXT(B96,"00"),IF(H96="Etapa",CONCATENATE(TEXT(B96,"00"),".",TEXT(C96,"000")),IF(H96="Subetapa",CONCATENATE(TEXT(B96,"00"),".",TEXT(C96,"000"),".",TEXT(D96,"000")),IF(H96="Serviço",CONCATENATE(TEXT(B96,"00"),".",TEXT(C96,"000"),".",TEXT(D96,"000"),".",TEXT(E96,"000")),"")))))</f>
        <v/>
      </c>
      <c r="J96" s="48" t="inlineStr">
        <is>
          <t>Montagem e Desmontagem de Fôrma de Escadas</t>
        </is>
      </c>
      <c r="K96" s="45" t="inlineStr">
        <is>
          <t>m²</t>
        </is>
      </c>
      <c r="L96" s="46" t="n">
        <v>137.28</v>
      </c>
      <c r="M96" s="46" t="n">
        <v>0.9871800000000001</v>
      </c>
      <c r="N96" s="47">
        <f>IF(H96="Serviço",M96*L96,IF(H96="CÉLULA CONSTRUTIVA",SUMIFS($N$8:$N$122,$B$8:$B$122,B96,$H$8:$H$122,"Serviço"),IF(H96="ETAPA",SUMIFS($N$8:$N$122,$B$8:$B$122,B96,$C$8:$C$122,C96,$H$8:$H$122,"Serviço"),IF(H96="SUBETAPA",SUMIFS($N$8:$N$122,$B$8:$B$122,B96,$C$8:$C$122,C96,$D$8:$D$122,D96,$H$8:$H$122,"Serviço"),0))))</f>
        <v/>
      </c>
      <c r="O96" s="45" t="n"/>
      <c r="P96" s="46" t="n"/>
      <c r="Q96" s="46" t="n"/>
      <c r="R96" s="47" t="n"/>
      <c r="S96" s="109" t="n"/>
      <c r="T96" s="49" t="n"/>
      <c r="U96" s="49" t="n"/>
    </row>
    <row r="97" outlineLevel="1" ht="13.95" customFormat="1" customHeight="1" s="31">
      <c r="A97" s="217">
        <f>IF($H97="UNIDADE CONSTRUTIVA",OFFSET(A97,-1,0)+1,LARGE(A$3:A96,1))</f>
        <v/>
      </c>
      <c r="B97" s="217">
        <f>IF(H97="UNIDADE CONSTRUTIVA",0,IF(H97="CÉLULA CONSTRUTIVA",OFFSET(B97,-1,0)+1,OFFSET(B97,-1,0)))</f>
        <v/>
      </c>
      <c r="C97" s="217">
        <f>IF(H97="CÉLULA CONSTRUTIVA",0,IF(H97="ETAPA",OFFSET(C97,-1,0)+1,OFFSET(C97,-1,0)))</f>
        <v/>
      </c>
      <c r="D97" s="218">
        <f>IF(H97="ETAPA",0,IF(H97="SUBETAPA",OFFSET(D97,-1,0)+1,OFFSET(D97,-1,0)))</f>
        <v/>
      </c>
      <c r="E97" s="218">
        <f>IF(H97="Subetapa",0,IF(H97="serviço",OFFSET(E97,-1,0)+1,OFFSET(E97,-1,0)))</f>
        <v/>
      </c>
      <c r="G97" s="41" t="n"/>
      <c r="H97" s="42" t="inlineStr">
        <is>
          <t>SUBETAPA</t>
        </is>
      </c>
      <c r="I97" s="43">
        <f>IF(H97="Unidade Construtiva",TEXT(A97,"00"),IF(H97="Célula Construtiva",TEXT(B97,"00"),IF(H97="Etapa",CONCATENATE(TEXT(B97,"00"),".",TEXT(C97,"000")),IF(H97="Subetapa",CONCATENATE(TEXT(B97,"00"),".",TEXT(C97,"000"),".",TEXT(D97,"000")),IF(H97="Serviço",CONCATENATE(TEXT(B97,"00"),".",TEXT(C97,"000"),".",TEXT(D97,"000"),".",TEXT(E97,"000")),"")))))</f>
        <v/>
      </c>
      <c r="J97" s="119" t="inlineStr">
        <is>
          <t>Armadura</t>
        </is>
      </c>
      <c r="K97" s="45" t="n"/>
      <c r="L97" s="46" t="n"/>
      <c r="M97" s="46" t="n"/>
      <c r="N97" s="47">
        <f>IF(H97="Serviço",M97*L97,IF(H97="CÉLULA CONSTRUTIVA",SUMIFS($N$8:$N$122,$B$8:$B$122,B97,$H$8:$H$122,"Serviço"),IF(H97="ETAPA",SUMIFS($N$8:$N$122,$B$8:$B$122,B97,$C$8:$C$122,C97,$H$8:$H$122,"Serviço"),IF(H97="SUBETAPA",SUMIFS($N$8:$N$122,$B$8:$B$122,B97,$C$8:$C$122,C97,$D$8:$D$122,D97,$H$8:$H$122,"Serviço"),0))))</f>
        <v/>
      </c>
      <c r="O97" s="45" t="n"/>
      <c r="P97" s="46" t="n"/>
      <c r="Q97" s="46" t="n"/>
      <c r="R97" s="47" t="n"/>
      <c r="S97" s="109" t="n"/>
      <c r="T97" s="49" t="n"/>
      <c r="U97" s="49" t="n"/>
    </row>
    <row r="98" outlineLevel="2" ht="13.95" customFormat="1" customHeight="1" s="31">
      <c r="A98" s="217">
        <f>IF($H98="UNIDADE CONSTRUTIVA",OFFSET(A98,-1,0)+1,LARGE(A$3:A97,1))</f>
        <v/>
      </c>
      <c r="B98" s="217">
        <f>IF(H98="UNIDADE CONSTRUTIVA",0,IF(H98="CÉLULA CONSTRUTIVA",OFFSET(B98,-1,0)+1,OFFSET(B98,-1,0)))</f>
        <v/>
      </c>
      <c r="C98" s="217">
        <f>IF(H98="CÉLULA CONSTRUTIVA",0,IF(H98="ETAPA",OFFSET(C98,-1,0)+1,OFFSET(C98,-1,0)))</f>
        <v/>
      </c>
      <c r="D98" s="218">
        <f>IF(H98="ETAPA",0,IF(H98="SUBETAPA",OFFSET(D98,-1,0)+1,OFFSET(D98,-1,0)))</f>
        <v/>
      </c>
      <c r="E98" s="218">
        <f>IF(H98="Subetapa",0,IF(H98="serviço",OFFSET(E98,-1,0)+1,OFFSET(E98,-1,0)))</f>
        <v/>
      </c>
      <c r="G98" s="41" t="inlineStr">
        <is>
          <t>SUPRAESTRUTURA</t>
        </is>
      </c>
      <c r="H98" s="42" t="inlineStr">
        <is>
          <t>SERVIÇO</t>
        </is>
      </c>
      <c r="I98" s="43">
        <f>IF(H98="Unidade Construtiva",TEXT(A98,"00"),IF(H98="Célula Construtiva",TEXT(B98,"00"),IF(H98="Etapa",CONCATENATE(TEXT(B98,"00"),".",TEXT(C98,"000")),IF(H98="Subetapa",CONCATENATE(TEXT(B98,"00"),".",TEXT(C98,"000"),".",TEXT(D98,"000")),IF(H98="Serviço",CONCATENATE(TEXT(B98,"00"),".",TEXT(C98,"000"),".",TEXT(D98,"000"),".",TEXT(E98,"000")),"")))))</f>
        <v/>
      </c>
      <c r="J98" s="118" t="inlineStr">
        <is>
          <t>Armação Aço CA-60, Diâmetro de 5,0mm para Supraestrutura, Corte e Dobra em Industria</t>
        </is>
      </c>
      <c r="K98" s="45" t="inlineStr">
        <is>
          <t>kg</t>
        </is>
      </c>
      <c r="L98" s="46" t="n">
        <v>4165</v>
      </c>
      <c r="M98" s="46" t="n">
        <v>7.534965</v>
      </c>
      <c r="N98" s="47">
        <f>IF(H98="Serviço",M98*L98,IF(H98="CÉLULA CONSTRUTIVA",SUMIFS($N$8:$N$122,$B$8:$B$122,B98,$H$8:$H$122,"Serviço"),IF(H98="ETAPA",SUMIFS($N$8:$N$122,$B$8:$B$122,B98,$C$8:$C$122,C98,$H$8:$H$122,"Serviço"),IF(H98="SUBETAPA",SUMIFS($N$8:$N$122,$B$8:$B$122,B98,$C$8:$C$122,C98,$D$8:$D$122,D98,$H$8:$H$122,"Serviço"),0))))</f>
        <v/>
      </c>
      <c r="O98" s="45" t="n"/>
      <c r="P98" s="46" t="n"/>
      <c r="Q98" s="46" t="n"/>
      <c r="R98" s="47" t="n"/>
      <c r="S98" s="109" t="n"/>
      <c r="T98" s="49" t="n"/>
      <c r="U98" s="49" t="n"/>
    </row>
    <row r="99" outlineLevel="2" ht="13.95" customFormat="1" customHeight="1" s="31">
      <c r="A99" s="217">
        <f>IF($H99="UNIDADE CONSTRUTIVA",OFFSET(A99,-1,0)+1,LARGE(A$3:A98,1))</f>
        <v/>
      </c>
      <c r="B99" s="217">
        <f>IF(H99="UNIDADE CONSTRUTIVA",0,IF(H99="CÉLULA CONSTRUTIVA",OFFSET(B99,-1,0)+1,OFFSET(B99,-1,0)))</f>
        <v/>
      </c>
      <c r="C99" s="217">
        <f>IF(H99="CÉLULA CONSTRUTIVA",0,IF(H99="ETAPA",OFFSET(C99,-1,0)+1,OFFSET(C99,-1,0)))</f>
        <v/>
      </c>
      <c r="D99" s="218">
        <f>IF(H99="ETAPA",0,IF(H99="SUBETAPA",OFFSET(D99,-1,0)+1,OFFSET(D99,-1,0)))</f>
        <v/>
      </c>
      <c r="E99" s="218">
        <f>IF(H99="Subetapa",0,IF(H99="serviço",OFFSET(E99,-1,0)+1,OFFSET(E99,-1,0)))</f>
        <v/>
      </c>
      <c r="G99" s="41" t="inlineStr">
        <is>
          <t>SUPRAESTRUTURA</t>
        </is>
      </c>
      <c r="H99" s="42" t="inlineStr">
        <is>
          <t>SERVIÇO</t>
        </is>
      </c>
      <c r="I99" s="43">
        <f>IF(H99="Unidade Construtiva",TEXT(A99,"00"),IF(H99="Célula Construtiva",TEXT(B99,"00"),IF(H99="Etapa",CONCATENATE(TEXT(B99,"00"),".",TEXT(C99,"000")),IF(H99="Subetapa",CONCATENATE(TEXT(B99,"00"),".",TEXT(C99,"000"),".",TEXT(D99,"000")),IF(H99="Serviço",CONCATENATE(TEXT(B99,"00"),".",TEXT(C99,"000"),".",TEXT(D99,"000"),".",TEXT(E99,"000")),"")))))</f>
        <v/>
      </c>
      <c r="J99" s="118" t="inlineStr">
        <is>
          <t>Armação Aço CA-50, Diâmetro de 6,3mm para Supraestrutura, Corte e Dobra em Industria</t>
        </is>
      </c>
      <c r="K99" s="45" t="inlineStr">
        <is>
          <t>kg</t>
        </is>
      </c>
      <c r="L99" s="46" t="n">
        <v>10872.83</v>
      </c>
      <c r="M99" s="46" t="n">
        <v>7.034965</v>
      </c>
      <c r="N99" s="47">
        <f>IF(H99="Serviço",M99*L99,IF(H99="CÉLULA CONSTRUTIVA",SUMIFS($N$8:$N$122,$B$8:$B$122,B99,$H$8:$H$122,"Serviço"),IF(H99="ETAPA",SUMIFS($N$8:$N$122,$B$8:$B$122,B99,$C$8:$C$122,C99,$H$8:$H$122,"Serviço"),IF(H99="SUBETAPA",SUMIFS($N$8:$N$122,$B$8:$B$122,B99,$C$8:$C$122,C99,$D$8:$D$122,D99,$H$8:$H$122,"Serviço"),0))))</f>
        <v/>
      </c>
      <c r="O99" s="45" t="n"/>
      <c r="P99" s="46" t="n"/>
      <c r="Q99" s="46" t="n"/>
      <c r="R99" s="47" t="n"/>
      <c r="S99" s="109" t="n"/>
      <c r="T99" s="120" t="n"/>
      <c r="U99" s="49" t="n"/>
    </row>
    <row r="100" outlineLevel="2" ht="13.95" customFormat="1" customHeight="1" s="31">
      <c r="A100" s="217">
        <f>IF($H100="UNIDADE CONSTRUTIVA",OFFSET(A100,-1,0)+1,LARGE(A$3:A99,1))</f>
        <v/>
      </c>
      <c r="B100" s="217">
        <f>IF(H100="UNIDADE CONSTRUTIVA",0,IF(H100="CÉLULA CONSTRUTIVA",OFFSET(B100,-1,0)+1,OFFSET(B100,-1,0)))</f>
        <v/>
      </c>
      <c r="C100" s="217">
        <f>IF(H100="CÉLULA CONSTRUTIVA",0,IF(H100="ETAPA",OFFSET(C100,-1,0)+1,OFFSET(C100,-1,0)))</f>
        <v/>
      </c>
      <c r="D100" s="218">
        <f>IF(H100="ETAPA",0,IF(H100="SUBETAPA",OFFSET(D100,-1,0)+1,OFFSET(D100,-1,0)))</f>
        <v/>
      </c>
      <c r="E100" s="218">
        <f>IF(H100="Subetapa",0,IF(H100="serviço",OFFSET(E100,-1,0)+1,OFFSET(E100,-1,0)))</f>
        <v/>
      </c>
      <c r="G100" s="41" t="inlineStr">
        <is>
          <t>SUPRAESTRUTURA</t>
        </is>
      </c>
      <c r="H100" s="42" t="inlineStr">
        <is>
          <t>SERVIÇO</t>
        </is>
      </c>
      <c r="I100" s="43">
        <f>IF(H100="Unidade Construtiva",TEXT(A100,"00"),IF(H100="Célula Construtiva",TEXT(B100,"00"),IF(H100="Etapa",CONCATENATE(TEXT(B100,"00"),".",TEXT(C100,"000")),IF(H100="Subetapa",CONCATENATE(TEXT(B100,"00"),".",TEXT(C100,"000"),".",TEXT(D100,"000")),IF(H100="Serviço",CONCATENATE(TEXT(B100,"00"),".",TEXT(C100,"000"),".",TEXT(D100,"000"),".",TEXT(E100,"000")),"")))))</f>
        <v/>
      </c>
      <c r="J100" s="118" t="inlineStr">
        <is>
          <t>Armação Aço CA-50, Diâmetro de 8,0mm para Supraestrutura, Corte e Dobra em Industria</t>
        </is>
      </c>
      <c r="K100" s="45" t="inlineStr">
        <is>
          <t>kg</t>
        </is>
      </c>
      <c r="L100" s="46" t="n">
        <v>12933.9</v>
      </c>
      <c r="M100" s="46" t="n">
        <v>7.104965</v>
      </c>
      <c r="N100" s="47">
        <f>IF(H100="Serviço",M100*L100,IF(H100="CÉLULA CONSTRUTIVA",SUMIFS($N$8:$N$122,$B$8:$B$122,B100,$H$8:$H$122,"Serviço"),IF(H100="ETAPA",SUMIFS($N$8:$N$122,$B$8:$B$122,B100,$C$8:$C$122,C100,$H$8:$H$122,"Serviço"),IF(H100="SUBETAPA",SUMIFS($N$8:$N$122,$B$8:$B$122,B100,$C$8:$C$122,C100,$D$8:$D$122,D100,$H$8:$H$122,"Serviço"),0))))</f>
        <v/>
      </c>
      <c r="O100" s="45" t="n"/>
      <c r="P100" s="46" t="n"/>
      <c r="Q100" s="46" t="n"/>
      <c r="R100" s="47" t="n"/>
      <c r="S100" s="109" t="n"/>
      <c r="T100" s="120" t="n"/>
      <c r="U100" s="49" t="n"/>
    </row>
    <row r="101" outlineLevel="2" ht="13.95" customFormat="1" customHeight="1" s="31">
      <c r="A101" s="217">
        <f>IF($H101="UNIDADE CONSTRUTIVA",OFFSET(A101,-1,0)+1,LARGE(A$3:A100,1))</f>
        <v/>
      </c>
      <c r="B101" s="217">
        <f>IF(H101="UNIDADE CONSTRUTIVA",0,IF(H101="CÉLULA CONSTRUTIVA",OFFSET(B101,-1,0)+1,OFFSET(B101,-1,0)))</f>
        <v/>
      </c>
      <c r="C101" s="217">
        <f>IF(H101="CÉLULA CONSTRUTIVA",0,IF(H101="ETAPA",OFFSET(C101,-1,0)+1,OFFSET(C101,-1,0)))</f>
        <v/>
      </c>
      <c r="D101" s="218">
        <f>IF(H101="ETAPA",0,IF(H101="SUBETAPA",OFFSET(D101,-1,0)+1,OFFSET(D101,-1,0)))</f>
        <v/>
      </c>
      <c r="E101" s="218">
        <f>IF(H101="Subetapa",0,IF(H101="serviço",OFFSET(E101,-1,0)+1,OFFSET(E101,-1,0)))</f>
        <v/>
      </c>
      <c r="G101" s="41" t="inlineStr">
        <is>
          <t>SUPRAESTRUTURA</t>
        </is>
      </c>
      <c r="H101" s="42" t="inlineStr">
        <is>
          <t>SERVIÇO</t>
        </is>
      </c>
      <c r="I101" s="43">
        <f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/>
      </c>
      <c r="J101" s="118" t="inlineStr">
        <is>
          <t>Armação Aço CA-50, Diâmetro de 10,0mm para Supraestrutura, Corte e Dobra em Industria</t>
        </is>
      </c>
      <c r="K101" s="45" t="inlineStr">
        <is>
          <t>kg</t>
        </is>
      </c>
      <c r="L101" s="46" t="n">
        <v>16489.19999999999</v>
      </c>
      <c r="M101" s="46" t="n">
        <v>6.754964999999999</v>
      </c>
      <c r="N101" s="47">
        <f>IF(H101="Serviço",M101*L101,IF(H101="CÉLULA CONSTRUTIVA",SUMIFS($N$8:$N$122,$B$8:$B$122,B101,$H$8:$H$122,"Serviço"),IF(H101="ETAPA",SUMIFS($N$8:$N$122,$B$8:$B$122,B101,$C$8:$C$122,C101,$H$8:$H$122,"Serviço"),IF(H101="SUBETAPA",SUMIFS($N$8:$N$122,$B$8:$B$122,B101,$C$8:$C$122,C101,$D$8:$D$122,D101,$H$8:$H$122,"Serviço"),0))))</f>
        <v/>
      </c>
      <c r="O101" s="45" t="n"/>
      <c r="P101" s="46" t="n"/>
      <c r="Q101" s="46" t="n"/>
      <c r="R101" s="47" t="n"/>
      <c r="S101" s="109" t="n"/>
      <c r="T101" s="120" t="n"/>
      <c r="U101" s="49" t="n"/>
    </row>
    <row r="102" outlineLevel="2" ht="13.95" customFormat="1" customHeight="1" s="31">
      <c r="A102" s="217">
        <f>IF($H102="UNIDADE CONSTRUTIVA",OFFSET(A102,-1,0)+1,LARGE(A$3:A101,1))</f>
        <v/>
      </c>
      <c r="B102" s="217">
        <f>IF(H102="UNIDADE CONSTRUTIVA",0,IF(H102="CÉLULA CONSTRUTIVA",OFFSET(B102,-1,0)+1,OFFSET(B102,-1,0)))</f>
        <v/>
      </c>
      <c r="C102" s="217">
        <f>IF(H102="CÉLULA CONSTRUTIVA",0,IF(H102="ETAPA",OFFSET(C102,-1,0)+1,OFFSET(C102,-1,0)))</f>
        <v/>
      </c>
      <c r="D102" s="218">
        <f>IF(H102="ETAPA",0,IF(H102="SUBETAPA",OFFSET(D102,-1,0)+1,OFFSET(D102,-1,0)))</f>
        <v/>
      </c>
      <c r="E102" s="218">
        <f>IF(H102="Subetapa",0,IF(H102="serviço",OFFSET(E102,-1,0)+1,OFFSET(E102,-1,0)))</f>
        <v/>
      </c>
      <c r="G102" s="41" t="inlineStr">
        <is>
          <t>SUPRAESTRUTURA</t>
        </is>
      </c>
      <c r="H102" s="42" t="inlineStr">
        <is>
          <t>SERVIÇO</t>
        </is>
      </c>
      <c r="I102" s="43">
        <f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/>
      </c>
      <c r="J102" s="118" t="inlineStr">
        <is>
          <t>Armação Aço CA-50, Diâmetro de 12,5mm para Supraestrutura, Corte e Dobra em Industria</t>
        </is>
      </c>
      <c r="K102" s="45" t="inlineStr">
        <is>
          <t>kg</t>
        </is>
      </c>
      <c r="L102" s="46" t="n">
        <v>10174.9</v>
      </c>
      <c r="M102" s="46" t="n">
        <v>6.544964999999999</v>
      </c>
      <c r="N102" s="47">
        <f>IF(H102="Serviço",M102*L102,IF(H102="CÉLULA CONSTRUTIVA",SUMIFS($N$8:$N$122,$B$8:$B$122,B102,$H$8:$H$122,"Serviço"),IF(H102="ETAPA",SUMIFS($N$8:$N$122,$B$8:$B$122,B102,$C$8:$C$122,C102,$H$8:$H$122,"Serviço"),IF(H102="SUBETAPA",SUMIFS($N$8:$N$122,$B$8:$B$122,B102,$C$8:$C$122,C102,$D$8:$D$122,D102,$H$8:$H$122,"Serviço"),0))))</f>
        <v/>
      </c>
      <c r="O102" s="45" t="n"/>
      <c r="P102" s="46" t="n"/>
      <c r="Q102" s="46" t="n"/>
      <c r="R102" s="47" t="n"/>
      <c r="S102" s="109" t="n"/>
      <c r="T102" s="120" t="n"/>
      <c r="U102" s="49" t="n"/>
    </row>
    <row r="103" outlineLevel="2" ht="13.95" customFormat="1" customHeight="1" s="31">
      <c r="A103" s="217">
        <f>IF($H103="UNIDADE CONSTRUTIVA",OFFSET(A103,-1,0)+1,LARGE(A$3:A102,1))</f>
        <v/>
      </c>
      <c r="B103" s="217">
        <f>IF(H103="UNIDADE CONSTRUTIVA",0,IF(H103="CÉLULA CONSTRUTIVA",OFFSET(B103,-1,0)+1,OFFSET(B103,-1,0)))</f>
        <v/>
      </c>
      <c r="C103" s="217">
        <f>IF(H103="CÉLULA CONSTRUTIVA",0,IF(H103="ETAPA",OFFSET(C103,-1,0)+1,OFFSET(C103,-1,0)))</f>
        <v/>
      </c>
      <c r="D103" s="218">
        <f>IF(H103="ETAPA",0,IF(H103="SUBETAPA",OFFSET(D103,-1,0)+1,OFFSET(D103,-1,0)))</f>
        <v/>
      </c>
      <c r="E103" s="218">
        <f>IF(H103="Subetapa",0,IF(H103="serviço",OFFSET(E103,-1,0)+1,OFFSET(E103,-1,0)))</f>
        <v/>
      </c>
      <c r="G103" s="41" t="inlineStr">
        <is>
          <t>SUPRAESTRUTURA</t>
        </is>
      </c>
      <c r="H103" s="42" t="inlineStr">
        <is>
          <t>SERVIÇO</t>
        </is>
      </c>
      <c r="I103" s="43">
        <f>IF(H103="Unidade Construtiva",TEXT(A103,"00"),IF(H103="Célula Construtiva",TEXT(B103,"00"),IF(H103="Etapa",CONCATENATE(TEXT(B103,"00"),".",TEXT(C103,"000")),IF(H103="Subetapa",CONCATENATE(TEXT(B103,"00"),".",TEXT(C103,"000"),".",TEXT(D103,"000")),IF(H103="Serviço",CONCATENATE(TEXT(B103,"00"),".",TEXT(C103,"000"),".",TEXT(D103,"000"),".",TEXT(E103,"000")),"")))))</f>
        <v/>
      </c>
      <c r="J103" s="118" t="inlineStr">
        <is>
          <t>Armação Aço CA-50, Diâmetro de 16,0mm para Supraestrutura, Corte e Dobra em Industria</t>
        </is>
      </c>
      <c r="K103" s="45" t="inlineStr">
        <is>
          <t>kg</t>
        </is>
      </c>
      <c r="L103" s="46" t="n">
        <v>26204.90000000001</v>
      </c>
      <c r="M103" s="46" t="n">
        <v>7.213965</v>
      </c>
      <c r="N103" s="47">
        <f>IF(H103="Serviço",M103*L103,IF(H103="CÉLULA CONSTRUTIVA",SUMIFS($N$8:$N$122,$B$8:$B$122,B103,$H$8:$H$122,"Serviço"),IF(H103="ETAPA",SUMIFS($N$8:$N$122,$B$8:$B$122,B103,$C$8:$C$122,C103,$H$8:$H$122,"Serviço"),IF(H103="SUBETAPA",SUMIFS($N$8:$N$122,$B$8:$B$122,B103,$C$8:$C$122,C103,$D$8:$D$122,D103,$H$8:$H$122,"Serviço"),0))))</f>
        <v/>
      </c>
      <c r="O103" s="45" t="n"/>
      <c r="P103" s="46" t="n"/>
      <c r="Q103" s="46" t="n"/>
      <c r="R103" s="47" t="n"/>
      <c r="S103" s="109" t="n"/>
      <c r="T103" s="120" t="n"/>
      <c r="U103" s="49" t="n"/>
    </row>
    <row r="104" outlineLevel="2" ht="13.95" customFormat="1" customHeight="1" s="31">
      <c r="A104" s="217">
        <f>IF($H104="UNIDADE CONSTRUTIVA",OFFSET(A104,-1,0)+1,LARGE(A$3:A103,1))</f>
        <v/>
      </c>
      <c r="B104" s="217">
        <f>IF(H104="UNIDADE CONSTRUTIVA",0,IF(H104="CÉLULA CONSTRUTIVA",OFFSET(B104,-1,0)+1,OFFSET(B104,-1,0)))</f>
        <v/>
      </c>
      <c r="C104" s="217">
        <f>IF(H104="CÉLULA CONSTRUTIVA",0,IF(H104="ETAPA",OFFSET(C104,-1,0)+1,OFFSET(C104,-1,0)))</f>
        <v/>
      </c>
      <c r="D104" s="218">
        <f>IF(H104="ETAPA",0,IF(H104="SUBETAPA",OFFSET(D104,-1,0)+1,OFFSET(D104,-1,0)))</f>
        <v/>
      </c>
      <c r="E104" s="218">
        <f>IF(H104="Subetapa",0,IF(H104="serviço",OFFSET(E104,-1,0)+1,OFFSET(E104,-1,0)))</f>
        <v/>
      </c>
      <c r="G104" s="41" t="inlineStr">
        <is>
          <t>SUPRAESTRUTURA</t>
        </is>
      </c>
      <c r="H104" s="42" t="inlineStr">
        <is>
          <t>SERVIÇO</t>
        </is>
      </c>
      <c r="I104" s="43">
        <f>IF(H104="Unidade Construtiva",TEXT(A104,"00"),IF(H104="Célula Construtiva",TEXT(B104,"00"),IF(H104="Etapa",CONCATENATE(TEXT(B104,"00"),".",TEXT(C104,"000")),IF(H104="Subetapa",CONCATENATE(TEXT(B104,"00"),".",TEXT(C104,"000"),".",TEXT(D104,"000")),IF(H104="Serviço",CONCATENATE(TEXT(B104,"00"),".",TEXT(C104,"000"),".",TEXT(D104,"000"),".",TEXT(E104,"000")),"")))))</f>
        <v/>
      </c>
      <c r="J104" s="118" t="inlineStr">
        <is>
          <t>Armação Aço CA-50, Diâmetro de 20,0mm para Supraestrutura, Corte e Dobra em Industria</t>
        </is>
      </c>
      <c r="K104" s="45" t="inlineStr">
        <is>
          <t>kg</t>
        </is>
      </c>
      <c r="L104" s="46" t="n">
        <v>21591.20000000001</v>
      </c>
      <c r="M104" s="46" t="n">
        <v>7.213965</v>
      </c>
      <c r="N104" s="47">
        <f>IF(H104="Serviço",M104*L104,IF(H104="CÉLULA CONSTRUTIVA",SUMIFS($N$8:$N$122,$B$8:$B$122,B104,$H$8:$H$122,"Serviço"),IF(H104="ETAPA",SUMIFS($N$8:$N$122,$B$8:$B$122,B104,$C$8:$C$122,C104,$H$8:$H$122,"Serviço"),IF(H104="SUBETAPA",SUMIFS($N$8:$N$122,$B$8:$B$122,B104,$C$8:$C$122,C104,$D$8:$D$122,D104,$H$8:$H$122,"Serviço"),0))))</f>
        <v/>
      </c>
      <c r="O104" s="45" t="n"/>
      <c r="P104" s="46" t="n"/>
      <c r="Q104" s="46" t="n"/>
      <c r="R104" s="47" t="n"/>
      <c r="S104" s="109" t="n"/>
      <c r="T104" s="120" t="n"/>
      <c r="U104" s="49" t="n"/>
    </row>
    <row r="105" outlineLevel="2" ht="13.95" customFormat="1" customHeight="1" s="31">
      <c r="A105" s="217">
        <f>IF($H105="UNIDADE CONSTRUTIVA",OFFSET(A105,-1,0)+1,LARGE(A$3:A104,1))</f>
        <v/>
      </c>
      <c r="B105" s="217">
        <f>IF(H105="UNIDADE CONSTRUTIVA",0,IF(H105="CÉLULA CONSTRUTIVA",OFFSET(B105,-1,0)+1,OFFSET(B105,-1,0)))</f>
        <v/>
      </c>
      <c r="C105" s="217">
        <f>IF(H105="CÉLULA CONSTRUTIVA",0,IF(H105="ETAPA",OFFSET(C105,-1,0)+1,OFFSET(C105,-1,0)))</f>
        <v/>
      </c>
      <c r="D105" s="218">
        <f>IF(H105="ETAPA",0,IF(H105="SUBETAPA",OFFSET(D105,-1,0)+1,OFFSET(D105,-1,0)))</f>
        <v/>
      </c>
      <c r="E105" s="218">
        <f>IF(H105="Subetapa",0,IF(H105="serviço",OFFSET(E105,-1,0)+1,OFFSET(E105,-1,0)))</f>
        <v/>
      </c>
      <c r="G105" s="41" t="inlineStr">
        <is>
          <t>SUPRAESTRUTURA</t>
        </is>
      </c>
      <c r="H105" s="42" t="inlineStr">
        <is>
          <t>SERVIÇO</t>
        </is>
      </c>
      <c r="I105" s="43">
        <f>IF(H105="Unidade Construtiva",TEXT(A105,"00"),IF(H105="Célula Construtiva",TEXT(B105,"00"),IF(H105="Etapa",CONCATENATE(TEXT(B105,"00"),".",TEXT(C105,"000")),IF(H105="Subetapa",CONCATENATE(TEXT(B105,"00"),".",TEXT(C105,"000"),".",TEXT(D105,"000")),IF(H105="Serviço",CONCATENATE(TEXT(B105,"00"),".",TEXT(C105,"000"),".",TEXT(D105,"000"),".",TEXT(E105,"000")),"")))))</f>
        <v/>
      </c>
      <c r="J105" s="118" t="inlineStr">
        <is>
          <t>Armação Aço CA-50, Diâmetro de 25,0mm para Supraestrutura, Corte e Dobra em Industria</t>
        </is>
      </c>
      <c r="K105" s="45" t="inlineStr">
        <is>
          <t>kg</t>
        </is>
      </c>
      <c r="L105" s="46" t="n">
        <v>2230.8</v>
      </c>
      <c r="M105" s="46" t="n">
        <v>7.169964999999999</v>
      </c>
      <c r="N105" s="47">
        <f>IF(H105="Serviço",M105*L105,IF(H105="CÉLULA CONSTRUTIVA",SUMIFS($N$8:$N$122,$B$8:$B$122,B105,$H$8:$H$122,"Serviço"),IF(H105="ETAPA",SUMIFS($N$8:$N$122,$B$8:$B$122,B105,$C$8:$C$122,C105,$H$8:$H$122,"Serviço"),IF(H105="SUBETAPA",SUMIFS($N$8:$N$122,$B$8:$B$122,B105,$C$8:$C$122,C105,$D$8:$D$122,D105,$H$8:$H$122,"Serviço"),0))))</f>
        <v/>
      </c>
      <c r="O105" s="45" t="n"/>
      <c r="P105" s="46" t="n"/>
      <c r="Q105" s="46" t="n"/>
      <c r="R105" s="47" t="n"/>
      <c r="S105" s="109" t="n"/>
      <c r="T105" s="120" t="n"/>
      <c r="U105" s="49" t="n"/>
    </row>
    <row r="106" outlineLevel="2" ht="13.95" customFormat="1" customHeight="1" s="31">
      <c r="A106" s="217">
        <f>IF($H106="UNIDADE CONSTRUTIVA",OFFSET(A106,-1,0)+1,LARGE(A$3:A105,1))</f>
        <v/>
      </c>
      <c r="B106" s="217">
        <f>IF(H106="UNIDADE CONSTRUTIVA",0,IF(H106="CÉLULA CONSTRUTIVA",OFFSET(B106,-1,0)+1,OFFSET(B106,-1,0)))</f>
        <v/>
      </c>
      <c r="C106" s="217">
        <f>IF(H106="CÉLULA CONSTRUTIVA",0,IF(H106="ETAPA",OFFSET(C106,-1,0)+1,OFFSET(C106,-1,0)))</f>
        <v/>
      </c>
      <c r="D106" s="218">
        <f>IF(H106="ETAPA",0,IF(H106="SUBETAPA",OFFSET(D106,-1,0)+1,OFFSET(D106,-1,0)))</f>
        <v/>
      </c>
      <c r="E106" s="218">
        <f>IF(H106="Subetapa",0,IF(H106="serviço",OFFSET(E106,-1,0)+1,OFFSET(E106,-1,0)))</f>
        <v/>
      </c>
      <c r="G106" s="41" t="inlineStr">
        <is>
          <t>SUPRAESTRUTURA</t>
        </is>
      </c>
      <c r="H106" s="42" t="inlineStr">
        <is>
          <t>SERVIÇO</t>
        </is>
      </c>
      <c r="I106" s="43">
        <f>IF(H106="Unidade Construtiva",TEXT(A106,"00"),IF(H106="Célula Construtiva",TEXT(B106,"00"),IF(H106="Etapa",CONCATENATE(TEXT(B106,"00"),".",TEXT(C106,"000")),IF(H106="Subetapa",CONCATENATE(TEXT(B106,"00"),".",TEXT(C106,"000"),".",TEXT(D106,"000")),IF(H106="Serviço",CONCATENATE(TEXT(B106,"00"),".",TEXT(C106,"000"),".",TEXT(D106,"000"),".",TEXT(E106,"000")),"")))))</f>
        <v/>
      </c>
      <c r="J106" s="48" t="inlineStr">
        <is>
          <t>Armação tela Q72, Corte e Dobra em Obra</t>
        </is>
      </c>
      <c r="K106" s="45" t="inlineStr">
        <is>
          <t>kg</t>
        </is>
      </c>
      <c r="L106" s="46" t="n">
        <v>5449</v>
      </c>
      <c r="M106" s="46" t="n">
        <v>12.13605343537415</v>
      </c>
      <c r="N106" s="47">
        <f>IF(H106="Serviço",M106*L106,IF(H106="CÉLULA CONSTRUTIVA",SUMIFS($N$8:$N$122,$B$8:$B$122,B106,$H$8:$H$122,"Serviço"),IF(H106="ETAPA",SUMIFS($N$8:$N$122,$B$8:$B$122,B106,$C$8:$C$122,C106,$H$8:$H$122,"Serviço"),IF(H106="SUBETAPA",SUMIFS($N$8:$N$122,$B$8:$B$122,B106,$C$8:$C$122,C106,$D$8:$D$122,D106,$H$8:$H$122,"Serviço"),0))))</f>
        <v/>
      </c>
      <c r="O106" s="45" t="n"/>
      <c r="P106" s="46" t="n"/>
      <c r="Q106" s="46" t="n"/>
      <c r="R106" s="47" t="n"/>
      <c r="S106" s="109" t="n"/>
      <c r="T106" s="120" t="n"/>
      <c r="U106" s="49" t="n"/>
    </row>
    <row r="107" outlineLevel="2" ht="13.95" customFormat="1" customHeight="1" s="31">
      <c r="A107" s="217">
        <f>IF($H107="UNIDADE CONSTRUTIVA",OFFSET(A107,-1,0)+1,LARGE(A$3:A106,1))</f>
        <v/>
      </c>
      <c r="B107" s="217">
        <f>IF(H107="UNIDADE CONSTRUTIVA",0,IF(H107="CÉLULA CONSTRUTIVA",OFFSET(B107,-1,0)+1,OFFSET(B107,-1,0)))</f>
        <v/>
      </c>
      <c r="C107" s="217">
        <f>IF(H107="CÉLULA CONSTRUTIVA",0,IF(H107="ETAPA",OFFSET(C107,-1,0)+1,OFFSET(C107,-1,0)))</f>
        <v/>
      </c>
      <c r="D107" s="218">
        <f>IF(H107="ETAPA",0,IF(H107="SUBETAPA",OFFSET(D107,-1,0)+1,OFFSET(D107,-1,0)))</f>
        <v/>
      </c>
      <c r="E107" s="218">
        <f>IF(H107="Subetapa",0,IF(H107="serviço",OFFSET(E107,-1,0)+1,OFFSET(E107,-1,0)))</f>
        <v/>
      </c>
      <c r="G107" s="41" t="inlineStr">
        <is>
          <t>SUPRAESTRUTURA</t>
        </is>
      </c>
      <c r="H107" s="42" t="inlineStr">
        <is>
          <t>SERVIÇO</t>
        </is>
      </c>
      <c r="I107" s="43">
        <f>IF(H107="Unidade Construtiva",TEXT(A107,"00"),IF(H107="Célula Construtiva",TEXT(B107,"00"),IF(H107="Etapa",CONCATENATE(TEXT(B107,"00"),".",TEXT(C107,"000")),IF(H107="Subetapa",CONCATENATE(TEXT(B107,"00"),".",TEXT(C107,"000"),".",TEXT(D107,"000")),IF(H107="Serviço",CONCATENATE(TEXT(B107,"00"),".",TEXT(C107,"000"),".",TEXT(D107,"000"),".",TEXT(E107,"000")),"")))))</f>
        <v/>
      </c>
      <c r="J107" s="48" t="inlineStr">
        <is>
          <t xml:space="preserve">Protenção de Cordoalhas para laje protendida- Serviço </t>
        </is>
      </c>
      <c r="K107" s="45" t="inlineStr">
        <is>
          <t>kg</t>
        </is>
      </c>
      <c r="L107" s="46" t="n">
        <v>18800.37</v>
      </c>
      <c r="M107" s="46" t="n">
        <v>9.84</v>
      </c>
      <c r="N107" s="47">
        <f>IF(H107="Serviço",M107*L107,IF(H107="CÉLULA CONSTRUTIVA",SUMIFS($N$8:$N$122,$B$8:$B$122,B107,$H$8:$H$122,"Serviço"),IF(H107="ETAPA",SUMIFS($N$8:$N$122,$B$8:$B$122,B107,$C$8:$C$122,C107,$H$8:$H$122,"Serviço"),IF(H107="SUBETAPA",SUMIFS($N$8:$N$122,$B$8:$B$122,B107,$C$8:$C$122,C107,$D$8:$D$122,D107,$H$8:$H$122,"Serviço"),0))))</f>
        <v/>
      </c>
      <c r="O107" s="45" t="n"/>
      <c r="P107" s="46" t="n"/>
      <c r="Q107" s="46" t="n"/>
      <c r="R107" s="47" t="n"/>
      <c r="S107" s="109" t="n"/>
      <c r="T107" s="120" t="n"/>
      <c r="U107" s="49" t="n"/>
    </row>
    <row r="108" outlineLevel="2" ht="13.95" customFormat="1" customHeight="1" s="31">
      <c r="A108" s="217">
        <f>IF($H108="UNIDADE CONSTRUTIVA",OFFSET(A108,-1,0)+1,LARGE(A$3:A107,1))</f>
        <v/>
      </c>
      <c r="B108" s="217">
        <f>IF(H108="UNIDADE CONSTRUTIVA",0,IF(H108="CÉLULA CONSTRUTIVA",OFFSET(B108,-1,0)+1,OFFSET(B108,-1,0)))</f>
        <v/>
      </c>
      <c r="C108" s="217">
        <f>IF(H108="CÉLULA CONSTRUTIVA",0,IF(H108="ETAPA",OFFSET(C108,-1,0)+1,OFFSET(C108,-1,0)))</f>
        <v/>
      </c>
      <c r="D108" s="218">
        <f>IF(H108="ETAPA",0,IF(H108="SUBETAPA",OFFSET(D108,-1,0)+1,OFFSET(D108,-1,0)))</f>
        <v/>
      </c>
      <c r="E108" s="218">
        <f>IF(H108="Subetapa",0,IF(H108="serviço",OFFSET(E108,-1,0)+1,OFFSET(E108,-1,0)))</f>
        <v/>
      </c>
      <c r="G108" s="41" t="inlineStr">
        <is>
          <t>SUPRAESTRUTURA</t>
        </is>
      </c>
      <c r="H108" s="42" t="inlineStr">
        <is>
          <t>SERVIÇO</t>
        </is>
      </c>
      <c r="I108" s="43">
        <f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/>
      </c>
      <c r="J108" s="48" t="inlineStr">
        <is>
          <t>Protenção de Cordoalhas para laje protendida - Materiais e acessórios</t>
        </is>
      </c>
      <c r="K108" s="45" t="inlineStr">
        <is>
          <t>kg</t>
        </is>
      </c>
      <c r="L108" s="46" t="n">
        <v>18800.37</v>
      </c>
      <c r="M108" s="46" t="n">
        <v>15.11</v>
      </c>
      <c r="N108" s="47">
        <f>IF(H108="Serviço",M108*L108,IF(H108="CÉLULA CONSTRUTIVA",SUMIFS($N$8:$N$122,$B$8:$B$122,B108,$H$8:$H$122,"Serviço"),IF(H108="ETAPA",SUMIFS($N$8:$N$122,$B$8:$B$122,B108,$C$8:$C$122,C108,$H$8:$H$122,"Serviço"),IF(H108="SUBETAPA",SUMIFS($N$8:$N$122,$B$8:$B$122,B108,$C$8:$C$122,C108,$D$8:$D$122,D108,$H$8:$H$122,"Serviço"),0))))</f>
        <v/>
      </c>
      <c r="O108" s="45" t="n"/>
      <c r="P108" s="46" t="n"/>
      <c r="Q108" s="46" t="n"/>
      <c r="R108" s="47" t="n"/>
      <c r="S108" s="109" t="n"/>
      <c r="T108" s="120" t="n"/>
      <c r="U108" s="49" t="n"/>
    </row>
    <row r="109" outlineLevel="1" ht="13.95" customFormat="1" customHeight="1" s="31">
      <c r="A109" s="217">
        <f>IF($H109="UNIDADE CONSTRUTIVA",OFFSET(A109,-1,0)+1,LARGE(A$3:A108,1))</f>
        <v/>
      </c>
      <c r="B109" s="217">
        <f>IF(H109="UNIDADE CONSTRUTIVA",0,IF(H109="CÉLULA CONSTRUTIVA",OFFSET(B109,-1,0)+1,OFFSET(B109,-1,0)))</f>
        <v/>
      </c>
      <c r="C109" s="217">
        <f>IF(H109="CÉLULA CONSTRUTIVA",0,IF(H109="ETAPA",OFFSET(C109,-1,0)+1,OFFSET(C109,-1,0)))</f>
        <v/>
      </c>
      <c r="D109" s="218">
        <f>IF(H109="ETAPA",0,IF(H109="SUBETAPA",OFFSET(D109,-1,0)+1,OFFSET(D109,-1,0)))</f>
        <v/>
      </c>
      <c r="E109" s="218">
        <f>IF(H109="Subetapa",0,IF(H109="serviço",OFFSET(E109,-1,0)+1,OFFSET(E109,-1,0)))</f>
        <v/>
      </c>
      <c r="G109" s="41" t="n"/>
      <c r="H109" s="42" t="inlineStr">
        <is>
          <t>SUBETAPA</t>
        </is>
      </c>
      <c r="I109" s="43">
        <f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/>
      </c>
      <c r="J109" s="48" t="inlineStr">
        <is>
          <t xml:space="preserve">Concreto </t>
        </is>
      </c>
      <c r="K109" s="45" t="n"/>
      <c r="L109" s="46" t="n"/>
      <c r="M109" s="46" t="n"/>
      <c r="N109" s="47">
        <f>IF(H109="Serviço",M109*L109,IF(H109="CÉLULA CONSTRUTIVA",SUMIFS($N$8:$N$122,$B$8:$B$122,B109,$H$8:$H$122,"Serviço"),IF(H109="ETAPA",SUMIFS($N$8:$N$122,$B$8:$B$122,B109,$C$8:$C$122,C109,$H$8:$H$122,"Serviço"),IF(H109="SUBETAPA",SUMIFS($N$8:$N$122,$B$8:$B$122,B109,$C$8:$C$122,C109,$D$8:$D$122,D109,$H$8:$H$122,"Serviço"),0))))</f>
        <v/>
      </c>
      <c r="O109" s="45" t="n"/>
      <c r="P109" s="46" t="n"/>
      <c r="Q109" s="46" t="n"/>
      <c r="R109" s="216" t="inlineStr">
        <is>
          <t>15.001.008.003 - Concregrama</t>
        </is>
      </c>
      <c r="S109" s="109" t="n"/>
      <c r="T109" s="49" t="n"/>
      <c r="U109" s="49" t="n"/>
    </row>
    <row r="110" outlineLevel="2" ht="13.2" customFormat="1" customHeight="1" s="31">
      <c r="A110" s="217">
        <f>IF($H110="UNIDADE CONSTRUTIVA",OFFSET(A110,-1,0)+1,LARGE(A$3:A109,1))</f>
        <v/>
      </c>
      <c r="B110" s="217">
        <f>IF(H110="UNIDADE CONSTRUTIVA",0,IF(H110="CÉLULA CONSTRUTIVA",OFFSET(B110,-1,0)+1,OFFSET(B110,-1,0)))</f>
        <v/>
      </c>
      <c r="C110" s="217">
        <f>IF(H110="CÉLULA CONSTRUTIVA",0,IF(H110="ETAPA",OFFSET(C110,-1,0)+1,OFFSET(C110,-1,0)))</f>
        <v/>
      </c>
      <c r="D110" s="218">
        <f>IF(H110="ETAPA",0,IF(H110="SUBETAPA",OFFSET(D110,-1,0)+1,OFFSET(D110,-1,0)))</f>
        <v/>
      </c>
      <c r="E110" s="218">
        <f>IF(H110="Subetapa",0,IF(H110="serviço",OFFSET(E110,-1,0)+1,OFFSET(E110,-1,0)))</f>
        <v/>
      </c>
      <c r="G110" s="41" t="inlineStr">
        <is>
          <t>SUPRAESTRUTURA</t>
        </is>
      </c>
      <c r="H110" s="42" t="inlineStr">
        <is>
          <t>SERVIÇO</t>
        </is>
      </c>
      <c r="I110" s="43">
        <f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/>
      </c>
      <c r="J110" s="48" t="inlineStr">
        <is>
          <t>Concreto Usinado FCK = 40MPa Bombeavel Para Supraestrutura</t>
        </is>
      </c>
      <c r="K110" s="45" t="inlineStr">
        <is>
          <t>m³</t>
        </is>
      </c>
      <c r="L110" s="46" t="n">
        <v>1666.22</v>
      </c>
      <c r="M110" s="46" t="n">
        <v>636.5192</v>
      </c>
      <c r="N110" s="47">
        <f>IF(H110="Serviço",M110*L110,IF(H110="CÉLULA CONSTRUTIVA",SUMIFS($N$8:$N$122,$B$8:$B$122,B110,$H$8:$H$122,"Serviço"),IF(H110="ETAPA",SUMIFS($N$8:$N$122,$B$8:$B$122,B110,$C$8:$C$122,C110,$H$8:$H$122,"Serviço"),IF(H110="SUBETAPA",SUMIFS($N$8:$N$122,$B$8:$B$122,B110,$C$8:$C$122,C110,$D$8:$D$122,D110,$H$8:$H$122,"Serviço"),0))))</f>
        <v/>
      </c>
      <c r="O110" s="45" t="n"/>
      <c r="P110" s="46" t="n"/>
      <c r="Q110" s="46" t="n"/>
      <c r="R110" s="47" t="n"/>
      <c r="S110" s="109" t="n"/>
      <c r="T110" s="49" t="n"/>
      <c r="U110" s="49" t="n"/>
    </row>
    <row r="111" outlineLevel="1" ht="13.95" customFormat="1" customHeight="1" s="31">
      <c r="A111" s="217">
        <f>IF($H111="UNIDADE CONSTRUTIVA",OFFSET(A111,-1,0)+1,LARGE(A$3:A110,1))</f>
        <v/>
      </c>
      <c r="B111" s="217">
        <f>IF(H111="UNIDADE CONSTRUTIVA",0,IF(H111="CÉLULA CONSTRUTIVA",OFFSET(B111,-1,0)+1,OFFSET(B111,-1,0)))</f>
        <v/>
      </c>
      <c r="C111" s="217">
        <f>IF(H111="CÉLULA CONSTRUTIVA",0,IF(H111="ETAPA",OFFSET(C111,-1,0)+1,OFFSET(C111,-1,0)))</f>
        <v/>
      </c>
      <c r="D111" s="218">
        <f>IF(H111="ETAPA",0,IF(H111="SUBETAPA",OFFSET(D111,-1,0)+1,OFFSET(D111,-1,0)))</f>
        <v/>
      </c>
      <c r="E111" s="218">
        <f>IF(H111="Subetapa",0,IF(H111="serviço",OFFSET(E111,-1,0)+1,OFFSET(E111,-1,0)))</f>
        <v/>
      </c>
      <c r="G111" s="41" t="n"/>
      <c r="H111" s="42" t="inlineStr">
        <is>
          <t>SUBETAPA</t>
        </is>
      </c>
      <c r="I111" s="43">
        <f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/>
      </c>
      <c r="J111" s="48" t="inlineStr">
        <is>
          <t>Complementares</t>
        </is>
      </c>
      <c r="K111" s="45" t="n"/>
      <c r="L111" s="46" t="n"/>
      <c r="M111" s="46" t="n"/>
      <c r="N111" s="47">
        <f>IF(H111="Serviço",M111*L111,IF(H111="CÉLULA CONSTRUTIVA",SUMIFS($N$8:$N$122,$B$8:$B$122,B111,$H$8:$H$122,"Serviço"),IF(H111="ETAPA",SUMIFS($N$8:$N$122,$B$8:$B$122,B111,$C$8:$C$122,C111,$H$8:$H$122,"Serviço"),IF(H111="SUBETAPA",SUMIFS($N$8:$N$122,$B$8:$B$122,B111,$C$8:$C$122,C111,$D$8:$D$122,D111,$H$8:$H$122,"Serviço"),0))))</f>
        <v/>
      </c>
      <c r="O111" s="45" t="n"/>
      <c r="P111" s="46" t="n"/>
      <c r="Q111" s="46" t="n"/>
      <c r="R111" s="216" t="inlineStr">
        <is>
          <t>08.001.004.001 - Central de alarmes</t>
        </is>
      </c>
      <c r="S111" s="109" t="n"/>
      <c r="T111" s="49" t="n"/>
      <c r="U111" s="49" t="n"/>
    </row>
    <row r="112" outlineLevel="2" ht="13.95" customFormat="1" customHeight="1" s="31">
      <c r="A112" s="217">
        <f>IF($H112="UNIDADE CONSTRUTIVA",OFFSET(A112,-1,0)+1,LARGE(A$3:A111,1))</f>
        <v/>
      </c>
      <c r="B112" s="217">
        <f>IF(H112="UNIDADE CONSTRUTIVA",0,IF(H112="CÉLULA CONSTRUTIVA",OFFSET(B112,-1,0)+1,OFFSET(B112,-1,0)))</f>
        <v/>
      </c>
      <c r="C112" s="217">
        <f>IF(H112="CÉLULA CONSTRUTIVA",0,IF(H112="ETAPA",OFFSET(C112,-1,0)+1,OFFSET(C112,-1,0)))</f>
        <v/>
      </c>
      <c r="D112" s="218">
        <f>IF(H112="ETAPA",0,IF(H112="SUBETAPA",OFFSET(D112,-1,0)+1,OFFSET(D112,-1,0)))</f>
        <v/>
      </c>
      <c r="E112" s="218">
        <f>IF(H112="Subetapa",0,IF(H112="serviço",OFFSET(E112,-1,0)+1,OFFSET(E112,-1,0)))</f>
        <v/>
      </c>
      <c r="G112" s="41" t="inlineStr">
        <is>
          <t>SUPRAESTRUTURA</t>
        </is>
      </c>
      <c r="H112" s="42" t="inlineStr">
        <is>
          <t>SERVIÇO</t>
        </is>
      </c>
      <c r="I112" s="43">
        <f>IF(H112="Unidade Construtiva",TEXT(A112,"00"),IF(H112="Célula Construtiva",TEXT(B112,"00"),IF(H112="Etapa",CONCATENATE(TEXT(B112,"00"),".",TEXT(C112,"000")),IF(H112="Subetapa",CONCATENATE(TEXT(B112,"00"),".",TEXT(C112,"000"),".",TEXT(D112,"000")),IF(H112="Serviço",CONCATENATE(TEXT(B112,"00"),".",TEXT(C112,"000"),".",TEXT(D112,"000"),".",TEXT(E112,"000")),"")))))</f>
        <v/>
      </c>
      <c r="J112" s="48" t="inlineStr">
        <is>
          <t>Menutenção inicial de cubetas</t>
        </is>
      </c>
      <c r="K112" s="45" t="inlineStr">
        <is>
          <t>un</t>
        </is>
      </c>
      <c r="L112" s="46" t="n">
        <v>597</v>
      </c>
      <c r="M112" s="46" t="n">
        <v>2.5</v>
      </c>
      <c r="N112" s="47">
        <f>IF(H112="Serviço",M112*L112,IF(H112="CÉLULA CONSTRUTIVA",SUMIFS($N$8:$N$122,$B$8:$B$122,B112,$H$8:$H$122,"Serviço"),IF(H112="ETAPA",SUMIFS($N$8:$N$122,$B$8:$B$122,B112,$C$8:$C$122,C112,$H$8:$H$122,"Serviço"),IF(H112="SUBETAPA",SUMIFS($N$8:$N$122,$B$8:$B$122,B112,$C$8:$C$122,C112,$D$8:$D$122,D112,$H$8:$H$122,"Serviço"),0))))</f>
        <v/>
      </c>
      <c r="O112" s="45" t="n"/>
      <c r="P112" s="46" t="n"/>
      <c r="Q112" s="46" t="n"/>
      <c r="R112" s="47" t="n"/>
      <c r="S112" s="109" t="n"/>
      <c r="T112" s="49" t="n"/>
      <c r="U112" s="49" t="n"/>
    </row>
    <row r="113" outlineLevel="2" ht="13.95" customFormat="1" customHeight="1" s="31">
      <c r="A113" s="217">
        <f>IF($H113="UNIDADE CONSTRUTIVA",OFFSET(A113,-1,0)+1,LARGE(A$3:A112,1))</f>
        <v/>
      </c>
      <c r="B113" s="217">
        <f>IF(H113="UNIDADE CONSTRUTIVA",0,IF(H113="CÉLULA CONSTRUTIVA",OFFSET(B113,-1,0)+1,OFFSET(B113,-1,0)))</f>
        <v/>
      </c>
      <c r="C113" s="217">
        <f>IF(H113="CÉLULA CONSTRUTIVA",0,IF(H113="ETAPA",OFFSET(C113,-1,0)+1,OFFSET(C113,-1,0)))</f>
        <v/>
      </c>
      <c r="D113" s="218">
        <f>IF(H113="ETAPA",0,IF(H113="SUBETAPA",OFFSET(D113,-1,0)+1,OFFSET(D113,-1,0)))</f>
        <v/>
      </c>
      <c r="E113" s="218">
        <f>IF(H113="Subetapa",0,IF(H113="serviço",OFFSET(E113,-1,0)+1,OFFSET(E113,-1,0)))</f>
        <v/>
      </c>
      <c r="G113" s="41" t="inlineStr">
        <is>
          <t>SUPRAESTRUTURA</t>
        </is>
      </c>
      <c r="H113" s="42" t="inlineStr">
        <is>
          <t>SERVIÇO</t>
        </is>
      </c>
      <c r="I113" s="43">
        <f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/>
      </c>
      <c r="J113" s="48" t="inlineStr">
        <is>
          <t>Menutenção inicial de escoramento metálico</t>
        </is>
      </c>
      <c r="K113" s="45" t="inlineStr">
        <is>
          <t>m2</t>
        </is>
      </c>
      <c r="L113" s="46" t="n">
        <v>1005</v>
      </c>
      <c r="M113" s="46" t="n">
        <v>4</v>
      </c>
      <c r="N113" s="47">
        <f>IF(H113="Serviço",M113*L113,IF(H113="CÉLULA CONSTRUTIVA",SUMIFS($N$8:$N$122,$B$8:$B$122,B113,$H$8:$H$122,"Serviço"),IF(H113="ETAPA",SUMIFS($N$8:$N$122,$B$8:$B$122,B113,$C$8:$C$122,C113,$H$8:$H$122,"Serviço"),IF(H113="SUBETAPA",SUMIFS($N$8:$N$122,$B$8:$B$122,B113,$C$8:$C$122,C113,$D$8:$D$122,D113,$H$8:$H$122,"Serviço"),0))))</f>
        <v/>
      </c>
      <c r="O113" s="45" t="n"/>
      <c r="P113" s="46" t="n"/>
      <c r="Q113" s="46" t="n"/>
      <c r="R113" s="47" t="n"/>
      <c r="S113" s="109" t="n"/>
      <c r="T113" s="49" t="n"/>
      <c r="U113" s="49" t="n"/>
    </row>
    <row r="114" outlineLevel="2" ht="13.95" customFormat="1" customHeight="1" s="31">
      <c r="A114" s="217">
        <f>IF($H114="UNIDADE CONSTRUTIVA",OFFSET(A114,-1,0)+1,LARGE(A$3:A113,1))</f>
        <v/>
      </c>
      <c r="B114" s="217">
        <f>IF(H114="UNIDADE CONSTRUTIVA",0,IF(H114="CÉLULA CONSTRUTIVA",OFFSET(B114,-1,0)+1,OFFSET(B114,-1,0)))</f>
        <v/>
      </c>
      <c r="C114" s="217">
        <f>IF(H114="CÉLULA CONSTRUTIVA",0,IF(H114="ETAPA",OFFSET(C114,-1,0)+1,OFFSET(C114,-1,0)))</f>
        <v/>
      </c>
      <c r="D114" s="218">
        <f>IF(H114="ETAPA",0,IF(H114="SUBETAPA",OFFSET(D114,-1,0)+1,OFFSET(D114,-1,0)))</f>
        <v/>
      </c>
      <c r="E114" s="218">
        <f>IF(H114="Subetapa",0,IF(H114="serviço",OFFSET(E114,-1,0)+1,OFFSET(E114,-1,0)))</f>
        <v/>
      </c>
      <c r="G114" s="41" t="inlineStr">
        <is>
          <t>SUPRAESTRUTURA</t>
        </is>
      </c>
      <c r="H114" s="42" t="inlineStr">
        <is>
          <t>SERVIÇO</t>
        </is>
      </c>
      <c r="I114" s="43">
        <f>IF(H114="Unidade Construtiva",TEXT(A114,"00"),IF(H114="Célula Construtiva",TEXT(B114,"00"),IF(H114="Etapa",CONCATENATE(TEXT(B114,"00"),".",TEXT(C114,"000")),IF(H114="Subetapa",CONCATENATE(TEXT(B114,"00"),".",TEXT(C114,"000"),".",TEXT(D114,"000")),IF(H114="Serviço",CONCATENATE(TEXT(B114,"00"),".",TEXT(C114,"000"),".",TEXT(D114,"000"),".",TEXT(E114,"000")),"")))))</f>
        <v/>
      </c>
      <c r="J114" s="48" t="inlineStr">
        <is>
          <t>Previsão de furação posterior em estruturas</t>
        </is>
      </c>
      <c r="K114" s="45" t="inlineStr">
        <is>
          <t>pvto</t>
        </is>
      </c>
      <c r="L114" s="46" t="n">
        <v>19</v>
      </c>
      <c r="M114" s="46" t="n">
        <v>5800</v>
      </c>
      <c r="N114" s="47">
        <f>IF(H114="Serviço",M114*L114,IF(H114="CÉLULA CONSTRUTIVA",SUMIFS($N$8:$N$122,$B$8:$B$122,B114,$H$8:$H$122,"Serviço"),IF(H114="ETAPA",SUMIFS($N$8:$N$122,$B$8:$B$122,B114,$C$8:$C$122,C114,$H$8:$H$122,"Serviço"),IF(H114="SUBETAPA",SUMIFS($N$8:$N$122,$B$8:$B$122,B114,$C$8:$C$122,C114,$D$8:$D$122,D114,$H$8:$H$122,"Serviço"),0))))</f>
        <v/>
      </c>
      <c r="O114" s="45" t="n"/>
      <c r="P114" s="46" t="n"/>
      <c r="Q114" s="46" t="n"/>
      <c r="R114" s="47" t="n"/>
      <c r="S114" s="109" t="n"/>
      <c r="T114" s="49" t="n"/>
      <c r="U114" s="49" t="n"/>
    </row>
    <row r="115" outlineLevel="1" ht="13.95" customFormat="1" customHeight="1" s="31">
      <c r="A115" s="217">
        <f>IF($H115="UNIDADE CONSTRUTIVA",OFFSET(A115,-1,0)+1,LARGE(A$3:A114,1))</f>
        <v/>
      </c>
      <c r="B115" s="217">
        <f>IF(H115="UNIDADE CONSTRUTIVA",0,IF(H115="CÉLULA CONSTRUTIVA",OFFSET(B115,-1,0)+1,OFFSET(B115,-1,0)))</f>
        <v/>
      </c>
      <c r="C115" s="217">
        <f>IF(H115="CÉLULA CONSTRUTIVA",0,IF(H115="ETAPA",OFFSET(C115,-1,0)+1,OFFSET(C115,-1,0)))</f>
        <v/>
      </c>
      <c r="D115" s="218">
        <f>IF(H115="ETAPA",0,IF(H115="SUBETAPA",OFFSET(D115,-1,0)+1,OFFSET(D115,-1,0)))</f>
        <v/>
      </c>
      <c r="E115" s="218">
        <f>IF(H115="Subetapa",0,IF(H115="serviço",OFFSET(E115,-1,0)+1,OFFSET(E115,-1,0)))</f>
        <v/>
      </c>
      <c r="G115" s="41" t="n"/>
      <c r="H115" s="42" t="inlineStr">
        <is>
          <t>SUBETAPA</t>
        </is>
      </c>
      <c r="I115" s="43">
        <f>IF(H115="Unidade Construtiva",TEXT(A115,"00"),IF(H115="Célula Construtiva",TEXT(B115,"00"),IF(H115="Etapa",CONCATENATE(TEXT(B115,"00"),".",TEXT(C115,"000")),IF(H115="Subetapa",CONCATENATE(TEXT(B115,"00"),".",TEXT(C115,"000"),".",TEXT(D115,"000")),IF(H115="Serviço",CONCATENATE(TEXT(B115,"00"),".",TEXT(C115,"000"),".",TEXT(D115,"000"),".",TEXT(E115,"000")),"")))))</f>
        <v/>
      </c>
      <c r="J115" s="48" t="inlineStr">
        <is>
          <t>Mão de obra</t>
        </is>
      </c>
      <c r="K115" s="45" t="n"/>
      <c r="L115" s="46" t="n"/>
      <c r="M115" s="46" t="n"/>
      <c r="N115" s="47">
        <f>IF(H115="Serviço",M115*L115,IF(H115="CÉLULA CONSTRUTIVA",SUMIFS($N$8:$N$122,$B$8:$B$122,B115,$H$8:$H$122,"Serviço"),IF(H115="ETAPA",SUMIFS($N$8:$N$122,$B$8:$B$122,B115,$C$8:$C$122,C115,$H$8:$H$122,"Serviço"),IF(H115="SUBETAPA",SUMIFS($N$8:$N$122,$B$8:$B$122,B115,$C$8:$C$122,C115,$D$8:$D$122,D115,$H$8:$H$122,"Serviço"),0))))</f>
        <v/>
      </c>
      <c r="O115" s="45" t="n"/>
      <c r="P115" s="46" t="n"/>
      <c r="Q115" s="46" t="n"/>
      <c r="R115" s="216" t="inlineStr">
        <is>
          <t>19.001.005.001 - Mão de obra para telhamento</t>
        </is>
      </c>
      <c r="S115" s="109" t="n"/>
      <c r="T115" s="49" t="n"/>
      <c r="U115" s="49" t="n"/>
    </row>
    <row r="116" outlineLevel="2" ht="13.95" customFormat="1" customHeight="1" s="31">
      <c r="A116" s="217">
        <f>IF($H116="UNIDADE CONSTRUTIVA",OFFSET(A116,-1,0)+1,LARGE(A$3:A115,1))</f>
        <v/>
      </c>
      <c r="B116" s="217">
        <f>IF(H116="UNIDADE CONSTRUTIVA",0,IF(H116="CÉLULA CONSTRUTIVA",OFFSET(B116,-1,0)+1,OFFSET(B116,-1,0)))</f>
        <v/>
      </c>
      <c r="C116" s="217">
        <f>IF(H116="CÉLULA CONSTRUTIVA",0,IF(H116="ETAPA",OFFSET(C116,-1,0)+1,OFFSET(C116,-1,0)))</f>
        <v/>
      </c>
      <c r="D116" s="218">
        <f>IF(H116="ETAPA",0,IF(H116="SUBETAPA",OFFSET(D116,-1,0)+1,OFFSET(D116,-1,0)))</f>
        <v/>
      </c>
      <c r="E116" s="218">
        <f>IF(H116="Subetapa",0,IF(H116="serviço",OFFSET(E116,-1,0)+1,OFFSET(E116,-1,0)))</f>
        <v/>
      </c>
      <c r="G116" s="41" t="inlineStr">
        <is>
          <t>SUPRAESTRUTURA</t>
        </is>
      </c>
      <c r="H116" s="42" t="inlineStr">
        <is>
          <t>SERVIÇO</t>
        </is>
      </c>
      <c r="I116" s="43">
        <f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/>
      </c>
      <c r="J116" s="48" t="inlineStr">
        <is>
          <t>Mão de obra para execução de supraestrutura de concreto armado</t>
        </is>
      </c>
      <c r="K116" s="45" t="inlineStr">
        <is>
          <t>m²</t>
        </is>
      </c>
      <c r="L116" s="46" t="n">
        <v>5225.33</v>
      </c>
      <c r="M116" s="46" t="n">
        <v>290</v>
      </c>
      <c r="N116" s="47">
        <f>IF(H116="Serviço",M116*L116,IF(H116="CÉLULA CONSTRUTIVA",SUMIFS($N$8:$N$122,$B$8:$B$122,B116,$H$8:$H$122,"Serviço"),IF(H116="ETAPA",SUMIFS($N$8:$N$122,$B$8:$B$122,B116,$C$8:$C$122,C116,$H$8:$H$122,"Serviço"),IF(H116="SUBETAPA",SUMIFS($N$8:$N$122,$B$8:$B$122,B116,$C$8:$C$122,C116,$D$8:$D$122,D116,$H$8:$H$122,"Serviço"),0))))</f>
        <v/>
      </c>
      <c r="O116" s="45" t="n"/>
      <c r="P116" s="46" t="n"/>
      <c r="Q116" s="46" t="n"/>
      <c r="R116" s="47" t="n"/>
      <c r="S116" s="109" t="n"/>
      <c r="T116" s="49" t="n"/>
      <c r="U116" s="49" t="n"/>
    </row>
    <row r="117" outlineLevel="2" ht="13.95" customFormat="1" customHeight="1" s="31">
      <c r="A117" s="217">
        <f>IF($H117="UNIDADE CONSTRUTIVA",OFFSET(A117,-1,0)+1,LARGE(A$3:A116,1))</f>
        <v/>
      </c>
      <c r="B117" s="217">
        <f>IF(H117="UNIDADE CONSTRUTIVA",0,IF(H117="CÉLULA CONSTRUTIVA",OFFSET(B117,-1,0)+1,OFFSET(B117,-1,0)))</f>
        <v/>
      </c>
      <c r="C117" s="217">
        <f>IF(H117="CÉLULA CONSTRUTIVA",0,IF(H117="ETAPA",OFFSET(C117,-1,0)+1,OFFSET(C117,-1,0)))</f>
        <v/>
      </c>
      <c r="D117" s="218">
        <f>IF(H117="ETAPA",0,IF(H117="SUBETAPA",OFFSET(D117,-1,0)+1,OFFSET(D117,-1,0)))</f>
        <v/>
      </c>
      <c r="E117" s="218">
        <f>IF(H117="Subetapa",0,IF(H117="serviço",OFFSET(E117,-1,0)+1,OFFSET(E117,-1,0)))</f>
        <v/>
      </c>
      <c r="G117" s="41" t="inlineStr">
        <is>
          <t>SUPRAESTRUTURA</t>
        </is>
      </c>
      <c r="H117" s="42" t="inlineStr">
        <is>
          <t>SERVIÇO</t>
        </is>
      </c>
      <c r="I117" s="43">
        <f>IF(H117="Unidade Construtiva",TEXT(A117,"00"),IF(H117="Célula Construtiva",TEXT(B117,"00"),IF(H117="Etapa",CONCATENATE(TEXT(B117,"00"),".",TEXT(C117,"000")),IF(H117="Subetapa",CONCATENATE(TEXT(B117,"00"),".",TEXT(C117,"000"),".",TEXT(D117,"000")),IF(H117="Serviço",CONCATENATE(TEXT(B117,"00"),".",TEXT(C117,"000"),".",TEXT(D117,"000"),".",TEXT(E117,"000")),"")))))</f>
        <v/>
      </c>
      <c r="J117" s="48" t="inlineStr">
        <is>
          <t>Acompanhamento Topografo - Lajes</t>
        </is>
      </c>
      <c r="K117" s="113" t="inlineStr">
        <is>
          <t>dia</t>
        </is>
      </c>
      <c r="L117" s="114" t="n">
        <v>19</v>
      </c>
      <c r="M117" s="46" t="n">
        <v>1450</v>
      </c>
      <c r="N117" s="47">
        <f>IF(H117="Serviço",M117*L117,IF(H117="CÉLULA CONSTRUTIVA",SUMIFS($N$8:$N$122,$B$8:$B$122,B117,$H$8:$H$122,"Serviço"),IF(H117="ETAPA",SUMIFS($N$8:$N$122,$B$8:$B$122,B117,$C$8:$C$122,C117,$H$8:$H$122,"Serviço"),IF(H117="SUBETAPA",SUMIFS($N$8:$N$122,$B$8:$B$122,B117,$C$8:$C$122,C117,$D$8:$D$122,D117,$H$8:$H$122,"Serviço"),0))))</f>
        <v/>
      </c>
      <c r="O117" s="113" t="n"/>
      <c r="P117" s="114" t="n"/>
      <c r="Q117" s="46" t="n"/>
      <c r="R117" s="47" t="n"/>
      <c r="S117" s="109" t="n"/>
      <c r="T117" s="49" t="n"/>
      <c r="U117" s="49" t="n"/>
    </row>
    <row r="118" ht="13.8" customFormat="1" customHeight="1" s="31">
      <c r="A118" s="217">
        <f>IF($H118="UNIDADE CONSTRUTIVA",OFFSET(A118,-1,0)+1,LARGE(A$3:A7,1))</f>
        <v/>
      </c>
      <c r="B118" s="217">
        <f>IF(H118="UNIDADE CONSTRUTIVA",0,IF(H118="CÉLULA CONSTRUTIVA",OFFSET(B118,-1,0)+1,OFFSET(B118,-1,0)))</f>
        <v/>
      </c>
      <c r="C118" s="217">
        <f>IF(H118="CÉLULA CONSTRUTIVA",0,IF(H118="ETAPA",OFFSET(C118,-1,0)+1,OFFSET(C118,-1,0)))</f>
        <v/>
      </c>
      <c r="D118" s="218">
        <f>IF(H118="ETAPA",0,IF(H118="SUBETAPA",OFFSET(D118,-1,0)+1,OFFSET(D118,-1,0)))</f>
        <v/>
      </c>
      <c r="E118" s="218">
        <f>IF(H118="Subetapa",0,IF(H118="serviço",OFFSET(E118,-1,0)+1,OFFSET(E118,-1,0)))</f>
        <v/>
      </c>
      <c r="F118" s="189" t="n"/>
      <c r="G118" s="121" t="n"/>
      <c r="H118" s="42" t="inlineStr">
        <is>
          <t>CÉLULA CONSTRUTIVA</t>
        </is>
      </c>
      <c r="I118" s="43">
        <f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/>
      </c>
      <c r="J118" s="122" t="inlineStr">
        <is>
          <t>PAREDES E PAINÉIS</t>
        </is>
      </c>
      <c r="K118" s="45" t="n"/>
      <c r="L118" s="46" t="n"/>
      <c r="M118" s="46" t="n"/>
      <c r="N118" s="47">
        <f>IF(H118="Serviço",M118*L118,IF(H118="CÉLULA CONSTRUTIVA",SUMIFS($N$118:$N$438,$B$118:$B$438,B118,$H$118:$H$438,"Serviço"),IF(H118="ETAPA",SUMIFS($N$118:$N$438,$B$118:$B$438,B118,$C$118:$C$438,C118,$H$118:$H$438,"Serviço"),IF(H118="SUBETAPA",SUMIFS($N$118:$N$438,$B$118:$B$438,B118,$C$118:$C$438,C118,$D$118:$D$438,D118,$H$118:$H$438,"Serviço"),0))))</f>
        <v/>
      </c>
      <c r="O118" s="45" t="n"/>
      <c r="P118" s="46" t="n"/>
      <c r="Q118" s="46" t="n"/>
      <c r="R118" s="47" t="n"/>
      <c r="S118" s="123" t="n"/>
      <c r="T118" s="215" t="n"/>
      <c r="U118" s="49" t="n"/>
    </row>
    <row r="119" outlineLevel="1" ht="13.8" customFormat="1" customHeight="1" s="31">
      <c r="A119" s="217">
        <f>IF($H119="UNIDADE CONSTRUTIVA",OFFSET(A119,-1,0)+1,LARGE(A$3:A118,1))</f>
        <v/>
      </c>
      <c r="B119" s="217">
        <f>IF(H119="UNIDADE CONSTRUTIVA",0,IF(H119="CÉLULA CONSTRUTIVA",OFFSET(B119,-1,0)+1,OFFSET(B119,-1,0)))</f>
        <v/>
      </c>
      <c r="C119" s="217">
        <f>IF(H119="CÉLULA CONSTRUTIVA",0,IF(H119="ETAPA",OFFSET(C119,-1,0)+1,OFFSET(C119,-1,0)))</f>
        <v/>
      </c>
      <c r="D119" s="218">
        <f>IF(H119="ETAPA",0,IF(H119="SUBETAPA",OFFSET(D119,-1,0)+1,OFFSET(D119,-1,0)))</f>
        <v/>
      </c>
      <c r="E119" s="218">
        <f>IF(H119="Subetapa",0,IF(H119="serviço",OFFSET(E119,-1,0)+1,OFFSET(E119,-1,0)))</f>
        <v/>
      </c>
      <c r="G119" s="124" t="n"/>
      <c r="H119" s="42" t="inlineStr">
        <is>
          <t>ETAPA</t>
        </is>
      </c>
      <c r="I119" s="43">
        <f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/>
      </c>
      <c r="J119" s="48" t="inlineStr">
        <is>
          <t>PAREDES E PAINÉIS</t>
        </is>
      </c>
      <c r="K119" s="45" t="n"/>
      <c r="L119" s="46" t="n"/>
      <c r="M119" s="46" t="n"/>
      <c r="N119" s="47">
        <f>IF(H119="Serviço",M119*L119,IF(H119="CÉLULA CONSTRUTIVA",SUMIFS($N$118:$N$438,$B$118:$B$438,B119,$H$118:$H$438,"Serviço"),IF(H119="ETAPA",SUMIFS($N$118:$N$438,$B$118:$B$438,B119,$C$118:$C$438,C119,$H$118:$H$438,"Serviço"),IF(H119="SUBETAPA",SUMIFS($N$118:$N$438,$B$118:$B$438,B119,$C$118:$C$438,C119,$D$118:$D$438,D119,$H$118:$H$438,"Serviço"),0))))</f>
        <v/>
      </c>
      <c r="O119" s="45" t="n"/>
      <c r="P119" s="46" t="n"/>
      <c r="Q119" s="46" t="n"/>
      <c r="R119" s="47" t="n"/>
      <c r="S119" s="123" t="n"/>
      <c r="T119" s="49" t="n"/>
      <c r="U119" s="49" t="n"/>
    </row>
    <row r="120" outlineLevel="1" ht="13.8" customFormat="1" customHeight="1" s="31">
      <c r="A120" s="217">
        <f>IF($H120="UNIDADE CONSTRUTIVA",OFFSET(A120,-1,0)+1,LARGE(A$3:A119,1))</f>
        <v/>
      </c>
      <c r="B120" s="217">
        <f>IF(H120="UNIDADE CONSTRUTIVA",0,IF(H120="CÉLULA CONSTRUTIVA",OFFSET(B120,-1,0)+1,OFFSET(B120,-1,0)))</f>
        <v/>
      </c>
      <c r="C120" s="217">
        <f>IF(H120="CÉLULA CONSTRUTIVA",0,IF(H120="ETAPA",OFFSET(C120,-1,0)+1,OFFSET(C120,-1,0)))</f>
        <v/>
      </c>
      <c r="D120" s="218">
        <f>IF(H120="ETAPA",0,IF(H120="SUBETAPA",OFFSET(D120,-1,0)+1,OFFSET(D120,-1,0)))</f>
        <v/>
      </c>
      <c r="E120" s="218">
        <f>IF(H120="Subetapa",0,IF(H120="serviço",OFFSET(E120,-1,0)+1,OFFSET(E120,-1,0)))</f>
        <v/>
      </c>
      <c r="G120" s="124" t="n"/>
      <c r="H120" s="42" t="inlineStr">
        <is>
          <t>SUBETAPA</t>
        </is>
      </c>
      <c r="I120" s="43">
        <f>IF(H120="Unidade Construtiva",TEXT(A120,"00"),IF(H120="Célula Construtiva",TEXT(B120,"00"),IF(H120="Etapa",CONCATENATE(TEXT(B120,"00"),".",TEXT(C120,"000")),IF(H120="Subetapa",CONCATENATE(TEXT(B120,"00"),".",TEXT(C120,"000"),".",TEXT(D120,"000")),IF(H120="Serviço",CONCATENATE(TEXT(B120,"00"),".",TEXT(C120,"000"),".",TEXT(D120,"000"),".",TEXT(E120,"000")),"")))))</f>
        <v/>
      </c>
      <c r="J120" s="48" t="inlineStr">
        <is>
          <t>Alvenaria de vedação com blocos cerâmicos</t>
        </is>
      </c>
      <c r="K120" s="45" t="n"/>
      <c r="L120" s="46" t="n"/>
      <c r="M120" s="46" t="n"/>
      <c r="N120" s="47">
        <f>IF(H120="Serviço",M120*L120,IF(H120="CÉLULA CONSTRUTIVA",SUMIFS($N$118:$N$438,$B$118:$B$438,B120,$H$118:$H$438,"Serviço"),IF(H120="ETAPA",SUMIFS($N$118:$N$438,$B$118:$B$438,B120,$C$118:$C$438,C120,$H$118:$H$438,"Serviço"),IF(H120="SUBETAPA",SUMIFS($N$118:$N$438,$B$118:$B$438,B120,$C$118:$C$438,C120,$D$118:$D$438,D120,$H$118:$H$438,"Serviço"),0))))</f>
        <v/>
      </c>
      <c r="O120" s="45" t="n"/>
      <c r="P120" s="46" t="n"/>
      <c r="Q120" s="46" t="n"/>
      <c r="R120" s="216" t="inlineStr">
        <is>
          <t>04.001.003.001 - Encunhamento de alvenaria de vedação com argamassa expansiva</t>
        </is>
      </c>
      <c r="S120" s="123" t="n"/>
      <c r="T120" s="49" t="n"/>
      <c r="U120" s="49" t="n"/>
    </row>
    <row r="121" outlineLevel="2" ht="13.8" customFormat="1" customHeight="1" s="31">
      <c r="A121" s="217">
        <f>IF($H121="UNIDADE CONSTRUTIVA",OFFSET(A121,-1,0)+1,LARGE(A$3:A120,1))</f>
        <v/>
      </c>
      <c r="B121" s="217">
        <f>IF(H121="UNIDADE CONSTRUTIVA",0,IF(H121="CÉLULA CONSTRUTIVA",OFFSET(B121,-1,0)+1,OFFSET(B121,-1,0)))</f>
        <v/>
      </c>
      <c r="C121" s="217">
        <f>IF(H121="CÉLULA CONSTRUTIVA",0,IF(H121="ETAPA",OFFSET(C121,-1,0)+1,OFFSET(C121,-1,0)))</f>
        <v/>
      </c>
      <c r="D121" s="218">
        <f>IF(H121="ETAPA",0,IF(H121="SUBETAPA",OFFSET(D121,-1,0)+1,OFFSET(D121,-1,0)))</f>
        <v/>
      </c>
      <c r="E121" s="218">
        <f>IF(H121="Subetapa",0,IF(H121="serviço",OFFSET(E121,-1,0)+1,OFFSET(E121,-1,0)))</f>
        <v/>
      </c>
      <c r="G121" s="124" t="inlineStr">
        <is>
          <t>PAREDES E PAINÉIS</t>
        </is>
      </c>
      <c r="H121" s="42" t="inlineStr">
        <is>
          <t>SERVIÇO</t>
        </is>
      </c>
      <c r="I121" s="43">
        <f>IF(H121="Unidade Construtiva",TEXT(A121,"00"),IF(H121="Célula Construtiva",TEXT(B121,"00"),IF(H121="Etapa",CONCATENATE(TEXT(B121,"00"),".",TEXT(C121,"000")),IF(H121="Subetapa",CONCATENATE(TEXT(B121,"00"),".",TEXT(C121,"000"),".",TEXT(D121,"000")),IF(H121="Serviço",CONCATENATE(TEXT(B121,"00"),".",TEXT(C121,"000"),".",TEXT(D121,"000"),".",TEXT(E121,"000")),"")))))</f>
        <v/>
      </c>
      <c r="J121" s="48" t="inlineStr">
        <is>
          <t>Alvenaria de vedacao de blocos ceramicos de 11,5x19x19cm com argamassa industrializada de assentamento</t>
        </is>
      </c>
      <c r="K121" s="45" t="inlineStr">
        <is>
          <t>m2</t>
        </is>
      </c>
      <c r="L121" s="46" t="n">
        <v>367.85</v>
      </c>
      <c r="M121" s="46" t="n">
        <v>32.524</v>
      </c>
      <c r="N121" s="47">
        <f>IF(H121="Serviço",M121*L121,IF(H121="CÉLULA CONSTRUTIVA",SUMIFS($N$118:$N$438,$B$118:$B$438,B121,$H$118:$H$438,"Serviço"),IF(H121="ETAPA",SUMIFS($N$118:$N$438,$B$118:$B$438,B121,$C$118:$C$438,C121,$H$118:$H$438,"Serviço"),IF(H121="SUBETAPA",SUMIFS($N$118:$N$438,$B$118:$B$438,B121,$C$118:$C$438,C121,$D$118:$D$438,D121,$H$118:$H$438,"Serviço"),0))))</f>
        <v/>
      </c>
      <c r="O121" s="45" t="n"/>
      <c r="P121" s="46" t="n"/>
      <c r="Q121" s="46" t="n"/>
      <c r="R121" s="47" t="n"/>
      <c r="S121" s="123" t="n"/>
      <c r="T121" s="49" t="n"/>
      <c r="U121" s="49" t="n"/>
    </row>
    <row r="122" outlineLevel="2" ht="13.8" customFormat="1" customHeight="1" s="31">
      <c r="A122" s="217">
        <f>IF($H122="UNIDADE CONSTRUTIVA",OFFSET(A122,-1,0)+1,LARGE(A$3:A120,1))</f>
        <v/>
      </c>
      <c r="B122" s="217">
        <f>IF(H122="UNIDADE CONSTRUTIVA",0,IF(H122="CÉLULA CONSTRUTIVA",OFFSET(B122,-1,0)+1,OFFSET(B122,-1,0)))</f>
        <v/>
      </c>
      <c r="C122" s="217">
        <f>IF(H122="CÉLULA CONSTRUTIVA",0,IF(H122="ETAPA",OFFSET(C122,-1,0)+1,OFFSET(C122,-1,0)))</f>
        <v/>
      </c>
      <c r="D122" s="218">
        <f>IF(H122="ETAPA",0,IF(H122="SUBETAPA",OFFSET(D122,-1,0)+1,OFFSET(D122,-1,0)))</f>
        <v/>
      </c>
      <c r="E122" s="218">
        <f>IF(H122="Subetapa",0,IF(H122="serviço",OFFSET(E122,-1,0)+1,OFFSET(E122,-1,0)))</f>
        <v/>
      </c>
      <c r="G122" s="124" t="inlineStr">
        <is>
          <t>PAREDES E PAINÉIS</t>
        </is>
      </c>
      <c r="H122" s="42" t="inlineStr">
        <is>
          <t>SERVIÇO</t>
        </is>
      </c>
      <c r="I122" s="43">
        <f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/>
      </c>
      <c r="J122" s="48" t="inlineStr">
        <is>
          <t>Alvenaria de vedacao de blocos ceramicos de 14x19x19cm com argamassa industrializada de assentamento</t>
        </is>
      </c>
      <c r="K122" s="45" t="inlineStr">
        <is>
          <t>m2</t>
        </is>
      </c>
      <c r="L122" s="46" t="n">
        <v>2266.25</v>
      </c>
      <c r="M122" s="46" t="n">
        <v>39.076</v>
      </c>
      <c r="N122" s="47">
        <f>IF(H122="Serviço",M122*L122,IF(H122="CÉLULA CONSTRUTIVA",SUMIFS($N$118:$N$438,$B$118:$B$438,B122,$H$118:$H$438,"Serviço"),IF(H122="ETAPA",SUMIFS($N$118:$N$438,$B$118:$B$438,B122,$C$118:$C$438,C122,$H$118:$H$438,"Serviço"),IF(H122="SUBETAPA",SUMIFS($N$118:$N$438,$B$118:$B$438,B122,$C$118:$C$438,C122,$D$118:$D$438,D122,$H$118:$H$438,"Serviço"),0))))</f>
        <v/>
      </c>
      <c r="O122" s="45" t="n"/>
      <c r="P122" s="46" t="n"/>
      <c r="Q122" s="46" t="n"/>
      <c r="R122" s="47" t="n"/>
      <c r="S122" s="123" t="n"/>
      <c r="T122" s="49" t="n"/>
      <c r="U122" s="49" t="n"/>
    </row>
    <row r="123" outlineLevel="1" ht="13.8" customFormat="1" customHeight="1" s="31">
      <c r="A123" s="217">
        <f>IF($H123="UNIDADE CONSTRUTIVA",OFFSET(A123,-1,0)+1,LARGE(A$3:A121,1))</f>
        <v/>
      </c>
      <c r="B123" s="217">
        <f>IF(H123="UNIDADE CONSTRUTIVA",0,IF(H123="CÉLULA CONSTRUTIVA",OFFSET(B123,-1,0)+1,OFFSET(B123,-1,0)))</f>
        <v/>
      </c>
      <c r="C123" s="217">
        <f>IF(H123="CÉLULA CONSTRUTIVA",0,IF(H123="ETAPA",OFFSET(C123,-1,0)+1,OFFSET(C123,-1,0)))</f>
        <v/>
      </c>
      <c r="D123" s="218">
        <f>IF(H123="ETAPA",0,IF(H123="SUBETAPA",OFFSET(D123,-1,0)+1,OFFSET(D123,-1,0)))</f>
        <v/>
      </c>
      <c r="E123" s="218">
        <f>IF(H123="Subetapa",0,IF(H123="serviço",OFFSET(E123,-1,0)+1,OFFSET(E123,-1,0)))</f>
        <v/>
      </c>
      <c r="G123" s="124" t="n"/>
      <c r="H123" s="42" t="inlineStr">
        <is>
          <t>SUBETAPA</t>
        </is>
      </c>
      <c r="I123" s="43">
        <f>IF(H123="Unidade Construtiva",TEXT(A123,"00"),IF(H123="Célula Construtiva",TEXT(B123,"00"),IF(H123="Etapa",CONCATENATE(TEXT(B123,"00"),".",TEXT(C123,"000")),IF(H123="Subetapa",CONCATENATE(TEXT(B123,"00"),".",TEXT(C123,"000"),".",TEXT(D123,"000")),IF(H123="Serviço",CONCATENATE(TEXT(B123,"00"),".",TEXT(C123,"000"),".",TEXT(D123,"000"),".",TEXT(E123,"000")),"")))))</f>
        <v/>
      </c>
      <c r="J123" s="48" t="inlineStr">
        <is>
          <t>Alvenaria de vedação com blocos de concreto</t>
        </is>
      </c>
      <c r="K123" s="45" t="n"/>
      <c r="L123" s="46" t="n"/>
      <c r="M123" s="46" t="n"/>
      <c r="N123" s="47">
        <f>IF(H123="Serviço",M123*L123,IF(H123="CÉLULA CONSTRUTIVA",SUMIFS($N$118:$N$438,$B$118:$B$438,B123,$H$118:$H$438,"Serviço"),IF(H123="ETAPA",SUMIFS($N$118:$N$438,$B$118:$B$438,B123,$C$118:$C$438,C123,$H$118:$H$438,"Serviço"),IF(H123="SUBETAPA",SUMIFS($N$118:$N$438,$B$118:$B$438,B123,$C$118:$C$438,C123,$D$118:$D$438,D123,$H$118:$H$438,"Serviço"),0))))</f>
        <v/>
      </c>
      <c r="O123" s="45" t="n"/>
      <c r="P123" s="46" t="n"/>
      <c r="Q123" s="46" t="n"/>
      <c r="R123" s="216" t="inlineStr">
        <is>
          <t>04.001.003.001 - Encunhamento de alvenaria de vedação com argamassa expansiva</t>
        </is>
      </c>
      <c r="S123" s="123" t="n"/>
      <c r="T123" s="49" t="n"/>
      <c r="U123" s="49" t="n"/>
    </row>
    <row r="124" outlineLevel="2" ht="13.8" customFormat="1" customHeight="1" s="31">
      <c r="A124" s="217">
        <f>IF($H124="UNIDADE CONSTRUTIVA",OFFSET(A124,-1,0)+1,LARGE(A$3:A123,1))</f>
        <v/>
      </c>
      <c r="B124" s="217">
        <f>IF(H124="UNIDADE CONSTRUTIVA",0,IF(H124="CÉLULA CONSTRUTIVA",OFFSET(B124,-1,0)+1,OFFSET(B124,-1,0)))</f>
        <v/>
      </c>
      <c r="C124" s="217">
        <f>IF(H124="CÉLULA CONSTRUTIVA",0,IF(H124="ETAPA",OFFSET(C124,-1,0)+1,OFFSET(C124,-1,0)))</f>
        <v/>
      </c>
      <c r="D124" s="218">
        <f>IF(H124="ETAPA",0,IF(H124="SUBETAPA",OFFSET(D124,-1,0)+1,OFFSET(D124,-1,0)))</f>
        <v/>
      </c>
      <c r="E124" s="218">
        <f>IF(H124="Subetapa",0,IF(H124="serviço",OFFSET(E124,-1,0)+1,OFFSET(E124,-1,0)))</f>
        <v/>
      </c>
      <c r="G124" s="124" t="inlineStr">
        <is>
          <t>PAREDES E PAINÉIS</t>
        </is>
      </c>
      <c r="H124" s="42" t="inlineStr">
        <is>
          <t>SERVIÇO</t>
        </is>
      </c>
      <c r="I124" s="43">
        <f>IF(H124="Unidade Construtiva",TEXT(A124,"00"),IF(H124="Célula Construtiva",TEXT(B124,"00"),IF(H124="Etapa",CONCATENATE(TEXT(B124,"00"),".",TEXT(C124,"000")),IF(H124="Subetapa",CONCATENATE(TEXT(B124,"00"),".",TEXT(C124,"000"),".",TEXT(D124,"000")),IF(H124="Serviço",CONCATENATE(TEXT(B124,"00"),".",TEXT(C124,"000"),".",TEXT(D124,"000"),".",TEXT(E124,"000")),"")))))</f>
        <v/>
      </c>
      <c r="J124" s="48" t="inlineStr">
        <is>
          <t>Alvenaria em Bloco De Concreto Celular 60x30x10cm Sical com argamassa industrializada de assentamento</t>
        </is>
      </c>
      <c r="K124" s="45" t="inlineStr">
        <is>
          <t>m2</t>
        </is>
      </c>
      <c r="L124" s="46" t="n">
        <v>182.98</v>
      </c>
      <c r="M124" s="46" t="n">
        <v>62.5</v>
      </c>
      <c r="N124" s="47">
        <f>IF(H124="Serviço",M124*L124,IF(H124="CÉLULA CONSTRUTIVA",SUMIFS($N$118:$N$438,$B$118:$B$438,B124,$H$118:$H$438,"Serviço"),IF(H124="ETAPA",SUMIFS($N$118:$N$438,$B$118:$B$438,B124,$C$118:$C$438,C124,$H$118:$H$438,"Serviço"),IF(H124="SUBETAPA",SUMIFS($N$118:$N$438,$B$118:$B$438,B124,$C$118:$C$438,C124,$D$118:$D$438,D124,$H$118:$H$438,"Serviço"),0))))</f>
        <v/>
      </c>
      <c r="O124" s="45" t="n"/>
      <c r="P124" s="46" t="n"/>
      <c r="Q124" s="46" t="n"/>
      <c r="R124" s="47" t="n"/>
      <c r="S124" s="123" t="n"/>
      <c r="T124" s="49" t="n"/>
      <c r="U124" s="49" t="n"/>
    </row>
    <row r="125" outlineLevel="2" ht="13.8" customFormat="1" customHeight="1" s="31">
      <c r="A125" s="217">
        <f>IF($H125="UNIDADE CONSTRUTIVA",OFFSET(A125,-1,0)+1,LARGE(A$3:A124,1))</f>
        <v/>
      </c>
      <c r="B125" s="217">
        <f>IF(H125="UNIDADE CONSTRUTIVA",0,IF(H125="CÉLULA CONSTRUTIVA",OFFSET(B125,-1,0)+1,OFFSET(B125,-1,0)))</f>
        <v/>
      </c>
      <c r="C125" s="217">
        <f>IF(H125="CÉLULA CONSTRUTIVA",0,IF(H125="ETAPA",OFFSET(C125,-1,0)+1,OFFSET(C125,-1,0)))</f>
        <v/>
      </c>
      <c r="D125" s="218">
        <f>IF(H125="ETAPA",0,IF(H125="SUBETAPA",OFFSET(D125,-1,0)+1,OFFSET(D125,-1,0)))</f>
        <v/>
      </c>
      <c r="E125" s="218">
        <f>IF(H125="Subetapa",0,IF(H125="serviço",OFFSET(E125,-1,0)+1,OFFSET(E125,-1,0)))</f>
        <v/>
      </c>
      <c r="G125" s="124" t="inlineStr">
        <is>
          <t>PAREDES E PAINÉIS</t>
        </is>
      </c>
      <c r="H125" s="42" t="inlineStr">
        <is>
          <t>SERVIÇO</t>
        </is>
      </c>
      <c r="I125" s="43">
        <f>IF(H125="Unidade Construtiva",TEXT(A125,"00"),IF(H125="Célula Construtiva",TEXT(B125,"00"),IF(H125="Etapa",CONCATENATE(TEXT(B125,"00"),".",TEXT(C125,"000")),IF(H125="Subetapa",CONCATENATE(TEXT(B125,"00"),".",TEXT(C125,"000"),".",TEXT(D125,"000")),IF(H125="Serviço",CONCATENATE(TEXT(B125,"00"),".",TEXT(C125,"000"),".",TEXT(D125,"000"),".",TEXT(E125,"000")),"")))))</f>
        <v/>
      </c>
      <c r="J125" s="48" t="inlineStr">
        <is>
          <t>Alvenaria em Bloco De Concreto Celular 60x30x15cm Sical com argamassa industrializada de assentamento</t>
        </is>
      </c>
      <c r="K125" s="45" t="inlineStr">
        <is>
          <t>m2</t>
        </is>
      </c>
      <c r="L125" s="46" t="n">
        <v>589.09</v>
      </c>
      <c r="M125" s="46" t="n">
        <v>89.5</v>
      </c>
      <c r="N125" s="47">
        <f>IF(H125="Serviço",M125*L125,IF(H125="CÉLULA CONSTRUTIVA",SUMIFS($N$118:$N$438,$B$118:$B$438,B125,$H$118:$H$438,"Serviço"),IF(H125="ETAPA",SUMIFS($N$118:$N$438,$B$118:$B$438,B125,$C$118:$C$438,C125,$H$118:$H$438,"Serviço"),IF(H125="SUBETAPA",SUMIFS($N$118:$N$438,$B$118:$B$438,B125,$C$118:$C$438,C125,$D$118:$D$438,D125,$H$118:$H$438,"Serviço"),0))))</f>
        <v/>
      </c>
      <c r="O125" s="45" t="n"/>
      <c r="P125" s="46" t="n"/>
      <c r="Q125" s="46" t="n"/>
      <c r="R125" s="47" t="n"/>
      <c r="S125" s="123" t="n"/>
      <c r="T125" s="49" t="n"/>
      <c r="U125" s="49" t="n"/>
    </row>
    <row r="126" outlineLevel="2" ht="13.8" customFormat="1" customHeight="1" s="31">
      <c r="A126" s="217">
        <f>IF($H126="UNIDADE CONSTRUTIVA",OFFSET(A126,-1,0)+1,LARGE(A$3:A125,1))</f>
        <v/>
      </c>
      <c r="B126" s="217">
        <f>IF(H126="UNIDADE CONSTRUTIVA",0,IF(H126="CÉLULA CONSTRUTIVA",OFFSET(B126,-1,0)+1,OFFSET(B126,-1,0)))</f>
        <v/>
      </c>
      <c r="C126" s="217">
        <f>IF(H126="CÉLULA CONSTRUTIVA",0,IF(H126="ETAPA",OFFSET(C126,-1,0)+1,OFFSET(C126,-1,0)))</f>
        <v/>
      </c>
      <c r="D126" s="218">
        <f>IF(H126="ETAPA",0,IF(H126="SUBETAPA",OFFSET(D126,-1,0)+1,OFFSET(D126,-1,0)))</f>
        <v/>
      </c>
      <c r="E126" s="218">
        <f>IF(H126="Subetapa",0,IF(H126="serviço",OFFSET(E126,-1,0)+1,OFFSET(E126,-1,0)))</f>
        <v/>
      </c>
      <c r="G126" s="124" t="inlineStr">
        <is>
          <t>PAREDES E PAINÉIS</t>
        </is>
      </c>
      <c r="H126" s="42" t="inlineStr">
        <is>
          <t>SERVIÇO</t>
        </is>
      </c>
      <c r="I126" s="43">
        <f>IF(H126="Unidade Construtiva",TEXT(A126,"00"),IF(H126="Célula Construtiva",TEXT(B126,"00"),IF(H126="Etapa",CONCATENATE(TEXT(B126,"00"),".",TEXT(C126,"000")),IF(H126="Subetapa",CONCATENATE(TEXT(B126,"00"),".",TEXT(C126,"000"),".",TEXT(D126,"000")),IF(H126="Serviço",CONCATENATE(TEXT(B126,"00"),".",TEXT(C126,"000"),".",TEXT(D126,"000"),".",TEXT(E126,"000")),"")))))</f>
        <v/>
      </c>
      <c r="J126" s="48" t="inlineStr">
        <is>
          <t>Alvenaria em Bloco De Concreto Celular 60x30x20cm Sical com argamassa industrializada de assentamento</t>
        </is>
      </c>
      <c r="K126" s="45" t="inlineStr">
        <is>
          <t>m2</t>
        </is>
      </c>
      <c r="L126" s="46" t="n">
        <v>647.71</v>
      </c>
      <c r="M126" s="46" t="n">
        <v>111.1</v>
      </c>
      <c r="N126" s="47">
        <f>IF(H126="Serviço",M126*L126,IF(H126="CÉLULA CONSTRUTIVA",SUMIFS($N$118:$N$438,$B$118:$B$438,B126,$H$118:$H$438,"Serviço"),IF(H126="ETAPA",SUMIFS($N$118:$N$438,$B$118:$B$438,B126,$C$118:$C$438,C126,$H$118:$H$438,"Serviço"),IF(H126="SUBETAPA",SUMIFS($N$118:$N$438,$B$118:$B$438,B126,$C$118:$C$438,C126,$D$118:$D$438,D126,$H$118:$H$438,"Serviço"),0))))</f>
        <v/>
      </c>
      <c r="O126" s="45" t="n"/>
      <c r="P126" s="46" t="n"/>
      <c r="Q126" s="46" t="n"/>
      <c r="R126" s="47" t="n"/>
      <c r="S126" s="125" t="n"/>
      <c r="T126" s="49" t="n"/>
      <c r="U126" s="49" t="n"/>
    </row>
    <row r="127" outlineLevel="1" ht="13.8" customFormat="1" customHeight="1" s="31">
      <c r="A127" s="217">
        <f>IF($H127="UNIDADE CONSTRUTIVA",OFFSET(A127,-1,0)+1,LARGE(A$3:A126,1))</f>
        <v/>
      </c>
      <c r="B127" s="217">
        <f>IF(H127="UNIDADE CONSTRUTIVA",0,IF(H127="CÉLULA CONSTRUTIVA",OFFSET(B127,-1,0)+1,OFFSET(B127,-1,0)))</f>
        <v/>
      </c>
      <c r="C127" s="217">
        <f>IF(H127="CÉLULA CONSTRUTIVA",0,IF(H127="ETAPA",OFFSET(C127,-1,0)+1,OFFSET(C127,-1,0)))</f>
        <v/>
      </c>
      <c r="D127" s="218">
        <f>IF(H127="ETAPA",0,IF(H127="SUBETAPA",OFFSET(D127,-1,0)+1,OFFSET(D127,-1,0)))</f>
        <v/>
      </c>
      <c r="E127" s="218">
        <f>IF(H127="Subetapa",0,IF(H127="serviço",OFFSET(E127,-1,0)+1,OFFSET(E127,-1,0)))</f>
        <v/>
      </c>
      <c r="G127" s="124" t="n"/>
      <c r="H127" s="42" t="inlineStr">
        <is>
          <t>SUBETAPA</t>
        </is>
      </c>
      <c r="I127" s="43">
        <f>IF(H127="Unidade Construtiva",TEXT(A127,"00"),IF(H127="Célula Construtiva",TEXT(B127,"00"),IF(H127="Etapa",CONCATENATE(TEXT(B127,"00"),".",TEXT(C127,"000")),IF(H127="Subetapa",CONCATENATE(TEXT(B127,"00"),".",TEXT(C127,"000"),".",TEXT(D127,"000")),IF(H127="Serviço",CONCATENATE(TEXT(B127,"00"),".",TEXT(C127,"000"),".",TEXT(D127,"000"),".",TEXT(E127,"000")),"")))))</f>
        <v/>
      </c>
      <c r="J127" s="48" t="inlineStr">
        <is>
          <t>Serviços complementares para alvenaria de vedação</t>
        </is>
      </c>
      <c r="K127" s="45" t="n"/>
      <c r="L127" s="46" t="n"/>
      <c r="M127" s="46" t="n"/>
      <c r="N127" s="47">
        <f>IF(H127="Serviço",M127*L127,IF(H127="CÉLULA CONSTRUTIVA",SUMIFS($N$118:$N$438,$B$118:$B$438,B127,$H$118:$H$438,"Serviço"),IF(H127="ETAPA",SUMIFS($N$118:$N$438,$B$118:$B$438,B127,$C$118:$C$438,C127,$H$118:$H$438,"Serviço"),IF(H127="SUBETAPA",SUMIFS($N$118:$N$438,$B$118:$B$438,B127,$C$118:$C$438,C127,$D$118:$D$438,D127,$H$118:$H$438,"Serviço"),0))))</f>
        <v/>
      </c>
      <c r="O127" s="45" t="n"/>
      <c r="P127" s="46" t="n"/>
      <c r="Q127" s="46" t="n"/>
      <c r="R127" s="216" t="inlineStr">
        <is>
          <t>04.001.003.001 - Encunhamento de alvenaria de vedação com argamassa expansiva</t>
        </is>
      </c>
      <c r="S127" s="125" t="n"/>
      <c r="T127" s="49" t="n"/>
      <c r="U127" s="49" t="n"/>
    </row>
    <row r="128" outlineLevel="3" ht="13.8" customHeight="1">
      <c r="A128" s="213">
        <f>IF($H128="UNIDADE CONSTRUTIVA",OFFSET(A128,-1,0)+1,LARGE(A$3:A127,1))</f>
        <v/>
      </c>
      <c r="B128" s="213">
        <f>IF(H128="UNIDADE CONSTRUTIVA",0,IF(H128="CÉLULA CONSTRUTIVA",OFFSET(B128,-1,0)+1,OFFSET(B128,-1,0)))</f>
        <v/>
      </c>
      <c r="C128" s="213">
        <f>IF(H128="CÉLULA CONSTRUTIVA",0,IF(H128="ETAPA",OFFSET(C128,-1,0)+1,OFFSET(C128,-1,0)))</f>
        <v/>
      </c>
      <c r="D128" s="214">
        <f>IF(H128="ETAPA",0,IF(H128="SUBETAPA",OFFSET(D128,-1,0)+1,OFFSET(D128,-1,0)))</f>
        <v/>
      </c>
      <c r="E128" s="214">
        <f>IF(H128="Subetapa",0,IF(H128="serviço",OFFSET(E128,-1,0)+1,OFFSET(E128,-1,0)))</f>
        <v/>
      </c>
      <c r="F128" s="31" t="n"/>
      <c r="G128" s="126" t="inlineStr">
        <is>
          <t>PAREDES E PAINÉIS</t>
        </is>
      </c>
      <c r="H128" s="127" t="inlineStr">
        <is>
          <t>SERVIÇO</t>
        </is>
      </c>
      <c r="I128" s="128">
        <f>IF(H128="Unidade Construtiva",TEXT(A128,"00"),IF(H128="Célula Construtiva",TEXT(B128,"00"),IF(H128="Etapa",CONCATENATE(TEXT(B128,"00"),".",TEXT(C128,"000")),IF(H128="Subetapa",CONCATENATE(TEXT(B128,"00"),".",TEXT(C128,"000"),".",TEXT(D128,"000")),IF(H128="Serviço",CONCATENATE(TEXT(B128,"00"),".",TEXT(C128,"000"),".",TEXT(D128,"000"),".",TEXT(E128,"000")),"")))))</f>
        <v/>
      </c>
      <c r="J128" s="129" t="inlineStr">
        <is>
          <t>Tijolo refratário para churrasqueiras 2,5x11,5x23cm com argamassa</t>
        </is>
      </c>
      <c r="K128" s="130" t="inlineStr">
        <is>
          <t>m2</t>
        </is>
      </c>
      <c r="L128" s="131" t="n">
        <v>61.44</v>
      </c>
      <c r="M128" s="131" t="n">
        <v>226.113125</v>
      </c>
      <c r="N128" s="132">
        <f>IF(H128="Serviço",M128*L128,IF(H128="CÉLULA CONSTRUTIVA",SUMIFS($N$96:$N$938,$B$96:$B$938,B128,$H$96:$H$938,"Serviço"),IF(H128="ETAPA",SUMIFS($N$96:$N$938,$B$96:$B$938,B128,$C$96:$C$938,C128,$H$96:$H$938,"Serviço"),IF(H128="SUBETAPA",SUMIFS($N$96:$N$938,$B$96:$B$938,B128,$C$96:$C$938,C128,$D$96:$D$938,D128,$H$96:$H$938,"Serviço"),0))))</f>
        <v/>
      </c>
      <c r="O128" s="130" t="n"/>
      <c r="P128" s="131" t="n"/>
      <c r="Q128" s="131" t="n"/>
      <c r="R128" s="132" t="n"/>
      <c r="S128" s="133" t="n"/>
    </row>
    <row r="129" outlineLevel="2" ht="13.8" customFormat="1" customHeight="1" s="31">
      <c r="A129" s="217">
        <f>IF($H129="UNIDADE CONSTRUTIVA",OFFSET(A129,-1,0)+1,LARGE(A$3:A127,1))</f>
        <v/>
      </c>
      <c r="B129" s="217">
        <f>IF(H129="UNIDADE CONSTRUTIVA",0,IF(H129="CÉLULA CONSTRUTIVA",OFFSET(B129,-1,0)+1,OFFSET(B129,-1,0)))</f>
        <v/>
      </c>
      <c r="C129" s="217">
        <f>IF(H129="CÉLULA CONSTRUTIVA",0,IF(H129="ETAPA",OFFSET(C129,-1,0)+1,OFFSET(C129,-1,0)))</f>
        <v/>
      </c>
      <c r="D129" s="218">
        <f>IF(H129="ETAPA",0,IF(H129="SUBETAPA",OFFSET(D129,-1,0)+1,OFFSET(D129,-1,0)))</f>
        <v/>
      </c>
      <c r="E129" s="218">
        <f>IF(H129="Subetapa",0,IF(H129="serviço",OFFSET(E129,-1,0)+1,OFFSET(E129,-1,0)))</f>
        <v/>
      </c>
      <c r="G129" s="124" t="inlineStr">
        <is>
          <t>PAREDES E PAINÉIS</t>
        </is>
      </c>
      <c r="H129" s="42" t="inlineStr">
        <is>
          <t>SERVIÇO</t>
        </is>
      </c>
      <c r="I129" s="43">
        <f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/>
      </c>
      <c r="J129" s="48" t="inlineStr">
        <is>
          <t>Encunhamento de alvenaria de vedação com argamassa expansiva</t>
        </is>
      </c>
      <c r="K129" s="45" t="inlineStr">
        <is>
          <t>m</t>
        </is>
      </c>
      <c r="L129" s="46" t="n">
        <v>1866.52</v>
      </c>
      <c r="M129" s="46" t="n">
        <v>14.7875</v>
      </c>
      <c r="N129" s="47">
        <f>IF(H129="Serviço",M129*L129,IF(H129="CÉLULA CONSTRUTIVA",SUMIFS($N$118:$N$438,$B$118:$B$438,B129,$H$118:$H$438,"Serviço"),IF(H129="ETAPA",SUMIFS($N$118:$N$438,$B$118:$B$438,B129,$C$118:$C$438,C129,$H$118:$H$438,"Serviço"),IF(H129="SUBETAPA",SUMIFS($N$118:$N$438,$B$118:$B$438,B129,$C$118:$C$438,C129,$D$118:$D$438,D129,$H$118:$H$438,"Serviço"),0))))</f>
        <v/>
      </c>
      <c r="O129" s="45" t="n"/>
      <c r="P129" s="46" t="n"/>
      <c r="Q129" s="46" t="n"/>
      <c r="R129" s="47" t="n"/>
      <c r="S129" s="123" t="n"/>
      <c r="T129" s="49" t="n"/>
      <c r="U129" s="49" t="n"/>
    </row>
    <row r="130" outlineLevel="2" ht="13.8" customFormat="1" customHeight="1" s="31">
      <c r="A130" s="217">
        <f>IF($H130="UNIDADE CONSTRUTIVA",OFFSET(A130,-1,0)+1,LARGE(A$3:A129,1))</f>
        <v/>
      </c>
      <c r="B130" s="217">
        <f>IF(H130="UNIDADE CONSTRUTIVA",0,IF(H130="CÉLULA CONSTRUTIVA",OFFSET(B130,-1,0)+1,OFFSET(B130,-1,0)))</f>
        <v/>
      </c>
      <c r="C130" s="217">
        <f>IF(H130="CÉLULA CONSTRUTIVA",0,IF(H130="ETAPA",OFFSET(C130,-1,0)+1,OFFSET(C130,-1,0)))</f>
        <v/>
      </c>
      <c r="D130" s="218">
        <f>IF(H130="ETAPA",0,IF(H130="SUBETAPA",OFFSET(D130,-1,0)+1,OFFSET(D130,-1,0)))</f>
        <v/>
      </c>
      <c r="E130" s="218">
        <f>IF(H130="Subetapa",0,IF(H130="serviço",OFFSET(E130,-1,0)+1,OFFSET(E130,-1,0)))</f>
        <v/>
      </c>
      <c r="G130" s="124" t="inlineStr">
        <is>
          <t>PAREDES E PAINÉIS</t>
        </is>
      </c>
      <c r="H130" s="42" t="inlineStr">
        <is>
          <t>SERVIÇO</t>
        </is>
      </c>
      <c r="I130" s="43">
        <f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/>
      </c>
      <c r="J130" s="48" t="inlineStr">
        <is>
          <t>Tela soldada para ligacao alvenaria/estrutura</t>
        </is>
      </c>
      <c r="K130" s="45" t="inlineStr">
        <is>
          <t>un</t>
        </is>
      </c>
      <c r="L130" s="46" t="n">
        <v>2178.16</v>
      </c>
      <c r="M130" s="46" t="n">
        <v>4.1072</v>
      </c>
      <c r="N130" s="47">
        <f>IF(H130="Serviço",M130*L130,IF(H130="CÉLULA CONSTRUTIVA",SUMIFS($N$118:$N$438,$B$118:$B$438,B130,$H$118:$H$438,"Serviço"),IF(H130="ETAPA",SUMIFS($N$118:$N$438,$B$118:$B$438,B130,$C$118:$C$438,C130,$H$118:$H$438,"Serviço"),IF(H130="SUBETAPA",SUMIFS($N$118:$N$438,$B$118:$B$438,B130,$C$118:$C$438,C130,$D$118:$D$438,D130,$H$118:$H$438,"Serviço"),0))))</f>
        <v/>
      </c>
      <c r="O130" s="45" t="n"/>
      <c r="P130" s="46" t="n"/>
      <c r="Q130" s="46" t="n"/>
      <c r="R130" s="47" t="n"/>
      <c r="S130" s="123" t="n"/>
      <c r="T130" s="49" t="n"/>
      <c r="U130" s="49" t="n"/>
      <c r="V130" s="134" t="n"/>
    </row>
    <row r="131" outlineLevel="2" ht="13.8" customFormat="1" customHeight="1" s="31">
      <c r="A131" s="217">
        <f>IF($H131="UNIDADE CONSTRUTIVA",OFFSET(A131,-1,0)+1,LARGE(A$3:A129,1))</f>
        <v/>
      </c>
      <c r="B131" s="217">
        <f>IF(H131="UNIDADE CONSTRUTIVA",0,IF(H131="CÉLULA CONSTRUTIVA",OFFSET(B131,-1,0)+1,OFFSET(B131,-1,0)))</f>
        <v/>
      </c>
      <c r="C131" s="217">
        <f>IF(H131="CÉLULA CONSTRUTIVA",0,IF(H131="ETAPA",OFFSET(C131,-1,0)+1,OFFSET(C131,-1,0)))</f>
        <v/>
      </c>
      <c r="D131" s="218">
        <f>IF(H131="ETAPA",0,IF(H131="SUBETAPA",OFFSET(D131,-1,0)+1,OFFSET(D131,-1,0)))</f>
        <v/>
      </c>
      <c r="E131" s="218">
        <f>IF(H131="Subetapa",0,IF(H131="serviço",OFFSET(E131,-1,0)+1,OFFSET(E131,-1,0)))</f>
        <v/>
      </c>
      <c r="G131" s="124" t="inlineStr">
        <is>
          <t>PAREDES E PAINÉIS</t>
        </is>
      </c>
      <c r="H131" s="42" t="inlineStr">
        <is>
          <t>SERVIÇO</t>
        </is>
      </c>
      <c r="I131" s="43">
        <f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/>
      </c>
      <c r="J131" s="48" t="inlineStr">
        <is>
          <t>Execução de Acabamento Bocas Churrasqueiras em Granito Branco Dallas</t>
        </is>
      </c>
      <c r="K131" s="45" t="inlineStr">
        <is>
          <t>un</t>
        </is>
      </c>
      <c r="L131" s="46" t="n">
        <v>32</v>
      </c>
      <c r="M131" s="46" t="n">
        <v>604.79025</v>
      </c>
      <c r="N131" s="47">
        <f>IF(H131="Serviço",M131*L131,IF(H131="CÉLULA CONSTRUTIVA",SUMIFS($N$118:$N$438,$B$118:$B$438,B131,$H$118:$H$438,"Serviço"),IF(H131="ETAPA",SUMIFS($N$118:$N$438,$B$118:$B$438,B131,$C$118:$C$438,C131,$H$118:$H$438,"Serviço"),IF(H131="SUBETAPA",SUMIFS($N$118:$N$438,$B$118:$B$438,B131,$C$118:$C$438,C131,$D$118:$D$438,D131,$H$118:$H$438,"Serviço"),0))))</f>
        <v/>
      </c>
      <c r="O131" s="45" t="n"/>
      <c r="P131" s="46" t="n"/>
      <c r="Q131" s="46" t="n"/>
      <c r="R131" s="47" t="n"/>
      <c r="S131" s="123" t="n"/>
      <c r="T131" s="49" t="n"/>
      <c r="U131" s="49" t="n"/>
      <c r="V131" s="134" t="n"/>
    </row>
    <row r="132" outlineLevel="2" ht="13.8" customFormat="1" customHeight="1" s="31">
      <c r="A132" s="217">
        <f>IF($H132="UNIDADE CONSTRUTIVA",OFFSET(A132,-1,0)+1,LARGE(A$3:A130,1))</f>
        <v/>
      </c>
      <c r="B132" s="217">
        <f>IF(H132="UNIDADE CONSTRUTIVA",0,IF(H132="CÉLULA CONSTRUTIVA",OFFSET(B132,-1,0)+1,OFFSET(B132,-1,0)))</f>
        <v/>
      </c>
      <c r="C132" s="217">
        <f>IF(H132="CÉLULA CONSTRUTIVA",0,IF(H132="ETAPA",OFFSET(C132,-1,0)+1,OFFSET(C132,-1,0)))</f>
        <v/>
      </c>
      <c r="D132" s="218">
        <f>IF(H132="ETAPA",0,IF(H132="SUBETAPA",OFFSET(D132,-1,0)+1,OFFSET(D132,-1,0)))</f>
        <v/>
      </c>
      <c r="E132" s="218">
        <f>IF(H132="Subetapa",0,IF(H132="serviço",OFFSET(E132,-1,0)+1,OFFSET(E132,-1,0)))</f>
        <v/>
      </c>
      <c r="G132" s="124" t="inlineStr">
        <is>
          <t>PAREDES E PAINÉIS</t>
        </is>
      </c>
      <c r="H132" s="42" t="inlineStr">
        <is>
          <t>SERVIÇO</t>
        </is>
      </c>
      <c r="I132" s="43">
        <f>IF(H132="Unidade Construtiva",TEXT(A132,"00"),IF(H132="Célula Construtiva",TEXT(B132,"00"),IF(H132="Etapa",CONCATENATE(TEXT(B132,"00"),".",TEXT(C132,"000")),IF(H132="Subetapa",CONCATENATE(TEXT(B132,"00"),".",TEXT(C132,"000"),".",TEXT(D132,"000")),IF(H132="Serviço",CONCATENATE(TEXT(B132,"00"),".",TEXT(C132,"000"),".",TEXT(D132,"000"),".",TEXT(E132,"000")),"")))))</f>
        <v/>
      </c>
      <c r="J132" s="48" t="inlineStr">
        <is>
          <t>Verga/contraverga de concreto, moldada in loco</t>
        </is>
      </c>
      <c r="K132" s="45" t="inlineStr">
        <is>
          <t>m</t>
        </is>
      </c>
      <c r="L132" s="46" t="n">
        <v>1098.89</v>
      </c>
      <c r="M132" s="46" t="n">
        <v>80.44292764000001</v>
      </c>
      <c r="N132" s="47">
        <f>IF(H132="Serviço",M132*L132,IF(H132="CÉLULA CONSTRUTIVA",SUMIFS($N$118:$N$438,$B$118:$B$438,B132,$H$118:$H$438,"Serviço"),IF(H132="ETAPA",SUMIFS($N$118:$N$438,$B$118:$B$438,B132,$C$118:$C$438,C132,$H$118:$H$438,"Serviço"),IF(H132="SUBETAPA",SUMIFS($N$118:$N$438,$B$118:$B$438,B132,$C$118:$C$438,C132,$D$118:$D$438,D132,$H$118:$H$438,"Serviço"),0))))</f>
        <v/>
      </c>
      <c r="O132" s="45" t="n"/>
      <c r="P132" s="46" t="n"/>
      <c r="Q132" s="46" t="n"/>
      <c r="R132" s="47" t="n"/>
      <c r="S132" s="123" t="n"/>
      <c r="T132" s="49" t="n"/>
      <c r="U132" s="49" t="n"/>
      <c r="V132" s="134" t="n"/>
    </row>
    <row r="133" outlineLevel="1" ht="13.8" customFormat="1" customHeight="1" s="31">
      <c r="A133" s="217">
        <f>IF($H133="UNIDADE CONSTRUTIVA",OFFSET(A133,-1,0)+1,LARGE(A$3:A132,1))</f>
        <v/>
      </c>
      <c r="B133" s="217">
        <f>IF(H133="UNIDADE CONSTRUTIVA",0,IF(H133="CÉLULA CONSTRUTIVA",OFFSET(B133,-1,0)+1,OFFSET(B133,-1,0)))</f>
        <v/>
      </c>
      <c r="C133" s="217">
        <f>IF(H133="CÉLULA CONSTRUTIVA",0,IF(H133="ETAPA",OFFSET(C133,-1,0)+1,OFFSET(C133,-1,0)))</f>
        <v/>
      </c>
      <c r="D133" s="218">
        <f>IF(H133="ETAPA",0,IF(H133="SUBETAPA",OFFSET(D133,-1,0)+1,OFFSET(D133,-1,0)))</f>
        <v/>
      </c>
      <c r="E133" s="218">
        <f>IF(H133="Subetapa",0,IF(H133="serviço",OFFSET(E133,-1,0)+1,OFFSET(E133,-1,0)))</f>
        <v/>
      </c>
      <c r="G133" s="124" t="n"/>
      <c r="H133" s="42" t="inlineStr">
        <is>
          <t>SUBETAPA</t>
        </is>
      </c>
      <c r="I133" s="43">
        <f>IF(H133="Unidade Construtiva",TEXT(A133,"00"),IF(H133="Célula Construtiva",TEXT(B133,"00"),IF(H133="Etapa",CONCATENATE(TEXT(B133,"00"),".",TEXT(C133,"000")),IF(H133="Subetapa",CONCATENATE(TEXT(B133,"00"),".",TEXT(C133,"000"),".",TEXT(D133,"000")),IF(H133="Serviço",CONCATENATE(TEXT(B133,"00"),".",TEXT(C133,"000"),".",TEXT(D133,"000"),".",TEXT(E133,"000")),"")))))</f>
        <v/>
      </c>
      <c r="J133" s="48" t="inlineStr">
        <is>
          <t>Drywall</t>
        </is>
      </c>
      <c r="K133" s="45" t="n"/>
      <c r="L133" s="46" t="n"/>
      <c r="M133" s="46" t="n"/>
      <c r="N133" s="47">
        <f>IF(H133="Serviço",M133*L133,IF(H133="CÉLULA CONSTRUTIVA",SUMIFS($N$118:$N$438,$B$118:$B$438,B133,$H$118:$H$438,"Serviço"),IF(H133="ETAPA",SUMIFS($N$118:$N$438,$B$118:$B$438,B133,$C$118:$C$438,C133,$H$118:$H$438,"Serviço"),IF(H133="SUBETAPA",SUMIFS($N$118:$N$438,$B$118:$B$438,B133,$C$118:$C$438,C133,$D$118:$D$438,D133,$H$118:$H$438,"Serviço"),0))))</f>
        <v/>
      </c>
      <c r="O133" s="45" t="n"/>
      <c r="P133" s="46" t="n"/>
      <c r="Q133" s="46" t="n"/>
      <c r="R133" s="47" t="n"/>
      <c r="S133" s="123" t="n"/>
      <c r="T133" s="49" t="n"/>
      <c r="U133" s="49" t="n"/>
    </row>
    <row r="134" outlineLevel="2" ht="13.8" customFormat="1" customHeight="1" s="31">
      <c r="A134" s="217">
        <f>IF($H134="UNIDADE CONSTRUTIVA",OFFSET(A134,-1,0)+1,LARGE(A$3:A133,1))</f>
        <v/>
      </c>
      <c r="B134" s="217">
        <f>IF(H134="UNIDADE CONSTRUTIVA",0,IF(H134="CÉLULA CONSTRUTIVA",OFFSET(B134,-1,0)+1,OFFSET(B134,-1,0)))</f>
        <v/>
      </c>
      <c r="C134" s="217">
        <f>IF(H134="CÉLULA CONSTRUTIVA",0,IF(H134="ETAPA",OFFSET(C134,-1,0)+1,OFFSET(C134,-1,0)))</f>
        <v/>
      </c>
      <c r="D134" s="218">
        <f>IF(H134="ETAPA",0,IF(H134="SUBETAPA",OFFSET(D134,-1,0)+1,OFFSET(D134,-1,0)))</f>
        <v/>
      </c>
      <c r="E134" s="218">
        <f>IF(H134="Subetapa",0,IF(H134="serviço",OFFSET(E134,-1,0)+1,OFFSET(E134,-1,0)))</f>
        <v/>
      </c>
      <c r="G134" s="124" t="inlineStr">
        <is>
          <t>PAREDES E PAINÉIS</t>
        </is>
      </c>
      <c r="H134" s="42" t="inlineStr">
        <is>
          <t>SERVIÇO</t>
        </is>
      </c>
      <c r="I134" s="43">
        <f>IF(H134="Unidade Construtiva",TEXT(A134,"00"),IF(H134="Célula Construtiva",TEXT(B134,"00"),IF(H134="Etapa",CONCATENATE(TEXT(B134,"00"),".",TEXT(C134,"000")),IF(H134="Subetapa",CONCATENATE(TEXT(B134,"00"),".",TEXT(C134,"000"),".",TEXT(D134,"000")),IF(H134="Serviço",CONCATENATE(TEXT(B134,"00"),".",TEXT(C134,"000"),".",TEXT(D134,"000"),".",TEXT(E134,"000")),"")))))</f>
        <v/>
      </c>
      <c r="J134" s="48" t="inlineStr">
        <is>
          <t>Parede Com Sistema Em Chapas De Gesso Para Drywall, Uso Interno, Montante 70mm, Com Uma Face Resistente a Umidade(RU/70)</t>
        </is>
      </c>
      <c r="K134" s="45" t="inlineStr">
        <is>
          <t>m2</t>
        </is>
      </c>
      <c r="L134" s="46" t="n">
        <v>178.49</v>
      </c>
      <c r="M134" s="46" t="n">
        <v>133.649404</v>
      </c>
      <c r="N134" s="47">
        <f>IF(H134="Serviço",M134*L134,IF(H134="CÉLULA CONSTRUTIVA",SUMIFS($N$118:$N$438,$B$118:$B$438,B134,$H$118:$H$438,"Serviço"),IF(H134="ETAPA",SUMIFS($N$118:$N$438,$B$118:$B$438,B134,$C$118:$C$438,C134,$H$118:$H$438,"Serviço"),IF(H134="SUBETAPA",SUMIFS($N$118:$N$438,$B$118:$B$438,B134,$C$118:$C$438,C134,$D$118:$D$438,D134,$H$118:$H$438,"Serviço"),0))))</f>
        <v/>
      </c>
      <c r="O134" s="45" t="n"/>
      <c r="P134" s="46" t="n"/>
      <c r="Q134" s="46" t="n"/>
      <c r="R134" s="47" t="n"/>
      <c r="S134" s="123" t="n"/>
      <c r="T134" s="49" t="n"/>
      <c r="U134" s="49" t="n"/>
    </row>
    <row r="135" outlineLevel="2" ht="13.8" customFormat="1" customHeight="1" s="31">
      <c r="A135" s="217">
        <f>IF($H135="UNIDADE CONSTRUTIVA",OFFSET(A135,-1,0)+1,LARGE(A$3:A134,1))</f>
        <v/>
      </c>
      <c r="B135" s="217">
        <f>IF(H135="UNIDADE CONSTRUTIVA",0,IF(H135="CÉLULA CONSTRUTIVA",OFFSET(B135,-1,0)+1,OFFSET(B135,-1,0)))</f>
        <v/>
      </c>
      <c r="C135" s="217">
        <f>IF(H135="CÉLULA CONSTRUTIVA",0,IF(H135="ETAPA",OFFSET(C135,-1,0)+1,OFFSET(C135,-1,0)))</f>
        <v/>
      </c>
      <c r="D135" s="218">
        <f>IF(H135="ETAPA",0,IF(H135="SUBETAPA",OFFSET(D135,-1,0)+1,OFFSET(D135,-1,0)))</f>
        <v/>
      </c>
      <c r="E135" s="218">
        <f>IF(H135="Subetapa",0,IF(H135="serviço",OFFSET(E135,-1,0)+1,OFFSET(E135,-1,0)))</f>
        <v/>
      </c>
      <c r="G135" s="124" t="inlineStr">
        <is>
          <t>PAREDES E PAINÉIS</t>
        </is>
      </c>
      <c r="H135" s="42" t="inlineStr">
        <is>
          <t>SERVIÇO</t>
        </is>
      </c>
      <c r="I135" s="43">
        <f>IF(H135="Unidade Construtiva",TEXT(A135,"00"),IF(H135="Célula Construtiva",TEXT(B135,"00"),IF(H135="Etapa",CONCATENATE(TEXT(B135,"00"),".",TEXT(C135,"000")),IF(H135="Subetapa",CONCATENATE(TEXT(B135,"00"),".",TEXT(C135,"000"),".",TEXT(D135,"000")),IF(H135="Serviço",CONCATENATE(TEXT(B135,"00"),".",TEXT(C135,"000"),".",TEXT(D135,"000"),".",TEXT(E135,"000")),"")))))</f>
        <v/>
      </c>
      <c r="J135" s="48" t="inlineStr">
        <is>
          <t>Parede Com Sistema Em Chapas De Gesso Para Drywall, Uso Interno, Montante 70mm, Com Duas Face Simples Standart (ST/70/ST)</t>
        </is>
      </c>
      <c r="K135" s="45" t="inlineStr">
        <is>
          <t>m2</t>
        </is>
      </c>
      <c r="L135" s="46" t="n">
        <v>1976.15</v>
      </c>
      <c r="M135" s="46" t="n">
        <v>161.226735</v>
      </c>
      <c r="N135" s="47">
        <f>IF(H135="Serviço",M135*L135,IF(H135="CÉLULA CONSTRUTIVA",SUMIFS($N$118:$N$438,$B$118:$B$438,B135,$H$118:$H$438,"Serviço"),IF(H135="ETAPA",SUMIFS($N$118:$N$438,$B$118:$B$438,B135,$C$118:$C$438,C135,$H$118:$H$438,"Serviço"),IF(H135="SUBETAPA",SUMIFS($N$118:$N$438,$B$118:$B$438,B135,$C$118:$C$438,C135,$D$118:$D$438,D135,$H$118:$H$438,"Serviço"),0))))</f>
        <v/>
      </c>
      <c r="O135" s="45" t="n"/>
      <c r="P135" s="46" t="n"/>
      <c r="Q135" s="46" t="n"/>
      <c r="R135" s="47" t="n"/>
      <c r="S135" s="123" t="n"/>
      <c r="T135" s="49" t="n"/>
      <c r="U135" s="49" t="n"/>
      <c r="V135" s="134" t="n"/>
    </row>
    <row r="136" outlineLevel="2" ht="13.8" customFormat="1" customHeight="1" s="31">
      <c r="A136" s="217">
        <f>IF($H136="UNIDADE CONSTRUTIVA",OFFSET(A136,-1,0)+1,LARGE(A$3:A132,1))</f>
        <v/>
      </c>
      <c r="B136" s="217">
        <f>IF(H136="UNIDADE CONSTRUTIVA",0,IF(H136="CÉLULA CONSTRUTIVA",OFFSET(B136,-1,0)+1,OFFSET(B136,-1,0)))</f>
        <v/>
      </c>
      <c r="C136" s="217">
        <f>IF(H136="CÉLULA CONSTRUTIVA",0,IF(H136="ETAPA",OFFSET(C136,-1,0)+1,OFFSET(C136,-1,0)))</f>
        <v/>
      </c>
      <c r="D136" s="218">
        <f>IF(H136="ETAPA",0,IF(H136="SUBETAPA",OFFSET(D136,-1,0)+1,OFFSET(D136,-1,0)))</f>
        <v/>
      </c>
      <c r="E136" s="218">
        <f>IF(H136="Subetapa",0,IF(H136="serviço",OFFSET(E136,-1,0)+1,OFFSET(E136,-1,0)))</f>
        <v/>
      </c>
      <c r="G136" s="124" t="inlineStr">
        <is>
          <t>PAREDES E PAINÉIS</t>
        </is>
      </c>
      <c r="H136" s="42" t="inlineStr">
        <is>
          <t>SERVIÇO</t>
        </is>
      </c>
      <c r="I136" s="43">
        <f>IF(H136="Unidade Construtiva",TEXT(A136,"00"),IF(H136="Célula Construtiva",TEXT(B136,"00"),IF(H136="Etapa",CONCATENATE(TEXT(B136,"00"),".",TEXT(C136,"000")),IF(H136="Subetapa",CONCATENATE(TEXT(B136,"00"),".",TEXT(C136,"000"),".",TEXT(D136,"000")),IF(H136="Serviço",CONCATENATE(TEXT(B136,"00"),".",TEXT(C136,"000"),".",TEXT(D136,"000"),".",TEXT(E136,"000")),"")))))</f>
        <v/>
      </c>
      <c r="J136" s="48" t="inlineStr">
        <is>
          <t>Parede Com Sistema Em Chapas De Gesso Para Drywall, Uso Interno, Montante 70mm, Com Duas Face Resistente a Umidade(RU/70/RU)</t>
        </is>
      </c>
      <c r="K136" s="45" t="inlineStr">
        <is>
          <t>m2</t>
        </is>
      </c>
      <c r="L136" s="46" t="n">
        <v>15.56</v>
      </c>
      <c r="M136" s="46" t="n">
        <v>197.197215</v>
      </c>
      <c r="N136" s="47">
        <f>IF(H136="Serviço",M136*L136,IF(H136="CÉLULA CONSTRUTIVA",SUMIFS($N$118:$N$438,$B$118:$B$438,B136,$H$118:$H$438,"Serviço"),IF(H136="ETAPA",SUMIFS($N$118:$N$438,$B$118:$B$438,B136,$C$118:$C$438,C136,$H$118:$H$438,"Serviço"),IF(H136="SUBETAPA",SUMIFS($N$118:$N$438,$B$118:$B$438,B136,$C$118:$C$438,C136,$D$118:$D$438,D136,$H$118:$H$438,"Serviço"),0))))</f>
        <v/>
      </c>
      <c r="O136" s="45" t="n"/>
      <c r="P136" s="46" t="n"/>
      <c r="Q136" s="46" t="n"/>
      <c r="R136" s="47" t="n"/>
      <c r="S136" s="123" t="n"/>
      <c r="T136" s="49" t="n"/>
      <c r="U136" s="49" t="n"/>
      <c r="V136" s="134" t="n"/>
    </row>
    <row r="137" outlineLevel="2" ht="13.8" customFormat="1" customHeight="1" s="31">
      <c r="A137" s="217">
        <f>IF($H137="UNIDADE CONSTRUTIVA",OFFSET(A137,-1,0)+1,LARGE(A$3:A134,1))</f>
        <v/>
      </c>
      <c r="B137" s="217">
        <f>IF(H137="UNIDADE CONSTRUTIVA",0,IF(H137="CÉLULA CONSTRUTIVA",OFFSET(B137,-1,0)+1,OFFSET(B137,-1,0)))</f>
        <v/>
      </c>
      <c r="C137" s="217">
        <f>IF(H137="CÉLULA CONSTRUTIVA",0,IF(H137="ETAPA",OFFSET(C137,-1,0)+1,OFFSET(C137,-1,0)))</f>
        <v/>
      </c>
      <c r="D137" s="218">
        <f>IF(H137="ETAPA",0,IF(H137="SUBETAPA",OFFSET(D137,-1,0)+1,OFFSET(D137,-1,0)))</f>
        <v/>
      </c>
      <c r="E137" s="218">
        <f>IF(H137="Subetapa",0,IF(H137="serviço",OFFSET(E137,-1,0)+1,OFFSET(E137,-1,0)))</f>
        <v/>
      </c>
      <c r="G137" s="124" t="inlineStr">
        <is>
          <t>PAREDES E PAINÉIS</t>
        </is>
      </c>
      <c r="H137" s="42" t="inlineStr">
        <is>
          <t>SERVIÇO</t>
        </is>
      </c>
      <c r="I137" s="43">
        <f>IF(H137="Unidade Construtiva",TEXT(A137,"00"),IF(H137="Célula Construtiva",TEXT(B137,"00"),IF(H137="Etapa",CONCATENATE(TEXT(B137,"00"),".",TEXT(C137,"000")),IF(H137="Subetapa",CONCATENATE(TEXT(B137,"00"),".",TEXT(C137,"000"),".",TEXT(D137,"000")),IF(H137="Serviço",CONCATENATE(TEXT(B137,"00"),".",TEXT(C137,"000"),".",TEXT(D137,"000"),".",TEXT(E137,"000")),"")))))</f>
        <v/>
      </c>
      <c r="J137" s="48" t="inlineStr">
        <is>
          <t>Parede Com Sistema Em Chapas De Gesso Para Drywall, Uso Interno, Montante 70mm, Com Uma Face Standart e Uma Face Resistente a Umidade(RU/70/ST)</t>
        </is>
      </c>
      <c r="K137" s="45" t="inlineStr">
        <is>
          <t>m2</t>
        </is>
      </c>
      <c r="L137" s="46" t="n">
        <v>993.26</v>
      </c>
      <c r="M137" s="46" t="n">
        <v>179.211975</v>
      </c>
      <c r="N137" s="47">
        <f>IF(H137="Serviço",M137*L137,IF(H137="CÉLULA CONSTRUTIVA",SUMIFS($N$118:$N$438,$B$118:$B$438,B137,$H$118:$H$438,"Serviço"),IF(H137="ETAPA",SUMIFS($N$118:$N$438,$B$118:$B$438,B137,$C$118:$C$438,C137,$H$118:$H$438,"Serviço"),IF(H137="SUBETAPA",SUMIFS($N$118:$N$438,$B$118:$B$438,B137,$C$118:$C$438,C137,$D$118:$D$438,D137,$H$118:$H$438,"Serviço"),0))))</f>
        <v/>
      </c>
      <c r="O137" s="45" t="n"/>
      <c r="P137" s="46" t="n"/>
      <c r="Q137" s="46" t="n"/>
      <c r="R137" s="47" t="n"/>
      <c r="S137" s="123" t="n"/>
      <c r="T137" s="49" t="n"/>
      <c r="U137" s="49" t="n"/>
      <c r="V137" s="134" t="n"/>
    </row>
    <row r="138" outlineLevel="1" ht="13.8" customFormat="1" customHeight="1" s="31">
      <c r="A138" s="217">
        <f>IF($H138="UNIDADE CONSTRUTIVA",OFFSET(A138,-1,0)+1,LARGE(A$3:A134,1))</f>
        <v/>
      </c>
      <c r="B138" s="217">
        <f>IF(H138="UNIDADE CONSTRUTIVA",0,IF(H138="CÉLULA CONSTRUTIVA",OFFSET(B138,-1,0)+1,OFFSET(B138,-1,0)))</f>
        <v/>
      </c>
      <c r="C138" s="217">
        <f>IF(H138="CÉLULA CONSTRUTIVA",0,IF(H138="ETAPA",OFFSET(C138,-1,0)+1,OFFSET(C138,-1,0)))</f>
        <v/>
      </c>
      <c r="D138" s="218">
        <f>IF(H138="ETAPA",0,IF(H138="SUBETAPA",OFFSET(D138,-1,0)+1,OFFSET(D138,-1,0)))</f>
        <v/>
      </c>
      <c r="E138" s="218">
        <f>IF(H138="Subetapa",0,IF(H138="serviço",OFFSET(E138,-1,0)+1,OFFSET(E138,-1,0)))</f>
        <v/>
      </c>
      <c r="G138" s="124" t="n"/>
      <c r="H138" s="42" t="inlineStr">
        <is>
          <t>SUBETAPA</t>
        </is>
      </c>
      <c r="I138" s="43">
        <f>IF(H138="Unidade Construtiva",TEXT(A138,"00"),IF(H138="Célula Construtiva",TEXT(B138,"00"),IF(H138="Etapa",CONCATENATE(TEXT(B138,"00"),".",TEXT(C138,"000")),IF(H138="Subetapa",CONCATENATE(TEXT(B138,"00"),".",TEXT(C138,"000"),".",TEXT(D138,"000")),IF(H138="Serviço",CONCATENATE(TEXT(B138,"00"),".",TEXT(C138,"000"),".",TEXT(D138,"000"),".",TEXT(E138,"000")),"")))))</f>
        <v/>
      </c>
      <c r="J138" s="48" t="inlineStr">
        <is>
          <t>Mão de obra</t>
        </is>
      </c>
      <c r="K138" s="45" t="n"/>
      <c r="L138" s="46" t="n"/>
      <c r="M138" s="46" t="n"/>
      <c r="N138" s="47">
        <f>IF(H138="Serviço",M138*L138,IF(H138="CÉLULA CONSTRUTIVA",SUMIFS($N$118:$N$438,$B$118:$B$438,B138,$H$118:$H$438,"Serviço"),IF(H138="ETAPA",SUMIFS($N$118:$N$438,$B$118:$B$438,B138,$C$118:$C$438,C138,$H$118:$H$438,"Serviço"),IF(H138="SUBETAPA",SUMIFS($N$118:$N$438,$B$118:$B$438,B138,$C$118:$C$438,C138,$D$118:$D$438,D138,$H$118:$H$438,"Serviço"),0))))</f>
        <v/>
      </c>
      <c r="O138" s="45" t="n"/>
      <c r="P138" s="46" t="n"/>
      <c r="Q138" s="46" t="n"/>
      <c r="R138" s="216" t="inlineStr">
        <is>
          <t>19.001.005.001 - Mão de obra para telhamento</t>
        </is>
      </c>
      <c r="S138" s="123" t="n"/>
      <c r="T138" s="49" t="n"/>
      <c r="U138" s="49" t="n"/>
      <c r="V138" s="134" t="n"/>
    </row>
    <row r="139" outlineLevel="2" ht="13.8" customFormat="1" customHeight="1" s="31">
      <c r="A139" s="217">
        <f>IF($H139="UNIDADE CONSTRUTIVA",OFFSET(A139,-1,0)+1,LARGE(A$3:A138,1))</f>
        <v/>
      </c>
      <c r="B139" s="217">
        <f>IF(H139="UNIDADE CONSTRUTIVA",0,IF(H139="CÉLULA CONSTRUTIVA",OFFSET(B139,-1,0)+1,OFFSET(B139,-1,0)))</f>
        <v/>
      </c>
      <c r="C139" s="217">
        <f>IF(H139="CÉLULA CONSTRUTIVA",0,IF(H139="ETAPA",OFFSET(C139,-1,0)+1,OFFSET(C139,-1,0)))</f>
        <v/>
      </c>
      <c r="D139" s="218">
        <f>IF(H139="ETAPA",0,IF(H139="SUBETAPA",OFFSET(D139,-1,0)+1,OFFSET(D139,-1,0)))</f>
        <v/>
      </c>
      <c r="E139" s="218">
        <f>IF(H139="Subetapa",0,IF(H139="serviço",OFFSET(E139,-1,0)+1,OFFSET(E139,-1,0)))</f>
        <v/>
      </c>
      <c r="G139" s="124" t="inlineStr">
        <is>
          <t>PAREDES E PAINÉIS</t>
        </is>
      </c>
      <c r="H139" s="42" t="inlineStr">
        <is>
          <t>SERVIÇO</t>
        </is>
      </c>
      <c r="I139" s="43">
        <f>IF(H139="Unidade Construtiva",TEXT(A139,"00"),IF(H139="Célula Construtiva",TEXT(B139,"00"),IF(H139="Etapa",CONCATENATE(TEXT(B139,"00"),".",TEXT(C139,"000")),IF(H139="Subetapa",CONCATENATE(TEXT(B139,"00"),".",TEXT(C139,"000"),".",TEXT(D139,"000")),IF(H139="Serviço",CONCATENATE(TEXT(B139,"00"),".",TEXT(C139,"000"),".",TEXT(D139,"000"),".",TEXT(E139,"000")),"")))))</f>
        <v/>
      </c>
      <c r="J139" s="48" t="inlineStr">
        <is>
          <t>Mão de obra para assentamento de blocos cerâmicos/concreto</t>
        </is>
      </c>
      <c r="K139" s="45" t="inlineStr">
        <is>
          <t>m2</t>
        </is>
      </c>
      <c r="L139" s="46" t="n">
        <v>4537.84</v>
      </c>
      <c r="M139" s="46" t="n">
        <v>48</v>
      </c>
      <c r="N139" s="47">
        <f>IF(H139="Serviço",M139*L139,IF(H139="CÉLULA CONSTRUTIVA",SUMIFS($N$118:$N$438,$B$118:$B$438,B139,$H$118:$H$438,"Serviço"),IF(H139="ETAPA",SUMIFS($N$118:$N$438,$B$118:$B$438,B139,$C$118:$C$438,C139,$H$118:$H$438,"Serviço"),IF(H139="SUBETAPA",SUMIFS($N$118:$N$438,$B$118:$B$438,B139,$C$118:$C$438,C139,$D$118:$D$438,D139,$H$118:$H$438,"Serviço"),0))))</f>
        <v/>
      </c>
      <c r="O139" s="45" t="n"/>
      <c r="P139" s="46" t="n"/>
      <c r="Q139" s="46" t="n"/>
      <c r="R139" s="47" t="n"/>
      <c r="S139" s="123" t="n"/>
      <c r="T139" s="49" t="n"/>
      <c r="U139" s="49" t="n"/>
      <c r="V139" s="134" t="n"/>
    </row>
    <row r="140" ht="13.8" customFormat="1" customHeight="1" s="31">
      <c r="A140" s="217">
        <f>IF($H140="UNIDADE CONSTRUTIVA",OFFSET(A140,-1,0)+1,LARGE(A$3:A139,1))</f>
        <v/>
      </c>
      <c r="B140" s="217">
        <f>IF(H140="UNIDADE CONSTRUTIVA",0,IF(H140="CÉLULA CONSTRUTIVA",OFFSET(B140,-1,0)+1,OFFSET(B140,-1,0)))</f>
        <v/>
      </c>
      <c r="C140" s="217">
        <f>IF(H140="CÉLULA CONSTRUTIVA",0,IF(H140="ETAPA",OFFSET(C140,-1,0)+1,OFFSET(C140,-1,0)))</f>
        <v/>
      </c>
      <c r="D140" s="218">
        <f>IF(H140="ETAPA",0,IF(H140="SUBETAPA",OFFSET(D140,-1,0)+1,OFFSET(D140,-1,0)))</f>
        <v/>
      </c>
      <c r="E140" s="218">
        <f>IF(H140="Subetapa",0,IF(H140="serviço",OFFSET(E140,-1,0)+1,OFFSET(E140,-1,0)))</f>
        <v/>
      </c>
      <c r="G140" s="124" t="n"/>
      <c r="H140" s="42" t="inlineStr">
        <is>
          <t>CÉLULA CONSTRUTIVA</t>
        </is>
      </c>
      <c r="I140" s="43">
        <f>IF(H140="Unidade Construtiva",TEXT(A140,"00"),IF(H140="Célula Construtiva",TEXT(B140,"00"),IF(H140="Etapa",CONCATENATE(TEXT(B140,"00"),".",TEXT(C140,"000")),IF(H140="Subetapa",CONCATENATE(TEXT(B140,"00"),".",TEXT(C140,"000"),".",TEXT(D140,"000")),IF(H140="Serviço",CONCATENATE(TEXT(B140,"00"),".",TEXT(C140,"000"),".",TEXT(D140,"000"),".",TEXT(E140,"000")),"")))))</f>
        <v/>
      </c>
      <c r="J140" s="48" t="inlineStr">
        <is>
          <t>IMPERMEABILIZAÇÃO E TRATAMENTOS</t>
        </is>
      </c>
      <c r="K140" s="45" t="n"/>
      <c r="L140" s="46" t="n"/>
      <c r="M140" s="46" t="n"/>
      <c r="N140" s="47">
        <f>IF(H140="Serviço",M140*L140,IF(H140="CÉLULA CONSTRUTIVA",SUMIFS($N$118:$N$438,$B$118:$B$438,B140,$H$118:$H$438,"Serviço"),IF(H140="ETAPA",SUMIFS($N$118:$N$438,$B$118:$B$438,B140,$C$118:$C$438,C140,$H$118:$H$438,"Serviço"),IF(H140="SUBETAPA",SUMIFS($N$118:$N$438,$B$118:$B$438,B140,$C$118:$C$438,C140,$D$118:$D$438,D140,$H$118:$H$438,"Serviço"),0))))</f>
        <v/>
      </c>
      <c r="O140" s="45" t="n"/>
      <c r="P140" s="46" t="n"/>
      <c r="Q140" s="46" t="n"/>
      <c r="R140" s="47" t="n"/>
      <c r="S140" s="123" t="n"/>
      <c r="T140" s="215" t="n"/>
      <c r="U140" s="49" t="n"/>
      <c r="V140" s="134" t="n"/>
    </row>
    <row r="141" outlineLevel="1" ht="13.8" customFormat="1" customHeight="1" s="31">
      <c r="A141" s="217">
        <f>IF($H141="UNIDADE CONSTRUTIVA",OFFSET(A141,-1,0)+1,LARGE(A$3:A140,1))</f>
        <v/>
      </c>
      <c r="B141" s="217">
        <f>IF(H141="UNIDADE CONSTRUTIVA",0,IF(H141="CÉLULA CONSTRUTIVA",OFFSET(B141,-1,0)+1,OFFSET(B141,-1,0)))</f>
        <v/>
      </c>
      <c r="C141" s="217">
        <f>IF(H141="CÉLULA CONSTRUTIVA",0,IF(H141="ETAPA",OFFSET(C141,-1,0)+1,OFFSET(C141,-1,0)))</f>
        <v/>
      </c>
      <c r="D141" s="218">
        <f>IF(H141="ETAPA",0,IF(H141="SUBETAPA",OFFSET(D141,-1,0)+1,OFFSET(D141,-1,0)))</f>
        <v/>
      </c>
      <c r="E141" s="218">
        <f>IF(H141="Subetapa",0,IF(H141="serviço",OFFSET(E141,-1,0)+1,OFFSET(E141,-1,0)))</f>
        <v/>
      </c>
      <c r="G141" s="124" t="n"/>
      <c r="H141" s="42" t="inlineStr">
        <is>
          <t>ETAPA</t>
        </is>
      </c>
      <c r="I141" s="43">
        <f>IF(H141="Unidade Construtiva",TEXT(A141,"00"),IF(H141="Célula Construtiva",TEXT(B141,"00"),IF(H141="Etapa",CONCATENATE(TEXT(B141,"00"),".",TEXT(C141,"000")),IF(H141="Subetapa",CONCATENATE(TEXT(B141,"00"),".",TEXT(C141,"000"),".",TEXT(D141,"000")),IF(H141="Serviço",CONCATENATE(TEXT(B141,"00"),".",TEXT(C141,"000"),".",TEXT(D141,"000"),".",TEXT(E141,"000")),"")))))</f>
        <v/>
      </c>
      <c r="J141" s="48" t="inlineStr">
        <is>
          <t>IMPERMEABILIZAÇÃO E TRATAMENTOS</t>
        </is>
      </c>
      <c r="K141" s="45" t="n"/>
      <c r="L141" s="46" t="n"/>
      <c r="M141" s="46" t="n"/>
      <c r="N141" s="47">
        <f>IF(H141="Serviço",M141*L141,IF(H141="CÉLULA CONSTRUTIVA",SUMIFS($N$118:$N$438,$B$118:$B$438,B141,$H$118:$H$438,"Serviço"),IF(H141="ETAPA",SUMIFS($N$118:$N$438,$B$118:$B$438,B141,$C$118:$C$438,C141,$H$118:$H$438,"Serviço"),IF(H141="SUBETAPA",SUMIFS($N$118:$N$438,$B$118:$B$438,B141,$C$118:$C$438,C141,$D$118:$D$438,D141,$H$118:$H$438,"Serviço"),0))))</f>
        <v/>
      </c>
      <c r="O141" s="45" t="n"/>
      <c r="P141" s="46" t="n"/>
      <c r="Q141" s="46" t="n"/>
      <c r="R141" s="47" t="n"/>
      <c r="S141" s="123" t="n"/>
      <c r="U141" s="49" t="n"/>
      <c r="V141" s="134" t="n"/>
    </row>
    <row r="142" outlineLevel="2" ht="13.8" customFormat="1" customHeight="1" s="31">
      <c r="A142" s="217">
        <f>IF($H142="UNIDADE CONSTRUTIVA",OFFSET(A142,-1,0)+1,LARGE(A$3:A141,1))</f>
        <v/>
      </c>
      <c r="B142" s="217">
        <f>IF(H142="UNIDADE CONSTRUTIVA",0,IF(H142="CÉLULA CONSTRUTIVA",OFFSET(B142,-1,0)+1,OFFSET(B142,-1,0)))</f>
        <v/>
      </c>
      <c r="C142" s="217">
        <f>IF(H142="CÉLULA CONSTRUTIVA",0,IF(H142="ETAPA",OFFSET(C142,-1,0)+1,OFFSET(C142,-1,0)))</f>
        <v/>
      </c>
      <c r="D142" s="218">
        <f>IF(H142="ETAPA",0,IF(H142="SUBETAPA",OFFSET(D142,-1,0)+1,OFFSET(D142,-1,0)))</f>
        <v/>
      </c>
      <c r="E142" s="218">
        <f>IF(H142="Subetapa",0,IF(H142="serviço",OFFSET(E142,-1,0)+1,OFFSET(E142,-1,0)))</f>
        <v/>
      </c>
      <c r="G142" s="124" t="n"/>
      <c r="H142" s="42" t="inlineStr">
        <is>
          <t>SUBETAPA</t>
        </is>
      </c>
      <c r="I142" s="43">
        <f>IF(H142="Unidade Construtiva",TEXT(A142,"00"),IF(H142="Célula Construtiva",TEXT(B142,"00"),IF(H142="Etapa",CONCATENATE(TEXT(B142,"00"),".",TEXT(C142,"000")),IF(H142="Subetapa",CONCATENATE(TEXT(B142,"00"),".",TEXT(C142,"000"),".",TEXT(D142,"000")),IF(H142="Serviço",CONCATENATE(TEXT(B142,"00"),".",TEXT(C142,"000"),".",TEXT(D142,"000"),".",TEXT(E142,"000")),"")))))</f>
        <v/>
      </c>
      <c r="J142" s="48" t="inlineStr">
        <is>
          <t>Regularização e proteção mecânica</t>
        </is>
      </c>
      <c r="K142" s="45" t="n"/>
      <c r="L142" s="46" t="n"/>
      <c r="M142" s="46" t="n"/>
      <c r="N142" s="47">
        <f>IF(H142="Serviço",M142*L142,IF(H142="CÉLULA CONSTRUTIVA",SUMIFS($N$118:$N$438,$B$118:$B$438,B142,$H$118:$H$438,"Serviço"),IF(H142="ETAPA",SUMIFS($N$118:$N$438,$B$118:$B$438,B142,$C$118:$C$438,C142,$H$118:$H$438,"Serviço"),IF(H142="SUBETAPA",SUMIFS($N$118:$N$438,$B$118:$B$438,B142,$C$118:$C$438,C142,$D$118:$D$438,D142,$H$118:$H$438,"Serviço"),0))))</f>
        <v/>
      </c>
      <c r="O142" s="45" t="n"/>
      <c r="P142" s="46" t="n"/>
      <c r="Q142" s="46" t="n"/>
      <c r="R142" s="216" t="inlineStr">
        <is>
          <t>05.001.010.002 - Mão de obra para proteção mecânica</t>
        </is>
      </c>
      <c r="S142" s="123" t="n"/>
      <c r="U142" s="49" t="n"/>
      <c r="V142" s="134" t="n"/>
    </row>
    <row r="143" outlineLevel="2" ht="13.8" customFormat="1" customHeight="1" s="31">
      <c r="A143" s="217">
        <f>IF($H143="UNIDADE CONSTRUTIVA",OFFSET(A143,-1,0)+1,LARGE(A$3:A142,1))</f>
        <v/>
      </c>
      <c r="B143" s="217">
        <f>IF(H143="UNIDADE CONSTRUTIVA",0,IF(H143="CÉLULA CONSTRUTIVA",OFFSET(B143,-1,0)+1,OFFSET(B143,-1,0)))</f>
        <v/>
      </c>
      <c r="C143" s="217">
        <f>IF(H143="CÉLULA CONSTRUTIVA",0,IF(H143="ETAPA",OFFSET(C143,-1,0)+1,OFFSET(C143,-1,0)))</f>
        <v/>
      </c>
      <c r="D143" s="218">
        <f>IF(H143="ETAPA",0,IF(H143="SUBETAPA",OFFSET(D143,-1,0)+1,OFFSET(D143,-1,0)))</f>
        <v/>
      </c>
      <c r="E143" s="218">
        <f>IF(H143="Subetapa",0,IF(H143="serviço",OFFSET(E143,-1,0)+1,OFFSET(E143,-1,0)))</f>
        <v/>
      </c>
      <c r="G143" s="124" t="inlineStr">
        <is>
          <t>IMPERMEABILIZAÇÃO E TRATAMENTOS</t>
        </is>
      </c>
      <c r="H143" s="42" t="inlineStr">
        <is>
          <t>SERVIÇO</t>
        </is>
      </c>
      <c r="I143" s="43">
        <f>IF(H143="Unidade Construtiva",TEXT(A143,"00"),IF(H143="Célula Construtiva",TEXT(B143,"00"),IF(H143="Etapa",CONCATENATE(TEXT(B143,"00"),".",TEXT(C143,"000")),IF(H143="Subetapa",CONCATENATE(TEXT(B143,"00"),".",TEXT(C143,"000"),".",TEXT(D143,"000")),IF(H143="Serviço",CONCATENATE(TEXT(B143,"00"),".",TEXT(C143,"000"),".",TEXT(D143,"000"),".",TEXT(E143,"000")),"")))))</f>
        <v/>
      </c>
      <c r="J143" s="48" t="inlineStr">
        <is>
          <t xml:space="preserve">Regularização de superfície para impermeabilização </t>
        </is>
      </c>
      <c r="K143" s="45" t="inlineStr">
        <is>
          <t>m2</t>
        </is>
      </c>
      <c r="L143" s="46" t="n">
        <v>882.4699999999999</v>
      </c>
      <c r="M143" s="46" t="n">
        <v>7.065899999999999</v>
      </c>
      <c r="N143" s="47">
        <f>IF(H143="Serviço",M143*L143,IF(H143="CÉLULA CONSTRUTIVA",SUMIFS($N$118:$N$438,$B$118:$B$438,B143,$H$118:$H$438,"Serviço"),IF(H143="ETAPA",SUMIFS($N$118:$N$438,$B$118:$B$438,B143,$C$118:$C$438,C143,$H$118:$H$438,"Serviço"),IF(H143="SUBETAPA",SUMIFS($N$118:$N$438,$B$118:$B$438,B143,$C$118:$C$438,C143,$D$118:$D$438,D143,$H$118:$H$438,"Serviço"),0))))</f>
        <v/>
      </c>
      <c r="O143" s="45" t="n"/>
      <c r="P143" s="46" t="n"/>
      <c r="Q143" s="46" t="n"/>
      <c r="R143" s="47" t="n"/>
      <c r="S143" s="123" t="n"/>
      <c r="U143" s="49" t="n"/>
      <c r="V143" s="134" t="n"/>
    </row>
    <row r="144" outlineLevel="2" ht="13.8" customFormat="1" customHeight="1" s="31">
      <c r="A144" s="217">
        <f>IF($H144="UNIDADE CONSTRUTIVA",OFFSET(A144,-1,0)+1,LARGE(A$3:A143,1))</f>
        <v/>
      </c>
      <c r="B144" s="217">
        <f>IF(H144="UNIDADE CONSTRUTIVA",0,IF(H144="CÉLULA CONSTRUTIVA",OFFSET(B144,-1,0)+1,OFFSET(B144,-1,0)))</f>
        <v/>
      </c>
      <c r="C144" s="217">
        <f>IF(H144="CÉLULA CONSTRUTIVA",0,IF(H144="ETAPA",OFFSET(C144,-1,0)+1,OFFSET(C144,-1,0)))</f>
        <v/>
      </c>
      <c r="D144" s="218">
        <f>IF(H144="ETAPA",0,IF(H144="SUBETAPA",OFFSET(D144,-1,0)+1,OFFSET(D144,-1,0)))</f>
        <v/>
      </c>
      <c r="E144" s="218">
        <f>IF(H144="Subetapa",0,IF(H144="serviço",OFFSET(E144,-1,0)+1,OFFSET(E144,-1,0)))</f>
        <v/>
      </c>
      <c r="G144" s="124" t="inlineStr">
        <is>
          <t>IMPERMEABILIZAÇÃO E TRATAMENTOS</t>
        </is>
      </c>
      <c r="H144" s="42" t="inlineStr">
        <is>
          <t>SERVIÇO</t>
        </is>
      </c>
      <c r="I144" s="43">
        <f>IF(H144="Unidade Construtiva",TEXT(A144,"00"),IF(H144="Célula Construtiva",TEXT(B144,"00"),IF(H144="Etapa",CONCATENATE(TEXT(B144,"00"),".",TEXT(C144,"000")),IF(H144="Subetapa",CONCATENATE(TEXT(B144,"00"),".",TEXT(C144,"000"),".",TEXT(D144,"000")),IF(H144="Serviço",CONCATENATE(TEXT(B144,"00"),".",TEXT(C144,"000"),".",TEXT(D144,"000"),".",TEXT(E144,"000")),"")))))</f>
        <v/>
      </c>
      <c r="J144" s="48" t="inlineStr">
        <is>
          <t>Proteção mecânica de superfície com argamassa de cimento e areia, traço 1:3 E=5cm</t>
        </is>
      </c>
      <c r="K144" s="45" t="inlineStr">
        <is>
          <t>m2</t>
        </is>
      </c>
      <c r="L144" s="46">
        <f>L150+L160+L162</f>
        <v/>
      </c>
      <c r="M144" s="46" t="n">
        <v>49.3585</v>
      </c>
      <c r="N144" s="47">
        <f>IF(H144="Serviço",M144*L144,IF(H144="CÉLULA CONSTRUTIVA",SUMIFS($N$118:$N$438,$B$118:$B$438,B144,$H$118:$H$438,"Serviço"),IF(H144="ETAPA",SUMIFS($N$118:$N$438,$B$118:$B$438,B144,$C$118:$C$438,C144,$H$118:$H$438,"Serviço"),IF(H144="SUBETAPA",SUMIFS($N$118:$N$438,$B$118:$B$438,B144,$C$118:$C$438,C144,$D$118:$D$438,D144,$H$118:$H$438,"Serviço"),0))))</f>
        <v/>
      </c>
      <c r="O144" s="45" t="n"/>
      <c r="P144" s="46" t="n"/>
      <c r="Q144" s="46" t="n"/>
      <c r="R144" s="47" t="n"/>
      <c r="S144" s="123" t="n"/>
      <c r="U144" s="49" t="n"/>
      <c r="V144" s="134" t="n"/>
    </row>
    <row r="145" outlineLevel="2" ht="13.8" customFormat="1" customHeight="1" s="31">
      <c r="A145" s="217">
        <f>IF($H145="UNIDADE CONSTRUTIVA",OFFSET(A145,-1,0)+1,LARGE(A$3:A144,1))</f>
        <v/>
      </c>
      <c r="B145" s="217">
        <f>IF(H145="UNIDADE CONSTRUTIVA",0,IF(H145="CÉLULA CONSTRUTIVA",OFFSET(B145,-1,0)+1,OFFSET(B145,-1,0)))</f>
        <v/>
      </c>
      <c r="C145" s="217">
        <f>IF(H145="CÉLULA CONSTRUTIVA",0,IF(H145="ETAPA",OFFSET(C145,-1,0)+1,OFFSET(C145,-1,0)))</f>
        <v/>
      </c>
      <c r="D145" s="218">
        <f>IF(H145="ETAPA",0,IF(H145="SUBETAPA",OFFSET(D145,-1,0)+1,OFFSET(D145,-1,0)))</f>
        <v/>
      </c>
      <c r="E145" s="218">
        <f>IF(H145="Subetapa",0,IF(H145="serviço",OFFSET(E145,-1,0)+1,OFFSET(E145,-1,0)))</f>
        <v/>
      </c>
      <c r="G145" s="124" t="n"/>
      <c r="H145" s="42" t="inlineStr">
        <is>
          <t>SUBETAPA</t>
        </is>
      </c>
      <c r="I145" s="43">
        <f>IF(H145="Unidade Construtiva",TEXT(A145,"00"),IF(H145="Célula Construtiva",TEXT(B145,"00"),IF(H145="Etapa",CONCATENATE(TEXT(B145,"00"),".",TEXT(C145,"000")),IF(H145="Subetapa",CONCATENATE(TEXT(B145,"00"),".",TEXT(C145,"000"),".",TEXT(D145,"000")),IF(H145="Serviço",CONCATENATE(TEXT(B145,"00"),".",TEXT(C145,"000"),".",TEXT(D145,"000"),".",TEXT(E145,"000")),"")))))</f>
        <v/>
      </c>
      <c r="J145" s="48" t="inlineStr">
        <is>
          <t>Impermeabilização de fundação e contenção</t>
        </is>
      </c>
      <c r="K145" s="45" t="n"/>
      <c r="L145" s="46" t="n"/>
      <c r="M145" s="46" t="n"/>
      <c r="N145" s="47">
        <f>IF(H145="Serviço",M145*L145,IF(H145="CÉLULA CONSTRUTIVA",SUMIFS($N$118:$N$438,$B$118:$B$438,B145,$H$118:$H$438,"Serviço"),IF(H145="ETAPA",SUMIFS($N$118:$N$438,$B$118:$B$438,B145,$C$118:$C$438,C145,$H$118:$H$438,"Serviço"),IF(H145="SUBETAPA",SUMIFS($N$118:$N$438,$B$118:$B$438,B145,$C$118:$C$438,C145,$D$118:$D$438,D145,$H$118:$H$438,"Serviço"),0))))</f>
        <v/>
      </c>
      <c r="O145" s="45" t="n"/>
      <c r="P145" s="46" t="n"/>
      <c r="Q145" s="46" t="n"/>
      <c r="R145" s="216" t="inlineStr">
        <is>
          <t>05.001.002.001 - Impermeabilização de baldrames com tinta asfáltica</t>
        </is>
      </c>
      <c r="S145" s="123" t="n"/>
      <c r="U145" s="49" t="n"/>
      <c r="V145" s="134" t="n"/>
    </row>
    <row r="146" outlineLevel="2" ht="13.8" customFormat="1" customHeight="1" s="31">
      <c r="A146" s="217">
        <f>IF($H146="UNIDADE CONSTRUTIVA",OFFSET(A146,-1,0)+1,LARGE(A$3:A144,1))</f>
        <v/>
      </c>
      <c r="B146" s="217">
        <f>IF(H146="UNIDADE CONSTRUTIVA",0,IF(H146="CÉLULA CONSTRUTIVA",OFFSET(B146,-1,0)+1,OFFSET(B146,-1,0)))</f>
        <v/>
      </c>
      <c r="C146" s="217">
        <f>IF(H146="CÉLULA CONSTRUTIVA",0,IF(H146="ETAPA",OFFSET(C146,-1,0)+1,OFFSET(C146,-1,0)))</f>
        <v/>
      </c>
      <c r="D146" s="218">
        <f>IF(H146="ETAPA",0,IF(H146="SUBETAPA",OFFSET(D146,-1,0)+1,OFFSET(D146,-1,0)))</f>
        <v/>
      </c>
      <c r="E146" s="218">
        <f>IF(H146="Subetapa",0,IF(H146="serviço",OFFSET(E146,-1,0)+1,OFFSET(E146,-1,0)))</f>
        <v/>
      </c>
      <c r="G146" s="124" t="inlineStr">
        <is>
          <t>IMPERMEABILIZAÇÃO E TRATAMENTOS</t>
        </is>
      </c>
      <c r="H146" s="42" t="inlineStr">
        <is>
          <t>SERVIÇO</t>
        </is>
      </c>
      <c r="I146" s="43">
        <f>IF(H146="Unidade Construtiva",TEXT(A146,"00"),IF(H146="Célula Construtiva",TEXT(B146,"00"),IF(H146="Etapa",CONCATENATE(TEXT(B146,"00"),".",TEXT(C146,"000")),IF(H146="Subetapa",CONCATENATE(TEXT(B146,"00"),".",TEXT(C146,"000"),".",TEXT(D146,"000")),IF(H146="Serviço",CONCATENATE(TEXT(B146,"00"),".",TEXT(C146,"000"),".",TEXT(D146,"000"),".",TEXT(E146,"000")),"")))))</f>
        <v/>
      </c>
      <c r="J146" s="48" t="inlineStr">
        <is>
          <t>Impermeabilização de Baldrames com Tinta Asfáltica (Neutrol)</t>
        </is>
      </c>
      <c r="K146" s="45" t="inlineStr">
        <is>
          <t>m2</t>
        </is>
      </c>
      <c r="L146" s="46" t="n">
        <v>679.04</v>
      </c>
      <c r="M146" s="46" t="n">
        <v>29.16</v>
      </c>
      <c r="N146" s="47">
        <f>IF(H146="Serviço",M146*L146,IF(H146="CÉLULA CONSTRUTIVA",SUMIFS($N$118:$N$438,$B$118:$B$438,B146,$H$118:$H$438,"Serviço"),IF(H146="ETAPA",SUMIFS($N$118:$N$438,$B$118:$B$438,B146,$C$118:$C$438,C146,$H$118:$H$438,"Serviço"),IF(H146="SUBETAPA",SUMIFS($N$118:$N$438,$B$118:$B$438,B146,$C$118:$C$438,C146,$D$118:$D$438,D146,$H$118:$H$438,"Serviço"),0))))</f>
        <v/>
      </c>
      <c r="O146" s="45" t="n"/>
      <c r="P146" s="46" t="n"/>
      <c r="Q146" s="46" t="n"/>
      <c r="R146" s="47" t="n"/>
      <c r="S146" s="123" t="n"/>
      <c r="U146" s="49" t="n"/>
      <c r="V146" s="134" t="n"/>
    </row>
    <row r="147" outlineLevel="2" ht="13.8" customFormat="1" customHeight="1" s="31">
      <c r="A147" s="217">
        <f>IF($H147="UNIDADE CONSTRUTIVA",OFFSET(A147,-1,0)+1,LARGE(A$3:A146,1))</f>
        <v/>
      </c>
      <c r="B147" s="217">
        <f>IF(H147="UNIDADE CONSTRUTIVA",0,IF(H147="CÉLULA CONSTRUTIVA",OFFSET(B147,-1,0)+1,OFFSET(B147,-1,0)))</f>
        <v/>
      </c>
      <c r="C147" s="217">
        <f>IF(H147="CÉLULA CONSTRUTIVA",0,IF(H147="ETAPA",OFFSET(C147,-1,0)+1,OFFSET(C147,-1,0)))</f>
        <v/>
      </c>
      <c r="D147" s="218">
        <f>IF(H147="ETAPA",0,IF(H147="SUBETAPA",OFFSET(D147,-1,0)+1,OFFSET(D147,-1,0)))</f>
        <v/>
      </c>
      <c r="E147" s="218">
        <f>IF(H147="Subetapa",0,IF(H147="serviço",OFFSET(E147,-1,0)+1,OFFSET(E147,-1,0)))</f>
        <v/>
      </c>
      <c r="G147" s="124" t="n"/>
      <c r="H147" s="42" t="inlineStr">
        <is>
          <t>SUBETAPA</t>
        </is>
      </c>
      <c r="I147" s="43">
        <f>IF(H147="Unidade Construtiva",TEXT(A147,"00"),IF(H147="Célula Construtiva",TEXT(B147,"00"),IF(H147="Etapa",CONCATENATE(TEXT(B147,"00"),".",TEXT(C147,"000")),IF(H147="Subetapa",CONCATENATE(TEXT(B147,"00"),".",TEXT(C147,"000"),".",TEXT(D147,"000")),IF(H147="Serviço",CONCATENATE(TEXT(B147,"00"),".",TEXT(C147,"000"),".",TEXT(D147,"000"),".",TEXT(E147,"000")),"")))))</f>
        <v/>
      </c>
      <c r="J147" s="48" t="inlineStr">
        <is>
          <t>Impermeabilização de poço de elevador</t>
        </is>
      </c>
      <c r="K147" s="45" t="n"/>
      <c r="L147" s="46" t="n"/>
      <c r="M147" s="46" t="n"/>
      <c r="N147" s="47">
        <f>IF(H147="Serviço",M147*L147,IF(H147="CÉLULA CONSTRUTIVA",SUMIFS($N$118:$N$438,$B$118:$B$438,B147,$H$118:$H$438,"Serviço"),IF(H147="ETAPA",SUMIFS($N$118:$N$438,$B$118:$B$438,B147,$C$118:$C$438,C147,$H$118:$H$438,"Serviço"),IF(H147="SUBETAPA",SUMIFS($N$118:$N$438,$B$118:$B$438,B147,$C$118:$C$438,C147,$D$118:$D$438,D147,$H$118:$H$438,"Serviço"),0))))</f>
        <v/>
      </c>
      <c r="O147" s="45" t="n"/>
      <c r="P147" s="46" t="n"/>
      <c r="Q147" s="46" t="n"/>
      <c r="R147" s="216" t="inlineStr">
        <is>
          <t>05.001.010.004 - Mão de obra para impermeabilização de reservatorios</t>
        </is>
      </c>
      <c r="S147" s="125" t="n"/>
      <c r="U147" s="49" t="n"/>
      <c r="V147" s="134" t="n"/>
    </row>
    <row r="148" outlineLevel="2" ht="13.8" customFormat="1" customHeight="1" s="31">
      <c r="A148" s="217">
        <f>IF($H148="UNIDADE CONSTRUTIVA",OFFSET(A148,-1,0)+1,LARGE(A$3:A146,1))</f>
        <v/>
      </c>
      <c r="B148" s="217">
        <f>IF(H148="UNIDADE CONSTRUTIVA",0,IF(H148="CÉLULA CONSTRUTIVA",OFFSET(B148,-1,0)+1,OFFSET(B148,-1,0)))</f>
        <v/>
      </c>
      <c r="C148" s="217">
        <f>IF(H148="CÉLULA CONSTRUTIVA",0,IF(H148="ETAPA",OFFSET(C148,-1,0)+1,OFFSET(C148,-1,0)))</f>
        <v/>
      </c>
      <c r="D148" s="218">
        <f>IF(H148="ETAPA",0,IF(H148="SUBETAPA",OFFSET(D148,-1,0)+1,OFFSET(D148,-1,0)))</f>
        <v/>
      </c>
      <c r="E148" s="218">
        <f>IF(H148="Subetapa",0,IF(H148="serviço",OFFSET(E148,-1,0)+1,OFFSET(E148,-1,0)))</f>
        <v/>
      </c>
      <c r="G148" s="124" t="inlineStr">
        <is>
          <t>IMPERMEABILIZAÇÃO E TRATAMENTOS</t>
        </is>
      </c>
      <c r="H148" s="42" t="inlineStr">
        <is>
          <t>SERVIÇO</t>
        </is>
      </c>
      <c r="I148" s="43">
        <f>IF(H148="Unidade Construtiva",TEXT(A148,"00"),IF(H148="Célula Construtiva",TEXT(B148,"00"),IF(H148="Etapa",CONCATENATE(TEXT(B148,"00"),".",TEXT(C148,"000")),IF(H148="Subetapa",CONCATENATE(TEXT(B148,"00"),".",TEXT(C148,"000"),".",TEXT(D148,"000")),IF(H148="Serviço",CONCATENATE(TEXT(B148,"00"),".",TEXT(C148,"000"),".",TEXT(D148,"000"),".",TEXT(E148,"000")),"")))))</f>
        <v/>
      </c>
      <c r="J148" s="48" t="inlineStr">
        <is>
          <t>Impermeabilização De Superfície Com Argamassa Polimérica / Membrana Acrílica, 3 Demãos</t>
        </is>
      </c>
      <c r="K148" s="45" t="inlineStr">
        <is>
          <t>m2</t>
        </is>
      </c>
      <c r="L148" s="46" t="n">
        <v>9.039999999999999</v>
      </c>
      <c r="M148" s="46" t="n">
        <v>36.256</v>
      </c>
      <c r="N148" s="47">
        <f>IF(H148="Serviço",M148*L148,IF(H148="CÉLULA CONSTRUTIVA",SUMIFS($N$118:$N$438,$B$118:$B$438,B148,$H$118:$H$438,"Serviço"),IF(H148="ETAPA",SUMIFS($N$118:$N$438,$B$118:$B$438,B148,$C$118:$C$438,C148,$H$118:$H$438,"Serviço"),IF(H148="SUBETAPA",SUMIFS($N$118:$N$438,$B$118:$B$438,B148,$C$118:$C$438,C148,$D$118:$D$438,D148,$H$118:$H$438,"Serviço"),0))))</f>
        <v/>
      </c>
      <c r="O148" s="45" t="n"/>
      <c r="P148" s="46" t="n"/>
      <c r="Q148" s="46" t="n"/>
      <c r="R148" s="47" t="n"/>
      <c r="S148" s="123" t="n"/>
      <c r="U148" s="49" t="n"/>
      <c r="V148" s="134" t="n"/>
    </row>
    <row r="149" outlineLevel="2" ht="13.8" customFormat="1" customHeight="1" s="31">
      <c r="A149" s="217">
        <f>IF($H149="UNIDADE CONSTRUTIVA",OFFSET(A149,-1,0)+1,LARGE(A$3:A148,1))</f>
        <v/>
      </c>
      <c r="B149" s="217">
        <f>IF(H149="UNIDADE CONSTRUTIVA",0,IF(H149="CÉLULA CONSTRUTIVA",OFFSET(B149,-1,0)+1,OFFSET(B149,-1,0)))</f>
        <v/>
      </c>
      <c r="C149" s="217">
        <f>IF(H149="CÉLULA CONSTRUTIVA",0,IF(H149="ETAPA",OFFSET(C149,-1,0)+1,OFFSET(C149,-1,0)))</f>
        <v/>
      </c>
      <c r="D149" s="218">
        <f>IF(H149="ETAPA",0,IF(H149="SUBETAPA",OFFSET(D149,-1,0)+1,OFFSET(D149,-1,0)))</f>
        <v/>
      </c>
      <c r="E149" s="218">
        <f>IF(H149="Subetapa",0,IF(H149="serviço",OFFSET(E149,-1,0)+1,OFFSET(E149,-1,0)))</f>
        <v/>
      </c>
      <c r="G149" s="124" t="n"/>
      <c r="H149" s="42" t="inlineStr">
        <is>
          <t>SUBETAPA</t>
        </is>
      </c>
      <c r="I149" s="43">
        <f>IF(H149="Unidade Construtiva",TEXT(A149,"00"),IF(H149="Célula Construtiva",TEXT(B149,"00"),IF(H149="Etapa",CONCATENATE(TEXT(B149,"00"),".",TEXT(C149,"000")),IF(H149="Subetapa",CONCATENATE(TEXT(B149,"00"),".",TEXT(C149,"000"),".",TEXT(D149,"000")),IF(H149="Serviço",CONCATENATE(TEXT(B149,"00"),".",TEXT(C149,"000"),".",TEXT(D149,"000"),".",TEXT(E149,"000")),"")))))</f>
        <v/>
      </c>
      <c r="J149" s="48" t="inlineStr">
        <is>
          <t>Impermeabilização de lajes e terraços</t>
        </is>
      </c>
      <c r="K149" s="45" t="n"/>
      <c r="L149" s="46" t="n"/>
      <c r="M149" s="46" t="n"/>
      <c r="N149" s="47">
        <f>IF(H149="Serviço",M149*L149,IF(H149="CÉLULA CONSTRUTIVA",SUMIFS($N$118:$N$438,$B$118:$B$438,B149,$H$118:$H$438,"Serviço"),IF(H149="ETAPA",SUMIFS($N$118:$N$438,$B$118:$B$438,B149,$C$118:$C$438,C149,$H$118:$H$438,"Serviço"),IF(H149="SUBETAPA",SUMIFS($N$118:$N$438,$B$118:$B$438,B149,$C$118:$C$438,C149,$D$118:$D$438,D149,$H$118:$H$438,"Serviço"),0))))</f>
        <v/>
      </c>
      <c r="O149" s="45" t="n"/>
      <c r="P149" s="46" t="n"/>
      <c r="Q149" s="46" t="n"/>
      <c r="R149" s="216" t="inlineStr">
        <is>
          <t>05.001.002.001 - Impermeabilização de baldrames com tinta asfáltica</t>
        </is>
      </c>
      <c r="S149" s="123" t="n"/>
      <c r="U149" s="49" t="n"/>
      <c r="V149" s="134" t="n"/>
    </row>
    <row r="150" outlineLevel="2" ht="13.8" customFormat="1" customHeight="1" s="31">
      <c r="A150" s="217">
        <f>IF($H150="UNIDADE CONSTRUTIVA",OFFSET(A150,-1,0)+1,LARGE(A$3:A149,1))</f>
        <v/>
      </c>
      <c r="B150" s="217">
        <f>IF(H150="UNIDADE CONSTRUTIVA",0,IF(H150="CÉLULA CONSTRUTIVA",OFFSET(B150,-1,0)+1,OFFSET(B150,-1,0)))</f>
        <v/>
      </c>
      <c r="C150" s="217">
        <f>IF(H150="CÉLULA CONSTRUTIVA",0,IF(H150="ETAPA",OFFSET(C150,-1,0)+1,OFFSET(C150,-1,0)))</f>
        <v/>
      </c>
      <c r="D150" s="218">
        <f>IF(H150="ETAPA",0,IF(H150="SUBETAPA",OFFSET(D150,-1,0)+1,OFFSET(D150,-1,0)))</f>
        <v/>
      </c>
      <c r="E150" s="218">
        <f>IF(H150="Subetapa",0,IF(H150="serviço",OFFSET(E150,-1,0)+1,OFFSET(E150,-1,0)))</f>
        <v/>
      </c>
      <c r="G150" s="124" t="inlineStr">
        <is>
          <t>IMPERMEABILIZAÇÃO E TRATAMENTOS</t>
        </is>
      </c>
      <c r="H150" s="42" t="inlineStr">
        <is>
          <t>SERVIÇO</t>
        </is>
      </c>
      <c r="I150" s="43">
        <f>IF(H150="Unidade Construtiva",TEXT(A150,"00"),IF(H150="Célula Construtiva",TEXT(B150,"00"),IF(H150="Etapa",CONCATENATE(TEXT(B150,"00"),".",TEXT(C150,"000")),IF(H150="Subetapa",CONCATENATE(TEXT(B150,"00"),".",TEXT(C150,"000"),".",TEXT(D150,"000")),IF(H150="Serviço",CONCATENATE(TEXT(B150,"00"),".",TEXT(C150,"000"),".",TEXT(D150,"000"),".",TEXT(E150,"000")),"")))))</f>
        <v/>
      </c>
      <c r="J150" s="48" t="inlineStr">
        <is>
          <t>M44AE2 - Manta asfáltica tipo IV, 4 mm A, com acabamento areia/areia aderida com asfalto oxidado (3,0 kg/m²) + banho de asfalto oxidado (2,0 kg/m²) + membrana de polímero acrílico com cimento e fibras para combater eflorescência (2,0 kg/m²)</t>
        </is>
      </c>
      <c r="K150" s="45" t="inlineStr">
        <is>
          <t>m2</t>
        </is>
      </c>
      <c r="L150" s="46" t="n">
        <v>416.88</v>
      </c>
      <c r="M150" s="46" t="n">
        <v>156</v>
      </c>
      <c r="N150" s="47">
        <f>IF(H150="Serviço",M150*L150,IF(H150="CÉLULA CONSTRUTIVA",SUMIFS($N$118:$N$438,$B$118:$B$438,B150,$H$118:$H$438,"Serviço"),IF(H150="ETAPA",SUMIFS($N$118:$N$438,$B$118:$B$438,B150,$C$118:$C$438,C150,$H$118:$H$438,"Serviço"),IF(H150="SUBETAPA",SUMIFS($N$118:$N$438,$B$118:$B$438,B150,$C$118:$C$438,C150,$D$118:$D$438,D150,$H$118:$H$438,"Serviço"),0))))</f>
        <v/>
      </c>
      <c r="O150" s="45" t="n"/>
      <c r="P150" s="46" t="n"/>
      <c r="Q150" s="46" t="n"/>
      <c r="R150" s="47" t="n"/>
      <c r="S150" s="123" t="n"/>
      <c r="U150" s="49" t="n"/>
      <c r="V150" s="134" t="n"/>
    </row>
    <row r="151" outlineLevel="2" ht="13.8" customFormat="1" customHeight="1" s="31">
      <c r="A151" s="217">
        <f>IF($H151="UNIDADE CONSTRUTIVA",OFFSET(A151,-1,0)+1,LARGE(A$3:A150,1))</f>
        <v/>
      </c>
      <c r="B151" s="217">
        <f>IF(H151="UNIDADE CONSTRUTIVA",0,IF(H151="CÉLULA CONSTRUTIVA",OFFSET(B151,-1,0)+1,OFFSET(B151,-1,0)))</f>
        <v/>
      </c>
      <c r="C151" s="217">
        <f>IF(H151="CÉLULA CONSTRUTIVA",0,IF(H151="ETAPA",OFFSET(C151,-1,0)+1,OFFSET(C151,-1,0)))</f>
        <v/>
      </c>
      <c r="D151" s="218">
        <f>IF(H151="ETAPA",0,IF(H151="SUBETAPA",OFFSET(D151,-1,0)+1,OFFSET(D151,-1,0)))</f>
        <v/>
      </c>
      <c r="E151" s="218">
        <f>IF(H151="Subetapa",0,IF(H151="serviço",OFFSET(E151,-1,0)+1,OFFSET(E151,-1,0)))</f>
        <v/>
      </c>
      <c r="G151" s="124" t="n"/>
      <c r="H151" s="42" t="inlineStr">
        <is>
          <t>SUBETAPA</t>
        </is>
      </c>
      <c r="I151" s="43">
        <f>IF(H151="Unidade Construtiva",TEXT(A151,"00"),IF(H151="Célula Construtiva",TEXT(B151,"00"),IF(H151="Etapa",CONCATENATE(TEXT(B151,"00"),".",TEXT(C151,"000")),IF(H151="Subetapa",CONCATENATE(TEXT(B151,"00"),".",TEXT(C151,"000"),".",TEXT(D151,"000")),IF(H151="Serviço",CONCATENATE(TEXT(B151,"00"),".",TEXT(C151,"000"),".",TEXT(D151,"000"),".",TEXT(E151,"000")),"")))))</f>
        <v/>
      </c>
      <c r="J151" s="48" t="inlineStr">
        <is>
          <t>Impermeabilização de piscinas e espelhos d´água</t>
        </is>
      </c>
      <c r="K151" s="45" t="n"/>
      <c r="L151" s="46" t="n"/>
      <c r="M151" s="46" t="n"/>
      <c r="N151" s="47">
        <f>IF(H151="Serviço",M151*L151,IF(H151="CÉLULA CONSTRUTIVA",SUMIFS($N$118:$N$438,$B$118:$B$438,B151,$H$118:$H$438,"Serviço"),IF(H151="ETAPA",SUMIFS($N$118:$N$438,$B$118:$B$438,B151,$C$118:$C$438,C151,$H$118:$H$438,"Serviço"),IF(H151="SUBETAPA",SUMIFS($N$118:$N$438,$B$118:$B$438,B151,$C$118:$C$438,C151,$D$118:$D$438,D151,$H$118:$H$438,"Serviço"),0))))</f>
        <v/>
      </c>
      <c r="O151" s="45" t="n"/>
      <c r="P151" s="46" t="n"/>
      <c r="Q151" s="46" t="n"/>
      <c r="R151" s="216" t="inlineStr">
        <is>
          <t>05.001.002.001 - Impermeabilização de baldrames com tinta asfáltica</t>
        </is>
      </c>
      <c r="S151" s="123" t="n"/>
      <c r="U151" s="49" t="n"/>
      <c r="V151" s="134" t="n"/>
    </row>
    <row r="152" outlineLevel="2" ht="13.8" customFormat="1" customHeight="1" s="31">
      <c r="A152" s="217">
        <f>IF($H152="UNIDADE CONSTRUTIVA",OFFSET(A152,-1,0)+1,LARGE(A$3:A151,1))</f>
        <v/>
      </c>
      <c r="B152" s="217">
        <f>IF(H152="UNIDADE CONSTRUTIVA",0,IF(H152="CÉLULA CONSTRUTIVA",OFFSET(B152,-1,0)+1,OFFSET(B152,-1,0)))</f>
        <v/>
      </c>
      <c r="C152" s="217">
        <f>IF(H152="CÉLULA CONSTRUTIVA",0,IF(H152="ETAPA",OFFSET(C152,-1,0)+1,OFFSET(C152,-1,0)))</f>
        <v/>
      </c>
      <c r="D152" s="218">
        <f>IF(H152="ETAPA",0,IF(H152="SUBETAPA",OFFSET(D152,-1,0)+1,OFFSET(D152,-1,0)))</f>
        <v/>
      </c>
      <c r="E152" s="218">
        <f>IF(H152="Subetapa",0,IF(H152="serviço",OFFSET(E152,-1,0)+1,OFFSET(E152,-1,0)))</f>
        <v/>
      </c>
      <c r="G152" s="124" t="inlineStr">
        <is>
          <t>IMPERMEABILIZAÇÃO E TRATAMENTOS</t>
        </is>
      </c>
      <c r="H152" s="42" t="inlineStr">
        <is>
          <t>SERVIÇO</t>
        </is>
      </c>
      <c r="I152" s="43">
        <f>IF(H152="Unidade Construtiva",TEXT(A152,"00"),IF(H152="Célula Construtiva",TEXT(B152,"00"),IF(H152="Etapa",CONCATENATE(TEXT(B152,"00"),".",TEXT(C152,"000")),IF(H152="Subetapa",CONCATENATE(TEXT(B152,"00"),".",TEXT(C152,"000"),".",TEXT(D152,"000")),IF(H152="Serviço",CONCATENATE(TEXT(B152,"00"),".",TEXT(C152,"000"),".",TEXT(D152,"000"),".",TEXT(E152,"000")),"")))))</f>
        <v/>
      </c>
      <c r="J152" s="48" t="inlineStr">
        <is>
          <t>Impermeabilização De Superfície Com Aspersão de CWS e CWS100 e membrana PU</t>
        </is>
      </c>
      <c r="K152" s="45" t="inlineStr">
        <is>
          <t>m2</t>
        </is>
      </c>
      <c r="L152" s="46" t="n">
        <v>75.28</v>
      </c>
      <c r="M152" s="46" t="n">
        <v>205.7467857142857</v>
      </c>
      <c r="N152" s="47">
        <f>IF(H152="Serviço",M152*L152,IF(H152="CÉLULA CONSTRUTIVA",SUMIFS($N$118:$N$438,$B$118:$B$438,B152,$H$118:$H$438,"Serviço"),IF(H152="ETAPA",SUMIFS($N$118:$N$438,$B$118:$B$438,B152,$C$118:$C$438,C152,$H$118:$H$438,"Serviço"),IF(H152="SUBETAPA",SUMIFS($N$118:$N$438,$B$118:$B$438,B152,$C$118:$C$438,C152,$D$118:$D$438,D152,$H$118:$H$438,"Serviço"),0))))</f>
        <v/>
      </c>
      <c r="O152" s="45" t="n"/>
      <c r="P152" s="46" t="n"/>
      <c r="Q152" s="46" t="n"/>
      <c r="R152" s="47" t="n"/>
      <c r="S152" s="123" t="n"/>
      <c r="U152" s="49" t="n"/>
      <c r="V152" s="134" t="n"/>
    </row>
    <row r="153" outlineLevel="2" ht="13.8" customFormat="1" customHeight="1" s="31">
      <c r="A153" s="217">
        <f>IF($H153="UNIDADE CONSTRUTIVA",OFFSET(A153,-1,0)+1,LARGE(A$3:A152,1))</f>
        <v/>
      </c>
      <c r="B153" s="217">
        <f>IF(H153="UNIDADE CONSTRUTIVA",0,IF(H153="CÉLULA CONSTRUTIVA",OFFSET(B153,-1,0)+1,OFFSET(B153,-1,0)))</f>
        <v/>
      </c>
      <c r="C153" s="217">
        <f>IF(H153="CÉLULA CONSTRUTIVA",0,IF(H153="ETAPA",OFFSET(C153,-1,0)+1,OFFSET(C153,-1,0)))</f>
        <v/>
      </c>
      <c r="D153" s="218">
        <f>IF(H153="ETAPA",0,IF(H153="SUBETAPA",OFFSET(D153,-1,0)+1,OFFSET(D153,-1,0)))</f>
        <v/>
      </c>
      <c r="E153" s="218">
        <f>IF(H153="Subetapa",0,IF(H153="serviço",OFFSET(E153,-1,0)+1,OFFSET(E153,-1,0)))</f>
        <v/>
      </c>
      <c r="G153" s="124" t="n"/>
      <c r="H153" s="42" t="inlineStr">
        <is>
          <t>SUBETAPA</t>
        </is>
      </c>
      <c r="I153" s="43">
        <f>IF(H153="Unidade Construtiva",TEXT(A153,"00"),IF(H153="Célula Construtiva",TEXT(B153,"00"),IF(H153="Etapa",CONCATENATE(TEXT(B153,"00"),".",TEXT(C153,"000")),IF(H153="Subetapa",CONCATENATE(TEXT(B153,"00"),".",TEXT(C153,"000"),".",TEXT(D153,"000")),IF(H153="Serviço",CONCATENATE(TEXT(B153,"00"),".",TEXT(C153,"000"),".",TEXT(D153,"000"),".",TEXT(E153,"000")),"")))))</f>
        <v/>
      </c>
      <c r="J153" s="135" t="inlineStr">
        <is>
          <t>Impermeabilização de banheiro, cozinha e sacada</t>
        </is>
      </c>
      <c r="K153" s="45" t="n"/>
      <c r="L153" s="46" t="n"/>
      <c r="M153" s="46" t="n"/>
      <c r="N153" s="47">
        <f>IF(H153="Serviço",M153*L153,IF(H153="CÉLULA CONSTRUTIVA",SUMIFS($N$118:$N$438,$B$118:$B$438,B153,$H$118:$H$438,"Serviço"),IF(H153="ETAPA",SUMIFS($N$118:$N$438,$B$118:$B$438,B153,$C$118:$C$438,C153,$H$118:$H$438,"Serviço"),IF(H153="SUBETAPA",SUMIFS($N$118:$N$438,$B$118:$B$438,B153,$C$118:$C$438,C153,$D$118:$D$438,D153,$H$118:$H$438,"Serviço"),0))))</f>
        <v/>
      </c>
      <c r="O153" s="45" t="n"/>
      <c r="P153" s="46" t="n"/>
      <c r="Q153" s="46" t="n"/>
      <c r="R153" s="216" t="inlineStr">
        <is>
          <t>05.001.002.001 - Impermeabilização de baldrames com tinta asfáltica</t>
        </is>
      </c>
      <c r="S153" s="123" t="n"/>
      <c r="U153" s="49" t="n"/>
      <c r="V153" s="134" t="n"/>
    </row>
    <row r="154" outlineLevel="2" ht="13.8" customFormat="1" customHeight="1" s="31">
      <c r="A154" s="217">
        <f>IF($H154="UNIDADE CONSTRUTIVA",OFFSET(A154,-1,0)+1,LARGE(A$3:A153,1))</f>
        <v/>
      </c>
      <c r="B154" s="217">
        <f>IF(H154="UNIDADE CONSTRUTIVA",0,IF(H154="CÉLULA CONSTRUTIVA",OFFSET(B154,-1,0)+1,OFFSET(B154,-1,0)))</f>
        <v/>
      </c>
      <c r="C154" s="217">
        <f>IF(H154="CÉLULA CONSTRUTIVA",0,IF(H154="ETAPA",OFFSET(C154,-1,0)+1,OFFSET(C154,-1,0)))</f>
        <v/>
      </c>
      <c r="D154" s="218">
        <f>IF(H154="ETAPA",0,IF(H154="SUBETAPA",OFFSET(D154,-1,0)+1,OFFSET(D154,-1,0)))</f>
        <v/>
      </c>
      <c r="E154" s="218">
        <f>IF(H154="Subetapa",0,IF(H154="serviço",OFFSET(E154,-1,0)+1,OFFSET(E154,-1,0)))</f>
        <v/>
      </c>
      <c r="G154" s="124" t="inlineStr">
        <is>
          <t>IMPERMEABILIZAÇÃO E TRATAMENTOS</t>
        </is>
      </c>
      <c r="H154" s="42" t="inlineStr">
        <is>
          <t>SERVIÇO</t>
        </is>
      </c>
      <c r="I154" s="43">
        <f>IF(H154="Unidade Construtiva",TEXT(A154,"00"),IF(H154="Célula Construtiva",TEXT(B154,"00"),IF(H154="Etapa",CONCATENATE(TEXT(B154,"00"),".",TEXT(C154,"000")),IF(H154="Subetapa",CONCATENATE(TEXT(B154,"00"),".",TEXT(C154,"000"),".",TEXT(D154,"000")),IF(H154="Serviço",CONCATENATE(TEXT(B154,"00"),".",TEXT(C154,"000"),".",TEXT(D154,"000"),".",TEXT(E154,"000")),"")))))</f>
        <v/>
      </c>
      <c r="J154" s="48" t="inlineStr">
        <is>
          <t>Impermeabilização De Superfície Com Argamassa Polimérica / Membrana Acrílica, 3 Demãos</t>
        </is>
      </c>
      <c r="K154" s="45" t="inlineStr">
        <is>
          <t>m2</t>
        </is>
      </c>
      <c r="L154" s="46" t="n">
        <v>1104.3</v>
      </c>
      <c r="M154" s="46" t="n">
        <v>36.256</v>
      </c>
      <c r="N154" s="47">
        <f>IF(H154="Serviço",M154*L154,IF(H154="CÉLULA CONSTRUTIVA",SUMIFS($N$118:$N$438,$B$118:$B$438,B154,$H$118:$H$438,"Serviço"),IF(H154="ETAPA",SUMIFS($N$118:$N$438,$B$118:$B$438,B154,$C$118:$C$438,C154,$H$118:$H$438,"Serviço"),IF(H154="SUBETAPA",SUMIFS($N$118:$N$438,$B$118:$B$438,B154,$C$118:$C$438,C154,$D$118:$D$438,D154,$H$118:$H$438,"Serviço"),0))))</f>
        <v/>
      </c>
      <c r="O154" s="45" t="n"/>
      <c r="P154" s="46" t="n"/>
      <c r="Q154" s="46" t="n"/>
      <c r="R154" s="47" t="n"/>
      <c r="S154" s="123" t="n"/>
      <c r="U154" s="49" t="n"/>
      <c r="V154" s="134" t="n"/>
    </row>
    <row r="155" outlineLevel="2" ht="13.8" customFormat="1" customHeight="1" s="31">
      <c r="A155" s="217">
        <f>IF($H155="UNIDADE CONSTRUTIVA",OFFSET(A155,-1,0)+1,LARGE(A$3:A154,1))</f>
        <v/>
      </c>
      <c r="B155" s="217">
        <f>IF(H155="UNIDADE CONSTRUTIVA",0,IF(H155="CÉLULA CONSTRUTIVA",OFFSET(B155,-1,0)+1,OFFSET(B155,-1,0)))</f>
        <v/>
      </c>
      <c r="C155" s="217">
        <f>IF(H155="CÉLULA CONSTRUTIVA",0,IF(H155="ETAPA",OFFSET(C155,-1,0)+1,OFFSET(C155,-1,0)))</f>
        <v/>
      </c>
      <c r="D155" s="218">
        <f>IF(H155="ETAPA",0,IF(H155="SUBETAPA",OFFSET(D155,-1,0)+1,OFFSET(D155,-1,0)))</f>
        <v/>
      </c>
      <c r="E155" s="218">
        <f>IF(H155="Subetapa",0,IF(H155="serviço",OFFSET(E155,-1,0)+1,OFFSET(E155,-1,0)))</f>
        <v/>
      </c>
      <c r="G155" s="124" t="n"/>
      <c r="H155" s="42" t="inlineStr">
        <is>
          <t>SUBETAPA</t>
        </is>
      </c>
      <c r="I155" s="43">
        <f>IF(H155="Unidade Construtiva",TEXT(A155,"00"),IF(H155="Célula Construtiva",TEXT(B155,"00"),IF(H155="Etapa",CONCATENATE(TEXT(B155,"00"),".",TEXT(C155,"000")),IF(H155="Subetapa",CONCATENATE(TEXT(B155,"00"),".",TEXT(C155,"000"),".",TEXT(D155,"000")),IF(H155="Serviço",CONCATENATE(TEXT(B155,"00"),".",TEXT(C155,"000"),".",TEXT(D155,"000"),".",TEXT(E155,"000")),"")))))</f>
        <v/>
      </c>
      <c r="J155" s="122" t="inlineStr">
        <is>
          <t>Impermeabilização de esquadrias</t>
        </is>
      </c>
      <c r="K155" s="45" t="n"/>
      <c r="L155" s="46" t="n"/>
      <c r="M155" s="46" t="n"/>
      <c r="N155" s="47">
        <f>IF(H155="Serviço",M155*L155,IF(H155="CÉLULA CONSTRUTIVA",SUMIFS($N$118:$N$438,$B$118:$B$438,B155,$H$118:$H$438,"Serviço"),IF(H155="ETAPA",SUMIFS($N$118:$N$438,$B$118:$B$438,B155,$C$118:$C$438,C155,$H$118:$H$438,"Serviço"),IF(H155="SUBETAPA",SUMIFS($N$118:$N$438,$B$118:$B$438,B155,$C$118:$C$438,C155,$D$118:$D$438,D155,$H$118:$H$438,"Serviço"),0))))</f>
        <v/>
      </c>
      <c r="O155" s="45" t="n"/>
      <c r="P155" s="46" t="n"/>
      <c r="Q155" s="46" t="n"/>
      <c r="R155" s="216" t="inlineStr">
        <is>
          <t>05.001.010.004 - Mão de obra para impermeabilização de reservatorios</t>
        </is>
      </c>
      <c r="S155" s="123" t="n"/>
      <c r="U155" s="49" t="n"/>
      <c r="V155" s="134" t="n"/>
    </row>
    <row r="156" outlineLevel="2" ht="13.8" customFormat="1" customHeight="1" s="31">
      <c r="A156" s="217">
        <f>IF($H156="UNIDADE CONSTRUTIVA",OFFSET(A156,-1,0)+1,LARGE(A$3:A155,1))</f>
        <v/>
      </c>
      <c r="B156" s="217">
        <f>IF(H156="UNIDADE CONSTRUTIVA",0,IF(H156="CÉLULA CONSTRUTIVA",OFFSET(B156,-1,0)+1,OFFSET(B156,-1,0)))</f>
        <v/>
      </c>
      <c r="C156" s="217">
        <f>IF(H156="CÉLULA CONSTRUTIVA",0,IF(H156="ETAPA",OFFSET(C156,-1,0)+1,OFFSET(C156,-1,0)))</f>
        <v/>
      </c>
      <c r="D156" s="218">
        <f>IF(H156="ETAPA",0,IF(H156="SUBETAPA",OFFSET(D156,-1,0)+1,OFFSET(D156,-1,0)))</f>
        <v/>
      </c>
      <c r="E156" s="218">
        <f>IF(H156="Subetapa",0,IF(H156="serviço",OFFSET(E156,-1,0)+1,OFFSET(E156,-1,0)))</f>
        <v/>
      </c>
      <c r="G156" s="124" t="inlineStr">
        <is>
          <t>IMPERMEABILIZAÇÃO E TRATAMENTOS</t>
        </is>
      </c>
      <c r="H156" s="42" t="inlineStr">
        <is>
          <t>SERVIÇO</t>
        </is>
      </c>
      <c r="I156" s="43">
        <f>IF(H156="Unidade Construtiva",TEXT(A156,"00"),IF(H156="Célula Construtiva",TEXT(B156,"00"),IF(H156="Etapa",CONCATENATE(TEXT(B156,"00"),".",TEXT(C156,"000")),IF(H156="Subetapa",CONCATENATE(TEXT(B156,"00"),".",TEXT(C156,"000"),".",TEXT(D156,"000")),IF(H156="Serviço",CONCATENATE(TEXT(B156,"00"),".",TEXT(C156,"000"),".",TEXT(D156,"000"),".",TEXT(E156,"000")),"")))))</f>
        <v/>
      </c>
      <c r="J156" s="48" t="inlineStr">
        <is>
          <t>Impermeabilização com manta liquida em peitoris</t>
        </is>
      </c>
      <c r="K156" s="45" t="inlineStr">
        <is>
          <t>m2</t>
        </is>
      </c>
      <c r="L156" s="46" t="n">
        <v>198.14</v>
      </c>
      <c r="M156" s="46" t="n">
        <v>40.17</v>
      </c>
      <c r="N156" s="47">
        <f>IF(H156="Serviço",M156*L156,IF(H156="CÉLULA CONSTRUTIVA",SUMIFS($N$118:$N$438,$B$118:$B$438,B156,$H$118:$H$438,"Serviço"),IF(H156="ETAPA",SUMIFS($N$118:$N$438,$B$118:$B$438,B156,$C$118:$C$438,C156,$H$118:$H$438,"Serviço"),IF(H156="SUBETAPA",SUMIFS($N$118:$N$438,$B$118:$B$438,B156,$C$118:$C$438,C156,$D$118:$D$438,D156,$H$118:$H$438,"Serviço"),0))))</f>
        <v/>
      </c>
      <c r="O156" s="45" t="n"/>
      <c r="P156" s="46" t="n"/>
      <c r="Q156" s="46" t="n"/>
      <c r="R156" s="47" t="n"/>
      <c r="S156" s="123" t="n"/>
      <c r="U156" s="49" t="n"/>
      <c r="V156" s="134" t="n"/>
    </row>
    <row r="157" outlineLevel="2" ht="13.8" customFormat="1" customHeight="1" s="31">
      <c r="A157" s="217">
        <f>IF($H157="UNIDADE CONSTRUTIVA",OFFSET(A157,-1,0)+1,LARGE(A$3:A156,1))</f>
        <v/>
      </c>
      <c r="B157" s="217">
        <f>IF(H157="UNIDADE CONSTRUTIVA",0,IF(H157="CÉLULA CONSTRUTIVA",OFFSET(B157,-1,0)+1,OFFSET(B157,-1,0)))</f>
        <v/>
      </c>
      <c r="C157" s="217">
        <f>IF(H157="CÉLULA CONSTRUTIVA",0,IF(H157="ETAPA",OFFSET(C157,-1,0)+1,OFFSET(C157,-1,0)))</f>
        <v/>
      </c>
      <c r="D157" s="218">
        <f>IF(H157="ETAPA",0,IF(H157="SUBETAPA",OFFSET(D157,-1,0)+1,OFFSET(D157,-1,0)))</f>
        <v/>
      </c>
      <c r="E157" s="218">
        <f>IF(H157="Subetapa",0,IF(H157="serviço",OFFSET(E157,-1,0)+1,OFFSET(E157,-1,0)))</f>
        <v/>
      </c>
      <c r="G157" s="124" t="n"/>
      <c r="H157" s="42" t="inlineStr">
        <is>
          <t>SUBETAPA</t>
        </is>
      </c>
      <c r="I157" s="43">
        <f>IF(H157="Unidade Construtiva",TEXT(A157,"00"),IF(H157="Célula Construtiva",TEXT(B157,"00"),IF(H157="Etapa",CONCATENATE(TEXT(B157,"00"),".",TEXT(C157,"000")),IF(H157="Subetapa",CONCATENATE(TEXT(B157,"00"),".",TEXT(C157,"000"),".",TEXT(D157,"000")),IF(H157="Serviço",CONCATENATE(TEXT(B157,"00"),".",TEXT(C157,"000"),".",TEXT(D157,"000"),".",TEXT(E157,"000")),"")))))</f>
        <v/>
      </c>
      <c r="J157" s="48" t="inlineStr">
        <is>
          <t>Impermeabilização de ralos</t>
        </is>
      </c>
      <c r="K157" s="45" t="n"/>
      <c r="L157" s="46" t="n"/>
      <c r="M157" s="46" t="n"/>
      <c r="N157" s="47">
        <f>IF(H157="Serviço",M157*L157,IF(H157="CÉLULA CONSTRUTIVA",SUMIFS($N$118:$N$438,$B$118:$B$438,B157,$H$118:$H$438,"Serviço"),IF(H157="ETAPA",SUMIFS($N$118:$N$438,$B$118:$B$438,B157,$C$118:$C$438,C157,$H$118:$H$438,"Serviço"),IF(H157="SUBETAPA",SUMIFS($N$118:$N$438,$B$118:$B$438,B157,$C$118:$C$438,C157,$D$118:$D$438,D157,$H$118:$H$438,"Serviço"),0))))</f>
        <v/>
      </c>
      <c r="O157" s="45" t="n"/>
      <c r="P157" s="46" t="n"/>
      <c r="Q157" s="46" t="n"/>
      <c r="R157" s="216" t="inlineStr">
        <is>
          <t>05.001.010.004 - Mão de obra para impermeabilização de reservatorios</t>
        </is>
      </c>
      <c r="S157" s="123" t="n"/>
      <c r="U157" s="49" t="n"/>
      <c r="V157" s="134" t="n"/>
    </row>
    <row r="158" outlineLevel="2" ht="13.8" customFormat="1" customHeight="1" s="31">
      <c r="A158" s="217">
        <f>IF($H158="UNIDADE CONSTRUTIVA",OFFSET(A158,-1,0)+1,LARGE(A$3:A157,1))</f>
        <v/>
      </c>
      <c r="B158" s="217">
        <f>IF(H158="UNIDADE CONSTRUTIVA",0,IF(H158="CÉLULA CONSTRUTIVA",OFFSET(B158,-1,0)+1,OFFSET(B158,-1,0)))</f>
        <v/>
      </c>
      <c r="C158" s="217">
        <f>IF(H158="CÉLULA CONSTRUTIVA",0,IF(H158="ETAPA",OFFSET(C158,-1,0)+1,OFFSET(C158,-1,0)))</f>
        <v/>
      </c>
      <c r="D158" s="218">
        <f>IF(H158="ETAPA",0,IF(H158="SUBETAPA",OFFSET(D158,-1,0)+1,OFFSET(D158,-1,0)))</f>
        <v/>
      </c>
      <c r="E158" s="218">
        <f>IF(H158="Subetapa",0,IF(H158="serviço",OFFSET(E158,-1,0)+1,OFFSET(E158,-1,0)))</f>
        <v/>
      </c>
      <c r="G158" s="124" t="inlineStr">
        <is>
          <t>IMPERMEABILIZAÇÃO E TRATAMENTOS</t>
        </is>
      </c>
      <c r="H158" s="42" t="inlineStr">
        <is>
          <t>SERVIÇO</t>
        </is>
      </c>
      <c r="I158" s="43">
        <f>IF(H158="Unidade Construtiva",TEXT(A158,"00"),IF(H158="Célula Construtiva",TEXT(B158,"00"),IF(H158="Etapa",CONCATENATE(TEXT(B158,"00"),".",TEXT(C158,"000")),IF(H158="Subetapa",CONCATENATE(TEXT(B158,"00"),".",TEXT(C158,"000"),".",TEXT(D158,"000")),IF(H158="Serviço",CONCATENATE(TEXT(B158,"00"),".",TEXT(C158,"000"),".",TEXT(D158,"000"),".",TEXT(E158,"000")),"")))))</f>
        <v/>
      </c>
      <c r="J158" s="48" t="inlineStr">
        <is>
          <t>Tratamento De Ralo Ou Ponto Emergente Com Argamassa Polimérica Reforçado Com Tela De Poliéster</t>
        </is>
      </c>
      <c r="K158" s="45" t="inlineStr">
        <is>
          <t>un</t>
        </is>
      </c>
      <c r="L158" s="46" t="n">
        <v>170</v>
      </c>
      <c r="M158" s="46" t="n">
        <v>8.760015000000001</v>
      </c>
      <c r="N158" s="47">
        <f>IF(H158="Serviço",M158*L158,IF(H158="CÉLULA CONSTRUTIVA",SUMIFS($N$118:$N$438,$B$118:$B$438,B158,$H$118:$H$438,"Serviço"),IF(H158="ETAPA",SUMIFS($N$118:$N$438,$B$118:$B$438,B158,$C$118:$C$438,C158,$H$118:$H$438,"Serviço"),IF(H158="SUBETAPA",SUMIFS($N$118:$N$438,$B$118:$B$438,B158,$C$118:$C$438,C158,$D$118:$D$438,D158,$H$118:$H$438,"Serviço"),0))))</f>
        <v/>
      </c>
      <c r="O158" s="45" t="n"/>
      <c r="P158" s="46" t="n"/>
      <c r="Q158" s="46" t="n"/>
      <c r="R158" s="47" t="n"/>
      <c r="S158" s="125" t="n"/>
      <c r="U158" s="49" t="n"/>
      <c r="V158" s="134" t="n"/>
    </row>
    <row r="159" outlineLevel="2" ht="13.8" customFormat="1" customHeight="1" s="31">
      <c r="A159" s="217">
        <f>IF($H159="UNIDADE CONSTRUTIVA",OFFSET(A159,-1,0)+1,LARGE(A$3:A158,1))</f>
        <v/>
      </c>
      <c r="B159" s="217">
        <f>IF(H159="UNIDADE CONSTRUTIVA",0,IF(H159="CÉLULA CONSTRUTIVA",OFFSET(B159,-1,0)+1,OFFSET(B159,-1,0)))</f>
        <v/>
      </c>
      <c r="C159" s="217">
        <f>IF(H159="CÉLULA CONSTRUTIVA",0,IF(H159="ETAPA",OFFSET(C159,-1,0)+1,OFFSET(C159,-1,0)))</f>
        <v/>
      </c>
      <c r="D159" s="218">
        <f>IF(H159="ETAPA",0,IF(H159="SUBETAPA",OFFSET(D159,-1,0)+1,OFFSET(D159,-1,0)))</f>
        <v/>
      </c>
      <c r="E159" s="218">
        <f>IF(H159="Subetapa",0,IF(H159="serviço",OFFSET(E159,-1,0)+1,OFFSET(E159,-1,0)))</f>
        <v/>
      </c>
      <c r="G159" s="124" t="n"/>
      <c r="H159" s="42" t="inlineStr">
        <is>
          <t>SUBETAPA</t>
        </is>
      </c>
      <c r="I159" s="43">
        <f>IF(H159="Unidade Construtiva",TEXT(A159,"00"),IF(H159="Célula Construtiva",TEXT(B159,"00"),IF(H159="Etapa",CONCATENATE(TEXT(B159,"00"),".",TEXT(C159,"000")),IF(H159="Subetapa",CONCATENATE(TEXT(B159,"00"),".",TEXT(C159,"000"),".",TEXT(D159,"000")),IF(H159="Serviço",CONCATENATE(TEXT(B159,"00"),".",TEXT(C159,"000"),".",TEXT(D159,"000"),".",TEXT(E159,"000")),"")))))</f>
        <v/>
      </c>
      <c r="J159" s="48" t="inlineStr">
        <is>
          <t>Impermeablização de floreiras</t>
        </is>
      </c>
      <c r="K159" s="45" t="n"/>
      <c r="L159" s="46" t="n"/>
      <c r="M159" s="46" t="n"/>
      <c r="N159" s="47">
        <f>IF(H159="Serviço",M159*L159,IF(H159="CÉLULA CONSTRUTIVA",SUMIFS($N$118:$N$438,$B$118:$B$438,B159,$H$118:$H$438,"Serviço"),IF(H159="ETAPA",SUMIFS($N$118:$N$438,$B$118:$B$438,B159,$C$118:$C$438,C159,$H$118:$H$438,"Serviço"),IF(H159="SUBETAPA",SUMIFS($N$118:$N$438,$B$118:$B$438,B159,$C$118:$C$438,C159,$D$118:$D$438,D159,$H$118:$H$438,"Serviço"),0))))</f>
        <v/>
      </c>
      <c r="O159" s="45" t="n"/>
      <c r="P159" s="46" t="n"/>
      <c r="Q159" s="46" t="n"/>
      <c r="R159" s="216" t="inlineStr">
        <is>
          <t>05.001.010.006 - Mão de obra para impermeabilização de peitoris</t>
        </is>
      </c>
      <c r="S159" s="125" t="n"/>
      <c r="U159" s="49" t="n"/>
      <c r="V159" s="134" t="n"/>
    </row>
    <row r="160" outlineLevel="2" ht="13.8" customFormat="1" customHeight="1" s="31">
      <c r="A160" s="217">
        <f>IF($H160="UNIDADE CONSTRUTIVA",OFFSET(A160,-1,0)+1,LARGE(A$3:A159,1))</f>
        <v/>
      </c>
      <c r="B160" s="217">
        <f>IF(H160="UNIDADE CONSTRUTIVA",0,IF(H160="CÉLULA CONSTRUTIVA",OFFSET(B160,-1,0)+1,OFFSET(B160,-1,0)))</f>
        <v/>
      </c>
      <c r="C160" s="217">
        <f>IF(H160="CÉLULA CONSTRUTIVA",0,IF(H160="ETAPA",OFFSET(C160,-1,0)+1,OFFSET(C160,-1,0)))</f>
        <v/>
      </c>
      <c r="D160" s="218">
        <f>IF(H160="ETAPA",0,IF(H160="SUBETAPA",OFFSET(D160,-1,0)+1,OFFSET(D160,-1,0)))</f>
        <v/>
      </c>
      <c r="E160" s="218">
        <f>IF(H160="Subetapa",0,IF(H160="serviço",OFFSET(E160,-1,0)+1,OFFSET(E160,-1,0)))</f>
        <v/>
      </c>
      <c r="G160" s="124" t="inlineStr">
        <is>
          <t>IMPERMEABILIZAÇÃO E TRATAMENTOS</t>
        </is>
      </c>
      <c r="H160" s="42" t="inlineStr">
        <is>
          <t>SERVIÇO</t>
        </is>
      </c>
      <c r="I160" s="43">
        <f>IF(H160="Unidade Construtiva",TEXT(A160,"00"),IF(H160="Célula Construtiva",TEXT(B160,"00"),IF(H160="Etapa",CONCATENATE(TEXT(B160,"00"),".",TEXT(C160,"000")),IF(H160="Subetapa",CONCATENATE(TEXT(B160,"00"),".",TEXT(C160,"000"),".",TEXT(D160,"000")),IF(H160="Serviço",CONCATENATE(TEXT(B160,"00"),".",TEXT(C160,"000"),".",TEXT(D160,"000"),".",TEXT(E160,"000")),"")))))</f>
        <v/>
      </c>
      <c r="J160" s="48" t="inlineStr">
        <is>
          <t>M44AE2 - Manta asfáltica tipo IV, 4 mm A, com acabamento areia/areia aderida com asfalto oxidado (3,0 kg/m²) + banho de asfalto oxidado (2,0 kg/m²) + membrana de polímero acrílico com cimento e fibras para combater eflorescência (2,0 kg/m²)</t>
        </is>
      </c>
      <c r="K160" s="45" t="inlineStr">
        <is>
          <t>m2</t>
        </is>
      </c>
      <c r="L160" s="46" t="n">
        <v>5.21</v>
      </c>
      <c r="M160" s="46" t="n">
        <v>156</v>
      </c>
      <c r="N160" s="47">
        <f>IF(H160="Serviço",M160*L160,IF(H160="CÉLULA CONSTRUTIVA",SUMIFS($N$118:$N$438,$B$118:$B$438,B160,$H$118:$H$438,"Serviço"),IF(H160="ETAPA",SUMIFS($N$118:$N$438,$B$118:$B$438,B160,$C$118:$C$438,C160,$H$118:$H$438,"Serviço"),IF(H160="SUBETAPA",SUMIFS($N$118:$N$438,$B$118:$B$438,B160,$C$118:$C$438,C160,$D$118:$D$438,D160,$H$118:$H$438,"Serviço"),0))))</f>
        <v/>
      </c>
      <c r="O160" s="45" t="n"/>
      <c r="P160" s="46" t="n"/>
      <c r="Q160" s="46" t="n"/>
      <c r="R160" s="47" t="n"/>
      <c r="S160" s="123" t="n"/>
      <c r="U160" s="49" t="n"/>
      <c r="V160" s="134" t="n"/>
    </row>
    <row r="161" outlineLevel="2" ht="13.8" customFormat="1" customHeight="1" s="31">
      <c r="A161" s="217">
        <f>IF($H161="UNIDADE CONSTRUTIVA",OFFSET(A161,-1,0)+1,LARGE(A$3:A158,1))</f>
        <v/>
      </c>
      <c r="B161" s="217">
        <f>IF(H161="UNIDADE CONSTRUTIVA",0,IF(H161="CÉLULA CONSTRUTIVA",OFFSET(B161,-1,0)+1,OFFSET(B161,-1,0)))</f>
        <v/>
      </c>
      <c r="C161" s="217">
        <f>IF(H161="CÉLULA CONSTRUTIVA",0,IF(H161="ETAPA",OFFSET(C161,-1,0)+1,OFFSET(C161,-1,0)))</f>
        <v/>
      </c>
      <c r="D161" s="218">
        <f>IF(H161="ETAPA",0,IF(H161="SUBETAPA",OFFSET(D161,-1,0)+1,OFFSET(D161,-1,0)))</f>
        <v/>
      </c>
      <c r="E161" s="218">
        <f>IF(H161="Subetapa",0,IF(H161="serviço",OFFSET(E161,-1,0)+1,OFFSET(E161,-1,0)))</f>
        <v/>
      </c>
      <c r="G161" s="124" t="n"/>
      <c r="H161" s="42" t="inlineStr">
        <is>
          <t>SUBETAPA</t>
        </is>
      </c>
      <c r="I161" s="43">
        <f>IF(H161="Unidade Construtiva",TEXT(A161,"00"),IF(H161="Célula Construtiva",TEXT(B161,"00"),IF(H161="Etapa",CONCATENATE(TEXT(B161,"00"),".",TEXT(C161,"000")),IF(H161="Subetapa",CONCATENATE(TEXT(B161,"00"),".",TEXT(C161,"000"),".",TEXT(D161,"000")),IF(H161="Serviço",CONCATENATE(TEXT(B161,"00"),".",TEXT(C161,"000"),".",TEXT(D161,"000"),".",TEXT(E161,"000")),"")))))</f>
        <v/>
      </c>
      <c r="J161" s="122" t="inlineStr">
        <is>
          <t>Impermeabilização de reservatórios</t>
        </is>
      </c>
      <c r="K161" s="45" t="n"/>
      <c r="L161" s="46" t="n"/>
      <c r="M161" s="46" t="n"/>
      <c r="N161" s="47">
        <f>IF(H161="Serviço",M161*L161,IF(H161="CÉLULA CONSTRUTIVA",SUMIFS($N$118:$N$438,$B$118:$B$438,B161,$H$118:$H$438,"Serviço"),IF(H161="ETAPA",SUMIFS($N$118:$N$438,$B$118:$B$438,B161,$C$118:$C$438,C161,$H$118:$H$438,"Serviço"),IF(H161="SUBETAPA",SUMIFS($N$118:$N$438,$B$118:$B$438,B161,$C$118:$C$438,C161,$D$118:$D$438,D161,$H$118:$H$438,"Serviço"),0))))</f>
        <v/>
      </c>
      <c r="O161" s="45" t="n"/>
      <c r="P161" s="46" t="n"/>
      <c r="Q161" s="46" t="n"/>
      <c r="R161" s="216" t="inlineStr">
        <is>
          <t>05.001.010.004 - Mão de obra para impermeabilização de reservatorios</t>
        </is>
      </c>
      <c r="S161" s="123" t="n"/>
      <c r="U161" s="49" t="n"/>
      <c r="V161" s="134" t="n"/>
    </row>
    <row r="162" outlineLevel="2" ht="13.8" customFormat="1" customHeight="1" s="31">
      <c r="A162" s="217">
        <f>IF($H162="UNIDADE CONSTRUTIVA",OFFSET(A162,-1,0)+1,LARGE(A$3:A161,1))</f>
        <v/>
      </c>
      <c r="B162" s="217">
        <f>IF(H162="UNIDADE CONSTRUTIVA",0,IF(H162="CÉLULA CONSTRUTIVA",OFFSET(B162,-1,0)+1,OFFSET(B162,-1,0)))</f>
        <v/>
      </c>
      <c r="C162" s="217">
        <f>IF(H162="CÉLULA CONSTRUTIVA",0,IF(H162="ETAPA",OFFSET(C162,-1,0)+1,OFFSET(C162,-1,0)))</f>
        <v/>
      </c>
      <c r="D162" s="218">
        <f>IF(H162="ETAPA",0,IF(H162="SUBETAPA",OFFSET(D162,-1,0)+1,OFFSET(D162,-1,0)))</f>
        <v/>
      </c>
      <c r="E162" s="218">
        <f>IF(H162="Subetapa",0,IF(H162="serviço",OFFSET(E162,-1,0)+1,OFFSET(E162,-1,0)))</f>
        <v/>
      </c>
      <c r="G162" s="124" t="inlineStr">
        <is>
          <t>IMPERMEABILIZAÇÃO E TRATAMENTOS</t>
        </is>
      </c>
      <c r="H162" s="42" t="inlineStr">
        <is>
          <t>SERVIÇO</t>
        </is>
      </c>
      <c r="I162" s="43">
        <f>IF(H162="Unidade Construtiva",TEXT(A162,"00"),IF(H162="Célula Construtiva",TEXT(B162,"00"),IF(H162="Etapa",CONCATENATE(TEXT(B162,"00"),".",TEXT(C162,"000")),IF(H162="Subetapa",CONCATENATE(TEXT(B162,"00"),".",TEXT(C162,"000"),".",TEXT(D162,"000")),IF(H162="Serviço",CONCATENATE(TEXT(B162,"00"),".",TEXT(C162,"000"),".",TEXT(D162,"000"),".",TEXT(E162,"000")),"")))))</f>
        <v/>
      </c>
      <c r="J162" s="48" t="inlineStr">
        <is>
          <t>M44AE2 - Manta asfáltica tipo IV, 4 mm A, com acabamento areia/areia aderida com asfalto oxidado (3,0 kg/m²) + banho de asfalto oxidado (2,0 kg/m²) + membrana de polímero acrílico com cimento e fibras para combater eflorescência (2,0 kg/m²)</t>
        </is>
      </c>
      <c r="K162" s="45" t="inlineStr">
        <is>
          <t>m2</t>
        </is>
      </c>
      <c r="L162" s="46" t="n">
        <v>151.08</v>
      </c>
      <c r="M162" s="46" t="n">
        <v>156</v>
      </c>
      <c r="N162" s="47">
        <f>IF(H162="Serviço",M162*L162,IF(H162="CÉLULA CONSTRUTIVA",SUMIFS($N$118:$N$438,$B$118:$B$438,B162,$H$118:$H$438,"Serviço"),IF(H162="ETAPA",SUMIFS($N$118:$N$438,$B$118:$B$438,B162,$C$118:$C$438,C162,$H$118:$H$438,"Serviço"),IF(H162="SUBETAPA",SUMIFS($N$118:$N$438,$B$118:$B$438,B162,$C$118:$C$438,C162,$D$118:$D$438,D162,$H$118:$H$438,"Serviço"),0))))</f>
        <v/>
      </c>
      <c r="O162" s="45" t="n"/>
      <c r="P162" s="46" t="n"/>
      <c r="Q162" s="46" t="n"/>
      <c r="R162" s="47" t="n"/>
      <c r="S162" s="123" t="n"/>
      <c r="U162" s="49" t="n"/>
      <c r="V162" s="134" t="n"/>
    </row>
    <row r="163" outlineLevel="2" ht="13.8" customFormat="1" customHeight="1" s="31">
      <c r="A163" s="217">
        <f>IF($H163="UNIDADE CONSTRUTIVA",OFFSET(A163,-1,0)+1,LARGE(A$3:A162,1))</f>
        <v/>
      </c>
      <c r="B163" s="217">
        <f>IF(H163="UNIDADE CONSTRUTIVA",0,IF(H163="CÉLULA CONSTRUTIVA",OFFSET(B163,-1,0)+1,OFFSET(B163,-1,0)))</f>
        <v/>
      </c>
      <c r="C163" s="217">
        <f>IF(H163="CÉLULA CONSTRUTIVA",0,IF(H163="ETAPA",OFFSET(C163,-1,0)+1,OFFSET(C163,-1,0)))</f>
        <v/>
      </c>
      <c r="D163" s="218">
        <f>IF(H163="ETAPA",0,IF(H163="SUBETAPA",OFFSET(D163,-1,0)+1,OFFSET(D163,-1,0)))</f>
        <v/>
      </c>
      <c r="E163" s="218">
        <f>IF(H163="Subetapa",0,IF(H163="serviço",OFFSET(E163,-1,0)+1,OFFSET(E163,-1,0)))</f>
        <v/>
      </c>
      <c r="G163" s="124" t="n"/>
      <c r="H163" s="42" t="inlineStr">
        <is>
          <t>SUBETAPA</t>
        </is>
      </c>
      <c r="I163" s="43">
        <f>IF(H163="Unidade Construtiva",TEXT(A163,"00"),IF(H163="Célula Construtiva",TEXT(B163,"00"),IF(H163="Etapa",CONCATENATE(TEXT(B163,"00"),".",TEXT(C163,"000")),IF(H163="Subetapa",CONCATENATE(TEXT(B163,"00"),".",TEXT(C163,"000"),".",TEXT(D163,"000")),IF(H163="Serviço",CONCATENATE(TEXT(B163,"00"),".",TEXT(C163,"000"),".",TEXT(D163,"000"),".",TEXT(E163,"000")),"")))))</f>
        <v/>
      </c>
      <c r="J163" s="48" t="inlineStr">
        <is>
          <t>Mão de obra</t>
        </is>
      </c>
      <c r="K163" s="45" t="n"/>
      <c r="L163" s="46" t="n"/>
      <c r="M163" s="46" t="n"/>
      <c r="N163" s="47">
        <f>IF(H163="Serviço",M163*L163,IF(H163="CÉLULA CONSTRUTIVA",SUMIFS($N$118:$N$438,$B$118:$B$438,B163,$H$118:$H$438,"Serviço"),IF(H163="ETAPA",SUMIFS($N$118:$N$438,$B$118:$B$438,B163,$C$118:$C$438,C163,$H$118:$H$438,"Serviço"),IF(H163="SUBETAPA",SUMIFS($N$118:$N$438,$B$118:$B$438,B163,$C$118:$C$438,C163,$D$118:$D$438,D163,$H$118:$H$438,"Serviço"),0))))</f>
        <v/>
      </c>
      <c r="O163" s="45" t="n"/>
      <c r="P163" s="46" t="n"/>
      <c r="Q163" s="46" t="n"/>
      <c r="R163" s="216" t="inlineStr">
        <is>
          <t>19.001.005.001 - Mão de obra para telhamento</t>
        </is>
      </c>
      <c r="S163" s="123" t="n"/>
      <c r="U163" s="49" t="n"/>
      <c r="V163" s="134" t="n"/>
    </row>
    <row r="164" outlineLevel="2" ht="13.8" customFormat="1" customHeight="1" s="31">
      <c r="A164" s="217">
        <f>IF($H164="UNIDADE CONSTRUTIVA",OFFSET(A164,-1,0)+1,LARGE(A$3:A158,1))</f>
        <v/>
      </c>
      <c r="B164" s="217">
        <f>IF(H164="UNIDADE CONSTRUTIVA",0,IF(H164="CÉLULA CONSTRUTIVA",OFFSET(B164,-1,0)+1,OFFSET(B164,-1,0)))</f>
        <v/>
      </c>
      <c r="C164" s="217">
        <f>IF(H164="CÉLULA CONSTRUTIVA",0,IF(H164="ETAPA",OFFSET(C164,-1,0)+1,OFFSET(C164,-1,0)))</f>
        <v/>
      </c>
      <c r="D164" s="218">
        <f>IF(H164="ETAPA",0,IF(H164="SUBETAPA",OFFSET(D164,-1,0)+1,OFFSET(D164,-1,0)))</f>
        <v/>
      </c>
      <c r="E164" s="218">
        <f>IF(H164="Subetapa",0,IF(H164="serviço",OFFSET(E164,-1,0)+1,OFFSET(E164,-1,0)))</f>
        <v/>
      </c>
      <c r="G164" s="124" t="inlineStr">
        <is>
          <t>IMPERMEABILIZAÇÃO E TRATAMENTOS</t>
        </is>
      </c>
      <c r="H164" s="42" t="inlineStr">
        <is>
          <t>SERVIÇO</t>
        </is>
      </c>
      <c r="I164" s="43">
        <f>IF(H164="Unidade Construtiva",TEXT(A164,"00"),IF(H164="Célula Construtiva",TEXT(B164,"00"),IF(H164="Etapa",CONCATENATE(TEXT(B164,"00"),".",TEXT(C164,"000")),IF(H164="Subetapa",CONCATENATE(TEXT(B164,"00"),".",TEXT(C164,"000"),".",TEXT(D164,"000")),IF(H164="Serviço",CONCATENATE(TEXT(B164,"00"),".",TEXT(C164,"000"),".",TEXT(D164,"000"),".",TEXT(E164,"000")),"")))))</f>
        <v/>
      </c>
      <c r="J164" s="48" t="inlineStr">
        <is>
          <t xml:space="preserve">Mão de obra para regularização de superfície </t>
        </is>
      </c>
      <c r="K164" s="45" t="inlineStr">
        <is>
          <t>m2</t>
        </is>
      </c>
      <c r="L164" s="46">
        <f>L143</f>
        <v/>
      </c>
      <c r="M164" s="46" t="n">
        <v>20</v>
      </c>
      <c r="N164" s="47">
        <f>IF(H164="Serviço",M164*L164,IF(H164="CÉLULA CONSTRUTIVA",SUMIFS($N$118:$N$438,$B$118:$B$438,B164,$H$118:$H$438,"Serviço"),IF(H164="ETAPA",SUMIFS($N$118:$N$438,$B$118:$B$438,B164,$C$118:$C$438,C164,$H$118:$H$438,"Serviço"),IF(H164="SUBETAPA",SUMIFS($N$118:$N$438,$B$118:$B$438,B164,$C$118:$C$438,C164,$D$118:$D$438,D164,$H$118:$H$438,"Serviço"),0))))</f>
        <v/>
      </c>
      <c r="O164" s="45" t="n"/>
      <c r="P164" s="46" t="n"/>
      <c r="Q164" s="46" t="n"/>
      <c r="R164" s="47" t="n"/>
      <c r="S164" s="123" t="n"/>
      <c r="U164" s="49" t="n"/>
      <c r="V164" s="134" t="n"/>
    </row>
    <row r="165" outlineLevel="2" ht="13.8" customFormat="1" customHeight="1" s="31">
      <c r="A165" s="217">
        <f>IF($H165="UNIDADE CONSTRUTIVA",OFFSET(A165,-1,0)+1,LARGE(A$3:A159,1))</f>
        <v/>
      </c>
      <c r="B165" s="217">
        <f>IF(H165="UNIDADE CONSTRUTIVA",0,IF(H165="CÉLULA CONSTRUTIVA",OFFSET(B165,-1,0)+1,OFFSET(B165,-1,0)))</f>
        <v/>
      </c>
      <c r="C165" s="217">
        <f>IF(H165="CÉLULA CONSTRUTIVA",0,IF(H165="ETAPA",OFFSET(C165,-1,0)+1,OFFSET(C165,-1,0)))</f>
        <v/>
      </c>
      <c r="D165" s="218">
        <f>IF(H165="ETAPA",0,IF(H165="SUBETAPA",OFFSET(D165,-1,0)+1,OFFSET(D165,-1,0)))</f>
        <v/>
      </c>
      <c r="E165" s="218">
        <f>IF(H165="Subetapa",0,IF(H165="serviço",OFFSET(E165,-1,0)+1,OFFSET(E165,-1,0)))</f>
        <v/>
      </c>
      <c r="G165" s="124" t="inlineStr">
        <is>
          <t>IMPERMEABILIZAÇÃO E TRATAMENTOS</t>
        </is>
      </c>
      <c r="H165" s="42" t="inlineStr">
        <is>
          <t>SERVIÇO</t>
        </is>
      </c>
      <c r="I165" s="43">
        <f>IF(H165="Unidade Construtiva",TEXT(A165,"00"),IF(H165="Célula Construtiva",TEXT(B165,"00"),IF(H165="Etapa",CONCATENATE(TEXT(B165,"00"),".",TEXT(C165,"000")),IF(H165="Subetapa",CONCATENATE(TEXT(B165,"00"),".",TEXT(C165,"000"),".",TEXT(D165,"000")),IF(H165="Serviço",CONCATENATE(TEXT(B165,"00"),".",TEXT(C165,"000"),".",TEXT(D165,"000"),".",TEXT(E165,"000")),"")))))</f>
        <v/>
      </c>
      <c r="J165" s="48" t="inlineStr">
        <is>
          <t>Mão de obra para proteção mecânica</t>
        </is>
      </c>
      <c r="K165" s="45" t="inlineStr">
        <is>
          <t>m2</t>
        </is>
      </c>
      <c r="L165" s="46">
        <f>L144</f>
        <v/>
      </c>
      <c r="M165" s="46" t="n">
        <v>35</v>
      </c>
      <c r="N165" s="47">
        <f>IF(H165="Serviço",M165*L165,IF(H165="CÉLULA CONSTRUTIVA",SUMIFS($N$118:$N$438,$B$118:$B$438,B165,$H$118:$H$438,"Serviço"),IF(H165="ETAPA",SUMIFS($N$118:$N$438,$B$118:$B$438,B165,$C$118:$C$438,C165,$H$118:$H$438,"Serviço"),IF(H165="SUBETAPA",SUMIFS($N$118:$N$438,$B$118:$B$438,B165,$C$118:$C$438,C165,$D$118:$D$438,D165,$H$118:$H$438,"Serviço"),0))))</f>
        <v/>
      </c>
      <c r="O165" s="45" t="n"/>
      <c r="P165" s="46" t="n"/>
      <c r="Q165" s="46" t="n"/>
      <c r="R165" s="47" t="n"/>
      <c r="S165" s="123" t="n"/>
      <c r="U165" s="49" t="n"/>
      <c r="V165" s="134" t="n"/>
    </row>
    <row r="166" outlineLevel="2" ht="13.8" customFormat="1" customHeight="1" s="31">
      <c r="A166" s="217">
        <f>IF($H166="UNIDADE CONSTRUTIVA",OFFSET(A166,-1,0)+1,LARGE(A$3:A164,1))</f>
        <v/>
      </c>
      <c r="B166" s="217">
        <f>IF(H166="UNIDADE CONSTRUTIVA",0,IF(H166="CÉLULA CONSTRUTIVA",OFFSET(B166,-1,0)+1,OFFSET(B166,-1,0)))</f>
        <v/>
      </c>
      <c r="C166" s="217">
        <f>IF(H166="CÉLULA CONSTRUTIVA",0,IF(H166="ETAPA",OFFSET(C166,-1,0)+1,OFFSET(C166,-1,0)))</f>
        <v/>
      </c>
      <c r="D166" s="218">
        <f>IF(H166="ETAPA",0,IF(H166="SUBETAPA",OFFSET(D166,-1,0)+1,OFFSET(D166,-1,0)))</f>
        <v/>
      </c>
      <c r="E166" s="218">
        <f>IF(H166="Subetapa",0,IF(H166="serviço",OFFSET(E166,-1,0)+1,OFFSET(E166,-1,0)))</f>
        <v/>
      </c>
      <c r="G166" s="124" t="inlineStr">
        <is>
          <t>IMPERMEABILIZAÇÃO E TRATAMENTOS</t>
        </is>
      </c>
      <c r="H166" s="42" t="inlineStr">
        <is>
          <t>SERVIÇO</t>
        </is>
      </c>
      <c r="I166" s="43">
        <f>IF(H166="Unidade Construtiva",TEXT(A166,"00"),IF(H166="Célula Construtiva",TEXT(B166,"00"),IF(H166="Etapa",CONCATENATE(TEXT(B166,"00"),".",TEXT(C166,"000")),IF(H166="Subetapa",CONCATENATE(TEXT(B166,"00"),".",TEXT(C166,"000"),".",TEXT(D166,"000")),IF(H166="Serviço",CONCATENATE(TEXT(B166,"00"),".",TEXT(C166,"000"),".",TEXT(D166,"000"),".",TEXT(E166,"000")),"")))))</f>
        <v/>
      </c>
      <c r="J166" s="48" t="inlineStr">
        <is>
          <t>Mão de obra impermeabilização com emulsão Asfaltica</t>
        </is>
      </c>
      <c r="K166" s="45" t="inlineStr">
        <is>
          <t>m2</t>
        </is>
      </c>
      <c r="L166" s="46">
        <f>L146</f>
        <v/>
      </c>
      <c r="M166" s="46" t="n">
        <v>28</v>
      </c>
      <c r="N166" s="47">
        <f>IF(H166="Serviço",M166*L166,IF(H166="CÉLULA CONSTRUTIVA",SUMIFS($N$118:$N$438,$B$118:$B$438,B166,$H$118:$H$438,"Serviço"),IF(H166="ETAPA",SUMIFS($N$118:$N$438,$B$118:$B$438,B166,$C$118:$C$438,C166,$H$118:$H$438,"Serviço"),IF(H166="SUBETAPA",SUMIFS($N$118:$N$438,$B$118:$B$438,B166,$C$118:$C$438,C166,$D$118:$D$438,D166,$H$118:$H$438,"Serviço"),0))))</f>
        <v/>
      </c>
      <c r="O166" s="45" t="n"/>
      <c r="P166" s="46" t="n"/>
      <c r="Q166" s="46" t="n"/>
      <c r="R166" s="47" t="n"/>
      <c r="S166" s="123" t="n"/>
      <c r="U166" s="49" t="n"/>
      <c r="V166" s="134" t="n"/>
    </row>
    <row r="167" outlineLevel="2" ht="13.8" customFormat="1" customHeight="1" s="31">
      <c r="A167" s="217">
        <f>IF($H167="UNIDADE CONSTRUTIVA",OFFSET(A167,-1,0)+1,LARGE(A$3:A165,1))</f>
        <v/>
      </c>
      <c r="B167" s="217">
        <f>IF(H167="UNIDADE CONSTRUTIVA",0,IF(H167="CÉLULA CONSTRUTIVA",OFFSET(B167,-1,0)+1,OFFSET(B167,-1,0)))</f>
        <v/>
      </c>
      <c r="C167" s="217">
        <f>IF(H167="CÉLULA CONSTRUTIVA",0,IF(H167="ETAPA",OFFSET(C167,-1,0)+1,OFFSET(C167,-1,0)))</f>
        <v/>
      </c>
      <c r="D167" s="218">
        <f>IF(H167="ETAPA",0,IF(H167="SUBETAPA",OFFSET(D167,-1,0)+1,OFFSET(D167,-1,0)))</f>
        <v/>
      </c>
      <c r="E167" s="218">
        <f>IF(H167="Subetapa",0,IF(H167="serviço",OFFSET(E167,-1,0)+1,OFFSET(E167,-1,0)))</f>
        <v/>
      </c>
      <c r="G167" s="124" t="inlineStr">
        <is>
          <t>IMPERMEABILIZAÇÃO E TRATAMENTOS</t>
        </is>
      </c>
      <c r="H167" s="42" t="inlineStr">
        <is>
          <t>SERVIÇO</t>
        </is>
      </c>
      <c r="I167" s="43">
        <f>IF(H167="Unidade Construtiva",TEXT(A167,"00"),IF(H167="Célula Construtiva",TEXT(B167,"00"),IF(H167="Etapa",CONCATENATE(TEXT(B167,"00"),".",TEXT(C167,"000")),IF(H167="Subetapa",CONCATENATE(TEXT(B167,"00"),".",TEXT(C167,"000"),".",TEXT(D167,"000")),IF(H167="Serviço",CONCATENATE(TEXT(B167,"00"),".",TEXT(C167,"000"),".",TEXT(D167,"000"),".",TEXT(E167,"000")),"")))))</f>
        <v/>
      </c>
      <c r="J167" s="48" t="inlineStr">
        <is>
          <t>Mão de obra impermeabilização de argamassa polimérica</t>
        </is>
      </c>
      <c r="K167" s="45" t="inlineStr">
        <is>
          <t>m2</t>
        </is>
      </c>
      <c r="L167" s="46">
        <f>L148+L154</f>
        <v/>
      </c>
      <c r="M167" s="46" t="n">
        <v>30</v>
      </c>
      <c r="N167" s="47">
        <f>IF(H167="Serviço",M167*L167,IF(H167="CÉLULA CONSTRUTIVA",SUMIFS($N$118:$N$438,$B$118:$B$438,B167,$H$118:$H$438,"Serviço"),IF(H167="ETAPA",SUMIFS($N$118:$N$438,$B$118:$B$438,B167,$C$118:$C$438,C167,$H$118:$H$438,"Serviço"),IF(H167="SUBETAPA",SUMIFS($N$118:$N$438,$B$118:$B$438,B167,$C$118:$C$438,C167,$D$118:$D$438,D167,$H$118:$H$438,"Serviço"),0))))</f>
        <v/>
      </c>
      <c r="O167" s="45" t="n"/>
      <c r="P167" s="46" t="n"/>
      <c r="Q167" s="46" t="n"/>
      <c r="R167" s="47" t="n"/>
      <c r="S167" s="123" t="n"/>
      <c r="U167" s="49" t="n"/>
      <c r="V167" s="134" t="n"/>
    </row>
    <row r="168" outlineLevel="2" ht="13.8" customFormat="1" customHeight="1" s="31">
      <c r="A168" s="217">
        <f>IF($H168="UNIDADE CONSTRUTIVA",OFFSET(A168,-1,0)+1,LARGE(A$3:A162,1))</f>
        <v/>
      </c>
      <c r="B168" s="217">
        <f>IF(H168="UNIDADE CONSTRUTIVA",0,IF(H168="CÉLULA CONSTRUTIVA",OFFSET(B168,-1,0)+1,OFFSET(B168,-1,0)))</f>
        <v/>
      </c>
      <c r="C168" s="217">
        <f>IF(H168="CÉLULA CONSTRUTIVA",0,IF(H168="ETAPA",OFFSET(C168,-1,0)+1,OFFSET(C168,-1,0)))</f>
        <v/>
      </c>
      <c r="D168" s="218">
        <f>IF(H168="ETAPA",0,IF(H168="SUBETAPA",OFFSET(D168,-1,0)+1,OFFSET(D168,-1,0)))</f>
        <v/>
      </c>
      <c r="E168" s="218">
        <f>IF(H168="Subetapa",0,IF(H168="serviço",OFFSET(E168,-1,0)+1,OFFSET(E168,-1,0)))</f>
        <v/>
      </c>
      <c r="G168" s="124" t="inlineStr">
        <is>
          <t>IMPERMEABILIZAÇÃO E TRATAMENTOS</t>
        </is>
      </c>
      <c r="H168" s="42" t="inlineStr">
        <is>
          <t>SERVIÇO</t>
        </is>
      </c>
      <c r="I168" s="43">
        <f>IF(H168="Unidade Construtiva",TEXT(A168,"00"),IF(H168="Célula Construtiva",TEXT(B168,"00"),IF(H168="Etapa",CONCATENATE(TEXT(B168,"00"),".",TEXT(C168,"000")),IF(H168="Subetapa",CONCATENATE(TEXT(B168,"00"),".",TEXT(C168,"000"),".",TEXT(D168,"000")),IF(H168="Serviço",CONCATENATE(TEXT(B168,"00"),".",TEXT(C168,"000"),".",TEXT(D168,"000"),".",TEXT(E168,"000")),"")))))</f>
        <v/>
      </c>
      <c r="J168" s="48" t="inlineStr">
        <is>
          <t>Mão de obra impermeabilização de superfície com manta asfáltica</t>
        </is>
      </c>
      <c r="K168" s="45" t="inlineStr">
        <is>
          <t>m2</t>
        </is>
      </c>
      <c r="L168" s="46">
        <f>L150+L160+L162</f>
        <v/>
      </c>
      <c r="M168" s="46" t="n">
        <v>45</v>
      </c>
      <c r="N168" s="47">
        <f>IF(H168="Serviço",M168*L168,IF(H168="CÉLULA CONSTRUTIVA",SUMIFS($N$118:$N$438,$B$118:$B$438,B168,$H$118:$H$438,"Serviço"),IF(H168="ETAPA",SUMIFS($N$118:$N$438,$B$118:$B$438,B168,$C$118:$C$438,C168,$H$118:$H$438,"Serviço"),IF(H168="SUBETAPA",SUMIFS($N$118:$N$438,$B$118:$B$438,B168,$C$118:$C$438,C168,$D$118:$D$438,D168,$H$118:$H$438,"Serviço"),0))))</f>
        <v/>
      </c>
      <c r="O168" s="45" t="n"/>
      <c r="P168" s="46" t="n"/>
      <c r="Q168" s="46" t="n"/>
      <c r="R168" s="47" t="n"/>
      <c r="S168" s="123" t="n"/>
      <c r="U168" s="49" t="n"/>
      <c r="V168" s="134" t="n"/>
    </row>
    <row r="169" outlineLevel="2" ht="13.8" customFormat="1" customHeight="1" s="31">
      <c r="A169" s="217">
        <f>IF($H169="UNIDADE CONSTRUTIVA",OFFSET(A169,-1,0)+1,LARGE(A$3:A163,1))</f>
        <v/>
      </c>
      <c r="B169" s="217">
        <f>IF(H169="UNIDADE CONSTRUTIVA",0,IF(H169="CÉLULA CONSTRUTIVA",OFFSET(B169,-1,0)+1,OFFSET(B169,-1,0)))</f>
        <v/>
      </c>
      <c r="C169" s="217">
        <f>IF(H169="CÉLULA CONSTRUTIVA",0,IF(H169="ETAPA",OFFSET(C169,-1,0)+1,OFFSET(C169,-1,0)))</f>
        <v/>
      </c>
      <c r="D169" s="218">
        <f>IF(H169="ETAPA",0,IF(H169="SUBETAPA",OFFSET(D169,-1,0)+1,OFFSET(D169,-1,0)))</f>
        <v/>
      </c>
      <c r="E169" s="218">
        <f>IF(H169="Subetapa",0,IF(H169="serviço",OFFSET(E169,-1,0)+1,OFFSET(E169,-1,0)))</f>
        <v/>
      </c>
      <c r="G169" s="124" t="inlineStr">
        <is>
          <t>IMPERMEABILIZAÇÃO E TRATAMENTOS</t>
        </is>
      </c>
      <c r="H169" s="42" t="inlineStr">
        <is>
          <t>SERVIÇO</t>
        </is>
      </c>
      <c r="I169" s="43">
        <f>IF(H169="Unidade Construtiva",TEXT(A169,"00"),IF(H169="Célula Construtiva",TEXT(B169,"00"),IF(H169="Etapa",CONCATENATE(TEXT(B169,"00"),".",TEXT(C169,"000")),IF(H169="Subetapa",CONCATENATE(TEXT(B169,"00"),".",TEXT(C169,"000"),".",TEXT(D169,"000")),IF(H169="Serviço",CONCATENATE(TEXT(B169,"00"),".",TEXT(C169,"000"),".",TEXT(D169,"000"),".",TEXT(E169,"000")),"")))))</f>
        <v/>
      </c>
      <c r="J169" s="48" t="inlineStr">
        <is>
          <t>Mão de obra impermeabilização de aspersão de CWS</t>
        </is>
      </c>
      <c r="K169" s="45" t="inlineStr">
        <is>
          <t>m2</t>
        </is>
      </c>
      <c r="L169" s="46">
        <f>L152</f>
        <v/>
      </c>
      <c r="M169" s="46" t="n">
        <v>27.4</v>
      </c>
      <c r="N169" s="47">
        <f>IF(H169="Serviço",M169*L169,IF(H169="CÉLULA CONSTRUTIVA",SUMIFS($N$118:$N$438,$B$118:$B$438,B169,$H$118:$H$438,"Serviço"),IF(H169="ETAPA",SUMIFS($N$118:$N$438,$B$118:$B$438,B169,$C$118:$C$438,C169,$H$118:$H$438,"Serviço"),IF(H169="SUBETAPA",SUMIFS($N$118:$N$438,$B$118:$B$438,B169,$C$118:$C$438,C169,$D$118:$D$438,D169,$H$118:$H$438,"Serviço"),0))))</f>
        <v/>
      </c>
      <c r="O169" s="45" t="n"/>
      <c r="P169" s="46" t="n"/>
      <c r="Q169" s="46" t="n"/>
      <c r="R169" s="47" t="n"/>
      <c r="S169" s="123" t="n"/>
      <c r="U169" s="49" t="n"/>
      <c r="V169" s="134" t="n"/>
    </row>
    <row r="170" outlineLevel="2" ht="13.8" customFormat="1" customHeight="1" s="31">
      <c r="A170" s="217">
        <f>IF($H170="UNIDADE CONSTRUTIVA",OFFSET(A170,-1,0)+1,LARGE(A$3:A168,1))</f>
        <v/>
      </c>
      <c r="B170" s="217">
        <f>IF(H170="UNIDADE CONSTRUTIVA",0,IF(H170="CÉLULA CONSTRUTIVA",OFFSET(B170,-1,0)+1,OFFSET(B170,-1,0)))</f>
        <v/>
      </c>
      <c r="C170" s="217">
        <f>IF(H170="CÉLULA CONSTRUTIVA",0,IF(H170="ETAPA",OFFSET(C170,-1,0)+1,OFFSET(C170,-1,0)))</f>
        <v/>
      </c>
      <c r="D170" s="218">
        <f>IF(H170="ETAPA",0,IF(H170="SUBETAPA",OFFSET(D170,-1,0)+1,OFFSET(D170,-1,0)))</f>
        <v/>
      </c>
      <c r="E170" s="218">
        <f>IF(H170="Subetapa",0,IF(H170="serviço",OFFSET(E170,-1,0)+1,OFFSET(E170,-1,0)))</f>
        <v/>
      </c>
      <c r="G170" s="124" t="inlineStr">
        <is>
          <t>IMPERMEABILIZAÇÃO E TRATAMENTOS</t>
        </is>
      </c>
      <c r="H170" s="42" t="inlineStr">
        <is>
          <t>SERVIÇO</t>
        </is>
      </c>
      <c r="I170" s="43">
        <f>IF(H170="Unidade Construtiva",TEXT(A170,"00"),IF(H170="Célula Construtiva",TEXT(B170,"00"),IF(H170="Etapa",CONCATENATE(TEXT(B170,"00"),".",TEXT(C170,"000")),IF(H170="Subetapa",CONCATENATE(TEXT(B170,"00"),".",TEXT(C170,"000"),".",TEXT(D170,"000")),IF(H170="Serviço",CONCATENATE(TEXT(B170,"00"),".",TEXT(C170,"000"),".",TEXT(D170,"000"),".",TEXT(E170,"000")),"")))))</f>
        <v/>
      </c>
      <c r="J170" s="48" t="inlineStr">
        <is>
          <t>Mão de obra impermeabilização com manta liquida em peitoris</t>
        </is>
      </c>
      <c r="K170" s="45" t="inlineStr">
        <is>
          <t>m2</t>
        </is>
      </c>
      <c r="L170" s="46">
        <f>L156</f>
        <v/>
      </c>
      <c r="M170" s="46" t="n">
        <v>30</v>
      </c>
      <c r="N170" s="47">
        <f>IF(H170="Serviço",M170*L170,IF(H170="CÉLULA CONSTRUTIVA",SUMIFS($N$118:$N$438,$B$118:$B$438,B170,$H$118:$H$438,"Serviço"),IF(H170="ETAPA",SUMIFS($N$118:$N$438,$B$118:$B$438,B170,$C$118:$C$438,C170,$H$118:$H$438,"Serviço"),IF(H170="SUBETAPA",SUMIFS($N$118:$N$438,$B$118:$B$438,B170,$C$118:$C$438,C170,$D$118:$D$438,D170,$H$118:$H$438,"Serviço"),0))))</f>
        <v/>
      </c>
      <c r="O170" s="45" t="n"/>
      <c r="P170" s="46" t="n"/>
      <c r="Q170" s="46" t="n"/>
      <c r="R170" s="47" t="n"/>
      <c r="S170" s="123" t="n"/>
      <c r="U170" s="49" t="n"/>
      <c r="V170" s="134" t="n"/>
    </row>
    <row r="171" outlineLevel="2" ht="13.8" customFormat="1" customHeight="1" s="31">
      <c r="A171" s="217">
        <f>IF($H171="UNIDADE CONSTRUTIVA",OFFSET(A171,-1,0)+1,LARGE(A$3:A169,1))</f>
        <v/>
      </c>
      <c r="B171" s="217">
        <f>IF(H171="UNIDADE CONSTRUTIVA",0,IF(H171="CÉLULA CONSTRUTIVA",OFFSET(B171,-1,0)+1,OFFSET(B171,-1,0)))</f>
        <v/>
      </c>
      <c r="C171" s="217">
        <f>IF(H171="CÉLULA CONSTRUTIVA",0,IF(H171="ETAPA",OFFSET(C171,-1,0)+1,OFFSET(C171,-1,0)))</f>
        <v/>
      </c>
      <c r="D171" s="218">
        <f>IF(H171="ETAPA",0,IF(H171="SUBETAPA",OFFSET(D171,-1,0)+1,OFFSET(D171,-1,0)))</f>
        <v/>
      </c>
      <c r="E171" s="218">
        <f>IF(H171="Subetapa",0,IF(H171="serviço",OFFSET(E171,-1,0)+1,OFFSET(E171,-1,0)))</f>
        <v/>
      </c>
      <c r="G171" s="124" t="inlineStr">
        <is>
          <t>IMPERMEABILIZAÇÃO E TRATAMENTOS</t>
        </is>
      </c>
      <c r="H171" s="42" t="inlineStr">
        <is>
          <t>SERVIÇO</t>
        </is>
      </c>
      <c r="I171" s="43">
        <f>IF(H171="Unidade Construtiva",TEXT(A171,"00"),IF(H171="Célula Construtiva",TEXT(B171,"00"),IF(H171="Etapa",CONCATENATE(TEXT(B171,"00"),".",TEXT(C171,"000")),IF(H171="Subetapa",CONCATENATE(TEXT(B171,"00"),".",TEXT(C171,"000"),".",TEXT(D171,"000")),IF(H171="Serviço",CONCATENATE(TEXT(B171,"00"),".",TEXT(C171,"000"),".",TEXT(D171,"000"),".",TEXT(E171,"000")),"")))))</f>
        <v/>
      </c>
      <c r="J171" s="48" t="inlineStr">
        <is>
          <t>Mão de obra tratamento de ralo com manta de poliéster</t>
        </is>
      </c>
      <c r="K171" s="45" t="inlineStr">
        <is>
          <t>m2</t>
        </is>
      </c>
      <c r="L171" s="46">
        <f>L158</f>
        <v/>
      </c>
      <c r="M171" s="46" t="n">
        <v>50</v>
      </c>
      <c r="N171" s="47">
        <f>IF(H171="Serviço",M171*L171,IF(H171="CÉLULA CONSTRUTIVA",SUMIFS($N$118:$N$438,$B$118:$B$438,B171,$H$118:$H$438,"Serviço"),IF(H171="ETAPA",SUMIFS($N$118:$N$438,$B$118:$B$438,B171,$C$118:$C$438,C171,$H$118:$H$438,"Serviço"),IF(H171="SUBETAPA",SUMIFS($N$118:$N$438,$B$118:$B$438,B171,$C$118:$C$438,C171,$D$118:$D$438,D171,$H$118:$H$438,"Serviço"),0))))</f>
        <v/>
      </c>
      <c r="O171" s="45" t="n"/>
      <c r="P171" s="46" t="n"/>
      <c r="Q171" s="46" t="n"/>
      <c r="R171" s="47" t="n"/>
      <c r="S171" s="123" t="n"/>
      <c r="U171" s="49" t="n"/>
      <c r="V171" s="134" t="n"/>
    </row>
    <row r="172" ht="13.5" customFormat="1" customHeight="1" s="143">
      <c r="A172" s="217">
        <f>IF($H172="UNIDADE CONSTRUTIVA",OFFSET(A172,-1,0)+1,LARGE(A$3:A171,1))</f>
        <v/>
      </c>
      <c r="B172" s="217">
        <f>IF(H172="UNIDADE CONSTRUTIVA",0,IF(H172="CÉLULA CONSTRUTIVA",OFFSET(B172,-1,0)+1,OFFSET(B172,-1,0)))</f>
        <v/>
      </c>
      <c r="C172" s="217">
        <f>IF(H172="CÉLULA CONSTRUTIVA",0,IF(H172="ETAPA",OFFSET(C172,-1,0)+1,OFFSET(C172,-1,0)))</f>
        <v/>
      </c>
      <c r="D172" s="218">
        <f>IF(H172="ETAPA",0,IF(H172="SUBETAPA",OFFSET(D172,-1,0)+1,OFFSET(D172,-1,0)))</f>
        <v/>
      </c>
      <c r="E172" s="218">
        <f>IF(H172="Subetapa",0,IF(H172="serviço",OFFSET(E172,-1,0)+1,OFFSET(E172,-1,0)))</f>
        <v/>
      </c>
      <c r="F172" s="190" t="n"/>
      <c r="G172" s="111" t="n"/>
      <c r="H172" s="136" t="inlineStr">
        <is>
          <t>CÉLULA CONSTRUTIVA</t>
        </is>
      </c>
      <c r="I172" s="137">
        <f>IF(H172="Unidade Construtiva",TEXT(A172,"00"),IF(H172="Célula Construtiva",TEXT(B172,"00"),IF(H172="Etapa",CONCATENATE(TEXT(B172,"00"),".",TEXT(C172,"000")),IF(H172="Subetapa",CONCATENATE(TEXT(B172,"00"),".",TEXT(C172,"000"),".",TEXT(D172,"000")),IF(H172="Serviço",CONCATENATE(TEXT(B172,"00"),".",TEXT(C172,"000"),".",TEXT(D172,"000"),".",TEXT(E172,"000")),"")))))</f>
        <v/>
      </c>
      <c r="J172" s="138" t="inlineStr">
        <is>
          <t>SISTEMAS E INSTALAÇÕES HIDROSSANITÁRIAS E DRENAGEM</t>
        </is>
      </c>
      <c r="K172" s="139" t="n"/>
      <c r="L172" s="140" t="n"/>
      <c r="M172" s="140" t="n"/>
      <c r="N172" s="141">
        <f>IF(H172="Serviço",M172*L172,IF(H172="CÉLULA CONSTRUTIVA",SUMIFS($N$8:$N$754,$B$8:$B$754,B172,$H$8:$H$754,"Serviço"),IF(H172="ETAPA",SUMIFS($N$8:$N$754,$B$8:$B$754,B172,$C$8:$C$754,C172,$H$8:$H$754,"Serviço"),IF(H172="SUBETAPA",SUMIFS($N$8:$N$754,$B$8:$B$754,B172,$C$8:$C$754,C172,$D$8:$D$754,D172,$H$8:$H$754,"Serviço"),0))))</f>
        <v/>
      </c>
      <c r="O172" s="139" t="n"/>
      <c r="P172" s="140" t="n"/>
      <c r="Q172" s="140" t="n"/>
      <c r="R172" s="141" t="n"/>
      <c r="S172" s="142" t="n"/>
    </row>
    <row r="173" outlineLevel="1" ht="13.5" customFormat="1" customHeight="1" s="143">
      <c r="A173" s="220">
        <f>IF($H173="UNIDADE CONSTRUTIVA",OFFSET(A173,-1,0)+1,LARGE(A$3:A172,1))</f>
        <v/>
      </c>
      <c r="B173" s="220">
        <f>IF(H173="UNIDADE CONSTRUTIVA",0,IF(H173="CÉLULA CONSTRUTIVA",OFFSET(B173,-1,0)+1,OFFSET(B173,-1,0)))</f>
        <v/>
      </c>
      <c r="C173" s="220">
        <f>IF(H173="CÉLULA CONSTRUTIVA",0,IF(H173="ETAPA",OFFSET(C173,-1,0)+1,OFFSET(C173,-1,0)))</f>
        <v/>
      </c>
      <c r="D173" s="221">
        <f>IF(H173="ETAPA",0,IF(H173="SUBETAPA",OFFSET(D173,-1,0)+1,OFFSET(D173,-1,0)))</f>
        <v/>
      </c>
      <c r="E173" s="221">
        <f>IF(H173="Subetapa",0,IF(H173="serviço",OFFSET(E173,-1,0)+1,OFFSET(E173,-1,0)))</f>
        <v/>
      </c>
      <c r="F173" s="191" t="n"/>
      <c r="G173" s="146" t="n"/>
      <c r="H173" s="136" t="inlineStr">
        <is>
          <t>ETAPA</t>
        </is>
      </c>
      <c r="I173" s="137">
        <f>IF(H173="Unidade Construtiva",TEXT(A173,"00"),IF(H173="Célula Construtiva",TEXT(B173,"00"),IF(H173="Etapa",CONCATENATE(TEXT(B173,"00"),".",TEXT(C173,"000")),IF(H173="Subetapa",CONCATENATE(TEXT(B173,"00"),".",TEXT(C173,"000"),".",TEXT(D173,"000")),IF(H173="Serviço",CONCATENATE(TEXT(B173,"00"),".",TEXT(C173,"000"),".",TEXT(D173,"000"),".",TEXT(E173,"000")),"")))))</f>
        <v/>
      </c>
      <c r="J173" s="138" t="inlineStr">
        <is>
          <t>SISTEMAS E INSTALAÇÕES HIDROSSANITÁRIAS E DRENAGEM</t>
        </is>
      </c>
      <c r="K173" s="139" t="n"/>
      <c r="L173" s="140" t="n"/>
      <c r="M173" s="140" t="n"/>
      <c r="N173" s="141">
        <f>IF(H173="Serviço",M173*L173,IF(H173="CÉLULA CONSTRUTIVA",SUMIFS($N$8:$N$754,$B$8:$B$754,B173,$H$8:$H$754,"Serviço"),IF(H173="ETAPA",SUMIFS($N$8:$N$754,$B$8:$B$754,B173,$C$8:$C$754,C173,$H$8:$H$754,"Serviço"),IF(H173="SUBETAPA",SUMIFS($N$8:$N$754,$B$8:$B$754,B173,$C$8:$C$754,C173,$D$8:$D$754,D173,$H$8:$H$754,"Serviço"),0))))</f>
        <v/>
      </c>
      <c r="O173" s="139" t="n"/>
      <c r="P173" s="140" t="n"/>
      <c r="Q173" s="140" t="n"/>
      <c r="R173" s="141" t="n"/>
      <c r="S173" s="142" t="n"/>
      <c r="T173" s="142" t="n"/>
      <c r="U173" s="142" t="n"/>
      <c r="V173" s="191" t="n"/>
      <c r="W173" s="191" t="n"/>
      <c r="X173" s="191" t="n"/>
      <c r="Y173" s="191" t="n"/>
      <c r="Z173" s="191" t="n"/>
      <c r="AA173" s="191" t="n"/>
      <c r="AB173" s="191" t="n"/>
    </row>
    <row r="174" outlineLevel="1" ht="13.5" customFormat="1" customHeight="1" s="143">
      <c r="A174" s="220">
        <f>IF($H174="UNIDADE CONSTRUTIVA",OFFSET(A174,-1,0)+1,LARGE(A$3:A173,1))</f>
        <v/>
      </c>
      <c r="B174" s="220">
        <f>IF(H174="UNIDADE CONSTRUTIVA",0,IF(H174="CÉLULA CONSTRUTIVA",OFFSET(B174,-1,0)+1,OFFSET(B174,-1,0)))</f>
        <v/>
      </c>
      <c r="C174" s="220">
        <f>IF(H174="CÉLULA CONSTRUTIVA",0,IF(H174="ETAPA",OFFSET(C174,-1,0)+1,OFFSET(C174,-1,0)))</f>
        <v/>
      </c>
      <c r="D174" s="221">
        <f>IF(H174="ETAPA",0,IF(H174="SUBETAPA",OFFSET(D174,-1,0)+1,OFFSET(D174,-1,0)))</f>
        <v/>
      </c>
      <c r="E174" s="221">
        <f>IF(H174="Subetapa",0,IF(H174="serviço",OFFSET(E174,-1,0)+1,OFFSET(E174,-1,0)))</f>
        <v/>
      </c>
      <c r="F174" s="191" t="n"/>
      <c r="G174" s="146" t="n"/>
      <c r="H174" s="136" t="inlineStr">
        <is>
          <t>SUBETAPA</t>
        </is>
      </c>
      <c r="I174" s="137">
        <f>IF(H174="Unidade Construtiva",TEXT(A174,"00"),IF(H174="Célula Construtiva",TEXT(B174,"00"),IF(H174="Etapa",CONCATENATE(TEXT(B174,"00"),".",TEXT(C174,"000")),IF(H174="Subetapa",CONCATENATE(TEXT(B174,"00"),".",TEXT(C174,"000"),".",TEXT(D174,"000")),IF(H174="Serviço",CONCATENATE(TEXT(B174,"00"),".",TEXT(C174,"000"),".",TEXT(D174,"000"),".",TEXT(E174,"000")),"")))))</f>
        <v/>
      </c>
      <c r="J174" s="138" t="inlineStr">
        <is>
          <t>Instalações de água fria</t>
        </is>
      </c>
      <c r="K174" s="139" t="n"/>
      <c r="L174" s="140" t="n"/>
      <c r="M174" s="140" t="n"/>
      <c r="N174" s="141">
        <f>IF(H174="Serviço",M174*L174,IF(H174="CÉLULA CONSTRUTIVA",SUMIFS($N$8:$N$754,$B$8:$B$754,B174,$H$8:$H$754,"Serviço"),IF(H174="ETAPA",SUMIFS($N$8:$N$754,$B$8:$B$754,B174,$C$8:$C$754,C174,$H$8:$H$754,"Serviço"),IF(H174="SUBETAPA",SUMIFS($N$8:$N$754,$B$8:$B$754,B174,$C$8:$C$754,C174,$D$8:$D$754,D174,$H$8:$H$754,"Serviço"),0))))</f>
        <v/>
      </c>
      <c r="O174" s="139" t="n"/>
      <c r="P174" s="140" t="n"/>
      <c r="Q174" s="140" t="n"/>
      <c r="R174" s="222" t="inlineStr">
        <is>
          <t>06.001.001.001 - Instalações de água fria</t>
        </is>
      </c>
      <c r="S174" s="142" t="n"/>
      <c r="T174" s="142" t="n"/>
      <c r="U174" s="142" t="n"/>
      <c r="V174" s="191" t="n"/>
      <c r="W174" s="191" t="n"/>
      <c r="X174" s="191" t="n"/>
      <c r="Y174" s="191" t="n"/>
      <c r="Z174" s="191" t="n"/>
      <c r="AA174" s="191" t="n"/>
      <c r="AB174" s="191" t="n"/>
    </row>
    <row r="175" outlineLevel="2" ht="13.5" customFormat="1" customHeight="1" s="143">
      <c r="A175" s="220">
        <f>IF($H175="UNIDADE CONSTRUTIVA",OFFSET(A175,-1,0)+1,LARGE(A$3:A174,1))</f>
        <v/>
      </c>
      <c r="B175" s="220">
        <f>IF(H175="UNIDADE CONSTRUTIVA",0,IF(H175="CÉLULA CONSTRUTIVA",OFFSET(B175,-1,0)+1,OFFSET(B175,-1,0)))</f>
        <v/>
      </c>
      <c r="C175" s="220">
        <f>IF(H175="CÉLULA CONSTRUTIVA",0,IF(H175="ETAPA",OFFSET(C175,-1,0)+1,OFFSET(C175,-1,0)))</f>
        <v/>
      </c>
      <c r="D175" s="221">
        <f>IF(H175="ETAPA",0,IF(H175="SUBETAPA",OFFSET(D175,-1,0)+1,OFFSET(D175,-1,0)))</f>
        <v/>
      </c>
      <c r="E175" s="221">
        <f>IF(H175="Subetapa",0,IF(H175="serviço",OFFSET(E175,-1,0)+1,OFFSET(E175,-1,0)))</f>
        <v/>
      </c>
      <c r="F175" s="191" t="n"/>
      <c r="G175" s="146" t="inlineStr">
        <is>
          <t>SISTEMAS E INSTALAÇÕES HIDROSSANITÁRIAS E DRENAGEM</t>
        </is>
      </c>
      <c r="H175" s="136" t="inlineStr">
        <is>
          <t>SERVIÇO</t>
        </is>
      </c>
      <c r="I175" s="137">
        <f>IF(H175="Unidade Construtiva",TEXT(A175,"00"),IF(H175="Célula Construtiva",TEXT(B175,"00"),IF(H175="Etapa",CONCATENATE(TEXT(B175,"00"),".",TEXT(C175,"000")),IF(H175="Subetapa",CONCATENATE(TEXT(B175,"00"),".",TEXT(C175,"000"),".",TEXT(D175,"000")),IF(H175="Serviço",CONCATENATE(TEXT(B175,"00"),".",TEXT(C175,"000"),".",TEXT(D175,"000"),".",TEXT(E175,"000")),"")))))</f>
        <v/>
      </c>
      <c r="J175" s="138" t="inlineStr">
        <is>
          <t>Instalações de água fria</t>
        </is>
      </c>
      <c r="K175" s="139" t="inlineStr">
        <is>
          <t>vb</t>
        </is>
      </c>
      <c r="L175" s="140" t="n">
        <v>1</v>
      </c>
      <c r="M175" s="140" t="n">
        <v>96352.71200655235</v>
      </c>
      <c r="N175" s="141">
        <f>IF(H175="Serviço",M175*L175,IF(H175="CÉLULA CONSTRUTIVA",SUMIFS($N$8:$N$754,$B$8:$B$754,B175,$H$8:$H$754,"Serviço"),IF(H175="ETAPA",SUMIFS($N$8:$N$754,$B$8:$B$754,B175,$C$8:$C$754,C175,$H$8:$H$754,"Serviço"),IF(H175="SUBETAPA",SUMIFS($N$8:$N$754,$B$8:$B$754,B175,$C$8:$C$754,C175,$D$8:$D$754,D175,$H$8:$H$754,"Serviço"),0))))</f>
        <v/>
      </c>
      <c r="O175" s="139" t="n"/>
      <c r="P175" s="140" t="n"/>
      <c r="Q175" s="140" t="n"/>
      <c r="R175" s="141" t="n"/>
      <c r="S175" s="142" t="n"/>
      <c r="T175" s="142" t="n"/>
      <c r="U175" s="142" t="n"/>
      <c r="V175" s="191" t="n"/>
      <c r="W175" s="191" t="n"/>
      <c r="X175" s="191" t="n"/>
      <c r="Y175" s="191" t="n"/>
      <c r="Z175" s="191" t="n"/>
      <c r="AA175" s="191" t="n"/>
      <c r="AB175" s="191" t="n"/>
    </row>
    <row r="176" outlineLevel="1" ht="13.5" customFormat="1" customHeight="1" s="143">
      <c r="A176" s="220">
        <f>IF($H176="UNIDADE CONSTRUTIVA",OFFSET(A176,-1,0)+1,LARGE(A$3:A175,1))</f>
        <v/>
      </c>
      <c r="B176" s="220">
        <f>IF(H176="UNIDADE CONSTRUTIVA",0,IF(H176="CÉLULA CONSTRUTIVA",OFFSET(B176,-1,0)+1,OFFSET(B176,-1,0)))</f>
        <v/>
      </c>
      <c r="C176" s="220">
        <f>IF(H176="CÉLULA CONSTRUTIVA",0,IF(H176="ETAPA",OFFSET(C176,-1,0)+1,OFFSET(C176,-1,0)))</f>
        <v/>
      </c>
      <c r="D176" s="221">
        <f>IF(H176="ETAPA",0,IF(H176="SUBETAPA",OFFSET(D176,-1,0)+1,OFFSET(D176,-1,0)))</f>
        <v/>
      </c>
      <c r="E176" s="221">
        <f>IF(H176="Subetapa",0,IF(H176="serviço",OFFSET(E176,-1,0)+1,OFFSET(E176,-1,0)))</f>
        <v/>
      </c>
      <c r="F176" s="191" t="n"/>
      <c r="G176" s="146" t="n"/>
      <c r="H176" s="136" t="inlineStr">
        <is>
          <t>SUBETAPA</t>
        </is>
      </c>
      <c r="I176" s="137">
        <f>IF(H176="Unidade Construtiva",TEXT(A176,"00"),IF(H176="Célula Construtiva",TEXT(B176,"00"),IF(H176="Etapa",CONCATENATE(TEXT(B176,"00"),".",TEXT(C176,"000")),IF(H176="Subetapa",CONCATENATE(TEXT(B176,"00"),".",TEXT(C176,"000"),".",TEXT(D176,"000")),IF(H176="Serviço",CONCATENATE(TEXT(B176,"00"),".",TEXT(C176,"000"),".",TEXT(D176,"000"),".",TEXT(E176,"000")),"")))))</f>
        <v/>
      </c>
      <c r="J176" s="138" t="inlineStr">
        <is>
          <t>Instalações de água quente</t>
        </is>
      </c>
      <c r="K176" s="139" t="n"/>
      <c r="L176" s="140" t="n"/>
      <c r="M176" s="140" t="n"/>
      <c r="N176" s="141">
        <f>IF(H176="Serviço",M176*L176,IF(H176="CÉLULA CONSTRUTIVA",SUMIFS($N$8:$N$754,$B$8:$B$754,B176,$H$8:$H$754,"Serviço"),IF(H176="ETAPA",SUMIFS($N$8:$N$754,$B$8:$B$754,B176,$C$8:$C$754,C176,$H$8:$H$754,"Serviço"),IF(H176="SUBETAPA",SUMIFS($N$8:$N$754,$B$8:$B$754,B176,$C$8:$C$754,C176,$D$8:$D$754,D176,$H$8:$H$754,"Serviço"),0))))</f>
        <v/>
      </c>
      <c r="O176" s="139" t="n"/>
      <c r="P176" s="140" t="n"/>
      <c r="Q176" s="140" t="n"/>
      <c r="R176" s="222" t="inlineStr">
        <is>
          <t>06.001.002.001 - Instalações de água quente</t>
        </is>
      </c>
      <c r="S176" s="142" t="n"/>
      <c r="T176" s="142" t="n"/>
      <c r="U176" s="142" t="n"/>
      <c r="V176" s="191" t="n"/>
      <c r="W176" s="191" t="n"/>
      <c r="X176" s="191" t="n"/>
      <c r="Y176" s="191" t="n"/>
      <c r="Z176" s="191" t="n"/>
      <c r="AA176" s="191" t="n"/>
      <c r="AB176" s="191" t="n"/>
    </row>
    <row r="177" outlineLevel="2" ht="13.5" customFormat="1" customHeight="1" s="143">
      <c r="A177" s="220">
        <f>IF($H177="UNIDADE CONSTRUTIVA",OFFSET(A177,-1,0)+1,LARGE(A$3:A176,1))</f>
        <v/>
      </c>
      <c r="B177" s="220">
        <f>IF(H177="UNIDADE CONSTRUTIVA",0,IF(H177="CÉLULA CONSTRUTIVA",OFFSET(B177,-1,0)+1,OFFSET(B177,-1,0)))</f>
        <v/>
      </c>
      <c r="C177" s="220">
        <f>IF(H177="CÉLULA CONSTRUTIVA",0,IF(H177="ETAPA",OFFSET(C177,-1,0)+1,OFFSET(C177,-1,0)))</f>
        <v/>
      </c>
      <c r="D177" s="221">
        <f>IF(H177="ETAPA",0,IF(H177="SUBETAPA",OFFSET(D177,-1,0)+1,OFFSET(D177,-1,0)))</f>
        <v/>
      </c>
      <c r="E177" s="221">
        <f>IF(H177="Subetapa",0,IF(H177="serviço",OFFSET(E177,-1,0)+1,OFFSET(E177,-1,0)))</f>
        <v/>
      </c>
      <c r="F177" s="191" t="n"/>
      <c r="G177" s="146" t="inlineStr">
        <is>
          <t>SISTEMAS E INSTALAÇÕES HIDROSSANITÁRIAS E DRENAGEM</t>
        </is>
      </c>
      <c r="H177" s="136" t="inlineStr">
        <is>
          <t>SERVIÇO</t>
        </is>
      </c>
      <c r="I177" s="137">
        <f>IF(H177="Unidade Construtiva",TEXT(A177,"00"),IF(H177="Célula Construtiva",TEXT(B177,"00"),IF(H177="Etapa",CONCATENATE(TEXT(B177,"00"),".",TEXT(C177,"000")),IF(H177="Subetapa",CONCATENATE(TEXT(B177,"00"),".",TEXT(C177,"000"),".",TEXT(D177,"000")),IF(H177="Serviço",CONCATENATE(TEXT(B177,"00"),".",TEXT(C177,"000"),".",TEXT(D177,"000"),".",TEXT(E177,"000")),"")))))</f>
        <v/>
      </c>
      <c r="J177" s="138" t="inlineStr">
        <is>
          <t>Instalações de água quente</t>
        </is>
      </c>
      <c r="K177" s="139" t="inlineStr">
        <is>
          <t>vb</t>
        </is>
      </c>
      <c r="L177" s="140" t="n">
        <v>1</v>
      </c>
      <c r="M177" s="140" t="n">
        <v>72648.73644889047</v>
      </c>
      <c r="N177" s="141">
        <f>IF(H177="Serviço",M177*L177,IF(H177="CÉLULA CONSTRUTIVA",SUMIFS($N$8:$N$754,$B$8:$B$754,B177,$H$8:$H$754,"Serviço"),IF(H177="ETAPA",SUMIFS($N$8:$N$754,$B$8:$B$754,B177,$C$8:$C$754,C177,$H$8:$H$754,"Serviço"),IF(H177="SUBETAPA",SUMIFS($N$8:$N$754,$B$8:$B$754,B177,$C$8:$C$754,C177,$D$8:$D$754,D177,$H$8:$H$754,"Serviço"),0))))</f>
        <v/>
      </c>
      <c r="O177" s="139" t="n"/>
      <c r="P177" s="140" t="n"/>
      <c r="Q177" s="140" t="n"/>
      <c r="R177" s="141" t="n"/>
      <c r="S177" s="142" t="n"/>
      <c r="T177" s="142" t="n"/>
      <c r="U177" s="142" t="n"/>
      <c r="V177" s="191" t="n"/>
      <c r="W177" s="191" t="n"/>
      <c r="X177" s="191" t="n"/>
      <c r="Y177" s="191" t="n"/>
      <c r="Z177" s="191" t="n"/>
      <c r="AA177" s="191" t="n"/>
      <c r="AB177" s="191" t="n"/>
    </row>
    <row r="178" outlineLevel="1" ht="13.5" customFormat="1" customHeight="1" s="143">
      <c r="A178" s="220">
        <f>IF($H178="UNIDADE CONSTRUTIVA",OFFSET(A178,-1,0)+1,LARGE(A$3:A177,1))</f>
        <v/>
      </c>
      <c r="B178" s="220">
        <f>IF(H178="UNIDADE CONSTRUTIVA",0,IF(H178="CÉLULA CONSTRUTIVA",OFFSET(B178,-1,0)+1,OFFSET(B178,-1,0)))</f>
        <v/>
      </c>
      <c r="C178" s="220">
        <f>IF(H178="CÉLULA CONSTRUTIVA",0,IF(H178="ETAPA",OFFSET(C178,-1,0)+1,OFFSET(C178,-1,0)))</f>
        <v/>
      </c>
      <c r="D178" s="221">
        <f>IF(H178="ETAPA",0,IF(H178="SUBETAPA",OFFSET(D178,-1,0)+1,OFFSET(D178,-1,0)))</f>
        <v/>
      </c>
      <c r="E178" s="221">
        <f>IF(H178="Subetapa",0,IF(H178="serviço",OFFSET(E178,-1,0)+1,OFFSET(E178,-1,0)))</f>
        <v/>
      </c>
      <c r="F178" s="191" t="n"/>
      <c r="G178" s="146" t="n"/>
      <c r="H178" s="136" t="inlineStr">
        <is>
          <t>SUBETAPA</t>
        </is>
      </c>
      <c r="I178" s="137">
        <f>IF(H178="Unidade Construtiva",TEXT(A178,"00"),IF(H178="Célula Construtiva",TEXT(B178,"00"),IF(H178="Etapa",CONCATENATE(TEXT(B178,"00"),".",TEXT(C178,"000")),IF(H178="Subetapa",CONCATENATE(TEXT(B178,"00"),".",TEXT(C178,"000"),".",TEXT(D178,"000")),IF(H178="Serviço",CONCATENATE(TEXT(B178,"00"),".",TEXT(C178,"000"),".",TEXT(D178,"000"),".",TEXT(E178,"000")),"")))))</f>
        <v/>
      </c>
      <c r="J178" s="138" t="inlineStr">
        <is>
          <t>Instalações de esgoto e pluviais</t>
        </is>
      </c>
      <c r="K178" s="139" t="n"/>
      <c r="L178" s="140" t="n"/>
      <c r="M178" s="140" t="n"/>
      <c r="N178" s="141">
        <f>IF(H178="Serviço",M178*L178,IF(H178="CÉLULA CONSTRUTIVA",SUMIFS($N$8:$N$754,$B$8:$B$754,B178,$H$8:$H$754,"Serviço"),IF(H178="ETAPA",SUMIFS($N$8:$N$754,$B$8:$B$754,B178,$C$8:$C$754,C178,$H$8:$H$754,"Serviço"),IF(H178="SUBETAPA",SUMIFS($N$8:$N$754,$B$8:$B$754,B178,$C$8:$C$754,C178,$D$8:$D$754,D178,$H$8:$H$754,"Serviço"),0))))</f>
        <v/>
      </c>
      <c r="O178" s="139" t="n"/>
      <c r="P178" s="140" t="n"/>
      <c r="Q178" s="140" t="n"/>
      <c r="R178" s="222" t="inlineStr">
        <is>
          <t>06.001.003.001 - Instalações de esgoto e pluviais</t>
        </is>
      </c>
      <c r="S178" s="142" t="n"/>
      <c r="T178" s="142" t="n"/>
      <c r="U178" s="142" t="n"/>
      <c r="V178" s="191" t="n"/>
      <c r="W178" s="191" t="n"/>
      <c r="X178" s="191" t="n"/>
      <c r="Y178" s="191" t="n"/>
      <c r="Z178" s="191" t="n"/>
      <c r="AA178" s="191" t="n"/>
      <c r="AB178" s="191" t="n"/>
    </row>
    <row r="179" outlineLevel="2" ht="13.5" customFormat="1" customHeight="1" s="143">
      <c r="A179" s="220">
        <f>IF($H179="UNIDADE CONSTRUTIVA",OFFSET(A179,-1,0)+1,LARGE(A$3:A178,1))</f>
        <v/>
      </c>
      <c r="B179" s="220">
        <f>IF(H179="UNIDADE CONSTRUTIVA",0,IF(H179="CÉLULA CONSTRUTIVA",OFFSET(B179,-1,0)+1,OFFSET(B179,-1,0)))</f>
        <v/>
      </c>
      <c r="C179" s="220">
        <f>IF(H179="CÉLULA CONSTRUTIVA",0,IF(H179="ETAPA",OFFSET(C179,-1,0)+1,OFFSET(C179,-1,0)))</f>
        <v/>
      </c>
      <c r="D179" s="221">
        <f>IF(H179="ETAPA",0,IF(H179="SUBETAPA",OFFSET(D179,-1,0)+1,OFFSET(D179,-1,0)))</f>
        <v/>
      </c>
      <c r="E179" s="221">
        <f>IF(H179="Subetapa",0,IF(H179="serviço",OFFSET(E179,-1,0)+1,OFFSET(E179,-1,0)))</f>
        <v/>
      </c>
      <c r="F179" s="191" t="n"/>
      <c r="G179" s="146" t="inlineStr">
        <is>
          <t>SISTEMAS E INSTALAÇÕES HIDROSSANITÁRIAS E DRENAGEM</t>
        </is>
      </c>
      <c r="H179" s="136" t="inlineStr">
        <is>
          <t>SERVIÇO</t>
        </is>
      </c>
      <c r="I179" s="137">
        <f>IF(H179="Unidade Construtiva",TEXT(A179,"00"),IF(H179="Célula Construtiva",TEXT(B179,"00"),IF(H179="Etapa",CONCATENATE(TEXT(B179,"00"),".",TEXT(C179,"000")),IF(H179="Subetapa",CONCATENATE(TEXT(B179,"00"),".",TEXT(C179,"000"),".",TEXT(D179,"000")),IF(H179="Serviço",CONCATENATE(TEXT(B179,"00"),".",TEXT(C179,"000"),".",TEXT(D179,"000"),".",TEXT(E179,"000")),"")))))</f>
        <v/>
      </c>
      <c r="J179" s="138" t="inlineStr">
        <is>
          <t>Instalações de esgoto e pluviais</t>
        </is>
      </c>
      <c r="K179" s="139" t="inlineStr">
        <is>
          <t>vb</t>
        </is>
      </c>
      <c r="L179" s="140" t="n">
        <v>1</v>
      </c>
      <c r="M179" s="140" t="n">
        <v>142577.6962127155</v>
      </c>
      <c r="N179" s="141">
        <f>IF(H179="Serviço",M179*L179,IF(H179="CÉLULA CONSTRUTIVA",SUMIFS($N$8:$N$754,$B$8:$B$754,B179,$H$8:$H$754,"Serviço"),IF(H179="ETAPA",SUMIFS($N$8:$N$754,$B$8:$B$754,B179,$C$8:$C$754,C179,$H$8:$H$754,"Serviço"),IF(H179="SUBETAPA",SUMIFS($N$8:$N$754,$B$8:$B$754,B179,$C$8:$C$754,C179,$D$8:$D$754,D179,$H$8:$H$754,"Serviço"),0))))</f>
        <v/>
      </c>
      <c r="O179" s="139" t="n"/>
      <c r="P179" s="140" t="n"/>
      <c r="Q179" s="140" t="n"/>
      <c r="R179" s="141" t="n"/>
      <c r="S179" s="142" t="n"/>
      <c r="T179" s="142" t="n"/>
      <c r="U179" s="142" t="n"/>
      <c r="V179" s="191" t="n"/>
      <c r="W179" s="191" t="n"/>
      <c r="X179" s="191" t="n"/>
      <c r="Y179" s="191" t="n"/>
      <c r="Z179" s="191" t="n"/>
      <c r="AA179" s="191" t="n"/>
      <c r="AB179" s="191" t="n"/>
    </row>
    <row r="180" outlineLevel="1" ht="13.5" customFormat="1" customHeight="1" s="143">
      <c r="A180" s="220">
        <f>IF($H180="UNIDADE CONSTRUTIVA",OFFSET(A180,-1,0)+1,LARGE(A$3:A179,1))</f>
        <v/>
      </c>
      <c r="B180" s="220">
        <f>IF(H180="UNIDADE CONSTRUTIVA",0,IF(H180="CÉLULA CONSTRUTIVA",OFFSET(B180,-1,0)+1,OFFSET(B180,-1,0)))</f>
        <v/>
      </c>
      <c r="C180" s="220">
        <f>IF(H180="CÉLULA CONSTRUTIVA",0,IF(H180="ETAPA",OFFSET(C180,-1,0)+1,OFFSET(C180,-1,0)))</f>
        <v/>
      </c>
      <c r="D180" s="221">
        <f>IF(H180="ETAPA",0,IF(H180="SUBETAPA",OFFSET(D180,-1,0)+1,OFFSET(D180,-1,0)))</f>
        <v/>
      </c>
      <c r="E180" s="221">
        <f>IF(H180="Subetapa",0,IF(H180="serviço",OFFSET(E180,-1,0)+1,OFFSET(E180,-1,0)))</f>
        <v/>
      </c>
      <c r="F180" s="191" t="n"/>
      <c r="G180" s="146" t="n"/>
      <c r="H180" s="136" t="inlineStr">
        <is>
          <t>SUBETAPA</t>
        </is>
      </c>
      <c r="I180" s="137">
        <f>IF(H180="Unidade Construtiva",TEXT(A180,"00"),IF(H180="Célula Construtiva",TEXT(B180,"00"),IF(H180="Etapa",CONCATENATE(TEXT(B180,"00"),".",TEXT(C180,"000")),IF(H180="Subetapa",CONCATENATE(TEXT(B180,"00"),".",TEXT(C180,"000"),".",TEXT(D180,"000")),IF(H180="Serviço",CONCATENATE(TEXT(B180,"00"),".",TEXT(C180,"000"),".",TEXT(D180,"000"),".",TEXT(E180,"000")),"")))))</f>
        <v/>
      </c>
      <c r="J180" s="138" t="inlineStr">
        <is>
          <t>Cisterna</t>
        </is>
      </c>
      <c r="K180" s="139" t="n"/>
      <c r="L180" s="140" t="n"/>
      <c r="M180" s="140" t="n"/>
      <c r="N180" s="141">
        <f>IF(H180="Serviço",M180*L180,IF(H180="CÉLULA CONSTRUTIVA",SUMIFS($N$8:$N$754,$B$8:$B$754,B180,$H$8:$H$754,"Serviço"),IF(H180="ETAPA",SUMIFS($N$8:$N$754,$B$8:$B$754,B180,$C$8:$C$754,C180,$H$8:$H$754,"Serviço"),IF(H180="SUBETAPA",SUMIFS($N$8:$N$754,$B$8:$B$754,B180,$C$8:$C$754,C180,$D$8:$D$754,D180,$H$8:$H$754,"Serviço"),0))))</f>
        <v/>
      </c>
      <c r="O180" s="139" t="n"/>
      <c r="P180" s="140" t="n"/>
      <c r="Q180" s="140" t="n"/>
      <c r="R180" s="141" t="n"/>
      <c r="S180" s="148" t="n"/>
      <c r="T180" s="142" t="n"/>
      <c r="U180" s="142" t="n"/>
      <c r="V180" s="191" t="n"/>
      <c r="W180" s="191" t="n"/>
      <c r="X180" s="191" t="n"/>
      <c r="Y180" s="191" t="n"/>
      <c r="Z180" s="191" t="n"/>
      <c r="AA180" s="191" t="n"/>
      <c r="AB180" s="191" t="n"/>
    </row>
    <row r="181" outlineLevel="2" ht="13.5" customFormat="1" customHeight="1" s="143">
      <c r="A181" s="220">
        <f>IF($H181="UNIDADE CONSTRUTIVA",OFFSET(A181,-1,0)+1,LARGE(A$3:A180,1))</f>
        <v/>
      </c>
      <c r="B181" s="220">
        <f>IF(H181="UNIDADE CONSTRUTIVA",0,IF(H181="CÉLULA CONSTRUTIVA",OFFSET(B181,-1,0)+1,OFFSET(B181,-1,0)))</f>
        <v/>
      </c>
      <c r="C181" s="220">
        <f>IF(H181="CÉLULA CONSTRUTIVA",0,IF(H181="ETAPA",OFFSET(C181,-1,0)+1,OFFSET(C181,-1,0)))</f>
        <v/>
      </c>
      <c r="D181" s="221">
        <f>IF(H181="ETAPA",0,IF(H181="SUBETAPA",OFFSET(D181,-1,0)+1,OFFSET(D181,-1,0)))</f>
        <v/>
      </c>
      <c r="E181" s="221">
        <f>IF(H181="Subetapa",0,IF(H181="serviço",OFFSET(E181,-1,0)+1,OFFSET(E181,-1,0)))</f>
        <v/>
      </c>
      <c r="F181" s="191" t="n"/>
      <c r="G181" s="146" t="inlineStr">
        <is>
          <t>SISTEMAS E INSTALAÇÕES HIDROSSANITÁRIAS E DRENAGEM</t>
        </is>
      </c>
      <c r="H181" s="136" t="inlineStr">
        <is>
          <t>SERVIÇO</t>
        </is>
      </c>
      <c r="I181" s="137">
        <f>IF(H181="Unidade Construtiva",TEXT(A181,"00"),IF(H181="Célula Construtiva",TEXT(B181,"00"),IF(H181="Etapa",CONCATENATE(TEXT(B181,"00"),".",TEXT(C181,"000")),IF(H181="Subetapa",CONCATENATE(TEXT(B181,"00"),".",TEXT(C181,"000"),".",TEXT(D181,"000")),IF(H181="Serviço",CONCATENATE(TEXT(B181,"00"),".",TEXT(C181,"000"),".",TEXT(D181,"000"),".",TEXT(E181,"000")),"")))))</f>
        <v/>
      </c>
      <c r="J181" s="138" t="inlineStr">
        <is>
          <t>Cisterna</t>
        </is>
      </c>
      <c r="K181" s="139" t="inlineStr">
        <is>
          <t>vb</t>
        </is>
      </c>
      <c r="L181" s="140" t="n">
        <v>1</v>
      </c>
      <c r="M181" s="140" t="n">
        <v>3115</v>
      </c>
      <c r="N181" s="141">
        <f>IF(H181="Serviço",M181*L181,IF(H181="CÉLULA CONSTRUTIVA",SUMIFS($N$8:$N$754,$B$8:$B$754,B181,$H$8:$H$754,"Serviço"),IF(H181="ETAPA",SUMIFS($N$8:$N$754,$B$8:$B$754,B181,$C$8:$C$754,C181,$H$8:$H$754,"Serviço"),IF(H181="SUBETAPA",SUMIFS($N$8:$N$754,$B$8:$B$754,B181,$C$8:$C$754,C181,$D$8:$D$754,D181,$H$8:$H$754,"Serviço"),0))))</f>
        <v/>
      </c>
      <c r="O181" s="139" t="n"/>
      <c r="P181" s="140" t="n"/>
      <c r="Q181" s="140" t="n"/>
      <c r="R181" s="141" t="n"/>
      <c r="S181" s="142" t="n"/>
      <c r="T181" s="142" t="n"/>
      <c r="U181" s="142" t="n"/>
      <c r="V181" s="191" t="n"/>
      <c r="W181" s="191" t="n"/>
      <c r="X181" s="191" t="n"/>
      <c r="Y181" s="191" t="n"/>
      <c r="Z181" s="191" t="n"/>
      <c r="AA181" s="191" t="n"/>
      <c r="AB181" s="191" t="n"/>
    </row>
    <row r="182" outlineLevel="1" ht="13.5" customFormat="1" customHeight="1" s="143">
      <c r="A182" s="220">
        <f>IF($H182="UNIDADE CONSTRUTIVA",OFFSET(A182,-1,0)+1,LARGE(A$3:A181,1))</f>
        <v/>
      </c>
      <c r="B182" s="220">
        <f>IF(H182="UNIDADE CONSTRUTIVA",0,IF(H182="CÉLULA CONSTRUTIVA",OFFSET(B182,-1,0)+1,OFFSET(B182,-1,0)))</f>
        <v/>
      </c>
      <c r="C182" s="220">
        <f>IF(H182="CÉLULA CONSTRUTIVA",0,IF(H182="ETAPA",OFFSET(C182,-1,0)+1,OFFSET(C182,-1,0)))</f>
        <v/>
      </c>
      <c r="D182" s="221">
        <f>IF(H182="ETAPA",0,IF(H182="SUBETAPA",OFFSET(D182,-1,0)+1,OFFSET(D182,-1,0)))</f>
        <v/>
      </c>
      <c r="E182" s="221">
        <f>IF(H182="Subetapa",0,IF(H182="serviço",OFFSET(E182,-1,0)+1,OFFSET(E182,-1,0)))</f>
        <v/>
      </c>
      <c r="F182" s="191" t="n"/>
      <c r="G182" s="146" t="n"/>
      <c r="H182" s="136" t="inlineStr">
        <is>
          <t>SUBETAPA</t>
        </is>
      </c>
      <c r="I182" s="137">
        <f>IF(H182="Unidade Construtiva",TEXT(A182,"00"),IF(H182="Célula Construtiva",TEXT(B182,"00"),IF(H182="Etapa",CONCATENATE(TEXT(B182,"00"),".",TEXT(C182,"000")),IF(H182="Subetapa",CONCATENATE(TEXT(B182,"00"),".",TEXT(C182,"000"),".",TEXT(D182,"000")),IF(H182="Serviço",CONCATENATE(TEXT(B182,"00"),".",TEXT(C182,"000"),".",TEXT(D182,"000"),".",TEXT(E182,"000")),"")))))</f>
        <v/>
      </c>
      <c r="J182" s="138" t="inlineStr">
        <is>
          <t>Hidrometros</t>
        </is>
      </c>
      <c r="K182" s="139" t="n"/>
      <c r="L182" s="140" t="n"/>
      <c r="M182" s="140" t="n"/>
      <c r="N182" s="141">
        <f>IF(H182="Serviço",M182*L182,IF(H182="CÉLULA CONSTRUTIVA",SUMIFS($N$8:$N$754,$B$8:$B$754,B182,$H$8:$H$754,"Serviço"),IF(H182="ETAPA",SUMIFS($N$8:$N$754,$B$8:$B$754,B182,$C$8:$C$754,C182,$H$8:$H$754,"Serviço"),IF(H182="SUBETAPA",SUMIFS($N$8:$N$754,$B$8:$B$754,B182,$C$8:$C$754,C182,$D$8:$D$754,D182,$H$8:$H$754,"Serviço"),0))))</f>
        <v/>
      </c>
      <c r="O182" s="139" t="n"/>
      <c r="P182" s="140" t="n"/>
      <c r="Q182" s="140" t="n"/>
      <c r="R182" s="222" t="inlineStr">
        <is>
          <t>06.001.004.001 - Hidrômetro</t>
        </is>
      </c>
      <c r="S182" s="142" t="n"/>
      <c r="T182" s="142" t="n"/>
      <c r="U182" s="142" t="n"/>
      <c r="V182" s="191" t="n"/>
      <c r="W182" s="191" t="n"/>
      <c r="X182" s="191" t="n"/>
      <c r="Y182" s="191" t="n"/>
      <c r="Z182" s="191" t="n"/>
      <c r="AA182" s="191" t="n"/>
      <c r="AB182" s="191" t="n"/>
    </row>
    <row r="183" outlineLevel="2" ht="13.5" customFormat="1" customHeight="1" s="143">
      <c r="A183" s="220">
        <f>IF($H183="UNIDADE CONSTRUTIVA",OFFSET(A183,-1,0)+1,LARGE(A$3:A182,1))</f>
        <v/>
      </c>
      <c r="B183" s="220">
        <f>IF(H183="UNIDADE CONSTRUTIVA",0,IF(H183="CÉLULA CONSTRUTIVA",OFFSET(B183,-1,0)+1,OFFSET(B183,-1,0)))</f>
        <v/>
      </c>
      <c r="C183" s="220">
        <f>IF(H183="CÉLULA CONSTRUTIVA",0,IF(H183="ETAPA",OFFSET(C183,-1,0)+1,OFFSET(C183,-1,0)))</f>
        <v/>
      </c>
      <c r="D183" s="221">
        <f>IF(H183="ETAPA",0,IF(H183="SUBETAPA",OFFSET(D183,-1,0)+1,OFFSET(D183,-1,0)))</f>
        <v/>
      </c>
      <c r="E183" s="221">
        <f>IF(H183="Subetapa",0,IF(H183="serviço",OFFSET(E183,-1,0)+1,OFFSET(E183,-1,0)))</f>
        <v/>
      </c>
      <c r="F183" s="191" t="n"/>
      <c r="G183" s="146" t="inlineStr">
        <is>
          <t>SISTEMAS E INSTALAÇÕES HIDROSSANITÁRIAS E DRENAGEM</t>
        </is>
      </c>
      <c r="H183" s="136" t="inlineStr">
        <is>
          <t>SERVIÇO</t>
        </is>
      </c>
      <c r="I183" s="137">
        <f>IF(H183="Unidade Construtiva",TEXT(A183,"00"),IF(H183="Célula Construtiva",TEXT(B183,"00"),IF(H183="Etapa",CONCATENATE(TEXT(B183,"00"),".",TEXT(C183,"000")),IF(H183="Subetapa",CONCATENATE(TEXT(B183,"00"),".",TEXT(C183,"000"),".",TEXT(D183,"000")),IF(H183="Serviço",CONCATENATE(TEXT(B183,"00"),".",TEXT(C183,"000"),".",TEXT(D183,"000"),".",TEXT(E183,"000")),"")))))</f>
        <v/>
      </c>
      <c r="J183" s="138" t="inlineStr">
        <is>
          <t>Hidrômetros</t>
        </is>
      </c>
      <c r="K183" s="139" t="inlineStr">
        <is>
          <t>vb</t>
        </is>
      </c>
      <c r="L183" s="140" t="n">
        <v>1</v>
      </c>
      <c r="M183" s="140" t="n">
        <v>6447.8</v>
      </c>
      <c r="N183" s="141">
        <f>IF(H183="Serviço",M183*L183,IF(H183="CÉLULA CONSTRUTIVA",SUMIFS($N$8:$N$754,$B$8:$B$754,B183,$H$8:$H$754,"Serviço"),IF(H183="ETAPA",SUMIFS($N$8:$N$754,$B$8:$B$754,B183,$C$8:$C$754,C183,$H$8:$H$754,"Serviço"),IF(H183="SUBETAPA",SUMIFS($N$8:$N$754,$B$8:$B$754,B183,$C$8:$C$754,C183,$D$8:$D$754,D183,$H$8:$H$754,"Serviço"),0))))</f>
        <v/>
      </c>
      <c r="O183" s="139" t="n"/>
      <c r="P183" s="140" t="n"/>
      <c r="Q183" s="140" t="n"/>
      <c r="R183" s="141" t="n"/>
      <c r="S183" s="142" t="n"/>
      <c r="T183" s="142" t="n"/>
      <c r="U183" s="142" t="n"/>
      <c r="V183" s="191" t="n"/>
      <c r="W183" s="191" t="n"/>
      <c r="X183" s="191" t="n"/>
      <c r="Y183" s="191" t="n"/>
      <c r="Z183" s="191" t="n"/>
      <c r="AA183" s="191" t="n"/>
      <c r="AB183" s="191" t="n"/>
    </row>
    <row r="184" outlineLevel="1" ht="13.5" customFormat="1" customHeight="1" s="143">
      <c r="A184" s="220">
        <f>IF($H184="UNIDADE CONSTRUTIVA",OFFSET(A184,-1,0)+1,LARGE(A$3:A183,1))</f>
        <v/>
      </c>
      <c r="B184" s="220">
        <f>IF(H184="UNIDADE CONSTRUTIVA",0,IF(H184="CÉLULA CONSTRUTIVA",OFFSET(B184,-1,0)+1,OFFSET(B184,-1,0)))</f>
        <v/>
      </c>
      <c r="C184" s="220">
        <f>IF(H184="CÉLULA CONSTRUTIVA",0,IF(H184="ETAPA",OFFSET(C184,-1,0)+1,OFFSET(C184,-1,0)))</f>
        <v/>
      </c>
      <c r="D184" s="221">
        <f>IF(H184="ETAPA",0,IF(H184="SUBETAPA",OFFSET(D184,-1,0)+1,OFFSET(D184,-1,0)))</f>
        <v/>
      </c>
      <c r="E184" s="221">
        <f>IF(H184="Subetapa",0,IF(H184="serviço",OFFSET(E184,-1,0)+1,OFFSET(E184,-1,0)))</f>
        <v/>
      </c>
      <c r="F184" s="191" t="n"/>
      <c r="G184" s="146" t="n"/>
      <c r="H184" s="136" t="inlineStr">
        <is>
          <t>SUBETAPA</t>
        </is>
      </c>
      <c r="I184" s="137">
        <f>IF(H184="Unidade Construtiva",TEXT(A184,"00"),IF(H184="Célula Construtiva",TEXT(B184,"00"),IF(H184="Etapa",CONCATENATE(TEXT(B184,"00"),".",TEXT(C184,"000")),IF(H184="Subetapa",CONCATENATE(TEXT(B184,"00"),".",TEXT(C184,"000"),".",TEXT(D184,"000")),IF(H184="Serviço",CONCATENATE(TEXT(B184,"00"),".",TEXT(C184,"000"),".",TEXT(D184,"000"),".",TEXT(E184,"000")),"")))))</f>
        <v/>
      </c>
      <c r="J184" s="138" t="inlineStr">
        <is>
          <t>Reservatórios</t>
        </is>
      </c>
      <c r="K184" s="139" t="n"/>
      <c r="L184" s="140" t="n"/>
      <c r="M184" s="140" t="n"/>
      <c r="N184" s="141">
        <f>IF(H184="Serviço",M184*L184,IF(H184="CÉLULA CONSTRUTIVA",SUMIFS($N$8:$N$754,$B$8:$B$754,B184,$H$8:$H$754,"Serviço"),IF(H184="ETAPA",SUMIFS($N$8:$N$754,$B$8:$B$754,B184,$C$8:$C$754,C184,$H$8:$H$754,"Serviço"),IF(H184="SUBETAPA",SUMIFS($N$8:$N$754,$B$8:$B$754,B184,$C$8:$C$754,C184,$D$8:$D$754,D184,$H$8:$H$754,"Serviço"),0))))</f>
        <v/>
      </c>
      <c r="O184" s="139" t="n"/>
      <c r="P184" s="140" t="n"/>
      <c r="Q184" s="140" t="n"/>
      <c r="R184" s="222" t="inlineStr">
        <is>
          <t>21.001.003.001 - Serviços finais</t>
        </is>
      </c>
      <c r="S184" s="142" t="n"/>
      <c r="T184" s="142" t="n"/>
      <c r="U184" s="142" t="n"/>
      <c r="V184" s="191" t="n"/>
      <c r="W184" s="191" t="n"/>
      <c r="X184" s="191" t="n"/>
      <c r="Y184" s="191" t="n"/>
      <c r="Z184" s="191" t="n"/>
      <c r="AA184" s="191" t="n"/>
      <c r="AB184" s="191" t="n"/>
    </row>
    <row r="185" outlineLevel="2" ht="13.5" customFormat="1" customHeight="1" s="143">
      <c r="A185" s="220">
        <f>IF($H185="UNIDADE CONSTRUTIVA",OFFSET(A185,-1,0)+1,LARGE(A$3:A184,1))</f>
        <v/>
      </c>
      <c r="B185" s="220">
        <f>IF(H185="UNIDADE CONSTRUTIVA",0,IF(H185="CÉLULA CONSTRUTIVA",OFFSET(B185,-1,0)+1,OFFSET(B185,-1,0)))</f>
        <v/>
      </c>
      <c r="C185" s="220">
        <f>IF(H185="CÉLULA CONSTRUTIVA",0,IF(H185="ETAPA",OFFSET(C185,-1,0)+1,OFFSET(C185,-1,0)))</f>
        <v/>
      </c>
      <c r="D185" s="221">
        <f>IF(H185="ETAPA",0,IF(H185="SUBETAPA",OFFSET(D185,-1,0)+1,OFFSET(D185,-1,0)))</f>
        <v/>
      </c>
      <c r="E185" s="221">
        <f>IF(H185="Subetapa",0,IF(H185="serviço",OFFSET(E185,-1,0)+1,OFFSET(E185,-1,0)))</f>
        <v/>
      </c>
      <c r="F185" s="191" t="n"/>
      <c r="G185" s="146" t="inlineStr">
        <is>
          <t>SISTEMAS E INSTALAÇÕES HIDROSSANITÁRIAS E DRENAGEM</t>
        </is>
      </c>
      <c r="H185" s="136" t="inlineStr">
        <is>
          <t>SERVIÇO</t>
        </is>
      </c>
      <c r="I185" s="137">
        <f>IF(H185="Unidade Construtiva",TEXT(A185,"00"),IF(H185="Célula Construtiva",TEXT(B185,"00"),IF(H185="Etapa",CONCATENATE(TEXT(B185,"00"),".",TEXT(C185,"000")),IF(H185="Subetapa",CONCATENATE(TEXT(B185,"00"),".",TEXT(C185,"000"),".",TEXT(D185,"000")),IF(H185="Serviço",CONCATENATE(TEXT(B185,"00"),".",TEXT(C185,"000"),".",TEXT(D185,"000"),".",TEXT(E185,"000")),"")))))</f>
        <v/>
      </c>
      <c r="J185" s="138" t="inlineStr">
        <is>
          <t>Reservatório superior</t>
        </is>
      </c>
      <c r="K185" s="139" t="inlineStr">
        <is>
          <t>vb</t>
        </is>
      </c>
      <c r="L185" s="140" t="n">
        <v>1</v>
      </c>
      <c r="M185" s="140" t="n">
        <v>22000</v>
      </c>
      <c r="N185" s="141">
        <f>IF(H185="Serviço",M185*L185,IF(H185="CÉLULA CONSTRUTIVA",SUMIFS($N$8:$N$754,$B$8:$B$754,B185,$H$8:$H$754,"Serviço"),IF(H185="ETAPA",SUMIFS($N$8:$N$754,$B$8:$B$754,B185,$C$8:$C$754,C185,$H$8:$H$754,"Serviço"),IF(H185="SUBETAPA",SUMIFS($N$8:$N$754,$B$8:$B$754,B185,$C$8:$C$754,C185,$D$8:$D$754,D185,$H$8:$H$754,"Serviço"),0))))</f>
        <v/>
      </c>
      <c r="O185" s="139" t="n"/>
      <c r="P185" s="140" t="n"/>
      <c r="Q185" s="140" t="n"/>
      <c r="R185" s="141" t="n"/>
      <c r="S185" s="142" t="n"/>
      <c r="T185" s="142" t="n"/>
      <c r="U185" s="142" t="n"/>
      <c r="V185" s="191" t="n"/>
      <c r="W185" s="191" t="n"/>
      <c r="X185" s="191" t="n"/>
      <c r="Y185" s="191" t="n"/>
      <c r="Z185" s="191" t="n"/>
      <c r="AA185" s="191" t="n"/>
      <c r="AB185" s="191" t="n"/>
    </row>
    <row r="186" outlineLevel="1" ht="13.5" customFormat="1" customHeight="1" s="143">
      <c r="A186" s="220">
        <f>IF($H186="UNIDADE CONSTRUTIVA",OFFSET(A186,-1,0)+1,LARGE(A$3:A185,1))</f>
        <v/>
      </c>
      <c r="B186" s="220">
        <f>IF(H186="UNIDADE CONSTRUTIVA",0,IF(H186="CÉLULA CONSTRUTIVA",OFFSET(B186,-1,0)+1,OFFSET(B186,-1,0)))</f>
        <v/>
      </c>
      <c r="C186" s="220">
        <f>IF(H186="CÉLULA CONSTRUTIVA",0,IF(H186="ETAPA",OFFSET(C186,-1,0)+1,OFFSET(C186,-1,0)))</f>
        <v/>
      </c>
      <c r="D186" s="221">
        <f>IF(H186="ETAPA",0,IF(H186="SUBETAPA",OFFSET(D186,-1,0)+1,OFFSET(D186,-1,0)))</f>
        <v/>
      </c>
      <c r="E186" s="221">
        <f>IF(H186="Subetapa",0,IF(H186="serviço",OFFSET(E186,-1,0)+1,OFFSET(E186,-1,0)))</f>
        <v/>
      </c>
      <c r="F186" s="191" t="n"/>
      <c r="G186" s="146" t="n"/>
      <c r="H186" s="136" t="inlineStr">
        <is>
          <t>SUBETAPA</t>
        </is>
      </c>
      <c r="I186" s="137">
        <f>IF(H186="Unidade Construtiva",TEXT(A186,"00"),IF(H186="Célula Construtiva",TEXT(B186,"00"),IF(H186="Etapa",CONCATENATE(TEXT(B186,"00"),".",TEXT(C186,"000")),IF(H186="Subetapa",CONCATENATE(TEXT(B186,"00"),".",TEXT(C186,"000"),".",TEXT(D186,"000")),IF(H186="Serviço",CONCATENATE(TEXT(B186,"00"),".",TEXT(C186,"000"),".",TEXT(D186,"000"),".",TEXT(E186,"000")),"")))))</f>
        <v/>
      </c>
      <c r="J186" s="138" t="inlineStr">
        <is>
          <t>Sistema de bombas</t>
        </is>
      </c>
      <c r="K186" s="139" t="n"/>
      <c r="L186" s="140" t="n"/>
      <c r="M186" s="140" t="n"/>
      <c r="N186" s="141">
        <f>IF(H186="Serviço",M186*L186,IF(H186="CÉLULA CONSTRUTIVA",SUMIFS($N$8:$N$754,$B$8:$B$754,B186,$H$8:$H$754,"Serviço"),IF(H186="ETAPA",SUMIFS($N$8:$N$754,$B$8:$B$754,B186,$C$8:$C$754,C186,$H$8:$H$754,"Serviço"),IF(H186="SUBETAPA",SUMIFS($N$8:$N$754,$B$8:$B$754,B186,$C$8:$C$754,C186,$D$8:$D$754,D186,$H$8:$H$754,"Serviço"),0))))</f>
        <v/>
      </c>
      <c r="O186" s="139" t="n"/>
      <c r="P186" s="140" t="n"/>
      <c r="Q186" s="140" t="n"/>
      <c r="R186" s="222" t="inlineStr">
        <is>
          <t>08.001.005.001 - Sistema de bombas para tubulação de incêndio</t>
        </is>
      </c>
      <c r="S186" s="142" t="n"/>
      <c r="T186" s="142" t="n"/>
      <c r="U186" s="142" t="n"/>
      <c r="V186" s="191" t="n"/>
      <c r="W186" s="191" t="n"/>
      <c r="X186" s="191" t="n"/>
      <c r="Y186" s="191" t="n"/>
      <c r="Z186" s="191" t="n"/>
      <c r="AA186" s="191" t="n"/>
      <c r="AB186" s="191" t="n"/>
    </row>
    <row r="187" outlineLevel="2" ht="13.5" customFormat="1" customHeight="1" s="143">
      <c r="A187" s="220">
        <f>IF($H187="UNIDADE CONSTRUTIVA",OFFSET(A187,-1,0)+1,LARGE(A$3:A186,1))</f>
        <v/>
      </c>
      <c r="B187" s="220">
        <f>IF(H187="UNIDADE CONSTRUTIVA",0,IF(H187="CÉLULA CONSTRUTIVA",OFFSET(B187,-1,0)+1,OFFSET(B187,-1,0)))</f>
        <v/>
      </c>
      <c r="C187" s="220">
        <f>IF(H187="CÉLULA CONSTRUTIVA",0,IF(H187="ETAPA",OFFSET(C187,-1,0)+1,OFFSET(C187,-1,0)))</f>
        <v/>
      </c>
      <c r="D187" s="221">
        <f>IF(H187="ETAPA",0,IF(H187="SUBETAPA",OFFSET(D187,-1,0)+1,OFFSET(D187,-1,0)))</f>
        <v/>
      </c>
      <c r="E187" s="221">
        <f>IF(H187="Subetapa",0,IF(H187="serviço",OFFSET(E187,-1,0)+1,OFFSET(E187,-1,0)))</f>
        <v/>
      </c>
      <c r="F187" s="191" t="n"/>
      <c r="G187" s="146" t="inlineStr">
        <is>
          <t>SISTEMAS E INSTALAÇÕES HIDROSSANITÁRIAS E DRENAGEM</t>
        </is>
      </c>
      <c r="H187" s="136" t="inlineStr">
        <is>
          <t>SERVIÇO</t>
        </is>
      </c>
      <c r="I187" s="137">
        <f>IF(H187="Unidade Construtiva",TEXT(A187,"00"),IF(H187="Célula Construtiva",TEXT(B187,"00"),IF(H187="Etapa",CONCATENATE(TEXT(B187,"00"),".",TEXT(C187,"000")),IF(H187="Subetapa",CONCATENATE(TEXT(B187,"00"),".",TEXT(C187,"000"),".",TEXT(D187,"000")),IF(H187="Serviço",CONCATENATE(TEXT(B187,"00"),".",TEXT(C187,"000"),".",TEXT(D187,"000"),".",TEXT(E187,"000")),"")))))</f>
        <v/>
      </c>
      <c r="J187" s="138" t="inlineStr">
        <is>
          <t>Sistema de bombas</t>
        </is>
      </c>
      <c r="K187" s="139" t="inlineStr">
        <is>
          <t>vb</t>
        </is>
      </c>
      <c r="L187" s="140" t="n">
        <v>1</v>
      </c>
      <c r="M187" s="140" t="n">
        <v>24149.33</v>
      </c>
      <c r="N187" s="141">
        <f>IF(H187="Serviço",M187*L187,IF(H187="CÉLULA CONSTRUTIVA",SUMIFS($N$8:$N$754,$B$8:$B$754,B187,$H$8:$H$754,"Serviço"),IF(H187="ETAPA",SUMIFS($N$8:$N$754,$B$8:$B$754,B187,$C$8:$C$754,C187,$H$8:$H$754,"Serviço"),IF(H187="SUBETAPA",SUMIFS($N$8:$N$754,$B$8:$B$754,B187,$C$8:$C$754,C187,$D$8:$D$754,D187,$H$8:$H$754,"Serviço"),0))))</f>
        <v/>
      </c>
      <c r="O187" s="139" t="n"/>
      <c r="P187" s="140" t="n"/>
      <c r="Q187" s="140" t="n"/>
      <c r="R187" s="141" t="n"/>
      <c r="S187" s="142" t="n"/>
      <c r="T187" s="142" t="n"/>
      <c r="U187" s="142" t="n"/>
      <c r="V187" s="191" t="n"/>
      <c r="W187" s="191" t="n"/>
      <c r="X187" s="191" t="n"/>
      <c r="Y187" s="191" t="n"/>
      <c r="Z187" s="191" t="n"/>
      <c r="AA187" s="191" t="n"/>
      <c r="AB187" s="191" t="n"/>
    </row>
    <row r="188" outlineLevel="1" ht="13.5" customFormat="1" customHeight="1" s="143">
      <c r="A188" s="220">
        <f>IF($H188="UNIDADE CONSTRUTIVA",OFFSET(A188,-1,0)+1,LARGE(A$3:A187,1))</f>
        <v/>
      </c>
      <c r="B188" s="220">
        <f>IF(H188="UNIDADE CONSTRUTIVA",0,IF(H188="CÉLULA CONSTRUTIVA",OFFSET(B188,-1,0)+1,OFFSET(B188,-1,0)))</f>
        <v/>
      </c>
      <c r="C188" s="220">
        <f>IF(H188="CÉLULA CONSTRUTIVA",0,IF(H188="ETAPA",OFFSET(C188,-1,0)+1,OFFSET(C188,-1,0)))</f>
        <v/>
      </c>
      <c r="D188" s="221">
        <f>IF(H188="ETAPA",0,IF(H188="SUBETAPA",OFFSET(D188,-1,0)+1,OFFSET(D188,-1,0)))</f>
        <v/>
      </c>
      <c r="E188" s="221">
        <f>IF(H188="Subetapa",0,IF(H188="serviço",OFFSET(E188,-1,0)+1,OFFSET(E188,-1,0)))</f>
        <v/>
      </c>
      <c r="F188" s="191" t="n"/>
      <c r="G188" s="146" t="n"/>
      <c r="H188" s="136" t="inlineStr">
        <is>
          <t>SUBETAPA</t>
        </is>
      </c>
      <c r="I188" s="137">
        <f>IF(H188="Unidade Construtiva",TEXT(A188,"00"),IF(H188="Célula Construtiva",TEXT(B188,"00"),IF(H188="Etapa",CONCATENATE(TEXT(B188,"00"),".",TEXT(C188,"000")),IF(H188="Subetapa",CONCATENATE(TEXT(B188,"00"),".",TEXT(C188,"000"),".",TEXT(D188,"000")),IF(H188="Serviço",CONCATENATE(TEXT(B188,"00"),".",TEXT(C188,"000"),".",TEXT(D188,"000"),".",TEXT(E188,"000")),"")))))</f>
        <v/>
      </c>
      <c r="J188" s="138" t="inlineStr">
        <is>
          <t>ETE</t>
        </is>
      </c>
      <c r="K188" s="139" t="n"/>
      <c r="L188" s="140" t="n"/>
      <c r="M188" s="140" t="n"/>
      <c r="N188" s="141">
        <f>IF(H188="Serviço",M188*L188,IF(H188="CÉLULA CONSTRUTIVA",SUMIFS($N$8:$N$754,$B$8:$B$754,B188,$H$8:$H$754,"Serviço"),IF(H188="ETAPA",SUMIFS($N$8:$N$754,$B$8:$B$754,B188,$C$8:$C$754,C188,$H$8:$H$754,"Serviço"),IF(H188="SUBETAPA",SUMIFS($N$8:$N$754,$B$8:$B$754,B188,$C$8:$C$754,C188,$D$8:$D$754,D188,$H$8:$H$754,"Serviço"),0))))</f>
        <v/>
      </c>
      <c r="O188" s="139" t="n"/>
      <c r="P188" s="140" t="n"/>
      <c r="Q188" s="140" t="n"/>
      <c r="R188" s="141" t="n"/>
      <c r="S188" s="142" t="n"/>
      <c r="T188" s="142" t="n"/>
      <c r="U188" s="142" t="n"/>
      <c r="V188" s="191" t="n"/>
      <c r="W188" s="191" t="n"/>
      <c r="X188" s="191" t="n"/>
      <c r="Y188" s="191" t="n"/>
      <c r="Z188" s="191" t="n"/>
      <c r="AA188" s="191" t="n"/>
      <c r="AB188" s="191" t="n"/>
    </row>
    <row r="189" outlineLevel="2" ht="13.5" customFormat="1" customHeight="1" s="143">
      <c r="A189" s="220">
        <f>IF($H189="UNIDADE CONSTRUTIVA",OFFSET(A189,-1,0)+1,LARGE(A$3:A188,1))</f>
        <v/>
      </c>
      <c r="B189" s="220">
        <f>IF(H189="UNIDADE CONSTRUTIVA",0,IF(H189="CÉLULA CONSTRUTIVA",OFFSET(B189,-1,0)+1,OFFSET(B189,-1,0)))</f>
        <v/>
      </c>
      <c r="C189" s="220">
        <f>IF(H189="CÉLULA CONSTRUTIVA",0,IF(H189="ETAPA",OFFSET(C189,-1,0)+1,OFFSET(C189,-1,0)))</f>
        <v/>
      </c>
      <c r="D189" s="221">
        <f>IF(H189="ETAPA",0,IF(H189="SUBETAPA",OFFSET(D189,-1,0)+1,OFFSET(D189,-1,0)))</f>
        <v/>
      </c>
      <c r="E189" s="221">
        <f>IF(H189="Subetapa",0,IF(H189="serviço",OFFSET(E189,-1,0)+1,OFFSET(E189,-1,0)))</f>
        <v/>
      </c>
      <c r="F189" s="191" t="n"/>
      <c r="G189" s="146" t="inlineStr">
        <is>
          <t>SISTEMAS E INSTALAÇÕES HIDROSSANITÁRIAS E DRENAGEM</t>
        </is>
      </c>
      <c r="H189" s="136" t="inlineStr">
        <is>
          <t>SERVIÇO</t>
        </is>
      </c>
      <c r="I189" s="137">
        <f>IF(H189="Unidade Construtiva",TEXT(A189,"00"),IF(H189="Célula Construtiva",TEXT(B189,"00"),IF(H189="Etapa",CONCATENATE(TEXT(B189,"00"),".",TEXT(C189,"000")),IF(H189="Subetapa",CONCATENATE(TEXT(B189,"00"),".",TEXT(C189,"000"),".",TEXT(D189,"000")),IF(H189="Serviço",CONCATENATE(TEXT(B189,"00"),".",TEXT(C189,"000"),".",TEXT(D189,"000"),".",TEXT(E189,"000")),"")))))</f>
        <v/>
      </c>
      <c r="J189" s="138" t="inlineStr">
        <is>
          <t>ETE - Grade + Desarenador, tanques de aeração e contato, depósito de lobo</t>
        </is>
      </c>
      <c r="K189" s="139" t="inlineStr">
        <is>
          <t>vb</t>
        </is>
      </c>
      <c r="L189" s="140" t="n">
        <v>1</v>
      </c>
      <c r="M189" s="140" t="n">
        <v>181865.8368459033</v>
      </c>
      <c r="N189" s="141">
        <f>IF(H189="Serviço",M189*L189,IF(H189="CÉLULA CONSTRUTIVA",SUMIFS($N$8:$N$754,$B$8:$B$754,B189,$H$8:$H$754,"Serviço"),IF(H189="ETAPA",SUMIFS($N$8:$N$754,$B$8:$B$754,B189,$C$8:$C$754,C189,$H$8:$H$754,"Serviço"),IF(H189="SUBETAPA",SUMIFS($N$8:$N$754,$B$8:$B$754,B189,$C$8:$C$754,C189,$D$8:$D$754,D189,$H$8:$H$754,"Serviço"),0))))</f>
        <v/>
      </c>
      <c r="O189" s="139" t="n"/>
      <c r="P189" s="140" t="n"/>
      <c r="Q189" s="140" t="n"/>
      <c r="R189" s="141" t="n"/>
      <c r="S189" s="142" t="n"/>
      <c r="T189" s="142" t="n"/>
      <c r="U189" s="142" t="n"/>
      <c r="V189" s="191" t="n"/>
      <c r="W189" s="191" t="n"/>
      <c r="X189" s="191" t="n"/>
      <c r="Y189" s="191" t="n"/>
      <c r="Z189" s="191" t="n"/>
      <c r="AA189" s="191" t="n"/>
      <c r="AB189" s="191" t="n"/>
    </row>
    <row r="190" outlineLevel="1" ht="13.5" customFormat="1" customHeight="1" s="143">
      <c r="A190" s="220">
        <f>IF($H190="UNIDADE CONSTRUTIVA",OFFSET(A190,-1,0)+1,LARGE(A$3:A179,1))</f>
        <v/>
      </c>
      <c r="B190" s="220">
        <f>IF(H190="UNIDADE CONSTRUTIVA",0,IF(H190="CÉLULA CONSTRUTIVA",OFFSET(B190,-1,0)+1,OFFSET(B190,-1,0)))</f>
        <v/>
      </c>
      <c r="C190" s="220">
        <f>IF(H190="CÉLULA CONSTRUTIVA",0,IF(H190="ETAPA",OFFSET(C190,-1,0)+1,OFFSET(C190,-1,0)))</f>
        <v/>
      </c>
      <c r="D190" s="221">
        <f>IF(H190="ETAPA",0,IF(H190="SUBETAPA",OFFSET(D190,-1,0)+1,OFFSET(D190,-1,0)))</f>
        <v/>
      </c>
      <c r="E190" s="221">
        <f>IF(H190="Subetapa",0,IF(H190="serviço",OFFSET(E190,-1,0)+1,OFFSET(E190,-1,0)))</f>
        <v/>
      </c>
      <c r="F190" s="191" t="n"/>
      <c r="G190" s="146" t="n"/>
      <c r="H190" s="136" t="inlineStr">
        <is>
          <t>SUBETAPA</t>
        </is>
      </c>
      <c r="I190" s="137">
        <f>IF(H190="Unidade Construtiva",TEXT(A190,"00"),IF(H190="Célula Construtiva",TEXT(B190,"00"),IF(H190="Etapa",CONCATENATE(TEXT(B190,"00"),".",TEXT(C190,"000")),IF(H190="Subetapa",CONCATENATE(TEXT(B190,"00"),".",TEXT(C190,"000"),".",TEXT(D190,"000")),IF(H190="Serviço",CONCATENATE(TEXT(B190,"00"),".",TEXT(C190,"000"),".",TEXT(D190,"000"),".",TEXT(E190,"000")),"")))))</f>
        <v/>
      </c>
      <c r="J190" s="138" t="inlineStr">
        <is>
          <t xml:space="preserve">Mão de obra - instalações hidrossanitárias e drenagem </t>
        </is>
      </c>
      <c r="K190" s="139" t="n"/>
      <c r="L190" s="140" t="n"/>
      <c r="M190" s="140" t="n"/>
      <c r="N190" s="141">
        <f>IF(H190="Serviço",M190*L190,IF(H190="CÉLULA CONSTRUTIVA",SUMIFS($N$8:$N$754,$B$8:$B$754,B190,$H$8:$H$754,"Serviço"),IF(H190="ETAPA",SUMIFS($N$8:$N$754,$B$8:$B$754,B190,$C$8:$C$754,C190,$H$8:$H$754,"Serviço"),IF(H190="SUBETAPA",SUMIFS($N$8:$N$754,$B$8:$B$754,B190,$C$8:$C$754,C190,$D$8:$D$754,D190,$H$8:$H$754,"Serviço"),0))))</f>
        <v/>
      </c>
      <c r="O190" s="139" t="n"/>
      <c r="P190" s="140" t="n"/>
      <c r="Q190" s="140" t="n"/>
      <c r="R190" s="222" t="inlineStr">
        <is>
          <t>06.001.007.001 - Mao de obra de instalações hidrossanitários</t>
        </is>
      </c>
      <c r="S190" s="142" t="n"/>
      <c r="T190" s="142" t="n"/>
      <c r="U190" s="142" t="n"/>
      <c r="V190" s="191" t="n"/>
      <c r="W190" s="191" t="n"/>
      <c r="X190" s="191" t="n"/>
      <c r="Y190" s="191" t="n"/>
      <c r="Z190" s="191" t="n"/>
      <c r="AA190" s="191" t="n"/>
      <c r="AB190" s="191" t="n"/>
    </row>
    <row r="191" outlineLevel="2" ht="13.5" customFormat="1" customHeight="1" s="143">
      <c r="A191" s="220">
        <f>IF($H191="UNIDADE CONSTRUTIVA",OFFSET(A191,-1,0)+1,LARGE(A$3:A190,1))</f>
        <v/>
      </c>
      <c r="B191" s="220">
        <f>IF(H191="UNIDADE CONSTRUTIVA",0,IF(H191="CÉLULA CONSTRUTIVA",OFFSET(B191,-1,0)+1,OFFSET(B191,-1,0)))</f>
        <v/>
      </c>
      <c r="C191" s="220">
        <f>IF(H191="CÉLULA CONSTRUTIVA",0,IF(H191="ETAPA",OFFSET(C191,-1,0)+1,OFFSET(C191,-1,0)))</f>
        <v/>
      </c>
      <c r="D191" s="221">
        <f>IF(H191="ETAPA",0,IF(H191="SUBETAPA",OFFSET(D191,-1,0)+1,OFFSET(D191,-1,0)))</f>
        <v/>
      </c>
      <c r="E191" s="221">
        <f>IF(H191="Subetapa",0,IF(H191="serviço",OFFSET(E191,-1,0)+1,OFFSET(E191,-1,0)))</f>
        <v/>
      </c>
      <c r="F191" s="191" t="n"/>
      <c r="G191" s="146" t="inlineStr">
        <is>
          <t>SISTEMAS E INSTALAÇÕES HIDROSSANITÁRIAS E DRENAGEM</t>
        </is>
      </c>
      <c r="H191" s="136" t="inlineStr">
        <is>
          <t>SERVIÇO</t>
        </is>
      </c>
      <c r="I191" s="137">
        <f>IF(H191="Unidade Construtiva",TEXT(A191,"00"),IF(H191="Célula Construtiva",TEXT(B191,"00"),IF(H191="Etapa",CONCATENATE(TEXT(B191,"00"),".",TEXT(C191,"000")),IF(H191="Subetapa",CONCATENATE(TEXT(B191,"00"),".",TEXT(C191,"000"),".",TEXT(D191,"000")),IF(H191="Serviço",CONCATENATE(TEXT(B191,"00"),".",TEXT(C191,"000"),".",TEXT(D191,"000"),".",TEXT(E191,"000")),"")))))</f>
        <v/>
      </c>
      <c r="J191" s="138" t="inlineStr">
        <is>
          <t>Mão de obra Instalação Hidráulica</t>
        </is>
      </c>
      <c r="K191" s="139" t="inlineStr">
        <is>
          <t>vb</t>
        </is>
      </c>
      <c r="L191" s="140" t="n">
        <v>1</v>
      </c>
      <c r="M191" s="140" t="n">
        <v>305944.9928000355</v>
      </c>
      <c r="N191" s="141">
        <f>IF(H191="Serviço",M191*L191,IF(H191="CÉLULA CONSTRUTIVA",SUMIFS($N$8:$N$754,$B$8:$B$754,B191,$H$8:$H$754,"Serviço"),IF(H191="ETAPA",SUMIFS($N$8:$N$754,$B$8:$B$754,B191,$C$8:$C$754,C191,$H$8:$H$754,"Serviço"),IF(H191="SUBETAPA",SUMIFS($N$8:$N$754,$B$8:$B$754,B191,$C$8:$C$754,C191,$D$8:$D$754,D191,$H$8:$H$754,"Serviço"),0))))</f>
        <v/>
      </c>
      <c r="O191" s="139" t="n"/>
      <c r="P191" s="140" t="n"/>
      <c r="Q191" s="140" t="n"/>
      <c r="R191" s="141" t="n"/>
      <c r="S191" s="142" t="n"/>
      <c r="T191" s="142" t="n"/>
      <c r="U191" s="142" t="n"/>
      <c r="V191" s="191" t="n"/>
      <c r="W191" s="191" t="n"/>
      <c r="X191" s="191" t="n"/>
      <c r="Y191" s="191" t="n"/>
      <c r="Z191" s="191" t="n"/>
      <c r="AA191" s="191" t="n"/>
      <c r="AB191" s="191" t="n"/>
    </row>
    <row r="192" ht="13.5" customFormat="1" customHeight="1" s="143">
      <c r="A192" s="217">
        <f>IF($H192="UNIDADE CONSTRUTIVA",OFFSET(A192,-1,0)+1,LARGE(A$3:A191,1))</f>
        <v/>
      </c>
      <c r="B192" s="217">
        <f>IF(H192="UNIDADE CONSTRUTIVA",0,IF(H192="CÉLULA CONSTRUTIVA",OFFSET(B192,-1,0)+1,OFFSET(B192,-1,0)))</f>
        <v/>
      </c>
      <c r="C192" s="217">
        <f>IF(H192="CÉLULA CONSTRUTIVA",0,IF(H192="ETAPA",OFFSET(C192,-1,0)+1,OFFSET(C192,-1,0)))</f>
        <v/>
      </c>
      <c r="D192" s="218">
        <f>IF(H192="ETAPA",0,IF(H192="SUBETAPA",OFFSET(D192,-1,0)+1,OFFSET(D192,-1,0)))</f>
        <v/>
      </c>
      <c r="E192" s="218">
        <f>IF(H192="Subetapa",0,IF(H192="serviço",OFFSET(E192,-1,0)+1,OFFSET(E192,-1,0)))</f>
        <v/>
      </c>
      <c r="F192" s="190" t="n"/>
      <c r="G192" s="149" t="n"/>
      <c r="H192" s="136" t="inlineStr">
        <is>
          <t>CÉLULA CONSTRUTIVA</t>
        </is>
      </c>
      <c r="I192" s="137">
        <f>IF(H192="Unidade Construtiva",TEXT(A192,"00"),IF(H192="Célula Construtiva",TEXT(B192,"00"),IF(H192="Etapa",CONCATENATE(TEXT(B192,"00"),".",TEXT(C192,"000")),IF(H192="Subetapa",CONCATENATE(TEXT(B192,"00"),".",TEXT(C192,"000"),".",TEXT(D192,"000")),IF(H192="Serviço",CONCATENATE(TEXT(B192,"00"),".",TEXT(C192,"000"),".",TEXT(D192,"000"),".",TEXT(E192,"000")),"")))))</f>
        <v/>
      </c>
      <c r="J192" s="138" t="inlineStr">
        <is>
          <t>SISTEMAS E INSTALAÇÕES ELÉTRICAS</t>
        </is>
      </c>
      <c r="K192" s="139" t="n"/>
      <c r="L192" s="140" t="n"/>
      <c r="M192" s="140" t="n"/>
      <c r="N192" s="141">
        <f>IF(H192="Serviço",M192*L192,IF(H192="CÉLULA CONSTRUTIVA",SUMIFS($N$8:$N$754,$B$8:$B$754,B192,$H$8:$H$754,"Serviço"),IF(H192="ETAPA",SUMIFS($N$8:$N$754,$B$8:$B$754,B192,$C$8:$C$754,C192,$H$8:$H$754,"Serviço"),IF(H192="SUBETAPA",SUMIFS($N$8:$N$754,$B$8:$B$754,B192,$C$8:$C$754,C192,$D$8:$D$754,D192,$H$8:$H$754,"Serviço"),0))))</f>
        <v/>
      </c>
      <c r="O192" s="139" t="n"/>
      <c r="P192" s="140" t="n"/>
      <c r="Q192" s="140" t="n"/>
      <c r="R192" s="141" t="n"/>
      <c r="S192" s="142" t="n"/>
    </row>
    <row r="193" outlineLevel="1" ht="13.5" customFormat="1" customHeight="1" s="143">
      <c r="A193" s="220">
        <f>IF($H193="UNIDADE CONSTRUTIVA",OFFSET(A193,-1,0)+1,LARGE(A$3:A192,1))</f>
        <v/>
      </c>
      <c r="B193" s="220">
        <f>IF(H193="UNIDADE CONSTRUTIVA",0,IF(H193="CÉLULA CONSTRUTIVA",OFFSET(B193,-1,0)+1,OFFSET(B193,-1,0)))</f>
        <v/>
      </c>
      <c r="C193" s="220">
        <f>IF(H193="CÉLULA CONSTRUTIVA",0,IF(H193="ETAPA",OFFSET(C193,-1,0)+1,OFFSET(C193,-1,0)))</f>
        <v/>
      </c>
      <c r="D193" s="221">
        <f>IF(H193="ETAPA",0,IF(H193="SUBETAPA",OFFSET(D193,-1,0)+1,OFFSET(D193,-1,0)))</f>
        <v/>
      </c>
      <c r="E193" s="221">
        <f>IF(H193="Subetapa",0,IF(H193="serviço",OFFSET(E193,-1,0)+1,OFFSET(E193,-1,0)))</f>
        <v/>
      </c>
      <c r="F193" s="191" t="n"/>
      <c r="G193" s="146" t="n"/>
      <c r="H193" s="136" t="inlineStr">
        <is>
          <t>ETAPA</t>
        </is>
      </c>
      <c r="I193" s="137">
        <f>IF(H193="Unidade Construtiva",TEXT(A193,"00"),IF(H193="Célula Construtiva",TEXT(B193,"00"),IF(H193="Etapa",CONCATENATE(TEXT(B193,"00"),".",TEXT(C193,"000")),IF(H193="Subetapa",CONCATENATE(TEXT(B193,"00"),".",TEXT(C193,"000"),".",TEXT(D193,"000")),IF(H193="Serviço",CONCATENATE(TEXT(B193,"00"),".",TEXT(C193,"000"),".",TEXT(D193,"000"),".",TEXT(E193,"000")),"")))))</f>
        <v/>
      </c>
      <c r="J193" s="138" t="inlineStr">
        <is>
          <t>SISTEMAS E INSTALAÇÕES ELÉTRICAS</t>
        </is>
      </c>
      <c r="K193" s="139" t="n"/>
      <c r="L193" s="140" t="n"/>
      <c r="M193" s="140" t="n"/>
      <c r="N193" s="141">
        <f>IF(H193="Serviço",M193*L193,IF(H193="CÉLULA CONSTRUTIVA",SUMIFS($N$8:$N$754,$B$8:$B$754,B193,$H$8:$H$754,"Serviço"),IF(H193="ETAPA",SUMIFS($N$8:$N$754,$B$8:$B$754,B193,$C$8:$C$754,C193,$H$8:$H$754,"Serviço"),IF(H193="SUBETAPA",SUMIFS($N$8:$N$754,$B$8:$B$754,B193,$C$8:$C$754,C193,$D$8:$D$754,D193,$H$8:$H$754,"Serviço"),0))))</f>
        <v/>
      </c>
      <c r="O193" s="139" t="n"/>
      <c r="P193" s="140" t="n"/>
      <c r="Q193" s="140" t="n"/>
      <c r="R193" s="141" t="n"/>
      <c r="S193" s="142" t="n"/>
      <c r="T193" s="142" t="n"/>
      <c r="U193" s="142" t="n"/>
      <c r="V193" s="191" t="n"/>
      <c r="W193" s="191" t="n"/>
      <c r="X193" s="191" t="n"/>
      <c r="Y193" s="191" t="n"/>
      <c r="Z193" s="191" t="n"/>
      <c r="AA193" s="191" t="n"/>
      <c r="AB193" s="191" t="n"/>
    </row>
    <row r="194" outlineLevel="1" ht="13.5" customFormat="1" customHeight="1" s="143">
      <c r="A194" s="220">
        <f>IF($H194="UNIDADE CONSTRUTIVA",OFFSET(A194,-1,0)+1,LARGE(A$3:A193,1))</f>
        <v/>
      </c>
      <c r="B194" s="220">
        <f>IF(H194="UNIDADE CONSTRUTIVA",0,IF(H194="CÉLULA CONSTRUTIVA",OFFSET(B194,-1,0)+1,OFFSET(B194,-1,0)))</f>
        <v/>
      </c>
      <c r="C194" s="220">
        <f>IF(H194="CÉLULA CONSTRUTIVA",0,IF(H194="ETAPA",OFFSET(C194,-1,0)+1,OFFSET(C194,-1,0)))</f>
        <v/>
      </c>
      <c r="D194" s="221">
        <f>IF(H194="ETAPA",0,IF(H194="SUBETAPA",OFFSET(D194,-1,0)+1,OFFSET(D194,-1,0)))</f>
        <v/>
      </c>
      <c r="E194" s="221">
        <f>IF(H194="Subetapa",0,IF(H194="serviço",OFFSET(E194,-1,0)+1,OFFSET(E194,-1,0)))</f>
        <v/>
      </c>
      <c r="F194" s="191" t="n"/>
      <c r="G194" s="146" t="n"/>
      <c r="H194" s="136" t="inlineStr">
        <is>
          <t>SUBETAPA</t>
        </is>
      </c>
      <c r="I194" s="137">
        <f>IF(H194="Unidade Construtiva",TEXT(A194,"00"),IF(H194="Célula Construtiva",TEXT(B194,"00"),IF(H194="Etapa",CONCATENATE(TEXT(B194,"00"),".",TEXT(C194,"000")),IF(H194="Subetapa",CONCATENATE(TEXT(B194,"00"),".",TEXT(C194,"000"),".",TEXT(D194,"000")),IF(H194="Serviço",CONCATENATE(TEXT(B194,"00"),".",TEXT(C194,"000"),".",TEXT(D194,"000"),".",TEXT(E194,"000")),"")))))</f>
        <v/>
      </c>
      <c r="J194" s="138" t="inlineStr">
        <is>
          <t>Sistema e Instalações Elétricas</t>
        </is>
      </c>
      <c r="K194" s="139" t="n"/>
      <c r="L194" s="140" t="n"/>
      <c r="M194" s="140" t="n"/>
      <c r="N194" s="141">
        <f>IF(H194="Serviço",M194*L194,IF(H194="CÉLULA CONSTRUTIVA",SUMIFS($N$8:$N$754,$B$8:$B$754,B194,$H$8:$H$754,"Serviço"),IF(H194="ETAPA",SUMIFS($N$8:$N$754,$B$8:$B$754,B194,$C$8:$C$754,C194,$H$8:$H$754,"Serviço"),IF(H194="SUBETAPA",SUMIFS($N$8:$N$754,$B$8:$B$754,B194,$C$8:$C$754,C194,$D$8:$D$754,D194,$H$8:$H$754,"Serviço"),0))))</f>
        <v/>
      </c>
      <c r="O194" s="139" t="n"/>
      <c r="P194" s="140" t="n"/>
      <c r="Q194" s="140" t="n"/>
      <c r="R194" s="222" t="inlineStr">
        <is>
          <t>07.001.007.001 - Mao de obra de instalações elétricas</t>
        </is>
      </c>
      <c r="S194" s="142" t="n"/>
      <c r="T194" s="142" t="n"/>
      <c r="U194" s="142" t="n"/>
      <c r="V194" s="191" t="n"/>
      <c r="W194" s="191" t="n"/>
      <c r="X194" s="191" t="n"/>
      <c r="Y194" s="191" t="n"/>
      <c r="Z194" s="191" t="n"/>
      <c r="AA194" s="191" t="n"/>
      <c r="AB194" s="191" t="n"/>
    </row>
    <row r="195" outlineLevel="2" ht="13.5" customFormat="1" customHeight="1" s="143">
      <c r="A195" s="220">
        <f>IF($H195="UNIDADE CONSTRUTIVA",OFFSET(A195,-1,0)+1,LARGE(A$3:A194,1))</f>
        <v/>
      </c>
      <c r="B195" s="220">
        <f>IF(H195="UNIDADE CONSTRUTIVA",0,IF(H195="CÉLULA CONSTRUTIVA",OFFSET(B195,-1,0)+1,OFFSET(B195,-1,0)))</f>
        <v/>
      </c>
      <c r="C195" s="220">
        <f>IF(H195="CÉLULA CONSTRUTIVA",0,IF(H195="ETAPA",OFFSET(C195,-1,0)+1,OFFSET(C195,-1,0)))</f>
        <v/>
      </c>
      <c r="D195" s="221">
        <f>IF(H195="ETAPA",0,IF(H195="SUBETAPA",OFFSET(D195,-1,0)+1,OFFSET(D195,-1,0)))</f>
        <v/>
      </c>
      <c r="E195" s="221">
        <f>IF(H195="Subetapa",0,IF(H195="serviço",OFFSET(E195,-1,0)+1,OFFSET(E195,-1,0)))</f>
        <v/>
      </c>
      <c r="F195" s="191" t="n"/>
      <c r="G195" s="146" t="inlineStr">
        <is>
          <t>SISTEMAS E INSTALAÇÕES ELÉTRICAS</t>
        </is>
      </c>
      <c r="H195" s="136" t="inlineStr">
        <is>
          <t>SERVIÇO</t>
        </is>
      </c>
      <c r="I195" s="137">
        <f>IF(H195="Unidade Construtiva",TEXT(A195,"00"),IF(H195="Célula Construtiva",TEXT(B195,"00"),IF(H195="Etapa",CONCATENATE(TEXT(B195,"00"),".",TEXT(C195,"000")),IF(H195="Subetapa",CONCATENATE(TEXT(B195,"00"),".",TEXT(C195,"000"),".",TEXT(D195,"000")),IF(H195="Serviço",CONCATENATE(TEXT(B195,"00"),".",TEXT(C195,"000"),".",TEXT(D195,"000"),".",TEXT(E195,"000")),"")))))</f>
        <v/>
      </c>
      <c r="J195" s="138" t="inlineStr">
        <is>
          <t>Entrada de energia</t>
        </is>
      </c>
      <c r="K195" s="139" t="inlineStr">
        <is>
          <t>vb</t>
        </is>
      </c>
      <c r="L195" s="140" t="n">
        <v>1</v>
      </c>
      <c r="M195" s="140" t="n">
        <v>4675.07113405052</v>
      </c>
      <c r="N195" s="141">
        <f>IF(H195="Serviço",M195*L195,IF(H195="CÉLULA CONSTRUTIVA",SUMIFS($N$8:$N$754,$B$8:$B$754,B195,$H$8:$H$754,"Serviço"),IF(H195="ETAPA",SUMIFS($N$8:$N$754,$B$8:$B$754,B195,$C$8:$C$754,C195,$H$8:$H$754,"Serviço"),IF(H195="SUBETAPA",SUMIFS($N$8:$N$754,$B$8:$B$754,B195,$C$8:$C$754,C195,$D$8:$D$754,D195,$H$8:$H$754,"Serviço"),0))))</f>
        <v/>
      </c>
      <c r="O195" s="139" t="n"/>
      <c r="P195" s="140" t="n"/>
      <c r="Q195" s="140" t="n"/>
      <c r="R195" s="141" t="n"/>
      <c r="S195" s="142" t="n"/>
      <c r="T195" s="142" t="n"/>
      <c r="U195" s="142" t="n"/>
      <c r="V195" s="191" t="n"/>
      <c r="W195" s="191" t="n"/>
      <c r="X195" s="191" t="n"/>
      <c r="Y195" s="191" t="n"/>
      <c r="Z195" s="191" t="n"/>
      <c r="AA195" s="191" t="n"/>
      <c r="AB195" s="191" t="n"/>
    </row>
    <row r="196" outlineLevel="1" ht="13.5" customFormat="1" customHeight="1" s="143">
      <c r="A196" s="220">
        <f>IF($H196="UNIDADE CONSTRUTIVA",OFFSET(A196,-1,0)+1,LARGE(A$3:A195,1))</f>
        <v/>
      </c>
      <c r="B196" s="220">
        <f>IF(H196="UNIDADE CONSTRUTIVA",0,IF(H196="CÉLULA CONSTRUTIVA",OFFSET(B196,-1,0)+1,OFFSET(B196,-1,0)))</f>
        <v/>
      </c>
      <c r="C196" s="220">
        <f>IF(H196="CÉLULA CONSTRUTIVA",0,IF(H196="ETAPA",OFFSET(C196,-1,0)+1,OFFSET(C196,-1,0)))</f>
        <v/>
      </c>
      <c r="D196" s="221">
        <f>IF(H196="ETAPA",0,IF(H196="SUBETAPA",OFFSET(D196,-1,0)+1,OFFSET(D196,-1,0)))</f>
        <v/>
      </c>
      <c r="E196" s="221">
        <f>IF(H196="Subetapa",0,IF(H196="serviço",OFFSET(E196,-1,0)+1,OFFSET(E196,-1,0)))</f>
        <v/>
      </c>
      <c r="F196" s="191" t="n"/>
      <c r="G196" s="146" t="n"/>
      <c r="H196" s="136" t="inlineStr">
        <is>
          <t>SUBETAPA</t>
        </is>
      </c>
      <c r="I196" s="137">
        <f>IF(H196="Unidade Construtiva",TEXT(A196,"00"),IF(H196="Célula Construtiva",TEXT(B196,"00"),IF(H196="Etapa",CONCATENATE(TEXT(B196,"00"),".",TEXT(C196,"000")),IF(H196="Subetapa",CONCATENATE(TEXT(B196,"00"),".",TEXT(C196,"000"),".",TEXT(D196,"000")),IF(H196="Serviço",CONCATENATE(TEXT(B196,"00"),".",TEXT(C196,"000"),".",TEXT(D196,"000"),".",TEXT(E196,"000")),"")))))</f>
        <v/>
      </c>
      <c r="J196" s="138" t="inlineStr">
        <is>
          <t>Quadros elétricos e disjuntores</t>
        </is>
      </c>
      <c r="K196" s="139" t="n"/>
      <c r="L196" s="140" t="n"/>
      <c r="M196" s="140" t="n"/>
      <c r="N196" s="141">
        <f>IF(H196="Serviço",M196*L196,IF(H196="CÉLULA CONSTRUTIVA",SUMIFS($N$8:$N$754,$B$8:$B$754,B196,$H$8:$H$754,"Serviço"),IF(H196="ETAPA",SUMIFS($N$8:$N$754,$B$8:$B$754,B196,$C$8:$C$754,C196,$H$8:$H$754,"Serviço"),IF(H196="SUBETAPA",SUMIFS($N$8:$N$754,$B$8:$B$754,B196,$C$8:$C$754,C196,$D$8:$D$754,D196,$H$8:$H$754,"Serviço"),0))))</f>
        <v/>
      </c>
      <c r="O196" s="139" t="n"/>
      <c r="P196" s="140" t="n"/>
      <c r="Q196" s="140" t="n"/>
      <c r="R196" s="222" t="inlineStr">
        <is>
          <t>07.001.002.001 - Quadros elétricos e disjuntores</t>
        </is>
      </c>
      <c r="S196" s="142" t="n"/>
      <c r="T196" s="142" t="n"/>
      <c r="U196" s="142" t="n"/>
      <c r="V196" s="191" t="n"/>
      <c r="W196" s="191" t="n"/>
      <c r="X196" s="191" t="n"/>
      <c r="Y196" s="191" t="n"/>
      <c r="Z196" s="191" t="n"/>
      <c r="AA196" s="191" t="n"/>
      <c r="AB196" s="191" t="n"/>
    </row>
    <row r="197" outlineLevel="2" ht="13.5" customFormat="1" customHeight="1" s="143">
      <c r="A197" s="220">
        <f>IF($H197="UNIDADE CONSTRUTIVA",OFFSET(A197,-1,0)+1,LARGE(A$3:A196,1))</f>
        <v/>
      </c>
      <c r="B197" s="220">
        <f>IF(H197="UNIDADE CONSTRUTIVA",0,IF(H197="CÉLULA CONSTRUTIVA",OFFSET(B197,-1,0)+1,OFFSET(B197,-1,0)))</f>
        <v/>
      </c>
      <c r="C197" s="220">
        <f>IF(H197="CÉLULA CONSTRUTIVA",0,IF(H197="ETAPA",OFFSET(C197,-1,0)+1,OFFSET(C197,-1,0)))</f>
        <v/>
      </c>
      <c r="D197" s="221">
        <f>IF(H197="ETAPA",0,IF(H197="SUBETAPA",OFFSET(D197,-1,0)+1,OFFSET(D197,-1,0)))</f>
        <v/>
      </c>
      <c r="E197" s="221">
        <f>IF(H197="Subetapa",0,IF(H197="serviço",OFFSET(E197,-1,0)+1,OFFSET(E197,-1,0)))</f>
        <v/>
      </c>
      <c r="F197" s="191" t="n"/>
      <c r="G197" s="146" t="inlineStr">
        <is>
          <t>SISTEMAS E INSTALAÇÕES ELÉTRICAS</t>
        </is>
      </c>
      <c r="H197" s="136" t="inlineStr">
        <is>
          <t>SERVIÇO</t>
        </is>
      </c>
      <c r="I197" s="137">
        <f>IF(H197="Unidade Construtiva",TEXT(A197,"00"),IF(H197="Célula Construtiva",TEXT(B197,"00"),IF(H197="Etapa",CONCATENATE(TEXT(B197,"00"),".",TEXT(C197,"000")),IF(H197="Subetapa",CONCATENATE(TEXT(B197,"00"),".",TEXT(C197,"000"),".",TEXT(D197,"000")),IF(H197="Serviço",CONCATENATE(TEXT(B197,"00"),".",TEXT(C197,"000"),".",TEXT(D197,"000"),".",TEXT(E197,"000")),"")))))</f>
        <v/>
      </c>
      <c r="J197" s="138" t="inlineStr">
        <is>
          <t>Quadros elétricos e disjuntores</t>
        </is>
      </c>
      <c r="K197" s="139" t="inlineStr">
        <is>
          <t>vb</t>
        </is>
      </c>
      <c r="L197" s="140" t="n">
        <v>1</v>
      </c>
      <c r="M197" s="140" t="n">
        <v>55145.85068422367</v>
      </c>
      <c r="N197" s="141">
        <f>IF(H197="Serviço",M197*L197,IF(H197="CÉLULA CONSTRUTIVA",SUMIFS($N$8:$N$754,$B$8:$B$754,B197,$H$8:$H$754,"Serviço"),IF(H197="ETAPA",SUMIFS($N$8:$N$754,$B$8:$B$754,B197,$C$8:$C$754,C197,$H$8:$H$754,"Serviço"),IF(H197="SUBETAPA",SUMIFS($N$8:$N$754,$B$8:$B$754,B197,$C$8:$C$754,C197,$D$8:$D$754,D197,$H$8:$H$754,"Serviço"),0))))</f>
        <v/>
      </c>
      <c r="O197" s="139" t="n"/>
      <c r="P197" s="140" t="n"/>
      <c r="Q197" s="140" t="n"/>
      <c r="R197" s="141" t="n"/>
      <c r="S197" s="142" t="n"/>
      <c r="T197" s="142" t="n"/>
      <c r="U197" s="142" t="n"/>
      <c r="V197" s="191" t="n"/>
      <c r="W197" s="191" t="n"/>
      <c r="X197" s="191" t="n"/>
      <c r="Y197" s="191" t="n"/>
      <c r="Z197" s="191" t="n"/>
      <c r="AA197" s="191" t="n"/>
      <c r="AB197" s="191" t="n"/>
    </row>
    <row r="198" outlineLevel="1" ht="13.5" customFormat="1" customHeight="1" s="143">
      <c r="A198" s="220">
        <f>IF($H198="UNIDADE CONSTRUTIVA",OFFSET(A198,-1,0)+1,LARGE(A$3:A197,1))</f>
        <v/>
      </c>
      <c r="B198" s="220">
        <f>IF(H198="UNIDADE CONSTRUTIVA",0,IF(H198="CÉLULA CONSTRUTIVA",OFFSET(B198,-1,0)+1,OFFSET(B198,-1,0)))</f>
        <v/>
      </c>
      <c r="C198" s="220">
        <f>IF(H198="CÉLULA CONSTRUTIVA",0,IF(H198="ETAPA",OFFSET(C198,-1,0)+1,OFFSET(C198,-1,0)))</f>
        <v/>
      </c>
      <c r="D198" s="221">
        <f>IF(H198="ETAPA",0,IF(H198="SUBETAPA",OFFSET(D198,-1,0)+1,OFFSET(D198,-1,0)))</f>
        <v/>
      </c>
      <c r="E198" s="221">
        <f>IF(H198="Subetapa",0,IF(H198="serviço",OFFSET(E198,-1,0)+1,OFFSET(E198,-1,0)))</f>
        <v/>
      </c>
      <c r="F198" s="191" t="n"/>
      <c r="G198" s="146" t="n"/>
      <c r="H198" s="136" t="inlineStr">
        <is>
          <t>SUBETAPA</t>
        </is>
      </c>
      <c r="I198" s="137">
        <f>IF(H198="Unidade Construtiva",TEXT(A198,"00"),IF(H198="Célula Construtiva",TEXT(B198,"00"),IF(H198="Etapa",CONCATENATE(TEXT(B198,"00"),".",TEXT(C198,"000")),IF(H198="Subetapa",CONCATENATE(TEXT(B198,"00"),".",TEXT(C198,"000"),".",TEXT(D198,"000")),IF(H198="Serviço",CONCATENATE(TEXT(B198,"00"),".",TEXT(C198,"000"),".",TEXT(D198,"000"),".",TEXT(E198,"000")),"")))))</f>
        <v/>
      </c>
      <c r="J198" s="138" t="inlineStr">
        <is>
          <t>Eletrodutos e eletrocalhas</t>
        </is>
      </c>
      <c r="K198" s="139" t="n"/>
      <c r="L198" s="140" t="n"/>
      <c r="M198" s="140" t="n"/>
      <c r="N198" s="141">
        <f>IF(H198="Serviço",M198*L198,IF(H198="CÉLULA CONSTRUTIVA",SUMIFS($N$8:$N$754,$B$8:$B$754,B198,$H$8:$H$754,"Serviço"),IF(H198="ETAPA",SUMIFS($N$8:$N$754,$B$8:$B$754,B198,$C$8:$C$754,C198,$H$8:$H$754,"Serviço"),IF(H198="SUBETAPA",SUMIFS($N$8:$N$754,$B$8:$B$754,B198,$C$8:$C$754,C198,$D$8:$D$754,D198,$H$8:$H$754,"Serviço"),0))))</f>
        <v/>
      </c>
      <c r="O198" s="139" t="n"/>
      <c r="P198" s="140" t="n"/>
      <c r="Q198" s="140" t="n"/>
      <c r="R198" s="222" t="inlineStr">
        <is>
          <t>07.001.003.001 - Eletrodutos e eletrocalhas</t>
        </is>
      </c>
      <c r="S198" s="142" t="n"/>
      <c r="T198" s="142" t="n"/>
      <c r="U198" s="142" t="n"/>
      <c r="V198" s="191" t="n"/>
      <c r="W198" s="191" t="n"/>
      <c r="X198" s="191" t="n"/>
      <c r="Y198" s="191" t="n"/>
      <c r="Z198" s="191" t="n"/>
      <c r="AA198" s="191" t="n"/>
      <c r="AB198" s="191" t="n"/>
    </row>
    <row r="199" outlineLevel="2" ht="13.5" customFormat="1" customHeight="1" s="143">
      <c r="A199" s="220">
        <f>IF($H199="UNIDADE CONSTRUTIVA",OFFSET(A199,-1,0)+1,LARGE(A$3:A198,1))</f>
        <v/>
      </c>
      <c r="B199" s="220">
        <f>IF(H199="UNIDADE CONSTRUTIVA",0,IF(H199="CÉLULA CONSTRUTIVA",OFFSET(B199,-1,0)+1,OFFSET(B199,-1,0)))</f>
        <v/>
      </c>
      <c r="C199" s="220">
        <f>IF(H199="CÉLULA CONSTRUTIVA",0,IF(H199="ETAPA",OFFSET(C199,-1,0)+1,OFFSET(C199,-1,0)))</f>
        <v/>
      </c>
      <c r="D199" s="221">
        <f>IF(H199="ETAPA",0,IF(H199="SUBETAPA",OFFSET(D199,-1,0)+1,OFFSET(D199,-1,0)))</f>
        <v/>
      </c>
      <c r="E199" s="221">
        <f>IF(H199="Subetapa",0,IF(H199="serviço",OFFSET(E199,-1,0)+1,OFFSET(E199,-1,0)))</f>
        <v/>
      </c>
      <c r="F199" s="191" t="n"/>
      <c r="G199" s="146" t="inlineStr">
        <is>
          <t>SISTEMAS E INSTALAÇÕES ELÉTRICAS</t>
        </is>
      </c>
      <c r="H199" s="136" t="inlineStr">
        <is>
          <t>SERVIÇO</t>
        </is>
      </c>
      <c r="I199" s="137">
        <f>IF(H199="Unidade Construtiva",TEXT(A199,"00"),IF(H199="Célula Construtiva",TEXT(B199,"00"),IF(H199="Etapa",CONCATENATE(TEXT(B199,"00"),".",TEXT(C199,"000")),IF(H199="Subetapa",CONCATENATE(TEXT(B199,"00"),".",TEXT(C199,"000"),".",TEXT(D199,"000")),IF(H199="Serviço",CONCATENATE(TEXT(B199,"00"),".",TEXT(C199,"000"),".",TEXT(D199,"000"),".",TEXT(E199,"000")),"")))))</f>
        <v/>
      </c>
      <c r="J199" s="138" t="inlineStr">
        <is>
          <t>Eletrodutos e caixas</t>
        </is>
      </c>
      <c r="K199" s="139" t="inlineStr">
        <is>
          <t>vb</t>
        </is>
      </c>
      <c r="L199" s="140" t="n">
        <v>1</v>
      </c>
      <c r="M199" s="140" t="n">
        <v>107656.4966206773</v>
      </c>
      <c r="N199" s="141">
        <f>IF(H199="Serviço",M199*L199,IF(H199="CÉLULA CONSTRUTIVA",SUMIFS($N$8:$N$754,$B$8:$B$754,B199,$H$8:$H$754,"Serviço"),IF(H199="ETAPA",SUMIFS($N$8:$N$754,$B$8:$B$754,B199,$C$8:$C$754,C199,$H$8:$H$754,"Serviço"),IF(H199="SUBETAPA",SUMIFS($N$8:$N$754,$B$8:$B$754,B199,$C$8:$C$754,C199,$D$8:$D$754,D199,$H$8:$H$754,"Serviço"),0))))</f>
        <v/>
      </c>
      <c r="O199" s="139" t="n"/>
      <c r="P199" s="140" t="n"/>
      <c r="Q199" s="140" t="n"/>
      <c r="R199" s="141" t="n"/>
      <c r="S199" s="142" t="n"/>
      <c r="T199" s="142" t="n"/>
      <c r="U199" s="142" t="n"/>
      <c r="V199" s="191" t="n"/>
      <c r="W199" s="191" t="n"/>
      <c r="X199" s="191" t="n"/>
      <c r="Y199" s="191" t="n"/>
      <c r="Z199" s="191" t="n"/>
      <c r="AA199" s="191" t="n"/>
      <c r="AB199" s="191" t="n"/>
    </row>
    <row r="200" outlineLevel="1" ht="13.5" customFormat="1" customHeight="1" s="143">
      <c r="A200" s="220">
        <f>IF($H200="UNIDADE CONSTRUTIVA",OFFSET(A200,-1,0)+1,LARGE(A$3:A199,1))</f>
        <v/>
      </c>
      <c r="B200" s="220">
        <f>IF(H200="UNIDADE CONSTRUTIVA",0,IF(H200="CÉLULA CONSTRUTIVA",OFFSET(B200,-1,0)+1,OFFSET(B200,-1,0)))</f>
        <v/>
      </c>
      <c r="C200" s="220">
        <f>IF(H200="CÉLULA CONSTRUTIVA",0,IF(H200="ETAPA",OFFSET(C200,-1,0)+1,OFFSET(C200,-1,0)))</f>
        <v/>
      </c>
      <c r="D200" s="221">
        <f>IF(H200="ETAPA",0,IF(H200="SUBETAPA",OFFSET(D200,-1,0)+1,OFFSET(D200,-1,0)))</f>
        <v/>
      </c>
      <c r="E200" s="221">
        <f>IF(H200="Subetapa",0,IF(H200="serviço",OFFSET(E200,-1,0)+1,OFFSET(E200,-1,0)))</f>
        <v/>
      </c>
      <c r="F200" s="191" t="n"/>
      <c r="G200" s="146" t="n"/>
      <c r="H200" s="136" t="inlineStr">
        <is>
          <t>SUBETAPA</t>
        </is>
      </c>
      <c r="I200" s="137">
        <f>IF(H200="Unidade Construtiva",TEXT(A200,"00"),IF(H200="Célula Construtiva",TEXT(B200,"00"),IF(H200="Etapa",CONCATENATE(TEXT(B200,"00"),".",TEXT(C200,"000")),IF(H200="Subetapa",CONCATENATE(TEXT(B200,"00"),".",TEXT(C200,"000"),".",TEXT(D200,"000")),IF(H200="Serviço",CONCATENATE(TEXT(B200,"00"),".",TEXT(C200,"000"),".",TEXT(D200,"000"),".",TEXT(E200,"000")),"")))))</f>
        <v/>
      </c>
      <c r="J200" s="138" t="inlineStr">
        <is>
          <t>Fios e cabos elétricos</t>
        </is>
      </c>
      <c r="K200" s="139" t="n"/>
      <c r="L200" s="140" t="n"/>
      <c r="M200" s="140" t="n"/>
      <c r="N200" s="141">
        <f>IF(H200="Serviço",M200*L200,IF(H200="CÉLULA CONSTRUTIVA",SUMIFS($N$8:$N$754,$B$8:$B$754,B200,$H$8:$H$754,"Serviço"),IF(H200="ETAPA",SUMIFS($N$8:$N$754,$B$8:$B$754,B200,$C$8:$C$754,C200,$H$8:$H$754,"Serviço"),IF(H200="SUBETAPA",SUMIFS($N$8:$N$754,$B$8:$B$754,B200,$C$8:$C$754,C200,$D$8:$D$754,D200,$H$8:$H$754,"Serviço"),0))))</f>
        <v/>
      </c>
      <c r="O200" s="139" t="n"/>
      <c r="P200" s="140" t="n"/>
      <c r="Q200" s="140" t="n"/>
      <c r="R200" s="222" t="inlineStr">
        <is>
          <t>07.001.004.001 - Fios e cabos elétricos</t>
        </is>
      </c>
      <c r="S200" s="142" t="n"/>
      <c r="T200" s="142" t="n"/>
      <c r="U200" s="142" t="n"/>
      <c r="V200" s="191" t="n"/>
      <c r="W200" s="191" t="n"/>
      <c r="X200" s="191" t="n"/>
      <c r="Y200" s="191" t="n"/>
      <c r="Z200" s="191" t="n"/>
      <c r="AA200" s="191" t="n"/>
      <c r="AB200" s="191" t="n"/>
    </row>
    <row r="201" outlineLevel="2" ht="13.5" customFormat="1" customHeight="1" s="143">
      <c r="A201" s="220">
        <f>IF($H201="UNIDADE CONSTRUTIVA",OFFSET(A201,-1,0)+1,LARGE(A$3:A200,1))</f>
        <v/>
      </c>
      <c r="B201" s="220">
        <f>IF(H201="UNIDADE CONSTRUTIVA",0,IF(H201="CÉLULA CONSTRUTIVA",OFFSET(B201,-1,0)+1,OFFSET(B201,-1,0)))</f>
        <v/>
      </c>
      <c r="C201" s="220">
        <f>IF(H201="CÉLULA CONSTRUTIVA",0,IF(H201="ETAPA",OFFSET(C201,-1,0)+1,OFFSET(C201,-1,0)))</f>
        <v/>
      </c>
      <c r="D201" s="221">
        <f>IF(H201="ETAPA",0,IF(H201="SUBETAPA",OFFSET(D201,-1,0)+1,OFFSET(D201,-1,0)))</f>
        <v/>
      </c>
      <c r="E201" s="221">
        <f>IF(H201="Subetapa",0,IF(H201="serviço",OFFSET(E201,-1,0)+1,OFFSET(E201,-1,0)))</f>
        <v/>
      </c>
      <c r="F201" s="191" t="n"/>
      <c r="G201" s="146" t="inlineStr">
        <is>
          <t>SISTEMAS E INSTALAÇÕES ELÉTRICAS</t>
        </is>
      </c>
      <c r="H201" s="136" t="inlineStr">
        <is>
          <t>SERVIÇO</t>
        </is>
      </c>
      <c r="I201" s="137">
        <f>IF(H201="Unidade Construtiva",TEXT(A201,"00"),IF(H201="Célula Construtiva",TEXT(B201,"00"),IF(H201="Etapa",CONCATENATE(TEXT(B201,"00"),".",TEXT(C201,"000")),IF(H201="Subetapa",CONCATENATE(TEXT(B201,"00"),".",TEXT(C201,"000"),".",TEXT(D201,"000")),IF(H201="Serviço",CONCATENATE(TEXT(B201,"00"),".",TEXT(C201,"000"),".",TEXT(D201,"000"),".",TEXT(E201,"000")),"")))))</f>
        <v/>
      </c>
      <c r="J201" s="138" t="inlineStr">
        <is>
          <t>Fios e cabos elétricos</t>
        </is>
      </c>
      <c r="K201" s="139" t="inlineStr">
        <is>
          <t>vb</t>
        </is>
      </c>
      <c r="L201" s="140" t="n">
        <v>1</v>
      </c>
      <c r="M201" s="140" t="n">
        <v>233110.9716928625</v>
      </c>
      <c r="N201" s="141">
        <f>IF(H201="Serviço",M201*L201,IF(H201="CÉLULA CONSTRUTIVA",SUMIFS($N$8:$N$754,$B$8:$B$754,B201,$H$8:$H$754,"Serviço"),IF(H201="ETAPA",SUMIFS($N$8:$N$754,$B$8:$B$754,B201,$C$8:$C$754,C201,$H$8:$H$754,"Serviço"),IF(H201="SUBETAPA",SUMIFS($N$8:$N$754,$B$8:$B$754,B201,$C$8:$C$754,C201,$D$8:$D$754,D201,$H$8:$H$754,"Serviço"),0))))</f>
        <v/>
      </c>
      <c r="O201" s="139" t="n"/>
      <c r="P201" s="140" t="n"/>
      <c r="Q201" s="140" t="n"/>
      <c r="R201" s="141" t="n"/>
      <c r="S201" s="142" t="n"/>
      <c r="T201" s="142" t="n"/>
      <c r="U201" s="142" t="n"/>
      <c r="V201" s="191" t="n"/>
      <c r="W201" s="191" t="n"/>
      <c r="X201" s="191" t="n"/>
      <c r="Y201" s="191" t="n"/>
      <c r="Z201" s="191" t="n"/>
      <c r="AA201" s="191" t="n"/>
      <c r="AB201" s="191" t="n"/>
    </row>
    <row r="202" outlineLevel="1" ht="13.5" customFormat="1" customHeight="1" s="143">
      <c r="A202" s="220">
        <f>IF($H202="UNIDADE CONSTRUTIVA",OFFSET(A202,-1,0)+1,LARGE(A$3:A201,1))</f>
        <v/>
      </c>
      <c r="B202" s="220">
        <f>IF(H202="UNIDADE CONSTRUTIVA",0,IF(H202="CÉLULA CONSTRUTIVA",OFFSET(B202,-1,0)+1,OFFSET(B202,-1,0)))</f>
        <v/>
      </c>
      <c r="C202" s="220">
        <f>IF(H202="CÉLULA CONSTRUTIVA",0,IF(H202="ETAPA",OFFSET(C202,-1,0)+1,OFFSET(C202,-1,0)))</f>
        <v/>
      </c>
      <c r="D202" s="221">
        <f>IF(H202="ETAPA",0,IF(H202="SUBETAPA",OFFSET(D202,-1,0)+1,OFFSET(D202,-1,0)))</f>
        <v/>
      </c>
      <c r="E202" s="221">
        <f>IF(H202="Subetapa",0,IF(H202="serviço",OFFSET(E202,-1,0)+1,OFFSET(E202,-1,0)))</f>
        <v/>
      </c>
      <c r="F202" s="191" t="n"/>
      <c r="G202" s="146" t="n"/>
      <c r="H202" s="136" t="inlineStr">
        <is>
          <t>SUBETAPA</t>
        </is>
      </c>
      <c r="I202" s="137">
        <f>IF(H202="Unidade Construtiva",TEXT(A202,"00"),IF(H202="Célula Construtiva",TEXT(B202,"00"),IF(H202="Etapa",CONCATENATE(TEXT(B202,"00"),".",TEXT(C202,"000")),IF(H202="Subetapa",CONCATENATE(TEXT(B202,"00"),".",TEXT(C202,"000"),".",TEXT(D202,"000")),IF(H202="Serviço",CONCATENATE(TEXT(B202,"00"),".",TEXT(C202,"000"),".",TEXT(D202,"000"),".",TEXT(E202,"000")),"")))))</f>
        <v/>
      </c>
      <c r="J202" s="138" t="inlineStr">
        <is>
          <t>Pontos de tomadas e interruptores</t>
        </is>
      </c>
      <c r="K202" s="139" t="n"/>
      <c r="L202" s="140" t="n"/>
      <c r="M202" s="140" t="n"/>
      <c r="N202" s="141">
        <f>IF(H202="Serviço",M202*L202,IF(H202="CÉLULA CONSTRUTIVA",SUMIFS($N$8:$N$754,$B$8:$B$754,B202,$H$8:$H$754,"Serviço"),IF(H202="ETAPA",SUMIFS($N$8:$N$754,$B$8:$B$754,B202,$C$8:$C$754,C202,$H$8:$H$754,"Serviço"),IF(H202="SUBETAPA",SUMIFS($N$8:$N$754,$B$8:$B$754,B202,$C$8:$C$754,C202,$D$8:$D$754,D202,$H$8:$H$754,"Serviço"),0))))</f>
        <v/>
      </c>
      <c r="O202" s="139" t="n"/>
      <c r="P202" s="140" t="n"/>
      <c r="Q202" s="140" t="n"/>
      <c r="R202" s="222" t="inlineStr">
        <is>
          <t>07.001.005.001 - Pontos de tomadas e interruptores</t>
        </is>
      </c>
      <c r="S202" s="142" t="n"/>
      <c r="T202" s="142" t="n"/>
      <c r="U202" s="142" t="n"/>
      <c r="V202" s="191" t="n"/>
      <c r="W202" s="191" t="n"/>
      <c r="X202" s="191" t="n"/>
      <c r="Y202" s="191" t="n"/>
      <c r="Z202" s="191" t="n"/>
      <c r="AA202" s="191" t="n"/>
      <c r="AB202" s="191" t="n"/>
    </row>
    <row r="203" outlineLevel="2" ht="13.5" customFormat="1" customHeight="1" s="143">
      <c r="A203" s="220">
        <f>IF($H203="UNIDADE CONSTRUTIVA",OFFSET(A203,-1,0)+1,LARGE(A$3:A202,1))</f>
        <v/>
      </c>
      <c r="B203" s="220">
        <f>IF(H203="UNIDADE CONSTRUTIVA",0,IF(H203="CÉLULA CONSTRUTIVA",OFFSET(B203,-1,0)+1,OFFSET(B203,-1,0)))</f>
        <v/>
      </c>
      <c r="C203" s="220">
        <f>IF(H203="CÉLULA CONSTRUTIVA",0,IF(H203="ETAPA",OFFSET(C203,-1,0)+1,OFFSET(C203,-1,0)))</f>
        <v/>
      </c>
      <c r="D203" s="221">
        <f>IF(H203="ETAPA",0,IF(H203="SUBETAPA",OFFSET(D203,-1,0)+1,OFFSET(D203,-1,0)))</f>
        <v/>
      </c>
      <c r="E203" s="221">
        <f>IF(H203="Subetapa",0,IF(H203="serviço",OFFSET(E203,-1,0)+1,OFFSET(E203,-1,0)))</f>
        <v/>
      </c>
      <c r="F203" s="191" t="n"/>
      <c r="G203" s="146" t="inlineStr">
        <is>
          <t>SISTEMAS E INSTALAÇÕES ELÉTRICAS</t>
        </is>
      </c>
      <c r="H203" s="136" t="inlineStr">
        <is>
          <t>SERVIÇO</t>
        </is>
      </c>
      <c r="I203" s="137">
        <f>IF(H203="Unidade Construtiva",TEXT(A203,"00"),IF(H203="Célula Construtiva",TEXT(B203,"00"),IF(H203="Etapa",CONCATENATE(TEXT(B203,"00"),".",TEXT(C203,"000")),IF(H203="Subetapa",CONCATENATE(TEXT(B203,"00"),".",TEXT(C203,"000"),".",TEXT(D203,"000")),IF(H203="Serviço",CONCATENATE(TEXT(B203,"00"),".",TEXT(C203,"000"),".",TEXT(D203,"000"),".",TEXT(E203,"000")),"")))))</f>
        <v/>
      </c>
      <c r="J203" s="138" t="inlineStr">
        <is>
          <t>Pontos de tomadas e interruptores</t>
        </is>
      </c>
      <c r="K203" s="139" t="inlineStr">
        <is>
          <t>vb</t>
        </is>
      </c>
      <c r="L203" s="140" t="n">
        <v>1</v>
      </c>
      <c r="M203" s="140" t="n">
        <v>68426.59939410939</v>
      </c>
      <c r="N203" s="141">
        <f>IF(H203="Serviço",M203*L203,IF(H203="CÉLULA CONSTRUTIVA",SUMIFS($N$8:$N$754,$B$8:$B$754,B203,$H$8:$H$754,"Serviço"),IF(H203="ETAPA",SUMIFS($N$8:$N$754,$B$8:$B$754,B203,$C$8:$C$754,C203,$H$8:$H$754,"Serviço"),IF(H203="SUBETAPA",SUMIFS($N$8:$N$754,$B$8:$B$754,B203,$C$8:$C$754,C203,$D$8:$D$754,D203,$H$8:$H$754,"Serviço"),0))))</f>
        <v/>
      </c>
      <c r="O203" s="139" t="n"/>
      <c r="P203" s="140" t="n"/>
      <c r="Q203" s="140" t="n"/>
      <c r="R203" s="141" t="n"/>
      <c r="S203" s="142" t="n"/>
      <c r="T203" s="142" t="n"/>
      <c r="U203" s="142" t="n"/>
      <c r="V203" s="191" t="n"/>
      <c r="W203" s="191" t="n"/>
      <c r="X203" s="191" t="n"/>
      <c r="Y203" s="191" t="n"/>
      <c r="Z203" s="191" t="n"/>
      <c r="AA203" s="191" t="n"/>
      <c r="AB203" s="191" t="n"/>
    </row>
    <row r="204" outlineLevel="1" ht="13.5" customFormat="1" customHeight="1" s="143">
      <c r="A204" s="220">
        <f>IF($H204="UNIDADE CONSTRUTIVA",OFFSET(A204,-1,0)+1,LARGE(A$3:A203,1))</f>
        <v/>
      </c>
      <c r="B204" s="220">
        <f>IF(H204="UNIDADE CONSTRUTIVA",0,IF(H204="CÉLULA CONSTRUTIVA",OFFSET(B204,-1,0)+1,OFFSET(B204,-1,0)))</f>
        <v/>
      </c>
      <c r="C204" s="220">
        <f>IF(H204="CÉLULA CONSTRUTIVA",0,IF(H204="ETAPA",OFFSET(C204,-1,0)+1,OFFSET(C204,-1,0)))</f>
        <v/>
      </c>
      <c r="D204" s="221">
        <f>IF(H204="ETAPA",0,IF(H204="SUBETAPA",OFFSET(D204,-1,0)+1,OFFSET(D204,-1,0)))</f>
        <v/>
      </c>
      <c r="E204" s="221">
        <f>IF(H204="Subetapa",0,IF(H204="serviço",OFFSET(E204,-1,0)+1,OFFSET(E204,-1,0)))</f>
        <v/>
      </c>
      <c r="F204" s="191" t="n"/>
      <c r="G204" s="146" t="n"/>
      <c r="H204" s="136" t="inlineStr">
        <is>
          <t>SUBETAPA</t>
        </is>
      </c>
      <c r="I204" s="137">
        <f>IF(H204="Unidade Construtiva",TEXT(A204,"00"),IF(H204="Célula Construtiva",TEXT(B204,"00"),IF(H204="Etapa",CONCATENATE(TEXT(B204,"00"),".",TEXT(C204,"000")),IF(H204="Subetapa",CONCATENATE(TEXT(B204,"00"),".",TEXT(C204,"000"),".",TEXT(D204,"000")),IF(H204="Serviço",CONCATENATE(TEXT(B204,"00"),".",TEXT(C204,"000"),".",TEXT(D204,"000"),".",TEXT(E204,"000")),"")))))</f>
        <v/>
      </c>
      <c r="J204" s="138" t="inlineStr">
        <is>
          <t xml:space="preserve">Luminárias, lâmpadas e acessórios </t>
        </is>
      </c>
      <c r="K204" s="139" t="n"/>
      <c r="L204" s="140" t="n"/>
      <c r="M204" s="140" t="n"/>
      <c r="N204" s="141">
        <f>IF(H204="Serviço",M204*L204,IF(H204="CÉLULA CONSTRUTIVA",SUMIFS($N$8:$N$754,$B$8:$B$754,B204,$H$8:$H$754,"Serviço"),IF(H204="ETAPA",SUMIFS($N$8:$N$754,$B$8:$B$754,B204,$C$8:$C$754,C204,$H$8:$H$754,"Serviço"),IF(H204="SUBETAPA",SUMIFS($N$8:$N$754,$B$8:$B$754,B204,$C$8:$C$754,C204,$D$8:$D$754,D204,$H$8:$H$754,"Serviço"),0))))</f>
        <v/>
      </c>
      <c r="O204" s="139" t="n"/>
      <c r="P204" s="140" t="n"/>
      <c r="Q204" s="140" t="n"/>
      <c r="R204" s="222" t="inlineStr">
        <is>
          <t>07.001.006.001 - Luminárias, lâmpadas e acessórios</t>
        </is>
      </c>
      <c r="S204" s="142" t="n"/>
      <c r="T204" s="142" t="n"/>
      <c r="U204" s="142" t="n"/>
      <c r="V204" s="191" t="n"/>
      <c r="W204" s="191" t="n"/>
      <c r="X204" s="191" t="n"/>
      <c r="Y204" s="191" t="n"/>
      <c r="Z204" s="191" t="n"/>
      <c r="AA204" s="191" t="n"/>
      <c r="AB204" s="191" t="n"/>
    </row>
    <row r="205" outlineLevel="2" ht="13.5" customFormat="1" customHeight="1" s="143">
      <c r="A205" s="220">
        <f>IF($H205="UNIDADE CONSTRUTIVA",OFFSET(A205,-1,0)+1,LARGE(A$3:A204,1))</f>
        <v/>
      </c>
      <c r="B205" s="220">
        <f>IF(H205="UNIDADE CONSTRUTIVA",0,IF(H205="CÉLULA CONSTRUTIVA",OFFSET(B205,-1,0)+1,OFFSET(B205,-1,0)))</f>
        <v/>
      </c>
      <c r="C205" s="220">
        <f>IF(H205="CÉLULA CONSTRUTIVA",0,IF(H205="ETAPA",OFFSET(C205,-1,0)+1,OFFSET(C205,-1,0)))</f>
        <v/>
      </c>
      <c r="D205" s="221">
        <f>IF(H205="ETAPA",0,IF(H205="SUBETAPA",OFFSET(D205,-1,0)+1,OFFSET(D205,-1,0)))</f>
        <v/>
      </c>
      <c r="E205" s="221">
        <f>IF(H205="Subetapa",0,IF(H205="serviço",OFFSET(E205,-1,0)+1,OFFSET(E205,-1,0)))</f>
        <v/>
      </c>
      <c r="F205" s="191" t="n"/>
      <c r="G205" s="146" t="inlineStr">
        <is>
          <t>SISTEMAS E INSTALAÇÕES ELÉTRICAS</t>
        </is>
      </c>
      <c r="H205" s="136" t="inlineStr">
        <is>
          <t>SERVIÇO</t>
        </is>
      </c>
      <c r="I205" s="137">
        <f>IF(H205="Unidade Construtiva",TEXT(A205,"00"),IF(H205="Célula Construtiva",TEXT(B205,"00"),IF(H205="Etapa",CONCATENATE(TEXT(B205,"00"),".",TEXT(C205,"000")),IF(H205="Subetapa",CONCATENATE(TEXT(B205,"00"),".",TEXT(C205,"000"),".",TEXT(D205,"000")),IF(H205="Serviço",CONCATENATE(TEXT(B205,"00"),".",TEXT(C205,"000"),".",TEXT(D205,"000"),".",TEXT(E205,"000")),"")))))</f>
        <v/>
      </c>
      <c r="J205" s="138" t="inlineStr">
        <is>
          <t>Luminárias, lâmpadas e acessórios</t>
        </is>
      </c>
      <c r="K205" s="139" t="inlineStr">
        <is>
          <t>vb</t>
        </is>
      </c>
      <c r="L205" s="140" t="n">
        <v>1</v>
      </c>
      <c r="M205" s="140" t="n">
        <v>40712.75578831387</v>
      </c>
      <c r="N205" s="141">
        <f>IF(H205="Serviço",M205*L205,IF(H205="CÉLULA CONSTRUTIVA",SUMIFS($N$8:$N$754,$B$8:$B$754,B205,$H$8:$H$754,"Serviço"),IF(H205="ETAPA",SUMIFS($N$8:$N$754,$B$8:$B$754,B205,$C$8:$C$754,C205,$H$8:$H$754,"Serviço"),IF(H205="SUBETAPA",SUMIFS($N$8:$N$754,$B$8:$B$754,B205,$C$8:$C$754,C205,$D$8:$D$754,D205,$H$8:$H$754,"Serviço"),0))))</f>
        <v/>
      </c>
      <c r="O205" s="139" t="n"/>
      <c r="P205" s="140" t="n"/>
      <c r="Q205" s="140" t="n"/>
      <c r="R205" s="141" t="n"/>
      <c r="S205" s="142" t="n"/>
      <c r="T205" s="142" t="n"/>
      <c r="U205" s="142" t="n"/>
      <c r="V205" s="191" t="n"/>
      <c r="W205" s="191" t="n"/>
      <c r="X205" s="191" t="n"/>
      <c r="Y205" s="191" t="n"/>
      <c r="Z205" s="191" t="n"/>
      <c r="AA205" s="191" t="n"/>
      <c r="AB205" s="191" t="n"/>
    </row>
    <row r="206" outlineLevel="1" ht="13.5" customFormat="1" customHeight="1" s="143">
      <c r="A206" s="220">
        <f>IF($H206="UNIDADE CONSTRUTIVA",OFFSET(A206,-1,0)+1,LARGE(A$3:A205,1))</f>
        <v/>
      </c>
      <c r="B206" s="220">
        <f>IF(H206="UNIDADE CONSTRUTIVA",0,IF(H206="CÉLULA CONSTRUTIVA",OFFSET(B206,-1,0)+1,OFFSET(B206,-1,0)))</f>
        <v/>
      </c>
      <c r="C206" s="220">
        <f>IF(H206="CÉLULA CONSTRUTIVA",0,IF(H206="ETAPA",OFFSET(C206,-1,0)+1,OFFSET(C206,-1,0)))</f>
        <v/>
      </c>
      <c r="D206" s="221">
        <f>IF(H206="ETAPA",0,IF(H206="SUBETAPA",OFFSET(D206,-1,0)+1,OFFSET(D206,-1,0)))</f>
        <v/>
      </c>
      <c r="E206" s="221">
        <f>IF(H206="Subetapa",0,IF(H206="serviço",OFFSET(E206,-1,0)+1,OFFSET(E206,-1,0)))</f>
        <v/>
      </c>
      <c r="F206" s="191" t="n"/>
      <c r="G206" s="146" t="n"/>
      <c r="H206" s="136" t="inlineStr">
        <is>
          <t>SUBETAPA</t>
        </is>
      </c>
      <c r="I206" s="137">
        <f>IF(H206="Unidade Construtiva",TEXT(A206,"00"),IF(H206="Célula Construtiva",TEXT(B206,"00"),IF(H206="Etapa",CONCATENATE(TEXT(B206,"00"),".",TEXT(C206,"000")),IF(H206="Subetapa",CONCATENATE(TEXT(B206,"00"),".",TEXT(C206,"000"),".",TEXT(D206,"000")),IF(H206="Serviço",CONCATENATE(TEXT(B206,"00"),".",TEXT(C206,"000"),".",TEXT(D206,"000"),".",TEXT(E206,"000")),"")))))</f>
        <v/>
      </c>
      <c r="J206" s="138" t="inlineStr">
        <is>
          <t>Mão de obra - Sistemas e instalações elétricas</t>
        </is>
      </c>
      <c r="K206" s="139" t="n"/>
      <c r="L206" s="140" t="n"/>
      <c r="M206" s="140" t="n"/>
      <c r="N206" s="141">
        <f>IF(H206="Serviço",M206*L206,IF(H206="CÉLULA CONSTRUTIVA",SUMIFS($N$8:$N$754,$B$8:$B$754,B206,$H$8:$H$754,"Serviço"),IF(H206="ETAPA",SUMIFS($N$8:$N$754,$B$8:$B$754,B206,$C$8:$C$754,C206,$H$8:$H$754,"Serviço"),IF(H206="SUBETAPA",SUMIFS($N$8:$N$754,$B$8:$B$754,B206,$C$8:$C$754,C206,$D$8:$D$754,D206,$H$8:$H$754,"Serviço"),0))))</f>
        <v/>
      </c>
      <c r="O206" s="139" t="n"/>
      <c r="P206" s="140" t="n"/>
      <c r="Q206" s="140" t="n"/>
      <c r="R206" s="222" t="inlineStr">
        <is>
          <t>07.001.007.001 - Mao de obra de instalações elétricas</t>
        </is>
      </c>
      <c r="S206" s="142" t="n"/>
      <c r="T206" s="142" t="n"/>
      <c r="U206" s="142" t="n"/>
      <c r="V206" s="191" t="n"/>
      <c r="W206" s="191" t="n"/>
      <c r="X206" s="191" t="n"/>
      <c r="Y206" s="191" t="n"/>
      <c r="Z206" s="191" t="n"/>
      <c r="AA206" s="191" t="n"/>
      <c r="AB206" s="191" t="n"/>
    </row>
    <row r="207" outlineLevel="2" ht="13.5" customFormat="1" customHeight="1" s="143">
      <c r="A207" s="220">
        <f>IF($H207="UNIDADE CONSTRUTIVA",OFFSET(A207,-1,0)+1,LARGE(A$3:A206,1))</f>
        <v/>
      </c>
      <c r="B207" s="220">
        <f>IF(H207="UNIDADE CONSTRUTIVA",0,IF(H207="CÉLULA CONSTRUTIVA",OFFSET(B207,-1,0)+1,OFFSET(B207,-1,0)))</f>
        <v/>
      </c>
      <c r="C207" s="220">
        <f>IF(H207="CÉLULA CONSTRUTIVA",0,IF(H207="ETAPA",OFFSET(C207,-1,0)+1,OFFSET(C207,-1,0)))</f>
        <v/>
      </c>
      <c r="D207" s="221">
        <f>IF(H207="ETAPA",0,IF(H207="SUBETAPA",OFFSET(D207,-1,0)+1,OFFSET(D207,-1,0)))</f>
        <v/>
      </c>
      <c r="E207" s="221">
        <f>IF(H207="Subetapa",0,IF(H207="serviço",OFFSET(E207,-1,0)+1,OFFSET(E207,-1,0)))</f>
        <v/>
      </c>
      <c r="F207" s="191" t="n"/>
      <c r="G207" s="146" t="inlineStr">
        <is>
          <t>SISTEMAS E INSTALAÇÕES ELÉTRICAS</t>
        </is>
      </c>
      <c r="H207" s="136" t="inlineStr">
        <is>
          <t>SERVIÇO</t>
        </is>
      </c>
      <c r="I207" s="137">
        <f>IF(H207="Unidade Construtiva",TEXT(A207,"00"),IF(H207="Célula Construtiva",TEXT(B207,"00"),IF(H207="Etapa",CONCATENATE(TEXT(B207,"00"),".",TEXT(C207,"000")),IF(H207="Subetapa",CONCATENATE(TEXT(B207,"00"),".",TEXT(C207,"000"),".",TEXT(D207,"000")),IF(H207="Serviço",CONCATENATE(TEXT(B207,"00"),".",TEXT(C207,"000"),".",TEXT(D207,"000"),".",TEXT(E207,"000")),"")))))</f>
        <v/>
      </c>
      <c r="J207" s="138" t="inlineStr">
        <is>
          <t>Mão de obra para instalações elétricas</t>
        </is>
      </c>
      <c r="K207" s="139" t="inlineStr">
        <is>
          <t>vb</t>
        </is>
      </c>
      <c r="L207" s="140" t="n">
        <v>1</v>
      </c>
      <c r="M207" s="140" t="n">
        <v>262238.5652571733</v>
      </c>
      <c r="N207" s="141">
        <f>IF(H207="Serviço",M207*L207,IF(H207="CÉLULA CONSTRUTIVA",SUMIFS($N$8:$N$754,$B$8:$B$754,B207,$H$8:$H$754,"Serviço"),IF(H207="ETAPA",SUMIFS($N$8:$N$754,$B$8:$B$754,B207,$C$8:$C$754,C207,$H$8:$H$754,"Serviço"),IF(H207="SUBETAPA",SUMIFS($N$8:$N$754,$B$8:$B$754,B207,$C$8:$C$754,C207,$D$8:$D$754,D207,$H$8:$H$754,"Serviço"),0))))</f>
        <v/>
      </c>
      <c r="O207" s="139" t="n"/>
      <c r="P207" s="140" t="n"/>
      <c r="Q207" s="140" t="n"/>
      <c r="R207" s="141" t="n"/>
      <c r="S207" s="142" t="n"/>
      <c r="T207" s="142" t="n"/>
      <c r="U207" s="142" t="n"/>
      <c r="V207" s="191" t="n"/>
      <c r="W207" s="191" t="n"/>
      <c r="X207" s="191" t="n"/>
      <c r="Y207" s="191" t="n"/>
      <c r="Z207" s="191" t="n"/>
      <c r="AA207" s="191" t="n"/>
      <c r="AB207" s="191" t="n"/>
    </row>
    <row r="208" ht="13.5" customFormat="1" customHeight="1" s="143">
      <c r="A208" s="220">
        <f>IF($H208="UNIDADE CONSTRUTIVA",OFFSET(A208,-1,0)+1,LARGE(A$3:A207,1))</f>
        <v/>
      </c>
      <c r="B208" s="220">
        <f>IF(H208="UNIDADE CONSTRUTIVA",0,IF(H208="CÉLULA CONSTRUTIVA",OFFSET(B208,-1,0)+1,OFFSET(B208,-1,0)))</f>
        <v/>
      </c>
      <c r="C208" s="220">
        <f>IF(H208="CÉLULA CONSTRUTIVA",0,IF(H208="ETAPA",OFFSET(C208,-1,0)+1,OFFSET(C208,-1,0)))</f>
        <v/>
      </c>
      <c r="D208" s="221">
        <f>IF(H208="ETAPA",0,IF(H208="SUBETAPA",OFFSET(D208,-1,0)+1,OFFSET(D208,-1,0)))</f>
        <v/>
      </c>
      <c r="E208" s="221">
        <f>IF(H208="Subetapa",0,IF(H208="serviço",OFFSET(E208,-1,0)+1,OFFSET(E208,-1,0)))</f>
        <v/>
      </c>
      <c r="F208" s="191" t="n"/>
      <c r="G208" s="146" t="n"/>
      <c r="H208" s="136" t="inlineStr">
        <is>
          <t>CÉLULA CONSTRUTIVA</t>
        </is>
      </c>
      <c r="I208" s="137">
        <f>IF(H208="Unidade Construtiva",TEXT(A208,"00"),IF(H208="Célula Construtiva",TEXT(B208,"00"),IF(H208="Etapa",CONCATENATE(TEXT(B208,"00"),".",TEXT(C208,"000")),IF(H208="Subetapa",CONCATENATE(TEXT(B208,"00"),".",TEXT(C208,"000"),".",TEXT(D208,"000")),IF(H208="Serviço",CONCATENATE(TEXT(B208,"00"),".",TEXT(C208,"000"),".",TEXT(D208,"000"),".",TEXT(E208,"000")),"")))))</f>
        <v/>
      </c>
      <c r="J208" s="138" t="inlineStr">
        <is>
          <t>INSTALAÇÕES PREVENTIVAS</t>
        </is>
      </c>
      <c r="K208" s="139" t="n"/>
      <c r="L208" s="140" t="n"/>
      <c r="M208" s="140" t="n"/>
      <c r="N208" s="141">
        <f>IF(H208="Serviço",M208*L208,IF(H208="CÉLULA CONSTRUTIVA",SUMIFS($N$8:$N$754,$B$8:$B$754,B208,$H$8:$H$754,"Serviço"),IF(H208="ETAPA",SUMIFS($N$8:$N$754,$B$8:$B$754,B208,$C$8:$C$754,C208,$H$8:$H$754,"Serviço"),IF(H208="SUBETAPA",SUMIFS($N$8:$N$754,$B$8:$B$754,B208,$C$8:$C$754,C208,$D$8:$D$754,D208,$H$8:$H$754,"Serviço"),0))))</f>
        <v/>
      </c>
      <c r="O208" s="139" t="n"/>
      <c r="P208" s="140" t="n"/>
      <c r="Q208" s="140" t="n"/>
      <c r="R208" s="141" t="n"/>
      <c r="S208" s="223" t="n"/>
      <c r="T208" s="223" t="n"/>
      <c r="U208" s="142" t="n"/>
      <c r="V208" s="191" t="n"/>
      <c r="W208" s="191" t="n"/>
      <c r="X208" s="191" t="n"/>
      <c r="Y208" s="191" t="n"/>
      <c r="Z208" s="191" t="n"/>
      <c r="AA208" s="191" t="n"/>
      <c r="AB208" s="191" t="n"/>
    </row>
    <row r="209" outlineLevel="1" ht="13.5" customFormat="1" customHeight="1" s="143">
      <c r="A209" s="220">
        <f>IF($H209="UNIDADE CONSTRUTIVA",OFFSET(A209,-1,0)+1,LARGE(A$3:A208,1))</f>
        <v/>
      </c>
      <c r="B209" s="220">
        <f>IF(H209="UNIDADE CONSTRUTIVA",0,IF(H209="CÉLULA CONSTRUTIVA",OFFSET(B209,-1,0)+1,OFFSET(B209,-1,0)))</f>
        <v/>
      </c>
      <c r="C209" s="220">
        <f>IF(H209="CÉLULA CONSTRUTIVA",0,IF(H209="ETAPA",OFFSET(C209,-1,0)+1,OFFSET(C209,-1,0)))</f>
        <v/>
      </c>
      <c r="D209" s="221">
        <f>IF(H209="ETAPA",0,IF(H209="SUBETAPA",OFFSET(D209,-1,0)+1,OFFSET(D209,-1,0)))</f>
        <v/>
      </c>
      <c r="E209" s="221">
        <f>IF(H209="Subetapa",0,IF(H209="serviço",OFFSET(E209,-1,0)+1,OFFSET(E209,-1,0)))</f>
        <v/>
      </c>
      <c r="F209" s="191" t="n"/>
      <c r="G209" s="146" t="n"/>
      <c r="H209" s="136" t="inlineStr">
        <is>
          <t>ETAPA</t>
        </is>
      </c>
      <c r="I209" s="137">
        <f>IF(H209="Unidade Construtiva",TEXT(A209,"00"),IF(H209="Célula Construtiva",TEXT(B209,"00"),IF(H209="Etapa",CONCATENATE(TEXT(B209,"00"),".",TEXT(C209,"000")),IF(H209="Subetapa",CONCATENATE(TEXT(B209,"00"),".",TEXT(C209,"000"),".",TEXT(D209,"000")),IF(H209="Serviço",CONCATENATE(TEXT(B209,"00"),".",TEXT(C209,"000"),".",TEXT(D209,"000"),".",TEXT(E209,"000")),"")))))</f>
        <v/>
      </c>
      <c r="J209" s="138" t="inlineStr">
        <is>
          <t>INSTALAÇÕES PREVENTIVAS</t>
        </is>
      </c>
      <c r="K209" s="139" t="n"/>
      <c r="L209" s="140" t="n"/>
      <c r="M209" s="140" t="n"/>
      <c r="N209" s="141">
        <f>IF(H209="Serviço",M209*L209,IF(H209="CÉLULA CONSTRUTIVA",SUMIFS($N$8:$N$754,$B$8:$B$754,B209,$H$8:$H$754,"Serviço"),IF(H209="ETAPA",SUMIFS($N$8:$N$754,$B$8:$B$754,B209,$C$8:$C$754,C209,$H$8:$H$754,"Serviço"),IF(H209="SUBETAPA",SUMIFS($N$8:$N$754,$B$8:$B$754,B209,$C$8:$C$754,C209,$D$8:$D$754,D209,$H$8:$H$754,"Serviço"),0))))</f>
        <v/>
      </c>
      <c r="O209" s="139" t="n"/>
      <c r="P209" s="140" t="n"/>
      <c r="Q209" s="140" t="n"/>
      <c r="R209" s="141" t="n"/>
      <c r="S209" s="142" t="n"/>
      <c r="T209" s="142" t="n"/>
      <c r="U209" s="142" t="n"/>
      <c r="V209" s="191" t="n"/>
      <c r="W209" s="191" t="n"/>
      <c r="X209" s="191" t="n"/>
      <c r="Y209" s="191" t="n"/>
      <c r="Z209" s="191" t="n"/>
      <c r="AA209" s="191" t="n"/>
      <c r="AB209" s="191" t="n"/>
    </row>
    <row r="210" outlineLevel="1" ht="13.2" customFormat="1" customHeight="1" s="143">
      <c r="A210" s="220">
        <f>IF($H210="UNIDADE CONSTRUTIVA",OFFSET(A210,-1,0)+1,LARGE(A$3:A206,1))</f>
        <v/>
      </c>
      <c r="B210" s="220">
        <f>IF(H210="UNIDADE CONSTRUTIVA",0,IF(H210="CÉLULA CONSTRUTIVA",OFFSET(B210,-1,0)+1,OFFSET(B210,-1,0)))</f>
        <v/>
      </c>
      <c r="C210" s="220">
        <f>IF(H210="CÉLULA CONSTRUTIVA",0,IF(H210="ETAPA",OFFSET(C210,-1,0)+1,OFFSET(C210,-1,0)))</f>
        <v/>
      </c>
      <c r="D210" s="221">
        <f>IF(H210="ETAPA",0,IF(H210="SUBETAPA",OFFSET(D210,-1,0)+1,OFFSET(D210,-1,0)))</f>
        <v/>
      </c>
      <c r="E210" s="221">
        <f>IF(H210="Subetapa",0,IF(H210="serviço",OFFSET(E210,-1,0)+1,OFFSET(E210,-1,0)))</f>
        <v/>
      </c>
      <c r="F210" s="191" t="n"/>
      <c r="G210" s="146" t="n"/>
      <c r="H210" s="136" t="inlineStr">
        <is>
          <t>SUBETAPA</t>
        </is>
      </c>
      <c r="I210" s="137">
        <f>IF(H210="Unidade Construtiva",TEXT(A210,"00"),IF(H210="Célula Construtiva",TEXT(B210,"00"),IF(H210="Etapa",CONCATENATE(TEXT(B210,"00"),".",TEXT(C210,"000")),IF(H210="Subetapa",CONCATENATE(TEXT(B210,"00"),".",TEXT(C210,"000"),".",TEXT(D210,"000")),IF(H210="Serviço",CONCATENATE(TEXT(B210,"00"),".",TEXT(C210,"000"),".",TEXT(D210,"000"),".",TEXT(E210,"000")),"")))))</f>
        <v/>
      </c>
      <c r="J210" s="138" t="inlineStr">
        <is>
          <t>Instalações Preventivas</t>
        </is>
      </c>
      <c r="K210" s="139" t="n"/>
      <c r="L210" s="140" t="n"/>
      <c r="M210" s="140" t="n"/>
      <c r="N210" s="141">
        <f>IF(H210="Serviço",M210*L210,IF(H210="CÉLULA CONSTRUTIVA",SUMIFS($N$8:$N$754,$B$8:$B$754,B210,$H$8:$H$754,"Serviço"),IF(H210="ETAPA",SUMIFS($N$8:$N$754,$B$8:$B$754,B210,$C$8:$C$754,C210,$H$8:$H$754,"Serviço"),IF(H210="SUBETAPA",SUMIFS($N$8:$N$754,$B$8:$B$754,B210,$C$8:$C$754,C210,$D$8:$D$754,D210,$H$8:$H$754,"Serviço"),0))))</f>
        <v/>
      </c>
      <c r="O210" s="139" t="n"/>
      <c r="P210" s="140" t="n"/>
      <c r="Q210" s="140" t="n"/>
      <c r="R210" s="222" t="inlineStr">
        <is>
          <t>08.001.006.001 - Mao de obra de instalações preventivas</t>
        </is>
      </c>
      <c r="S210" s="142" t="n"/>
      <c r="T210" s="142" t="n"/>
      <c r="U210" s="142" t="n"/>
      <c r="V210" s="191" t="n"/>
      <c r="W210" s="191" t="n"/>
      <c r="X210" s="191" t="n"/>
      <c r="Y210" s="191" t="n"/>
      <c r="Z210" s="191" t="n"/>
      <c r="AA210" s="191" t="n"/>
      <c r="AB210" s="191" t="n"/>
    </row>
    <row r="211" outlineLevel="2" ht="13.5" customFormat="1" customHeight="1" s="143">
      <c r="A211" s="220">
        <f>IF($H211="UNIDADE CONSTRUTIVA",OFFSET(A211,-1,0)+1,LARGE(A$3:A206,1))</f>
        <v/>
      </c>
      <c r="B211" s="220">
        <f>IF(H211="UNIDADE CONSTRUTIVA",0,IF(H211="CÉLULA CONSTRUTIVA",OFFSET(B211,-1,0)+1,OFFSET(B211,-1,0)))</f>
        <v/>
      </c>
      <c r="C211" s="220">
        <f>IF(H211="CÉLULA CONSTRUTIVA",0,IF(H211="ETAPA",OFFSET(C211,-1,0)+1,OFFSET(C211,-1,0)))</f>
        <v/>
      </c>
      <c r="D211" s="221">
        <f>IF(H211="ETAPA",0,IF(H211="SUBETAPA",OFFSET(D211,-1,0)+1,OFFSET(D211,-1,0)))</f>
        <v/>
      </c>
      <c r="E211" s="221">
        <f>IF(H211="Subetapa",0,IF(H211="serviço",OFFSET(E211,-1,0)+1,OFFSET(E211,-1,0)))</f>
        <v/>
      </c>
      <c r="F211" s="191" t="n"/>
      <c r="G211" s="146" t="inlineStr">
        <is>
          <t>INSTALAÇÕES PREVENTIVAS</t>
        </is>
      </c>
      <c r="H211" s="136" t="inlineStr">
        <is>
          <t>SERVIÇO</t>
        </is>
      </c>
      <c r="I211" s="137">
        <f>IF(H211="Unidade Construtiva",TEXT(A211,"00"),IF(H211="Célula Construtiva",TEXT(B211,"00"),IF(H211="Etapa",CONCATENATE(TEXT(B211,"00"),".",TEXT(C211,"000")),IF(H211="Subetapa",CONCATENATE(TEXT(B211,"00"),".",TEXT(C211,"000"),".",TEXT(D211,"000")),IF(H211="Serviço",CONCATENATE(TEXT(B211,"00"),".",TEXT(C211,"000"),".",TEXT(D211,"000"),".",TEXT(E211,"000")),"")))))</f>
        <v/>
      </c>
      <c r="J211" s="138" t="inlineStr">
        <is>
          <t>Instalações do Sistema Preventivo de Incendio</t>
        </is>
      </c>
      <c r="K211" s="139" t="inlineStr">
        <is>
          <t>vb</t>
        </is>
      </c>
      <c r="L211" s="140" t="n">
        <v>1</v>
      </c>
      <c r="M211" s="140" t="n">
        <v>69491.89111775362</v>
      </c>
      <c r="N211" s="141">
        <f>IF(H211="Serviço",M211*L211,IF(H211="CÉLULA CONSTRUTIVA",SUMIFS($N$8:$N$754,$B$8:$B$754,B211,$H$8:$H$754,"Serviço"),IF(H211="ETAPA",SUMIFS($N$8:$N$754,$B$8:$B$754,B211,$C$8:$C$754,C211,$H$8:$H$754,"Serviço"),IF(H211="SUBETAPA",SUMIFS($N$8:$N$754,$B$8:$B$754,B211,$C$8:$C$754,C211,$D$8:$D$754,D211,$H$8:$H$754,"Serviço"),0))))</f>
        <v/>
      </c>
      <c r="O211" s="139" t="n"/>
      <c r="P211" s="140" t="n"/>
      <c r="Q211" s="140" t="n"/>
      <c r="R211" s="141" t="n"/>
      <c r="S211" s="142" t="n"/>
      <c r="T211" s="142" t="n"/>
      <c r="U211" s="142" t="n"/>
      <c r="V211" s="191" t="n"/>
      <c r="W211" s="191" t="n"/>
      <c r="X211" s="191" t="n"/>
      <c r="Y211" s="191" t="n"/>
      <c r="Z211" s="191" t="n"/>
      <c r="AA211" s="191" t="n"/>
      <c r="AB211" s="191" t="n"/>
    </row>
    <row r="212" outlineLevel="1" ht="13.2" customFormat="1" customHeight="1" s="143">
      <c r="A212" s="220">
        <f>IF($H212="UNIDADE CONSTRUTIVA",OFFSET(A212,-1,0)+1,LARGE(A$3:A208,1))</f>
        <v/>
      </c>
      <c r="B212" s="220">
        <f>IF(H212="UNIDADE CONSTRUTIVA",0,IF(H212="CÉLULA CONSTRUTIVA",OFFSET(B212,-1,0)+1,OFFSET(B212,-1,0)))</f>
        <v/>
      </c>
      <c r="C212" s="220">
        <f>IF(H212="CÉLULA CONSTRUTIVA",0,IF(H212="ETAPA",OFFSET(C212,-1,0)+1,OFFSET(C212,-1,0)))</f>
        <v/>
      </c>
      <c r="D212" s="221">
        <f>IF(H212="ETAPA",0,IF(H212="SUBETAPA",OFFSET(D212,-1,0)+1,OFFSET(D212,-1,0)))</f>
        <v/>
      </c>
      <c r="E212" s="221">
        <f>IF(H212="Subetapa",0,IF(H212="serviço",OFFSET(E212,-1,0)+1,OFFSET(E212,-1,0)))</f>
        <v/>
      </c>
      <c r="F212" s="191" t="n"/>
      <c r="G212" s="146" t="n"/>
      <c r="H212" s="136" t="inlineStr">
        <is>
          <t>SUBETAPA</t>
        </is>
      </c>
      <c r="I212" s="137">
        <f>IF(H212="Unidade Construtiva",TEXT(A212,"00"),IF(H212="Célula Construtiva",TEXT(B212,"00"),IF(H212="Etapa",CONCATENATE(TEXT(B212,"00"),".",TEXT(C212,"000")),IF(H212="Subetapa",CONCATENATE(TEXT(B212,"00"),".",TEXT(C212,"000"),".",TEXT(D212,"000")),IF(H212="Serviço",CONCATENATE(TEXT(B212,"00"),".",TEXT(C212,"000"),".",TEXT(D212,"000"),".",TEXT(E212,"000")),"")))))</f>
        <v/>
      </c>
      <c r="J212" s="138" t="inlineStr">
        <is>
          <t>Instalações de proteção e aterramento -SPDA</t>
        </is>
      </c>
      <c r="K212" s="139" t="n"/>
      <c r="L212" s="140" t="n"/>
      <c r="M212" s="140" t="n"/>
      <c r="N212" s="141">
        <f>IF(H212="Serviço",M212*L212,IF(H212="CÉLULA CONSTRUTIVA",SUMIFS($N$8:$N$754,$B$8:$B$754,B212,$H$8:$H$754,"Serviço"),IF(H212="ETAPA",SUMIFS($N$8:$N$754,$B$8:$B$754,B212,$C$8:$C$754,C212,$H$8:$H$754,"Serviço"),IF(H212="SUBETAPA",SUMIFS($N$8:$N$754,$B$8:$B$754,B212,$C$8:$C$754,C212,$D$8:$D$754,D212,$H$8:$H$754,"Serviço"),0))))</f>
        <v/>
      </c>
      <c r="O212" s="139" t="n"/>
      <c r="P212" s="140" t="n"/>
      <c r="Q212" s="140" t="n"/>
      <c r="R212" s="222" t="inlineStr">
        <is>
          <t>08.001.003.001 - Instalações de proteção e aterramento -SPDA</t>
        </is>
      </c>
      <c r="S212" s="142" t="n"/>
      <c r="T212" s="142" t="n"/>
      <c r="U212" s="142" t="n"/>
      <c r="V212" s="191" t="n"/>
      <c r="W212" s="191" t="n"/>
      <c r="X212" s="191" t="n"/>
      <c r="Y212" s="191" t="n"/>
      <c r="Z212" s="191" t="n"/>
      <c r="AA212" s="191" t="n"/>
      <c r="AB212" s="191" t="n"/>
    </row>
    <row r="213" outlineLevel="2" ht="13.5" customFormat="1" customHeight="1" s="143">
      <c r="A213" s="220">
        <f>IF($H213="UNIDADE CONSTRUTIVA",OFFSET(A213,-1,0)+1,LARGE(A$3:A209,1))</f>
        <v/>
      </c>
      <c r="B213" s="220">
        <f>IF(H213="UNIDADE CONSTRUTIVA",0,IF(H213="CÉLULA CONSTRUTIVA",OFFSET(B213,-1,0)+1,OFFSET(B213,-1,0)))</f>
        <v/>
      </c>
      <c r="C213" s="220">
        <f>IF(H213="CÉLULA CONSTRUTIVA",0,IF(H213="ETAPA",OFFSET(C213,-1,0)+1,OFFSET(C213,-1,0)))</f>
        <v/>
      </c>
      <c r="D213" s="221">
        <f>IF(H213="ETAPA",0,IF(H213="SUBETAPA",OFFSET(D213,-1,0)+1,OFFSET(D213,-1,0)))</f>
        <v/>
      </c>
      <c r="E213" s="221">
        <f>IF(H213="Subetapa",0,IF(H213="serviço",OFFSET(E213,-1,0)+1,OFFSET(E213,-1,0)))</f>
        <v/>
      </c>
      <c r="F213" s="191" t="n"/>
      <c r="G213" s="146" t="inlineStr">
        <is>
          <t>INSTALAÇÕES PREVENTIVAS</t>
        </is>
      </c>
      <c r="H213" s="136" t="inlineStr">
        <is>
          <t>SERVIÇO</t>
        </is>
      </c>
      <c r="I213" s="137">
        <f>IF(H213="Unidade Construtiva",TEXT(A213,"00"),IF(H213="Célula Construtiva",TEXT(B213,"00"),IF(H213="Etapa",CONCATENATE(TEXT(B213,"00"),".",TEXT(C213,"000")),IF(H213="Subetapa",CONCATENATE(TEXT(B213,"00"),".",TEXT(C213,"000"),".",TEXT(D213,"000")),IF(H213="Serviço",CONCATENATE(TEXT(B213,"00"),".",TEXT(C213,"000"),".",TEXT(D213,"000"),".",TEXT(E213,"000")),"")))))</f>
        <v/>
      </c>
      <c r="J213" s="138" t="inlineStr">
        <is>
          <t>Instalações de proteção e aterramento -SPDA</t>
        </is>
      </c>
      <c r="K213" s="139" t="inlineStr">
        <is>
          <t>vb</t>
        </is>
      </c>
      <c r="L213" s="140" t="n">
        <v>1</v>
      </c>
      <c r="M213" s="140" t="n">
        <v>18284.51472</v>
      </c>
      <c r="N213" s="141">
        <f>IF(H213="Serviço",M213*L213,IF(H213="CÉLULA CONSTRUTIVA",SUMIFS($N$8:$N$754,$B$8:$B$754,B213,$H$8:$H$754,"Serviço"),IF(H213="ETAPA",SUMIFS($N$8:$N$754,$B$8:$B$754,B213,$C$8:$C$754,C213,$H$8:$H$754,"Serviço"),IF(H213="SUBETAPA",SUMIFS($N$8:$N$754,$B$8:$B$754,B213,$C$8:$C$754,C213,$D$8:$D$754,D213,$H$8:$H$754,"Serviço"),0))))</f>
        <v/>
      </c>
      <c r="O213" s="139" t="n"/>
      <c r="P213" s="140" t="n"/>
      <c r="Q213" s="140" t="n"/>
      <c r="R213" s="141" t="n"/>
      <c r="S213" s="142" t="n"/>
      <c r="T213" s="142" t="n"/>
      <c r="U213" s="142" t="n"/>
      <c r="V213" s="191" t="n"/>
      <c r="W213" s="191" t="n"/>
      <c r="X213" s="191" t="n"/>
      <c r="Y213" s="191" t="n"/>
      <c r="Z213" s="191" t="n"/>
      <c r="AA213" s="191" t="n"/>
      <c r="AB213" s="191" t="n"/>
    </row>
    <row r="214" outlineLevel="1" ht="13.2" customFormat="1" customHeight="1" s="143">
      <c r="A214" s="220">
        <f>IF($H214="UNIDADE CONSTRUTIVA",OFFSET(A214,-1,0)+1,LARGE(A$3:A210,1))</f>
        <v/>
      </c>
      <c r="B214" s="220">
        <f>IF(H214="UNIDADE CONSTRUTIVA",0,IF(H214="CÉLULA CONSTRUTIVA",OFFSET(B214,-1,0)+1,OFFSET(B214,-1,0)))</f>
        <v/>
      </c>
      <c r="C214" s="220">
        <f>IF(H214="CÉLULA CONSTRUTIVA",0,IF(H214="ETAPA",OFFSET(C214,-1,0)+1,OFFSET(C214,-1,0)))</f>
        <v/>
      </c>
      <c r="D214" s="221">
        <f>IF(H214="ETAPA",0,IF(H214="SUBETAPA",OFFSET(D214,-1,0)+1,OFFSET(D214,-1,0)))</f>
        <v/>
      </c>
      <c r="E214" s="221">
        <f>IF(H214="Subetapa",0,IF(H214="serviço",OFFSET(E214,-1,0)+1,OFFSET(E214,-1,0)))</f>
        <v/>
      </c>
      <c r="F214" s="191" t="n"/>
      <c r="G214" s="146" t="n"/>
      <c r="H214" s="136" t="inlineStr">
        <is>
          <t>SUBETAPA</t>
        </is>
      </c>
      <c r="I214" s="137">
        <f>IF(H214="Unidade Construtiva",TEXT(A214,"00"),IF(H214="Célula Construtiva",TEXT(B214,"00"),IF(H214="Etapa",CONCATENATE(TEXT(B214,"00"),".",TEXT(C214,"000")),IF(H214="Subetapa",CONCATENATE(TEXT(B214,"00"),".",TEXT(C214,"000"),".",TEXT(D214,"000")),IF(H214="Serviço",CONCATENATE(TEXT(B214,"00"),".",TEXT(C214,"000"),".",TEXT(D214,"000"),".",TEXT(E214,"000")),"")))))</f>
        <v/>
      </c>
      <c r="J214" s="138" t="inlineStr">
        <is>
          <t>Mão de obra</t>
        </is>
      </c>
      <c r="K214" s="139" t="n"/>
      <c r="L214" s="140" t="n"/>
      <c r="M214" s="140" t="n"/>
      <c r="N214" s="141">
        <f>IF(H214="Serviço",M214*L214,IF(H214="CÉLULA CONSTRUTIVA",SUMIFS($N$8:$N$754,$B$8:$B$754,B214,$H$8:$H$754,"Serviço"),IF(H214="ETAPA",SUMIFS($N$8:$N$754,$B$8:$B$754,B214,$C$8:$C$754,C214,$H$8:$H$754,"Serviço"),IF(H214="SUBETAPA",SUMIFS($N$8:$N$754,$B$8:$B$754,B214,$C$8:$C$754,C214,$D$8:$D$754,D214,$H$8:$H$754,"Serviço"),0))))</f>
        <v/>
      </c>
      <c r="O214" s="139" t="n"/>
      <c r="P214" s="140" t="n"/>
      <c r="Q214" s="140" t="n"/>
      <c r="R214" s="222" t="inlineStr">
        <is>
          <t>19.001.005.001 - Mão de obra para telhamento</t>
        </is>
      </c>
      <c r="S214" s="142" t="n"/>
      <c r="T214" s="142" t="n"/>
      <c r="U214" s="142" t="n"/>
      <c r="V214" s="191" t="n"/>
      <c r="W214" s="191" t="n"/>
      <c r="X214" s="191" t="n"/>
      <c r="Y214" s="191" t="n"/>
      <c r="Z214" s="191" t="n"/>
      <c r="AA214" s="191" t="n"/>
      <c r="AB214" s="191" t="n"/>
    </row>
    <row r="215" outlineLevel="2" ht="13.5" customFormat="1" customHeight="1" s="143">
      <c r="A215" s="220">
        <f>IF($H215="UNIDADE CONSTRUTIVA",OFFSET(A215,-1,0)+1,LARGE(A$3:A211,1))</f>
        <v/>
      </c>
      <c r="B215" s="220">
        <f>IF(H215="UNIDADE CONSTRUTIVA",0,IF(H215="CÉLULA CONSTRUTIVA",OFFSET(B215,-1,0)+1,OFFSET(B215,-1,0)))</f>
        <v/>
      </c>
      <c r="C215" s="220">
        <f>IF(H215="CÉLULA CONSTRUTIVA",0,IF(H215="ETAPA",OFFSET(C215,-1,0)+1,OFFSET(C215,-1,0)))</f>
        <v/>
      </c>
      <c r="D215" s="221">
        <f>IF(H215="ETAPA",0,IF(H215="SUBETAPA",OFFSET(D215,-1,0)+1,OFFSET(D215,-1,0)))</f>
        <v/>
      </c>
      <c r="E215" s="221">
        <f>IF(H215="Subetapa",0,IF(H215="serviço",OFFSET(E215,-1,0)+1,OFFSET(E215,-1,0)))</f>
        <v/>
      </c>
      <c r="F215" s="191" t="n"/>
      <c r="G215" s="146" t="inlineStr">
        <is>
          <t>INSTALAÇÕES PREVENTIVAS</t>
        </is>
      </c>
      <c r="H215" s="136" t="inlineStr">
        <is>
          <t>SERVIÇO</t>
        </is>
      </c>
      <c r="I215" s="137">
        <f>IF(H215="Unidade Construtiva",TEXT(A215,"00"),IF(H215="Célula Construtiva",TEXT(B215,"00"),IF(H215="Etapa",CONCATENATE(TEXT(B215,"00"),".",TEXT(C215,"000")),IF(H215="Subetapa",CONCATENATE(TEXT(B215,"00"),".",TEXT(C215,"000"),".",TEXT(D215,"000")),IF(H215="Serviço",CONCATENATE(TEXT(B215,"00"),".",TEXT(C215,"000"),".",TEXT(D215,"000"),".",TEXT(E215,"000")),"")))))</f>
        <v/>
      </c>
      <c r="J215" s="138" t="inlineStr">
        <is>
          <t>Mão de obra de instalações preventivas</t>
        </is>
      </c>
      <c r="K215" s="139" t="inlineStr">
        <is>
          <t>vb</t>
        </is>
      </c>
      <c r="L215" s="140" t="n">
        <v>1</v>
      </c>
      <c r="M215" s="140" t="n">
        <v>47902.45629319522</v>
      </c>
      <c r="N215" s="141">
        <f>IF(H215="Serviço",M215*L215,IF(H215="CÉLULA CONSTRUTIVA",SUMIFS($N$8:$N$754,$B$8:$B$754,B215,$H$8:$H$754,"Serviço"),IF(H215="ETAPA",SUMIFS($N$8:$N$754,$B$8:$B$754,B215,$C$8:$C$754,C215,$H$8:$H$754,"Serviço"),IF(H215="SUBETAPA",SUMIFS($N$8:$N$754,$B$8:$B$754,B215,$C$8:$C$754,C215,$D$8:$D$754,D215,$H$8:$H$754,"Serviço"),0))))</f>
        <v/>
      </c>
      <c r="O215" s="139" t="n"/>
      <c r="P215" s="140" t="n"/>
      <c r="Q215" s="140" t="n"/>
      <c r="R215" s="141" t="n"/>
      <c r="S215" s="142" t="n"/>
      <c r="T215" s="142" t="n"/>
      <c r="U215" s="142" t="n"/>
      <c r="V215" s="191" t="n"/>
      <c r="W215" s="191" t="n"/>
      <c r="X215" s="191" t="n"/>
      <c r="Y215" s="191" t="n"/>
      <c r="Z215" s="191" t="n"/>
      <c r="AA215" s="191" t="n"/>
      <c r="AB215" s="191" t="n"/>
    </row>
    <row r="216" ht="13.5" customFormat="1" customHeight="1" s="143">
      <c r="A216" s="220">
        <f>IF($H216="UNIDADE CONSTRUTIVA",OFFSET(A216,-1,0)+1,LARGE(A$3:A213,1))</f>
        <v/>
      </c>
      <c r="B216" s="220">
        <f>IF(H216="UNIDADE CONSTRUTIVA",0,IF(H216="CÉLULA CONSTRUTIVA",OFFSET(B216,-1,0)+1,OFFSET(B216,-1,0)))</f>
        <v/>
      </c>
      <c r="C216" s="220">
        <f>IF(H216="CÉLULA CONSTRUTIVA",0,IF(H216="ETAPA",OFFSET(C216,-1,0)+1,OFFSET(C216,-1,0)))</f>
        <v/>
      </c>
      <c r="D216" s="221">
        <f>IF(H216="ETAPA",0,IF(H216="SUBETAPA",OFFSET(D216,-1,0)+1,OFFSET(D216,-1,0)))</f>
        <v/>
      </c>
      <c r="E216" s="221">
        <f>IF(H216="Subetapa",0,IF(H216="serviço",OFFSET(E216,-1,0)+1,OFFSET(E216,-1,0)))</f>
        <v/>
      </c>
      <c r="F216" s="191" t="n"/>
      <c r="G216" s="146" t="n"/>
      <c r="H216" s="136" t="inlineStr">
        <is>
          <t>CÉLULA CONSTRUTIVA</t>
        </is>
      </c>
      <c r="I216" s="137">
        <f>IF(H216="Unidade Construtiva",TEXT(A216,"00"),IF(H216="Célula Construtiva",TEXT(B216,"00"),IF(H216="Etapa",CONCATENATE(TEXT(B216,"00"),".",TEXT(C216,"000")),IF(H216="Subetapa",CONCATENATE(TEXT(B216,"00"),".",TEXT(C216,"000"),".",TEXT(D216,"000")),IF(H216="Serviço",CONCATENATE(TEXT(B216,"00"),".",TEXT(C216,"000"),".",TEXT(D216,"000"),".",TEXT(E216,"000")),"")))))</f>
        <v/>
      </c>
      <c r="J216" s="138" t="inlineStr">
        <is>
          <t>INSTALAÇÕES DE GÁS</t>
        </is>
      </c>
      <c r="K216" s="139" t="n"/>
      <c r="L216" s="140" t="n"/>
      <c r="M216" s="140" t="n"/>
      <c r="N216" s="141">
        <f>IF(H216="Serviço",M216*L216,IF(H216="CÉLULA CONSTRUTIVA",SUMIFS($N$8:$N$754,$B$8:$B$754,B216,$H$8:$H$754,"Serviço"),IF(H216="ETAPA",SUMIFS($N$8:$N$754,$B$8:$B$754,B216,$C$8:$C$754,C216,$H$8:$H$754,"Serviço"),IF(H216="SUBETAPA",SUMIFS($N$8:$N$754,$B$8:$B$754,B216,$C$8:$C$754,C216,$D$8:$D$754,D216,$H$8:$H$754,"Serviço"),0))))</f>
        <v/>
      </c>
      <c r="O216" s="139" t="n"/>
      <c r="P216" s="140" t="n"/>
      <c r="Q216" s="140" t="n"/>
      <c r="R216" s="141" t="n"/>
      <c r="S216" s="223" t="n"/>
      <c r="T216" s="223" t="n"/>
      <c r="U216" s="142" t="n"/>
      <c r="V216" s="191" t="n"/>
      <c r="W216" s="191" t="n"/>
      <c r="X216" s="191" t="n"/>
      <c r="Y216" s="191" t="n"/>
      <c r="Z216" s="191" t="n"/>
      <c r="AA216" s="191" t="n"/>
      <c r="AB216" s="191" t="n"/>
    </row>
    <row r="217" outlineLevel="1" ht="13.5" customFormat="1" customHeight="1" s="143">
      <c r="A217" s="220">
        <f>IF($H217="UNIDADE CONSTRUTIVA",OFFSET(A217,-1,0)+1,LARGE(A$3:A216,1))</f>
        <v/>
      </c>
      <c r="B217" s="220">
        <f>IF(H217="UNIDADE CONSTRUTIVA",0,IF(H217="CÉLULA CONSTRUTIVA",OFFSET(B217,-1,0)+1,OFFSET(B217,-1,0)))</f>
        <v/>
      </c>
      <c r="C217" s="220">
        <f>IF(H217="CÉLULA CONSTRUTIVA",0,IF(H217="ETAPA",OFFSET(C217,-1,0)+1,OFFSET(C217,-1,0)))</f>
        <v/>
      </c>
      <c r="D217" s="221">
        <f>IF(H217="ETAPA",0,IF(H217="SUBETAPA",OFFSET(D217,-1,0)+1,OFFSET(D217,-1,0)))</f>
        <v/>
      </c>
      <c r="E217" s="221">
        <f>IF(H217="Subetapa",0,IF(H217="serviço",OFFSET(E217,-1,0)+1,OFFSET(E217,-1,0)))</f>
        <v/>
      </c>
      <c r="F217" s="191" t="n"/>
      <c r="G217" s="146" t="n"/>
      <c r="H217" s="136" t="inlineStr">
        <is>
          <t>ETAPA</t>
        </is>
      </c>
      <c r="I217" s="137">
        <f>IF(H217="Unidade Construtiva",TEXT(A217,"00"),IF(H217="Célula Construtiva",TEXT(B217,"00"),IF(H217="Etapa",CONCATENATE(TEXT(B217,"00"),".",TEXT(C217,"000")),IF(H217="Subetapa",CONCATENATE(TEXT(B217,"00"),".",TEXT(C217,"000"),".",TEXT(D217,"000")),IF(H217="Serviço",CONCATENATE(TEXT(B217,"00"),".",TEXT(C217,"000"),".",TEXT(D217,"000"),".",TEXT(E217,"000")),"")))))</f>
        <v/>
      </c>
      <c r="J217" s="138" t="inlineStr">
        <is>
          <t>INSTALAÇÕES DE GÁS</t>
        </is>
      </c>
      <c r="K217" s="139" t="n"/>
      <c r="L217" s="140" t="n"/>
      <c r="M217" s="140" t="n"/>
      <c r="N217" s="141">
        <f>IF(H217="Serviço",M217*L217,IF(H217="CÉLULA CONSTRUTIVA",SUMIFS($N$8:$N$754,$B$8:$B$754,B217,$H$8:$H$754,"Serviço"),IF(H217="ETAPA",SUMIFS($N$8:$N$754,$B$8:$B$754,B217,$C$8:$C$754,C217,$H$8:$H$754,"Serviço"),IF(H217="SUBETAPA",SUMIFS($N$8:$N$754,$B$8:$B$754,B217,$C$8:$C$754,C217,$D$8:$D$754,D217,$H$8:$H$754,"Serviço"),0))))</f>
        <v/>
      </c>
      <c r="O217" s="139" t="n"/>
      <c r="P217" s="140" t="n"/>
      <c r="Q217" s="140" t="n"/>
      <c r="R217" s="141" t="n"/>
      <c r="S217" s="142" t="n"/>
      <c r="T217" s="142" t="n"/>
      <c r="U217" s="142" t="n"/>
      <c r="V217" s="191" t="n"/>
      <c r="W217" s="191" t="n"/>
      <c r="X217" s="191" t="n"/>
      <c r="Y217" s="191" t="n"/>
      <c r="Z217" s="191" t="n"/>
      <c r="AA217" s="191" t="n"/>
      <c r="AB217" s="191" t="n"/>
    </row>
    <row r="218" outlineLevel="1" ht="13.5" customFormat="1" customHeight="1" s="143">
      <c r="A218" s="220">
        <f>IF($H218="UNIDADE CONSTRUTIVA",OFFSET(A218,-1,0)+1,LARGE(A$3:A213,1))</f>
        <v/>
      </c>
      <c r="B218" s="220">
        <f>IF(H218="UNIDADE CONSTRUTIVA",0,IF(H218="CÉLULA CONSTRUTIVA",OFFSET(B218,-1,0)+1,OFFSET(B218,-1,0)))</f>
        <v/>
      </c>
      <c r="C218" s="220">
        <f>IF(H218="CÉLULA CONSTRUTIVA",0,IF(H218="ETAPA",OFFSET(C218,-1,0)+1,OFFSET(C218,-1,0)))</f>
        <v/>
      </c>
      <c r="D218" s="221">
        <f>IF(H218="ETAPA",0,IF(H218="SUBETAPA",OFFSET(D218,-1,0)+1,OFFSET(D218,-1,0)))</f>
        <v/>
      </c>
      <c r="E218" s="221">
        <f>IF(H218="Subetapa",0,IF(H218="serviço",OFFSET(E218,-1,0)+1,OFFSET(E218,-1,0)))</f>
        <v/>
      </c>
      <c r="F218" s="191" t="n"/>
      <c r="G218" s="146" t="n"/>
      <c r="H218" s="136" t="inlineStr">
        <is>
          <t>SUBETAPA</t>
        </is>
      </c>
      <c r="I218" s="137">
        <f>IF(H218="Unidade Construtiva",TEXT(A218,"00"),IF(H218="Célula Construtiva",TEXT(B218,"00"),IF(H218="Etapa",CONCATENATE(TEXT(B218,"00"),".",TEXT(C218,"000")),IF(H218="Subetapa",CONCATENATE(TEXT(B218,"00"),".",TEXT(C218,"000"),".",TEXT(D218,"000")),IF(H218="Serviço",CONCATENATE(TEXT(B218,"00"),".",TEXT(C218,"000"),".",TEXT(D218,"000"),".",TEXT(E218,"000")),"")))))</f>
        <v/>
      </c>
      <c r="J218" s="138" t="inlineStr">
        <is>
          <t>Instalações De Gás</t>
        </is>
      </c>
      <c r="K218" s="139" t="n"/>
      <c r="L218" s="140" t="n"/>
      <c r="M218" s="140" t="n"/>
      <c r="N218" s="141">
        <f>IF(H218="Serviço",M218*L218,IF(H218="CÉLULA CONSTRUTIVA",SUMIFS($N$8:$N$754,$B$8:$B$754,B218,$H$8:$H$754,"Serviço"),IF(H218="ETAPA",SUMIFS($N$8:$N$754,$B$8:$B$754,B218,$C$8:$C$754,C218,$H$8:$H$754,"Serviço"),IF(H218="SUBETAPA",SUMIFS($N$8:$N$754,$B$8:$B$754,B218,$C$8:$C$754,C218,$D$8:$D$754,D218,$H$8:$H$754,"Serviço"),0))))</f>
        <v/>
      </c>
      <c r="O218" s="139" t="n"/>
      <c r="P218" s="140" t="n"/>
      <c r="Q218" s="140" t="n"/>
      <c r="R218" s="222" t="inlineStr">
        <is>
          <t>09.001.003.001 - Instalações de rede de gás</t>
        </is>
      </c>
      <c r="S218" s="142" t="n"/>
      <c r="T218" s="142" t="n"/>
      <c r="U218" s="142" t="n"/>
      <c r="V218" s="191" t="n"/>
      <c r="W218" s="191" t="n"/>
      <c r="X218" s="191" t="n"/>
      <c r="Y218" s="191" t="n"/>
      <c r="Z218" s="191" t="n"/>
      <c r="AA218" s="191" t="n"/>
      <c r="AB218" s="191" t="n"/>
    </row>
    <row r="219" outlineLevel="2" ht="13.5" customFormat="1" customHeight="1" s="143">
      <c r="A219" s="220">
        <f>IF($H219="UNIDADE CONSTRUTIVA",OFFSET(A219,-1,0)+1,LARGE(A$3:A217,1))</f>
        <v/>
      </c>
      <c r="B219" s="220">
        <f>IF(H219="UNIDADE CONSTRUTIVA",0,IF(H219="CÉLULA CONSTRUTIVA",OFFSET(B219,-1,0)+1,OFFSET(B219,-1,0)))</f>
        <v/>
      </c>
      <c r="C219" s="220">
        <f>IF(H219="CÉLULA CONSTRUTIVA",0,IF(H219="ETAPA",OFFSET(C219,-1,0)+1,OFFSET(C219,-1,0)))</f>
        <v/>
      </c>
      <c r="D219" s="221">
        <f>IF(H219="ETAPA",0,IF(H219="SUBETAPA",OFFSET(D219,-1,0)+1,OFFSET(D219,-1,0)))</f>
        <v/>
      </c>
      <c r="E219" s="221">
        <f>IF(H219="Subetapa",0,IF(H219="serviço",OFFSET(E219,-1,0)+1,OFFSET(E219,-1,0)))</f>
        <v/>
      </c>
      <c r="F219" s="191" t="n"/>
      <c r="G219" s="146" t="inlineStr">
        <is>
          <t>INSTALAÇÕES DE GÁS</t>
        </is>
      </c>
      <c r="H219" s="136" t="inlineStr">
        <is>
          <t>SERVIÇO</t>
        </is>
      </c>
      <c r="I219" s="137">
        <f>IF(H219="Unidade Construtiva",TEXT(A219,"00"),IF(H219="Célula Construtiva",TEXT(B219,"00"),IF(H219="Etapa",CONCATENATE(TEXT(B219,"00"),".",TEXT(C219,"000")),IF(H219="Subetapa",CONCATENATE(TEXT(B219,"00"),".",TEXT(C219,"000"),".",TEXT(D219,"000")),IF(H219="Serviço",CONCATENATE(TEXT(B219,"00"),".",TEXT(C219,"000"),".",TEXT(D219,"000"),".",TEXT(E219,"000")),"")))))</f>
        <v/>
      </c>
      <c r="J219" s="138" t="inlineStr">
        <is>
          <t xml:space="preserve">Instalação de Gás - Material </t>
        </is>
      </c>
      <c r="K219" s="139" t="inlineStr">
        <is>
          <t>vb</t>
        </is>
      </c>
      <c r="L219" s="140" t="n">
        <v>1</v>
      </c>
      <c r="M219" s="140" t="n">
        <v>43898.5649529212</v>
      </c>
      <c r="N219" s="141">
        <f>IF(H219="Serviço",M219*L219,IF(H219="CÉLULA CONSTRUTIVA",SUMIFS($N$8:$N$754,$B$8:$B$754,B219,$H$8:$H$754,"Serviço"),IF(H219="ETAPA",SUMIFS($N$8:$N$754,$B$8:$B$754,B219,$C$8:$C$754,C219,$H$8:$H$754,"Serviço"),IF(H219="SUBETAPA",SUMIFS($N$8:$N$754,$B$8:$B$754,B219,$C$8:$C$754,C219,$D$8:$D$754,D219,$H$8:$H$754,"Serviço"),0))))</f>
        <v/>
      </c>
      <c r="O219" s="139" t="n"/>
      <c r="P219" s="140" t="n"/>
      <c r="Q219" s="140" t="n"/>
      <c r="R219" s="141" t="n"/>
      <c r="S219" s="142" t="n"/>
      <c r="T219" s="142" t="n"/>
      <c r="U219" s="142" t="n"/>
      <c r="V219" s="191" t="n"/>
      <c r="W219" s="191" t="n"/>
      <c r="X219" s="191" t="n"/>
      <c r="Y219" s="191" t="n"/>
      <c r="Z219" s="191" t="n"/>
      <c r="AA219" s="191" t="n"/>
      <c r="AB219" s="191" t="n"/>
    </row>
    <row r="220" outlineLevel="2" ht="13.5" customFormat="1" customHeight="1" s="143">
      <c r="A220" s="220">
        <f>IF($H220="UNIDADE CONSTRUTIVA",OFFSET(A220,-1,0)+1,LARGE(A$3:A218,1))</f>
        <v/>
      </c>
      <c r="B220" s="220">
        <f>IF(H220="UNIDADE CONSTRUTIVA",0,IF(H220="CÉLULA CONSTRUTIVA",OFFSET(B220,-1,0)+1,OFFSET(B220,-1,0)))</f>
        <v/>
      </c>
      <c r="C220" s="220">
        <f>IF(H220="CÉLULA CONSTRUTIVA",0,IF(H220="ETAPA",OFFSET(C220,-1,0)+1,OFFSET(C220,-1,0)))</f>
        <v/>
      </c>
      <c r="D220" s="221">
        <f>IF(H220="ETAPA",0,IF(H220="SUBETAPA",OFFSET(D220,-1,0)+1,OFFSET(D220,-1,0)))</f>
        <v/>
      </c>
      <c r="E220" s="221">
        <f>IF(H220="Subetapa",0,IF(H220="serviço",OFFSET(E220,-1,0)+1,OFFSET(E220,-1,0)))</f>
        <v/>
      </c>
      <c r="F220" s="191" t="n"/>
      <c r="G220" s="146" t="inlineStr">
        <is>
          <t>INSTALAÇÕES DE GÁS</t>
        </is>
      </c>
      <c r="H220" s="136" t="inlineStr">
        <is>
          <t>SERVIÇO</t>
        </is>
      </c>
      <c r="I220" s="137">
        <f>IF(H220="Unidade Construtiva",TEXT(A220,"00"),IF(H220="Célula Construtiva",TEXT(B220,"00"),IF(H220="Etapa",CONCATENATE(TEXT(B220,"00"),".",TEXT(C220,"000")),IF(H220="Subetapa",CONCATENATE(TEXT(B220,"00"),".",TEXT(C220,"000"),".",TEXT(D220,"000")),IF(H220="Serviço",CONCATENATE(TEXT(B220,"00"),".",TEXT(C220,"000"),".",TEXT(D220,"000"),".",TEXT(E220,"000")),"")))))</f>
        <v/>
      </c>
      <c r="J220" s="138" t="inlineStr">
        <is>
          <t>Instalação de Gás - Mão de Obra</t>
        </is>
      </c>
      <c r="K220" s="139" t="inlineStr">
        <is>
          <t>vb</t>
        </is>
      </c>
      <c r="L220" s="140" t="n">
        <v>1</v>
      </c>
      <c r="M220" s="140" t="n">
        <v>24025.8650180498</v>
      </c>
      <c r="N220" s="141">
        <f>IF(H220="Serviço",M220*L220,IF(H220="CÉLULA CONSTRUTIVA",SUMIFS($N$8:$N$754,$B$8:$B$754,B220,$H$8:$H$754,"Serviço"),IF(H220="ETAPA",SUMIFS($N$8:$N$754,$B$8:$B$754,B220,$C$8:$C$754,C220,$H$8:$H$754,"Serviço"),IF(H220="SUBETAPA",SUMIFS($N$8:$N$754,$B$8:$B$754,B220,$C$8:$C$754,C220,$D$8:$D$754,D220,$H$8:$H$754,"Serviço"),0))))</f>
        <v/>
      </c>
      <c r="O220" s="139" t="n"/>
      <c r="P220" s="140" t="n"/>
      <c r="Q220" s="140" t="n"/>
      <c r="R220" s="141" t="n"/>
      <c r="S220" s="142" t="n"/>
      <c r="T220" s="142" t="n"/>
      <c r="U220" s="142" t="n"/>
      <c r="V220" s="191" t="n"/>
      <c r="W220" s="191" t="n"/>
      <c r="X220" s="191" t="n"/>
      <c r="Y220" s="191" t="n"/>
      <c r="Z220" s="191" t="n"/>
      <c r="AA220" s="191" t="n"/>
      <c r="AB220" s="191" t="n"/>
    </row>
    <row r="221" ht="13.5" customFormat="1" customHeight="1" s="143">
      <c r="A221" s="220">
        <f>IF($H221="UNIDADE CONSTRUTIVA",OFFSET(A221,-1,0)+1,LARGE(A$3:A213,1))</f>
        <v/>
      </c>
      <c r="B221" s="220">
        <f>IF(H221="UNIDADE CONSTRUTIVA",0,IF(H221="CÉLULA CONSTRUTIVA",OFFSET(B221,-1,0)+1,OFFSET(B221,-1,0)))</f>
        <v/>
      </c>
      <c r="C221" s="220">
        <f>IF(H221="CÉLULA CONSTRUTIVA",0,IF(H221="ETAPA",OFFSET(C221,-1,0)+1,OFFSET(C221,-1,0)))</f>
        <v/>
      </c>
      <c r="D221" s="221">
        <f>IF(H221="ETAPA",0,IF(H221="SUBETAPA",OFFSET(D221,-1,0)+1,OFFSET(D221,-1,0)))</f>
        <v/>
      </c>
      <c r="E221" s="221">
        <f>IF(H221="Subetapa",0,IF(H221="serviço",OFFSET(E221,-1,0)+1,OFFSET(E221,-1,0)))</f>
        <v/>
      </c>
      <c r="F221" s="191" t="n"/>
      <c r="G221" s="146" t="n"/>
      <c r="H221" s="136" t="inlineStr">
        <is>
          <t>CÉLULA CONSTRUTIVA</t>
        </is>
      </c>
      <c r="I221" s="137">
        <f>IF(H221="Unidade Construtiva",TEXT(A221,"00"),IF(H221="Célula Construtiva",TEXT(B221,"00"),IF(H221="Etapa",CONCATENATE(TEXT(B221,"00"),".",TEXT(C221,"000")),IF(H221="Subetapa",CONCATENATE(TEXT(B221,"00"),".",TEXT(C221,"000"),".",TEXT(D221,"000")),IF(H221="Serviço",CONCATENATE(TEXT(B221,"00"),".",TEXT(C221,"000"),".",TEXT(D221,"000"),".",TEXT(E221,"000")),"")))))</f>
        <v/>
      </c>
      <c r="J221" s="138" t="inlineStr">
        <is>
          <t>INSTALAÇÕES DE COMUNICAÇÕES</t>
        </is>
      </c>
      <c r="K221" s="139" t="n"/>
      <c r="L221" s="140" t="n"/>
      <c r="M221" s="140" t="n"/>
      <c r="N221" s="141">
        <f>IF(H221="Serviço",M221*L221,IF(H221="CÉLULA CONSTRUTIVA",SUMIFS($N$8:$N$754,$B$8:$B$754,B221,$H$8:$H$754,"Serviço"),IF(H221="ETAPA",SUMIFS($N$8:$N$754,$B$8:$B$754,B221,$C$8:$C$754,C221,$H$8:$H$754,"Serviço"),IF(H221="SUBETAPA",SUMIFS($N$8:$N$754,$B$8:$B$754,B221,$C$8:$C$754,C221,$D$8:$D$754,D221,$H$8:$H$754,"Serviço"),0))))</f>
        <v/>
      </c>
      <c r="O221" s="139" t="n"/>
      <c r="P221" s="140" t="n"/>
      <c r="Q221" s="140" t="n"/>
      <c r="R221" s="141" t="n"/>
      <c r="S221" s="223" t="n"/>
      <c r="T221" s="223" t="n"/>
      <c r="U221" s="142" t="n"/>
      <c r="V221" s="191" t="n"/>
      <c r="W221" s="191" t="n"/>
      <c r="X221" s="191" t="n"/>
      <c r="Y221" s="191" t="n"/>
      <c r="Z221" s="191" t="n"/>
      <c r="AA221" s="191" t="n"/>
      <c r="AB221" s="191" t="n"/>
    </row>
    <row r="222" outlineLevel="1" ht="13.5" customFormat="1" customHeight="1" s="143">
      <c r="A222" s="220">
        <f>IF($H222="UNIDADE CONSTRUTIVA",OFFSET(A222,-1,0)+1,LARGE(A$3:A221,1))</f>
        <v/>
      </c>
      <c r="B222" s="220">
        <f>IF(H222="UNIDADE CONSTRUTIVA",0,IF(H222="CÉLULA CONSTRUTIVA",OFFSET(B222,-1,0)+1,OFFSET(B222,-1,0)))</f>
        <v/>
      </c>
      <c r="C222" s="220">
        <f>IF(H222="CÉLULA CONSTRUTIVA",0,IF(H222="ETAPA",OFFSET(C222,-1,0)+1,OFFSET(C222,-1,0)))</f>
        <v/>
      </c>
      <c r="D222" s="221">
        <f>IF(H222="ETAPA",0,IF(H222="SUBETAPA",OFFSET(D222,-1,0)+1,OFFSET(D222,-1,0)))</f>
        <v/>
      </c>
      <c r="E222" s="221">
        <f>IF(H222="Subetapa",0,IF(H222="serviço",OFFSET(E222,-1,0)+1,OFFSET(E222,-1,0)))</f>
        <v/>
      </c>
      <c r="F222" s="191" t="n"/>
      <c r="G222" s="146" t="n"/>
      <c r="H222" s="136" t="inlineStr">
        <is>
          <t>ETAPA</t>
        </is>
      </c>
      <c r="I222" s="137">
        <f>IF(H222="Unidade Construtiva",TEXT(A222,"00"),IF(H222="Célula Construtiva",TEXT(B222,"00"),IF(H222="Etapa",CONCATENATE(TEXT(B222,"00"),".",TEXT(C222,"000")),IF(H222="Subetapa",CONCATENATE(TEXT(B222,"00"),".",TEXT(C222,"000"),".",TEXT(D222,"000")),IF(H222="Serviço",CONCATENATE(TEXT(B222,"00"),".",TEXT(C222,"000"),".",TEXT(D222,"000"),".",TEXT(E222,"000")),"")))))</f>
        <v/>
      </c>
      <c r="J222" s="138" t="inlineStr">
        <is>
          <t>INSTALAÇÕES DE COMUNICAÇÕES</t>
        </is>
      </c>
      <c r="K222" s="139" t="n"/>
      <c r="L222" s="140" t="n"/>
      <c r="M222" s="140" t="n"/>
      <c r="N222" s="141">
        <f>IF(H222="Serviço",M222*L222,IF(H222="CÉLULA CONSTRUTIVA",SUMIFS($N$8:$N$754,$B$8:$B$754,B222,$H$8:$H$754,"Serviço"),IF(H222="ETAPA",SUMIFS($N$8:$N$754,$B$8:$B$754,B222,$C$8:$C$754,C222,$H$8:$H$754,"Serviço"),IF(H222="SUBETAPA",SUMIFS($N$8:$N$754,$B$8:$B$754,B222,$C$8:$C$754,C222,$D$8:$D$754,D222,$H$8:$H$754,"Serviço"),0))))</f>
        <v/>
      </c>
      <c r="O222" s="139" t="n"/>
      <c r="P222" s="140" t="n"/>
      <c r="Q222" s="140" t="n"/>
      <c r="R222" s="141" t="n"/>
      <c r="S222" s="142" t="n"/>
      <c r="T222" s="142" t="n"/>
      <c r="U222" s="142" t="n"/>
      <c r="V222" s="191" t="n"/>
      <c r="W222" s="191" t="n"/>
      <c r="X222" s="191" t="n"/>
      <c r="Y222" s="191" t="n"/>
      <c r="Z222" s="191" t="n"/>
      <c r="AA222" s="191" t="n"/>
      <c r="AB222" s="191" t="n"/>
    </row>
    <row r="223" outlineLevel="1" ht="13.5" customFormat="1" customHeight="1" s="31">
      <c r="A223" s="217">
        <f>IF($H223="UNIDADE CONSTRUTIVA",OFFSET(A223,-1,0)+1,LARGE(A$3:A222,1))</f>
        <v/>
      </c>
      <c r="B223" s="217">
        <f>IF(H223="UNIDADE CONSTRUTIVA",0,IF(H223="CÉLULA CONSTRUTIVA",OFFSET(B223,-1,0)+1,OFFSET(B223,-1,0)))</f>
        <v/>
      </c>
      <c r="C223" s="217">
        <f>IF(H223="CÉLULA CONSTRUTIVA",0,IF(H223="ETAPA",OFFSET(C223,-1,0)+1,OFFSET(C223,-1,0)))</f>
        <v/>
      </c>
      <c r="D223" s="218">
        <f>IF(H223="ETAPA",0,IF(H223="SUBETAPA",OFFSET(D223,-1,0)+1,OFFSET(D223,-1,0)))</f>
        <v/>
      </c>
      <c r="E223" s="218">
        <f>IF(H223="Subetapa",0,IF(H223="serviço",OFFSET(E223,-1,0)+1,OFFSET(E223,-1,0)))</f>
        <v/>
      </c>
      <c r="G223" s="124" t="n"/>
      <c r="H223" s="42" t="inlineStr">
        <is>
          <t>SUBETAPA</t>
        </is>
      </c>
      <c r="I223" s="43">
        <f>IF(H223="Unidade Construtiva",TEXT(A223,"00"),IF(H223="Célula Construtiva",TEXT(B223,"00"),IF(H223="Etapa",CONCATENATE(TEXT(B223,"00"),".",TEXT(C223,"000")),IF(H223="Subetapa",CONCATENATE(TEXT(B223,"00"),".",TEXT(C223,"000"),".",TEXT(D223,"000")),IF(H223="Serviço",CONCATENATE(TEXT(B223,"00"),".",TEXT(C223,"000"),".",TEXT(D223,"000"),".",TEXT(E223,"000")),"")))))</f>
        <v/>
      </c>
      <c r="J223" s="48" t="inlineStr">
        <is>
          <t>Sistema de interfone / controle de acesso</t>
        </is>
      </c>
      <c r="K223" s="45" t="n"/>
      <c r="L223" s="46" t="n"/>
      <c r="M223" s="46" t="n"/>
      <c r="N223" s="47">
        <f>IF(H223="Serviço",M223*L223,IF(H223="CÉLULA CONSTRUTIVA",SUMIFS($N$8:$N$754,$B$8:$B$754,B223,$H$8:$H$754,"Serviço"),IF(H223="ETAPA",SUMIFS($N$8:$N$754,$B$8:$B$754,B223,$C$8:$C$754,C223,$H$8:$H$754,"Serviço"),IF(H223="SUBETAPA",SUMIFS($N$8:$N$754,$B$8:$B$754,B223,$C$8:$C$754,C223,$D$8:$D$754,D223,$H$8:$H$754,"Serviço"),0))))</f>
        <v/>
      </c>
      <c r="O223" s="45" t="n"/>
      <c r="P223" s="46" t="n"/>
      <c r="Q223" s="46" t="n"/>
      <c r="R223" s="216" t="inlineStr">
        <is>
          <t>10.001.001.001 - Sistema de interfone / controle de acesso</t>
        </is>
      </c>
      <c r="S223" s="151" t="n"/>
      <c r="T223" s="49" t="n"/>
      <c r="U223" s="49" t="n"/>
    </row>
    <row r="224" outlineLevel="2" ht="13.5" customFormat="1" customHeight="1" s="31">
      <c r="A224" s="217">
        <f>IF($H224="UNIDADE CONSTRUTIVA",OFFSET(A224,-1,0)+1,LARGE(A$3:A223,1))</f>
        <v/>
      </c>
      <c r="B224" s="217">
        <f>IF(H224="UNIDADE CONSTRUTIVA",0,IF(H224="CÉLULA CONSTRUTIVA",OFFSET(B224,-1,0)+1,OFFSET(B224,-1,0)))</f>
        <v/>
      </c>
      <c r="C224" s="217">
        <f>IF(H224="CÉLULA CONSTRUTIVA",0,IF(H224="ETAPA",OFFSET(C224,-1,0)+1,OFFSET(C224,-1,0)))</f>
        <v/>
      </c>
      <c r="D224" s="218">
        <f>IF(H224="ETAPA",0,IF(H224="SUBETAPA",OFFSET(D224,-1,0)+1,OFFSET(D224,-1,0)))</f>
        <v/>
      </c>
      <c r="E224" s="218">
        <f>IF(H224="Subetapa",0,IF(H224="serviço",OFFSET(E224,-1,0)+1,OFFSET(E224,-1,0)))</f>
        <v/>
      </c>
      <c r="G224" s="124" t="inlineStr">
        <is>
          <t>INSTALAÇÕES DE COMUNICAÇÕES</t>
        </is>
      </c>
      <c r="H224" s="42" t="inlineStr">
        <is>
          <t>SERVIÇO</t>
        </is>
      </c>
      <c r="I224" s="43">
        <f>IF(H224="Unidade Construtiva",TEXT(A224,"00"),IF(H224="Célula Construtiva",TEXT(B224,"00"),IF(H224="Etapa",CONCATENATE(TEXT(B224,"00"),".",TEXT(C224,"000")),IF(H224="Subetapa",CONCATENATE(TEXT(B224,"00"),".",TEXT(C224,"000"),".",TEXT(D224,"000")),IF(H224="Serviço",CONCATENATE(TEXT(B224,"00"),".",TEXT(C224,"000"),".",TEXT(D224,"000"),".",TEXT(E224,"000")),"")))))</f>
        <v/>
      </c>
      <c r="J224" s="48" t="inlineStr">
        <is>
          <t>Sistema de interfone / controle de acesso</t>
        </is>
      </c>
      <c r="K224" s="45" t="inlineStr">
        <is>
          <t>vb</t>
        </is>
      </c>
      <c r="L224" s="46" t="n">
        <v>1</v>
      </c>
      <c r="M224" s="46" t="n">
        <v>22731.28922070569</v>
      </c>
      <c r="N224" s="47">
        <f>IF(H224="Serviço",M224*L224,IF(H224="CÉLULA CONSTRUTIVA",SUMIFS($N$8:$N$754,$B$8:$B$754,B224,$H$8:$H$754,"Serviço"),IF(H224="ETAPA",SUMIFS($N$8:$N$754,$B$8:$B$754,B224,$C$8:$C$754,C224,$H$8:$H$754,"Serviço"),IF(H224="SUBETAPA",SUMIFS($N$8:$N$754,$B$8:$B$754,B224,$C$8:$C$754,C224,$D$8:$D$754,D224,$H$8:$H$754,"Serviço"),0))))</f>
        <v/>
      </c>
      <c r="O224" s="45" t="n"/>
      <c r="P224" s="46" t="n"/>
      <c r="Q224" s="46" t="n"/>
      <c r="R224" s="47" t="n"/>
      <c r="S224" s="123" t="n"/>
      <c r="T224" s="49" t="n"/>
      <c r="U224" s="49" t="n"/>
    </row>
    <row r="225" outlineLevel="1" ht="13.5" customFormat="1" customHeight="1" s="31">
      <c r="A225" s="217">
        <f>IF($H225="UNIDADE CONSTRUTIVA",OFFSET(A225,-1,0)+1,LARGE(A$3:A224,1))</f>
        <v/>
      </c>
      <c r="B225" s="217">
        <f>IF(H225="UNIDADE CONSTRUTIVA",0,IF(H225="CÉLULA CONSTRUTIVA",OFFSET(B225,-1,0)+1,OFFSET(B225,-1,0)))</f>
        <v/>
      </c>
      <c r="C225" s="217">
        <f>IF(H225="CÉLULA CONSTRUTIVA",0,IF(H225="ETAPA",OFFSET(C225,-1,0)+1,OFFSET(C225,-1,0)))</f>
        <v/>
      </c>
      <c r="D225" s="218">
        <f>IF(H225="ETAPA",0,IF(H225="SUBETAPA",OFFSET(D225,-1,0)+1,OFFSET(D225,-1,0)))</f>
        <v/>
      </c>
      <c r="E225" s="218">
        <f>IF(H225="Subetapa",0,IF(H225="serviço",OFFSET(E225,-1,0)+1,OFFSET(E225,-1,0)))</f>
        <v/>
      </c>
      <c r="G225" s="124" t="n"/>
      <c r="H225" s="42" t="inlineStr">
        <is>
          <t>SUBETAPA</t>
        </is>
      </c>
      <c r="I225" s="43">
        <f>IF(H225="Unidade Construtiva",TEXT(A225,"00"),IF(H225="Célula Construtiva",TEXT(B225,"00"),IF(H225="Etapa",CONCATENATE(TEXT(B225,"00"),".",TEXT(C225,"000")),IF(H225="Subetapa",CONCATENATE(TEXT(B225,"00"),".",TEXT(C225,"000"),".",TEXT(D225,"000")),IF(H225="Serviço",CONCATENATE(TEXT(B225,"00"),".",TEXT(C225,"000"),".",TEXT(D225,"000"),".",TEXT(E225,"000")),"")))))</f>
        <v/>
      </c>
      <c r="J225" s="48" t="inlineStr">
        <is>
          <t>Instalação de CFTV</t>
        </is>
      </c>
      <c r="K225" s="45" t="n"/>
      <c r="L225" s="46" t="n"/>
      <c r="M225" s="46" t="n"/>
      <c r="N225" s="47">
        <f>IF(H225="Serviço",M225*L225,IF(H225="CÉLULA CONSTRUTIVA",SUMIFS($N$8:$N$754,$B$8:$B$754,B225,$H$8:$H$754,"Serviço"),IF(H225="ETAPA",SUMIFS($N$8:$N$754,$B$8:$B$754,B225,$C$8:$C$754,C225,$H$8:$H$754,"Serviço"),IF(H225="SUBETAPA",SUMIFS($N$8:$N$754,$B$8:$B$754,B225,$C$8:$C$754,C225,$D$8:$D$754,D225,$H$8:$H$754,"Serviço"),0))))</f>
        <v/>
      </c>
      <c r="O225" s="45" t="n"/>
      <c r="P225" s="46" t="n"/>
      <c r="Q225" s="46" t="n"/>
      <c r="R225" s="216" t="inlineStr">
        <is>
          <t>10.001.002.001 - Instalação de CFTV</t>
        </is>
      </c>
      <c r="S225" s="151" t="n"/>
      <c r="T225" s="49" t="n"/>
      <c r="U225" s="49" t="n"/>
    </row>
    <row r="226" outlineLevel="2" ht="13.5" customFormat="1" customHeight="1" s="31">
      <c r="A226" s="217">
        <f>IF($H226="UNIDADE CONSTRUTIVA",OFFSET(A226,-1,0)+1,LARGE(A$3:A225,1))</f>
        <v/>
      </c>
      <c r="B226" s="217">
        <f>IF(H226="UNIDADE CONSTRUTIVA",0,IF(H226="CÉLULA CONSTRUTIVA",OFFSET(B226,-1,0)+1,OFFSET(B226,-1,0)))</f>
        <v/>
      </c>
      <c r="C226" s="217">
        <f>IF(H226="CÉLULA CONSTRUTIVA",0,IF(H226="ETAPA",OFFSET(C226,-1,0)+1,OFFSET(C226,-1,0)))</f>
        <v/>
      </c>
      <c r="D226" s="218">
        <f>IF(H226="ETAPA",0,IF(H226="SUBETAPA",OFFSET(D226,-1,0)+1,OFFSET(D226,-1,0)))</f>
        <v/>
      </c>
      <c r="E226" s="218">
        <f>IF(H226="Subetapa",0,IF(H226="serviço",OFFSET(E226,-1,0)+1,OFFSET(E226,-1,0)))</f>
        <v/>
      </c>
      <c r="G226" s="124" t="inlineStr">
        <is>
          <t>INSTALAÇÕES DE COMUNICAÇÕES</t>
        </is>
      </c>
      <c r="H226" s="42" t="inlineStr">
        <is>
          <t>SERVIÇO</t>
        </is>
      </c>
      <c r="I226" s="43">
        <f>IF(H226="Unidade Construtiva",TEXT(A226,"00"),IF(H226="Célula Construtiva",TEXT(B226,"00"),IF(H226="Etapa",CONCATENATE(TEXT(B226,"00"),".",TEXT(C226,"000")),IF(H226="Subetapa",CONCATENATE(TEXT(B226,"00"),".",TEXT(C226,"000"),".",TEXT(D226,"000")),IF(H226="Serviço",CONCATENATE(TEXT(B226,"00"),".",TEXT(C226,"000"),".",TEXT(D226,"000"),".",TEXT(E226,"000")),"")))))</f>
        <v/>
      </c>
      <c r="J226" s="48" t="inlineStr">
        <is>
          <t>Instalação de CFTV</t>
        </is>
      </c>
      <c r="K226" s="45" t="inlineStr">
        <is>
          <t>vb</t>
        </is>
      </c>
      <c r="L226" s="46" t="n">
        <v>1</v>
      </c>
      <c r="M226" s="46" t="n">
        <v>9467.305214286636</v>
      </c>
      <c r="N226" s="47">
        <f>IF(H226="Serviço",M226*L226,IF(H226="CÉLULA CONSTRUTIVA",SUMIFS($N$8:$N$754,$B$8:$B$754,B226,$H$8:$H$754,"Serviço"),IF(H226="ETAPA",SUMIFS($N$8:$N$754,$B$8:$B$754,B226,$C$8:$C$754,C226,$H$8:$H$754,"Serviço"),IF(H226="SUBETAPA",SUMIFS($N$8:$N$754,$B$8:$B$754,B226,$C$8:$C$754,C226,$D$8:$D$754,D226,$H$8:$H$754,"Serviço"),0))))</f>
        <v/>
      </c>
      <c r="O226" s="45" t="n"/>
      <c r="P226" s="46" t="n"/>
      <c r="Q226" s="46" t="n"/>
      <c r="R226" s="47" t="n"/>
      <c r="S226" s="123" t="n"/>
      <c r="T226" s="49" t="n"/>
      <c r="U226" s="49" t="n"/>
    </row>
    <row r="227" outlineLevel="1" ht="13.5" customFormat="1" customHeight="1" s="31">
      <c r="A227" s="217">
        <f>IF($H227="UNIDADE CONSTRUTIVA",OFFSET(A227,-1,0)+1,LARGE(A$3:A226,1))</f>
        <v/>
      </c>
      <c r="B227" s="217">
        <f>IF(H227="UNIDADE CONSTRUTIVA",0,IF(H227="CÉLULA CONSTRUTIVA",OFFSET(B227,-1,0)+1,OFFSET(B227,-1,0)))</f>
        <v/>
      </c>
      <c r="C227" s="217">
        <f>IF(H227="CÉLULA CONSTRUTIVA",0,IF(H227="ETAPA",OFFSET(C227,-1,0)+1,OFFSET(C227,-1,0)))</f>
        <v/>
      </c>
      <c r="D227" s="218">
        <f>IF(H227="ETAPA",0,IF(H227="SUBETAPA",OFFSET(D227,-1,0)+1,OFFSET(D227,-1,0)))</f>
        <v/>
      </c>
      <c r="E227" s="218">
        <f>IF(H227="Subetapa",0,IF(H227="serviço",OFFSET(E227,-1,0)+1,OFFSET(E227,-1,0)))</f>
        <v/>
      </c>
      <c r="G227" s="124" t="n"/>
      <c r="H227" s="42" t="inlineStr">
        <is>
          <t>SUBETAPA</t>
        </is>
      </c>
      <c r="I227" s="43">
        <f>IF(H227="Unidade Construtiva",TEXT(A227,"00"),IF(H227="Célula Construtiva",TEXT(B227,"00"),IF(H227="Etapa",CONCATENATE(TEXT(B227,"00"),".",TEXT(C227,"000")),IF(H227="Subetapa",CONCATENATE(TEXT(B227,"00"),".",TEXT(C227,"000"),".",TEXT(D227,"000")),IF(H227="Serviço",CONCATENATE(TEXT(B227,"00"),".",TEXT(C227,"000"),".",TEXT(D227,"000"),".",TEXT(E227,"000")),"")))))</f>
        <v/>
      </c>
      <c r="J227" s="48" t="inlineStr">
        <is>
          <t>TV VHF/CABO/SATÉLITE</t>
        </is>
      </c>
      <c r="K227" s="45" t="n"/>
      <c r="L227" s="46" t="n"/>
      <c r="M227" s="46" t="n"/>
      <c r="N227" s="47">
        <f>IF(H227="Serviço",M227*L227,IF(H227="CÉLULA CONSTRUTIVA",SUMIFS($N$8:$N$754,$B$8:$B$754,B227,$H$8:$H$754,"Serviço"),IF(H227="ETAPA",SUMIFS($N$8:$N$754,$B$8:$B$754,B227,$C$8:$C$754,C227,$H$8:$H$754,"Serviço"),IF(H227="SUBETAPA",SUMIFS($N$8:$N$754,$B$8:$B$754,B227,$C$8:$C$754,C227,$D$8:$D$754,D227,$H$8:$H$754,"Serviço"),0))))</f>
        <v/>
      </c>
      <c r="O227" s="45" t="n"/>
      <c r="P227" s="46" t="n"/>
      <c r="Q227" s="46" t="n"/>
      <c r="R227" s="47" t="n"/>
      <c r="S227" s="151" t="n"/>
      <c r="T227" s="49" t="n"/>
      <c r="U227" s="49" t="n"/>
    </row>
    <row r="228" outlineLevel="2" ht="13.5" customFormat="1" customHeight="1" s="31">
      <c r="A228" s="217">
        <f>IF($H228="UNIDADE CONSTRUTIVA",OFFSET(A228,-1,0)+1,LARGE(A$3:A227,1))</f>
        <v/>
      </c>
      <c r="B228" s="217">
        <f>IF(H228="UNIDADE CONSTRUTIVA",0,IF(H228="CÉLULA CONSTRUTIVA",OFFSET(B228,-1,0)+1,OFFSET(B228,-1,0)))</f>
        <v/>
      </c>
      <c r="C228" s="217">
        <f>IF(H228="CÉLULA CONSTRUTIVA",0,IF(H228="ETAPA",OFFSET(C228,-1,0)+1,OFFSET(C228,-1,0)))</f>
        <v/>
      </c>
      <c r="D228" s="218">
        <f>IF(H228="ETAPA",0,IF(H228="SUBETAPA",OFFSET(D228,-1,0)+1,OFFSET(D228,-1,0)))</f>
        <v/>
      </c>
      <c r="E228" s="218">
        <f>IF(H228="Subetapa",0,IF(H228="serviço",OFFSET(E228,-1,0)+1,OFFSET(E228,-1,0)))</f>
        <v/>
      </c>
      <c r="G228" s="124" t="inlineStr">
        <is>
          <t>INSTALAÇÕES DE COMUNICAÇÕES</t>
        </is>
      </c>
      <c r="H228" s="42" t="inlineStr">
        <is>
          <t>SERVIÇO</t>
        </is>
      </c>
      <c r="I228" s="43">
        <f>IF(H228="Unidade Construtiva",TEXT(A228,"00"),IF(H228="Célula Construtiva",TEXT(B228,"00"),IF(H228="Etapa",CONCATENATE(TEXT(B228,"00"),".",TEXT(C228,"000")),IF(H228="Subetapa",CONCATENATE(TEXT(B228,"00"),".",TEXT(C228,"000"),".",TEXT(D228,"000")),IF(H228="Serviço",CONCATENATE(TEXT(B228,"00"),".",TEXT(C228,"000"),".",TEXT(D228,"000"),".",TEXT(E228,"000")),"")))))</f>
        <v/>
      </c>
      <c r="J228" s="48" t="inlineStr">
        <is>
          <t>TV VHF/CABO/SATÉLITE</t>
        </is>
      </c>
      <c r="K228" s="45" t="inlineStr">
        <is>
          <t>vb</t>
        </is>
      </c>
      <c r="L228" s="46" t="n">
        <v>1</v>
      </c>
      <c r="M228" s="46" t="n">
        <v>11045.18941666774</v>
      </c>
      <c r="N228" s="47">
        <f>IF(H228="Serviço",M228*L228,IF(H228="CÉLULA CONSTRUTIVA",SUMIFS($N$8:$N$754,$B$8:$B$754,B228,$H$8:$H$754,"Serviço"),IF(H228="ETAPA",SUMIFS($N$8:$N$754,$B$8:$B$754,B228,$C$8:$C$754,C228,$H$8:$H$754,"Serviço"),IF(H228="SUBETAPA",SUMIFS($N$8:$N$754,$B$8:$B$754,B228,$C$8:$C$754,C228,$D$8:$D$754,D228,$H$8:$H$754,"Serviço"),0))))</f>
        <v/>
      </c>
      <c r="O228" s="45" t="n"/>
      <c r="P228" s="46" t="n"/>
      <c r="Q228" s="46" t="n"/>
      <c r="R228" s="47" t="n"/>
      <c r="S228" s="123" t="n"/>
      <c r="T228" s="49" t="n"/>
      <c r="U228" s="49" t="n"/>
    </row>
    <row r="229" outlineLevel="1" ht="13.5" customFormat="1" customHeight="1" s="31">
      <c r="A229" s="217">
        <f>IF($H229="UNIDADE CONSTRUTIVA",OFFSET(A229,-1,0)+1,LARGE(A$3:A228,1))</f>
        <v/>
      </c>
      <c r="B229" s="217">
        <f>IF(H229="UNIDADE CONSTRUTIVA",0,IF(H229="CÉLULA CONSTRUTIVA",OFFSET(B229,-1,0)+1,OFFSET(B229,-1,0)))</f>
        <v/>
      </c>
      <c r="C229" s="217">
        <f>IF(H229="CÉLULA CONSTRUTIVA",0,IF(H229="ETAPA",OFFSET(C229,-1,0)+1,OFFSET(C229,-1,0)))</f>
        <v/>
      </c>
      <c r="D229" s="218">
        <f>IF(H229="ETAPA",0,IF(H229="SUBETAPA",OFFSET(D229,-1,0)+1,OFFSET(D229,-1,0)))</f>
        <v/>
      </c>
      <c r="E229" s="218">
        <f>IF(H229="Subetapa",0,IF(H229="serviço",OFFSET(E229,-1,0)+1,OFFSET(E229,-1,0)))</f>
        <v/>
      </c>
      <c r="G229" s="124" t="n"/>
      <c r="H229" s="42" t="inlineStr">
        <is>
          <t>SUBETAPA</t>
        </is>
      </c>
      <c r="I229" s="43">
        <f>IF(H229="Unidade Construtiva",TEXT(A229,"00"),IF(H229="Célula Construtiva",TEXT(B229,"00"),IF(H229="Etapa",CONCATENATE(TEXT(B229,"00"),".",TEXT(C229,"000")),IF(H229="Subetapa",CONCATENATE(TEXT(B229,"00"),".",TEXT(C229,"000"),".",TEXT(D229,"000")),IF(H229="Serviço",CONCATENATE(TEXT(B229,"00"),".",TEXT(C229,"000"),".",TEXT(D229,"000"),".",TEXT(E229,"000")),"")))))</f>
        <v/>
      </c>
      <c r="J229" s="48" t="inlineStr">
        <is>
          <t>Telefonia/lógica/internet</t>
        </is>
      </c>
      <c r="K229" s="45" t="n"/>
      <c r="L229" s="46" t="n"/>
      <c r="M229" s="46" t="n"/>
      <c r="N229" s="47">
        <f>IF(H229="Serviço",M229*L229,IF(H229="CÉLULA CONSTRUTIVA",SUMIFS($N$8:$N$754,$B$8:$B$754,B229,$H$8:$H$754,"Serviço"),IF(H229="ETAPA",SUMIFS($N$8:$N$754,$B$8:$B$754,B229,$C$8:$C$754,C229,$H$8:$H$754,"Serviço"),IF(H229="SUBETAPA",SUMIFS($N$8:$N$754,$B$8:$B$754,B229,$C$8:$C$754,C229,$D$8:$D$754,D229,$H$8:$H$754,"Serviço"),0))))</f>
        <v/>
      </c>
      <c r="O229" s="45" t="n"/>
      <c r="P229" s="46" t="n"/>
      <c r="Q229" s="46" t="n"/>
      <c r="R229" s="216" t="inlineStr">
        <is>
          <t>10.001.004.001 - Sistema de Telefonia/lógica/internet</t>
        </is>
      </c>
      <c r="S229" s="151" t="n"/>
      <c r="T229" s="49" t="n"/>
      <c r="U229" s="49" t="n"/>
    </row>
    <row r="230" outlineLevel="2" ht="13.5" customFormat="1" customHeight="1" s="31">
      <c r="A230" s="217">
        <f>IF($H230="UNIDADE CONSTRUTIVA",OFFSET(A230,-1,0)+1,LARGE(A$3:A229,1))</f>
        <v/>
      </c>
      <c r="B230" s="217">
        <f>IF(H230="UNIDADE CONSTRUTIVA",0,IF(H230="CÉLULA CONSTRUTIVA",OFFSET(B230,-1,0)+1,OFFSET(B230,-1,0)))</f>
        <v/>
      </c>
      <c r="C230" s="217">
        <f>IF(H230="CÉLULA CONSTRUTIVA",0,IF(H230="ETAPA",OFFSET(C230,-1,0)+1,OFFSET(C230,-1,0)))</f>
        <v/>
      </c>
      <c r="D230" s="218">
        <f>IF(H230="ETAPA",0,IF(H230="SUBETAPA",OFFSET(D230,-1,0)+1,OFFSET(D230,-1,0)))</f>
        <v/>
      </c>
      <c r="E230" s="218">
        <f>IF(H230="Subetapa",0,IF(H230="serviço",OFFSET(E230,-1,0)+1,OFFSET(E230,-1,0)))</f>
        <v/>
      </c>
      <c r="G230" s="124" t="inlineStr">
        <is>
          <t>INSTALAÇÕES DE COMUNICAÇÕES</t>
        </is>
      </c>
      <c r="H230" s="42" t="inlineStr">
        <is>
          <t>SERVIÇO</t>
        </is>
      </c>
      <c r="I230" s="43">
        <f>IF(H230="Unidade Construtiva",TEXT(A230,"00"),IF(H230="Célula Construtiva",TEXT(B230,"00"),IF(H230="Etapa",CONCATENATE(TEXT(B230,"00"),".",TEXT(C230,"000")),IF(H230="Subetapa",CONCATENATE(TEXT(B230,"00"),".",TEXT(C230,"000"),".",TEXT(D230,"000")),IF(H230="Serviço",CONCATENATE(TEXT(B230,"00"),".",TEXT(C230,"000"),".",TEXT(D230,"000"),".",TEXT(E230,"000")),"")))))</f>
        <v/>
      </c>
      <c r="J230" s="48" t="inlineStr">
        <is>
          <t>Telefonia/lógica/internet</t>
        </is>
      </c>
      <c r="K230" s="45" t="inlineStr">
        <is>
          <t>vb</t>
        </is>
      </c>
      <c r="L230" s="46" t="n">
        <v>1</v>
      </c>
      <c r="M230" s="46" t="n">
        <v>36884.85834315143</v>
      </c>
      <c r="N230" s="47">
        <f>IF(H230="Serviço",M230*L230,IF(H230="CÉLULA CONSTRUTIVA",SUMIFS($N$8:$N$754,$B$8:$B$754,B230,$H$8:$H$754,"Serviço"),IF(H230="ETAPA",SUMIFS($N$8:$N$754,$B$8:$B$754,B230,$C$8:$C$754,C230,$H$8:$H$754,"Serviço"),IF(H230="SUBETAPA",SUMIFS($N$8:$N$754,$B$8:$B$754,B230,$C$8:$C$754,C230,$D$8:$D$754,D230,$H$8:$H$754,"Serviço"),0))))</f>
        <v/>
      </c>
      <c r="O230" s="45" t="n"/>
      <c r="P230" s="46" t="n"/>
      <c r="Q230" s="46" t="n"/>
      <c r="R230" s="47" t="n"/>
      <c r="S230" s="123" t="n"/>
      <c r="T230" s="49" t="n"/>
      <c r="U230" s="49" t="n"/>
    </row>
    <row r="231" outlineLevel="1" ht="13.5" customFormat="1" customHeight="1" s="143">
      <c r="A231" s="220">
        <f>IF($H231="UNIDADE CONSTRUTIVA",OFFSET(A231,-1,0)+1,LARGE(A$3:A230,1))</f>
        <v/>
      </c>
      <c r="B231" s="220">
        <f>IF(H231="UNIDADE CONSTRUTIVA",0,IF(H231="CÉLULA CONSTRUTIVA",OFFSET(B231,-1,0)+1,OFFSET(B231,-1,0)))</f>
        <v/>
      </c>
      <c r="C231" s="220">
        <f>IF(H231="CÉLULA CONSTRUTIVA",0,IF(H231="ETAPA",OFFSET(C231,-1,0)+1,OFFSET(C231,-1,0)))</f>
        <v/>
      </c>
      <c r="D231" s="221">
        <f>IF(H231="ETAPA",0,IF(H231="SUBETAPA",OFFSET(D231,-1,0)+1,OFFSET(D231,-1,0)))</f>
        <v/>
      </c>
      <c r="E231" s="221">
        <f>IF(H231="Subetapa",0,IF(H231="serviço",OFFSET(E231,-1,0)+1,OFFSET(E231,-1,0)))</f>
        <v/>
      </c>
      <c r="F231" s="191" t="n"/>
      <c r="G231" s="146" t="n"/>
      <c r="H231" s="136" t="inlineStr">
        <is>
          <t>ETAPA</t>
        </is>
      </c>
      <c r="I231" s="137">
        <f>IF(H231="Unidade Construtiva",TEXT(A231,"00"),IF(H231="Célula Construtiva",TEXT(B231,"00"),IF(H231="Etapa",CONCATENATE(TEXT(B231,"00"),".",TEXT(C231,"000")),IF(H231="Subetapa",CONCATENATE(TEXT(B231,"00"),".",TEXT(C231,"000"),".",TEXT(D231,"000")),IF(H231="Serviço",CONCATENATE(TEXT(B231,"00"),".",TEXT(C231,"000"),".",TEXT(D231,"000"),".",TEXT(E231,"000")),"")))))</f>
        <v/>
      </c>
      <c r="J231" s="138" t="inlineStr">
        <is>
          <t>AUTOMAÇÕES</t>
        </is>
      </c>
      <c r="K231" s="139" t="n"/>
      <c r="L231" s="140" t="n"/>
      <c r="M231" s="140" t="n"/>
      <c r="N231" s="141">
        <f>IF(H231="Serviço",M231*L231,IF(H231="CÉLULA CONSTRUTIVA",SUMIFS($N$8:$N$754,$B$8:$B$754,B231,$H$8:$H$754,"Serviço"),IF(H231="ETAPA",SUMIFS($N$8:$N$754,$B$8:$B$754,B231,$C$8:$C$754,C231,$H$8:$H$754,"Serviço"),IF(H231="SUBETAPA",SUMIFS($N$8:$N$754,$B$8:$B$754,B231,$C$8:$C$754,C231,$D$8:$D$754,D231,$H$8:$H$754,"Serviço"),0))))</f>
        <v/>
      </c>
      <c r="O231" s="139" t="n"/>
      <c r="P231" s="140" t="n"/>
      <c r="Q231" s="140" t="n"/>
      <c r="R231" s="141" t="n"/>
      <c r="S231" s="142" t="n"/>
      <c r="T231" s="142" t="n"/>
      <c r="U231" s="142" t="n"/>
      <c r="V231" s="191" t="n"/>
      <c r="W231" s="191" t="n"/>
      <c r="X231" s="191" t="n"/>
      <c r="Y231" s="191" t="n"/>
      <c r="Z231" s="191" t="n"/>
      <c r="AA231" s="191" t="n"/>
      <c r="AB231" s="191" t="n"/>
    </row>
    <row r="232" outlineLevel="1" ht="13.5" customFormat="1" customHeight="1" s="143">
      <c r="A232" s="220">
        <f>IF($H232="UNIDADE CONSTRUTIVA",OFFSET(A232,-1,0)+1,LARGE(A$3:A231,1))</f>
        <v/>
      </c>
      <c r="B232" s="220">
        <f>IF(H232="UNIDADE CONSTRUTIVA",0,IF(H232="CÉLULA CONSTRUTIVA",OFFSET(B232,-1,0)+1,OFFSET(B232,-1,0)))</f>
        <v/>
      </c>
      <c r="C232" s="220">
        <f>IF(H232="CÉLULA CONSTRUTIVA",0,IF(H232="ETAPA",OFFSET(C232,-1,0)+1,OFFSET(C232,-1,0)))</f>
        <v/>
      </c>
      <c r="D232" s="221">
        <f>IF(H232="ETAPA",0,IF(H232="SUBETAPA",OFFSET(D232,-1,0)+1,OFFSET(D232,-1,0)))</f>
        <v/>
      </c>
      <c r="E232" s="221">
        <f>IF(H232="Subetapa",0,IF(H232="serviço",OFFSET(E232,-1,0)+1,OFFSET(E232,-1,0)))</f>
        <v/>
      </c>
      <c r="F232" s="191" t="n"/>
      <c r="G232" s="146" t="n"/>
      <c r="H232" s="136" t="inlineStr">
        <is>
          <t>SUBETAPA</t>
        </is>
      </c>
      <c r="I232" s="137">
        <f>IF(H232="Unidade Construtiva",TEXT(A232,"00"),IF(H232="Célula Construtiva",TEXT(B232,"00"),IF(H232="Etapa",CONCATENATE(TEXT(B232,"00"),".",TEXT(C232,"000")),IF(H232="Subetapa",CONCATENATE(TEXT(B232,"00"),".",TEXT(C232,"000"),".",TEXT(D232,"000")),IF(H232="Serviço",CONCATENATE(TEXT(B232,"00"),".",TEXT(C232,"000"),".",TEXT(D232,"000"),".",TEXT(E232,"000")),"")))))</f>
        <v/>
      </c>
      <c r="J232" s="138" t="inlineStr">
        <is>
          <t>Infraestrutura de automação dos apartamentos (Iluminação, cortinas, áudio, ar cond.)</t>
        </is>
      </c>
      <c r="K232" s="139" t="n"/>
      <c r="L232" s="140" t="n"/>
      <c r="M232" s="140" t="n"/>
      <c r="N232" s="141">
        <f>IF(H232="Serviço",M232*L232,IF(H232="CÉLULA CONSTRUTIVA",SUMIFS($N$8:$N$754,$B$8:$B$754,B232,$H$8:$H$754,"Serviço"),IF(H232="ETAPA",SUMIFS($N$8:$N$754,$B$8:$B$754,B232,$C$8:$C$754,C232,$H$8:$H$754,"Serviço"),IF(H232="SUBETAPA",SUMIFS($N$8:$N$754,$B$8:$B$754,B232,$C$8:$C$754,C232,$D$8:$D$754,D232,$H$8:$H$754,"Serviço"),0))))</f>
        <v/>
      </c>
      <c r="O232" s="139" t="n"/>
      <c r="P232" s="140" t="n"/>
      <c r="Q232" s="140" t="n"/>
      <c r="R232" s="222" t="inlineStr">
        <is>
          <t>12.001.001.001 - Infraestrutura de ar-condicionado</t>
        </is>
      </c>
      <c r="S232" s="142" t="n"/>
      <c r="T232" s="152" t="n"/>
      <c r="U232" s="142" t="n"/>
      <c r="V232" s="191" t="n"/>
      <c r="W232" s="191" t="n"/>
      <c r="X232" s="191" t="n"/>
      <c r="Y232" s="191" t="n"/>
      <c r="Z232" s="191" t="n"/>
      <c r="AA232" s="191" t="n"/>
      <c r="AB232" s="191" t="n"/>
    </row>
    <row r="233" outlineLevel="2" ht="13.5" customFormat="1" customHeight="1" s="143">
      <c r="A233" s="220">
        <f>IF($H233="UNIDADE CONSTRUTIVA",OFFSET(A233,-1,0)+1,LARGE(A$3:A232,1))</f>
        <v/>
      </c>
      <c r="B233" s="220">
        <f>IF(H233="UNIDADE CONSTRUTIVA",0,IF(H233="CÉLULA CONSTRUTIVA",OFFSET(B233,-1,0)+1,OFFSET(B233,-1,0)))</f>
        <v/>
      </c>
      <c r="C233" s="220">
        <f>IF(H233="CÉLULA CONSTRUTIVA",0,IF(H233="ETAPA",OFFSET(C233,-1,0)+1,OFFSET(C233,-1,0)))</f>
        <v/>
      </c>
      <c r="D233" s="221">
        <f>IF(H233="ETAPA",0,IF(H233="SUBETAPA",OFFSET(D233,-1,0)+1,OFFSET(D233,-1,0)))</f>
        <v/>
      </c>
      <c r="E233" s="221">
        <f>IF(H233="Subetapa",0,IF(H233="serviço",OFFSET(E233,-1,0)+1,OFFSET(E233,-1,0)))</f>
        <v/>
      </c>
      <c r="F233" s="191" t="n"/>
      <c r="G233" s="124" t="inlineStr">
        <is>
          <t>INSTALAÇÕES DE COMUNICAÇÕES</t>
        </is>
      </c>
      <c r="H233" s="136" t="inlineStr">
        <is>
          <t>SERVIÇO</t>
        </is>
      </c>
      <c r="I233" s="137">
        <f>IF(H233="Unidade Construtiva",TEXT(A233,"00"),IF(H233="Célula Construtiva",TEXT(B233,"00"),IF(H233="Etapa",CONCATENATE(TEXT(B233,"00"),".",TEXT(C233,"000")),IF(H233="Subetapa",CONCATENATE(TEXT(B233,"00"),".",TEXT(C233,"000"),".",TEXT(D233,"000")),IF(H233="Serviço",CONCATENATE(TEXT(B233,"00"),".",TEXT(C233,"000"),".",TEXT(D233,"000"),".",TEXT(E233,"000")),"")))))</f>
        <v/>
      </c>
      <c r="J233" s="138" t="inlineStr">
        <is>
          <t>Infraestrutura de automação dos apartamentos (Iluminação, cortinas, áudio, ar cond.)</t>
        </is>
      </c>
      <c r="K233" s="139" t="inlineStr">
        <is>
          <t>vb</t>
        </is>
      </c>
      <c r="L233" s="140" t="n">
        <v>1</v>
      </c>
      <c r="M233" s="140" t="n">
        <v>31872.54431429044</v>
      </c>
      <c r="N233" s="141">
        <f>IF(H233="Serviço",M233*L233,IF(H233="CÉLULA CONSTRUTIVA",SUMIFS($N$8:$N$754,$B$8:$B$754,B233,$H$8:$H$754,"Serviço"),IF(H233="ETAPA",SUMIFS($N$8:$N$754,$B$8:$B$754,B233,$C$8:$C$754,C233,$H$8:$H$754,"Serviço"),IF(H233="SUBETAPA",SUMIFS($N$8:$N$754,$B$8:$B$754,B233,$C$8:$C$754,C233,$D$8:$D$754,D233,$H$8:$H$754,"Serviço"),0))))</f>
        <v/>
      </c>
      <c r="O233" s="139" t="n"/>
      <c r="P233" s="140" t="n"/>
      <c r="Q233" s="140" t="n"/>
      <c r="R233" s="141" t="n"/>
      <c r="S233" s="142" t="n"/>
      <c r="T233" s="152" t="n"/>
      <c r="U233" s="153" t="n"/>
      <c r="V233" s="191" t="n"/>
      <c r="W233" s="191" t="n"/>
      <c r="X233" s="191" t="n"/>
      <c r="Y233" s="191" t="n"/>
      <c r="Z233" s="191" t="n"/>
      <c r="AA233" s="191" t="n"/>
      <c r="AB233" s="191" t="n"/>
    </row>
    <row r="234" ht="13.5" customFormat="1" customHeight="1" s="143">
      <c r="A234" s="217">
        <f>IF($H234="UNIDADE CONSTRUTIVA",OFFSET(A234,-1,0)+1,LARGE(A$3:A207,1))</f>
        <v/>
      </c>
      <c r="B234" s="217">
        <f>IF(H234="UNIDADE CONSTRUTIVA",0,IF(H234="CÉLULA CONSTRUTIVA",OFFSET(B234,-1,0)+1,OFFSET(B234,-1,0)))</f>
        <v/>
      </c>
      <c r="C234" s="217">
        <f>IF(H234="CÉLULA CONSTRUTIVA",0,IF(H234="ETAPA",OFFSET(C234,-1,0)+1,OFFSET(C234,-1,0)))</f>
        <v/>
      </c>
      <c r="D234" s="218">
        <f>IF(H234="ETAPA",0,IF(H234="SUBETAPA",OFFSET(D234,-1,0)+1,OFFSET(D234,-1,0)))</f>
        <v/>
      </c>
      <c r="E234" s="218">
        <f>IF(H234="Subetapa",0,IF(H234="serviço",OFFSET(E234,-1,0)+1,OFFSET(E234,-1,0)))</f>
        <v/>
      </c>
      <c r="F234" s="190" t="n"/>
      <c r="G234" s="149" t="n"/>
      <c r="H234" s="136" t="inlineStr">
        <is>
          <t>CÉLULA CONSTRUTIVA</t>
        </is>
      </c>
      <c r="I234" s="137">
        <f>IF(H234="Unidade Construtiva",TEXT(A234,"00"),IF(H234="Célula Construtiva",TEXT(B234,"00"),IF(H234="Etapa",CONCATENATE(TEXT(B234,"00"),".",TEXT(C234,"000")),IF(H234="Subetapa",CONCATENATE(TEXT(B234,"00"),".",TEXT(C234,"000"),".",TEXT(D234,"000")),IF(H234="Serviço",CONCATENATE(TEXT(B234,"00"),".",TEXT(C234,"000"),".",TEXT(D234,"000"),".",TEXT(E234,"000")),"")))))</f>
        <v/>
      </c>
      <c r="J234" s="138" t="inlineStr">
        <is>
          <t>EQUIPAMENTOS E SISTEMAS ESPECIAIS</t>
        </is>
      </c>
      <c r="K234" s="139" t="n"/>
      <c r="L234" s="140" t="n"/>
      <c r="M234" s="140" t="n"/>
      <c r="N234" s="141">
        <f>IF(H234="Serviço",M234*L234,IF(H234="CÉLULA CONSTRUTIVA",SUMIFS($N$8:$N$754,$B$8:$B$754,B234,$H$8:$H$754,"Serviço"),IF(H234="ETAPA",SUMIFS($N$8:$N$754,$B$8:$B$754,B234,$C$8:$C$754,C234,$H$8:$H$754,"Serviço"),IF(H234="SUBETAPA",SUMIFS($N$8:$N$754,$B$8:$B$754,B234,$C$8:$C$754,C234,$D$8:$D$754,D234,$H$8:$H$754,"Serviço"),0))))</f>
        <v/>
      </c>
      <c r="O234" s="139" t="n"/>
      <c r="P234" s="140" t="n"/>
      <c r="Q234" s="140" t="n"/>
      <c r="R234" s="141" t="n"/>
      <c r="S234" s="142" t="n"/>
    </row>
    <row r="235" outlineLevel="1" ht="13.5" customFormat="1" customHeight="1" s="143">
      <c r="A235" s="220">
        <f>IF($H235="UNIDADE CONSTRUTIVA",OFFSET(A235,-1,0)+1,LARGE(A$3:A234,1))</f>
        <v/>
      </c>
      <c r="B235" s="220">
        <f>IF(H235="UNIDADE CONSTRUTIVA",0,IF(H235="CÉLULA CONSTRUTIVA",OFFSET(B235,-1,0)+1,OFFSET(B235,-1,0)))</f>
        <v/>
      </c>
      <c r="C235" s="220">
        <f>IF(H235="CÉLULA CONSTRUTIVA",0,IF(H235="ETAPA",OFFSET(C235,-1,0)+1,OFFSET(C235,-1,0)))</f>
        <v/>
      </c>
      <c r="D235" s="221">
        <f>IF(H235="ETAPA",0,IF(H235="SUBETAPA",OFFSET(D235,-1,0)+1,OFFSET(D235,-1,0)))</f>
        <v/>
      </c>
      <c r="E235" s="221">
        <f>IF(H235="Subetapa",0,IF(H235="serviço",OFFSET(E235,-1,0)+1,OFFSET(E235,-1,0)))</f>
        <v/>
      </c>
      <c r="F235" s="191" t="n"/>
      <c r="G235" s="146" t="n"/>
      <c r="H235" s="136" t="inlineStr">
        <is>
          <t>ETAPA</t>
        </is>
      </c>
      <c r="I235" s="137">
        <f>IF(H235="Unidade Construtiva",TEXT(A235,"00"),IF(H235="Célula Construtiva",TEXT(B235,"00"),IF(H235="Etapa",CONCATENATE(TEXT(B235,"00"),".",TEXT(C235,"000")),IF(H235="Subetapa",CONCATENATE(TEXT(B235,"00"),".",TEXT(C235,"000"),".",TEXT(D235,"000")),IF(H235="Serviço",CONCATENATE(TEXT(B235,"00"),".",TEXT(C235,"000"),".",TEXT(D235,"000"),".",TEXT(E235,"000")),"")))))</f>
        <v/>
      </c>
      <c r="J235" s="138" t="inlineStr">
        <is>
          <t>PISCINA</t>
        </is>
      </c>
      <c r="K235" s="139" t="n"/>
      <c r="L235" s="140" t="n"/>
      <c r="M235" s="140" t="n"/>
      <c r="N235" s="141">
        <f>IF(H235="Serviço",M235*L235,IF(H235="CÉLULA CONSTRUTIVA",SUMIFS($N$8:$N$754,$B$8:$B$754,B235,$H$8:$H$754,"Serviço"),IF(H235="ETAPA",SUMIFS($N$8:$N$754,$B$8:$B$754,B235,$C$8:$C$754,C235,$H$8:$H$754,"Serviço"),IF(H235="SUBETAPA",SUMIFS($N$8:$N$754,$B$8:$B$754,B235,$C$8:$C$754,C235,$D$8:$D$754,D235,$H$8:$H$754,"Serviço"),0))))</f>
        <v/>
      </c>
      <c r="O235" s="139" t="n"/>
      <c r="P235" s="140" t="n"/>
      <c r="Q235" s="140" t="n"/>
      <c r="R235" s="141" t="n"/>
      <c r="S235" s="142" t="n"/>
      <c r="T235" s="142" t="n"/>
      <c r="U235" s="142" t="n"/>
      <c r="V235" s="191" t="n"/>
      <c r="W235" s="191" t="n"/>
      <c r="X235" s="191" t="n"/>
      <c r="Y235" s="191" t="n"/>
      <c r="Z235" s="191" t="n"/>
      <c r="AA235" s="191" t="n"/>
      <c r="AB235" s="191" t="n"/>
    </row>
    <row r="236" outlineLevel="1" ht="13.5" customFormat="1" customHeight="1" s="143">
      <c r="A236" s="220">
        <f>IF($H236="UNIDADE CONSTRUTIVA",OFFSET(A236,-1,0)+1,LARGE(A$3:A234,1))</f>
        <v/>
      </c>
      <c r="B236" s="220">
        <f>IF(H236="UNIDADE CONSTRUTIVA",0,IF(H236="CÉLULA CONSTRUTIVA",OFFSET(B236,-1,0)+1,OFFSET(B236,-1,0)))</f>
        <v/>
      </c>
      <c r="C236" s="220">
        <f>IF(H236="CÉLULA CONSTRUTIVA",0,IF(H236="ETAPA",OFFSET(C236,-1,0)+1,OFFSET(C236,-1,0)))</f>
        <v/>
      </c>
      <c r="D236" s="221">
        <f>IF(H236="ETAPA",0,IF(H236="SUBETAPA",OFFSET(D236,-1,0)+1,OFFSET(D236,-1,0)))</f>
        <v/>
      </c>
      <c r="E236" s="221">
        <f>IF(H236="Subetapa",0,IF(H236="serviço",OFFSET(E236,-1,0)+1,OFFSET(E236,-1,0)))</f>
        <v/>
      </c>
      <c r="F236" s="191" t="n"/>
      <c r="G236" s="146" t="n"/>
      <c r="H236" s="136" t="inlineStr">
        <is>
          <t>SUBETAPA</t>
        </is>
      </c>
      <c r="I236" s="137">
        <f>IF(H236="Unidade Construtiva",TEXT(A236,"00"),IF(H236="Célula Construtiva",TEXT(B236,"00"),IF(H236="Etapa",CONCATENATE(TEXT(B236,"00"),".",TEXT(C236,"000")),IF(H236="Subetapa",CONCATENATE(TEXT(B236,"00"),".",TEXT(C236,"000"),".",TEXT(D236,"000")),IF(H236="Serviço",CONCATENATE(TEXT(B236,"00"),".",TEXT(C236,"000"),".",TEXT(D236,"000"),".",TEXT(E236,"000")),"")))))</f>
        <v/>
      </c>
      <c r="J236" s="138" t="inlineStr">
        <is>
          <t>Equipamentos de piscina</t>
        </is>
      </c>
      <c r="K236" s="139" t="n"/>
      <c r="L236" s="140" t="n"/>
      <c r="M236" s="140" t="n"/>
      <c r="N236" s="141">
        <f>IF(H236="Serviço",M236*L236,IF(H236="CÉLULA CONSTRUTIVA",SUMIFS($N$8:$N$754,$B$8:$B$754,B236,$H$8:$H$754,"Serviço"),IF(H236="ETAPA",SUMIFS($N$8:$N$754,$B$8:$B$754,B236,$C$8:$C$754,C236,$H$8:$H$754,"Serviço"),IF(H236="SUBETAPA",SUMIFS($N$8:$N$754,$B$8:$B$754,B236,$C$8:$C$754,C236,$D$8:$D$754,D236,$H$8:$H$754,"Serviço"),0))))</f>
        <v/>
      </c>
      <c r="O236" s="139" t="n"/>
      <c r="P236" s="140" t="n"/>
      <c r="Q236" s="140" t="n"/>
      <c r="R236" s="222" t="inlineStr">
        <is>
          <t>12.001.001.002 - Equipamentos de ar-condicionado</t>
        </is>
      </c>
      <c r="S236" s="142" t="n"/>
      <c r="T236" s="142" t="n"/>
      <c r="U236" s="142" t="n"/>
      <c r="V236" s="191" t="n"/>
      <c r="W236" s="191" t="n"/>
      <c r="X236" s="191" t="n"/>
      <c r="Y236" s="191" t="n"/>
      <c r="Z236" s="191" t="n"/>
      <c r="AA236" s="191" t="n"/>
      <c r="AB236" s="191" t="n"/>
    </row>
    <row r="237" outlineLevel="2" ht="13.5" customFormat="1" customHeight="1" s="143">
      <c r="A237" s="220">
        <f>IF($H237="UNIDADE CONSTRUTIVA",OFFSET(A237,-1,0)+1,LARGE(A$3:A236,1))</f>
        <v/>
      </c>
      <c r="B237" s="220">
        <f>IF(H237="UNIDADE CONSTRUTIVA",0,IF(H237="CÉLULA CONSTRUTIVA",OFFSET(B237,-1,0)+1,OFFSET(B237,-1,0)))</f>
        <v/>
      </c>
      <c r="C237" s="220">
        <f>IF(H237="CÉLULA CONSTRUTIVA",0,IF(H237="ETAPA",OFFSET(C237,-1,0)+1,OFFSET(C237,-1,0)))</f>
        <v/>
      </c>
      <c r="D237" s="221">
        <f>IF(H237="ETAPA",0,IF(H237="SUBETAPA",OFFSET(D237,-1,0)+1,OFFSET(D237,-1,0)))</f>
        <v/>
      </c>
      <c r="E237" s="221">
        <f>IF(H237="Subetapa",0,IF(H237="serviço",OFFSET(E237,-1,0)+1,OFFSET(E237,-1,0)))</f>
        <v/>
      </c>
      <c r="F237" s="191" t="n"/>
      <c r="G237" s="146" t="inlineStr">
        <is>
          <t>EQUIPAMENTOS E SISTEMAS ESPECIAIS</t>
        </is>
      </c>
      <c r="H237" s="136" t="inlineStr">
        <is>
          <t>SERVIÇO</t>
        </is>
      </c>
      <c r="I237" s="137">
        <f>IF(H237="Unidade Construtiva",TEXT(A237,"00"),IF(H237="Célula Construtiva",TEXT(B237,"00"),IF(H237="Etapa",CONCATENATE(TEXT(B237,"00"),".",TEXT(C237,"000")),IF(H237="Subetapa",CONCATENATE(TEXT(B237,"00"),".",TEXT(C237,"000"),".",TEXT(D237,"000")),IF(H237="Serviço",CONCATENATE(TEXT(B237,"00"),".",TEXT(C237,"000"),".",TEXT(D237,"000"),".",TEXT(E237,"000")),"")))))</f>
        <v/>
      </c>
      <c r="J237" s="138" t="inlineStr">
        <is>
          <t xml:space="preserve">Equipamentos de piscina </t>
        </is>
      </c>
      <c r="K237" s="139" t="inlineStr">
        <is>
          <t>vb</t>
        </is>
      </c>
      <c r="L237" s="140" t="n">
        <v>1</v>
      </c>
      <c r="M237" s="140" t="n">
        <v>18819.47</v>
      </c>
      <c r="N237" s="141">
        <f>IF(H237="Serviço",M237*L237,IF(H237="CÉLULA CONSTRUTIVA",SUMIFS($N$8:$N$754,$B$8:$B$754,B237,$H$8:$H$754,"Serviço"),IF(H237="ETAPA",SUMIFS($N$8:$N$754,$B$8:$B$754,B237,$C$8:$C$754,C237,$H$8:$H$754,"Serviço"),IF(H237="SUBETAPA",SUMIFS($N$8:$N$754,$B$8:$B$754,B237,$C$8:$C$754,C237,$D$8:$D$754,D237,$H$8:$H$754,"Serviço"),0))))</f>
        <v/>
      </c>
      <c r="O237" s="139" t="n"/>
      <c r="P237" s="140" t="n"/>
      <c r="Q237" s="140" t="n"/>
      <c r="R237" s="141" t="n"/>
      <c r="S237" s="142" t="n"/>
      <c r="T237" s="142" t="n"/>
      <c r="U237" s="142" t="n"/>
      <c r="V237" s="191" t="n"/>
      <c r="W237" s="191" t="n"/>
      <c r="X237" s="191" t="n"/>
      <c r="Y237" s="191" t="n"/>
      <c r="Z237" s="191" t="n"/>
      <c r="AA237" s="191" t="n"/>
      <c r="AB237" s="191" t="n"/>
    </row>
    <row r="238" outlineLevel="2" ht="13.5" customFormat="1" customHeight="1" s="143">
      <c r="A238" s="220">
        <f>IF($H238="UNIDADE CONSTRUTIVA",OFFSET(A238,-1,0)+1,LARGE(A$3:A237,1))</f>
        <v/>
      </c>
      <c r="B238" s="220">
        <f>IF(H238="UNIDADE CONSTRUTIVA",0,IF(H238="CÉLULA CONSTRUTIVA",OFFSET(B238,-1,0)+1,OFFSET(B238,-1,0)))</f>
        <v/>
      </c>
      <c r="C238" s="220">
        <f>IF(H238="CÉLULA CONSTRUTIVA",0,IF(H238="ETAPA",OFFSET(C238,-1,0)+1,OFFSET(C238,-1,0)))</f>
        <v/>
      </c>
      <c r="D238" s="221">
        <f>IF(H238="ETAPA",0,IF(H238="SUBETAPA",OFFSET(D238,-1,0)+1,OFFSET(D238,-1,0)))</f>
        <v/>
      </c>
      <c r="E238" s="221">
        <f>IF(H238="Subetapa",0,IF(H238="serviço",OFFSET(E238,-1,0)+1,OFFSET(E238,-1,0)))</f>
        <v/>
      </c>
      <c r="F238" s="191" t="n"/>
      <c r="G238" s="146" t="inlineStr">
        <is>
          <t>EQUIPAMENTOS E SISTEMAS ESPECIAIS</t>
        </is>
      </c>
      <c r="H238" s="136" t="inlineStr">
        <is>
          <t>SERVIÇO</t>
        </is>
      </c>
      <c r="I238" s="137">
        <f>IF(H238="Unidade Construtiva",TEXT(A238,"00"),IF(H238="Célula Construtiva",TEXT(B238,"00"),IF(H238="Etapa",CONCATENATE(TEXT(B238,"00"),".",TEXT(C238,"000")),IF(H238="Subetapa",CONCATENATE(TEXT(B238,"00"),".",TEXT(C238,"000"),".",TEXT(D238,"000")),IF(H238="Serviço",CONCATENATE(TEXT(B238,"00"),".",TEXT(C238,"000"),".",TEXT(D238,"000"),".",TEXT(E238,"000")),"")))))</f>
        <v/>
      </c>
      <c r="J238" s="138" t="inlineStr">
        <is>
          <t>Mão de obra para instalação de Piscinas</t>
        </is>
      </c>
      <c r="K238" s="139" t="inlineStr">
        <is>
          <t>vb</t>
        </is>
      </c>
      <c r="L238" s="140" t="n">
        <v>1</v>
      </c>
      <c r="M238" s="140">
        <f>Ger_Executivo!M237*0.4/0.6</f>
        <v/>
      </c>
      <c r="N238" s="141">
        <f>IF(H238="Serviço",M238*L238,IF(H238="CÉLULA CONSTRUTIVA",SUMIFS($N$8:$N$754,$B$8:$B$754,B238,$H$8:$H$754,"Serviço"),IF(H238="ETAPA",SUMIFS($N$8:$N$754,$B$8:$B$754,B238,$C$8:$C$754,C238,$H$8:$H$754,"Serviço"),IF(H238="SUBETAPA",SUMIFS($N$8:$N$754,$B$8:$B$754,B238,$C$8:$C$754,C238,$D$8:$D$754,D238,$H$8:$H$754,"Serviço"),0))))</f>
        <v/>
      </c>
      <c r="O238" s="139" t="n"/>
      <c r="P238" s="140" t="n"/>
      <c r="Q238" s="140" t="n"/>
      <c r="R238" s="141" t="n"/>
      <c r="S238" s="142" t="n"/>
      <c r="T238" s="142" t="n"/>
      <c r="U238" s="142" t="n"/>
      <c r="V238" s="191" t="n"/>
      <c r="W238" s="191" t="n"/>
      <c r="X238" s="191" t="n"/>
      <c r="Y238" s="191" t="n"/>
      <c r="Z238" s="191" t="n"/>
      <c r="AA238" s="191" t="n"/>
      <c r="AB238" s="191" t="n"/>
    </row>
    <row r="239" outlineLevel="1" ht="13.5" customFormat="1" customHeight="1" s="143">
      <c r="A239" s="220">
        <f>IF($H239="UNIDADE CONSTRUTIVA",OFFSET(A239,-1,0)+1,LARGE(A$3:A237,1))</f>
        <v/>
      </c>
      <c r="B239" s="220">
        <f>IF(H239="UNIDADE CONSTRUTIVA",0,IF(H239="CÉLULA CONSTRUTIVA",OFFSET(B239,-1,0)+1,OFFSET(B239,-1,0)))</f>
        <v/>
      </c>
      <c r="C239" s="220">
        <f>IF(H239="CÉLULA CONSTRUTIVA",0,IF(H239="ETAPA",OFFSET(C239,-1,0)+1,OFFSET(C239,-1,0)))</f>
        <v/>
      </c>
      <c r="D239" s="221">
        <f>IF(H239="ETAPA",0,IF(H239="SUBETAPA",OFFSET(D239,-1,0)+1,OFFSET(D239,-1,0)))</f>
        <v/>
      </c>
      <c r="E239" s="221">
        <f>IF(H239="Subetapa",0,IF(H239="serviço",OFFSET(E239,-1,0)+1,OFFSET(E239,-1,0)))</f>
        <v/>
      </c>
      <c r="F239" s="191" t="n"/>
      <c r="G239" s="146" t="n"/>
      <c r="H239" s="136" t="inlineStr">
        <is>
          <t>ETAPA</t>
        </is>
      </c>
      <c r="I239" s="137">
        <f>IF(H239="Unidade Construtiva",TEXT(A239,"00"),IF(H239="Célula Construtiva",TEXT(B239,"00"),IF(H239="Etapa",CONCATENATE(TEXT(B239,"00"),".",TEXT(C239,"000")),IF(H239="Subetapa",CONCATENATE(TEXT(B239,"00"),".",TEXT(C239,"000"),".",TEXT(D239,"000")),IF(H239="Serviço",CONCATENATE(TEXT(B239,"00"),".",TEXT(C239,"000"),".",TEXT(D239,"000"),".",TEXT(E239,"000")),"")))))</f>
        <v/>
      </c>
      <c r="J239" s="138" t="inlineStr">
        <is>
          <t>ELEVADORES</t>
        </is>
      </c>
      <c r="K239" s="139" t="n"/>
      <c r="L239" s="140" t="n"/>
      <c r="M239" s="140" t="n"/>
      <c r="N239" s="141">
        <f>IF(H239="Serviço",M239*L239,IF(H239="CÉLULA CONSTRUTIVA",SUMIFS($N$8:$N$754,$B$8:$B$754,B239,$H$8:$H$754,"Serviço"),IF(H239="ETAPA",SUMIFS($N$8:$N$754,$B$8:$B$754,B239,$C$8:$C$754,C239,$H$8:$H$754,"Serviço"),IF(H239="SUBETAPA",SUMIFS($N$8:$N$754,$B$8:$B$754,B239,$C$8:$C$754,C239,$D$8:$D$754,D239,$H$8:$H$754,"Serviço"),0))))</f>
        <v/>
      </c>
      <c r="O239" s="139" t="n"/>
      <c r="P239" s="140" t="n"/>
      <c r="Q239" s="140" t="n"/>
      <c r="R239" s="141" t="n"/>
      <c r="S239" s="142" t="n"/>
      <c r="T239" s="142" t="n"/>
      <c r="U239" s="142" t="n"/>
      <c r="V239" s="191" t="n"/>
      <c r="W239" s="191" t="n"/>
      <c r="X239" s="191" t="n"/>
      <c r="Y239" s="191" t="n"/>
      <c r="Z239" s="191" t="n"/>
      <c r="AA239" s="191" t="n"/>
      <c r="AB239" s="191" t="n"/>
    </row>
    <row r="240" outlineLevel="1" ht="13.2" customFormat="1" customHeight="1" s="143">
      <c r="A240" s="220">
        <f>IF($H240="UNIDADE CONSTRUTIVA",OFFSET(A240,-1,0)+1,LARGE(A$3:A237,1))</f>
        <v/>
      </c>
      <c r="B240" s="220">
        <f>IF(H240="UNIDADE CONSTRUTIVA",0,IF(H240="CÉLULA CONSTRUTIVA",OFFSET(B240,-1,0)+1,OFFSET(B240,-1,0)))</f>
        <v/>
      </c>
      <c r="C240" s="220">
        <f>IF(H240="CÉLULA CONSTRUTIVA",0,IF(H240="ETAPA",OFFSET(C240,-1,0)+1,OFFSET(C240,-1,0)))</f>
        <v/>
      </c>
      <c r="D240" s="221">
        <f>IF(H240="ETAPA",0,IF(H240="SUBETAPA",OFFSET(D240,-1,0)+1,OFFSET(D240,-1,0)))</f>
        <v/>
      </c>
      <c r="E240" s="221">
        <f>IF(H240="Subetapa",0,IF(H240="serviço",OFFSET(E240,-1,0)+1,OFFSET(E240,-1,0)))</f>
        <v/>
      </c>
      <c r="F240" s="191" t="n"/>
      <c r="G240" s="146" t="n"/>
      <c r="H240" s="136" t="inlineStr">
        <is>
          <t>SUBETAPA</t>
        </is>
      </c>
      <c r="I240" s="137">
        <f>IF(H240="Unidade Construtiva",TEXT(A240,"00"),IF(H240="Célula Construtiva",TEXT(B240,"00"),IF(H240="Etapa",CONCATENATE(TEXT(B240,"00"),".",TEXT(C240,"000")),IF(H240="Subetapa",CONCATENATE(TEXT(B240,"00"),".",TEXT(C240,"000"),".",TEXT(D240,"000")),IF(H240="Serviço",CONCATENATE(TEXT(B240,"00"),".",TEXT(C240,"000"),".",TEXT(D240,"000"),".",TEXT(E240,"000")),"")))))</f>
        <v/>
      </c>
      <c r="J240" s="138" t="inlineStr">
        <is>
          <t>Elevadores</t>
        </is>
      </c>
      <c r="K240" s="139" t="n"/>
      <c r="L240" s="140" t="n"/>
      <c r="M240" s="140" t="n"/>
      <c r="N240" s="141">
        <f>IF(H240="Serviço",M240*L240,IF(H240="CÉLULA CONSTRUTIVA",SUMIFS($N$8:$N$754,$B$8:$B$754,B240,$H$8:$H$754,"Serviço"),IF(H240="ETAPA",SUMIFS($N$8:$N$754,$B$8:$B$754,B240,$C$8:$C$754,C240,$H$8:$H$754,"Serviço"),IF(H240="SUBETAPA",SUMIFS($N$8:$N$754,$B$8:$B$754,B240,$C$8:$C$754,C240,$D$8:$D$754,D240,$H$8:$H$754,"Serviço"),0))))</f>
        <v/>
      </c>
      <c r="O240" s="139" t="n"/>
      <c r="P240" s="140" t="n"/>
      <c r="Q240" s="140" t="n"/>
      <c r="R240" s="222" t="inlineStr">
        <is>
          <t>08.001.004.001 - Central de alarmes</t>
        </is>
      </c>
      <c r="S240" s="142" t="n"/>
      <c r="T240" s="142" t="n"/>
      <c r="U240" s="142" t="n"/>
      <c r="V240" s="191" t="n"/>
      <c r="W240" s="191" t="n"/>
      <c r="X240" s="191" t="n"/>
      <c r="Y240" s="191" t="n"/>
      <c r="Z240" s="191" t="n"/>
      <c r="AA240" s="191" t="n"/>
      <c r="AB240" s="191" t="n"/>
    </row>
    <row r="241" outlineLevel="2" ht="13.5" customFormat="1" customHeight="1" s="143">
      <c r="A241" s="220">
        <f>IF($H241="UNIDADE CONSTRUTIVA",OFFSET(A241,-1,0)+1,LARGE(A$3:A237,1))</f>
        <v/>
      </c>
      <c r="B241" s="220">
        <f>IF(H241="UNIDADE CONSTRUTIVA",0,IF(H241="CÉLULA CONSTRUTIVA",OFFSET(B241,-1,0)+1,OFFSET(B241,-1,0)))</f>
        <v/>
      </c>
      <c r="C241" s="220">
        <f>IF(H241="CÉLULA CONSTRUTIVA",0,IF(H241="ETAPA",OFFSET(C241,-1,0)+1,OFFSET(C241,-1,0)))</f>
        <v/>
      </c>
      <c r="D241" s="221">
        <f>IF(H241="ETAPA",0,IF(H241="SUBETAPA",OFFSET(D241,-1,0)+1,OFFSET(D241,-1,0)))</f>
        <v/>
      </c>
      <c r="E241" s="221">
        <f>IF(H241="Subetapa",0,IF(H241="serviço",OFFSET(E241,-1,0)+1,OFFSET(E241,-1,0)))</f>
        <v/>
      </c>
      <c r="F241" s="191" t="n"/>
      <c r="G241" s="146" t="inlineStr">
        <is>
          <t>EQUIPAMENTOS E SISTEMAS ESPECIAIS</t>
        </is>
      </c>
      <c r="H241" s="136" t="inlineStr">
        <is>
          <t>SERVIÇO</t>
        </is>
      </c>
      <c r="I241" s="137">
        <f>IF(H241="Unidade Construtiva",TEXT(A241,"00"),IF(H241="Célula Construtiva",TEXT(B241,"00"),IF(H241="Etapa",CONCATENATE(TEXT(B241,"00"),".",TEXT(C241,"000")),IF(H241="Subetapa",CONCATENATE(TEXT(B241,"00"),".",TEXT(C241,"000"),".",TEXT(D241,"000")),IF(H241="Serviço",CONCATENATE(TEXT(B241,"00"),".",TEXT(C241,"000"),".",TEXT(D241,"000"),".",TEXT(E241,"000")),"")))))</f>
        <v/>
      </c>
      <c r="J241" s="138" t="inlineStr">
        <is>
          <t>2 Elevadores - 20 paradas</t>
        </is>
      </c>
      <c r="K241" s="139" t="inlineStr">
        <is>
          <t>vb</t>
        </is>
      </c>
      <c r="L241" s="140" t="n">
        <v>2</v>
      </c>
      <c r="M241" s="154" t="n">
        <v>450000</v>
      </c>
      <c r="N241" s="141">
        <f>IF(H241="Serviço",M241*L241,IF(H241="CÉLULA CONSTRUTIVA",SUMIFS($N$8:$N$754,$B$8:$B$754,B241,$H$8:$H$754,"Serviço"),IF(H241="ETAPA",SUMIFS($N$8:$N$754,$B$8:$B$754,B241,$C$8:$C$754,C241,$H$8:$H$754,"Serviço"),IF(H241="SUBETAPA",SUMIFS($N$8:$N$754,$B$8:$B$754,B241,$C$8:$C$754,C241,$D$8:$D$754,D241,$H$8:$H$754,"Serviço"),0))))</f>
        <v/>
      </c>
      <c r="O241" s="139" t="n"/>
      <c r="P241" s="140" t="n"/>
      <c r="Q241" s="154" t="n"/>
      <c r="R241" s="141" t="n"/>
      <c r="S241" s="142" t="n"/>
      <c r="T241" s="142" t="n"/>
      <c r="U241" s="142" t="n"/>
      <c r="V241" s="191" t="n"/>
      <c r="W241" s="191" t="n"/>
      <c r="X241" s="191" t="n"/>
      <c r="Y241" s="191" t="n"/>
      <c r="Z241" s="191" t="n"/>
      <c r="AA241" s="191" t="n"/>
      <c r="AB241" s="191" t="n"/>
    </row>
    <row r="242" ht="13.5" customFormat="1" customHeight="1" s="143">
      <c r="A242" s="220">
        <f>IF($H242="UNIDADE CONSTRUTIVA",OFFSET(A242,-1,0)+1,LARGE(A$3:A241,1))</f>
        <v/>
      </c>
      <c r="B242" s="220">
        <f>IF(H242="UNIDADE CONSTRUTIVA",0,IF(H242="CÉLULA CONSTRUTIVA",OFFSET(B242,-1,0)+1,OFFSET(B242,-1,0)))</f>
        <v/>
      </c>
      <c r="C242" s="220">
        <f>IF(H242="CÉLULA CONSTRUTIVA",0,IF(H242="ETAPA",OFFSET(C242,-1,0)+1,OFFSET(C242,-1,0)))</f>
        <v/>
      </c>
      <c r="D242" s="221">
        <f>IF(H242="ETAPA",0,IF(H242="SUBETAPA",OFFSET(D242,-1,0)+1,OFFSET(D242,-1,0)))</f>
        <v/>
      </c>
      <c r="E242" s="221">
        <f>IF(H242="Subetapa",0,IF(H242="serviço",OFFSET(E242,-1,0)+1,OFFSET(E242,-1,0)))</f>
        <v/>
      </c>
      <c r="F242" s="191" t="n"/>
      <c r="G242" s="146" t="n"/>
      <c r="H242" s="136" t="inlineStr">
        <is>
          <t>CÉLULA CONSTRUTIVA</t>
        </is>
      </c>
      <c r="I242" s="137">
        <f>IF(H242="Unidade Construtiva",TEXT(A242,"00"),IF(H242="Célula Construtiva",TEXT(B242,"00"),IF(H242="Etapa",CONCATENATE(TEXT(B242,"00"),".",TEXT(C242,"000")),IF(H242="Subetapa",CONCATENATE(TEXT(B242,"00"),".",TEXT(C242,"000"),".",TEXT(D242,"000")),IF(H242="Serviço",CONCATENATE(TEXT(B242,"00"),".",TEXT(C242,"000"),".",TEXT(D242,"000"),".",TEXT(E242,"000")),"")))))</f>
        <v/>
      </c>
      <c r="J242" s="155" t="inlineStr">
        <is>
          <t>CLIMATIZAÇÃO, EXAUSTÃO MECÂNICA E PRESSURIZAÇÃO</t>
        </is>
      </c>
      <c r="K242" s="139" t="n"/>
      <c r="L242" s="140" t="n"/>
      <c r="M242" s="140" t="n"/>
      <c r="N242" s="141">
        <f>IF(H242="Serviço",M242*L242,IF(H242="CÉLULA CONSTRUTIVA",SUMIFS($N$8:$N$754,$B$8:$B$754,B242,$H$8:$H$754,"Serviço"),IF(H242="ETAPA",SUMIFS($N$8:$N$754,$B$8:$B$754,B242,$C$8:$C$754,C242,$H$8:$H$754,"Serviço"),IF(H242="SUBETAPA",SUMIFS($N$8:$N$754,$B$8:$B$754,B242,$C$8:$C$754,C242,$D$8:$D$754,D242,$H$8:$H$754,"Serviço"),0))))</f>
        <v/>
      </c>
      <c r="O242" s="139" t="n"/>
      <c r="P242" s="140" t="n"/>
      <c r="Q242" s="140" t="n"/>
      <c r="R242" s="141" t="n"/>
      <c r="S242" s="223" t="n"/>
      <c r="T242" s="223" t="n"/>
      <c r="U242" s="142" t="n"/>
      <c r="V242" s="191" t="n"/>
      <c r="W242" s="191" t="n"/>
      <c r="X242" s="191" t="n"/>
      <c r="Y242" s="191" t="n"/>
      <c r="Z242" s="191" t="n"/>
      <c r="AA242" s="191" t="n"/>
      <c r="AB242" s="191" t="n"/>
    </row>
    <row r="243" outlineLevel="1" ht="13.5" customFormat="1" customHeight="1" s="143">
      <c r="A243" s="220">
        <f>IF($H243="UNIDADE CONSTRUTIVA",OFFSET(A243,-1,0)+1,LARGE(A$3:A242,1))</f>
        <v/>
      </c>
      <c r="B243" s="220">
        <f>IF(H243="UNIDADE CONSTRUTIVA",0,IF(H243="CÉLULA CONSTRUTIVA",OFFSET(B243,-1,0)+1,OFFSET(B243,-1,0)))</f>
        <v/>
      </c>
      <c r="C243" s="220">
        <f>IF(H243="CÉLULA CONSTRUTIVA",0,IF(H243="ETAPA",OFFSET(C243,-1,0)+1,OFFSET(C243,-1,0)))</f>
        <v/>
      </c>
      <c r="D243" s="221">
        <f>IF(H243="ETAPA",0,IF(H243="SUBETAPA",OFFSET(D243,-1,0)+1,OFFSET(D243,-1,0)))</f>
        <v/>
      </c>
      <c r="E243" s="221">
        <f>IF(H243="Subetapa",0,IF(H243="serviço",OFFSET(E243,-1,0)+1,OFFSET(E243,-1,0)))</f>
        <v/>
      </c>
      <c r="F243" s="191" t="n"/>
      <c r="G243" s="146" t="n"/>
      <c r="H243" s="136" t="inlineStr">
        <is>
          <t>ETAPA</t>
        </is>
      </c>
      <c r="I243" s="137">
        <f>IF(H243="Unidade Construtiva",TEXT(A243,"00"),IF(H243="Célula Construtiva",TEXT(B243,"00"),IF(H243="Etapa",CONCATENATE(TEXT(B243,"00"),".",TEXT(C243,"000")),IF(H243="Subetapa",CONCATENATE(TEXT(B243,"00"),".",TEXT(C243,"000"),".",TEXT(D243,"000")),IF(H243="Serviço",CONCATENATE(TEXT(B243,"00"),".",TEXT(C243,"000"),".",TEXT(D243,"000"),".",TEXT(E243,"000")),"")))))</f>
        <v/>
      </c>
      <c r="J243" s="138" t="inlineStr">
        <is>
          <t>CLIMATIZAÇÃO, EXAUSTÃO MECÂNICA E PRESSURIZAÇÃO</t>
        </is>
      </c>
      <c r="K243" s="139" t="n"/>
      <c r="L243" s="140" t="n"/>
      <c r="M243" s="140" t="n"/>
      <c r="N243" s="141">
        <f>IF(H243="Serviço",M243*L243,IF(H243="CÉLULA CONSTRUTIVA",SUMIFS($N$8:$N$754,$B$8:$B$754,B243,$H$8:$H$754,"Serviço"),IF(H243="ETAPA",SUMIFS($N$8:$N$754,$B$8:$B$754,B243,$C$8:$C$754,C243,$H$8:$H$754,"Serviço"),IF(H243="SUBETAPA",SUMIFS($N$8:$N$754,$B$8:$B$754,B243,$C$8:$C$754,C243,$D$8:$D$754,D243,$H$8:$H$754,"Serviço"),0))))</f>
        <v/>
      </c>
      <c r="O243" s="139" t="n"/>
      <c r="P243" s="140" t="n"/>
      <c r="Q243" s="140" t="n"/>
      <c r="R243" s="141" t="n"/>
      <c r="S243" s="142" t="n"/>
      <c r="T243" s="142" t="n"/>
      <c r="U243" s="142" t="n"/>
      <c r="V243" s="191" t="n"/>
      <c r="W243" s="191" t="n"/>
      <c r="X243" s="191" t="n"/>
      <c r="Y243" s="191" t="n"/>
      <c r="Z243" s="191" t="n"/>
      <c r="AA243" s="191" t="n"/>
      <c r="AB243" s="191" t="n"/>
    </row>
    <row r="244" outlineLevel="1" ht="13.5" customFormat="1" customHeight="1" s="143">
      <c r="A244" s="220">
        <f>IF($H244="UNIDADE CONSTRUTIVA",OFFSET(A244,-1,0)+1,LARGE(A$3:A243,1))</f>
        <v/>
      </c>
      <c r="B244" s="220">
        <f>IF(H244="UNIDADE CONSTRUTIVA",0,IF(H244="CÉLULA CONSTRUTIVA",OFFSET(B244,-1,0)+1,OFFSET(B244,-1,0)))</f>
        <v/>
      </c>
      <c r="C244" s="220">
        <f>IF(H244="CÉLULA CONSTRUTIVA",0,IF(H244="ETAPA",OFFSET(C244,-1,0)+1,OFFSET(C244,-1,0)))</f>
        <v/>
      </c>
      <c r="D244" s="221">
        <f>IF(H244="ETAPA",0,IF(H244="SUBETAPA",OFFSET(D244,-1,0)+1,OFFSET(D244,-1,0)))</f>
        <v/>
      </c>
      <c r="E244" s="221">
        <f>IF(H244="Subetapa",0,IF(H244="serviço",OFFSET(E244,-1,0)+1,OFFSET(E244,-1,0)))</f>
        <v/>
      </c>
      <c r="F244" s="191" t="n"/>
      <c r="G244" s="146" t="n"/>
      <c r="H244" s="136" t="inlineStr">
        <is>
          <t>SUBETAPA</t>
        </is>
      </c>
      <c r="I244" s="137">
        <f>IF(H244="Unidade Construtiva",TEXT(A244,"00"),IF(H244="Célula Construtiva",TEXT(B244,"00"),IF(H244="Etapa",CONCATENATE(TEXT(B244,"00"),".",TEXT(C244,"000")),IF(H244="Subetapa",CONCATENATE(TEXT(B244,"00"),".",TEXT(C244,"000"),".",TEXT(D244,"000")),IF(H244="Serviço",CONCATENATE(TEXT(B244,"00"),".",TEXT(C244,"000"),".",TEXT(D244,"000"),".",TEXT(E244,"000")),"")))))</f>
        <v/>
      </c>
      <c r="J244" s="138" t="inlineStr">
        <is>
          <t>Climatização</t>
        </is>
      </c>
      <c r="K244" s="139" t="n"/>
      <c r="L244" s="140" t="n"/>
      <c r="M244" s="140" t="n"/>
      <c r="N244" s="141">
        <f>IF(H244="Serviço",M244*L244,IF(H244="CÉLULA CONSTRUTIVA",SUMIFS($N$8:$N$754,$B$8:$B$754,B244,$H$8:$H$754,"Serviço"),IF(H244="ETAPA",SUMIFS($N$8:$N$754,$B$8:$B$754,B244,$C$8:$C$754,C244,$H$8:$H$754,"Serviço"),IF(H244="SUBETAPA",SUMIFS($N$8:$N$754,$B$8:$B$754,B244,$C$8:$C$754,C244,$D$8:$D$754,D244,$H$8:$H$754,"Serviço"),0))))</f>
        <v/>
      </c>
      <c r="O244" s="139" t="n"/>
      <c r="P244" s="140" t="n"/>
      <c r="Q244" s="140" t="n"/>
      <c r="R244" s="222" t="inlineStr">
        <is>
          <t>01.01.001.0002.0013 - Projeto de climatização</t>
        </is>
      </c>
      <c r="S244" s="142" t="n"/>
      <c r="T244" s="142" t="n"/>
      <c r="U244" s="142" t="n"/>
      <c r="V244" s="191" t="n"/>
      <c r="W244" s="191" t="n"/>
      <c r="X244" s="191" t="n"/>
      <c r="Y244" s="191" t="n"/>
      <c r="Z244" s="191" t="n"/>
      <c r="AA244" s="191" t="n"/>
      <c r="AB244" s="191" t="n"/>
    </row>
    <row r="245" outlineLevel="2" ht="13.5" customFormat="1" customHeight="1" s="143">
      <c r="A245" s="220">
        <f>IF($H245="UNIDADE CONSTRUTIVA",OFFSET(A245,-1,0)+1,LARGE(A$3:A244,1))</f>
        <v/>
      </c>
      <c r="B245" s="220">
        <f>IF(H245="UNIDADE CONSTRUTIVA",0,IF(H245="CÉLULA CONSTRUTIVA",OFFSET(B245,-1,0)+1,OFFSET(B245,-1,0)))</f>
        <v/>
      </c>
      <c r="C245" s="220">
        <f>IF(H245="CÉLULA CONSTRUTIVA",0,IF(H245="ETAPA",OFFSET(C245,-1,0)+1,OFFSET(C245,-1,0)))</f>
        <v/>
      </c>
      <c r="D245" s="221">
        <f>IF(H245="ETAPA",0,IF(H245="SUBETAPA",OFFSET(D245,-1,0)+1,OFFSET(D245,-1,0)))</f>
        <v/>
      </c>
      <c r="E245" s="221">
        <f>IF(H245="Subetapa",0,IF(H245="serviço",OFFSET(E245,-1,0)+1,OFFSET(E245,-1,0)))</f>
        <v/>
      </c>
      <c r="F245" s="191" t="n"/>
      <c r="G245" s="146" t="inlineStr">
        <is>
          <t>CLIMATIZAÇÃO, EXAUSTÃO MECÂNICA E PRESSURIZAÇÃO</t>
        </is>
      </c>
      <c r="H245" s="136" t="inlineStr">
        <is>
          <t>SERVIÇO</t>
        </is>
      </c>
      <c r="I245" s="137">
        <f>IF(H245="Unidade Construtiva",TEXT(A245,"00"),IF(H245="Célula Construtiva",TEXT(B245,"00"),IF(H245="Etapa",CONCATENATE(TEXT(B245,"00"),".",TEXT(C245,"000")),IF(H245="Subetapa",CONCATENATE(TEXT(B245,"00"),".",TEXT(C245,"000"),".",TEXT(D245,"000")),IF(H245="Serviço",CONCATENATE(TEXT(B245,"00"),".",TEXT(C245,"000"),".",TEXT(D245,"000"),".",TEXT(E245,"000")),"")))))</f>
        <v/>
      </c>
      <c r="J245" s="138" t="inlineStr">
        <is>
          <t xml:space="preserve">Infraestrutura para Instalação de Ar Condicionado </t>
        </is>
      </c>
      <c r="K245" s="139" t="inlineStr">
        <is>
          <t>un</t>
        </is>
      </c>
      <c r="L245" s="140" t="n">
        <v>128</v>
      </c>
      <c r="M245" s="140" t="n">
        <v>980</v>
      </c>
      <c r="N245" s="141">
        <f>IF(H245="Serviço",M245*L245,IF(H245="CÉLULA CONSTRUTIVA",SUMIFS($N$8:$N$754,$B$8:$B$754,B245,$H$8:$H$754,"Serviço"),IF(H245="ETAPA",SUMIFS($N$8:$N$754,$B$8:$B$754,B245,$C$8:$C$754,C245,$H$8:$H$754,"Serviço"),IF(H245="SUBETAPA",SUMIFS($N$8:$N$754,$B$8:$B$754,B245,$C$8:$C$754,C245,$D$8:$D$754,D245,$H$8:$H$754,"Serviço"),0))))</f>
        <v/>
      </c>
      <c r="O245" s="139" t="n"/>
      <c r="P245" s="140" t="n"/>
      <c r="Q245" s="140" t="n"/>
      <c r="R245" s="141" t="n"/>
      <c r="S245" s="142" t="n"/>
      <c r="T245" s="142" t="n"/>
      <c r="U245" s="142" t="n"/>
      <c r="V245" s="191" t="n"/>
      <c r="W245" s="191" t="n"/>
      <c r="X245" s="191" t="n"/>
      <c r="Y245" s="191" t="n"/>
      <c r="Z245" s="191" t="n"/>
      <c r="AA245" s="191" t="n"/>
      <c r="AB245" s="191" t="n"/>
    </row>
    <row r="246" outlineLevel="2" ht="13.5" customFormat="1" customHeight="1" s="143">
      <c r="A246" s="220">
        <f>IF($H246="UNIDADE CONSTRUTIVA",OFFSET(A246,-1,0)+1,LARGE(A$3:A245,1))</f>
        <v/>
      </c>
      <c r="B246" s="220">
        <f>IF(H246="UNIDADE CONSTRUTIVA",0,IF(H246="CÉLULA CONSTRUTIVA",OFFSET(B246,-1,0)+1,OFFSET(B246,-1,0)))</f>
        <v/>
      </c>
      <c r="C246" s="220">
        <f>IF(H246="CÉLULA CONSTRUTIVA",0,IF(H246="ETAPA",OFFSET(C246,-1,0)+1,OFFSET(C246,-1,0)))</f>
        <v/>
      </c>
      <c r="D246" s="221">
        <f>IF(H246="ETAPA",0,IF(H246="SUBETAPA",OFFSET(D246,-1,0)+1,OFFSET(D246,-1,0)))</f>
        <v/>
      </c>
      <c r="E246" s="221">
        <f>IF(H246="Subetapa",0,IF(H246="serviço",OFFSET(E246,-1,0)+1,OFFSET(E246,-1,0)))</f>
        <v/>
      </c>
      <c r="F246" s="191" t="n"/>
      <c r="G246" s="146" t="inlineStr">
        <is>
          <t>CLIMATIZAÇÃO, EXAUSTÃO MECÂNICA E PRESSURIZAÇÃO</t>
        </is>
      </c>
      <c r="H246" s="136" t="inlineStr">
        <is>
          <t>SERVIÇO</t>
        </is>
      </c>
      <c r="I246" s="137">
        <f>IF(H246="Unidade Construtiva",TEXT(A246,"00"),IF(H246="Célula Construtiva",TEXT(B246,"00"),IF(H246="Etapa",CONCATENATE(TEXT(B246,"00"),".",TEXT(C246,"000")),IF(H246="Subetapa",CONCATENATE(TEXT(B246,"00"),".",TEXT(C246,"000"),".",TEXT(D246,"000")),IF(H246="Serviço",CONCATENATE(TEXT(B246,"00"),".",TEXT(C246,"000"),".",TEXT(D246,"000"),".",TEXT(E246,"000")),"")))))</f>
        <v/>
      </c>
      <c r="J246" s="138" t="inlineStr">
        <is>
          <t>Instalação de equipamentos de Ar Condicionado</t>
        </is>
      </c>
      <c r="K246" s="139" t="inlineStr">
        <is>
          <t>un</t>
        </is>
      </c>
      <c r="L246" s="140" t="n">
        <v>8</v>
      </c>
      <c r="M246" s="140" t="n">
        <v>5045.9</v>
      </c>
      <c r="N246" s="141">
        <f>IF(H246="Serviço",M246*L246,IF(H246="CÉLULA CONSTRUTIVA",SUMIFS($N$8:$N$754,$B$8:$B$754,B246,$H$8:$H$754,"Serviço"),IF(H246="ETAPA",SUMIFS($N$8:$N$754,$B$8:$B$754,B246,$C$8:$C$754,C246,$H$8:$H$754,"Serviço"),IF(H246="SUBETAPA",SUMIFS($N$8:$N$754,$B$8:$B$754,B246,$C$8:$C$754,C246,$D$8:$D$754,D246,$H$8:$H$754,"Serviço"),0))))</f>
        <v/>
      </c>
      <c r="O246" s="139" t="n"/>
      <c r="P246" s="140" t="n"/>
      <c r="Q246" s="140" t="n"/>
      <c r="R246" s="141" t="n"/>
      <c r="S246" s="142" t="n"/>
      <c r="T246" s="142" t="n"/>
      <c r="U246" s="142" t="n"/>
      <c r="V246" s="191" t="n"/>
      <c r="W246" s="191" t="n"/>
      <c r="X246" s="191" t="n"/>
      <c r="Y246" s="191" t="n"/>
      <c r="Z246" s="191" t="n"/>
      <c r="AA246" s="191" t="n"/>
      <c r="AB246" s="191" t="n"/>
    </row>
    <row r="247" outlineLevel="2" ht="13.5" customFormat="1" customHeight="1" s="143">
      <c r="A247" s="220">
        <f>IF($H247="UNIDADE CONSTRUTIVA",OFFSET(A247,-1,0)+1,LARGE(A$3:A246,1))</f>
        <v/>
      </c>
      <c r="B247" s="220">
        <f>IF(H247="UNIDADE CONSTRUTIVA",0,IF(H247="CÉLULA CONSTRUTIVA",OFFSET(B247,-1,0)+1,OFFSET(B247,-1,0)))</f>
        <v/>
      </c>
      <c r="C247" s="220">
        <f>IF(H247="CÉLULA CONSTRUTIVA",0,IF(H247="ETAPA",OFFSET(C247,-1,0)+1,OFFSET(C247,-1,0)))</f>
        <v/>
      </c>
      <c r="D247" s="221">
        <f>IF(H247="ETAPA",0,IF(H247="SUBETAPA",OFFSET(D247,-1,0)+1,OFFSET(D247,-1,0)))</f>
        <v/>
      </c>
      <c r="E247" s="221">
        <f>IF(H247="Subetapa",0,IF(H247="serviço",OFFSET(E247,-1,0)+1,OFFSET(E247,-1,0)))</f>
        <v/>
      </c>
      <c r="F247" s="191" t="n"/>
      <c r="G247" s="146" t="inlineStr">
        <is>
          <t>CLIMATIZAÇÃO, EXAUSTÃO MECÂNICA E PRESSURIZAÇÃO</t>
        </is>
      </c>
      <c r="H247" s="136" t="inlineStr">
        <is>
          <t>SERVIÇO</t>
        </is>
      </c>
      <c r="I247" s="137">
        <f>IF(H247="Unidade Construtiva",TEXT(A247,"00"),IF(H247="Célula Construtiva",TEXT(B247,"00"),IF(H247="Etapa",CONCATENATE(TEXT(B247,"00"),".",TEXT(C247,"000")),IF(H247="Subetapa",CONCATENATE(TEXT(B247,"00"),".",TEXT(C247,"000"),".",TEXT(D247,"000")),IF(H247="Serviço",CONCATENATE(TEXT(B247,"00"),".",TEXT(C247,"000"),".",TEXT(D247,"000"),".",TEXT(E247,"000")),"")))))</f>
        <v/>
      </c>
      <c r="J247" s="138" t="inlineStr">
        <is>
          <t>Mão de obra para infraestrutra e instalação de equipamentos de climatização</t>
        </is>
      </c>
      <c r="K247" s="139" t="inlineStr">
        <is>
          <t>vb</t>
        </is>
      </c>
      <c r="L247" s="140" t="n">
        <v>1</v>
      </c>
      <c r="M247" s="140" t="n">
        <v>68800</v>
      </c>
      <c r="N247" s="141">
        <f>IF(H247="Serviço",M247*L247,IF(H247="CÉLULA CONSTRUTIVA",SUMIFS($N$8:$N$754,$B$8:$B$754,B247,$H$8:$H$754,"Serviço"),IF(H247="ETAPA",SUMIFS($N$8:$N$754,$B$8:$B$754,B247,$C$8:$C$754,C247,$H$8:$H$754,"Serviço"),IF(H247="SUBETAPA",SUMIFS($N$8:$N$754,$B$8:$B$754,B247,$C$8:$C$754,C247,$D$8:$D$754,D247,$H$8:$H$754,"Serviço"),0))))</f>
        <v/>
      </c>
      <c r="O247" s="139" t="n"/>
      <c r="P247" s="140" t="n"/>
      <c r="Q247" s="140" t="n"/>
      <c r="R247" s="141" t="n"/>
      <c r="S247" s="142" t="n"/>
      <c r="T247" s="142" t="n"/>
      <c r="U247" s="142" t="n"/>
      <c r="V247" s="191" t="n"/>
      <c r="W247" s="191" t="n"/>
      <c r="X247" s="191" t="n"/>
      <c r="Y247" s="191" t="n"/>
      <c r="Z247" s="191" t="n"/>
      <c r="AA247" s="191" t="n"/>
      <c r="AB247" s="191" t="n"/>
    </row>
    <row r="248" outlineLevel="1" ht="13.5" customFormat="1" customHeight="1" s="143">
      <c r="A248" s="220">
        <f>IF($H248="UNIDADE CONSTRUTIVA",OFFSET(A248,-1,0)+1,LARGE(A$3:A245,1))</f>
        <v/>
      </c>
      <c r="B248" s="220">
        <f>IF(H248="UNIDADE CONSTRUTIVA",0,IF(H248="CÉLULA CONSTRUTIVA",OFFSET(B248,-1,0)+1,OFFSET(B248,-1,0)))</f>
        <v/>
      </c>
      <c r="C248" s="220">
        <f>IF(H248="CÉLULA CONSTRUTIVA",0,IF(H248="ETAPA",OFFSET(C248,-1,0)+1,OFFSET(C248,-1,0)))</f>
        <v/>
      </c>
      <c r="D248" s="221">
        <f>IF(H248="ETAPA",0,IF(H248="SUBETAPA",OFFSET(D248,-1,0)+1,OFFSET(D248,-1,0)))</f>
        <v/>
      </c>
      <c r="E248" s="221">
        <f>IF(H248="Subetapa",0,IF(H248="serviço",OFFSET(E248,-1,0)+1,OFFSET(E248,-1,0)))</f>
        <v/>
      </c>
      <c r="F248" s="191" t="n"/>
      <c r="G248" s="146" t="n"/>
      <c r="H248" s="136" t="inlineStr">
        <is>
          <t>SUBETAPA</t>
        </is>
      </c>
      <c r="I248" s="137">
        <f>IF(H248="Unidade Construtiva",TEXT(A248,"00"),IF(H248="Célula Construtiva",TEXT(B248,"00"),IF(H248="Etapa",CONCATENATE(TEXT(B248,"00"),".",TEXT(C248,"000")),IF(H248="Subetapa",CONCATENATE(TEXT(B248,"00"),".",TEXT(C248,"000"),".",TEXT(D248,"000")),IF(H248="Serviço",CONCATENATE(TEXT(B248,"00"),".",TEXT(C248,"000"),".",TEXT(D248,"000"),".",TEXT(E248,"000")),"")))))</f>
        <v/>
      </c>
      <c r="J248" s="138" t="inlineStr">
        <is>
          <t>Exaustão mecânica</t>
        </is>
      </c>
      <c r="K248" s="139" t="n"/>
      <c r="L248" s="140" t="n"/>
      <c r="M248" s="140" t="n"/>
      <c r="N248" s="141">
        <f>IF(H248="Serviço",M248*L248,IF(H248="CÉLULA CONSTRUTIVA",SUMIFS($N$8:$N$754,$B$8:$B$754,B248,$H$8:$H$754,"Serviço"),IF(H248="ETAPA",SUMIFS($N$8:$N$754,$B$8:$B$754,B248,$C$8:$C$754,C248,$H$8:$H$754,"Serviço"),IF(H248="SUBETAPA",SUMIFS($N$8:$N$754,$B$8:$B$754,B248,$C$8:$C$754,C248,$D$8:$D$754,D248,$H$8:$H$754,"Serviço"),0))))</f>
        <v/>
      </c>
      <c r="O248" s="139" t="n"/>
      <c r="P248" s="140" t="n"/>
      <c r="Q248" s="140" t="n"/>
      <c r="R248" s="222" t="inlineStr">
        <is>
          <t>12.001.002.001 - Exaustão de churrasqueiras</t>
        </is>
      </c>
      <c r="S248" s="142" t="n"/>
      <c r="T248" s="142" t="n"/>
      <c r="U248" s="142" t="n"/>
      <c r="V248" s="191" t="n"/>
      <c r="W248" s="191" t="n"/>
      <c r="X248" s="191" t="n"/>
      <c r="Y248" s="191" t="n"/>
      <c r="Z248" s="191" t="n"/>
      <c r="AA248" s="191" t="n"/>
      <c r="AB248" s="191" t="n"/>
    </row>
    <row r="249" outlineLevel="2" ht="13.5" customFormat="1" customHeight="1" s="143">
      <c r="A249" s="220">
        <f>IF($H249="UNIDADE CONSTRUTIVA",OFFSET(A249,-1,0)+1,LARGE(A$3:A248,1))</f>
        <v/>
      </c>
      <c r="B249" s="220">
        <f>IF(H249="UNIDADE CONSTRUTIVA",0,IF(H249="CÉLULA CONSTRUTIVA",OFFSET(B249,-1,0)+1,OFFSET(B249,-1,0)))</f>
        <v/>
      </c>
      <c r="C249" s="220">
        <f>IF(H249="CÉLULA CONSTRUTIVA",0,IF(H249="ETAPA",OFFSET(C249,-1,0)+1,OFFSET(C249,-1,0)))</f>
        <v/>
      </c>
      <c r="D249" s="221">
        <f>IF(H249="ETAPA",0,IF(H249="SUBETAPA",OFFSET(D249,-1,0)+1,OFFSET(D249,-1,0)))</f>
        <v/>
      </c>
      <c r="E249" s="221">
        <f>IF(H249="Subetapa",0,IF(H249="serviço",OFFSET(E249,-1,0)+1,OFFSET(E249,-1,0)))</f>
        <v/>
      </c>
      <c r="F249" s="191" t="n"/>
      <c r="G249" s="146" t="inlineStr">
        <is>
          <t>CLIMATIZAÇÃO, EXAUSTÃO MECÂNICA E PRESSURIZAÇÃO</t>
        </is>
      </c>
      <c r="H249" s="136" t="inlineStr">
        <is>
          <t>SERVIÇO</t>
        </is>
      </c>
      <c r="I249" s="137">
        <f>IF(H249="Unidade Construtiva",TEXT(A249,"00"),IF(H249="Célula Construtiva",TEXT(B249,"00"),IF(H249="Etapa",CONCATENATE(TEXT(B249,"00"),".",TEXT(C249,"000")),IF(H249="Subetapa",CONCATENATE(TEXT(B249,"00"),".",TEXT(C249,"000"),".",TEXT(D249,"000")),IF(H249="Serviço",CONCATENATE(TEXT(B249,"00"),".",TEXT(C249,"000"),".",TEXT(D249,"000"),".",TEXT(E249,"000")),"")))))</f>
        <v/>
      </c>
      <c r="J249" s="138" t="inlineStr">
        <is>
          <t>Exaustão mecânica</t>
        </is>
      </c>
      <c r="K249" s="139" t="inlineStr">
        <is>
          <t>un</t>
        </is>
      </c>
      <c r="L249" s="140" t="n">
        <v>34</v>
      </c>
      <c r="M249" s="140" t="n">
        <v>990</v>
      </c>
      <c r="N249" s="141">
        <f>IF(H249="Serviço",M249*L249,IF(H249="CÉLULA CONSTRUTIVA",SUMIFS($N$8:$N$754,$B$8:$B$754,B249,$H$8:$H$754,"Serviço"),IF(H249="ETAPA",SUMIFS($N$8:$N$754,$B$8:$B$754,B249,$C$8:$C$754,C249,$H$8:$H$754,"Serviço"),IF(H249="SUBETAPA",SUMIFS($N$8:$N$754,$B$8:$B$754,B249,$C$8:$C$754,C249,$D$8:$D$754,D249,$H$8:$H$754,"Serviço"),0))))</f>
        <v/>
      </c>
      <c r="O249" s="139" t="n"/>
      <c r="P249" s="140" t="n"/>
      <c r="Q249" s="140" t="n"/>
      <c r="R249" s="141" t="n"/>
      <c r="S249" s="142" t="n"/>
      <c r="T249" s="142" t="n"/>
      <c r="U249" s="142" t="n"/>
      <c r="V249" s="191" t="n"/>
      <c r="W249" s="191" t="n"/>
      <c r="X249" s="191" t="n"/>
      <c r="Y249" s="191" t="n"/>
      <c r="Z249" s="191" t="n"/>
      <c r="AA249" s="191" t="n"/>
      <c r="AB249" s="191" t="n"/>
    </row>
    <row r="250" outlineLevel="1" ht="13.5" customFormat="1" customHeight="1" s="143">
      <c r="A250" s="220">
        <f>IF($H250="UNIDADE CONSTRUTIVA",OFFSET(A250,-1,0)+1,LARGE(A$3:A247,1))</f>
        <v/>
      </c>
      <c r="B250" s="220">
        <f>IF(H250="UNIDADE CONSTRUTIVA",0,IF(H250="CÉLULA CONSTRUTIVA",OFFSET(B250,-1,0)+1,OFFSET(B250,-1,0)))</f>
        <v/>
      </c>
      <c r="C250" s="220">
        <f>IF(H250="CÉLULA CONSTRUTIVA",0,IF(H250="ETAPA",OFFSET(C250,-1,0)+1,OFFSET(C250,-1,0)))</f>
        <v/>
      </c>
      <c r="D250" s="221">
        <f>IF(H250="ETAPA",0,IF(H250="SUBETAPA",OFFSET(D250,-1,0)+1,OFFSET(D250,-1,0)))</f>
        <v/>
      </c>
      <c r="E250" s="221">
        <f>IF(H250="Subetapa",0,IF(H250="serviço",OFFSET(E250,-1,0)+1,OFFSET(E250,-1,0)))</f>
        <v/>
      </c>
      <c r="F250" s="191" t="n"/>
      <c r="G250" s="146" t="n"/>
      <c r="H250" s="136" t="inlineStr">
        <is>
          <t>SUBETAPA</t>
        </is>
      </c>
      <c r="I250" s="137">
        <f>IF(H250="Unidade Construtiva",TEXT(A250,"00"),IF(H250="Célula Construtiva",TEXT(B250,"00"),IF(H250="Etapa",CONCATENATE(TEXT(B250,"00"),".",TEXT(C250,"000")),IF(H250="Subetapa",CONCATENATE(TEXT(B250,"00"),".",TEXT(C250,"000"),".",TEXT(D250,"000")),IF(H250="Serviço",CONCATENATE(TEXT(B250,"00"),".",TEXT(C250,"000"),".",TEXT(D250,"000"),".",TEXT(E250,"000")),"")))))</f>
        <v/>
      </c>
      <c r="J250" s="138" t="inlineStr">
        <is>
          <t>Exaustão de churrasqueiras</t>
        </is>
      </c>
      <c r="K250" s="139" t="n"/>
      <c r="L250" s="140" t="n"/>
      <c r="M250" s="140" t="n"/>
      <c r="N250" s="141">
        <f>IF(H250="Serviço",M250*L250,IF(H250="CÉLULA CONSTRUTIVA",SUMIFS($N$8:$N$754,$B$8:$B$754,B250,$H$8:$H$754,"Serviço"),IF(H250="ETAPA",SUMIFS($N$8:$N$754,$B$8:$B$754,B250,$C$8:$C$754,C250,$H$8:$H$754,"Serviço"),IF(H250="SUBETAPA",SUMIFS($N$8:$N$754,$B$8:$B$754,B250,$C$8:$C$754,C250,$D$8:$D$754,D250,$H$8:$H$754,"Serviço"),0))))</f>
        <v/>
      </c>
      <c r="O250" s="139" t="n"/>
      <c r="P250" s="140" t="n"/>
      <c r="Q250" s="140" t="n"/>
      <c r="R250" s="222" t="inlineStr">
        <is>
          <t>12.001.002.001 - Exaustão de churrasqueiras</t>
        </is>
      </c>
      <c r="S250" s="142" t="n"/>
      <c r="T250" s="142" t="n"/>
      <c r="U250" s="142" t="n"/>
      <c r="V250" s="191" t="n"/>
      <c r="W250" s="191" t="n"/>
      <c r="X250" s="191" t="n"/>
      <c r="Y250" s="191" t="n"/>
      <c r="Z250" s="191" t="n"/>
      <c r="AA250" s="191" t="n"/>
      <c r="AB250" s="191" t="n"/>
    </row>
    <row r="251" outlineLevel="2" ht="13.2" customFormat="1" customHeight="1" s="143">
      <c r="A251" s="220">
        <f>IF($H251="UNIDADE CONSTRUTIVA",OFFSET(A251,-1,0)+1,LARGE(A$3:A249,1))</f>
        <v/>
      </c>
      <c r="B251" s="220">
        <f>IF(H251="UNIDADE CONSTRUTIVA",0,IF(H251="CÉLULA CONSTRUTIVA",OFFSET(B251,-1,0)+1,OFFSET(B251,-1,0)))</f>
        <v/>
      </c>
      <c r="C251" s="220">
        <f>IF(H251="CÉLULA CONSTRUTIVA",0,IF(H251="ETAPA",OFFSET(C251,-1,0)+1,OFFSET(C251,-1,0)))</f>
        <v/>
      </c>
      <c r="D251" s="221">
        <f>IF(H251="ETAPA",0,IF(H251="SUBETAPA",OFFSET(D251,-1,0)+1,OFFSET(D251,-1,0)))</f>
        <v/>
      </c>
      <c r="E251" s="221">
        <f>IF(H251="Subetapa",0,IF(H251="serviço",OFFSET(E251,-1,0)+1,OFFSET(E251,-1,0)))</f>
        <v/>
      </c>
      <c r="F251" s="191" t="n"/>
      <c r="G251" s="146" t="inlineStr">
        <is>
          <t>CLIMATIZAÇÃO, EXAUSTÃO MECÂNICA E PRESSURIZAÇÃO</t>
        </is>
      </c>
      <c r="H251" s="136" t="inlineStr">
        <is>
          <t>SERVIÇO</t>
        </is>
      </c>
      <c r="I251" s="137">
        <f>IF(H251="Unidade Construtiva",TEXT(A251,"00"),IF(H251="Célula Construtiva",TEXT(B251,"00"),IF(H251="Etapa",CONCATENATE(TEXT(B251,"00"),".",TEXT(C251,"000")),IF(H251="Subetapa",CONCATENATE(TEXT(B251,"00"),".",TEXT(C251,"000"),".",TEXT(D251,"000")),IF(H251="Serviço",CONCATENATE(TEXT(B251,"00"),".",TEXT(C251,"000"),".",TEXT(D251,"000"),".",TEXT(E251,"000")),"")))))</f>
        <v/>
      </c>
      <c r="J251" s="138" t="inlineStr">
        <is>
          <t>Exaustão de churrasqueiras</t>
        </is>
      </c>
      <c r="K251" s="139" t="inlineStr">
        <is>
          <t>un</t>
        </is>
      </c>
      <c r="L251" s="140" t="n">
        <v>32</v>
      </c>
      <c r="M251" s="140" t="n">
        <v>2860</v>
      </c>
      <c r="N251" s="141">
        <f>IF(H251="Serviço",M251*L251,IF(H251="CÉLULA CONSTRUTIVA",SUMIFS($N$8:$N$754,$B$8:$B$754,B251,$H$8:$H$754,"Serviço"),IF(H251="ETAPA",SUMIFS($N$8:$N$754,$B$8:$B$754,B251,$C$8:$C$754,C251,$H$8:$H$754,"Serviço"),IF(H251="SUBETAPA",SUMIFS($N$8:$N$754,$B$8:$B$754,B251,$C$8:$C$754,C251,$D$8:$D$754,D251,$H$8:$H$754,"Serviço"),0))))</f>
        <v/>
      </c>
      <c r="O251" s="139" t="n"/>
      <c r="P251" s="140" t="n"/>
      <c r="Q251" s="140" t="n"/>
      <c r="R251" s="141" t="n"/>
      <c r="S251" s="142" t="n"/>
      <c r="T251" s="142" t="n"/>
      <c r="U251" s="142" t="n"/>
      <c r="V251" s="191" t="n"/>
      <c r="W251" s="191" t="n"/>
      <c r="X251" s="191" t="n"/>
      <c r="Y251" s="191" t="n"/>
      <c r="Z251" s="191" t="n"/>
      <c r="AA251" s="191" t="n"/>
      <c r="AB251" s="191" t="n"/>
    </row>
    <row r="252" ht="13.8" customFormat="1" customHeight="1" s="31">
      <c r="A252" s="217">
        <f>IF($H252="UNIDADE CONSTRUTIVA",OFFSET(A252,-1,0)+1,LARGE(A$3:A162,1))</f>
        <v/>
      </c>
      <c r="B252" s="217">
        <f>IF(H252="UNIDADE CONSTRUTIVA",0,IF(H252="CÉLULA CONSTRUTIVA",OFFSET(B252,-1,0)+1,OFFSET(B252,-1,0)))</f>
        <v/>
      </c>
      <c r="C252" s="217">
        <f>IF(H252="CÉLULA CONSTRUTIVA",0,IF(H252="ETAPA",OFFSET(C252,-1,0)+1,OFFSET(C252,-1,0)))</f>
        <v/>
      </c>
      <c r="D252" s="218">
        <f>IF(H252="ETAPA",0,IF(H252="SUBETAPA",OFFSET(D252,-1,0)+1,OFFSET(D252,-1,0)))</f>
        <v/>
      </c>
      <c r="E252" s="218">
        <f>IF(H252="Subetapa",0,IF(H252="serviço",OFFSET(E252,-1,0)+1,OFFSET(E252,-1,0)))</f>
        <v/>
      </c>
      <c r="G252" s="124" t="n"/>
      <c r="H252" s="42" t="inlineStr">
        <is>
          <t>CÉLULA CONSTRUTIVA</t>
        </is>
      </c>
      <c r="I252" s="43">
        <f>IF(H252="Unidade Construtiva",TEXT(A252,"00"),IF(H252="Célula Construtiva",TEXT(B252,"00"),IF(H252="Etapa",CONCATENATE(TEXT(B252,"00"),".",TEXT(C252,"000")),IF(H252="Subetapa",CONCATENATE(TEXT(B252,"00"),".",TEXT(C252,"000"),".",TEXT(D252,"000")),IF(H252="Serviço",CONCATENATE(TEXT(B252,"00"),".",TEXT(C252,"000"),".",TEXT(D252,"000"),".",TEXT(E252,"000")),"")))))</f>
        <v/>
      </c>
      <c r="J252" s="48" t="inlineStr">
        <is>
          <t>REVESTIMENTOS INTERNOS DE PAREDE</t>
        </is>
      </c>
      <c r="K252" s="45" t="n"/>
      <c r="L252" s="46" t="n"/>
      <c r="M252" s="46" t="n"/>
      <c r="N252" s="47">
        <f>IF(H252="Serviço",M252*L252,IF(H252="CÉLULA CONSTRUTIVA",SUMIFS($N$8:$N$754,$B$8:$B$754,B252,$H$8:$H$754,"Serviço"),IF(H252="ETAPA",SUMIFS($N$8:$N$754,$B$8:$B$754,B252,$C$8:$C$754,C252,$H$8:$H$754,"Serviço"),IF(H252="SUBETAPA",SUMIFS($N$8:$N$754,$B$8:$B$754,B252,$C$8:$C$754,C252,$D$8:$D$754,D252,$H$8:$H$754,"Serviço"),0))))</f>
        <v/>
      </c>
      <c r="O252" s="45" t="n"/>
      <c r="P252" s="46" t="n"/>
      <c r="Q252" s="46" t="n"/>
      <c r="R252" s="47" t="n"/>
      <c r="S252" s="123" t="n"/>
      <c r="T252" s="215" t="n"/>
      <c r="U252" s="49" t="n"/>
    </row>
    <row r="253" outlineLevel="1" ht="13.8" customFormat="1" customHeight="1" s="31">
      <c r="A253" s="217">
        <f>IF($H253="UNIDADE CONSTRUTIVA",OFFSET(A253,-1,0)+1,LARGE(A$3:A252,1))</f>
        <v/>
      </c>
      <c r="B253" s="217">
        <f>IF(H253="UNIDADE CONSTRUTIVA",0,IF(H253="CÉLULA CONSTRUTIVA",OFFSET(B253,-1,0)+1,OFFSET(B253,-1,0)))</f>
        <v/>
      </c>
      <c r="C253" s="217">
        <f>IF(H253="CÉLULA CONSTRUTIVA",0,IF(H253="ETAPA",OFFSET(C253,-1,0)+1,OFFSET(C253,-1,0)))</f>
        <v/>
      </c>
      <c r="D253" s="218">
        <f>IF(H253="ETAPA",0,IF(H253="SUBETAPA",OFFSET(D253,-1,0)+1,OFFSET(D253,-1,0)))</f>
        <v/>
      </c>
      <c r="E253" s="218">
        <f>IF(H253="Subetapa",0,IF(H253="serviço",OFFSET(E253,-1,0)+1,OFFSET(E253,-1,0)))</f>
        <v/>
      </c>
      <c r="G253" s="124" t="n"/>
      <c r="H253" s="42" t="inlineStr">
        <is>
          <t>ETAPA</t>
        </is>
      </c>
      <c r="I253" s="43">
        <f>IF(H253="Unidade Construtiva",TEXT(A253,"00"),IF(H253="Célula Construtiva",TEXT(B253,"00"),IF(H253="Etapa",CONCATENATE(TEXT(B253,"00"),".",TEXT(C253,"000")),IF(H253="Subetapa",CONCATENATE(TEXT(B253,"00"),".",TEXT(C253,"000"),".",TEXT(D253,"000")),IF(H253="Serviço",CONCATENATE(TEXT(B253,"00"),".",TEXT(C253,"000"),".",TEXT(D253,"000"),".",TEXT(E253,"000")),"")))))</f>
        <v/>
      </c>
      <c r="J253" s="48" t="inlineStr">
        <is>
          <t>REVESTIMENTOS INTERNOS DE PAREDE</t>
        </is>
      </c>
      <c r="K253" s="45" t="n"/>
      <c r="L253" s="46" t="n"/>
      <c r="M253" s="46" t="n"/>
      <c r="N253" s="47">
        <f>IF(H253="Serviço",M253*L253,IF(H253="CÉLULA CONSTRUTIVA",SUMIFS($N$8:$N$754,$B$8:$B$754,B253,$H$8:$H$754,"Serviço"),IF(H253="ETAPA",SUMIFS($N$8:$N$754,$B$8:$B$754,B253,$C$8:$C$754,C253,$H$8:$H$754,"Serviço"),IF(H253="SUBETAPA",SUMIFS($N$8:$N$754,$B$8:$B$754,B253,$C$8:$C$754,C253,$D$8:$D$754,D253,$H$8:$H$754,"Serviço"),0))))</f>
        <v/>
      </c>
      <c r="O253" s="45" t="n"/>
      <c r="P253" s="46" t="n"/>
      <c r="Q253" s="46" t="n"/>
      <c r="R253" s="47" t="n"/>
      <c r="S253" s="123" t="n"/>
      <c r="T253" s="49" t="n"/>
      <c r="U253" s="49" t="n"/>
    </row>
    <row r="254" outlineLevel="1" ht="13.8" customFormat="1" customHeight="1" s="31">
      <c r="A254" s="217">
        <f>IF($H254="UNIDADE CONSTRUTIVA",OFFSET(A254,-1,0)+1,LARGE(A$3:A253,1))</f>
        <v/>
      </c>
      <c r="B254" s="217">
        <f>IF(H254="UNIDADE CONSTRUTIVA",0,IF(H254="CÉLULA CONSTRUTIVA",OFFSET(B254,-1,0)+1,OFFSET(B254,-1,0)))</f>
        <v/>
      </c>
      <c r="C254" s="217">
        <f>IF(H254="CÉLULA CONSTRUTIVA",0,IF(H254="ETAPA",OFFSET(C254,-1,0)+1,OFFSET(C254,-1,0)))</f>
        <v/>
      </c>
      <c r="D254" s="218">
        <f>IF(H254="ETAPA",0,IF(H254="SUBETAPA",OFFSET(D254,-1,0)+1,OFFSET(D254,-1,0)))</f>
        <v/>
      </c>
      <c r="E254" s="218">
        <f>IF(H254="Subetapa",0,IF(H254="serviço",OFFSET(E254,-1,0)+1,OFFSET(E254,-1,0)))</f>
        <v/>
      </c>
      <c r="G254" s="124" t="n"/>
      <c r="H254" s="42" t="inlineStr">
        <is>
          <t>SUBETAPA</t>
        </is>
      </c>
      <c r="I254" s="43">
        <f>IF(H254="Unidade Construtiva",TEXT(A254,"00"),IF(H254="Célula Construtiva",TEXT(B254,"00"),IF(H254="Etapa",CONCATENATE(TEXT(B254,"00"),".",TEXT(C254,"000")),IF(H254="Subetapa",CONCATENATE(TEXT(B254,"00"),".",TEXT(C254,"000"),".",TEXT(D254,"000")),IF(H254="Serviço",CONCATENATE(TEXT(B254,"00"),".",TEXT(C254,"000"),".",TEXT(D254,"000"),".",TEXT(E254,"000")),"")))))</f>
        <v/>
      </c>
      <c r="J254" s="48" t="inlineStr">
        <is>
          <t>Reboco interno</t>
        </is>
      </c>
      <c r="K254" s="45" t="n"/>
      <c r="L254" s="46" t="n"/>
      <c r="M254" s="46" t="n"/>
      <c r="N254" s="47">
        <f>IF(H254="Serviço",M254*L254,IF(H254="CÉLULA CONSTRUTIVA",SUMIFS($N$8:$N$754,$B$8:$B$754,B254,$H$8:$H$754,"Serviço"),IF(H254="ETAPA",SUMIFS($N$8:$N$754,$B$8:$B$754,B254,$C$8:$C$754,C254,$H$8:$H$754,"Serviço"),IF(H254="SUBETAPA",SUMIFS($N$8:$N$754,$B$8:$B$754,B254,$C$8:$C$754,C254,$D$8:$D$754,D254,$H$8:$H$754,"Serviço"),0))))</f>
        <v/>
      </c>
      <c r="O254" s="45" t="n"/>
      <c r="P254" s="46" t="n"/>
      <c r="Q254" s="46" t="n"/>
      <c r="R254" s="216" t="inlineStr">
        <is>
          <t>01.001.001.006 - Projeto de canteiro</t>
        </is>
      </c>
      <c r="S254" s="123" t="n"/>
      <c r="T254" s="49" t="n"/>
      <c r="U254" s="49" t="n"/>
    </row>
    <row r="255" outlineLevel="2" ht="13.8" customFormat="1" customHeight="1" s="31">
      <c r="A255" s="217">
        <f>IF($H255="UNIDADE CONSTRUTIVA",OFFSET(A255,-1,0)+1,LARGE(A$3:A254,1))</f>
        <v/>
      </c>
      <c r="B255" s="217">
        <f>IF(H255="UNIDADE CONSTRUTIVA",0,IF(H255="CÉLULA CONSTRUTIVA",OFFSET(B255,-1,0)+1,OFFSET(B255,-1,0)))</f>
        <v/>
      </c>
      <c r="C255" s="217">
        <f>IF(H255="CÉLULA CONSTRUTIVA",0,IF(H255="ETAPA",OFFSET(C255,-1,0)+1,OFFSET(C255,-1,0)))</f>
        <v/>
      </c>
      <c r="D255" s="218">
        <f>IF(H255="ETAPA",0,IF(H255="SUBETAPA",OFFSET(D255,-1,0)+1,OFFSET(D255,-1,0)))</f>
        <v/>
      </c>
      <c r="E255" s="218">
        <f>IF(H255="Subetapa",0,IF(H255="serviço",OFFSET(E255,-1,0)+1,OFFSET(E255,-1,0)))</f>
        <v/>
      </c>
      <c r="G255" s="124" t="inlineStr">
        <is>
          <t>REVESTIMENTOS INTERNOS DE PAREDE</t>
        </is>
      </c>
      <c r="H255" s="42" t="inlineStr">
        <is>
          <t>SERVIÇO</t>
        </is>
      </c>
      <c r="I255" s="43">
        <f>IF(H255="Unidade Construtiva",TEXT(A255,"00"),IF(H255="Célula Construtiva",TEXT(B255,"00"),IF(H255="Etapa",CONCATENATE(TEXT(B255,"00"),".",TEXT(C255,"000")),IF(H255="Subetapa",CONCATENATE(TEXT(B255,"00"),".",TEXT(C255,"000"),".",TEXT(D255,"000")),IF(H255="Serviço",CONCATENATE(TEXT(B255,"00"),".",TEXT(C255,"000"),".",TEXT(D255,"000"),".",TEXT(E255,"000")),"")))))</f>
        <v/>
      </c>
      <c r="J255" s="156" t="inlineStr">
        <is>
          <t>Chapisco aplicados em alvenaria, com argamassa estabilizada, aplicação convencional</t>
        </is>
      </c>
      <c r="K255" s="45" t="inlineStr">
        <is>
          <t>m2</t>
        </is>
      </c>
      <c r="L255" s="46" t="n">
        <v>6193.139999999999</v>
      </c>
      <c r="M255" s="46" t="n">
        <v>6.691734</v>
      </c>
      <c r="N255" s="47">
        <f>IF(H255="Serviço",M255*L255,IF(H255="CÉLULA CONSTRUTIVA",SUMIFS($N$8:$N$754,$B$8:$B$754,B255,$H$8:$H$754,"Serviço"),IF(H255="ETAPA",SUMIFS($N$8:$N$754,$B$8:$B$754,B255,$C$8:$C$754,C255,$H$8:$H$754,"Serviço"),IF(H255="SUBETAPA",SUMIFS($N$8:$N$754,$B$8:$B$754,B255,$C$8:$C$754,C255,$D$8:$D$754,D255,$H$8:$H$754,"Serviço"),0))))</f>
        <v/>
      </c>
      <c r="O255" s="45" t="n"/>
      <c r="P255" s="46" t="n"/>
      <c r="Q255" s="46" t="n"/>
      <c r="R255" s="47" t="n"/>
      <c r="S255" s="123" t="n"/>
      <c r="T255" s="49" t="n"/>
      <c r="U255" s="49" t="n"/>
    </row>
    <row r="256" outlineLevel="2" ht="13.8" customFormat="1" customHeight="1" s="31">
      <c r="A256" s="217">
        <f>IF($H256="UNIDADE CONSTRUTIVA",OFFSET(A256,-1,0)+1,LARGE(A$3:A255,1))</f>
        <v/>
      </c>
      <c r="B256" s="217">
        <f>IF(H256="UNIDADE CONSTRUTIVA",0,IF(H256="CÉLULA CONSTRUTIVA",OFFSET(B256,-1,0)+1,OFFSET(B256,-1,0)))</f>
        <v/>
      </c>
      <c r="C256" s="217">
        <f>IF(H256="CÉLULA CONSTRUTIVA",0,IF(H256="ETAPA",OFFSET(C256,-1,0)+1,OFFSET(C256,-1,0)))</f>
        <v/>
      </c>
      <c r="D256" s="218">
        <f>IF(H256="ETAPA",0,IF(H256="SUBETAPA",OFFSET(D256,-1,0)+1,OFFSET(D256,-1,0)))</f>
        <v/>
      </c>
      <c r="E256" s="218">
        <f>IF(H256="Subetapa",0,IF(H256="serviço",OFFSET(E256,-1,0)+1,OFFSET(E256,-1,0)))</f>
        <v/>
      </c>
      <c r="G256" s="124" t="inlineStr">
        <is>
          <t>REVESTIMENTOS INTERNOS DE PAREDE</t>
        </is>
      </c>
      <c r="H256" s="42" t="inlineStr">
        <is>
          <t>SERVIÇO</t>
        </is>
      </c>
      <c r="I256" s="43">
        <f>IF(H256="Unidade Construtiva",TEXT(A256,"00"),IF(H256="Célula Construtiva",TEXT(B256,"00"),IF(H256="Etapa",CONCATENATE(TEXT(B256,"00"),".",TEXT(C256,"000")),IF(H256="Subetapa",CONCATENATE(TEXT(B256,"00"),".",TEXT(C256,"000"),".",TEXT(D256,"000")),IF(H256="Serviço",CONCATENATE(TEXT(B256,"00"),".",TEXT(C256,"000"),".",TEXT(D256,"000"),".",TEXT(E256,"000")),"")))))</f>
        <v/>
      </c>
      <c r="J256" s="48" t="inlineStr">
        <is>
          <t>Emboço interno em argamassa estabilizada, espessura de 2,5cm, com execução de taliscas</t>
        </is>
      </c>
      <c r="K256" s="45" t="inlineStr">
        <is>
          <t>m2</t>
        </is>
      </c>
      <c r="L256" s="46" t="n">
        <v>6193.139999999999</v>
      </c>
      <c r="M256" s="46" t="n">
        <v>17.745838</v>
      </c>
      <c r="N256" s="47">
        <f>IF(H256="Serviço",M256*L256,IF(H256="CÉLULA CONSTRUTIVA",SUMIFS($N$8:$N$754,$B$8:$B$754,B256,$H$8:$H$754,"Serviço"),IF(H256="ETAPA",SUMIFS($N$8:$N$754,$B$8:$B$754,B256,$C$8:$C$754,C256,$H$8:$H$754,"Serviço"),IF(H256="SUBETAPA",SUMIFS($N$8:$N$754,$B$8:$B$754,B256,$C$8:$C$754,C256,$D$8:$D$754,D256,$H$8:$H$754,"Serviço"),0))))</f>
        <v/>
      </c>
      <c r="O256" s="45" t="n"/>
      <c r="P256" s="46" t="n"/>
      <c r="Q256" s="46" t="n"/>
      <c r="R256" s="47" t="n"/>
      <c r="S256" s="123" t="n"/>
      <c r="T256" s="157" t="n"/>
      <c r="U256" s="49" t="n"/>
    </row>
    <row r="257" outlineLevel="2" ht="13.8" customFormat="1" customHeight="1" s="31">
      <c r="A257" s="217">
        <f>IF($H257="UNIDADE CONSTRUTIVA",OFFSET(A257,-1,0)+1,LARGE(A$3:A255,1))</f>
        <v/>
      </c>
      <c r="B257" s="217">
        <f>IF(H257="UNIDADE CONSTRUTIVA",0,IF(H257="CÉLULA CONSTRUTIVA",OFFSET(B257,-1,0)+1,OFFSET(B257,-1,0)))</f>
        <v/>
      </c>
      <c r="C257" s="217">
        <f>IF(H257="CÉLULA CONSTRUTIVA",0,IF(H257="ETAPA",OFFSET(C257,-1,0)+1,OFFSET(C257,-1,0)))</f>
        <v/>
      </c>
      <c r="D257" s="218">
        <f>IF(H257="ETAPA",0,IF(H257="SUBETAPA",OFFSET(D257,-1,0)+1,OFFSET(D257,-1,0)))</f>
        <v/>
      </c>
      <c r="E257" s="218">
        <f>IF(H257="Subetapa",0,IF(H257="serviço",OFFSET(E257,-1,0)+1,OFFSET(E257,-1,0)))</f>
        <v/>
      </c>
      <c r="G257" s="124" t="inlineStr">
        <is>
          <t>REVESTIMENTOS INTERNOS DE PAREDE</t>
        </is>
      </c>
      <c r="H257" s="42" t="inlineStr">
        <is>
          <t>SERVIÇO</t>
        </is>
      </c>
      <c r="I257" s="43">
        <f>IF(H257="Unidade Construtiva",TEXT(A257,"00"),IF(H257="Célula Construtiva",TEXT(B257,"00"),IF(H257="Etapa",CONCATENATE(TEXT(B257,"00"),".",TEXT(C257,"000")),IF(H257="Subetapa",CONCATENATE(TEXT(B257,"00"),".",TEXT(C257,"000"),".",TEXT(D257,"000")),IF(H257="Serviço",CONCATENATE(TEXT(B257,"00"),".",TEXT(C257,"000"),".",TEXT(D257,"000"),".",TEXT(E257,"000")),"")))))</f>
        <v/>
      </c>
      <c r="J257" s="48" t="inlineStr">
        <is>
          <t>Reboco interno em argamassa estabilizada, espessura de 0,5cm, com execução desempenado fino</t>
        </is>
      </c>
      <c r="K257" s="45" t="inlineStr">
        <is>
          <t>m2</t>
        </is>
      </c>
      <c r="L257" s="46" t="n">
        <v>6193.14</v>
      </c>
      <c r="M257" s="46" t="n">
        <v>3.179714999999999</v>
      </c>
      <c r="N257" s="47">
        <f>IF(H257="Serviço",M257*L257,IF(H257="CÉLULA CONSTRUTIVA",SUMIFS($N$8:$N$754,$B$8:$B$754,B257,$H$8:$H$754,"Serviço"),IF(H257="ETAPA",SUMIFS($N$8:$N$754,$B$8:$B$754,B257,$C$8:$C$754,C257,$H$8:$H$754,"Serviço"),IF(H257="SUBETAPA",SUMIFS($N$8:$N$754,$B$8:$B$754,B257,$C$8:$C$754,C257,$D$8:$D$754,D257,$H$8:$H$754,"Serviço"),0))))</f>
        <v/>
      </c>
      <c r="O257" s="45" t="n"/>
      <c r="P257" s="46" t="n"/>
      <c r="Q257" s="46" t="n"/>
      <c r="R257" s="47" t="n"/>
      <c r="S257" s="123" t="n"/>
      <c r="T257" s="49" t="n"/>
      <c r="U257" s="49" t="n"/>
    </row>
    <row r="258" outlineLevel="1" ht="13.8" customFormat="1" customHeight="1" s="31">
      <c r="A258" s="217">
        <f>IF($H258="UNIDADE CONSTRUTIVA",OFFSET(A258,-1,0)+1,LARGE(A$3:A257,1))</f>
        <v/>
      </c>
      <c r="B258" s="217">
        <f>IF(H258="UNIDADE CONSTRUTIVA",0,IF(H258="CÉLULA CONSTRUTIVA",OFFSET(B258,-1,0)+1,OFFSET(B258,-1,0)))</f>
        <v/>
      </c>
      <c r="C258" s="217">
        <f>IF(H258="CÉLULA CONSTRUTIVA",0,IF(H258="ETAPA",OFFSET(C258,-1,0)+1,OFFSET(C258,-1,0)))</f>
        <v/>
      </c>
      <c r="D258" s="218">
        <f>IF(H258="ETAPA",0,IF(H258="SUBETAPA",OFFSET(D258,-1,0)+1,OFFSET(D258,-1,0)))</f>
        <v/>
      </c>
      <c r="E258" s="218">
        <f>IF(H258="Subetapa",0,IF(H258="serviço",OFFSET(E258,-1,0)+1,OFFSET(E258,-1,0)))</f>
        <v/>
      </c>
      <c r="G258" s="124" t="n"/>
      <c r="H258" s="42" t="inlineStr">
        <is>
          <t>SUBETAPA</t>
        </is>
      </c>
      <c r="I258" s="43">
        <f>IF(H258="Unidade Construtiva",TEXT(A258,"00"),IF(H258="Célula Construtiva",TEXT(B258,"00"),IF(H258="Etapa",CONCATENATE(TEXT(B258,"00"),".",TEXT(C258,"000")),IF(H258="Subetapa",CONCATENATE(TEXT(B258,"00"),".",TEXT(C258,"000"),".",TEXT(D258,"000")),IF(H258="Serviço",CONCATENATE(TEXT(B258,"00"),".",TEXT(C258,"000"),".",TEXT(D258,"000"),".",TEXT(E258,"000")),"")))))</f>
        <v/>
      </c>
      <c r="J258" s="48" t="inlineStr">
        <is>
          <t>Acabamentos cerâmicos</t>
        </is>
      </c>
      <c r="K258" s="45" t="n"/>
      <c r="L258" s="46" t="n"/>
      <c r="M258" s="46" t="n"/>
      <c r="N258" s="47">
        <f>IF(H258="Serviço",M258*L258,IF(H258="CÉLULA CONSTRUTIVA",SUMIFS($N$8:$N$754,$B$8:$B$754,B258,$H$8:$H$754,"Serviço"),IF(H258="ETAPA",SUMIFS($N$8:$N$754,$B$8:$B$754,B258,$C$8:$C$754,C258,$H$8:$H$754,"Serviço"),IF(H258="SUBETAPA",SUMIFS($N$8:$N$754,$B$8:$B$754,B258,$C$8:$C$754,C258,$D$8:$D$754,D258,$H$8:$H$754,"Serviço"),0))))</f>
        <v/>
      </c>
      <c r="O258" s="45" t="n"/>
      <c r="P258" s="46" t="n"/>
      <c r="Q258" s="46" t="n"/>
      <c r="R258" s="216" t="inlineStr">
        <is>
          <t>07.001.004.001 - Fios e cabos elétricos</t>
        </is>
      </c>
      <c r="S258" s="123" t="n"/>
      <c r="T258" s="49" t="n"/>
      <c r="U258" s="49" t="n"/>
    </row>
    <row r="259" outlineLevel="2" ht="13.8" customFormat="1" customHeight="1" s="31">
      <c r="A259" s="217">
        <f>IF($H259="UNIDADE CONSTRUTIVA",OFFSET(A259,-1,0)+1,LARGE(A$3:A257,1))</f>
        <v/>
      </c>
      <c r="B259" s="217">
        <f>IF(H259="UNIDADE CONSTRUTIVA",0,IF(H259="CÉLULA CONSTRUTIVA",OFFSET(B259,-1,0)+1,OFFSET(B259,-1,0)))</f>
        <v/>
      </c>
      <c r="C259" s="217">
        <f>IF(H259="CÉLULA CONSTRUTIVA",0,IF(H259="ETAPA",OFFSET(C259,-1,0)+1,OFFSET(C259,-1,0)))</f>
        <v/>
      </c>
      <c r="D259" s="218">
        <f>IF(H259="ETAPA",0,IF(H259="SUBETAPA",OFFSET(D259,-1,0)+1,OFFSET(D259,-1,0)))</f>
        <v/>
      </c>
      <c r="E259" s="218">
        <f>IF(H259="Subetapa",0,IF(H259="serviço",OFFSET(E259,-1,0)+1,OFFSET(E259,-1,0)))</f>
        <v/>
      </c>
      <c r="G259" s="124" t="inlineStr">
        <is>
          <t>REVESTIMENTOS INTERNOS DE PAREDE</t>
        </is>
      </c>
      <c r="H259" s="42" t="inlineStr">
        <is>
          <t>SERVIÇO</t>
        </is>
      </c>
      <c r="I259" s="43">
        <f>IF(H259="Unidade Construtiva",TEXT(A259,"00"),IF(H259="Célula Construtiva",TEXT(B259,"00"),IF(H259="Etapa",CONCATENATE(TEXT(B259,"00"),".",TEXT(C259,"000")),IF(H259="Subetapa",CONCATENATE(TEXT(B259,"00"),".",TEXT(C259,"000"),".",TEXT(D259,"000")),IF(H259="Serviço",CONCATENATE(TEXT(B259,"00"),".",TEXT(C259,"000"),".",TEXT(D259,"000"),".",TEXT(E259,"000")),"")))))</f>
        <v/>
      </c>
      <c r="J259" s="48" t="inlineStr">
        <is>
          <t xml:space="preserve">Revestimento em Paredes, Porcelanato Mont Blanc Acetinado 90X90 Eliane    </t>
        </is>
      </c>
      <c r="K259" s="45" t="inlineStr">
        <is>
          <t>m2</t>
        </is>
      </c>
      <c r="L259" s="46" t="n">
        <v>588.15</v>
      </c>
      <c r="M259" s="46" t="n">
        <v>128.2491</v>
      </c>
      <c r="N259" s="47">
        <f>IF(H259="Serviço",M259*L259,IF(H259="CÉLULA CONSTRUTIVA",SUMIFS($N$8:$N$754,$B$8:$B$754,B259,$H$8:$H$754,"Serviço"),IF(H259="ETAPA",SUMIFS($N$8:$N$754,$B$8:$B$754,B259,$C$8:$C$754,C259,$H$8:$H$754,"Serviço"),IF(H259="SUBETAPA",SUMIFS($N$8:$N$754,$B$8:$B$754,B259,$C$8:$C$754,C259,$D$8:$D$754,D259,$H$8:$H$754,"Serviço"),0))))</f>
        <v/>
      </c>
      <c r="O259" s="45" t="n"/>
      <c r="P259" s="46" t="n"/>
      <c r="Q259" s="46" t="n"/>
      <c r="R259" s="47" t="n"/>
      <c r="S259" s="123" t="n"/>
      <c r="T259" s="49" t="n"/>
      <c r="U259" s="49" t="n"/>
    </row>
    <row r="260" outlineLevel="2" ht="13.8" customFormat="1" customHeight="1" s="31">
      <c r="A260" s="217">
        <f>IF($H260="UNIDADE CONSTRUTIVA",OFFSET(A260,-1,0)+1,LARGE(A$3:A257,1))</f>
        <v/>
      </c>
      <c r="B260" s="217">
        <f>IF(H260="UNIDADE CONSTRUTIVA",0,IF(H260="CÉLULA CONSTRUTIVA",OFFSET(B260,-1,0)+1,OFFSET(B260,-1,0)))</f>
        <v/>
      </c>
      <c r="C260" s="217">
        <f>IF(H260="CÉLULA CONSTRUTIVA",0,IF(H260="ETAPA",OFFSET(C260,-1,0)+1,OFFSET(C260,-1,0)))</f>
        <v/>
      </c>
      <c r="D260" s="218">
        <f>IF(H260="ETAPA",0,IF(H260="SUBETAPA",OFFSET(D260,-1,0)+1,OFFSET(D260,-1,0)))</f>
        <v/>
      </c>
      <c r="E260" s="218">
        <f>IF(H260="Subetapa",0,IF(H260="serviço",OFFSET(E260,-1,0)+1,OFFSET(E260,-1,0)))</f>
        <v/>
      </c>
      <c r="G260" s="124" t="inlineStr">
        <is>
          <t>REVESTIMENTOS INTERNOS DE PAREDE</t>
        </is>
      </c>
      <c r="H260" s="42" t="inlineStr">
        <is>
          <t>SERVIÇO</t>
        </is>
      </c>
      <c r="I260" s="43">
        <f>IF(H260="Unidade Construtiva",TEXT(A260,"00"),IF(H260="Célula Construtiva",TEXT(B260,"00"),IF(H260="Etapa",CONCATENATE(TEXT(B260,"00"),".",TEXT(C260,"000")),IF(H260="Subetapa",CONCATENATE(TEXT(B260,"00"),".",TEXT(C260,"000"),".",TEXT(D260,"000")),IF(H260="Serviço",CONCATENATE(TEXT(B260,"00"),".",TEXT(C260,"000"),".",TEXT(D260,"000"),".",TEXT(E260,"000")),"")))))</f>
        <v/>
      </c>
      <c r="J260" s="48" t="inlineStr">
        <is>
          <t>Revestimento em Ladrilhos para Piscina, Cinza giz 15x15 com Juntas e rejunte acrilico</t>
        </is>
      </c>
      <c r="K260" s="45" t="inlineStr">
        <is>
          <t>m2</t>
        </is>
      </c>
      <c r="L260" s="46" t="n">
        <v>44.22</v>
      </c>
      <c r="M260" s="46" t="n">
        <v>165.882275</v>
      </c>
      <c r="N260" s="47">
        <f>IF(H260="Serviço",M260*L260,IF(H260="CÉLULA CONSTRUTIVA",SUMIFS($N$8:$N$754,$B$8:$B$754,B260,$H$8:$H$754,"Serviço"),IF(H260="ETAPA",SUMIFS($N$8:$N$754,$B$8:$B$754,B260,$C$8:$C$754,C260,$H$8:$H$754,"Serviço"),IF(H260="SUBETAPA",SUMIFS($N$8:$N$754,$B$8:$B$754,B260,$C$8:$C$754,C260,$D$8:$D$754,D260,$H$8:$H$754,"Serviço"),0))))</f>
        <v/>
      </c>
      <c r="O260" s="45" t="n"/>
      <c r="P260" s="46" t="n"/>
      <c r="Q260" s="46" t="n"/>
      <c r="R260" s="47" t="n"/>
      <c r="S260" s="123" t="n"/>
      <c r="T260" s="49" t="n"/>
      <c r="U260" s="49" t="n"/>
    </row>
    <row r="261" outlineLevel="1" ht="13.8" customFormat="1" customHeight="1" s="31">
      <c r="A261" s="217">
        <f>IF($H261="UNIDADE CONSTRUTIVA",OFFSET(A261,-1,0)+1,LARGE(A$3:A260,1))</f>
        <v/>
      </c>
      <c r="B261" s="217">
        <f>IF(H261="UNIDADE CONSTRUTIVA",0,IF(H261="CÉLULA CONSTRUTIVA",OFFSET(B261,-1,0)+1,OFFSET(B261,-1,0)))</f>
        <v/>
      </c>
      <c r="C261" s="217">
        <f>IF(H261="CÉLULA CONSTRUTIVA",0,IF(H261="ETAPA",OFFSET(C261,-1,0)+1,OFFSET(C261,-1,0)))</f>
        <v/>
      </c>
      <c r="D261" s="218">
        <f>IF(H261="ETAPA",0,IF(H261="SUBETAPA",OFFSET(D261,-1,0)+1,OFFSET(D261,-1,0)))</f>
        <v/>
      </c>
      <c r="E261" s="218">
        <f>IF(H261="Subetapa",0,IF(H261="serviço",OFFSET(E261,-1,0)+1,OFFSET(E261,-1,0)))</f>
        <v/>
      </c>
      <c r="G261" s="124" t="n"/>
      <c r="H261" s="42" t="inlineStr">
        <is>
          <t>SUBETAPA</t>
        </is>
      </c>
      <c r="I261" s="43">
        <f>IF(H261="Unidade Construtiva",TEXT(A261,"00"),IF(H261="Célula Construtiva",TEXT(B261,"00"),IF(H261="Etapa",CONCATENATE(TEXT(B261,"00"),".",TEXT(C261,"000")),IF(H261="Subetapa",CONCATENATE(TEXT(B261,"00"),".",TEXT(C261,"000"),".",TEXT(D261,"000")),IF(H261="Serviço",CONCATENATE(TEXT(B261,"00"),".",TEXT(C261,"000"),".",TEXT(D261,"000"),".",TEXT(E261,"000")),"")))))</f>
        <v/>
      </c>
      <c r="J261" s="48" t="inlineStr">
        <is>
          <t>Peitoris</t>
        </is>
      </c>
      <c r="K261" s="45" t="n"/>
      <c r="L261" s="46" t="n"/>
      <c r="M261" s="46" t="n"/>
      <c r="N261" s="47">
        <f>IF(H261="Serviço",M261*L261,IF(H261="CÉLULA CONSTRUTIVA",SUMIFS($N$8:$N$754,$B$8:$B$754,B261,$H$8:$H$754,"Serviço"),IF(H261="ETAPA",SUMIFS($N$8:$N$754,$B$8:$B$754,B261,$C$8:$C$754,C261,$H$8:$H$754,"Serviço"),IF(H261="SUBETAPA",SUMIFS($N$8:$N$754,$B$8:$B$754,B261,$C$8:$C$754,C261,$D$8:$D$754,D261,$H$8:$H$754,"Serviço"),0))))</f>
        <v/>
      </c>
      <c r="O261" s="45" t="n"/>
      <c r="P261" s="46" t="n"/>
      <c r="Q261" s="46" t="n"/>
      <c r="R261" s="216" t="inlineStr">
        <is>
          <t>01.01.001.0002.0009 - Projeto elétrico</t>
        </is>
      </c>
      <c r="S261" s="123" t="n"/>
      <c r="T261" s="49" t="n"/>
      <c r="U261" s="49" t="n"/>
    </row>
    <row r="262" outlineLevel="2" ht="13.8" customFormat="1" customHeight="1" s="31">
      <c r="A262" s="217">
        <f>IF($H262="UNIDADE CONSTRUTIVA",OFFSET(A262,-1,0)+1,LARGE(A$3:A260,1))</f>
        <v/>
      </c>
      <c r="B262" s="217">
        <f>IF(H262="UNIDADE CONSTRUTIVA",0,IF(H262="CÉLULA CONSTRUTIVA",OFFSET(B262,-1,0)+1,OFFSET(B262,-1,0)))</f>
        <v/>
      </c>
      <c r="C262" s="217">
        <f>IF(H262="CÉLULA CONSTRUTIVA",0,IF(H262="ETAPA",OFFSET(C262,-1,0)+1,OFFSET(C262,-1,0)))</f>
        <v/>
      </c>
      <c r="D262" s="218">
        <f>IF(H262="ETAPA",0,IF(H262="SUBETAPA",OFFSET(D262,-1,0)+1,OFFSET(D262,-1,0)))</f>
        <v/>
      </c>
      <c r="E262" s="218">
        <f>IF(H262="Subetapa",0,IF(H262="serviço",OFFSET(E262,-1,0)+1,OFFSET(E262,-1,0)))</f>
        <v/>
      </c>
      <c r="G262" s="124" t="inlineStr">
        <is>
          <t>REVESTIMENTOS INTERNOS DE PAREDE</t>
        </is>
      </c>
      <c r="H262" s="42" t="inlineStr">
        <is>
          <t>SERVIÇO</t>
        </is>
      </c>
      <c r="I262" s="43">
        <f>IF(H262="Unidade Construtiva",TEXT(A262,"00"),IF(H262="Célula Construtiva",TEXT(B262,"00"),IF(H262="Etapa",CONCATENATE(TEXT(B262,"00"),".",TEXT(C262,"000")),IF(H262="Subetapa",CONCATENATE(TEXT(B262,"00"),".",TEXT(C262,"000"),".",TEXT(D262,"000")),IF(H262="Serviço",CONCATENATE(TEXT(B262,"00"),".",TEXT(C262,"000"),".",TEXT(D262,"000"),".",TEXT(E262,"000")),"")))))</f>
        <v/>
      </c>
      <c r="J262" s="48" t="inlineStr">
        <is>
          <t>Peitoril em pedra natural</t>
        </is>
      </c>
      <c r="K262" s="45" t="inlineStr">
        <is>
          <t>m2</t>
        </is>
      </c>
      <c r="L262" s="46" t="n">
        <v>54.06</v>
      </c>
      <c r="M262" s="46" t="n">
        <v>586.6547</v>
      </c>
      <c r="N262" s="47">
        <f>IF(H262="Serviço",M262*L262,IF(H262="CÉLULA CONSTRUTIVA",SUMIFS($N$8:$N$754,$B$8:$B$754,B262,$H$8:$H$754,"Serviço"),IF(H262="ETAPA",SUMIFS($N$8:$N$754,$B$8:$B$754,B262,$C$8:$C$754,C262,$H$8:$H$754,"Serviço"),IF(H262="SUBETAPA",SUMIFS($N$8:$N$754,$B$8:$B$754,B262,$C$8:$C$754,C262,$D$8:$D$754,D262,$H$8:$H$754,"Serviço"),0))))</f>
        <v/>
      </c>
      <c r="O262" s="45" t="n"/>
      <c r="P262" s="46" t="n"/>
      <c r="Q262" s="46" t="n"/>
      <c r="R262" s="47" t="n"/>
      <c r="S262" s="123" t="n"/>
      <c r="T262" s="49" t="n"/>
      <c r="U262" s="49" t="n"/>
    </row>
    <row r="263" outlineLevel="2" ht="13.8" customFormat="1" customHeight="1" s="31">
      <c r="A263" s="217">
        <f>IF($H263="UNIDADE CONSTRUTIVA",OFFSET(A263,-1,0)+1,LARGE(A$3:A261,1))</f>
        <v/>
      </c>
      <c r="B263" s="217">
        <f>IF(H263="UNIDADE CONSTRUTIVA",0,IF(H263="CÉLULA CONSTRUTIVA",OFFSET(B263,-1,0)+1,OFFSET(B263,-1,0)))</f>
        <v/>
      </c>
      <c r="C263" s="217">
        <f>IF(H263="CÉLULA CONSTRUTIVA",0,IF(H263="ETAPA",OFFSET(C263,-1,0)+1,OFFSET(C263,-1,0)))</f>
        <v/>
      </c>
      <c r="D263" s="218">
        <f>IF(H263="ETAPA",0,IF(H263="SUBETAPA",OFFSET(D263,-1,0)+1,OFFSET(D263,-1,0)))</f>
        <v/>
      </c>
      <c r="E263" s="218">
        <f>IF(H263="Subetapa",0,IF(H263="serviço",OFFSET(E263,-1,0)+1,OFFSET(E263,-1,0)))</f>
        <v/>
      </c>
      <c r="G263" s="124" t="inlineStr">
        <is>
          <t>REVESTIMENTOS INTERNOS DE PAREDE</t>
        </is>
      </c>
      <c r="H263" s="42" t="inlineStr">
        <is>
          <t>SERVIÇO</t>
        </is>
      </c>
      <c r="I263" s="43">
        <f>IF(H263="Unidade Construtiva",TEXT(A263,"00"),IF(H263="Célula Construtiva",TEXT(B263,"00"),IF(H263="Etapa",CONCATENATE(TEXT(B263,"00"),".",TEXT(C263,"000")),IF(H263="Subetapa",CONCATENATE(TEXT(B263,"00"),".",TEXT(C263,"000"),".",TEXT(D263,"000")),IF(H263="Serviço",CONCATENATE(TEXT(B263,"00"),".",TEXT(C263,"000"),".",TEXT(D263,"000"),".",TEXT(E263,"000")),"")))))</f>
        <v/>
      </c>
      <c r="J263" s="48" t="inlineStr">
        <is>
          <t>Peitoril em pedra natural - Lazer</t>
        </is>
      </c>
      <c r="K263" s="45" t="inlineStr">
        <is>
          <t>m2</t>
        </is>
      </c>
      <c r="L263" s="46" t="n">
        <v>20.33</v>
      </c>
      <c r="M263" s="46" t="n">
        <v>586.6547</v>
      </c>
      <c r="N263" s="47">
        <f>IF(H263="Serviço",M263*L263,IF(H263="CÉLULA CONSTRUTIVA",SUMIFS($N$8:$N$754,$B$8:$B$754,B263,$H$8:$H$754,"Serviço"),IF(H263="ETAPA",SUMIFS($N$8:$N$754,$B$8:$B$754,B263,$C$8:$C$754,C263,$H$8:$H$754,"Serviço"),IF(H263="SUBETAPA",SUMIFS($N$8:$N$754,$B$8:$B$754,B263,$C$8:$C$754,C263,$D$8:$D$754,D263,$H$8:$H$754,"Serviço"),0))))</f>
        <v/>
      </c>
      <c r="O263" s="45" t="n"/>
      <c r="P263" s="46" t="n"/>
      <c r="Q263" s="46" t="n"/>
      <c r="R263" s="47" t="n"/>
      <c r="S263" s="123" t="n"/>
      <c r="T263" s="49" t="n"/>
      <c r="U263" s="49" t="n"/>
    </row>
    <row r="264" outlineLevel="2" ht="13.8" customFormat="1" customHeight="1" s="31">
      <c r="A264" s="217">
        <f>IF($H264="UNIDADE CONSTRUTIVA",OFFSET(A264,-1,0)+1,LARGE(A$3:A262,1))</f>
        <v/>
      </c>
      <c r="B264" s="217">
        <f>IF(H264="UNIDADE CONSTRUTIVA",0,IF(H264="CÉLULA CONSTRUTIVA",OFFSET(B264,-1,0)+1,OFFSET(B264,-1,0)))</f>
        <v/>
      </c>
      <c r="C264" s="217">
        <f>IF(H264="CÉLULA CONSTRUTIVA",0,IF(H264="ETAPA",OFFSET(C264,-1,0)+1,OFFSET(C264,-1,0)))</f>
        <v/>
      </c>
      <c r="D264" s="218">
        <f>IF(H264="ETAPA",0,IF(H264="SUBETAPA",OFFSET(D264,-1,0)+1,OFFSET(D264,-1,0)))</f>
        <v/>
      </c>
      <c r="E264" s="218">
        <f>IF(H264="Subetapa",0,IF(H264="serviço",OFFSET(E264,-1,0)+1,OFFSET(E264,-1,0)))</f>
        <v/>
      </c>
      <c r="G264" s="124" t="inlineStr">
        <is>
          <t>REVESTIMENTOS INTERNOS DE PAREDE</t>
        </is>
      </c>
      <c r="H264" s="42" t="inlineStr">
        <is>
          <t>SERVIÇO</t>
        </is>
      </c>
      <c r="I264" s="43">
        <f>IF(H264="Unidade Construtiva",TEXT(A264,"00"),IF(H264="Célula Construtiva",TEXT(B264,"00"),IF(H264="Etapa",CONCATENATE(TEXT(B264,"00"),".",TEXT(C264,"000")),IF(H264="Subetapa",CONCATENATE(TEXT(B264,"00"),".",TEXT(C264,"000"),".",TEXT(D264,"000")),IF(H264="Serviço",CONCATENATE(TEXT(B264,"00"),".",TEXT(C264,"000"),".",TEXT(D264,"000"),".",TEXT(E264,"000")),"")))))</f>
        <v/>
      </c>
      <c r="J264" s="48" t="inlineStr">
        <is>
          <t>Borda de piscina em pedra natural</t>
        </is>
      </c>
      <c r="K264" s="45" t="inlineStr">
        <is>
          <t>m2</t>
        </is>
      </c>
      <c r="L264" s="46" t="n">
        <v>3.29</v>
      </c>
      <c r="M264" s="46" t="n">
        <v>586.6547</v>
      </c>
      <c r="N264" s="47">
        <f>IF(H264="Serviço",M264*L264,IF(H264="CÉLULA CONSTRUTIVA",SUMIFS($N$8:$N$754,$B$8:$B$754,B264,$H$8:$H$754,"Serviço"),IF(H264="ETAPA",SUMIFS($N$8:$N$754,$B$8:$B$754,B264,$C$8:$C$754,C264,$H$8:$H$754,"Serviço"),IF(H264="SUBETAPA",SUMIFS($N$8:$N$754,$B$8:$B$754,B264,$C$8:$C$754,C264,$D$8:$D$754,D264,$H$8:$H$754,"Serviço"),0))))</f>
        <v/>
      </c>
      <c r="O264" s="45" t="n"/>
      <c r="P264" s="46" t="n"/>
      <c r="Q264" s="46" t="n"/>
      <c r="R264" s="47" t="n"/>
      <c r="S264" s="123" t="n"/>
      <c r="T264" s="49" t="n"/>
      <c r="U264" s="49" t="n"/>
    </row>
    <row r="265" outlineLevel="1" ht="13.8" customFormat="1" customHeight="1" s="31">
      <c r="A265" s="217">
        <f>IF($H265="UNIDADE CONSTRUTIVA",OFFSET(A265,-1,0)+1,LARGE(A$3:A263,1))</f>
        <v/>
      </c>
      <c r="B265" s="217">
        <f>IF(H265="UNIDADE CONSTRUTIVA",0,IF(H265="CÉLULA CONSTRUTIVA",OFFSET(B265,-1,0)+1,OFFSET(B265,-1,0)))</f>
        <v/>
      </c>
      <c r="C265" s="217">
        <f>IF(H265="CÉLULA CONSTRUTIVA",0,IF(H265="ETAPA",OFFSET(C265,-1,0)+1,OFFSET(C265,-1,0)))</f>
        <v/>
      </c>
      <c r="D265" s="218">
        <f>IF(H265="ETAPA",0,IF(H265="SUBETAPA",OFFSET(D265,-1,0)+1,OFFSET(D265,-1,0)))</f>
        <v/>
      </c>
      <c r="E265" s="218">
        <f>IF(H265="Subetapa",0,IF(H265="serviço",OFFSET(E265,-1,0)+1,OFFSET(E265,-1,0)))</f>
        <v/>
      </c>
      <c r="G265" s="124" t="n"/>
      <c r="H265" s="42" t="inlineStr">
        <is>
          <t>SUBETAPA</t>
        </is>
      </c>
      <c r="I265" s="43">
        <f>IF(H265="Unidade Construtiva",TEXT(A265,"00"),IF(H265="Célula Construtiva",TEXT(B265,"00"),IF(H265="Etapa",CONCATENATE(TEXT(B265,"00"),".",TEXT(C265,"000")),IF(H265="Subetapa",CONCATENATE(TEXT(B265,"00"),".",TEXT(C265,"000"),".",TEXT(D265,"000")),IF(H265="Serviço",CONCATENATE(TEXT(B265,"00"),".",TEXT(C265,"000"),".",TEXT(D265,"000"),".",TEXT(E265,"000")),"")))))</f>
        <v/>
      </c>
      <c r="J265" s="48" t="inlineStr">
        <is>
          <t>Mão de obra - Revestimentos</t>
        </is>
      </c>
      <c r="K265" s="45" t="n"/>
      <c r="L265" s="46" t="n"/>
      <c r="M265" s="46" t="n"/>
      <c r="N265" s="47">
        <f>IF(H265="Serviço",M265*L265,IF(H265="CÉLULA CONSTRUTIVA",SUMIFS($N$8:$N$754,$B$8:$B$754,B265,$H$8:$H$754,"Serviço"),IF(H265="ETAPA",SUMIFS($N$8:$N$754,$B$8:$B$754,B265,$C$8:$C$754,C265,$H$8:$H$754,"Serviço"),IF(H265="SUBETAPA",SUMIFS($N$8:$N$754,$B$8:$B$754,B265,$C$8:$C$754,C265,$D$8:$D$754,D265,$H$8:$H$754,"Serviço"),0))))</f>
        <v/>
      </c>
      <c r="O265" s="45" t="n"/>
      <c r="P265" s="46" t="n"/>
      <c r="Q265" s="46" t="n"/>
      <c r="R265" s="216" t="inlineStr">
        <is>
          <t>19.001.005.001 - Mão de obra para telhamento</t>
        </is>
      </c>
      <c r="S265" s="123" t="n"/>
      <c r="T265" s="49" t="n"/>
      <c r="U265" s="49" t="n"/>
    </row>
    <row r="266" outlineLevel="2" ht="13.8" customFormat="1" customHeight="1" s="31">
      <c r="A266" s="217">
        <f>IF($H266="UNIDADE CONSTRUTIVA",OFFSET(A266,-1,0)+1,LARGE(A$3:A265,1))</f>
        <v/>
      </c>
      <c r="B266" s="217">
        <f>IF(H266="UNIDADE CONSTRUTIVA",0,IF(H266="CÉLULA CONSTRUTIVA",OFFSET(B266,-1,0)+1,OFFSET(B266,-1,0)))</f>
        <v/>
      </c>
      <c r="C266" s="217">
        <f>IF(H266="CÉLULA CONSTRUTIVA",0,IF(H266="ETAPA",OFFSET(C266,-1,0)+1,OFFSET(C266,-1,0)))</f>
        <v/>
      </c>
      <c r="D266" s="218">
        <f>IF(H266="ETAPA",0,IF(H266="SUBETAPA",OFFSET(D266,-1,0)+1,OFFSET(D266,-1,0)))</f>
        <v/>
      </c>
      <c r="E266" s="218">
        <f>IF(H266="Subetapa",0,IF(H266="serviço",OFFSET(E266,-1,0)+1,OFFSET(E266,-1,0)))</f>
        <v/>
      </c>
      <c r="G266" s="124" t="inlineStr">
        <is>
          <t>REVESTIMENTOS INTERNOS DE PAREDE</t>
        </is>
      </c>
      <c r="H266" s="42" t="inlineStr">
        <is>
          <t>SERVIÇO</t>
        </is>
      </c>
      <c r="I266" s="43">
        <f>IF(H266="Unidade Construtiva",TEXT(A266,"00"),IF(H266="Célula Construtiva",TEXT(B266,"00"),IF(H266="Etapa",CONCATENATE(TEXT(B266,"00"),".",TEXT(C266,"000")),IF(H266="Subetapa",CONCATENATE(TEXT(B266,"00"),".",TEXT(C266,"000"),".",TEXT(D266,"000")),IF(H266="Serviço",CONCATENATE(TEXT(B266,"00"),".",TEXT(C266,"000"),".",TEXT(D266,"000"),".",TEXT(E266,"000")),"")))))</f>
        <v/>
      </c>
      <c r="J266" s="48" t="inlineStr">
        <is>
          <t>Mão de obra execução de massa única em paredes interna, incluindo chapisco</t>
        </is>
      </c>
      <c r="K266" s="45" t="inlineStr">
        <is>
          <t>m2</t>
        </is>
      </c>
      <c r="L266" s="46" t="n">
        <v>6638.05</v>
      </c>
      <c r="M266" s="46" t="n">
        <v>36</v>
      </c>
      <c r="N266" s="47">
        <f>IF(H266="Serviço",M266*L266,IF(H266="CÉLULA CONSTRUTIVA",SUMIFS($N$8:$N$754,$B$8:$B$754,B266,$H$8:$H$754,"Serviço"),IF(H266="ETAPA",SUMIFS($N$8:$N$754,$B$8:$B$754,B266,$C$8:$C$754,C266,$H$8:$H$754,"Serviço"),IF(H266="SUBETAPA",SUMIFS($N$8:$N$754,$B$8:$B$754,B266,$C$8:$C$754,C266,$D$8:$D$754,D266,$H$8:$H$754,"Serviço"),0))))</f>
        <v/>
      </c>
      <c r="O266" s="45" t="n"/>
      <c r="P266" s="46" t="n"/>
      <c r="Q266" s="46" t="n"/>
      <c r="R266" s="47" t="n"/>
      <c r="S266" s="123" t="n"/>
      <c r="T266" s="49" t="n"/>
      <c r="U266" s="49" t="n"/>
    </row>
    <row r="267" outlineLevel="2" ht="13.8" customFormat="1" customHeight="1" s="31">
      <c r="A267" s="217">
        <f>IF($H267="UNIDADE CONSTRUTIVA",OFFSET(A267,-1,0)+1,LARGE(A$3:A266,1))</f>
        <v/>
      </c>
      <c r="B267" s="217">
        <f>IF(H267="UNIDADE CONSTRUTIVA",0,IF(H267="CÉLULA CONSTRUTIVA",OFFSET(B267,-1,0)+1,OFFSET(B267,-1,0)))</f>
        <v/>
      </c>
      <c r="C267" s="217">
        <f>IF(H267="CÉLULA CONSTRUTIVA",0,IF(H267="ETAPA",OFFSET(C267,-1,0)+1,OFFSET(C267,-1,0)))</f>
        <v/>
      </c>
      <c r="D267" s="218">
        <f>IF(H267="ETAPA",0,IF(H267="SUBETAPA",OFFSET(D267,-1,0)+1,OFFSET(D267,-1,0)))</f>
        <v/>
      </c>
      <c r="E267" s="218">
        <f>IF(H267="Subetapa",0,IF(H267="serviço",OFFSET(E267,-1,0)+1,OFFSET(E267,-1,0)))</f>
        <v/>
      </c>
      <c r="G267" s="124" t="inlineStr">
        <is>
          <t>REVESTIMENTOS INTERNOS DE PAREDE</t>
        </is>
      </c>
      <c r="H267" s="42" t="inlineStr">
        <is>
          <t>SERVIÇO</t>
        </is>
      </c>
      <c r="I267" s="43">
        <f>IF(H267="Unidade Construtiva",TEXT(A267,"00"),IF(H267="Célula Construtiva",TEXT(B267,"00"),IF(H267="Etapa",CONCATENATE(TEXT(B267,"00"),".",TEXT(C267,"000")),IF(H267="Subetapa",CONCATENATE(TEXT(B267,"00"),".",TEXT(C267,"000"),".",TEXT(D267,"000")),IF(H267="Serviço",CONCATENATE(TEXT(B267,"00"),".",TEXT(C267,"000"),".",TEXT(D267,"000"),".",TEXT(E267,"000")),"")))))</f>
        <v/>
      </c>
      <c r="J267" s="48" t="inlineStr">
        <is>
          <t>Mão de obra para assentamento de revestimento cerâmico em parede</t>
        </is>
      </c>
      <c r="K267" s="45" t="inlineStr">
        <is>
          <t>m2</t>
        </is>
      </c>
      <c r="L267" s="46" t="n">
        <v>622.17</v>
      </c>
      <c r="M267" s="46" t="n">
        <v>75</v>
      </c>
      <c r="N267" s="47">
        <f>IF(H267="Serviço",M267*L267,IF(H267="CÉLULA CONSTRUTIVA",SUMIFS($N$8:$N$754,$B$8:$B$754,B267,$H$8:$H$754,"Serviço"),IF(H267="ETAPA",SUMIFS($N$8:$N$754,$B$8:$B$754,B267,$C$8:$C$754,C267,$H$8:$H$754,"Serviço"),IF(H267="SUBETAPA",SUMIFS($N$8:$N$754,$B$8:$B$754,B267,$C$8:$C$754,C267,$D$8:$D$754,D267,$H$8:$H$754,"Serviço"),0))))</f>
        <v/>
      </c>
      <c r="O267" s="45" t="n"/>
      <c r="P267" s="46" t="n"/>
      <c r="Q267" s="46" t="n"/>
      <c r="R267" s="47" t="n"/>
      <c r="S267" s="123" t="n"/>
      <c r="T267" s="49" t="n"/>
      <c r="U267" s="49" t="n"/>
    </row>
    <row r="268" outlineLevel="2" ht="13.8" customFormat="1" customHeight="1" s="31">
      <c r="A268" s="217">
        <f>IF($H268="UNIDADE CONSTRUTIVA",OFFSET(A268,-1,0)+1,LARGE(A$3:A267,1))</f>
        <v/>
      </c>
      <c r="B268" s="217">
        <f>IF(H268="UNIDADE CONSTRUTIVA",0,IF(H268="CÉLULA CONSTRUTIVA",OFFSET(B268,-1,0)+1,OFFSET(B268,-1,0)))</f>
        <v/>
      </c>
      <c r="C268" s="217">
        <f>IF(H268="CÉLULA CONSTRUTIVA",0,IF(H268="ETAPA",OFFSET(C268,-1,0)+1,OFFSET(C268,-1,0)))</f>
        <v/>
      </c>
      <c r="D268" s="218">
        <f>IF(H268="ETAPA",0,IF(H268="SUBETAPA",OFFSET(D268,-1,0)+1,OFFSET(D268,-1,0)))</f>
        <v/>
      </c>
      <c r="E268" s="218">
        <f>IF(H268="Subetapa",0,IF(H268="serviço",OFFSET(E268,-1,0)+1,OFFSET(E268,-1,0)))</f>
        <v/>
      </c>
      <c r="G268" s="124" t="inlineStr">
        <is>
          <t>REVESTIMENTOS INTERNOS DE PAREDE</t>
        </is>
      </c>
      <c r="H268" s="42" t="inlineStr">
        <is>
          <t>SERVIÇO</t>
        </is>
      </c>
      <c r="I268" s="43">
        <f>IF(H268="Unidade Construtiva",TEXT(A268,"00"),IF(H268="Célula Construtiva",TEXT(B268,"00"),IF(H268="Etapa",CONCATENATE(TEXT(B268,"00"),".",TEXT(C268,"000")),IF(H268="Subetapa",CONCATENATE(TEXT(B268,"00"),".",TEXT(C268,"000"),".",TEXT(D268,"000")),IF(H268="Serviço",CONCATENATE(TEXT(B268,"00"),".",TEXT(C268,"000"),".",TEXT(D268,"000"),".",TEXT(E268,"000")),"")))))</f>
        <v/>
      </c>
      <c r="J268" s="48" t="inlineStr">
        <is>
          <t>Mão de obra para assentamento de Pastilhas em Piscina</t>
        </is>
      </c>
      <c r="K268" s="45" t="inlineStr">
        <is>
          <t>m2</t>
        </is>
      </c>
      <c r="L268" s="46">
        <f>L260</f>
        <v/>
      </c>
      <c r="M268" s="46" t="n">
        <v>55</v>
      </c>
      <c r="N268" s="47">
        <f>IF(H268="Serviço",M268*L268,IF(H268="CÉLULA CONSTRUTIVA",SUMIFS($N$8:$N$754,$B$8:$B$754,B268,$H$8:$H$754,"Serviço"),IF(H268="ETAPA",SUMIFS($N$8:$N$754,$B$8:$B$754,B268,$C$8:$C$754,C268,$H$8:$H$754,"Serviço"),IF(H268="SUBETAPA",SUMIFS($N$8:$N$754,$B$8:$B$754,B268,$C$8:$C$754,C268,$D$8:$D$754,D268,$H$8:$H$754,"Serviço"),0))))</f>
        <v/>
      </c>
      <c r="O268" s="45" t="n"/>
      <c r="P268" s="46" t="n"/>
      <c r="Q268" s="46" t="n"/>
      <c r="R268" s="47" t="n"/>
      <c r="S268" s="123" t="n"/>
      <c r="T268" s="49" t="n"/>
      <c r="U268" s="49" t="n"/>
    </row>
    <row r="269" outlineLevel="2" ht="13.8" customFormat="1" customHeight="1" s="31">
      <c r="A269" s="217">
        <f>IF($H269="UNIDADE CONSTRUTIVA",OFFSET(A269,-1,0)+1,LARGE(A$3:A268,1))</f>
        <v/>
      </c>
      <c r="B269" s="217">
        <f>IF(H269="UNIDADE CONSTRUTIVA",0,IF(H269="CÉLULA CONSTRUTIVA",OFFSET(B269,-1,0)+1,OFFSET(B269,-1,0)))</f>
        <v/>
      </c>
      <c r="C269" s="217">
        <f>IF(H269="CÉLULA CONSTRUTIVA",0,IF(H269="ETAPA",OFFSET(C269,-1,0)+1,OFFSET(C269,-1,0)))</f>
        <v/>
      </c>
      <c r="D269" s="218">
        <f>IF(H269="ETAPA",0,IF(H269="SUBETAPA",OFFSET(D269,-1,0)+1,OFFSET(D269,-1,0)))</f>
        <v/>
      </c>
      <c r="E269" s="218">
        <f>IF(H269="Subetapa",0,IF(H269="serviço",OFFSET(E269,-1,0)+1,OFFSET(E269,-1,0)))</f>
        <v/>
      </c>
      <c r="G269" s="124" t="inlineStr">
        <is>
          <t>REVESTIMENTOS INTERNOS DE PAREDE</t>
        </is>
      </c>
      <c r="H269" s="42" t="inlineStr">
        <is>
          <t>SERVIÇO</t>
        </is>
      </c>
      <c r="I269" s="43">
        <f>IF(H269="Unidade Construtiva",TEXT(A269,"00"),IF(H269="Célula Construtiva",TEXT(B269,"00"),IF(H269="Etapa",CONCATENATE(TEXT(B269,"00"),".",TEXT(C269,"000")),IF(H269="Subetapa",CONCATENATE(TEXT(B269,"00"),".",TEXT(C269,"000"),".",TEXT(D269,"000")),IF(H269="Serviço",CONCATENATE(TEXT(B269,"00"),".",TEXT(C269,"000"),".",TEXT(D269,"000"),".",TEXT(E269,"000")),"")))))</f>
        <v/>
      </c>
      <c r="J269" s="48" t="inlineStr">
        <is>
          <t>Mão de obra para colocação de peitoril e pingadeira</t>
        </is>
      </c>
      <c r="K269" s="45" t="inlineStr">
        <is>
          <t>m2</t>
        </is>
      </c>
      <c r="L269" s="46">
        <f>L262+L265</f>
        <v/>
      </c>
      <c r="M269" s="46" t="n">
        <v>50</v>
      </c>
      <c r="N269" s="47">
        <f>IF(H269="Serviço",M269*L269,IF(H269="CÉLULA CONSTRUTIVA",SUMIFS($N$8:$N$754,$B$8:$B$754,B269,$H$8:$H$754,"Serviço"),IF(H269="ETAPA",SUMIFS($N$8:$N$754,$B$8:$B$754,B269,$C$8:$C$754,C269,$H$8:$H$754,"Serviço"),IF(H269="SUBETAPA",SUMIFS($N$8:$N$754,$B$8:$B$754,B269,$C$8:$C$754,C269,$D$8:$D$754,D269,$H$8:$H$754,"Serviço"),0))))</f>
        <v/>
      </c>
      <c r="O269" s="45" t="n"/>
      <c r="P269" s="46" t="n"/>
      <c r="Q269" s="46" t="n"/>
      <c r="R269" s="47" t="n"/>
      <c r="S269" s="123" t="n"/>
      <c r="T269" s="49" t="n"/>
      <c r="U269" s="49" t="n"/>
    </row>
    <row r="270" ht="13.8" customFormat="1" customHeight="1" s="31">
      <c r="A270" s="217">
        <f>IF($H270="UNIDADE CONSTRUTIVA",OFFSET(A270,-1,0)+1,LARGE(A$3:A269,1))</f>
        <v/>
      </c>
      <c r="B270" s="217">
        <f>IF(H270="UNIDADE CONSTRUTIVA",0,IF(H270="CÉLULA CONSTRUTIVA",OFFSET(B270,-1,0)+1,OFFSET(B270,-1,0)))</f>
        <v/>
      </c>
      <c r="C270" s="217">
        <f>IF(H270="CÉLULA CONSTRUTIVA",0,IF(H270="ETAPA",OFFSET(C270,-1,0)+1,OFFSET(C270,-1,0)))</f>
        <v/>
      </c>
      <c r="D270" s="218">
        <f>IF(H270="ETAPA",0,IF(H270="SUBETAPA",OFFSET(D270,-1,0)+1,OFFSET(D270,-1,0)))</f>
        <v/>
      </c>
      <c r="E270" s="218">
        <f>IF(H270="Subetapa",0,IF(H270="serviço",OFFSET(E270,-1,0)+1,OFFSET(E270,-1,0)))</f>
        <v/>
      </c>
      <c r="G270" s="124" t="n"/>
      <c r="H270" s="42" t="inlineStr">
        <is>
          <t>CÉLULA CONSTRUTIVA</t>
        </is>
      </c>
      <c r="I270" s="43">
        <f>IF(H270="Unidade Construtiva",TEXT(A270,"00"),IF(H270="Célula Construtiva",TEXT(B270,"00"),IF(H270="Etapa",CONCATENATE(TEXT(B270,"00"),".",TEXT(C270,"000")),IF(H270="Subetapa",CONCATENATE(TEXT(B270,"00"),".",TEXT(C270,"000"),".",TEXT(D270,"000")),IF(H270="Serviço",CONCATENATE(TEXT(B270,"00"),".",TEXT(C270,"000"),".",TEXT(D270,"000"),".",TEXT(E270,"000")),"")))))</f>
        <v/>
      </c>
      <c r="J270" s="48" t="inlineStr">
        <is>
          <t>REVESTIMENTOS E ACABAMENTOS INTERNOS EM TETO</t>
        </is>
      </c>
      <c r="K270" s="45" t="n"/>
      <c r="L270" s="46" t="n"/>
      <c r="M270" s="46" t="n"/>
      <c r="N270" s="47">
        <f>IF(H270="Serviço",M270*L270,IF(H270="CÉLULA CONSTRUTIVA",SUMIFS($N$8:$N$754,$B$8:$B$754,B270,$H$8:$H$754,"Serviço"),IF(H270="ETAPA",SUMIFS($N$8:$N$754,$B$8:$B$754,B270,$C$8:$C$754,C270,$H$8:$H$754,"Serviço"),IF(H270="SUBETAPA",SUMIFS($N$8:$N$754,$B$8:$B$754,B270,$C$8:$C$754,C270,$D$8:$D$754,D270,$H$8:$H$754,"Serviço"),0))))</f>
        <v/>
      </c>
      <c r="O270" s="45" t="n"/>
      <c r="P270" s="46" t="n"/>
      <c r="Q270" s="46" t="n"/>
      <c r="R270" s="47" t="n"/>
      <c r="S270" s="123" t="n"/>
      <c r="T270" s="215" t="n"/>
      <c r="U270" s="49" t="n"/>
    </row>
    <row r="271" outlineLevel="1" ht="13.8" customFormat="1" customHeight="1" s="31">
      <c r="A271" s="217">
        <f>IF($H271="UNIDADE CONSTRUTIVA",OFFSET(A271,-1,0)+1,LARGE(A$3:A270,1))</f>
        <v/>
      </c>
      <c r="B271" s="217">
        <f>IF(H271="UNIDADE CONSTRUTIVA",0,IF(H271="CÉLULA CONSTRUTIVA",OFFSET(B271,-1,0)+1,OFFSET(B271,-1,0)))</f>
        <v/>
      </c>
      <c r="C271" s="217">
        <f>IF(H271="CÉLULA CONSTRUTIVA",0,IF(H271="ETAPA",OFFSET(C271,-1,0)+1,OFFSET(C271,-1,0)))</f>
        <v/>
      </c>
      <c r="D271" s="218">
        <f>IF(H271="ETAPA",0,IF(H271="SUBETAPA",OFFSET(D271,-1,0)+1,OFFSET(D271,-1,0)))</f>
        <v/>
      </c>
      <c r="E271" s="218">
        <f>IF(H271="Subetapa",0,IF(H271="serviço",OFFSET(E271,-1,0)+1,OFFSET(E271,-1,0)))</f>
        <v/>
      </c>
      <c r="G271" s="124" t="n"/>
      <c r="H271" s="42" t="inlineStr">
        <is>
          <t>ETAPA</t>
        </is>
      </c>
      <c r="I271" s="43">
        <f>IF(H271="Unidade Construtiva",TEXT(A271,"00"),IF(H271="Célula Construtiva",TEXT(B271,"00"),IF(H271="Etapa",CONCATENATE(TEXT(B271,"00"),".",TEXT(C271,"000")),IF(H271="Subetapa",CONCATENATE(TEXT(B271,"00"),".",TEXT(C271,"000"),".",TEXT(D271,"000")),IF(H271="Serviço",CONCATENATE(TEXT(B271,"00"),".",TEXT(C271,"000"),".",TEXT(D271,"000"),".",TEXT(E271,"000")),"")))))</f>
        <v/>
      </c>
      <c r="J271" s="48" t="inlineStr">
        <is>
          <t>REVESTIMENTOS E ACABAMENTOS INTERNOS EM TETO</t>
        </is>
      </c>
      <c r="K271" s="45" t="n"/>
      <c r="L271" s="46" t="n"/>
      <c r="M271" s="46" t="n"/>
      <c r="N271" s="47">
        <f>IF(H271="Serviço",M271*L271,IF(H271="CÉLULA CONSTRUTIVA",SUMIFS($N$8:$N$754,$B$8:$B$754,B271,$H$8:$H$754,"Serviço"),IF(H271="ETAPA",SUMIFS($N$8:$N$754,$B$8:$B$754,B271,$C$8:$C$754,C271,$H$8:$H$754,"Serviço"),IF(H271="SUBETAPA",SUMIFS($N$8:$N$754,$B$8:$B$754,B271,$C$8:$C$754,C271,$D$8:$D$754,D271,$H$8:$H$754,"Serviço"),0))))</f>
        <v/>
      </c>
      <c r="O271" s="45" t="n"/>
      <c r="P271" s="46" t="n"/>
      <c r="Q271" s="46" t="n"/>
      <c r="R271" s="47" t="n"/>
      <c r="S271" s="123" t="n"/>
      <c r="T271" s="49" t="n"/>
      <c r="U271" s="49" t="n"/>
    </row>
    <row r="272" outlineLevel="1" ht="13.8" customFormat="1" customHeight="1" s="31">
      <c r="A272" s="217">
        <f>IF($H272="UNIDADE CONSTRUTIVA",OFFSET(A272,-1,0)+1,LARGE(A$3:A271,1))</f>
        <v/>
      </c>
      <c r="B272" s="217">
        <f>IF(H272="UNIDADE CONSTRUTIVA",0,IF(H272="CÉLULA CONSTRUTIVA",OFFSET(B272,-1,0)+1,OFFSET(B272,-1,0)))</f>
        <v/>
      </c>
      <c r="C272" s="217">
        <f>IF(H272="CÉLULA CONSTRUTIVA",0,IF(H272="ETAPA",OFFSET(C272,-1,0)+1,OFFSET(C272,-1,0)))</f>
        <v/>
      </c>
      <c r="D272" s="218">
        <f>IF(H272="ETAPA",0,IF(H272="SUBETAPA",OFFSET(D272,-1,0)+1,OFFSET(D272,-1,0)))</f>
        <v/>
      </c>
      <c r="E272" s="218">
        <f>IF(H272="Subetapa",0,IF(H272="serviço",OFFSET(E272,-1,0)+1,OFFSET(E272,-1,0)))</f>
        <v/>
      </c>
      <c r="G272" s="124" t="n"/>
      <c r="H272" s="42" t="inlineStr">
        <is>
          <t>SUBETAPA</t>
        </is>
      </c>
      <c r="I272" s="43">
        <f>IF(H272="Unidade Construtiva",TEXT(A272,"00"),IF(H272="Célula Construtiva",TEXT(B272,"00"),IF(H272="Etapa",CONCATENATE(TEXT(B272,"00"),".",TEXT(C272,"000")),IF(H272="Subetapa",CONCATENATE(TEXT(B272,"00"),".",TEXT(C272,"000"),".",TEXT(D272,"000")),IF(H272="Serviço",CONCATENATE(TEXT(B272,"00"),".",TEXT(C272,"000"),".",TEXT(D272,"000"),".",TEXT(E272,"000")),"")))))</f>
        <v/>
      </c>
      <c r="J272" s="48" t="inlineStr">
        <is>
          <t>Revestimento interno argamassado em teto</t>
        </is>
      </c>
      <c r="K272" s="158" t="n"/>
      <c r="L272" s="46" t="n"/>
      <c r="M272" s="46" t="n"/>
      <c r="N272" s="47">
        <f>IF(H272="Serviço",M272*L272,IF(H272="CÉLULA CONSTRUTIVA",SUMIFS($N$8:$N$754,$B$8:$B$754,B272,$H$8:$H$754,"Serviço"),IF(H272="ETAPA",SUMIFS($N$8:$N$754,$B$8:$B$754,B272,$C$8:$C$754,C272,$H$8:$H$754,"Serviço"),IF(H272="SUBETAPA",SUMIFS($N$8:$N$754,$B$8:$B$754,B272,$C$8:$C$754,C272,$D$8:$D$754,D272,$H$8:$H$754,"Serviço"),0))))</f>
        <v/>
      </c>
      <c r="O272" s="158" t="n"/>
      <c r="P272" s="46" t="n"/>
      <c r="Q272" s="46" t="n"/>
      <c r="R272" s="216" t="inlineStr">
        <is>
          <t>20.001.003.002 - Revestimento de fachada em chapa de ACM</t>
        </is>
      </c>
      <c r="S272" s="123" t="n"/>
      <c r="T272" s="49" t="n"/>
      <c r="U272" s="49" t="n"/>
    </row>
    <row r="273" outlineLevel="2" ht="13.8" customFormat="1" customHeight="1" s="31">
      <c r="A273" s="217">
        <f>IF($H273="UNIDADE CONSTRUTIVA",OFFSET(A273,-1,0)+1,LARGE(A$3:A272,1))</f>
        <v/>
      </c>
      <c r="B273" s="217">
        <f>IF(H273="UNIDADE CONSTRUTIVA",0,IF(H273="CÉLULA CONSTRUTIVA",OFFSET(B273,-1,0)+1,OFFSET(B273,-1,0)))</f>
        <v/>
      </c>
      <c r="C273" s="217">
        <f>IF(H273="CÉLULA CONSTRUTIVA",0,IF(H273="ETAPA",OFFSET(C273,-1,0)+1,OFFSET(C273,-1,0)))</f>
        <v/>
      </c>
      <c r="D273" s="218">
        <f>IF(H273="ETAPA",0,IF(H273="SUBETAPA",OFFSET(D273,-1,0)+1,OFFSET(D273,-1,0)))</f>
        <v/>
      </c>
      <c r="E273" s="218">
        <f>IF(H273="Subetapa",0,IF(H273="serviço",OFFSET(E273,-1,0)+1,OFFSET(E273,-1,0)))</f>
        <v/>
      </c>
      <c r="G273" s="124" t="inlineStr">
        <is>
          <t>REVESTIMENTOS E ACABAMENTOS INTERNOS EM TETO</t>
        </is>
      </c>
      <c r="H273" s="42" t="inlineStr">
        <is>
          <t>SERVIÇO</t>
        </is>
      </c>
      <c r="I273" s="43">
        <f>IF(H273="Unidade Construtiva",TEXT(A273,"00"),IF(H273="Célula Construtiva",TEXT(B273,"00"),IF(H273="Etapa",CONCATENATE(TEXT(B273,"00"),".",TEXT(C273,"000")),IF(H273="Subetapa",CONCATENATE(TEXT(B273,"00"),".",TEXT(C273,"000"),".",TEXT(D273,"000")),IF(H273="Serviço",CONCATENATE(TEXT(B273,"00"),".",TEXT(C273,"000"),".",TEXT(D273,"000"),".",TEXT(E273,"000")),"")))))</f>
        <v/>
      </c>
      <c r="J273" s="48" t="inlineStr">
        <is>
          <t>Estucamento de teto</t>
        </is>
      </c>
      <c r="K273" s="45" t="inlineStr">
        <is>
          <t>m2</t>
        </is>
      </c>
      <c r="L273" s="46" t="n">
        <v>1430.32</v>
      </c>
      <c r="M273" s="46" t="n">
        <v>5.102916666666666</v>
      </c>
      <c r="N273" s="47">
        <f>IF(H273="Serviço",M273*L273,IF(H273="CÉLULA CONSTRUTIVA",SUMIFS($N$8:$N$754,$B$8:$B$754,B273,$H$8:$H$754,"Serviço"),IF(H273="ETAPA",SUMIFS($N$8:$N$754,$B$8:$B$754,B273,$C$8:$C$754,C273,$H$8:$H$754,"Serviço"),IF(H273="SUBETAPA",SUMIFS($N$8:$N$754,$B$8:$B$754,B273,$C$8:$C$754,C273,$D$8:$D$754,D273,$H$8:$H$754,"Serviço"),0))))</f>
        <v/>
      </c>
      <c r="O273" s="45" t="n"/>
      <c r="P273" s="46" t="n"/>
      <c r="Q273" s="46" t="n"/>
      <c r="R273" s="47" t="n"/>
      <c r="S273" s="123" t="n"/>
      <c r="T273" s="49" t="n"/>
      <c r="U273" s="49" t="n"/>
    </row>
    <row r="274" outlineLevel="1" ht="13.8" customFormat="1" customHeight="1" s="31">
      <c r="A274" s="217">
        <f>IF($H274="UNIDADE CONSTRUTIVA",OFFSET(A274,-1,0)+1,LARGE(A$3:A273,1))</f>
        <v/>
      </c>
      <c r="B274" s="217">
        <f>IF(H274="UNIDADE CONSTRUTIVA",0,IF(H274="CÉLULA CONSTRUTIVA",OFFSET(B274,-1,0)+1,OFFSET(B274,-1,0)))</f>
        <v/>
      </c>
      <c r="C274" s="217">
        <f>IF(H274="CÉLULA CONSTRUTIVA",0,IF(H274="ETAPA",OFFSET(C274,-1,0)+1,OFFSET(C274,-1,0)))</f>
        <v/>
      </c>
      <c r="D274" s="218">
        <f>IF(H274="ETAPA",0,IF(H274="SUBETAPA",OFFSET(D274,-1,0)+1,OFFSET(D274,-1,0)))</f>
        <v/>
      </c>
      <c r="E274" s="218">
        <f>IF(H274="Subetapa",0,IF(H274="serviço",OFFSET(E274,-1,0)+1,OFFSET(E274,-1,0)))</f>
        <v/>
      </c>
      <c r="G274" s="124" t="n"/>
      <c r="H274" s="42" t="inlineStr">
        <is>
          <t>SUBETAPA</t>
        </is>
      </c>
      <c r="I274" s="43">
        <f>IF(H274="Unidade Construtiva",TEXT(A274,"00"),IF(H274="Célula Construtiva",TEXT(B274,"00"),IF(H274="Etapa",CONCATENATE(TEXT(B274,"00"),".",TEXT(C274,"000")),IF(H274="Subetapa",CONCATENATE(TEXT(B274,"00"),".",TEXT(C274,"000"),".",TEXT(D274,"000")),IF(H274="Serviço",CONCATENATE(TEXT(B274,"00"),".",TEXT(C274,"000"),".",TEXT(D274,"000"),".",TEXT(E274,"000")),"")))))</f>
        <v/>
      </c>
      <c r="J274" s="48" t="inlineStr">
        <is>
          <t>Acabamento de gesso em teto</t>
        </is>
      </c>
      <c r="K274" s="45" t="n"/>
      <c r="L274" s="46" t="n"/>
      <c r="M274" s="46" t="n"/>
      <c r="N274" s="47">
        <f>IF(H274="Serviço",M274*L274,IF(H274="CÉLULA CONSTRUTIVA",SUMIFS($N$8:$N$754,$B$8:$B$754,B274,$H$8:$H$754,"Serviço"),IF(H274="ETAPA",SUMIFS($N$8:$N$754,$B$8:$B$754,B274,$C$8:$C$754,C274,$H$8:$H$754,"Serviço"),IF(H274="SUBETAPA",SUMIFS($N$8:$N$754,$B$8:$B$754,B274,$C$8:$C$754,C274,$D$8:$D$754,D274,$H$8:$H$754,"Serviço"),0))))</f>
        <v/>
      </c>
      <c r="O274" s="45" t="n"/>
      <c r="P274" s="46" t="n"/>
      <c r="Q274" s="46" t="n"/>
      <c r="R274" s="216" t="inlineStr">
        <is>
          <t>14.001.001.003 - Estucamento de estrutura de concreto em teto</t>
        </is>
      </c>
      <c r="S274" s="125">
        <f>SUM(L273:L278)</f>
        <v/>
      </c>
      <c r="T274" s="49" t="n"/>
      <c r="U274" s="49" t="n"/>
    </row>
    <row r="275" outlineLevel="2" ht="13.8" customFormat="1" customHeight="1" s="31">
      <c r="A275" s="217">
        <f>IF($H275="UNIDADE CONSTRUTIVA",OFFSET(A275,-1,0)+1,LARGE(A$3:A274,1))</f>
        <v/>
      </c>
      <c r="B275" s="217">
        <f>IF(H275="UNIDADE CONSTRUTIVA",0,IF(H275="CÉLULA CONSTRUTIVA",OFFSET(B275,-1,0)+1,OFFSET(B275,-1,0)))</f>
        <v/>
      </c>
      <c r="C275" s="217">
        <f>IF(H275="CÉLULA CONSTRUTIVA",0,IF(H275="ETAPA",OFFSET(C275,-1,0)+1,OFFSET(C275,-1,0)))</f>
        <v/>
      </c>
      <c r="D275" s="218">
        <f>IF(H275="ETAPA",0,IF(H275="SUBETAPA",OFFSET(D275,-1,0)+1,OFFSET(D275,-1,0)))</f>
        <v/>
      </c>
      <c r="E275" s="218">
        <f>IF(H275="Subetapa",0,IF(H275="serviço",OFFSET(E275,-1,0)+1,OFFSET(E275,-1,0)))</f>
        <v/>
      </c>
      <c r="G275" s="124" t="inlineStr">
        <is>
          <t>REVESTIMENTOS E ACABAMENTOS INTERNOS EM TETO</t>
        </is>
      </c>
      <c r="H275" s="42" t="inlineStr">
        <is>
          <t>SERVIÇO</t>
        </is>
      </c>
      <c r="I275" s="43">
        <f>IF(H275="Unidade Construtiva",TEXT(A275,"00"),IF(H275="Célula Construtiva",TEXT(B275,"00"),IF(H275="Etapa",CONCATENATE(TEXT(B275,"00"),".",TEXT(C275,"000")),IF(H275="Subetapa",CONCATENATE(TEXT(B275,"00"),".",TEXT(C275,"000"),".",TEXT(D275,"000")),IF(H275="Serviço",CONCATENATE(TEXT(B275,"00"),".",TEXT(C275,"000"),".",TEXT(D275,"000"),".",TEXT(E275,"000")),"")))))</f>
        <v/>
      </c>
      <c r="J275" s="48" t="inlineStr">
        <is>
          <t>Forro de gesso acartonado - áreas secas - Material e Mão de Obra</t>
        </is>
      </c>
      <c r="K275" s="45" t="inlineStr">
        <is>
          <t>m2</t>
        </is>
      </c>
      <c r="L275" s="46" t="n">
        <v>2484.91</v>
      </c>
      <c r="M275" s="46" t="n">
        <v>126</v>
      </c>
      <c r="N275" s="47">
        <f>IF(H275="Serviço",M275*L275,IF(H275="CÉLULA CONSTRUTIVA",SUMIFS($N$8:$N$754,$B$8:$B$754,B275,$H$8:$H$754,"Serviço"),IF(H275="ETAPA",SUMIFS($N$8:$N$754,$B$8:$B$754,B275,$C$8:$C$754,C275,$H$8:$H$754,"Serviço"),IF(H275="SUBETAPA",SUMIFS($N$8:$N$754,$B$8:$B$754,B275,$C$8:$C$754,C275,$D$8:$D$754,D275,$H$8:$H$754,"Serviço"),0))))</f>
        <v/>
      </c>
      <c r="O275" s="45" t="n"/>
      <c r="P275" s="46" t="n"/>
      <c r="Q275" s="46" t="n"/>
      <c r="R275" s="47" t="n"/>
      <c r="S275" s="123" t="n"/>
      <c r="T275" s="49" t="n"/>
      <c r="U275" s="49" t="n"/>
    </row>
    <row r="276" outlineLevel="2" ht="13.8" customFormat="1" customHeight="1" s="31">
      <c r="A276" s="217">
        <f>IF($H276="UNIDADE CONSTRUTIVA",OFFSET(A276,-1,0)+1,LARGE(A$3:A275,1))</f>
        <v/>
      </c>
      <c r="B276" s="217">
        <f>IF(H276="UNIDADE CONSTRUTIVA",0,IF(H276="CÉLULA CONSTRUTIVA",OFFSET(B276,-1,0)+1,OFFSET(B276,-1,0)))</f>
        <v/>
      </c>
      <c r="C276" s="217">
        <f>IF(H276="CÉLULA CONSTRUTIVA",0,IF(H276="ETAPA",OFFSET(C276,-1,0)+1,OFFSET(C276,-1,0)))</f>
        <v/>
      </c>
      <c r="D276" s="218">
        <f>IF(H276="ETAPA",0,IF(H276="SUBETAPA",OFFSET(D276,-1,0)+1,OFFSET(D276,-1,0)))</f>
        <v/>
      </c>
      <c r="E276" s="218">
        <f>IF(H276="Subetapa",0,IF(H276="serviço",OFFSET(E276,-1,0)+1,OFFSET(E276,-1,0)))</f>
        <v/>
      </c>
      <c r="G276" s="124" t="inlineStr">
        <is>
          <t>REVESTIMENTOS E ACABAMENTOS INTERNOS EM TETO</t>
        </is>
      </c>
      <c r="H276" s="42" t="inlineStr">
        <is>
          <t>SERVIÇO</t>
        </is>
      </c>
      <c r="I276" s="43">
        <f>IF(H276="Unidade Construtiva",TEXT(A276,"00"),IF(H276="Célula Construtiva",TEXT(B276,"00"),IF(H276="Etapa",CONCATENATE(TEXT(B276,"00"),".",TEXT(C276,"000")),IF(H276="Subetapa",CONCATENATE(TEXT(B276,"00"),".",TEXT(C276,"000"),".",TEXT(D276,"000")),IF(H276="Serviço",CONCATENATE(TEXT(B276,"00"),".",TEXT(C276,"000"),".",TEXT(D276,"000"),".",TEXT(E276,"000")),"")))))</f>
        <v/>
      </c>
      <c r="J276" s="48" t="inlineStr">
        <is>
          <t>Forro de gesso acartonado - áreas úmidas - Material e Mão de Obra</t>
        </is>
      </c>
      <c r="K276" s="45" t="inlineStr">
        <is>
          <t>m2</t>
        </is>
      </c>
      <c r="L276" s="46" t="n">
        <v>175.44</v>
      </c>
      <c r="M276" s="46" t="n">
        <v>163.8</v>
      </c>
      <c r="N276" s="47">
        <f>IF(H276="Serviço",M276*L276,IF(H276="CÉLULA CONSTRUTIVA",SUMIFS($N$8:$N$754,$B$8:$B$754,B276,$H$8:$H$754,"Serviço"),IF(H276="ETAPA",SUMIFS($N$8:$N$754,$B$8:$B$754,B276,$C$8:$C$754,C276,$H$8:$H$754,"Serviço"),IF(H276="SUBETAPA",SUMIFS($N$8:$N$754,$B$8:$B$754,B276,$C$8:$C$754,C276,$D$8:$D$754,D276,$H$8:$H$754,"Serviço"),0))))</f>
        <v/>
      </c>
      <c r="O276" s="45" t="n"/>
      <c r="P276" s="46" t="n"/>
      <c r="Q276" s="46" t="n"/>
      <c r="R276" s="47" t="n"/>
      <c r="S276" s="123" t="n"/>
      <c r="T276" s="49" t="n"/>
      <c r="U276" s="49" t="n"/>
    </row>
    <row r="277" outlineLevel="1" ht="13.8" customFormat="1" customHeight="1" s="31">
      <c r="A277" s="217">
        <f>IF($H277="UNIDADE CONSTRUTIVA",OFFSET(A277,-1,0)+1,LARGE(A$3:A276,1))</f>
        <v/>
      </c>
      <c r="B277" s="217">
        <f>IF(H277="UNIDADE CONSTRUTIVA",0,IF(H277="CÉLULA CONSTRUTIVA",OFFSET(B277,-1,0)+1,OFFSET(B277,-1,0)))</f>
        <v/>
      </c>
      <c r="C277" s="217">
        <f>IF(H277="CÉLULA CONSTRUTIVA",0,IF(H277="ETAPA",OFFSET(C277,-1,0)+1,OFFSET(C277,-1,0)))</f>
        <v/>
      </c>
      <c r="D277" s="218">
        <f>IF(H277="ETAPA",0,IF(H277="SUBETAPA",OFFSET(D277,-1,0)+1,OFFSET(D277,-1,0)))</f>
        <v/>
      </c>
      <c r="E277" s="218">
        <f>IF(H277="Subetapa",0,IF(H277="serviço",OFFSET(E277,-1,0)+1,OFFSET(E277,-1,0)))</f>
        <v/>
      </c>
      <c r="G277" s="124" t="n"/>
      <c r="H277" s="42" t="inlineStr">
        <is>
          <t>SUBETAPA</t>
        </is>
      </c>
      <c r="I277" s="43">
        <f>IF(H277="Unidade Construtiva",TEXT(A277,"00"),IF(H277="Célula Construtiva",TEXT(B277,"00"),IF(H277="Etapa",CONCATENATE(TEXT(B277,"00"),".",TEXT(C277,"000")),IF(H277="Subetapa",CONCATENATE(TEXT(B277,"00"),".",TEXT(C277,"000"),".",TEXT(D277,"000")),IF(H277="Serviço",CONCATENATE(TEXT(B277,"00"),".",TEXT(C277,"000"),".",TEXT(D277,"000"),".",TEXT(E277,"000")),"")))))</f>
        <v/>
      </c>
      <c r="J277" s="48" t="inlineStr">
        <is>
          <t>Forro especial</t>
        </is>
      </c>
      <c r="K277" s="158" t="n"/>
      <c r="L277" s="46" t="n"/>
      <c r="M277" s="46" t="n"/>
      <c r="N277" s="47">
        <f>IF(H277="Serviço",M277*L277,IF(H277="CÉLULA CONSTRUTIVA",SUMIFS($N$8:$N$754,$B$8:$B$754,B277,$H$8:$H$754,"Serviço"),IF(H277="ETAPA",SUMIFS($N$8:$N$754,$B$8:$B$754,B277,$C$8:$C$754,C277,$H$8:$H$754,"Serviço"),IF(H277="SUBETAPA",SUMIFS($N$8:$N$754,$B$8:$B$754,B277,$C$8:$C$754,C277,$D$8:$D$754,D277,$H$8:$H$754,"Serviço"),0))))</f>
        <v/>
      </c>
      <c r="O277" s="158" t="n"/>
      <c r="P277" s="46" t="n"/>
      <c r="Q277" s="46" t="n"/>
      <c r="R277" s="216" t="inlineStr">
        <is>
          <t>01.01.001.0002.0015 - Projeto de piscina</t>
        </is>
      </c>
      <c r="S277" s="123" t="n"/>
      <c r="T277" s="49" t="n"/>
      <c r="U277" s="49" t="n"/>
    </row>
    <row r="278" outlineLevel="2" ht="13.8" customFormat="1" customHeight="1" s="31">
      <c r="A278" s="217">
        <f>IF($H278="UNIDADE CONSTRUTIVA",OFFSET(A278,-1,0)+1,LARGE(A$3:A276,1))</f>
        <v/>
      </c>
      <c r="B278" s="217">
        <f>IF(H278="UNIDADE CONSTRUTIVA",0,IF(H278="CÉLULA CONSTRUTIVA",OFFSET(B278,-1,0)+1,OFFSET(B278,-1,0)))</f>
        <v/>
      </c>
      <c r="C278" s="217">
        <f>IF(H278="CÉLULA CONSTRUTIVA",0,IF(H278="ETAPA",OFFSET(C278,-1,0)+1,OFFSET(C278,-1,0)))</f>
        <v/>
      </c>
      <c r="D278" s="218">
        <f>IF(H278="ETAPA",0,IF(H278="SUBETAPA",OFFSET(D278,-1,0)+1,OFFSET(D278,-1,0)))</f>
        <v/>
      </c>
      <c r="E278" s="218">
        <f>IF(H278="Subetapa",0,IF(H278="serviço",OFFSET(E278,-1,0)+1,OFFSET(E278,-1,0)))</f>
        <v/>
      </c>
      <c r="G278" s="124" t="inlineStr">
        <is>
          <t>REVESTIMENTOS E ACABAMENTOS INTERNOS EM TETO</t>
        </is>
      </c>
      <c r="H278" s="42" t="inlineStr">
        <is>
          <t>SERVIÇO</t>
        </is>
      </c>
      <c r="I278" s="43">
        <f>IF(H278="Unidade Construtiva",TEXT(A278,"00"),IF(H278="Célula Construtiva",TEXT(B278,"00"),IF(H278="Etapa",CONCATENATE(TEXT(B278,"00"),".",TEXT(C278,"000")),IF(H278="Subetapa",CONCATENATE(TEXT(B278,"00"),".",TEXT(C278,"000"),".",TEXT(D278,"000")),IF(H278="Serviço",CONCATENATE(TEXT(B278,"00"),".",TEXT(C278,"000"),".",TEXT(D278,"000"),".",TEXT(E278,"000")),"")))))</f>
        <v/>
      </c>
      <c r="J278" s="48" t="inlineStr">
        <is>
          <t>Forro de placa cimenticia - Material e Mão de Obra</t>
        </is>
      </c>
      <c r="K278" s="45" t="inlineStr">
        <is>
          <t>m</t>
        </is>
      </c>
      <c r="L278" s="46" t="n">
        <v>215.12</v>
      </c>
      <c r="M278" s="46" t="n">
        <v>275</v>
      </c>
      <c r="N278" s="47">
        <f>IF(H278="Serviço",M278*L278,IF(H278="CÉLULA CONSTRUTIVA",SUMIFS($N$8:$N$754,$B$8:$B$754,B278,$H$8:$H$754,"Serviço"),IF(H278="ETAPA",SUMIFS($N$8:$N$754,$B$8:$B$754,B278,$C$8:$C$754,C278,$H$8:$H$754,"Serviço"),IF(H278="SUBETAPA",SUMIFS($N$8:$N$754,$B$8:$B$754,B278,$C$8:$C$754,C278,$D$8:$D$754,D278,$H$8:$H$754,"Serviço"),0))))</f>
        <v/>
      </c>
      <c r="O278" s="45" t="n"/>
      <c r="P278" s="46" t="n"/>
      <c r="Q278" s="46" t="n"/>
      <c r="R278" s="47" t="n"/>
      <c r="S278" s="123" t="n"/>
      <c r="T278" s="49" t="n"/>
      <c r="U278" s="49" t="n"/>
    </row>
    <row r="279" outlineLevel="1" ht="13.8" customFormat="1" customHeight="1" s="31">
      <c r="A279" s="217">
        <f>IF($H279="UNIDADE CONSTRUTIVA",OFFSET(A279,-1,0)+1,LARGE(A$3:A278,1))</f>
        <v/>
      </c>
      <c r="B279" s="217">
        <f>IF(H279="UNIDADE CONSTRUTIVA",0,IF(H279="CÉLULA CONSTRUTIVA",OFFSET(B279,-1,0)+1,OFFSET(B279,-1,0)))</f>
        <v/>
      </c>
      <c r="C279" s="217">
        <f>IF(H279="CÉLULA CONSTRUTIVA",0,IF(H279="ETAPA",OFFSET(C279,-1,0)+1,OFFSET(C279,-1,0)))</f>
        <v/>
      </c>
      <c r="D279" s="218">
        <f>IF(H279="ETAPA",0,IF(H279="SUBETAPA",OFFSET(D279,-1,0)+1,OFFSET(D279,-1,0)))</f>
        <v/>
      </c>
      <c r="E279" s="218">
        <f>IF(H279="Subetapa",0,IF(H279="serviço",OFFSET(E279,-1,0)+1,OFFSET(E279,-1,0)))</f>
        <v/>
      </c>
      <c r="G279" s="124" t="n"/>
      <c r="H279" s="42" t="inlineStr">
        <is>
          <t>SUBETAPA</t>
        </is>
      </c>
      <c r="I279" s="43">
        <f>IF(H279="Unidade Construtiva",TEXT(A279,"00"),IF(H279="Célula Construtiva",TEXT(B279,"00"),IF(H279="Etapa",CONCATENATE(TEXT(B279,"00"),".",TEXT(C279,"000")),IF(H279="Subetapa",CONCATENATE(TEXT(B279,"00"),".",TEXT(C279,"000"),".",TEXT(D279,"000")),IF(H279="Serviço",CONCATENATE(TEXT(B279,"00"),".",TEXT(C279,"000"),".",TEXT(D279,"000"),".",TEXT(E279,"000")),"")))))</f>
        <v/>
      </c>
      <c r="J279" s="48" t="inlineStr">
        <is>
          <t>Mão de obra</t>
        </is>
      </c>
      <c r="K279" s="45" t="n"/>
      <c r="L279" s="46" t="n"/>
      <c r="M279" s="46" t="n"/>
      <c r="N279" s="47">
        <f>IF(H279="Serviço",M279*L279,IF(H279="CÉLULA CONSTRUTIVA",SUMIFS($N$8:$N$754,$B$8:$B$754,B279,$H$8:$H$754,"Serviço"),IF(H279="ETAPA",SUMIFS($N$8:$N$754,$B$8:$B$754,B279,$C$8:$C$754,C279,$H$8:$H$754,"Serviço"),IF(H279="SUBETAPA",SUMIFS($N$8:$N$754,$B$8:$B$754,B279,$C$8:$C$754,C279,$D$8:$D$754,D279,$H$8:$H$754,"Serviço"),0))))</f>
        <v/>
      </c>
      <c r="O279" s="45" t="n"/>
      <c r="P279" s="46" t="n"/>
      <c r="Q279" s="46" t="n"/>
      <c r="R279" s="216" t="inlineStr">
        <is>
          <t>19.001.005.001 - Mão de obra para telhamento</t>
        </is>
      </c>
      <c r="S279" s="123" t="n"/>
      <c r="T279" s="49" t="n"/>
      <c r="U279" s="49" t="n"/>
    </row>
    <row r="280" outlineLevel="2" ht="13.8" customFormat="1" customHeight="1" s="31">
      <c r="A280" s="217">
        <f>IF($H280="UNIDADE CONSTRUTIVA",OFFSET(A280,-1,0)+1,LARGE(A$3:A279,1))</f>
        <v/>
      </c>
      <c r="B280" s="217">
        <f>IF(H280="UNIDADE CONSTRUTIVA",0,IF(H280="CÉLULA CONSTRUTIVA",OFFSET(B280,-1,0)+1,OFFSET(B280,-1,0)))</f>
        <v/>
      </c>
      <c r="C280" s="217">
        <f>IF(H280="CÉLULA CONSTRUTIVA",0,IF(H280="ETAPA",OFFSET(C280,-1,0)+1,OFFSET(C280,-1,0)))</f>
        <v/>
      </c>
      <c r="D280" s="218">
        <f>IF(H280="ETAPA",0,IF(H280="SUBETAPA",OFFSET(D280,-1,0)+1,OFFSET(D280,-1,0)))</f>
        <v/>
      </c>
      <c r="E280" s="218">
        <f>IF(H280="Subetapa",0,IF(H280="serviço",OFFSET(E280,-1,0)+1,OFFSET(E280,-1,0)))</f>
        <v/>
      </c>
      <c r="G280" s="124" t="inlineStr">
        <is>
          <t>REVESTIMENTOS E ACABAMENTOS INTERNOS EM TETO</t>
        </is>
      </c>
      <c r="H280" s="42" t="inlineStr">
        <is>
          <t>SERVIÇO</t>
        </is>
      </c>
      <c r="I280" s="43">
        <f>IF(H280="Unidade Construtiva",TEXT(A280,"00"),IF(H280="Célula Construtiva",TEXT(B280,"00"),IF(H280="Etapa",CONCATENATE(TEXT(B280,"00"),".",TEXT(C280,"000")),IF(H280="Subetapa",CONCATENATE(TEXT(B280,"00"),".",TEXT(C280,"000"),".",TEXT(D280,"000")),IF(H280="Serviço",CONCATENATE(TEXT(B280,"00"),".",TEXT(C280,"000"),".",TEXT(D280,"000"),".",TEXT(E280,"000")),"")))))</f>
        <v/>
      </c>
      <c r="J280" s="48" t="inlineStr">
        <is>
          <t>Mão de obra execução de estucamento em teto</t>
        </is>
      </c>
      <c r="K280" s="45" t="inlineStr">
        <is>
          <t>m2</t>
        </is>
      </c>
      <c r="L280" s="46">
        <f>L273</f>
        <v/>
      </c>
      <c r="M280" s="46" t="n">
        <v>25</v>
      </c>
      <c r="N280" s="47">
        <f>IF(H280="Serviço",M280*L280,IF(H280="CÉLULA CONSTRUTIVA",SUMIFS($N$8:$N$754,$B$8:$B$754,B280,$H$8:$H$754,"Serviço"),IF(H280="ETAPA",SUMIFS($N$8:$N$754,$B$8:$B$754,B280,$C$8:$C$754,C280,$H$8:$H$754,"Serviço"),IF(H280="SUBETAPA",SUMIFS($N$8:$N$754,$B$8:$B$754,B280,$C$8:$C$754,C280,$D$8:$D$754,D280,$H$8:$H$754,"Serviço"),0))))</f>
        <v/>
      </c>
      <c r="O280" s="45" t="n"/>
      <c r="P280" s="46" t="n"/>
      <c r="Q280" s="46" t="n"/>
      <c r="R280" s="47" t="n"/>
      <c r="S280" s="123" t="n"/>
      <c r="T280" s="49" t="n"/>
      <c r="U280" s="49" t="n"/>
    </row>
    <row r="281" ht="13.8" customFormat="1" customHeight="1" s="31">
      <c r="A281" s="217">
        <f>IF($H281="UNIDADE CONSTRUTIVA",OFFSET(A281,-1,0)+1,LARGE(A$3:A280,1))</f>
        <v/>
      </c>
      <c r="B281" s="217">
        <f>IF(H281="UNIDADE CONSTRUTIVA",0,IF(H281="CÉLULA CONSTRUTIVA",OFFSET(B281,-1,0)+1,OFFSET(B281,-1,0)))</f>
        <v/>
      </c>
      <c r="C281" s="217">
        <f>IF(H281="CÉLULA CONSTRUTIVA",0,IF(H281="ETAPA",OFFSET(C281,-1,0)+1,OFFSET(C281,-1,0)))</f>
        <v/>
      </c>
      <c r="D281" s="218">
        <f>IF(H281="ETAPA",0,IF(H281="SUBETAPA",OFFSET(D281,-1,0)+1,OFFSET(D281,-1,0)))</f>
        <v/>
      </c>
      <c r="E281" s="218">
        <f>IF(H281="Subetapa",0,IF(H281="serviço",OFFSET(E281,-1,0)+1,OFFSET(E281,-1,0)))</f>
        <v/>
      </c>
      <c r="G281" s="124" t="n"/>
      <c r="H281" s="42" t="inlineStr">
        <is>
          <t>CÉLULA CONSTRUTIVA</t>
        </is>
      </c>
      <c r="I281" s="43">
        <f>IF(H281="Unidade Construtiva",TEXT(A281,"00"),IF(H281="Célula Construtiva",TEXT(B281,"00"),IF(H281="Etapa",CONCATENATE(TEXT(B281,"00"),".",TEXT(C281,"000")),IF(H281="Subetapa",CONCATENATE(TEXT(B281,"00"),".",TEXT(C281,"000"),".",TEXT(D281,"000")),IF(H281="Serviço",CONCATENATE(TEXT(B281,"00"),".",TEXT(C281,"000"),".",TEXT(D281,"000"),".",TEXT(E281,"000")),"")))))</f>
        <v/>
      </c>
      <c r="J281" s="48" t="inlineStr">
        <is>
          <t>PISOS E PAVIMENTAÇÕES</t>
        </is>
      </c>
      <c r="K281" s="45" t="n"/>
      <c r="L281" s="46" t="n"/>
      <c r="M281" s="46" t="n"/>
      <c r="N281" s="47">
        <f>IF(H281="Serviço",M281*L281,IF(H281="CÉLULA CONSTRUTIVA",SUMIFS($N$8:$N$754,$B$8:$B$754,B281,$H$8:$H$754,"Serviço"),IF(H281="ETAPA",SUMIFS($N$8:$N$754,$B$8:$B$754,B281,$C$8:$C$754,C281,$H$8:$H$754,"Serviço"),IF(H281="SUBETAPA",SUMIFS($N$8:$N$754,$B$8:$B$754,B281,$C$8:$C$754,C281,$D$8:$D$754,D281,$H$8:$H$754,"Serviço"),0))))</f>
        <v/>
      </c>
      <c r="O281" s="45" t="n"/>
      <c r="P281" s="46" t="n"/>
      <c r="Q281" s="46" t="n"/>
      <c r="R281" s="47" t="n"/>
      <c r="S281" s="123" t="n"/>
      <c r="T281" s="215" t="n"/>
      <c r="U281" s="49" t="n"/>
    </row>
    <row r="282" outlineLevel="1" ht="13.8" customFormat="1" customHeight="1" s="31">
      <c r="A282" s="217">
        <f>IF($H282="UNIDADE CONSTRUTIVA",OFFSET(A282,-1,0)+1,LARGE(A$3:A281,1))</f>
        <v/>
      </c>
      <c r="B282" s="217">
        <f>IF(H282="UNIDADE CONSTRUTIVA",0,IF(H282="CÉLULA CONSTRUTIVA",OFFSET(B282,-1,0)+1,OFFSET(B282,-1,0)))</f>
        <v/>
      </c>
      <c r="C282" s="217">
        <f>IF(H282="CÉLULA CONSTRUTIVA",0,IF(H282="ETAPA",OFFSET(C282,-1,0)+1,OFFSET(C282,-1,0)))</f>
        <v/>
      </c>
      <c r="D282" s="218">
        <f>IF(H282="ETAPA",0,IF(H282="SUBETAPA",OFFSET(D282,-1,0)+1,OFFSET(D282,-1,0)))</f>
        <v/>
      </c>
      <c r="E282" s="218">
        <f>IF(H282="Subetapa",0,IF(H282="serviço",OFFSET(E282,-1,0)+1,OFFSET(E282,-1,0)))</f>
        <v/>
      </c>
      <c r="G282" s="124" t="n"/>
      <c r="H282" s="42" t="inlineStr">
        <is>
          <t>ETAPA</t>
        </is>
      </c>
      <c r="I282" s="43">
        <f>IF(H282="Unidade Construtiva",TEXT(A282,"00"),IF(H282="Célula Construtiva",TEXT(B282,"00"),IF(H282="Etapa",CONCATENATE(TEXT(B282,"00"),".",TEXT(C282,"000")),IF(H282="Subetapa",CONCATENATE(TEXT(B282,"00"),".",TEXT(C282,"000"),".",TEXT(D282,"000")),IF(H282="Serviço",CONCATENATE(TEXT(B282,"00"),".",TEXT(C282,"000"),".",TEXT(D282,"000"),".",TEXT(E282,"000")),"")))))</f>
        <v/>
      </c>
      <c r="J282" s="48" t="inlineStr">
        <is>
          <t>PISOS E PAVIMENTAÇÕES</t>
        </is>
      </c>
      <c r="K282" s="45" t="n"/>
      <c r="L282" s="46" t="n"/>
      <c r="M282" s="46" t="n"/>
      <c r="N282" s="47">
        <f>IF(H282="Serviço",M282*L282,IF(H282="CÉLULA CONSTRUTIVA",SUMIFS($N$8:$N$754,$B$8:$B$754,B282,$H$8:$H$754,"Serviço"),IF(H282="ETAPA",SUMIFS($N$8:$N$754,$B$8:$B$754,B282,$C$8:$C$754,C282,$H$8:$H$754,"Serviço"),IF(H282="SUBETAPA",SUMIFS($N$8:$N$754,$B$8:$B$754,B282,$C$8:$C$754,C282,$D$8:$D$754,D282,$H$8:$H$754,"Serviço"),0))))</f>
        <v/>
      </c>
      <c r="O282" s="45" t="n"/>
      <c r="P282" s="46" t="n"/>
      <c r="Q282" s="46" t="n"/>
      <c r="R282" s="47" t="n"/>
      <c r="S282" s="123" t="n"/>
      <c r="T282" s="49" t="n"/>
      <c r="U282" s="49" t="n"/>
    </row>
    <row r="283" outlineLevel="1" ht="13.8" customFormat="1" customHeight="1" s="31">
      <c r="A283" s="217">
        <f>IF($H283="UNIDADE CONSTRUTIVA",OFFSET(A283,-1,0)+1,LARGE(A$3:A282,1))</f>
        <v/>
      </c>
      <c r="B283" s="217">
        <f>IF(H283="UNIDADE CONSTRUTIVA",0,IF(H283="CÉLULA CONSTRUTIVA",OFFSET(B283,-1,0)+1,OFFSET(B283,-1,0)))</f>
        <v/>
      </c>
      <c r="C283" s="217">
        <f>IF(H283="CÉLULA CONSTRUTIVA",0,IF(H283="ETAPA",OFFSET(C283,-1,0)+1,OFFSET(C283,-1,0)))</f>
        <v/>
      </c>
      <c r="D283" s="218">
        <f>IF(H283="ETAPA",0,IF(H283="SUBETAPA",OFFSET(D283,-1,0)+1,OFFSET(D283,-1,0)))</f>
        <v/>
      </c>
      <c r="E283" s="218">
        <f>IF(H283="Subetapa",0,IF(H283="serviço",OFFSET(E283,-1,0)+1,OFFSET(E283,-1,0)))</f>
        <v/>
      </c>
      <c r="G283" s="124" t="n"/>
      <c r="H283" s="42" t="inlineStr">
        <is>
          <t>SUBETAPA</t>
        </is>
      </c>
      <c r="I283" s="43">
        <f>IF(H283="Unidade Construtiva",TEXT(A283,"00"),IF(H283="Célula Construtiva",TEXT(B283,"00"),IF(H283="Etapa",CONCATENATE(TEXT(B283,"00"),".",TEXT(C283,"000")),IF(H283="Subetapa",CONCATENATE(TEXT(B283,"00"),".",TEXT(C283,"000"),".",TEXT(D283,"000")),IF(H283="Serviço",CONCATENATE(TEXT(B283,"00"),".",TEXT(C283,"000"),".",TEXT(D283,"000"),".",TEXT(E283,"000")),"")))))</f>
        <v/>
      </c>
      <c r="J283" s="48" t="inlineStr">
        <is>
          <t>Contrapiso</t>
        </is>
      </c>
      <c r="K283" s="45" t="n"/>
      <c r="L283" s="46" t="n"/>
      <c r="M283" s="46" t="n"/>
      <c r="N283" s="47">
        <f>IF(H283="Serviço",M283*L283,IF(H283="CÉLULA CONSTRUTIVA",SUMIFS($N$8:$N$754,$B$8:$B$754,B283,$H$8:$H$754,"Serviço"),IF(H283="ETAPA",SUMIFS($N$8:$N$754,$B$8:$B$754,B283,$C$8:$C$754,C283,$H$8:$H$754,"Serviço"),IF(H283="SUBETAPA",SUMIFS($N$8:$N$754,$B$8:$B$754,B283,$C$8:$C$754,C283,$D$8:$D$754,D283,$H$8:$H$754,"Serviço"),0))))</f>
        <v/>
      </c>
      <c r="O283" s="45" t="n"/>
      <c r="P283" s="46" t="n"/>
      <c r="Q283" s="46" t="n"/>
      <c r="R283" s="47" t="n"/>
      <c r="S283" s="123" t="n"/>
      <c r="T283" s="49" t="n"/>
      <c r="U283" s="49" t="n"/>
    </row>
    <row r="284" outlineLevel="2" ht="13.8" customFormat="1" customHeight="1" s="31">
      <c r="A284" s="217">
        <f>IF($H284="UNIDADE CONSTRUTIVA",OFFSET(A284,-1,0)+1,LARGE(A$3:A283,1))</f>
        <v/>
      </c>
      <c r="B284" s="217">
        <f>IF(H284="UNIDADE CONSTRUTIVA",0,IF(H284="CÉLULA CONSTRUTIVA",OFFSET(B284,-1,0)+1,OFFSET(B284,-1,0)))</f>
        <v/>
      </c>
      <c r="C284" s="217">
        <f>IF(H284="CÉLULA CONSTRUTIVA",0,IF(H284="ETAPA",OFFSET(C284,-1,0)+1,OFFSET(C284,-1,0)))</f>
        <v/>
      </c>
      <c r="D284" s="218">
        <f>IF(H284="ETAPA",0,IF(H284="SUBETAPA",OFFSET(D284,-1,0)+1,OFFSET(D284,-1,0)))</f>
        <v/>
      </c>
      <c r="E284" s="218">
        <f>IF(H284="Subetapa",0,IF(H284="serviço",OFFSET(E284,-1,0)+1,OFFSET(E284,-1,0)))</f>
        <v/>
      </c>
      <c r="G284" s="124" t="inlineStr">
        <is>
          <t>PISOS E PAVIMENTAÇÕES</t>
        </is>
      </c>
      <c r="H284" s="42" t="inlineStr">
        <is>
          <t>SERVIÇO</t>
        </is>
      </c>
      <c r="I284" s="43">
        <f>IF(H284="Unidade Construtiva",TEXT(A284,"00"),IF(H284="Célula Construtiva",TEXT(B284,"00"),IF(H284="Etapa",CONCATENATE(TEXT(B284,"00"),".",TEXT(C284,"000")),IF(H284="Subetapa",CONCATENATE(TEXT(B284,"00"),".",TEXT(C284,"000"),".",TEXT(D284,"000")),IF(H284="Serviço",CONCATENATE(TEXT(B284,"00"),".",TEXT(C284,"000"),".",TEXT(D284,"000"),".",TEXT(E284,"000")),"")))))</f>
        <v/>
      </c>
      <c r="J284" s="48" t="inlineStr">
        <is>
          <t>Contrapiso comum em argamassa estabilizada, nao aderido, espessura 5cm</t>
        </is>
      </c>
      <c r="K284" s="45" t="inlineStr">
        <is>
          <t>m2</t>
        </is>
      </c>
      <c r="L284" s="46" t="n">
        <v>3468.05</v>
      </c>
      <c r="M284" s="46" t="n">
        <v>31.56023333333334</v>
      </c>
      <c r="N284" s="47">
        <f>IF(H284="Serviço",M284*L284,IF(H284="CÉLULA CONSTRUTIVA",SUMIFS($N$8:$N$754,$B$8:$B$754,B284,$H$8:$H$754,"Serviço"),IF(H284="ETAPA",SUMIFS($N$8:$N$754,$B$8:$B$754,B284,$C$8:$C$754,C284,$H$8:$H$754,"Serviço"),IF(H284="SUBETAPA",SUMIFS($N$8:$N$754,$B$8:$B$754,B284,$C$8:$C$754,C284,$D$8:$D$754,D284,$H$8:$H$754,"Serviço"),0))))</f>
        <v/>
      </c>
      <c r="O284" s="45" t="n"/>
      <c r="P284" s="46" t="n"/>
      <c r="Q284" s="46" t="n"/>
      <c r="R284" s="47" t="n"/>
      <c r="S284" s="125">
        <f>SUM(L289:L300)+408.5</f>
        <v/>
      </c>
      <c r="T284" s="49" t="n"/>
      <c r="U284" s="49" t="n"/>
    </row>
    <row r="285" outlineLevel="1" ht="13.8" customFormat="1" customHeight="1" s="31">
      <c r="A285" s="217">
        <f>IF($H285="UNIDADE CONSTRUTIVA",OFFSET(A285,-1,0)+1,LARGE(A$3:A284,1))</f>
        <v/>
      </c>
      <c r="B285" s="217">
        <f>IF(H285="UNIDADE CONSTRUTIVA",0,IF(H285="CÉLULA CONSTRUTIVA",OFFSET(B285,-1,0)+1,OFFSET(B285,-1,0)))</f>
        <v/>
      </c>
      <c r="C285" s="217">
        <f>IF(H285="CÉLULA CONSTRUTIVA",0,IF(H285="ETAPA",OFFSET(C285,-1,0)+1,OFFSET(C285,-1,0)))</f>
        <v/>
      </c>
      <c r="D285" s="218">
        <f>IF(H285="ETAPA",0,IF(H285="SUBETAPA",OFFSET(D285,-1,0)+1,OFFSET(D285,-1,0)))</f>
        <v/>
      </c>
      <c r="E285" s="218">
        <f>IF(H285="Subetapa",0,IF(H285="serviço",OFFSET(E285,-1,0)+1,OFFSET(E285,-1,0)))</f>
        <v/>
      </c>
      <c r="G285" s="124" t="n"/>
      <c r="H285" s="42" t="inlineStr">
        <is>
          <t>SUBETAPA</t>
        </is>
      </c>
      <c r="I285" s="43">
        <f>IF(H285="Unidade Construtiva",TEXT(A285,"00"),IF(H285="Célula Construtiva",TEXT(B285,"00"),IF(H285="Etapa",CONCATENATE(TEXT(B285,"00"),".",TEXT(C285,"000")),IF(H285="Subetapa",CONCATENATE(TEXT(B285,"00"),".",TEXT(C285,"000"),".",TEXT(D285,"000")),IF(H285="Serviço",CONCATENATE(TEXT(B285,"00"),".",TEXT(C285,"000"),".",TEXT(D285,"000"),".",TEXT(E285,"000")),"")))))</f>
        <v/>
      </c>
      <c r="J285" s="48" t="inlineStr">
        <is>
          <t>Acabamentos cimentados em piso</t>
        </is>
      </c>
      <c r="K285" s="45" t="n"/>
      <c r="L285" s="46" t="n"/>
      <c r="M285" s="46" t="n"/>
      <c r="N285" s="47">
        <f>IF(H285="Serviço",M285*L285,IF(H285="CÉLULA CONSTRUTIVA",SUMIFS($N$8:$N$754,$B$8:$B$754,B285,$H$8:$H$754,"Serviço"),IF(H285="ETAPA",SUMIFS($N$8:$N$754,$B$8:$B$754,B285,$C$8:$C$754,C285,$H$8:$H$754,"Serviço"),IF(H285="SUBETAPA",SUMIFS($N$8:$N$754,$B$8:$B$754,B285,$C$8:$C$754,C285,$D$8:$D$754,D285,$H$8:$H$754,"Serviço"),0))))</f>
        <v/>
      </c>
      <c r="O285" s="45" t="n"/>
      <c r="P285" s="46" t="n"/>
      <c r="Q285" s="46" t="n"/>
      <c r="R285" s="216" t="inlineStr">
        <is>
          <t>02.002.004.002 - Arrasamento mecanizado para estacas</t>
        </is>
      </c>
      <c r="S285" s="159" t="n"/>
      <c r="T285" s="49" t="n"/>
      <c r="U285" s="49" t="n"/>
    </row>
    <row r="286" outlineLevel="2" ht="13.8" customFormat="1" customHeight="1" s="31">
      <c r="A286" s="217">
        <f>IF($H286="UNIDADE CONSTRUTIVA",OFFSET(A286,-1,0)+1,LARGE(A$3:A285,1))</f>
        <v/>
      </c>
      <c r="B286" s="217">
        <f>IF(H286="UNIDADE CONSTRUTIVA",0,IF(H286="CÉLULA CONSTRUTIVA",OFFSET(B286,-1,0)+1,OFFSET(B286,-1,0)))</f>
        <v/>
      </c>
      <c r="C286" s="217">
        <f>IF(H286="CÉLULA CONSTRUTIVA",0,IF(H286="ETAPA",OFFSET(C286,-1,0)+1,OFFSET(C286,-1,0)))</f>
        <v/>
      </c>
      <c r="D286" s="218">
        <f>IF(H286="ETAPA",0,IF(H286="SUBETAPA",OFFSET(D286,-1,0)+1,OFFSET(D286,-1,0)))</f>
        <v/>
      </c>
      <c r="E286" s="218">
        <f>IF(H286="Subetapa",0,IF(H286="serviço",OFFSET(E286,-1,0)+1,OFFSET(E286,-1,0)))</f>
        <v/>
      </c>
      <c r="G286" s="124" t="inlineStr">
        <is>
          <t>PISOS E PAVIMENTAÇÕES</t>
        </is>
      </c>
      <c r="H286" s="42" t="inlineStr">
        <is>
          <t>SERVIÇO</t>
        </is>
      </c>
      <c r="I286" s="43">
        <f>IF(H286="Unidade Construtiva",TEXT(A286,"00"),IF(H286="Célula Construtiva",TEXT(B286,"00"),IF(H286="Etapa",CONCATENATE(TEXT(B286,"00"),".",TEXT(C286,"000")),IF(H286="Subetapa",CONCATENATE(TEXT(B286,"00"),".",TEXT(C286,"000"),".",TEXT(D286,"000")),IF(H286="Serviço",CONCATENATE(TEXT(B286,"00"),".",TEXT(C286,"000"),".",TEXT(D286,"000"),".",TEXT(E286,"000")),"")))))</f>
        <v/>
      </c>
      <c r="J286" s="160" t="inlineStr">
        <is>
          <t>Piso de concreto, acabamento estampado, espessura 6 cm</t>
        </is>
      </c>
      <c r="K286" s="45" t="inlineStr">
        <is>
          <t>m2</t>
        </is>
      </c>
      <c r="L286" s="46" t="n">
        <v>314.34</v>
      </c>
      <c r="M286" s="46" t="n">
        <v>77.36682066666667</v>
      </c>
      <c r="N286" s="47">
        <f>IF(H286="Serviço",M286*L286,IF(H286="CÉLULA CONSTRUTIVA",SUMIFS($N$8:$N$754,$B$8:$B$754,B286,$H$8:$H$754,"Serviço"),IF(H286="ETAPA",SUMIFS($N$8:$N$754,$B$8:$B$754,B286,$C$8:$C$754,C286,$H$8:$H$754,"Serviço"),IF(H286="SUBETAPA",SUMIFS($N$8:$N$754,$B$8:$B$754,B286,$C$8:$C$754,C286,$D$8:$D$754,D286,$H$8:$H$754,"Serviço"),0))))</f>
        <v/>
      </c>
      <c r="O286" s="45" t="n"/>
      <c r="P286" s="46" t="n"/>
      <c r="Q286" s="46" t="n"/>
      <c r="R286" s="47" t="n"/>
      <c r="S286" s="125" t="n"/>
      <c r="T286" s="49" t="n"/>
      <c r="U286" s="49" t="n"/>
    </row>
    <row r="287" outlineLevel="2" ht="13.8" customFormat="1" customHeight="1" s="31">
      <c r="A287" s="217">
        <f>IF($H287="UNIDADE CONSTRUTIVA",OFFSET(A287,-1,0)+1,LARGE(A$3:A286,1))</f>
        <v/>
      </c>
      <c r="B287" s="217">
        <f>IF(H287="UNIDADE CONSTRUTIVA",0,IF(H287="CÉLULA CONSTRUTIVA",OFFSET(B287,-1,0)+1,OFFSET(B287,-1,0)))</f>
        <v/>
      </c>
      <c r="C287" s="217">
        <f>IF(H287="CÉLULA CONSTRUTIVA",0,IF(H287="ETAPA",OFFSET(C287,-1,0)+1,OFFSET(C287,-1,0)))</f>
        <v/>
      </c>
      <c r="D287" s="218">
        <f>IF(H287="ETAPA",0,IF(H287="SUBETAPA",OFFSET(D287,-1,0)+1,OFFSET(D287,-1,0)))</f>
        <v/>
      </c>
      <c r="E287" s="218">
        <f>IF(H287="Subetapa",0,IF(H287="serviço",OFFSET(E287,-1,0)+1,OFFSET(E287,-1,0)))</f>
        <v/>
      </c>
      <c r="G287" s="124" t="inlineStr">
        <is>
          <t>PISOS E PAVIMENTAÇÕES</t>
        </is>
      </c>
      <c r="H287" s="42" t="inlineStr">
        <is>
          <t>SERVIÇO</t>
        </is>
      </c>
      <c r="I287" s="43">
        <f>IF(H287="Unidade Construtiva",TEXT(A287,"00"),IF(H287="Célula Construtiva",TEXT(B287,"00"),IF(H287="Etapa",CONCATENATE(TEXT(B287,"00"),".",TEXT(C287,"000")),IF(H287="Subetapa",CONCATENATE(TEXT(B287,"00"),".",TEXT(C287,"000"),".",TEXT(D287,"000")),IF(H287="Serviço",CONCATENATE(TEXT(B287,"00"),".",TEXT(C287,"000"),".",TEXT(D287,"000"),".",TEXT(E287,"000")),"")))))</f>
        <v/>
      </c>
      <c r="J287" s="160" t="inlineStr">
        <is>
          <t xml:space="preserve">Piso de concreto polido, espessura 2cm </t>
        </is>
      </c>
      <c r="K287" s="45" t="inlineStr">
        <is>
          <t>m2</t>
        </is>
      </c>
      <c r="L287" s="46" t="n">
        <v>1077.27</v>
      </c>
      <c r="M287" s="46" t="n">
        <v>60.4795</v>
      </c>
      <c r="N287" s="47">
        <f>IF(H287="Serviço",M287*L287,IF(H287="CÉLULA CONSTRUTIVA",SUMIFS($N$8:$N$754,$B$8:$B$754,B287,$H$8:$H$754,"Serviço"),IF(H287="ETAPA",SUMIFS($N$8:$N$754,$B$8:$B$754,B287,$C$8:$C$754,C287,$H$8:$H$754,"Serviço"),IF(H287="SUBETAPA",SUMIFS($N$8:$N$754,$B$8:$B$754,B287,$C$8:$C$754,C287,$D$8:$D$754,D287,$H$8:$H$754,"Serviço"),0))))</f>
        <v/>
      </c>
      <c r="O287" s="45" t="n"/>
      <c r="P287" s="46" t="n"/>
      <c r="Q287" s="46" t="n"/>
      <c r="R287" s="47" t="n"/>
      <c r="S287" s="123" t="n"/>
      <c r="T287" s="49" t="n"/>
      <c r="U287" s="49" t="n"/>
    </row>
    <row r="288" outlineLevel="1" ht="13.8" customFormat="1" customHeight="1" s="31">
      <c r="A288" s="217">
        <f>IF($H288="UNIDADE CONSTRUTIVA",OFFSET(A288,-1,0)+1,LARGE(A$3:A286,1))</f>
        <v/>
      </c>
      <c r="B288" s="217">
        <f>IF(H288="UNIDADE CONSTRUTIVA",0,IF(H288="CÉLULA CONSTRUTIVA",OFFSET(B288,-1,0)+1,OFFSET(B288,-1,0)))</f>
        <v/>
      </c>
      <c r="C288" s="217">
        <f>IF(H288="CÉLULA CONSTRUTIVA",0,IF(H288="ETAPA",OFFSET(C288,-1,0)+1,OFFSET(C288,-1,0)))</f>
        <v/>
      </c>
      <c r="D288" s="218">
        <f>IF(H288="ETAPA",0,IF(H288="SUBETAPA",OFFSET(D288,-1,0)+1,OFFSET(D288,-1,0)))</f>
        <v/>
      </c>
      <c r="E288" s="218">
        <f>IF(H288="Subetapa",0,IF(H288="serviço",OFFSET(E288,-1,0)+1,OFFSET(E288,-1,0)))</f>
        <v/>
      </c>
      <c r="G288" s="124" t="n"/>
      <c r="H288" s="42" t="inlineStr">
        <is>
          <t>SUBETAPA</t>
        </is>
      </c>
      <c r="I288" s="43">
        <f>IF(H288="Unidade Construtiva",TEXT(A288,"00"),IF(H288="Célula Construtiva",TEXT(B288,"00"),IF(H288="Etapa",CONCATENATE(TEXT(B288,"00"),".",TEXT(C288,"000")),IF(H288="Subetapa",CONCATENATE(TEXT(B288,"00"),".",TEXT(C288,"000"),".",TEXT(D288,"000")),IF(H288="Serviço",CONCATENATE(TEXT(B288,"00"),".",TEXT(C288,"000"),".",TEXT(D288,"000"),".",TEXT(E288,"000")),"")))))</f>
        <v/>
      </c>
      <c r="J288" s="48" t="inlineStr">
        <is>
          <t>Acabamentos cerâmicos em piso</t>
        </is>
      </c>
      <c r="K288" s="45" t="n"/>
      <c r="L288" s="46" t="n"/>
      <c r="M288" s="46" t="n"/>
      <c r="N288" s="47">
        <f>IF(H288="Serviço",M288*L288,IF(H288="CÉLULA CONSTRUTIVA",SUMIFS($N$8:$N$754,$B$8:$B$754,B288,$H$8:$H$754,"Serviço"),IF(H288="ETAPA",SUMIFS($N$8:$N$754,$B$8:$B$754,B288,$C$8:$C$754,C288,$H$8:$H$754,"Serviço"),IF(H288="SUBETAPA",SUMIFS($N$8:$N$754,$B$8:$B$754,B288,$C$8:$C$754,C288,$D$8:$D$754,D288,$H$8:$H$754,"Serviço"),0))))</f>
        <v/>
      </c>
      <c r="O288" s="45" t="n"/>
      <c r="P288" s="46" t="n"/>
      <c r="Q288" s="46" t="n"/>
      <c r="R288" s="216" t="inlineStr">
        <is>
          <t>07.001.002.001 - Quadros elétricos e disjuntores</t>
        </is>
      </c>
      <c r="S288" s="123" t="n"/>
      <c r="T288" s="49" t="n"/>
      <c r="U288" s="49" t="n"/>
    </row>
    <row r="289" outlineLevel="2" ht="13.8" customFormat="1" customHeight="1" s="31">
      <c r="A289" s="217">
        <f>IF($H289="UNIDADE CONSTRUTIVA",OFFSET(A289,-1,0)+1,LARGE(A$3:A288,1))</f>
        <v/>
      </c>
      <c r="B289" s="217">
        <f>IF(H289="UNIDADE CONSTRUTIVA",0,IF(H289="CÉLULA CONSTRUTIVA",OFFSET(B289,-1,0)+1,OFFSET(B289,-1,0)))</f>
        <v/>
      </c>
      <c r="C289" s="217">
        <f>IF(H289="CÉLULA CONSTRUTIVA",0,IF(H289="ETAPA",OFFSET(C289,-1,0)+1,OFFSET(C289,-1,0)))</f>
        <v/>
      </c>
      <c r="D289" s="218">
        <f>IF(H289="ETAPA",0,IF(H289="SUBETAPA",OFFSET(D289,-1,0)+1,OFFSET(D289,-1,0)))</f>
        <v/>
      </c>
      <c r="E289" s="218">
        <f>IF(H289="Subetapa",0,IF(H289="serviço",OFFSET(E289,-1,0)+1,OFFSET(E289,-1,0)))</f>
        <v/>
      </c>
      <c r="G289" s="124" t="inlineStr">
        <is>
          <t>PISOS E PAVIMENTAÇÕES</t>
        </is>
      </c>
      <c r="H289" s="42" t="inlineStr">
        <is>
          <t>SERVIÇO</t>
        </is>
      </c>
      <c r="I289" s="43">
        <f>IF(H289="Unidade Construtiva",TEXT(A289,"00"),IF(H289="Célula Construtiva",TEXT(B289,"00"),IF(H289="Etapa",CONCATENATE(TEXT(B289,"00"),".",TEXT(C289,"000")),IF(H289="Subetapa",CONCATENATE(TEXT(B289,"00"),".",TEXT(C289,"000"),".",TEXT(D289,"000")),IF(H289="Serviço",CONCATENATE(TEXT(B289,"00"),".",TEXT(C289,"000"),".",TEXT(D289,"000"),".",TEXT(E289,"000")),"")))))</f>
        <v/>
      </c>
      <c r="J289" s="160" t="inlineStr">
        <is>
          <t>Revestimento em Piso,  Porcelanato Pp Pro Nude Gp 60X60Cm Retificado</t>
        </is>
      </c>
      <c r="K289" s="45" t="inlineStr">
        <is>
          <t>m2</t>
        </is>
      </c>
      <c r="L289" s="46" t="n">
        <v>10.93</v>
      </c>
      <c r="M289" s="46" t="n">
        <v>57.8051</v>
      </c>
      <c r="N289" s="47">
        <f>IF(H289="Serviço",M289*L289,IF(H289="CÉLULA CONSTRUTIVA",SUMIFS($N$8:$N$754,$B$8:$B$754,B289,$H$8:$H$754,"Serviço"),IF(H289="ETAPA",SUMIFS($N$8:$N$754,$B$8:$B$754,B289,$C$8:$C$754,C289,$H$8:$H$754,"Serviço"),IF(H289="SUBETAPA",SUMIFS($N$8:$N$754,$B$8:$B$754,B289,$C$8:$C$754,C289,$D$8:$D$754,D289,$H$8:$H$754,"Serviço"),0))))</f>
        <v/>
      </c>
      <c r="O289" s="45" t="n"/>
      <c r="P289" s="46" t="n"/>
      <c r="Q289" s="46" t="n"/>
      <c r="R289" s="47" t="n"/>
      <c r="S289" s="123" t="n"/>
      <c r="T289" s="49" t="n"/>
      <c r="U289" s="49" t="n"/>
    </row>
    <row r="290" outlineLevel="2" ht="13.8" customFormat="1" customHeight="1" s="31">
      <c r="A290" s="217">
        <f>IF($H290="UNIDADE CONSTRUTIVA",OFFSET(A290,-1,0)+1,LARGE(A$3:A289,1))</f>
        <v/>
      </c>
      <c r="B290" s="217">
        <f>IF(H290="UNIDADE CONSTRUTIVA",0,IF(H290="CÉLULA CONSTRUTIVA",OFFSET(B290,-1,0)+1,OFFSET(B290,-1,0)))</f>
        <v/>
      </c>
      <c r="C290" s="217">
        <f>IF(H290="CÉLULA CONSTRUTIVA",0,IF(H290="ETAPA",OFFSET(C290,-1,0)+1,OFFSET(C290,-1,0)))</f>
        <v/>
      </c>
      <c r="D290" s="218">
        <f>IF(H290="ETAPA",0,IF(H290="SUBETAPA",OFFSET(D290,-1,0)+1,OFFSET(D290,-1,0)))</f>
        <v/>
      </c>
      <c r="E290" s="218">
        <f>IF(H290="Subetapa",0,IF(H290="serviço",OFFSET(E290,-1,0)+1,OFFSET(E290,-1,0)))</f>
        <v/>
      </c>
      <c r="G290" s="124" t="inlineStr">
        <is>
          <t>PISOS E PAVIMENTAÇÕES</t>
        </is>
      </c>
      <c r="H290" s="42" t="inlineStr">
        <is>
          <t>SERVIÇO</t>
        </is>
      </c>
      <c r="I290" s="43">
        <f>IF(H290="Unidade Construtiva",TEXT(A290,"00"),IF(H290="Célula Construtiva",TEXT(B290,"00"),IF(H290="Etapa",CONCATENATE(TEXT(B290,"00"),".",TEXT(C290,"000")),IF(H290="Subetapa",CONCATENATE(TEXT(B290,"00"),".",TEXT(C290,"000"),".",TEXT(D290,"000")),IF(H290="Serviço",CONCATENATE(TEXT(B290,"00"),".",TEXT(C290,"000"),".",TEXT(D290,"000"),".",TEXT(E290,"000")),"")))))</f>
        <v/>
      </c>
      <c r="J290" s="160" t="inlineStr">
        <is>
          <t xml:space="preserve">Revestimento de Piso, Porcelanato Mont Blanc Acetinado 90X90 Eliane    </t>
        </is>
      </c>
      <c r="K290" s="45" t="inlineStr">
        <is>
          <t>m2</t>
        </is>
      </c>
      <c r="L290" s="46" t="n">
        <v>1752.14</v>
      </c>
      <c r="M290" s="46" t="n">
        <v>128.2491</v>
      </c>
      <c r="N290" s="47">
        <f>IF(H290="Serviço",M290*L290,IF(H290="CÉLULA CONSTRUTIVA",SUMIFS($N$8:$N$754,$B$8:$B$754,B290,$H$8:$H$754,"Serviço"),IF(H290="ETAPA",SUMIFS($N$8:$N$754,$B$8:$B$754,B290,$C$8:$C$754,C290,$H$8:$H$754,"Serviço"),IF(H290="SUBETAPA",SUMIFS($N$8:$N$754,$B$8:$B$754,B290,$C$8:$C$754,C290,$D$8:$D$754,D290,$H$8:$H$754,"Serviço"),0))))</f>
        <v/>
      </c>
      <c r="O290" s="45" t="n"/>
      <c r="P290" s="46" t="n"/>
      <c r="Q290" s="46" t="n"/>
      <c r="R290" s="47" t="n"/>
      <c r="S290" s="123" t="n"/>
      <c r="T290" s="49" t="n"/>
      <c r="U290" s="49" t="n"/>
    </row>
    <row r="291" outlineLevel="2" ht="13.8" customFormat="1" customHeight="1" s="31">
      <c r="A291" s="217">
        <f>IF($H291="UNIDADE CONSTRUTIVA",OFFSET(A291,-1,0)+1,LARGE(A$3:A290,1))</f>
        <v/>
      </c>
      <c r="B291" s="217">
        <f>IF(H291="UNIDADE CONSTRUTIVA",0,IF(H291="CÉLULA CONSTRUTIVA",OFFSET(B291,-1,0)+1,OFFSET(B291,-1,0)))</f>
        <v/>
      </c>
      <c r="C291" s="217">
        <f>IF(H291="CÉLULA CONSTRUTIVA",0,IF(H291="ETAPA",OFFSET(C291,-1,0)+1,OFFSET(C291,-1,0)))</f>
        <v/>
      </c>
      <c r="D291" s="218">
        <f>IF(H291="ETAPA",0,IF(H291="SUBETAPA",OFFSET(D291,-1,0)+1,OFFSET(D291,-1,0)))</f>
        <v/>
      </c>
      <c r="E291" s="218">
        <f>IF(H291="Subetapa",0,IF(H291="serviço",OFFSET(E291,-1,0)+1,OFFSET(E291,-1,0)))</f>
        <v/>
      </c>
      <c r="G291" s="124" t="inlineStr">
        <is>
          <t>PISOS E PAVIMENTAÇÕES</t>
        </is>
      </c>
      <c r="H291" s="42" t="inlineStr">
        <is>
          <t>SERVIÇO</t>
        </is>
      </c>
      <c r="I291" s="43">
        <f>IF(H291="Unidade Construtiva",TEXT(A291,"00"),IF(H291="Célula Construtiva",TEXT(B291,"00"),IF(H291="Etapa",CONCATENATE(TEXT(B291,"00"),".",TEXT(C291,"000")),IF(H291="Subetapa",CONCATENATE(TEXT(B291,"00"),".",TEXT(C291,"000"),".",TEXT(D291,"000")),IF(H291="Serviço",CONCATENATE(TEXT(B291,"00"),".",TEXT(C291,"000"),".",TEXT(D291,"000"),".",TEXT(E291,"000")),"")))))</f>
        <v/>
      </c>
      <c r="J291" s="160" t="inlineStr">
        <is>
          <t>Revestimento em Piso,  Porcelanato Onyx Unique Ret. Acetinado 120X120Cm - Portobello</t>
        </is>
      </c>
      <c r="K291" s="45" t="inlineStr">
        <is>
          <t>m2</t>
        </is>
      </c>
      <c r="L291" s="46" t="n">
        <v>113.46</v>
      </c>
      <c r="M291" s="46" t="n">
        <v>156.7391000000001</v>
      </c>
      <c r="N291" s="47">
        <f>IF(H291="Serviço",M291*L291,IF(H291="CÉLULA CONSTRUTIVA",SUMIFS($N$8:$N$754,$B$8:$B$754,B291,$H$8:$H$754,"Serviço"),IF(H291="ETAPA",SUMIFS($N$8:$N$754,$B$8:$B$754,B291,$C$8:$C$754,C291,$H$8:$H$754,"Serviço"),IF(H291="SUBETAPA",SUMIFS($N$8:$N$754,$B$8:$B$754,B291,$C$8:$C$754,C291,$D$8:$D$754,D291,$H$8:$H$754,"Serviço"),0))))</f>
        <v/>
      </c>
      <c r="O291" s="45" t="n"/>
      <c r="P291" s="46" t="n"/>
      <c r="Q291" s="46" t="n"/>
      <c r="R291" s="47" t="n"/>
      <c r="S291" s="123" t="n"/>
      <c r="T291" s="49" t="n"/>
      <c r="U291" s="49" t="n"/>
    </row>
    <row r="292" outlineLevel="2" ht="13.8" customFormat="1" customHeight="1" s="31">
      <c r="A292" s="217">
        <f>IF($H292="UNIDADE CONSTRUTIVA",OFFSET(A292,-1,0)+1,LARGE(A$3:A289,1))</f>
        <v/>
      </c>
      <c r="B292" s="217">
        <f>IF(H292="UNIDADE CONSTRUTIVA",0,IF(H292="CÉLULA CONSTRUTIVA",OFFSET(B292,-1,0)+1,OFFSET(B292,-1,0)))</f>
        <v/>
      </c>
      <c r="C292" s="217">
        <f>IF(H292="CÉLULA CONSTRUTIVA",0,IF(H292="ETAPA",OFFSET(C292,-1,0)+1,OFFSET(C292,-1,0)))</f>
        <v/>
      </c>
      <c r="D292" s="218">
        <f>IF(H292="ETAPA",0,IF(H292="SUBETAPA",OFFSET(D292,-1,0)+1,OFFSET(D292,-1,0)))</f>
        <v/>
      </c>
      <c r="E292" s="218">
        <f>IF(H292="Subetapa",0,IF(H292="serviço",OFFSET(E292,-1,0)+1,OFFSET(E292,-1,0)))</f>
        <v/>
      </c>
      <c r="G292" s="124" t="inlineStr">
        <is>
          <t>PISOS E PAVIMENTAÇÕES</t>
        </is>
      </c>
      <c r="H292" s="42" t="inlineStr">
        <is>
          <t>SERVIÇO</t>
        </is>
      </c>
      <c r="I292" s="43">
        <f>IF(H292="Unidade Construtiva",TEXT(A292,"00"),IF(H292="Célula Construtiva",TEXT(B292,"00"),IF(H292="Etapa",CONCATENATE(TEXT(B292,"00"),".",TEXT(C292,"000")),IF(H292="Subetapa",CONCATENATE(TEXT(B292,"00"),".",TEXT(C292,"000"),".",TEXT(D292,"000")),IF(H292="Serviço",CONCATENATE(TEXT(B292,"00"),".",TEXT(C292,"000"),".",TEXT(D292,"000"),".",TEXT(E292,"000")),"")))))</f>
        <v/>
      </c>
      <c r="J292" s="160" t="inlineStr">
        <is>
          <t>Revestimento de Piso Externo de Porcelanato Polido, Placa 120x120cm</t>
        </is>
      </c>
      <c r="K292" s="45" t="inlineStr">
        <is>
          <t>m2</t>
        </is>
      </c>
      <c r="L292" s="46" t="n">
        <v>64.41</v>
      </c>
      <c r="M292" s="46" t="n">
        <v>166.0545</v>
      </c>
      <c r="N292" s="47">
        <f>IF(H292="Serviço",M292*L292,IF(H292="CÉLULA CONSTRUTIVA",SUMIFS($N$8:$N$754,$B$8:$B$754,B292,$H$8:$H$754,"Serviço"),IF(H292="ETAPA",SUMIFS($N$8:$N$754,$B$8:$B$754,B292,$C$8:$C$754,C292,$H$8:$H$754,"Serviço"),IF(H292="SUBETAPA",SUMIFS($N$8:$N$754,$B$8:$B$754,B292,$C$8:$C$754,C292,$D$8:$D$754,D292,$H$8:$H$754,"Serviço"),0))))</f>
        <v/>
      </c>
      <c r="O292" s="45" t="n"/>
      <c r="P292" s="46" t="n"/>
      <c r="Q292" s="46" t="n"/>
      <c r="R292" s="47" t="n"/>
      <c r="S292" s="123" t="n"/>
      <c r="T292" s="49" t="n"/>
      <c r="U292" s="49" t="n"/>
    </row>
    <row r="293" outlineLevel="2" ht="13.8" customFormat="1" customHeight="1" s="31">
      <c r="A293" s="217">
        <f>IF($H293="UNIDADE CONSTRUTIVA",OFFSET(A293,-1,0)+1,LARGE(A$3:A290,1))</f>
        <v/>
      </c>
      <c r="B293" s="217">
        <f>IF(H293="UNIDADE CONSTRUTIVA",0,IF(H293="CÉLULA CONSTRUTIVA",OFFSET(B293,-1,0)+1,OFFSET(B293,-1,0)))</f>
        <v/>
      </c>
      <c r="C293" s="217">
        <f>IF(H293="CÉLULA CONSTRUTIVA",0,IF(H293="ETAPA",OFFSET(C293,-1,0)+1,OFFSET(C293,-1,0)))</f>
        <v/>
      </c>
      <c r="D293" s="218">
        <f>IF(H293="ETAPA",0,IF(H293="SUBETAPA",OFFSET(D293,-1,0)+1,OFFSET(D293,-1,0)))</f>
        <v/>
      </c>
      <c r="E293" s="218">
        <f>IF(H293="Subetapa",0,IF(H293="serviço",OFFSET(E293,-1,0)+1,OFFSET(E293,-1,0)))</f>
        <v/>
      </c>
      <c r="G293" s="124" t="inlineStr">
        <is>
          <t>PISOS E PAVIMENTAÇÕES</t>
        </is>
      </c>
      <c r="H293" s="42" t="inlineStr">
        <is>
          <t>SERVIÇO</t>
        </is>
      </c>
      <c r="I293" s="43">
        <f>IF(H293="Unidade Construtiva",TEXT(A293,"00"),IF(H293="Célula Construtiva",TEXT(B293,"00"),IF(H293="Etapa",CONCATENATE(TEXT(B293,"00"),".",TEXT(C293,"000")),IF(H293="Subetapa",CONCATENATE(TEXT(B293,"00"),".",TEXT(C293,"000"),".",TEXT(D293,"000")),IF(H293="Serviço",CONCATENATE(TEXT(B293,"00"),".",TEXT(C293,"000"),".",TEXT(D293,"000"),".",TEXT(E293,"000")),"")))))</f>
        <v/>
      </c>
      <c r="J293" s="160" t="inlineStr">
        <is>
          <t>Revestimento em Ladrilhos para Piscina, Cinza giz 15x15 com Juntas e rejunte acrilico</t>
        </is>
      </c>
      <c r="K293" s="45" t="inlineStr">
        <is>
          <t>m2</t>
        </is>
      </c>
      <c r="L293" s="46" t="n">
        <v>34.64</v>
      </c>
      <c r="M293" s="46" t="n">
        <v>165.882275</v>
      </c>
      <c r="N293" s="47">
        <f>IF(H293="Serviço",M293*L293,IF(H293="CÉLULA CONSTRUTIVA",SUMIFS($N$8:$N$754,$B$8:$B$754,B293,$H$8:$H$754,"Serviço"),IF(H293="ETAPA",SUMIFS($N$8:$N$754,$B$8:$B$754,B293,$C$8:$C$754,C293,$H$8:$H$754,"Serviço"),IF(H293="SUBETAPA",SUMIFS($N$8:$N$754,$B$8:$B$754,B293,$C$8:$C$754,C293,$D$8:$D$754,D293,$H$8:$H$754,"Serviço"),0))))</f>
        <v/>
      </c>
      <c r="O293" s="45" t="n"/>
      <c r="P293" s="46" t="n"/>
      <c r="Q293" s="46" t="n"/>
      <c r="R293" s="47" t="n"/>
      <c r="S293" s="123" t="n"/>
      <c r="T293" s="49" t="n"/>
      <c r="U293" s="49" t="n"/>
    </row>
    <row r="294" outlineLevel="1" ht="13.8" customFormat="1" customHeight="1" s="31">
      <c r="A294" s="217">
        <f>IF($H294="UNIDADE CONSTRUTIVA",OFFSET(A294,-1,0)+1,LARGE(A$3:A293,1))</f>
        <v/>
      </c>
      <c r="B294" s="217">
        <f>IF(H294="UNIDADE CONSTRUTIVA",0,IF(H294="CÉLULA CONSTRUTIVA",OFFSET(B294,-1,0)+1,OFFSET(B294,-1,0)))</f>
        <v/>
      </c>
      <c r="C294" s="217">
        <f>IF(H294="CÉLULA CONSTRUTIVA",0,IF(H294="ETAPA",OFFSET(C294,-1,0)+1,OFFSET(C294,-1,0)))</f>
        <v/>
      </c>
      <c r="D294" s="218">
        <f>IF(H294="ETAPA",0,IF(H294="SUBETAPA",OFFSET(D294,-1,0)+1,OFFSET(D294,-1,0)))</f>
        <v/>
      </c>
      <c r="E294" s="218">
        <f>IF(H294="Subetapa",0,IF(H294="serviço",OFFSET(E294,-1,0)+1,OFFSET(E294,-1,0)))</f>
        <v/>
      </c>
      <c r="G294" s="124" t="n"/>
      <c r="H294" s="42" t="inlineStr">
        <is>
          <t>SUBETAPA</t>
        </is>
      </c>
      <c r="I294" s="43">
        <f>IF(H294="Unidade Construtiva",TEXT(A294,"00"),IF(H294="Célula Construtiva",TEXT(B294,"00"),IF(H294="Etapa",CONCATENATE(TEXT(B294,"00"),".",TEXT(C294,"000")),IF(H294="Subetapa",CONCATENATE(TEXT(B294,"00"),".",TEXT(C294,"000"),".",TEXT(D294,"000")),IF(H294="Serviço",CONCATENATE(TEXT(B294,"00"),".",TEXT(C294,"000"),".",TEXT(D294,"000"),".",TEXT(E294,"000")),"")))))</f>
        <v/>
      </c>
      <c r="J294" s="48" t="inlineStr">
        <is>
          <t>Acabamentos de madeira</t>
        </is>
      </c>
      <c r="K294" s="45" t="n"/>
      <c r="L294" s="46" t="n"/>
      <c r="M294" s="46" t="n"/>
      <c r="N294" s="47">
        <f>IF(H294="Serviço",M294*L294,IF(H294="CÉLULA CONSTRUTIVA",SUMIFS($N$8:$N$754,$B$8:$B$754,B294,$H$8:$H$754,"Serviço"),IF(H294="ETAPA",SUMIFS($N$8:$N$754,$B$8:$B$754,B294,$C$8:$C$754,C294,$H$8:$H$754,"Serviço"),IF(H294="SUBETAPA",SUMIFS($N$8:$N$754,$B$8:$B$754,B294,$C$8:$C$754,C294,$D$8:$D$754,D294,$H$8:$H$754,"Serviço"),0))))</f>
        <v/>
      </c>
      <c r="O294" s="45" t="n"/>
      <c r="P294" s="46" t="n"/>
      <c r="Q294" s="46" t="n"/>
      <c r="R294" s="216" t="inlineStr">
        <is>
          <t>02.002.004.004 - Equipamentos de escritório</t>
        </is>
      </c>
      <c r="S294" s="123" t="n"/>
      <c r="T294" s="49" t="n"/>
      <c r="U294" s="49" t="n"/>
    </row>
    <row r="295" outlineLevel="2" ht="13.8" customFormat="1" customHeight="1" s="31">
      <c r="A295" s="217">
        <f>IF($H295="UNIDADE CONSTRUTIVA",OFFSET(A295,-1,0)+1,LARGE(A$3:A294,1))</f>
        <v/>
      </c>
      <c r="B295" s="217">
        <f>IF(H295="UNIDADE CONSTRUTIVA",0,IF(H295="CÉLULA CONSTRUTIVA",OFFSET(B295,-1,0)+1,OFFSET(B295,-1,0)))</f>
        <v/>
      </c>
      <c r="C295" s="217">
        <f>IF(H295="CÉLULA CONSTRUTIVA",0,IF(H295="ETAPA",OFFSET(C295,-1,0)+1,OFFSET(C295,-1,0)))</f>
        <v/>
      </c>
      <c r="D295" s="218">
        <f>IF(H295="ETAPA",0,IF(H295="SUBETAPA",OFFSET(D295,-1,0)+1,OFFSET(D295,-1,0)))</f>
        <v/>
      </c>
      <c r="E295" s="218">
        <f>IF(H295="Subetapa",0,IF(H295="serviço",OFFSET(E295,-1,0)+1,OFFSET(E295,-1,0)))</f>
        <v/>
      </c>
      <c r="G295" s="124" t="inlineStr">
        <is>
          <t>PISOS E PAVIMENTAÇÕES</t>
        </is>
      </c>
      <c r="H295" s="42" t="inlineStr">
        <is>
          <t>SERVIÇO</t>
        </is>
      </c>
      <c r="I295" s="43">
        <f>IF(H295="Unidade Construtiva",TEXT(A295,"00"),IF(H295="Célula Construtiva",TEXT(B295,"00"),IF(H295="Etapa",CONCATENATE(TEXT(B295,"00"),".",TEXT(C295,"000")),IF(H295="Subetapa",CONCATENATE(TEXT(B295,"00"),".",TEXT(C295,"000"),".",TEXT(D295,"000")),IF(H295="Serviço",CONCATENATE(TEXT(B295,"00"),".",TEXT(C295,"000"),".",TEXT(D295,"000"),".",TEXT(E295,"000")),"")))))</f>
        <v/>
      </c>
      <c r="J295" s="48" t="inlineStr">
        <is>
          <t xml:space="preserve">Deck de madeira - material e mão de obra </t>
        </is>
      </c>
      <c r="K295" s="45" t="inlineStr">
        <is>
          <t>m2</t>
        </is>
      </c>
      <c r="L295" s="46" t="n">
        <v>34.66</v>
      </c>
      <c r="M295" s="46" t="n">
        <v>822.7</v>
      </c>
      <c r="N295" s="47">
        <f>IF(H295="Serviço",M295*L295,IF(H295="CÉLULA CONSTRUTIVA",SUMIFS($N$8:$N$754,$B$8:$B$754,B295,$H$8:$H$754,"Serviço"),IF(H295="ETAPA",SUMIFS($N$8:$N$754,$B$8:$B$754,B295,$C$8:$C$754,C295,$H$8:$H$754,"Serviço"),IF(H295="SUBETAPA",SUMIFS($N$8:$N$754,$B$8:$B$754,B295,$C$8:$C$754,C295,$D$8:$D$754,D295,$H$8:$H$754,"Serviço"),0))))</f>
        <v/>
      </c>
      <c r="O295" s="45" t="n"/>
      <c r="P295" s="46" t="n"/>
      <c r="Q295" s="46" t="n"/>
      <c r="R295" s="47" t="n"/>
      <c r="S295" s="123" t="n"/>
      <c r="T295" s="49" t="n"/>
      <c r="U295" s="49" t="n"/>
    </row>
    <row r="296" outlineLevel="1" ht="13.8" customFormat="1" customHeight="1" s="31">
      <c r="A296" s="217">
        <f>IF($H296="UNIDADE CONSTRUTIVA",OFFSET(A296,-1,0)+1,LARGE(A$3:A295,1))</f>
        <v/>
      </c>
      <c r="B296" s="217">
        <f>IF(H296="UNIDADE CONSTRUTIVA",0,IF(H296="CÉLULA CONSTRUTIVA",OFFSET(B296,-1,0)+1,OFFSET(B296,-1,0)))</f>
        <v/>
      </c>
      <c r="C296" s="217">
        <f>IF(H296="CÉLULA CONSTRUTIVA",0,IF(H296="ETAPA",OFFSET(C296,-1,0)+1,OFFSET(C296,-1,0)))</f>
        <v/>
      </c>
      <c r="D296" s="218">
        <f>IF(H296="ETAPA",0,IF(H296="SUBETAPA",OFFSET(D296,-1,0)+1,OFFSET(D296,-1,0)))</f>
        <v/>
      </c>
      <c r="E296" s="218">
        <f>IF(H296="Subetapa",0,IF(H296="serviço",OFFSET(E296,-1,0)+1,OFFSET(E296,-1,0)))</f>
        <v/>
      </c>
      <c r="G296" s="124" t="n"/>
      <c r="H296" s="42" t="inlineStr">
        <is>
          <t>SUBETAPA</t>
        </is>
      </c>
      <c r="I296" s="43">
        <f>IF(H296="Unidade Construtiva",TEXT(A296,"00"),IF(H296="Célula Construtiva",TEXT(B296,"00"),IF(H296="Etapa",CONCATENATE(TEXT(B296,"00"),".",TEXT(C296,"000")),IF(H296="Subetapa",CONCATENATE(TEXT(B296,"00"),".",TEXT(C296,"000"),".",TEXT(D296,"000")),IF(H296="Serviço",CONCATENATE(TEXT(B296,"00"),".",TEXT(C296,"000"),".",TEXT(D296,"000"),".",TEXT(E296,"000")),"")))))</f>
        <v/>
      </c>
      <c r="J296" s="48" t="inlineStr">
        <is>
          <t>Acabamentos especiais</t>
        </is>
      </c>
      <c r="K296" s="45" t="n"/>
      <c r="L296" s="46" t="n"/>
      <c r="M296" s="46" t="n"/>
      <c r="N296" s="47">
        <f>IF(H296="Serviço",M296*L296,IF(H296="CÉLULA CONSTRUTIVA",SUMIFS($N$8:$N$754,$B$8:$B$754,B296,$H$8:$H$754,"Serviço"),IF(H296="ETAPA",SUMIFS($N$8:$N$754,$B$8:$B$754,B296,$C$8:$C$754,C296,$H$8:$H$754,"Serviço"),IF(H296="SUBETAPA",SUMIFS($N$8:$N$754,$B$8:$B$754,B296,$C$8:$C$754,C296,$D$8:$D$754,D296,$H$8:$H$754,"Serviço"),0))))</f>
        <v/>
      </c>
      <c r="O296" s="45" t="n"/>
      <c r="P296" s="46" t="n"/>
      <c r="Q296" s="46" t="n"/>
      <c r="R296" s="216" t="inlineStr">
        <is>
          <t>02.002.004.004 - Equipamentos de escritório</t>
        </is>
      </c>
      <c r="S296" s="123" t="n"/>
      <c r="T296" s="49" t="n"/>
      <c r="U296" s="49" t="n"/>
    </row>
    <row r="297" outlineLevel="2" ht="13.8" customFormat="1" customHeight="1" s="31">
      <c r="A297" s="217">
        <f>IF($H297="UNIDADE CONSTRUTIVA",OFFSET(A297,-1,0)+1,LARGE(A$3:A295,1))</f>
        <v/>
      </c>
      <c r="B297" s="217">
        <f>IF(H297="UNIDADE CONSTRUTIVA",0,IF(H297="CÉLULA CONSTRUTIVA",OFFSET(B297,-1,0)+1,OFFSET(B297,-1,0)))</f>
        <v/>
      </c>
      <c r="C297" s="217">
        <f>IF(H297="CÉLULA CONSTRUTIVA",0,IF(H297="ETAPA",OFFSET(C297,-1,0)+1,OFFSET(C297,-1,0)))</f>
        <v/>
      </c>
      <c r="D297" s="218">
        <f>IF(H297="ETAPA",0,IF(H297="SUBETAPA",OFFSET(D297,-1,0)+1,OFFSET(D297,-1,0)))</f>
        <v/>
      </c>
      <c r="E297" s="218">
        <f>IF(H297="Subetapa",0,IF(H297="serviço",OFFSET(E297,-1,0)+1,OFFSET(E297,-1,0)))</f>
        <v/>
      </c>
      <c r="G297" s="124" t="inlineStr">
        <is>
          <t>PISOS E PAVIMENTAÇÕES</t>
        </is>
      </c>
      <c r="H297" s="42" t="inlineStr">
        <is>
          <t>SERVIÇO</t>
        </is>
      </c>
      <c r="I297" s="43">
        <f>IF(H297="Unidade Construtiva",TEXT(A297,"00"),IF(H297="Célula Construtiva",TEXT(B297,"00"),IF(H297="Etapa",CONCATENATE(TEXT(B297,"00"),".",TEXT(C297,"000")),IF(H297="Subetapa",CONCATENATE(TEXT(B297,"00"),".",TEXT(C297,"000"),".",TEXT(D297,"000")),IF(H297="Serviço",CONCATENATE(TEXT(B297,"00"),".",TEXT(C297,"000"),".",TEXT(D297,"000"),".",TEXT(E297,"000")),"")))))</f>
        <v/>
      </c>
      <c r="J297" s="48" t="inlineStr">
        <is>
          <t>Revestimento de piso vinilico, Finottato, Régua Imponente, Juba de Leão, nas áreas comuns - Material e Mão de Obra</t>
        </is>
      </c>
      <c r="K297" s="45" t="inlineStr">
        <is>
          <t>m2</t>
        </is>
      </c>
      <c r="L297" s="46" t="n">
        <v>880.52</v>
      </c>
      <c r="M297" s="46" t="n">
        <v>220.25</v>
      </c>
      <c r="N297" s="47">
        <f>IF(H297="Serviço",M297*L297,IF(H297="CÉLULA CONSTRUTIVA",SUMIFS($N$8:$N$754,$B$8:$B$754,B297,$H$8:$H$754,"Serviço"),IF(H297="ETAPA",SUMIFS($N$8:$N$754,$B$8:$B$754,B297,$C$8:$C$754,C297,$H$8:$H$754,"Serviço"),IF(H297="SUBETAPA",SUMIFS($N$8:$N$754,$B$8:$B$754,B297,$C$8:$C$754,C297,$D$8:$D$754,D297,$H$8:$H$754,"Serviço"),0))))</f>
        <v/>
      </c>
      <c r="O297" s="45" t="n"/>
      <c r="P297" s="46" t="n"/>
      <c r="Q297" s="46" t="n"/>
      <c r="R297" s="47" t="n"/>
      <c r="S297" s="123" t="n"/>
      <c r="T297" s="49" t="n"/>
      <c r="U297" s="49" t="n"/>
    </row>
    <row r="298" outlineLevel="2" ht="13.8" customFormat="1" customHeight="1" s="31">
      <c r="A298" s="217">
        <f>IF($H298="UNIDADE CONSTRUTIVA",OFFSET(A298,-1,0)+1,LARGE(A$3:A295,1))</f>
        <v/>
      </c>
      <c r="B298" s="217">
        <f>IF(H298="UNIDADE CONSTRUTIVA",0,IF(H298="CÉLULA CONSTRUTIVA",OFFSET(B298,-1,0)+1,OFFSET(B298,-1,0)))</f>
        <v/>
      </c>
      <c r="C298" s="217">
        <f>IF(H298="CÉLULA CONSTRUTIVA",0,IF(H298="ETAPA",OFFSET(C298,-1,0)+1,OFFSET(C298,-1,0)))</f>
        <v/>
      </c>
      <c r="D298" s="218">
        <f>IF(H298="ETAPA",0,IF(H298="SUBETAPA",OFFSET(D298,-1,0)+1,OFFSET(D298,-1,0)))</f>
        <v/>
      </c>
      <c r="E298" s="218">
        <f>IF(H298="Subetapa",0,IF(H298="serviço",OFFSET(E298,-1,0)+1,OFFSET(E298,-1,0)))</f>
        <v/>
      </c>
      <c r="G298" s="124" t="inlineStr">
        <is>
          <t>PISOS E PAVIMENTAÇÕES</t>
        </is>
      </c>
      <c r="H298" s="42" t="inlineStr">
        <is>
          <t>SERVIÇO</t>
        </is>
      </c>
      <c r="I298" s="43">
        <f>IF(H298="Unidade Construtiva",TEXT(A298,"00"),IF(H298="Célula Construtiva",TEXT(B298,"00"),IF(H298="Etapa",CONCATENATE(TEXT(B298,"00"),".",TEXT(C298,"000")),IF(H298="Subetapa",CONCATENATE(TEXT(B298,"00"),".",TEXT(C298,"000"),".",TEXT(D298,"000")),IF(H298="Serviço",CONCATENATE(TEXT(B298,"00"),".",TEXT(C298,"000"),".",TEXT(D298,"000"),".",TEXT(E298,"000")),"")))))</f>
        <v/>
      </c>
      <c r="J298" s="48" t="inlineStr">
        <is>
          <t>Revestimento de Piso Vinilico Linha Ambienta Series Cedro - Tarkett  - Material e Mão de Obra</t>
        </is>
      </c>
      <c r="K298" s="45" t="inlineStr">
        <is>
          <t>m2</t>
        </is>
      </c>
      <c r="L298" s="46" t="n">
        <v>51.70999999999999</v>
      </c>
      <c r="M298" s="46" t="n">
        <v>240</v>
      </c>
      <c r="N298" s="47">
        <f>IF(H298="Serviço",M298*L298,IF(H298="CÉLULA CONSTRUTIVA",SUMIFS($N$8:$N$754,$B$8:$B$754,B298,$H$8:$H$754,"Serviço"),IF(H298="ETAPA",SUMIFS($N$8:$N$754,$B$8:$B$754,B298,$C$8:$C$754,C298,$H$8:$H$754,"Serviço"),IF(H298="SUBETAPA",SUMIFS($N$8:$N$754,$B$8:$B$754,B298,$C$8:$C$754,C298,$D$8:$D$754,D298,$H$8:$H$754,"Serviço"),0))))</f>
        <v/>
      </c>
      <c r="O298" s="45" t="n"/>
      <c r="P298" s="46" t="n"/>
      <c r="Q298" s="46" t="n"/>
      <c r="R298" s="47" t="n"/>
      <c r="S298" s="123" t="n"/>
      <c r="T298" s="49" t="n"/>
      <c r="U298" s="49" t="n"/>
    </row>
    <row r="299" outlineLevel="2" ht="13.8" customFormat="1" customHeight="1" s="31">
      <c r="A299" s="217">
        <f>IF($H299="UNIDADE CONSTRUTIVA",OFFSET(A299,-1,0)+1,LARGE(A$3:A296,1))</f>
        <v/>
      </c>
      <c r="B299" s="217">
        <f>IF(H299="UNIDADE CONSTRUTIVA",0,IF(H299="CÉLULA CONSTRUTIVA",OFFSET(B299,-1,0)+1,OFFSET(B299,-1,0)))</f>
        <v/>
      </c>
      <c r="C299" s="217">
        <f>IF(H299="CÉLULA CONSTRUTIVA",0,IF(H299="ETAPA",OFFSET(C299,-1,0)+1,OFFSET(C299,-1,0)))</f>
        <v/>
      </c>
      <c r="D299" s="218">
        <f>IF(H299="ETAPA",0,IF(H299="SUBETAPA",OFFSET(D299,-1,0)+1,OFFSET(D299,-1,0)))</f>
        <v/>
      </c>
      <c r="E299" s="218">
        <f>IF(H299="Subetapa",0,IF(H299="serviço",OFFSET(E299,-1,0)+1,OFFSET(E299,-1,0)))</f>
        <v/>
      </c>
      <c r="G299" s="124" t="inlineStr">
        <is>
          <t>PISOS E PAVIMENTAÇÕES</t>
        </is>
      </c>
      <c r="H299" s="42" t="inlineStr">
        <is>
          <t>SERVIÇO</t>
        </is>
      </c>
      <c r="I299" s="43">
        <f>IF(H299="Unidade Construtiva",TEXT(A299,"00"),IF(H299="Célula Construtiva",TEXT(B299,"00"),IF(H299="Etapa",CONCATENATE(TEXT(B299,"00"),".",TEXT(C299,"000")),IF(H299="Subetapa",CONCATENATE(TEXT(B299,"00"),".",TEXT(C299,"000"),".",TEXT(D299,"000")),IF(H299="Serviço",CONCATENATE(TEXT(B299,"00"),".",TEXT(C299,"000"),".",TEXT(D299,"000"),".",TEXT(E299,"000")),"")))))</f>
        <v/>
      </c>
      <c r="J299" s="48" t="inlineStr">
        <is>
          <t>Pisos Para Academia Emborrachado Aubicon Placa 50 mm, 90x90</t>
        </is>
      </c>
      <c r="K299" s="45" t="inlineStr">
        <is>
          <t>m2</t>
        </is>
      </c>
      <c r="L299" s="46" t="n">
        <v>18.94</v>
      </c>
      <c r="M299" s="46" t="n">
        <v>250</v>
      </c>
      <c r="N299" s="47">
        <f>IF(H299="Serviço",M299*L299,IF(H299="CÉLULA CONSTRUTIVA",SUMIFS($N$8:$N$754,$B$8:$B$754,B299,$H$8:$H$754,"Serviço"),IF(H299="ETAPA",SUMIFS($N$8:$N$754,$B$8:$B$754,B299,$C$8:$C$754,C299,$H$8:$H$754,"Serviço"),IF(H299="SUBETAPA",SUMIFS($N$8:$N$754,$B$8:$B$754,B299,$C$8:$C$754,C299,$D$8:$D$754,D299,$H$8:$H$754,"Serviço"),0))))</f>
        <v/>
      </c>
      <c r="O299" s="45" t="n"/>
      <c r="P299" s="46" t="n"/>
      <c r="Q299" s="46" t="n"/>
      <c r="R299" s="47" t="n"/>
      <c r="S299" s="123" t="n"/>
      <c r="T299" s="49" t="n"/>
      <c r="U299" s="49" t="n"/>
    </row>
    <row r="300" outlineLevel="2" ht="13.8" customFormat="1" customHeight="1" s="31">
      <c r="A300" s="217">
        <f>IF($H300="UNIDADE CONSTRUTIVA",OFFSET(A300,-1,0)+1,LARGE(A$3:A296,1))</f>
        <v/>
      </c>
      <c r="B300" s="217">
        <f>IF(H300="UNIDADE CONSTRUTIVA",0,IF(H300="CÉLULA CONSTRUTIVA",OFFSET(B300,-1,0)+1,OFFSET(B300,-1,0)))</f>
        <v/>
      </c>
      <c r="C300" s="217">
        <f>IF(H300="CÉLULA CONSTRUTIVA",0,IF(H300="ETAPA",OFFSET(C300,-1,0)+1,OFFSET(C300,-1,0)))</f>
        <v/>
      </c>
      <c r="D300" s="218">
        <f>IF(H300="ETAPA",0,IF(H300="SUBETAPA",OFFSET(D300,-1,0)+1,OFFSET(D300,-1,0)))</f>
        <v/>
      </c>
      <c r="E300" s="218">
        <f>IF(H300="Subetapa",0,IF(H300="serviço",OFFSET(E300,-1,0)+1,OFFSET(E300,-1,0)))</f>
        <v/>
      </c>
      <c r="G300" s="124" t="inlineStr">
        <is>
          <t>PISOS E PAVIMENTAÇÕES</t>
        </is>
      </c>
      <c r="H300" s="42" t="inlineStr">
        <is>
          <t>SERVIÇO</t>
        </is>
      </c>
      <c r="I300" s="43">
        <f>IF(H300="Unidade Construtiva",TEXT(A300,"00"),IF(H300="Célula Construtiva",TEXT(B300,"00"),IF(H300="Etapa",CONCATENATE(TEXT(B300,"00"),".",TEXT(C300,"000")),IF(H300="Subetapa",CONCATENATE(TEXT(B300,"00"),".",TEXT(C300,"000"),".",TEXT(D300,"000")),IF(H300="Serviço",CONCATENATE(TEXT(B300,"00"),".",TEXT(C300,"000"),".",TEXT(D300,"000"),".",TEXT(E300,"000")),"")))))</f>
        <v/>
      </c>
      <c r="J300" s="48" t="inlineStr">
        <is>
          <t>Piso de borracha GreenRubber 1x1m 50mm - Drenante</t>
        </is>
      </c>
      <c r="K300" s="45" t="inlineStr">
        <is>
          <t>m2</t>
        </is>
      </c>
      <c r="L300" s="46" t="n">
        <v>24.83</v>
      </c>
      <c r="M300" s="46" t="n">
        <v>331.55</v>
      </c>
      <c r="N300" s="47">
        <f>IF(H300="Serviço",M300*L300,IF(H300="CÉLULA CONSTRUTIVA",SUMIFS($N$8:$N$754,$B$8:$B$754,B300,$H$8:$H$754,"Serviço"),IF(H300="ETAPA",SUMIFS($N$8:$N$754,$B$8:$B$754,B300,$C$8:$C$754,C300,$H$8:$H$754,"Serviço"),IF(H300="SUBETAPA",SUMIFS($N$8:$N$754,$B$8:$B$754,B300,$C$8:$C$754,C300,$D$8:$D$754,D300,$H$8:$H$754,"Serviço"),0))))</f>
        <v/>
      </c>
      <c r="O300" s="45" t="n"/>
      <c r="P300" s="46" t="n"/>
      <c r="Q300" s="46" t="n"/>
      <c r="R300" s="47" t="n"/>
      <c r="S300" s="123" t="n"/>
      <c r="T300" s="49" t="n"/>
      <c r="U300" s="49" t="n"/>
    </row>
    <row r="301" outlineLevel="1" ht="13.8" customFormat="1" customHeight="1" s="31">
      <c r="A301" s="217">
        <f>IF($H301="UNIDADE CONSTRUTIVA",OFFSET(A301,-1,0)+1,LARGE(A$3:A299,1))</f>
        <v/>
      </c>
      <c r="B301" s="217">
        <f>IF(H301="UNIDADE CONSTRUTIVA",0,IF(H301="CÉLULA CONSTRUTIVA",OFFSET(B301,-1,0)+1,OFFSET(B301,-1,0)))</f>
        <v/>
      </c>
      <c r="C301" s="217">
        <f>IF(H301="CÉLULA CONSTRUTIVA",0,IF(H301="ETAPA",OFFSET(C301,-1,0)+1,OFFSET(C301,-1,0)))</f>
        <v/>
      </c>
      <c r="D301" s="218">
        <f>IF(H301="ETAPA",0,IF(H301="SUBETAPA",OFFSET(D301,-1,0)+1,OFFSET(D301,-1,0)))</f>
        <v/>
      </c>
      <c r="E301" s="218">
        <f>IF(H301="Subetapa",0,IF(H301="serviço",OFFSET(E301,-1,0)+1,OFFSET(E301,-1,0)))</f>
        <v/>
      </c>
      <c r="G301" s="124" t="n"/>
      <c r="H301" s="42" t="inlineStr">
        <is>
          <t>SUBETAPA</t>
        </is>
      </c>
      <c r="I301" s="43">
        <f>IF(H301="Unidade Construtiva",TEXT(A301,"00"),IF(H301="Célula Construtiva",TEXT(B301,"00"),IF(H301="Etapa",CONCATENATE(TEXT(B301,"00"),".",TEXT(C301,"000")),IF(H301="Subetapa",CONCATENATE(TEXT(B301,"00"),".",TEXT(C301,"000"),".",TEXT(D301,"000")),IF(H301="Serviço",CONCATENATE(TEXT(B301,"00"),".",TEXT(C301,"000"),".",TEXT(D301,"000"),".",TEXT(E301,"000")),"")))))</f>
        <v/>
      </c>
      <c r="J301" s="48" t="inlineStr">
        <is>
          <t>Rodapés</t>
        </is>
      </c>
      <c r="K301" s="45" t="n"/>
      <c r="L301" s="46" t="n"/>
      <c r="M301" s="46" t="n"/>
      <c r="N301" s="47">
        <f>IF(H301="Serviço",M301*L301,IF(H301="CÉLULA CONSTRUTIVA",SUMIFS($N$8:$N$754,$B$8:$B$754,B301,$H$8:$H$754,"Serviço"),IF(H301="ETAPA",SUMIFS($N$8:$N$754,$B$8:$B$754,B301,$C$8:$C$754,C301,$H$8:$H$754,"Serviço"),IF(H301="SUBETAPA",SUMIFS($N$8:$N$754,$B$8:$B$754,B301,$C$8:$C$754,C301,$D$8:$D$754,D301,$H$8:$H$754,"Serviço"),0))))</f>
        <v/>
      </c>
      <c r="O301" s="45" t="n"/>
      <c r="P301" s="46" t="n"/>
      <c r="Q301" s="46" t="n"/>
      <c r="R301" s="47" t="n"/>
      <c r="S301" s="123" t="n"/>
      <c r="T301" s="49" t="n"/>
      <c r="U301" s="49" t="n"/>
    </row>
    <row r="302" outlineLevel="2" ht="13.8" customFormat="1" customHeight="1" s="31">
      <c r="A302" s="217">
        <f>IF($H302="UNIDADE CONSTRUTIVA",OFFSET(A302,-1,0)+1,LARGE(A$3:A301,1))</f>
        <v/>
      </c>
      <c r="B302" s="217">
        <f>IF(H302="UNIDADE CONSTRUTIVA",0,IF(H302="CÉLULA CONSTRUTIVA",OFFSET(B302,-1,0)+1,OFFSET(B302,-1,0)))</f>
        <v/>
      </c>
      <c r="C302" s="217">
        <f>IF(H302="CÉLULA CONSTRUTIVA",0,IF(H302="ETAPA",OFFSET(C302,-1,0)+1,OFFSET(C302,-1,0)))</f>
        <v/>
      </c>
      <c r="D302" s="218">
        <f>IF(H302="ETAPA",0,IF(H302="SUBETAPA",OFFSET(D302,-1,0)+1,OFFSET(D302,-1,0)))</f>
        <v/>
      </c>
      <c r="E302" s="218">
        <f>IF(H302="Subetapa",0,IF(H302="serviço",OFFSET(E302,-1,0)+1,OFFSET(E302,-1,0)))</f>
        <v/>
      </c>
      <c r="G302" s="124" t="inlineStr">
        <is>
          <t>PISOS E PAVIMENTAÇÕES</t>
        </is>
      </c>
      <c r="H302" s="42" t="inlineStr">
        <is>
          <t>SERVIÇO</t>
        </is>
      </c>
      <c r="I302" s="43">
        <f>IF(H302="Unidade Construtiva",TEXT(A302,"00"),IF(H302="Célula Construtiva",TEXT(B302,"00"),IF(H302="Etapa",CONCATENATE(TEXT(B302,"00"),".",TEXT(C302,"000")),IF(H302="Subetapa",CONCATENATE(TEXT(B302,"00"),".",TEXT(C302,"000"),".",TEXT(D302,"000")),IF(H302="Serviço",CONCATENATE(TEXT(B302,"00"),".",TEXT(C302,"000"),".",TEXT(D302,"000"),".",TEXT(E302,"000")),"")))))</f>
        <v/>
      </c>
      <c r="J302" s="48" t="inlineStr">
        <is>
          <t>Rodapé de Poliestireno h=15cm</t>
        </is>
      </c>
      <c r="K302" s="45" t="inlineStr">
        <is>
          <t>m</t>
        </is>
      </c>
      <c r="L302" s="46" t="n">
        <v>3116.869999999999</v>
      </c>
      <c r="M302" s="46" t="n">
        <v>36.13500000000001</v>
      </c>
      <c r="N302" s="47">
        <f>IF(H302="Serviço",M302*L302,IF(H302="CÉLULA CONSTRUTIVA",SUMIFS($N$8:$N$754,$B$8:$B$754,B302,$H$8:$H$754,"Serviço"),IF(H302="ETAPA",SUMIFS($N$8:$N$754,$B$8:$B$754,B302,$C$8:$C$754,C302,$H$8:$H$754,"Serviço"),IF(H302="SUBETAPA",SUMIFS($N$8:$N$754,$B$8:$B$754,B302,$C$8:$C$754,C302,$D$8:$D$754,D302,$H$8:$H$754,"Serviço"),0))))</f>
        <v/>
      </c>
      <c r="O302" s="45" t="n"/>
      <c r="P302" s="46" t="n"/>
      <c r="Q302" s="46" t="n"/>
      <c r="R302" s="47" t="n"/>
      <c r="S302" s="123" t="n"/>
      <c r="T302" s="49" t="n"/>
      <c r="U302" s="49" t="n"/>
    </row>
    <row r="303" outlineLevel="2" ht="13.8" customFormat="1" customHeight="1" s="31">
      <c r="A303" s="217">
        <f>IF($H303="UNIDADE CONSTRUTIVA",OFFSET(A303,-1,0)+1,LARGE(A$3:A301,1))</f>
        <v/>
      </c>
      <c r="B303" s="217">
        <f>IF(H303="UNIDADE CONSTRUTIVA",0,IF(H303="CÉLULA CONSTRUTIVA",OFFSET(B303,-1,0)+1,OFFSET(B303,-1,0)))</f>
        <v/>
      </c>
      <c r="C303" s="217">
        <f>IF(H303="CÉLULA CONSTRUTIVA",0,IF(H303="ETAPA",OFFSET(C303,-1,0)+1,OFFSET(C303,-1,0)))</f>
        <v/>
      </c>
      <c r="D303" s="218">
        <f>IF(H303="ETAPA",0,IF(H303="SUBETAPA",OFFSET(D303,-1,0)+1,OFFSET(D303,-1,0)))</f>
        <v/>
      </c>
      <c r="E303" s="218">
        <f>IF(H303="Subetapa",0,IF(H303="serviço",OFFSET(E303,-1,0)+1,OFFSET(E303,-1,0)))</f>
        <v/>
      </c>
      <c r="G303" s="124" t="inlineStr">
        <is>
          <t>PISOS E PAVIMENTAÇÕES</t>
        </is>
      </c>
      <c r="H303" s="42" t="inlineStr">
        <is>
          <t>SERVIÇO</t>
        </is>
      </c>
      <c r="I303" s="43">
        <f>IF(H303="Unidade Construtiva",TEXT(A303,"00"),IF(H303="Célula Construtiva",TEXT(B303,"00"),IF(H303="Etapa",CONCATENATE(TEXT(B303,"00"),".",TEXT(C303,"000")),IF(H303="Subetapa",CONCATENATE(TEXT(B303,"00"),".",TEXT(C303,"000"),".",TEXT(D303,"000")),IF(H303="Serviço",CONCATENATE(TEXT(B303,"00"),".",TEXT(C303,"000"),".",TEXT(D303,"000"),".",TEXT(E303,"000")),"")))))</f>
        <v/>
      </c>
      <c r="J303" s="48" t="inlineStr">
        <is>
          <t>Rodapé de porcelanato h=15cm</t>
        </is>
      </c>
      <c r="K303" s="45" t="inlineStr">
        <is>
          <t>m</t>
        </is>
      </c>
      <c r="L303" s="46" t="n">
        <v>413.55</v>
      </c>
      <c r="M303" s="46" t="n">
        <v>24.398325</v>
      </c>
      <c r="N303" s="47">
        <f>IF(H303="Serviço",M303*L303,IF(H303="CÉLULA CONSTRUTIVA",SUMIFS($N$8:$N$754,$B$8:$B$754,B303,$H$8:$H$754,"Serviço"),IF(H303="ETAPA",SUMIFS($N$8:$N$754,$B$8:$B$754,B303,$C$8:$C$754,C303,$H$8:$H$754,"Serviço"),IF(H303="SUBETAPA",SUMIFS($N$8:$N$754,$B$8:$B$754,B303,$C$8:$C$754,C303,$D$8:$D$754,D303,$H$8:$H$754,"Serviço"),0))))</f>
        <v/>
      </c>
      <c r="O303" s="45" t="n"/>
      <c r="P303" s="46" t="n"/>
      <c r="Q303" s="46" t="n"/>
      <c r="R303" s="47" t="n"/>
      <c r="S303" s="123" t="n"/>
      <c r="T303" s="49" t="n"/>
      <c r="U303" s="49" t="n"/>
    </row>
    <row r="304" outlineLevel="1" ht="13.8" customFormat="1" customHeight="1" s="31">
      <c r="A304" s="217">
        <f>IF($H304="UNIDADE CONSTRUTIVA",OFFSET(A304,-1,0)+1,LARGE(A$3:A303,1))</f>
        <v/>
      </c>
      <c r="B304" s="217">
        <f>IF(H304="UNIDADE CONSTRUTIVA",0,IF(H304="CÉLULA CONSTRUTIVA",OFFSET(B304,-1,0)+1,OFFSET(B304,-1,0)))</f>
        <v/>
      </c>
      <c r="C304" s="217">
        <f>IF(H304="CÉLULA CONSTRUTIVA",0,IF(H304="ETAPA",OFFSET(C304,-1,0)+1,OFFSET(C304,-1,0)))</f>
        <v/>
      </c>
      <c r="D304" s="218">
        <f>IF(H304="ETAPA",0,IF(H304="SUBETAPA",OFFSET(D304,-1,0)+1,OFFSET(D304,-1,0)))</f>
        <v/>
      </c>
      <c r="E304" s="218">
        <f>IF(H304="Subetapa",0,IF(H304="serviço",OFFSET(E304,-1,0)+1,OFFSET(E304,-1,0)))</f>
        <v/>
      </c>
      <c r="G304" s="124" t="n"/>
      <c r="H304" s="42" t="inlineStr">
        <is>
          <t>SUBETAPA</t>
        </is>
      </c>
      <c r="I304" s="43">
        <f>IF(H304="Unidade Construtiva",TEXT(A304,"00"),IF(H304="Célula Construtiva",TEXT(B304,"00"),IF(H304="Etapa",CONCATENATE(TEXT(B304,"00"),".",TEXT(C304,"000")),IF(H304="Subetapa",CONCATENATE(TEXT(B304,"00"),".",TEXT(C304,"000"),".",TEXT(D304,"000")),IF(H304="Serviço",CONCATENATE(TEXT(B304,"00"),".",TEXT(C304,"000"),".",TEXT(D304,"000"),".",TEXT(E304,"000")),"")))))</f>
        <v/>
      </c>
      <c r="J304" s="48" t="inlineStr">
        <is>
          <t>Soleira</t>
        </is>
      </c>
      <c r="K304" s="45" t="n"/>
      <c r="L304" s="46" t="n"/>
      <c r="M304" s="46" t="n"/>
      <c r="N304" s="47">
        <f>IF(H304="Serviço",M304*L304,IF(H304="CÉLULA CONSTRUTIVA",SUMIFS($N$8:$N$754,$B$8:$B$754,B304,$H$8:$H$754,"Serviço"),IF(H304="ETAPA",SUMIFS($N$8:$N$754,$B$8:$B$754,B304,$C$8:$C$754,C304,$H$8:$H$754,"Serviço"),IF(H304="SUBETAPA",SUMIFS($N$8:$N$754,$B$8:$B$754,B304,$C$8:$C$754,C304,$D$8:$D$754,D304,$H$8:$H$754,"Serviço"),0))))</f>
        <v/>
      </c>
      <c r="O304" s="45" t="n"/>
      <c r="P304" s="46" t="n"/>
      <c r="Q304" s="46" t="n"/>
      <c r="R304" s="47" t="n"/>
      <c r="S304" s="123" t="n"/>
      <c r="T304" s="49" t="n"/>
      <c r="U304" s="49" t="n"/>
    </row>
    <row r="305" outlineLevel="2" ht="13.8" customFormat="1" customHeight="1" s="31">
      <c r="A305" s="217">
        <f>IF($H305="UNIDADE CONSTRUTIVA",OFFSET(A305,-1,0)+1,LARGE(A$3:A304,1))</f>
        <v/>
      </c>
      <c r="B305" s="217">
        <f>IF(H305="UNIDADE CONSTRUTIVA",0,IF(H305="CÉLULA CONSTRUTIVA",OFFSET(B305,-1,0)+1,OFFSET(B305,-1,0)))</f>
        <v/>
      </c>
      <c r="C305" s="217">
        <f>IF(H305="CÉLULA CONSTRUTIVA",0,IF(H305="ETAPA",OFFSET(C305,-1,0)+1,OFFSET(C305,-1,0)))</f>
        <v/>
      </c>
      <c r="D305" s="218">
        <f>IF(H305="ETAPA",0,IF(H305="SUBETAPA",OFFSET(D305,-1,0)+1,OFFSET(D305,-1,0)))</f>
        <v/>
      </c>
      <c r="E305" s="218">
        <f>IF(H305="Subetapa",0,IF(H305="serviço",OFFSET(E305,-1,0)+1,OFFSET(E305,-1,0)))</f>
        <v/>
      </c>
      <c r="G305" s="124" t="inlineStr">
        <is>
          <t>PISOS E PAVIMENTAÇÕES</t>
        </is>
      </c>
      <c r="H305" s="42" t="inlineStr">
        <is>
          <t>SERVIÇO</t>
        </is>
      </c>
      <c r="I305" s="43">
        <f>IF(H305="Unidade Construtiva",TEXT(A305,"00"),IF(H305="Célula Construtiva",TEXT(B305,"00"),IF(H305="Etapa",CONCATENATE(TEXT(B305,"00"),".",TEXT(C305,"000")),IF(H305="Subetapa",CONCATENATE(TEXT(B305,"00"),".",TEXT(C305,"000"),".",TEXT(D305,"000")),IF(H305="Serviço",CONCATENATE(TEXT(B305,"00"),".",TEXT(C305,"000"),".",TEXT(D305,"000"),".",TEXT(E305,"000")),"")))))</f>
        <v/>
      </c>
      <c r="J305" s="48" t="inlineStr">
        <is>
          <t>Soleira em pedra natural, largura 15cm - Branco Ceara, esp. 2cm</t>
        </is>
      </c>
      <c r="K305" s="45" t="inlineStr">
        <is>
          <t>m2</t>
        </is>
      </c>
      <c r="L305" s="46" t="n">
        <v>1.82</v>
      </c>
      <c r="M305" s="46" t="n">
        <v>691.8676</v>
      </c>
      <c r="N305" s="47">
        <f>IF(H305="Serviço",M305*L305,IF(H305="CÉLULA CONSTRUTIVA",SUMIFS($N$8:$N$754,$B$8:$B$754,B305,$H$8:$H$754,"Serviço"),IF(H305="ETAPA",SUMIFS($N$8:$N$754,$B$8:$B$754,B305,$C$8:$C$754,C305,$H$8:$H$754,"Serviço"),IF(H305="SUBETAPA",SUMIFS($N$8:$N$754,$B$8:$B$754,B305,$C$8:$C$754,C305,$D$8:$D$754,D305,$H$8:$H$754,"Serviço"),0))))</f>
        <v/>
      </c>
      <c r="O305" s="45" t="n"/>
      <c r="P305" s="46" t="n"/>
      <c r="Q305" s="46" t="n"/>
      <c r="R305" s="47" t="n"/>
      <c r="S305" s="123" t="n"/>
      <c r="T305" s="49" t="n"/>
      <c r="U305" s="49" t="n"/>
    </row>
    <row r="306" outlineLevel="1" ht="13.8" customFormat="1" customHeight="1" s="31">
      <c r="A306" s="217">
        <f>IF($H306="UNIDADE CONSTRUTIVA",OFFSET(A306,-1,0)+1,LARGE(A$3:A305,1))</f>
        <v/>
      </c>
      <c r="B306" s="217">
        <f>IF(H306="UNIDADE CONSTRUTIVA",0,IF(H306="CÉLULA CONSTRUTIVA",OFFSET(B306,-1,0)+1,OFFSET(B306,-1,0)))</f>
        <v/>
      </c>
      <c r="C306" s="217">
        <f>IF(H306="CÉLULA CONSTRUTIVA",0,IF(H306="ETAPA",OFFSET(C306,-1,0)+1,OFFSET(C306,-1,0)))</f>
        <v/>
      </c>
      <c r="D306" s="218">
        <f>IF(H306="ETAPA",0,IF(H306="SUBETAPA",OFFSET(D306,-1,0)+1,OFFSET(D306,-1,0)))</f>
        <v/>
      </c>
      <c r="E306" s="218">
        <f>IF(H306="Subetapa",0,IF(H306="serviço",OFFSET(E306,-1,0)+1,OFFSET(E306,-1,0)))</f>
        <v/>
      </c>
      <c r="G306" s="124" t="n"/>
      <c r="H306" s="42" t="inlineStr">
        <is>
          <t>SUBETAPA</t>
        </is>
      </c>
      <c r="I306" s="43">
        <f>IF(H306="Unidade Construtiva",TEXT(A306,"00"),IF(H306="Célula Construtiva",TEXT(B306,"00"),IF(H306="Etapa",CONCATENATE(TEXT(B306,"00"),".",TEXT(C306,"000")),IF(H306="Subetapa",CONCATENATE(TEXT(B306,"00"),".",TEXT(C306,"000"),".",TEXT(D306,"000")),IF(H306="Serviço",CONCATENATE(TEXT(B306,"00"),".",TEXT(C306,"000"),".",TEXT(D306,"000"),".",TEXT(E306,"000")),"")))))</f>
        <v/>
      </c>
      <c r="J306" s="48" t="inlineStr">
        <is>
          <t>Mão de obra - Revestimentos</t>
        </is>
      </c>
      <c r="K306" s="45" t="n"/>
      <c r="L306" s="46" t="n"/>
      <c r="M306" s="46" t="n"/>
      <c r="N306" s="47">
        <f>IF(H306="Serviço",M306*L306,IF(H306="CÉLULA CONSTRUTIVA",SUMIFS($N$8:$N$754,$B$8:$B$754,B306,$H$8:$H$754,"Serviço"),IF(H306="ETAPA",SUMIFS($N$8:$N$754,$B$8:$B$754,B306,$C$8:$C$754,C306,$H$8:$H$754,"Serviço"),IF(H306="SUBETAPA",SUMIFS($N$8:$N$754,$B$8:$B$754,B306,$C$8:$C$754,C306,$D$8:$D$754,D306,$H$8:$H$754,"Serviço"),0))))</f>
        <v/>
      </c>
      <c r="O306" s="45" t="n"/>
      <c r="P306" s="46" t="n"/>
      <c r="Q306" s="46" t="n"/>
      <c r="R306" s="216" t="inlineStr">
        <is>
          <t>19.001.005.001 - Mão de obra para telhamento</t>
        </is>
      </c>
      <c r="S306" s="123" t="n"/>
      <c r="T306" s="49" t="n"/>
      <c r="U306" s="49" t="n"/>
    </row>
    <row r="307" outlineLevel="2" ht="13.8" customFormat="1" customHeight="1" s="31">
      <c r="A307" s="217">
        <f>IF($H307="UNIDADE CONSTRUTIVA",OFFSET(A307,-1,0)+1,LARGE(A$3:A306,1))</f>
        <v/>
      </c>
      <c r="B307" s="217">
        <f>IF(H307="UNIDADE CONSTRUTIVA",0,IF(H307="CÉLULA CONSTRUTIVA",OFFSET(B307,-1,0)+1,OFFSET(B307,-1,0)))</f>
        <v/>
      </c>
      <c r="C307" s="217">
        <f>IF(H307="CÉLULA CONSTRUTIVA",0,IF(H307="ETAPA",OFFSET(C307,-1,0)+1,OFFSET(C307,-1,0)))</f>
        <v/>
      </c>
      <c r="D307" s="218">
        <f>IF(H307="ETAPA",0,IF(H307="SUBETAPA",OFFSET(D307,-1,0)+1,OFFSET(D307,-1,0)))</f>
        <v/>
      </c>
      <c r="E307" s="218">
        <f>IF(H307="Subetapa",0,IF(H307="serviço",OFFSET(E307,-1,0)+1,OFFSET(E307,-1,0)))</f>
        <v/>
      </c>
      <c r="G307" s="124" t="inlineStr">
        <is>
          <t>PISOS E PAVIMENTAÇÕES</t>
        </is>
      </c>
      <c r="H307" s="42" t="inlineStr">
        <is>
          <t>SERVIÇO</t>
        </is>
      </c>
      <c r="I307" s="43">
        <f>IF(H307="Unidade Construtiva",TEXT(A307,"00"),IF(H307="Célula Construtiva",TEXT(B307,"00"),IF(H307="Etapa",CONCATENATE(TEXT(B307,"00"),".",TEXT(C307,"000")),IF(H307="Subetapa",CONCATENATE(TEXT(B307,"00"),".",TEXT(C307,"000"),".",TEXT(D307,"000")),IF(H307="Serviço",CONCATENATE(TEXT(B307,"00"),".",TEXT(C307,"000"),".",TEXT(D307,"000"),".",TEXT(E307,"000")),"")))))</f>
        <v/>
      </c>
      <c r="J307" s="48" t="inlineStr">
        <is>
          <t>Mão de obra execução de contrapiso comum e Acústico</t>
        </is>
      </c>
      <c r="K307" s="45" t="inlineStr">
        <is>
          <t>m2</t>
        </is>
      </c>
      <c r="L307" s="46">
        <f>SUM(L284:L284)</f>
        <v/>
      </c>
      <c r="M307" s="46" t="n">
        <v>40</v>
      </c>
      <c r="N307" s="47">
        <f>IF(H307="Serviço",M307*L307,IF(H307="CÉLULA CONSTRUTIVA",SUMIFS($N$8:$N$754,$B$8:$B$754,B307,$H$8:$H$754,"Serviço"),IF(H307="ETAPA",SUMIFS($N$8:$N$754,$B$8:$B$754,B307,$C$8:$C$754,C307,$H$8:$H$754,"Serviço"),IF(H307="SUBETAPA",SUMIFS($N$8:$N$754,$B$8:$B$754,B307,$C$8:$C$754,C307,$D$8:$D$754,D307,$H$8:$H$754,"Serviço"),0))))</f>
        <v/>
      </c>
      <c r="O307" s="45" t="n"/>
      <c r="P307" s="46" t="n"/>
      <c r="Q307" s="46" t="n"/>
      <c r="R307" s="47" t="n"/>
      <c r="S307" s="123" t="n"/>
      <c r="T307" s="49" t="n"/>
      <c r="U307" s="49" t="n"/>
    </row>
    <row r="308" outlineLevel="2" ht="13.8" customFormat="1" customHeight="1" s="31">
      <c r="A308" s="217">
        <f>IF($H308="UNIDADE CONSTRUTIVA",OFFSET(A308,-1,0)+1,LARGE(A$3:A307,1))</f>
        <v/>
      </c>
      <c r="B308" s="217">
        <f>IF(H308="UNIDADE CONSTRUTIVA",0,IF(H308="CÉLULA CONSTRUTIVA",OFFSET(B308,-1,0)+1,OFFSET(B308,-1,0)))</f>
        <v/>
      </c>
      <c r="C308" s="217">
        <f>IF(H308="CÉLULA CONSTRUTIVA",0,IF(H308="ETAPA",OFFSET(C308,-1,0)+1,OFFSET(C308,-1,0)))</f>
        <v/>
      </c>
      <c r="D308" s="218">
        <f>IF(H308="ETAPA",0,IF(H308="SUBETAPA",OFFSET(D308,-1,0)+1,OFFSET(D308,-1,0)))</f>
        <v/>
      </c>
      <c r="E308" s="218">
        <f>IF(H308="Subetapa",0,IF(H308="serviço",OFFSET(E308,-1,0)+1,OFFSET(E308,-1,0)))</f>
        <v/>
      </c>
      <c r="G308" s="124" t="inlineStr">
        <is>
          <t>PISOS E PAVIMENTAÇÕES</t>
        </is>
      </c>
      <c r="H308" s="42" t="inlineStr">
        <is>
          <t>SERVIÇO</t>
        </is>
      </c>
      <c r="I308" s="43">
        <f>IF(H308="Unidade Construtiva",TEXT(A308,"00"),IF(H308="Célula Construtiva",TEXT(B308,"00"),IF(H308="Etapa",CONCATENATE(TEXT(B308,"00"),".",TEXT(C308,"000")),IF(H308="Subetapa",CONCATENATE(TEXT(B308,"00"),".",TEXT(C308,"000"),".",TEXT(D308,"000")),IF(H308="Serviço",CONCATENATE(TEXT(B308,"00"),".",TEXT(C308,"000"),".",TEXT(D308,"000"),".",TEXT(E308,"000")),"")))))</f>
        <v/>
      </c>
      <c r="J308" s="48" t="inlineStr">
        <is>
          <t>Mão de Obra Piso Porcenato/ Cerâmico</t>
        </is>
      </c>
      <c r="K308" s="45" t="inlineStr">
        <is>
          <t>m2</t>
        </is>
      </c>
      <c r="L308" s="46">
        <f>SUM(L289:L292)</f>
        <v/>
      </c>
      <c r="M308" s="46" t="n">
        <v>75</v>
      </c>
      <c r="N308" s="47">
        <f>IF(H308="Serviço",M308*L308,IF(H308="CÉLULA CONSTRUTIVA",SUMIFS($N$8:$N$754,$B$8:$B$754,B308,$H$8:$H$754,"Serviço"),IF(H308="ETAPA",SUMIFS($N$8:$N$754,$B$8:$B$754,B308,$C$8:$C$754,C308,$H$8:$H$754,"Serviço"),IF(H308="SUBETAPA",SUMIFS($N$8:$N$754,$B$8:$B$754,B308,$C$8:$C$754,C308,$D$8:$D$754,D308,$H$8:$H$754,"Serviço"),0))))</f>
        <v/>
      </c>
      <c r="O308" s="45" t="n"/>
      <c r="P308" s="46" t="n"/>
      <c r="Q308" s="46" t="n"/>
      <c r="R308" s="47" t="n"/>
      <c r="S308" s="123" t="n"/>
      <c r="T308" s="49" t="n"/>
      <c r="U308" s="49" t="n"/>
    </row>
    <row r="309" outlineLevel="2" ht="13.8" customFormat="1" customHeight="1" s="31">
      <c r="A309" s="217">
        <f>IF($H309="UNIDADE CONSTRUTIVA",OFFSET(A309,-1,0)+1,LARGE(A$3:A308,1))</f>
        <v/>
      </c>
      <c r="B309" s="217">
        <f>IF(H309="UNIDADE CONSTRUTIVA",0,IF(H309="CÉLULA CONSTRUTIVA",OFFSET(B309,-1,0)+1,OFFSET(B309,-1,0)))</f>
        <v/>
      </c>
      <c r="C309" s="217">
        <f>IF(H309="CÉLULA CONSTRUTIVA",0,IF(H309="ETAPA",OFFSET(C309,-1,0)+1,OFFSET(C309,-1,0)))</f>
        <v/>
      </c>
      <c r="D309" s="218">
        <f>IF(H309="ETAPA",0,IF(H309="SUBETAPA",OFFSET(D309,-1,0)+1,OFFSET(D309,-1,0)))</f>
        <v/>
      </c>
      <c r="E309" s="218">
        <f>IF(H309="Subetapa",0,IF(H309="serviço",OFFSET(E309,-1,0)+1,OFFSET(E309,-1,0)))</f>
        <v/>
      </c>
      <c r="G309" s="124" t="inlineStr">
        <is>
          <t>PISOS E PAVIMENTAÇÕES</t>
        </is>
      </c>
      <c r="H309" s="42" t="inlineStr">
        <is>
          <t>SERVIÇO</t>
        </is>
      </c>
      <c r="I309" s="43">
        <f>IF(H309="Unidade Construtiva",TEXT(A309,"00"),IF(H309="Célula Construtiva",TEXT(B309,"00"),IF(H309="Etapa",CONCATENATE(TEXT(B309,"00"),".",TEXT(C309,"000")),IF(H309="Subetapa",CONCATENATE(TEXT(B309,"00"),".",TEXT(C309,"000"),".",TEXT(D309,"000")),IF(H309="Serviço",CONCATENATE(TEXT(B309,"00"),".",TEXT(C309,"000"),".",TEXT(D309,"000"),".",TEXT(E309,"000")),"")))))</f>
        <v/>
      </c>
      <c r="J309" s="48" t="inlineStr">
        <is>
          <t>Mão de obra para assentamento de Pastilhas em Piscina</t>
        </is>
      </c>
      <c r="K309" s="45" t="inlineStr">
        <is>
          <t>m2</t>
        </is>
      </c>
      <c r="L309" s="46">
        <f>L293</f>
        <v/>
      </c>
      <c r="M309" s="46" t="n">
        <v>55</v>
      </c>
      <c r="N309" s="47">
        <f>IF(H309="Serviço",M309*L309,IF(H309="CÉLULA CONSTRUTIVA",SUMIFS($N$8:$N$754,$B$8:$B$754,B309,$H$8:$H$754,"Serviço"),IF(H309="ETAPA",SUMIFS($N$8:$N$754,$B$8:$B$754,B309,$C$8:$C$754,C309,$H$8:$H$754,"Serviço"),IF(H309="SUBETAPA",SUMIFS($N$8:$N$754,$B$8:$B$754,B309,$C$8:$C$754,C309,$D$8:$D$754,D309,$H$8:$H$754,"Serviço"),0))))</f>
        <v/>
      </c>
      <c r="O309" s="45" t="n"/>
      <c r="P309" s="46" t="n"/>
      <c r="Q309" s="46" t="n"/>
      <c r="R309" s="47" t="n"/>
      <c r="S309" s="123" t="n"/>
      <c r="T309" s="49" t="n"/>
      <c r="U309" s="49" t="n"/>
    </row>
    <row r="310" outlineLevel="2" ht="13.8" customFormat="1" customHeight="1" s="31">
      <c r="A310" s="217">
        <f>IF($H310="UNIDADE CONSTRUTIVA",OFFSET(A310,-1,0)+1,LARGE(A$3:A308,1))</f>
        <v/>
      </c>
      <c r="B310" s="217">
        <f>IF(H310="UNIDADE CONSTRUTIVA",0,IF(H310="CÉLULA CONSTRUTIVA",OFFSET(B310,-1,0)+1,OFFSET(B310,-1,0)))</f>
        <v/>
      </c>
      <c r="C310" s="217">
        <f>IF(H310="CÉLULA CONSTRUTIVA",0,IF(H310="ETAPA",OFFSET(C310,-1,0)+1,OFFSET(C310,-1,0)))</f>
        <v/>
      </c>
      <c r="D310" s="218">
        <f>IF(H310="ETAPA",0,IF(H310="SUBETAPA",OFFSET(D310,-1,0)+1,OFFSET(D310,-1,0)))</f>
        <v/>
      </c>
      <c r="E310" s="218">
        <f>IF(H310="Subetapa",0,IF(H310="serviço",OFFSET(E310,-1,0)+1,OFFSET(E310,-1,0)))</f>
        <v/>
      </c>
      <c r="G310" s="124" t="inlineStr">
        <is>
          <t>PISOS E PAVIMENTAÇÕES</t>
        </is>
      </c>
      <c r="H310" s="42" t="inlineStr">
        <is>
          <t>SERVIÇO</t>
        </is>
      </c>
      <c r="I310" s="43">
        <f>IF(H310="Unidade Construtiva",TEXT(A310,"00"),IF(H310="Célula Construtiva",TEXT(B310,"00"),IF(H310="Etapa",CONCATENATE(TEXT(B310,"00"),".",TEXT(C310,"000")),IF(H310="Subetapa",CONCATENATE(TEXT(B310,"00"),".",TEXT(C310,"000"),".",TEXT(D310,"000")),IF(H310="Serviço",CONCATENATE(TEXT(B310,"00"),".",TEXT(C310,"000"),".",TEXT(D310,"000"),".",TEXT(E310,"000")),"")))))</f>
        <v/>
      </c>
      <c r="J310" s="48" t="inlineStr">
        <is>
          <t>Mão de obra de rodapé Poliestireno</t>
        </is>
      </c>
      <c r="K310" s="45" t="inlineStr">
        <is>
          <t>m</t>
        </is>
      </c>
      <c r="L310" s="46">
        <f>L302</f>
        <v/>
      </c>
      <c r="M310" s="46" t="n">
        <v>22</v>
      </c>
      <c r="N310" s="47">
        <f>IF(H310="Serviço",M310*L310,IF(H310="CÉLULA CONSTRUTIVA",SUMIFS($N$8:$N$754,$B$8:$B$754,B310,$H$8:$H$754,"Serviço"),IF(H310="ETAPA",SUMIFS($N$8:$N$754,$B$8:$B$754,B310,$C$8:$C$754,C310,$H$8:$H$754,"Serviço"),IF(H310="SUBETAPA",SUMIFS($N$8:$N$754,$B$8:$B$754,B310,$C$8:$C$754,C310,$D$8:$D$754,D310,$H$8:$H$754,"Serviço"),0))))</f>
        <v/>
      </c>
      <c r="O310" s="45" t="n"/>
      <c r="P310" s="46" t="n"/>
      <c r="Q310" s="46" t="n"/>
      <c r="R310" s="47" t="n"/>
      <c r="S310" s="123" t="n"/>
      <c r="T310" s="49" t="n"/>
      <c r="U310" s="49" t="n"/>
    </row>
    <row r="311" outlineLevel="2" ht="13.8" customFormat="1" customHeight="1" s="31">
      <c r="A311" s="217">
        <f>IF($H311="UNIDADE CONSTRUTIVA",OFFSET(A311,-1,0)+1,LARGE(A$3:A309,1))</f>
        <v/>
      </c>
      <c r="B311" s="217">
        <f>IF(H311="UNIDADE CONSTRUTIVA",0,IF(H311="CÉLULA CONSTRUTIVA",OFFSET(B311,-1,0)+1,OFFSET(B311,-1,0)))</f>
        <v/>
      </c>
      <c r="C311" s="217">
        <f>IF(H311="CÉLULA CONSTRUTIVA",0,IF(H311="ETAPA",OFFSET(C311,-1,0)+1,OFFSET(C311,-1,0)))</f>
        <v/>
      </c>
      <c r="D311" s="218">
        <f>IF(H311="ETAPA",0,IF(H311="SUBETAPA",OFFSET(D311,-1,0)+1,OFFSET(D311,-1,0)))</f>
        <v/>
      </c>
      <c r="E311" s="218">
        <f>IF(H311="Subetapa",0,IF(H311="serviço",OFFSET(E311,-1,0)+1,OFFSET(E311,-1,0)))</f>
        <v/>
      </c>
      <c r="G311" s="124" t="inlineStr">
        <is>
          <t>PISOS E PAVIMENTAÇÕES</t>
        </is>
      </c>
      <c r="H311" s="42" t="inlineStr">
        <is>
          <t>SERVIÇO</t>
        </is>
      </c>
      <c r="I311" s="43">
        <f>IF(H311="Unidade Construtiva",TEXT(A311,"00"),IF(H311="Célula Construtiva",TEXT(B311,"00"),IF(H311="Etapa",CONCATENATE(TEXT(B311,"00"),".",TEXT(C311,"000")),IF(H311="Subetapa",CONCATENATE(TEXT(B311,"00"),".",TEXT(C311,"000"),".",TEXT(D311,"000")),IF(H311="Serviço",CONCATENATE(TEXT(B311,"00"),".",TEXT(C311,"000"),".",TEXT(D311,"000"),".",TEXT(E311,"000")),"")))))</f>
        <v/>
      </c>
      <c r="J311" s="48" t="inlineStr">
        <is>
          <t>Mão de obra de rodapé Porcelanato</t>
        </is>
      </c>
      <c r="K311" s="45" t="inlineStr">
        <is>
          <t>m</t>
        </is>
      </c>
      <c r="L311" s="46">
        <f>L303</f>
        <v/>
      </c>
      <c r="M311" s="46" t="n">
        <v>22</v>
      </c>
      <c r="N311" s="47">
        <f>IF(H311="Serviço",M311*L311,IF(H311="CÉLULA CONSTRUTIVA",SUMIFS($N$8:$N$754,$B$8:$B$754,B311,$H$8:$H$754,"Serviço"),IF(H311="ETAPA",SUMIFS($N$8:$N$754,$B$8:$B$754,B311,$C$8:$C$754,C311,$H$8:$H$754,"Serviço"),IF(H311="SUBETAPA",SUMIFS($N$8:$N$754,$B$8:$B$754,B311,$C$8:$C$754,C311,$D$8:$D$754,D311,$H$8:$H$754,"Serviço"),0))))</f>
        <v/>
      </c>
      <c r="O311" s="45" t="n"/>
      <c r="P311" s="46" t="n"/>
      <c r="Q311" s="46" t="n"/>
      <c r="R311" s="47" t="n"/>
      <c r="S311" s="123" t="n"/>
      <c r="T311" s="49" t="n"/>
      <c r="U311" s="49" t="n"/>
    </row>
    <row r="312" outlineLevel="2" ht="13.8" customFormat="1" customHeight="1" s="31">
      <c r="A312" s="217">
        <f>IF($H312="UNIDADE CONSTRUTIVA",OFFSET(A312,-1,0)+1,LARGE(A$3:A311,1))</f>
        <v/>
      </c>
      <c r="B312" s="217">
        <f>IF(H312="UNIDADE CONSTRUTIVA",0,IF(H312="CÉLULA CONSTRUTIVA",OFFSET(B312,-1,0)+1,OFFSET(B312,-1,0)))</f>
        <v/>
      </c>
      <c r="C312" s="217">
        <f>IF(H312="CÉLULA CONSTRUTIVA",0,IF(H312="ETAPA",OFFSET(C312,-1,0)+1,OFFSET(C312,-1,0)))</f>
        <v/>
      </c>
      <c r="D312" s="218">
        <f>IF(H312="ETAPA",0,IF(H312="SUBETAPA",OFFSET(D312,-1,0)+1,OFFSET(D312,-1,0)))</f>
        <v/>
      </c>
      <c r="E312" s="218">
        <f>IF(H312="Subetapa",0,IF(H312="serviço",OFFSET(E312,-1,0)+1,OFFSET(E312,-1,0)))</f>
        <v/>
      </c>
      <c r="G312" s="124" t="inlineStr">
        <is>
          <t>PISOS E PAVIMENTAÇÕES</t>
        </is>
      </c>
      <c r="H312" s="42" t="inlineStr">
        <is>
          <t>SERVIÇO</t>
        </is>
      </c>
      <c r="I312" s="43">
        <f>IF(H312="Unidade Construtiva",TEXT(A312,"00"),IF(H312="Célula Construtiva",TEXT(B312,"00"),IF(H312="Etapa",CONCATENATE(TEXT(B312,"00"),".",TEXT(C312,"000")),IF(H312="Subetapa",CONCATENATE(TEXT(B312,"00"),".",TEXT(C312,"000"),".",TEXT(D312,"000")),IF(H312="Serviço",CONCATENATE(TEXT(B312,"00"),".",TEXT(C312,"000"),".",TEXT(D312,"000"),".",TEXT(E312,"000")),"")))))</f>
        <v/>
      </c>
      <c r="J312" s="48" t="inlineStr">
        <is>
          <t>Mão de obra de colocação de soleira em pedra natural</t>
        </is>
      </c>
      <c r="K312" s="45" t="inlineStr">
        <is>
          <t>m2</t>
        </is>
      </c>
      <c r="L312" s="46">
        <f>L305</f>
        <v/>
      </c>
      <c r="M312" s="46" t="n">
        <v>22</v>
      </c>
      <c r="N312" s="47">
        <f>IF(H312="Serviço",M312*L312,IF(H312="CÉLULA CONSTRUTIVA",SUMIFS($N$8:$N$754,$B$8:$B$754,B312,$H$8:$H$754,"Serviço"),IF(H312="ETAPA",SUMIFS($N$8:$N$754,$B$8:$B$754,B312,$C$8:$C$754,C312,$H$8:$H$754,"Serviço"),IF(H312="SUBETAPA",SUMIFS($N$8:$N$754,$B$8:$B$754,B312,$C$8:$C$754,C312,$D$8:$D$754,D312,$H$8:$H$754,"Serviço"),0))))</f>
        <v/>
      </c>
      <c r="O312" s="45" t="n"/>
      <c r="P312" s="46" t="n"/>
      <c r="Q312" s="46" t="n"/>
      <c r="R312" s="47" t="n"/>
      <c r="S312" s="123" t="n"/>
      <c r="T312" s="49" t="n"/>
      <c r="U312" s="49" t="n"/>
    </row>
    <row r="313" ht="13.8" customFormat="1" customHeight="1" s="31">
      <c r="A313" s="217">
        <f>IF($H313="UNIDADE CONSTRUTIVA",OFFSET(A313,-1,0)+1,LARGE(A$3:A312,1))</f>
        <v/>
      </c>
      <c r="B313" s="217">
        <f>IF(H313="UNIDADE CONSTRUTIVA",0,IF(H313="CÉLULA CONSTRUTIVA",OFFSET(B313,-1,0)+1,OFFSET(B313,-1,0)))</f>
        <v/>
      </c>
      <c r="C313" s="217">
        <f>IF(H313="CÉLULA CONSTRUTIVA",0,IF(H313="ETAPA",OFFSET(C313,-1,0)+1,OFFSET(C313,-1,0)))</f>
        <v/>
      </c>
      <c r="D313" s="218">
        <f>IF(H313="ETAPA",0,IF(H313="SUBETAPA",OFFSET(D313,-1,0)+1,OFFSET(D313,-1,0)))</f>
        <v/>
      </c>
      <c r="E313" s="218">
        <f>IF(H313="Subetapa",0,IF(H313="serviço",OFFSET(E313,-1,0)+1,OFFSET(E313,-1,0)))</f>
        <v/>
      </c>
      <c r="G313" s="124" t="n"/>
      <c r="H313" s="42" t="inlineStr">
        <is>
          <t>CÉLULA CONSTRUTIVA</t>
        </is>
      </c>
      <c r="I313" s="43">
        <f>IF(H313="Unidade Construtiva",TEXT(A313,"00"),IF(H313="Célula Construtiva",TEXT(B313,"00"),IF(H313="Etapa",CONCATENATE(TEXT(B313,"00"),".",TEXT(C313,"000")),IF(H313="Subetapa",CONCATENATE(TEXT(B313,"00"),".",TEXT(C313,"000"),".",TEXT(D313,"000")),IF(H313="Serviço",CONCATENATE(TEXT(B313,"00"),".",TEXT(C313,"000"),".",TEXT(D313,"000"),".",TEXT(E313,"000")),"")))))</f>
        <v/>
      </c>
      <c r="J313" s="48" t="inlineStr">
        <is>
          <t>SISTEMAS DE PINTURA INTERNA</t>
        </is>
      </c>
      <c r="K313" s="45" t="n"/>
      <c r="L313" s="46" t="n"/>
      <c r="M313" s="46" t="n"/>
      <c r="N313" s="47">
        <f>IF(H313="Serviço",M313*L313,IF(H313="CÉLULA CONSTRUTIVA",SUMIFS($N$8:$N$754,$B$8:$B$754,B313,$H$8:$H$754,"Serviço"),IF(H313="ETAPA",SUMIFS($N$8:$N$754,$B$8:$B$754,B313,$C$8:$C$754,C313,$H$8:$H$754,"Serviço"),IF(H313="SUBETAPA",SUMIFS($N$8:$N$754,$B$8:$B$754,B313,$C$8:$C$754,C313,$D$8:$D$754,D313,$H$8:$H$754,"Serviço"),0))))</f>
        <v/>
      </c>
      <c r="O313" s="45" t="n"/>
      <c r="P313" s="46" t="n"/>
      <c r="Q313" s="46" t="n"/>
      <c r="R313" s="47" t="n"/>
      <c r="S313" s="123" t="n"/>
      <c r="T313" s="215" t="n"/>
      <c r="U313" s="49" t="n"/>
    </row>
    <row r="314" outlineLevel="1" ht="13.8" customFormat="1" customHeight="1" s="31">
      <c r="A314" s="217">
        <f>IF($H314="UNIDADE CONSTRUTIVA",OFFSET(A314,-1,0)+1,LARGE(A$3:A313,1))</f>
        <v/>
      </c>
      <c r="B314" s="217">
        <f>IF(H314="UNIDADE CONSTRUTIVA",0,IF(H314="CÉLULA CONSTRUTIVA",OFFSET(B314,-1,0)+1,OFFSET(B314,-1,0)))</f>
        <v/>
      </c>
      <c r="C314" s="217">
        <f>IF(H314="CÉLULA CONSTRUTIVA",0,IF(H314="ETAPA",OFFSET(C314,-1,0)+1,OFFSET(C314,-1,0)))</f>
        <v/>
      </c>
      <c r="D314" s="218">
        <f>IF(H314="ETAPA",0,IF(H314="SUBETAPA",OFFSET(D314,-1,0)+1,OFFSET(D314,-1,0)))</f>
        <v/>
      </c>
      <c r="E314" s="218">
        <f>IF(H314="Subetapa",0,IF(H314="serviço",OFFSET(E314,-1,0)+1,OFFSET(E314,-1,0)))</f>
        <v/>
      </c>
      <c r="G314" s="124" t="n"/>
      <c r="H314" s="42" t="inlineStr">
        <is>
          <t>ETAPA</t>
        </is>
      </c>
      <c r="I314" s="43">
        <f>IF(H314="Unidade Construtiva",TEXT(A314,"00"),IF(H314="Célula Construtiva",TEXT(B314,"00"),IF(H314="Etapa",CONCATENATE(TEXT(B314,"00"),".",TEXT(C314,"000")),IF(H314="Subetapa",CONCATENATE(TEXT(B314,"00"),".",TEXT(C314,"000"),".",TEXT(D314,"000")),IF(H314="Serviço",CONCATENATE(TEXT(B314,"00"),".",TEXT(C314,"000"),".",TEXT(D314,"000"),".",TEXT(E314,"000")),"")))))</f>
        <v/>
      </c>
      <c r="J314" s="48" t="inlineStr">
        <is>
          <t>PINTURA INTERNA</t>
        </is>
      </c>
      <c r="K314" s="45" t="n"/>
      <c r="L314" s="46" t="n"/>
      <c r="M314" s="46" t="n"/>
      <c r="N314" s="47">
        <f>IF(H314="Serviço",M314*L314,IF(H314="CÉLULA CONSTRUTIVA",SUMIFS($N$8:$N$754,$B$8:$B$754,B314,$H$8:$H$754,"Serviço"),IF(H314="ETAPA",SUMIFS($N$8:$N$754,$B$8:$B$754,B314,$C$8:$C$754,C314,$H$8:$H$754,"Serviço"),IF(H314="SUBETAPA",SUMIFS($N$8:$N$754,$B$8:$B$754,B314,$C$8:$C$754,C314,$D$8:$D$754,D314,$H$8:$H$754,"Serviço"),0))))</f>
        <v/>
      </c>
      <c r="O314" s="45" t="n"/>
      <c r="P314" s="46" t="n"/>
      <c r="Q314" s="46" t="n"/>
      <c r="R314" s="47" t="n"/>
      <c r="S314" s="123" t="n"/>
      <c r="T314" s="49" t="n"/>
      <c r="U314" s="49" t="n"/>
    </row>
    <row r="315" outlineLevel="1" ht="13.8" customFormat="1" customHeight="1" s="31">
      <c r="A315" s="217">
        <f>IF($H315="UNIDADE CONSTRUTIVA",OFFSET(A315,-1,0)+1,LARGE(A$3:A314,1))</f>
        <v/>
      </c>
      <c r="B315" s="217">
        <f>IF(H315="UNIDADE CONSTRUTIVA",0,IF(H315="CÉLULA CONSTRUTIVA",OFFSET(B315,-1,0)+1,OFFSET(B315,-1,0)))</f>
        <v/>
      </c>
      <c r="C315" s="217">
        <f>IF(H315="CÉLULA CONSTRUTIVA",0,IF(H315="ETAPA",OFFSET(C315,-1,0)+1,OFFSET(C315,-1,0)))</f>
        <v/>
      </c>
      <c r="D315" s="218">
        <f>IF(H315="ETAPA",0,IF(H315="SUBETAPA",OFFSET(D315,-1,0)+1,OFFSET(D315,-1,0)))</f>
        <v/>
      </c>
      <c r="E315" s="218">
        <f>IF(H315="Subetapa",0,IF(H315="serviço",OFFSET(E315,-1,0)+1,OFFSET(E315,-1,0)))</f>
        <v/>
      </c>
      <c r="G315" s="124" t="n"/>
      <c r="H315" s="42" t="inlineStr">
        <is>
          <t>SUBETAPA</t>
        </is>
      </c>
      <c r="I315" s="43">
        <f>IF(H315="Unidade Construtiva",TEXT(A315,"00"),IF(H315="Célula Construtiva",TEXT(B315,"00"),IF(H315="Etapa",CONCATENATE(TEXT(B315,"00"),".",TEXT(C315,"000")),IF(H315="Subetapa",CONCATENATE(TEXT(B315,"00"),".",TEXT(C315,"000"),".",TEXT(D315,"000")),IF(H315="Serviço",CONCATENATE(TEXT(B315,"00"),".",TEXT(C315,"000"),".",TEXT(D315,"000"),".",TEXT(E315,"000")),"")))))</f>
        <v/>
      </c>
      <c r="J315" s="48" t="inlineStr">
        <is>
          <t>Sistema de pintura em piso</t>
        </is>
      </c>
      <c r="K315" s="45" t="n"/>
      <c r="L315" s="46" t="n"/>
      <c r="M315" s="46" t="n"/>
      <c r="N315" s="47">
        <f>IF(H315="Serviço",M315*L315,IF(H315="CÉLULA CONSTRUTIVA",SUMIFS($N$8:$N$754,$B$8:$B$754,B315,$H$8:$H$754,"Serviço"),IF(H315="ETAPA",SUMIFS($N$8:$N$754,$B$8:$B$754,B315,$C$8:$C$754,C315,$H$8:$H$754,"Serviço"),IF(H315="SUBETAPA",SUMIFS($N$8:$N$754,$B$8:$B$754,B315,$C$8:$C$754,C315,$D$8:$D$754,D315,$H$8:$H$754,"Serviço"),0))))</f>
        <v/>
      </c>
      <c r="O315" s="45" t="n"/>
      <c r="P315" s="46" t="n"/>
      <c r="Q315" s="46" t="n"/>
      <c r="R315" s="216" t="inlineStr">
        <is>
          <t>10.001.001.001 - Sistema de interfone / controle de acesso</t>
        </is>
      </c>
      <c r="S315" s="123" t="n"/>
      <c r="T315" s="49" t="n"/>
      <c r="U315" s="49" t="n"/>
    </row>
    <row r="316" outlineLevel="2" ht="13.8" customFormat="1" customHeight="1" s="31">
      <c r="A316" s="217">
        <f>IF($H316="UNIDADE CONSTRUTIVA",OFFSET(A316,-1,0)+1,LARGE(A$3:A315,1))</f>
        <v/>
      </c>
      <c r="B316" s="217">
        <f>IF(H316="UNIDADE CONSTRUTIVA",0,IF(H316="CÉLULA CONSTRUTIVA",OFFSET(B316,-1,0)+1,OFFSET(B316,-1,0)))</f>
        <v/>
      </c>
      <c r="C316" s="217">
        <f>IF(H316="CÉLULA CONSTRUTIVA",0,IF(H316="ETAPA",OFFSET(C316,-1,0)+1,OFFSET(C316,-1,0)))</f>
        <v/>
      </c>
      <c r="D316" s="218">
        <f>IF(H316="ETAPA",0,IF(H316="SUBETAPA",OFFSET(D316,-1,0)+1,OFFSET(D316,-1,0)))</f>
        <v/>
      </c>
      <c r="E316" s="218">
        <f>IF(H316="Subetapa",0,IF(H316="serviço",OFFSET(E316,-1,0)+1,OFFSET(E316,-1,0)))</f>
        <v/>
      </c>
      <c r="G316" s="124" t="inlineStr">
        <is>
          <t>SISTEMAS DE PINTURA INTERNA</t>
        </is>
      </c>
      <c r="H316" s="42" t="inlineStr">
        <is>
          <t>SERVIÇO</t>
        </is>
      </c>
      <c r="I316" s="43">
        <f>IF(H316="Unidade Construtiva",TEXT(A316,"00"),IF(H316="Célula Construtiva",TEXT(B316,"00"),IF(H316="Etapa",CONCATENATE(TEXT(B316,"00"),".",TEXT(C316,"000")),IF(H316="Subetapa",CONCATENATE(TEXT(B316,"00"),".",TEXT(C316,"000"),".",TEXT(D316,"000")),IF(H316="Serviço",CONCATENATE(TEXT(B316,"00"),".",TEXT(C316,"000"),".",TEXT(D316,"000"),".",TEXT(E316,"000")),"")))))</f>
        <v/>
      </c>
      <c r="J316" s="48" t="inlineStr">
        <is>
          <t>Pintura em Epóxi para demarcação de vagas em piso, 2 demãos</t>
        </is>
      </c>
      <c r="K316" s="45" t="inlineStr">
        <is>
          <t>m2</t>
        </is>
      </c>
      <c r="L316" s="46" t="n">
        <v>29.29</v>
      </c>
      <c r="M316" s="46" t="n">
        <v>70.56703066666667</v>
      </c>
      <c r="N316" s="47">
        <f>IF(H316="Serviço",M316*L316,IF(H316="CÉLULA CONSTRUTIVA",SUMIFS($N$8:$N$754,$B$8:$B$754,B316,$H$8:$H$754,"Serviço"),IF(H316="ETAPA",SUMIFS($N$8:$N$754,$B$8:$B$754,B316,$C$8:$C$754,C316,$H$8:$H$754,"Serviço"),IF(H316="SUBETAPA",SUMIFS($N$8:$N$754,$B$8:$B$754,B316,$C$8:$C$754,C316,$D$8:$D$754,D316,$H$8:$H$754,"Serviço"),0))))</f>
        <v/>
      </c>
      <c r="O316" s="45" t="n"/>
      <c r="P316" s="46" t="n"/>
      <c r="Q316" s="46" t="n"/>
      <c r="R316" s="47" t="n"/>
      <c r="S316" s="123" t="n"/>
      <c r="T316" s="49" t="n"/>
      <c r="U316" s="49" t="n"/>
    </row>
    <row r="317" outlineLevel="1" ht="13.8" customFormat="1" customHeight="1" s="31">
      <c r="A317" s="217">
        <f>IF($H317="UNIDADE CONSTRUTIVA",OFFSET(A317,-1,0)+1,LARGE(A$3:A316,1))</f>
        <v/>
      </c>
      <c r="B317" s="217">
        <f>IF(H317="UNIDADE CONSTRUTIVA",0,IF(H317="CÉLULA CONSTRUTIVA",OFFSET(B317,-1,0)+1,OFFSET(B317,-1,0)))</f>
        <v/>
      </c>
      <c r="C317" s="217">
        <f>IF(H317="CÉLULA CONSTRUTIVA",0,IF(H317="ETAPA",OFFSET(C317,-1,0)+1,OFFSET(C317,-1,0)))</f>
        <v/>
      </c>
      <c r="D317" s="218">
        <f>IF(H317="ETAPA",0,IF(H317="SUBETAPA",OFFSET(D317,-1,0)+1,OFFSET(D317,-1,0)))</f>
        <v/>
      </c>
      <c r="E317" s="218">
        <f>IF(H317="Subetapa",0,IF(H317="serviço",OFFSET(E317,-1,0)+1,OFFSET(E317,-1,0)))</f>
        <v/>
      </c>
      <c r="G317" s="124" t="n"/>
      <c r="H317" s="42" t="inlineStr">
        <is>
          <t>SUBETAPA</t>
        </is>
      </c>
      <c r="I317" s="43">
        <f>IF(H317="Unidade Construtiva",TEXT(A317,"00"),IF(H317="Célula Construtiva",TEXT(B317,"00"),IF(H317="Etapa",CONCATENATE(TEXT(B317,"00"),".",TEXT(C317,"000")),IF(H317="Subetapa",CONCATENATE(TEXT(B317,"00"),".",TEXT(C317,"000"),".",TEXT(D317,"000")),IF(H317="Serviço",CONCATENATE(TEXT(B317,"00"),".",TEXT(C317,"000"),".",TEXT(D317,"000"),".",TEXT(E317,"000")),"")))))</f>
        <v/>
      </c>
      <c r="J317" s="48" t="inlineStr">
        <is>
          <t>Sistema de pintura em parede</t>
        </is>
      </c>
      <c r="K317" s="45" t="n"/>
      <c r="L317" s="46" t="n"/>
      <c r="M317" s="46" t="n"/>
      <c r="N317" s="47">
        <f>IF(H317="Serviço",M317*L317,IF(H317="CÉLULA CONSTRUTIVA",SUMIFS($N$8:$N$754,$B$8:$B$754,B317,$H$8:$H$754,"Serviço"),IF(H317="ETAPA",SUMIFS($N$8:$N$754,$B$8:$B$754,B317,$C$8:$C$754,C317,$H$8:$H$754,"Serviço"),IF(H317="SUBETAPA",SUMIFS($N$8:$N$754,$B$8:$B$754,B317,$C$8:$C$754,C317,$D$8:$D$754,D317,$H$8:$H$754,"Serviço"),0))))</f>
        <v/>
      </c>
      <c r="O317" s="45" t="n"/>
      <c r="P317" s="46" t="n"/>
      <c r="Q317" s="46" t="n"/>
      <c r="R317" s="216" t="inlineStr">
        <is>
          <t>10.001.001.001 - Sistema de interfone / controle de acesso</t>
        </is>
      </c>
      <c r="S317" s="123" t="n"/>
      <c r="T317" s="49" t="n"/>
      <c r="U317" s="49" t="n"/>
    </row>
    <row r="318" outlineLevel="2" ht="13.8" customFormat="1" customHeight="1" s="31">
      <c r="A318" s="217">
        <f>IF($H318="UNIDADE CONSTRUTIVA",OFFSET(A318,-1,0)+1,LARGE(A$3:A317,1))</f>
        <v/>
      </c>
      <c r="B318" s="217">
        <f>IF(H318="UNIDADE CONSTRUTIVA",0,IF(H318="CÉLULA CONSTRUTIVA",OFFSET(B318,-1,0)+1,OFFSET(B318,-1,0)))</f>
        <v/>
      </c>
      <c r="C318" s="217">
        <f>IF(H318="CÉLULA CONSTRUTIVA",0,IF(H318="ETAPA",OFFSET(C318,-1,0)+1,OFFSET(C318,-1,0)))</f>
        <v/>
      </c>
      <c r="D318" s="218">
        <f>IF(H318="ETAPA",0,IF(H318="SUBETAPA",OFFSET(D318,-1,0)+1,OFFSET(D318,-1,0)))</f>
        <v/>
      </c>
      <c r="E318" s="218">
        <f>IF(H318="Subetapa",0,IF(H318="serviço",OFFSET(E318,-1,0)+1,OFFSET(E318,-1,0)))</f>
        <v/>
      </c>
      <c r="G318" s="124" t="inlineStr">
        <is>
          <t>SISTEMAS DE PINTURA INTERNA</t>
        </is>
      </c>
      <c r="H318" s="42" t="inlineStr">
        <is>
          <t>SERVIÇO</t>
        </is>
      </c>
      <c r="I318" s="43">
        <f>IF(H318="Unidade Construtiva",TEXT(A318,"00"),IF(H318="Célula Construtiva",TEXT(B318,"00"),IF(H318="Etapa",CONCATENATE(TEXT(B318,"00"),".",TEXT(C318,"000")),IF(H318="Subetapa",CONCATENATE(TEXT(B318,"00"),".",TEXT(C318,"000"),".",TEXT(D318,"000")),IF(H318="Serviço",CONCATENATE(TEXT(B318,"00"),".",TEXT(C318,"000"),".",TEXT(D318,"000"),".",TEXT(E318,"000")),"")))))</f>
        <v/>
      </c>
      <c r="J318" s="129" t="inlineStr">
        <is>
          <t>Pintura em Látex Acrilica para demarcação de vagas em parede, 2 demão</t>
        </is>
      </c>
      <c r="K318" s="45" t="inlineStr">
        <is>
          <t>m2</t>
        </is>
      </c>
      <c r="L318" s="46" t="n">
        <v>167.25</v>
      </c>
      <c r="M318" s="46" t="n">
        <v>8.728316065000001</v>
      </c>
      <c r="N318" s="47">
        <f>IF(H318="Serviço",M318*L318,IF(H318="CÉLULA CONSTRUTIVA",SUMIFS($N$8:$N$754,$B$8:$B$754,B318,$H$8:$H$754,"Serviço"),IF(H318="ETAPA",SUMIFS($N$8:$N$754,$B$8:$B$754,B318,$C$8:$C$754,C318,$H$8:$H$754,"Serviço"),IF(H318="SUBETAPA",SUMIFS($N$8:$N$754,$B$8:$B$754,B318,$C$8:$C$754,C318,$D$8:$D$754,D318,$H$8:$H$754,"Serviço"),0))))</f>
        <v/>
      </c>
      <c r="O318" s="45" t="n"/>
      <c r="P318" s="46" t="n"/>
      <c r="Q318" s="46" t="n"/>
      <c r="R318" s="47" t="n"/>
      <c r="S318" s="123" t="n"/>
      <c r="T318" s="49" t="n"/>
      <c r="U318" s="49" t="n"/>
    </row>
    <row r="319" outlineLevel="2" ht="13.8" customFormat="1" customHeight="1" s="31">
      <c r="A319" s="217">
        <f>IF($H319="UNIDADE CONSTRUTIVA",OFFSET(A319,-1,0)+1,LARGE(A$3:A318,1))</f>
        <v/>
      </c>
      <c r="B319" s="217">
        <f>IF(H319="UNIDADE CONSTRUTIVA",0,IF(H319="CÉLULA CONSTRUTIVA",OFFSET(B319,-1,0)+1,OFFSET(B319,-1,0)))</f>
        <v/>
      </c>
      <c r="C319" s="217">
        <f>IF(H319="CÉLULA CONSTRUTIVA",0,IF(H319="ETAPA",OFFSET(C319,-1,0)+1,OFFSET(C319,-1,0)))</f>
        <v/>
      </c>
      <c r="D319" s="218">
        <f>IF(H319="ETAPA",0,IF(H319="SUBETAPA",OFFSET(D319,-1,0)+1,OFFSET(D319,-1,0)))</f>
        <v/>
      </c>
      <c r="E319" s="218">
        <f>IF(H319="Subetapa",0,IF(H319="serviço",OFFSET(E319,-1,0)+1,OFFSET(E319,-1,0)))</f>
        <v/>
      </c>
      <c r="G319" s="124" t="inlineStr">
        <is>
          <t>SISTEMAS DE PINTURA INTERNA</t>
        </is>
      </c>
      <c r="H319" s="42" t="inlineStr">
        <is>
          <t>SERVIÇO</t>
        </is>
      </c>
      <c r="I319" s="43">
        <f>IF(H319="Unidade Construtiva",TEXT(A319,"00"),IF(H319="Célula Construtiva",TEXT(B319,"00"),IF(H319="Etapa",CONCATENATE(TEXT(B319,"00"),".",TEXT(C319,"000")),IF(H319="Subetapa",CONCATENATE(TEXT(B319,"00"),".",TEXT(C319,"000"),".",TEXT(D319,"000")),IF(H319="Serviço",CONCATENATE(TEXT(B319,"00"),".",TEXT(C319,"000"),".",TEXT(D319,"000"),".",TEXT(E319,"000")),"")))))</f>
        <v/>
      </c>
      <c r="J319" s="129" t="inlineStr">
        <is>
          <t>Pintura Com Tinta Latex Acrilica com selador em Paredes Internas sobre Textura, 2 Demaos</t>
        </is>
      </c>
      <c r="K319" s="45" t="inlineStr">
        <is>
          <t>m2</t>
        </is>
      </c>
      <c r="L319" s="46">
        <f>L325</f>
        <v/>
      </c>
      <c r="M319" s="46" t="n">
        <v>9.982028075555556</v>
      </c>
      <c r="N319" s="47">
        <f>IF(H319="Serviço",M319*L319,IF(H319="CÉLULA CONSTRUTIVA",SUMIFS($N$8:$N$754,$B$8:$B$754,B319,$H$8:$H$754,"Serviço"),IF(H319="ETAPA",SUMIFS($N$8:$N$754,$B$8:$B$754,B319,$C$8:$C$754,C319,$H$8:$H$754,"Serviço"),IF(H319="SUBETAPA",SUMIFS($N$8:$N$754,$B$8:$B$754,B319,$C$8:$C$754,C319,$D$8:$D$754,D319,$H$8:$H$754,"Serviço"),0))))</f>
        <v/>
      </c>
      <c r="O319" s="45" t="n"/>
      <c r="P319" s="46" t="n"/>
      <c r="Q319" s="46" t="n"/>
      <c r="R319" s="47" t="n"/>
      <c r="S319" s="123" t="n"/>
      <c r="T319" s="120">
        <f>SUM(L319:L325)</f>
        <v/>
      </c>
      <c r="U319" s="49" t="n"/>
    </row>
    <row r="320" outlineLevel="2" ht="13.8" customFormat="1" customHeight="1" s="31">
      <c r="A320" s="217">
        <f>IF($H320="UNIDADE CONSTRUTIVA",OFFSET(A320,-1,0)+1,LARGE(A$3:A316,1))</f>
        <v/>
      </c>
      <c r="B320" s="217">
        <f>IF(H320="UNIDADE CONSTRUTIVA",0,IF(H320="CÉLULA CONSTRUTIVA",OFFSET(B320,-1,0)+1,OFFSET(B320,-1,0)))</f>
        <v/>
      </c>
      <c r="C320" s="217">
        <f>IF(H320="CÉLULA CONSTRUTIVA",0,IF(H320="ETAPA",OFFSET(C320,-1,0)+1,OFFSET(C320,-1,0)))</f>
        <v/>
      </c>
      <c r="D320" s="218">
        <f>IF(H320="ETAPA",0,IF(H320="SUBETAPA",OFFSET(D320,-1,0)+1,OFFSET(D320,-1,0)))</f>
        <v/>
      </c>
      <c r="E320" s="218">
        <f>IF(H320="Subetapa",0,IF(H320="serviço",OFFSET(E320,-1,0)+1,OFFSET(E320,-1,0)))</f>
        <v/>
      </c>
      <c r="G320" s="124" t="inlineStr">
        <is>
          <t>SISTEMAS DE PINTURA INTERNA</t>
        </is>
      </c>
      <c r="H320" s="42" t="inlineStr">
        <is>
          <t>SERVIÇO</t>
        </is>
      </c>
      <c r="I320" s="43">
        <f>IF(H320="Unidade Construtiva",TEXT(A320,"00"),IF(H320="Célula Construtiva",TEXT(B320,"00"),IF(H320="Etapa",CONCATENATE(TEXT(B320,"00"),".",TEXT(C320,"000")),IF(H320="Subetapa",CONCATENATE(TEXT(B320,"00"),".",TEXT(C320,"000"),".",TEXT(D320,"000")),IF(H320="Serviço",CONCATENATE(TEXT(B320,"00"),".",TEXT(C320,"000"),".",TEXT(D320,"000"),".",TEXT(E320,"000")),"")))))</f>
        <v/>
      </c>
      <c r="J320" s="129" t="inlineStr">
        <is>
          <t>Pintura Com Tinta Latex Acrilica com selador e massa em Paredes Internas, 3 Demaos</t>
        </is>
      </c>
      <c r="K320" s="45" t="inlineStr">
        <is>
          <t>m2</t>
        </is>
      </c>
      <c r="L320" s="46" t="n">
        <v>2752.039999999999</v>
      </c>
      <c r="M320" s="46" t="n">
        <v>16.11110719555555</v>
      </c>
      <c r="N320" s="47">
        <f>IF(H320="Serviço",M320*L320,IF(H320="CÉLULA CONSTRUTIVA",SUMIFS($N$8:$N$754,$B$8:$B$754,B320,$H$8:$H$754,"Serviço"),IF(H320="ETAPA",SUMIFS($N$8:$N$754,$B$8:$B$754,B320,$C$8:$C$754,C320,$H$8:$H$754,"Serviço"),IF(H320="SUBETAPA",SUMIFS($N$8:$N$754,$B$8:$B$754,B320,$C$8:$C$754,C320,$D$8:$D$754,D320,$H$8:$H$754,"Serviço"),0))))</f>
        <v/>
      </c>
      <c r="O320" s="45" t="n"/>
      <c r="P320" s="46" t="n"/>
      <c r="Q320" s="46" t="n"/>
      <c r="R320" s="47" t="n"/>
      <c r="S320" s="123" t="n"/>
      <c r="T320" s="49" t="n"/>
      <c r="U320" s="49" t="n"/>
    </row>
    <row r="321" outlineLevel="2" ht="13.8" customFormat="1" customHeight="1" s="31">
      <c r="A321" s="217">
        <f>IF($H321="UNIDADE CONSTRUTIVA",OFFSET(A321,-1,0)+1,LARGE(A$3:A317,1))</f>
        <v/>
      </c>
      <c r="B321" s="217">
        <f>IF(H321="UNIDADE CONSTRUTIVA",0,IF(H321="CÉLULA CONSTRUTIVA",OFFSET(B321,-1,0)+1,OFFSET(B321,-1,0)))</f>
        <v/>
      </c>
      <c r="C321" s="217">
        <f>IF(H321="CÉLULA CONSTRUTIVA",0,IF(H321="ETAPA",OFFSET(C321,-1,0)+1,OFFSET(C321,-1,0)))</f>
        <v/>
      </c>
      <c r="D321" s="218">
        <f>IF(H321="ETAPA",0,IF(H321="SUBETAPA",OFFSET(D321,-1,0)+1,OFFSET(D321,-1,0)))</f>
        <v/>
      </c>
      <c r="E321" s="218">
        <f>IF(H321="Subetapa",0,IF(H321="serviço",OFFSET(E321,-1,0)+1,OFFSET(E321,-1,0)))</f>
        <v/>
      </c>
      <c r="G321" s="124" t="inlineStr">
        <is>
          <t>SISTEMAS DE PINTURA INTERNA</t>
        </is>
      </c>
      <c r="H321" s="42" t="inlineStr">
        <is>
          <t>SERVIÇO</t>
        </is>
      </c>
      <c r="I321" s="43">
        <f>IF(H321="Unidade Construtiva",TEXT(A321,"00"),IF(H321="Célula Construtiva",TEXT(B321,"00"),IF(H321="Etapa",CONCATENATE(TEXT(B321,"00"),".",TEXT(C321,"000")),IF(H321="Subetapa",CONCATENATE(TEXT(B321,"00"),".",TEXT(C321,"000"),".",TEXT(D321,"000")),IF(H321="Serviço",CONCATENATE(TEXT(B321,"00"),".",TEXT(C321,"000"),".",TEXT(D321,"000"),".",TEXT(E321,"000")),"")))))</f>
        <v/>
      </c>
      <c r="J321" s="129" t="inlineStr">
        <is>
          <t>Pintura Com Tinta Latex Acrilica em Paredes Internas, 3 Demaos</t>
        </is>
      </c>
      <c r="K321" s="45" t="inlineStr">
        <is>
          <t>m2</t>
        </is>
      </c>
      <c r="L321" s="46" t="n">
        <v>1763.48</v>
      </c>
      <c r="M321" s="46" t="n">
        <v>0.189</v>
      </c>
      <c r="N321" s="47">
        <f>IF(H321="Serviço",M321*L321,IF(H321="CÉLULA CONSTRUTIVA",SUMIFS($N$8:$N$754,$B$8:$B$754,B321,$H$8:$H$754,"Serviço"),IF(H321="ETAPA",SUMIFS($N$8:$N$754,$B$8:$B$754,B321,$C$8:$C$754,C321,$H$8:$H$754,"Serviço"),IF(H321="SUBETAPA",SUMIFS($N$8:$N$754,$B$8:$B$754,B321,$C$8:$C$754,C321,$D$8:$D$754,D321,$H$8:$H$754,"Serviço"),0))))</f>
        <v/>
      </c>
      <c r="O321" s="45" t="n"/>
      <c r="P321" s="46" t="n"/>
      <c r="Q321" s="46" t="n"/>
      <c r="R321" s="47" t="n"/>
      <c r="S321" s="123" t="n"/>
      <c r="T321" s="49" t="n"/>
      <c r="U321" s="49" t="n"/>
    </row>
    <row r="322" outlineLevel="2" ht="13.8" customFormat="1" customHeight="1" s="31">
      <c r="A322" s="217">
        <f>IF($H322="UNIDADE CONSTRUTIVA",OFFSET(A322,-1,0)+1,LARGE(A$3:A318,1))</f>
        <v/>
      </c>
      <c r="B322" s="217">
        <f>IF(H322="UNIDADE CONSTRUTIVA",0,IF(H322="CÉLULA CONSTRUTIVA",OFFSET(B322,-1,0)+1,OFFSET(B322,-1,0)))</f>
        <v/>
      </c>
      <c r="C322" s="217">
        <f>IF(H322="CÉLULA CONSTRUTIVA",0,IF(H322="ETAPA",OFFSET(C322,-1,0)+1,OFFSET(C322,-1,0)))</f>
        <v/>
      </c>
      <c r="D322" s="218">
        <f>IF(H322="ETAPA",0,IF(H322="SUBETAPA",OFFSET(D322,-1,0)+1,OFFSET(D322,-1,0)))</f>
        <v/>
      </c>
      <c r="E322" s="218">
        <f>IF(H322="Subetapa",0,IF(H322="serviço",OFFSET(E322,-1,0)+1,OFFSET(E322,-1,0)))</f>
        <v/>
      </c>
      <c r="G322" s="124" t="inlineStr">
        <is>
          <t>SISTEMAS DE PINTURA INTERNA</t>
        </is>
      </c>
      <c r="H322" s="42" t="inlineStr">
        <is>
          <t>SERVIÇO</t>
        </is>
      </c>
      <c r="I322" s="43">
        <f>IF(H322="Unidade Construtiva",TEXT(A322,"00"),IF(H322="Célula Construtiva",TEXT(B322,"00"),IF(H322="Etapa",CONCATENATE(TEXT(B322,"00"),".",TEXT(C322,"000")),IF(H322="Subetapa",CONCATENATE(TEXT(B322,"00"),".",TEXT(C322,"000"),".",TEXT(D322,"000")),IF(H322="Serviço",CONCATENATE(TEXT(B322,"00"),".",TEXT(C322,"000"),".",TEXT(D322,"000"),".",TEXT(E322,"000")),"")))))</f>
        <v/>
      </c>
      <c r="J322" s="129" t="inlineStr">
        <is>
          <t>Pintura Com Tinta Epóxi em Paredes Internas, 3 Demaos</t>
        </is>
      </c>
      <c r="K322" s="45" t="inlineStr">
        <is>
          <t>m2</t>
        </is>
      </c>
      <c r="L322" s="46" t="n">
        <v>761.0999999999999</v>
      </c>
      <c r="M322" s="46" t="n">
        <v>70.80102490666665</v>
      </c>
      <c r="N322" s="47">
        <f>IF(H322="Serviço",M322*L322,IF(H322="CÉLULA CONSTRUTIVA",SUMIFS($N$8:$N$754,$B$8:$B$754,B322,$H$8:$H$754,"Serviço"),IF(H322="ETAPA",SUMIFS($N$8:$N$754,$B$8:$B$754,B322,$C$8:$C$754,C322,$H$8:$H$754,"Serviço"),IF(H322="SUBETAPA",SUMIFS($N$8:$N$754,$B$8:$B$754,B322,$C$8:$C$754,C322,$D$8:$D$754,D322,$H$8:$H$754,"Serviço"),0))))</f>
        <v/>
      </c>
      <c r="O322" s="45" t="n"/>
      <c r="P322" s="46" t="n"/>
      <c r="Q322" s="46" t="n"/>
      <c r="R322" s="47" t="n"/>
      <c r="S322" s="123" t="n"/>
      <c r="T322" s="120">
        <f>L327+L329</f>
        <v/>
      </c>
      <c r="U322" s="49" t="n"/>
    </row>
    <row r="323" outlineLevel="2" ht="13.8" customFormat="1" customHeight="1" s="31">
      <c r="A323" s="217">
        <f>IF($H323="UNIDADE CONSTRUTIVA",OFFSET(A323,-1,0)+1,LARGE(A$3:A319,1))</f>
        <v/>
      </c>
      <c r="B323" s="217">
        <f>IF(H323="UNIDADE CONSTRUTIVA",0,IF(H323="CÉLULA CONSTRUTIVA",OFFSET(B323,-1,0)+1,OFFSET(B323,-1,0)))</f>
        <v/>
      </c>
      <c r="C323" s="217">
        <f>IF(H323="CÉLULA CONSTRUTIVA",0,IF(H323="ETAPA",OFFSET(C323,-1,0)+1,OFFSET(C323,-1,0)))</f>
        <v/>
      </c>
      <c r="D323" s="218">
        <f>IF(H323="ETAPA",0,IF(H323="SUBETAPA",OFFSET(D323,-1,0)+1,OFFSET(D323,-1,0)))</f>
        <v/>
      </c>
      <c r="E323" s="218">
        <f>IF(H323="Subetapa",0,IF(H323="serviço",OFFSET(E323,-1,0)+1,OFFSET(E323,-1,0)))</f>
        <v/>
      </c>
      <c r="G323" s="124" t="inlineStr">
        <is>
          <t>SISTEMAS DE PINTURA INTERNA</t>
        </is>
      </c>
      <c r="H323" s="42" t="inlineStr">
        <is>
          <t>SERVIÇO</t>
        </is>
      </c>
      <c r="I323" s="43">
        <f>IF(H323="Unidade Construtiva",TEXT(A323,"00"),IF(H323="Célula Construtiva",TEXT(B323,"00"),IF(H323="Etapa",CONCATENATE(TEXT(B323,"00"),".",TEXT(C323,"000")),IF(H323="Subetapa",CONCATENATE(TEXT(B323,"00"),".",TEXT(C323,"000"),".",TEXT(D323,"000")),IF(H323="Serviço",CONCATENATE(TEXT(B323,"00"),".",TEXT(C323,"000"),".",TEXT(D323,"000"),".",TEXT(E323,"000")),"")))))</f>
        <v/>
      </c>
      <c r="J323" s="129" t="inlineStr">
        <is>
          <t>Pintura Com Tinta Latex Acrilica em Paredes Internas Drywall, 3 Demaos</t>
        </is>
      </c>
      <c r="K323" s="45" t="inlineStr">
        <is>
          <t>m2</t>
        </is>
      </c>
      <c r="L323" s="46" t="n">
        <v>4163.959999999999</v>
      </c>
      <c r="M323" s="46" t="n">
        <v>14.25852231555556</v>
      </c>
      <c r="N323" s="47">
        <f>IF(H323="Serviço",M323*L323,IF(H323="CÉLULA CONSTRUTIVA",SUMIFS($N$8:$N$754,$B$8:$B$754,B323,$H$8:$H$754,"Serviço"),IF(H323="ETAPA",SUMIFS($N$8:$N$754,$B$8:$B$754,B323,$C$8:$C$754,C323,$H$8:$H$754,"Serviço"),IF(H323="SUBETAPA",SUMIFS($N$8:$N$754,$B$8:$B$754,B323,$C$8:$C$754,C323,$D$8:$D$754,D323,$H$8:$H$754,"Serviço"),0))))</f>
        <v/>
      </c>
      <c r="O323" s="45" t="n"/>
      <c r="P323" s="46" t="n"/>
      <c r="Q323" s="46" t="n"/>
      <c r="R323" s="47" t="n"/>
      <c r="S323" s="123" t="n"/>
      <c r="T323" s="49" t="n"/>
      <c r="U323" s="49" t="n"/>
    </row>
    <row r="324" outlineLevel="2" ht="13.8" customFormat="1" customHeight="1" s="31">
      <c r="A324" s="217">
        <f>IF($H324="UNIDADE CONSTRUTIVA",OFFSET(A324,-1,0)+1,LARGE(A$3:A322,1))</f>
        <v/>
      </c>
      <c r="B324" s="217">
        <f>IF(H324="UNIDADE CONSTRUTIVA",0,IF(H324="CÉLULA CONSTRUTIVA",OFFSET(B324,-1,0)+1,OFFSET(B324,-1,0)))</f>
        <v/>
      </c>
      <c r="C324" s="217">
        <f>IF(H324="CÉLULA CONSTRUTIVA",0,IF(H324="ETAPA",OFFSET(C324,-1,0)+1,OFFSET(C324,-1,0)))</f>
        <v/>
      </c>
      <c r="D324" s="218">
        <f>IF(H324="ETAPA",0,IF(H324="SUBETAPA",OFFSET(D324,-1,0)+1,OFFSET(D324,-1,0)))</f>
        <v/>
      </c>
      <c r="E324" s="218">
        <f>IF(H324="Subetapa",0,IF(H324="serviço",OFFSET(E324,-1,0)+1,OFFSET(E324,-1,0)))</f>
        <v/>
      </c>
      <c r="G324" s="124" t="inlineStr">
        <is>
          <t>SISTEMAS DE PINTURA INTERNA</t>
        </is>
      </c>
      <c r="H324" s="42" t="inlineStr">
        <is>
          <t>SERVIÇO</t>
        </is>
      </c>
      <c r="I324" s="43">
        <f>IF(H324="Unidade Construtiva",TEXT(A324,"00"),IF(H324="Célula Construtiva",TEXT(B324,"00"),IF(H324="Etapa",CONCATENATE(TEXT(B324,"00"),".",TEXT(C324,"000")),IF(H324="Subetapa",CONCATENATE(TEXT(B324,"00"),".",TEXT(C324,"000"),".",TEXT(D324,"000")),IF(H324="Serviço",CONCATENATE(TEXT(B324,"00"),".",TEXT(C324,"000"),".",TEXT(D324,"000"),".",TEXT(E324,"000")),"")))))</f>
        <v/>
      </c>
      <c r="J324" s="48" t="inlineStr">
        <is>
          <t>Pintura de rodapé com tinta epóxi, aplicação manual, 2 demãos, inclusão primer epóxi</t>
        </is>
      </c>
      <c r="K324" s="45" t="inlineStr">
        <is>
          <t>m2</t>
        </is>
      </c>
      <c r="L324" s="46" t="n">
        <v>62.03249999999999</v>
      </c>
      <c r="M324" s="46" t="n">
        <v>70.56703066666667</v>
      </c>
      <c r="N324" s="47">
        <f>IF(H324="Serviço",M324*L324,IF(H324="CÉLULA CONSTRUTIVA",SUMIFS($N$8:$N$754,$B$8:$B$754,B324,$H$8:$H$754,"Serviço"),IF(H324="ETAPA",SUMIFS($N$8:$N$754,$B$8:$B$754,B324,$C$8:$C$754,C324,$H$8:$H$754,"Serviço"),IF(H324="SUBETAPA",SUMIFS($N$8:$N$754,$B$8:$B$754,B324,$C$8:$C$754,C324,$D$8:$D$754,D324,$H$8:$H$754,"Serviço"),0))))</f>
        <v/>
      </c>
      <c r="O324" s="45" t="n"/>
      <c r="P324" s="46" t="n"/>
      <c r="Q324" s="46" t="n"/>
      <c r="R324" s="47" t="n"/>
      <c r="S324" s="123" t="n"/>
      <c r="T324" s="49" t="n"/>
      <c r="U324" s="49" t="n"/>
    </row>
    <row r="325" outlineLevel="2" ht="13.8" customFormat="1" customHeight="1" s="31">
      <c r="A325" s="217">
        <f>IF($H325="UNIDADE CONSTRUTIVA",OFFSET(A325,-1,0)+1,LARGE(A$3:A317,1))</f>
        <v/>
      </c>
      <c r="B325" s="217">
        <f>IF(H325="UNIDADE CONSTRUTIVA",0,IF(H325="CÉLULA CONSTRUTIVA",OFFSET(B325,-1,0)+1,OFFSET(B325,-1,0)))</f>
        <v/>
      </c>
      <c r="C325" s="217">
        <f>IF(H325="CÉLULA CONSTRUTIVA",0,IF(H325="ETAPA",OFFSET(C325,-1,0)+1,OFFSET(C325,-1,0)))</f>
        <v/>
      </c>
      <c r="D325" s="218">
        <f>IF(H325="ETAPA",0,IF(H325="SUBETAPA",OFFSET(D325,-1,0)+1,OFFSET(D325,-1,0)))</f>
        <v/>
      </c>
      <c r="E325" s="218">
        <f>IF(H325="Subetapa",0,IF(H325="serviço",OFFSET(E325,-1,0)+1,OFFSET(E325,-1,0)))</f>
        <v/>
      </c>
      <c r="G325" s="124" t="inlineStr">
        <is>
          <t>SISTEMAS DE PINTURA INTERNA</t>
        </is>
      </c>
      <c r="H325" s="42" t="inlineStr">
        <is>
          <t>SERVIÇO</t>
        </is>
      </c>
      <c r="I325" s="43">
        <f>IF(H325="Unidade Construtiva",TEXT(A325,"00"),IF(H325="Célula Construtiva",TEXT(B325,"00"),IF(H325="Etapa",CONCATENATE(TEXT(B325,"00"),".",TEXT(C325,"000")),IF(H325="Subetapa",CONCATENATE(TEXT(B325,"00"),".",TEXT(C325,"000"),".",TEXT(D325,"000")),IF(H325="Serviço",CONCATENATE(TEXT(B325,"00"),".",TEXT(C325,"000"),".",TEXT(D325,"000"),".",TEXT(E325,"000")),"")))))</f>
        <v/>
      </c>
      <c r="J325" s="129" t="inlineStr">
        <is>
          <t>Textura acrílica aplicação em paredes internas, 1 demão</t>
        </is>
      </c>
      <c r="K325" s="45" t="inlineStr">
        <is>
          <t>m2</t>
        </is>
      </c>
      <c r="L325" s="46" t="n">
        <v>3042.09</v>
      </c>
      <c r="M325" s="46" t="n">
        <v>13.63636363636364</v>
      </c>
      <c r="N325" s="47">
        <f>IF(H325="Serviço",M325*L325,IF(H325="CÉLULA CONSTRUTIVA",SUMIFS($N$8:$N$754,$B$8:$B$754,B325,$H$8:$H$754,"Serviço"),IF(H325="ETAPA",SUMIFS($N$8:$N$754,$B$8:$B$754,B325,$C$8:$C$754,C325,$H$8:$H$754,"Serviço"),IF(H325="SUBETAPA",SUMIFS($N$8:$N$754,$B$8:$B$754,B325,$C$8:$C$754,C325,$D$8:$D$754,D325,$H$8:$H$754,"Serviço"),0))))</f>
        <v/>
      </c>
      <c r="O325" s="45" t="n"/>
      <c r="P325" s="46" t="n"/>
      <c r="Q325" s="46" t="n"/>
      <c r="R325" s="47" t="n"/>
      <c r="S325" s="123" t="n"/>
      <c r="T325" s="49" t="n"/>
      <c r="U325" s="49" t="n"/>
    </row>
    <row r="326" outlineLevel="1" ht="13.8" customFormat="1" customHeight="1" s="31">
      <c r="A326" s="217">
        <f>IF($H326="UNIDADE CONSTRUTIVA",OFFSET(A326,-1,0)+1,LARGE(A$3:A325,1))</f>
        <v/>
      </c>
      <c r="B326" s="217">
        <f>IF(H326="UNIDADE CONSTRUTIVA",0,IF(H326="CÉLULA CONSTRUTIVA",OFFSET(B326,-1,0)+1,OFFSET(B326,-1,0)))</f>
        <v/>
      </c>
      <c r="C326" s="217">
        <f>IF(H326="CÉLULA CONSTRUTIVA",0,IF(H326="ETAPA",OFFSET(C326,-1,0)+1,OFFSET(C326,-1,0)))</f>
        <v/>
      </c>
      <c r="D326" s="218">
        <f>IF(H326="ETAPA",0,IF(H326="SUBETAPA",OFFSET(D326,-1,0)+1,OFFSET(D326,-1,0)))</f>
        <v/>
      </c>
      <c r="E326" s="218">
        <f>IF(H326="Subetapa",0,IF(H326="serviço",OFFSET(E326,-1,0)+1,OFFSET(E326,-1,0)))</f>
        <v/>
      </c>
      <c r="G326" s="124" t="n"/>
      <c r="H326" s="42" t="inlineStr">
        <is>
          <t>SUBETAPA</t>
        </is>
      </c>
      <c r="I326" s="43">
        <f>IF(H326="Unidade Construtiva",TEXT(A326,"00"),IF(H326="Célula Construtiva",TEXT(B326,"00"),IF(H326="Etapa",CONCATENATE(TEXT(B326,"00"),".",TEXT(C326,"000")),IF(H326="Subetapa",CONCATENATE(TEXT(B326,"00"),".",TEXT(C326,"000"),".",TEXT(D326,"000")),IF(H326="Serviço",CONCATENATE(TEXT(B326,"00"),".",TEXT(C326,"000"),".",TEXT(D326,"000"),".",TEXT(E326,"000")),"")))))</f>
        <v/>
      </c>
      <c r="J326" s="48" t="inlineStr">
        <is>
          <t>Sistema de pintura em teto</t>
        </is>
      </c>
      <c r="K326" s="45" t="n"/>
      <c r="L326" s="46" t="n"/>
      <c r="M326" s="46" t="n"/>
      <c r="N326" s="47">
        <f>IF(H326="Serviço",M326*L326,IF(H326="CÉLULA CONSTRUTIVA",SUMIFS($N$8:$N$754,$B$8:$B$754,B326,$H$8:$H$754,"Serviço"),IF(H326="ETAPA",SUMIFS($N$8:$N$754,$B$8:$B$754,B326,$C$8:$C$754,C326,$H$8:$H$754,"Serviço"),IF(H326="SUBETAPA",SUMIFS($N$8:$N$754,$B$8:$B$754,B326,$C$8:$C$754,C326,$D$8:$D$754,D326,$H$8:$H$754,"Serviço"),0))))</f>
        <v/>
      </c>
      <c r="O326" s="45" t="n"/>
      <c r="P326" s="46" t="n"/>
      <c r="Q326" s="46" t="n"/>
      <c r="R326" s="216" t="inlineStr">
        <is>
          <t>10.001.004.001 - Sistema de Telefonia/lógica/internet</t>
        </is>
      </c>
      <c r="S326" s="125">
        <f>SUM(L327:L329)</f>
        <v/>
      </c>
      <c r="T326" s="49" t="n"/>
      <c r="U326" s="49" t="n"/>
    </row>
    <row r="327" outlineLevel="2" ht="13.8" customFormat="1" customHeight="1" s="31">
      <c r="A327" s="217">
        <f>IF($H327="UNIDADE CONSTRUTIVA",OFFSET(A327,-1,0)+1,LARGE(A$3:A326,1))</f>
        <v/>
      </c>
      <c r="B327" s="217">
        <f>IF(H327="UNIDADE CONSTRUTIVA",0,IF(H327="CÉLULA CONSTRUTIVA",OFFSET(B327,-1,0)+1,OFFSET(B327,-1,0)))</f>
        <v/>
      </c>
      <c r="C327" s="217">
        <f>IF(H327="CÉLULA CONSTRUTIVA",0,IF(H327="ETAPA",OFFSET(C327,-1,0)+1,OFFSET(C327,-1,0)))</f>
        <v/>
      </c>
      <c r="D327" s="218">
        <f>IF(H327="ETAPA",0,IF(H327="SUBETAPA",OFFSET(D327,-1,0)+1,OFFSET(D327,-1,0)))</f>
        <v/>
      </c>
      <c r="E327" s="218">
        <f>IF(H327="Subetapa",0,IF(H327="serviço",OFFSET(E327,-1,0)+1,OFFSET(E327,-1,0)))</f>
        <v/>
      </c>
      <c r="G327" s="124" t="inlineStr">
        <is>
          <t>SISTEMAS DE PINTURA INTERNA</t>
        </is>
      </c>
      <c r="H327" s="42" t="inlineStr">
        <is>
          <t>SERVIÇO</t>
        </is>
      </c>
      <c r="I327" s="43">
        <f>IF(H327="Unidade Construtiva",TEXT(A327,"00"),IF(H327="Célula Construtiva",TEXT(B327,"00"),IF(H327="Etapa",CONCATENATE(TEXT(B327,"00"),".",TEXT(C327,"000")),IF(H327="Subetapa",CONCATENATE(TEXT(B327,"00"),".",TEXT(C327,"000"),".",TEXT(D327,"000")),IF(H327="Serviço",CONCATENATE(TEXT(B327,"00"),".",TEXT(C327,"000"),".",TEXT(D327,"000"),".",TEXT(E327,"000")),"")))))</f>
        <v/>
      </c>
      <c r="J327" s="48" t="inlineStr">
        <is>
          <t>Pintura Com Tinta Latex Acrilica em tetos, 3 Demaos (Somente tinta e fundo)</t>
        </is>
      </c>
      <c r="K327" s="45" t="inlineStr">
        <is>
          <t>m2</t>
        </is>
      </c>
      <c r="L327" s="46" t="n">
        <v>2490.86</v>
      </c>
      <c r="M327" s="46" t="n">
        <v>13.205402</v>
      </c>
      <c r="N327" s="47">
        <f>IF(H327="Serviço",M327*L327,IF(H327="CÉLULA CONSTRUTIVA",SUMIFS($N$8:$N$754,$B$8:$B$754,B327,$H$8:$H$754,"Serviço"),IF(H327="ETAPA",SUMIFS($N$8:$N$754,$B$8:$B$754,B327,$C$8:$C$754,C327,$H$8:$H$754,"Serviço"),IF(H327="SUBETAPA",SUMIFS($N$8:$N$754,$B$8:$B$754,B327,$C$8:$C$754,C327,$D$8:$D$754,D327,$H$8:$H$754,"Serviço"),0))))</f>
        <v/>
      </c>
      <c r="O327" s="45" t="n"/>
      <c r="P327" s="46" t="n"/>
      <c r="Q327" s="46" t="n"/>
      <c r="R327" s="47" t="n"/>
      <c r="S327" s="125" t="n"/>
      <c r="T327" s="49" t="n"/>
      <c r="U327" s="49" t="n"/>
    </row>
    <row r="328" outlineLevel="2" ht="13.8" customFormat="1" customHeight="1" s="31">
      <c r="A328" s="217">
        <f>IF($H328="UNIDADE CONSTRUTIVA",OFFSET(A328,-1,0)+1,LARGE(A$3:A327,1))</f>
        <v/>
      </c>
      <c r="B328" s="217">
        <f>IF(H328="UNIDADE CONSTRUTIVA",0,IF(H328="CÉLULA CONSTRUTIVA",OFFSET(B328,-1,0)+1,OFFSET(B328,-1,0)))</f>
        <v/>
      </c>
      <c r="C328" s="217">
        <f>IF(H328="CÉLULA CONSTRUTIVA",0,IF(H328="ETAPA",OFFSET(C328,-1,0)+1,OFFSET(C328,-1,0)))</f>
        <v/>
      </c>
      <c r="D328" s="218">
        <f>IF(H328="ETAPA",0,IF(H328="SUBETAPA",OFFSET(D328,-1,0)+1,OFFSET(D328,-1,0)))</f>
        <v/>
      </c>
      <c r="E328" s="218">
        <f>IF(H328="Subetapa",0,IF(H328="serviço",OFFSET(E328,-1,0)+1,OFFSET(E328,-1,0)))</f>
        <v/>
      </c>
      <c r="G328" s="124" t="inlineStr">
        <is>
          <t>SISTEMAS DE PINTURA INTERNA</t>
        </is>
      </c>
      <c r="H328" s="42" t="inlineStr">
        <is>
          <t>SERVIÇO</t>
        </is>
      </c>
      <c r="I328" s="43">
        <f>IF(H328="Unidade Construtiva",TEXT(A328,"00"),IF(H328="Célula Construtiva",TEXT(B328,"00"),IF(H328="Etapa",CONCATENATE(TEXT(B328,"00"),".",TEXT(C328,"000")),IF(H328="Subetapa",CONCATENATE(TEXT(B328,"00"),".",TEXT(C328,"000"),".",TEXT(D328,"000")),IF(H328="Serviço",CONCATENATE(TEXT(B328,"00"),".",TEXT(C328,"000"),".",TEXT(D328,"000"),".",TEXT(E328,"000")),"")))))</f>
        <v/>
      </c>
      <c r="J328" s="48" t="inlineStr">
        <is>
          <t>Pintura com tinta epóxi em teto</t>
        </is>
      </c>
      <c r="K328" s="45" t="inlineStr">
        <is>
          <t>m2</t>
        </is>
      </c>
      <c r="L328" s="46" t="n">
        <v>175.44</v>
      </c>
      <c r="M328" s="46" t="n">
        <v>71.78435823999999</v>
      </c>
      <c r="N328" s="47">
        <f>IF(H328="Serviço",M328*L328,IF(H328="CÉLULA CONSTRUTIVA",SUMIFS($N$8:$N$754,$B$8:$B$754,B328,$H$8:$H$754,"Serviço"),IF(H328="ETAPA",SUMIFS($N$8:$N$754,$B$8:$B$754,B328,$C$8:$C$754,C328,$H$8:$H$754,"Serviço"),IF(H328="SUBETAPA",SUMIFS($N$8:$N$754,$B$8:$B$754,B328,$C$8:$C$754,C328,$D$8:$D$754,D328,$H$8:$H$754,"Serviço"),0))))</f>
        <v/>
      </c>
      <c r="O328" s="45" t="n"/>
      <c r="P328" s="46" t="n"/>
      <c r="Q328" s="46" t="n"/>
      <c r="R328" s="47" t="n"/>
      <c r="S328" s="125" t="n"/>
      <c r="T328" s="49" t="n"/>
      <c r="U328" s="49" t="n"/>
    </row>
    <row r="329" outlineLevel="2" ht="13.8" customFormat="1" customHeight="1" s="31">
      <c r="A329" s="217">
        <f>IF($H329="UNIDADE CONSTRUTIVA",OFFSET(A329,-1,0)+1,LARGE(A$3:A327,1))</f>
        <v/>
      </c>
      <c r="B329" s="217">
        <f>IF(H329="UNIDADE CONSTRUTIVA",0,IF(H329="CÉLULA CONSTRUTIVA",OFFSET(B329,-1,0)+1,OFFSET(B329,-1,0)))</f>
        <v/>
      </c>
      <c r="C329" s="217">
        <f>IF(H329="CÉLULA CONSTRUTIVA",0,IF(H329="ETAPA",OFFSET(C329,-1,0)+1,OFFSET(C329,-1,0)))</f>
        <v/>
      </c>
      <c r="D329" s="218">
        <f>IF(H329="ETAPA",0,IF(H329="SUBETAPA",OFFSET(D329,-1,0)+1,OFFSET(D329,-1,0)))</f>
        <v/>
      </c>
      <c r="E329" s="218">
        <f>IF(H329="Subetapa",0,IF(H329="serviço",OFFSET(E329,-1,0)+1,OFFSET(E329,-1,0)))</f>
        <v/>
      </c>
      <c r="G329" s="124" t="inlineStr">
        <is>
          <t>SISTEMAS DE PINTURA INTERNA</t>
        </is>
      </c>
      <c r="H329" s="42" t="inlineStr">
        <is>
          <t>SERVIÇO</t>
        </is>
      </c>
      <c r="I329" s="43">
        <f>IF(H329="Unidade Construtiva",TEXT(A329,"00"),IF(H329="Célula Construtiva",TEXT(B329,"00"),IF(H329="Etapa",CONCATENATE(TEXT(B329,"00"),".",TEXT(C329,"000")),IF(H329="Subetapa",CONCATENATE(TEXT(B329,"00"),".",TEXT(C329,"000"),".",TEXT(D329,"000")),IF(H329="Serviço",CONCATENATE(TEXT(B329,"00"),".",TEXT(C329,"000"),".",TEXT(D329,"000"),".",TEXT(E329,"000")),"")))))</f>
        <v/>
      </c>
      <c r="J329" s="48" t="inlineStr">
        <is>
          <t>Textura acrílica aplicação em tetos, 1 demão (incluso tinta)</t>
        </is>
      </c>
      <c r="K329" s="45" t="inlineStr">
        <is>
          <t>m2</t>
        </is>
      </c>
      <c r="L329" s="46" t="n">
        <v>1592.73</v>
      </c>
      <c r="M329" s="46" t="n">
        <v>35.5275</v>
      </c>
      <c r="N329" s="47">
        <f>IF(H329="Serviço",M329*L329,IF(H329="CÉLULA CONSTRUTIVA",SUMIFS($N$8:$N$754,$B$8:$B$754,B329,$H$8:$H$754,"Serviço"),IF(H329="ETAPA",SUMIFS($N$8:$N$754,$B$8:$B$754,B329,$C$8:$C$754,C329,$H$8:$H$754,"Serviço"),IF(H329="SUBETAPA",SUMIFS($N$8:$N$754,$B$8:$B$754,B329,$C$8:$C$754,C329,$D$8:$D$754,D329,$H$8:$H$754,"Serviço"),0))))</f>
        <v/>
      </c>
      <c r="O329" s="45" t="n"/>
      <c r="P329" s="46" t="n"/>
      <c r="Q329" s="46" t="n"/>
      <c r="R329" s="47" t="n"/>
      <c r="S329" s="123" t="n"/>
      <c r="T329" s="49" t="n"/>
      <c r="U329" s="49" t="n"/>
    </row>
    <row r="330" outlineLevel="1" ht="13.8" customFormat="1" customHeight="1" s="31">
      <c r="A330" s="217">
        <f>IF($H330="UNIDADE CONSTRUTIVA",OFFSET(A330,-1,0)+1,LARGE(A$3:A329,1))</f>
        <v/>
      </c>
      <c r="B330" s="217">
        <f>IF(H330="UNIDADE CONSTRUTIVA",0,IF(H330="CÉLULA CONSTRUTIVA",OFFSET(B330,-1,0)+1,OFFSET(B330,-1,0)))</f>
        <v/>
      </c>
      <c r="C330" s="217">
        <f>IF(H330="CÉLULA CONSTRUTIVA",0,IF(H330="ETAPA",OFFSET(C330,-1,0)+1,OFFSET(C330,-1,0)))</f>
        <v/>
      </c>
      <c r="D330" s="218">
        <f>IF(H330="ETAPA",0,IF(H330="SUBETAPA",OFFSET(D330,-1,0)+1,OFFSET(D330,-1,0)))</f>
        <v/>
      </c>
      <c r="E330" s="218">
        <f>IF(H330="Subetapa",0,IF(H330="serviço",OFFSET(E330,-1,0)+1,OFFSET(E330,-1,0)))</f>
        <v/>
      </c>
      <c r="G330" s="124" t="n"/>
      <c r="H330" s="42" t="inlineStr">
        <is>
          <t>SUBETAPA</t>
        </is>
      </c>
      <c r="I330" s="43">
        <f>IF(H330="Unidade Construtiva",TEXT(A330,"00"),IF(H330="Célula Construtiva",TEXT(B330,"00"),IF(H330="Etapa",CONCATENATE(TEXT(B330,"00"),".",TEXT(C330,"000")),IF(H330="Subetapa",CONCATENATE(TEXT(B330,"00"),".",TEXT(C330,"000"),".",TEXT(D330,"000")),IF(H330="Serviço",CONCATENATE(TEXT(B330,"00"),".",TEXT(C330,"000"),".",TEXT(D330,"000"),".",TEXT(E330,"000")),"")))))</f>
        <v/>
      </c>
      <c r="J330" s="48" t="inlineStr">
        <is>
          <t>Pinturas diversas</t>
        </is>
      </c>
      <c r="K330" s="45" t="n"/>
      <c r="L330" s="46" t="n"/>
      <c r="M330" s="46" t="n"/>
      <c r="N330" s="47">
        <f>IF(H330="Serviço",M330*L330,IF(H330="CÉLULA CONSTRUTIVA",SUMIFS($N$8:$N$754,$B$8:$B$754,B330,$H$8:$H$754,"Serviço"),IF(H330="ETAPA",SUMIFS($N$8:$N$754,$B$8:$B$754,B330,$C$8:$C$754,C330,$H$8:$H$754,"Serviço"),IF(H330="SUBETAPA",SUMIFS($N$8:$N$754,$B$8:$B$754,B330,$C$8:$C$754,C330,$D$8:$D$754,D330,$H$8:$H$754,"Serviço"),0))))</f>
        <v/>
      </c>
      <c r="O330" s="45" t="n"/>
      <c r="P330" s="46" t="n"/>
      <c r="Q330" s="46" t="n"/>
      <c r="R330" s="216" t="inlineStr">
        <is>
          <t>07.001.001.001 - Entrada de energia</t>
        </is>
      </c>
      <c r="S330" s="123" t="n"/>
      <c r="T330" s="49" t="n"/>
      <c r="U330" s="49" t="n"/>
    </row>
    <row r="331" outlineLevel="2" ht="13.8" customFormat="1" customHeight="1" s="31">
      <c r="A331" s="217">
        <f>IF($H331="UNIDADE CONSTRUTIVA",OFFSET(A331,-1,0)+1,LARGE(A$3:A330,1))</f>
        <v/>
      </c>
      <c r="B331" s="217">
        <f>IF(H331="UNIDADE CONSTRUTIVA",0,IF(H331="CÉLULA CONSTRUTIVA",OFFSET(B331,-1,0)+1,OFFSET(B331,-1,0)))</f>
        <v/>
      </c>
      <c r="C331" s="217">
        <f>IF(H331="CÉLULA CONSTRUTIVA",0,IF(H331="ETAPA",OFFSET(C331,-1,0)+1,OFFSET(C331,-1,0)))</f>
        <v/>
      </c>
      <c r="D331" s="218">
        <f>IF(H331="ETAPA",0,IF(H331="SUBETAPA",OFFSET(D331,-1,0)+1,OFFSET(D331,-1,0)))</f>
        <v/>
      </c>
      <c r="E331" s="218">
        <f>IF(H331="Subetapa",0,IF(H331="serviço",OFFSET(E331,-1,0)+1,OFFSET(E331,-1,0)))</f>
        <v/>
      </c>
      <c r="G331" s="124" t="inlineStr">
        <is>
          <t>SISTEMAS DE PINTURA INTERNA</t>
        </is>
      </c>
      <c r="H331" s="42" t="inlineStr">
        <is>
          <t>SERVIÇO</t>
        </is>
      </c>
      <c r="I331" s="43">
        <f>IF(H331="Unidade Construtiva",TEXT(A331,"00"),IF(H331="Célula Construtiva",TEXT(B331,"00"),IF(H331="Etapa",CONCATENATE(TEXT(B331,"00"),".",TEXT(C331,"000")),IF(H331="Subetapa",CONCATENATE(TEXT(B331,"00"),".",TEXT(C331,"000"),".",TEXT(D331,"000")),IF(H331="Serviço",CONCATENATE(TEXT(B331,"00"),".",TEXT(C331,"000"),".",TEXT(D331,"000"),".",TEXT(E331,"000")),"")))))</f>
        <v/>
      </c>
      <c r="J331" s="48" t="inlineStr">
        <is>
          <t>Pintura de tubulações aparentes da garagem</t>
        </is>
      </c>
      <c r="K331" s="45" t="inlineStr">
        <is>
          <t>vb</t>
        </is>
      </c>
      <c r="L331" s="46" t="n">
        <v>1</v>
      </c>
      <c r="M331" s="46">
        <f>350*PI()*0.05*2*(70.81+55)</f>
        <v/>
      </c>
      <c r="N331" s="47">
        <f>IF(H331="Serviço",M331*L331,IF(H331="CÉLULA CONSTRUTIVA",SUMIFS($N$8:$N$754,$B$8:$B$754,B331,$H$8:$H$754,"Serviço"),IF(H331="ETAPA",SUMIFS($N$8:$N$754,$B$8:$B$754,B331,$C$8:$C$754,C331,$H$8:$H$754,"Serviço"),IF(H331="SUBETAPA",SUMIFS($N$8:$N$754,$B$8:$B$754,B331,$C$8:$C$754,C331,$D$8:$D$754,D331,$H$8:$H$754,"Serviço"),0))))</f>
        <v/>
      </c>
      <c r="O331" s="45" t="n"/>
      <c r="P331" s="46" t="n"/>
      <c r="Q331" s="46" t="n"/>
      <c r="R331" s="47" t="n"/>
      <c r="S331" s="123" t="n"/>
      <c r="T331" s="49" t="n"/>
      <c r="U331" s="49" t="n"/>
    </row>
    <row r="332" outlineLevel="1" ht="13.8" customFormat="1" customHeight="1" s="31">
      <c r="A332" s="217">
        <f>IF($H332="UNIDADE CONSTRUTIVA",OFFSET(A332,-1,0)+1,LARGE(A$3:A329,1))</f>
        <v/>
      </c>
      <c r="B332" s="217">
        <f>IF(H332="UNIDADE CONSTRUTIVA",0,IF(H332="CÉLULA CONSTRUTIVA",OFFSET(B332,-1,0)+1,OFFSET(B332,-1,0)))</f>
        <v/>
      </c>
      <c r="C332" s="217">
        <f>IF(H332="CÉLULA CONSTRUTIVA",0,IF(H332="ETAPA",OFFSET(C332,-1,0)+1,OFFSET(C332,-1,0)))</f>
        <v/>
      </c>
      <c r="D332" s="218">
        <f>IF(H332="ETAPA",0,IF(H332="SUBETAPA",OFFSET(D332,-1,0)+1,OFFSET(D332,-1,0)))</f>
        <v/>
      </c>
      <c r="E332" s="218">
        <f>IF(H332="Subetapa",0,IF(H332="serviço",OFFSET(E332,-1,0)+1,OFFSET(E332,-1,0)))</f>
        <v/>
      </c>
      <c r="G332" s="124" t="n"/>
      <c r="H332" s="42" t="inlineStr">
        <is>
          <t>SUBETAPA</t>
        </is>
      </c>
      <c r="I332" s="43">
        <f>IF(H332="Unidade Construtiva",TEXT(A332,"00"),IF(H332="Célula Construtiva",TEXT(B332,"00"),IF(H332="Etapa",CONCATENATE(TEXT(B332,"00"),".",TEXT(C332,"000")),IF(H332="Subetapa",CONCATENATE(TEXT(B332,"00"),".",TEXT(C332,"000"),".",TEXT(D332,"000")),IF(H332="Serviço",CONCATENATE(TEXT(B332,"00"),".",TEXT(C332,"000"),".",TEXT(D332,"000"),".",TEXT(E332,"000")),"")))))</f>
        <v/>
      </c>
      <c r="J332" s="48" t="inlineStr">
        <is>
          <t>Mão de obra</t>
        </is>
      </c>
      <c r="K332" s="45" t="n"/>
      <c r="L332" s="46" t="n"/>
      <c r="M332" s="46" t="n"/>
      <c r="N332" s="47">
        <f>IF(H332="Serviço",M332*L332,IF(H332="CÉLULA CONSTRUTIVA",SUMIFS($N$8:$N$754,$B$8:$B$754,B332,$H$8:$H$754,"Serviço"),IF(H332="ETAPA",SUMIFS($N$8:$N$754,$B$8:$B$754,B332,$C$8:$C$754,C332,$H$8:$H$754,"Serviço"),IF(H332="SUBETAPA",SUMIFS($N$8:$N$754,$B$8:$B$754,B332,$C$8:$C$754,C332,$D$8:$D$754,D332,$H$8:$H$754,"Serviço"),0))))</f>
        <v/>
      </c>
      <c r="O332" s="45" t="n"/>
      <c r="P332" s="46" t="n"/>
      <c r="Q332" s="46" t="n"/>
      <c r="R332" s="216" t="inlineStr">
        <is>
          <t>19.001.005.001 - Mão de obra para telhamento</t>
        </is>
      </c>
      <c r="S332" s="123" t="n"/>
      <c r="T332" s="49" t="n"/>
      <c r="U332" s="49" t="n"/>
    </row>
    <row r="333" outlineLevel="2" ht="13.8" customFormat="1" customHeight="1" s="31">
      <c r="A333" s="217">
        <f>IF($H333="UNIDADE CONSTRUTIVA",OFFSET(A333,-1,0)+1,LARGE(A$3:A332,1))</f>
        <v/>
      </c>
      <c r="B333" s="217">
        <f>IF(H333="UNIDADE CONSTRUTIVA",0,IF(H333="CÉLULA CONSTRUTIVA",OFFSET(B333,-1,0)+1,OFFSET(B333,-1,0)))</f>
        <v/>
      </c>
      <c r="C333" s="217">
        <f>IF(H333="CÉLULA CONSTRUTIVA",0,IF(H333="ETAPA",OFFSET(C333,-1,0)+1,OFFSET(C333,-1,0)))</f>
        <v/>
      </c>
      <c r="D333" s="218">
        <f>IF(H333="ETAPA",0,IF(H333="SUBETAPA",OFFSET(D333,-1,0)+1,OFFSET(D333,-1,0)))</f>
        <v/>
      </c>
      <c r="E333" s="218">
        <f>IF(H333="Subetapa",0,IF(H333="serviço",OFFSET(E333,-1,0)+1,OFFSET(E333,-1,0)))</f>
        <v/>
      </c>
      <c r="G333" s="124" t="inlineStr">
        <is>
          <t>SISTEMAS DE PINTURA INTERNA</t>
        </is>
      </c>
      <c r="H333" s="42" t="inlineStr">
        <is>
          <t>SERVIÇO</t>
        </is>
      </c>
      <c r="I333" s="43">
        <f>IF(H333="Unidade Construtiva",TEXT(A333,"00"),IF(H333="Célula Construtiva",TEXT(B333,"00"),IF(H333="Etapa",CONCATENATE(TEXT(B333,"00"),".",TEXT(C333,"000")),IF(H333="Subetapa",CONCATENATE(TEXT(B333,"00"),".",TEXT(C333,"000"),".",TEXT(D333,"000")),IF(H333="Serviço",CONCATENATE(TEXT(B333,"00"),".",TEXT(C333,"000"),".",TEXT(D333,"000"),".",TEXT(E333,"000")),"")))))</f>
        <v/>
      </c>
      <c r="J333" s="48" t="inlineStr">
        <is>
          <t>Mão de obra para pintura em rodapés, 2 demãos</t>
        </is>
      </c>
      <c r="K333" s="45" t="inlineStr">
        <is>
          <t>m2</t>
        </is>
      </c>
      <c r="L333" s="46">
        <f>L324</f>
        <v/>
      </c>
      <c r="M333" s="46" t="n">
        <v>28</v>
      </c>
      <c r="N333" s="47">
        <f>IF(H333="Serviço",M333*L333,IF(H333="CÉLULA CONSTRUTIVA",SUMIFS($N$8:$N$754,$B$8:$B$754,B333,$H$8:$H$754,"Serviço"),IF(H333="ETAPA",SUMIFS($N$8:$N$754,$B$8:$B$754,B333,$C$8:$C$754,C333,$H$8:$H$754,"Serviço"),IF(H333="SUBETAPA",SUMIFS($N$8:$N$754,$B$8:$B$754,B333,$C$8:$C$754,C333,$D$8:$D$754,D333,$H$8:$H$754,"Serviço"),0))))</f>
        <v/>
      </c>
      <c r="O333" s="45" t="n"/>
      <c r="P333" s="46" t="n"/>
      <c r="Q333" s="46" t="n"/>
      <c r="R333" s="47" t="n"/>
      <c r="S333" s="123" t="n"/>
      <c r="T333" s="49" t="n"/>
      <c r="U333" s="49" t="n"/>
    </row>
    <row r="334" outlineLevel="2" ht="13.8" customFormat="1" customHeight="1" s="31">
      <c r="A334" s="217">
        <f>IF($H334="UNIDADE CONSTRUTIVA",OFFSET(A334,-1,0)+1,LARGE(A$3:A333,1))</f>
        <v/>
      </c>
      <c r="B334" s="217">
        <f>IF(H334="UNIDADE CONSTRUTIVA",0,IF(H334="CÉLULA CONSTRUTIVA",OFFSET(B334,-1,0)+1,OFFSET(B334,-1,0)))</f>
        <v/>
      </c>
      <c r="C334" s="217">
        <f>IF(H334="CÉLULA CONSTRUTIVA",0,IF(H334="ETAPA",OFFSET(C334,-1,0)+1,OFFSET(C334,-1,0)))</f>
        <v/>
      </c>
      <c r="D334" s="218">
        <f>IF(H334="ETAPA",0,IF(H334="SUBETAPA",OFFSET(D334,-1,0)+1,OFFSET(D334,-1,0)))</f>
        <v/>
      </c>
      <c r="E334" s="218">
        <f>IF(H334="Subetapa",0,IF(H334="serviço",OFFSET(E334,-1,0)+1,OFFSET(E334,-1,0)))</f>
        <v/>
      </c>
      <c r="G334" s="124" t="inlineStr">
        <is>
          <t>SISTEMAS DE PINTURA INTERNA</t>
        </is>
      </c>
      <c r="H334" s="42" t="inlineStr">
        <is>
          <t>SERVIÇO</t>
        </is>
      </c>
      <c r="I334" s="43">
        <f>IF(H334="Unidade Construtiva",TEXT(A334,"00"),IF(H334="Célula Construtiva",TEXT(B334,"00"),IF(H334="Etapa",CONCATENATE(TEXT(B334,"00"),".",TEXT(C334,"000")),IF(H334="Subetapa",CONCATENATE(TEXT(B334,"00"),".",TEXT(C334,"000"),".",TEXT(D334,"000")),IF(H334="Serviço",CONCATENATE(TEXT(B334,"00"),".",TEXT(C334,"000"),".",TEXT(D334,"000"),".",TEXT(E334,"000")),"")))))</f>
        <v/>
      </c>
      <c r="J334" s="48" t="inlineStr">
        <is>
          <t>Mão de obra para pintura em pisos , 2 demãos</t>
        </is>
      </c>
      <c r="K334" s="45" t="inlineStr">
        <is>
          <t>m2</t>
        </is>
      </c>
      <c r="L334" s="46">
        <f>L316</f>
        <v/>
      </c>
      <c r="M334" s="46" t="n">
        <v>28</v>
      </c>
      <c r="N334" s="47">
        <f>IF(H334="Serviço",M334*L334,IF(H334="CÉLULA CONSTRUTIVA",SUMIFS($N$8:$N$754,$B$8:$B$754,B334,$H$8:$H$754,"Serviço"),IF(H334="ETAPA",SUMIFS($N$8:$N$754,$B$8:$B$754,B334,$C$8:$C$754,C334,$H$8:$H$754,"Serviço"),IF(H334="SUBETAPA",SUMIFS($N$8:$N$754,$B$8:$B$754,B334,$C$8:$C$754,C334,$D$8:$D$754,D334,$H$8:$H$754,"Serviço"),0))))</f>
        <v/>
      </c>
      <c r="O334" s="45" t="n"/>
      <c r="P334" s="46" t="n"/>
      <c r="Q334" s="46" t="n"/>
      <c r="R334" s="47" t="n"/>
      <c r="S334" s="123" t="n"/>
      <c r="T334" s="49" t="n"/>
      <c r="U334" s="49" t="n"/>
    </row>
    <row r="335" outlineLevel="2" ht="13.8" customFormat="1" customHeight="1" s="31">
      <c r="A335" s="217">
        <f>IF($H335="UNIDADE CONSTRUTIVA",OFFSET(A335,-1,0)+1,LARGE(A$3:A333,1))</f>
        <v/>
      </c>
      <c r="B335" s="217">
        <f>IF(H335="UNIDADE CONSTRUTIVA",0,IF(H335="CÉLULA CONSTRUTIVA",OFFSET(B335,-1,0)+1,OFFSET(B335,-1,0)))</f>
        <v/>
      </c>
      <c r="C335" s="217">
        <f>IF(H335="CÉLULA CONSTRUTIVA",0,IF(H335="ETAPA",OFFSET(C335,-1,0)+1,OFFSET(C335,-1,0)))</f>
        <v/>
      </c>
      <c r="D335" s="218">
        <f>IF(H335="ETAPA",0,IF(H335="SUBETAPA",OFFSET(D335,-1,0)+1,OFFSET(D335,-1,0)))</f>
        <v/>
      </c>
      <c r="E335" s="218">
        <f>IF(H335="Subetapa",0,IF(H335="serviço",OFFSET(E335,-1,0)+1,OFFSET(E335,-1,0)))</f>
        <v/>
      </c>
      <c r="G335" s="124" t="inlineStr">
        <is>
          <t>SISTEMAS DE PINTURA INTERNA</t>
        </is>
      </c>
      <c r="H335" s="42" t="inlineStr">
        <is>
          <t>SERVIÇO</t>
        </is>
      </c>
      <c r="I335" s="43">
        <f>IF(H335="Unidade Construtiva",TEXT(A335,"00"),IF(H335="Célula Construtiva",TEXT(B335,"00"),IF(H335="Etapa",CONCATENATE(TEXT(B335,"00"),".",TEXT(C335,"000")),IF(H335="Subetapa",CONCATENATE(TEXT(B335,"00"),".",TEXT(C335,"000"),".",TEXT(D335,"000")),IF(H335="Serviço",CONCATENATE(TEXT(B335,"00"),".",TEXT(C335,"000"),".",TEXT(D335,"000"),".",TEXT(E335,"000")),"")))))</f>
        <v/>
      </c>
      <c r="J335" s="48" t="inlineStr">
        <is>
          <t>Mão de obra para faixa de garagem em paredes internas, 1 demãos</t>
        </is>
      </c>
      <c r="K335" s="45" t="inlineStr">
        <is>
          <t>m2</t>
        </is>
      </c>
      <c r="L335" s="46">
        <f>L318</f>
        <v/>
      </c>
      <c r="M335" s="46" t="n">
        <v>22</v>
      </c>
      <c r="N335" s="47">
        <f>IF(H335="Serviço",M335*L335,IF(H335="CÉLULA CONSTRUTIVA",SUMIFS($N$8:$N$754,$B$8:$B$754,B335,$H$8:$H$754,"Serviço"),IF(H335="ETAPA",SUMIFS($N$8:$N$754,$B$8:$B$754,B335,$C$8:$C$754,C335,$H$8:$H$754,"Serviço"),IF(H335="SUBETAPA",SUMIFS($N$8:$N$754,$B$8:$B$754,B335,$C$8:$C$754,C335,$D$8:$D$754,D335,$H$8:$H$754,"Serviço"),0))))</f>
        <v/>
      </c>
      <c r="O335" s="45" t="n"/>
      <c r="P335" s="46" t="n"/>
      <c r="Q335" s="46" t="n"/>
      <c r="R335" s="47" t="n"/>
      <c r="S335" s="123" t="n"/>
      <c r="T335" s="49" t="n"/>
      <c r="U335" s="49" t="n"/>
    </row>
    <row r="336" outlineLevel="2" ht="13.8" customFormat="1" customHeight="1" s="31">
      <c r="A336" s="217">
        <f>IF($H336="UNIDADE CONSTRUTIVA",OFFSET(A336,-1,0)+1,LARGE(A$3:A334,1))</f>
        <v/>
      </c>
      <c r="B336" s="217">
        <f>IF(H336="UNIDADE CONSTRUTIVA",0,IF(H336="CÉLULA CONSTRUTIVA",OFFSET(B336,-1,0)+1,OFFSET(B336,-1,0)))</f>
        <v/>
      </c>
      <c r="C336" s="217">
        <f>IF(H336="CÉLULA CONSTRUTIVA",0,IF(H336="ETAPA",OFFSET(C336,-1,0)+1,OFFSET(C336,-1,0)))</f>
        <v/>
      </c>
      <c r="D336" s="218">
        <f>IF(H336="ETAPA",0,IF(H336="SUBETAPA",OFFSET(D336,-1,0)+1,OFFSET(D336,-1,0)))</f>
        <v/>
      </c>
      <c r="E336" s="218">
        <f>IF(H336="Subetapa",0,IF(H336="serviço",OFFSET(E336,-1,0)+1,OFFSET(E336,-1,0)))</f>
        <v/>
      </c>
      <c r="G336" s="124" t="inlineStr">
        <is>
          <t>SISTEMAS DE PINTURA INTERNA</t>
        </is>
      </c>
      <c r="H336" s="42" t="inlineStr">
        <is>
          <t>SERVIÇO</t>
        </is>
      </c>
      <c r="I336" s="43">
        <f>IF(H336="Unidade Construtiva",TEXT(A336,"00"),IF(H336="Célula Construtiva",TEXT(B336,"00"),IF(H336="Etapa",CONCATENATE(TEXT(B336,"00"),".",TEXT(C336,"000")),IF(H336="Subetapa",CONCATENATE(TEXT(B336,"00"),".",TEXT(C336,"000"),".",TEXT(D336,"000")),IF(H336="Serviço",CONCATENATE(TEXT(B336,"00"),".",TEXT(C336,"000"),".",TEXT(D336,"000"),".",TEXT(E336,"000")),"")))))</f>
        <v/>
      </c>
      <c r="J336" s="48" t="inlineStr">
        <is>
          <t>Mão de obra para pintura em paredes internas, 3 demãos</t>
        </is>
      </c>
      <c r="K336" s="45" t="inlineStr">
        <is>
          <t>m2</t>
        </is>
      </c>
      <c r="L336" s="46">
        <f>L327</f>
        <v/>
      </c>
      <c r="M336" s="46" t="n">
        <v>40</v>
      </c>
      <c r="N336" s="47">
        <f>IF(H336="Serviço",M336*L336,IF(H336="CÉLULA CONSTRUTIVA",SUMIFS($N$8:$N$754,$B$8:$B$754,B336,$H$8:$H$754,"Serviço"),IF(H336="ETAPA",SUMIFS($N$8:$N$754,$B$8:$B$754,B336,$C$8:$C$754,C336,$H$8:$H$754,"Serviço"),IF(H336="SUBETAPA",SUMIFS($N$8:$N$754,$B$8:$B$754,B336,$C$8:$C$754,C336,$D$8:$D$754,D336,$H$8:$H$754,"Serviço"),0))))</f>
        <v/>
      </c>
      <c r="O336" s="45" t="n"/>
      <c r="P336" s="46" t="n"/>
      <c r="Q336" s="46" t="n"/>
      <c r="R336" s="47" t="n"/>
      <c r="S336" s="123" t="n"/>
      <c r="T336" s="49" t="n"/>
      <c r="U336" s="49" t="n"/>
    </row>
    <row r="337" outlineLevel="2" ht="13.8" customFormat="1" customHeight="1" s="31">
      <c r="A337" s="217">
        <f>IF($H337="UNIDADE CONSTRUTIVA",OFFSET(A337,-1,0)+1,LARGE(A$3:A336,1))</f>
        <v/>
      </c>
      <c r="B337" s="217">
        <f>IF(H337="UNIDADE CONSTRUTIVA",0,IF(H337="CÉLULA CONSTRUTIVA",OFFSET(B337,-1,0)+1,OFFSET(B337,-1,0)))</f>
        <v/>
      </c>
      <c r="C337" s="217">
        <f>IF(H337="CÉLULA CONSTRUTIVA",0,IF(H337="ETAPA",OFFSET(C337,-1,0)+1,OFFSET(C337,-1,0)))</f>
        <v/>
      </c>
      <c r="D337" s="218">
        <f>IF(H337="ETAPA",0,IF(H337="SUBETAPA",OFFSET(D337,-1,0)+1,OFFSET(D337,-1,0)))</f>
        <v/>
      </c>
      <c r="E337" s="218">
        <f>IF(H337="Subetapa",0,IF(H337="serviço",OFFSET(E337,-1,0)+1,OFFSET(E337,-1,0)))</f>
        <v/>
      </c>
      <c r="G337" s="124" t="inlineStr">
        <is>
          <t>SISTEMAS DE PINTURA INTERNA</t>
        </is>
      </c>
      <c r="H337" s="42" t="inlineStr">
        <is>
          <t>SERVIÇO</t>
        </is>
      </c>
      <c r="I337" s="43">
        <f>IF(H337="Unidade Construtiva",TEXT(A337,"00"),IF(H337="Célula Construtiva",TEXT(B337,"00"),IF(H337="Etapa",CONCATENATE(TEXT(B337,"00"),".",TEXT(C337,"000")),IF(H337="Subetapa",CONCATENATE(TEXT(B337,"00"),".",TEXT(C337,"000"),".",TEXT(D337,"000")),IF(H337="Serviço",CONCATENATE(TEXT(B337,"00"),".",TEXT(C337,"000"),".",TEXT(D337,"000"),".",TEXT(E337,"000")),"")))))</f>
        <v/>
      </c>
      <c r="J337" s="48" t="inlineStr">
        <is>
          <t>Mão de obra para Textura em paredes internas, 1 demãos</t>
        </is>
      </c>
      <c r="K337" s="45" t="inlineStr">
        <is>
          <t>m2</t>
        </is>
      </c>
      <c r="L337" s="46">
        <f>L329</f>
        <v/>
      </c>
      <c r="M337" s="46" t="n">
        <v>40</v>
      </c>
      <c r="N337" s="47">
        <f>IF(H337="Serviço",M337*L337,IF(H337="CÉLULA CONSTRUTIVA",SUMIFS($N$8:$N$754,$B$8:$B$754,B337,$H$8:$H$754,"Serviço"),IF(H337="ETAPA",SUMIFS($N$8:$N$754,$B$8:$B$754,B337,$C$8:$C$754,C337,$H$8:$H$754,"Serviço"),IF(H337="SUBETAPA",SUMIFS($N$8:$N$754,$B$8:$B$754,B337,$C$8:$C$754,C337,$D$8:$D$754,D337,$H$8:$H$754,"Serviço"),0))))</f>
        <v/>
      </c>
      <c r="O337" s="45" t="n"/>
      <c r="P337" s="46" t="n"/>
      <c r="Q337" s="46" t="n"/>
      <c r="R337" s="47" t="n"/>
      <c r="S337" s="123" t="n"/>
      <c r="T337" s="49" t="n"/>
      <c r="U337" s="49" t="n"/>
    </row>
    <row r="338" outlineLevel="2" ht="13.8" customFormat="1" customHeight="1" s="31">
      <c r="A338" s="217">
        <f>IF($H338="UNIDADE CONSTRUTIVA",OFFSET(A338,-1,0)+1,LARGE(A$3:A337,1))</f>
        <v/>
      </c>
      <c r="B338" s="217">
        <f>IF(H338="UNIDADE CONSTRUTIVA",0,IF(H338="CÉLULA CONSTRUTIVA",OFFSET(B338,-1,0)+1,OFFSET(B338,-1,0)))</f>
        <v/>
      </c>
      <c r="C338" s="217">
        <f>IF(H338="CÉLULA CONSTRUTIVA",0,IF(H338="ETAPA",OFFSET(C338,-1,0)+1,OFFSET(C338,-1,0)))</f>
        <v/>
      </c>
      <c r="D338" s="218">
        <f>IF(H338="ETAPA",0,IF(H338="SUBETAPA",OFFSET(D338,-1,0)+1,OFFSET(D338,-1,0)))</f>
        <v/>
      </c>
      <c r="E338" s="218">
        <f>IF(H338="Subetapa",0,IF(H338="serviço",OFFSET(E338,-1,0)+1,OFFSET(E338,-1,0)))</f>
        <v/>
      </c>
      <c r="G338" s="124" t="inlineStr">
        <is>
          <t>SISTEMAS DE PINTURA INTERNA</t>
        </is>
      </c>
      <c r="H338" s="42" t="inlineStr">
        <is>
          <t>SERVIÇO</t>
        </is>
      </c>
      <c r="I338" s="43">
        <f>IF(H338="Unidade Construtiva",TEXT(A338,"00"),IF(H338="Célula Construtiva",TEXT(B338,"00"),IF(H338="Etapa",CONCATENATE(TEXT(B338,"00"),".",TEXT(C338,"000")),IF(H338="Subetapa",CONCATENATE(TEXT(B338,"00"),".",TEXT(C338,"000"),".",TEXT(D338,"000")),IF(H338="Serviço",CONCATENATE(TEXT(B338,"00"),".",TEXT(C338,"000"),".",TEXT(D338,"000"),".",TEXT(E338,"000")),"")))))</f>
        <v/>
      </c>
      <c r="J338" s="48" t="inlineStr">
        <is>
          <t>Mão de obra para pintura em teto, 3 demãos</t>
        </is>
      </c>
      <c r="K338" s="45" t="inlineStr">
        <is>
          <t>m2</t>
        </is>
      </c>
      <c r="L338" s="46">
        <f>L327</f>
        <v/>
      </c>
      <c r="M338" s="46" t="n">
        <v>42</v>
      </c>
      <c r="N338" s="47">
        <f>IF(H338="Serviço",M338*L338,IF(H338="CÉLULA CONSTRUTIVA",SUMIFS($N$8:$N$754,$B$8:$B$754,B338,$H$8:$H$754,"Serviço"),IF(H338="ETAPA",SUMIFS($N$8:$N$754,$B$8:$B$754,B338,$C$8:$C$754,C338,$H$8:$H$754,"Serviço"),IF(H338="SUBETAPA",SUMIFS($N$8:$N$754,$B$8:$B$754,B338,$C$8:$C$754,C338,$D$8:$D$754,D338,$H$8:$H$754,"Serviço"),0))))</f>
        <v/>
      </c>
      <c r="O338" s="45" t="n"/>
      <c r="P338" s="46" t="n"/>
      <c r="Q338" s="46" t="n"/>
      <c r="R338" s="47" t="n"/>
      <c r="S338" s="123" t="n"/>
      <c r="T338" s="49" t="n"/>
      <c r="U338" s="49" t="n"/>
    </row>
    <row r="339" outlineLevel="2" ht="13.8" customFormat="1" customHeight="1" s="31">
      <c r="A339" s="217">
        <f>IF($H339="UNIDADE CONSTRUTIVA",OFFSET(A339,-1,0)+1,LARGE(A$3:A338,1))</f>
        <v/>
      </c>
      <c r="B339" s="217">
        <f>IF(H339="UNIDADE CONSTRUTIVA",0,IF(H339="CÉLULA CONSTRUTIVA",OFFSET(B339,-1,0)+1,OFFSET(B339,-1,0)))</f>
        <v/>
      </c>
      <c r="C339" s="217">
        <f>IF(H339="CÉLULA CONSTRUTIVA",0,IF(H339="ETAPA",OFFSET(C339,-1,0)+1,OFFSET(C339,-1,0)))</f>
        <v/>
      </c>
      <c r="D339" s="218">
        <f>IF(H339="ETAPA",0,IF(H339="SUBETAPA",OFFSET(D339,-1,0)+1,OFFSET(D339,-1,0)))</f>
        <v/>
      </c>
      <c r="E339" s="218">
        <f>IF(H339="Subetapa",0,IF(H339="serviço",OFFSET(E339,-1,0)+1,OFFSET(E339,-1,0)))</f>
        <v/>
      </c>
      <c r="G339" s="124" t="inlineStr">
        <is>
          <t>SISTEMAS DE PINTURA INTERNA</t>
        </is>
      </c>
      <c r="H339" s="42" t="inlineStr">
        <is>
          <t>SERVIÇO</t>
        </is>
      </c>
      <c r="I339" s="43">
        <f>IF(H339="Unidade Construtiva",TEXT(A339,"00"),IF(H339="Célula Construtiva",TEXT(B339,"00"),IF(H339="Etapa",CONCATENATE(TEXT(B339,"00"),".",TEXT(C339,"000")),IF(H339="Subetapa",CONCATENATE(TEXT(B339,"00"),".",TEXT(C339,"000"),".",TEXT(D339,"000")),IF(H339="Serviço",CONCATENATE(TEXT(B339,"00"),".",TEXT(C339,"000"),".",TEXT(D339,"000"),".",TEXT(E339,"000")),"")))))</f>
        <v/>
      </c>
      <c r="J339" s="48" t="inlineStr">
        <is>
          <t>Mão de obra para textura em teto, 1 demão</t>
        </is>
      </c>
      <c r="K339" s="45" t="inlineStr">
        <is>
          <t>m2</t>
        </is>
      </c>
      <c r="L339" s="46">
        <f>L329</f>
        <v/>
      </c>
      <c r="M339" s="46" t="n">
        <v>40</v>
      </c>
      <c r="N339" s="47">
        <f>IF(H339="Serviço",M339*L339,IF(H339="CÉLULA CONSTRUTIVA",SUMIFS($N$8:$N$754,$B$8:$B$754,B339,$H$8:$H$754,"Serviço"),IF(H339="ETAPA",SUMIFS($N$8:$N$754,$B$8:$B$754,B339,$C$8:$C$754,C339,$H$8:$H$754,"Serviço"),IF(H339="SUBETAPA",SUMIFS($N$8:$N$754,$B$8:$B$754,B339,$C$8:$C$754,C339,$D$8:$D$754,D339,$H$8:$H$754,"Serviço"),0))))</f>
        <v/>
      </c>
      <c r="O339" s="45" t="n"/>
      <c r="P339" s="46" t="n"/>
      <c r="Q339" s="46" t="n"/>
      <c r="R339" s="47" t="n"/>
      <c r="S339" s="123" t="n"/>
      <c r="T339" s="49" t="n"/>
      <c r="U339" s="49" t="n"/>
    </row>
    <row r="340" ht="13.8" customFormat="1" customHeight="1" s="31">
      <c r="A340" s="217">
        <f>IF($H340="UNIDADE CONSTRUTIVA",OFFSET(A340,-1,0)+1,LARGE(A$3:A339,1))</f>
        <v/>
      </c>
      <c r="B340" s="217">
        <f>IF(H340="UNIDADE CONSTRUTIVA",0,IF(H340="CÉLULA CONSTRUTIVA",OFFSET(B340,-1,0)+1,OFFSET(B340,-1,0)))</f>
        <v/>
      </c>
      <c r="C340" s="217">
        <f>IF(H340="CÉLULA CONSTRUTIVA",0,IF(H340="ETAPA",OFFSET(C340,-1,0)+1,OFFSET(C340,-1,0)))</f>
        <v/>
      </c>
      <c r="D340" s="218">
        <f>IF(H340="ETAPA",0,IF(H340="SUBETAPA",OFFSET(D340,-1,0)+1,OFFSET(D340,-1,0)))</f>
        <v/>
      </c>
      <c r="E340" s="218">
        <f>IF(H340="Subetapa",0,IF(H340="serviço",OFFSET(E340,-1,0)+1,OFFSET(E340,-1,0)))</f>
        <v/>
      </c>
      <c r="G340" s="124" t="n"/>
      <c r="H340" s="42" t="inlineStr">
        <is>
          <t>CÉLULA CONSTRUTIVA</t>
        </is>
      </c>
      <c r="I340" s="43">
        <f>IF(H340="Unidade Construtiva",TEXT(A340,"00"),IF(H340="Célula Construtiva",TEXT(B340,"00"),IF(H340="Etapa",CONCATENATE(TEXT(B340,"00"),".",TEXT(C340,"000")),IF(H340="Subetapa",CONCATENATE(TEXT(B340,"00"),".",TEXT(C340,"000"),".",TEXT(D340,"000")),IF(H340="Serviço",CONCATENATE(TEXT(B340,"00"),".",TEXT(C340,"000"),".",TEXT(D340,"000"),".",TEXT(E340,"000")),"")))))</f>
        <v/>
      </c>
      <c r="J340" s="48" t="inlineStr">
        <is>
          <t>ESQUADRIAS, VIDROS E FERRAGENS</t>
        </is>
      </c>
      <c r="K340" s="45" t="n"/>
      <c r="L340" s="46" t="n"/>
      <c r="M340" s="46" t="n"/>
      <c r="N340" s="47">
        <f>IF(H340="Serviço",M340*L340,IF(H340="CÉLULA CONSTRUTIVA",SUMIFS($N$8:$N$754,$B$8:$B$754,B340,$H$8:$H$754,"Serviço"),IF(H340="ETAPA",SUMIFS($N$8:$N$754,$B$8:$B$754,B340,$C$8:$C$754,C340,$H$8:$H$754,"Serviço"),IF(H340="SUBETAPA",SUMIFS($N$8:$N$754,$B$8:$B$754,B340,$C$8:$C$754,C340,$D$8:$D$754,D340,$H$8:$H$754,"Serviço"),0))))</f>
        <v/>
      </c>
      <c r="O340" s="45" t="n"/>
      <c r="P340" s="46" t="n"/>
      <c r="Q340" s="46" t="n"/>
      <c r="R340" s="47" t="n"/>
      <c r="S340" s="123" t="n"/>
      <c r="T340" s="215" t="n"/>
      <c r="U340" s="49" t="n"/>
    </row>
    <row r="341" outlineLevel="1" ht="13.8" customFormat="1" customHeight="1" s="31">
      <c r="A341" s="217">
        <f>IF($H341="UNIDADE CONSTRUTIVA",OFFSET(A341,-1,0)+1,LARGE(A$3:A340,1))</f>
        <v/>
      </c>
      <c r="B341" s="217">
        <f>IF(H341="UNIDADE CONSTRUTIVA",0,IF(H341="CÉLULA CONSTRUTIVA",OFFSET(B341,-1,0)+1,OFFSET(B341,-1,0)))</f>
        <v/>
      </c>
      <c r="C341" s="217">
        <f>IF(H341="CÉLULA CONSTRUTIVA",0,IF(H341="ETAPA",OFFSET(C341,-1,0)+1,OFFSET(C341,-1,0)))</f>
        <v/>
      </c>
      <c r="D341" s="218">
        <f>IF(H341="ETAPA",0,IF(H341="SUBETAPA",OFFSET(D341,-1,0)+1,OFFSET(D341,-1,0)))</f>
        <v/>
      </c>
      <c r="E341" s="218">
        <f>IF(H341="Subetapa",0,IF(H341="serviço",OFFSET(E341,-1,0)+1,OFFSET(E341,-1,0)))</f>
        <v/>
      </c>
      <c r="G341" s="124" t="n"/>
      <c r="H341" s="42" t="inlineStr">
        <is>
          <t>ETAPA</t>
        </is>
      </c>
      <c r="I341" s="43">
        <f>IF(H341="Unidade Construtiva",TEXT(A341,"00"),IF(H341="Célula Construtiva",TEXT(B341,"00"),IF(H341="Etapa",CONCATENATE(TEXT(B341,"00"),".",TEXT(C341,"000")),IF(H341="Subetapa",CONCATENATE(TEXT(B341,"00"),".",TEXT(C341,"000"),".",TEXT(D341,"000")),IF(H341="Serviço",CONCATENATE(TEXT(B341,"00"),".",TEXT(C341,"000"),".",TEXT(D341,"000"),".",TEXT(E341,"000")),"")))))</f>
        <v/>
      </c>
      <c r="J341" s="48" t="inlineStr">
        <is>
          <t>ESQUADRIAS DE ALUMÍNIO</t>
        </is>
      </c>
      <c r="K341" s="45" t="n"/>
      <c r="L341" s="46" t="n"/>
      <c r="M341" s="46" t="n"/>
      <c r="N341" s="47">
        <f>IF(H341="Serviço",M341*L341,IF(H341="CÉLULA CONSTRUTIVA",SUMIFS($N$8:$N$754,$B$8:$B$754,B341,$H$8:$H$754,"Serviço"),IF(H341="ETAPA",SUMIFS($N$8:$N$754,$B$8:$B$754,B341,$C$8:$C$754,C341,$H$8:$H$754,"Serviço"),IF(H341="SUBETAPA",SUMIFS($N$8:$N$754,$B$8:$B$754,B341,$C$8:$C$754,C341,$D$8:$D$754,D341,$H$8:$H$754,"Serviço"),0))))</f>
        <v/>
      </c>
      <c r="O341" s="45" t="n"/>
      <c r="P341" s="46" t="n"/>
      <c r="Q341" s="46" t="n"/>
      <c r="R341" s="47" t="n"/>
      <c r="S341" s="123" t="n"/>
      <c r="T341" s="49" t="n"/>
      <c r="U341" s="49" t="n"/>
    </row>
    <row r="342" outlineLevel="1" ht="13.8" customFormat="1" customHeight="1" s="31">
      <c r="A342" s="217">
        <f>IF($H342="UNIDADE CONSTRUTIVA",OFFSET(A342,-1,0)+1,LARGE(A$3:A341,1))</f>
        <v/>
      </c>
      <c r="B342" s="217">
        <f>IF(H342="UNIDADE CONSTRUTIVA",0,IF(H342="CÉLULA CONSTRUTIVA",OFFSET(B342,-1,0)+1,OFFSET(B342,-1,0)))</f>
        <v/>
      </c>
      <c r="C342" s="217">
        <f>IF(H342="CÉLULA CONSTRUTIVA",0,IF(H342="ETAPA",OFFSET(C342,-1,0)+1,OFFSET(C342,-1,0)))</f>
        <v/>
      </c>
      <c r="D342" s="218">
        <f>IF(H342="ETAPA",0,IF(H342="SUBETAPA",OFFSET(D342,-1,0)+1,OFFSET(D342,-1,0)))</f>
        <v/>
      </c>
      <c r="E342" s="218">
        <f>IF(H342="Subetapa",0,IF(H342="serviço",OFFSET(E342,-1,0)+1,OFFSET(E342,-1,0)))</f>
        <v/>
      </c>
      <c r="G342" s="124" t="n"/>
      <c r="H342" s="42" t="inlineStr">
        <is>
          <t>SUBETAPA</t>
        </is>
      </c>
      <c r="I342" s="43">
        <f>IF(H342="Unidade Construtiva",TEXT(A342,"00"),IF(H342="Célula Construtiva",TEXT(B342,"00"),IF(H342="Etapa",CONCATENATE(TEXT(B342,"00"),".",TEXT(C342,"000")),IF(H342="Subetapa",CONCATENATE(TEXT(B342,"00"),".",TEXT(C342,"000"),".",TEXT(D342,"000")),IF(H342="Serviço",CONCATENATE(TEXT(B342,"00"),".",TEXT(C342,"000"),".",TEXT(D342,"000"),".",TEXT(E342,"000")),"")))))</f>
        <v/>
      </c>
      <c r="J342" s="48" t="inlineStr">
        <is>
          <t>Contramarco</t>
        </is>
      </c>
      <c r="K342" s="45" t="n"/>
      <c r="L342" s="46" t="n"/>
      <c r="M342" s="46" t="n"/>
      <c r="N342" s="47">
        <f>IF(H342="Serviço",M342*L342,IF(H342="CÉLULA CONSTRUTIVA",SUMIFS($N$8:$N$754,$B$8:$B$754,B342,$H$8:$H$754,"Serviço"),IF(H342="ETAPA",SUMIFS($N$8:$N$754,$B$8:$B$754,B342,$C$8:$C$754,C342,$H$8:$H$754,"Serviço"),IF(H342="SUBETAPA",SUMIFS($N$8:$N$754,$B$8:$B$754,B342,$C$8:$C$754,C342,$D$8:$D$754,D342,$H$8:$H$754,"Serviço"),0))))</f>
        <v/>
      </c>
      <c r="O342" s="45" t="n"/>
      <c r="P342" s="46" t="n"/>
      <c r="Q342" s="46" t="n"/>
      <c r="R342" s="216" t="inlineStr">
        <is>
          <t>15.001.008.003 - Concregrama</t>
        </is>
      </c>
      <c r="S342" s="123" t="n"/>
      <c r="T342" s="49" t="n"/>
      <c r="U342" s="49" t="n"/>
    </row>
    <row r="343" outlineLevel="2" ht="13.8" customFormat="1" customHeight="1" s="31">
      <c r="A343" s="217">
        <f>IF($H343="UNIDADE CONSTRUTIVA",OFFSET(A343,-1,0)+1,LARGE(A$3:A342,1))</f>
        <v/>
      </c>
      <c r="B343" s="217">
        <f>IF(H343="UNIDADE CONSTRUTIVA",0,IF(H343="CÉLULA CONSTRUTIVA",OFFSET(B343,-1,0)+1,OFFSET(B343,-1,0)))</f>
        <v/>
      </c>
      <c r="C343" s="217">
        <f>IF(H343="CÉLULA CONSTRUTIVA",0,IF(H343="ETAPA",OFFSET(C343,-1,0)+1,OFFSET(C343,-1,0)))</f>
        <v/>
      </c>
      <c r="D343" s="218">
        <f>IF(H343="ETAPA",0,IF(H343="SUBETAPA",OFFSET(D343,-1,0)+1,OFFSET(D343,-1,0)))</f>
        <v/>
      </c>
      <c r="E343" s="218">
        <f>IF(H343="Subetapa",0,IF(H343="serviço",OFFSET(E343,-1,0)+1,OFFSET(E343,-1,0)))</f>
        <v/>
      </c>
      <c r="G343" s="124" t="inlineStr">
        <is>
          <t>ESQUADRIAS, VIDROS E FERRAGENS</t>
        </is>
      </c>
      <c r="H343" s="42" t="inlineStr">
        <is>
          <t>SERVIÇO</t>
        </is>
      </c>
      <c r="I343" s="43">
        <f>IF(H343="Unidade Construtiva",TEXT(A343,"00"),IF(H343="Célula Construtiva",TEXT(B343,"00"),IF(H343="Etapa",CONCATENATE(TEXT(B343,"00"),".",TEXT(C343,"000")),IF(H343="Subetapa",CONCATENATE(TEXT(B343,"00"),".",TEXT(C343,"000"),".",TEXT(D343,"000")),IF(H343="Serviço",CONCATENATE(TEXT(B343,"00"),".",TEXT(C343,"000"),".",TEXT(D343,"000"),".",TEXT(E343,"000")),"")))))</f>
        <v/>
      </c>
      <c r="J343" s="48" t="inlineStr">
        <is>
          <t>Contramarco de Alumínio, Fixação com Argamassa</t>
        </is>
      </c>
      <c r="K343" s="45" t="inlineStr">
        <is>
          <t>m</t>
        </is>
      </c>
      <c r="L343" s="46" t="n">
        <v>1517.69</v>
      </c>
      <c r="M343" s="46" t="n">
        <v>23.24</v>
      </c>
      <c r="N343" s="47">
        <f>IF(H343="Serviço",M343*L343,IF(H343="CÉLULA CONSTRUTIVA",SUMIFS($N$8:$N$754,$B$8:$B$754,B343,$H$8:$H$754,"Serviço"),IF(H343="ETAPA",SUMIFS($N$8:$N$754,$B$8:$B$754,B343,$C$8:$C$754,C343,$H$8:$H$754,"Serviço"),IF(H343="SUBETAPA",SUMIFS($N$8:$N$754,$B$8:$B$754,B343,$C$8:$C$754,C343,$D$8:$D$754,D343,$H$8:$H$754,"Serviço"),0))))</f>
        <v/>
      </c>
      <c r="O343" s="45" t="n"/>
      <c r="P343" s="46" t="n"/>
      <c r="Q343" s="46" t="n"/>
      <c r="R343" s="47" t="n"/>
      <c r="S343" s="123" t="n"/>
      <c r="T343" s="49" t="n"/>
      <c r="U343" s="49" t="n"/>
    </row>
    <row r="344" outlineLevel="1" ht="13.8" customFormat="1" customHeight="1" s="31">
      <c r="A344" s="217">
        <f>IF($H344="UNIDADE CONSTRUTIVA",OFFSET(A344,-1,0)+1,LARGE(A$3:A343,1))</f>
        <v/>
      </c>
      <c r="B344" s="217">
        <f>IF(H344="UNIDADE CONSTRUTIVA",0,IF(H344="CÉLULA CONSTRUTIVA",OFFSET(B344,-1,0)+1,OFFSET(B344,-1,0)))</f>
        <v/>
      </c>
      <c r="C344" s="217">
        <f>IF(H344="CÉLULA CONSTRUTIVA",0,IF(H344="ETAPA",OFFSET(C344,-1,0)+1,OFFSET(C344,-1,0)))</f>
        <v/>
      </c>
      <c r="D344" s="218">
        <f>IF(H344="ETAPA",0,IF(H344="SUBETAPA",OFFSET(D344,-1,0)+1,OFFSET(D344,-1,0)))</f>
        <v/>
      </c>
      <c r="E344" s="218">
        <f>IF(H344="Subetapa",0,IF(H344="serviço",OFFSET(E344,-1,0)+1,OFFSET(E344,-1,0)))</f>
        <v/>
      </c>
      <c r="G344" s="124" t="n"/>
      <c r="H344" s="42" t="inlineStr">
        <is>
          <t>SUBETAPA</t>
        </is>
      </c>
      <c r="I344" s="43">
        <f>IF(H344="Unidade Construtiva",TEXT(A344,"00"),IF(H344="Célula Construtiva",TEXT(B344,"00"),IF(H344="Etapa",CONCATENATE(TEXT(B344,"00"),".",TEXT(C344,"000")),IF(H344="Subetapa",CONCATENATE(TEXT(B344,"00"),".",TEXT(C344,"000"),".",TEXT(D344,"000")),IF(H344="Serviço",CONCATENATE(TEXT(B344,"00"),".",TEXT(C344,"000"),".",TEXT(D344,"000"),".",TEXT(E344,"000")),"")))))</f>
        <v/>
      </c>
      <c r="J344" s="48" t="inlineStr">
        <is>
          <t>Esquadrias de alumínio</t>
        </is>
      </c>
      <c r="K344" s="45" t="n"/>
      <c r="L344" s="46" t="n"/>
      <c r="M344" s="46" t="n"/>
      <c r="N344" s="47">
        <f>IF(H344="Serviço",M344*L344,IF(H344="CÉLULA CONSTRUTIVA",SUMIFS($N$8:$N$754,$B$8:$B$754,B344,$H$8:$H$754,"Serviço"),IF(H344="ETAPA",SUMIFS($N$8:$N$754,$B$8:$B$754,B344,$C$8:$C$754,C344,$H$8:$H$754,"Serviço"),IF(H344="SUBETAPA",SUMIFS($N$8:$N$754,$B$8:$B$754,B344,$C$8:$C$754,C344,$D$8:$D$754,D344,$H$8:$H$754,"Serviço"),0))))</f>
        <v/>
      </c>
      <c r="O344" s="45" t="n"/>
      <c r="P344" s="46" t="n"/>
      <c r="Q344" s="46" t="n"/>
      <c r="R344" s="216" t="inlineStr">
        <is>
          <t>17.001.002.002 - Guarda corpo em alumínio e vidro</t>
        </is>
      </c>
      <c r="S344" s="125" t="n"/>
      <c r="T344" s="49" t="n"/>
      <c r="U344" s="49" t="n"/>
    </row>
    <row r="345" outlineLevel="2" ht="13.8" customFormat="1" customHeight="1" s="31">
      <c r="A345" s="217">
        <f>IF($H345="UNIDADE CONSTRUTIVA",OFFSET(A345,-1,0)+1,LARGE(A$3:A344,1))</f>
        <v/>
      </c>
      <c r="B345" s="217">
        <f>IF(H345="UNIDADE CONSTRUTIVA",0,IF(H345="CÉLULA CONSTRUTIVA",OFFSET(B345,-1,0)+1,OFFSET(B345,-1,0)))</f>
        <v/>
      </c>
      <c r="C345" s="217">
        <f>IF(H345="CÉLULA CONSTRUTIVA",0,IF(H345="ETAPA",OFFSET(C345,-1,0)+1,OFFSET(C345,-1,0)))</f>
        <v/>
      </c>
      <c r="D345" s="218">
        <f>IF(H345="ETAPA",0,IF(H345="SUBETAPA",OFFSET(D345,-1,0)+1,OFFSET(D345,-1,0)))</f>
        <v/>
      </c>
      <c r="E345" s="218">
        <f>IF(H345="Subetapa",0,IF(H345="serviço",OFFSET(E345,-1,0)+1,OFFSET(E345,-1,0)))</f>
        <v/>
      </c>
      <c r="G345" s="124" t="inlineStr">
        <is>
          <t>ESQUADRIAS, VIDROS E FERRAGENS</t>
        </is>
      </c>
      <c r="H345" s="42" t="inlineStr">
        <is>
          <t>SERVIÇO</t>
        </is>
      </c>
      <c r="I345" s="43">
        <f>IF(H345="Unidade Construtiva",TEXT(A345,"00"),IF(H345="Célula Construtiva",TEXT(B345,"00"),IF(H345="Etapa",CONCATENATE(TEXT(B345,"00"),".",TEXT(C345,"000")),IF(H345="Subetapa",CONCATENATE(TEXT(B345,"00"),".",TEXT(C345,"000"),".",TEXT(D345,"000")),IF(H345="Serviço",CONCATENATE(TEXT(B345,"00"),".",TEXT(C345,"000"),".",TEXT(D345,"000"),".",TEXT(E345,"000")),"")))))</f>
        <v/>
      </c>
      <c r="J345" s="129" t="inlineStr">
        <is>
          <t>Esquadrias de Alumínio</t>
        </is>
      </c>
      <c r="K345" s="45" t="inlineStr">
        <is>
          <t>m2</t>
        </is>
      </c>
      <c r="L345" s="161" t="n">
        <v>258.99</v>
      </c>
      <c r="M345" s="46" t="n">
        <v>1389.019333862321</v>
      </c>
      <c r="N345" s="47">
        <f>IF(H345="Serviço",M345*L345,IF(H345="CÉLULA CONSTRUTIVA",SUMIFS($N$8:$N$754,$B$8:$B$754,B345,$H$8:$H$754,"Serviço"),IF(H345="ETAPA",SUMIFS($N$8:$N$754,$B$8:$B$754,B345,$C$8:$C$754,C345,$H$8:$H$754,"Serviço"),IF(H345="SUBETAPA",SUMIFS($N$8:$N$754,$B$8:$B$754,B345,$C$8:$C$754,C345,$D$8:$D$754,D345,$H$8:$H$754,"Serviço"),0))))</f>
        <v/>
      </c>
      <c r="O345" s="45" t="n"/>
      <c r="P345" s="161" t="n"/>
      <c r="Q345" s="46" t="n"/>
      <c r="R345" s="47" t="n"/>
      <c r="S345" s="123" t="n"/>
      <c r="T345" s="49" t="n"/>
      <c r="U345" s="49" t="n"/>
    </row>
    <row r="346" outlineLevel="2" ht="13.8" customFormat="1" customHeight="1" s="31">
      <c r="A346" s="217">
        <f>IF($H346="UNIDADE CONSTRUTIVA",OFFSET(A346,-1,0)+1,LARGE(A$3:A345,1))</f>
        <v/>
      </c>
      <c r="B346" s="217">
        <f>IF(H346="UNIDADE CONSTRUTIVA",0,IF(H346="CÉLULA CONSTRUTIVA",OFFSET(B346,-1,0)+1,OFFSET(B346,-1,0)))</f>
        <v/>
      </c>
      <c r="C346" s="217">
        <f>IF(H346="CÉLULA CONSTRUTIVA",0,IF(H346="ETAPA",OFFSET(C346,-1,0)+1,OFFSET(C346,-1,0)))</f>
        <v/>
      </c>
      <c r="D346" s="218">
        <f>IF(H346="ETAPA",0,IF(H346="SUBETAPA",OFFSET(D346,-1,0)+1,OFFSET(D346,-1,0)))</f>
        <v/>
      </c>
      <c r="E346" s="218">
        <f>IF(H346="Subetapa",0,IF(H346="serviço",OFFSET(E346,-1,0)+1,OFFSET(E346,-1,0)))</f>
        <v/>
      </c>
      <c r="G346" s="124" t="inlineStr">
        <is>
          <t>ESQUADRIAS, VIDROS E FERRAGENS</t>
        </is>
      </c>
      <c r="H346" s="42" t="inlineStr">
        <is>
          <t>SERVIÇO</t>
        </is>
      </c>
      <c r="I346" s="43">
        <f>IF(H346="Unidade Construtiva",TEXT(A346,"00"),IF(H346="Célula Construtiva",TEXT(B346,"00"),IF(H346="Etapa",CONCATENATE(TEXT(B346,"00"),".",TEXT(C346,"000")),IF(H346="Subetapa",CONCATENATE(TEXT(B346,"00"),".",TEXT(C346,"000"),".",TEXT(D346,"000")),IF(H346="Serviço",CONCATENATE(TEXT(B346,"00"),".",TEXT(C346,"000"),".",TEXT(D346,"000"),".",TEXT(E346,"000")),"")))))</f>
        <v/>
      </c>
      <c r="J346" s="48" t="inlineStr">
        <is>
          <t>Alçapão de aluminio</t>
        </is>
      </c>
      <c r="K346" s="45" t="inlineStr">
        <is>
          <t>un</t>
        </is>
      </c>
      <c r="L346" s="161" t="n">
        <v>1</v>
      </c>
      <c r="M346" s="46" t="n">
        <v>1014</v>
      </c>
      <c r="N346" s="47">
        <f>IF(H346="Serviço",M346*L346,IF(H346="CÉLULA CONSTRUTIVA",SUMIFS($N$8:$N$754,$B$8:$B$754,B346,$H$8:$H$754,"Serviço"),IF(H346="ETAPA",SUMIFS($N$8:$N$754,$B$8:$B$754,B346,$C$8:$C$754,C346,$H$8:$H$754,"Serviço"),IF(H346="SUBETAPA",SUMIFS($N$8:$N$754,$B$8:$B$754,B346,$C$8:$C$754,C346,$D$8:$D$754,D346,$H$8:$H$754,"Serviço"),0))))</f>
        <v/>
      </c>
      <c r="O346" s="45" t="n"/>
      <c r="P346" s="161" t="n"/>
      <c r="Q346" s="46" t="n"/>
      <c r="R346" s="47" t="n"/>
      <c r="S346" s="123" t="n"/>
      <c r="T346" s="49" t="n"/>
      <c r="U346" s="49" t="n"/>
    </row>
    <row r="347" outlineLevel="1" ht="13.8" customFormat="1" customHeight="1" s="31">
      <c r="A347" s="217">
        <f>IF($H347="UNIDADE CONSTRUTIVA",OFFSET(A347,-1,0)+1,LARGE(A$3:A346,1))</f>
        <v/>
      </c>
      <c r="B347" s="217">
        <f>IF(H347="UNIDADE CONSTRUTIVA",0,IF(H347="CÉLULA CONSTRUTIVA",OFFSET(B347,-1,0)+1,OFFSET(B347,-1,0)))</f>
        <v/>
      </c>
      <c r="C347" s="217">
        <f>IF(H347="CÉLULA CONSTRUTIVA",0,IF(H347="ETAPA",OFFSET(C347,-1,0)+1,OFFSET(C347,-1,0)))</f>
        <v/>
      </c>
      <c r="D347" s="218">
        <f>IF(H347="ETAPA",0,IF(H347="SUBETAPA",OFFSET(D347,-1,0)+1,OFFSET(D347,-1,0)))</f>
        <v/>
      </c>
      <c r="E347" s="218">
        <f>IF(H347="Subetapa",0,IF(H347="serviço",OFFSET(E347,-1,0)+1,OFFSET(E347,-1,0)))</f>
        <v/>
      </c>
      <c r="G347" s="124" t="n"/>
      <c r="H347" s="42" t="inlineStr">
        <is>
          <t>SUBETAPA</t>
        </is>
      </c>
      <c r="I347" s="43">
        <f>IF(H347="Unidade Construtiva",TEXT(A347,"00"),IF(H347="Célula Construtiva",TEXT(B347,"00"),IF(H347="Etapa",CONCATENATE(TEXT(B347,"00"),".",TEXT(C347,"000")),IF(H347="Subetapa",CONCATENATE(TEXT(B347,"00"),".",TEXT(C347,"000"),".",TEXT(D347,"000")),IF(H347="Serviço",CONCATENATE(TEXT(B347,"00"),".",TEXT(C347,"000"),".",TEXT(D347,"000"),".",TEXT(E347,"000")),"")))))</f>
        <v/>
      </c>
      <c r="J347" s="48" t="inlineStr">
        <is>
          <t>Guarda corpo</t>
        </is>
      </c>
      <c r="K347" s="45" t="n"/>
      <c r="L347" s="46" t="n"/>
      <c r="M347" s="46" t="n"/>
      <c r="N347" s="47">
        <f>IF(H347="Serviço",M347*L347,IF(H347="CÉLULA CONSTRUTIVA",SUMIFS($N$8:$N$754,$B$8:$B$754,B347,$H$8:$H$754,"Serviço"),IF(H347="ETAPA",SUMIFS($N$8:$N$754,$B$8:$B$754,B347,$C$8:$C$754,C347,$H$8:$H$754,"Serviço"),IF(H347="SUBETAPA",SUMIFS($N$8:$N$754,$B$8:$B$754,B347,$C$8:$C$754,C347,$D$8:$D$754,D347,$H$8:$H$754,"Serviço"),0))))</f>
        <v/>
      </c>
      <c r="O347" s="45" t="n"/>
      <c r="P347" s="46" t="n"/>
      <c r="Q347" s="46" t="n"/>
      <c r="R347" s="216" t="inlineStr">
        <is>
          <t>17.001.002.002 - Guarda corpo em alumínio e vidro</t>
        </is>
      </c>
      <c r="S347" s="123" t="n"/>
      <c r="T347" s="49" t="n"/>
      <c r="U347" s="49" t="n"/>
    </row>
    <row r="348" outlineLevel="2" ht="13.8" customFormat="1" customHeight="1" s="31">
      <c r="A348" s="217">
        <f>IF($H348="UNIDADE CONSTRUTIVA",OFFSET(A348,-1,0)+1,LARGE(A$3:A347,1))</f>
        <v/>
      </c>
      <c r="B348" s="217">
        <f>IF(H348="UNIDADE CONSTRUTIVA",0,IF(H348="CÉLULA CONSTRUTIVA",OFFSET(B348,-1,0)+1,OFFSET(B348,-1,0)))</f>
        <v/>
      </c>
      <c r="C348" s="217">
        <f>IF(H348="CÉLULA CONSTRUTIVA",0,IF(H348="ETAPA",OFFSET(C348,-1,0)+1,OFFSET(C348,-1,0)))</f>
        <v/>
      </c>
      <c r="D348" s="218">
        <f>IF(H348="ETAPA",0,IF(H348="SUBETAPA",OFFSET(D348,-1,0)+1,OFFSET(D348,-1,0)))</f>
        <v/>
      </c>
      <c r="E348" s="218">
        <f>IF(H348="Subetapa",0,IF(H348="serviço",OFFSET(E348,-1,0)+1,OFFSET(E348,-1,0)))</f>
        <v/>
      </c>
      <c r="G348" s="124" t="inlineStr">
        <is>
          <t>ESQUADRIAS, VIDROS E FERRAGENS</t>
        </is>
      </c>
      <c r="H348" s="42" t="inlineStr">
        <is>
          <t>SERVIÇO</t>
        </is>
      </c>
      <c r="I348" s="43">
        <f>IF(H348="Unidade Construtiva",TEXT(A348,"00"),IF(H348="Célula Construtiva",TEXT(B348,"00"),IF(H348="Etapa",CONCATENATE(TEXT(B348,"00"),".",TEXT(C348,"000")),IF(H348="Subetapa",CONCATENATE(TEXT(B348,"00"),".",TEXT(C348,"000"),".",TEXT(D348,"000")),IF(H348="Serviço",CONCATENATE(TEXT(B348,"00"),".",TEXT(C348,"000"),".",TEXT(D348,"000"),".",TEXT(E348,"000")),"")))))</f>
        <v/>
      </c>
      <c r="J348" s="48" t="inlineStr">
        <is>
          <t>Guarda Corpo de Vidro e Aluminio - fornecimento e instalação</t>
        </is>
      </c>
      <c r="K348" s="45" t="inlineStr">
        <is>
          <t>m2</t>
        </is>
      </c>
      <c r="L348" s="161" t="n">
        <v>7.67</v>
      </c>
      <c r="M348" s="46" t="n">
        <v>935.99</v>
      </c>
      <c r="N348" s="47">
        <f>IF(H348="Serviço",M348*L348,IF(H348="CÉLULA CONSTRUTIVA",SUMIFS($N$8:$N$754,$B$8:$B$754,B348,$H$8:$H$754,"Serviço"),IF(H348="ETAPA",SUMIFS($N$8:$N$754,$B$8:$B$754,B348,$C$8:$C$754,C348,$H$8:$H$754,"Serviço"),IF(H348="SUBETAPA",SUMIFS($N$8:$N$754,$B$8:$B$754,B348,$C$8:$C$754,C348,$D$8:$D$754,D348,$H$8:$H$754,"Serviço"),0))))</f>
        <v/>
      </c>
      <c r="O348" s="45" t="n"/>
      <c r="P348" s="161" t="n"/>
      <c r="Q348" s="46" t="n"/>
      <c r="R348" s="47" t="n"/>
      <c r="S348" s="123" t="n"/>
      <c r="T348" s="49" t="n"/>
      <c r="U348" s="49" t="n"/>
    </row>
    <row r="349" outlineLevel="1" ht="13.8" customFormat="1" customHeight="1" s="31">
      <c r="A349" s="217">
        <f>IF($H349="UNIDADE CONSTRUTIVA",OFFSET(A349,-1,0)+1,LARGE(A$3:A348,1))</f>
        <v/>
      </c>
      <c r="B349" s="217">
        <f>IF(H349="UNIDADE CONSTRUTIVA",0,IF(H349="CÉLULA CONSTRUTIVA",OFFSET(B349,-1,0)+1,OFFSET(B349,-1,0)))</f>
        <v/>
      </c>
      <c r="C349" s="217">
        <f>IF(H349="CÉLULA CONSTRUTIVA",0,IF(H349="ETAPA",OFFSET(C349,-1,0)+1,OFFSET(C349,-1,0)))</f>
        <v/>
      </c>
      <c r="D349" s="218">
        <f>IF(H349="ETAPA",0,IF(H349="SUBETAPA",OFFSET(D349,-1,0)+1,OFFSET(D349,-1,0)))</f>
        <v/>
      </c>
      <c r="E349" s="218">
        <f>IF(H349="Subetapa",0,IF(H349="serviço",OFFSET(E349,-1,0)+1,OFFSET(E349,-1,0)))</f>
        <v/>
      </c>
      <c r="G349" s="124" t="n"/>
      <c r="H349" s="42" t="inlineStr">
        <is>
          <t>SUBETAPA</t>
        </is>
      </c>
      <c r="I349" s="43">
        <f>IF(H349="Unidade Construtiva",TEXT(A349,"00"),IF(H349="Célula Construtiva",TEXT(B349,"00"),IF(H349="Etapa",CONCATENATE(TEXT(B349,"00"),".",TEXT(C349,"000")),IF(H349="Subetapa",CONCATENATE(TEXT(B349,"00"),".",TEXT(C349,"000"),".",TEXT(D349,"000")),IF(H349="Serviço",CONCATENATE(TEXT(B349,"00"),".",TEXT(C349,"000"),".",TEXT(D349,"000"),".",TEXT(E349,"000")),"")))))</f>
        <v/>
      </c>
      <c r="J349" s="48" t="inlineStr">
        <is>
          <t>Pele de vidro</t>
        </is>
      </c>
      <c r="K349" s="45" t="n"/>
      <c r="L349" s="46" t="n"/>
      <c r="M349" s="46" t="n"/>
      <c r="N349" s="47">
        <f>IF(H349="Serviço",M349*L349,IF(H349="CÉLULA CONSTRUTIVA",SUMIFS($N$8:$N$754,$B$8:$B$754,B349,$H$8:$H$754,"Serviço"),IF(H349="ETAPA",SUMIFS($N$8:$N$754,$B$8:$B$754,B349,$C$8:$C$754,C349,$H$8:$H$754,"Serviço"),IF(H349="SUBETAPA",SUMIFS($N$8:$N$754,$B$8:$B$754,B349,$C$8:$C$754,C349,$D$8:$D$754,D349,$H$8:$H$754,"Serviço"),0))))</f>
        <v/>
      </c>
      <c r="O349" s="45" t="n"/>
      <c r="P349" s="46" t="n"/>
      <c r="Q349" s="46" t="n"/>
      <c r="R349" s="216" t="inlineStr">
        <is>
          <t>01.001.001.006 - Projeto de canteiro</t>
        </is>
      </c>
      <c r="S349" s="123" t="n"/>
      <c r="T349" s="49" t="n"/>
      <c r="U349" s="49" t="n"/>
    </row>
    <row r="350" outlineLevel="2" ht="13.8" customFormat="1" customHeight="1" s="31">
      <c r="A350" s="217">
        <f>IF($H350="UNIDADE CONSTRUTIVA",OFFSET(A350,-1,0)+1,LARGE(A$3:A349,1))</f>
        <v/>
      </c>
      <c r="B350" s="217">
        <f>IF(H350="UNIDADE CONSTRUTIVA",0,IF(H350="CÉLULA CONSTRUTIVA",OFFSET(B350,-1,0)+1,OFFSET(B350,-1,0)))</f>
        <v/>
      </c>
      <c r="C350" s="217">
        <f>IF(H350="CÉLULA CONSTRUTIVA",0,IF(H350="ETAPA",OFFSET(C350,-1,0)+1,OFFSET(C350,-1,0)))</f>
        <v/>
      </c>
      <c r="D350" s="218">
        <f>IF(H350="ETAPA",0,IF(H350="SUBETAPA",OFFSET(D350,-1,0)+1,OFFSET(D350,-1,0)))</f>
        <v/>
      </c>
      <c r="E350" s="218">
        <f>IF(H350="Subetapa",0,IF(H350="serviço",OFFSET(E350,-1,0)+1,OFFSET(E350,-1,0)))</f>
        <v/>
      </c>
      <c r="G350" s="124" t="inlineStr">
        <is>
          <t>ESQUADRIAS, VIDROS E FERRAGENS</t>
        </is>
      </c>
      <c r="H350" s="42" t="inlineStr">
        <is>
          <t>SERVIÇO</t>
        </is>
      </c>
      <c r="I350" s="43">
        <f>IF(H350="Unidade Construtiva",TEXT(A350,"00"),IF(H350="Célula Construtiva",TEXT(B350,"00"),IF(H350="Etapa",CONCATENATE(TEXT(B350,"00"),".",TEXT(C350,"000")),IF(H350="Subetapa",CONCATENATE(TEXT(B350,"00"),".",TEXT(C350,"000"),".",TEXT(D350,"000")),IF(H350="Serviço",CONCATENATE(TEXT(B350,"00"),".",TEXT(C350,"000"),".",TEXT(D350,"000"),".",TEXT(E350,"000")),"")))))</f>
        <v/>
      </c>
      <c r="J350" s="48" t="inlineStr">
        <is>
          <t>Pele de vidro</t>
        </is>
      </c>
      <c r="K350" s="45" t="inlineStr">
        <is>
          <t>m2</t>
        </is>
      </c>
      <c r="L350" s="161" t="n">
        <v>658.64</v>
      </c>
      <c r="M350" s="46" t="n">
        <v>2509.7329217646</v>
      </c>
      <c r="N350" s="47">
        <f>IF(H350="Serviço",M350*L350,IF(H350="CÉLULA CONSTRUTIVA",SUMIFS($N$8:$N$754,$B$8:$B$754,B350,$H$8:$H$754,"Serviço"),IF(H350="ETAPA",SUMIFS($N$8:$N$754,$B$8:$B$754,B350,$C$8:$C$754,C350,$H$8:$H$754,"Serviço"),IF(H350="SUBETAPA",SUMIFS($N$8:$N$754,$B$8:$B$754,B350,$C$8:$C$754,C350,$D$8:$D$754,D350,$H$8:$H$754,"Serviço"),0))))</f>
        <v/>
      </c>
      <c r="O350" s="45" t="n"/>
      <c r="P350" s="161" t="n"/>
      <c r="Q350" s="46" t="n"/>
      <c r="R350" s="47" t="n"/>
      <c r="S350" s="123" t="n"/>
      <c r="T350" s="49" t="n"/>
      <c r="U350" s="49" t="n"/>
    </row>
    <row r="351" outlineLevel="1" ht="13.8" customFormat="1" customHeight="1" s="31">
      <c r="A351" s="217">
        <f>IF($H351="UNIDADE CONSTRUTIVA",OFFSET(A351,-1,0)+1,LARGE(A$3:A348,1))</f>
        <v/>
      </c>
      <c r="B351" s="217">
        <f>IF(H351="UNIDADE CONSTRUTIVA",0,IF(H351="CÉLULA CONSTRUTIVA",OFFSET(B351,-1,0)+1,OFFSET(B351,-1,0)))</f>
        <v/>
      </c>
      <c r="C351" s="217">
        <f>IF(H351="CÉLULA CONSTRUTIVA",0,IF(H351="ETAPA",OFFSET(C351,-1,0)+1,OFFSET(C351,-1,0)))</f>
        <v/>
      </c>
      <c r="D351" s="218">
        <f>IF(H351="ETAPA",0,IF(H351="SUBETAPA",OFFSET(D351,-1,0)+1,OFFSET(D351,-1,0)))</f>
        <v/>
      </c>
      <c r="E351" s="218">
        <f>IF(H351="Subetapa",0,IF(H351="serviço",OFFSET(E351,-1,0)+1,OFFSET(E351,-1,0)))</f>
        <v/>
      </c>
      <c r="G351" s="124" t="n"/>
      <c r="H351" s="42" t="inlineStr">
        <is>
          <t>ETAPA</t>
        </is>
      </c>
      <c r="I351" s="43">
        <f>IF(H351="Unidade Construtiva",TEXT(A351,"00"),IF(H351="Célula Construtiva",TEXT(B351,"00"),IF(H351="Etapa",CONCATENATE(TEXT(B351,"00"),".",TEXT(C351,"000")),IF(H351="Subetapa",CONCATENATE(TEXT(B351,"00"),".",TEXT(C351,"000"),".",TEXT(D351,"000")),IF(H351="Serviço",CONCATENATE(TEXT(B351,"00"),".",TEXT(C351,"000"),".",TEXT(D351,"000"),".",TEXT(E351,"000")),"")))))</f>
        <v/>
      </c>
      <c r="J351" s="48" t="inlineStr">
        <is>
          <t>ESQUADRIAS DE MADEIRA</t>
        </is>
      </c>
      <c r="K351" s="45" t="n"/>
      <c r="L351" s="46" t="n"/>
      <c r="M351" s="46" t="n"/>
      <c r="N351" s="47">
        <f>IF(H351="Serviço",M351*L351,IF(H351="CÉLULA CONSTRUTIVA",SUMIFS($N$8:$N$754,$B$8:$B$754,B351,$H$8:$H$754,"Serviço"),IF(H351="ETAPA",SUMIFS($N$8:$N$754,$B$8:$B$754,B351,$C$8:$C$754,C351,$H$8:$H$754,"Serviço"),IF(H351="SUBETAPA",SUMIFS($N$8:$N$754,$B$8:$B$754,B351,$C$8:$C$754,C351,$D$8:$D$754,D351,$H$8:$H$754,"Serviço"),0))))</f>
        <v/>
      </c>
      <c r="O351" s="45" t="n"/>
      <c r="P351" s="46" t="n"/>
      <c r="Q351" s="46" t="n"/>
      <c r="R351" s="47" t="n"/>
      <c r="S351" s="123" t="n"/>
      <c r="T351" s="49" t="n"/>
      <c r="U351" s="49" t="n"/>
    </row>
    <row r="352" outlineLevel="1" ht="13.8" customFormat="1" customHeight="1" s="31">
      <c r="A352" s="217">
        <f>IF($H352="UNIDADE CONSTRUTIVA",OFFSET(A352,-1,0)+1,LARGE(A$3:A351,1))</f>
        <v/>
      </c>
      <c r="B352" s="217">
        <f>IF(H352="UNIDADE CONSTRUTIVA",0,IF(H352="CÉLULA CONSTRUTIVA",OFFSET(B352,-1,0)+1,OFFSET(B352,-1,0)))</f>
        <v/>
      </c>
      <c r="C352" s="217">
        <f>IF(H352="CÉLULA CONSTRUTIVA",0,IF(H352="ETAPA",OFFSET(C352,-1,0)+1,OFFSET(C352,-1,0)))</f>
        <v/>
      </c>
      <c r="D352" s="218">
        <f>IF(H352="ETAPA",0,IF(H352="SUBETAPA",OFFSET(D352,-1,0)+1,OFFSET(D352,-1,0)))</f>
        <v/>
      </c>
      <c r="E352" s="218">
        <f>IF(H352="Subetapa",0,IF(H352="serviço",OFFSET(E352,-1,0)+1,OFFSET(E352,-1,0)))</f>
        <v/>
      </c>
      <c r="G352" s="124" t="n"/>
      <c r="H352" s="42" t="inlineStr">
        <is>
          <t>SUBETAPA</t>
        </is>
      </c>
      <c r="I352" s="43">
        <f>IF(H352="Unidade Construtiva",TEXT(A352,"00"),IF(H352="Célula Construtiva",TEXT(B352,"00"),IF(H352="Etapa",CONCATENATE(TEXT(B352,"00"),".",TEXT(C352,"000")),IF(H352="Subetapa",CONCATENATE(TEXT(B352,"00"),".",TEXT(C352,"000"),".",TEXT(D352,"000")),IF(H352="Serviço",CONCATENATE(TEXT(B352,"00"),".",TEXT(C352,"000"),".",TEXT(D352,"000"),".",TEXT(E352,"000")),"")))))</f>
        <v/>
      </c>
      <c r="J352" s="48" t="inlineStr">
        <is>
          <t>Esquadrias de madeira</t>
        </is>
      </c>
      <c r="K352" s="45" t="n"/>
      <c r="L352" s="46" t="n"/>
      <c r="M352" s="46" t="n"/>
      <c r="N352" s="47">
        <f>IF(H352="Serviço",M352*L352,IF(H352="CÉLULA CONSTRUTIVA",SUMIFS($N$8:$N$754,$B$8:$B$754,B352,$H$8:$H$754,"Serviço"),IF(H352="ETAPA",SUMIFS($N$8:$N$754,$B$8:$B$754,B352,$C$8:$C$754,C352,$H$8:$H$754,"Serviço"),IF(H352="SUBETAPA",SUMIFS($N$8:$N$754,$B$8:$B$754,B352,$C$8:$C$754,C352,$D$8:$D$754,D352,$H$8:$H$754,"Serviço"),0))))</f>
        <v/>
      </c>
      <c r="O352" s="45" t="n"/>
      <c r="P352" s="46" t="n"/>
      <c r="Q352" s="46" t="n"/>
      <c r="R352" s="216" t="inlineStr">
        <is>
          <t>17.003.002.001 - Escada marinheiro</t>
        </is>
      </c>
      <c r="S352" s="123" t="n"/>
      <c r="T352" s="49" t="n"/>
      <c r="U352" s="49" t="n"/>
    </row>
    <row r="353" outlineLevel="2" ht="13.8" customFormat="1" customHeight="1" s="31">
      <c r="A353" s="217">
        <f>IF($H353="UNIDADE CONSTRUTIVA",OFFSET(A353,-1,0)+1,LARGE(A$3:A352,1))</f>
        <v/>
      </c>
      <c r="B353" s="217">
        <f>IF(H353="UNIDADE CONSTRUTIVA",0,IF(H353="CÉLULA CONSTRUTIVA",OFFSET(B353,-1,0)+1,OFFSET(B353,-1,0)))</f>
        <v/>
      </c>
      <c r="C353" s="217">
        <f>IF(H353="CÉLULA CONSTRUTIVA",0,IF(H353="ETAPA",OFFSET(C353,-1,0)+1,OFFSET(C353,-1,0)))</f>
        <v/>
      </c>
      <c r="D353" s="218">
        <f>IF(H353="ETAPA",0,IF(H353="SUBETAPA",OFFSET(D353,-1,0)+1,OFFSET(D353,-1,0)))</f>
        <v/>
      </c>
      <c r="E353" s="218">
        <f>IF(H353="Subetapa",0,IF(H353="serviço",OFFSET(E353,-1,0)+1,OFFSET(E353,-1,0)))</f>
        <v/>
      </c>
      <c r="G353" s="124" t="inlineStr">
        <is>
          <t>ESQUADRIAS, VIDROS E FERRAGENS</t>
        </is>
      </c>
      <c r="H353" s="42" t="inlineStr">
        <is>
          <t>SERVIÇO</t>
        </is>
      </c>
      <c r="I353" s="43">
        <f>IF(H353="Unidade Construtiva",TEXT(A353,"00"),IF(H353="Célula Construtiva",TEXT(B353,"00"),IF(H353="Etapa",CONCATENATE(TEXT(B353,"00"),".",TEXT(C353,"000")),IF(H353="Subetapa",CONCATENATE(TEXT(B353,"00"),".",TEXT(C353,"000"),".",TEXT(D353,"000")),IF(H353="Serviço",CONCATENATE(TEXT(B353,"00"),".",TEXT(C353,"000"),".",TEXT(D353,"000"),".",TEXT(E353,"000")),"")))))</f>
        <v/>
      </c>
      <c r="J353" s="48" t="inlineStr">
        <is>
          <t>Porta de madeira de abrir - 60x220cm (kit completo) - fixação com espuma expansiva</t>
        </is>
      </c>
      <c r="K353" s="45" t="inlineStr">
        <is>
          <t>un</t>
        </is>
      </c>
      <c r="L353" s="46" t="n">
        <v>50</v>
      </c>
      <c r="M353" s="46" t="n">
        <v>2413.567619047619</v>
      </c>
      <c r="N353" s="47">
        <f>IF(H353="Serviço",M353*L353,IF(H353="CÉLULA CONSTRUTIVA",SUMIFS($N$8:$N$754,$B$8:$B$754,B353,$H$8:$H$754,"Serviço"),IF(H353="ETAPA",SUMIFS($N$8:$N$754,$B$8:$B$754,B353,$C$8:$C$754,C353,$H$8:$H$754,"Serviço"),IF(H353="SUBETAPA",SUMIFS($N$8:$N$754,$B$8:$B$754,B353,$C$8:$C$754,C353,$D$8:$D$754,D353,$H$8:$H$754,"Serviço"),0))))</f>
        <v/>
      </c>
      <c r="O353" s="45" t="n"/>
      <c r="P353" s="46" t="n"/>
      <c r="Q353" s="46" t="n"/>
      <c r="R353" s="47" t="n"/>
      <c r="S353" s="123" t="n"/>
      <c r="T353" s="49" t="n"/>
      <c r="U353" s="49" t="n"/>
    </row>
    <row r="354" outlineLevel="2" ht="13.8" customFormat="1" customHeight="1" s="31">
      <c r="A354" s="217">
        <f>IF($H354="UNIDADE CONSTRUTIVA",OFFSET(A354,-1,0)+1,LARGE(A$3:A353,1))</f>
        <v/>
      </c>
      <c r="B354" s="217">
        <f>IF(H354="UNIDADE CONSTRUTIVA",0,IF(H354="CÉLULA CONSTRUTIVA",OFFSET(B354,-1,0)+1,OFFSET(B354,-1,0)))</f>
        <v/>
      </c>
      <c r="C354" s="217">
        <f>IF(H354="CÉLULA CONSTRUTIVA",0,IF(H354="ETAPA",OFFSET(C354,-1,0)+1,OFFSET(C354,-1,0)))</f>
        <v/>
      </c>
      <c r="D354" s="218">
        <f>IF(H354="ETAPA",0,IF(H354="SUBETAPA",OFFSET(D354,-1,0)+1,OFFSET(D354,-1,0)))</f>
        <v/>
      </c>
      <c r="E354" s="218">
        <f>IF(H354="Subetapa",0,IF(H354="serviço",OFFSET(E354,-1,0)+1,OFFSET(E354,-1,0)))</f>
        <v/>
      </c>
      <c r="G354" s="124" t="inlineStr">
        <is>
          <t>ESQUADRIAS, VIDROS E FERRAGENS</t>
        </is>
      </c>
      <c r="H354" s="42" t="inlineStr">
        <is>
          <t>SERVIÇO</t>
        </is>
      </c>
      <c r="I354" s="43">
        <f>IF(H354="Unidade Construtiva",TEXT(A354,"00"),IF(H354="Célula Construtiva",TEXT(B354,"00"),IF(H354="Etapa",CONCATENATE(TEXT(B354,"00"),".",TEXT(C354,"000")),IF(H354="Subetapa",CONCATENATE(TEXT(B354,"00"),".",TEXT(C354,"000"),".",TEXT(D354,"000")),IF(H354="Serviço",CONCATENATE(TEXT(B354,"00"),".",TEXT(C354,"000"),".",TEXT(D354,"000"),".",TEXT(E354,"000")),"")))))</f>
        <v/>
      </c>
      <c r="J354" s="48" t="inlineStr">
        <is>
          <t>Porta de madeira de abrir - 70x210cm (kit completo) - fixação com espuma expansiva</t>
        </is>
      </c>
      <c r="K354" s="45" t="inlineStr">
        <is>
          <t>un</t>
        </is>
      </c>
      <c r="L354" s="46" t="n">
        <v>45</v>
      </c>
      <c r="M354" s="46" t="n">
        <v>2306.36</v>
      </c>
      <c r="N354" s="47">
        <f>IF(H354="Serviço",M354*L354,IF(H354="CÉLULA CONSTRUTIVA",SUMIFS($N$8:$N$754,$B$8:$B$754,B354,$H$8:$H$754,"Serviço"),IF(H354="ETAPA",SUMIFS($N$8:$N$754,$B$8:$B$754,B354,$C$8:$C$754,C354,$H$8:$H$754,"Serviço"),IF(H354="SUBETAPA",SUMIFS($N$8:$N$754,$B$8:$B$754,B354,$C$8:$C$754,C354,$D$8:$D$754,D354,$H$8:$H$754,"Serviço"),0))))</f>
        <v/>
      </c>
      <c r="O354" s="45" t="n"/>
      <c r="P354" s="46" t="n"/>
      <c r="Q354" s="46" t="n"/>
      <c r="R354" s="47" t="n"/>
      <c r="S354" s="123" t="n"/>
      <c r="T354" s="49" t="n"/>
      <c r="U354" s="49" t="n"/>
    </row>
    <row r="355" outlineLevel="2" ht="13.8" customFormat="1" customHeight="1" s="31">
      <c r="A355" s="217">
        <f>IF($H355="UNIDADE CONSTRUTIVA",OFFSET(A355,-1,0)+1,LARGE(A$3:A354,1))</f>
        <v/>
      </c>
      <c r="B355" s="217">
        <f>IF(H355="UNIDADE CONSTRUTIVA",0,IF(H355="CÉLULA CONSTRUTIVA",OFFSET(B355,-1,0)+1,OFFSET(B355,-1,0)))</f>
        <v/>
      </c>
      <c r="C355" s="217">
        <f>IF(H355="CÉLULA CONSTRUTIVA",0,IF(H355="ETAPA",OFFSET(C355,-1,0)+1,OFFSET(C355,-1,0)))</f>
        <v/>
      </c>
      <c r="D355" s="218">
        <f>IF(H355="ETAPA",0,IF(H355="SUBETAPA",OFFSET(D355,-1,0)+1,OFFSET(D355,-1,0)))</f>
        <v/>
      </c>
      <c r="E355" s="218">
        <f>IF(H355="Subetapa",0,IF(H355="serviço",OFFSET(E355,-1,0)+1,OFFSET(E355,-1,0)))</f>
        <v/>
      </c>
      <c r="G355" s="124" t="inlineStr">
        <is>
          <t>ESQUADRIAS, VIDROS E FERRAGENS</t>
        </is>
      </c>
      <c r="H355" s="42" t="inlineStr">
        <is>
          <t>SERVIÇO</t>
        </is>
      </c>
      <c r="I355" s="43">
        <f>IF(H355="Unidade Construtiva",TEXT(A355,"00"),IF(H355="Célula Construtiva",TEXT(B355,"00"),IF(H355="Etapa",CONCATENATE(TEXT(B355,"00"),".",TEXT(C355,"000")),IF(H355="Subetapa",CONCATENATE(TEXT(B355,"00"),".",TEXT(C355,"000"),".",TEXT(D355,"000")),IF(H355="Serviço",CONCATENATE(TEXT(B355,"00"),".",TEXT(C355,"000"),".",TEXT(D355,"000"),".",TEXT(E355,"000")),"")))))</f>
        <v/>
      </c>
      <c r="J355" s="48" t="inlineStr">
        <is>
          <t>Porta de madeira de abrir - 80x210cm (kit completo) - fixação com espuma expansiva</t>
        </is>
      </c>
      <c r="K355" s="45" t="inlineStr">
        <is>
          <t>un</t>
        </is>
      </c>
      <c r="L355" s="46" t="n">
        <v>124</v>
      </c>
      <c r="M355" s="46" t="n">
        <v>2306.36</v>
      </c>
      <c r="N355" s="47">
        <f>IF(H355="Serviço",M355*L355,IF(H355="CÉLULA CONSTRUTIVA",SUMIFS($N$8:$N$754,$B$8:$B$754,B355,$H$8:$H$754,"Serviço"),IF(H355="ETAPA",SUMIFS($N$8:$N$754,$B$8:$B$754,B355,$C$8:$C$754,C355,$H$8:$H$754,"Serviço"),IF(H355="SUBETAPA",SUMIFS($N$8:$N$754,$B$8:$B$754,B355,$C$8:$C$754,C355,$D$8:$D$754,D355,$H$8:$H$754,"Serviço"),0))))</f>
        <v/>
      </c>
      <c r="O355" s="45" t="n"/>
      <c r="P355" s="46" t="n"/>
      <c r="Q355" s="46" t="n"/>
      <c r="R355" s="47" t="n"/>
      <c r="S355" s="123" t="n"/>
      <c r="T355" s="49" t="n"/>
      <c r="U355" s="49" t="n"/>
    </row>
    <row r="356" outlineLevel="2" ht="13.8" customFormat="1" customHeight="1" s="31">
      <c r="A356" s="217">
        <f>IF($H356="UNIDADE CONSTRUTIVA",OFFSET(A356,-1,0)+1,LARGE(A$3:A355,1))</f>
        <v/>
      </c>
      <c r="B356" s="217">
        <f>IF(H356="UNIDADE CONSTRUTIVA",0,IF(H356="CÉLULA CONSTRUTIVA",OFFSET(B356,-1,0)+1,OFFSET(B356,-1,0)))</f>
        <v/>
      </c>
      <c r="C356" s="217">
        <f>IF(H356="CÉLULA CONSTRUTIVA",0,IF(H356="ETAPA",OFFSET(C356,-1,0)+1,OFFSET(C356,-1,0)))</f>
        <v/>
      </c>
      <c r="D356" s="218">
        <f>IF(H356="ETAPA",0,IF(H356="SUBETAPA",OFFSET(D356,-1,0)+1,OFFSET(D356,-1,0)))</f>
        <v/>
      </c>
      <c r="E356" s="218">
        <f>IF(H356="Subetapa",0,IF(H356="serviço",OFFSET(E356,-1,0)+1,OFFSET(E356,-1,0)))</f>
        <v/>
      </c>
      <c r="G356" s="124" t="inlineStr">
        <is>
          <t>ESQUADRIAS, VIDROS E FERRAGENS</t>
        </is>
      </c>
      <c r="H356" s="42" t="inlineStr">
        <is>
          <t>SERVIÇO</t>
        </is>
      </c>
      <c r="I356" s="43">
        <f>IF(H356="Unidade Construtiva",TEXT(A356,"00"),IF(H356="Célula Construtiva",TEXT(B356,"00"),IF(H356="Etapa",CONCATENATE(TEXT(B356,"00"),".",TEXT(C356,"000")),IF(H356="Subetapa",CONCATENATE(TEXT(B356,"00"),".",TEXT(C356,"000"),".",TEXT(D356,"000")),IF(H356="Serviço",CONCATENATE(TEXT(B356,"00"),".",TEXT(C356,"000"),".",TEXT(D356,"000"),".",TEXT(E356,"000")),"")))))</f>
        <v/>
      </c>
      <c r="J356" s="48" t="inlineStr">
        <is>
          <t>Porta de madeira de abrir - 90x210cm (kit completo) - fixação com espuma expansiva</t>
        </is>
      </c>
      <c r="K356" s="45" t="inlineStr">
        <is>
          <t>un</t>
        </is>
      </c>
      <c r="L356" s="46" t="n">
        <v>31</v>
      </c>
      <c r="M356" s="46" t="n">
        <v>2653.86</v>
      </c>
      <c r="N356" s="47">
        <f>IF(H356="Serviço",M356*L356,IF(H356="CÉLULA CONSTRUTIVA",SUMIFS($N$8:$N$754,$B$8:$B$754,B356,$H$8:$H$754,"Serviço"),IF(H356="ETAPA",SUMIFS($N$8:$N$754,$B$8:$B$754,B356,$C$8:$C$754,C356,$H$8:$H$754,"Serviço"),IF(H356="SUBETAPA",SUMIFS($N$8:$N$754,$B$8:$B$754,B356,$C$8:$C$754,C356,$D$8:$D$754,D356,$H$8:$H$754,"Serviço"),0))))</f>
        <v/>
      </c>
      <c r="O356" s="45" t="n"/>
      <c r="P356" s="46" t="n"/>
      <c r="Q356" s="46" t="n"/>
      <c r="R356" s="47" t="n"/>
      <c r="S356" s="123" t="n"/>
      <c r="T356" s="49" t="n"/>
      <c r="U356" s="49" t="n"/>
    </row>
    <row r="357" outlineLevel="2" ht="13.8" customFormat="1" customHeight="1" s="31">
      <c r="A357" s="217">
        <f>IF($H357="UNIDADE CONSTRUTIVA",OFFSET(A357,-1,0)+1,LARGE(A$3:A356,1))</f>
        <v/>
      </c>
      <c r="B357" s="217">
        <f>IF(H357="UNIDADE CONSTRUTIVA",0,IF(H357="CÉLULA CONSTRUTIVA",OFFSET(B357,-1,0)+1,OFFSET(B357,-1,0)))</f>
        <v/>
      </c>
      <c r="C357" s="217">
        <f>IF(H357="CÉLULA CONSTRUTIVA",0,IF(H357="ETAPA",OFFSET(C357,-1,0)+1,OFFSET(C357,-1,0)))</f>
        <v/>
      </c>
      <c r="D357" s="218">
        <f>IF(H357="ETAPA",0,IF(H357="SUBETAPA",OFFSET(D357,-1,0)+1,OFFSET(D357,-1,0)))</f>
        <v/>
      </c>
      <c r="E357" s="218">
        <f>IF(H357="Subetapa",0,IF(H357="serviço",OFFSET(E357,-1,0)+1,OFFSET(E357,-1,0)))</f>
        <v/>
      </c>
      <c r="G357" s="124" t="inlineStr">
        <is>
          <t>ESQUADRIAS, VIDROS E FERRAGENS</t>
        </is>
      </c>
      <c r="H357" s="42" t="inlineStr">
        <is>
          <t>SERVIÇO</t>
        </is>
      </c>
      <c r="I357" s="43">
        <f>IF(H357="Unidade Construtiva",TEXT(A357,"00"),IF(H357="Célula Construtiva",TEXT(B357,"00"),IF(H357="Etapa",CONCATENATE(TEXT(B357,"00"),".",TEXT(C357,"000")),IF(H357="Subetapa",CONCATENATE(TEXT(B357,"00"),".",TEXT(C357,"000"),".",TEXT(D357,"000")),IF(H357="Serviço",CONCATENATE(TEXT(B357,"00"),".",TEXT(C357,"000"),".",TEXT(D357,"000"),".",TEXT(E357,"000")),"")))))</f>
        <v/>
      </c>
      <c r="J357" s="48" t="inlineStr">
        <is>
          <t>Porta de madeira de abrir - 120x210cm (kit completo) - fixação com espuma expansiva</t>
        </is>
      </c>
      <c r="K357" s="45" t="inlineStr">
        <is>
          <t>un</t>
        </is>
      </c>
      <c r="L357" s="46" t="n">
        <v>1</v>
      </c>
      <c r="M357" s="46" t="n">
        <v>3520.146666666667</v>
      </c>
      <c r="N357" s="47">
        <f>IF(H357="Serviço",M357*L357,IF(H357="CÉLULA CONSTRUTIVA",SUMIFS($N$8:$N$754,$B$8:$B$754,B357,$H$8:$H$754,"Serviço"),IF(H357="ETAPA",SUMIFS($N$8:$N$754,$B$8:$B$754,B357,$C$8:$C$754,C357,$H$8:$H$754,"Serviço"),IF(H357="SUBETAPA",SUMIFS($N$8:$N$754,$B$8:$B$754,B357,$C$8:$C$754,C357,$D$8:$D$754,D357,$H$8:$H$754,"Serviço"),0))))</f>
        <v/>
      </c>
      <c r="O357" s="45" t="n"/>
      <c r="P357" s="46" t="n"/>
      <c r="Q357" s="46" t="n"/>
      <c r="R357" s="47" t="n"/>
      <c r="S357" s="123" t="n"/>
      <c r="T357" s="49" t="n"/>
      <c r="U357" s="49" t="n"/>
    </row>
    <row r="358" outlineLevel="1" ht="13.8" customFormat="1" customHeight="1" s="31">
      <c r="A358" s="217">
        <f>IF($H358="UNIDADE CONSTRUTIVA",OFFSET(A358,-1,0)+1,LARGE(A$3:A357,1))</f>
        <v/>
      </c>
      <c r="B358" s="217">
        <f>IF(H358="UNIDADE CONSTRUTIVA",0,IF(H358="CÉLULA CONSTRUTIVA",OFFSET(B358,-1,0)+1,OFFSET(B358,-1,0)))</f>
        <v/>
      </c>
      <c r="C358" s="217">
        <f>IF(H358="CÉLULA CONSTRUTIVA",0,IF(H358="ETAPA",OFFSET(C358,-1,0)+1,OFFSET(C358,-1,0)))</f>
        <v/>
      </c>
      <c r="D358" s="218">
        <f>IF(H358="ETAPA",0,IF(H358="SUBETAPA",OFFSET(D358,-1,0)+1,OFFSET(D358,-1,0)))</f>
        <v/>
      </c>
      <c r="E358" s="218">
        <f>IF(H358="Subetapa",0,IF(H358="serviço",OFFSET(E358,-1,0)+1,OFFSET(E358,-1,0)))</f>
        <v/>
      </c>
      <c r="G358" s="124" t="n"/>
      <c r="H358" s="42" t="inlineStr">
        <is>
          <t>SUBETAPA</t>
        </is>
      </c>
      <c r="I358" s="43">
        <f>IF(H358="Unidade Construtiva",TEXT(A358,"00"),IF(H358="Célula Construtiva",TEXT(B358,"00"),IF(H358="Etapa",CONCATENATE(TEXT(B358,"00"),".",TEXT(C358,"000")),IF(H358="Subetapa",CONCATENATE(TEXT(B358,"00"),".",TEXT(C358,"000"),".",TEXT(D358,"000")),IF(H358="Serviço",CONCATENATE(TEXT(B358,"00"),".",TEXT(C358,"000"),".",TEXT(D358,"000"),".",TEXT(E358,"000")),"")))))</f>
        <v/>
      </c>
      <c r="J358" s="48" t="inlineStr">
        <is>
          <t>Acessórios e ferragens</t>
        </is>
      </c>
      <c r="K358" s="45" t="n"/>
      <c r="L358" s="46" t="n"/>
      <c r="M358" s="46" t="n"/>
      <c r="N358" s="47">
        <f>IF(H358="Serviço",M358*L358,IF(H358="CÉLULA CONSTRUTIVA",SUMIFS($N$8:$N$754,$B$8:$B$754,B358,$H$8:$H$754,"Serviço"),IF(H358="ETAPA",SUMIFS($N$8:$N$754,$B$8:$B$754,B358,$C$8:$C$754,C358,$H$8:$H$754,"Serviço"),IF(H358="SUBETAPA",SUMIFS($N$8:$N$754,$B$8:$B$754,B358,$C$8:$C$754,C358,$D$8:$D$754,D358,$H$8:$H$754,"Serviço"),0))))</f>
        <v/>
      </c>
      <c r="O358" s="45" t="n"/>
      <c r="P358" s="46" t="n"/>
      <c r="Q358" s="46" t="n"/>
      <c r="R358" s="47" t="n"/>
      <c r="S358" s="123" t="n"/>
      <c r="T358" s="49" t="n"/>
      <c r="U358" s="49" t="n"/>
    </row>
    <row r="359" outlineLevel="2" ht="13.8" customFormat="1" customHeight="1" s="31">
      <c r="A359" s="217">
        <f>IF($H359="UNIDADE CONSTRUTIVA",OFFSET(A359,-1,0)+1,LARGE(A$3:A358,1))</f>
        <v/>
      </c>
      <c r="B359" s="217">
        <f>IF(H359="UNIDADE CONSTRUTIVA",0,IF(H359="CÉLULA CONSTRUTIVA",OFFSET(B359,-1,0)+1,OFFSET(B359,-1,0)))</f>
        <v/>
      </c>
      <c r="C359" s="217">
        <f>IF(H359="CÉLULA CONSTRUTIVA",0,IF(H359="ETAPA",OFFSET(C359,-1,0)+1,OFFSET(C359,-1,0)))</f>
        <v/>
      </c>
      <c r="D359" s="218">
        <f>IF(H359="ETAPA",0,IF(H359="SUBETAPA",OFFSET(D359,-1,0)+1,OFFSET(D359,-1,0)))</f>
        <v/>
      </c>
      <c r="E359" s="218">
        <f>IF(H359="Subetapa",0,IF(H359="serviço",OFFSET(E359,-1,0)+1,OFFSET(E359,-1,0)))</f>
        <v/>
      </c>
      <c r="G359" s="124" t="inlineStr">
        <is>
          <t>ESQUADRIAS, VIDROS E FERRAGENS</t>
        </is>
      </c>
      <c r="H359" s="42" t="inlineStr">
        <is>
          <t>SERVIÇO</t>
        </is>
      </c>
      <c r="I359" s="43">
        <f>IF(H359="Unidade Construtiva",TEXT(A359,"00"),IF(H359="Célula Construtiva",TEXT(B359,"00"),IF(H359="Etapa",CONCATENATE(TEXT(B359,"00"),".",TEXT(C359,"000")),IF(H359="Subetapa",CONCATENATE(TEXT(B359,"00"),".",TEXT(C359,"000"),".",TEXT(D359,"000")),IF(H359="Serviço",CONCATENATE(TEXT(B359,"00"),".",TEXT(C359,"000"),".",TEXT(D359,"000"),".",TEXT(E359,"000")),"")))))</f>
        <v/>
      </c>
      <c r="J359" s="48" t="inlineStr">
        <is>
          <t>Fechadura eletronica</t>
        </is>
      </c>
      <c r="K359" s="45" t="inlineStr">
        <is>
          <t>un</t>
        </is>
      </c>
      <c r="L359" s="46" t="n">
        <v>30</v>
      </c>
      <c r="M359" s="46" t="n">
        <v>1291.64</v>
      </c>
      <c r="N359" s="47">
        <f>IF(H359="Serviço",M359*L359,IF(H359="CÉLULA CONSTRUTIVA",SUMIFS($N$8:$N$754,$B$8:$B$754,B359,$H$8:$H$754,"Serviço"),IF(H359="ETAPA",SUMIFS($N$8:$N$754,$B$8:$B$754,B359,$C$8:$C$754,C359,$H$8:$H$754,"Serviço"),IF(H359="SUBETAPA",SUMIFS($N$8:$N$754,$B$8:$B$754,B359,$C$8:$C$754,C359,$D$8:$D$754,D359,$H$8:$H$754,"Serviço"),0))))</f>
        <v/>
      </c>
      <c r="O359" s="45" t="n"/>
      <c r="P359" s="46" t="n"/>
      <c r="Q359" s="46" t="n"/>
      <c r="R359" s="47" t="n"/>
      <c r="S359" s="123" t="n"/>
      <c r="T359" s="49" t="n"/>
      <c r="U359" s="49" t="n"/>
    </row>
    <row r="360" outlineLevel="1" ht="13.8" customFormat="1" customHeight="1" s="31">
      <c r="A360" s="217">
        <f>IF($H360="UNIDADE CONSTRUTIVA",OFFSET(A360,-1,0)+1,LARGE(A$3:A359,1))</f>
        <v/>
      </c>
      <c r="B360" s="217">
        <f>IF(H360="UNIDADE CONSTRUTIVA",0,IF(H360="CÉLULA CONSTRUTIVA",OFFSET(B360,-1,0)+1,OFFSET(B360,-1,0)))</f>
        <v/>
      </c>
      <c r="C360" s="217">
        <f>IF(H360="CÉLULA CONSTRUTIVA",0,IF(H360="ETAPA",OFFSET(C360,-1,0)+1,OFFSET(C360,-1,0)))</f>
        <v/>
      </c>
      <c r="D360" s="218">
        <f>IF(H360="ETAPA",0,IF(H360="SUBETAPA",OFFSET(D360,-1,0)+1,OFFSET(D360,-1,0)))</f>
        <v/>
      </c>
      <c r="E360" s="218">
        <f>IF(H360="Subetapa",0,IF(H360="serviço",OFFSET(E360,-1,0)+1,OFFSET(E360,-1,0)))</f>
        <v/>
      </c>
      <c r="G360" s="124" t="n"/>
      <c r="H360" s="42" t="inlineStr">
        <is>
          <t>SUBETAPA</t>
        </is>
      </c>
      <c r="I360" s="43">
        <f>IF(H360="Unidade Construtiva",TEXT(A360,"00"),IF(H360="Célula Construtiva",TEXT(B360,"00"),IF(H360="Etapa",CONCATENATE(TEXT(B360,"00"),".",TEXT(C360,"000")),IF(H360="Subetapa",CONCATENATE(TEXT(B360,"00"),".",TEXT(C360,"000"),".",TEXT(D360,"000")),IF(H360="Serviço",CONCATENATE(TEXT(B360,"00"),".",TEXT(C360,"000"),".",TEXT(D360,"000"),".",TEXT(E360,"000")),"")))))</f>
        <v/>
      </c>
      <c r="J360" s="48" t="inlineStr">
        <is>
          <t>Mão de obra</t>
        </is>
      </c>
      <c r="K360" s="45" t="n"/>
      <c r="L360" s="46" t="n"/>
      <c r="M360" s="46" t="n"/>
      <c r="N360" s="47">
        <f>IF(H360="Serviço",M360*L360,IF(H360="CÉLULA CONSTRUTIVA",SUMIFS($N$8:$N$754,$B$8:$B$754,B360,$H$8:$H$754,"Serviço"),IF(H360="ETAPA",SUMIFS($N$8:$N$754,$B$8:$B$754,B360,$C$8:$C$754,C360,$H$8:$H$754,"Serviço"),IF(H360="SUBETAPA",SUMIFS($N$8:$N$754,$B$8:$B$754,B360,$C$8:$C$754,C360,$D$8:$D$754,D360,$H$8:$H$754,"Serviço"),0))))</f>
        <v/>
      </c>
      <c r="O360" s="45" t="n"/>
      <c r="P360" s="46" t="n"/>
      <c r="Q360" s="46" t="n"/>
      <c r="R360" s="216" t="inlineStr">
        <is>
          <t>19.001.005.001 - Mão de obra para telhamento</t>
        </is>
      </c>
      <c r="S360" s="123" t="n"/>
      <c r="T360" s="49" t="n"/>
      <c r="U360" s="49" t="n"/>
    </row>
    <row r="361" outlineLevel="2" ht="13.8" customFormat="1" customHeight="1" s="31">
      <c r="A361" s="217">
        <f>IF($H361="UNIDADE CONSTRUTIVA",OFFSET(A361,-1,0)+1,LARGE(A$3:A360,1))</f>
        <v/>
      </c>
      <c r="B361" s="217">
        <f>IF(H361="UNIDADE CONSTRUTIVA",0,IF(H361="CÉLULA CONSTRUTIVA",OFFSET(B361,-1,0)+1,OFFSET(B361,-1,0)))</f>
        <v/>
      </c>
      <c r="C361" s="217">
        <f>IF(H361="CÉLULA CONSTRUTIVA",0,IF(H361="ETAPA",OFFSET(C361,-1,0)+1,OFFSET(C361,-1,0)))</f>
        <v/>
      </c>
      <c r="D361" s="218">
        <f>IF(H361="ETAPA",0,IF(H361="SUBETAPA",OFFSET(D361,-1,0)+1,OFFSET(D361,-1,0)))</f>
        <v/>
      </c>
      <c r="E361" s="218">
        <f>IF(H361="Subetapa",0,IF(H361="serviço",OFFSET(E361,-1,0)+1,OFFSET(E361,-1,0)))</f>
        <v/>
      </c>
      <c r="G361" s="124" t="inlineStr">
        <is>
          <t>ESQUADRIAS, VIDROS E FERRAGENS</t>
        </is>
      </c>
      <c r="H361" s="42" t="inlineStr">
        <is>
          <t>SERVIÇO</t>
        </is>
      </c>
      <c r="I361" s="43">
        <f>IF(H361="Unidade Construtiva",TEXT(A361,"00"),IF(H361="Célula Construtiva",TEXT(B361,"00"),IF(H361="Etapa",CONCATENATE(TEXT(B361,"00"),".",TEXT(C361,"000")),IF(H361="Subetapa",CONCATENATE(TEXT(B361,"00"),".",TEXT(C361,"000"),".",TEXT(D361,"000")),IF(H361="Serviço",CONCATENATE(TEXT(B361,"00"),".",TEXT(C361,"000"),".",TEXT(D361,"000"),".",TEXT(E361,"000")),"")))))</f>
        <v/>
      </c>
      <c r="J361" s="48" t="inlineStr">
        <is>
          <t>Mão de obra para instalação de portas de madeira</t>
        </is>
      </c>
      <c r="K361" s="45" t="inlineStr">
        <is>
          <t>un</t>
        </is>
      </c>
      <c r="L361" s="46">
        <f>SUM(L353:L357)</f>
        <v/>
      </c>
      <c r="M361" s="46" t="n">
        <v>300</v>
      </c>
      <c r="N361" s="47">
        <f>IF(H361="Serviço",M361*L361,IF(H361="CÉLULA CONSTRUTIVA",SUMIFS($N$8:$N$754,$B$8:$B$754,B361,$H$8:$H$754,"Serviço"),IF(H361="ETAPA",SUMIFS($N$8:$N$754,$B$8:$B$754,B361,$C$8:$C$754,C361,$H$8:$H$754,"Serviço"),IF(H361="SUBETAPA",SUMIFS($N$8:$N$754,$B$8:$B$754,B361,$C$8:$C$754,C361,$D$8:$D$754,D361,$H$8:$H$754,"Serviço"),0))))</f>
        <v/>
      </c>
      <c r="O361" s="45" t="n"/>
      <c r="P361" s="46" t="n"/>
      <c r="Q361" s="46" t="n"/>
      <c r="R361" s="47" t="n"/>
      <c r="S361" s="123" t="n"/>
      <c r="T361" s="49" t="n"/>
      <c r="U361" s="49" t="n"/>
    </row>
    <row r="362" outlineLevel="1" ht="13.8" customFormat="1" customHeight="1" s="31">
      <c r="A362" s="217">
        <f>IF($H362="UNIDADE CONSTRUTIVA",OFFSET(A362,-1,0)+1,LARGE(A$3:A361,1))</f>
        <v/>
      </c>
      <c r="B362" s="217">
        <f>IF(H362="UNIDADE CONSTRUTIVA",0,IF(H362="CÉLULA CONSTRUTIVA",OFFSET(B362,-1,0)+1,OFFSET(B362,-1,0)))</f>
        <v/>
      </c>
      <c r="C362" s="217">
        <f>IF(H362="CÉLULA CONSTRUTIVA",0,IF(H362="ETAPA",OFFSET(C362,-1,0)+1,OFFSET(C362,-1,0)))</f>
        <v/>
      </c>
      <c r="D362" s="218">
        <f>IF(H362="ETAPA",0,IF(H362="SUBETAPA",OFFSET(D362,-1,0)+1,OFFSET(D362,-1,0)))</f>
        <v/>
      </c>
      <c r="E362" s="218">
        <f>IF(H362="Subetapa",0,IF(H362="serviço",OFFSET(E362,-1,0)+1,OFFSET(E362,-1,0)))</f>
        <v/>
      </c>
      <c r="G362" s="124" t="n"/>
      <c r="H362" s="42" t="inlineStr">
        <is>
          <t>ETAPA</t>
        </is>
      </c>
      <c r="I362" s="43">
        <f>IF(H362="Unidade Construtiva",TEXT(A362,"00"),IF(H362="Célula Construtiva",TEXT(B362,"00"),IF(H362="Etapa",CONCATENATE(TEXT(B362,"00"),".",TEXT(C362,"000")),IF(H362="Subetapa",CONCATENATE(TEXT(B362,"00"),".",TEXT(C362,"000"),".",TEXT(D362,"000")),IF(H362="Serviço",CONCATENATE(TEXT(B362,"00"),".",TEXT(C362,"000"),".",TEXT(D362,"000"),".",TEXT(E362,"000")),"")))))</f>
        <v/>
      </c>
      <c r="J362" s="48" t="inlineStr">
        <is>
          <t>ESQUADRIAS METÁLICAS</t>
        </is>
      </c>
      <c r="K362" s="45" t="n"/>
      <c r="L362" s="46" t="n"/>
      <c r="M362" s="46" t="n"/>
      <c r="N362" s="47">
        <f>IF(H362="Serviço",M362*L362,IF(H362="CÉLULA CONSTRUTIVA",SUMIFS($N$8:$N$754,$B$8:$B$754,B362,$H$8:$H$754,"Serviço"),IF(H362="ETAPA",SUMIFS($N$8:$N$754,$B$8:$B$754,B362,$C$8:$C$754,C362,$H$8:$H$754,"Serviço"),IF(H362="SUBETAPA",SUMIFS($N$8:$N$754,$B$8:$B$754,B362,$C$8:$C$754,C362,$D$8:$D$754,D362,$H$8:$H$754,"Serviço"),0))))</f>
        <v/>
      </c>
      <c r="O362" s="45" t="n"/>
      <c r="P362" s="46" t="n"/>
      <c r="Q362" s="46" t="n"/>
      <c r="R362" s="47" t="n"/>
      <c r="S362" s="123" t="n"/>
      <c r="T362" s="49" t="n"/>
      <c r="U362" s="49" t="n"/>
    </row>
    <row r="363" outlineLevel="1" ht="13.8" customFormat="1" customHeight="1" s="31">
      <c r="A363" s="217">
        <f>IF($H363="UNIDADE CONSTRUTIVA",OFFSET(A363,-1,0)+1,LARGE(A$3:A362,1))</f>
        <v/>
      </c>
      <c r="B363" s="217">
        <f>IF(H363="UNIDADE CONSTRUTIVA",0,IF(H363="CÉLULA CONSTRUTIVA",OFFSET(B363,-1,0)+1,OFFSET(B363,-1,0)))</f>
        <v/>
      </c>
      <c r="C363" s="217">
        <f>IF(H363="CÉLULA CONSTRUTIVA",0,IF(H363="ETAPA",OFFSET(C363,-1,0)+1,OFFSET(C363,-1,0)))</f>
        <v/>
      </c>
      <c r="D363" s="218">
        <f>IF(H363="ETAPA",0,IF(H363="SUBETAPA",OFFSET(D363,-1,0)+1,OFFSET(D363,-1,0)))</f>
        <v/>
      </c>
      <c r="E363" s="218">
        <f>IF(H363="Subetapa",0,IF(H363="serviço",OFFSET(E363,-1,0)+1,OFFSET(E363,-1,0)))</f>
        <v/>
      </c>
      <c r="G363" s="124" t="n"/>
      <c r="H363" s="42" t="inlineStr">
        <is>
          <t>SUBETAPA</t>
        </is>
      </c>
      <c r="I363" s="43">
        <f>IF(H363="Unidade Construtiva",TEXT(A363,"00"),IF(H363="Célula Construtiva",TEXT(B363,"00"),IF(H363="Etapa",CONCATENATE(TEXT(B363,"00"),".",TEXT(C363,"000")),IF(H363="Subetapa",CONCATENATE(TEXT(B363,"00"),".",TEXT(C363,"000"),".",TEXT(D363,"000")),IF(H363="Serviço",CONCATENATE(TEXT(B363,"00"),".",TEXT(C363,"000"),".",TEXT(D363,"000"),".",TEXT(E363,"000")),"")))))</f>
        <v/>
      </c>
      <c r="J363" s="48" t="inlineStr">
        <is>
          <t>Esquadrias metálicas</t>
        </is>
      </c>
      <c r="K363" s="45" t="n"/>
      <c r="L363" s="46" t="n"/>
      <c r="M363" s="46" t="n"/>
      <c r="N363" s="47">
        <f>IF(H363="Serviço",M363*L363,IF(H363="CÉLULA CONSTRUTIVA",SUMIFS($N$8:$N$754,$B$8:$B$754,B363,$H$8:$H$754,"Serviço"),IF(H363="ETAPA",SUMIFS($N$8:$N$754,$B$8:$B$754,B363,$C$8:$C$754,C363,$H$8:$H$754,"Serviço"),IF(H363="SUBETAPA",SUMIFS($N$8:$N$754,$B$8:$B$754,B363,$C$8:$C$754,C363,$D$8:$D$754,D363,$H$8:$H$754,"Serviço"),0))))</f>
        <v/>
      </c>
      <c r="O363" s="45" t="n"/>
      <c r="P363" s="46" t="n"/>
      <c r="Q363" s="46" t="n"/>
      <c r="R363" s="216" t="inlineStr">
        <is>
          <t>01.01.001.0002.0008 - Projeto de estrutura metálica</t>
        </is>
      </c>
      <c r="S363" s="123" t="n"/>
      <c r="T363" s="49" t="n"/>
      <c r="U363" s="49" t="n"/>
    </row>
    <row r="364" outlineLevel="2" ht="13.8" customFormat="1" customHeight="1" s="31">
      <c r="A364" s="217">
        <f>IF($H364="UNIDADE CONSTRUTIVA",OFFSET(A364,-1,0)+1,LARGE(A$3:A363,1))</f>
        <v/>
      </c>
      <c r="B364" s="217">
        <f>IF(H364="UNIDADE CONSTRUTIVA",0,IF(H364="CÉLULA CONSTRUTIVA",OFFSET(B364,-1,0)+1,OFFSET(B364,-1,0)))</f>
        <v/>
      </c>
      <c r="C364" s="217">
        <f>IF(H364="CÉLULA CONSTRUTIVA",0,IF(H364="ETAPA",OFFSET(C364,-1,0)+1,OFFSET(C364,-1,0)))</f>
        <v/>
      </c>
      <c r="D364" s="218">
        <f>IF(H364="ETAPA",0,IF(H364="SUBETAPA",OFFSET(D364,-1,0)+1,OFFSET(D364,-1,0)))</f>
        <v/>
      </c>
      <c r="E364" s="218">
        <f>IF(H364="Subetapa",0,IF(H364="serviço",OFFSET(E364,-1,0)+1,OFFSET(E364,-1,0)))</f>
        <v/>
      </c>
      <c r="G364" s="124" t="inlineStr">
        <is>
          <t>ESQUADRIAS, VIDROS E FERRAGENS</t>
        </is>
      </c>
      <c r="H364" s="42" t="inlineStr">
        <is>
          <t>SERVIÇO</t>
        </is>
      </c>
      <c r="I364" s="43">
        <f>IF(H364="Unidade Construtiva",TEXT(A364,"00"),IF(H364="Célula Construtiva",TEXT(B364,"00"),IF(H364="Etapa",CONCATENATE(TEXT(B364,"00"),".",TEXT(C364,"000")),IF(H364="Subetapa",CONCATENATE(TEXT(B364,"00"),".",TEXT(C364,"000"),".",TEXT(D364,"000")),IF(H364="Serviço",CONCATENATE(TEXT(B364,"00"),".",TEXT(C364,"000"),".",TEXT(D364,"000"),".",TEXT(E364,"000")),"")))))</f>
        <v/>
      </c>
      <c r="J364" s="48" t="inlineStr">
        <is>
          <t>Contramarco de aço galvanizado Fixados com Argamassa</t>
        </is>
      </c>
      <c r="K364" s="45" t="inlineStr">
        <is>
          <t>m</t>
        </is>
      </c>
      <c r="L364" s="46" t="n">
        <v>223.4</v>
      </c>
      <c r="M364" s="46" t="n">
        <v>66.84999999999999</v>
      </c>
      <c r="N364" s="47">
        <f>IF(H364="Serviço",M364*L364,IF(H364="CÉLULA CONSTRUTIVA",SUMIFS($N$8:$N$754,$B$8:$B$754,B364,$H$8:$H$754,"Serviço"),IF(H364="ETAPA",SUMIFS($N$8:$N$754,$B$8:$B$754,B364,$C$8:$C$754,C364,$H$8:$H$754,"Serviço"),IF(H364="SUBETAPA",SUMIFS($N$8:$N$754,$B$8:$B$754,B364,$C$8:$C$754,C364,$D$8:$D$754,D364,$H$8:$H$754,"Serviço"),0))))</f>
        <v/>
      </c>
      <c r="O364" s="45" t="n"/>
      <c r="P364" s="46" t="n"/>
      <c r="Q364" s="46" t="n"/>
      <c r="R364" s="47" t="n"/>
      <c r="S364" s="123" t="n"/>
      <c r="T364" s="49" t="n"/>
      <c r="U364" s="49" t="n"/>
    </row>
    <row r="365" outlineLevel="2" ht="13.8" customFormat="1" customHeight="1" s="31">
      <c r="A365" s="217">
        <f>IF($H365="UNIDADE CONSTRUTIVA",OFFSET(A365,-1,0)+1,LARGE(A$3:A362,1))</f>
        <v/>
      </c>
      <c r="B365" s="217">
        <f>IF(H365="UNIDADE CONSTRUTIVA",0,IF(H365="CÉLULA CONSTRUTIVA",OFFSET(B365,-1,0)+1,OFFSET(B365,-1,0)))</f>
        <v/>
      </c>
      <c r="C365" s="217">
        <f>IF(H365="CÉLULA CONSTRUTIVA",0,IF(H365="ETAPA",OFFSET(C365,-1,0)+1,OFFSET(C365,-1,0)))</f>
        <v/>
      </c>
      <c r="D365" s="218">
        <f>IF(H365="ETAPA",0,IF(H365="SUBETAPA",OFFSET(D365,-1,0)+1,OFFSET(D365,-1,0)))</f>
        <v/>
      </c>
      <c r="E365" s="218">
        <f>IF(H365="Subetapa",0,IF(H365="serviço",OFFSET(E365,-1,0)+1,OFFSET(E365,-1,0)))</f>
        <v/>
      </c>
      <c r="G365" s="124" t="inlineStr">
        <is>
          <t>ESQUADRIAS, VIDROS E FERRAGENS</t>
        </is>
      </c>
      <c r="H365" s="42" t="inlineStr">
        <is>
          <t>SERVIÇO</t>
        </is>
      </c>
      <c r="I365" s="43">
        <f>IF(H365="Unidade Construtiva",TEXT(A365,"00"),IF(H365="Célula Construtiva",TEXT(B365,"00"),IF(H365="Etapa",CONCATENATE(TEXT(B365,"00"),".",TEXT(C365,"000")),IF(H365="Subetapa",CONCATENATE(TEXT(B365,"00"),".",TEXT(C365,"000"),".",TEXT(D365,"000")),IF(H365="Serviço",CONCATENATE(TEXT(B365,"00"),".",TEXT(C365,"000"),".",TEXT(D365,"000"),".",TEXT(E365,"000")),"")))))</f>
        <v/>
      </c>
      <c r="J365" s="48" t="inlineStr">
        <is>
          <t>Brise metálico - fornecimento e instalação</t>
        </is>
      </c>
      <c r="K365" s="45" t="inlineStr">
        <is>
          <t>m2</t>
        </is>
      </c>
      <c r="L365" s="46" t="n">
        <v>149.53</v>
      </c>
      <c r="M365" s="46" t="n">
        <v>1212.962962962963</v>
      </c>
      <c r="N365" s="47">
        <f>IF(H365="Serviço",M365*L365,IF(H365="CÉLULA CONSTRUTIVA",SUMIFS($N$8:$N$754,$B$8:$B$754,B365,$H$8:$H$754,"Serviço"),IF(H365="ETAPA",SUMIFS($N$8:$N$754,$B$8:$B$754,B365,$C$8:$C$754,C365,$H$8:$H$754,"Serviço"),IF(H365="SUBETAPA",SUMIFS($N$8:$N$754,$B$8:$B$754,B365,$C$8:$C$754,C365,$D$8:$D$754,D365,$H$8:$H$754,"Serviço"),0))))</f>
        <v/>
      </c>
      <c r="O365" s="45" t="n"/>
      <c r="P365" s="46" t="n"/>
      <c r="Q365" s="46" t="n"/>
      <c r="R365" s="47" t="n"/>
      <c r="S365" s="123" t="n"/>
      <c r="T365" s="49" t="n"/>
      <c r="U365" s="49" t="n"/>
    </row>
    <row r="366" outlineLevel="2" ht="13.8" customFormat="1" customHeight="1" s="31">
      <c r="A366" s="217">
        <f>IF($H366="UNIDADE CONSTRUTIVA",OFFSET(A366,-1,0)+1,LARGE(A$3:A363,1))</f>
        <v/>
      </c>
      <c r="B366" s="217">
        <f>IF(H366="UNIDADE CONSTRUTIVA",0,IF(H366="CÉLULA CONSTRUTIVA",OFFSET(B366,-1,0)+1,OFFSET(B366,-1,0)))</f>
        <v/>
      </c>
      <c r="C366" s="217">
        <f>IF(H366="CÉLULA CONSTRUTIVA",0,IF(H366="ETAPA",OFFSET(C366,-1,0)+1,OFFSET(C366,-1,0)))</f>
        <v/>
      </c>
      <c r="D366" s="218">
        <f>IF(H366="ETAPA",0,IF(H366="SUBETAPA",OFFSET(D366,-1,0)+1,OFFSET(D366,-1,0)))</f>
        <v/>
      </c>
      <c r="E366" s="218">
        <f>IF(H366="Subetapa",0,IF(H366="serviço",OFFSET(E366,-1,0)+1,OFFSET(E366,-1,0)))</f>
        <v/>
      </c>
      <c r="G366" s="124" t="inlineStr">
        <is>
          <t>ESQUADRIAS, VIDROS E FERRAGENS</t>
        </is>
      </c>
      <c r="H366" s="42" t="inlineStr">
        <is>
          <t>SERVIÇO</t>
        </is>
      </c>
      <c r="I366" s="43">
        <f>IF(H366="Unidade Construtiva",TEXT(A366,"00"),IF(H366="Célula Construtiva",TEXT(B366,"00"),IF(H366="Etapa",CONCATENATE(TEXT(B366,"00"),".",TEXT(C366,"000")),IF(H366="Subetapa",CONCATENATE(TEXT(B366,"00"),".",TEXT(C366,"000"),".",TEXT(D366,"000")),IF(H366="Serviço",CONCATENATE(TEXT(B366,"00"),".",TEXT(C366,"000"),".",TEXT(D366,"000"),".",TEXT(E366,"000")),"")))))</f>
        <v/>
      </c>
      <c r="J366" s="48" t="inlineStr">
        <is>
          <t>Esquadria de tela de aço galvanizado</t>
        </is>
      </c>
      <c r="K366" s="45" t="inlineStr">
        <is>
          <t>m2</t>
        </is>
      </c>
      <c r="L366" s="46" t="n">
        <v>2</v>
      </c>
      <c r="M366" s="46" t="n">
        <v>650</v>
      </c>
      <c r="N366" s="47">
        <f>IF(H366="Serviço",M366*L366,IF(H366="CÉLULA CONSTRUTIVA",SUMIFS($N$8:$N$754,$B$8:$B$754,B366,$H$8:$H$754,"Serviço"),IF(H366="ETAPA",SUMIFS($N$8:$N$754,$B$8:$B$754,B366,$C$8:$C$754,C366,$H$8:$H$754,"Serviço"),IF(H366="SUBETAPA",SUMIFS($N$8:$N$754,$B$8:$B$754,B366,$C$8:$C$754,C366,$D$8:$D$754,D366,$H$8:$H$754,"Serviço"),0))))</f>
        <v/>
      </c>
      <c r="O366" s="45" t="n"/>
      <c r="P366" s="46" t="n"/>
      <c r="Q366" s="46" t="n"/>
      <c r="R366" s="47" t="n"/>
      <c r="S366" s="123" t="n"/>
      <c r="T366" s="49" t="n"/>
      <c r="U366" s="49" t="n"/>
    </row>
    <row r="367" outlineLevel="2" ht="13.8" customFormat="1" customHeight="1" s="31">
      <c r="A367" s="217">
        <f>IF($H367="UNIDADE CONSTRUTIVA",OFFSET(A367,-1,0)+1,LARGE(A$3:A364,1))</f>
        <v/>
      </c>
      <c r="B367" s="217">
        <f>IF(H367="UNIDADE CONSTRUTIVA",0,IF(H367="CÉLULA CONSTRUTIVA",OFFSET(B367,-1,0)+1,OFFSET(B367,-1,0)))</f>
        <v/>
      </c>
      <c r="C367" s="217">
        <f>IF(H367="CÉLULA CONSTRUTIVA",0,IF(H367="ETAPA",OFFSET(C367,-1,0)+1,OFFSET(C367,-1,0)))</f>
        <v/>
      </c>
      <c r="D367" s="218">
        <f>IF(H367="ETAPA",0,IF(H367="SUBETAPA",OFFSET(D367,-1,0)+1,OFFSET(D367,-1,0)))</f>
        <v/>
      </c>
      <c r="E367" s="218">
        <f>IF(H367="Subetapa",0,IF(H367="serviço",OFFSET(E367,-1,0)+1,OFFSET(E367,-1,0)))</f>
        <v/>
      </c>
      <c r="G367" s="124" t="inlineStr">
        <is>
          <t>ESQUADRIAS, VIDROS E FERRAGENS</t>
        </is>
      </c>
      <c r="H367" s="42" t="inlineStr">
        <is>
          <t>SERVIÇO</t>
        </is>
      </c>
      <c r="I367" s="43">
        <f>IF(H367="Unidade Construtiva",TEXT(A367,"00"),IF(H367="Célula Construtiva",TEXT(B367,"00"),IF(H367="Etapa",CONCATENATE(TEXT(B367,"00"),".",TEXT(C367,"000")),IF(H367="Subetapa",CONCATENATE(TEXT(B367,"00"),".",TEXT(C367,"000"),".",TEXT(D367,"000")),IF(H367="Serviço",CONCATENATE(TEXT(B367,"00"),".",TEXT(C367,"000"),".",TEXT(D367,"000"),".",TEXT(E367,"000")),"")))))</f>
        <v/>
      </c>
      <c r="J367" s="48" t="inlineStr">
        <is>
          <t>Porta corta-fogo, 1 folha, 80x210 cm</t>
        </is>
      </c>
      <c r="K367" s="45" t="inlineStr">
        <is>
          <t>un</t>
        </is>
      </c>
      <c r="L367" s="46" t="n">
        <v>39</v>
      </c>
      <c r="M367" s="46" t="n">
        <v>1100</v>
      </c>
      <c r="N367" s="47">
        <f>IF(H367="Serviço",M367*L367,IF(H367="CÉLULA CONSTRUTIVA",SUMIFS($N$8:$N$754,$B$8:$B$754,B367,$H$8:$H$754,"Serviço"),IF(H367="ETAPA",SUMIFS($N$8:$N$754,$B$8:$B$754,B367,$C$8:$C$754,C367,$H$8:$H$754,"Serviço"),IF(H367="SUBETAPA",SUMIFS($N$8:$N$754,$B$8:$B$754,B367,$C$8:$C$754,C367,$D$8:$D$754,D367,$H$8:$H$754,"Serviço"),0))))</f>
        <v/>
      </c>
      <c r="O367" s="45" t="n"/>
      <c r="P367" s="46" t="n"/>
      <c r="Q367" s="46" t="n"/>
      <c r="R367" s="47" t="n"/>
      <c r="S367" s="123" t="n"/>
      <c r="T367" s="49" t="n"/>
      <c r="U367" s="49" t="n"/>
    </row>
    <row r="368" outlineLevel="2" ht="13.8" customFormat="1" customHeight="1" s="31">
      <c r="A368" s="217">
        <f>IF($H368="UNIDADE CONSTRUTIVA",OFFSET(A368,-1,0)+1,LARGE(A$3:A366,1))</f>
        <v/>
      </c>
      <c r="B368" s="217">
        <f>IF(H368="UNIDADE CONSTRUTIVA",0,IF(H368="CÉLULA CONSTRUTIVA",OFFSET(B368,-1,0)+1,OFFSET(B368,-1,0)))</f>
        <v/>
      </c>
      <c r="C368" s="217">
        <f>IF(H368="CÉLULA CONSTRUTIVA",0,IF(H368="ETAPA",OFFSET(C368,-1,0)+1,OFFSET(C368,-1,0)))</f>
        <v/>
      </c>
      <c r="D368" s="218">
        <f>IF(H368="ETAPA",0,IF(H368="SUBETAPA",OFFSET(D368,-1,0)+1,OFFSET(D368,-1,0)))</f>
        <v/>
      </c>
      <c r="E368" s="218">
        <f>IF(H368="Subetapa",0,IF(H368="serviço",OFFSET(E368,-1,0)+1,OFFSET(E368,-1,0)))</f>
        <v/>
      </c>
      <c r="G368" s="124" t="inlineStr">
        <is>
          <t>ESQUADRIAS, VIDROS E FERRAGENS</t>
        </is>
      </c>
      <c r="H368" s="42" t="inlineStr">
        <is>
          <t>SERVIÇO</t>
        </is>
      </c>
      <c r="I368" s="43">
        <f>IF(H368="Unidade Construtiva",TEXT(A368,"00"),IF(H368="Célula Construtiva",TEXT(B368,"00"),IF(H368="Etapa",CONCATENATE(TEXT(B368,"00"),".",TEXT(C368,"000")),IF(H368="Subetapa",CONCATENATE(TEXT(B368,"00"),".",TEXT(C368,"000"),".",TEXT(D368,"000")),IF(H368="Serviço",CONCATENATE(TEXT(B368,"00"),".",TEXT(C368,"000"),".",TEXT(D368,"000"),".",TEXT(E368,"000")),"")))))</f>
        <v/>
      </c>
      <c r="J368" s="48" t="inlineStr">
        <is>
          <t>Porta corta-fogo, 1 folha, 90x210 cm</t>
        </is>
      </c>
      <c r="K368" s="45" t="inlineStr">
        <is>
          <t>un</t>
        </is>
      </c>
      <c r="L368" s="46" t="n">
        <v>4</v>
      </c>
      <c r="M368" s="46" t="n">
        <v>1237.5</v>
      </c>
      <c r="N368" s="47">
        <f>IF(H368="Serviço",M368*L368,IF(H368="CÉLULA CONSTRUTIVA",SUMIFS($N$8:$N$754,$B$8:$B$754,B368,$H$8:$H$754,"Serviço"),IF(H368="ETAPA",SUMIFS($N$8:$N$754,$B$8:$B$754,B368,$C$8:$C$754,C368,$H$8:$H$754,"Serviço"),IF(H368="SUBETAPA",SUMIFS($N$8:$N$754,$B$8:$B$754,B368,$C$8:$C$754,C368,$D$8:$D$754,D368,$H$8:$H$754,"Serviço"),0))))</f>
        <v/>
      </c>
      <c r="O368" s="45" t="n"/>
      <c r="P368" s="46" t="n"/>
      <c r="Q368" s="46" t="n"/>
      <c r="R368" s="47" t="n"/>
      <c r="S368" s="123" t="n"/>
      <c r="T368" s="49" t="n"/>
      <c r="U368" s="49" t="n"/>
    </row>
    <row r="369" outlineLevel="1" ht="13.8" customFormat="1" customHeight="1" s="31">
      <c r="A369" s="217">
        <f>IF($H369="UNIDADE CONSTRUTIVA",OFFSET(A369,-1,0)+1,LARGE(A$3:A364,1))</f>
        <v/>
      </c>
      <c r="B369" s="217">
        <f>IF(H369="UNIDADE CONSTRUTIVA",0,IF(H369="CÉLULA CONSTRUTIVA",OFFSET(B369,-1,0)+1,OFFSET(B369,-1,0)))</f>
        <v/>
      </c>
      <c r="C369" s="217">
        <f>IF(H369="CÉLULA CONSTRUTIVA",0,IF(H369="ETAPA",OFFSET(C369,-1,0)+1,OFFSET(C369,-1,0)))</f>
        <v/>
      </c>
      <c r="D369" s="218">
        <f>IF(H369="ETAPA",0,IF(H369="SUBETAPA",OFFSET(D369,-1,0)+1,OFFSET(D369,-1,0)))</f>
        <v/>
      </c>
      <c r="E369" s="218">
        <f>IF(H369="Subetapa",0,IF(H369="serviço",OFFSET(E369,-1,0)+1,OFFSET(E369,-1,0)))</f>
        <v/>
      </c>
      <c r="G369" s="124" t="n"/>
      <c r="H369" s="42" t="inlineStr">
        <is>
          <t>SUBETAPA</t>
        </is>
      </c>
      <c r="I369" s="43">
        <f>IF(H369="Unidade Construtiva",TEXT(A369,"00"),IF(H369="Célula Construtiva",TEXT(B369,"00"),IF(H369="Etapa",CONCATENATE(TEXT(B369,"00"),".",TEXT(C369,"000")),IF(H369="Subetapa",CONCATENATE(TEXT(B369,"00"),".",TEXT(C369,"000"),".",TEXT(D369,"000")),IF(H369="Serviço",CONCATENATE(TEXT(B369,"00"),".",TEXT(C369,"000"),".",TEXT(D369,"000"),".",TEXT(E369,"000")),"")))))</f>
        <v/>
      </c>
      <c r="J369" s="48" t="inlineStr">
        <is>
          <t>Serralheria</t>
        </is>
      </c>
      <c r="K369" s="45" t="n"/>
      <c r="L369" s="46" t="n"/>
      <c r="M369" s="46" t="n"/>
      <c r="N369" s="47">
        <f>IF(H369="Serviço",M369*L369,IF(H369="CÉLULA CONSTRUTIVA",SUMIFS($N$8:$N$754,$B$8:$B$754,B369,$H$8:$H$754,"Serviço"),IF(H369="ETAPA",SUMIFS($N$8:$N$754,$B$8:$B$754,B369,$C$8:$C$754,C369,$H$8:$H$754,"Serviço"),IF(H369="SUBETAPA",SUMIFS($N$8:$N$754,$B$8:$B$754,B369,$C$8:$C$754,C369,$D$8:$D$754,D369,$H$8:$H$754,"Serviço"),0))))</f>
        <v/>
      </c>
      <c r="O369" s="45" t="n"/>
      <c r="P369" s="46" t="n"/>
      <c r="Q369" s="46" t="n"/>
      <c r="R369" s="47" t="n"/>
      <c r="S369" s="123" t="n"/>
      <c r="T369" s="49" t="n"/>
      <c r="U369" s="49" t="n"/>
    </row>
    <row r="370" outlineLevel="2" ht="13.8" customFormat="1" customHeight="1" s="31">
      <c r="A370" s="217">
        <f>IF($H370="UNIDADE CONSTRUTIVA",OFFSET(A370,-1,0)+1,LARGE(A$3:A369,1))</f>
        <v/>
      </c>
      <c r="B370" s="217">
        <f>IF(H370="UNIDADE CONSTRUTIVA",0,IF(H370="CÉLULA CONSTRUTIVA",OFFSET(B370,-1,0)+1,OFFSET(B370,-1,0)))</f>
        <v/>
      </c>
      <c r="C370" s="217">
        <f>IF(H370="CÉLULA CONSTRUTIVA",0,IF(H370="ETAPA",OFFSET(C370,-1,0)+1,OFFSET(C370,-1,0)))</f>
        <v/>
      </c>
      <c r="D370" s="218">
        <f>IF(H370="ETAPA",0,IF(H370="SUBETAPA",OFFSET(D370,-1,0)+1,OFFSET(D370,-1,0)))</f>
        <v/>
      </c>
      <c r="E370" s="218">
        <f>IF(H370="Subetapa",0,IF(H370="serviço",OFFSET(E370,-1,0)+1,OFFSET(E370,-1,0)))</f>
        <v/>
      </c>
      <c r="G370" s="124" t="inlineStr">
        <is>
          <t>ESQUADRIAS, VIDROS E FERRAGENS</t>
        </is>
      </c>
      <c r="H370" s="42" t="inlineStr">
        <is>
          <t>SERVIÇO</t>
        </is>
      </c>
      <c r="I370" s="43">
        <f>IF(H370="Unidade Construtiva",TEXT(A370,"00"),IF(H370="Célula Construtiva",TEXT(B370,"00"),IF(H370="Etapa",CONCATENATE(TEXT(B370,"00"),".",TEXT(C370,"000")),IF(H370="Subetapa",CONCATENATE(TEXT(B370,"00"),".",TEXT(C370,"000"),".",TEXT(D370,"000")),IF(H370="Serviço",CONCATENATE(TEXT(B370,"00"),".",TEXT(C370,"000"),".",TEXT(D370,"000"),".",TEXT(E370,"000")),"")))))</f>
        <v/>
      </c>
      <c r="J370" s="48" t="inlineStr">
        <is>
          <t>Guarda Corpo metálico (gradil), h=1,00m  - fornecimento e instalação</t>
        </is>
      </c>
      <c r="K370" s="45" t="inlineStr">
        <is>
          <t>m</t>
        </is>
      </c>
      <c r="L370" s="46" t="n">
        <v>254.34</v>
      </c>
      <c r="M370" s="46" t="n">
        <v>600</v>
      </c>
      <c r="N370" s="47">
        <f>IF(H370="Serviço",M370*L370,IF(H370="CÉLULA CONSTRUTIVA",SUMIFS($N$8:$N$754,$B$8:$B$754,B370,$H$8:$H$754,"Serviço"),IF(H370="ETAPA",SUMIFS($N$8:$N$754,$B$8:$B$754,B370,$C$8:$C$754,C370,$H$8:$H$754,"Serviço"),IF(H370="SUBETAPA",SUMIFS($N$8:$N$754,$B$8:$B$754,B370,$C$8:$C$754,C370,$D$8:$D$754,D370,$H$8:$H$754,"Serviço"),0))))</f>
        <v/>
      </c>
      <c r="O370" s="45" t="n"/>
      <c r="P370" s="46" t="n"/>
      <c r="Q370" s="46" t="n"/>
      <c r="R370" s="47" t="n"/>
      <c r="S370" s="123" t="n"/>
      <c r="T370" s="49" t="n"/>
      <c r="U370" s="49" t="n"/>
    </row>
    <row r="371" outlineLevel="2" ht="13.8" customFormat="1" customHeight="1" s="31">
      <c r="A371" s="217">
        <f>IF($H371="UNIDADE CONSTRUTIVA",OFFSET(A371,-1,0)+1,LARGE(A$3:A370,1))</f>
        <v/>
      </c>
      <c r="B371" s="217">
        <f>IF(H371="UNIDADE CONSTRUTIVA",0,IF(H371="CÉLULA CONSTRUTIVA",OFFSET(B371,-1,0)+1,OFFSET(B371,-1,0)))</f>
        <v/>
      </c>
      <c r="C371" s="217">
        <f>IF(H371="CÉLULA CONSTRUTIVA",0,IF(H371="ETAPA",OFFSET(C371,-1,0)+1,OFFSET(C371,-1,0)))</f>
        <v/>
      </c>
      <c r="D371" s="218">
        <f>IF(H371="ETAPA",0,IF(H371="SUBETAPA",OFFSET(D371,-1,0)+1,OFFSET(D371,-1,0)))</f>
        <v/>
      </c>
      <c r="E371" s="218">
        <f>IF(H371="Subetapa",0,IF(H371="serviço",OFFSET(E371,-1,0)+1,OFFSET(E371,-1,0)))</f>
        <v/>
      </c>
      <c r="G371" s="124" t="inlineStr">
        <is>
          <t>ESQUADRIAS, VIDROS E FERRAGENS</t>
        </is>
      </c>
      <c r="H371" s="42" t="inlineStr">
        <is>
          <t>SERVIÇO</t>
        </is>
      </c>
      <c r="I371" s="43">
        <f>IF(H371="Unidade Construtiva",TEXT(A371,"00"),IF(H371="Célula Construtiva",TEXT(B371,"00"),IF(H371="Etapa",CONCATENATE(TEXT(B371,"00"),".",TEXT(C371,"000")),IF(H371="Subetapa",CONCATENATE(TEXT(B371,"00"),".",TEXT(C371,"000"),".",TEXT(D371,"000")),IF(H371="Serviço",CONCATENATE(TEXT(B371,"00"),".",TEXT(C371,"000"),".",TEXT(D371,"000"),".",TEXT(E371,"000")),"")))))</f>
        <v/>
      </c>
      <c r="J371" s="48" t="inlineStr">
        <is>
          <t>Guarda Corpo metálico (gradil), h=0,90m  - fornecimento e instalação</t>
        </is>
      </c>
      <c r="K371" s="45" t="inlineStr">
        <is>
          <t>m</t>
        </is>
      </c>
      <c r="L371" s="46" t="n">
        <v>28.83</v>
      </c>
      <c r="M371" s="46" t="n">
        <v>540</v>
      </c>
      <c r="N371" s="47">
        <f>IF(H371="Serviço",M371*L371,IF(H371="CÉLULA CONSTRUTIVA",SUMIFS($N$8:$N$754,$B$8:$B$754,B371,$H$8:$H$754,"Serviço"),IF(H371="ETAPA",SUMIFS($N$8:$N$754,$B$8:$B$754,B371,$C$8:$C$754,C371,$H$8:$H$754,"Serviço"),IF(H371="SUBETAPA",SUMIFS($N$8:$N$754,$B$8:$B$754,B371,$C$8:$C$754,C371,$D$8:$D$754,D371,$H$8:$H$754,"Serviço"),0))))</f>
        <v/>
      </c>
      <c r="O371" s="45" t="n"/>
      <c r="P371" s="46" t="n"/>
      <c r="Q371" s="46" t="n"/>
      <c r="R371" s="47" t="n"/>
      <c r="S371" s="123" t="n"/>
      <c r="T371" s="49" t="n"/>
      <c r="U371" s="49" t="n"/>
    </row>
    <row r="372" outlineLevel="2" ht="13.8" customFormat="1" customHeight="1" s="31">
      <c r="A372" s="217">
        <f>IF($H372="UNIDADE CONSTRUTIVA",OFFSET(A372,-1,0)+1,LARGE(A$3:A371,1))</f>
        <v/>
      </c>
      <c r="B372" s="217">
        <f>IF(H372="UNIDADE CONSTRUTIVA",0,IF(H372="CÉLULA CONSTRUTIVA",OFFSET(B372,-1,0)+1,OFFSET(B372,-1,0)))</f>
        <v/>
      </c>
      <c r="C372" s="217">
        <f>IF(H372="CÉLULA CONSTRUTIVA",0,IF(H372="ETAPA",OFFSET(C372,-1,0)+1,OFFSET(C372,-1,0)))</f>
        <v/>
      </c>
      <c r="D372" s="218">
        <f>IF(H372="ETAPA",0,IF(H372="SUBETAPA",OFFSET(D372,-1,0)+1,OFFSET(D372,-1,0)))</f>
        <v/>
      </c>
      <c r="E372" s="218">
        <f>IF(H372="Subetapa",0,IF(H372="serviço",OFFSET(E372,-1,0)+1,OFFSET(E372,-1,0)))</f>
        <v/>
      </c>
      <c r="G372" s="124" t="inlineStr">
        <is>
          <t>ESQUADRIAS, VIDROS E FERRAGENS</t>
        </is>
      </c>
      <c r="H372" s="42" t="inlineStr">
        <is>
          <t>SERVIÇO</t>
        </is>
      </c>
      <c r="I372" s="43">
        <f>IF(H372="Unidade Construtiva",TEXT(A372,"00"),IF(H372="Célula Construtiva",TEXT(B372,"00"),IF(H372="Etapa",CONCATENATE(TEXT(B372,"00"),".",TEXT(C372,"000")),IF(H372="Subetapa",CONCATENATE(TEXT(B372,"00"),".",TEXT(C372,"000"),".",TEXT(D372,"000")),IF(H372="Serviço",CONCATENATE(TEXT(B372,"00"),".",TEXT(C372,"000"),".",TEXT(D372,"000"),".",TEXT(E372,"000")),"")))))</f>
        <v/>
      </c>
      <c r="J372" s="48" t="inlineStr">
        <is>
          <t>Escada de marinheiro</t>
        </is>
      </c>
      <c r="K372" s="45" t="inlineStr">
        <is>
          <t>un</t>
        </is>
      </c>
      <c r="L372" s="46" t="n">
        <v>1</v>
      </c>
      <c r="M372" s="46" t="n">
        <v>2405</v>
      </c>
      <c r="N372" s="47">
        <f>IF(H372="Serviço",M372*L372,IF(H372="CÉLULA CONSTRUTIVA",SUMIFS($N$8:$N$754,$B$8:$B$754,B372,$H$8:$H$754,"Serviço"),IF(H372="ETAPA",SUMIFS($N$8:$N$754,$B$8:$B$754,B372,$C$8:$C$754,C372,$H$8:$H$754,"Serviço"),IF(H372="SUBETAPA",SUMIFS($N$8:$N$754,$B$8:$B$754,B372,$C$8:$C$754,C372,$D$8:$D$754,D372,$H$8:$H$754,"Serviço"),0))))</f>
        <v/>
      </c>
      <c r="O372" s="45" t="n"/>
      <c r="P372" s="46" t="n"/>
      <c r="Q372" s="46" t="n"/>
      <c r="R372" s="47" t="n"/>
      <c r="S372" s="123" t="n"/>
      <c r="T372" s="49" t="n"/>
      <c r="U372" s="49" t="n"/>
    </row>
    <row r="373" outlineLevel="1" ht="13.8" customFormat="1" customHeight="1" s="31">
      <c r="A373" s="217">
        <f>IF($H373="UNIDADE CONSTRUTIVA",OFFSET(A373,-1,0)+1,LARGE(A$3:A368,1))</f>
        <v/>
      </c>
      <c r="B373" s="217">
        <f>IF(H373="UNIDADE CONSTRUTIVA",0,IF(H373="CÉLULA CONSTRUTIVA",OFFSET(B373,-1,0)+1,OFFSET(B373,-1,0)))</f>
        <v/>
      </c>
      <c r="C373" s="217">
        <f>IF(H373="CÉLULA CONSTRUTIVA",0,IF(H373="ETAPA",OFFSET(C373,-1,0)+1,OFFSET(C373,-1,0)))</f>
        <v/>
      </c>
      <c r="D373" s="218">
        <f>IF(H373="ETAPA",0,IF(H373="SUBETAPA",OFFSET(D373,-1,0)+1,OFFSET(D373,-1,0)))</f>
        <v/>
      </c>
      <c r="E373" s="218">
        <f>IF(H373="Subetapa",0,IF(H373="serviço",OFFSET(E373,-1,0)+1,OFFSET(E373,-1,0)))</f>
        <v/>
      </c>
      <c r="G373" s="124" t="n"/>
      <c r="H373" s="42" t="inlineStr">
        <is>
          <t>SUBETAPA</t>
        </is>
      </c>
      <c r="I373" s="43">
        <f>IF(H373="Unidade Construtiva",TEXT(A373,"00"),IF(H373="Célula Construtiva",TEXT(B373,"00"),IF(H373="Etapa",CONCATENATE(TEXT(B373,"00"),".",TEXT(C373,"000")),IF(H373="Subetapa",CONCATENATE(TEXT(B373,"00"),".",TEXT(C373,"000"),".",TEXT(D373,"000")),IF(H373="Serviço",CONCATENATE(TEXT(B373,"00"),".",TEXT(C373,"000"),".",TEXT(D373,"000"),".",TEXT(E373,"000")),"")))))</f>
        <v/>
      </c>
      <c r="J373" s="48" t="inlineStr">
        <is>
          <t>Mão de obra</t>
        </is>
      </c>
      <c r="K373" s="45" t="n"/>
      <c r="L373" s="46" t="n"/>
      <c r="M373" s="46" t="n"/>
      <c r="N373" s="47">
        <f>IF(H373="Serviço",M373*L373,IF(H373="CÉLULA CONSTRUTIVA",SUMIFS($N$8:$N$754,$B$8:$B$754,B373,$H$8:$H$754,"Serviço"),IF(H373="ETAPA",SUMIFS($N$8:$N$754,$B$8:$B$754,B373,$C$8:$C$754,C373,$H$8:$H$754,"Serviço"),IF(H373="SUBETAPA",SUMIFS($N$8:$N$754,$B$8:$B$754,B373,$C$8:$C$754,C373,$D$8:$D$754,D373,$H$8:$H$754,"Serviço"),0))))</f>
        <v/>
      </c>
      <c r="O373" s="45" t="n"/>
      <c r="P373" s="46" t="n"/>
      <c r="Q373" s="46" t="n"/>
      <c r="R373" s="216" t="inlineStr">
        <is>
          <t>19.001.005.001 - Mão de obra para telhamento</t>
        </is>
      </c>
      <c r="S373" s="123" t="n"/>
      <c r="T373" s="49" t="n"/>
      <c r="U373" s="49" t="n"/>
    </row>
    <row r="374" outlineLevel="2" ht="13.8" customFormat="1" customHeight="1" s="31">
      <c r="A374" s="217">
        <f>IF($H374="UNIDADE CONSTRUTIVA",OFFSET(A374,-1,0)+1,LARGE(A$3:A373,1))</f>
        <v/>
      </c>
      <c r="B374" s="217">
        <f>IF(H374="UNIDADE CONSTRUTIVA",0,IF(H374="CÉLULA CONSTRUTIVA",OFFSET(B374,-1,0)+1,OFFSET(B374,-1,0)))</f>
        <v/>
      </c>
      <c r="C374" s="217">
        <f>IF(H374="CÉLULA CONSTRUTIVA",0,IF(H374="ETAPA",OFFSET(C374,-1,0)+1,OFFSET(C374,-1,0)))</f>
        <v/>
      </c>
      <c r="D374" s="218">
        <f>IF(H374="ETAPA",0,IF(H374="SUBETAPA",OFFSET(D374,-1,0)+1,OFFSET(D374,-1,0)))</f>
        <v/>
      </c>
      <c r="E374" s="218">
        <f>IF(H374="Subetapa",0,IF(H374="serviço",OFFSET(E374,-1,0)+1,OFFSET(E374,-1,0)))</f>
        <v/>
      </c>
      <c r="G374" s="124" t="inlineStr">
        <is>
          <t>ESQUADRIAS, VIDROS E FERRAGENS</t>
        </is>
      </c>
      <c r="H374" s="42" t="inlineStr">
        <is>
          <t>SERVIÇO</t>
        </is>
      </c>
      <c r="I374" s="43">
        <f>IF(H374="Unidade Construtiva",TEXT(A374,"00"),IF(H374="Célula Construtiva",TEXT(B374,"00"),IF(H374="Etapa",CONCATENATE(TEXT(B374,"00"),".",TEXT(C374,"000")),IF(H374="Subetapa",CONCATENATE(TEXT(B374,"00"),".",TEXT(C374,"000"),".",TEXT(D374,"000")),IF(H374="Serviço",CONCATENATE(TEXT(B374,"00"),".",TEXT(C374,"000"),".",TEXT(D374,"000"),".",TEXT(E374,"000")),"")))))</f>
        <v/>
      </c>
      <c r="J374" s="48" t="inlineStr">
        <is>
          <t>Mão de obra para instalação de portas corta-fogo</t>
        </is>
      </c>
      <c r="K374" s="45" t="inlineStr">
        <is>
          <t>un</t>
        </is>
      </c>
      <c r="L374" s="46">
        <f>L367+L368</f>
        <v/>
      </c>
      <c r="M374" s="46" t="n">
        <v>300</v>
      </c>
      <c r="N374" s="47">
        <f>IF(H374="Serviço",M374*L374,IF(H374="CÉLULA CONSTRUTIVA",SUMIFS($N$8:$N$754,$B$8:$B$754,B374,$H$8:$H$754,"Serviço"),IF(H374="ETAPA",SUMIFS($N$8:$N$754,$B$8:$B$754,B374,$C$8:$C$754,C374,$H$8:$H$754,"Serviço"),IF(H374="SUBETAPA",SUMIFS($N$8:$N$754,$B$8:$B$754,B374,$C$8:$C$754,C374,$D$8:$D$754,D374,$H$8:$H$754,"Serviço"),0))))</f>
        <v/>
      </c>
      <c r="O374" s="45" t="n"/>
      <c r="P374" s="46" t="n"/>
      <c r="Q374" s="46" t="n"/>
      <c r="R374" s="47" t="n"/>
      <c r="S374" s="123" t="n"/>
      <c r="T374" s="49" t="n"/>
      <c r="U374" s="49" t="n"/>
    </row>
    <row r="375" ht="13.5" customFormat="1" customHeight="1" s="143">
      <c r="A375" s="224">
        <f>IF($H375="UNIDADE CONSTRUTIVA",OFFSET(A375,-1,0)+1,LARGE(A$3:A374,1))</f>
        <v/>
      </c>
      <c r="B375" s="224">
        <f>IF(H375="UNIDADE CONSTRUTIVA",0,IF(H375="CÉLULA CONSTRUTIVA",OFFSET(B375,-1,0)+1,OFFSET(B375,-1,0)))</f>
        <v/>
      </c>
      <c r="C375" s="224">
        <f>IF(H375="CÉLULA CONSTRUTIVA",0,IF(H375="ETAPA",OFFSET(C375,-1,0)+1,OFFSET(C375,-1,0)))</f>
        <v/>
      </c>
      <c r="D375" s="225">
        <f>IF(H375="ETAPA",0,IF(H375="SUBETAPA",OFFSET(D375,-1,0)+1,OFFSET(D375,-1,0)))</f>
        <v/>
      </c>
      <c r="E375" s="225">
        <f>IF(H375="Subetapa",0,IF(H375="serviço",OFFSET(E375,-1,0)+1,OFFSET(E375,-1,0)))</f>
        <v/>
      </c>
      <c r="F375" s="191" t="n"/>
      <c r="G375" s="146" t="n"/>
      <c r="H375" s="136" t="inlineStr">
        <is>
          <t>CÉLULA CONSTRUTIVA</t>
        </is>
      </c>
      <c r="I375" s="137">
        <f>IF(H375="Unidade Construtiva",TEXT(A375,"00"),IF(H375="Célula Construtiva",TEXT(B375,"00"),IF(H375="Etapa",CONCATENATE(TEXT(B375,"00"),".",TEXT(C375,"000")),IF(H375="Subetapa",CONCATENATE(TEXT(B375,"00"),".",TEXT(C375,"000"),".",TEXT(D375,"000")),IF(H375="Serviço",CONCATENATE(TEXT(B375,"00"),".",TEXT(C375,"000"),".",TEXT(D375,"000"),".",TEXT(E375,"000")),"")))))</f>
        <v/>
      </c>
      <c r="J375" s="155" t="inlineStr">
        <is>
          <t>LOUÇAS E METAIS</t>
        </is>
      </c>
      <c r="K375" s="139" t="n"/>
      <c r="L375" s="140" t="n"/>
      <c r="M375" s="140" t="n"/>
      <c r="N375" s="141">
        <f>IF(H375="Serviço",M375*L375,IF(H375="CÉLULA CONSTRUTIVA",SUMIFS($N$8:$N$754,$B$8:$B$754,B375,$H$8:$H$754,"Serviço"),IF(H375="ETAPA",SUMIFS($N$8:$N$754,$B$8:$B$754,B375,$C$8:$C$754,C375,$H$8:$H$754,"Serviço"),IF(H375="SUBETAPA",SUMIFS($N$8:$N$754,$B$8:$B$754,B375,$C$8:$C$754,C375,$D$8:$D$754,D375,$H$8:$H$754,"Serviço"),0))))</f>
        <v/>
      </c>
      <c r="O375" s="139" t="n"/>
      <c r="P375" s="140" t="n"/>
      <c r="Q375" s="140" t="n"/>
      <c r="R375" s="141" t="n"/>
      <c r="S375" s="223" t="n"/>
      <c r="T375" s="223" t="n"/>
      <c r="U375" s="142" t="n"/>
      <c r="V375" s="191" t="n"/>
      <c r="W375" s="191" t="n"/>
      <c r="X375" s="191" t="n"/>
      <c r="Y375" s="191" t="n"/>
      <c r="Z375" s="191" t="n"/>
      <c r="AA375" s="191" t="n"/>
      <c r="AB375" s="191" t="n"/>
    </row>
    <row r="376" outlineLevel="1" ht="13.95" customFormat="1" customHeight="1" s="31">
      <c r="A376" s="213">
        <f>IF($H376="UNIDADE CONSTRUTIVA",OFFSET(A376,-1,0)+1,LARGE(A$3:A375,1))</f>
        <v/>
      </c>
      <c r="B376" s="213">
        <f>IF(H376="UNIDADE CONSTRUTIVA",0,IF(H376="CÉLULA CONSTRUTIVA",OFFSET(B376,-1,0)+1,OFFSET(B376,-1,0)))</f>
        <v/>
      </c>
      <c r="C376" s="213">
        <f>IF(H376="CÉLULA CONSTRUTIVA",0,IF(H376="ETAPA",OFFSET(C376,-1,0)+1,OFFSET(C376,-1,0)))</f>
        <v/>
      </c>
      <c r="D376" s="214">
        <f>IF(H376="ETAPA",0,IF(H376="SUBETAPA",OFFSET(D376,-1,0)+1,OFFSET(D376,-1,0)))</f>
        <v/>
      </c>
      <c r="E376" s="214">
        <f>IF(H376="Subetapa",0,IF(H376="serviço",OFFSET(E376,-1,0)+1,OFFSET(E376,-1,0)))</f>
        <v/>
      </c>
      <c r="G376" s="124" t="n"/>
      <c r="H376" s="42" t="inlineStr">
        <is>
          <t>ETAPA</t>
        </is>
      </c>
      <c r="I376" s="43">
        <f>IF(H376="Unidade Construtiva",TEXT(A376,"00"),IF(H376="Célula Construtiva",TEXT(B376,"00"),IF(H376="Etapa",CONCATENATE(TEXT(B376,"00"),".",TEXT(C376,"000")),IF(H376="Subetapa",CONCATENATE(TEXT(B376,"00"),".",TEXT(C376,"000"),".",TEXT(D376,"000")),IF(H376="Serviço",CONCATENATE(TEXT(B376,"00"),".",TEXT(C376,"000"),".",TEXT(D376,"000"),".",TEXT(E376,"000")),"")))))</f>
        <v/>
      </c>
      <c r="J376" s="48" t="inlineStr">
        <is>
          <t>LOUÇAS E METAIS</t>
        </is>
      </c>
      <c r="K376" s="45" t="n"/>
      <c r="L376" s="46" t="n"/>
      <c r="M376" s="46" t="n"/>
      <c r="N376" s="47">
        <f>IF(H376="Serviço",M376*L376,IF(H376="CÉLULA CONSTRUTIVA",SUMIFS($N$8:$N$754,$B$8:$B$754,B376,$H$8:$H$754,"Serviço"),IF(H376="ETAPA",SUMIFS($N$8:$N$754,$B$8:$B$754,B376,$C$8:$C$754,C376,$H$8:$H$754,"Serviço"),IF(H376="SUBETAPA",SUMIFS($N$8:$N$754,$B$8:$B$754,B376,$C$8:$C$754,C376,$D$8:$D$754,D376,$H$8:$H$754,"Serviço"),0))))</f>
        <v/>
      </c>
      <c r="O376" s="45" t="n"/>
      <c r="P376" s="46" t="n"/>
      <c r="Q376" s="46" t="n"/>
      <c r="R376" s="47" t="n"/>
      <c r="S376" s="151" t="n"/>
      <c r="T376" s="49" t="n"/>
      <c r="U376" s="49" t="n"/>
    </row>
    <row r="377" outlineLevel="1" ht="13.95" customFormat="1" customHeight="1" s="31">
      <c r="A377" s="213">
        <f>IF($H377="UNIDADE CONSTRUTIVA",OFFSET(A377,-1,0)+1,LARGE(A$3:A376,1))</f>
        <v/>
      </c>
      <c r="B377" s="213">
        <f>IF(H377="UNIDADE CONSTRUTIVA",0,IF(H377="CÉLULA CONSTRUTIVA",OFFSET(B377,-1,0)+1,OFFSET(B377,-1,0)))</f>
        <v/>
      </c>
      <c r="C377" s="213">
        <f>IF(H377="CÉLULA CONSTRUTIVA",0,IF(H377="ETAPA",OFFSET(C377,-1,0)+1,OFFSET(C377,-1,0)))</f>
        <v/>
      </c>
      <c r="D377" s="214">
        <f>IF(H377="ETAPA",0,IF(H377="SUBETAPA",OFFSET(D377,-1,0)+1,OFFSET(D377,-1,0)))</f>
        <v/>
      </c>
      <c r="E377" s="214">
        <f>IF(H377="Subetapa",0,IF(H377="serviço",OFFSET(E377,-1,0)+1,OFFSET(E377,-1,0)))</f>
        <v/>
      </c>
      <c r="G377" s="124" t="n"/>
      <c r="H377" s="42" t="inlineStr">
        <is>
          <t>SUBETAPA</t>
        </is>
      </c>
      <c r="I377" s="43">
        <f>IF(H377="Unidade Construtiva",TEXT(A377,"00"),IF(H377="Célula Construtiva",TEXT(B377,"00"),IF(H377="Etapa",CONCATENATE(TEXT(B377,"00"),".",TEXT(C377,"000")),IF(H377="Subetapa",CONCATENATE(TEXT(B377,"00"),".",TEXT(C377,"000"),".",TEXT(D377,"000")),IF(H377="Serviço",CONCATENATE(TEXT(B377,"00"),".",TEXT(C377,"000"),".",TEXT(D377,"000"),".",TEXT(E377,"000")),"")))))</f>
        <v/>
      </c>
      <c r="J377" s="48" t="inlineStr">
        <is>
          <t>Louças</t>
        </is>
      </c>
      <c r="K377" s="45" t="n"/>
      <c r="L377" s="46" t="n"/>
      <c r="M377" s="46" t="n"/>
      <c r="N377" s="47">
        <f>IF(H377="Serviço",M377*L377,IF(H377="CÉLULA CONSTRUTIVA",SUMIFS($N$8:$N$754,$B$8:$B$754,B377,$H$8:$H$754,"Serviço"),IF(H377="ETAPA",SUMIFS($N$8:$N$754,$B$8:$B$754,B377,$C$8:$C$754,C377,$H$8:$H$754,"Serviço"),IF(H377="SUBETAPA",SUMIFS($N$8:$N$754,$B$8:$B$754,B377,$C$8:$C$754,C377,$D$8:$D$754,D377,$H$8:$H$754,"Serviço"),0))))</f>
        <v/>
      </c>
      <c r="O377" s="45" t="n"/>
      <c r="P377" s="46" t="n"/>
      <c r="Q377" s="46" t="n"/>
      <c r="R377" s="216" t="inlineStr">
        <is>
          <t>18.001.001.001 - Louças</t>
        </is>
      </c>
      <c r="S377" s="151" t="n"/>
      <c r="T377" s="49" t="n"/>
      <c r="U377" s="49" t="n"/>
    </row>
    <row r="378" outlineLevel="2" ht="13.95" customFormat="1" customHeight="1" s="31">
      <c r="A378" s="213">
        <f>IF($H378="UNIDADE CONSTRUTIVA",OFFSET(A378,-1,0)+1,LARGE(A$3:A377,1))</f>
        <v/>
      </c>
      <c r="B378" s="213">
        <f>IF(H378="UNIDADE CONSTRUTIVA",0,IF(H378="CÉLULA CONSTRUTIVA",OFFSET(B378,-1,0)+1,OFFSET(B378,-1,0)))</f>
        <v/>
      </c>
      <c r="C378" s="213">
        <f>IF(H378="CÉLULA CONSTRUTIVA",0,IF(H378="ETAPA",OFFSET(C378,-1,0)+1,OFFSET(C378,-1,0)))</f>
        <v/>
      </c>
      <c r="D378" s="214">
        <f>IF(H378="ETAPA",0,IF(H378="SUBETAPA",OFFSET(D378,-1,0)+1,OFFSET(D378,-1,0)))</f>
        <v/>
      </c>
      <c r="E378" s="214">
        <f>IF(H378="Subetapa",0,IF(H378="serviço",OFFSET(E378,-1,0)+1,OFFSET(E378,-1,0)))</f>
        <v/>
      </c>
      <c r="G378" s="124" t="inlineStr">
        <is>
          <t>LOUÇAS E METAIS</t>
        </is>
      </c>
      <c r="H378" s="42" t="inlineStr">
        <is>
          <t>SERVIÇO</t>
        </is>
      </c>
      <c r="I378" s="43">
        <f>IF(H378="Unidade Construtiva",TEXT(A378,"00"),IF(H378="Célula Construtiva",TEXT(B378,"00"),IF(H378="Etapa",CONCATENATE(TEXT(B378,"00"),".",TEXT(C378,"000")),IF(H378="Subetapa",CONCATENATE(TEXT(B378,"00"),".",TEXT(C378,"000"),".",TEXT(D378,"000")),IF(H378="Serviço",CONCATENATE(TEXT(B378,"00"),".",TEXT(C378,"000"),".",TEXT(D378,"000"),".",TEXT(E378,"000")),"")))))</f>
        <v/>
      </c>
      <c r="J378" s="48" t="inlineStr">
        <is>
          <t xml:space="preserve">Louças </t>
        </is>
      </c>
      <c r="K378" s="45" t="inlineStr">
        <is>
          <t>vb</t>
        </is>
      </c>
      <c r="L378" s="46" t="n">
        <v>1</v>
      </c>
      <c r="M378" s="46" t="n">
        <v>61015.71719999999</v>
      </c>
      <c r="N378" s="47">
        <f>IF(H378="Serviço",M378*L378,IF(H378="CÉLULA CONSTRUTIVA",SUMIFS($N$8:$N$754,$B$8:$B$754,B378,$H$8:$H$754,"Serviço"),IF(H378="ETAPA",SUMIFS($N$8:$N$754,$B$8:$B$754,B378,$C$8:$C$754,C378,$H$8:$H$754,"Serviço"),IF(H378="SUBETAPA",SUMIFS($N$8:$N$754,$B$8:$B$754,B378,$C$8:$C$754,C378,$D$8:$D$754,D378,$H$8:$H$754,"Serviço"),0))))</f>
        <v/>
      </c>
      <c r="O378" s="45" t="n"/>
      <c r="P378" s="46" t="n"/>
      <c r="Q378" s="46" t="n"/>
      <c r="R378" s="47" t="n"/>
      <c r="S378" s="151" t="n"/>
      <c r="T378" s="49" t="n"/>
      <c r="U378" s="49" t="n"/>
    </row>
    <row r="379" outlineLevel="1" ht="13.95" customFormat="1" customHeight="1" s="31">
      <c r="A379" s="213">
        <f>IF($H379="UNIDADE CONSTRUTIVA",OFFSET(A379,-1,0)+1,LARGE(A$3:A378,1))</f>
        <v/>
      </c>
      <c r="B379" s="213">
        <f>IF(H379="UNIDADE CONSTRUTIVA",0,IF(H379="CÉLULA CONSTRUTIVA",OFFSET(B379,-1,0)+1,OFFSET(B379,-1,0)))</f>
        <v/>
      </c>
      <c r="C379" s="213">
        <f>IF(H379="CÉLULA CONSTRUTIVA",0,IF(H379="ETAPA",OFFSET(C379,-1,0)+1,OFFSET(C379,-1,0)))</f>
        <v/>
      </c>
      <c r="D379" s="214">
        <f>IF(H379="ETAPA",0,IF(H379="SUBETAPA",OFFSET(D379,-1,0)+1,OFFSET(D379,-1,0)))</f>
        <v/>
      </c>
      <c r="E379" s="214">
        <f>IF(H379="Subetapa",0,IF(H379="serviço",OFFSET(E379,-1,0)+1,OFFSET(E379,-1,0)))</f>
        <v/>
      </c>
      <c r="G379" s="124" t="n"/>
      <c r="H379" s="42" t="inlineStr">
        <is>
          <t>SUBETAPA</t>
        </is>
      </c>
      <c r="I379" s="43">
        <f>IF(H379="Unidade Construtiva",TEXT(A379,"00"),IF(H379="Célula Construtiva",TEXT(B379,"00"),IF(H379="Etapa",CONCATENATE(TEXT(B379,"00"),".",TEXT(C379,"000")),IF(H379="Subetapa",CONCATENATE(TEXT(B379,"00"),".",TEXT(C379,"000"),".",TEXT(D379,"000")),IF(H379="Serviço",CONCATENATE(TEXT(B379,"00"),".",TEXT(C379,"000"),".",TEXT(D379,"000"),".",TEXT(E379,"000")),"")))))</f>
        <v/>
      </c>
      <c r="J379" s="48" t="inlineStr">
        <is>
          <t>Metais e acessórios</t>
        </is>
      </c>
      <c r="K379" s="45" t="n"/>
      <c r="L379" s="46" t="n"/>
      <c r="M379" s="46" t="n"/>
      <c r="N379" s="47">
        <f>IF(H379="Serviço",M379*L379,IF(H379="CÉLULA CONSTRUTIVA",SUMIFS($N$8:$N$754,$B$8:$B$754,B379,$H$8:$H$754,"Serviço"),IF(H379="ETAPA",SUMIFS($N$8:$N$754,$B$8:$B$754,B379,$C$8:$C$754,C379,$H$8:$H$754,"Serviço"),IF(H379="SUBETAPA",SUMIFS($N$8:$N$754,$B$8:$B$754,B379,$C$8:$C$754,C379,$D$8:$D$754,D379,$H$8:$H$754,"Serviço"),0))))</f>
        <v/>
      </c>
      <c r="O379" s="45" t="n"/>
      <c r="P379" s="46" t="n"/>
      <c r="Q379" s="46" t="n"/>
      <c r="R379" s="216" t="inlineStr">
        <is>
          <t>18.001.002.001 - Metais e acessórios</t>
        </is>
      </c>
      <c r="S379" s="151" t="n"/>
      <c r="T379" s="49" t="n"/>
      <c r="U379" s="49" t="n"/>
    </row>
    <row r="380" outlineLevel="2" ht="13.95" customFormat="1" customHeight="1" s="31">
      <c r="A380" s="213">
        <f>IF($H380="UNIDADE CONSTRUTIVA",OFFSET(A380,-1,0)+1,LARGE(A$3:A379,1))</f>
        <v/>
      </c>
      <c r="B380" s="213">
        <f>IF(H380="UNIDADE CONSTRUTIVA",0,IF(H380="CÉLULA CONSTRUTIVA",OFFSET(B380,-1,0)+1,OFFSET(B380,-1,0)))</f>
        <v/>
      </c>
      <c r="C380" s="213">
        <f>IF(H380="CÉLULA CONSTRUTIVA",0,IF(H380="ETAPA",OFFSET(C380,-1,0)+1,OFFSET(C380,-1,0)))</f>
        <v/>
      </c>
      <c r="D380" s="214">
        <f>IF(H380="ETAPA",0,IF(H380="SUBETAPA",OFFSET(D380,-1,0)+1,OFFSET(D380,-1,0)))</f>
        <v/>
      </c>
      <c r="E380" s="214">
        <f>IF(H380="Subetapa",0,IF(H380="serviço",OFFSET(E380,-1,0)+1,OFFSET(E380,-1,0)))</f>
        <v/>
      </c>
      <c r="G380" s="124" t="inlineStr">
        <is>
          <t>LOUÇAS E METAIS</t>
        </is>
      </c>
      <c r="H380" s="42" t="inlineStr">
        <is>
          <t>SERVIÇO</t>
        </is>
      </c>
      <c r="I380" s="43">
        <f>IF(H380="Unidade Construtiva",TEXT(A380,"00"),IF(H380="Célula Construtiva",TEXT(B380,"00"),IF(H380="Etapa",CONCATENATE(TEXT(B380,"00"),".",TEXT(C380,"000")),IF(H380="Subetapa",CONCATENATE(TEXT(B380,"00"),".",TEXT(C380,"000"),".",TEXT(D380,"000")),IF(H380="Serviço",CONCATENATE(TEXT(B380,"00"),".",TEXT(C380,"000"),".",TEXT(D380,"000"),".",TEXT(E380,"000")),"")))))</f>
        <v/>
      </c>
      <c r="J380" s="48" t="inlineStr">
        <is>
          <t>Acabamentos e acessórios</t>
        </is>
      </c>
      <c r="K380" s="45" t="inlineStr">
        <is>
          <t>vb</t>
        </is>
      </c>
      <c r="L380" s="46" t="n">
        <v>1</v>
      </c>
      <c r="M380" s="46" t="n">
        <v>79066.64999999999</v>
      </c>
      <c r="N380" s="47">
        <f>IF(H380="Serviço",M380*L380,IF(H380="CÉLULA CONSTRUTIVA",SUMIFS($N$8:$N$754,$B$8:$B$754,B380,$H$8:$H$754,"Serviço"),IF(H380="ETAPA",SUMIFS($N$8:$N$754,$B$8:$B$754,B380,$C$8:$C$754,C380,$H$8:$H$754,"Serviço"),IF(H380="SUBETAPA",SUMIFS($N$8:$N$754,$B$8:$B$754,B380,$C$8:$C$754,C380,$D$8:$D$754,D380,$H$8:$H$754,"Serviço"),0))))</f>
        <v/>
      </c>
      <c r="O380" s="45" t="n"/>
      <c r="P380" s="46" t="n"/>
      <c r="Q380" s="46" t="n"/>
      <c r="R380" s="47" t="n"/>
      <c r="S380" s="151" t="n"/>
      <c r="T380" s="49" t="n"/>
      <c r="U380" s="49" t="n"/>
    </row>
    <row r="381" outlineLevel="1" ht="13.95" customFormat="1" customHeight="1" s="31">
      <c r="A381" s="213">
        <f>IF($H381="UNIDADE CONSTRUTIVA",OFFSET(A381,-1,0)+1,LARGE(A$3:A380,1))</f>
        <v/>
      </c>
      <c r="B381" s="213">
        <f>IF(H381="UNIDADE CONSTRUTIVA",0,IF(H381="CÉLULA CONSTRUTIVA",OFFSET(B381,-1,0)+1,OFFSET(B381,-1,0)))</f>
        <v/>
      </c>
      <c r="C381" s="213">
        <f>IF(H381="CÉLULA CONSTRUTIVA",0,IF(H381="ETAPA",OFFSET(C381,-1,0)+1,OFFSET(C381,-1,0)))</f>
        <v/>
      </c>
      <c r="D381" s="214">
        <f>IF(H381="ETAPA",0,IF(H381="SUBETAPA",OFFSET(D381,-1,0)+1,OFFSET(D381,-1,0)))</f>
        <v/>
      </c>
      <c r="E381" s="214">
        <f>IF(H381="Subetapa",0,IF(H381="serviço",OFFSET(E381,-1,0)+1,OFFSET(E381,-1,0)))</f>
        <v/>
      </c>
      <c r="G381" s="124" t="n"/>
      <c r="H381" s="42" t="inlineStr">
        <is>
          <t>SUBETAPA</t>
        </is>
      </c>
      <c r="I381" s="43">
        <f>IF(H381="Unidade Construtiva",TEXT(A381,"00"),IF(H381="Célula Construtiva",TEXT(B381,"00"),IF(H381="Etapa",CONCATENATE(TEXT(B381,"00"),".",TEXT(C381,"000")),IF(H381="Subetapa",CONCATENATE(TEXT(B381,"00"),".",TEXT(C381,"000"),".",TEXT(D381,"000")),IF(H381="Serviço",CONCATENATE(TEXT(B381,"00"),".",TEXT(C381,"000"),".",TEXT(D381,"000"),".",TEXT(E381,"000")),"")))))</f>
        <v/>
      </c>
      <c r="J381" s="48" t="inlineStr">
        <is>
          <t>Bancadas, pias e divisórias</t>
        </is>
      </c>
      <c r="K381" s="45" t="n"/>
      <c r="L381" s="46" t="n"/>
      <c r="M381" s="46" t="n"/>
      <c r="N381" s="47">
        <f>IF(H381="Serviço",M381*L381,IF(H381="CÉLULA CONSTRUTIVA",SUMIFS($N$8:$N$754,$B$8:$B$754,B381,$H$8:$H$754,"Serviço"),IF(H381="ETAPA",SUMIFS($N$8:$N$754,$B$8:$B$754,B381,$C$8:$C$754,C381,$H$8:$H$754,"Serviço"),IF(H381="SUBETAPA",SUMIFS($N$8:$N$754,$B$8:$B$754,B381,$C$8:$C$754,C381,$D$8:$D$754,D381,$H$8:$H$754,"Serviço"),0))))</f>
        <v/>
      </c>
      <c r="O381" s="45" t="n"/>
      <c r="P381" s="46" t="n"/>
      <c r="Q381" s="46" t="n"/>
      <c r="R381" s="216" t="inlineStr">
        <is>
          <t>07.001.006.001 - Luminárias, lâmpadas e acessórios</t>
        </is>
      </c>
      <c r="S381" s="151" t="n"/>
      <c r="T381" s="49" t="n"/>
      <c r="U381" s="49" t="n"/>
    </row>
    <row r="382" outlineLevel="2" ht="13.95" customFormat="1" customHeight="1" s="31">
      <c r="A382" s="213">
        <f>IF($H382="UNIDADE CONSTRUTIVA",OFFSET(A382,-1,0)+1,LARGE(A$3:A381,1))</f>
        <v/>
      </c>
      <c r="B382" s="213">
        <f>IF(H382="UNIDADE CONSTRUTIVA",0,IF(H382="CÉLULA CONSTRUTIVA",OFFSET(B382,-1,0)+1,OFFSET(B382,-1,0)))</f>
        <v/>
      </c>
      <c r="C382" s="213">
        <f>IF(H382="CÉLULA CONSTRUTIVA",0,IF(H382="ETAPA",OFFSET(C382,-1,0)+1,OFFSET(C382,-1,0)))</f>
        <v/>
      </c>
      <c r="D382" s="214">
        <f>IF(H382="ETAPA",0,IF(H382="SUBETAPA",OFFSET(D382,-1,0)+1,OFFSET(D382,-1,0)))</f>
        <v/>
      </c>
      <c r="E382" s="214">
        <f>IF(H382="Subetapa",0,IF(H382="serviço",OFFSET(E382,-1,0)+1,OFFSET(E382,-1,0)))</f>
        <v/>
      </c>
      <c r="G382" s="124" t="inlineStr">
        <is>
          <t>LOUÇAS E METAIS</t>
        </is>
      </c>
      <c r="H382" s="42" t="inlineStr">
        <is>
          <t>SERVIÇO</t>
        </is>
      </c>
      <c r="I382" s="43">
        <f>IF(H382="Unidade Construtiva",TEXT(A382,"00"),IF(H382="Célula Construtiva",TEXT(B382,"00"),IF(H382="Etapa",CONCATENATE(TEXT(B382,"00"),".",TEXT(C382,"000")),IF(H382="Subetapa",CONCATENATE(TEXT(B382,"00"),".",TEXT(C382,"000"),".",TEXT(D382,"000")),IF(H382="Serviço",CONCATENATE(TEXT(B382,"00"),".",TEXT(C382,"000"),".",TEXT(D382,"000"),".",TEXT(E382,"000")),"")))))</f>
        <v/>
      </c>
      <c r="J382" s="48" t="inlineStr">
        <is>
          <t>Bancadas de granito</t>
        </is>
      </c>
      <c r="K382" s="45" t="inlineStr">
        <is>
          <t>vb</t>
        </is>
      </c>
      <c r="L382" s="46" t="n">
        <v>1</v>
      </c>
      <c r="M382" s="46" t="n">
        <v>24628.8</v>
      </c>
      <c r="N382" s="47">
        <f>IF(H382="Serviço",M382*L382,IF(H382="CÉLULA CONSTRUTIVA",SUMIFS($N$8:$N$754,$B$8:$B$754,B382,$H$8:$H$754,"Serviço"),IF(H382="ETAPA",SUMIFS($N$8:$N$754,$B$8:$B$754,B382,$C$8:$C$754,C382,$H$8:$H$754,"Serviço"),IF(H382="SUBETAPA",SUMIFS($N$8:$N$754,$B$8:$B$754,B382,$C$8:$C$754,C382,$D$8:$D$754,D382,$H$8:$H$754,"Serviço"),0))))</f>
        <v/>
      </c>
      <c r="O382" s="45" t="n"/>
      <c r="P382" s="46" t="n"/>
      <c r="Q382" s="46" t="n"/>
      <c r="R382" s="47" t="n"/>
      <c r="S382" s="151" t="n"/>
      <c r="T382" s="49" t="n"/>
      <c r="U382" s="49" t="n"/>
    </row>
    <row r="383" outlineLevel="1" ht="13.95" customFormat="1" customHeight="1" s="31">
      <c r="A383" s="213">
        <f>IF($H383="UNIDADE CONSTRUTIVA",OFFSET(A383,-1,0)+1,LARGE(A$3:A382,1))</f>
        <v/>
      </c>
      <c r="B383" s="213">
        <f>IF(H383="UNIDADE CONSTRUTIVA",0,IF(H383="CÉLULA CONSTRUTIVA",OFFSET(B383,-1,0)+1,OFFSET(B383,-1,0)))</f>
        <v/>
      </c>
      <c r="C383" s="213">
        <f>IF(H383="CÉLULA CONSTRUTIVA",0,IF(H383="ETAPA",OFFSET(C383,-1,0)+1,OFFSET(C383,-1,0)))</f>
        <v/>
      </c>
      <c r="D383" s="214">
        <f>IF(H383="ETAPA",0,IF(H383="SUBETAPA",OFFSET(D383,-1,0)+1,OFFSET(D383,-1,0)))</f>
        <v/>
      </c>
      <c r="E383" s="214">
        <f>IF(H383="Subetapa",0,IF(H383="serviço",OFFSET(E383,-1,0)+1,OFFSET(E383,-1,0)))</f>
        <v/>
      </c>
      <c r="G383" s="124" t="n"/>
      <c r="H383" s="42" t="inlineStr">
        <is>
          <t>SUBETAPA</t>
        </is>
      </c>
      <c r="I383" s="43">
        <f>IF(H383="Unidade Construtiva",TEXT(A383,"00"),IF(H383="Célula Construtiva",TEXT(B383,"00"),IF(H383="Etapa",CONCATENATE(TEXT(B383,"00"),".",TEXT(C383,"000")),IF(H383="Subetapa",CONCATENATE(TEXT(B383,"00"),".",TEXT(C383,"000"),".",TEXT(D383,"000")),IF(H383="Serviço",CONCATENATE(TEXT(B383,"00"),".",TEXT(C383,"000"),".",TEXT(D383,"000"),".",TEXT(E383,"000")),"")))))</f>
        <v/>
      </c>
      <c r="J383" s="48" t="inlineStr">
        <is>
          <t>Mão de obra</t>
        </is>
      </c>
      <c r="K383" s="45" t="n"/>
      <c r="L383" s="46" t="n"/>
      <c r="M383" s="46" t="n"/>
      <c r="N383" s="47">
        <f>IF(H383="Serviço",M383*L383,IF(H383="CÉLULA CONSTRUTIVA",SUMIFS($N$8:$N$754,$B$8:$B$754,B383,$H$8:$H$754,"Serviço"),IF(H383="ETAPA",SUMIFS($N$8:$N$754,$B$8:$B$754,B383,$C$8:$C$754,C383,$H$8:$H$754,"Serviço"),IF(H383="SUBETAPA",SUMIFS($N$8:$N$754,$B$8:$B$754,B383,$C$8:$C$754,C383,$D$8:$D$754,D383,$H$8:$H$754,"Serviço"),0))))</f>
        <v/>
      </c>
      <c r="O383" s="45" t="n"/>
      <c r="P383" s="46" t="n"/>
      <c r="Q383" s="46" t="n"/>
      <c r="R383" s="216" t="inlineStr">
        <is>
          <t>19.001.005.001 - Mão de obra para telhamento</t>
        </is>
      </c>
      <c r="S383" s="151" t="n"/>
      <c r="T383" s="49" t="n"/>
      <c r="U383" s="49" t="n"/>
    </row>
    <row r="384" outlineLevel="2" ht="13.95" customFormat="1" customHeight="1" s="31">
      <c r="A384" s="213">
        <f>IF($H384="UNIDADE CONSTRUTIVA",OFFSET(A384,-1,0)+1,LARGE(A$3:A383,1))</f>
        <v/>
      </c>
      <c r="B384" s="213">
        <f>IF(H384="UNIDADE CONSTRUTIVA",0,IF(H384="CÉLULA CONSTRUTIVA",OFFSET(B384,-1,0)+1,OFFSET(B384,-1,0)))</f>
        <v/>
      </c>
      <c r="C384" s="213">
        <f>IF(H384="CÉLULA CONSTRUTIVA",0,IF(H384="ETAPA",OFFSET(C384,-1,0)+1,OFFSET(C384,-1,0)))</f>
        <v/>
      </c>
      <c r="D384" s="214">
        <f>IF(H384="ETAPA",0,IF(H384="SUBETAPA",OFFSET(D384,-1,0)+1,OFFSET(D384,-1,0)))</f>
        <v/>
      </c>
      <c r="E384" s="214">
        <f>IF(H384="Subetapa",0,IF(H384="serviço",OFFSET(E384,-1,0)+1,OFFSET(E384,-1,0)))</f>
        <v/>
      </c>
      <c r="G384" s="124" t="inlineStr">
        <is>
          <t>LOUÇAS E METAIS</t>
        </is>
      </c>
      <c r="H384" s="42" t="inlineStr">
        <is>
          <t>SERVIÇO</t>
        </is>
      </c>
      <c r="I384" s="43">
        <f>IF(H384="Unidade Construtiva",TEXT(A384,"00"),IF(H384="Célula Construtiva",TEXT(B384,"00"),IF(H384="Etapa",CONCATENATE(TEXT(B384,"00"),".",TEXT(C384,"000")),IF(H384="Subetapa",CONCATENATE(TEXT(B384,"00"),".",TEXT(C384,"000"),".",TEXT(D384,"000")),IF(H384="Serviço",CONCATENATE(TEXT(B384,"00"),".",TEXT(C384,"000"),".",TEXT(D384,"000"),".",TEXT(E384,"000")),"")))))</f>
        <v/>
      </c>
      <c r="J384" s="48" t="inlineStr">
        <is>
          <t>Instalação de louças e metais sanitários</t>
        </is>
      </c>
      <c r="K384" s="45" t="inlineStr">
        <is>
          <t>vb</t>
        </is>
      </c>
      <c r="L384" s="46" t="n">
        <v>1</v>
      </c>
      <c r="M384" s="46" t="n">
        <v>31351.98</v>
      </c>
      <c r="N384" s="47">
        <f>IF(H384="Serviço",M384*L384,IF(H384="CÉLULA CONSTRUTIVA",SUMIFS($N$8:$N$754,$B$8:$B$754,B384,$H$8:$H$754,"Serviço"),IF(H384="ETAPA",SUMIFS($N$8:$N$754,$B$8:$B$754,B384,$C$8:$C$754,C384,$H$8:$H$754,"Serviço"),IF(H384="SUBETAPA",SUMIFS($N$8:$N$754,$B$8:$B$754,B384,$C$8:$C$754,C384,$D$8:$D$754,D384,$H$8:$H$754,"Serviço"),0))))</f>
        <v/>
      </c>
      <c r="O384" s="45" t="n"/>
      <c r="P384" s="46" t="n"/>
      <c r="Q384" s="46" t="n"/>
      <c r="R384" s="47" t="n"/>
      <c r="S384" s="151" t="n"/>
      <c r="T384" s="49" t="n"/>
      <c r="U384" s="49" t="n"/>
    </row>
    <row r="385" collapsed="1" ht="13.8" customFormat="1" customHeight="1" s="31">
      <c r="A385" s="213">
        <f>IF($H385="UNIDADE CONSTRUTIVA",OFFSET(A385,-1,0)+1,LARGE(A$3:A370,1))</f>
        <v/>
      </c>
      <c r="B385" s="213">
        <f>IF(H385="UNIDADE CONSTRUTIVA",0,IF(H385="CÉLULA CONSTRUTIVA",OFFSET(B385,-1,0)+1,OFFSET(B385,-1,0)))</f>
        <v/>
      </c>
      <c r="C385" s="213">
        <f>IF(H385="CÉLULA CONSTRUTIVA",0,IF(H385="ETAPA",OFFSET(C385,-1,0)+1,OFFSET(C385,-1,0)))</f>
        <v/>
      </c>
      <c r="D385" s="214">
        <f>IF(H385="ETAPA",0,IF(H385="SUBETAPA",OFFSET(D385,-1,0)+1,OFFSET(D385,-1,0)))</f>
        <v/>
      </c>
      <c r="E385" s="214">
        <f>IF(H385="Subetapa",0,IF(H385="serviço",OFFSET(E385,-1,0)+1,OFFSET(E385,-1,0)))</f>
        <v/>
      </c>
      <c r="G385" s="124" t="n"/>
      <c r="H385" s="42" t="inlineStr">
        <is>
          <t>CÉLULA CONSTRUTIVA</t>
        </is>
      </c>
      <c r="I385" s="43">
        <f>IF(H385="Unidade Construtiva",TEXT(A385,"00"),IF(H385="Célula Construtiva",TEXT(B385,"00"),IF(H385="Etapa",CONCATENATE(TEXT(B385,"00"),".",TEXT(C385,"000")),IF(H385="Subetapa",CONCATENATE(TEXT(B385,"00"),".",TEXT(C385,"000"),".",TEXT(D385,"000")),IF(H385="Serviço",CONCATENATE(TEXT(B385,"00"),".",TEXT(C385,"000"),".",TEXT(D385,"000"),".",TEXT(E385,"000")),"")))))</f>
        <v/>
      </c>
      <c r="J385" s="48" t="inlineStr">
        <is>
          <t>COBERTURA</t>
        </is>
      </c>
      <c r="K385" s="45" t="n"/>
      <c r="L385" s="46" t="n"/>
      <c r="M385" s="46" t="n"/>
      <c r="N385" s="47">
        <f>IF(H385="Serviço",M385*L385,IF(H385="CÉLULA CONSTRUTIVA",SUMIFS($N$8:$N$754,$B$8:$B$754,B385,$H$8:$H$754,"Serviço"),IF(H385="ETAPA",SUMIFS($N$8:$N$754,$B$8:$B$754,B385,$C$8:$C$754,C385,$H$8:$H$754,"Serviço"),IF(H385="SUBETAPA",SUMIFS($N$8:$N$754,$B$8:$B$754,B385,$C$8:$C$754,C385,$D$8:$D$754,D385,$H$8:$H$754,"Serviço"),0))))</f>
        <v/>
      </c>
      <c r="O385" s="45" t="n"/>
      <c r="P385" s="46" t="n"/>
      <c r="Q385" s="46" t="n"/>
      <c r="R385" s="47" t="n"/>
      <c r="S385" s="123" t="n"/>
      <c r="T385" s="215" t="n"/>
      <c r="U385" s="49" t="n"/>
    </row>
    <row r="386" hidden="1" outlineLevel="1" ht="13.8" customFormat="1" customHeight="1" s="31">
      <c r="A386" s="213">
        <f>IF($H386="UNIDADE CONSTRUTIVA",OFFSET(A386,-1,0)+1,LARGE(A$3:A330,1))</f>
        <v/>
      </c>
      <c r="B386" s="213">
        <f>IF(H386="UNIDADE CONSTRUTIVA",0,IF(H386="CÉLULA CONSTRUTIVA",OFFSET(B386,-1,0)+1,OFFSET(B386,-1,0)))</f>
        <v/>
      </c>
      <c r="C386" s="213">
        <f>IF(H386="CÉLULA CONSTRUTIVA",0,IF(H386="ETAPA",OFFSET(C386,-1,0)+1,OFFSET(C386,-1,0)))</f>
        <v/>
      </c>
      <c r="D386" s="214">
        <f>IF(H386="ETAPA",0,IF(H386="SUBETAPA",OFFSET(D386,-1,0)+1,OFFSET(D386,-1,0)))</f>
        <v/>
      </c>
      <c r="E386" s="214">
        <f>IF(H386="Subetapa",0,IF(H386="serviço",OFFSET(E386,-1,0)+1,OFFSET(E386,-1,0)))</f>
        <v/>
      </c>
      <c r="G386" s="124" t="n"/>
      <c r="H386" s="42" t="inlineStr">
        <is>
          <t>ETAPA</t>
        </is>
      </c>
      <c r="I386" s="43">
        <f>IF(H386="Unidade Construtiva",TEXT(A386,"00"),IF(H386="Célula Construtiva",TEXT(B386,"00"),IF(H386="Etapa",CONCATENATE(TEXT(B386,"00"),".",TEXT(C386,"000")),IF(H386="Subetapa",CONCATENATE(TEXT(B386,"00"),".",TEXT(C386,"000"),".",TEXT(D386,"000")),IF(H386="Serviço",CONCATENATE(TEXT(B386,"00"),".",TEXT(C386,"000"),".",TEXT(D386,"000"),".",TEXT(E386,"000")),"")))))</f>
        <v/>
      </c>
      <c r="J386" s="48" t="inlineStr">
        <is>
          <t>COBERTURA</t>
        </is>
      </c>
      <c r="K386" s="45" t="n"/>
      <c r="L386" s="46" t="n"/>
      <c r="M386" s="46" t="n"/>
      <c r="N386" s="47">
        <f>IF(H386="Serviço",M386*L386,IF(H386="CÉLULA CONSTRUTIVA",SUMIFS($N$8:$N$754,$B$8:$B$754,B386,$H$8:$H$754,"Serviço"),IF(H386="ETAPA",SUMIFS($N$8:$N$754,$B$8:$B$754,B386,$C$8:$C$754,C386,$H$8:$H$754,"Serviço"),IF(H386="SUBETAPA",SUMIFS($N$8:$N$754,$B$8:$B$754,B386,$C$8:$C$754,C386,$D$8:$D$754,D386,$H$8:$H$754,"Serviço"),0))))</f>
        <v/>
      </c>
      <c r="O386" s="45" t="n"/>
      <c r="P386" s="46" t="n"/>
      <c r="Q386" s="46" t="n"/>
      <c r="R386" s="47" t="n"/>
      <c r="S386" s="123" t="n"/>
      <c r="T386" s="49" t="n"/>
      <c r="U386" s="49" t="n"/>
    </row>
    <row r="387" hidden="1" outlineLevel="1" ht="13.8" customFormat="1" customHeight="1" s="31">
      <c r="A387" s="213">
        <f>IF($H387="UNIDADE CONSTRUTIVA",OFFSET(A387,-1,0)+1,LARGE(A$3:A370,1))</f>
        <v/>
      </c>
      <c r="B387" s="213">
        <f>IF(H387="UNIDADE CONSTRUTIVA",0,IF(H387="CÉLULA CONSTRUTIVA",OFFSET(B387,-1,0)+1,OFFSET(B387,-1,0)))</f>
        <v/>
      </c>
      <c r="C387" s="213">
        <f>IF(H387="CÉLULA CONSTRUTIVA",0,IF(H387="ETAPA",OFFSET(C387,-1,0)+1,OFFSET(C387,-1,0)))</f>
        <v/>
      </c>
      <c r="D387" s="214">
        <f>IF(H387="ETAPA",0,IF(H387="SUBETAPA",OFFSET(D387,-1,0)+1,OFFSET(D387,-1,0)))</f>
        <v/>
      </c>
      <c r="E387" s="214">
        <f>IF(H387="Subetapa",0,IF(H387="serviço",OFFSET(E387,-1,0)+1,OFFSET(E387,-1,0)))</f>
        <v/>
      </c>
      <c r="G387" s="124" t="n"/>
      <c r="H387" s="42" t="inlineStr">
        <is>
          <t>SUBETAPA</t>
        </is>
      </c>
      <c r="I387" s="43">
        <f>IF(H387="Unidade Construtiva",TEXT(A387,"00"),IF(H387="Célula Construtiva",TEXT(B387,"00"),IF(H387="Etapa",CONCATENATE(TEXT(B387,"00"),".",TEXT(C387,"000")),IF(H387="Subetapa",CONCATENATE(TEXT(B387,"00"),".",TEXT(C387,"000"),".",TEXT(D387,"000")),IF(H387="Serviço",CONCATENATE(TEXT(B387,"00"),".",TEXT(C387,"000"),".",TEXT(D387,"000"),".",TEXT(E387,"000")),"")))))</f>
        <v/>
      </c>
      <c r="J387" s="48" t="inlineStr">
        <is>
          <t>Estrutura e trama para cobertura</t>
        </is>
      </c>
      <c r="K387" s="45" t="n"/>
      <c r="L387" s="46" t="n"/>
      <c r="M387" s="46" t="n"/>
      <c r="N387" s="47">
        <f>IF(H387="Serviço",M387*L387,IF(H387="CÉLULA CONSTRUTIVA",SUMIFS($N$8:$N$754,$B$8:$B$754,B387,$H$8:$H$754,"Serviço"),IF(H387="ETAPA",SUMIFS($N$8:$N$754,$B$8:$B$754,B387,$C$8:$C$754,C387,$H$8:$H$754,"Serviço"),IF(H387="SUBETAPA",SUMIFS($N$8:$N$754,$B$8:$B$754,B387,$C$8:$C$754,C387,$D$8:$D$754,D387,$H$8:$H$754,"Serviço"),0))))</f>
        <v/>
      </c>
      <c r="O387" s="45" t="n"/>
      <c r="P387" s="46" t="n"/>
      <c r="Q387" s="46" t="n"/>
      <c r="R387" s="216" t="inlineStr">
        <is>
          <t>19.001.001.001 - Estrutura de madeira para cobertura em telhas de fibrocimento</t>
        </is>
      </c>
      <c r="S387" s="123" t="n"/>
      <c r="T387" s="49" t="n"/>
      <c r="U387" s="49" t="n"/>
    </row>
    <row r="388" hidden="1" outlineLevel="2" ht="13.8" customFormat="1" customHeight="1" s="31">
      <c r="A388" s="213">
        <f>IF($H388="UNIDADE CONSTRUTIVA",OFFSET(A388,-1,0)+1,LARGE(A$3:A387,1))</f>
        <v/>
      </c>
      <c r="B388" s="213">
        <f>IF(H388="UNIDADE CONSTRUTIVA",0,IF(H388="CÉLULA CONSTRUTIVA",OFFSET(B388,-1,0)+1,OFFSET(B388,-1,0)))</f>
        <v/>
      </c>
      <c r="C388" s="213">
        <f>IF(H388="CÉLULA CONSTRUTIVA",0,IF(H388="ETAPA",OFFSET(C388,-1,0)+1,OFFSET(C388,-1,0)))</f>
        <v/>
      </c>
      <c r="D388" s="214">
        <f>IF(H388="ETAPA",0,IF(H388="SUBETAPA",OFFSET(D388,-1,0)+1,OFFSET(D388,-1,0)))</f>
        <v/>
      </c>
      <c r="E388" s="214">
        <f>IF(H388="Subetapa",0,IF(H388="serviço",OFFSET(E388,-1,0)+1,OFFSET(E388,-1,0)))</f>
        <v/>
      </c>
      <c r="G388" s="124" t="inlineStr">
        <is>
          <t>COBERTURA</t>
        </is>
      </c>
      <c r="H388" s="42" t="inlineStr">
        <is>
          <t>SERVIÇO</t>
        </is>
      </c>
      <c r="I388" s="43">
        <f>IF(H388="Unidade Construtiva",TEXT(A388,"00"),IF(H388="Célula Construtiva",TEXT(B388,"00"),IF(H388="Etapa",CONCATENATE(TEXT(B388,"00"),".",TEXT(C388,"000")),IF(H388="Subetapa",CONCATENATE(TEXT(B388,"00"),".",TEXT(C388,"000"),".",TEXT(D388,"000")),IF(H388="Serviço",CONCATENATE(TEXT(B388,"00"),".",TEXT(C388,"000"),".",TEXT(D388,"000"),".",TEXT(E388,"000")),"")))))</f>
        <v/>
      </c>
      <c r="J388" s="156" t="inlineStr">
        <is>
          <t>Estrutura metálica para cobertura</t>
        </is>
      </c>
      <c r="K388" s="45" t="inlineStr">
        <is>
          <t>m2</t>
        </is>
      </c>
      <c r="L388" s="46" t="n">
        <v>152.16</v>
      </c>
      <c r="M388" s="46" t="n">
        <v>190</v>
      </c>
      <c r="N388" s="47">
        <f>IF(H388="Serviço",M388*L388,IF(H388="CÉLULA CONSTRUTIVA",SUMIFS($N$8:$N$754,$B$8:$B$754,B388,$H$8:$H$754,"Serviço"),IF(H388="ETAPA",SUMIFS($N$8:$N$754,$B$8:$B$754,B388,$C$8:$C$754,C388,$H$8:$H$754,"Serviço"),IF(H388="SUBETAPA",SUMIFS($N$8:$N$754,$B$8:$B$754,B388,$C$8:$C$754,C388,$D$8:$D$754,D388,$H$8:$H$754,"Serviço"),0))))</f>
        <v/>
      </c>
      <c r="O388" s="45" t="n"/>
      <c r="P388" s="46" t="n"/>
      <c r="Q388" s="46" t="n"/>
      <c r="R388" s="47" t="n"/>
      <c r="S388" s="123" t="n"/>
      <c r="T388" s="49" t="n"/>
      <c r="U388" s="49" t="n"/>
    </row>
    <row r="389" hidden="1" outlineLevel="1" ht="13.8" customFormat="1" customHeight="1" s="31">
      <c r="A389" s="213">
        <f>IF($H389="UNIDADE CONSTRUTIVA",OFFSET(A389,-1,0)+1,LARGE(A$3:A386,1))</f>
        <v/>
      </c>
      <c r="B389" s="213">
        <f>IF(H389="UNIDADE CONSTRUTIVA",0,IF(H389="CÉLULA CONSTRUTIVA",OFFSET(B389,-1,0)+1,OFFSET(B389,-1,0)))</f>
        <v/>
      </c>
      <c r="C389" s="213">
        <f>IF(H389="CÉLULA CONSTRUTIVA",0,IF(H389="ETAPA",OFFSET(C389,-1,0)+1,OFFSET(C389,-1,0)))</f>
        <v/>
      </c>
      <c r="D389" s="214">
        <f>IF(H389="ETAPA",0,IF(H389="SUBETAPA",OFFSET(D389,-1,0)+1,OFFSET(D389,-1,0)))</f>
        <v/>
      </c>
      <c r="E389" s="214">
        <f>IF(H389="Subetapa",0,IF(H389="serviço",OFFSET(E389,-1,0)+1,OFFSET(E389,-1,0)))</f>
        <v/>
      </c>
      <c r="G389" s="124" t="n"/>
      <c r="H389" s="42" t="inlineStr">
        <is>
          <t>SUBETAPA</t>
        </is>
      </c>
      <c r="I389" s="43">
        <f>IF(H389="Unidade Construtiva",TEXT(A389,"00"),IF(H389="Célula Construtiva",TEXT(B389,"00"),IF(H389="Etapa",CONCATENATE(TEXT(B389,"00"),".",TEXT(C389,"000")),IF(H389="Subetapa",CONCATENATE(TEXT(B389,"00"),".",TEXT(C389,"000"),".",TEXT(D389,"000")),IF(H389="Serviço",CONCATENATE(TEXT(B389,"00"),".",TEXT(C389,"000"),".",TEXT(D389,"000"),".",TEXT(E389,"000")),"")))))</f>
        <v/>
      </c>
      <c r="J389" s="48" t="inlineStr">
        <is>
          <t>Telhamento para cobertura</t>
        </is>
      </c>
      <c r="K389" s="45" t="n"/>
      <c r="L389" s="46" t="n"/>
      <c r="M389" s="46" t="n"/>
      <c r="N389" s="47">
        <f>IF(H389="Serviço",M389*L389,IF(H389="CÉLULA CONSTRUTIVA",SUMIFS($N$8:$N$754,$B$8:$B$754,B389,$H$8:$H$754,"Serviço"),IF(H389="ETAPA",SUMIFS($N$8:$N$754,$B$8:$B$754,B389,$C$8:$C$754,C389,$H$8:$H$754,"Serviço"),IF(H389="SUBETAPA",SUMIFS($N$8:$N$754,$B$8:$B$754,B389,$C$8:$C$754,C389,$D$8:$D$754,D389,$H$8:$H$754,"Serviço"),0))))</f>
        <v/>
      </c>
      <c r="O389" s="45" t="n"/>
      <c r="P389" s="46" t="n"/>
      <c r="Q389" s="46" t="n"/>
      <c r="R389" s="216" t="inlineStr">
        <is>
          <t>17.003.001.003 - Pergolado metálico com cobertura em vidro</t>
        </is>
      </c>
      <c r="S389" s="123" t="n"/>
      <c r="T389" s="49" t="n"/>
      <c r="U389" s="49" t="n"/>
    </row>
    <row r="390" hidden="1" outlineLevel="2" ht="13.8" customFormat="1" customHeight="1" s="31">
      <c r="A390" s="213">
        <f>IF($H390="UNIDADE CONSTRUTIVA",OFFSET(A390,-1,0)+1,LARGE(A$3:A389,1))</f>
        <v/>
      </c>
      <c r="B390" s="213">
        <f>IF(H390="UNIDADE CONSTRUTIVA",0,IF(H390="CÉLULA CONSTRUTIVA",OFFSET(B390,-1,0)+1,OFFSET(B390,-1,0)))</f>
        <v/>
      </c>
      <c r="C390" s="213">
        <f>IF(H390="CÉLULA CONSTRUTIVA",0,IF(H390="ETAPA",OFFSET(C390,-1,0)+1,OFFSET(C390,-1,0)))</f>
        <v/>
      </c>
      <c r="D390" s="214">
        <f>IF(H390="ETAPA",0,IF(H390="SUBETAPA",OFFSET(D390,-1,0)+1,OFFSET(D390,-1,0)))</f>
        <v/>
      </c>
      <c r="E390" s="214">
        <f>IF(H390="Subetapa",0,IF(H390="serviço",OFFSET(E390,-1,0)+1,OFFSET(E390,-1,0)))</f>
        <v/>
      </c>
      <c r="G390" s="124" t="inlineStr">
        <is>
          <t>COBERTURA</t>
        </is>
      </c>
      <c r="H390" s="42" t="inlineStr">
        <is>
          <t>SERVIÇO</t>
        </is>
      </c>
      <c r="I390" s="43">
        <f>IF(H390="Unidade Construtiva",TEXT(A390,"00"),IF(H390="Célula Construtiva",TEXT(B390,"00"),IF(H390="Etapa",CONCATENATE(TEXT(B390,"00"),".",TEXT(C390,"000")),IF(H390="Subetapa",CONCATENATE(TEXT(B390,"00"),".",TEXT(C390,"000"),".",TEXT(D390,"000")),IF(H390="Serviço",CONCATENATE(TEXT(B390,"00"),".",TEXT(C390,"000"),".",TEXT(D390,"000"),".",TEXT(E390,"000")),"")))))</f>
        <v/>
      </c>
      <c r="J390" s="156" t="inlineStr">
        <is>
          <t>Telhamento para cobertura em Fibrocimento</t>
        </is>
      </c>
      <c r="K390" s="45" t="inlineStr">
        <is>
          <t>m2</t>
        </is>
      </c>
      <c r="L390" s="46" t="n">
        <v>152.16</v>
      </c>
      <c r="M390" s="46" t="n">
        <v>67.04941818181818</v>
      </c>
      <c r="N390" s="47">
        <f>IF(H390="Serviço",M390*L390,IF(H390="CÉLULA CONSTRUTIVA",SUMIFS($N$8:$N$754,$B$8:$B$754,B390,$H$8:$H$754,"Serviço"),IF(H390="ETAPA",SUMIFS($N$8:$N$754,$B$8:$B$754,B390,$C$8:$C$754,C390,$H$8:$H$754,"Serviço"),IF(H390="SUBETAPA",SUMIFS($N$8:$N$754,$B$8:$B$754,B390,$C$8:$C$754,C390,$D$8:$D$754,D390,$H$8:$H$754,"Serviço"),0))))</f>
        <v/>
      </c>
      <c r="O390" s="45" t="n"/>
      <c r="P390" s="46" t="n"/>
      <c r="Q390" s="46" t="n"/>
      <c r="R390" s="47" t="n"/>
      <c r="S390" s="123" t="n"/>
      <c r="T390" s="49" t="n"/>
      <c r="U390" s="49" t="n"/>
    </row>
    <row r="391" hidden="1" outlineLevel="1" ht="13.8" customFormat="1" customHeight="1" s="31">
      <c r="A391" s="213">
        <f>IF($H391="UNIDADE CONSTRUTIVA",OFFSET(A391,-1,0)+1,LARGE(A$3:A390,1))</f>
        <v/>
      </c>
      <c r="B391" s="213">
        <f>IF(H391="UNIDADE CONSTRUTIVA",0,IF(H391="CÉLULA CONSTRUTIVA",OFFSET(B391,-1,0)+1,OFFSET(B391,-1,0)))</f>
        <v/>
      </c>
      <c r="C391" s="213">
        <f>IF(H391="CÉLULA CONSTRUTIVA",0,IF(H391="ETAPA",OFFSET(C391,-1,0)+1,OFFSET(C391,-1,0)))</f>
        <v/>
      </c>
      <c r="D391" s="214">
        <f>IF(H391="ETAPA",0,IF(H391="SUBETAPA",OFFSET(D391,-1,0)+1,OFFSET(D391,-1,0)))</f>
        <v/>
      </c>
      <c r="E391" s="214">
        <f>IF(H391="Subetapa",0,IF(H391="serviço",OFFSET(E391,-1,0)+1,OFFSET(E391,-1,0)))</f>
        <v/>
      </c>
      <c r="G391" s="124" t="n"/>
      <c r="H391" s="42" t="inlineStr">
        <is>
          <t>SUBETAPA</t>
        </is>
      </c>
      <c r="I391" s="43">
        <f>IF(H391="Unidade Construtiva",TEXT(A391,"00"),IF(H391="Célula Construtiva",TEXT(B391,"00"),IF(H391="Etapa",CONCATENATE(TEXT(B391,"00"),".",TEXT(C391,"000")),IF(H391="Subetapa",CONCATENATE(TEXT(B391,"00"),".",TEXT(C391,"000"),".",TEXT(D391,"000")),IF(H391="Serviço",CONCATENATE(TEXT(B391,"00"),".",TEXT(C391,"000"),".",TEXT(D391,"000"),".",TEXT(E391,"000")),"")))))</f>
        <v/>
      </c>
      <c r="J391" s="48" t="inlineStr">
        <is>
          <t>Serviços complementares</t>
        </is>
      </c>
      <c r="K391" s="45" t="n"/>
      <c r="L391" s="46" t="n"/>
      <c r="M391" s="46" t="n"/>
      <c r="N391" s="47">
        <f>IF(H391="Serviço",M391*L391,IF(H391="CÉLULA CONSTRUTIVA",SUMIFS($N$8:$N$754,$B$8:$B$754,B391,$H$8:$H$754,"Serviço"),IF(H391="ETAPA",SUMIFS($N$8:$N$754,$B$8:$B$754,B391,$C$8:$C$754,C391,$H$8:$H$754,"Serviço"),IF(H391="SUBETAPA",SUMIFS($N$8:$N$754,$B$8:$B$754,B391,$C$8:$C$754,C391,$D$8:$D$754,D391,$H$8:$H$754,"Serviço"),0))))</f>
        <v/>
      </c>
      <c r="O391" s="45" t="n"/>
      <c r="P391" s="46" t="n"/>
      <c r="Q391" s="46" t="n"/>
      <c r="R391" s="216" t="inlineStr">
        <is>
          <t>21.001.003.001 - Serviços finais</t>
        </is>
      </c>
      <c r="S391" s="123" t="n"/>
      <c r="T391" s="49" t="n"/>
      <c r="U391" s="49" t="n"/>
    </row>
    <row r="392" hidden="1" outlineLevel="2" ht="13.8" customFormat="1" customHeight="1" s="31">
      <c r="A392" s="213">
        <f>IF($H392="UNIDADE CONSTRUTIVA",OFFSET(A392,-1,0)+1,LARGE(A$3:A389,1))</f>
        <v/>
      </c>
      <c r="B392" s="213">
        <f>IF(H392="UNIDADE CONSTRUTIVA",0,IF(H392="CÉLULA CONSTRUTIVA",OFFSET(B392,-1,0)+1,OFFSET(B392,-1,0)))</f>
        <v/>
      </c>
      <c r="C392" s="213">
        <f>IF(H392="CÉLULA CONSTRUTIVA",0,IF(H392="ETAPA",OFFSET(C392,-1,0)+1,OFFSET(C392,-1,0)))</f>
        <v/>
      </c>
      <c r="D392" s="214">
        <f>IF(H392="ETAPA",0,IF(H392="SUBETAPA",OFFSET(D392,-1,0)+1,OFFSET(D392,-1,0)))</f>
        <v/>
      </c>
      <c r="E392" s="214">
        <f>IF(H392="Subetapa",0,IF(H392="serviço",OFFSET(E392,-1,0)+1,OFFSET(E392,-1,0)))</f>
        <v/>
      </c>
      <c r="G392" s="124" t="inlineStr">
        <is>
          <t>COBERTURA</t>
        </is>
      </c>
      <c r="H392" s="42" t="inlineStr">
        <is>
          <t>SERVIÇO</t>
        </is>
      </c>
      <c r="I392" s="43">
        <f>IF(H392="Unidade Construtiva",TEXT(A392,"00"),IF(H392="Célula Construtiva",TEXT(B392,"00"),IF(H392="Etapa",CONCATENATE(TEXT(B392,"00"),".",TEXT(C392,"000")),IF(H392="Subetapa",CONCATENATE(TEXT(B392,"00"),".",TEXT(C392,"000"),".",TEXT(D392,"000")),IF(H392="Serviço",CONCATENATE(TEXT(B392,"00"),".",TEXT(C392,"000"),".",TEXT(D392,"000"),".",TEXT(E392,"000")),"")))))</f>
        <v/>
      </c>
      <c r="J392" s="156" t="inlineStr">
        <is>
          <t>Rufo em alumínio</t>
        </is>
      </c>
      <c r="K392" s="45" t="inlineStr">
        <is>
          <t>m2</t>
        </is>
      </c>
      <c r="L392" s="46" t="n">
        <v>37.3825</v>
      </c>
      <c r="M392" s="46" t="n">
        <v>163.690248</v>
      </c>
      <c r="N392" s="47">
        <f>IF(H392="Serviço",M392*L392,IF(H392="CÉLULA CONSTRUTIVA",SUMIFS($N$8:$N$754,$B$8:$B$754,B392,$H$8:$H$754,"Serviço"),IF(H392="ETAPA",SUMIFS($N$8:$N$754,$B$8:$B$754,B392,$C$8:$C$754,C392,$H$8:$H$754,"Serviço"),IF(H392="SUBETAPA",SUMIFS($N$8:$N$754,$B$8:$B$754,B392,$C$8:$C$754,C392,$D$8:$D$754,D392,$H$8:$H$754,"Serviço"),0))))</f>
        <v/>
      </c>
      <c r="O392" s="45" t="n"/>
      <c r="P392" s="46" t="n"/>
      <c r="Q392" s="46" t="n"/>
      <c r="R392" s="47" t="n"/>
      <c r="S392" s="123" t="n"/>
      <c r="T392" s="49" t="n"/>
      <c r="U392" s="49" t="n"/>
    </row>
    <row r="393" hidden="1" outlineLevel="2" ht="13.8" customFormat="1" customHeight="1" s="31">
      <c r="A393" s="213">
        <f>IF($H393="UNIDADE CONSTRUTIVA",OFFSET(A393,-1,0)+1,LARGE(A$3:A390,1))</f>
        <v/>
      </c>
      <c r="B393" s="213">
        <f>IF(H393="UNIDADE CONSTRUTIVA",0,IF(H393="CÉLULA CONSTRUTIVA",OFFSET(B393,-1,0)+1,OFFSET(B393,-1,0)))</f>
        <v/>
      </c>
      <c r="C393" s="213">
        <f>IF(H393="CÉLULA CONSTRUTIVA",0,IF(H393="ETAPA",OFFSET(C393,-1,0)+1,OFFSET(C393,-1,0)))</f>
        <v/>
      </c>
      <c r="D393" s="214">
        <f>IF(H393="ETAPA",0,IF(H393="SUBETAPA",OFFSET(D393,-1,0)+1,OFFSET(D393,-1,0)))</f>
        <v/>
      </c>
      <c r="E393" s="214">
        <f>IF(H393="Subetapa",0,IF(H393="serviço",OFFSET(E393,-1,0)+1,OFFSET(E393,-1,0)))</f>
        <v/>
      </c>
      <c r="G393" s="124" t="inlineStr">
        <is>
          <t>COBERTURA</t>
        </is>
      </c>
      <c r="H393" s="42" t="inlineStr">
        <is>
          <t>SERVIÇO</t>
        </is>
      </c>
      <c r="I393" s="43">
        <f>IF(H393="Unidade Construtiva",TEXT(A393,"00"),IF(H393="Célula Construtiva",TEXT(B393,"00"),IF(H393="Etapa",CONCATENATE(TEXT(B393,"00"),".",TEXT(C393,"000")),IF(H393="Subetapa",CONCATENATE(TEXT(B393,"00"),".",TEXT(C393,"000"),".",TEXT(D393,"000")),IF(H393="Serviço",CONCATENATE(TEXT(B393,"00"),".",TEXT(C393,"000"),".",TEXT(D393,"000"),".",TEXT(E393,"000")),"")))))</f>
        <v/>
      </c>
      <c r="J393" s="156" t="inlineStr">
        <is>
          <t>Calha em aço galvanizado - 25,0 cm</t>
        </is>
      </c>
      <c r="K393" s="45" t="inlineStr">
        <is>
          <t>m</t>
        </is>
      </c>
      <c r="L393" s="46" t="n">
        <v>22.33</v>
      </c>
      <c r="M393" s="46" t="n">
        <v>71.21644900000001</v>
      </c>
      <c r="N393" s="47">
        <f>IF(H393="Serviço",M393*L393,IF(H393="CÉLULA CONSTRUTIVA",SUMIFS($N$8:$N$754,$B$8:$B$754,B393,$H$8:$H$754,"Serviço"),IF(H393="ETAPA",SUMIFS($N$8:$N$754,$B$8:$B$754,B393,$C$8:$C$754,C393,$H$8:$H$754,"Serviço"),IF(H393="SUBETAPA",SUMIFS($N$8:$N$754,$B$8:$B$754,B393,$C$8:$C$754,C393,$D$8:$D$754,D393,$H$8:$H$754,"Serviço"),0))))</f>
        <v/>
      </c>
      <c r="O393" s="45" t="n"/>
      <c r="P393" s="46" t="n"/>
      <c r="Q393" s="46" t="n"/>
      <c r="R393" s="47" t="n"/>
      <c r="S393" s="123" t="n"/>
      <c r="T393" s="49" t="n"/>
      <c r="U393" s="49" t="n"/>
    </row>
    <row r="394" hidden="1" outlineLevel="1" ht="13.8" customFormat="1" customHeight="1" s="31">
      <c r="A394" s="213">
        <f>IF($H394="UNIDADE CONSTRUTIVA",OFFSET(A394,-1,0)+1,LARGE(A$3:A390,1))</f>
        <v/>
      </c>
      <c r="B394" s="213">
        <f>IF(H394="UNIDADE CONSTRUTIVA",0,IF(H394="CÉLULA CONSTRUTIVA",OFFSET(B394,-1,0)+1,OFFSET(B394,-1,0)))</f>
        <v/>
      </c>
      <c r="C394" s="213">
        <f>IF(H394="CÉLULA CONSTRUTIVA",0,IF(H394="ETAPA",OFFSET(C394,-1,0)+1,OFFSET(C394,-1,0)))</f>
        <v/>
      </c>
      <c r="D394" s="214">
        <f>IF(H394="ETAPA",0,IF(H394="SUBETAPA",OFFSET(D394,-1,0)+1,OFFSET(D394,-1,0)))</f>
        <v/>
      </c>
      <c r="E394" s="214">
        <f>IF(H394="Subetapa",0,IF(H394="serviço",OFFSET(E394,-1,0)+1,OFFSET(E394,-1,0)))</f>
        <v/>
      </c>
      <c r="G394" s="124" t="n"/>
      <c r="H394" s="42" t="inlineStr">
        <is>
          <t>SUBETAPA</t>
        </is>
      </c>
      <c r="I394" s="43">
        <f>IF(H394="Unidade Construtiva",TEXT(A394,"00"),IF(H394="Célula Construtiva",TEXT(B394,"00"),IF(H394="Etapa",CONCATENATE(TEXT(B394,"00"),".",TEXT(C394,"000")),IF(H394="Subetapa",CONCATENATE(TEXT(B394,"00"),".",TEXT(C394,"000"),".",TEXT(D394,"000")),IF(H394="Serviço",CONCATENATE(TEXT(B394,"00"),".",TEXT(C394,"000"),".",TEXT(D394,"000"),".",TEXT(E394,"000")),"")))))</f>
        <v/>
      </c>
      <c r="J394" s="48" t="inlineStr">
        <is>
          <t>Mão de obra</t>
        </is>
      </c>
      <c r="K394" s="45" t="n"/>
      <c r="L394" s="46" t="n"/>
      <c r="M394" s="46" t="n"/>
      <c r="N394" s="47">
        <f>IF(H394="Serviço",M394*L394,IF(H394="CÉLULA CONSTRUTIVA",SUMIFS($N$8:$N$754,$B$8:$B$754,B394,$H$8:$H$754,"Serviço"),IF(H394="ETAPA",SUMIFS($N$8:$N$754,$B$8:$B$754,B394,$C$8:$C$754,C394,$H$8:$H$754,"Serviço"),IF(H394="SUBETAPA",SUMIFS($N$8:$N$754,$B$8:$B$754,B394,$C$8:$C$754,C394,$D$8:$D$754,D394,$H$8:$H$754,"Serviço"),0))))</f>
        <v/>
      </c>
      <c r="O394" s="45" t="n"/>
      <c r="P394" s="46" t="n"/>
      <c r="Q394" s="46" t="n"/>
      <c r="R394" s="216" t="inlineStr">
        <is>
          <t>19.001.005.001 - Mão de obra para telhamento</t>
        </is>
      </c>
      <c r="S394" s="123" t="n"/>
      <c r="T394" s="49" t="n"/>
      <c r="U394" s="49" t="n"/>
    </row>
    <row r="395" hidden="1" outlineLevel="2" ht="13.8" customFormat="1" customHeight="1" s="31">
      <c r="A395" s="213">
        <f>IF($H395="UNIDADE CONSTRUTIVA",OFFSET(A395,-1,0)+1,LARGE(A$3:A394,1))</f>
        <v/>
      </c>
      <c r="B395" s="213">
        <f>IF(H395="UNIDADE CONSTRUTIVA",0,IF(H395="CÉLULA CONSTRUTIVA",OFFSET(B395,-1,0)+1,OFFSET(B395,-1,0)))</f>
        <v/>
      </c>
      <c r="C395" s="213">
        <f>IF(H395="CÉLULA CONSTRUTIVA",0,IF(H395="ETAPA",OFFSET(C395,-1,0)+1,OFFSET(C395,-1,0)))</f>
        <v/>
      </c>
      <c r="D395" s="214">
        <f>IF(H395="ETAPA",0,IF(H395="SUBETAPA",OFFSET(D395,-1,0)+1,OFFSET(D395,-1,0)))</f>
        <v/>
      </c>
      <c r="E395" s="214">
        <f>IF(H395="Subetapa",0,IF(H395="serviço",OFFSET(E395,-1,0)+1,OFFSET(E395,-1,0)))</f>
        <v/>
      </c>
      <c r="G395" s="124" t="inlineStr">
        <is>
          <t>COBERTURA</t>
        </is>
      </c>
      <c r="H395" s="42" t="inlineStr">
        <is>
          <t>SERVIÇO</t>
        </is>
      </c>
      <c r="I395" s="43">
        <f>IF(H395="Unidade Construtiva",TEXT(A395,"00"),IF(H395="Célula Construtiva",TEXT(B395,"00"),IF(H395="Etapa",CONCATENATE(TEXT(B395,"00"),".",TEXT(C395,"000")),IF(H395="Subetapa",CONCATENATE(TEXT(B395,"00"),".",TEXT(C395,"000"),".",TEXT(D395,"000")),IF(H395="Serviço",CONCATENATE(TEXT(B395,"00"),".",TEXT(C395,"000"),".",TEXT(D395,"000"),".",TEXT(E395,"000")),"")))))</f>
        <v/>
      </c>
      <c r="J395" s="156" t="inlineStr">
        <is>
          <t>Mão de obra coberturas</t>
        </is>
      </c>
      <c r="K395" s="45" t="inlineStr">
        <is>
          <t>m2</t>
        </is>
      </c>
      <c r="L395" s="46">
        <f>L390</f>
        <v/>
      </c>
      <c r="M395" s="46" t="n">
        <v>180</v>
      </c>
      <c r="N395" s="47">
        <f>IF(H395="Serviço",M395*L395,IF(H395="CÉLULA CONSTRUTIVA",SUMIFS($N$8:$N$754,$B$8:$B$754,B395,$H$8:$H$754,"Serviço"),IF(H395="ETAPA",SUMIFS($N$8:$N$754,$B$8:$B$754,B395,$C$8:$C$754,C395,$H$8:$H$754,"Serviço"),IF(H395="SUBETAPA",SUMIFS($N$8:$N$754,$B$8:$B$754,B395,$C$8:$C$754,C395,$D$8:$D$754,D395,$H$8:$H$754,"Serviço"),0))))</f>
        <v/>
      </c>
      <c r="O395" s="45" t="n"/>
      <c r="P395" s="46" t="n"/>
      <c r="Q395" s="46" t="n"/>
      <c r="R395" s="47" t="n"/>
      <c r="S395" s="123" t="n"/>
      <c r="T395" s="49" t="n"/>
      <c r="U395" s="49" t="n"/>
    </row>
    <row r="396" collapsed="1" ht="13.8" customFormat="1" customHeight="1" s="31">
      <c r="A396" s="213">
        <f>IF($H396="UNIDADE CONSTRUTIVA",OFFSET(A396,-1,0)+1,LARGE(A$3:A370,1))</f>
        <v/>
      </c>
      <c r="B396" s="213">
        <f>IF(H396="UNIDADE CONSTRUTIVA",0,IF(H396="CÉLULA CONSTRUTIVA",OFFSET(B396,-1,0)+1,OFFSET(B396,-1,0)))</f>
        <v/>
      </c>
      <c r="C396" s="213">
        <f>IF(H396="CÉLULA CONSTRUTIVA",0,IF(H396="ETAPA",OFFSET(C396,-1,0)+1,OFFSET(C396,-1,0)))</f>
        <v/>
      </c>
      <c r="D396" s="214">
        <f>IF(H396="ETAPA",0,IF(H396="SUBETAPA",OFFSET(D396,-1,0)+1,OFFSET(D396,-1,0)))</f>
        <v/>
      </c>
      <c r="E396" s="214">
        <f>IF(H396="Subetapa",0,IF(H396="serviço",OFFSET(E396,-1,0)+1,OFFSET(E396,-1,0)))</f>
        <v/>
      </c>
      <c r="G396" s="124" t="n"/>
      <c r="H396" s="42" t="inlineStr">
        <is>
          <t>CÉLULA CONSTRUTIVA</t>
        </is>
      </c>
      <c r="I396" s="43">
        <f>IF(H396="Unidade Construtiva",TEXT(A396,"00"),IF(H396="Célula Construtiva",TEXT(B396,"00"),IF(H396="Etapa",CONCATENATE(TEXT(B396,"00"),".",TEXT(C396,"000")),IF(H396="Subetapa",CONCATENATE(TEXT(B396,"00"),".",TEXT(C396,"000"),".",TEXT(D396,"000")),IF(H396="Serviço",CONCATENATE(TEXT(B396,"00"),".",TEXT(C396,"000"),".",TEXT(D396,"000"),".",TEXT(E396,"000")),"")))))</f>
        <v/>
      </c>
      <c r="J396" s="48" t="inlineStr">
        <is>
          <t>REVESTIMENTOS E ACABAMENTOS EM FACHADA</t>
        </is>
      </c>
      <c r="K396" s="45" t="n"/>
      <c r="L396" s="46" t="n"/>
      <c r="M396" s="46" t="n"/>
      <c r="N396" s="47">
        <f>IF(H396="Serviço",M396*L396,IF(H396="CÉLULA CONSTRUTIVA",SUMIFS($N$8:$N$754,$B$8:$B$754,B396,$H$8:$H$754,"Serviço"),IF(H396="ETAPA",SUMIFS($N$8:$N$754,$B$8:$B$754,B396,$C$8:$C$754,C396,$H$8:$H$754,"Serviço"),IF(H396="SUBETAPA",SUMIFS($N$8:$N$754,$B$8:$B$754,B396,$C$8:$C$754,C396,$D$8:$D$754,D396,$H$8:$H$754,"Serviço"),0))))</f>
        <v/>
      </c>
      <c r="O396" s="45" t="n"/>
      <c r="P396" s="46" t="n"/>
      <c r="Q396" s="46" t="n"/>
      <c r="R396" s="47" t="n"/>
      <c r="S396" s="123" t="n"/>
      <c r="T396" s="215" t="n"/>
      <c r="U396" s="49" t="n"/>
    </row>
    <row r="397" hidden="1" outlineLevel="1" ht="13.8" customFormat="1" customHeight="1" s="31">
      <c r="A397" s="213">
        <f>IF($H397="UNIDADE CONSTRUTIVA",OFFSET(A397,-1,0)+1,LARGE(A$3:A340,1))</f>
        <v/>
      </c>
      <c r="B397" s="213">
        <f>IF(H397="UNIDADE CONSTRUTIVA",0,IF(H397="CÉLULA CONSTRUTIVA",OFFSET(B397,-1,0)+1,OFFSET(B397,-1,0)))</f>
        <v/>
      </c>
      <c r="C397" s="213">
        <f>IF(H397="CÉLULA CONSTRUTIVA",0,IF(H397="ETAPA",OFFSET(C397,-1,0)+1,OFFSET(C397,-1,0)))</f>
        <v/>
      </c>
      <c r="D397" s="214">
        <f>IF(H397="ETAPA",0,IF(H397="SUBETAPA",OFFSET(D397,-1,0)+1,OFFSET(D397,-1,0)))</f>
        <v/>
      </c>
      <c r="E397" s="214">
        <f>IF(H397="Subetapa",0,IF(H397="serviço",OFFSET(E397,-1,0)+1,OFFSET(E397,-1,0)))</f>
        <v/>
      </c>
      <c r="G397" s="124" t="n"/>
      <c r="H397" s="42" t="inlineStr">
        <is>
          <t>ETAPA</t>
        </is>
      </c>
      <c r="I397" s="43">
        <f>IF(H397="Unidade Construtiva",TEXT(A397,"00"),IF(H397="Célula Construtiva",TEXT(B397,"00"),IF(H397="Etapa",CONCATENATE(TEXT(B397,"00"),".",TEXT(C397,"000")),IF(H397="Subetapa",CONCATENATE(TEXT(B397,"00"),".",TEXT(C397,"000"),".",TEXT(D397,"000")),IF(H397="Serviço",CONCATENATE(TEXT(B397,"00"),".",TEXT(C397,"000"),".",TEXT(D397,"000"),".",TEXT(E397,"000")),"")))))</f>
        <v/>
      </c>
      <c r="J397" s="48" t="inlineStr">
        <is>
          <t>REVESTIMENTOS E ACABAMENTOS EM FACHADA</t>
        </is>
      </c>
      <c r="K397" s="45" t="n"/>
      <c r="L397" s="46" t="n"/>
      <c r="M397" s="46" t="n"/>
      <c r="N397" s="47">
        <f>IF(H397="Serviço",M397*L397,IF(H397="CÉLULA CONSTRUTIVA",SUMIFS($N$8:$N$754,$B$8:$B$754,B397,$H$8:$H$754,"Serviço"),IF(H397="ETAPA",SUMIFS($N$8:$N$754,$B$8:$B$754,B397,$C$8:$C$754,C397,$H$8:$H$754,"Serviço"),IF(H397="SUBETAPA",SUMIFS($N$8:$N$754,$B$8:$B$754,B397,$C$8:$C$754,C397,$D$8:$D$754,D397,$H$8:$H$754,"Serviço"),0))))</f>
        <v/>
      </c>
      <c r="O397" s="45" t="n"/>
      <c r="P397" s="46" t="n"/>
      <c r="Q397" s="46" t="n"/>
      <c r="R397" s="47" t="n"/>
      <c r="S397" s="123" t="n"/>
      <c r="T397" s="49" t="n"/>
      <c r="U397" s="49" t="n"/>
    </row>
    <row r="398" hidden="1" outlineLevel="1" ht="13.8" customFormat="1" customHeight="1" s="31">
      <c r="A398" s="213">
        <f>IF($H398="UNIDADE CONSTRUTIVA",OFFSET(A398,-1,0)+1,LARGE(A$3:A397,1))</f>
        <v/>
      </c>
      <c r="B398" s="213">
        <f>IF(H398="UNIDADE CONSTRUTIVA",0,IF(H398="CÉLULA CONSTRUTIVA",OFFSET(B398,-1,0)+1,OFFSET(B398,-1,0)))</f>
        <v/>
      </c>
      <c r="C398" s="213">
        <f>IF(H398="CÉLULA CONSTRUTIVA",0,IF(H398="ETAPA",OFFSET(C398,-1,0)+1,OFFSET(C398,-1,0)))</f>
        <v/>
      </c>
      <c r="D398" s="214">
        <f>IF(H398="ETAPA",0,IF(H398="SUBETAPA",OFFSET(D398,-1,0)+1,OFFSET(D398,-1,0)))</f>
        <v/>
      </c>
      <c r="E398" s="214">
        <f>IF(H398="Subetapa",0,IF(H398="serviço",OFFSET(E398,-1,0)+1,OFFSET(E398,-1,0)))</f>
        <v/>
      </c>
      <c r="G398" s="124" t="n"/>
      <c r="H398" s="42" t="inlineStr">
        <is>
          <t>SUBETAPA</t>
        </is>
      </c>
      <c r="I398" s="43">
        <f>IF(H398="Unidade Construtiva",TEXT(A398,"00"),IF(H398="Célula Construtiva",TEXT(B398,"00"),IF(H398="Etapa",CONCATENATE(TEXT(B398,"00"),".",TEXT(C398,"000")),IF(H398="Subetapa",CONCATENATE(TEXT(B398,"00"),".",TEXT(C398,"000"),".",TEXT(D398,"000")),IF(H398="Serviço",CONCATENATE(TEXT(B398,"00"),".",TEXT(C398,"000"),".",TEXT(D398,"000"),".",TEXT(E398,"000")),"")))))</f>
        <v/>
      </c>
      <c r="J398" s="48" t="inlineStr">
        <is>
          <t>Revestimento argamassado em fachada</t>
        </is>
      </c>
      <c r="K398" s="45" t="n"/>
      <c r="L398" s="46" t="n"/>
      <c r="M398" s="46" t="n"/>
      <c r="N398" s="47">
        <f>IF(H398="Serviço",M398*L398,IF(H398="CÉLULA CONSTRUTIVA",SUMIFS($N$8:$N$754,$B$8:$B$754,B398,$H$8:$H$754,"Serviço"),IF(H398="ETAPA",SUMIFS($N$8:$N$754,$B$8:$B$754,B398,$C$8:$C$754,C398,$H$8:$H$754,"Serviço"),IF(H398="SUBETAPA",SUMIFS($N$8:$N$754,$B$8:$B$754,B398,$C$8:$C$754,C398,$D$8:$D$754,D398,$H$8:$H$754,"Serviço"),0))))</f>
        <v/>
      </c>
      <c r="O398" s="45" t="n"/>
      <c r="P398" s="46" t="n"/>
      <c r="Q398" s="46" t="n"/>
      <c r="R398" s="216" t="inlineStr">
        <is>
          <t>15.001.008.001 - Revestimento de piso com piso emborrachado</t>
        </is>
      </c>
      <c r="S398" s="123" t="n"/>
      <c r="T398" s="49" t="n"/>
      <c r="U398" s="49" t="n"/>
    </row>
    <row r="399" hidden="1" outlineLevel="2" ht="13.8" customFormat="1" customHeight="1" s="31">
      <c r="A399" s="213">
        <f>IF($H399="UNIDADE CONSTRUTIVA",OFFSET(A399,-1,0)+1,LARGE(A$3:A398,1))</f>
        <v/>
      </c>
      <c r="B399" s="213">
        <f>IF(H399="UNIDADE CONSTRUTIVA",0,IF(H399="CÉLULA CONSTRUTIVA",OFFSET(B399,-1,0)+1,OFFSET(B399,-1,0)))</f>
        <v/>
      </c>
      <c r="C399" s="213">
        <f>IF(H399="CÉLULA CONSTRUTIVA",0,IF(H399="ETAPA",OFFSET(C399,-1,0)+1,OFFSET(C399,-1,0)))</f>
        <v/>
      </c>
      <c r="D399" s="214">
        <f>IF(H399="ETAPA",0,IF(H399="SUBETAPA",OFFSET(D399,-1,0)+1,OFFSET(D399,-1,0)))</f>
        <v/>
      </c>
      <c r="E399" s="214">
        <f>IF(H399="Subetapa",0,IF(H399="serviço",OFFSET(E399,-1,0)+1,OFFSET(E399,-1,0)))</f>
        <v/>
      </c>
      <c r="G399" s="124" t="inlineStr">
        <is>
          <t>REVESTIMENTOS E ACABAMENTOS EM FACHADA</t>
        </is>
      </c>
      <c r="H399" s="42" t="inlineStr">
        <is>
          <t>SERVIÇO</t>
        </is>
      </c>
      <c r="I399" s="43">
        <f>IF(H399="Unidade Construtiva",TEXT(A399,"00"),IF(H399="Célula Construtiva",TEXT(B399,"00"),IF(H399="Etapa",CONCATENATE(TEXT(B399,"00"),".",TEXT(C399,"000")),IF(H399="Subetapa",CONCATENATE(TEXT(B399,"00"),".",TEXT(C399,"000"),".",TEXT(D399,"000")),IF(H399="Serviço",CONCATENATE(TEXT(B399,"00"),".",TEXT(C399,"000"),".",TEXT(D399,"000"),".",TEXT(E399,"000")),"")))))</f>
        <v/>
      </c>
      <c r="J399" s="156" t="inlineStr">
        <is>
          <t>Chapisco aplicados em alvenaria, com argamassa estabilizada, aplicação convencional</t>
        </is>
      </c>
      <c r="K399" s="45" t="inlineStr">
        <is>
          <t>m2</t>
        </is>
      </c>
      <c r="L399" s="46" t="n">
        <v>2632.39</v>
      </c>
      <c r="M399" s="46" t="n">
        <v>6.691734</v>
      </c>
      <c r="N399" s="47">
        <f>IF(H399="Serviço",M399*L399,IF(H399="CÉLULA CONSTRUTIVA",SUMIFS($N$8:$N$754,$B$8:$B$754,B399,$H$8:$H$754,"Serviço"),IF(H399="ETAPA",SUMIFS($N$8:$N$754,$B$8:$B$754,B399,$C$8:$C$754,C399,$H$8:$H$754,"Serviço"),IF(H399="SUBETAPA",SUMIFS($N$8:$N$754,$B$8:$B$754,B399,$C$8:$C$754,C399,$D$8:$D$754,D399,$H$8:$H$754,"Serviço"),0))))</f>
        <v/>
      </c>
      <c r="O399" s="45" t="n"/>
      <c r="P399" s="46" t="n"/>
      <c r="Q399" s="46" t="n"/>
      <c r="R399" s="47" t="n"/>
      <c r="S399" s="123" t="n"/>
      <c r="T399" s="49" t="n"/>
      <c r="U399" s="49" t="n"/>
    </row>
    <row r="400" hidden="1" outlineLevel="2" ht="13.8" customFormat="1" customHeight="1" s="31">
      <c r="A400" s="213">
        <f>IF($H400="UNIDADE CONSTRUTIVA",OFFSET(A400,-1,0)+1,LARGE(A$3:A399,1))</f>
        <v/>
      </c>
      <c r="B400" s="213">
        <f>IF(H400="UNIDADE CONSTRUTIVA",0,IF(H400="CÉLULA CONSTRUTIVA",OFFSET(B400,-1,0)+1,OFFSET(B400,-1,0)))</f>
        <v/>
      </c>
      <c r="C400" s="213">
        <f>IF(H400="CÉLULA CONSTRUTIVA",0,IF(H400="ETAPA",OFFSET(C400,-1,0)+1,OFFSET(C400,-1,0)))</f>
        <v/>
      </c>
      <c r="D400" s="214">
        <f>IF(H400="ETAPA",0,IF(H400="SUBETAPA",OFFSET(D400,-1,0)+1,OFFSET(D400,-1,0)))</f>
        <v/>
      </c>
      <c r="E400" s="214">
        <f>IF(H400="Subetapa",0,IF(H400="serviço",OFFSET(E400,-1,0)+1,OFFSET(E400,-1,0)))</f>
        <v/>
      </c>
      <c r="G400" s="124" t="inlineStr">
        <is>
          <t>REVESTIMENTOS E ACABAMENTOS EM FACHADA</t>
        </is>
      </c>
      <c r="H400" s="42" t="inlineStr">
        <is>
          <t>SERVIÇO</t>
        </is>
      </c>
      <c r="I400" s="43">
        <f>IF(H400="Unidade Construtiva",TEXT(A400,"00"),IF(H400="Célula Construtiva",TEXT(B400,"00"),IF(H400="Etapa",CONCATENATE(TEXT(B400,"00"),".",TEXT(C400,"000")),IF(H400="Subetapa",CONCATENATE(TEXT(B400,"00"),".",TEXT(C400,"000"),".",TEXT(D400,"000")),IF(H400="Serviço",CONCATENATE(TEXT(B400,"00"),".",TEXT(C400,"000"),".",TEXT(D400,"000"),".",TEXT(E400,"000")),"")))))</f>
        <v/>
      </c>
      <c r="J400" s="48" t="inlineStr">
        <is>
          <t>Emboço interno em argamassa estabilizada, espessura de 2,5cm, com execução de taliscas</t>
        </is>
      </c>
      <c r="K400" s="45" t="inlineStr">
        <is>
          <t>m2</t>
        </is>
      </c>
      <c r="L400" s="46" t="n">
        <v>2632.39</v>
      </c>
      <c r="M400" s="46" t="n">
        <v>17.745838</v>
      </c>
      <c r="N400" s="47">
        <f>IF(H400="Serviço",M400*L400,IF(H400="CÉLULA CONSTRUTIVA",SUMIFS($N$8:$N$754,$B$8:$B$754,B400,$H$8:$H$754,"Serviço"),IF(H400="ETAPA",SUMIFS($N$8:$N$754,$B$8:$B$754,B400,$C$8:$C$754,C400,$H$8:$H$754,"Serviço"),IF(H400="SUBETAPA",SUMIFS($N$8:$N$754,$B$8:$B$754,B400,$C$8:$C$754,C400,$D$8:$D$754,D400,$H$8:$H$754,"Serviço"),0))))</f>
        <v/>
      </c>
      <c r="O400" s="45" t="n"/>
      <c r="P400" s="46" t="n"/>
      <c r="Q400" s="46" t="n"/>
      <c r="R400" s="47" t="n"/>
      <c r="S400" s="123" t="n"/>
      <c r="T400" s="157" t="n"/>
      <c r="U400" s="49" t="n"/>
    </row>
    <row r="401" hidden="1" outlineLevel="2" ht="13.8" customFormat="1" customHeight="1" s="31">
      <c r="A401" s="213">
        <f>IF($H401="UNIDADE CONSTRUTIVA",OFFSET(A401,-1,0)+1,LARGE(A$3:A399,1))</f>
        <v/>
      </c>
      <c r="B401" s="213">
        <f>IF(H401="UNIDADE CONSTRUTIVA",0,IF(H401="CÉLULA CONSTRUTIVA",OFFSET(B401,-1,0)+1,OFFSET(B401,-1,0)))</f>
        <v/>
      </c>
      <c r="C401" s="213">
        <f>IF(H401="CÉLULA CONSTRUTIVA",0,IF(H401="ETAPA",OFFSET(C401,-1,0)+1,OFFSET(C401,-1,0)))</f>
        <v/>
      </c>
      <c r="D401" s="214">
        <f>IF(H401="ETAPA",0,IF(H401="SUBETAPA",OFFSET(D401,-1,0)+1,OFFSET(D401,-1,0)))</f>
        <v/>
      </c>
      <c r="E401" s="214">
        <f>IF(H401="Subetapa",0,IF(H401="serviço",OFFSET(E401,-1,0)+1,OFFSET(E401,-1,0)))</f>
        <v/>
      </c>
      <c r="G401" s="124" t="inlineStr">
        <is>
          <t>REVESTIMENTOS E ACABAMENTOS EM FACHADA</t>
        </is>
      </c>
      <c r="H401" s="42" t="inlineStr">
        <is>
          <t>SERVIÇO</t>
        </is>
      </c>
      <c r="I401" s="43">
        <f>IF(H401="Unidade Construtiva",TEXT(A401,"00"),IF(H401="Célula Construtiva",TEXT(B401,"00"),IF(H401="Etapa",CONCATENATE(TEXT(B401,"00"),".",TEXT(C401,"000")),IF(H401="Subetapa",CONCATENATE(TEXT(B401,"00"),".",TEXT(C401,"000"),".",TEXT(D401,"000")),IF(H401="Serviço",CONCATENATE(TEXT(B401,"00"),".",TEXT(C401,"000"),".",TEXT(D401,"000"),".",TEXT(E401,"000")),"")))))</f>
        <v/>
      </c>
      <c r="J401" s="48" t="inlineStr">
        <is>
          <t>Reboco interno em argamassa estabilizada, espessura de 0,5cm, com execução desempenado fino</t>
        </is>
      </c>
      <c r="K401" s="45" t="inlineStr">
        <is>
          <t>m2</t>
        </is>
      </c>
      <c r="L401" s="46" t="n">
        <v>2632.39</v>
      </c>
      <c r="M401" s="46" t="n">
        <v>3.179714999999999</v>
      </c>
      <c r="N401" s="47">
        <f>IF(H401="Serviço",M401*L401,IF(H401="CÉLULA CONSTRUTIVA",SUMIFS($N$8:$N$754,$B$8:$B$754,B401,$H$8:$H$754,"Serviço"),IF(H401="ETAPA",SUMIFS($N$8:$N$754,$B$8:$B$754,B401,$C$8:$C$754,C401,$H$8:$H$754,"Serviço"),IF(H401="SUBETAPA",SUMIFS($N$8:$N$754,$B$8:$B$754,B401,$C$8:$C$754,C401,$D$8:$D$754,D401,$H$8:$H$754,"Serviço"),0))))</f>
        <v/>
      </c>
      <c r="O401" s="45" t="n"/>
      <c r="P401" s="46" t="n"/>
      <c r="Q401" s="46" t="n"/>
      <c r="R401" s="47" t="n"/>
      <c r="S401" s="123" t="n"/>
      <c r="T401" s="157" t="n"/>
      <c r="U401" s="49" t="n"/>
    </row>
    <row r="402" hidden="1" outlineLevel="1" ht="13.8" customFormat="1" customHeight="1" s="31">
      <c r="A402" s="213">
        <f>IF($H402="UNIDADE CONSTRUTIVA",OFFSET(A402,-1,0)+1,LARGE(A$3:A401,1))</f>
        <v/>
      </c>
      <c r="B402" s="213">
        <f>IF(H402="UNIDADE CONSTRUTIVA",0,IF(H402="CÉLULA CONSTRUTIVA",OFFSET(B402,-1,0)+1,OFFSET(B402,-1,0)))</f>
        <v/>
      </c>
      <c r="C402" s="213">
        <f>IF(H402="CÉLULA CONSTRUTIVA",0,IF(H402="ETAPA",OFFSET(C402,-1,0)+1,OFFSET(C402,-1,0)))</f>
        <v/>
      </c>
      <c r="D402" s="214">
        <f>IF(H402="ETAPA",0,IF(H402="SUBETAPA",OFFSET(D402,-1,0)+1,OFFSET(D402,-1,0)))</f>
        <v/>
      </c>
      <c r="E402" s="214">
        <f>IF(H402="Subetapa",0,IF(H402="serviço",OFFSET(E402,-1,0)+1,OFFSET(E402,-1,0)))</f>
        <v/>
      </c>
      <c r="G402" s="124" t="n"/>
      <c r="H402" s="42" t="inlineStr">
        <is>
          <t>SUBETAPA</t>
        </is>
      </c>
      <c r="I402" s="43">
        <f>IF(H402="Unidade Construtiva",TEXT(A402,"00"),IF(H402="Célula Construtiva",TEXT(B402,"00"),IF(H402="Etapa",CONCATENATE(TEXT(B402,"00"),".",TEXT(C402,"000")),IF(H402="Subetapa",CONCATENATE(TEXT(B402,"00"),".",TEXT(C402,"000"),".",TEXT(D402,"000")),IF(H402="Serviço",CONCATENATE(TEXT(B402,"00"),".",TEXT(C402,"000"),".",TEXT(D402,"000"),".",TEXT(E402,"000")),"")))))</f>
        <v/>
      </c>
      <c r="J402" s="48" t="inlineStr">
        <is>
          <t>ACM e Leds em fachada</t>
        </is>
      </c>
      <c r="K402" s="45" t="n"/>
      <c r="L402" s="46" t="n"/>
      <c r="M402" s="46" t="n"/>
      <c r="N402" s="47">
        <f>IF(H402="Serviço",M402*L402,IF(H402="CÉLULA CONSTRUTIVA",SUMIFS($N$8:$N$754,$B$8:$B$754,B402,$H$8:$H$754,"Serviço"),IF(H402="ETAPA",SUMIFS($N$8:$N$754,$B$8:$B$754,B402,$C$8:$C$754,C402,$H$8:$H$754,"Serviço"),IF(H402="SUBETAPA",SUMIFS($N$8:$N$754,$B$8:$B$754,B402,$C$8:$C$754,C402,$D$8:$D$754,D402,$H$8:$H$754,"Serviço"),0))))</f>
        <v/>
      </c>
      <c r="O402" s="45" t="n"/>
      <c r="P402" s="46" t="n"/>
      <c r="Q402" s="46" t="n"/>
      <c r="R402" s="216" t="inlineStr">
        <is>
          <t>01.01.001.0002.0005 - Projeto arquitetônico de fachada</t>
        </is>
      </c>
      <c r="S402" s="123" t="n"/>
      <c r="T402" s="49" t="n"/>
      <c r="U402" s="49" t="n"/>
    </row>
    <row r="403" hidden="1" outlineLevel="2" ht="13.8" customFormat="1" customHeight="1" s="31">
      <c r="A403" s="213">
        <f>IF($H403="UNIDADE CONSTRUTIVA",OFFSET(A403,-1,0)+1,LARGE(A$3:A402,1))</f>
        <v/>
      </c>
      <c r="B403" s="213">
        <f>IF(H403="UNIDADE CONSTRUTIVA",0,IF(H403="CÉLULA CONSTRUTIVA",OFFSET(B403,-1,0)+1,OFFSET(B403,-1,0)))</f>
        <v/>
      </c>
      <c r="C403" s="213">
        <f>IF(H403="CÉLULA CONSTRUTIVA",0,IF(H403="ETAPA",OFFSET(C403,-1,0)+1,OFFSET(C403,-1,0)))</f>
        <v/>
      </c>
      <c r="D403" s="214">
        <f>IF(H403="ETAPA",0,IF(H403="SUBETAPA",OFFSET(D403,-1,0)+1,OFFSET(D403,-1,0)))</f>
        <v/>
      </c>
      <c r="E403" s="214">
        <f>IF(H403="Subetapa",0,IF(H403="serviço",OFFSET(E403,-1,0)+1,OFFSET(E403,-1,0)))</f>
        <v/>
      </c>
      <c r="G403" s="124" t="inlineStr">
        <is>
          <t>REVESTIMENTOS E ACABAMENTOS EM FACHADA</t>
        </is>
      </c>
      <c r="H403" s="42" t="inlineStr">
        <is>
          <t>SERVIÇO</t>
        </is>
      </c>
      <c r="I403" s="43">
        <f>IF(H403="Unidade Construtiva",TEXT(A403,"00"),IF(H403="Célula Construtiva",TEXT(B403,"00"),IF(H403="Etapa",CONCATENATE(TEXT(B403,"00"),".",TEXT(C403,"000")),IF(H403="Subetapa",CONCATENATE(TEXT(B403,"00"),".",TEXT(C403,"000"),".",TEXT(D403,"000")),IF(H403="Serviço",CONCATENATE(TEXT(B403,"00"),".",TEXT(C403,"000"),".",TEXT(D403,"000"),".",TEXT(E403,"000")),"")))))</f>
        <v/>
      </c>
      <c r="J403" s="156" t="inlineStr">
        <is>
          <t>Revestimento em ACM, cor bronze, aplicação em Fachada - Material e  Mão de Obra</t>
        </is>
      </c>
      <c r="K403" s="45" t="inlineStr">
        <is>
          <t>m2</t>
        </is>
      </c>
      <c r="L403" s="46" t="n">
        <v>1399.7</v>
      </c>
      <c r="M403" s="46" t="n">
        <v>900</v>
      </c>
      <c r="N403" s="47">
        <f>IF(H403="Serviço",M403*L403,IF(H403="CÉLULA CONSTRUTIVA",SUMIFS($N$8:$N$754,$B$8:$B$754,B403,$H$8:$H$754,"Serviço"),IF(H403="ETAPA",SUMIFS($N$8:$N$754,$B$8:$B$754,B403,$C$8:$C$754,C403,$H$8:$H$754,"Serviço"),IF(H403="SUBETAPA",SUMIFS($N$8:$N$754,$B$8:$B$754,B403,$C$8:$C$754,C403,$D$8:$D$754,D403,$H$8:$H$754,"Serviço"),0))))</f>
        <v/>
      </c>
      <c r="O403" s="45" t="n"/>
      <c r="P403" s="46" t="n"/>
      <c r="Q403" s="46" t="n"/>
      <c r="R403" s="47" t="n"/>
      <c r="S403" s="123" t="n"/>
      <c r="T403" s="49" t="n"/>
      <c r="U403" s="49" t="n"/>
    </row>
    <row r="404" hidden="1" outlineLevel="2" ht="13.8" customFormat="1" customHeight="1" s="31">
      <c r="A404" s="213">
        <f>IF($H404="UNIDADE CONSTRUTIVA",OFFSET(A404,-1,0)+1,LARGE(A$3:A403,1))</f>
        <v/>
      </c>
      <c r="B404" s="213">
        <f>IF(H404="UNIDADE CONSTRUTIVA",0,IF(H404="CÉLULA CONSTRUTIVA",OFFSET(B404,-1,0)+1,OFFSET(B404,-1,0)))</f>
        <v/>
      </c>
      <c r="C404" s="213">
        <f>IF(H404="CÉLULA CONSTRUTIVA",0,IF(H404="ETAPA",OFFSET(C404,-1,0)+1,OFFSET(C404,-1,0)))</f>
        <v/>
      </c>
      <c r="D404" s="214">
        <f>IF(H404="ETAPA",0,IF(H404="SUBETAPA",OFFSET(D404,-1,0)+1,OFFSET(D404,-1,0)))</f>
        <v/>
      </c>
      <c r="E404" s="214">
        <f>IF(H404="Subetapa",0,IF(H404="serviço",OFFSET(E404,-1,0)+1,OFFSET(E404,-1,0)))</f>
        <v/>
      </c>
      <c r="G404" s="124" t="inlineStr">
        <is>
          <t>REVESTIMENTOS E ACABAMENTOS EM FACHADA</t>
        </is>
      </c>
      <c r="H404" s="42" t="inlineStr">
        <is>
          <t>SERVIÇO</t>
        </is>
      </c>
      <c r="I404" s="43">
        <f>IF(H404="Unidade Construtiva",TEXT(A404,"00"),IF(H404="Célula Construtiva",TEXT(B404,"00"),IF(H404="Etapa",CONCATENATE(TEXT(B404,"00"),".",TEXT(C404,"000")),IF(H404="Subetapa",CONCATENATE(TEXT(B404,"00"),".",TEXT(C404,"000"),".",TEXT(D404,"000")),IF(H404="Serviço",CONCATENATE(TEXT(B404,"00"),".",TEXT(C404,"000"),".",TEXT(D404,"000"),".",TEXT(E404,"000")),"")))))</f>
        <v/>
      </c>
      <c r="J404" s="156" t="inlineStr">
        <is>
          <t>Instalação de leds em fachada</t>
        </is>
      </c>
      <c r="K404" s="45" t="inlineStr">
        <is>
          <t>m</t>
        </is>
      </c>
      <c r="L404" s="46" t="n">
        <v>626.8433333333332</v>
      </c>
      <c r="M404" s="46" t="n">
        <v>800</v>
      </c>
      <c r="N404" s="47">
        <f>IF(H404="Serviço",M404*L404,IF(H404="CÉLULA CONSTRUTIVA",SUMIFS($N$8:$N$754,$B$8:$B$754,B404,$H$8:$H$754,"Serviço"),IF(H404="ETAPA",SUMIFS($N$8:$N$754,$B$8:$B$754,B404,$C$8:$C$754,C404,$H$8:$H$754,"Serviço"),IF(H404="SUBETAPA",SUMIFS($N$8:$N$754,$B$8:$B$754,B404,$C$8:$C$754,C404,$D$8:$D$754,D404,$H$8:$H$754,"Serviço"),0))))</f>
        <v/>
      </c>
      <c r="O404" s="45" t="n"/>
      <c r="P404" s="46" t="n"/>
      <c r="Q404" s="46" t="n"/>
      <c r="R404" s="47" t="n"/>
      <c r="S404" s="123" t="n"/>
      <c r="T404" s="49" t="n"/>
      <c r="U404" s="49" t="n"/>
    </row>
    <row r="405" hidden="1" outlineLevel="1" ht="13.8" customFormat="1" customHeight="1" s="31">
      <c r="A405" s="213">
        <f>IF($H405="UNIDADE CONSTRUTIVA",OFFSET(A405,-1,0)+1,LARGE(A$3:A399,1))</f>
        <v/>
      </c>
      <c r="B405" s="213">
        <f>IF(H405="UNIDADE CONSTRUTIVA",0,IF(H405="CÉLULA CONSTRUTIVA",OFFSET(B405,-1,0)+1,OFFSET(B405,-1,0)))</f>
        <v/>
      </c>
      <c r="C405" s="213">
        <f>IF(H405="CÉLULA CONSTRUTIVA",0,IF(H405="ETAPA",OFFSET(C405,-1,0)+1,OFFSET(C405,-1,0)))</f>
        <v/>
      </c>
      <c r="D405" s="214">
        <f>IF(H405="ETAPA",0,IF(H405="SUBETAPA",OFFSET(D405,-1,0)+1,OFFSET(D405,-1,0)))</f>
        <v/>
      </c>
      <c r="E405" s="214">
        <f>IF(H405="Subetapa",0,IF(H405="serviço",OFFSET(E405,-1,0)+1,OFFSET(E405,-1,0)))</f>
        <v/>
      </c>
      <c r="G405" s="124" t="n"/>
      <c r="H405" s="42" t="inlineStr">
        <is>
          <t>SUBETAPA</t>
        </is>
      </c>
      <c r="I405" s="43">
        <f>IF(H405="Unidade Construtiva",TEXT(A405,"00"),IF(H405="Célula Construtiva",TEXT(B405,"00"),IF(H405="Etapa",CONCATENATE(TEXT(B405,"00"),".",TEXT(C405,"000")),IF(H405="Subetapa",CONCATENATE(TEXT(B405,"00"),".",TEXT(C405,"000"),".",TEXT(D405,"000")),IF(H405="Serviço",CONCATENATE(TEXT(B405,"00"),".",TEXT(C405,"000"),".",TEXT(D405,"000"),".",TEXT(E405,"000")),"")))))</f>
        <v/>
      </c>
      <c r="J405" s="156" t="inlineStr">
        <is>
          <t>Tratamentos de fachada</t>
        </is>
      </c>
      <c r="K405" s="45" t="n"/>
      <c r="L405" s="46" t="n"/>
      <c r="M405" s="46" t="n"/>
      <c r="N405" s="47">
        <f>IF(H405="Serviço",M405*L405,IF(H405="CÉLULA CONSTRUTIVA",SUMIFS($N$8:$N$754,$B$8:$B$754,B405,$H$8:$H$754,"Serviço"),IF(H405="ETAPA",SUMIFS($N$8:$N$754,$B$8:$B$754,B405,$C$8:$C$754,C405,$H$8:$H$754,"Serviço"),IF(H405="SUBETAPA",SUMIFS($N$8:$N$754,$B$8:$B$754,B405,$C$8:$C$754,C405,$D$8:$D$754,D405,$H$8:$H$754,"Serviço"),0))))</f>
        <v/>
      </c>
      <c r="O405" s="45" t="n"/>
      <c r="P405" s="46" t="n"/>
      <c r="Q405" s="46" t="n"/>
      <c r="R405" s="216" t="inlineStr">
        <is>
          <t>05.001.007.001 - Tratamento de ralo com manta de poliester</t>
        </is>
      </c>
      <c r="S405" s="123" t="n"/>
      <c r="T405" s="49" t="n"/>
      <c r="U405" s="49" t="n"/>
    </row>
    <row r="406" hidden="1" outlineLevel="2" ht="13.8" customFormat="1" customHeight="1" s="31">
      <c r="A406" s="213">
        <f>IF($H406="UNIDADE CONSTRUTIVA",OFFSET(A406,-1,0)+1,LARGE(A$3:A405,1))</f>
        <v/>
      </c>
      <c r="B406" s="213">
        <f>IF(H406="UNIDADE CONSTRUTIVA",0,IF(H406="CÉLULA CONSTRUTIVA",OFFSET(B406,-1,0)+1,OFFSET(B406,-1,0)))</f>
        <v/>
      </c>
      <c r="C406" s="213">
        <f>IF(H406="CÉLULA CONSTRUTIVA",0,IF(H406="ETAPA",OFFSET(C406,-1,0)+1,OFFSET(C406,-1,0)))</f>
        <v/>
      </c>
      <c r="D406" s="214">
        <f>IF(H406="ETAPA",0,IF(H406="SUBETAPA",OFFSET(D406,-1,0)+1,OFFSET(D406,-1,0)))</f>
        <v/>
      </c>
      <c r="E406" s="214">
        <f>IF(H406="Subetapa",0,IF(H406="serviço",OFFSET(E406,-1,0)+1,OFFSET(E406,-1,0)))</f>
        <v/>
      </c>
      <c r="G406" s="124" t="inlineStr">
        <is>
          <t>REVESTIMENTOS E ACABAMENTOS EM FACHADA</t>
        </is>
      </c>
      <c r="H406" s="42" t="inlineStr">
        <is>
          <t>SERVIÇO</t>
        </is>
      </c>
      <c r="I406" s="43">
        <f>IF(H406="Unidade Construtiva",TEXT(A406,"00"),IF(H406="Célula Construtiva",TEXT(B406,"00"),IF(H406="Etapa",CONCATENATE(TEXT(B406,"00"),".",TEXT(C406,"000")),IF(H406="Subetapa",CONCATENATE(TEXT(B406,"00"),".",TEXT(C406,"000"),".",TEXT(D406,"000")),IF(H406="Serviço",CONCATENATE(TEXT(B406,"00"),".",TEXT(C406,"000"),".",TEXT(D406,"000"),".",TEXT(E406,"000")),"")))))</f>
        <v/>
      </c>
      <c r="J406" s="156" t="inlineStr">
        <is>
          <t>Friso horizontal no emboço da fachada</t>
        </is>
      </c>
      <c r="K406" s="45" t="inlineStr">
        <is>
          <t>m</t>
        </is>
      </c>
      <c r="L406" s="46" t="n">
        <v>1371.4</v>
      </c>
      <c r="M406" s="46" t="n">
        <v>30</v>
      </c>
      <c r="N406" s="47">
        <f>IF(H406="Serviço",M406*L406,IF(H406="CÉLULA CONSTRUTIVA",SUMIFS($N$8:$N$754,$B$8:$B$754,B406,$H$8:$H$754,"Serviço"),IF(H406="ETAPA",SUMIFS($N$8:$N$754,$B$8:$B$754,B406,$C$8:$C$754,C406,$H$8:$H$754,"Serviço"),IF(H406="SUBETAPA",SUMIFS($N$8:$N$754,$B$8:$B$754,B406,$C$8:$C$754,C406,$D$8:$D$754,D406,$H$8:$H$754,"Serviço"),0))))</f>
        <v/>
      </c>
      <c r="O406" s="45" t="n"/>
      <c r="P406" s="46" t="n"/>
      <c r="Q406" s="46" t="n"/>
      <c r="R406" s="47" t="n"/>
      <c r="S406" s="123" t="n"/>
      <c r="T406" s="49" t="n"/>
      <c r="U406" s="49" t="n"/>
    </row>
    <row r="407" hidden="1" outlineLevel="1" ht="13.8" customFormat="1" customHeight="1" s="31">
      <c r="A407" s="213">
        <f>IF($H407="UNIDADE CONSTRUTIVA",OFFSET(A407,-1,0)+1,LARGE(A$3:A401,1))</f>
        <v/>
      </c>
      <c r="B407" s="213">
        <f>IF(H407="UNIDADE CONSTRUTIVA",0,IF(H407="CÉLULA CONSTRUTIVA",OFFSET(B407,-1,0)+1,OFFSET(B407,-1,0)))</f>
        <v/>
      </c>
      <c r="C407" s="213">
        <f>IF(H407="CÉLULA CONSTRUTIVA",0,IF(H407="ETAPA",OFFSET(C407,-1,0)+1,OFFSET(C407,-1,0)))</f>
        <v/>
      </c>
      <c r="D407" s="214">
        <f>IF(H407="ETAPA",0,IF(H407="SUBETAPA",OFFSET(D407,-1,0)+1,OFFSET(D407,-1,0)))</f>
        <v/>
      </c>
      <c r="E407" s="214">
        <f>IF(H407="Subetapa",0,IF(H407="serviço",OFFSET(E407,-1,0)+1,OFFSET(E407,-1,0)))</f>
        <v/>
      </c>
      <c r="G407" s="124" t="n"/>
      <c r="H407" s="42" t="inlineStr">
        <is>
          <t>SUBETAPA</t>
        </is>
      </c>
      <c r="I407" s="43">
        <f>IF(H407="Unidade Construtiva",TEXT(A407,"00"),IF(H407="Célula Construtiva",TEXT(B407,"00"),IF(H407="Etapa",CONCATENATE(TEXT(B407,"00"),".",TEXT(C407,"000")),IF(H407="Subetapa",CONCATENATE(TEXT(B407,"00"),".",TEXT(C407,"000"),".",TEXT(D407,"000")),IF(H407="Serviço",CONCATENATE(TEXT(B407,"00"),".",TEXT(C407,"000"),".",TEXT(D407,"000"),".",TEXT(E407,"000")),"")))))</f>
        <v/>
      </c>
      <c r="J407" s="156" t="inlineStr">
        <is>
          <t xml:space="preserve">Mão de obra </t>
        </is>
      </c>
      <c r="K407" s="45" t="n"/>
      <c r="L407" s="46" t="n"/>
      <c r="M407" s="46" t="n"/>
      <c r="N407" s="47">
        <f>IF(H407="Serviço",M407*L407,IF(H407="CÉLULA CONSTRUTIVA",SUMIFS($N$8:$N$754,$B$8:$B$754,B407,$H$8:$H$754,"Serviço"),IF(H407="ETAPA",SUMIFS($N$8:$N$754,$B$8:$B$754,B407,$C$8:$C$754,C407,$H$8:$H$754,"Serviço"),IF(H407="SUBETAPA",SUMIFS($N$8:$N$754,$B$8:$B$754,B407,$C$8:$C$754,C407,$D$8:$D$754,D407,$H$8:$H$754,"Serviço"),0))))</f>
        <v/>
      </c>
      <c r="O407" s="45" t="n"/>
      <c r="P407" s="46" t="n"/>
      <c r="Q407" s="46" t="n"/>
      <c r="R407" s="216" t="inlineStr">
        <is>
          <t>19.001.005.001 - Mão de obra para telhamento</t>
        </is>
      </c>
      <c r="S407" s="123" t="n"/>
      <c r="T407" s="49" t="n"/>
      <c r="U407" s="49" t="n"/>
    </row>
    <row r="408" hidden="1" outlineLevel="2" ht="13.8" customFormat="1" customHeight="1" s="31">
      <c r="A408" s="213">
        <f>IF($H408="UNIDADE CONSTRUTIVA",OFFSET(A408,-1,0)+1,LARGE(A$3:A407,1))</f>
        <v/>
      </c>
      <c r="B408" s="213">
        <f>IF(H408="UNIDADE CONSTRUTIVA",0,IF(H408="CÉLULA CONSTRUTIVA",OFFSET(B408,-1,0)+1,OFFSET(B408,-1,0)))</f>
        <v/>
      </c>
      <c r="C408" s="213">
        <f>IF(H408="CÉLULA CONSTRUTIVA",0,IF(H408="ETAPA",OFFSET(C408,-1,0)+1,OFFSET(C408,-1,0)))</f>
        <v/>
      </c>
      <c r="D408" s="214">
        <f>IF(H408="ETAPA",0,IF(H408="SUBETAPA",OFFSET(D408,-1,0)+1,OFFSET(D408,-1,0)))</f>
        <v/>
      </c>
      <c r="E408" s="214">
        <f>IF(H408="Subetapa",0,IF(H408="serviço",OFFSET(E408,-1,0)+1,OFFSET(E408,-1,0)))</f>
        <v/>
      </c>
      <c r="G408" s="124" t="inlineStr">
        <is>
          <t>REVESTIMENTOS E ACABAMENTOS EM FACHADA</t>
        </is>
      </c>
      <c r="H408" s="42" t="inlineStr">
        <is>
          <t>SERVIÇO</t>
        </is>
      </c>
      <c r="I408" s="43">
        <f>IF(H408="Unidade Construtiva",TEXT(A408,"00"),IF(H408="Célula Construtiva",TEXT(B408,"00"),IF(H408="Etapa",CONCATENATE(TEXT(B408,"00"),".",TEXT(C408,"000")),IF(H408="Subetapa",CONCATENATE(TEXT(B408,"00"),".",TEXT(C408,"000"),".",TEXT(D408,"000")),IF(H408="Serviço",CONCATENATE(TEXT(B408,"00"),".",TEXT(C408,"000"),".",TEXT(D408,"000"),".",TEXT(E408,"000")),"")))))</f>
        <v/>
      </c>
      <c r="J408" s="156" t="inlineStr">
        <is>
          <t>Mao de obra para reboco externo - inclui chapisco</t>
        </is>
      </c>
      <c r="K408" s="45" t="inlineStr">
        <is>
          <t>m2</t>
        </is>
      </c>
      <c r="L408" s="46" t="n">
        <v>3507.05</v>
      </c>
      <c r="M408" s="46" t="n">
        <v>58</v>
      </c>
      <c r="N408" s="47">
        <f>IF(H408="Serviço",M408*L408,IF(H408="CÉLULA CONSTRUTIVA",SUMIFS($N$8:$N$754,$B$8:$B$754,B408,$H$8:$H$754,"Serviço"),IF(H408="ETAPA",SUMIFS($N$8:$N$754,$B$8:$B$754,B408,$C$8:$C$754,C408,$H$8:$H$754,"Serviço"),IF(H408="SUBETAPA",SUMIFS($N$8:$N$754,$B$8:$B$754,B408,$C$8:$C$754,C408,$D$8:$D$754,D408,$H$8:$H$754,"Serviço"),0))))</f>
        <v/>
      </c>
      <c r="O408" s="45" t="n"/>
      <c r="P408" s="46" t="n"/>
      <c r="Q408" s="46" t="n"/>
      <c r="R408" s="47" t="n"/>
      <c r="S408" s="123" t="n"/>
      <c r="T408" s="49" t="n"/>
      <c r="U408" s="49" t="n"/>
    </row>
    <row r="409" hidden="1" outlineLevel="1" ht="13.8" customFormat="1" customHeight="1" s="31">
      <c r="A409" s="213">
        <f>IF($H409="UNIDADE CONSTRUTIVA",OFFSET(A409,-1,0)+1,LARGE(A$3:A357,1))</f>
        <v/>
      </c>
      <c r="B409" s="213">
        <f>IF(H409="UNIDADE CONSTRUTIVA",0,IF(H409="CÉLULA CONSTRUTIVA",OFFSET(B409,-1,0)+1,OFFSET(B409,-1,0)))</f>
        <v/>
      </c>
      <c r="C409" s="213">
        <f>IF(H409="CÉLULA CONSTRUTIVA",0,IF(H409="ETAPA",OFFSET(C409,-1,0)+1,OFFSET(C409,-1,0)))</f>
        <v/>
      </c>
      <c r="D409" s="214">
        <f>IF(H409="ETAPA",0,IF(H409="SUBETAPA",OFFSET(D409,-1,0)+1,OFFSET(D409,-1,0)))</f>
        <v/>
      </c>
      <c r="E409" s="214">
        <f>IF(H409="Subetapa",0,IF(H409="serviço",OFFSET(E409,-1,0)+1,OFFSET(E409,-1,0)))</f>
        <v/>
      </c>
      <c r="G409" s="124" t="n"/>
      <c r="H409" s="42" t="inlineStr">
        <is>
          <t>ETAPA</t>
        </is>
      </c>
      <c r="I409" s="43">
        <f>IF(H409="Unidade Construtiva",TEXT(A409,"00"),IF(H409="Célula Construtiva",TEXT(B409,"00"),IF(H409="Etapa",CONCATENATE(TEXT(B409,"00"),".",TEXT(C409,"000")),IF(H409="Subetapa",CONCATENATE(TEXT(B409,"00"),".",TEXT(C409,"000"),".",TEXT(D409,"000")),IF(H409="Serviço",CONCATENATE(TEXT(B409,"00"),".",TEXT(C409,"000"),".",TEXT(D409,"000"),".",TEXT(E409,"000")),"")))))</f>
        <v/>
      </c>
      <c r="J409" s="48" t="inlineStr">
        <is>
          <t>PINTURA FACHADA</t>
        </is>
      </c>
      <c r="K409" s="45" t="n"/>
      <c r="L409" s="46" t="n"/>
      <c r="M409" s="46" t="n"/>
      <c r="N409" s="47">
        <f>IF(H409="Serviço",M409*L409,IF(H409="CÉLULA CONSTRUTIVA",SUMIFS($N$8:$N$754,$B$8:$B$754,B409,$H$8:$H$754,"Serviço"),IF(H409="ETAPA",SUMIFS($N$8:$N$754,$B$8:$B$754,B409,$C$8:$C$754,C409,$H$8:$H$754,"Serviço"),IF(H409="SUBETAPA",SUMIFS($N$8:$N$754,$B$8:$B$754,B409,$C$8:$C$754,C409,$D$8:$D$754,D409,$H$8:$H$754,"Serviço"),0))))</f>
        <v/>
      </c>
      <c r="O409" s="45" t="n"/>
      <c r="P409" s="46" t="n"/>
      <c r="Q409" s="46" t="n"/>
      <c r="R409" s="47" t="n"/>
      <c r="S409" s="123" t="n"/>
      <c r="T409" s="49" t="n"/>
      <c r="U409" s="49" t="n"/>
    </row>
    <row r="410" hidden="1" outlineLevel="1" ht="13.8" customFormat="1" customHeight="1" s="31">
      <c r="A410" s="213">
        <f>IF($H410="UNIDADE CONSTRUTIVA",OFFSET(A410,-1,0)+1,LARGE(A$3:A409,1))</f>
        <v/>
      </c>
      <c r="B410" s="213">
        <f>IF(H410="UNIDADE CONSTRUTIVA",0,IF(H410="CÉLULA CONSTRUTIVA",OFFSET(B410,-1,0)+1,OFFSET(B410,-1,0)))</f>
        <v/>
      </c>
      <c r="C410" s="213">
        <f>IF(H410="CÉLULA CONSTRUTIVA",0,IF(H410="ETAPA",OFFSET(C410,-1,0)+1,OFFSET(C410,-1,0)))</f>
        <v/>
      </c>
      <c r="D410" s="214">
        <f>IF(H410="ETAPA",0,IF(H410="SUBETAPA",OFFSET(D410,-1,0)+1,OFFSET(D410,-1,0)))</f>
        <v/>
      </c>
      <c r="E410" s="214">
        <f>IF(H410="Subetapa",0,IF(H410="serviço",OFFSET(E410,-1,0)+1,OFFSET(E410,-1,0)))</f>
        <v/>
      </c>
      <c r="G410" s="124" t="n"/>
      <c r="H410" s="42" t="inlineStr">
        <is>
          <t>SUBETAPA</t>
        </is>
      </c>
      <c r="I410" s="43">
        <f>IF(H410="Unidade Construtiva",TEXT(A410,"00"),IF(H410="Célula Construtiva",TEXT(B410,"00"),IF(H410="Etapa",CONCATENATE(TEXT(B410,"00"),".",TEXT(C410,"000")),IF(H410="Subetapa",CONCATENATE(TEXT(B410,"00"),".",TEXT(C410,"000"),".",TEXT(D410,"000")),IF(H410="Serviço",CONCATENATE(TEXT(B410,"00"),".",TEXT(C410,"000"),".",TEXT(D410,"000"),".",TEXT(E410,"000")),"")))))</f>
        <v/>
      </c>
      <c r="J410" s="48" t="inlineStr">
        <is>
          <t>Pintura e textura em fachada</t>
        </is>
      </c>
      <c r="K410" s="45" t="n"/>
      <c r="L410" s="46" t="n"/>
      <c r="M410" s="46" t="n"/>
      <c r="N410" s="47">
        <f>IF(H410="Serviço",M410*L410,IF(H410="CÉLULA CONSTRUTIVA",SUMIFS($N$8:$N$754,$B$8:$B$754,B410,$H$8:$H$754,"Serviço"),IF(H410="ETAPA",SUMIFS($N$8:$N$754,$B$8:$B$754,B410,$C$8:$C$754,C410,$H$8:$H$754,"Serviço"),IF(H410="SUBETAPA",SUMIFS($N$8:$N$754,$B$8:$B$754,B410,$C$8:$C$754,C410,$D$8:$D$754,D410,$H$8:$H$754,"Serviço"),0))))</f>
        <v/>
      </c>
      <c r="O410" s="45" t="n"/>
      <c r="P410" s="46" t="n"/>
      <c r="Q410" s="46" t="n"/>
      <c r="R410" s="216" t="inlineStr">
        <is>
          <t>01.01.001.0002.0005 - Projeto arquitetônico de fachada</t>
        </is>
      </c>
      <c r="S410" s="123" t="n"/>
      <c r="T410" s="49" t="n"/>
      <c r="U410" s="49" t="n"/>
    </row>
    <row r="411" hidden="1" outlineLevel="2" ht="13.8" customFormat="1" customHeight="1" s="31">
      <c r="A411" s="213">
        <f>IF($H411="UNIDADE CONSTRUTIVA",OFFSET(A411,-1,0)+1,LARGE(A$3:A410,1))</f>
        <v/>
      </c>
      <c r="B411" s="213">
        <f>IF(H411="UNIDADE CONSTRUTIVA",0,IF(H411="CÉLULA CONSTRUTIVA",OFFSET(B411,-1,0)+1,OFFSET(B411,-1,0)))</f>
        <v/>
      </c>
      <c r="C411" s="213">
        <f>IF(H411="CÉLULA CONSTRUTIVA",0,IF(H411="ETAPA",OFFSET(C411,-1,0)+1,OFFSET(C411,-1,0)))</f>
        <v/>
      </c>
      <c r="D411" s="214">
        <f>IF(H411="ETAPA",0,IF(H411="SUBETAPA",OFFSET(D411,-1,0)+1,OFFSET(D411,-1,0)))</f>
        <v/>
      </c>
      <c r="E411" s="214">
        <f>IF(H411="Subetapa",0,IF(H411="serviço",OFFSET(E411,-1,0)+1,OFFSET(E411,-1,0)))</f>
        <v/>
      </c>
      <c r="G411" s="124" t="inlineStr">
        <is>
          <t>REVESTIMENTOS E ACABAMENTOS EM FACHADA</t>
        </is>
      </c>
      <c r="H411" s="42" t="inlineStr">
        <is>
          <t>SERVIÇO</t>
        </is>
      </c>
      <c r="I411" s="43">
        <f>IF(H411="Unidade Construtiva",TEXT(A411,"00"),IF(H411="Célula Construtiva",TEXT(B411,"00"),IF(H411="Etapa",CONCATENATE(TEXT(B411,"00"),".",TEXT(C411,"000")),IF(H411="Subetapa",CONCATENATE(TEXT(B411,"00"),".",TEXT(C411,"000"),".",TEXT(D411,"000")),IF(H411="Serviço",CONCATENATE(TEXT(B411,"00"),".",TEXT(C411,"000"),".",TEXT(D411,"000"),".",TEXT(E411,"000")),"")))))</f>
        <v/>
      </c>
      <c r="J411" s="156" t="inlineStr">
        <is>
          <t>Textura acrílica, acabamento suave, aplicação em paredes externas - 1 demão - Tranquilidade (incluso selador e pintura)</t>
        </is>
      </c>
      <c r="K411" s="45" t="inlineStr">
        <is>
          <t>m2</t>
        </is>
      </c>
      <c r="L411" s="46" t="n">
        <v>1362.46</v>
      </c>
      <c r="M411" s="46" t="n">
        <v>47.14630555555556</v>
      </c>
      <c r="N411" s="47">
        <f>IF(H411="Serviço",M411*L411,IF(H411="CÉLULA CONSTRUTIVA",SUMIFS($N$8:$N$754,$B$8:$B$754,B411,$H$8:$H$754,"Serviço"),IF(H411="ETAPA",SUMIFS($N$8:$N$754,$B$8:$B$754,B411,$C$8:$C$754,C411,$H$8:$H$754,"Serviço"),IF(H411="SUBETAPA",SUMIFS($N$8:$N$754,$B$8:$B$754,B411,$C$8:$C$754,C411,$D$8:$D$754,D411,$H$8:$H$754,"Serviço"),0))))</f>
        <v/>
      </c>
      <c r="O411" s="45" t="n"/>
      <c r="P411" s="46" t="n"/>
      <c r="Q411" s="46" t="n"/>
      <c r="R411" s="47" t="n"/>
      <c r="S411" s="125" t="n"/>
      <c r="T411" s="49" t="n"/>
      <c r="U411" s="49" t="n"/>
    </row>
    <row r="412" hidden="1" outlineLevel="2" ht="13.8" customFormat="1" customHeight="1" s="31">
      <c r="A412" s="213">
        <f>IF($H412="UNIDADE CONSTRUTIVA",OFFSET(A412,-1,0)+1,LARGE(A$3:A411,1))</f>
        <v/>
      </c>
      <c r="B412" s="213">
        <f>IF(H412="UNIDADE CONSTRUTIVA",0,IF(H412="CÉLULA CONSTRUTIVA",OFFSET(B412,-1,0)+1,OFFSET(B412,-1,0)))</f>
        <v/>
      </c>
      <c r="C412" s="213">
        <f>IF(H412="CÉLULA CONSTRUTIVA",0,IF(H412="ETAPA",OFFSET(C412,-1,0)+1,OFFSET(C412,-1,0)))</f>
        <v/>
      </c>
      <c r="D412" s="214">
        <f>IF(H412="ETAPA",0,IF(H412="SUBETAPA",OFFSET(D412,-1,0)+1,OFFSET(D412,-1,0)))</f>
        <v/>
      </c>
      <c r="E412" s="214">
        <f>IF(H412="Subetapa",0,IF(H412="serviço",OFFSET(E412,-1,0)+1,OFFSET(E412,-1,0)))</f>
        <v/>
      </c>
      <c r="G412" s="124" t="inlineStr">
        <is>
          <t>REVESTIMENTOS E ACABAMENTOS EM FACHADA</t>
        </is>
      </c>
      <c r="H412" s="42" t="inlineStr">
        <is>
          <t>SERVIÇO</t>
        </is>
      </c>
      <c r="I412" s="43">
        <f>IF(H412="Unidade Construtiva",TEXT(A412,"00"),IF(H412="Célula Construtiva",TEXT(B412,"00"),IF(H412="Etapa",CONCATENATE(TEXT(B412,"00"),".",TEXT(C412,"000")),IF(H412="Subetapa",CONCATENATE(TEXT(B412,"00"),".",TEXT(C412,"000"),".",TEXT(D412,"000")),IF(H412="Serviço",CONCATENATE(TEXT(B412,"00"),".",TEXT(C412,"000"),".",TEXT(D412,"000"),".",TEXT(E412,"000")),"")))))</f>
        <v/>
      </c>
      <c r="J412" s="156" t="inlineStr">
        <is>
          <t>Textura acrílica, acabamento suave, aplicação em paredes externas - 1 demão - Carvão mineral (incluso selador e pintura)</t>
        </is>
      </c>
      <c r="K412" s="45" t="inlineStr">
        <is>
          <t>m2</t>
        </is>
      </c>
      <c r="L412" s="46" t="n">
        <v>1039.83</v>
      </c>
      <c r="M412" s="46" t="n">
        <v>48.72755555555555</v>
      </c>
      <c r="N412" s="47">
        <f>IF(H412="Serviço",M412*L412,IF(H412="CÉLULA CONSTRUTIVA",SUMIFS($N$8:$N$754,$B$8:$B$754,B412,$H$8:$H$754,"Serviço"),IF(H412="ETAPA",SUMIFS($N$8:$N$754,$B$8:$B$754,B412,$C$8:$C$754,C412,$H$8:$H$754,"Serviço"),IF(H412="SUBETAPA",SUMIFS($N$8:$N$754,$B$8:$B$754,B412,$C$8:$C$754,C412,$D$8:$D$754,D412,$H$8:$H$754,"Serviço"),0))))</f>
        <v/>
      </c>
      <c r="O412" s="45" t="n"/>
      <c r="P412" s="46" t="n"/>
      <c r="Q412" s="46" t="n"/>
      <c r="R412" s="47" t="n"/>
      <c r="S412" s="123" t="n"/>
      <c r="T412" s="49" t="n"/>
      <c r="U412" s="49" t="n"/>
    </row>
    <row r="413" hidden="1" outlineLevel="2" ht="13.8" customFormat="1" customHeight="1" s="31">
      <c r="A413" s="213">
        <f>IF($H413="UNIDADE CONSTRUTIVA",OFFSET(A413,-1,0)+1,LARGE(A$3:A412,1))</f>
        <v/>
      </c>
      <c r="B413" s="213">
        <f>IF(H413="UNIDADE CONSTRUTIVA",0,IF(H413="CÉLULA CONSTRUTIVA",OFFSET(B413,-1,0)+1,OFFSET(B413,-1,0)))</f>
        <v/>
      </c>
      <c r="C413" s="213">
        <f>IF(H413="CÉLULA CONSTRUTIVA",0,IF(H413="ETAPA",OFFSET(C413,-1,0)+1,OFFSET(C413,-1,0)))</f>
        <v/>
      </c>
      <c r="D413" s="214">
        <f>IF(H413="ETAPA",0,IF(H413="SUBETAPA",OFFSET(D413,-1,0)+1,OFFSET(D413,-1,0)))</f>
        <v/>
      </c>
      <c r="E413" s="214">
        <f>IF(H413="Subetapa",0,IF(H413="serviço",OFFSET(E413,-1,0)+1,OFFSET(E413,-1,0)))</f>
        <v/>
      </c>
      <c r="G413" s="124" t="inlineStr">
        <is>
          <t>REVESTIMENTOS E ACABAMENTOS EM FACHADA</t>
        </is>
      </c>
      <c r="H413" s="42" t="inlineStr">
        <is>
          <t>SERVIÇO</t>
        </is>
      </c>
      <c r="I413" s="43">
        <f>IF(H413="Unidade Construtiva",TEXT(A413,"00"),IF(H413="Célula Construtiva",TEXT(B413,"00"),IF(H413="Etapa",CONCATENATE(TEXT(B413,"00"),".",TEXT(C413,"000")),IF(H413="Subetapa",CONCATENATE(TEXT(B413,"00"),".",TEXT(C413,"000"),".",TEXT(D413,"000")),IF(H413="Serviço",CONCATENATE(TEXT(B413,"00"),".",TEXT(C413,"000"),".",TEXT(D413,"000"),".",TEXT(E413,"000")),"")))))</f>
        <v/>
      </c>
      <c r="J413" s="156" t="inlineStr">
        <is>
          <t>Textura acrílica, acabamento suave, aplicação em paredes externas - 1 demão - Branco  (incluso selador e pintura)</t>
        </is>
      </c>
      <c r="K413" s="45" t="inlineStr">
        <is>
          <t>m2</t>
        </is>
      </c>
      <c r="L413" s="46" t="n">
        <v>229.9300000000001</v>
      </c>
      <c r="M413" s="46" t="n">
        <v>32.25505555555556</v>
      </c>
      <c r="N413" s="47">
        <f>IF(H413="Serviço",M413*L413,IF(H413="CÉLULA CONSTRUTIVA",SUMIFS($N$8:$N$754,$B$8:$B$754,B413,$H$8:$H$754,"Serviço"),IF(H413="ETAPA",SUMIFS($N$8:$N$754,$B$8:$B$754,B413,$C$8:$C$754,C413,$H$8:$H$754,"Serviço"),IF(H413="SUBETAPA",SUMIFS($N$8:$N$754,$B$8:$B$754,B413,$C$8:$C$754,C413,$D$8:$D$754,D413,$H$8:$H$754,"Serviço"),0))))</f>
        <v/>
      </c>
      <c r="O413" s="45" t="n"/>
      <c r="P413" s="46" t="n"/>
      <c r="Q413" s="46" t="n"/>
      <c r="R413" s="47" t="n"/>
      <c r="S413" s="123" t="n"/>
      <c r="T413" s="157" t="n"/>
      <c r="U413" s="49" t="n"/>
    </row>
    <row r="414" hidden="1" outlineLevel="1" ht="13.8" customFormat="1" customHeight="1" s="31">
      <c r="A414" s="213">
        <f>IF($H414="UNIDADE CONSTRUTIVA",OFFSET(A414,-1,0)+1,LARGE(A$3:A413,1))</f>
        <v/>
      </c>
      <c r="B414" s="213">
        <f>IF(H414="UNIDADE CONSTRUTIVA",0,IF(H414="CÉLULA CONSTRUTIVA",OFFSET(B414,-1,0)+1,OFFSET(B414,-1,0)))</f>
        <v/>
      </c>
      <c r="C414" s="213">
        <f>IF(H414="CÉLULA CONSTRUTIVA",0,IF(H414="ETAPA",OFFSET(C414,-1,0)+1,OFFSET(C414,-1,0)))</f>
        <v/>
      </c>
      <c r="D414" s="214">
        <f>IF(H414="ETAPA",0,IF(H414="SUBETAPA",OFFSET(D414,-1,0)+1,OFFSET(D414,-1,0)))</f>
        <v/>
      </c>
      <c r="E414" s="214">
        <f>IF(H414="Subetapa",0,IF(H414="serviço",OFFSET(E414,-1,0)+1,OFFSET(E414,-1,0)))</f>
        <v/>
      </c>
      <c r="G414" s="124" t="n"/>
      <c r="H414" s="42" t="inlineStr">
        <is>
          <t>SUBETAPA</t>
        </is>
      </c>
      <c r="I414" s="43">
        <f>IF(H414="Unidade Construtiva",TEXT(A414,"00"),IF(H414="Célula Construtiva",TEXT(B414,"00"),IF(H414="Etapa",CONCATENATE(TEXT(B414,"00"),".",TEXT(C414,"000")),IF(H414="Subetapa",CONCATENATE(TEXT(B414,"00"),".",TEXT(C414,"000"),".",TEXT(D414,"000")),IF(H414="Serviço",CONCATENATE(TEXT(B414,"00"),".",TEXT(C414,"000"),".",TEXT(D414,"000"),".",TEXT(E414,"000")),"")))))</f>
        <v/>
      </c>
      <c r="J414" s="156" t="inlineStr">
        <is>
          <t>Mão de obra</t>
        </is>
      </c>
      <c r="K414" s="45" t="n"/>
      <c r="L414" s="46" t="n"/>
      <c r="M414" s="46" t="n"/>
      <c r="N414" s="47">
        <f>IF(H414="Serviço",M414*L414,IF(H414="CÉLULA CONSTRUTIVA",SUMIFS($N$8:$N$754,$B$8:$B$754,B414,$H$8:$H$754,"Serviço"),IF(H414="ETAPA",SUMIFS($N$8:$N$754,$B$8:$B$754,B414,$C$8:$C$754,C414,$H$8:$H$754,"Serviço"),IF(H414="SUBETAPA",SUMIFS($N$8:$N$754,$B$8:$B$754,B414,$C$8:$C$754,C414,$D$8:$D$754,D414,$H$8:$H$754,"Serviço"),0))))</f>
        <v/>
      </c>
      <c r="O414" s="45" t="n"/>
      <c r="P414" s="46" t="n"/>
      <c r="Q414" s="46" t="n"/>
      <c r="R414" s="216" t="inlineStr">
        <is>
          <t>19.001.005.001 - Mão de obra para telhamento</t>
        </is>
      </c>
      <c r="S414" s="123" t="n"/>
      <c r="T414" s="49" t="n"/>
      <c r="U414" s="49" t="n"/>
    </row>
    <row r="415" hidden="1" outlineLevel="2" ht="13.8" customFormat="1" customHeight="1" s="31">
      <c r="A415" s="213">
        <f>IF($H415="UNIDADE CONSTRUTIVA",OFFSET(A415,-1,0)+1,LARGE(A$3:A414,1))</f>
        <v/>
      </c>
      <c r="B415" s="213">
        <f>IF(H415="UNIDADE CONSTRUTIVA",0,IF(H415="CÉLULA CONSTRUTIVA",OFFSET(B415,-1,0)+1,OFFSET(B415,-1,0)))</f>
        <v/>
      </c>
      <c r="C415" s="213">
        <f>IF(H415="CÉLULA CONSTRUTIVA",0,IF(H415="ETAPA",OFFSET(C415,-1,0)+1,OFFSET(C415,-1,0)))</f>
        <v/>
      </c>
      <c r="D415" s="214">
        <f>IF(H415="ETAPA",0,IF(H415="SUBETAPA",OFFSET(D415,-1,0)+1,OFFSET(D415,-1,0)))</f>
        <v/>
      </c>
      <c r="E415" s="214">
        <f>IF(H415="Subetapa",0,IF(H415="serviço",OFFSET(E415,-1,0)+1,OFFSET(E415,-1,0)))</f>
        <v/>
      </c>
      <c r="G415" s="124" t="inlineStr">
        <is>
          <t>REVESTIMENTOS E ACABAMENTOS EM FACHADA</t>
        </is>
      </c>
      <c r="H415" s="42" t="inlineStr">
        <is>
          <t>SERVIÇO</t>
        </is>
      </c>
      <c r="I415" s="43">
        <f>IF(H415="Unidade Construtiva",TEXT(A415,"00"),IF(H415="Célula Construtiva",TEXT(B415,"00"),IF(H415="Etapa",CONCATENATE(TEXT(B415,"00"),".",TEXT(C415,"000")),IF(H415="Subetapa",CONCATENATE(TEXT(B415,"00"),".",TEXT(C415,"000"),".",TEXT(D415,"000")),IF(H415="Serviço",CONCATENATE(TEXT(B415,"00"),".",TEXT(C415,"000"),".",TEXT(D415,"000"),".",TEXT(E415,"000")),"")))))</f>
        <v/>
      </c>
      <c r="J415" s="156" t="inlineStr">
        <is>
          <t>Mão de obra para aplicação de textura em paredes externas - 1 demão</t>
        </is>
      </c>
      <c r="K415" s="45" t="inlineStr">
        <is>
          <t>m2</t>
        </is>
      </c>
      <c r="L415" s="46" t="n">
        <v>3507.05</v>
      </c>
      <c r="M415" s="46" t="n">
        <v>58</v>
      </c>
      <c r="N415" s="47">
        <f>IF(H415="Serviço",M415*L415,IF(H415="CÉLULA CONSTRUTIVA",SUMIFS($N$8:$N$754,$B$8:$B$754,B415,$H$8:$H$754,"Serviço"),IF(H415="ETAPA",SUMIFS($N$8:$N$754,$B$8:$B$754,B415,$C$8:$C$754,C415,$H$8:$H$754,"Serviço"),IF(H415="SUBETAPA",SUMIFS($N$8:$N$754,$B$8:$B$754,B415,$C$8:$C$754,C415,$D$8:$D$754,D415,$H$8:$H$754,"Serviço"),0))))</f>
        <v/>
      </c>
      <c r="O415" s="45" t="n"/>
      <c r="P415" s="46" t="n"/>
      <c r="Q415" s="46" t="n"/>
      <c r="R415" s="47" t="n"/>
      <c r="S415" s="123" t="n"/>
      <c r="T415" s="49" t="n"/>
      <c r="U415" s="49" t="n"/>
    </row>
    <row r="416" hidden="1" outlineLevel="2" ht="13.8" customFormat="1" customHeight="1" s="31">
      <c r="A416" s="213">
        <f>IF($H416="UNIDADE CONSTRUTIVA",OFFSET(A416,-1,0)+1,LARGE(A$3:A414,1))</f>
        <v/>
      </c>
      <c r="B416" s="213">
        <f>IF(H416="UNIDADE CONSTRUTIVA",0,IF(H416="CÉLULA CONSTRUTIVA",OFFSET(B416,-1,0)+1,OFFSET(B416,-1,0)))</f>
        <v/>
      </c>
      <c r="C416" s="213">
        <f>IF(H416="CÉLULA CONSTRUTIVA",0,IF(H416="ETAPA",OFFSET(C416,-1,0)+1,OFFSET(C416,-1,0)))</f>
        <v/>
      </c>
      <c r="D416" s="214">
        <f>IF(H416="ETAPA",0,IF(H416="SUBETAPA",OFFSET(D416,-1,0)+1,OFFSET(D416,-1,0)))</f>
        <v/>
      </c>
      <c r="E416" s="214">
        <f>IF(H416="Subetapa",0,IF(H416="serviço",OFFSET(E416,-1,0)+1,OFFSET(E416,-1,0)))</f>
        <v/>
      </c>
      <c r="G416" s="124" t="inlineStr">
        <is>
          <t>REVESTIMENTOS E ACABAMENTOS EM FACHADA</t>
        </is>
      </c>
      <c r="H416" s="42" t="inlineStr">
        <is>
          <t>SERVIÇO</t>
        </is>
      </c>
      <c r="I416" s="43">
        <f>IF(H416="Unidade Construtiva",TEXT(A416,"00"),IF(H416="Célula Construtiva",TEXT(B416,"00"),IF(H416="Etapa",CONCATENATE(TEXT(B416,"00"),".",TEXT(C416,"000")),IF(H416="Subetapa",CONCATENATE(TEXT(B416,"00"),".",TEXT(C416,"000"),".",TEXT(D416,"000")),IF(H416="Serviço",CONCATENATE(TEXT(B416,"00"),".",TEXT(C416,"000"),".",TEXT(D416,"000"),".",TEXT(E416,"000")),"")))))</f>
        <v/>
      </c>
      <c r="J416" s="156" t="inlineStr">
        <is>
          <t>Mão de obra para aplicação de Pintura em paredes externas - 1 demãos</t>
        </is>
      </c>
      <c r="K416" s="45" t="inlineStr">
        <is>
          <t>m2</t>
        </is>
      </c>
      <c r="L416" s="46">
        <f>L415</f>
        <v/>
      </c>
      <c r="M416" s="46" t="n">
        <v>19.33333333333333</v>
      </c>
      <c r="N416" s="47">
        <f>IF(H416="Serviço",M416*L416,IF(H416="CÉLULA CONSTRUTIVA",SUMIFS($N$8:$N$754,$B$8:$B$754,B416,$H$8:$H$754,"Serviço"),IF(H416="ETAPA",SUMIFS($N$8:$N$754,$B$8:$B$754,B416,$C$8:$C$754,C416,$H$8:$H$754,"Serviço"),IF(H416="SUBETAPA",SUMIFS($N$8:$N$754,$B$8:$B$754,B416,$C$8:$C$754,C416,$D$8:$D$754,D416,$H$8:$H$754,"Serviço"),0))))</f>
        <v/>
      </c>
      <c r="O416" s="45" t="n"/>
      <c r="P416" s="46" t="n"/>
      <c r="Q416" s="46" t="n"/>
      <c r="R416" s="47" t="n"/>
      <c r="S416" s="123" t="n"/>
      <c r="T416" s="49" t="n"/>
      <c r="U416" s="49" t="n"/>
    </row>
    <row r="417" ht="13.8" customFormat="1" customHeight="1" s="31">
      <c r="A417" s="213">
        <f>IF($H417="UNIDADE CONSTRUTIVA",OFFSET(A417,-1,0)+1,LARGE(A$3:A408,1))</f>
        <v/>
      </c>
      <c r="B417" s="213">
        <f>IF(H417="UNIDADE CONSTRUTIVA",0,IF(H417="CÉLULA CONSTRUTIVA",OFFSET(B417,-1,0)+1,OFFSET(B417,-1,0)))</f>
        <v/>
      </c>
      <c r="C417" s="213">
        <f>IF(H417="CÉLULA CONSTRUTIVA",0,IF(H417="ETAPA",OFFSET(C417,-1,0)+1,OFFSET(C417,-1,0)))</f>
        <v/>
      </c>
      <c r="D417" s="214">
        <f>IF(H417="ETAPA",0,IF(H417="SUBETAPA",OFFSET(D417,-1,0)+1,OFFSET(D417,-1,0)))</f>
        <v/>
      </c>
      <c r="E417" s="214">
        <f>IF(H417="Subetapa",0,IF(H417="serviço",OFFSET(E417,-1,0)+1,OFFSET(E417,-1,0)))</f>
        <v/>
      </c>
      <c r="G417" s="124" t="n"/>
      <c r="H417" s="42" t="inlineStr">
        <is>
          <t>CÉLULA CONSTRUTIVA</t>
        </is>
      </c>
      <c r="I417" s="43">
        <f>IF(H417="Unidade Construtiva",TEXT(A417,"00"),IF(H417="Célula Construtiva",TEXT(B417,"00"),IF(H417="Etapa",CONCATENATE(TEXT(B417,"00"),".",TEXT(C417,"000")),IF(H417="Subetapa",CONCATENATE(TEXT(B417,"00"),".",TEXT(C417,"000"),".",TEXT(D417,"000")),IF(H417="Serviço",CONCATENATE(TEXT(B417,"00"),".",TEXT(C417,"000"),".",TEXT(D417,"000"),".",TEXT(E417,"000")),"")))))</f>
        <v/>
      </c>
      <c r="J417" s="48" t="inlineStr">
        <is>
          <t>SERVIÇOS COMPLEMENTARES E FINAIS</t>
        </is>
      </c>
      <c r="K417" s="45" t="n"/>
      <c r="L417" s="46" t="n"/>
      <c r="M417" s="46" t="n"/>
      <c r="N417" s="47">
        <f>IF(H417="Serviço",M417*L417,IF(H417="CÉLULA CONSTRUTIVA",SUMIFS($N$8:$N$754,$B$8:$B$754,B417,$H$8:$H$754,"Serviço"),IF(H417="ETAPA",SUMIFS($N$8:$N$754,$B$8:$B$754,B417,$C$8:$C$754,C417,$H$8:$H$754,"Serviço"),IF(H417="SUBETAPA",SUMIFS($N$8:$N$754,$B$8:$B$754,B417,$C$8:$C$754,C417,$D$8:$D$754,D417,$H$8:$H$754,"Serviço"),0))))</f>
        <v/>
      </c>
      <c r="O417" s="45" t="n"/>
      <c r="P417" s="46" t="n"/>
      <c r="Q417" s="46" t="n"/>
      <c r="R417" s="47" t="n"/>
      <c r="S417" s="123" t="n"/>
      <c r="T417" s="215" t="n"/>
      <c r="U417" s="49" t="n"/>
    </row>
    <row r="418" outlineLevel="1" ht="13.8" customFormat="1" customHeight="1" s="31">
      <c r="A418" s="213">
        <f>IF($H418="UNIDADE CONSTRUTIVA",OFFSET(A418,-1,0)+1,LARGE(A$3:A408,1))</f>
        <v/>
      </c>
      <c r="B418" s="213">
        <f>IF(H418="UNIDADE CONSTRUTIVA",0,IF(H418="CÉLULA CONSTRUTIVA",OFFSET(B418,-1,0)+1,OFFSET(B418,-1,0)))</f>
        <v/>
      </c>
      <c r="C418" s="213">
        <f>IF(H418="CÉLULA CONSTRUTIVA",0,IF(H418="ETAPA",OFFSET(C418,-1,0)+1,OFFSET(C418,-1,0)))</f>
        <v/>
      </c>
      <c r="D418" s="214">
        <f>IF(H418="ETAPA",0,IF(H418="SUBETAPA",OFFSET(D418,-1,0)+1,OFFSET(D418,-1,0)))</f>
        <v/>
      </c>
      <c r="E418" s="214">
        <f>IF(H418="Subetapa",0,IF(H418="serviço",OFFSET(E418,-1,0)+1,OFFSET(E418,-1,0)))</f>
        <v/>
      </c>
      <c r="G418" s="124" t="n"/>
      <c r="H418" s="42" t="inlineStr">
        <is>
          <t>ETAPA</t>
        </is>
      </c>
      <c r="I418" s="43">
        <f>IF(H418="Unidade Construtiva",TEXT(A418,"00"),IF(H418="Célula Construtiva",TEXT(B418,"00"),IF(H418="Etapa",CONCATENATE(TEXT(B418,"00"),".",TEXT(C418,"000")),IF(H418="Subetapa",CONCATENATE(TEXT(B418,"00"),".",TEXT(C418,"000"),".",TEXT(D418,"000")),IF(H418="Serviço",CONCATENATE(TEXT(B418,"00"),".",TEXT(C418,"000"),".",TEXT(D418,"000"),".",TEXT(E418,"000")),"")))))</f>
        <v/>
      </c>
      <c r="J418" s="48" t="inlineStr">
        <is>
          <t>SERVIÇOS COMPLEMENTARES EXTERNOS</t>
        </is>
      </c>
      <c r="K418" s="45" t="n"/>
      <c r="L418" s="46" t="n"/>
      <c r="M418" s="46" t="n"/>
      <c r="N418" s="47">
        <f>IF(H418="Serviço",M418*L418,IF(H418="CÉLULA CONSTRUTIVA",SUMIFS($N$8:$N$754,$B$8:$B$754,B418,$H$8:$H$754,"Serviço"),IF(H418="ETAPA",SUMIFS($N$8:$N$754,$B$8:$B$754,B418,$C$8:$C$754,C418,$H$8:$H$754,"Serviço"),IF(H418="SUBETAPA",SUMIFS($N$8:$N$754,$B$8:$B$754,B418,$C$8:$C$754,C418,$D$8:$D$754,D418,$H$8:$H$754,"Serviço"),0))))</f>
        <v/>
      </c>
      <c r="O418" s="45" t="n"/>
      <c r="P418" s="46" t="n"/>
      <c r="Q418" s="46" t="n"/>
      <c r="R418" s="47" t="n"/>
      <c r="S418" s="164" t="n"/>
      <c r="T418" s="49" t="n"/>
      <c r="U418" s="49" t="n"/>
    </row>
    <row r="419" outlineLevel="1" ht="13.8" customFormat="1" customHeight="1" s="31">
      <c r="A419" s="213">
        <f>IF($H419="UNIDADE CONSTRUTIVA",OFFSET(A419,-1,0)+1,LARGE(A$3:A418,1))</f>
        <v/>
      </c>
      <c r="B419" s="213">
        <f>IF(H419="UNIDADE CONSTRUTIVA",0,IF(H419="CÉLULA CONSTRUTIVA",OFFSET(B419,-1,0)+1,OFFSET(B419,-1,0)))</f>
        <v/>
      </c>
      <c r="C419" s="213">
        <f>IF(H419="CÉLULA CONSTRUTIVA",0,IF(H419="ETAPA",OFFSET(C419,-1,0)+1,OFFSET(C419,-1,0)))</f>
        <v/>
      </c>
      <c r="D419" s="214">
        <f>IF(H419="ETAPA",0,IF(H419="SUBETAPA",OFFSET(D419,-1,0)+1,OFFSET(D419,-1,0)))</f>
        <v/>
      </c>
      <c r="E419" s="214">
        <f>IF(H419="Subetapa",0,IF(H419="serviço",OFFSET(E419,-1,0)+1,OFFSET(E419,-1,0)))</f>
        <v/>
      </c>
      <c r="G419" s="124" t="n"/>
      <c r="H419" s="42" t="inlineStr">
        <is>
          <t>SUBETAPA</t>
        </is>
      </c>
      <c r="I419" s="43">
        <f>IF(H419="Unidade Construtiva",TEXT(A419,"00"),IF(H419="Célula Construtiva",TEXT(B419,"00"),IF(H419="Etapa",CONCATENATE(TEXT(B419,"00"),".",TEXT(C419,"000")),IF(H419="Subetapa",CONCATENATE(TEXT(B419,"00"),".",TEXT(C419,"000"),".",TEXT(D419,"000")),IF(H419="Serviço",CONCATENATE(TEXT(B419,"00"),".",TEXT(C419,"000"),".",TEXT(D419,"000"),".",TEXT(E419,"000")),"")))))</f>
        <v/>
      </c>
      <c r="J419" s="48" t="inlineStr">
        <is>
          <t>Calçadas e Passeios</t>
        </is>
      </c>
      <c r="K419" s="45" t="n"/>
      <c r="L419" s="46" t="n"/>
      <c r="M419" s="46" t="n"/>
      <c r="N419" s="47">
        <f>IF(H419="Serviço",M419*L419,IF(H419="CÉLULA CONSTRUTIVA",SUMIFS($N$8:$N$754,$B$8:$B$754,B419,$H$8:$H$754,"Serviço"),IF(H419="ETAPA",SUMIFS($N$8:$N$754,$B$8:$B$754,B419,$C$8:$C$754,C419,$H$8:$H$754,"Serviço"),IF(H419="SUBETAPA",SUMIFS($N$8:$N$754,$B$8:$B$754,B419,$C$8:$C$754,C419,$D$8:$D$754,D419,$H$8:$H$754,"Serviço"),0))))</f>
        <v/>
      </c>
      <c r="O419" s="45" t="n"/>
      <c r="P419" s="46" t="n"/>
      <c r="Q419" s="46" t="n"/>
      <c r="R419" s="216" t="inlineStr">
        <is>
          <t>18.001.002.001 - Metais e acessórios</t>
        </is>
      </c>
      <c r="S419" s="164" t="n"/>
      <c r="T419" s="49" t="n"/>
      <c r="U419" s="49" t="n"/>
    </row>
    <row r="420" outlineLevel="2" ht="13.8" customFormat="1" customHeight="1" s="31">
      <c r="A420" s="213">
        <f>IF($H420="UNIDADE CONSTRUTIVA",OFFSET(A420,-1,0)+1,LARGE(A$3:A418,1))</f>
        <v/>
      </c>
      <c r="B420" s="213">
        <f>IF(H420="UNIDADE CONSTRUTIVA",0,IF(H420="CÉLULA CONSTRUTIVA",OFFSET(B420,-1,0)+1,OFFSET(B420,-1,0)))</f>
        <v/>
      </c>
      <c r="C420" s="213">
        <f>IF(H420="CÉLULA CONSTRUTIVA",0,IF(H420="ETAPA",OFFSET(C420,-1,0)+1,OFFSET(C420,-1,0)))</f>
        <v/>
      </c>
      <c r="D420" s="214">
        <f>IF(H420="ETAPA",0,IF(H420="SUBETAPA",OFFSET(D420,-1,0)+1,OFFSET(D420,-1,0)))</f>
        <v/>
      </c>
      <c r="E420" s="214">
        <f>IF(H420="Subetapa",0,IF(H420="serviço",OFFSET(E420,-1,0)+1,OFFSET(E420,-1,0)))</f>
        <v/>
      </c>
      <c r="G420" s="124" t="inlineStr">
        <is>
          <t>SERVIÇOS COMPLEMENTARES E FINAIS</t>
        </is>
      </c>
      <c r="H420" s="42" t="inlineStr">
        <is>
          <t>SERVIÇO</t>
        </is>
      </c>
      <c r="I420" s="43">
        <f>IF(H420="Unidade Construtiva",TEXT(A420,"00"),IF(H420="Célula Construtiva",TEXT(B420,"00"),IF(H420="Etapa",CONCATENATE(TEXT(B420,"00"),".",TEXT(C420,"000")),IF(H420="Subetapa",CONCATENATE(TEXT(B420,"00"),".",TEXT(C420,"000"),".",TEXT(D420,"000")),IF(H420="Serviço",CONCATENATE(TEXT(B420,"00"),".",TEXT(C420,"000"),".",TEXT(D420,"000"),".",TEXT(E420,"000")),"")))))</f>
        <v/>
      </c>
      <c r="J420" s="48" t="inlineStr">
        <is>
          <t>Piso de concreto, acabamento estampado, espessura 6 cm</t>
        </is>
      </c>
      <c r="K420" s="45" t="inlineStr">
        <is>
          <t>m2</t>
        </is>
      </c>
      <c r="L420" s="46" t="n">
        <v>122.26</v>
      </c>
      <c r="M420" s="46" t="n">
        <v>77.36682066666667</v>
      </c>
      <c r="N420" s="47">
        <f>IF(H420="Serviço",M420*L420,IF(H420="CÉLULA CONSTRUTIVA",SUMIFS($N$8:$N$754,$B$8:$B$754,B420,$H$8:$H$754,"Serviço"),IF(H420="ETAPA",SUMIFS($N$8:$N$754,$B$8:$B$754,B420,$C$8:$C$754,C420,$H$8:$H$754,"Serviço"),IF(H420="SUBETAPA",SUMIFS($N$8:$N$754,$B$8:$B$754,B420,$C$8:$C$754,C420,$D$8:$D$754,D420,$H$8:$H$754,"Serviço"),0))))</f>
        <v/>
      </c>
      <c r="O420" s="45" t="n"/>
      <c r="P420" s="46" t="n"/>
      <c r="Q420" s="46" t="n"/>
      <c r="R420" s="47" t="n"/>
      <c r="S420" s="164" t="n"/>
      <c r="T420" s="49" t="n"/>
      <c r="U420" s="49" t="n"/>
    </row>
    <row r="421" outlineLevel="2" ht="13.8" customFormat="1" customHeight="1" s="31">
      <c r="A421" s="213">
        <f>IF($H421="UNIDADE CONSTRUTIVA",OFFSET(A421,-1,0)+1,LARGE(A$3:A419,1))</f>
        <v/>
      </c>
      <c r="B421" s="213">
        <f>IF(H421="UNIDADE CONSTRUTIVA",0,IF(H421="CÉLULA CONSTRUTIVA",OFFSET(B421,-1,0)+1,OFFSET(B421,-1,0)))</f>
        <v/>
      </c>
      <c r="C421" s="213">
        <f>IF(H421="CÉLULA CONSTRUTIVA",0,IF(H421="ETAPA",OFFSET(C421,-1,0)+1,OFFSET(C421,-1,0)))</f>
        <v/>
      </c>
      <c r="D421" s="214">
        <f>IF(H421="ETAPA",0,IF(H421="SUBETAPA",OFFSET(D421,-1,0)+1,OFFSET(D421,-1,0)))</f>
        <v/>
      </c>
      <c r="E421" s="214">
        <f>IF(H421="Subetapa",0,IF(H421="serviço",OFFSET(E421,-1,0)+1,OFFSET(E421,-1,0)))</f>
        <v/>
      </c>
      <c r="G421" s="124" t="inlineStr">
        <is>
          <t>SERVIÇOS COMPLEMENTARES E FINAIS</t>
        </is>
      </c>
      <c r="H421" s="42" t="inlineStr">
        <is>
          <t>SERVIÇO</t>
        </is>
      </c>
      <c r="I421" s="43">
        <f>IF(H421="Unidade Construtiva",TEXT(A421,"00"),IF(H421="Célula Construtiva",TEXT(B421,"00"),IF(H421="Etapa",CONCATENATE(TEXT(B421,"00"),".",TEXT(C421,"000")),IF(H421="Subetapa",CONCATENATE(TEXT(B421,"00"),".",TEXT(C421,"000"),".",TEXT(D421,"000")),IF(H421="Serviço",CONCATENATE(TEXT(B421,"00"),".",TEXT(C421,"000"),".",TEXT(D421,"000"),".",TEXT(E421,"000")),"")))))</f>
        <v/>
      </c>
      <c r="J421" s="48" t="inlineStr">
        <is>
          <t>Mão de obra execução Piso de concreto</t>
        </is>
      </c>
      <c r="K421" s="45" t="inlineStr">
        <is>
          <t>m2</t>
        </is>
      </c>
      <c r="L421" s="46">
        <f>L420</f>
        <v/>
      </c>
      <c r="M421" s="46" t="n">
        <v>25</v>
      </c>
      <c r="N421" s="47">
        <f>IF(H421="Serviço",M421*L421,IF(H421="CÉLULA CONSTRUTIVA",SUMIFS($N$8:$N$754,$B$8:$B$754,B421,$H$8:$H$754,"Serviço"),IF(H421="ETAPA",SUMIFS($N$8:$N$754,$B$8:$B$754,B421,$C$8:$C$754,C421,$H$8:$H$754,"Serviço"),IF(H421="SUBETAPA",SUMIFS($N$8:$N$754,$B$8:$B$754,B421,$C$8:$C$754,C421,$D$8:$D$754,D421,$H$8:$H$754,"Serviço"),0))))</f>
        <v/>
      </c>
      <c r="O421" s="45" t="n"/>
      <c r="P421" s="46" t="n"/>
      <c r="Q421" s="46" t="n"/>
      <c r="R421" s="47" t="n"/>
      <c r="S421" s="164" t="n"/>
      <c r="T421" s="49" t="n"/>
      <c r="U421" s="49" t="n"/>
    </row>
    <row r="422" outlineLevel="1" ht="13.8" customFormat="1" customHeight="1" s="31">
      <c r="A422" s="213">
        <f>IF($H422="UNIDADE CONSTRUTIVA",OFFSET(A422,-1,0)+1,LARGE(A$3:A417,1))</f>
        <v/>
      </c>
      <c r="B422" s="213">
        <f>IF(H422="UNIDADE CONSTRUTIVA",0,IF(H422="CÉLULA CONSTRUTIVA",OFFSET(B422,-1,0)+1,OFFSET(B422,-1,0)))</f>
        <v/>
      </c>
      <c r="C422" s="213">
        <f>IF(H422="CÉLULA CONSTRUTIVA",0,IF(H422="ETAPA",OFFSET(C422,-1,0)+1,OFFSET(C422,-1,0)))</f>
        <v/>
      </c>
      <c r="D422" s="214">
        <f>IF(H422="ETAPA",0,IF(H422="SUBETAPA",OFFSET(D422,-1,0)+1,OFFSET(D422,-1,0)))</f>
        <v/>
      </c>
      <c r="E422" s="214">
        <f>IF(H422="Subetapa",0,IF(H422="serviço",OFFSET(E422,-1,0)+1,OFFSET(E422,-1,0)))</f>
        <v/>
      </c>
      <c r="G422" s="124" t="n"/>
      <c r="H422" s="42" t="inlineStr">
        <is>
          <t>ETAPA</t>
        </is>
      </c>
      <c r="I422" s="43">
        <f>IF(H422="Unidade Construtiva",TEXT(A422,"00"),IF(H422="Célula Construtiva",TEXT(B422,"00"),IF(H422="Etapa",CONCATENATE(TEXT(B422,"00"),".",TEXT(C422,"000")),IF(H422="Subetapa",CONCATENATE(TEXT(B422,"00"),".",TEXT(C422,"000"),".",TEXT(D422,"000")),IF(H422="Serviço",CONCATENATE(TEXT(B422,"00"),".",TEXT(C422,"000"),".",TEXT(D422,"000"),".",TEXT(E422,"000")),"")))))</f>
        <v/>
      </c>
      <c r="J422" s="48" t="inlineStr">
        <is>
          <t>SERVIÇOS COMPLEMENTARES E FINAIS</t>
        </is>
      </c>
      <c r="K422" s="45" t="n"/>
      <c r="L422" s="46" t="n"/>
      <c r="M422" s="46" t="n"/>
      <c r="N422" s="47">
        <f>IF(H422="Serviço",M422*L422,IF(H422="CÉLULA CONSTRUTIVA",SUMIFS($N$8:$N$754,$B$8:$B$754,B422,$H$8:$H$754,"Serviço"),IF(H422="ETAPA",SUMIFS($N$8:$N$754,$B$8:$B$754,B422,$C$8:$C$754,C422,$H$8:$H$754,"Serviço"),IF(H422="SUBETAPA",SUMIFS($N$8:$N$754,$B$8:$B$754,B422,$C$8:$C$754,C422,$D$8:$D$754,D422,$H$8:$H$754,"Serviço"),0))))</f>
        <v/>
      </c>
      <c r="O422" s="45" t="n"/>
      <c r="P422" s="46" t="n"/>
      <c r="Q422" s="46" t="n"/>
      <c r="R422" s="47" t="n"/>
      <c r="S422" s="164" t="n"/>
      <c r="T422" s="49" t="n"/>
      <c r="U422" s="49" t="n"/>
    </row>
    <row r="423" outlineLevel="1" ht="13.8" customFormat="1" customHeight="1" s="31">
      <c r="A423" s="213">
        <f>IF($H423="UNIDADE CONSTRUTIVA",OFFSET(A423,-1,0)+1,LARGE(A$3:A422,1))</f>
        <v/>
      </c>
      <c r="B423" s="213">
        <f>IF(H423="UNIDADE CONSTRUTIVA",0,IF(H423="CÉLULA CONSTRUTIVA",OFFSET(B423,-1,0)+1,OFFSET(B423,-1,0)))</f>
        <v/>
      </c>
      <c r="C423" s="213">
        <f>IF(H423="CÉLULA CONSTRUTIVA",0,IF(H423="ETAPA",OFFSET(C423,-1,0)+1,OFFSET(C423,-1,0)))</f>
        <v/>
      </c>
      <c r="D423" s="214">
        <f>IF(H423="ETAPA",0,IF(H423="SUBETAPA",OFFSET(D423,-1,0)+1,OFFSET(D423,-1,0)))</f>
        <v/>
      </c>
      <c r="E423" s="214">
        <f>IF(H423="Subetapa",0,IF(H423="serviço",OFFSET(E423,-1,0)+1,OFFSET(E423,-1,0)))</f>
        <v/>
      </c>
      <c r="G423" s="124" t="n"/>
      <c r="H423" s="42" t="inlineStr">
        <is>
          <t>SUBETAPA</t>
        </is>
      </c>
      <c r="I423" s="43">
        <f>IF(H423="Unidade Construtiva",TEXT(A423,"00"),IF(H423="Célula Construtiva",TEXT(B423,"00"),IF(H423="Etapa",CONCATENATE(TEXT(B423,"00"),".",TEXT(C423,"000")),IF(H423="Subetapa",CONCATENATE(TEXT(B423,"00"),".",TEXT(C423,"000"),".",TEXT(D423,"000")),IF(H423="Serviço",CONCATENATE(TEXT(B423,"00"),".",TEXT(C423,"000"),".",TEXT(D423,"000"),".",TEXT(E423,"000")),"")))))</f>
        <v/>
      </c>
      <c r="J423" s="48" t="inlineStr">
        <is>
          <t xml:space="preserve">Mobiliário e decoração </t>
        </is>
      </c>
      <c r="K423" s="45" t="n"/>
      <c r="L423" s="46" t="n"/>
      <c r="M423" s="46" t="n"/>
      <c r="N423" s="47">
        <f>IF(H423="Serviço",M423*L423,IF(H423="CÉLULA CONSTRUTIVA",SUMIFS($N$118:$N$438,$B$118:$B$438,B423,$H$118:$H$438,"Serviço"),IF(H423="ETAPA",SUMIFS($N$118:$N$438,$B$118:$B$438,B423,$C$118:$C$438,C423,$H$118:$H$438,"Serviço"),IF(H423="SUBETAPA",SUMIFS($N$118:$N$438,$B$118:$B$438,B423,$C$118:$C$438,C423,$D$118:$D$438,D423,$H$118:$H$438,"Serviço"),0))))</f>
        <v/>
      </c>
      <c r="O423" s="45" t="n"/>
      <c r="P423" s="46" t="n"/>
      <c r="Q423" s="46" t="n"/>
      <c r="R423" s="216" t="inlineStr">
        <is>
          <t>21.001.001.001 - Mobiliário e decoração</t>
        </is>
      </c>
      <c r="S423" s="164" t="n"/>
      <c r="T423" s="49" t="n"/>
      <c r="U423" s="49" t="n"/>
    </row>
    <row r="424" outlineLevel="2" ht="13.8" customFormat="1" customHeight="1" s="31">
      <c r="A424" s="213">
        <f>IF($H424="UNIDADE CONSTRUTIVA",OFFSET(A424,-1,0)+1,LARGE(A$3:A423,1))</f>
        <v/>
      </c>
      <c r="B424" s="213">
        <f>IF(H424="UNIDADE CONSTRUTIVA",0,IF(H424="CÉLULA CONSTRUTIVA",OFFSET(B424,-1,0)+1,OFFSET(B424,-1,0)))</f>
        <v/>
      </c>
      <c r="C424" s="213">
        <f>IF(H424="CÉLULA CONSTRUTIVA",0,IF(H424="ETAPA",OFFSET(C424,-1,0)+1,OFFSET(C424,-1,0)))</f>
        <v/>
      </c>
      <c r="D424" s="214">
        <f>IF(H424="ETAPA",0,IF(H424="SUBETAPA",OFFSET(D424,-1,0)+1,OFFSET(D424,-1,0)))</f>
        <v/>
      </c>
      <c r="E424" s="214">
        <f>IF(H424="Subetapa",0,IF(H424="serviço",OFFSET(E424,-1,0)+1,OFFSET(E424,-1,0)))</f>
        <v/>
      </c>
      <c r="G424" s="124" t="inlineStr">
        <is>
          <t>SERVIÇOS COMPLEMENTARES E FINAIS</t>
        </is>
      </c>
      <c r="H424" s="42" t="inlineStr">
        <is>
          <t>SERVIÇO</t>
        </is>
      </c>
      <c r="I424" s="43">
        <f>IF(H424="Unidade Construtiva",TEXT(A424,"00"),IF(H424="Célula Construtiva",TEXT(B424,"00"),IF(H424="Etapa",CONCATENATE(TEXT(B424,"00"),".",TEXT(C424,"000")),IF(H424="Subetapa",CONCATENATE(TEXT(B424,"00"),".",TEXT(C424,"000"),".",TEXT(D424,"000")),IF(H424="Serviço",CONCATENATE(TEXT(B424,"00"),".",TEXT(C424,"000"),".",TEXT(D424,"000"),".",TEXT(E424,"000")),"")))))</f>
        <v/>
      </c>
      <c r="J424" s="48" t="inlineStr">
        <is>
          <t xml:space="preserve">Mobiliário e decoração </t>
        </is>
      </c>
      <c r="K424" s="45" t="inlineStr">
        <is>
          <t>vb</t>
        </is>
      </c>
      <c r="L424" s="46" t="n">
        <v>1</v>
      </c>
      <c r="M424" s="46" t="n">
        <v>875798.7500000001</v>
      </c>
      <c r="N424" s="47">
        <f>IF(H424="Serviço",M424*L424,IF(H424="CÉLULA CONSTRUTIVA",SUMIFS($N$118:$N$438,$B$118:$B$438,B424,$H$118:$H$438,"Serviço"),IF(H424="ETAPA",SUMIFS($N$118:$N$438,$B$118:$B$438,B424,$C$118:$C$438,C424,$H$118:$H$438,"Serviço"),IF(H424="SUBETAPA",SUMIFS($N$118:$N$438,$B$118:$B$438,B424,$C$118:$C$438,C424,$D$118:$D$438,D424,$H$118:$H$438,"Serviço"),0))))</f>
        <v/>
      </c>
      <c r="O424" s="45" t="n"/>
      <c r="P424" s="46" t="n"/>
      <c r="Q424" s="46" t="n"/>
      <c r="R424" s="47" t="n"/>
      <c r="S424" s="164" t="n"/>
      <c r="T424" s="49" t="n"/>
      <c r="U424" s="49" t="n"/>
    </row>
    <row r="425" outlineLevel="1" ht="13.8" customFormat="1" customHeight="1" s="31">
      <c r="A425" s="213">
        <f>IF($H425="UNIDADE CONSTRUTIVA",OFFSET(A425,-1,0)+1,LARGE(A$3:A424,1))</f>
        <v/>
      </c>
      <c r="B425" s="213">
        <f>IF(H425="UNIDADE CONSTRUTIVA",0,IF(H425="CÉLULA CONSTRUTIVA",OFFSET(B425,-1,0)+1,OFFSET(B425,-1,0)))</f>
        <v/>
      </c>
      <c r="C425" s="213">
        <f>IF(H425="CÉLULA CONSTRUTIVA",0,IF(H425="ETAPA",OFFSET(C425,-1,0)+1,OFFSET(C425,-1,0)))</f>
        <v/>
      </c>
      <c r="D425" s="214">
        <f>IF(H425="ETAPA",0,IF(H425="SUBETAPA",OFFSET(D425,-1,0)+1,OFFSET(D425,-1,0)))</f>
        <v/>
      </c>
      <c r="E425" s="214">
        <f>IF(H425="Subetapa",0,IF(H425="serviço",OFFSET(E425,-1,0)+1,OFFSET(E425,-1,0)))</f>
        <v/>
      </c>
      <c r="G425" s="124" t="n"/>
      <c r="H425" s="42" t="inlineStr">
        <is>
          <t>SUBETAPA</t>
        </is>
      </c>
      <c r="I425" s="43">
        <f>IF(H425="Unidade Construtiva",TEXT(A425,"00"),IF(H425="Célula Construtiva",TEXT(B425,"00"),IF(H425="Etapa",CONCATENATE(TEXT(B425,"00"),".",TEXT(C425,"000")),IF(H425="Subetapa",CONCATENATE(TEXT(B425,"00"),".",TEXT(C425,"000"),".",TEXT(D425,"000")),IF(H425="Serviço",CONCATENATE(TEXT(B425,"00"),".",TEXT(C425,"000"),".",TEXT(D425,"000"),".",TEXT(E425,"000")),"")))))</f>
        <v/>
      </c>
      <c r="J425" s="48" t="inlineStr">
        <is>
          <t>Comunicação visual</t>
        </is>
      </c>
      <c r="K425" s="45" t="n"/>
      <c r="L425" s="46" t="n"/>
      <c r="M425" s="46" t="n"/>
      <c r="N425" s="47">
        <f>IF(H425="Serviço",M425*L425,IF(H425="CÉLULA CONSTRUTIVA",SUMIFS($N$118:$N$438,$B$118:$B$438,B425,$H$118:$H$438,"Serviço"),IF(H425="ETAPA",SUMIFS($N$118:$N$438,$B$118:$B$438,B425,$C$118:$C$438,C425,$H$118:$H$438,"Serviço"),IF(H425="SUBETAPA",SUMIFS($N$118:$N$438,$B$118:$B$438,B425,$C$118:$C$438,C425,$D$118:$D$438,D425,$H$118:$H$438,"Serviço"),0))))</f>
        <v/>
      </c>
      <c r="O425" s="45" t="n"/>
      <c r="P425" s="46" t="n"/>
      <c r="Q425" s="46" t="n"/>
      <c r="R425" s="216" t="inlineStr">
        <is>
          <t>01.001.001.001 - Movimentação de terra</t>
        </is>
      </c>
      <c r="S425" s="164" t="n"/>
      <c r="T425" s="49" t="n"/>
      <c r="U425" s="49" t="n"/>
    </row>
    <row r="426" outlineLevel="2" ht="13.8" customFormat="1" customHeight="1" s="31">
      <c r="A426" s="213">
        <f>IF($H426="UNIDADE CONSTRUTIVA",OFFSET(A426,-1,0)+1,LARGE(A$3:A425,1))</f>
        <v/>
      </c>
      <c r="B426" s="213">
        <f>IF(H426="UNIDADE CONSTRUTIVA",0,IF(H426="CÉLULA CONSTRUTIVA",OFFSET(B426,-1,0)+1,OFFSET(B426,-1,0)))</f>
        <v/>
      </c>
      <c r="C426" s="213">
        <f>IF(H426="CÉLULA CONSTRUTIVA",0,IF(H426="ETAPA",OFFSET(C426,-1,0)+1,OFFSET(C426,-1,0)))</f>
        <v/>
      </c>
      <c r="D426" s="214">
        <f>IF(H426="ETAPA",0,IF(H426="SUBETAPA",OFFSET(D426,-1,0)+1,OFFSET(D426,-1,0)))</f>
        <v/>
      </c>
      <c r="E426" s="214">
        <f>IF(H426="Subetapa",0,IF(H426="serviço",OFFSET(E426,-1,0)+1,OFFSET(E426,-1,0)))</f>
        <v/>
      </c>
      <c r="G426" s="124" t="inlineStr">
        <is>
          <t>SERVIÇOS COMPLEMENTARES E FINAIS</t>
        </is>
      </c>
      <c r="H426" s="42" t="inlineStr">
        <is>
          <t>SERVIÇO</t>
        </is>
      </c>
      <c r="I426" s="43">
        <f>IF(H426="Unidade Construtiva",TEXT(A426,"00"),IF(H426="Célula Construtiva",TEXT(B426,"00"),IF(H426="Etapa",CONCATENATE(TEXT(B426,"00"),".",TEXT(C426,"000")),IF(H426="Subetapa",CONCATENATE(TEXT(B426,"00"),".",TEXT(C426,"000"),".",TEXT(D426,"000")),IF(H426="Serviço",CONCATENATE(TEXT(B426,"00"),".",TEXT(C426,"000"),".",TEXT(D426,"000"),".",TEXT(E426,"000")),"")))))</f>
        <v/>
      </c>
      <c r="J426" s="48" t="inlineStr">
        <is>
          <t>Comunicação visual</t>
        </is>
      </c>
      <c r="K426" s="45" t="inlineStr">
        <is>
          <t>vb</t>
        </is>
      </c>
      <c r="L426" s="46" t="n">
        <v>1</v>
      </c>
      <c r="M426" s="46" t="n">
        <v>57478.63</v>
      </c>
      <c r="N426" s="47">
        <f>IF(H426="Serviço",M426*L426,IF(H426="CÉLULA CONSTRUTIVA",SUMIFS($N$118:$N$438,$B$118:$B$438,B426,$H$118:$H$438,"Serviço"),IF(H426="ETAPA",SUMIFS($N$118:$N$438,$B$118:$B$438,B426,$C$118:$C$438,C426,$H$118:$H$438,"Serviço"),IF(H426="SUBETAPA",SUMIFS($N$118:$N$438,$B$118:$B$438,B426,$C$118:$C$438,C426,$D$118:$D$438,D426,$H$118:$H$438,"Serviço"),0))))</f>
        <v/>
      </c>
      <c r="O426" s="45" t="n"/>
      <c r="P426" s="46" t="n"/>
      <c r="Q426" s="46" t="n"/>
      <c r="R426" s="47" t="n"/>
      <c r="S426" s="164" t="n"/>
      <c r="T426" s="49" t="n"/>
      <c r="U426" s="49" t="n"/>
    </row>
    <row r="427" outlineLevel="1" ht="13.8" customFormat="1" customHeight="1" s="31">
      <c r="A427" s="213">
        <f>IF($H427="UNIDADE CONSTRUTIVA",OFFSET(A427,-1,0)+1,LARGE(A$3:A424,1))</f>
        <v/>
      </c>
      <c r="B427" s="213">
        <f>IF(H427="UNIDADE CONSTRUTIVA",0,IF(H427="CÉLULA CONSTRUTIVA",OFFSET(B427,-1,0)+1,OFFSET(B427,-1,0)))</f>
        <v/>
      </c>
      <c r="C427" s="213">
        <f>IF(H427="CÉLULA CONSTRUTIVA",0,IF(H427="ETAPA",OFFSET(C427,-1,0)+1,OFFSET(C427,-1,0)))</f>
        <v/>
      </c>
      <c r="D427" s="214">
        <f>IF(H427="ETAPA",0,IF(H427="SUBETAPA",OFFSET(D427,-1,0)+1,OFFSET(D427,-1,0)))</f>
        <v/>
      </c>
      <c r="E427" s="214">
        <f>IF(H427="Subetapa",0,IF(H427="serviço",OFFSET(E427,-1,0)+1,OFFSET(E427,-1,0)))</f>
        <v/>
      </c>
      <c r="G427" s="124" t="n"/>
      <c r="H427" s="42" t="inlineStr">
        <is>
          <t>SUBETAPA</t>
        </is>
      </c>
      <c r="I427" s="43">
        <f>IF(H427="Unidade Construtiva",TEXT(A427,"00"),IF(H427="Célula Construtiva",TEXT(B427,"00"),IF(H427="Etapa",CONCATENATE(TEXT(B427,"00"),".",TEXT(C427,"000")),IF(H427="Subetapa",CONCATENATE(TEXT(B427,"00"),".",TEXT(C427,"000"),".",TEXT(D427,"000")),IF(H427="Serviço",CONCATENATE(TEXT(B427,"00"),".",TEXT(C427,"000"),".",TEXT(D427,"000"),".",TEXT(E427,"000")),"")))))</f>
        <v/>
      </c>
      <c r="J427" s="48" t="inlineStr">
        <is>
          <t>Paisagismo</t>
        </is>
      </c>
      <c r="K427" s="45" t="n"/>
      <c r="L427" s="46" t="n"/>
      <c r="M427" s="46" t="n"/>
      <c r="N427" s="47">
        <f>IF(H427="Serviço",M427*L427,IF(H427="CÉLULA CONSTRUTIVA",SUMIFS($N$118:$N$438,$B$118:$B$438,B427,$H$118:$H$438,"Serviço"),IF(H427="ETAPA",SUMIFS($N$118:$N$438,$B$118:$B$438,B427,$C$118:$C$438,C427,$H$118:$H$438,"Serviço"),IF(H427="SUBETAPA",SUMIFS($N$118:$N$438,$B$118:$B$438,B427,$C$118:$C$438,C427,$D$118:$D$438,D427,$H$118:$H$438,"Serviço"),0))))</f>
        <v/>
      </c>
      <c r="O427" s="45" t="n"/>
      <c r="P427" s="46" t="n"/>
      <c r="Q427" s="46" t="n"/>
      <c r="R427" s="216" t="inlineStr">
        <is>
          <t>21.001.002.001 - Paisagismo</t>
        </is>
      </c>
      <c r="S427" s="164" t="n"/>
      <c r="T427" s="49" t="n"/>
      <c r="U427" s="49" t="n"/>
    </row>
    <row r="428" outlineLevel="2" ht="13.8" customFormat="1" customHeight="1" s="31">
      <c r="A428" s="213">
        <f>IF($H428="UNIDADE CONSTRUTIVA",OFFSET(A428,-1,0)+1,LARGE(A$3:A427,1))</f>
        <v/>
      </c>
      <c r="B428" s="213">
        <f>IF(H428="UNIDADE CONSTRUTIVA",0,IF(H428="CÉLULA CONSTRUTIVA",OFFSET(B428,-1,0)+1,OFFSET(B428,-1,0)))</f>
        <v/>
      </c>
      <c r="C428" s="213">
        <f>IF(H428="CÉLULA CONSTRUTIVA",0,IF(H428="ETAPA",OFFSET(C428,-1,0)+1,OFFSET(C428,-1,0)))</f>
        <v/>
      </c>
      <c r="D428" s="214">
        <f>IF(H428="ETAPA",0,IF(H428="SUBETAPA",OFFSET(D428,-1,0)+1,OFFSET(D428,-1,0)))</f>
        <v/>
      </c>
      <c r="E428" s="214">
        <f>IF(H428="Subetapa",0,IF(H428="serviço",OFFSET(E428,-1,0)+1,OFFSET(E428,-1,0)))</f>
        <v/>
      </c>
      <c r="G428" s="124" t="inlineStr">
        <is>
          <t>SERVIÇOS COMPLEMENTARES E FINAIS</t>
        </is>
      </c>
      <c r="H428" s="42" t="inlineStr">
        <is>
          <t>SERVIÇO</t>
        </is>
      </c>
      <c r="I428" s="43">
        <f>IF(H428="Unidade Construtiva",TEXT(A428,"00"),IF(H428="Célula Construtiva",TEXT(B428,"00"),IF(H428="Etapa",CONCATENATE(TEXT(B428,"00"),".",TEXT(C428,"000")),IF(H428="Subetapa",CONCATENATE(TEXT(B428,"00"),".",TEXT(C428,"000"),".",TEXT(D428,"000")),IF(H428="Serviço",CONCATENATE(TEXT(B428,"00"),".",TEXT(C428,"000"),".",TEXT(D428,"000"),".",TEXT(E428,"000")),"")))))</f>
        <v/>
      </c>
      <c r="J428" s="48" t="inlineStr">
        <is>
          <t xml:space="preserve">Paisagismo </t>
        </is>
      </c>
      <c r="K428" s="45" t="inlineStr">
        <is>
          <t>vb</t>
        </is>
      </c>
      <c r="L428" s="46" t="n">
        <v>1</v>
      </c>
      <c r="M428" s="46" t="n">
        <v>52253.3</v>
      </c>
      <c r="N428" s="47">
        <f>IF(H428="Serviço",M428*L428,IF(H428="CÉLULA CONSTRUTIVA",SUMIFS($N$118:$N$438,$B$118:$B$438,B428,$H$118:$H$438,"Serviço"),IF(H428="ETAPA",SUMIFS($N$118:$N$438,$B$118:$B$438,B428,$C$118:$C$438,C428,$H$118:$H$438,"Serviço"),IF(H428="SUBETAPA",SUMIFS($N$118:$N$438,$B$118:$B$438,B428,$C$118:$C$438,C428,$D$118:$D$438,D428,$H$118:$H$438,"Serviço"),0))))</f>
        <v/>
      </c>
      <c r="O428" s="45" t="n"/>
      <c r="P428" s="46" t="n"/>
      <c r="Q428" s="46" t="n"/>
      <c r="R428" s="47" t="n"/>
      <c r="S428" s="164" t="n"/>
      <c r="T428" s="49" t="n"/>
      <c r="U428" s="49" t="n"/>
    </row>
    <row r="429" outlineLevel="2" ht="13.8" customFormat="1" customHeight="1" s="31">
      <c r="A429" s="213">
        <f>IF($H429="UNIDADE CONSTRUTIVA",OFFSET(A429,-1,0)+1,LARGE(A$3:A428,1))</f>
        <v/>
      </c>
      <c r="B429" s="213">
        <f>IF(H429="UNIDADE CONSTRUTIVA",0,IF(H429="CÉLULA CONSTRUTIVA",OFFSET(B429,-1,0)+1,OFFSET(B429,-1,0)))</f>
        <v/>
      </c>
      <c r="C429" s="213">
        <f>IF(H429="CÉLULA CONSTRUTIVA",0,IF(H429="ETAPA",OFFSET(C429,-1,0)+1,OFFSET(C429,-1,0)))</f>
        <v/>
      </c>
      <c r="D429" s="214">
        <f>IF(H429="ETAPA",0,IF(H429="SUBETAPA",OFFSET(D429,-1,0)+1,OFFSET(D429,-1,0)))</f>
        <v/>
      </c>
      <c r="E429" s="214">
        <f>IF(H429="Subetapa",0,IF(H429="serviço",OFFSET(E429,-1,0)+1,OFFSET(E429,-1,0)))</f>
        <v/>
      </c>
      <c r="G429" s="124" t="inlineStr">
        <is>
          <t>SERVIÇOS COMPLEMENTARES E FINAIS</t>
        </is>
      </c>
      <c r="H429" s="42" t="inlineStr">
        <is>
          <t>SERVIÇO</t>
        </is>
      </c>
      <c r="I429" s="43">
        <f>IF(H429="Unidade Construtiva",TEXT(A429,"00"),IF(H429="Célula Construtiva",TEXT(B429,"00"),IF(H429="Etapa",CONCATENATE(TEXT(B429,"00"),".",TEXT(C429,"000")),IF(H429="Subetapa",CONCATENATE(TEXT(B429,"00"),".",TEXT(C429,"000"),".",TEXT(D429,"000")),IF(H429="Serviço",CONCATENATE(TEXT(B429,"00"),".",TEXT(C429,"000"),".",TEXT(D429,"000"),".",TEXT(E429,"000")),"")))))</f>
        <v/>
      </c>
      <c r="J429" s="48" t="inlineStr">
        <is>
          <t>Irrigação do Paisagismo</t>
        </is>
      </c>
      <c r="K429" s="45" t="inlineStr">
        <is>
          <t>vb</t>
        </is>
      </c>
      <c r="L429" s="46" t="n">
        <v>1</v>
      </c>
      <c r="M429" s="46" t="n">
        <v>15675.99</v>
      </c>
      <c r="N429" s="47">
        <f>IF(H429="Serviço",M429*L429,IF(H429="CÉLULA CONSTRUTIVA",SUMIFS($N$118:$N$438,$B$118:$B$438,B429,$H$118:$H$438,"Serviço"),IF(H429="ETAPA",SUMIFS($N$118:$N$438,$B$118:$B$438,B429,$C$118:$C$438,C429,$H$118:$H$438,"Serviço"),IF(H429="SUBETAPA",SUMIFS($N$118:$N$438,$B$118:$B$438,B429,$C$118:$C$438,C429,$D$118:$D$438,D429,$H$118:$H$438,"Serviço"),0))))</f>
        <v/>
      </c>
      <c r="O429" s="45" t="n"/>
      <c r="P429" s="46" t="n"/>
      <c r="Q429" s="46" t="n"/>
      <c r="R429" s="47" t="n"/>
      <c r="S429" s="164" t="n"/>
      <c r="T429" s="49" t="n"/>
      <c r="U429" s="49" t="n"/>
    </row>
    <row r="430" outlineLevel="1" ht="13.8" customFormat="1" customHeight="1" s="31">
      <c r="A430" s="213">
        <f>IF($H430="UNIDADE CONSTRUTIVA",OFFSET(A430,-1,0)+1,LARGE(A$3:A427,1))</f>
        <v/>
      </c>
      <c r="B430" s="213">
        <f>IF(H430="UNIDADE CONSTRUTIVA",0,IF(H430="CÉLULA CONSTRUTIVA",OFFSET(B430,-1,0)+1,OFFSET(B430,-1,0)))</f>
        <v/>
      </c>
      <c r="C430" s="213">
        <f>IF(H430="CÉLULA CONSTRUTIVA",0,IF(H430="ETAPA",OFFSET(C430,-1,0)+1,OFFSET(C430,-1,0)))</f>
        <v/>
      </c>
      <c r="D430" s="214">
        <f>IF(H430="ETAPA",0,IF(H430="SUBETAPA",OFFSET(D430,-1,0)+1,OFFSET(D430,-1,0)))</f>
        <v/>
      </c>
      <c r="E430" s="214">
        <f>IF(H430="Subetapa",0,IF(H430="serviço",OFFSET(E430,-1,0)+1,OFFSET(E430,-1,0)))</f>
        <v/>
      </c>
      <c r="G430" s="124" t="n"/>
      <c r="H430" s="42" t="inlineStr">
        <is>
          <t>SUBETAPA</t>
        </is>
      </c>
      <c r="I430" s="43">
        <f>IF(H430="Unidade Construtiva",TEXT(A430,"00"),IF(H430="Célula Construtiva",TEXT(B430,"00"),IF(H430="Etapa",CONCATENATE(TEXT(B430,"00"),".",TEXT(C430,"000")),IF(H430="Subetapa",CONCATENATE(TEXT(B430,"00"),".",TEXT(C430,"000"),".",TEXT(D430,"000")),IF(H430="Serviço",CONCATENATE(TEXT(B430,"00"),".",TEXT(C430,"000"),".",TEXT(D430,"000"),".",TEXT(E430,"000")),"")))))</f>
        <v/>
      </c>
      <c r="J430" s="48" t="inlineStr">
        <is>
          <t>Serviços finais</t>
        </is>
      </c>
      <c r="K430" s="45" t="n"/>
      <c r="L430" s="46" t="n"/>
      <c r="M430" s="46" t="n"/>
      <c r="N430" s="47">
        <f>IF(H430="Serviço",M430*L430,IF(H430="CÉLULA CONSTRUTIVA",SUMIFS($N$118:$N$438,$B$118:$B$438,B430,$H$118:$H$438,"Serviço"),IF(H430="ETAPA",SUMIFS($N$118:$N$438,$B$118:$B$438,B430,$C$118:$C$438,C430,$H$118:$H$438,"Serviço"),IF(H430="SUBETAPA",SUMIFS($N$118:$N$438,$B$118:$B$438,B430,$C$118:$C$438,C430,$D$118:$D$438,D430,$H$118:$H$438,"Serviço"),0))))</f>
        <v/>
      </c>
      <c r="O430" s="45" t="n"/>
      <c r="P430" s="46" t="n"/>
      <c r="Q430" s="46" t="n"/>
      <c r="R430" s="216" t="inlineStr">
        <is>
          <t>21.001.003.001 - Serviços finais</t>
        </is>
      </c>
      <c r="S430" s="164" t="n"/>
      <c r="T430" s="49" t="n"/>
      <c r="U430" s="49" t="n"/>
    </row>
    <row r="431" outlineLevel="2" ht="13.8" customFormat="1" customHeight="1" s="31">
      <c r="A431" s="213">
        <f>IF($H431="UNIDADE CONSTRUTIVA",OFFSET(A431,-1,0)+1,LARGE(A$3:A430,1))</f>
        <v/>
      </c>
      <c r="B431" s="213">
        <f>IF(H431="UNIDADE CONSTRUTIVA",0,IF(H431="CÉLULA CONSTRUTIVA",OFFSET(B431,-1,0)+1,OFFSET(B431,-1,0)))</f>
        <v/>
      </c>
      <c r="C431" s="213">
        <f>IF(H431="CÉLULA CONSTRUTIVA",0,IF(H431="ETAPA",OFFSET(C431,-1,0)+1,OFFSET(C431,-1,0)))</f>
        <v/>
      </c>
      <c r="D431" s="214">
        <f>IF(H431="ETAPA",0,IF(H431="SUBETAPA",OFFSET(D431,-1,0)+1,OFFSET(D431,-1,0)))</f>
        <v/>
      </c>
      <c r="E431" s="214">
        <f>IF(H431="Subetapa",0,IF(H431="serviço",OFFSET(E431,-1,0)+1,OFFSET(E431,-1,0)))</f>
        <v/>
      </c>
      <c r="G431" s="124" t="inlineStr">
        <is>
          <t>SERVIÇOS COMPLEMENTARES E FINAIS</t>
        </is>
      </c>
      <c r="H431" s="42" t="inlineStr">
        <is>
          <t>SERVIÇO</t>
        </is>
      </c>
      <c r="I431" s="43">
        <f>IF(H431="Unidade Construtiva",TEXT(A431,"00"),IF(H431="Célula Construtiva",TEXT(B431,"00"),IF(H431="Etapa",CONCATENATE(TEXT(B431,"00"),".",TEXT(C431,"000")),IF(H431="Subetapa",CONCATENATE(TEXT(B431,"00"),".",TEXT(C431,"000"),".",TEXT(D431,"000")),IF(H431="Serviço",CONCATENATE(TEXT(B431,"00"),".",TEXT(C431,"000"),".",TEXT(D431,"000"),".",TEXT(E431,"000")),"")))))</f>
        <v/>
      </c>
      <c r="J431" s="48" t="inlineStr">
        <is>
          <t>Desmobilização</t>
        </is>
      </c>
      <c r="K431" s="45" t="inlineStr">
        <is>
          <t>vb</t>
        </is>
      </c>
      <c r="L431" s="46" t="n">
        <v>1</v>
      </c>
      <c r="M431" s="46" t="n">
        <v>26126.65</v>
      </c>
      <c r="N431" s="47">
        <f>IF(H431="Serviço",M431*L431,IF(H431="CÉLULA CONSTRUTIVA",SUMIFS($N$118:$N$438,$B$118:$B$438,B431,$H$118:$H$438,"Serviço"),IF(H431="ETAPA",SUMIFS($N$118:$N$438,$B$118:$B$438,B431,$C$118:$C$438,C431,$H$118:$H$438,"Serviço"),IF(H431="SUBETAPA",SUMIFS($N$118:$N$438,$B$118:$B$438,B431,$C$118:$C$438,C431,$D$118:$D$438,D431,$H$118:$H$438,"Serviço"),0))))</f>
        <v/>
      </c>
      <c r="O431" s="45" t="n"/>
      <c r="P431" s="46" t="n"/>
      <c r="Q431" s="46" t="n"/>
      <c r="R431" s="47" t="n"/>
      <c r="S431" s="164" t="n"/>
      <c r="T431" s="49" t="n"/>
      <c r="U431" s="49" t="n"/>
    </row>
    <row r="432" outlineLevel="2" ht="13.8" customFormat="1" customHeight="1" s="31">
      <c r="A432" s="213">
        <f>IF($H432="UNIDADE CONSTRUTIVA",OFFSET(A432,-1,0)+1,LARGE(A$3:A431,1))</f>
        <v/>
      </c>
      <c r="B432" s="213">
        <f>IF(H432="UNIDADE CONSTRUTIVA",0,IF(H432="CÉLULA CONSTRUTIVA",OFFSET(B432,-1,0)+1,OFFSET(B432,-1,0)))</f>
        <v/>
      </c>
      <c r="C432" s="213">
        <f>IF(H432="CÉLULA CONSTRUTIVA",0,IF(H432="ETAPA",OFFSET(C432,-1,0)+1,OFFSET(C432,-1,0)))</f>
        <v/>
      </c>
      <c r="D432" s="214">
        <f>IF(H432="ETAPA",0,IF(H432="SUBETAPA",OFFSET(D432,-1,0)+1,OFFSET(D432,-1,0)))</f>
        <v/>
      </c>
      <c r="E432" s="214">
        <f>IF(H432="Subetapa",0,IF(H432="serviço",OFFSET(E432,-1,0)+1,OFFSET(E432,-1,0)))</f>
        <v/>
      </c>
      <c r="G432" s="124" t="inlineStr">
        <is>
          <t>SERVIÇOS COMPLEMENTARES E FINAIS</t>
        </is>
      </c>
      <c r="H432" s="42" t="inlineStr">
        <is>
          <t>SERVIÇO</t>
        </is>
      </c>
      <c r="I432" s="43">
        <f>IF(H432="Unidade Construtiva",TEXT(A432,"00"),IF(H432="Célula Construtiva",TEXT(B432,"00"),IF(H432="Etapa",CONCATENATE(TEXT(B432,"00"),".",TEXT(C432,"000")),IF(H432="Subetapa",CONCATENATE(TEXT(B432,"00"),".",TEXT(C432,"000"),".",TEXT(D432,"000")),IF(H432="Serviço",CONCATENATE(TEXT(B432,"00"),".",TEXT(C432,"000"),".",TEXT(D432,"000"),".",TEXT(E432,"000")),"")))))</f>
        <v/>
      </c>
      <c r="J432" s="48" t="inlineStr">
        <is>
          <t>Limpeza final</t>
        </is>
      </c>
      <c r="K432" s="45" t="inlineStr">
        <is>
          <t>vb</t>
        </is>
      </c>
      <c r="L432" s="46" t="n">
        <v>1</v>
      </c>
      <c r="M432" s="46" t="n">
        <v>130633.25</v>
      </c>
      <c r="N432" s="47">
        <f>IF(H432="Serviço",M432*L432,IF(H432="CÉLULA CONSTRUTIVA",SUMIFS($N$118:$N$438,$B$118:$B$438,B432,$H$118:$H$438,"Serviço"),IF(H432="ETAPA",SUMIFS($N$118:$N$438,$B$118:$B$438,B432,$C$118:$C$438,C432,$H$118:$H$438,"Serviço"),IF(H432="SUBETAPA",SUMIFS($N$118:$N$438,$B$118:$B$438,B432,$C$118:$C$438,C432,$D$118:$D$438,D432,$H$118:$H$438,"Serviço"),0))))</f>
        <v/>
      </c>
      <c r="O432" s="45" t="n"/>
      <c r="P432" s="46" t="n"/>
      <c r="Q432" s="46" t="n"/>
      <c r="R432" s="47" t="n"/>
      <c r="S432" s="164" t="n"/>
      <c r="T432" s="49" t="n"/>
      <c r="U432" s="49" t="n"/>
    </row>
    <row r="433" outlineLevel="1" ht="13.8" customFormat="1" customHeight="1" s="31">
      <c r="A433" s="213">
        <f>IF($H433="UNIDADE CONSTRUTIVA",OFFSET(A433,-1,0)+1,LARGE(A$3:A431,1))</f>
        <v/>
      </c>
      <c r="B433" s="213">
        <f>IF(H433="UNIDADE CONSTRUTIVA",0,IF(H433="CÉLULA CONSTRUTIVA",OFFSET(B433,-1,0)+1,OFFSET(B433,-1,0)))</f>
        <v/>
      </c>
      <c r="C433" s="213">
        <f>IF(H433="CÉLULA CONSTRUTIVA",0,IF(H433="ETAPA",OFFSET(C433,-1,0)+1,OFFSET(C433,-1,0)))</f>
        <v/>
      </c>
      <c r="D433" s="214">
        <f>IF(H433="ETAPA",0,IF(H433="SUBETAPA",OFFSET(D433,-1,0)+1,OFFSET(D433,-1,0)))</f>
        <v/>
      </c>
      <c r="E433" s="214">
        <f>IF(H433="Subetapa",0,IF(H433="serviço",OFFSET(E433,-1,0)+1,OFFSET(E433,-1,0)))</f>
        <v/>
      </c>
      <c r="G433" s="124" t="n"/>
      <c r="H433" s="42" t="inlineStr">
        <is>
          <t>SUBETAPA</t>
        </is>
      </c>
      <c r="I433" s="43">
        <f>IF(H433="Unidade Construtiva",TEXT(A433,"00"),IF(H433="Célula Construtiva",TEXT(B433,"00"),IF(H433="Etapa",CONCATENATE(TEXT(B433,"00"),".",TEXT(C433,"000")),IF(H433="Subetapa",CONCATENATE(TEXT(B433,"00"),".",TEXT(C433,"000"),".",TEXT(D433,"000")),IF(H433="Serviço",CONCATENATE(TEXT(B433,"00"),".",TEXT(C433,"000"),".",TEXT(D433,"000"),".",TEXT(E433,"000")),"")))))</f>
        <v/>
      </c>
      <c r="J433" s="48" t="inlineStr">
        <is>
          <t>Ligações definitivas</t>
        </is>
      </c>
      <c r="K433" s="45" t="n"/>
      <c r="L433" s="46" t="n"/>
      <c r="M433" s="46" t="n"/>
      <c r="N433" s="47">
        <f>IF(H433="Serviço",M433*L433,IF(H433="CÉLULA CONSTRUTIVA",SUMIFS($N$118:$N$438,$B$118:$B$438,B433,$H$118:$H$438,"Serviço"),IF(H433="ETAPA",SUMIFS($N$118:$N$438,$B$118:$B$438,B433,$C$118:$C$438,C433,$H$118:$H$438,"Serviço"),IF(H433="SUBETAPA",SUMIFS($N$118:$N$438,$B$118:$B$438,B433,$C$118:$C$438,C433,$D$118:$D$438,D433,$H$118:$H$438,"Serviço"),0))))</f>
        <v/>
      </c>
      <c r="O433" s="45" t="n"/>
      <c r="P433" s="46" t="n"/>
      <c r="Q433" s="46" t="n"/>
      <c r="R433" s="216" t="inlineStr">
        <is>
          <t>21.001.004.001 - Ligações definitivas</t>
        </is>
      </c>
      <c r="S433" s="164" t="n"/>
      <c r="T433" s="49" t="n"/>
      <c r="U433" s="49" t="n"/>
    </row>
    <row r="434" outlineLevel="2" ht="13.8" customFormat="1" customHeight="1" s="31">
      <c r="A434" s="213">
        <f>IF($H434="UNIDADE CONSTRUTIVA",OFFSET(A434,-1,0)+1,LARGE(A$3:A433,1))</f>
        <v/>
      </c>
      <c r="B434" s="213">
        <f>IF(H434="UNIDADE CONSTRUTIVA",0,IF(H434="CÉLULA CONSTRUTIVA",OFFSET(B434,-1,0)+1,OFFSET(B434,-1,0)))</f>
        <v/>
      </c>
      <c r="C434" s="213">
        <f>IF(H434="CÉLULA CONSTRUTIVA",0,IF(H434="ETAPA",OFFSET(C434,-1,0)+1,OFFSET(C434,-1,0)))</f>
        <v/>
      </c>
      <c r="D434" s="214">
        <f>IF(H434="ETAPA",0,IF(H434="SUBETAPA",OFFSET(D434,-1,0)+1,OFFSET(D434,-1,0)))</f>
        <v/>
      </c>
      <c r="E434" s="214">
        <f>IF(H434="Subetapa",0,IF(H434="serviço",OFFSET(E434,-1,0)+1,OFFSET(E434,-1,0)))</f>
        <v/>
      </c>
      <c r="G434" s="124" t="inlineStr">
        <is>
          <t>SERVIÇOS COMPLEMENTARES E FINAIS</t>
        </is>
      </c>
      <c r="H434" s="42" t="inlineStr">
        <is>
          <t>SERVIÇO</t>
        </is>
      </c>
      <c r="I434" s="43">
        <f>IF(H434="Unidade Construtiva",TEXT(A434,"00"),IF(H434="Célula Construtiva",TEXT(B434,"00"),IF(H434="Etapa",CONCATENATE(TEXT(B434,"00"),".",TEXT(C434,"000")),IF(H434="Subetapa",CONCATENATE(TEXT(B434,"00"),".",TEXT(C434,"000"),".",TEXT(D434,"000")),IF(H434="Serviço",CONCATENATE(TEXT(B434,"00"),".",TEXT(C434,"000"),".",TEXT(D434,"000"),".",TEXT(E434,"000")),"")))))</f>
        <v/>
      </c>
      <c r="J434" s="48" t="inlineStr">
        <is>
          <t>Ligações definitivas</t>
        </is>
      </c>
      <c r="K434" s="45" t="inlineStr">
        <is>
          <t>vb</t>
        </is>
      </c>
      <c r="L434" s="46" t="n">
        <v>1</v>
      </c>
      <c r="M434" s="46" t="n">
        <v>20901.32</v>
      </c>
      <c r="N434" s="47">
        <f>IF(H434="Serviço",M434*L434,IF(H434="CÉLULA CONSTRUTIVA",SUMIFS($N$118:$N$438,$B$118:$B$438,B434,$H$118:$H$438,"Serviço"),IF(H434="ETAPA",SUMIFS($N$118:$N$438,$B$118:$B$438,B434,$C$118:$C$438,C434,$H$118:$H$438,"Serviço"),IF(H434="SUBETAPA",SUMIFS($N$118:$N$438,$B$118:$B$438,B434,$C$118:$C$438,C434,$D$118:$D$438,D434,$H$118:$H$438,"Serviço"),0))))</f>
        <v/>
      </c>
      <c r="O434" s="45" t="n"/>
      <c r="P434" s="46" t="n"/>
      <c r="Q434" s="46" t="n"/>
      <c r="R434" s="47" t="n"/>
      <c r="S434" s="164" t="n"/>
      <c r="T434" s="49" t="n"/>
      <c r="U434" s="62" t="n"/>
      <c r="V434" s="69" t="n"/>
      <c r="W434" s="69" t="n"/>
    </row>
    <row r="435" ht="13.8" customFormat="1" customHeight="1" s="31">
      <c r="A435" s="213">
        <f>IF($H435="UNIDADE CONSTRUTIVA",OFFSET(A435,-1,0)+1,LARGE(A$3:A434,1))</f>
        <v/>
      </c>
      <c r="B435" s="213">
        <f>IF(H435="UNIDADE CONSTRUTIVA",0,IF(H435="CÉLULA CONSTRUTIVA",OFFSET(B435,-1,0)+1,OFFSET(B435,-1,0)))</f>
        <v/>
      </c>
      <c r="C435" s="213">
        <f>IF(H435="CÉLULA CONSTRUTIVA",0,IF(H435="ETAPA",OFFSET(C435,-1,0)+1,OFFSET(C435,-1,0)))</f>
        <v/>
      </c>
      <c r="D435" s="214">
        <f>IF(H435="ETAPA",0,IF(H435="SUBETAPA",OFFSET(D435,-1,0)+1,OFFSET(D435,-1,0)))</f>
        <v/>
      </c>
      <c r="E435" s="214">
        <f>IF(H435="Subetapa",0,IF(H435="serviço",OFFSET(E435,-1,0)+1,OFFSET(E435,-1,0)))</f>
        <v/>
      </c>
      <c r="F435" s="188" t="n"/>
      <c r="G435" s="124" t="n"/>
      <c r="H435" s="42" t="inlineStr">
        <is>
          <t>CÉLULA CONSTRUTIVA</t>
        </is>
      </c>
      <c r="I435" s="43">
        <f>IF(H435="Unidade Construtiva",TEXT(A435,"00"),IF(H435="Célula Construtiva",TEXT(B435,"00"),IF(H435="Etapa",CONCATENATE(TEXT(B435,"00"),".",TEXT(C435,"000")),IF(H435="Subetapa",CONCATENATE(TEXT(B435,"00"),".",TEXT(C435,"000"),".",TEXT(D435,"000")),IF(H435="Serviço",CONCATENATE(TEXT(B435,"00"),".",TEXT(C435,"000"),".",TEXT(D435,"000"),".",TEXT(E435,"000")),"")))))</f>
        <v/>
      </c>
      <c r="J435" s="48" t="inlineStr">
        <is>
          <t>IMPREVISTOS E CONTINGÊNCIAS</t>
        </is>
      </c>
      <c r="K435" s="45" t="n"/>
      <c r="L435" s="46" t="n"/>
      <c r="M435" s="46" t="n"/>
      <c r="N435" s="47">
        <f>IF(H435="Serviço",M435*L435,IF(H435="CÉLULA CONSTRUTIVA",SUMIFS($N$118:$N$438,$B$118:$B$438,B435,$H$118:$H$438,"Serviço"),IF(H435="ETAPA",SUMIFS($N$118:$N$438,$B$118:$B$438,B435,$C$118:$C$438,C435,$H$118:$H$438,"Serviço"),IF(H435="SUBETAPA",SUMIFS($N$118:$N$438,$B$118:$B$438,B435,$C$118:$C$438,C435,$D$118:$D$438,D435,$H$118:$H$438,"Serviço"),0))))</f>
        <v/>
      </c>
      <c r="O435" s="45" t="n"/>
      <c r="P435" s="46" t="n"/>
      <c r="Q435" s="46" t="n"/>
      <c r="R435" s="47" t="n"/>
      <c r="S435" s="123" t="n"/>
      <c r="T435" s="215" t="n"/>
      <c r="U435" s="49" t="n"/>
    </row>
    <row r="436" outlineLevel="1" ht="13.8" customFormat="1" customHeight="1" s="31">
      <c r="A436" s="213">
        <f>IF($H436="UNIDADE CONSTRUTIVA",OFFSET(A436,-1,0)+1,LARGE(A$3:A435,1))</f>
        <v/>
      </c>
      <c r="B436" s="213">
        <f>IF(H436="UNIDADE CONSTRUTIVA",0,IF(H436="CÉLULA CONSTRUTIVA",OFFSET(B436,-1,0)+1,OFFSET(B436,-1,0)))</f>
        <v/>
      </c>
      <c r="C436" s="213">
        <f>IF(H436="CÉLULA CONSTRUTIVA",0,IF(H436="ETAPA",OFFSET(C436,-1,0)+1,OFFSET(C436,-1,0)))</f>
        <v/>
      </c>
      <c r="D436" s="214">
        <f>IF(H436="ETAPA",0,IF(H436="SUBETAPA",OFFSET(D436,-1,0)+1,OFFSET(D436,-1,0)))</f>
        <v/>
      </c>
      <c r="E436" s="214">
        <f>IF(H436="Subetapa",0,IF(H436="serviço",OFFSET(E436,-1,0)+1,OFFSET(E436,-1,0)))</f>
        <v/>
      </c>
      <c r="G436" s="124" t="n"/>
      <c r="H436" s="42" t="inlineStr">
        <is>
          <t>ETAPA</t>
        </is>
      </c>
      <c r="I436" s="43">
        <f>IF(H436="Unidade Construtiva",TEXT(A436,"00"),IF(H436="Célula Construtiva",TEXT(B436,"00"),IF(H436="Etapa",CONCATENATE(TEXT(B436,"00"),".",TEXT(C436,"000")),IF(H436="Subetapa",CONCATENATE(TEXT(B436,"00"),".",TEXT(C436,"000"),".",TEXT(D436,"000")),IF(H436="Serviço",CONCATENATE(TEXT(B436,"00"),".",TEXT(C436,"000"),".",TEXT(D436,"000"),".",TEXT(E436,"000")),"")))))</f>
        <v/>
      </c>
      <c r="J436" s="48" t="inlineStr">
        <is>
          <t>IMPREVISTOS E CONTINGÊNCIAS</t>
        </is>
      </c>
      <c r="K436" s="45" t="n"/>
      <c r="L436" s="46" t="n"/>
      <c r="M436" s="46" t="n"/>
      <c r="N436" s="47">
        <f>IF(H436="Serviço",M436*L436,IF(H436="CÉLULA CONSTRUTIVA",SUMIFS($N$118:$N$438,$B$118:$B$438,B436,$H$118:$H$438,"Serviço"),IF(H436="ETAPA",SUMIFS($N$118:$N$438,$B$118:$B$438,B436,$C$118:$C$438,C436,$H$118:$H$438,"Serviço"),IF(H436="SUBETAPA",SUMIFS($N$118:$N$438,$B$118:$B$438,B436,$C$118:$C$438,C436,$D$118:$D$438,D436,$H$118:$H$438,"Serviço"),0))))</f>
        <v/>
      </c>
      <c r="O436" s="45" t="n"/>
      <c r="P436" s="46" t="n"/>
      <c r="Q436" s="46" t="n"/>
      <c r="R436" s="47" t="n"/>
      <c r="S436" s="164" t="n"/>
      <c r="T436" s="49" t="n"/>
      <c r="U436" s="49" t="n"/>
    </row>
    <row r="437" outlineLevel="1" ht="13.8" customFormat="1" customHeight="1" s="31">
      <c r="A437" s="213">
        <f>IF($H437="UNIDADE CONSTRUTIVA",OFFSET(A437,-1,0)+1,LARGE(A$3:A436,1))</f>
        <v/>
      </c>
      <c r="B437" s="213">
        <f>IF(H437="UNIDADE CONSTRUTIVA",0,IF(H437="CÉLULA CONSTRUTIVA",OFFSET(B437,-1,0)+1,OFFSET(B437,-1,0)))</f>
        <v/>
      </c>
      <c r="C437" s="213">
        <f>IF(H437="CÉLULA CONSTRUTIVA",0,IF(H437="ETAPA",OFFSET(C437,-1,0)+1,OFFSET(C437,-1,0)))</f>
        <v/>
      </c>
      <c r="D437" s="214">
        <f>IF(H437="ETAPA",0,IF(H437="SUBETAPA",OFFSET(D437,-1,0)+1,OFFSET(D437,-1,0)))</f>
        <v/>
      </c>
      <c r="E437" s="214">
        <f>IF(H437="Subetapa",0,IF(H437="serviço",OFFSET(E437,-1,0)+1,OFFSET(E437,-1,0)))</f>
        <v/>
      </c>
      <c r="G437" s="124" t="n"/>
      <c r="H437" s="42" t="inlineStr">
        <is>
          <t>SUBETAPA</t>
        </is>
      </c>
      <c r="I437" s="43">
        <f>IF(H437="Unidade Construtiva",TEXT(A437,"00"),IF(H437="Célula Construtiva",TEXT(B437,"00"),IF(H437="Etapa",CONCATENATE(TEXT(B437,"00"),".",TEXT(C437,"000")),IF(H437="Subetapa",CONCATENATE(TEXT(B437,"00"),".",TEXT(C437,"000"),".",TEXT(D437,"000")),IF(H437="Serviço",CONCATENATE(TEXT(B437,"00"),".",TEXT(C437,"000"),".",TEXT(D437,"000"),".",TEXT(E437,"000")),"")))))</f>
        <v/>
      </c>
      <c r="J437" s="48" t="inlineStr">
        <is>
          <t>Imprevistos e contingências</t>
        </is>
      </c>
      <c r="K437" s="45" t="n"/>
      <c r="L437" s="46" t="n"/>
      <c r="M437" s="46" t="n"/>
      <c r="N437" s="47">
        <f>IF(H437="Serviço",M437*L437,IF(H437="CÉLULA CONSTRUTIVA",SUMIFS($N$118:$N$438,$B$118:$B$438,B437,$H$118:$H$438,"Serviço"),IF(H437="ETAPA",SUMIFS($N$118:$N$438,$B$118:$B$438,B437,$C$118:$C$438,C437,$H$118:$H$438,"Serviço"),IF(H437="SUBETAPA",SUMIFS($N$118:$N$438,$B$118:$B$438,B437,$C$118:$C$438,C437,$D$118:$D$438,D437,$H$118:$H$438,"Serviço"),0))))</f>
        <v/>
      </c>
      <c r="O437" s="45" t="n"/>
      <c r="P437" s="46" t="n"/>
      <c r="Q437" s="46" t="n"/>
      <c r="R437" s="216" t="inlineStr">
        <is>
          <t>22.001.001.001 - Imprevistos e contingências</t>
        </is>
      </c>
      <c r="S437" s="164" t="n"/>
      <c r="T437" s="49" t="n"/>
      <c r="U437" s="62" t="n"/>
      <c r="V437" s="69" t="n"/>
      <c r="W437" s="69" t="n"/>
    </row>
    <row r="438" outlineLevel="2" ht="13.8" customFormat="1" customHeight="1" s="31">
      <c r="A438" s="213">
        <f>IF($H438="UNIDADE CONSTRUTIVA",OFFSET(A438,-1,0)+1,LARGE(A$3:A437,1))</f>
        <v/>
      </c>
      <c r="B438" s="213">
        <f>IF(H438="UNIDADE CONSTRUTIVA",0,IF(H438="CÉLULA CONSTRUTIVA",OFFSET(B438,-1,0)+1,OFFSET(B438,-1,0)))</f>
        <v/>
      </c>
      <c r="C438" s="213">
        <f>IF(H438="CÉLULA CONSTRUTIVA",0,IF(H438="ETAPA",OFFSET(C438,-1,0)+1,OFFSET(C438,-1,0)))</f>
        <v/>
      </c>
      <c r="D438" s="214">
        <f>IF(H438="ETAPA",0,IF(H438="SUBETAPA",OFFSET(D438,-1,0)+1,OFFSET(D438,-1,0)))</f>
        <v/>
      </c>
      <c r="E438" s="214">
        <f>IF(H438="Subetapa",0,IF(H438="serviço",OFFSET(E438,-1,0)+1,OFFSET(E438,-1,0)))</f>
        <v/>
      </c>
      <c r="G438" s="124" t="inlineStr">
        <is>
          <t xml:space="preserve">IMPREVISTOS E CONTINGÊNCIAS </t>
        </is>
      </c>
      <c r="H438" s="42" t="inlineStr">
        <is>
          <t>SERVIÇO</t>
        </is>
      </c>
      <c r="I438" s="43">
        <f>IF(H438="Unidade Construtiva",TEXT(A438,"00"),IF(H438="Célula Construtiva",TEXT(B438,"00"),IF(H438="Etapa",CONCATENATE(TEXT(B438,"00"),".",TEXT(C438,"000")),IF(H438="Subetapa",CONCATENATE(TEXT(B438,"00"),".",TEXT(C438,"000"),".",TEXT(D438,"000")),IF(H438="Serviço",CONCATENATE(TEXT(B438,"00"),".",TEXT(C438,"000"),".",TEXT(D438,"000"),".",TEXT(E438,"000")),"")))))</f>
        <v/>
      </c>
      <c r="J438" s="48" t="inlineStr">
        <is>
          <t>Imprevistos e contingências</t>
        </is>
      </c>
      <c r="K438" s="45" t="inlineStr">
        <is>
          <t>vb</t>
        </is>
      </c>
      <c r="L438" s="46" t="n">
        <v>1</v>
      </c>
      <c r="M438" s="46">
        <f>SUMIFS($N$7:$N$434,$H$7:$H$434,"SERVIÇO")*0.02</f>
        <v/>
      </c>
      <c r="N438" s="47">
        <f>IF(H438="Serviço",M438*L438,IF(H438="CÉLULA CONSTRUTIVA",SUMIFS($N$118:$N$438,$B$118:$B$438,B438,$H$118:$H$438,"Serviço"),IF(H438="ETAPA",SUMIFS($N$118:$N$438,$B$118:$B$438,B438,$C$118:$C$438,C438,$H$118:$H$438,"Serviço"),IF(H438="SUBETAPA",SUMIFS($N$118:$N$438,$B$118:$B$438,B438,$C$118:$C$438,C438,$D$118:$D$438,D438,$H$118:$H$438,"Serviço"),0))))</f>
        <v/>
      </c>
      <c r="O438" s="45" t="n"/>
      <c r="P438" s="46" t="n"/>
      <c r="Q438" s="46" t="n"/>
      <c r="R438" s="47" t="n"/>
      <c r="S438" s="164" t="n"/>
      <c r="T438" s="49" t="n"/>
      <c r="U438" s="62" t="n"/>
      <c r="V438" s="69" t="n"/>
      <c r="W438" s="69" t="n"/>
    </row>
    <row r="439" ht="13.8" customHeight="1">
      <c r="A439" s="213">
        <f>IF($H439="UNIDADE CONSTRUTIVA",OFFSET(A439,-1,0)+1,LARGE(A$3:A438,1))</f>
        <v/>
      </c>
      <c r="B439" s="213">
        <f>IF(H439="UNIDADE CONSTRUTIVA",0,IF(H439="CÉLULA CONSTRUTIVA",OFFSET(B439,-1,0)+1,OFFSET(B439,-1,0)))</f>
        <v/>
      </c>
      <c r="C439" s="213">
        <f>IF(H439="CÉLULA CONSTRUTIVA",0,IF(H439="ETAPA",OFFSET(C439,-1,0)+1,OFFSET(C439,-1,0)))</f>
        <v/>
      </c>
      <c r="D439" s="214">
        <f>IF(H439="ETAPA",0,IF(H439="SUBETAPA",OFFSET(D439,-1,0)+1,OFFSET(D439,-1,0)))</f>
        <v/>
      </c>
      <c r="E439" s="214">
        <f>IF(H439="Subetapa",0,IF(H439="serviço",OFFSET(E439,-1,0)+1,OFFSET(E439,-1,0)))</f>
        <v/>
      </c>
      <c r="G439" s="165" t="n"/>
      <c r="H439" s="165" t="n"/>
      <c r="I439" s="165" t="n"/>
      <c r="J439" s="166" t="n"/>
      <c r="K439" s="167" t="n"/>
      <c r="M439" s="226">
        <f>SUMIFS($N$7:$N$439,$H$7:$H$439,N439)</f>
        <v/>
      </c>
      <c r="N439" s="169" t="inlineStr">
        <is>
          <t>CÉLULA CONSTRUTIVA</t>
        </is>
      </c>
      <c r="O439" s="169" t="n"/>
      <c r="P439" s="169" t="n"/>
      <c r="Q439" s="169" t="n"/>
      <c r="R439" s="169" t="n"/>
      <c r="S439" s="99" t="n"/>
    </row>
    <row r="440" ht="13.8" customHeight="1">
      <c r="A440" s="213">
        <f>IF($H440="UNIDADE CONSTRUTIVA",OFFSET(A440,-1,0)+1,LARGE(A$3:A439,1))</f>
        <v/>
      </c>
      <c r="B440" s="213" t="n"/>
      <c r="C440" s="213" t="n"/>
      <c r="D440" s="214" t="n"/>
      <c r="E440" s="214" t="n"/>
      <c r="G440" s="165" t="n"/>
      <c r="H440" s="165" t="n"/>
      <c r="I440" s="165" t="n"/>
      <c r="J440" s="166" t="n"/>
      <c r="K440" s="167" t="n"/>
      <c r="L440" s="170" t="n"/>
      <c r="M440" s="226">
        <f>SUMIFS($N$7:$N$439,$H$7:$H$439,N440)</f>
        <v/>
      </c>
      <c r="N440" s="169" t="inlineStr">
        <is>
          <t>ETAPA</t>
        </is>
      </c>
      <c r="O440" s="169" t="n"/>
      <c r="P440" s="169" t="n"/>
      <c r="Q440" s="169" t="n"/>
      <c r="R440" s="169" t="n"/>
      <c r="S440" s="171" t="n"/>
    </row>
    <row r="441" ht="13.8" customHeight="1">
      <c r="A441" s="213">
        <f>IF($H441="UNIDADE CONSTRUTIVA",OFFSET(A441,-1,0)+1,LARGE(A$3:A440,1))</f>
        <v/>
      </c>
      <c r="B441" s="213" t="n"/>
      <c r="C441" s="213" t="n"/>
      <c r="D441" s="214" t="n"/>
      <c r="E441" s="214" t="n"/>
      <c r="G441" s="165" t="n"/>
      <c r="H441" s="165" t="n"/>
      <c r="I441" s="165" t="n"/>
      <c r="J441" s="166" t="n"/>
      <c r="K441" s="167" t="n"/>
      <c r="L441" s="170" t="n"/>
      <c r="M441" s="226">
        <f>SUMIFS($N$7:$N$439,$H$7:$H$439,N441)</f>
        <v/>
      </c>
      <c r="N441" s="169" t="inlineStr">
        <is>
          <t>SUBETAPA</t>
        </is>
      </c>
      <c r="O441" s="169" t="n"/>
      <c r="P441" s="169" t="n"/>
      <c r="Q441" s="169" t="n"/>
      <c r="R441" s="169" t="n"/>
      <c r="S441" s="171" t="n"/>
    </row>
    <row r="442" ht="13.8" customHeight="1">
      <c r="A442" s="213">
        <f>IF($H442="UNIDADE CONSTRUTIVA",OFFSET(A442,-1,0)+1,LARGE(A$3:A441,1))</f>
        <v/>
      </c>
      <c r="B442" s="213" t="n"/>
      <c r="C442" s="213" t="n"/>
      <c r="D442" s="214" t="n"/>
      <c r="E442" s="214" t="n"/>
      <c r="G442" s="165" t="n"/>
      <c r="H442" s="165" t="n"/>
      <c r="I442" s="165" t="n"/>
      <c r="J442" s="166" t="n"/>
      <c r="K442" s="227" t="n"/>
      <c r="L442" s="170" t="n"/>
      <c r="M442" s="226">
        <f>SUMIFS($N$7:$N$439,$H$7:$H$439,N442)</f>
        <v/>
      </c>
      <c r="N442" s="169" t="inlineStr">
        <is>
          <t>SERVIÇO</t>
        </is>
      </c>
      <c r="O442" s="169" t="n"/>
      <c r="P442" s="169" t="n"/>
      <c r="Q442" s="169" t="n"/>
      <c r="R442" s="169" t="n"/>
      <c r="S442" s="171" t="n"/>
    </row>
    <row r="443" ht="13.8" customHeight="1">
      <c r="A443" s="213">
        <f>IF($H443="UNIDADE CONSTRUTIVA",OFFSET(A443,-1,0)+1,LARGE(A$3:A442,1))</f>
        <v/>
      </c>
      <c r="B443" s="213" t="n"/>
      <c r="C443" s="213" t="n"/>
      <c r="D443" s="214" t="n"/>
      <c r="E443" s="214" t="n"/>
      <c r="G443" s="165" t="n"/>
      <c r="H443" s="165" t="n"/>
      <c r="I443" s="165" t="n"/>
      <c r="J443" s="166" t="n"/>
      <c r="K443" s="167" t="n"/>
      <c r="L443" s="170" t="n"/>
      <c r="M443" s="226" t="n">
        <v>25207271.27832201</v>
      </c>
      <c r="N443" s="169" t="inlineStr">
        <is>
          <t>OBRA</t>
        </is>
      </c>
      <c r="O443" s="169" t="n"/>
      <c r="P443" s="169" t="n"/>
      <c r="Q443" s="169" t="n"/>
      <c r="R443" s="169" t="n"/>
      <c r="S443" s="171" t="n"/>
    </row>
    <row r="444" ht="13.8" customHeight="1">
      <c r="A444" s="213">
        <f>IF($H444="UNIDADE CONSTRUTIVA",OFFSET(A444,-1,0)+1,LARGE(A$3:A443,1))</f>
        <v/>
      </c>
      <c r="B444" s="213" t="n"/>
      <c r="C444" s="213" t="n"/>
      <c r="D444" s="214" t="n"/>
      <c r="E444" s="214" t="n"/>
      <c r="G444" s="165" t="n"/>
      <c r="H444" s="165" t="n"/>
      <c r="I444" s="165" t="n"/>
      <c r="J444" s="166" t="n"/>
      <c r="K444" s="167" t="n"/>
      <c r="L444" s="170" t="n"/>
      <c r="M444" s="226" t="n"/>
      <c r="N444" s="173" t="n"/>
      <c r="O444" s="173" t="n"/>
      <c r="P444" s="173" t="n"/>
      <c r="Q444" s="173" t="n"/>
      <c r="R444" s="173" t="n"/>
      <c r="S444" s="171" t="n"/>
    </row>
    <row r="445" ht="13.8" customHeight="1">
      <c r="A445" s="213">
        <f>IF($H445="UNIDADE CONSTRUTIVA",OFFSET(A445,-1,0)+1,LARGE(A$3:A444,1))</f>
        <v/>
      </c>
      <c r="B445" s="213" t="n"/>
      <c r="C445" s="213" t="n"/>
      <c r="D445" s="214" t="n"/>
      <c r="E445" s="214" t="n"/>
      <c r="G445" s="165" t="n"/>
      <c r="H445" s="165" t="n"/>
      <c r="I445" s="165" t="n"/>
      <c r="J445" s="166" t="n"/>
      <c r="K445" s="167" t="n"/>
      <c r="L445" s="170" t="n"/>
      <c r="M445" s="226" t="n"/>
      <c r="N445" s="173" t="n"/>
      <c r="O445" s="173" t="n"/>
      <c r="P445" s="173" t="n"/>
      <c r="Q445" s="173" t="n"/>
      <c r="R445" s="173" t="n"/>
      <c r="S445" s="171" t="n"/>
    </row>
    <row r="446" ht="13.8" customHeight="1">
      <c r="A446" s="213">
        <f>IF($H446="UNIDADE CONSTRUTIVA",OFFSET(A446,-1,0)+1,LARGE(A$3:A445,1))</f>
        <v/>
      </c>
      <c r="B446" s="213" t="n"/>
      <c r="C446" s="213" t="n"/>
      <c r="D446" s="214" t="n"/>
      <c r="E446" s="214" t="n"/>
      <c r="G446" s="165" t="n"/>
      <c r="H446" s="165" t="n"/>
      <c r="I446" s="165" t="n"/>
      <c r="J446" s="166" t="n"/>
      <c r="K446" s="167" t="n"/>
      <c r="L446" s="170" t="n"/>
      <c r="M446" s="170" t="n"/>
      <c r="N446" s="173" t="n"/>
      <c r="O446" s="173" t="n"/>
      <c r="P446" s="173" t="n"/>
      <c r="Q446" s="173" t="n"/>
      <c r="R446" s="173" t="n"/>
      <c r="S446" s="171" t="n"/>
    </row>
    <row r="447" ht="13.8" customHeight="1">
      <c r="A447" s="213">
        <f>IF($H447="UNIDADE CONSTRUTIVA",OFFSET(A447,-1,0)+1,LARGE(A$3:A446,1))</f>
        <v/>
      </c>
      <c r="B447" s="213" t="n"/>
      <c r="C447" s="213" t="n"/>
      <c r="D447" s="214" t="n"/>
      <c r="E447" s="214" t="n"/>
      <c r="G447" s="165" t="n"/>
      <c r="H447" s="165" t="n"/>
      <c r="I447" s="165" t="n"/>
      <c r="J447" s="166" t="n"/>
      <c r="K447" s="167" t="n"/>
      <c r="L447" s="170" t="n"/>
      <c r="M447" s="170" t="n"/>
      <c r="N447" s="173" t="n"/>
      <c r="O447" s="173" t="n"/>
      <c r="P447" s="173" t="n"/>
      <c r="Q447" s="173" t="n"/>
      <c r="R447" s="173" t="n"/>
      <c r="S447" s="171" t="n"/>
    </row>
    <row r="448" ht="13.8" customHeight="1">
      <c r="A448" s="213">
        <f>IF($H448="UNIDADE CONSTRUTIVA",OFFSET(A448,-1,0)+1,LARGE(A$3:A447,1))</f>
        <v/>
      </c>
      <c r="B448" s="213" t="n"/>
      <c r="C448" s="213" t="n"/>
      <c r="D448" s="214" t="n"/>
      <c r="E448" s="214" t="n"/>
      <c r="G448" s="165" t="n"/>
      <c r="H448" s="165" t="n"/>
      <c r="I448" s="165" t="n"/>
      <c r="J448" s="166" t="n"/>
      <c r="K448" s="167" t="n"/>
      <c r="L448" s="170" t="n"/>
      <c r="M448" s="170" t="n"/>
      <c r="N448" s="173" t="n"/>
      <c r="O448" s="173" t="n"/>
      <c r="P448" s="173" t="n"/>
      <c r="Q448" s="173" t="n"/>
      <c r="R448" s="173" t="n"/>
      <c r="S448" s="171" t="n"/>
    </row>
    <row r="449" ht="13.8" customHeight="1">
      <c r="A449" s="213">
        <f>IF($H449="UNIDADE CONSTRUTIVA",OFFSET(A449,-1,0)+1,LARGE(A$3:A448,1))</f>
        <v/>
      </c>
      <c r="B449" s="213" t="n"/>
      <c r="C449" s="213" t="n"/>
      <c r="D449" s="214" t="n"/>
      <c r="E449" s="214" t="n"/>
      <c r="G449" s="165" t="n"/>
      <c r="H449" s="165" t="n"/>
      <c r="I449" s="165" t="n"/>
      <c r="J449" s="166" t="n"/>
      <c r="K449" s="167" t="n"/>
      <c r="L449" s="170" t="n"/>
      <c r="M449" s="170" t="n"/>
      <c r="N449" s="173" t="n"/>
      <c r="O449" s="173" t="n"/>
      <c r="P449" s="173" t="n"/>
      <c r="Q449" s="173" t="n"/>
      <c r="R449" s="173" t="n"/>
      <c r="S449" s="171" t="n"/>
    </row>
    <row r="450" ht="13.8" customHeight="1">
      <c r="A450" s="213">
        <f>IF($H450="UNIDADE CONSTRUTIVA",OFFSET(A450,-1,0)+1,LARGE(A$3:A449,1))</f>
        <v/>
      </c>
      <c r="B450" s="213" t="n"/>
      <c r="C450" s="213" t="n"/>
      <c r="D450" s="214" t="n"/>
      <c r="E450" s="214" t="n"/>
      <c r="G450" s="165" t="n"/>
      <c r="H450" s="165" t="n"/>
      <c r="I450" s="165" t="n"/>
      <c r="J450" s="166" t="n"/>
      <c r="K450" s="167" t="n"/>
      <c r="L450" s="228" t="n"/>
      <c r="M450" s="170" t="n"/>
      <c r="N450" s="173" t="n"/>
      <c r="O450" s="173" t="n"/>
      <c r="P450" s="173" t="n"/>
      <c r="Q450" s="173" t="n"/>
      <c r="R450" s="173" t="n"/>
      <c r="S450" s="171" t="n"/>
    </row>
    <row r="451" ht="13.8" customHeight="1">
      <c r="A451" s="213">
        <f>IF($H451="UNIDADE CONSTRUTIVA",OFFSET(A451,-1,0)+1,LARGE(A$3:A450,1))</f>
        <v/>
      </c>
      <c r="B451" s="213" t="n"/>
      <c r="C451" s="213" t="n"/>
      <c r="D451" s="214" t="n"/>
      <c r="E451" s="214" t="n"/>
      <c r="G451" s="165" t="n"/>
      <c r="H451" s="165" t="n"/>
      <c r="I451" s="165" t="n"/>
      <c r="J451" s="166" t="n"/>
      <c r="K451" s="167" t="n"/>
      <c r="L451" s="170" t="n"/>
      <c r="M451" s="170" t="n"/>
      <c r="N451" s="173" t="n"/>
      <c r="O451" s="173" t="n"/>
      <c r="P451" s="173" t="n"/>
      <c r="Q451" s="173" t="n"/>
      <c r="R451" s="173" t="n"/>
      <c r="S451" s="171" t="n"/>
    </row>
    <row r="452" ht="13.8" customHeight="1">
      <c r="A452" s="213">
        <f>IF($H452="UNIDADE CONSTRUTIVA",OFFSET(A452,-1,0)+1,LARGE(A$3:A451,1))</f>
        <v/>
      </c>
      <c r="B452" s="213" t="n"/>
      <c r="C452" s="213" t="n"/>
      <c r="D452" s="214" t="n"/>
      <c r="E452" s="214" t="n"/>
      <c r="G452" s="165" t="n"/>
      <c r="H452" s="165" t="n"/>
      <c r="I452" s="165" t="n"/>
      <c r="J452" s="166" t="n"/>
      <c r="K452" s="167" t="n"/>
      <c r="L452" s="170" t="n"/>
      <c r="M452" s="170" t="n"/>
      <c r="N452" s="173" t="n"/>
      <c r="O452" s="173" t="n"/>
      <c r="P452" s="173" t="n"/>
      <c r="Q452" s="173" t="n"/>
      <c r="R452" s="173" t="n"/>
      <c r="S452" s="171" t="n"/>
    </row>
    <row r="453" ht="13.8" customHeight="1">
      <c r="A453" s="213">
        <f>IF($H453="UNIDADE CONSTRUTIVA",OFFSET(A453,-1,0)+1,LARGE(A$3:A452,1))</f>
        <v/>
      </c>
      <c r="B453" s="213" t="n"/>
      <c r="C453" s="213" t="n"/>
      <c r="D453" s="214" t="n"/>
      <c r="E453" s="214" t="n"/>
      <c r="G453" s="165" t="n"/>
      <c r="H453" s="165" t="n"/>
      <c r="I453" s="165" t="n"/>
      <c r="J453" s="166" t="n"/>
      <c r="K453" s="167" t="n"/>
      <c r="L453" s="170" t="n"/>
      <c r="M453" s="170" t="n"/>
      <c r="N453" s="173" t="n"/>
      <c r="O453" s="173" t="n"/>
      <c r="P453" s="173" t="n"/>
      <c r="Q453" s="173" t="n"/>
      <c r="R453" s="173" t="n"/>
      <c r="S453" s="171" t="n"/>
    </row>
    <row r="454" ht="13.8" customHeight="1">
      <c r="A454" s="213">
        <f>IF($H454="UNIDADE CONSTRUTIVA",OFFSET(A454,-1,0)+1,LARGE(A$3:A453,1))</f>
        <v/>
      </c>
      <c r="B454" s="213" t="n"/>
      <c r="C454" s="213" t="n"/>
      <c r="D454" s="214" t="n"/>
      <c r="E454" s="214" t="n"/>
      <c r="G454" s="165" t="n"/>
      <c r="H454" s="165" t="n"/>
      <c r="I454" s="165" t="n"/>
      <c r="J454" s="166" t="n"/>
      <c r="K454" s="167" t="n"/>
      <c r="L454" s="170" t="n"/>
      <c r="M454" s="170" t="n"/>
      <c r="N454" s="173" t="n"/>
      <c r="O454" s="173" t="n"/>
      <c r="P454" s="173" t="n"/>
      <c r="Q454" s="173" t="n"/>
      <c r="R454" s="173" t="n"/>
      <c r="S454" s="171" t="n"/>
    </row>
    <row r="455" ht="13.8" customHeight="1">
      <c r="A455" s="213">
        <f>IF($H455="UNIDADE CONSTRUTIVA",OFFSET(A455,-1,0)+1,LARGE(A$3:A454,1))</f>
        <v/>
      </c>
      <c r="B455" s="213" t="n"/>
      <c r="C455" s="213" t="n"/>
      <c r="D455" s="214" t="n"/>
      <c r="E455" s="214" t="n"/>
      <c r="G455" s="165" t="n"/>
      <c r="H455" s="165" t="n"/>
      <c r="I455" s="165" t="n"/>
      <c r="J455" s="166" t="n"/>
      <c r="K455" s="167" t="n"/>
      <c r="L455" s="170" t="n"/>
      <c r="M455" s="170" t="n"/>
      <c r="N455" s="173" t="n"/>
      <c r="O455" s="173" t="n"/>
      <c r="P455" s="173" t="n"/>
      <c r="Q455" s="173" t="n"/>
      <c r="R455" s="173" t="n"/>
      <c r="S455" s="171" t="n"/>
    </row>
    <row r="456" ht="13.8" customHeight="1">
      <c r="A456" s="213">
        <f>IF($H456="UNIDADE CONSTRUTIVA",OFFSET(A456,-1,0)+1,LARGE(A$3:A455,1))</f>
        <v/>
      </c>
      <c r="B456" s="213" t="n"/>
      <c r="C456" s="213" t="n"/>
      <c r="D456" s="214" t="n"/>
      <c r="E456" s="214" t="n"/>
      <c r="G456" s="165" t="n"/>
      <c r="H456" s="165" t="n"/>
      <c r="I456" s="165" t="n"/>
      <c r="J456" s="166" t="n"/>
      <c r="K456" s="167" t="n"/>
      <c r="L456" s="170" t="n"/>
      <c r="M456" s="170" t="n"/>
      <c r="N456" s="173" t="n"/>
      <c r="O456" s="173" t="n"/>
      <c r="P456" s="173" t="n"/>
      <c r="Q456" s="173" t="n"/>
      <c r="R456" s="173" t="n"/>
      <c r="S456" s="171" t="n"/>
    </row>
    <row r="457" ht="13.8" customHeight="1">
      <c r="A457" s="213">
        <f>IF($H457="UNIDADE CONSTRUTIVA",OFFSET(A457,-1,0)+1,LARGE(A$3:A456,1))</f>
        <v/>
      </c>
      <c r="B457" s="213" t="n"/>
      <c r="C457" s="213" t="n"/>
      <c r="D457" s="214" t="n"/>
      <c r="E457" s="214" t="n"/>
      <c r="G457" s="165" t="n"/>
      <c r="H457" s="165" t="n"/>
      <c r="I457" s="165" t="n"/>
      <c r="J457" s="166" t="n"/>
      <c r="K457" s="167" t="n"/>
      <c r="L457" s="170" t="n"/>
      <c r="M457" s="170" t="n"/>
      <c r="N457" s="173" t="n"/>
      <c r="O457" s="173" t="n"/>
      <c r="P457" s="173" t="n"/>
      <c r="Q457" s="173" t="n"/>
      <c r="R457" s="173" t="n"/>
      <c r="S457" s="171" t="n"/>
    </row>
    <row r="458" ht="13.8" customHeight="1">
      <c r="A458" s="213">
        <f>IF($H458="UNIDADE CONSTRUTIVA",OFFSET(A458,-1,0)+1,LARGE(A$3:A457,1))</f>
        <v/>
      </c>
      <c r="B458" s="213" t="n"/>
      <c r="C458" s="213" t="n"/>
      <c r="D458" s="214" t="n"/>
      <c r="E458" s="214" t="n"/>
      <c r="G458" s="165" t="n"/>
      <c r="H458" s="165" t="n"/>
      <c r="I458" s="165" t="n"/>
      <c r="J458" s="166" t="n"/>
      <c r="K458" s="167" t="n"/>
      <c r="L458" s="170" t="n"/>
      <c r="M458" s="170" t="n"/>
      <c r="N458" s="173" t="n"/>
      <c r="O458" s="173" t="n"/>
      <c r="P458" s="173" t="n"/>
      <c r="Q458" s="173" t="n"/>
      <c r="R458" s="173" t="n"/>
      <c r="S458" s="171" t="n"/>
    </row>
    <row r="459" ht="13.8" customHeight="1">
      <c r="A459" s="213">
        <f>IF($H459="UNIDADE CONSTRUTIVA",OFFSET(A459,-1,0)+1,LARGE(A$3:A458,1))</f>
        <v/>
      </c>
      <c r="B459" s="213" t="n"/>
      <c r="C459" s="213" t="n"/>
      <c r="D459" s="214" t="n"/>
      <c r="E459" s="214" t="n"/>
      <c r="G459" s="165" t="n"/>
      <c r="H459" s="165" t="n"/>
      <c r="I459" s="165" t="n"/>
      <c r="J459" s="166" t="n"/>
      <c r="K459" s="167" t="n"/>
      <c r="L459" s="170" t="n"/>
      <c r="M459" s="170" t="n"/>
      <c r="N459" s="173" t="n"/>
      <c r="O459" s="173" t="n"/>
      <c r="P459" s="173" t="n"/>
      <c r="Q459" s="173" t="n"/>
      <c r="R459" s="173" t="n"/>
      <c r="S459" s="171" t="n"/>
    </row>
    <row r="460" ht="13.8" customHeight="1">
      <c r="A460" s="213">
        <f>IF($H460="UNIDADE CONSTRUTIVA",OFFSET(A460,-1,0)+1,LARGE(A$3:A459,1))</f>
        <v/>
      </c>
      <c r="B460" s="213" t="n"/>
      <c r="C460" s="213" t="n"/>
      <c r="D460" s="214" t="n"/>
      <c r="E460" s="214" t="n"/>
      <c r="G460" s="165" t="n"/>
      <c r="H460" s="165" t="n"/>
      <c r="I460" s="165" t="n"/>
      <c r="J460" s="166" t="n"/>
      <c r="K460" s="167" t="n"/>
      <c r="L460" s="170" t="n"/>
      <c r="M460" s="170" t="n"/>
      <c r="N460" s="173" t="n"/>
      <c r="O460" s="173" t="n"/>
      <c r="P460" s="173" t="n"/>
      <c r="Q460" s="173" t="n"/>
      <c r="R460" s="173" t="n"/>
      <c r="S460" s="171" t="n"/>
    </row>
    <row r="461" ht="13.8" customHeight="1">
      <c r="A461" s="213">
        <f>IF($H461="UNIDADE CONSTRUTIVA",OFFSET(A461,-1,0)+1,LARGE(A$3:A460,1))</f>
        <v/>
      </c>
      <c r="B461" s="213" t="n"/>
      <c r="C461" s="213" t="n"/>
      <c r="D461" s="214" t="n"/>
      <c r="E461" s="214" t="n"/>
      <c r="G461" s="165" t="n"/>
      <c r="H461" s="165" t="n"/>
      <c r="I461" s="165" t="n"/>
      <c r="J461" s="166" t="n"/>
      <c r="K461" s="167" t="n"/>
      <c r="L461" s="170" t="n"/>
      <c r="M461" s="170" t="n"/>
      <c r="N461" s="173" t="n"/>
      <c r="O461" s="173" t="n"/>
      <c r="P461" s="173" t="n"/>
      <c r="Q461" s="173" t="n"/>
      <c r="R461" s="173" t="n"/>
      <c r="S461" s="171" t="n"/>
    </row>
    <row r="462" ht="13.8" customHeight="1">
      <c r="A462" s="213">
        <f>IF($H462="UNIDADE CONSTRUTIVA",OFFSET(A462,-1,0)+1,LARGE(A$3:A461,1))</f>
        <v/>
      </c>
      <c r="B462" s="213" t="n"/>
      <c r="C462" s="213" t="n"/>
      <c r="D462" s="214" t="n"/>
      <c r="E462" s="214" t="n"/>
      <c r="G462" s="165" t="n"/>
      <c r="H462" s="165" t="n"/>
      <c r="I462" s="165" t="n"/>
      <c r="J462" s="166" t="n"/>
      <c r="K462" s="167" t="n"/>
      <c r="L462" s="170" t="n"/>
      <c r="M462" s="170" t="n"/>
      <c r="N462" s="173" t="n"/>
      <c r="O462" s="173" t="n"/>
      <c r="P462" s="173" t="n"/>
      <c r="Q462" s="173" t="n"/>
      <c r="R462" s="173" t="n"/>
      <c r="S462" s="171" t="n"/>
    </row>
    <row r="463" ht="13.8" customHeight="1">
      <c r="A463" s="213">
        <f>IF($H463="UNIDADE CONSTRUTIVA",OFFSET(A463,-1,0)+1,LARGE(A$3:A462,1))</f>
        <v/>
      </c>
      <c r="B463" s="213" t="n"/>
      <c r="C463" s="213" t="n"/>
      <c r="D463" s="214" t="n"/>
      <c r="E463" s="214" t="n"/>
      <c r="G463" s="165" t="n"/>
      <c r="H463" s="165" t="n"/>
      <c r="I463" s="165" t="n"/>
      <c r="J463" s="166" t="n"/>
      <c r="K463" s="167" t="n"/>
      <c r="L463" s="170" t="n"/>
      <c r="M463" s="170" t="n"/>
      <c r="N463" s="173" t="n"/>
      <c r="O463" s="173" t="n"/>
      <c r="P463" s="173" t="n"/>
      <c r="Q463" s="173" t="n"/>
      <c r="R463" s="173" t="n"/>
      <c r="S463" s="171" t="n"/>
    </row>
    <row r="464" ht="13.8" customHeight="1">
      <c r="A464" s="213">
        <f>IF($H464="UNIDADE CONSTRUTIVA",OFFSET(A464,-1,0)+1,LARGE(A$3:A463,1))</f>
        <v/>
      </c>
      <c r="B464" s="213" t="n"/>
      <c r="C464" s="213" t="n"/>
      <c r="D464" s="214" t="n"/>
      <c r="E464" s="214" t="n"/>
      <c r="G464" s="165" t="n"/>
      <c r="H464" s="165" t="n"/>
      <c r="I464" s="165" t="n"/>
      <c r="J464" s="166" t="n"/>
      <c r="K464" s="167" t="n"/>
      <c r="L464" s="170" t="n"/>
      <c r="M464" s="170" t="n"/>
      <c r="N464" s="173" t="n"/>
      <c r="O464" s="173" t="n"/>
      <c r="P464" s="173" t="n"/>
      <c r="Q464" s="173" t="n"/>
      <c r="R464" s="173" t="n"/>
      <c r="S464" s="171" t="n"/>
    </row>
    <row r="465" ht="13.8" customHeight="1">
      <c r="A465" s="213">
        <f>IF($H465="UNIDADE CONSTRUTIVA",OFFSET(A465,-1,0)+1,LARGE(A$3:A464,1))</f>
        <v/>
      </c>
      <c r="B465" s="213" t="n"/>
      <c r="C465" s="213" t="n"/>
      <c r="D465" s="214" t="n"/>
      <c r="E465" s="214" t="n"/>
      <c r="G465" s="165" t="n"/>
      <c r="H465" s="165" t="n"/>
      <c r="I465" s="165" t="n"/>
      <c r="J465" s="166" t="n"/>
      <c r="K465" s="167" t="n"/>
      <c r="L465" s="170" t="n"/>
      <c r="M465" s="170" t="n"/>
      <c r="N465" s="173" t="n"/>
      <c r="O465" s="173" t="n"/>
      <c r="P465" s="173" t="n"/>
      <c r="Q465" s="173" t="n"/>
      <c r="R465" s="173" t="n"/>
      <c r="S465" s="171" t="n"/>
    </row>
    <row r="466" ht="13.8" customHeight="1">
      <c r="A466" s="213">
        <f>IF($H466="UNIDADE CONSTRUTIVA",OFFSET(A466,-1,0)+1,LARGE(A$3:A465,1))</f>
        <v/>
      </c>
      <c r="B466" s="213" t="n"/>
      <c r="C466" s="213" t="n"/>
      <c r="D466" s="214" t="n"/>
      <c r="E466" s="214" t="n"/>
      <c r="G466" s="165" t="n"/>
      <c r="H466" s="165" t="n"/>
      <c r="I466" s="165" t="n"/>
      <c r="J466" s="166" t="n"/>
      <c r="K466" s="167" t="n"/>
      <c r="L466" s="170" t="n"/>
      <c r="M466" s="170" t="n"/>
      <c r="N466" s="173" t="n"/>
      <c r="O466" s="173" t="n"/>
      <c r="P466" s="173" t="n"/>
      <c r="Q466" s="173" t="n"/>
      <c r="R466" s="173" t="n"/>
      <c r="S466" s="171" t="n"/>
    </row>
    <row r="467" ht="13.8" customHeight="1">
      <c r="A467" s="213">
        <f>IF($H467="UNIDADE CONSTRUTIVA",OFFSET(A467,-1,0)+1,LARGE(A$3:A466,1))</f>
        <v/>
      </c>
      <c r="B467" s="213" t="n"/>
      <c r="C467" s="213" t="n"/>
      <c r="D467" s="214" t="n"/>
      <c r="E467" s="214" t="n"/>
      <c r="G467" s="165" t="n"/>
      <c r="H467" s="165" t="n"/>
      <c r="I467" s="165" t="n"/>
      <c r="J467" s="166" t="n"/>
      <c r="K467" s="167" t="n"/>
      <c r="L467" s="170" t="n"/>
      <c r="M467" s="170" t="n"/>
      <c r="N467" s="173" t="n"/>
      <c r="O467" s="173" t="n"/>
      <c r="P467" s="173" t="n"/>
      <c r="Q467" s="173" t="n"/>
      <c r="R467" s="173" t="n"/>
      <c r="S467" s="171" t="n"/>
    </row>
    <row r="468" ht="13.8" customHeight="1">
      <c r="A468" s="213">
        <f>IF($H468="UNIDADE CONSTRUTIVA",OFFSET(A468,-1,0)+1,LARGE(A$3:A467,1))</f>
        <v/>
      </c>
      <c r="B468" s="213" t="n"/>
      <c r="C468" s="213" t="n"/>
      <c r="D468" s="214" t="n"/>
      <c r="E468" s="214" t="n"/>
      <c r="G468" s="165" t="n"/>
      <c r="H468" s="165" t="n"/>
      <c r="I468" s="165" t="n"/>
      <c r="J468" s="166" t="n"/>
      <c r="K468" s="167" t="n"/>
      <c r="L468" s="170" t="n"/>
      <c r="M468" s="170" t="n"/>
      <c r="N468" s="173" t="n"/>
      <c r="O468" s="173" t="n"/>
      <c r="P468" s="173" t="n"/>
      <c r="Q468" s="173" t="n"/>
      <c r="R468" s="173" t="n"/>
      <c r="S468" s="171" t="n"/>
    </row>
    <row r="469" ht="13.8" customHeight="1">
      <c r="A469" s="213">
        <f>IF($H469="UNIDADE CONSTRUTIVA",OFFSET(A469,-1,0)+1,LARGE(A$3:A468,1))</f>
        <v/>
      </c>
      <c r="B469" s="213" t="n"/>
      <c r="C469" s="213" t="n"/>
      <c r="D469" s="214" t="n"/>
      <c r="E469" s="214" t="n"/>
      <c r="G469" s="165" t="n"/>
      <c r="H469" s="165" t="n"/>
      <c r="I469" s="165" t="n"/>
      <c r="J469" s="166" t="n"/>
      <c r="K469" s="167" t="n"/>
      <c r="L469" s="170" t="n"/>
      <c r="M469" s="170" t="n"/>
      <c r="N469" s="173" t="n"/>
      <c r="O469" s="173" t="n"/>
      <c r="P469" s="173" t="n"/>
      <c r="Q469" s="173" t="n"/>
      <c r="R469" s="173" t="n"/>
      <c r="S469" s="171" t="n"/>
    </row>
    <row r="470" ht="13.8" customHeight="1">
      <c r="A470" s="213">
        <f>IF($H470="UNIDADE CONSTRUTIVA",OFFSET(A470,-1,0)+1,LARGE(A$3:A469,1))</f>
        <v/>
      </c>
      <c r="B470" s="213" t="n"/>
      <c r="C470" s="213" t="n"/>
      <c r="D470" s="214" t="n"/>
      <c r="E470" s="214" t="n"/>
      <c r="G470" s="165" t="n"/>
      <c r="H470" s="165" t="n"/>
      <c r="I470" s="165" t="n"/>
      <c r="J470" s="166" t="n"/>
      <c r="K470" s="167" t="n"/>
      <c r="L470" s="170" t="n"/>
      <c r="M470" s="170" t="n"/>
      <c r="N470" s="173" t="n"/>
      <c r="O470" s="173" t="n"/>
      <c r="P470" s="173" t="n"/>
      <c r="Q470" s="173" t="n"/>
      <c r="R470" s="173" t="n"/>
      <c r="S470" s="171" t="n"/>
    </row>
    <row r="471" ht="13.8" customHeight="1">
      <c r="A471" s="213">
        <f>IF($H471="UNIDADE CONSTRUTIVA",OFFSET(A471,-1,0)+1,LARGE(A$3:A470,1))</f>
        <v/>
      </c>
      <c r="B471" s="213" t="n"/>
      <c r="C471" s="213" t="n"/>
      <c r="D471" s="214" t="n"/>
      <c r="E471" s="214" t="n"/>
      <c r="G471" s="165" t="n"/>
      <c r="H471" s="165" t="n"/>
      <c r="I471" s="165" t="n"/>
      <c r="J471" s="166" t="n"/>
      <c r="K471" s="167" t="n"/>
      <c r="L471" s="170" t="n"/>
      <c r="M471" s="170" t="n"/>
      <c r="N471" s="173" t="n"/>
      <c r="O471" s="173" t="n"/>
      <c r="P471" s="173" t="n"/>
      <c r="Q471" s="173" t="n"/>
      <c r="R471" s="173" t="n"/>
      <c r="S471" s="171" t="n"/>
    </row>
    <row r="472" ht="13.8" customHeight="1">
      <c r="A472" s="213">
        <f>IF($H472="UNIDADE CONSTRUTIVA",OFFSET(A472,-1,0)+1,LARGE(A$3:A471,1))</f>
        <v/>
      </c>
      <c r="B472" s="213" t="n"/>
      <c r="C472" s="213" t="n"/>
      <c r="D472" s="214" t="n"/>
      <c r="E472" s="214" t="n"/>
      <c r="G472" s="165" t="n"/>
      <c r="H472" s="165" t="n"/>
      <c r="I472" s="165" t="n"/>
      <c r="J472" s="166" t="n"/>
      <c r="K472" s="167" t="n"/>
      <c r="L472" s="170" t="n"/>
      <c r="M472" s="170" t="n"/>
      <c r="N472" s="173" t="n"/>
      <c r="O472" s="173" t="n"/>
      <c r="P472" s="173" t="n"/>
      <c r="Q472" s="173" t="n"/>
      <c r="R472" s="173" t="n"/>
      <c r="S472" s="171" t="n"/>
    </row>
    <row r="473" ht="13.8" customHeight="1">
      <c r="A473" s="213">
        <f>IF($H473="UNIDADE CONSTRUTIVA",OFFSET(A473,-1,0)+1,LARGE(A$3:A472,1))</f>
        <v/>
      </c>
      <c r="B473" s="213" t="n"/>
      <c r="C473" s="213" t="n"/>
      <c r="D473" s="214" t="n"/>
      <c r="E473" s="214" t="n"/>
      <c r="G473" s="165" t="n"/>
      <c r="H473" s="165" t="n"/>
      <c r="I473" s="165" t="n"/>
      <c r="J473" s="166" t="n"/>
      <c r="K473" s="167" t="n"/>
      <c r="L473" s="170" t="n"/>
      <c r="M473" s="170" t="n"/>
      <c r="N473" s="173" t="n"/>
      <c r="O473" s="173" t="n"/>
      <c r="P473" s="173" t="n"/>
      <c r="Q473" s="173" t="n"/>
      <c r="R473" s="173" t="n"/>
      <c r="S473" s="171" t="n"/>
    </row>
    <row r="474" ht="13.8" customHeight="1">
      <c r="A474" s="213">
        <f>IF($H474="UNIDADE CONSTRUTIVA",OFFSET(A474,-1,0)+1,LARGE(A$3:A473,1))</f>
        <v/>
      </c>
      <c r="B474" s="213" t="n"/>
      <c r="C474" s="213" t="n"/>
      <c r="D474" s="214" t="n"/>
      <c r="E474" s="214" t="n"/>
      <c r="G474" s="165" t="n"/>
      <c r="H474" s="165" t="n"/>
      <c r="I474" s="165" t="n"/>
      <c r="J474" s="166" t="n"/>
      <c r="K474" s="167" t="n"/>
      <c r="L474" s="170" t="n"/>
      <c r="M474" s="170" t="n"/>
      <c r="N474" s="173" t="n"/>
      <c r="O474" s="173" t="n"/>
      <c r="P474" s="173" t="n"/>
      <c r="Q474" s="173" t="n"/>
      <c r="R474" s="173" t="n"/>
      <c r="S474" s="171" t="n"/>
    </row>
    <row r="475" ht="13.8" customHeight="1">
      <c r="A475" s="213">
        <f>IF($H475="UNIDADE CONSTRUTIVA",OFFSET(A475,-1,0)+1,LARGE(A$3:A474,1))</f>
        <v/>
      </c>
      <c r="B475" s="213" t="n"/>
      <c r="C475" s="213" t="n"/>
      <c r="D475" s="214" t="n"/>
      <c r="E475" s="214" t="n"/>
      <c r="G475" s="165" t="n"/>
      <c r="H475" s="165" t="n"/>
      <c r="I475" s="165" t="n"/>
      <c r="J475" s="166" t="n"/>
      <c r="K475" s="167" t="n"/>
      <c r="L475" s="170" t="n"/>
      <c r="M475" s="170" t="n"/>
      <c r="N475" s="173" t="n"/>
      <c r="O475" s="173" t="n"/>
      <c r="P475" s="173" t="n"/>
      <c r="Q475" s="173" t="n"/>
      <c r="R475" s="173" t="n"/>
      <c r="S475" s="171" t="n"/>
    </row>
    <row r="476" ht="13.8" customHeight="1">
      <c r="A476" s="213">
        <f>IF($H476="UNIDADE CONSTRUTIVA",OFFSET(A476,-1,0)+1,LARGE(A$3:A475,1))</f>
        <v/>
      </c>
      <c r="B476" s="213" t="n"/>
      <c r="C476" s="213" t="n"/>
      <c r="D476" s="214" t="n"/>
      <c r="E476" s="214" t="n"/>
      <c r="G476" s="165" t="n"/>
      <c r="H476" s="165" t="n"/>
      <c r="I476" s="165" t="n"/>
      <c r="J476" s="166" t="n"/>
      <c r="K476" s="167" t="n"/>
      <c r="L476" s="170" t="n"/>
      <c r="M476" s="170" t="n"/>
      <c r="N476" s="173" t="n"/>
      <c r="O476" s="173" t="n"/>
      <c r="P476" s="173" t="n"/>
      <c r="Q476" s="173" t="n"/>
      <c r="R476" s="173" t="n"/>
      <c r="S476" s="171" t="n"/>
    </row>
    <row r="477" ht="13.8" customHeight="1">
      <c r="A477" s="213">
        <f>IF($H477="UNIDADE CONSTRUTIVA",OFFSET(A477,-1,0)+1,LARGE(A$3:A476,1))</f>
        <v/>
      </c>
      <c r="B477" s="213" t="n"/>
      <c r="C477" s="213" t="n"/>
      <c r="D477" s="214" t="n"/>
      <c r="E477" s="214" t="n"/>
      <c r="G477" s="165" t="n"/>
      <c r="H477" s="165" t="n"/>
      <c r="I477" s="165" t="n"/>
      <c r="J477" s="166" t="n"/>
      <c r="K477" s="167" t="n"/>
      <c r="L477" s="170" t="n"/>
      <c r="M477" s="170" t="n"/>
      <c r="N477" s="173" t="n"/>
      <c r="O477" s="173" t="n"/>
      <c r="P477" s="173" t="n"/>
      <c r="Q477" s="173" t="n"/>
      <c r="R477" s="173" t="n"/>
      <c r="S477" s="171" t="n"/>
    </row>
    <row r="478" ht="13.8" customHeight="1">
      <c r="A478" s="213">
        <f>IF($H478="UNIDADE CONSTRUTIVA",OFFSET(A478,-1,0)+1,LARGE(A$3:A477,1))</f>
        <v/>
      </c>
      <c r="B478" s="213" t="n"/>
      <c r="C478" s="213" t="n"/>
      <c r="D478" s="214" t="n"/>
      <c r="E478" s="214" t="n"/>
      <c r="G478" s="165" t="n"/>
      <c r="H478" s="165" t="n"/>
      <c r="I478" s="165" t="n"/>
      <c r="J478" s="166" t="n"/>
      <c r="K478" s="167" t="n"/>
      <c r="L478" s="170" t="n"/>
      <c r="M478" s="170" t="n"/>
      <c r="N478" s="173" t="n"/>
      <c r="O478" s="173" t="n"/>
      <c r="P478" s="173" t="n"/>
      <c r="Q478" s="173" t="n"/>
      <c r="R478" s="173" t="n"/>
      <c r="S478" s="171" t="n"/>
    </row>
    <row r="479" ht="13.8" customHeight="1">
      <c r="A479" s="213">
        <f>IF($H479="UNIDADE CONSTRUTIVA",OFFSET(A479,-1,0)+1,LARGE(A$3:A478,1))</f>
        <v/>
      </c>
      <c r="B479" s="213" t="n"/>
      <c r="C479" s="213" t="n"/>
      <c r="D479" s="214" t="n"/>
      <c r="E479" s="214" t="n"/>
      <c r="G479" s="165" t="n"/>
      <c r="H479" s="165" t="n"/>
      <c r="I479" s="165" t="n"/>
      <c r="J479" s="166" t="n"/>
      <c r="K479" s="167" t="n"/>
      <c r="L479" s="170" t="n"/>
      <c r="M479" s="170" t="n"/>
      <c r="N479" s="173" t="n"/>
      <c r="O479" s="173" t="n"/>
      <c r="P479" s="173" t="n"/>
      <c r="Q479" s="173" t="n"/>
      <c r="R479" s="173" t="n"/>
      <c r="S479" s="171" t="n"/>
    </row>
    <row r="480" ht="13.8" customHeight="1">
      <c r="A480" s="213">
        <f>IF($H480="UNIDADE CONSTRUTIVA",OFFSET(A480,-1,0)+1,LARGE(A$3:A479,1))</f>
        <v/>
      </c>
      <c r="B480" s="213" t="n"/>
      <c r="C480" s="213" t="n"/>
      <c r="D480" s="214" t="n"/>
      <c r="E480" s="214" t="n"/>
      <c r="G480" s="165" t="n"/>
      <c r="H480" s="165" t="n"/>
      <c r="I480" s="165" t="n"/>
      <c r="J480" s="166" t="n"/>
      <c r="K480" s="167" t="n"/>
      <c r="L480" s="170" t="n"/>
      <c r="M480" s="170" t="n"/>
      <c r="N480" s="173" t="n"/>
      <c r="O480" s="173" t="n"/>
      <c r="P480" s="173" t="n"/>
      <c r="Q480" s="173" t="n"/>
      <c r="R480" s="173" t="n"/>
      <c r="S480" s="171" t="n"/>
    </row>
    <row r="481" ht="13.8" customHeight="1">
      <c r="A481" s="213">
        <f>IF($H481="UNIDADE CONSTRUTIVA",OFFSET(A481,-1,0)+1,LARGE(A$3:A480,1))</f>
        <v/>
      </c>
      <c r="B481" s="213" t="n"/>
      <c r="C481" s="213" t="n"/>
      <c r="D481" s="214" t="n"/>
      <c r="E481" s="214" t="n"/>
      <c r="G481" s="165" t="n"/>
      <c r="H481" s="165" t="n"/>
      <c r="I481" s="165" t="n"/>
      <c r="J481" s="166" t="n"/>
      <c r="K481" s="167" t="n"/>
      <c r="L481" s="170" t="n"/>
      <c r="M481" s="170" t="n"/>
      <c r="N481" s="173" t="n"/>
      <c r="O481" s="173" t="n"/>
      <c r="P481" s="173" t="n"/>
      <c r="Q481" s="173" t="n"/>
      <c r="R481" s="173" t="n"/>
      <c r="S481" s="171" t="n"/>
    </row>
    <row r="482" ht="13.8" customHeight="1">
      <c r="A482" s="213">
        <f>IF($H482="UNIDADE CONSTRUTIVA",OFFSET(A482,-1,0)+1,LARGE(A$3:A481,1))</f>
        <v/>
      </c>
      <c r="B482" s="213" t="n"/>
      <c r="C482" s="213" t="n"/>
      <c r="D482" s="214" t="n"/>
      <c r="E482" s="214" t="n"/>
      <c r="G482" s="165" t="n"/>
      <c r="H482" s="165" t="n"/>
      <c r="I482" s="165" t="n"/>
      <c r="J482" s="166" t="n"/>
      <c r="K482" s="167" t="n"/>
      <c r="L482" s="170" t="n"/>
      <c r="M482" s="170" t="n"/>
      <c r="N482" s="173" t="n"/>
      <c r="O482" s="173" t="n"/>
      <c r="P482" s="173" t="n"/>
      <c r="Q482" s="173" t="n"/>
      <c r="R482" s="173" t="n"/>
      <c r="S482" s="171" t="n"/>
    </row>
    <row r="483" ht="13.8" customHeight="1">
      <c r="A483" s="213">
        <f>IF($H483="UNIDADE CONSTRUTIVA",OFFSET(A483,-1,0)+1,LARGE(A$3:A482,1))</f>
        <v/>
      </c>
      <c r="B483" s="213" t="n"/>
      <c r="C483" s="213" t="n"/>
      <c r="D483" s="214" t="n"/>
      <c r="E483" s="214" t="n"/>
      <c r="G483" s="165" t="n"/>
      <c r="H483" s="165" t="n"/>
      <c r="I483" s="165" t="n"/>
      <c r="J483" s="166" t="n"/>
      <c r="K483" s="167" t="n"/>
      <c r="L483" s="170" t="n"/>
      <c r="M483" s="170" t="n"/>
      <c r="N483" s="173" t="n"/>
      <c r="O483" s="173" t="n"/>
      <c r="P483" s="173" t="n"/>
      <c r="Q483" s="173" t="n"/>
      <c r="R483" s="173" t="n"/>
      <c r="S483" s="171" t="n"/>
    </row>
    <row r="484" ht="13.8" customHeight="1">
      <c r="A484" s="213">
        <f>IF($H484="UNIDADE CONSTRUTIVA",OFFSET(A484,-1,0)+1,LARGE(A$3:A483,1))</f>
        <v/>
      </c>
      <c r="B484" s="213" t="n"/>
      <c r="C484" s="213" t="n"/>
      <c r="D484" s="214" t="n"/>
      <c r="E484" s="214" t="n"/>
      <c r="G484" s="165" t="n"/>
      <c r="H484" s="165" t="n"/>
      <c r="I484" s="165" t="n"/>
      <c r="J484" s="166" t="n"/>
      <c r="K484" s="167" t="n"/>
      <c r="L484" s="170" t="n"/>
      <c r="M484" s="170" t="n"/>
      <c r="N484" s="173" t="n"/>
      <c r="O484" s="173" t="n"/>
      <c r="P484" s="173" t="n"/>
      <c r="Q484" s="173" t="n"/>
      <c r="R484" s="173" t="n"/>
      <c r="S484" s="171" t="n"/>
    </row>
    <row r="485" ht="13.8" customHeight="1">
      <c r="A485" s="213">
        <f>IF($H485="UNIDADE CONSTRUTIVA",OFFSET(A485,-1,0)+1,LARGE(A$3:A484,1))</f>
        <v/>
      </c>
      <c r="B485" s="213" t="n"/>
      <c r="C485" s="213" t="n"/>
      <c r="D485" s="214" t="n"/>
      <c r="E485" s="214" t="n"/>
      <c r="G485" s="165" t="n"/>
      <c r="H485" s="165" t="n"/>
      <c r="I485" s="165" t="n"/>
      <c r="J485" s="166" t="n"/>
      <c r="K485" s="167" t="n"/>
      <c r="L485" s="170" t="n"/>
      <c r="M485" s="170" t="n"/>
      <c r="N485" s="173" t="n"/>
      <c r="O485" s="173" t="n"/>
      <c r="P485" s="173" t="n"/>
      <c r="Q485" s="173" t="n"/>
      <c r="R485" s="173" t="n"/>
      <c r="S485" s="171" t="n"/>
    </row>
    <row r="486" ht="13.8" customHeight="1">
      <c r="A486" s="213">
        <f>IF($H486="UNIDADE CONSTRUTIVA",OFFSET(A486,-1,0)+1,LARGE(A$3:A485,1))</f>
        <v/>
      </c>
      <c r="B486" s="213" t="n"/>
      <c r="C486" s="213" t="n"/>
      <c r="D486" s="214" t="n"/>
      <c r="E486" s="214" t="n"/>
      <c r="G486" s="165" t="n"/>
      <c r="H486" s="165" t="n"/>
      <c r="I486" s="165" t="n"/>
      <c r="J486" s="166" t="n"/>
      <c r="K486" s="167" t="n"/>
      <c r="L486" s="170" t="n"/>
      <c r="M486" s="170" t="n"/>
      <c r="N486" s="173" t="n"/>
      <c r="O486" s="173" t="n"/>
      <c r="P486" s="173" t="n"/>
      <c r="Q486" s="173" t="n"/>
      <c r="R486" s="173" t="n"/>
      <c r="S486" s="171" t="n"/>
    </row>
    <row r="487" ht="13.8" customHeight="1">
      <c r="A487" s="213">
        <f>IF($H487="UNIDADE CONSTRUTIVA",OFFSET(A487,-1,0)+1,LARGE(A$3:A486,1))</f>
        <v/>
      </c>
      <c r="B487" s="213" t="n"/>
      <c r="C487" s="213" t="n"/>
      <c r="D487" s="214" t="n"/>
      <c r="E487" s="214" t="n"/>
      <c r="G487" s="165" t="n"/>
      <c r="H487" s="165" t="n"/>
      <c r="I487" s="165" t="n"/>
      <c r="J487" s="166" t="n"/>
      <c r="K487" s="167" t="n"/>
      <c r="L487" s="170" t="n"/>
      <c r="M487" s="170" t="n"/>
      <c r="N487" s="173" t="n"/>
      <c r="O487" s="173" t="n"/>
      <c r="P487" s="173" t="n"/>
      <c r="Q487" s="173" t="n"/>
      <c r="R487" s="173" t="n"/>
      <c r="S487" s="171" t="n"/>
    </row>
    <row r="488" ht="13.8" customHeight="1">
      <c r="A488" s="213">
        <f>IF($H488="UNIDADE CONSTRUTIVA",OFFSET(A488,-1,0)+1,LARGE(A$3:A487,1))</f>
        <v/>
      </c>
      <c r="B488" s="213" t="n"/>
      <c r="C488" s="213" t="n"/>
      <c r="D488" s="214" t="n"/>
      <c r="E488" s="214" t="n"/>
      <c r="G488" s="165" t="n"/>
      <c r="H488" s="165" t="n"/>
      <c r="I488" s="165" t="n"/>
      <c r="J488" s="166" t="n"/>
      <c r="K488" s="167" t="n"/>
      <c r="L488" s="170" t="n"/>
      <c r="M488" s="170" t="n"/>
      <c r="N488" s="173" t="n"/>
      <c r="O488" s="173" t="n"/>
      <c r="P488" s="173" t="n"/>
      <c r="Q488" s="173" t="n"/>
      <c r="R488" s="173" t="n"/>
      <c r="S488" s="171" t="n"/>
    </row>
    <row r="489" ht="13.8" customHeight="1">
      <c r="A489" s="213">
        <f>IF($H489="UNIDADE CONSTRUTIVA",OFFSET(A489,-1,0)+1,LARGE(A$3:A488,1))</f>
        <v/>
      </c>
      <c r="B489" s="213" t="n"/>
      <c r="C489" s="213" t="n"/>
      <c r="D489" s="214" t="n"/>
      <c r="E489" s="214" t="n"/>
      <c r="G489" s="165" t="n"/>
      <c r="H489" s="165" t="n"/>
      <c r="I489" s="165" t="n"/>
      <c r="J489" s="166" t="n"/>
      <c r="K489" s="167" t="n"/>
      <c r="L489" s="170" t="n"/>
      <c r="M489" s="170" t="n"/>
      <c r="N489" s="173" t="n"/>
      <c r="O489" s="173" t="n"/>
      <c r="P489" s="173" t="n"/>
      <c r="Q489" s="173" t="n"/>
      <c r="R489" s="173" t="n"/>
      <c r="S489" s="171" t="n"/>
    </row>
    <row r="490" ht="13.8" customHeight="1">
      <c r="A490" s="213">
        <f>IF($H490="UNIDADE CONSTRUTIVA",OFFSET(A490,-1,0)+1,LARGE(A$3:A489,1))</f>
        <v/>
      </c>
      <c r="B490" s="213" t="n"/>
      <c r="C490" s="213" t="n"/>
      <c r="D490" s="214" t="n"/>
      <c r="E490" s="214" t="n"/>
      <c r="G490" s="165" t="n"/>
      <c r="H490" s="165" t="n"/>
      <c r="I490" s="165" t="n"/>
      <c r="J490" s="166" t="n"/>
      <c r="K490" s="167" t="n"/>
      <c r="L490" s="170" t="n"/>
      <c r="M490" s="170" t="n"/>
      <c r="N490" s="173" t="n"/>
      <c r="O490" s="173" t="n"/>
      <c r="P490" s="173" t="n"/>
      <c r="Q490" s="173" t="n"/>
      <c r="R490" s="173" t="n"/>
      <c r="S490" s="171" t="n"/>
    </row>
    <row r="491" ht="13.8" customHeight="1">
      <c r="A491" s="213">
        <f>IF($H491="UNIDADE CONSTRUTIVA",OFFSET(A491,-1,0)+1,LARGE(A$3:A490,1))</f>
        <v/>
      </c>
      <c r="B491" s="213" t="n"/>
      <c r="C491" s="213" t="n"/>
      <c r="D491" s="214" t="n"/>
      <c r="E491" s="214" t="n"/>
      <c r="G491" s="165" t="n"/>
      <c r="H491" s="165" t="n"/>
      <c r="I491" s="165" t="n"/>
      <c r="J491" s="166" t="n"/>
      <c r="K491" s="167" t="n"/>
      <c r="L491" s="170" t="n"/>
      <c r="M491" s="170" t="n"/>
      <c r="N491" s="173" t="n"/>
      <c r="O491" s="173" t="n"/>
      <c r="P491" s="173" t="n"/>
      <c r="Q491" s="173" t="n"/>
      <c r="R491" s="173" t="n"/>
      <c r="S491" s="171" t="n"/>
    </row>
    <row r="492" ht="13.8" customHeight="1">
      <c r="A492" s="213">
        <f>IF($H492="UNIDADE CONSTRUTIVA",OFFSET(A492,-1,0)+1,LARGE(A$3:A491,1))</f>
        <v/>
      </c>
      <c r="B492" s="213" t="n"/>
      <c r="C492" s="213" t="n"/>
      <c r="D492" s="214" t="n"/>
      <c r="E492" s="214" t="n"/>
      <c r="G492" s="165" t="n"/>
      <c r="H492" s="165" t="n"/>
      <c r="I492" s="165" t="n"/>
      <c r="J492" s="166" t="n"/>
      <c r="K492" s="167" t="n"/>
      <c r="L492" s="170" t="n"/>
      <c r="M492" s="170" t="n"/>
      <c r="N492" s="173" t="n"/>
      <c r="O492" s="173" t="n"/>
      <c r="P492" s="173" t="n"/>
      <c r="Q492" s="173" t="n"/>
      <c r="R492" s="173" t="n"/>
      <c r="S492" s="171" t="n"/>
    </row>
    <row r="493" ht="13.8" customHeight="1">
      <c r="A493" s="213">
        <f>IF($H493="UNIDADE CONSTRUTIVA",OFFSET(A493,-1,0)+1,LARGE(A$3:A492,1))</f>
        <v/>
      </c>
      <c r="B493" s="213" t="n"/>
      <c r="C493" s="213" t="n"/>
      <c r="D493" s="214" t="n"/>
      <c r="E493" s="214" t="n"/>
      <c r="G493" s="165" t="n"/>
      <c r="H493" s="165" t="n"/>
      <c r="I493" s="165" t="n"/>
      <c r="J493" s="166" t="n"/>
      <c r="K493" s="167" t="n"/>
      <c r="L493" s="170" t="n"/>
      <c r="M493" s="170" t="n"/>
      <c r="N493" s="173" t="n"/>
      <c r="O493" s="173" t="n"/>
      <c r="P493" s="173" t="n"/>
      <c r="Q493" s="173" t="n"/>
      <c r="R493" s="173" t="n"/>
      <c r="S493" s="171" t="n"/>
    </row>
    <row r="494" ht="13.8" customHeight="1">
      <c r="A494" s="213">
        <f>IF($H494="UNIDADE CONSTRUTIVA",OFFSET(A494,-1,0)+1,LARGE(A$3:A493,1))</f>
        <v/>
      </c>
      <c r="B494" s="213" t="n"/>
      <c r="C494" s="213" t="n"/>
      <c r="D494" s="214" t="n"/>
      <c r="E494" s="214" t="n"/>
      <c r="G494" s="165" t="n"/>
      <c r="H494" s="165" t="n"/>
      <c r="I494" s="165" t="n"/>
      <c r="J494" s="166" t="n"/>
      <c r="K494" s="167" t="n"/>
      <c r="L494" s="170" t="n"/>
      <c r="M494" s="170" t="n"/>
      <c r="N494" s="173" t="n"/>
      <c r="O494" s="173" t="n"/>
      <c r="P494" s="173" t="n"/>
      <c r="Q494" s="173" t="n"/>
      <c r="R494" s="173" t="n"/>
      <c r="S494" s="171" t="n"/>
    </row>
    <row r="495" ht="13.8" customHeight="1">
      <c r="A495" s="213">
        <f>IF($H495="UNIDADE CONSTRUTIVA",OFFSET(A495,-1,0)+1,LARGE(A$3:A494,1))</f>
        <v/>
      </c>
      <c r="B495" s="213" t="n"/>
      <c r="C495" s="213" t="n"/>
      <c r="D495" s="214" t="n"/>
      <c r="E495" s="214" t="n"/>
      <c r="G495" s="165" t="n"/>
      <c r="H495" s="165" t="n"/>
      <c r="I495" s="165" t="n"/>
      <c r="J495" s="166" t="n"/>
      <c r="K495" s="167" t="n"/>
      <c r="L495" s="170" t="n"/>
      <c r="M495" s="170" t="n"/>
      <c r="N495" s="173" t="n"/>
      <c r="O495" s="173" t="n"/>
      <c r="P495" s="173" t="n"/>
      <c r="Q495" s="173" t="n"/>
      <c r="R495" s="173" t="n"/>
      <c r="S495" s="171" t="n"/>
    </row>
    <row r="496" ht="13.8" customHeight="1">
      <c r="A496" s="213">
        <f>IF($H496="UNIDADE CONSTRUTIVA",OFFSET(A496,-1,0)+1,LARGE(A$3:A495,1))</f>
        <v/>
      </c>
      <c r="B496" s="213" t="n"/>
      <c r="C496" s="213" t="n"/>
      <c r="D496" s="214" t="n"/>
      <c r="E496" s="214" t="n"/>
      <c r="G496" s="165" t="n"/>
      <c r="H496" s="165" t="n"/>
      <c r="I496" s="165" t="n"/>
      <c r="J496" s="166" t="n"/>
      <c r="K496" s="167" t="n"/>
      <c r="L496" s="170" t="n"/>
      <c r="M496" s="170" t="n"/>
      <c r="N496" s="173" t="n"/>
      <c r="O496" s="173" t="n"/>
      <c r="P496" s="173" t="n"/>
      <c r="Q496" s="173" t="n"/>
      <c r="R496" s="173" t="n"/>
      <c r="S496" s="171" t="n"/>
    </row>
    <row r="497" ht="13.8" customHeight="1">
      <c r="A497" s="213">
        <f>IF($H497="UNIDADE CONSTRUTIVA",OFFSET(A497,-1,0)+1,LARGE(A$3:A496,1))</f>
        <v/>
      </c>
      <c r="B497" s="213" t="n"/>
      <c r="C497" s="213" t="n"/>
      <c r="D497" s="214" t="n"/>
      <c r="E497" s="214" t="n"/>
      <c r="G497" s="165" t="n"/>
      <c r="H497" s="165" t="n"/>
      <c r="I497" s="165" t="n"/>
      <c r="J497" s="166" t="n"/>
      <c r="K497" s="167" t="n"/>
      <c r="L497" s="170" t="n"/>
      <c r="M497" s="170" t="n"/>
      <c r="N497" s="173" t="n"/>
      <c r="O497" s="173" t="n"/>
      <c r="P497" s="173" t="n"/>
      <c r="Q497" s="173" t="n"/>
      <c r="R497" s="173" t="n"/>
      <c r="S497" s="171" t="n"/>
    </row>
    <row r="498" ht="13.8" customHeight="1">
      <c r="A498" s="213">
        <f>IF($H498="UNIDADE CONSTRUTIVA",OFFSET(A498,-1,0)+1,LARGE(A$3:A497,1))</f>
        <v/>
      </c>
      <c r="B498" s="213" t="n"/>
      <c r="C498" s="213" t="n"/>
      <c r="D498" s="214" t="n"/>
      <c r="E498" s="214" t="n"/>
      <c r="G498" s="165" t="n"/>
      <c r="H498" s="165" t="n"/>
      <c r="I498" s="165" t="n"/>
      <c r="J498" s="166" t="n"/>
      <c r="K498" s="167" t="n"/>
      <c r="L498" s="170" t="n"/>
      <c r="M498" s="170" t="n"/>
      <c r="N498" s="173" t="n"/>
      <c r="O498" s="173" t="n"/>
      <c r="P498" s="173" t="n"/>
      <c r="Q498" s="173" t="n"/>
      <c r="R498" s="173" t="n"/>
      <c r="S498" s="171" t="n"/>
    </row>
    <row r="499" ht="13.8" customHeight="1">
      <c r="A499" s="213">
        <f>IF($H499="UNIDADE CONSTRUTIVA",OFFSET(A499,-1,0)+1,LARGE(A$3:A498,1))</f>
        <v/>
      </c>
      <c r="B499" s="213" t="n"/>
      <c r="C499" s="213" t="n"/>
      <c r="D499" s="214" t="n"/>
      <c r="E499" s="214" t="n"/>
      <c r="G499" s="165" t="n"/>
      <c r="H499" s="165" t="n"/>
      <c r="I499" s="165" t="n"/>
      <c r="J499" s="166" t="n"/>
      <c r="K499" s="167" t="n"/>
      <c r="L499" s="170" t="n"/>
      <c r="M499" s="170" t="n"/>
      <c r="N499" s="173" t="n"/>
      <c r="O499" s="173" t="n"/>
      <c r="P499" s="173" t="n"/>
      <c r="Q499" s="173" t="n"/>
      <c r="R499" s="173" t="n"/>
      <c r="S499" s="171" t="n"/>
    </row>
    <row r="500" ht="13.8" customHeight="1">
      <c r="A500" s="213">
        <f>IF($H500="UNIDADE CONSTRUTIVA",OFFSET(A500,-1,0)+1,LARGE(A$3:A499,1))</f>
        <v/>
      </c>
      <c r="B500" s="213" t="n"/>
      <c r="C500" s="213" t="n"/>
      <c r="D500" s="214" t="n"/>
      <c r="E500" s="214" t="n"/>
      <c r="G500" s="165" t="n"/>
      <c r="H500" s="165" t="n"/>
      <c r="I500" s="165" t="n"/>
      <c r="J500" s="166" t="n"/>
      <c r="K500" s="167" t="n"/>
      <c r="L500" s="170" t="n"/>
      <c r="M500" s="170" t="n"/>
      <c r="N500" s="173" t="n"/>
      <c r="O500" s="173" t="n"/>
      <c r="P500" s="173" t="n"/>
      <c r="Q500" s="173" t="n"/>
      <c r="R500" s="173" t="n"/>
      <c r="S500" s="171" t="n"/>
    </row>
    <row r="501" ht="13.8" customHeight="1">
      <c r="A501" s="213">
        <f>IF($H501="UNIDADE CONSTRUTIVA",OFFSET(A501,-1,0)+1,LARGE(A$3:A500,1))</f>
        <v/>
      </c>
      <c r="B501" s="213" t="n"/>
      <c r="C501" s="213" t="n"/>
      <c r="D501" s="214" t="n"/>
      <c r="E501" s="214" t="n"/>
      <c r="G501" s="165" t="n"/>
      <c r="H501" s="165" t="n"/>
      <c r="I501" s="165" t="n"/>
      <c r="J501" s="166" t="n"/>
      <c r="K501" s="167" t="n"/>
      <c r="L501" s="170" t="n"/>
      <c r="M501" s="170" t="n"/>
      <c r="N501" s="173" t="n"/>
      <c r="O501" s="173" t="n"/>
      <c r="P501" s="173" t="n"/>
      <c r="Q501" s="173" t="n"/>
      <c r="R501" s="173" t="n"/>
      <c r="S501" s="171" t="n"/>
    </row>
    <row r="502" ht="13.8" customHeight="1">
      <c r="A502" s="213">
        <f>IF($H502="UNIDADE CONSTRUTIVA",OFFSET(A502,-1,0)+1,LARGE(A$3:A501,1))</f>
        <v/>
      </c>
      <c r="B502" s="213" t="n"/>
      <c r="C502" s="213" t="n"/>
      <c r="D502" s="214" t="n"/>
      <c r="E502" s="214" t="n"/>
      <c r="G502" s="165" t="n"/>
      <c r="H502" s="165" t="n"/>
      <c r="I502" s="165" t="n"/>
      <c r="J502" s="166" t="n"/>
      <c r="K502" s="167" t="n"/>
      <c r="L502" s="170" t="n"/>
      <c r="M502" s="170" t="n"/>
      <c r="N502" s="173" t="n"/>
      <c r="O502" s="173" t="n"/>
      <c r="P502" s="173" t="n"/>
      <c r="Q502" s="173" t="n"/>
      <c r="R502" s="173" t="n"/>
      <c r="S502" s="171" t="n"/>
    </row>
    <row r="503" ht="13.8" customHeight="1">
      <c r="A503" s="213">
        <f>IF($H503="UNIDADE CONSTRUTIVA",OFFSET(A503,-1,0)+1,LARGE(A$3:A502,1))</f>
        <v/>
      </c>
      <c r="B503" s="213" t="n"/>
      <c r="C503" s="213" t="n"/>
      <c r="D503" s="214" t="n"/>
      <c r="E503" s="214" t="n"/>
      <c r="G503" s="165" t="n"/>
      <c r="H503" s="165" t="n"/>
      <c r="I503" s="165" t="n"/>
      <c r="J503" s="166" t="n"/>
      <c r="K503" s="167" t="n"/>
      <c r="L503" s="170" t="n"/>
      <c r="M503" s="170" t="n"/>
      <c r="N503" s="173" t="n"/>
      <c r="O503" s="173" t="n"/>
      <c r="P503" s="173" t="n"/>
      <c r="Q503" s="173" t="n"/>
      <c r="R503" s="173" t="n"/>
      <c r="S503" s="171" t="n"/>
    </row>
    <row r="504" ht="13.8" customHeight="1">
      <c r="A504" s="213">
        <f>IF($H504="UNIDADE CONSTRUTIVA",OFFSET(A504,-1,0)+1,LARGE(A$3:A503,1))</f>
        <v/>
      </c>
      <c r="B504" s="213" t="n"/>
      <c r="C504" s="213" t="n"/>
      <c r="D504" s="214" t="n"/>
      <c r="E504" s="214" t="n"/>
      <c r="G504" s="165" t="n"/>
      <c r="H504" s="165" t="n"/>
      <c r="I504" s="165" t="n"/>
      <c r="J504" s="166" t="n"/>
      <c r="K504" s="167" t="n"/>
      <c r="L504" s="170" t="n"/>
      <c r="M504" s="170" t="n"/>
      <c r="N504" s="173" t="n"/>
      <c r="O504" s="173" t="n"/>
      <c r="P504" s="173" t="n"/>
      <c r="Q504" s="173" t="n"/>
      <c r="R504" s="173" t="n"/>
      <c r="S504" s="171" t="n"/>
    </row>
    <row r="505" ht="13.8" customHeight="1">
      <c r="A505" s="213">
        <f>IF($H505="UNIDADE CONSTRUTIVA",OFFSET(A505,-1,0)+1,LARGE(A$3:A504,1))</f>
        <v/>
      </c>
      <c r="B505" s="213" t="n"/>
      <c r="C505" s="213" t="n"/>
      <c r="D505" s="214" t="n"/>
      <c r="E505" s="214" t="n"/>
      <c r="G505" s="165" t="n"/>
      <c r="H505" s="165" t="n"/>
      <c r="I505" s="165" t="n"/>
      <c r="J505" s="166" t="n"/>
      <c r="K505" s="167" t="n"/>
      <c r="L505" s="170" t="n"/>
      <c r="M505" s="170" t="n"/>
      <c r="N505" s="173" t="n"/>
      <c r="O505" s="173" t="n"/>
      <c r="P505" s="173" t="n"/>
      <c r="Q505" s="173" t="n"/>
      <c r="R505" s="173" t="n"/>
      <c r="S505" s="171" t="n"/>
    </row>
    <row r="506" ht="13.8" customHeight="1">
      <c r="A506" s="213">
        <f>IF($H506="UNIDADE CONSTRUTIVA",OFFSET(A506,-1,0)+1,LARGE(A$3:A505,1))</f>
        <v/>
      </c>
      <c r="B506" s="213" t="n"/>
      <c r="C506" s="213" t="n"/>
      <c r="D506" s="214" t="n"/>
      <c r="E506" s="214" t="n"/>
      <c r="G506" s="165" t="n"/>
      <c r="H506" s="165" t="n"/>
      <c r="I506" s="165" t="n"/>
      <c r="J506" s="166" t="n"/>
      <c r="K506" s="167" t="n"/>
      <c r="L506" s="170" t="n"/>
      <c r="M506" s="170" t="n"/>
      <c r="N506" s="173" t="n"/>
      <c r="O506" s="173" t="n"/>
      <c r="P506" s="173" t="n"/>
      <c r="Q506" s="173" t="n"/>
      <c r="R506" s="173" t="n"/>
      <c r="S506" s="171" t="n"/>
    </row>
    <row r="507" ht="13.8" customHeight="1">
      <c r="A507" s="213">
        <f>IF($H507="UNIDADE CONSTRUTIVA",OFFSET(A507,-1,0)+1,LARGE(A$3:A506,1))</f>
        <v/>
      </c>
      <c r="B507" s="213" t="n"/>
      <c r="C507" s="213" t="n"/>
      <c r="D507" s="214" t="n"/>
      <c r="E507" s="214" t="n"/>
      <c r="G507" s="165" t="n"/>
      <c r="H507" s="165" t="n"/>
      <c r="I507" s="165" t="n"/>
      <c r="J507" s="166" t="n"/>
      <c r="K507" s="167" t="n"/>
      <c r="L507" s="170" t="n"/>
      <c r="M507" s="170" t="n"/>
      <c r="N507" s="173" t="n"/>
      <c r="O507" s="173" t="n"/>
      <c r="P507" s="173" t="n"/>
      <c r="Q507" s="173" t="n"/>
      <c r="R507" s="173" t="n"/>
      <c r="S507" s="171" t="n"/>
    </row>
    <row r="508" ht="13.8" customHeight="1">
      <c r="A508" s="213">
        <f>IF($H508="UNIDADE CONSTRUTIVA",OFFSET(A508,-1,0)+1,LARGE(A$3:A507,1))</f>
        <v/>
      </c>
      <c r="B508" s="213" t="n"/>
      <c r="C508" s="213" t="n"/>
      <c r="D508" s="214" t="n"/>
      <c r="E508" s="214" t="n"/>
      <c r="G508" s="165" t="n"/>
      <c r="H508" s="165" t="n"/>
      <c r="I508" s="165" t="n"/>
      <c r="J508" s="166" t="n"/>
      <c r="K508" s="167" t="n"/>
      <c r="L508" s="170" t="n"/>
      <c r="M508" s="170" t="n"/>
      <c r="N508" s="173" t="n"/>
      <c r="O508" s="173" t="n"/>
      <c r="P508" s="173" t="n"/>
      <c r="Q508" s="173" t="n"/>
      <c r="R508" s="173" t="n"/>
      <c r="S508" s="171" t="n"/>
    </row>
    <row r="509" ht="13.8" customHeight="1">
      <c r="A509" s="213">
        <f>IF($H509="UNIDADE CONSTRUTIVA",OFFSET(A509,-1,0)+1,LARGE(A$3:A508,1))</f>
        <v/>
      </c>
      <c r="B509" s="213" t="n"/>
      <c r="C509" s="213" t="n"/>
      <c r="D509" s="214" t="n"/>
      <c r="E509" s="214" t="n"/>
      <c r="G509" s="165" t="n"/>
      <c r="H509" s="165" t="n"/>
      <c r="I509" s="165" t="n"/>
      <c r="J509" s="166" t="n"/>
      <c r="K509" s="167" t="n"/>
      <c r="L509" s="170" t="n"/>
      <c r="M509" s="170" t="n"/>
      <c r="N509" s="173" t="n"/>
      <c r="O509" s="173" t="n"/>
      <c r="P509" s="173" t="n"/>
      <c r="Q509" s="173" t="n"/>
      <c r="R509" s="173" t="n"/>
      <c r="S509" s="171" t="n"/>
    </row>
    <row r="510" ht="13.8" customHeight="1">
      <c r="A510" s="213">
        <f>IF($H510="UNIDADE CONSTRUTIVA",OFFSET(A510,-1,0)+1,LARGE(A$3:A509,1))</f>
        <v/>
      </c>
      <c r="B510" s="213" t="n"/>
      <c r="C510" s="213" t="n"/>
      <c r="D510" s="214" t="n"/>
      <c r="E510" s="214" t="n"/>
      <c r="G510" s="165" t="n"/>
      <c r="H510" s="165" t="n"/>
      <c r="I510" s="165" t="n"/>
      <c r="J510" s="166" t="n"/>
      <c r="K510" s="167" t="n"/>
      <c r="L510" s="170" t="n"/>
      <c r="M510" s="170" t="n"/>
      <c r="N510" s="173" t="n"/>
      <c r="O510" s="173" t="n"/>
      <c r="P510" s="173" t="n"/>
      <c r="Q510" s="173" t="n"/>
      <c r="R510" s="173" t="n"/>
      <c r="S510" s="171" t="n"/>
    </row>
    <row r="511" ht="13.8" customHeight="1">
      <c r="A511" s="213">
        <f>IF($H511="UNIDADE CONSTRUTIVA",OFFSET(A511,-1,0)+1,LARGE(A$3:A510,1))</f>
        <v/>
      </c>
      <c r="B511" s="213" t="n"/>
      <c r="C511" s="213" t="n"/>
      <c r="D511" s="214" t="n"/>
      <c r="E511" s="214" t="n"/>
      <c r="G511" s="165" t="n"/>
      <c r="H511" s="165" t="n"/>
      <c r="I511" s="165" t="n"/>
      <c r="J511" s="166" t="n"/>
      <c r="K511" s="167" t="n"/>
      <c r="L511" s="170" t="n"/>
      <c r="M511" s="170" t="n"/>
      <c r="N511" s="173" t="n"/>
      <c r="O511" s="173" t="n"/>
      <c r="P511" s="173" t="n"/>
      <c r="Q511" s="173" t="n"/>
      <c r="R511" s="173" t="n"/>
      <c r="S511" s="171" t="n"/>
    </row>
    <row r="512" ht="13.8" customHeight="1">
      <c r="A512" s="213">
        <f>IF($H512="UNIDADE CONSTRUTIVA",OFFSET(A512,-1,0)+1,LARGE(A$3:A511,1))</f>
        <v/>
      </c>
      <c r="B512" s="213" t="n"/>
      <c r="C512" s="213" t="n"/>
      <c r="D512" s="214" t="n"/>
      <c r="E512" s="214" t="n"/>
      <c r="G512" s="165" t="n"/>
      <c r="H512" s="165" t="n"/>
      <c r="I512" s="165" t="n"/>
      <c r="J512" s="166" t="n"/>
      <c r="K512" s="167" t="n"/>
      <c r="L512" s="170" t="n"/>
      <c r="M512" s="170" t="n"/>
      <c r="N512" s="173" t="n"/>
      <c r="O512" s="173" t="n"/>
      <c r="P512" s="173" t="n"/>
      <c r="Q512" s="173" t="n"/>
      <c r="R512" s="173" t="n"/>
      <c r="S512" s="171" t="n"/>
    </row>
    <row r="513" ht="13.8" customHeight="1">
      <c r="A513" s="213">
        <f>IF($H513="UNIDADE CONSTRUTIVA",OFFSET(A513,-1,0)+1,LARGE(A$3:A512,1))</f>
        <v/>
      </c>
      <c r="B513" s="213" t="n"/>
      <c r="C513" s="213" t="n"/>
      <c r="D513" s="214" t="n"/>
      <c r="E513" s="214" t="n"/>
      <c r="G513" s="165" t="n"/>
      <c r="H513" s="165" t="n"/>
      <c r="I513" s="165" t="n"/>
      <c r="J513" s="166" t="n"/>
      <c r="K513" s="167" t="n"/>
      <c r="L513" s="170" t="n"/>
      <c r="M513" s="170" t="n"/>
      <c r="N513" s="173" t="n"/>
      <c r="O513" s="173" t="n"/>
      <c r="P513" s="173" t="n"/>
      <c r="Q513" s="173" t="n"/>
      <c r="R513" s="173" t="n"/>
      <c r="S513" s="171" t="n"/>
    </row>
    <row r="514" ht="13.8" customHeight="1">
      <c r="A514" s="213">
        <f>IF($H514="UNIDADE CONSTRUTIVA",OFFSET(A514,-1,0)+1,LARGE(A$3:A513,1))</f>
        <v/>
      </c>
      <c r="B514" s="213" t="n"/>
      <c r="C514" s="213" t="n"/>
      <c r="D514" s="214" t="n"/>
      <c r="E514" s="214" t="n"/>
      <c r="G514" s="165" t="n"/>
      <c r="H514" s="165" t="n"/>
      <c r="I514" s="165" t="n"/>
      <c r="J514" s="166" t="n"/>
      <c r="K514" s="167" t="n"/>
      <c r="L514" s="170" t="n"/>
      <c r="M514" s="170" t="n"/>
      <c r="N514" s="173" t="n"/>
      <c r="O514" s="173" t="n"/>
      <c r="P514" s="173" t="n"/>
      <c r="Q514" s="173" t="n"/>
      <c r="R514" s="173" t="n"/>
      <c r="S514" s="171" t="n"/>
    </row>
    <row r="515" ht="13.8" customHeight="1">
      <c r="A515" s="213">
        <f>IF($H515="UNIDADE CONSTRUTIVA",OFFSET(A515,-1,0)+1,LARGE(A$3:A514,1))</f>
        <v/>
      </c>
      <c r="B515" s="213" t="n"/>
      <c r="C515" s="213" t="n"/>
      <c r="D515" s="214" t="n"/>
      <c r="E515" s="214" t="n"/>
      <c r="G515" s="165" t="n"/>
      <c r="H515" s="165" t="n"/>
      <c r="I515" s="165" t="n"/>
      <c r="J515" s="166" t="n"/>
      <c r="K515" s="167" t="n"/>
      <c r="L515" s="170" t="n"/>
      <c r="M515" s="170" t="n"/>
      <c r="N515" s="173" t="n"/>
      <c r="O515" s="173" t="n"/>
      <c r="P515" s="173" t="n"/>
      <c r="Q515" s="173" t="n"/>
      <c r="R515" s="173" t="n"/>
      <c r="S515" s="171" t="n"/>
    </row>
    <row r="516" ht="13.8" customHeight="1">
      <c r="A516" s="213">
        <f>IF($H516="UNIDADE CONSTRUTIVA",OFFSET(A516,-1,0)+1,LARGE(A$3:A515,1))</f>
        <v/>
      </c>
      <c r="B516" s="213" t="n"/>
      <c r="C516" s="213" t="n"/>
      <c r="D516" s="214" t="n"/>
      <c r="E516" s="214" t="n"/>
      <c r="G516" s="165" t="n"/>
      <c r="H516" s="165" t="n"/>
      <c r="I516" s="165" t="n"/>
      <c r="J516" s="166" t="n"/>
      <c r="K516" s="167" t="n"/>
      <c r="L516" s="170" t="n"/>
      <c r="M516" s="170" t="n"/>
      <c r="N516" s="173" t="n"/>
      <c r="O516" s="173" t="n"/>
      <c r="P516" s="173" t="n"/>
      <c r="Q516" s="173" t="n"/>
      <c r="R516" s="173" t="n"/>
      <c r="S516" s="171" t="n"/>
    </row>
    <row r="517" ht="13.8" customHeight="1">
      <c r="A517" s="213">
        <f>IF($H517="UNIDADE CONSTRUTIVA",OFFSET(A517,-1,0)+1,LARGE(A$3:A516,1))</f>
        <v/>
      </c>
      <c r="B517" s="213" t="n"/>
      <c r="C517" s="213" t="n"/>
      <c r="D517" s="214" t="n"/>
      <c r="E517" s="214" t="n"/>
      <c r="G517" s="165" t="n"/>
      <c r="H517" s="165" t="n"/>
      <c r="I517" s="165" t="n"/>
      <c r="J517" s="166" t="n"/>
      <c r="K517" s="167" t="n"/>
      <c r="L517" s="170" t="n"/>
      <c r="M517" s="170" t="n"/>
      <c r="N517" s="173" t="n"/>
      <c r="O517" s="173" t="n"/>
      <c r="P517" s="173" t="n"/>
      <c r="Q517" s="173" t="n"/>
      <c r="R517" s="173" t="n"/>
      <c r="S517" s="171" t="n"/>
    </row>
    <row r="518" ht="13.8" customHeight="1">
      <c r="A518" s="213">
        <f>IF($H518="UNIDADE CONSTRUTIVA",OFFSET(A518,-1,0)+1,LARGE(A$3:A517,1))</f>
        <v/>
      </c>
      <c r="B518" s="213" t="n"/>
      <c r="C518" s="213" t="n"/>
      <c r="D518" s="214" t="n"/>
      <c r="E518" s="214" t="n"/>
      <c r="G518" s="165" t="n"/>
      <c r="H518" s="165" t="n"/>
      <c r="I518" s="165" t="n"/>
      <c r="J518" s="166" t="n"/>
      <c r="K518" s="167" t="n"/>
      <c r="L518" s="170" t="n"/>
      <c r="M518" s="170" t="n"/>
      <c r="N518" s="173" t="n"/>
      <c r="O518" s="173" t="n"/>
      <c r="P518" s="173" t="n"/>
      <c r="Q518" s="173" t="n"/>
      <c r="R518" s="173" t="n"/>
      <c r="S518" s="171" t="n"/>
    </row>
    <row r="519" ht="13.8" customHeight="1">
      <c r="A519" s="213">
        <f>IF($H519="UNIDADE CONSTRUTIVA",OFFSET(A519,-1,0)+1,LARGE(A$3:A518,1))</f>
        <v/>
      </c>
      <c r="B519" s="213" t="n"/>
      <c r="C519" s="213" t="n"/>
      <c r="D519" s="214" t="n"/>
      <c r="E519" s="214" t="n"/>
      <c r="G519" s="165" t="n"/>
      <c r="H519" s="165" t="n"/>
      <c r="I519" s="165" t="n"/>
      <c r="J519" s="166" t="n"/>
      <c r="K519" s="167" t="n"/>
      <c r="L519" s="170" t="n"/>
      <c r="M519" s="170" t="n"/>
      <c r="N519" s="173" t="n"/>
      <c r="O519" s="173" t="n"/>
      <c r="P519" s="173" t="n"/>
      <c r="Q519" s="173" t="n"/>
      <c r="R519" s="173" t="n"/>
      <c r="S519" s="171" t="n"/>
    </row>
    <row r="520" ht="13.8" customHeight="1">
      <c r="A520" s="213">
        <f>IF($H520="UNIDADE CONSTRUTIVA",OFFSET(A520,-1,0)+1,LARGE(A$3:A519,1))</f>
        <v/>
      </c>
      <c r="B520" s="213" t="n"/>
      <c r="C520" s="213" t="n"/>
      <c r="D520" s="214" t="n"/>
      <c r="E520" s="214" t="n"/>
      <c r="G520" s="165" t="n"/>
      <c r="H520" s="165" t="n"/>
      <c r="I520" s="165" t="n"/>
      <c r="J520" s="166" t="n"/>
      <c r="K520" s="167" t="n"/>
      <c r="L520" s="170" t="n"/>
      <c r="M520" s="170" t="n"/>
      <c r="N520" s="173" t="n"/>
      <c r="O520" s="173" t="n"/>
      <c r="P520" s="173" t="n"/>
      <c r="Q520" s="173" t="n"/>
      <c r="R520" s="173" t="n"/>
      <c r="S520" s="171" t="n"/>
    </row>
    <row r="521" ht="13.8" customHeight="1">
      <c r="A521" s="213">
        <f>IF($H521="UNIDADE CONSTRUTIVA",OFFSET(A521,-1,0)+1,LARGE(A$3:A520,1))</f>
        <v/>
      </c>
      <c r="B521" s="213" t="n"/>
      <c r="C521" s="213" t="n"/>
      <c r="D521" s="214" t="n"/>
      <c r="E521" s="214" t="n"/>
      <c r="G521" s="165" t="n"/>
      <c r="H521" s="165" t="n"/>
      <c r="I521" s="165" t="n"/>
      <c r="J521" s="166" t="n"/>
      <c r="K521" s="167" t="n"/>
      <c r="L521" s="170" t="n"/>
      <c r="M521" s="170" t="n"/>
      <c r="N521" s="173" t="n"/>
      <c r="O521" s="173" t="n"/>
      <c r="P521" s="173" t="n"/>
      <c r="Q521" s="173" t="n"/>
      <c r="R521" s="173" t="n"/>
      <c r="S521" s="171" t="n"/>
    </row>
    <row r="522" ht="13.8" customHeight="1">
      <c r="A522" s="213">
        <f>IF($H522="UNIDADE CONSTRUTIVA",OFFSET(A522,-1,0)+1,LARGE(A$3:A521,1))</f>
        <v/>
      </c>
      <c r="B522" s="213" t="n"/>
      <c r="C522" s="213" t="n"/>
      <c r="D522" s="214" t="n"/>
      <c r="E522" s="214" t="n"/>
      <c r="G522" s="165" t="n"/>
      <c r="H522" s="165" t="n"/>
      <c r="I522" s="165" t="n"/>
      <c r="J522" s="166" t="n"/>
      <c r="K522" s="167" t="n"/>
      <c r="L522" s="170" t="n"/>
      <c r="M522" s="170" t="n"/>
      <c r="N522" s="173" t="n"/>
      <c r="O522" s="173" t="n"/>
      <c r="P522" s="173" t="n"/>
      <c r="Q522" s="173" t="n"/>
      <c r="R522" s="173" t="n"/>
      <c r="S522" s="171" t="n"/>
    </row>
    <row r="523" ht="13.8" customHeight="1">
      <c r="A523" s="213">
        <f>IF($H523="UNIDADE CONSTRUTIVA",OFFSET(A523,-1,0)+1,LARGE(A$3:A522,1))</f>
        <v/>
      </c>
      <c r="B523" s="213" t="n"/>
      <c r="C523" s="213" t="n"/>
      <c r="D523" s="214" t="n"/>
      <c r="E523" s="214" t="n"/>
      <c r="G523" s="165" t="n"/>
      <c r="H523" s="165" t="n"/>
      <c r="I523" s="165" t="n"/>
      <c r="J523" s="166" t="n"/>
      <c r="K523" s="167" t="n"/>
      <c r="L523" s="170" t="n"/>
      <c r="M523" s="170" t="n"/>
      <c r="N523" s="173" t="n"/>
      <c r="O523" s="173" t="n"/>
      <c r="P523" s="173" t="n"/>
      <c r="Q523" s="173" t="n"/>
      <c r="R523" s="173" t="n"/>
      <c r="S523" s="171" t="n"/>
    </row>
    <row r="524" ht="13.8" customHeight="1">
      <c r="A524" s="213">
        <f>IF($H524="UNIDADE CONSTRUTIVA",OFFSET(A524,-1,0)+1,LARGE(A$3:A523,1))</f>
        <v/>
      </c>
      <c r="B524" s="213" t="n"/>
      <c r="C524" s="213" t="n"/>
      <c r="D524" s="214" t="n"/>
      <c r="E524" s="214" t="n"/>
      <c r="G524" s="165" t="n"/>
      <c r="H524" s="165" t="n"/>
      <c r="I524" s="165" t="n"/>
      <c r="J524" s="166" t="n"/>
      <c r="K524" s="167" t="n"/>
      <c r="L524" s="170" t="n"/>
      <c r="M524" s="170" t="n"/>
      <c r="N524" s="173" t="n"/>
      <c r="O524" s="173" t="n"/>
      <c r="P524" s="173" t="n"/>
      <c r="Q524" s="173" t="n"/>
      <c r="R524" s="173" t="n"/>
      <c r="S524" s="171" t="n"/>
    </row>
    <row r="525" ht="13.8" customHeight="1">
      <c r="A525" s="213">
        <f>IF($H525="UNIDADE CONSTRUTIVA",OFFSET(A525,-1,0)+1,LARGE(A$3:A524,1))</f>
        <v/>
      </c>
      <c r="B525" s="213" t="n"/>
      <c r="C525" s="213" t="n"/>
      <c r="D525" s="214" t="n"/>
      <c r="E525" s="214" t="n"/>
      <c r="G525" s="165" t="n"/>
      <c r="H525" s="165" t="n"/>
      <c r="I525" s="165" t="n"/>
      <c r="J525" s="166" t="n"/>
      <c r="K525" s="167" t="n"/>
      <c r="L525" s="170" t="n"/>
      <c r="M525" s="170" t="n"/>
      <c r="N525" s="173" t="n"/>
      <c r="O525" s="173" t="n"/>
      <c r="P525" s="173" t="n"/>
      <c r="Q525" s="173" t="n"/>
      <c r="R525" s="173" t="n"/>
      <c r="S525" s="171" t="n"/>
    </row>
    <row r="526" ht="13.8" customHeight="1">
      <c r="A526" s="213">
        <f>IF($H526="UNIDADE CONSTRUTIVA",OFFSET(A526,-1,0)+1,LARGE(A$3:A525,1))</f>
        <v/>
      </c>
      <c r="B526" s="213" t="n"/>
      <c r="C526" s="213" t="n"/>
      <c r="D526" s="214" t="n"/>
      <c r="E526" s="214" t="n"/>
      <c r="G526" s="165" t="n"/>
      <c r="H526" s="165" t="n"/>
      <c r="I526" s="165" t="n"/>
      <c r="J526" s="166" t="n"/>
      <c r="K526" s="167" t="n"/>
      <c r="L526" s="170" t="n"/>
      <c r="M526" s="170" t="n"/>
      <c r="N526" s="173" t="n"/>
      <c r="O526" s="173" t="n"/>
      <c r="P526" s="173" t="n"/>
      <c r="Q526" s="173" t="n"/>
      <c r="R526" s="173" t="n"/>
      <c r="S526" s="171" t="n"/>
    </row>
    <row r="527" ht="13.8" customHeight="1">
      <c r="A527" s="213">
        <f>IF($H527="UNIDADE CONSTRUTIVA",OFFSET(A527,-1,0)+1,LARGE(A$3:A526,1))</f>
        <v/>
      </c>
      <c r="B527" s="213" t="n"/>
      <c r="C527" s="213" t="n"/>
      <c r="D527" s="214" t="n"/>
      <c r="E527" s="214" t="n"/>
      <c r="G527" s="165" t="n"/>
      <c r="H527" s="165" t="n"/>
      <c r="I527" s="165" t="n"/>
      <c r="J527" s="166" t="n"/>
      <c r="K527" s="167" t="n"/>
      <c r="L527" s="170" t="n"/>
      <c r="M527" s="170" t="n"/>
      <c r="N527" s="173" t="n"/>
      <c r="O527" s="173" t="n"/>
      <c r="P527" s="173" t="n"/>
      <c r="Q527" s="173" t="n"/>
      <c r="R527" s="173" t="n"/>
      <c r="S527" s="171" t="n"/>
    </row>
    <row r="528" ht="13.8" customHeight="1">
      <c r="A528" s="213">
        <f>IF($H528="UNIDADE CONSTRUTIVA",OFFSET(A528,-1,0)+1,LARGE(A$3:A527,1))</f>
        <v/>
      </c>
      <c r="B528" s="213" t="n"/>
      <c r="C528" s="213" t="n"/>
      <c r="D528" s="214" t="n"/>
      <c r="E528" s="214" t="n"/>
      <c r="G528" s="165" t="n"/>
      <c r="H528" s="165" t="n"/>
      <c r="I528" s="165" t="n"/>
      <c r="J528" s="166" t="n"/>
      <c r="K528" s="167" t="n"/>
      <c r="L528" s="170" t="n"/>
      <c r="M528" s="170" t="n"/>
      <c r="N528" s="173" t="n"/>
      <c r="O528" s="173" t="n"/>
      <c r="P528" s="173" t="n"/>
      <c r="Q528" s="173" t="n"/>
      <c r="R528" s="173" t="n"/>
      <c r="S528" s="171" t="n"/>
    </row>
    <row r="529" ht="13.8" customHeight="1">
      <c r="A529" s="213">
        <f>IF($H529="UNIDADE CONSTRUTIVA",OFFSET(A529,-1,0)+1,LARGE(A$3:A528,1))</f>
        <v/>
      </c>
      <c r="B529" s="213" t="n"/>
      <c r="C529" s="213" t="n"/>
      <c r="D529" s="214" t="n"/>
      <c r="E529" s="214" t="n"/>
      <c r="G529" s="165" t="n"/>
      <c r="H529" s="165" t="n"/>
      <c r="I529" s="165" t="n"/>
      <c r="J529" s="166" t="n"/>
      <c r="K529" s="167" t="n"/>
      <c r="L529" s="170" t="n"/>
      <c r="M529" s="170" t="n"/>
      <c r="N529" s="173" t="n"/>
      <c r="O529" s="173" t="n"/>
      <c r="P529" s="173" t="n"/>
      <c r="Q529" s="173" t="n"/>
      <c r="R529" s="173" t="n"/>
      <c r="S529" s="171" t="n"/>
    </row>
    <row r="530" ht="13.8" customHeight="1">
      <c r="A530" s="213">
        <f>IF($H530="UNIDADE CONSTRUTIVA",OFFSET(A530,-1,0)+1,LARGE(A$3:A529,1))</f>
        <v/>
      </c>
      <c r="B530" s="213" t="n"/>
      <c r="C530" s="213" t="n"/>
      <c r="D530" s="214" t="n"/>
      <c r="E530" s="214" t="n"/>
      <c r="G530" s="165" t="n"/>
      <c r="H530" s="165" t="n"/>
      <c r="I530" s="165" t="n"/>
      <c r="J530" s="166" t="n"/>
      <c r="K530" s="167" t="n"/>
      <c r="L530" s="170" t="n"/>
      <c r="M530" s="170" t="n"/>
      <c r="N530" s="173" t="n"/>
      <c r="O530" s="173" t="n"/>
      <c r="P530" s="173" t="n"/>
      <c r="Q530" s="173" t="n"/>
      <c r="R530" s="173" t="n"/>
      <c r="S530" s="171" t="n"/>
    </row>
    <row r="531" ht="13.8" customHeight="1">
      <c r="A531" s="213">
        <f>IF($H531="UNIDADE CONSTRUTIVA",OFFSET(A531,-1,0)+1,LARGE(A$3:A530,1))</f>
        <v/>
      </c>
      <c r="B531" s="213" t="n"/>
      <c r="C531" s="213" t="n"/>
      <c r="D531" s="214" t="n"/>
      <c r="E531" s="214" t="n"/>
      <c r="G531" s="165" t="n"/>
      <c r="H531" s="165" t="n"/>
      <c r="I531" s="165" t="n"/>
      <c r="J531" s="166" t="n"/>
      <c r="K531" s="167" t="n"/>
      <c r="L531" s="170" t="n"/>
      <c r="M531" s="170" t="n"/>
      <c r="N531" s="173" t="n"/>
      <c r="O531" s="173" t="n"/>
      <c r="P531" s="173" t="n"/>
      <c r="Q531" s="173" t="n"/>
      <c r="R531" s="173" t="n"/>
      <c r="S531" s="171" t="n"/>
    </row>
    <row r="532" ht="13.8" customHeight="1">
      <c r="A532" s="213">
        <f>IF($H532="UNIDADE CONSTRUTIVA",OFFSET(A532,-1,0)+1,LARGE(A$3:A531,1))</f>
        <v/>
      </c>
      <c r="B532" s="213" t="n"/>
      <c r="C532" s="213" t="n"/>
      <c r="D532" s="214" t="n"/>
      <c r="E532" s="214" t="n"/>
      <c r="G532" s="165" t="n"/>
      <c r="H532" s="165" t="n"/>
      <c r="I532" s="165" t="n"/>
      <c r="J532" s="166" t="n"/>
      <c r="K532" s="167" t="n"/>
      <c r="L532" s="170" t="n"/>
      <c r="M532" s="170" t="n"/>
      <c r="N532" s="173" t="n"/>
      <c r="O532" s="173" t="n"/>
      <c r="P532" s="173" t="n"/>
      <c r="Q532" s="173" t="n"/>
      <c r="R532" s="173" t="n"/>
      <c r="S532" s="171" t="n"/>
    </row>
    <row r="533" ht="13.8" customHeight="1">
      <c r="A533" s="213">
        <f>IF($H533="UNIDADE CONSTRUTIVA",OFFSET(A533,-1,0)+1,LARGE(A$3:A532,1))</f>
        <v/>
      </c>
      <c r="B533" s="213" t="n"/>
      <c r="C533" s="213" t="n"/>
      <c r="D533" s="214" t="n"/>
      <c r="E533" s="214" t="n"/>
      <c r="G533" s="165" t="n"/>
      <c r="H533" s="165" t="n"/>
      <c r="I533" s="165" t="n"/>
      <c r="J533" s="166" t="n"/>
      <c r="K533" s="167" t="n"/>
      <c r="L533" s="170" t="n"/>
      <c r="M533" s="170" t="n"/>
      <c r="N533" s="173" t="n"/>
      <c r="O533" s="173" t="n"/>
      <c r="P533" s="173" t="n"/>
      <c r="Q533" s="173" t="n"/>
      <c r="R533" s="173" t="n"/>
      <c r="S533" s="171" t="n"/>
    </row>
    <row r="534" ht="13.8" customHeight="1">
      <c r="A534" s="213">
        <f>IF($H534="UNIDADE CONSTRUTIVA",OFFSET(A534,-1,0)+1,LARGE(A$3:A533,1))</f>
        <v/>
      </c>
      <c r="B534" s="213" t="n"/>
      <c r="C534" s="213" t="n"/>
      <c r="D534" s="214" t="n"/>
      <c r="E534" s="214" t="n"/>
      <c r="G534" s="165" t="n"/>
      <c r="H534" s="165" t="n"/>
      <c r="I534" s="165" t="n"/>
      <c r="J534" s="166" t="n"/>
      <c r="K534" s="167" t="n"/>
      <c r="L534" s="170" t="n"/>
      <c r="M534" s="170" t="n"/>
      <c r="N534" s="173" t="n"/>
      <c r="O534" s="173" t="n"/>
      <c r="P534" s="173" t="n"/>
      <c r="Q534" s="173" t="n"/>
      <c r="R534" s="173" t="n"/>
      <c r="S534" s="171" t="n"/>
    </row>
    <row r="535" ht="13.8" customHeight="1">
      <c r="A535" s="213">
        <f>IF($H535="UNIDADE CONSTRUTIVA",OFFSET(A535,-1,0)+1,LARGE(A$3:A534,1))</f>
        <v/>
      </c>
      <c r="B535" s="213" t="n"/>
      <c r="C535" s="213" t="n"/>
      <c r="D535" s="214" t="n"/>
      <c r="E535" s="214" t="n"/>
      <c r="G535" s="165" t="n"/>
      <c r="H535" s="165" t="n"/>
      <c r="I535" s="165" t="n"/>
      <c r="J535" s="166" t="n"/>
      <c r="K535" s="167" t="n"/>
      <c r="L535" s="170" t="n"/>
      <c r="M535" s="170" t="n"/>
      <c r="N535" s="173" t="n"/>
      <c r="O535" s="173" t="n"/>
      <c r="P535" s="173" t="n"/>
      <c r="Q535" s="173" t="n"/>
      <c r="R535" s="173" t="n"/>
      <c r="S535" s="171" t="n"/>
    </row>
    <row r="536" ht="13.8" customHeight="1">
      <c r="A536" s="213">
        <f>IF($H536="UNIDADE CONSTRUTIVA",OFFSET(A536,-1,0)+1,LARGE(A$3:A535,1))</f>
        <v/>
      </c>
      <c r="B536" s="213" t="n"/>
      <c r="C536" s="213" t="n"/>
      <c r="D536" s="214" t="n"/>
      <c r="E536" s="214" t="n"/>
      <c r="G536" s="165" t="n"/>
      <c r="H536" s="165" t="n"/>
      <c r="I536" s="165" t="n"/>
      <c r="J536" s="166" t="n"/>
      <c r="K536" s="167" t="n"/>
      <c r="L536" s="170" t="n"/>
      <c r="M536" s="170" t="n"/>
      <c r="N536" s="173" t="n"/>
      <c r="O536" s="173" t="n"/>
      <c r="P536" s="173" t="n"/>
      <c r="Q536" s="173" t="n"/>
      <c r="R536" s="173" t="n"/>
      <c r="S536" s="171" t="n"/>
    </row>
    <row r="537" ht="13.8" customHeight="1">
      <c r="A537" s="213">
        <f>IF($H537="UNIDADE CONSTRUTIVA",OFFSET(A537,-1,0)+1,LARGE(A$3:A536,1))</f>
        <v/>
      </c>
      <c r="B537" s="213" t="n"/>
      <c r="C537" s="213" t="n"/>
      <c r="D537" s="214" t="n"/>
      <c r="E537" s="214" t="n"/>
      <c r="G537" s="165" t="n"/>
      <c r="H537" s="165" t="n"/>
      <c r="I537" s="165" t="n"/>
      <c r="J537" s="166" t="n"/>
      <c r="K537" s="167" t="n"/>
      <c r="L537" s="170" t="n"/>
      <c r="M537" s="170" t="n"/>
      <c r="N537" s="173" t="n"/>
      <c r="O537" s="173" t="n"/>
      <c r="P537" s="173" t="n"/>
      <c r="Q537" s="173" t="n"/>
      <c r="R537" s="173" t="n"/>
      <c r="S537" s="171" t="n"/>
    </row>
    <row r="538" ht="13.8" customHeight="1">
      <c r="A538" s="213">
        <f>IF($H538="UNIDADE CONSTRUTIVA",OFFSET(A538,-1,0)+1,LARGE(A$3:A537,1))</f>
        <v/>
      </c>
      <c r="B538" s="213" t="n"/>
      <c r="C538" s="213" t="n"/>
      <c r="D538" s="214" t="n"/>
      <c r="E538" s="214" t="n"/>
      <c r="G538" s="165" t="n"/>
      <c r="H538" s="165" t="n"/>
      <c r="I538" s="165" t="n"/>
      <c r="J538" s="166" t="n"/>
      <c r="K538" s="167" t="n"/>
      <c r="L538" s="170" t="n"/>
      <c r="M538" s="170" t="n"/>
      <c r="N538" s="173" t="n"/>
      <c r="O538" s="173" t="n"/>
      <c r="P538" s="173" t="n"/>
      <c r="Q538" s="173" t="n"/>
      <c r="R538" s="173" t="n"/>
      <c r="S538" s="171" t="n"/>
    </row>
    <row r="539" ht="13.8" customHeight="1">
      <c r="A539" s="213">
        <f>IF($H539="UNIDADE CONSTRUTIVA",OFFSET(A539,-1,0)+1,LARGE(A$3:A538,1))</f>
        <v/>
      </c>
      <c r="B539" s="213" t="n"/>
      <c r="C539" s="213" t="n"/>
      <c r="D539" s="214" t="n"/>
      <c r="E539" s="214" t="n"/>
      <c r="G539" s="165" t="n"/>
      <c r="H539" s="165" t="n"/>
      <c r="I539" s="165" t="n"/>
      <c r="J539" s="166" t="n"/>
      <c r="K539" s="167" t="n"/>
      <c r="L539" s="170" t="n"/>
      <c r="M539" s="170" t="n"/>
      <c r="N539" s="173" t="n"/>
      <c r="O539" s="173" t="n"/>
      <c r="P539" s="173" t="n"/>
      <c r="Q539" s="173" t="n"/>
      <c r="R539" s="173" t="n"/>
      <c r="S539" s="171" t="n"/>
    </row>
    <row r="540" ht="13.8" customHeight="1">
      <c r="A540" s="213">
        <f>IF($H540="UNIDADE CONSTRUTIVA",OFFSET(A540,-1,0)+1,LARGE(A$3:A539,1))</f>
        <v/>
      </c>
      <c r="B540" s="213" t="n"/>
      <c r="C540" s="213" t="n"/>
      <c r="D540" s="214" t="n"/>
      <c r="E540" s="214" t="n"/>
      <c r="G540" s="165" t="n"/>
      <c r="H540" s="165" t="n"/>
      <c r="I540" s="165" t="n"/>
      <c r="J540" s="166" t="n"/>
      <c r="K540" s="167" t="n"/>
      <c r="L540" s="170" t="n"/>
      <c r="M540" s="170" t="n"/>
      <c r="N540" s="173" t="n"/>
      <c r="O540" s="173" t="n"/>
      <c r="P540" s="173" t="n"/>
      <c r="Q540" s="173" t="n"/>
      <c r="R540" s="173" t="n"/>
      <c r="S540" s="171" t="n"/>
    </row>
    <row r="541" ht="13.8" customHeight="1">
      <c r="A541" s="213">
        <f>IF($H541="UNIDADE CONSTRUTIVA",OFFSET(A541,-1,0)+1,LARGE(A$3:A540,1))</f>
        <v/>
      </c>
      <c r="B541" s="213" t="n"/>
      <c r="C541" s="213" t="n"/>
      <c r="D541" s="214" t="n"/>
      <c r="E541" s="214" t="n"/>
      <c r="G541" s="165" t="n"/>
      <c r="H541" s="165" t="n"/>
      <c r="I541" s="165" t="n"/>
      <c r="J541" s="166" t="n"/>
      <c r="K541" s="167" t="n"/>
      <c r="L541" s="170" t="n"/>
      <c r="M541" s="170" t="n"/>
      <c r="N541" s="173" t="n"/>
      <c r="O541" s="173" t="n"/>
      <c r="P541" s="173" t="n"/>
      <c r="Q541" s="173" t="n"/>
      <c r="R541" s="173" t="n"/>
      <c r="S541" s="171" t="n"/>
    </row>
    <row r="542" ht="13.8" customHeight="1">
      <c r="A542" s="213">
        <f>IF($H542="UNIDADE CONSTRUTIVA",OFFSET(A542,-1,0)+1,LARGE(A$3:A541,1))</f>
        <v/>
      </c>
      <c r="B542" s="213" t="n"/>
      <c r="C542" s="213" t="n"/>
      <c r="D542" s="214" t="n"/>
      <c r="E542" s="214" t="n"/>
      <c r="G542" s="165" t="n"/>
      <c r="H542" s="165" t="n"/>
      <c r="I542" s="165" t="n"/>
      <c r="J542" s="166" t="n"/>
      <c r="K542" s="167" t="n"/>
      <c r="L542" s="170" t="n"/>
      <c r="M542" s="170" t="n"/>
      <c r="N542" s="173" t="n"/>
      <c r="O542" s="173" t="n"/>
      <c r="P542" s="173" t="n"/>
      <c r="Q542" s="173" t="n"/>
      <c r="R542" s="173" t="n"/>
      <c r="S542" s="171" t="n"/>
    </row>
    <row r="543" ht="13.8" customHeight="1">
      <c r="A543" s="213">
        <f>IF($H543="UNIDADE CONSTRUTIVA",OFFSET(A543,-1,0)+1,LARGE(A$3:A542,1))</f>
        <v/>
      </c>
      <c r="B543" s="213" t="n"/>
      <c r="C543" s="213" t="n"/>
      <c r="D543" s="214" t="n"/>
      <c r="E543" s="214" t="n"/>
      <c r="G543" s="165" t="n"/>
      <c r="H543" s="165" t="n"/>
      <c r="I543" s="165" t="n"/>
      <c r="J543" s="166" t="n"/>
      <c r="K543" s="167" t="n"/>
      <c r="L543" s="170" t="n"/>
      <c r="M543" s="170" t="n"/>
      <c r="N543" s="173" t="n"/>
      <c r="O543" s="173" t="n"/>
      <c r="P543" s="173" t="n"/>
      <c r="Q543" s="173" t="n"/>
      <c r="R543" s="173" t="n"/>
      <c r="S543" s="171" t="n"/>
    </row>
    <row r="544" ht="13.8" customHeight="1">
      <c r="A544" s="213">
        <f>IF($H544="UNIDADE CONSTRUTIVA",OFFSET(A544,-1,0)+1,LARGE(A$3:A543,1))</f>
        <v/>
      </c>
      <c r="B544" s="213" t="n"/>
      <c r="C544" s="213" t="n"/>
      <c r="D544" s="214" t="n"/>
      <c r="E544" s="214" t="n"/>
      <c r="G544" s="165" t="n"/>
      <c r="H544" s="165" t="n"/>
      <c r="I544" s="165" t="n"/>
      <c r="J544" s="166" t="n"/>
      <c r="K544" s="167" t="n"/>
      <c r="L544" s="170" t="n"/>
      <c r="M544" s="170" t="n"/>
      <c r="N544" s="173" t="n"/>
      <c r="O544" s="173" t="n"/>
      <c r="P544" s="173" t="n"/>
      <c r="Q544" s="173" t="n"/>
      <c r="R544" s="173" t="n"/>
      <c r="S544" s="171" t="n"/>
    </row>
    <row r="545" ht="13.8" customHeight="1">
      <c r="A545" s="213">
        <f>IF($H545="UNIDADE CONSTRUTIVA",OFFSET(A545,-1,0)+1,LARGE(A$3:A544,1))</f>
        <v/>
      </c>
      <c r="B545" s="213" t="n"/>
      <c r="C545" s="213" t="n"/>
      <c r="D545" s="214" t="n"/>
      <c r="E545" s="214" t="n"/>
      <c r="G545" s="165" t="n"/>
      <c r="H545" s="165" t="n"/>
      <c r="I545" s="165" t="n"/>
      <c r="J545" s="166" t="n"/>
      <c r="K545" s="167" t="n"/>
      <c r="L545" s="170" t="n"/>
      <c r="M545" s="170" t="n"/>
      <c r="N545" s="173" t="n"/>
      <c r="O545" s="173" t="n"/>
      <c r="P545" s="173" t="n"/>
      <c r="Q545" s="173" t="n"/>
      <c r="R545" s="173" t="n"/>
      <c r="S545" s="171" t="n"/>
    </row>
    <row r="546" ht="13.8" customHeight="1">
      <c r="A546" s="213">
        <f>IF($H546="UNIDADE CONSTRUTIVA",OFFSET(A546,-1,0)+1,LARGE(A$3:A545,1))</f>
        <v/>
      </c>
      <c r="B546" s="213" t="n"/>
      <c r="C546" s="213" t="n"/>
      <c r="D546" s="214" t="n"/>
      <c r="E546" s="214" t="n"/>
      <c r="G546" s="165" t="n"/>
      <c r="H546" s="165" t="n"/>
      <c r="I546" s="165" t="n"/>
      <c r="J546" s="166" t="n"/>
      <c r="K546" s="167" t="n"/>
      <c r="L546" s="170" t="n"/>
      <c r="M546" s="170" t="n"/>
      <c r="N546" s="173" t="n"/>
      <c r="O546" s="173" t="n"/>
      <c r="P546" s="173" t="n"/>
      <c r="Q546" s="173" t="n"/>
      <c r="R546" s="173" t="n"/>
      <c r="S546" s="171" t="n"/>
    </row>
    <row r="547" ht="13.8" customHeight="1">
      <c r="A547" s="213">
        <f>IF($H547="UNIDADE CONSTRUTIVA",OFFSET(A547,-1,0)+1,LARGE(A$3:A546,1))</f>
        <v/>
      </c>
      <c r="B547" s="213" t="n"/>
      <c r="C547" s="213" t="n"/>
      <c r="D547" s="214" t="n"/>
      <c r="E547" s="214" t="n"/>
      <c r="G547" s="165" t="n"/>
      <c r="H547" s="165" t="n"/>
      <c r="I547" s="165" t="n"/>
      <c r="J547" s="166" t="n"/>
      <c r="K547" s="167" t="n"/>
      <c r="L547" s="170" t="n"/>
      <c r="M547" s="170" t="n"/>
      <c r="N547" s="173" t="n"/>
      <c r="O547" s="173" t="n"/>
      <c r="P547" s="173" t="n"/>
      <c r="Q547" s="173" t="n"/>
      <c r="R547" s="173" t="n"/>
      <c r="S547" s="171" t="n"/>
    </row>
    <row r="548" ht="13.8" customHeight="1">
      <c r="A548" s="213">
        <f>IF($H548="UNIDADE CONSTRUTIVA",OFFSET(A548,-1,0)+1,LARGE(A$3:A547,1))</f>
        <v/>
      </c>
      <c r="B548" s="213" t="n"/>
      <c r="C548" s="213" t="n"/>
      <c r="D548" s="214" t="n"/>
      <c r="E548" s="214" t="n"/>
      <c r="G548" s="165" t="n"/>
      <c r="H548" s="165" t="n"/>
      <c r="I548" s="165" t="n"/>
      <c r="J548" s="166" t="n"/>
      <c r="K548" s="167" t="n"/>
      <c r="L548" s="170" t="n"/>
      <c r="M548" s="170" t="n"/>
      <c r="N548" s="173" t="n"/>
      <c r="O548" s="173" t="n"/>
      <c r="P548" s="173" t="n"/>
      <c r="Q548" s="173" t="n"/>
      <c r="R548" s="173" t="n"/>
      <c r="S548" s="171" t="n"/>
    </row>
    <row r="549" ht="13.8" customHeight="1">
      <c r="A549" s="213">
        <f>IF($H549="UNIDADE CONSTRUTIVA",OFFSET(A549,-1,0)+1,LARGE(A$3:A548,1))</f>
        <v/>
      </c>
      <c r="B549" s="213" t="n"/>
      <c r="C549" s="213" t="n"/>
      <c r="D549" s="214" t="n"/>
      <c r="E549" s="214" t="n"/>
      <c r="G549" s="165" t="n"/>
      <c r="H549" s="165" t="n"/>
      <c r="I549" s="165" t="n"/>
      <c r="J549" s="166" t="n"/>
      <c r="K549" s="167" t="n"/>
      <c r="L549" s="170" t="n"/>
      <c r="M549" s="170" t="n"/>
      <c r="N549" s="173" t="n"/>
      <c r="O549" s="173" t="n"/>
      <c r="P549" s="173" t="n"/>
      <c r="Q549" s="173" t="n"/>
      <c r="R549" s="173" t="n"/>
      <c r="S549" s="171" t="n"/>
    </row>
    <row r="550" ht="13.8" customHeight="1">
      <c r="A550" s="213">
        <f>IF($H550="UNIDADE CONSTRUTIVA",OFFSET(A550,-1,0)+1,LARGE(A$3:A549,1))</f>
        <v/>
      </c>
      <c r="B550" s="213" t="n"/>
      <c r="C550" s="213" t="n"/>
      <c r="D550" s="214" t="n"/>
      <c r="E550" s="214" t="n"/>
      <c r="G550" s="165" t="n"/>
      <c r="H550" s="165" t="n"/>
      <c r="I550" s="165" t="n"/>
      <c r="J550" s="166" t="n"/>
      <c r="K550" s="167" t="n"/>
      <c r="L550" s="170" t="n"/>
      <c r="M550" s="170" t="n"/>
      <c r="N550" s="173" t="n"/>
      <c r="O550" s="173" t="n"/>
      <c r="P550" s="173" t="n"/>
      <c r="Q550" s="173" t="n"/>
      <c r="R550" s="173" t="n"/>
      <c r="S550" s="171" t="n"/>
    </row>
    <row r="551" ht="13.8" customHeight="1">
      <c r="A551" s="213">
        <f>IF($H551="UNIDADE CONSTRUTIVA",OFFSET(A551,-1,0)+1,LARGE(A$3:A550,1))</f>
        <v/>
      </c>
      <c r="B551" s="213" t="n"/>
      <c r="C551" s="213" t="n"/>
      <c r="D551" s="214" t="n"/>
      <c r="E551" s="214" t="n"/>
      <c r="G551" s="165" t="n"/>
      <c r="H551" s="165" t="n"/>
      <c r="I551" s="165" t="n"/>
      <c r="J551" s="166" t="n"/>
      <c r="K551" s="167" t="n"/>
      <c r="L551" s="170" t="n"/>
      <c r="M551" s="170" t="n"/>
      <c r="N551" s="173" t="n"/>
      <c r="O551" s="173" t="n"/>
      <c r="P551" s="173" t="n"/>
      <c r="Q551" s="173" t="n"/>
      <c r="R551" s="173" t="n"/>
      <c r="S551" s="171" t="n"/>
    </row>
    <row r="552" ht="13.8" customHeight="1">
      <c r="A552" s="213">
        <f>IF($H552="UNIDADE CONSTRUTIVA",OFFSET(A552,-1,0)+1,LARGE(A$3:A551,1))</f>
        <v/>
      </c>
      <c r="B552" s="213" t="n"/>
      <c r="C552" s="213" t="n"/>
      <c r="D552" s="214" t="n"/>
      <c r="E552" s="214" t="n"/>
      <c r="G552" s="165" t="n"/>
      <c r="H552" s="165" t="n"/>
      <c r="I552" s="165" t="n"/>
      <c r="J552" s="166" t="n"/>
      <c r="K552" s="167" t="n"/>
      <c r="L552" s="170" t="n"/>
      <c r="M552" s="170" t="n"/>
      <c r="N552" s="173" t="n"/>
      <c r="O552" s="173" t="n"/>
      <c r="P552" s="173" t="n"/>
      <c r="Q552" s="173" t="n"/>
      <c r="R552" s="173" t="n"/>
      <c r="S552" s="171" t="n"/>
    </row>
    <row r="553" ht="13.8" customHeight="1">
      <c r="A553" s="213">
        <f>IF($H553="UNIDADE CONSTRUTIVA",OFFSET(A553,-1,0)+1,LARGE(A$3:A552,1))</f>
        <v/>
      </c>
      <c r="B553" s="213" t="n"/>
      <c r="C553" s="213" t="n"/>
      <c r="D553" s="214" t="n"/>
      <c r="E553" s="214" t="n"/>
      <c r="G553" s="165" t="n"/>
      <c r="H553" s="165" t="n"/>
      <c r="I553" s="165" t="n"/>
      <c r="J553" s="166" t="n"/>
      <c r="K553" s="167" t="n"/>
      <c r="L553" s="170" t="n"/>
      <c r="M553" s="170" t="n"/>
      <c r="N553" s="173" t="n"/>
      <c r="O553" s="173" t="n"/>
      <c r="P553" s="173" t="n"/>
      <c r="Q553" s="173" t="n"/>
      <c r="R553" s="173" t="n"/>
      <c r="S553" s="171" t="n"/>
    </row>
    <row r="554" ht="13.8" customHeight="1">
      <c r="A554" s="213">
        <f>IF($H554="UNIDADE CONSTRUTIVA",OFFSET(A554,-1,0)+1,LARGE(A$3:A553,1))</f>
        <v/>
      </c>
      <c r="B554" s="213" t="n"/>
      <c r="C554" s="213" t="n"/>
      <c r="D554" s="214" t="n"/>
      <c r="E554" s="214" t="n"/>
      <c r="G554" s="165" t="n"/>
      <c r="H554" s="165" t="n"/>
      <c r="I554" s="165" t="n"/>
      <c r="J554" s="166" t="n"/>
      <c r="K554" s="167" t="n"/>
      <c r="L554" s="170" t="n"/>
      <c r="M554" s="170" t="n"/>
      <c r="N554" s="173" t="n"/>
      <c r="O554" s="173" t="n"/>
      <c r="P554" s="173" t="n"/>
      <c r="Q554" s="173" t="n"/>
      <c r="R554" s="173" t="n"/>
      <c r="S554" s="171" t="n"/>
    </row>
    <row r="555" ht="13.8" customHeight="1">
      <c r="A555" s="213">
        <f>IF($H555="UNIDADE CONSTRUTIVA",OFFSET(A555,-1,0)+1,LARGE(A$3:A554,1))</f>
        <v/>
      </c>
      <c r="B555" s="213" t="n"/>
      <c r="C555" s="213" t="n"/>
      <c r="D555" s="214" t="n"/>
      <c r="E555" s="214" t="n"/>
      <c r="G555" s="165" t="n"/>
      <c r="H555" s="165" t="n"/>
      <c r="I555" s="165" t="n"/>
      <c r="J555" s="166" t="n"/>
      <c r="K555" s="167" t="n"/>
      <c r="L555" s="170" t="n"/>
      <c r="M555" s="170" t="n"/>
      <c r="N555" s="173" t="n"/>
      <c r="O555" s="173" t="n"/>
      <c r="P555" s="173" t="n"/>
      <c r="Q555" s="173" t="n"/>
      <c r="R555" s="173" t="n"/>
      <c r="S555" s="171" t="n"/>
    </row>
    <row r="556" ht="13.8" customHeight="1">
      <c r="A556" s="213">
        <f>IF($H556="UNIDADE CONSTRUTIVA",OFFSET(A556,-1,0)+1,LARGE(A$3:A555,1))</f>
        <v/>
      </c>
      <c r="B556" s="213" t="n"/>
      <c r="C556" s="213" t="n"/>
      <c r="D556" s="214" t="n"/>
      <c r="E556" s="214" t="n"/>
      <c r="G556" s="165" t="n"/>
      <c r="H556" s="165" t="n"/>
      <c r="I556" s="165" t="n"/>
      <c r="J556" s="166" t="n"/>
      <c r="K556" s="167" t="n"/>
      <c r="L556" s="170" t="n"/>
      <c r="M556" s="170" t="n"/>
      <c r="N556" s="173" t="n"/>
      <c r="O556" s="173" t="n"/>
      <c r="P556" s="173" t="n"/>
      <c r="Q556" s="173" t="n"/>
      <c r="R556" s="173" t="n"/>
      <c r="S556" s="171" t="n"/>
    </row>
    <row r="557" ht="13.8" customHeight="1">
      <c r="A557" s="213">
        <f>IF($H557="UNIDADE CONSTRUTIVA",OFFSET(A557,-1,0)+1,LARGE(A$3:A556,1))</f>
        <v/>
      </c>
      <c r="B557" s="213" t="n"/>
      <c r="C557" s="213" t="n"/>
      <c r="D557" s="214" t="n"/>
      <c r="E557" s="214" t="n"/>
      <c r="G557" s="165" t="n"/>
      <c r="H557" s="165" t="n"/>
      <c r="I557" s="165" t="n"/>
      <c r="J557" s="166" t="n"/>
      <c r="K557" s="167" t="n"/>
      <c r="L557" s="170" t="n"/>
      <c r="M557" s="170" t="n"/>
      <c r="N557" s="173" t="n"/>
      <c r="O557" s="173" t="n"/>
      <c r="P557" s="173" t="n"/>
      <c r="Q557" s="173" t="n"/>
      <c r="R557" s="173" t="n"/>
      <c r="S557" s="171" t="n"/>
    </row>
    <row r="558" ht="13.8" customHeight="1">
      <c r="A558" s="213">
        <f>IF($H558="UNIDADE CONSTRUTIVA",OFFSET(A558,-1,0)+1,LARGE(A$3:A557,1))</f>
        <v/>
      </c>
      <c r="B558" s="213" t="n"/>
      <c r="C558" s="213" t="n"/>
      <c r="D558" s="214" t="n"/>
      <c r="E558" s="214" t="n"/>
      <c r="G558" s="165" t="n"/>
      <c r="H558" s="165" t="n"/>
      <c r="I558" s="165" t="n"/>
      <c r="J558" s="166" t="n"/>
      <c r="K558" s="167" t="n"/>
      <c r="L558" s="170" t="n"/>
      <c r="M558" s="170" t="n"/>
      <c r="N558" s="173" t="n"/>
      <c r="O558" s="173" t="n"/>
      <c r="P558" s="173" t="n"/>
      <c r="Q558" s="173" t="n"/>
      <c r="R558" s="173" t="n"/>
      <c r="S558" s="171" t="n"/>
    </row>
    <row r="559" ht="13.8" customHeight="1">
      <c r="A559" s="213">
        <f>IF($H559="UNIDADE CONSTRUTIVA",OFFSET(A559,-1,0)+1,LARGE(A$3:A558,1))</f>
        <v/>
      </c>
      <c r="B559" s="213" t="n"/>
      <c r="C559" s="213" t="n"/>
      <c r="D559" s="214" t="n"/>
      <c r="E559" s="214" t="n"/>
      <c r="G559" s="165" t="n"/>
      <c r="H559" s="165" t="n"/>
      <c r="I559" s="165" t="n"/>
      <c r="J559" s="166" t="n"/>
      <c r="K559" s="167" t="n"/>
      <c r="L559" s="170" t="n"/>
      <c r="M559" s="170" t="n"/>
      <c r="N559" s="173" t="n"/>
      <c r="O559" s="173" t="n"/>
      <c r="P559" s="173" t="n"/>
      <c r="Q559" s="173" t="n"/>
      <c r="R559" s="173" t="n"/>
      <c r="S559" s="171" t="n"/>
    </row>
    <row r="560" ht="13.8" customHeight="1">
      <c r="A560" s="213">
        <f>IF($H560="UNIDADE CONSTRUTIVA",OFFSET(A560,-1,0)+1,LARGE(A$3:A559,1))</f>
        <v/>
      </c>
      <c r="B560" s="213" t="n"/>
      <c r="C560" s="213" t="n"/>
      <c r="D560" s="214" t="n"/>
      <c r="E560" s="214" t="n"/>
      <c r="G560" s="165" t="n"/>
      <c r="H560" s="165" t="n"/>
      <c r="I560" s="165" t="n"/>
      <c r="J560" s="166" t="n"/>
      <c r="K560" s="167" t="n"/>
      <c r="L560" s="170" t="n"/>
      <c r="M560" s="170" t="n"/>
      <c r="N560" s="173" t="n"/>
      <c r="O560" s="173" t="n"/>
      <c r="P560" s="173" t="n"/>
      <c r="Q560" s="173" t="n"/>
      <c r="R560" s="173" t="n"/>
      <c r="S560" s="171" t="n"/>
    </row>
    <row r="561" ht="13.8" customHeight="1">
      <c r="A561" s="213">
        <f>IF($H561="UNIDADE CONSTRUTIVA",OFFSET(A561,-1,0)+1,LARGE(A$3:A560,1))</f>
        <v/>
      </c>
      <c r="B561" s="213" t="n"/>
      <c r="C561" s="213" t="n"/>
      <c r="D561" s="214" t="n"/>
      <c r="E561" s="214" t="n"/>
      <c r="G561" s="165" t="n"/>
      <c r="H561" s="165" t="n"/>
      <c r="I561" s="165" t="n"/>
      <c r="J561" s="166" t="n"/>
      <c r="K561" s="167" t="n"/>
      <c r="L561" s="170" t="n"/>
      <c r="M561" s="170" t="n"/>
      <c r="N561" s="173" t="n"/>
      <c r="O561" s="173" t="n"/>
      <c r="P561" s="173" t="n"/>
      <c r="Q561" s="173" t="n"/>
      <c r="R561" s="173" t="n"/>
      <c r="S561" s="171" t="n"/>
    </row>
    <row r="562" ht="13.8" customHeight="1">
      <c r="A562" s="213">
        <f>IF($H562="UNIDADE CONSTRUTIVA",OFFSET(A562,-1,0)+1,LARGE(A$3:A561,1))</f>
        <v/>
      </c>
      <c r="B562" s="213" t="n"/>
      <c r="C562" s="213" t="n"/>
      <c r="D562" s="214" t="n"/>
      <c r="E562" s="214" t="n"/>
      <c r="G562" s="165" t="n"/>
      <c r="H562" s="165" t="n"/>
      <c r="I562" s="165" t="n"/>
      <c r="J562" s="166" t="n"/>
      <c r="K562" s="167" t="n"/>
      <c r="L562" s="170" t="n"/>
      <c r="M562" s="170" t="n"/>
      <c r="N562" s="173" t="n"/>
      <c r="O562" s="173" t="n"/>
      <c r="P562" s="173" t="n"/>
      <c r="Q562" s="173" t="n"/>
      <c r="R562" s="173" t="n"/>
      <c r="S562" s="171" t="n"/>
    </row>
    <row r="563" ht="13.8" customHeight="1">
      <c r="A563" s="213">
        <f>IF($H563="UNIDADE CONSTRUTIVA",OFFSET(A563,-1,0)+1,LARGE(A$3:A562,1))</f>
        <v/>
      </c>
      <c r="B563" s="213" t="n"/>
      <c r="C563" s="213" t="n"/>
      <c r="D563" s="214" t="n"/>
      <c r="E563" s="214" t="n"/>
      <c r="G563" s="165" t="n"/>
      <c r="H563" s="165" t="n"/>
      <c r="I563" s="165" t="n"/>
      <c r="J563" s="166" t="n"/>
      <c r="K563" s="167" t="n"/>
      <c r="L563" s="170" t="n"/>
      <c r="M563" s="170" t="n"/>
      <c r="N563" s="173" t="n"/>
      <c r="O563" s="173" t="n"/>
      <c r="P563" s="173" t="n"/>
      <c r="Q563" s="173" t="n"/>
      <c r="R563" s="173" t="n"/>
      <c r="S563" s="171" t="n"/>
    </row>
    <row r="564" ht="13.8" customHeight="1">
      <c r="A564" s="213">
        <f>IF($H564="UNIDADE CONSTRUTIVA",OFFSET(A564,-1,0)+1,LARGE(A$3:A563,1))</f>
        <v/>
      </c>
      <c r="B564" s="213" t="n"/>
      <c r="C564" s="213" t="n"/>
      <c r="D564" s="214" t="n"/>
      <c r="E564" s="214" t="n"/>
      <c r="G564" s="165" t="n"/>
      <c r="H564" s="165" t="n"/>
      <c r="I564" s="165" t="n"/>
      <c r="J564" s="166" t="n"/>
      <c r="K564" s="167" t="n"/>
      <c r="L564" s="170" t="n"/>
      <c r="M564" s="170" t="n"/>
      <c r="N564" s="173" t="n"/>
      <c r="O564" s="173" t="n"/>
      <c r="P564" s="173" t="n"/>
      <c r="Q564" s="173" t="n"/>
      <c r="R564" s="173" t="n"/>
      <c r="S564" s="171" t="n"/>
    </row>
    <row r="565" ht="13.8" customHeight="1">
      <c r="A565" s="213">
        <f>IF($H565="UNIDADE CONSTRUTIVA",OFFSET(A565,-1,0)+1,LARGE(A$3:A564,1))</f>
        <v/>
      </c>
      <c r="B565" s="213" t="n"/>
      <c r="C565" s="213" t="n"/>
      <c r="D565" s="214" t="n"/>
      <c r="E565" s="214" t="n"/>
      <c r="G565" s="165" t="n"/>
      <c r="H565" s="165" t="n"/>
      <c r="I565" s="165" t="n"/>
      <c r="J565" s="166" t="n"/>
      <c r="K565" s="167" t="n"/>
      <c r="L565" s="170" t="n"/>
      <c r="M565" s="170" t="n"/>
      <c r="N565" s="173" t="n"/>
      <c r="O565" s="173" t="n"/>
      <c r="P565" s="173" t="n"/>
      <c r="Q565" s="173" t="n"/>
      <c r="R565" s="173" t="n"/>
      <c r="S565" s="171" t="n"/>
    </row>
    <row r="566" ht="13.8" customHeight="1">
      <c r="A566" s="213">
        <f>IF($H566="UNIDADE CONSTRUTIVA",OFFSET(A566,-1,0)+1,LARGE(A$3:A565,1))</f>
        <v/>
      </c>
      <c r="B566" s="213" t="n"/>
      <c r="C566" s="213" t="n"/>
      <c r="D566" s="214" t="n"/>
      <c r="E566" s="214" t="n"/>
      <c r="G566" s="165" t="n"/>
      <c r="H566" s="165" t="n"/>
      <c r="I566" s="165" t="n"/>
      <c r="J566" s="166" t="n"/>
      <c r="K566" s="167" t="n"/>
      <c r="L566" s="170" t="n"/>
      <c r="M566" s="170" t="n"/>
      <c r="N566" s="173" t="n"/>
      <c r="O566" s="173" t="n"/>
      <c r="P566" s="173" t="n"/>
      <c r="Q566" s="173" t="n"/>
      <c r="R566" s="173" t="n"/>
      <c r="S566" s="171" t="n"/>
    </row>
    <row r="567" ht="13.8" customHeight="1">
      <c r="A567" s="213">
        <f>IF($H567="UNIDADE CONSTRUTIVA",OFFSET(A567,-1,0)+1,LARGE(A$3:A566,1))</f>
        <v/>
      </c>
      <c r="B567" s="213" t="n"/>
      <c r="C567" s="213" t="n"/>
      <c r="D567" s="214" t="n"/>
      <c r="E567" s="214" t="n"/>
      <c r="G567" s="165" t="n"/>
      <c r="H567" s="165" t="n"/>
      <c r="I567" s="165" t="n"/>
      <c r="J567" s="166" t="n"/>
      <c r="K567" s="167" t="n"/>
      <c r="L567" s="170" t="n"/>
      <c r="M567" s="170" t="n"/>
      <c r="N567" s="173" t="n"/>
      <c r="O567" s="173" t="n"/>
      <c r="P567" s="173" t="n"/>
      <c r="Q567" s="173" t="n"/>
      <c r="R567" s="173" t="n"/>
      <c r="S567" s="171" t="n"/>
    </row>
    <row r="568" ht="13.8" customHeight="1">
      <c r="A568" s="213">
        <f>IF($H568="UNIDADE CONSTRUTIVA",OFFSET(A568,-1,0)+1,LARGE(A$3:A567,1))</f>
        <v/>
      </c>
      <c r="B568" s="213" t="n"/>
      <c r="C568" s="213" t="n"/>
      <c r="D568" s="214" t="n"/>
      <c r="E568" s="214" t="n"/>
      <c r="G568" s="165" t="n"/>
      <c r="H568" s="165" t="n"/>
      <c r="I568" s="165" t="n"/>
      <c r="J568" s="166" t="n"/>
      <c r="K568" s="167" t="n"/>
      <c r="L568" s="170" t="n"/>
      <c r="M568" s="170" t="n"/>
      <c r="N568" s="173" t="n"/>
      <c r="O568" s="173" t="n"/>
      <c r="P568" s="173" t="n"/>
      <c r="Q568" s="173" t="n"/>
      <c r="R568" s="173" t="n"/>
      <c r="S568" s="171" t="n"/>
    </row>
    <row r="569" ht="13.8" customHeight="1">
      <c r="A569" s="213">
        <f>IF($H569="UNIDADE CONSTRUTIVA",OFFSET(A569,-1,0)+1,LARGE(A$3:A568,1))</f>
        <v/>
      </c>
      <c r="B569" s="213" t="n"/>
      <c r="C569" s="213" t="n"/>
      <c r="D569" s="214" t="n"/>
      <c r="E569" s="214" t="n"/>
      <c r="G569" s="165" t="n"/>
      <c r="H569" s="165" t="n"/>
      <c r="I569" s="165" t="n"/>
      <c r="J569" s="166" t="n"/>
      <c r="K569" s="167" t="n"/>
      <c r="L569" s="170" t="n"/>
      <c r="M569" s="170" t="n"/>
      <c r="N569" s="173" t="n"/>
      <c r="O569" s="173" t="n"/>
      <c r="P569" s="173" t="n"/>
      <c r="Q569" s="173" t="n"/>
      <c r="R569" s="173" t="n"/>
      <c r="S569" s="171" t="n"/>
    </row>
    <row r="570" ht="13.8" customHeight="1">
      <c r="A570" s="213">
        <f>IF($H570="UNIDADE CONSTRUTIVA",OFFSET(A570,-1,0)+1,LARGE(A$3:A569,1))</f>
        <v/>
      </c>
      <c r="B570" s="213" t="n"/>
      <c r="C570" s="213" t="n"/>
      <c r="D570" s="214" t="n"/>
      <c r="E570" s="214" t="n"/>
      <c r="G570" s="165" t="n"/>
      <c r="H570" s="165" t="n"/>
      <c r="I570" s="165" t="n"/>
      <c r="J570" s="166" t="n"/>
      <c r="K570" s="167" t="n"/>
      <c r="L570" s="170" t="n"/>
      <c r="M570" s="170" t="n"/>
      <c r="N570" s="173" t="n"/>
      <c r="O570" s="173" t="n"/>
      <c r="P570" s="173" t="n"/>
      <c r="Q570" s="173" t="n"/>
      <c r="R570" s="173" t="n"/>
      <c r="S570" s="171" t="n"/>
    </row>
    <row r="571" ht="13.8" customHeight="1">
      <c r="A571" s="213">
        <f>IF($H571="UNIDADE CONSTRUTIVA",OFFSET(A571,-1,0)+1,LARGE(A$3:A570,1))</f>
        <v/>
      </c>
      <c r="B571" s="213" t="n"/>
      <c r="C571" s="213" t="n"/>
      <c r="D571" s="214" t="n"/>
      <c r="E571" s="214" t="n"/>
      <c r="G571" s="165" t="n"/>
      <c r="H571" s="165" t="n"/>
      <c r="I571" s="165" t="n"/>
      <c r="J571" s="166" t="n"/>
      <c r="K571" s="167" t="n"/>
      <c r="L571" s="170" t="n"/>
      <c r="M571" s="170" t="n"/>
      <c r="N571" s="173" t="n"/>
      <c r="O571" s="173" t="n"/>
      <c r="P571" s="173" t="n"/>
      <c r="Q571" s="173" t="n"/>
      <c r="R571" s="173" t="n"/>
      <c r="S571" s="171" t="n"/>
    </row>
    <row r="572" ht="13.8" customHeight="1">
      <c r="A572" s="213">
        <f>IF($H572="UNIDADE CONSTRUTIVA",OFFSET(A572,-1,0)+1,LARGE(A$3:A571,1))</f>
        <v/>
      </c>
      <c r="B572" s="213" t="n"/>
      <c r="C572" s="213" t="n"/>
      <c r="D572" s="214" t="n"/>
      <c r="E572" s="214" t="n"/>
      <c r="G572" s="165" t="n"/>
      <c r="H572" s="165" t="n"/>
      <c r="I572" s="165" t="n"/>
      <c r="J572" s="166" t="n"/>
      <c r="K572" s="167" t="n"/>
      <c r="L572" s="170" t="n"/>
      <c r="M572" s="170" t="n"/>
      <c r="N572" s="173" t="n"/>
      <c r="O572" s="173" t="n"/>
      <c r="P572" s="173" t="n"/>
      <c r="Q572" s="173" t="n"/>
      <c r="R572" s="173" t="n"/>
      <c r="S572" s="171" t="n"/>
    </row>
    <row r="573" ht="13.8" customHeight="1">
      <c r="A573" s="213">
        <f>IF($H573="UNIDADE CONSTRUTIVA",OFFSET(A573,-1,0)+1,LARGE(A$3:A572,1))</f>
        <v/>
      </c>
      <c r="B573" s="213" t="n"/>
      <c r="C573" s="213" t="n"/>
      <c r="D573" s="214" t="n"/>
      <c r="E573" s="214" t="n"/>
      <c r="G573" s="165" t="n"/>
      <c r="H573" s="165" t="n"/>
      <c r="I573" s="165" t="n"/>
      <c r="J573" s="166" t="n"/>
      <c r="K573" s="167" t="n"/>
      <c r="L573" s="170" t="n"/>
      <c r="M573" s="170" t="n"/>
      <c r="N573" s="173" t="n"/>
      <c r="O573" s="173" t="n"/>
      <c r="P573" s="173" t="n"/>
      <c r="Q573" s="173" t="n"/>
      <c r="R573" s="173" t="n"/>
      <c r="S573" s="171" t="n"/>
    </row>
    <row r="574" ht="13.8" customHeight="1">
      <c r="A574" s="213">
        <f>IF($H574="UNIDADE CONSTRUTIVA",OFFSET(A574,-1,0)+1,LARGE(A$3:A573,1))</f>
        <v/>
      </c>
      <c r="B574" s="213" t="n"/>
      <c r="C574" s="213" t="n"/>
      <c r="D574" s="214" t="n"/>
      <c r="E574" s="214" t="n"/>
      <c r="G574" s="165" t="n"/>
      <c r="H574" s="165" t="n"/>
      <c r="I574" s="165" t="n"/>
      <c r="J574" s="166" t="n"/>
      <c r="K574" s="167" t="n"/>
      <c r="L574" s="170" t="n"/>
      <c r="M574" s="170" t="n"/>
      <c r="N574" s="173" t="n"/>
      <c r="O574" s="173" t="n"/>
      <c r="P574" s="173" t="n"/>
      <c r="Q574" s="173" t="n"/>
      <c r="R574" s="173" t="n"/>
      <c r="S574" s="171" t="n"/>
    </row>
    <row r="575" ht="13.8" customHeight="1">
      <c r="A575" s="213">
        <f>IF($H575="UNIDADE CONSTRUTIVA",OFFSET(A575,-1,0)+1,LARGE(A$3:A574,1))</f>
        <v/>
      </c>
      <c r="B575" s="213" t="n"/>
      <c r="C575" s="213" t="n"/>
      <c r="D575" s="214" t="n"/>
      <c r="E575" s="214" t="n"/>
      <c r="G575" s="165" t="n"/>
      <c r="H575" s="165" t="n"/>
      <c r="I575" s="165" t="n"/>
      <c r="J575" s="166" t="n"/>
      <c r="K575" s="167" t="n"/>
      <c r="L575" s="170" t="n"/>
      <c r="M575" s="170" t="n"/>
      <c r="N575" s="173" t="n"/>
      <c r="O575" s="173" t="n"/>
      <c r="P575" s="173" t="n"/>
      <c r="Q575" s="173" t="n"/>
      <c r="R575" s="173" t="n"/>
      <c r="S575" s="171" t="n"/>
    </row>
    <row r="576" ht="13.8" customHeight="1">
      <c r="A576" s="213">
        <f>IF($H576="UNIDADE CONSTRUTIVA",OFFSET(A576,-1,0)+1,LARGE(A$3:A575,1))</f>
        <v/>
      </c>
      <c r="B576" s="213" t="n"/>
      <c r="C576" s="213" t="n"/>
      <c r="D576" s="214" t="n"/>
      <c r="E576" s="214" t="n"/>
      <c r="G576" s="165" t="n"/>
      <c r="H576" s="165" t="n"/>
      <c r="I576" s="165" t="n"/>
      <c r="J576" s="166" t="n"/>
      <c r="K576" s="167" t="n"/>
      <c r="L576" s="170" t="n"/>
      <c r="M576" s="170" t="n"/>
      <c r="N576" s="173" t="n"/>
      <c r="O576" s="173" t="n"/>
      <c r="P576" s="173" t="n"/>
      <c r="Q576" s="173" t="n"/>
      <c r="R576" s="173" t="n"/>
      <c r="S576" s="171" t="n"/>
    </row>
    <row r="577" ht="13.8" customHeight="1">
      <c r="A577" s="213">
        <f>IF($H577="UNIDADE CONSTRUTIVA",OFFSET(A577,-1,0)+1,LARGE(A$3:A576,1))</f>
        <v/>
      </c>
      <c r="B577" s="213" t="n"/>
      <c r="C577" s="213" t="n"/>
      <c r="D577" s="214" t="n"/>
      <c r="E577" s="214" t="n"/>
      <c r="G577" s="165" t="n"/>
      <c r="H577" s="165" t="n"/>
      <c r="I577" s="165" t="n"/>
      <c r="J577" s="166" t="n"/>
      <c r="K577" s="167" t="n"/>
      <c r="L577" s="170" t="n"/>
      <c r="M577" s="170" t="n"/>
      <c r="N577" s="173" t="n"/>
      <c r="O577" s="173" t="n"/>
      <c r="P577" s="173" t="n"/>
      <c r="Q577" s="173" t="n"/>
      <c r="R577" s="173" t="n"/>
      <c r="S577" s="171" t="n"/>
    </row>
    <row r="578" ht="13.8" customHeight="1">
      <c r="A578" s="213">
        <f>IF($H578="UNIDADE CONSTRUTIVA",OFFSET(A578,-1,0)+1,LARGE(A$3:A577,1))</f>
        <v/>
      </c>
      <c r="B578" s="213" t="n"/>
      <c r="C578" s="213" t="n"/>
      <c r="D578" s="214" t="n"/>
      <c r="E578" s="214" t="n"/>
      <c r="G578" s="165" t="n"/>
      <c r="H578" s="165" t="n"/>
      <c r="I578" s="165" t="n"/>
      <c r="J578" s="166" t="n"/>
      <c r="K578" s="167" t="n"/>
      <c r="L578" s="170" t="n"/>
      <c r="M578" s="170" t="n"/>
      <c r="N578" s="173" t="n"/>
      <c r="O578" s="173" t="n"/>
      <c r="P578" s="173" t="n"/>
      <c r="Q578" s="173" t="n"/>
      <c r="R578" s="173" t="n"/>
      <c r="S578" s="171" t="n"/>
    </row>
    <row r="579" ht="13.8" customHeight="1">
      <c r="A579" s="213">
        <f>IF($H579="UNIDADE CONSTRUTIVA",OFFSET(A579,-1,0)+1,LARGE(A$3:A578,1))</f>
        <v/>
      </c>
      <c r="B579" s="213" t="n"/>
      <c r="C579" s="213" t="n"/>
      <c r="D579" s="214" t="n"/>
      <c r="E579" s="214" t="n"/>
      <c r="G579" s="165" t="n"/>
      <c r="H579" s="165" t="n"/>
      <c r="I579" s="165" t="n"/>
      <c r="J579" s="166" t="n"/>
      <c r="K579" s="167" t="n"/>
      <c r="L579" s="170" t="n"/>
      <c r="M579" s="170" t="n"/>
      <c r="N579" s="173" t="n"/>
      <c r="O579" s="173" t="n"/>
      <c r="P579" s="173" t="n"/>
      <c r="Q579" s="173" t="n"/>
      <c r="R579" s="173" t="n"/>
      <c r="S579" s="171" t="n"/>
    </row>
    <row r="580" ht="13.8" customHeight="1">
      <c r="A580" s="213">
        <f>IF($H580="UNIDADE CONSTRUTIVA",OFFSET(A580,-1,0)+1,LARGE(A$3:A579,1))</f>
        <v/>
      </c>
      <c r="B580" s="213" t="n"/>
      <c r="C580" s="213" t="n"/>
      <c r="D580" s="214" t="n"/>
      <c r="E580" s="214" t="n"/>
      <c r="G580" s="165" t="n"/>
      <c r="H580" s="165" t="n"/>
      <c r="I580" s="165" t="n"/>
      <c r="J580" s="166" t="n"/>
      <c r="K580" s="167" t="n"/>
      <c r="L580" s="170" t="n"/>
      <c r="M580" s="170" t="n"/>
      <c r="N580" s="173" t="n"/>
      <c r="O580" s="173" t="n"/>
      <c r="P580" s="173" t="n"/>
      <c r="Q580" s="173" t="n"/>
      <c r="R580" s="173" t="n"/>
      <c r="S580" s="171" t="n"/>
    </row>
    <row r="581" ht="13.8" customHeight="1">
      <c r="A581" s="213">
        <f>IF($H581="UNIDADE CONSTRUTIVA",OFFSET(A581,-1,0)+1,LARGE(A$3:A580,1))</f>
        <v/>
      </c>
      <c r="B581" s="213" t="n"/>
      <c r="C581" s="213" t="n"/>
      <c r="D581" s="214" t="n"/>
      <c r="E581" s="214" t="n"/>
      <c r="G581" s="165" t="n"/>
      <c r="H581" s="165" t="n"/>
      <c r="I581" s="165" t="n"/>
      <c r="J581" s="166" t="n"/>
      <c r="K581" s="167" t="n"/>
      <c r="L581" s="170" t="n"/>
      <c r="M581" s="170" t="n"/>
      <c r="N581" s="173" t="n"/>
      <c r="O581" s="173" t="n"/>
      <c r="P581" s="173" t="n"/>
      <c r="Q581" s="173" t="n"/>
      <c r="R581" s="173" t="n"/>
      <c r="S581" s="171" t="n"/>
    </row>
    <row r="582" ht="13.8" customHeight="1">
      <c r="A582" s="213">
        <f>IF($H582="UNIDADE CONSTRUTIVA",OFFSET(A582,-1,0)+1,LARGE(A$3:A581,1))</f>
        <v/>
      </c>
      <c r="B582" s="213" t="n"/>
      <c r="C582" s="213" t="n"/>
      <c r="D582" s="214" t="n"/>
      <c r="E582" s="214" t="n"/>
      <c r="G582" s="165" t="n"/>
      <c r="H582" s="165" t="n"/>
      <c r="I582" s="165" t="n"/>
      <c r="J582" s="166" t="n"/>
      <c r="K582" s="167" t="n"/>
      <c r="L582" s="170" t="n"/>
      <c r="M582" s="170" t="n"/>
      <c r="N582" s="173" t="n"/>
      <c r="O582" s="173" t="n"/>
      <c r="P582" s="173" t="n"/>
      <c r="Q582" s="173" t="n"/>
      <c r="R582" s="173" t="n"/>
      <c r="S582" s="171" t="n"/>
    </row>
    <row r="583" ht="13.8" customHeight="1">
      <c r="A583" s="213">
        <f>IF($H583="UNIDADE CONSTRUTIVA",OFFSET(A583,-1,0)+1,LARGE(A$3:A582,1))</f>
        <v/>
      </c>
      <c r="B583" s="213" t="n"/>
      <c r="C583" s="213" t="n"/>
      <c r="D583" s="214" t="n"/>
      <c r="E583" s="214" t="n"/>
      <c r="G583" s="165" t="n"/>
      <c r="H583" s="165" t="n"/>
      <c r="I583" s="165" t="n"/>
      <c r="J583" s="166" t="n"/>
      <c r="K583" s="167" t="n"/>
      <c r="L583" s="170" t="n"/>
      <c r="M583" s="170" t="n"/>
      <c r="N583" s="173" t="n"/>
      <c r="O583" s="173" t="n"/>
      <c r="P583" s="173" t="n"/>
      <c r="Q583" s="173" t="n"/>
      <c r="R583" s="173" t="n"/>
      <c r="S583" s="171" t="n"/>
    </row>
    <row r="584" ht="13.8" customHeight="1">
      <c r="A584" s="213">
        <f>IF($H584="UNIDADE CONSTRUTIVA",OFFSET(A584,-1,0)+1,LARGE(A$3:A583,1))</f>
        <v/>
      </c>
      <c r="B584" s="213" t="n"/>
      <c r="C584" s="213" t="n"/>
      <c r="D584" s="214" t="n"/>
      <c r="E584" s="214" t="n"/>
      <c r="G584" s="165" t="n"/>
      <c r="H584" s="165" t="n"/>
      <c r="I584" s="165" t="n"/>
      <c r="J584" s="166" t="n"/>
      <c r="K584" s="167" t="n"/>
      <c r="L584" s="170" t="n"/>
      <c r="M584" s="170" t="n"/>
      <c r="N584" s="173" t="n"/>
      <c r="O584" s="173" t="n"/>
      <c r="P584" s="173" t="n"/>
      <c r="Q584" s="173" t="n"/>
      <c r="R584" s="173" t="n"/>
      <c r="S584" s="171" t="n"/>
    </row>
    <row r="585" ht="13.8" customHeight="1">
      <c r="A585" s="213">
        <f>IF($H585="UNIDADE CONSTRUTIVA",OFFSET(A585,-1,0)+1,LARGE(A$3:A584,1))</f>
        <v/>
      </c>
      <c r="B585" s="213" t="n"/>
      <c r="C585" s="213" t="n"/>
      <c r="D585" s="214" t="n"/>
      <c r="E585" s="214" t="n"/>
      <c r="G585" s="165" t="n"/>
      <c r="H585" s="165" t="n"/>
      <c r="I585" s="165" t="n"/>
      <c r="J585" s="166" t="n"/>
      <c r="K585" s="167" t="n"/>
      <c r="L585" s="170" t="n"/>
      <c r="M585" s="170" t="n"/>
      <c r="N585" s="173" t="n"/>
      <c r="O585" s="173" t="n"/>
      <c r="P585" s="173" t="n"/>
      <c r="Q585" s="173" t="n"/>
      <c r="R585" s="173" t="n"/>
      <c r="S585" s="171" t="n"/>
    </row>
    <row r="586" ht="13.8" customHeight="1">
      <c r="A586" s="213">
        <f>IF($H586="UNIDADE CONSTRUTIVA",OFFSET(A586,-1,0)+1,LARGE(A$3:A585,1))</f>
        <v/>
      </c>
      <c r="B586" s="213" t="n"/>
      <c r="C586" s="213" t="n"/>
      <c r="D586" s="214" t="n"/>
      <c r="E586" s="214" t="n"/>
      <c r="G586" s="165" t="n"/>
      <c r="H586" s="165" t="n"/>
      <c r="I586" s="165" t="n"/>
      <c r="J586" s="166" t="n"/>
      <c r="K586" s="167" t="n"/>
      <c r="L586" s="170" t="n"/>
      <c r="M586" s="170" t="n"/>
      <c r="N586" s="173" t="n"/>
      <c r="O586" s="173" t="n"/>
      <c r="P586" s="173" t="n"/>
      <c r="Q586" s="173" t="n"/>
      <c r="R586" s="173" t="n"/>
      <c r="S586" s="171" t="n"/>
    </row>
    <row r="587" ht="13.8" customHeight="1">
      <c r="A587" s="213">
        <f>IF($H587="UNIDADE CONSTRUTIVA",OFFSET(A587,-1,0)+1,LARGE(A$3:A586,1))</f>
        <v/>
      </c>
      <c r="B587" s="213" t="n"/>
      <c r="C587" s="213" t="n"/>
      <c r="D587" s="214" t="n"/>
      <c r="E587" s="214" t="n"/>
      <c r="G587" s="165" t="n"/>
      <c r="H587" s="165" t="n"/>
      <c r="I587" s="165" t="n"/>
      <c r="J587" s="166" t="n"/>
      <c r="K587" s="167" t="n"/>
      <c r="L587" s="170" t="n"/>
      <c r="M587" s="170" t="n"/>
      <c r="N587" s="173" t="n"/>
      <c r="O587" s="173" t="n"/>
      <c r="P587" s="173" t="n"/>
      <c r="Q587" s="173" t="n"/>
      <c r="R587" s="173" t="n"/>
      <c r="S587" s="171" t="n"/>
    </row>
    <row r="588" ht="13.8" customHeight="1">
      <c r="A588" s="213">
        <f>IF($H588="UNIDADE CONSTRUTIVA",OFFSET(A588,-1,0)+1,LARGE(A$3:A587,1))</f>
        <v/>
      </c>
      <c r="B588" s="213" t="n"/>
      <c r="C588" s="213" t="n"/>
      <c r="D588" s="214" t="n"/>
      <c r="E588" s="214" t="n"/>
      <c r="G588" s="165" t="n"/>
      <c r="H588" s="165" t="n"/>
      <c r="I588" s="165" t="n"/>
      <c r="J588" s="166" t="n"/>
      <c r="K588" s="167" t="n"/>
      <c r="L588" s="170" t="n"/>
      <c r="M588" s="170" t="n"/>
      <c r="N588" s="173" t="n"/>
      <c r="O588" s="173" t="n"/>
      <c r="P588" s="173" t="n"/>
      <c r="Q588" s="173" t="n"/>
      <c r="R588" s="173" t="n"/>
      <c r="S588" s="171" t="n"/>
    </row>
    <row r="589" ht="13.8" customHeight="1">
      <c r="A589" s="213">
        <f>IF($H589="UNIDADE CONSTRUTIVA",OFFSET(A589,-1,0)+1,LARGE(A$3:A588,1))</f>
        <v/>
      </c>
      <c r="B589" s="213" t="n"/>
      <c r="C589" s="213" t="n"/>
      <c r="D589" s="214" t="n"/>
      <c r="E589" s="214" t="n"/>
      <c r="G589" s="165" t="n"/>
      <c r="H589" s="165" t="n"/>
      <c r="I589" s="165" t="n"/>
      <c r="J589" s="166" t="n"/>
      <c r="K589" s="167" t="n"/>
      <c r="L589" s="170" t="n"/>
      <c r="M589" s="170" t="n"/>
      <c r="N589" s="173" t="n"/>
      <c r="O589" s="173" t="n"/>
      <c r="P589" s="173" t="n"/>
      <c r="Q589" s="173" t="n"/>
      <c r="R589" s="173" t="n"/>
      <c r="S589" s="171" t="n"/>
    </row>
    <row r="590" ht="13.8" customHeight="1">
      <c r="A590" s="213">
        <f>IF($H590="UNIDADE CONSTRUTIVA",OFFSET(A590,-1,0)+1,LARGE(A$3:A589,1))</f>
        <v/>
      </c>
      <c r="B590" s="213" t="n"/>
      <c r="C590" s="213" t="n"/>
      <c r="D590" s="214" t="n"/>
      <c r="E590" s="214" t="n"/>
      <c r="G590" s="165" t="n"/>
      <c r="H590" s="165" t="n"/>
      <c r="I590" s="165" t="n"/>
      <c r="J590" s="166" t="n"/>
      <c r="K590" s="167" t="n"/>
      <c r="L590" s="170" t="n"/>
      <c r="M590" s="170" t="n"/>
      <c r="N590" s="173" t="n"/>
      <c r="O590" s="173" t="n"/>
      <c r="P590" s="173" t="n"/>
      <c r="Q590" s="173" t="n"/>
      <c r="R590" s="173" t="n"/>
      <c r="S590" s="171" t="n"/>
    </row>
    <row r="591" ht="13.8" customHeight="1">
      <c r="A591" s="213">
        <f>IF($H591="UNIDADE CONSTRUTIVA",OFFSET(A591,-1,0)+1,LARGE(A$3:A590,1))</f>
        <v/>
      </c>
      <c r="B591" s="213" t="n"/>
      <c r="C591" s="213" t="n"/>
      <c r="D591" s="214" t="n"/>
      <c r="E591" s="214" t="n"/>
      <c r="G591" s="165" t="n"/>
      <c r="H591" s="165" t="n"/>
      <c r="I591" s="165" t="n"/>
      <c r="J591" s="166" t="n"/>
      <c r="K591" s="167" t="n"/>
      <c r="L591" s="170" t="n"/>
      <c r="M591" s="170" t="n"/>
      <c r="N591" s="173" t="n"/>
      <c r="O591" s="173" t="n"/>
      <c r="P591" s="173" t="n"/>
      <c r="Q591" s="173" t="n"/>
      <c r="R591" s="173" t="n"/>
      <c r="S591" s="171" t="n"/>
    </row>
    <row r="592" ht="13.8" customHeight="1">
      <c r="A592" s="213">
        <f>IF($H592="UNIDADE CONSTRUTIVA",OFFSET(A592,-1,0)+1,LARGE(A$3:A591,1))</f>
        <v/>
      </c>
      <c r="B592" s="213" t="n"/>
      <c r="C592" s="213" t="n"/>
      <c r="D592" s="214" t="n"/>
      <c r="E592" s="214" t="n"/>
      <c r="G592" s="165" t="n"/>
      <c r="H592" s="165" t="n"/>
      <c r="I592" s="165" t="n"/>
      <c r="J592" s="166" t="n"/>
      <c r="K592" s="167" t="n"/>
      <c r="L592" s="170" t="n"/>
      <c r="M592" s="170" t="n"/>
      <c r="N592" s="173" t="n"/>
      <c r="O592" s="173" t="n"/>
      <c r="P592" s="173" t="n"/>
      <c r="Q592" s="173" t="n"/>
      <c r="R592" s="173" t="n"/>
      <c r="S592" s="171" t="n"/>
    </row>
    <row r="593" ht="13.8" customHeight="1">
      <c r="A593" s="213">
        <f>IF($H593="UNIDADE CONSTRUTIVA",OFFSET(A593,-1,0)+1,LARGE(A$3:A592,1))</f>
        <v/>
      </c>
      <c r="B593" s="213" t="n"/>
      <c r="C593" s="213" t="n"/>
      <c r="D593" s="214" t="n"/>
      <c r="E593" s="214" t="n"/>
      <c r="G593" s="165" t="n"/>
      <c r="H593" s="165" t="n"/>
      <c r="I593" s="165" t="n"/>
      <c r="J593" s="166" t="n"/>
      <c r="K593" s="167" t="n"/>
      <c r="L593" s="170" t="n"/>
      <c r="M593" s="170" t="n"/>
      <c r="N593" s="173" t="n"/>
      <c r="O593" s="173" t="n"/>
      <c r="P593" s="173" t="n"/>
      <c r="Q593" s="173" t="n"/>
      <c r="R593" s="173" t="n"/>
      <c r="S593" s="171" t="n"/>
    </row>
    <row r="594" ht="13.8" customHeight="1">
      <c r="A594" s="213">
        <f>IF($H594="UNIDADE CONSTRUTIVA",OFFSET(A594,-1,0)+1,LARGE(A$3:A593,1))</f>
        <v/>
      </c>
      <c r="B594" s="213" t="n"/>
      <c r="C594" s="213" t="n"/>
      <c r="D594" s="214" t="n"/>
      <c r="E594" s="214" t="n"/>
      <c r="G594" s="165" t="n"/>
      <c r="H594" s="165" t="n"/>
      <c r="I594" s="165" t="n"/>
      <c r="J594" s="166" t="n"/>
      <c r="K594" s="167" t="n"/>
      <c r="L594" s="170" t="n"/>
      <c r="M594" s="170" t="n"/>
      <c r="N594" s="173" t="n"/>
      <c r="O594" s="173" t="n"/>
      <c r="P594" s="173" t="n"/>
      <c r="Q594" s="173" t="n"/>
      <c r="R594" s="173" t="n"/>
      <c r="S594" s="171" t="n"/>
    </row>
    <row r="595" ht="13.8" customHeight="1">
      <c r="A595" s="213">
        <f>IF($H595="UNIDADE CONSTRUTIVA",OFFSET(A595,-1,0)+1,LARGE(A$3:A594,1))</f>
        <v/>
      </c>
      <c r="B595" s="213" t="n"/>
      <c r="C595" s="213" t="n"/>
      <c r="D595" s="214" t="n"/>
      <c r="E595" s="214" t="n"/>
      <c r="G595" s="165" t="n"/>
      <c r="H595" s="165" t="n"/>
      <c r="I595" s="165" t="n"/>
      <c r="J595" s="166" t="n"/>
      <c r="K595" s="167" t="n"/>
      <c r="L595" s="170" t="n"/>
      <c r="M595" s="170" t="n"/>
      <c r="N595" s="173" t="n"/>
      <c r="O595" s="173" t="n"/>
      <c r="P595" s="173" t="n"/>
      <c r="Q595" s="173" t="n"/>
      <c r="R595" s="173" t="n"/>
      <c r="S595" s="171" t="n"/>
    </row>
    <row r="596" ht="13.8" customHeight="1">
      <c r="A596" s="213">
        <f>IF($H596="UNIDADE CONSTRUTIVA",OFFSET(A596,-1,0)+1,LARGE(A$3:A595,1))</f>
        <v/>
      </c>
      <c r="B596" s="213" t="n"/>
      <c r="C596" s="213" t="n"/>
      <c r="D596" s="214" t="n"/>
      <c r="E596" s="214" t="n"/>
      <c r="G596" s="165" t="n"/>
      <c r="H596" s="165" t="n"/>
      <c r="I596" s="165" t="n"/>
      <c r="J596" s="166" t="n"/>
      <c r="K596" s="167" t="n"/>
      <c r="L596" s="170" t="n"/>
      <c r="M596" s="170" t="n"/>
      <c r="N596" s="173" t="n"/>
      <c r="O596" s="173" t="n"/>
      <c r="P596" s="173" t="n"/>
      <c r="Q596" s="173" t="n"/>
      <c r="R596" s="173" t="n"/>
      <c r="S596" s="171" t="n"/>
    </row>
    <row r="597" ht="13.8" customHeight="1">
      <c r="A597" s="213">
        <f>IF($H597="UNIDADE CONSTRUTIVA",OFFSET(A597,-1,0)+1,LARGE(A$3:A596,1))</f>
        <v/>
      </c>
      <c r="B597" s="213" t="n"/>
      <c r="C597" s="213" t="n"/>
      <c r="D597" s="214" t="n"/>
      <c r="E597" s="214" t="n"/>
      <c r="G597" s="165" t="n"/>
      <c r="H597" s="165" t="n"/>
      <c r="I597" s="165" t="n"/>
      <c r="J597" s="166" t="n"/>
      <c r="K597" s="167" t="n"/>
      <c r="L597" s="170" t="n"/>
      <c r="M597" s="170" t="n"/>
      <c r="N597" s="173" t="n"/>
      <c r="O597" s="173" t="n"/>
      <c r="P597" s="173" t="n"/>
      <c r="Q597" s="173" t="n"/>
      <c r="R597" s="173" t="n"/>
      <c r="S597" s="171" t="n"/>
    </row>
    <row r="598" ht="13.8" customHeight="1">
      <c r="A598" s="213">
        <f>IF($H598="UNIDADE CONSTRUTIVA",OFFSET(A598,-1,0)+1,LARGE(A$3:A597,1))</f>
        <v/>
      </c>
      <c r="B598" s="213" t="n"/>
      <c r="C598" s="213" t="n"/>
      <c r="D598" s="214" t="n"/>
      <c r="E598" s="214" t="n"/>
      <c r="G598" s="165" t="n"/>
      <c r="H598" s="165" t="n"/>
      <c r="I598" s="165" t="n"/>
      <c r="J598" s="166" t="n"/>
      <c r="K598" s="167" t="n"/>
      <c r="L598" s="170" t="n"/>
      <c r="M598" s="170" t="n"/>
      <c r="N598" s="173" t="n"/>
      <c r="O598" s="173" t="n"/>
      <c r="P598" s="173" t="n"/>
      <c r="Q598" s="173" t="n"/>
      <c r="R598" s="173" t="n"/>
      <c r="S598" s="171" t="n"/>
    </row>
    <row r="599" ht="13.8" customHeight="1">
      <c r="A599" s="213">
        <f>IF($H599="UNIDADE CONSTRUTIVA",OFFSET(A599,-1,0)+1,LARGE(A$3:A598,1))</f>
        <v/>
      </c>
      <c r="B599" s="213" t="n"/>
      <c r="C599" s="213" t="n"/>
      <c r="D599" s="214" t="n"/>
      <c r="E599" s="214" t="n"/>
      <c r="G599" s="165" t="n"/>
      <c r="H599" s="165" t="n"/>
      <c r="I599" s="165" t="n"/>
      <c r="J599" s="166" t="n"/>
      <c r="K599" s="167" t="n"/>
      <c r="L599" s="170" t="n"/>
      <c r="M599" s="170" t="n"/>
      <c r="N599" s="173" t="n"/>
      <c r="O599" s="173" t="n"/>
      <c r="P599" s="173" t="n"/>
      <c r="Q599" s="173" t="n"/>
      <c r="R599" s="173" t="n"/>
      <c r="S599" s="171" t="n"/>
    </row>
    <row r="600" ht="13.8" customHeight="1">
      <c r="A600" s="213">
        <f>IF($H600="UNIDADE CONSTRUTIVA",OFFSET(A600,-1,0)+1,LARGE(A$3:A599,1))</f>
        <v/>
      </c>
      <c r="B600" s="213" t="n"/>
      <c r="C600" s="213" t="n"/>
      <c r="D600" s="214" t="n"/>
      <c r="E600" s="214" t="n"/>
      <c r="G600" s="165" t="n"/>
      <c r="H600" s="165" t="n"/>
      <c r="I600" s="165" t="n"/>
      <c r="J600" s="166" t="n"/>
      <c r="K600" s="167" t="n"/>
      <c r="L600" s="170" t="n"/>
      <c r="M600" s="170" t="n"/>
      <c r="N600" s="173" t="n"/>
      <c r="O600" s="173" t="n"/>
      <c r="P600" s="173" t="n"/>
      <c r="Q600" s="173" t="n"/>
      <c r="R600" s="173" t="n"/>
      <c r="S600" s="171" t="n"/>
    </row>
    <row r="601" ht="13.8" customHeight="1">
      <c r="A601" s="213">
        <f>IF($H601="UNIDADE CONSTRUTIVA",OFFSET(A601,-1,0)+1,LARGE(A$3:A600,1))</f>
        <v/>
      </c>
      <c r="B601" s="213" t="n"/>
      <c r="C601" s="213" t="n"/>
      <c r="D601" s="214" t="n"/>
      <c r="E601" s="214" t="n"/>
      <c r="G601" s="165" t="n"/>
      <c r="H601" s="165" t="n"/>
      <c r="I601" s="165" t="n"/>
      <c r="J601" s="166" t="n"/>
      <c r="K601" s="167" t="n"/>
      <c r="L601" s="170" t="n"/>
      <c r="M601" s="170" t="n"/>
      <c r="N601" s="173" t="n"/>
      <c r="O601" s="173" t="n"/>
      <c r="P601" s="173" t="n"/>
      <c r="Q601" s="173" t="n"/>
      <c r="R601" s="173" t="n"/>
      <c r="S601" s="171" t="n"/>
    </row>
    <row r="602" ht="13.8" customHeight="1">
      <c r="A602" s="213">
        <f>IF($H602="UNIDADE CONSTRUTIVA",OFFSET(A602,-1,0)+1,LARGE(A$3:A601,1))</f>
        <v/>
      </c>
      <c r="B602" s="213" t="n"/>
      <c r="C602" s="213" t="n"/>
      <c r="D602" s="214" t="n"/>
      <c r="E602" s="214" t="n"/>
      <c r="G602" s="165" t="n"/>
      <c r="H602" s="165" t="n"/>
      <c r="I602" s="165" t="n"/>
      <c r="J602" s="166" t="n"/>
      <c r="K602" s="167" t="n"/>
      <c r="L602" s="170" t="n"/>
      <c r="M602" s="170" t="n"/>
      <c r="N602" s="173" t="n"/>
      <c r="O602" s="173" t="n"/>
      <c r="P602" s="173" t="n"/>
      <c r="Q602" s="173" t="n"/>
      <c r="R602" s="173" t="n"/>
      <c r="S602" s="171" t="n"/>
    </row>
    <row r="603" ht="13.8" customHeight="1">
      <c r="A603" s="213">
        <f>IF($H603="UNIDADE CONSTRUTIVA",OFFSET(A603,-1,0)+1,LARGE(A$3:A602,1))</f>
        <v/>
      </c>
      <c r="B603" s="213" t="n"/>
      <c r="C603" s="213" t="n"/>
      <c r="D603" s="214" t="n"/>
      <c r="E603" s="214" t="n"/>
      <c r="G603" s="165" t="n"/>
      <c r="H603" s="165" t="n"/>
      <c r="I603" s="165" t="n"/>
      <c r="J603" s="166" t="n"/>
      <c r="K603" s="167" t="n"/>
      <c r="L603" s="170" t="n"/>
      <c r="M603" s="170" t="n"/>
      <c r="N603" s="173" t="n"/>
      <c r="O603" s="173" t="n"/>
      <c r="P603" s="173" t="n"/>
      <c r="Q603" s="173" t="n"/>
      <c r="R603" s="173" t="n"/>
      <c r="S603" s="171" t="n"/>
    </row>
    <row r="604" ht="13.8" customHeight="1">
      <c r="A604" s="213">
        <f>IF($H604="UNIDADE CONSTRUTIVA",OFFSET(A604,-1,0)+1,LARGE(A$3:A603,1))</f>
        <v/>
      </c>
      <c r="B604" s="213" t="n"/>
      <c r="C604" s="213" t="n"/>
      <c r="D604" s="214" t="n"/>
      <c r="E604" s="214" t="n"/>
      <c r="G604" s="165" t="n"/>
      <c r="H604" s="165" t="n"/>
      <c r="I604" s="165" t="n"/>
      <c r="J604" s="166" t="n"/>
      <c r="K604" s="167" t="n"/>
      <c r="L604" s="170" t="n"/>
      <c r="M604" s="170" t="n"/>
      <c r="N604" s="173" t="n"/>
      <c r="O604" s="173" t="n"/>
      <c r="P604" s="173" t="n"/>
      <c r="Q604" s="173" t="n"/>
      <c r="R604" s="173" t="n"/>
      <c r="S604" s="171" t="n"/>
    </row>
    <row r="605" ht="13.8" customHeight="1">
      <c r="A605" s="213">
        <f>IF($H605="UNIDADE CONSTRUTIVA",OFFSET(A605,-1,0)+1,LARGE(A$3:A604,1))</f>
        <v/>
      </c>
      <c r="B605" s="213" t="n"/>
      <c r="C605" s="213" t="n"/>
      <c r="D605" s="214" t="n"/>
      <c r="E605" s="214" t="n"/>
      <c r="G605" s="165" t="n"/>
      <c r="H605" s="165" t="n"/>
      <c r="I605" s="165" t="n"/>
      <c r="J605" s="166" t="n"/>
      <c r="K605" s="167" t="n"/>
      <c r="L605" s="170" t="n"/>
      <c r="M605" s="170" t="n"/>
      <c r="N605" s="173" t="n"/>
      <c r="O605" s="173" t="n"/>
      <c r="P605" s="173" t="n"/>
      <c r="Q605" s="173" t="n"/>
      <c r="R605" s="173" t="n"/>
      <c r="S605" s="171" t="n"/>
    </row>
    <row r="606" ht="13.8" customHeight="1">
      <c r="A606" s="213">
        <f>IF($H606="UNIDADE CONSTRUTIVA",OFFSET(A606,-1,0)+1,LARGE(A$3:A605,1))</f>
        <v/>
      </c>
      <c r="B606" s="213" t="n"/>
      <c r="C606" s="213" t="n"/>
      <c r="D606" s="214" t="n"/>
      <c r="E606" s="214" t="n"/>
      <c r="G606" s="165" t="n"/>
      <c r="H606" s="165" t="n"/>
      <c r="I606" s="165" t="n"/>
      <c r="J606" s="166" t="n"/>
      <c r="K606" s="167" t="n"/>
      <c r="L606" s="170" t="n"/>
      <c r="M606" s="170" t="n"/>
      <c r="N606" s="173" t="n"/>
      <c r="O606" s="173" t="n"/>
      <c r="P606" s="173" t="n"/>
      <c r="Q606" s="173" t="n"/>
      <c r="R606" s="173" t="n"/>
      <c r="S606" s="171" t="n"/>
    </row>
    <row r="607" ht="13.8" customHeight="1">
      <c r="A607" s="213">
        <f>IF($H607="UNIDADE CONSTRUTIVA",OFFSET(A607,-1,0)+1,LARGE(A$3:A606,1))</f>
        <v/>
      </c>
      <c r="B607" s="213" t="n"/>
      <c r="C607" s="213" t="n"/>
      <c r="D607" s="214" t="n"/>
      <c r="E607" s="214" t="n"/>
      <c r="G607" s="165" t="n"/>
      <c r="H607" s="165" t="n"/>
      <c r="I607" s="165" t="n"/>
      <c r="J607" s="166" t="n"/>
      <c r="K607" s="167" t="n"/>
      <c r="L607" s="170" t="n"/>
      <c r="M607" s="170" t="n"/>
      <c r="N607" s="173" t="n"/>
      <c r="O607" s="173" t="n"/>
      <c r="P607" s="173" t="n"/>
      <c r="Q607" s="173" t="n"/>
      <c r="R607" s="173" t="n"/>
      <c r="S607" s="171" t="n"/>
    </row>
    <row r="608" ht="13.8" customHeight="1">
      <c r="A608" s="213">
        <f>IF($H608="UNIDADE CONSTRUTIVA",OFFSET(A608,-1,0)+1,LARGE(A$3:A607,1))</f>
        <v/>
      </c>
      <c r="B608" s="213" t="n"/>
      <c r="C608" s="213" t="n"/>
      <c r="D608" s="214" t="n"/>
      <c r="E608" s="214" t="n"/>
      <c r="G608" s="165" t="n"/>
      <c r="H608" s="165" t="n"/>
      <c r="I608" s="165" t="n"/>
      <c r="J608" s="166" t="n"/>
      <c r="K608" s="167" t="n"/>
      <c r="L608" s="170" t="n"/>
      <c r="M608" s="170" t="n"/>
      <c r="N608" s="173" t="n"/>
      <c r="O608" s="173" t="n"/>
      <c r="P608" s="173" t="n"/>
      <c r="Q608" s="173" t="n"/>
      <c r="R608" s="173" t="n"/>
      <c r="S608" s="171" t="n"/>
    </row>
    <row r="609" ht="13.8" customHeight="1">
      <c r="A609" s="213">
        <f>IF($H609="UNIDADE CONSTRUTIVA",OFFSET(A609,-1,0)+1,LARGE(A$3:A608,1))</f>
        <v/>
      </c>
      <c r="B609" s="213" t="n"/>
      <c r="C609" s="213" t="n"/>
      <c r="D609" s="214" t="n"/>
      <c r="E609" s="214" t="n"/>
      <c r="G609" s="165" t="n"/>
      <c r="H609" s="165" t="n"/>
      <c r="I609" s="165" t="n"/>
      <c r="J609" s="166" t="n"/>
      <c r="K609" s="167" t="n"/>
      <c r="L609" s="170" t="n"/>
      <c r="M609" s="170" t="n"/>
      <c r="N609" s="173" t="n"/>
      <c r="O609" s="173" t="n"/>
      <c r="P609" s="173" t="n"/>
      <c r="Q609" s="173" t="n"/>
      <c r="R609" s="173" t="n"/>
      <c r="S609" s="171" t="n"/>
    </row>
    <row r="610" ht="13.8" customHeight="1">
      <c r="A610" s="213">
        <f>IF($H610="UNIDADE CONSTRUTIVA",OFFSET(A610,-1,0)+1,LARGE(A$3:A609,1))</f>
        <v/>
      </c>
      <c r="B610" s="213" t="n"/>
      <c r="C610" s="213" t="n"/>
      <c r="D610" s="214" t="n"/>
      <c r="E610" s="214" t="n"/>
      <c r="G610" s="165" t="n"/>
      <c r="H610" s="165" t="n"/>
      <c r="I610" s="165" t="n"/>
      <c r="J610" s="166" t="n"/>
      <c r="K610" s="167" t="n"/>
      <c r="L610" s="170" t="n"/>
      <c r="M610" s="170" t="n"/>
      <c r="N610" s="173" t="n"/>
      <c r="O610" s="173" t="n"/>
      <c r="P610" s="173" t="n"/>
      <c r="Q610" s="173" t="n"/>
      <c r="R610" s="173" t="n"/>
      <c r="S610" s="171" t="n"/>
    </row>
    <row r="611" ht="13.8" customHeight="1">
      <c r="A611" s="213">
        <f>IF($H611="UNIDADE CONSTRUTIVA",OFFSET(A611,-1,0)+1,LARGE(A$3:A610,1))</f>
        <v/>
      </c>
      <c r="B611" s="213" t="n"/>
      <c r="C611" s="213" t="n"/>
      <c r="D611" s="214" t="n"/>
      <c r="E611" s="214" t="n"/>
      <c r="G611" s="165" t="n"/>
      <c r="H611" s="165" t="n"/>
      <c r="I611" s="165" t="n"/>
      <c r="J611" s="166" t="n"/>
      <c r="K611" s="167" t="n"/>
      <c r="L611" s="170" t="n"/>
      <c r="M611" s="170" t="n"/>
      <c r="N611" s="173" t="n"/>
      <c r="O611" s="173" t="n"/>
      <c r="P611" s="173" t="n"/>
      <c r="Q611" s="173" t="n"/>
      <c r="R611" s="173" t="n"/>
      <c r="S611" s="171" t="n"/>
    </row>
    <row r="612" ht="13.8" customHeight="1">
      <c r="A612" s="213">
        <f>IF($H612="UNIDADE CONSTRUTIVA",OFFSET(A612,-1,0)+1,LARGE(A$3:A611,1))</f>
        <v/>
      </c>
      <c r="B612" s="213" t="n"/>
      <c r="C612" s="213" t="n"/>
      <c r="D612" s="214" t="n"/>
      <c r="E612" s="214" t="n"/>
      <c r="G612" s="165" t="n"/>
      <c r="H612" s="165" t="n"/>
      <c r="I612" s="165" t="n"/>
      <c r="J612" s="166" t="n"/>
      <c r="K612" s="167" t="n"/>
      <c r="L612" s="170" t="n"/>
      <c r="M612" s="170" t="n"/>
      <c r="N612" s="173" t="n"/>
      <c r="O612" s="173" t="n"/>
      <c r="P612" s="173" t="n"/>
      <c r="Q612" s="173" t="n"/>
      <c r="R612" s="173" t="n"/>
      <c r="S612" s="171" t="n"/>
    </row>
    <row r="613" ht="13.8" customHeight="1">
      <c r="A613" s="213">
        <f>IF($H613="UNIDADE CONSTRUTIVA",OFFSET(A613,-1,0)+1,LARGE(A$3:A612,1))</f>
        <v/>
      </c>
      <c r="B613" s="213" t="n"/>
      <c r="C613" s="213" t="n"/>
      <c r="D613" s="214" t="n"/>
      <c r="E613" s="214" t="n"/>
      <c r="G613" s="165" t="n"/>
      <c r="H613" s="165" t="n"/>
      <c r="I613" s="165" t="n"/>
      <c r="J613" s="166" t="n"/>
      <c r="K613" s="167" t="n"/>
      <c r="L613" s="170" t="n"/>
      <c r="M613" s="170" t="n"/>
      <c r="N613" s="173" t="n"/>
      <c r="O613" s="173" t="n"/>
      <c r="P613" s="173" t="n"/>
      <c r="Q613" s="173" t="n"/>
      <c r="R613" s="173" t="n"/>
      <c r="S613" s="171" t="n"/>
    </row>
    <row r="614" ht="13.8" customHeight="1">
      <c r="A614" s="213">
        <f>IF($H614="UNIDADE CONSTRUTIVA",OFFSET(A614,-1,0)+1,LARGE(A$3:A613,1))</f>
        <v/>
      </c>
      <c r="B614" s="213" t="n"/>
      <c r="C614" s="213" t="n"/>
      <c r="D614" s="214" t="n"/>
      <c r="E614" s="214" t="n"/>
      <c r="G614" s="165" t="n"/>
      <c r="H614" s="165" t="n"/>
      <c r="I614" s="165" t="n"/>
      <c r="J614" s="166" t="n"/>
      <c r="K614" s="167" t="n"/>
      <c r="L614" s="170" t="n"/>
      <c r="M614" s="170" t="n"/>
      <c r="N614" s="173" t="n"/>
      <c r="O614" s="173" t="n"/>
      <c r="P614" s="173" t="n"/>
      <c r="Q614" s="173" t="n"/>
      <c r="R614" s="173" t="n"/>
      <c r="S614" s="171" t="n"/>
    </row>
    <row r="615" ht="13.8" customHeight="1">
      <c r="A615" s="213">
        <f>IF($H615="UNIDADE CONSTRUTIVA",OFFSET(A615,-1,0)+1,LARGE(A$3:A614,1))</f>
        <v/>
      </c>
      <c r="B615" s="213" t="n"/>
      <c r="C615" s="213" t="n"/>
      <c r="D615" s="214" t="n"/>
      <c r="E615" s="214" t="n"/>
      <c r="G615" s="165" t="n"/>
      <c r="H615" s="165" t="n"/>
      <c r="I615" s="165" t="n"/>
      <c r="J615" s="166" t="n"/>
      <c r="K615" s="167" t="n"/>
      <c r="L615" s="170" t="n"/>
      <c r="M615" s="170" t="n"/>
      <c r="N615" s="173" t="n"/>
      <c r="O615" s="173" t="n"/>
      <c r="P615" s="173" t="n"/>
      <c r="Q615" s="173" t="n"/>
      <c r="R615" s="173" t="n"/>
      <c r="S615" s="171" t="n"/>
    </row>
    <row r="616" ht="13.8" customHeight="1">
      <c r="A616" s="213">
        <f>IF($H616="UNIDADE CONSTRUTIVA",OFFSET(A616,-1,0)+1,LARGE(A$3:A615,1))</f>
        <v/>
      </c>
      <c r="B616" s="213" t="n"/>
      <c r="C616" s="213" t="n"/>
      <c r="D616" s="214" t="n"/>
      <c r="E616" s="214" t="n"/>
      <c r="G616" s="165" t="n"/>
      <c r="H616" s="165" t="n"/>
      <c r="I616" s="165" t="n"/>
      <c r="J616" s="166" t="n"/>
      <c r="K616" s="167" t="n"/>
      <c r="L616" s="170" t="n"/>
      <c r="M616" s="170" t="n"/>
      <c r="N616" s="173" t="n"/>
      <c r="O616" s="173" t="n"/>
      <c r="P616" s="173" t="n"/>
      <c r="Q616" s="173" t="n"/>
      <c r="R616" s="173" t="n"/>
      <c r="S616" s="171" t="n"/>
    </row>
    <row r="617" ht="13.8" customHeight="1">
      <c r="A617" s="213">
        <f>IF($H617="UNIDADE CONSTRUTIVA",OFFSET(A617,-1,0)+1,LARGE(A$3:A616,1))</f>
        <v/>
      </c>
      <c r="B617" s="213" t="n"/>
      <c r="C617" s="213" t="n"/>
      <c r="D617" s="214" t="n"/>
      <c r="E617" s="214" t="n"/>
      <c r="G617" s="165" t="n"/>
      <c r="H617" s="165" t="n"/>
      <c r="I617" s="165" t="n"/>
      <c r="J617" s="166" t="n"/>
      <c r="K617" s="167" t="n"/>
      <c r="L617" s="170" t="n"/>
      <c r="M617" s="170" t="n"/>
      <c r="N617" s="173" t="n"/>
      <c r="O617" s="173" t="n"/>
      <c r="P617" s="173" t="n"/>
      <c r="Q617" s="173" t="n"/>
      <c r="R617" s="173" t="n"/>
      <c r="S617" s="171" t="n"/>
    </row>
    <row r="618" ht="13.8" customHeight="1">
      <c r="A618" s="213">
        <f>IF($H618="UNIDADE CONSTRUTIVA",OFFSET(A618,-1,0)+1,LARGE(A$3:A617,1))</f>
        <v/>
      </c>
      <c r="B618" s="213" t="n"/>
      <c r="C618" s="213" t="n"/>
      <c r="D618" s="214" t="n"/>
      <c r="E618" s="214" t="n"/>
      <c r="G618" s="165" t="n"/>
      <c r="H618" s="165" t="n"/>
      <c r="I618" s="165" t="n"/>
      <c r="J618" s="166" t="n"/>
      <c r="K618" s="167" t="n"/>
      <c r="L618" s="170" t="n"/>
      <c r="M618" s="170" t="n"/>
      <c r="N618" s="173" t="n"/>
      <c r="O618" s="173" t="n"/>
      <c r="P618" s="173" t="n"/>
      <c r="Q618" s="173" t="n"/>
      <c r="R618" s="173" t="n"/>
      <c r="S618" s="171" t="n"/>
    </row>
    <row r="619" ht="13.8" customHeight="1">
      <c r="A619" s="213">
        <f>IF($H619="UNIDADE CONSTRUTIVA",OFFSET(A619,-1,0)+1,LARGE(A$3:A618,1))</f>
        <v/>
      </c>
      <c r="B619" s="213" t="n"/>
      <c r="C619" s="213" t="n"/>
      <c r="D619" s="214" t="n"/>
      <c r="E619" s="214" t="n"/>
      <c r="G619" s="165" t="n"/>
      <c r="H619" s="165" t="n"/>
      <c r="I619" s="165" t="n"/>
      <c r="J619" s="166" t="n"/>
      <c r="K619" s="167" t="n"/>
      <c r="L619" s="170" t="n"/>
      <c r="M619" s="170" t="n"/>
      <c r="N619" s="173" t="n"/>
      <c r="O619" s="173" t="n"/>
      <c r="P619" s="173" t="n"/>
      <c r="Q619" s="173" t="n"/>
      <c r="R619" s="173" t="n"/>
      <c r="S619" s="171" t="n"/>
    </row>
    <row r="620" ht="13.8" customHeight="1">
      <c r="A620" s="213">
        <f>IF($H620="UNIDADE CONSTRUTIVA",OFFSET(A620,-1,0)+1,LARGE(A$3:A619,1))</f>
        <v/>
      </c>
      <c r="B620" s="213" t="n"/>
      <c r="C620" s="213" t="n"/>
      <c r="D620" s="214" t="n"/>
      <c r="E620" s="214" t="n"/>
      <c r="G620" s="165" t="n"/>
      <c r="H620" s="165" t="n"/>
      <c r="I620" s="165" t="n"/>
      <c r="J620" s="166" t="n"/>
      <c r="K620" s="167" t="n"/>
      <c r="L620" s="170" t="n"/>
      <c r="M620" s="170" t="n"/>
      <c r="N620" s="173" t="n"/>
      <c r="O620" s="173" t="n"/>
      <c r="P620" s="173" t="n"/>
      <c r="Q620" s="173" t="n"/>
      <c r="R620" s="173" t="n"/>
      <c r="S620" s="171" t="n"/>
    </row>
    <row r="621" ht="13.8" customHeight="1">
      <c r="A621" s="213">
        <f>IF($H621="UNIDADE CONSTRUTIVA",OFFSET(A621,-1,0)+1,LARGE(A$3:A620,1))</f>
        <v/>
      </c>
      <c r="B621" s="213" t="n"/>
      <c r="C621" s="213" t="n"/>
      <c r="D621" s="214" t="n"/>
      <c r="E621" s="214" t="n"/>
      <c r="G621" s="165" t="n"/>
      <c r="H621" s="165" t="n"/>
      <c r="I621" s="165" t="n"/>
      <c r="J621" s="166" t="n"/>
      <c r="K621" s="167" t="n"/>
      <c r="L621" s="170" t="n"/>
      <c r="M621" s="170" t="n"/>
      <c r="N621" s="173" t="n"/>
      <c r="O621" s="173" t="n"/>
      <c r="P621" s="173" t="n"/>
      <c r="Q621" s="173" t="n"/>
      <c r="R621" s="173" t="n"/>
      <c r="S621" s="171" t="n"/>
    </row>
    <row r="622" ht="13.8" customHeight="1">
      <c r="A622" s="213">
        <f>IF($H622="UNIDADE CONSTRUTIVA",OFFSET(A622,-1,0)+1,LARGE(A$3:A621,1))</f>
        <v/>
      </c>
      <c r="B622" s="213" t="n"/>
      <c r="C622" s="213" t="n"/>
      <c r="D622" s="214" t="n"/>
      <c r="E622" s="214" t="n"/>
      <c r="G622" s="165" t="n"/>
      <c r="H622" s="165" t="n"/>
      <c r="I622" s="165" t="n"/>
      <c r="J622" s="166" t="n"/>
      <c r="K622" s="167" t="n"/>
      <c r="L622" s="170" t="n"/>
      <c r="M622" s="170" t="n"/>
      <c r="N622" s="173" t="n"/>
      <c r="O622" s="173" t="n"/>
      <c r="P622" s="173" t="n"/>
      <c r="Q622" s="173" t="n"/>
      <c r="R622" s="173" t="n"/>
      <c r="S622" s="171" t="n"/>
    </row>
    <row r="623" ht="13.8" customHeight="1">
      <c r="A623" s="213">
        <f>IF($H623="UNIDADE CONSTRUTIVA",OFFSET(A623,-1,0)+1,LARGE(A$3:A622,1))</f>
        <v/>
      </c>
      <c r="B623" s="213" t="n"/>
      <c r="C623" s="213" t="n"/>
      <c r="D623" s="214" t="n"/>
      <c r="E623" s="214" t="n"/>
      <c r="G623" s="165" t="n"/>
      <c r="H623" s="165" t="n"/>
      <c r="I623" s="165" t="n"/>
      <c r="J623" s="166" t="n"/>
      <c r="K623" s="167" t="n"/>
      <c r="L623" s="170" t="n"/>
      <c r="M623" s="170" t="n"/>
      <c r="N623" s="173" t="n"/>
      <c r="O623" s="173" t="n"/>
      <c r="P623" s="173" t="n"/>
      <c r="Q623" s="173" t="n"/>
      <c r="R623" s="173" t="n"/>
      <c r="S623" s="171" t="n"/>
    </row>
    <row r="624" ht="13.8" customHeight="1">
      <c r="A624" s="213">
        <f>IF($H624="UNIDADE CONSTRUTIVA",OFFSET(A624,-1,0)+1,LARGE(A$3:A623,1))</f>
        <v/>
      </c>
      <c r="B624" s="213" t="n"/>
      <c r="C624" s="213" t="n"/>
      <c r="D624" s="214" t="n"/>
      <c r="E624" s="214" t="n"/>
      <c r="G624" s="165" t="n"/>
      <c r="H624" s="165" t="n"/>
      <c r="I624" s="165" t="n"/>
      <c r="J624" s="166" t="n"/>
      <c r="K624" s="167" t="n"/>
      <c r="L624" s="170" t="n"/>
      <c r="M624" s="170" t="n"/>
      <c r="N624" s="173" t="n"/>
      <c r="O624" s="173" t="n"/>
      <c r="P624" s="173" t="n"/>
      <c r="Q624" s="173" t="n"/>
      <c r="R624" s="173" t="n"/>
      <c r="S624" s="171" t="n"/>
    </row>
    <row r="625" ht="13.8" customHeight="1">
      <c r="A625" s="213">
        <f>IF($H625="UNIDADE CONSTRUTIVA",OFFSET(A625,-1,0)+1,LARGE(A$3:A624,1))</f>
        <v/>
      </c>
      <c r="B625" s="213" t="n"/>
      <c r="C625" s="213" t="n"/>
      <c r="D625" s="214" t="n"/>
      <c r="E625" s="214" t="n"/>
      <c r="G625" s="165" t="n"/>
      <c r="H625" s="165" t="n"/>
      <c r="I625" s="165" t="n"/>
      <c r="J625" s="166" t="n"/>
      <c r="K625" s="167" t="n"/>
      <c r="L625" s="170" t="n"/>
      <c r="M625" s="170" t="n"/>
      <c r="N625" s="173" t="n"/>
      <c r="O625" s="173" t="n"/>
      <c r="P625" s="173" t="n"/>
      <c r="Q625" s="173" t="n"/>
      <c r="R625" s="173" t="n"/>
      <c r="S625" s="171" t="n"/>
    </row>
    <row r="626" ht="13.8" customHeight="1">
      <c r="A626" s="213">
        <f>IF($H626="UNIDADE CONSTRUTIVA",OFFSET(A626,-1,0)+1,LARGE(A$3:A625,1))</f>
        <v/>
      </c>
      <c r="B626" s="213" t="n"/>
      <c r="C626" s="213" t="n"/>
      <c r="D626" s="214" t="n"/>
      <c r="E626" s="214" t="n"/>
      <c r="G626" s="165" t="n"/>
      <c r="H626" s="165" t="n"/>
      <c r="I626" s="165" t="n"/>
      <c r="J626" s="166" t="n"/>
      <c r="K626" s="167" t="n"/>
      <c r="L626" s="170" t="n"/>
      <c r="M626" s="170" t="n"/>
      <c r="N626" s="173" t="n"/>
      <c r="O626" s="173" t="n"/>
      <c r="P626" s="173" t="n"/>
      <c r="Q626" s="173" t="n"/>
      <c r="R626" s="173" t="n"/>
      <c r="S626" s="171" t="n"/>
    </row>
    <row r="627" ht="13.8" customHeight="1">
      <c r="A627" s="213">
        <f>IF($H627="UNIDADE CONSTRUTIVA",OFFSET(A627,-1,0)+1,LARGE(A$3:A626,1))</f>
        <v/>
      </c>
      <c r="B627" s="213" t="n"/>
      <c r="C627" s="213" t="n"/>
      <c r="D627" s="214" t="n"/>
      <c r="E627" s="214" t="n"/>
      <c r="G627" s="165" t="n"/>
      <c r="H627" s="165" t="n"/>
      <c r="I627" s="165" t="n"/>
      <c r="J627" s="166" t="n"/>
      <c r="K627" s="167" t="n"/>
      <c r="L627" s="170" t="n"/>
      <c r="M627" s="170" t="n"/>
      <c r="N627" s="173" t="n"/>
      <c r="O627" s="173" t="n"/>
      <c r="P627" s="173" t="n"/>
      <c r="Q627" s="173" t="n"/>
      <c r="R627" s="173" t="n"/>
      <c r="S627" s="171" t="n"/>
    </row>
    <row r="628" ht="13.8" customHeight="1">
      <c r="A628" s="213">
        <f>IF($H628="UNIDADE CONSTRUTIVA",OFFSET(A628,-1,0)+1,LARGE(A$3:A627,1))</f>
        <v/>
      </c>
      <c r="B628" s="213" t="n"/>
      <c r="C628" s="213" t="n"/>
      <c r="D628" s="214" t="n"/>
      <c r="E628" s="214" t="n"/>
      <c r="G628" s="165" t="n"/>
      <c r="H628" s="165" t="n"/>
      <c r="I628" s="165" t="n"/>
      <c r="J628" s="166" t="n"/>
      <c r="K628" s="167" t="n"/>
      <c r="L628" s="170" t="n"/>
      <c r="M628" s="170" t="n"/>
      <c r="N628" s="173" t="n"/>
      <c r="O628" s="173" t="n"/>
      <c r="P628" s="173" t="n"/>
      <c r="Q628" s="173" t="n"/>
      <c r="R628" s="173" t="n"/>
      <c r="S628" s="171" t="n"/>
    </row>
    <row r="629" ht="13.8" customHeight="1">
      <c r="A629" s="213">
        <f>IF($H629="UNIDADE CONSTRUTIVA",OFFSET(A629,-1,0)+1,LARGE(A$3:A628,1))</f>
        <v/>
      </c>
      <c r="B629" s="213" t="n"/>
      <c r="C629" s="213" t="n"/>
      <c r="D629" s="214" t="n"/>
      <c r="E629" s="214" t="n"/>
      <c r="G629" s="165" t="n"/>
      <c r="H629" s="165" t="n"/>
      <c r="I629" s="165" t="n"/>
      <c r="J629" s="166" t="n"/>
      <c r="K629" s="167" t="n"/>
      <c r="L629" s="170" t="n"/>
      <c r="M629" s="170" t="n"/>
      <c r="N629" s="173" t="n"/>
      <c r="O629" s="173" t="n"/>
      <c r="P629" s="173" t="n"/>
      <c r="Q629" s="173" t="n"/>
      <c r="R629" s="173" t="n"/>
      <c r="S629" s="171" t="n"/>
    </row>
    <row r="630" ht="13.8" customHeight="1">
      <c r="A630" s="213">
        <f>IF($H630="UNIDADE CONSTRUTIVA",OFFSET(A630,-1,0)+1,LARGE(A$3:A629,1))</f>
        <v/>
      </c>
      <c r="B630" s="213" t="n"/>
      <c r="C630" s="213" t="n"/>
      <c r="D630" s="214" t="n"/>
      <c r="E630" s="214" t="n"/>
      <c r="G630" s="165" t="n"/>
      <c r="H630" s="165" t="n"/>
      <c r="I630" s="165" t="n"/>
      <c r="J630" s="166" t="n"/>
      <c r="K630" s="167" t="n"/>
      <c r="L630" s="170" t="n"/>
      <c r="M630" s="170" t="n"/>
      <c r="N630" s="173" t="n"/>
      <c r="O630" s="173" t="n"/>
      <c r="P630" s="173" t="n"/>
      <c r="Q630" s="173" t="n"/>
      <c r="R630" s="173" t="n"/>
      <c r="S630" s="171" t="n"/>
    </row>
    <row r="631" ht="13.8" customHeight="1">
      <c r="A631" s="213">
        <f>IF($H631="UNIDADE CONSTRUTIVA",OFFSET(A631,-1,0)+1,LARGE(A$3:A630,1))</f>
        <v/>
      </c>
      <c r="B631" s="213" t="n"/>
      <c r="C631" s="213" t="n"/>
      <c r="D631" s="214" t="n"/>
      <c r="E631" s="214" t="n"/>
      <c r="G631" s="165" t="n"/>
      <c r="H631" s="165" t="n"/>
      <c r="I631" s="165" t="n"/>
      <c r="J631" s="166" t="n"/>
      <c r="K631" s="167" t="n"/>
      <c r="L631" s="170" t="n"/>
      <c r="M631" s="170" t="n"/>
      <c r="N631" s="173" t="n"/>
      <c r="O631" s="173" t="n"/>
      <c r="P631" s="173" t="n"/>
      <c r="Q631" s="173" t="n"/>
      <c r="R631" s="173" t="n"/>
      <c r="S631" s="171" t="n"/>
    </row>
    <row r="632" ht="13.8" customHeight="1">
      <c r="A632" s="213">
        <f>IF($H632="UNIDADE CONSTRUTIVA",OFFSET(A632,-1,0)+1,LARGE(A$3:A631,1))</f>
        <v/>
      </c>
      <c r="B632" s="213" t="n"/>
      <c r="C632" s="213" t="n"/>
      <c r="D632" s="214" t="n"/>
      <c r="E632" s="214" t="n"/>
      <c r="G632" s="165" t="n"/>
      <c r="H632" s="165" t="n"/>
      <c r="I632" s="165" t="n"/>
      <c r="J632" s="166" t="n"/>
      <c r="K632" s="167" t="n"/>
      <c r="L632" s="170" t="n"/>
      <c r="M632" s="170" t="n"/>
      <c r="N632" s="173" t="n"/>
      <c r="O632" s="173" t="n"/>
      <c r="P632" s="173" t="n"/>
      <c r="Q632" s="173" t="n"/>
      <c r="R632" s="173" t="n"/>
      <c r="S632" s="171" t="n"/>
    </row>
    <row r="633" ht="13.8" customHeight="1">
      <c r="A633" s="213">
        <f>IF($H633="UNIDADE CONSTRUTIVA",OFFSET(A633,-1,0)+1,LARGE(A$3:A632,1))</f>
        <v/>
      </c>
      <c r="B633" s="213" t="n"/>
      <c r="C633" s="213" t="n"/>
      <c r="D633" s="214" t="n"/>
      <c r="E633" s="214" t="n"/>
      <c r="G633" s="165" t="n"/>
      <c r="H633" s="165" t="n"/>
      <c r="I633" s="165" t="n"/>
      <c r="J633" s="166" t="n"/>
      <c r="K633" s="167" t="n"/>
      <c r="L633" s="170" t="n"/>
      <c r="M633" s="170" t="n"/>
      <c r="N633" s="173" t="n"/>
      <c r="O633" s="173" t="n"/>
      <c r="P633" s="173" t="n"/>
      <c r="Q633" s="173" t="n"/>
      <c r="R633" s="173" t="n"/>
      <c r="S633" s="171" t="n"/>
    </row>
    <row r="634" ht="13.8" customHeight="1">
      <c r="A634" s="213">
        <f>IF($H634="UNIDADE CONSTRUTIVA",OFFSET(A634,-1,0)+1,LARGE(A$3:A633,1))</f>
        <v/>
      </c>
      <c r="B634" s="213" t="n"/>
      <c r="C634" s="213" t="n"/>
      <c r="D634" s="214" t="n"/>
      <c r="E634" s="214" t="n"/>
      <c r="G634" s="165" t="n"/>
      <c r="H634" s="165" t="n"/>
      <c r="I634" s="165" t="n"/>
      <c r="J634" s="166" t="n"/>
      <c r="K634" s="167" t="n"/>
      <c r="L634" s="170" t="n"/>
      <c r="M634" s="170" t="n"/>
      <c r="N634" s="173" t="n"/>
      <c r="O634" s="173" t="n"/>
      <c r="P634" s="173" t="n"/>
      <c r="Q634" s="173" t="n"/>
      <c r="R634" s="173" t="n"/>
      <c r="S634" s="171" t="n"/>
    </row>
    <row r="635" ht="13.8" customHeight="1">
      <c r="A635" s="213">
        <f>IF($H635="UNIDADE CONSTRUTIVA",OFFSET(A635,-1,0)+1,LARGE(A$3:A634,1))</f>
        <v/>
      </c>
      <c r="B635" s="213" t="n"/>
      <c r="C635" s="213" t="n"/>
      <c r="D635" s="214" t="n"/>
      <c r="E635" s="214" t="n"/>
      <c r="G635" s="165" t="n"/>
      <c r="H635" s="165" t="n"/>
      <c r="I635" s="165" t="n"/>
      <c r="J635" s="166" t="n"/>
      <c r="K635" s="167" t="n"/>
      <c r="L635" s="170" t="n"/>
      <c r="M635" s="170" t="n"/>
      <c r="N635" s="173" t="n"/>
      <c r="O635" s="173" t="n"/>
      <c r="P635" s="173" t="n"/>
      <c r="Q635" s="173" t="n"/>
      <c r="R635" s="173" t="n"/>
      <c r="S635" s="171" t="n"/>
    </row>
    <row r="636" ht="13.8" customHeight="1">
      <c r="A636" s="213">
        <f>IF($H636="UNIDADE CONSTRUTIVA",OFFSET(A636,-1,0)+1,LARGE(A$3:A635,1))</f>
        <v/>
      </c>
      <c r="B636" s="213" t="n"/>
      <c r="C636" s="213" t="n"/>
      <c r="D636" s="214" t="n"/>
      <c r="E636" s="214" t="n"/>
      <c r="G636" s="165" t="n"/>
      <c r="H636" s="165" t="n"/>
      <c r="I636" s="165" t="n"/>
      <c r="J636" s="166" t="n"/>
      <c r="K636" s="167" t="n"/>
      <c r="L636" s="170" t="n"/>
      <c r="M636" s="170" t="n"/>
      <c r="N636" s="173" t="n"/>
      <c r="O636" s="173" t="n"/>
      <c r="P636" s="173" t="n"/>
      <c r="Q636" s="173" t="n"/>
      <c r="R636" s="173" t="n"/>
      <c r="S636" s="171" t="n"/>
    </row>
    <row r="637" ht="13.8" customHeight="1">
      <c r="A637" s="213">
        <f>IF($H637="UNIDADE CONSTRUTIVA",OFFSET(A637,-1,0)+1,LARGE(A$3:A636,1))</f>
        <v/>
      </c>
      <c r="B637" s="213" t="n"/>
      <c r="C637" s="213" t="n"/>
      <c r="D637" s="214" t="n"/>
      <c r="E637" s="214" t="n"/>
      <c r="G637" s="165" t="n"/>
      <c r="H637" s="165" t="n"/>
      <c r="I637" s="165" t="n"/>
      <c r="J637" s="166" t="n"/>
      <c r="K637" s="167" t="n"/>
      <c r="L637" s="170" t="n"/>
      <c r="M637" s="170" t="n"/>
      <c r="N637" s="173" t="n"/>
      <c r="O637" s="173" t="n"/>
      <c r="P637" s="173" t="n"/>
      <c r="Q637" s="173" t="n"/>
      <c r="R637" s="173" t="n"/>
      <c r="S637" s="171" t="n"/>
    </row>
    <row r="638" ht="13.8" customHeight="1">
      <c r="A638" s="213">
        <f>IF($H638="UNIDADE CONSTRUTIVA",OFFSET(A638,-1,0)+1,LARGE(A$3:A637,1))</f>
        <v/>
      </c>
      <c r="B638" s="213" t="n"/>
      <c r="C638" s="213" t="n"/>
      <c r="D638" s="214" t="n"/>
      <c r="E638" s="214" t="n"/>
      <c r="G638" s="165" t="n"/>
      <c r="H638" s="165" t="n"/>
      <c r="I638" s="165" t="n"/>
      <c r="J638" s="166" t="n"/>
      <c r="K638" s="167" t="n"/>
      <c r="L638" s="170" t="n"/>
      <c r="M638" s="170" t="n"/>
      <c r="N638" s="173" t="n"/>
      <c r="O638" s="173" t="n"/>
      <c r="P638" s="173" t="n"/>
      <c r="Q638" s="173" t="n"/>
      <c r="R638" s="173" t="n"/>
      <c r="S638" s="171" t="n"/>
    </row>
    <row r="639" ht="13.8" customHeight="1">
      <c r="A639" s="213">
        <f>IF($H639="UNIDADE CONSTRUTIVA",OFFSET(A639,-1,0)+1,LARGE(A$3:A638,1))</f>
        <v/>
      </c>
      <c r="B639" s="213" t="n"/>
      <c r="C639" s="213" t="n"/>
      <c r="D639" s="214" t="n"/>
      <c r="E639" s="214" t="n"/>
      <c r="G639" s="165" t="n"/>
      <c r="H639" s="165" t="n"/>
      <c r="I639" s="165" t="n"/>
      <c r="J639" s="166" t="n"/>
      <c r="K639" s="167" t="n"/>
      <c r="L639" s="170" t="n"/>
      <c r="M639" s="170" t="n"/>
      <c r="N639" s="173" t="n"/>
      <c r="O639" s="173" t="n"/>
      <c r="P639" s="173" t="n"/>
      <c r="Q639" s="173" t="n"/>
      <c r="R639" s="173" t="n"/>
      <c r="S639" s="171" t="n"/>
    </row>
    <row r="640" ht="13.8" customHeight="1">
      <c r="A640" s="213">
        <f>IF($H640="UNIDADE CONSTRUTIVA",OFFSET(A640,-1,0)+1,LARGE(A$3:A639,1))</f>
        <v/>
      </c>
      <c r="B640" s="213" t="n"/>
      <c r="C640" s="213" t="n"/>
      <c r="D640" s="214" t="n"/>
      <c r="E640" s="214" t="n"/>
      <c r="G640" s="165" t="n"/>
      <c r="H640" s="165" t="n"/>
      <c r="I640" s="165" t="n"/>
      <c r="J640" s="166" t="n"/>
      <c r="K640" s="167" t="n"/>
      <c r="L640" s="170" t="n"/>
      <c r="M640" s="170" t="n"/>
      <c r="N640" s="173" t="n"/>
      <c r="O640" s="173" t="n"/>
      <c r="P640" s="173" t="n"/>
      <c r="Q640" s="173" t="n"/>
      <c r="R640" s="173" t="n"/>
      <c r="S640" s="171" t="n"/>
    </row>
    <row r="641" ht="13.8" customHeight="1">
      <c r="A641" s="213">
        <f>IF($H641="UNIDADE CONSTRUTIVA",OFFSET(A641,-1,0)+1,LARGE(A$3:A640,1))</f>
        <v/>
      </c>
      <c r="B641" s="213" t="n"/>
      <c r="C641" s="213" t="n"/>
      <c r="D641" s="214" t="n"/>
      <c r="E641" s="214" t="n"/>
      <c r="G641" s="165" t="n"/>
      <c r="H641" s="165" t="n"/>
      <c r="I641" s="165" t="n"/>
      <c r="J641" s="166" t="n"/>
      <c r="K641" s="167" t="n"/>
      <c r="L641" s="170" t="n"/>
      <c r="M641" s="170" t="n"/>
      <c r="N641" s="173" t="n"/>
      <c r="O641" s="173" t="n"/>
      <c r="P641" s="173" t="n"/>
      <c r="Q641" s="173" t="n"/>
      <c r="R641" s="173" t="n"/>
      <c r="S641" s="171" t="n"/>
    </row>
    <row r="642" ht="13.8" customHeight="1">
      <c r="A642" s="213">
        <f>IF($H642="UNIDADE CONSTRUTIVA",OFFSET(A642,-1,0)+1,LARGE(A$3:A641,1))</f>
        <v/>
      </c>
      <c r="B642" s="213" t="n"/>
      <c r="C642" s="213" t="n"/>
      <c r="D642" s="214" t="n"/>
      <c r="E642" s="214" t="n"/>
      <c r="G642" s="165" t="n"/>
      <c r="H642" s="165" t="n"/>
      <c r="I642" s="165" t="n"/>
      <c r="J642" s="166" t="n"/>
      <c r="K642" s="167" t="n"/>
      <c r="L642" s="170" t="n"/>
      <c r="M642" s="170" t="n"/>
      <c r="N642" s="173" t="n"/>
      <c r="O642" s="173" t="n"/>
      <c r="P642" s="173" t="n"/>
      <c r="Q642" s="173" t="n"/>
      <c r="R642" s="173" t="n"/>
      <c r="S642" s="171" t="n"/>
    </row>
    <row r="643" ht="13.8" customHeight="1">
      <c r="A643" s="213">
        <f>IF($H643="UNIDADE CONSTRUTIVA",OFFSET(A643,-1,0)+1,LARGE(A$3:A642,1))</f>
        <v/>
      </c>
      <c r="B643" s="213" t="n"/>
      <c r="C643" s="213" t="n"/>
      <c r="D643" s="214" t="n"/>
      <c r="E643" s="214" t="n"/>
      <c r="G643" s="165" t="n"/>
      <c r="H643" s="165" t="n"/>
      <c r="I643" s="165" t="n"/>
      <c r="J643" s="166" t="n"/>
      <c r="K643" s="167" t="n"/>
      <c r="L643" s="170" t="n"/>
      <c r="M643" s="170" t="n"/>
      <c r="N643" s="173" t="n"/>
      <c r="O643" s="173" t="n"/>
      <c r="P643" s="173" t="n"/>
      <c r="Q643" s="173" t="n"/>
      <c r="R643" s="173" t="n"/>
      <c r="S643" s="171" t="n"/>
    </row>
    <row r="644" ht="13.8" customHeight="1">
      <c r="A644" s="213">
        <f>IF($H644="UNIDADE CONSTRUTIVA",OFFSET(A644,-1,0)+1,LARGE(A$3:A643,1))</f>
        <v/>
      </c>
      <c r="B644" s="213" t="n"/>
      <c r="C644" s="213" t="n"/>
      <c r="D644" s="214" t="n"/>
      <c r="E644" s="214" t="n"/>
      <c r="G644" s="165" t="n"/>
      <c r="H644" s="165" t="n"/>
      <c r="I644" s="165" t="n"/>
      <c r="J644" s="166" t="n"/>
      <c r="K644" s="167" t="n"/>
      <c r="L644" s="170" t="n"/>
      <c r="M644" s="170" t="n"/>
      <c r="N644" s="173" t="n"/>
      <c r="O644" s="173" t="n"/>
      <c r="P644" s="173" t="n"/>
      <c r="Q644" s="173" t="n"/>
      <c r="R644" s="173" t="n"/>
      <c r="S644" s="171" t="n"/>
    </row>
    <row r="645" ht="13.8" customHeight="1">
      <c r="A645" s="213">
        <f>IF($H645="UNIDADE CONSTRUTIVA",OFFSET(A645,-1,0)+1,LARGE(A$3:A644,1))</f>
        <v/>
      </c>
      <c r="B645" s="213" t="n"/>
      <c r="C645" s="213" t="n"/>
      <c r="D645" s="214" t="n"/>
      <c r="E645" s="214" t="n"/>
      <c r="G645" s="165" t="n"/>
      <c r="H645" s="165" t="n"/>
      <c r="I645" s="165" t="n"/>
      <c r="J645" s="166" t="n"/>
      <c r="K645" s="167" t="n"/>
      <c r="L645" s="170" t="n"/>
      <c r="M645" s="170" t="n"/>
      <c r="N645" s="173" t="n"/>
      <c r="O645" s="173" t="n"/>
      <c r="P645" s="173" t="n"/>
      <c r="Q645" s="173" t="n"/>
      <c r="R645" s="173" t="n"/>
      <c r="S645" s="171" t="n"/>
    </row>
    <row r="646" ht="13.8" customHeight="1">
      <c r="A646" s="213">
        <f>IF($H646="UNIDADE CONSTRUTIVA",OFFSET(A646,-1,0)+1,LARGE(A$3:A645,1))</f>
        <v/>
      </c>
      <c r="B646" s="213" t="n"/>
      <c r="C646" s="213" t="n"/>
      <c r="D646" s="214" t="n"/>
      <c r="E646" s="214" t="n"/>
      <c r="G646" s="165" t="n"/>
      <c r="H646" s="165" t="n"/>
      <c r="I646" s="165" t="n"/>
      <c r="J646" s="166" t="n"/>
      <c r="K646" s="167" t="n"/>
      <c r="L646" s="170" t="n"/>
      <c r="M646" s="170" t="n"/>
      <c r="N646" s="173" t="n"/>
      <c r="O646" s="173" t="n"/>
      <c r="P646" s="173" t="n"/>
      <c r="Q646" s="173" t="n"/>
      <c r="R646" s="173" t="n"/>
      <c r="S646" s="171" t="n"/>
    </row>
    <row r="647" ht="13.8" customHeight="1">
      <c r="A647" s="213">
        <f>IF($H647="UNIDADE CONSTRUTIVA",OFFSET(A647,-1,0)+1,LARGE(A$3:A646,1))</f>
        <v/>
      </c>
      <c r="B647" s="213" t="n"/>
      <c r="C647" s="213" t="n"/>
      <c r="D647" s="214" t="n"/>
      <c r="E647" s="214" t="n"/>
      <c r="G647" s="165" t="n"/>
      <c r="H647" s="165" t="n"/>
      <c r="I647" s="165" t="n"/>
      <c r="J647" s="166" t="n"/>
      <c r="K647" s="167" t="n"/>
      <c r="L647" s="170" t="n"/>
      <c r="M647" s="170" t="n"/>
      <c r="N647" s="173" t="n"/>
      <c r="O647" s="173" t="n"/>
      <c r="P647" s="173" t="n"/>
      <c r="Q647" s="173" t="n"/>
      <c r="R647" s="173" t="n"/>
      <c r="S647" s="171" t="n"/>
    </row>
    <row r="648" ht="13.8" customHeight="1">
      <c r="A648" s="213">
        <f>IF($H648="UNIDADE CONSTRUTIVA",OFFSET(A648,-1,0)+1,LARGE(A$3:A647,1))</f>
        <v/>
      </c>
      <c r="B648" s="213" t="n"/>
      <c r="C648" s="213" t="n"/>
      <c r="D648" s="214" t="n"/>
      <c r="E648" s="214" t="n"/>
      <c r="G648" s="165" t="n"/>
      <c r="H648" s="165" t="n"/>
      <c r="I648" s="165" t="n"/>
      <c r="J648" s="166" t="n"/>
      <c r="K648" s="167" t="n"/>
      <c r="L648" s="170" t="n"/>
      <c r="M648" s="170" t="n"/>
      <c r="N648" s="173" t="n"/>
      <c r="O648" s="173" t="n"/>
      <c r="P648" s="173" t="n"/>
      <c r="Q648" s="173" t="n"/>
      <c r="R648" s="173" t="n"/>
      <c r="S648" s="171" t="n"/>
    </row>
    <row r="649" ht="13.8" customHeight="1">
      <c r="A649" s="213">
        <f>IF($H649="UNIDADE CONSTRUTIVA",OFFSET(A649,-1,0)+1,LARGE(A$3:A648,1))</f>
        <v/>
      </c>
      <c r="B649" s="213" t="n"/>
      <c r="C649" s="213" t="n"/>
      <c r="D649" s="214" t="n"/>
      <c r="E649" s="214" t="n"/>
      <c r="G649" s="165" t="n"/>
      <c r="H649" s="165" t="n"/>
      <c r="I649" s="165" t="n"/>
      <c r="J649" s="166" t="n"/>
      <c r="K649" s="167" t="n"/>
      <c r="L649" s="170" t="n"/>
      <c r="M649" s="170" t="n"/>
      <c r="N649" s="173" t="n"/>
      <c r="O649" s="173" t="n"/>
      <c r="P649" s="173" t="n"/>
      <c r="Q649" s="173" t="n"/>
      <c r="R649" s="173" t="n"/>
      <c r="S649" s="171" t="n"/>
    </row>
    <row r="650" ht="13.8" customHeight="1">
      <c r="A650" s="213">
        <f>IF($H650="UNIDADE CONSTRUTIVA",OFFSET(A650,-1,0)+1,LARGE(A$3:A649,1))</f>
        <v/>
      </c>
      <c r="B650" s="213" t="n"/>
      <c r="C650" s="213" t="n"/>
      <c r="D650" s="214" t="n"/>
      <c r="E650" s="214" t="n"/>
      <c r="G650" s="165" t="n"/>
      <c r="H650" s="165" t="n"/>
      <c r="I650" s="165" t="n"/>
      <c r="J650" s="166" t="n"/>
      <c r="K650" s="167" t="n"/>
      <c r="L650" s="170" t="n"/>
      <c r="M650" s="170" t="n"/>
      <c r="N650" s="173" t="n"/>
      <c r="O650" s="173" t="n"/>
      <c r="P650" s="173" t="n"/>
      <c r="Q650" s="173" t="n"/>
      <c r="R650" s="173" t="n"/>
      <c r="S650" s="171" t="n"/>
    </row>
    <row r="651" ht="13.8" customHeight="1">
      <c r="A651" s="213">
        <f>IF($H651="UNIDADE CONSTRUTIVA",OFFSET(A651,-1,0)+1,LARGE(A$3:A650,1))</f>
        <v/>
      </c>
      <c r="B651" s="213" t="n"/>
      <c r="C651" s="213" t="n"/>
      <c r="D651" s="214" t="n"/>
      <c r="E651" s="214" t="n"/>
      <c r="G651" s="165" t="n"/>
      <c r="H651" s="165" t="n"/>
      <c r="I651" s="165" t="n"/>
      <c r="J651" s="166" t="n"/>
      <c r="K651" s="167" t="n"/>
      <c r="L651" s="170" t="n"/>
      <c r="M651" s="170" t="n"/>
      <c r="N651" s="173" t="n"/>
      <c r="O651" s="173" t="n"/>
      <c r="P651" s="173" t="n"/>
      <c r="Q651" s="173" t="n"/>
      <c r="R651" s="173" t="n"/>
      <c r="S651" s="171" t="n"/>
    </row>
    <row r="652" ht="13.8" customHeight="1">
      <c r="A652" s="213">
        <f>IF($H652="UNIDADE CONSTRUTIVA",OFFSET(A652,-1,0)+1,LARGE(A$3:A651,1))</f>
        <v/>
      </c>
      <c r="B652" s="213" t="n"/>
      <c r="C652" s="213" t="n"/>
      <c r="D652" s="214" t="n"/>
      <c r="E652" s="214" t="n"/>
      <c r="G652" s="165" t="n"/>
      <c r="H652" s="165" t="n"/>
      <c r="I652" s="165" t="n"/>
      <c r="J652" s="166" t="n"/>
      <c r="K652" s="167" t="n"/>
      <c r="L652" s="170" t="n"/>
      <c r="M652" s="170" t="n"/>
      <c r="N652" s="173" t="n"/>
      <c r="O652" s="173" t="n"/>
      <c r="P652" s="173" t="n"/>
      <c r="Q652" s="173" t="n"/>
      <c r="R652" s="173" t="n"/>
      <c r="S652" s="171" t="n"/>
    </row>
    <row r="653" ht="13.8" customHeight="1">
      <c r="A653" s="213">
        <f>IF($H653="UNIDADE CONSTRUTIVA",OFFSET(A653,-1,0)+1,LARGE(A$3:A652,1))</f>
        <v/>
      </c>
      <c r="B653" s="213" t="n"/>
      <c r="C653" s="213" t="n"/>
      <c r="D653" s="214" t="n"/>
      <c r="E653" s="214" t="n"/>
      <c r="G653" s="165" t="n"/>
      <c r="H653" s="165" t="n"/>
      <c r="I653" s="165" t="n"/>
      <c r="J653" s="166" t="n"/>
      <c r="K653" s="167" t="n"/>
      <c r="L653" s="170" t="n"/>
      <c r="M653" s="170" t="n"/>
      <c r="N653" s="173" t="n"/>
      <c r="O653" s="173" t="n"/>
      <c r="P653" s="173" t="n"/>
      <c r="Q653" s="173" t="n"/>
      <c r="R653" s="173" t="n"/>
      <c r="S653" s="171" t="n"/>
    </row>
    <row r="654" ht="13.8" customHeight="1">
      <c r="A654" s="213">
        <f>IF($H654="UNIDADE CONSTRUTIVA",OFFSET(A654,-1,0)+1,LARGE(A$3:A653,1))</f>
        <v/>
      </c>
      <c r="B654" s="213" t="n"/>
      <c r="C654" s="213" t="n"/>
      <c r="D654" s="214" t="n"/>
      <c r="E654" s="214" t="n"/>
      <c r="G654" s="165" t="n"/>
      <c r="H654" s="165" t="n"/>
      <c r="I654" s="165" t="n"/>
      <c r="J654" s="166" t="n"/>
      <c r="K654" s="167" t="n"/>
      <c r="L654" s="170" t="n"/>
      <c r="M654" s="170" t="n"/>
      <c r="N654" s="173" t="n"/>
      <c r="O654" s="173" t="n"/>
      <c r="P654" s="173" t="n"/>
      <c r="Q654" s="173" t="n"/>
      <c r="R654" s="173" t="n"/>
      <c r="S654" s="171" t="n"/>
    </row>
    <row r="655" ht="13.8" customHeight="1">
      <c r="A655" s="213">
        <f>IF($H655="UNIDADE CONSTRUTIVA",OFFSET(A655,-1,0)+1,LARGE(A$3:A654,1))</f>
        <v/>
      </c>
      <c r="B655" s="213" t="n"/>
      <c r="C655" s="213" t="n"/>
      <c r="D655" s="214" t="n"/>
      <c r="E655" s="214" t="n"/>
      <c r="G655" s="165" t="n"/>
      <c r="H655" s="165" t="n"/>
      <c r="I655" s="165" t="n"/>
      <c r="J655" s="166" t="n"/>
      <c r="K655" s="167" t="n"/>
      <c r="L655" s="170" t="n"/>
      <c r="M655" s="170" t="n"/>
      <c r="N655" s="173" t="n"/>
      <c r="O655" s="173" t="n"/>
      <c r="P655" s="173" t="n"/>
      <c r="Q655" s="173" t="n"/>
      <c r="R655" s="173" t="n"/>
      <c r="S655" s="171" t="n"/>
    </row>
    <row r="656" ht="13.8" customHeight="1">
      <c r="A656" s="213">
        <f>IF($H656="UNIDADE CONSTRUTIVA",OFFSET(A656,-1,0)+1,LARGE(A$3:A655,1))</f>
        <v/>
      </c>
      <c r="B656" s="213" t="n"/>
      <c r="C656" s="213" t="n"/>
      <c r="D656" s="214" t="n"/>
      <c r="E656" s="214" t="n"/>
      <c r="G656" s="165" t="n"/>
      <c r="H656" s="165" t="n"/>
      <c r="I656" s="165" t="n"/>
      <c r="J656" s="166" t="n"/>
      <c r="K656" s="167" t="n"/>
      <c r="L656" s="170" t="n"/>
      <c r="M656" s="170" t="n"/>
      <c r="N656" s="173" t="n"/>
      <c r="O656" s="173" t="n"/>
      <c r="P656" s="173" t="n"/>
      <c r="Q656" s="173" t="n"/>
      <c r="R656" s="173" t="n"/>
      <c r="S656" s="171" t="n"/>
    </row>
    <row r="657" ht="13.8" customHeight="1">
      <c r="A657" s="213">
        <f>IF($H657="UNIDADE CONSTRUTIVA",OFFSET(A657,-1,0)+1,LARGE(A$3:A656,1))</f>
        <v/>
      </c>
      <c r="B657" s="213" t="n"/>
      <c r="C657" s="213" t="n"/>
      <c r="D657" s="214" t="n"/>
      <c r="E657" s="214" t="n"/>
      <c r="G657" s="165" t="n"/>
      <c r="H657" s="165" t="n"/>
      <c r="I657" s="165" t="n"/>
      <c r="J657" s="166" t="n"/>
      <c r="K657" s="167" t="n"/>
      <c r="L657" s="170" t="n"/>
      <c r="M657" s="170" t="n"/>
      <c r="N657" s="173" t="n"/>
      <c r="O657" s="173" t="n"/>
      <c r="P657" s="173" t="n"/>
      <c r="Q657" s="173" t="n"/>
      <c r="R657" s="173" t="n"/>
      <c r="S657" s="171" t="n"/>
    </row>
    <row r="658" ht="13.8" customHeight="1">
      <c r="A658" s="213">
        <f>IF($H658="UNIDADE CONSTRUTIVA",OFFSET(A658,-1,0)+1,LARGE(A$3:A657,1))</f>
        <v/>
      </c>
      <c r="B658" s="213" t="n"/>
      <c r="C658" s="213" t="n"/>
      <c r="D658" s="214" t="n"/>
      <c r="E658" s="214" t="n"/>
      <c r="G658" s="165" t="n"/>
      <c r="H658" s="165" t="n"/>
      <c r="I658" s="165" t="n"/>
      <c r="J658" s="166" t="n"/>
      <c r="K658" s="167" t="n"/>
      <c r="L658" s="170" t="n"/>
      <c r="M658" s="170" t="n"/>
      <c r="N658" s="173" t="n"/>
      <c r="O658" s="173" t="n"/>
      <c r="P658" s="173" t="n"/>
      <c r="Q658" s="173" t="n"/>
      <c r="R658" s="173" t="n"/>
      <c r="S658" s="171" t="n"/>
    </row>
    <row r="659" ht="13.8" customHeight="1">
      <c r="A659" s="213">
        <f>IF($H659="UNIDADE CONSTRUTIVA",OFFSET(A659,-1,0)+1,LARGE(A$3:A658,1))</f>
        <v/>
      </c>
      <c r="B659" s="213" t="n"/>
      <c r="C659" s="213" t="n"/>
      <c r="D659" s="214" t="n"/>
      <c r="E659" s="214" t="n"/>
      <c r="G659" s="165" t="n"/>
      <c r="H659" s="165" t="n"/>
      <c r="I659" s="165" t="n"/>
      <c r="J659" s="166" t="n"/>
      <c r="K659" s="167" t="n"/>
      <c r="L659" s="170" t="n"/>
      <c r="M659" s="170" t="n"/>
      <c r="N659" s="173" t="n"/>
      <c r="O659" s="173" t="n"/>
      <c r="P659" s="173" t="n"/>
      <c r="Q659" s="173" t="n"/>
      <c r="R659" s="173" t="n"/>
      <c r="S659" s="171" t="n"/>
    </row>
    <row r="660" ht="13.8" customHeight="1">
      <c r="A660" s="213">
        <f>IF($H660="UNIDADE CONSTRUTIVA",OFFSET(A660,-1,0)+1,LARGE(A$3:A659,1))</f>
        <v/>
      </c>
      <c r="B660" s="213" t="n"/>
      <c r="C660" s="213" t="n"/>
      <c r="D660" s="214" t="n"/>
      <c r="E660" s="214" t="n"/>
      <c r="G660" s="165" t="n"/>
      <c r="H660" s="165" t="n"/>
      <c r="I660" s="165" t="n"/>
      <c r="J660" s="166" t="n"/>
      <c r="K660" s="167" t="n"/>
      <c r="L660" s="170" t="n"/>
      <c r="M660" s="170" t="n"/>
      <c r="N660" s="173" t="n"/>
      <c r="O660" s="173" t="n"/>
      <c r="P660" s="173" t="n"/>
      <c r="Q660" s="173" t="n"/>
      <c r="R660" s="173" t="n"/>
      <c r="S660" s="171" t="n"/>
    </row>
    <row r="661" ht="13.8" customHeight="1">
      <c r="A661" s="213">
        <f>IF($H661="UNIDADE CONSTRUTIVA",OFFSET(A661,-1,0)+1,LARGE(A$3:A660,1))</f>
        <v/>
      </c>
      <c r="B661" s="213" t="n"/>
      <c r="C661" s="213" t="n"/>
      <c r="D661" s="214" t="n"/>
      <c r="E661" s="214" t="n"/>
      <c r="G661" s="165" t="n"/>
      <c r="H661" s="165" t="n"/>
      <c r="I661" s="165" t="n"/>
      <c r="J661" s="166" t="n"/>
      <c r="K661" s="167" t="n"/>
      <c r="L661" s="170" t="n"/>
      <c r="M661" s="170" t="n"/>
      <c r="N661" s="173" t="n"/>
      <c r="O661" s="173" t="n"/>
      <c r="P661" s="173" t="n"/>
      <c r="Q661" s="173" t="n"/>
      <c r="R661" s="173" t="n"/>
      <c r="S661" s="171" t="n"/>
    </row>
    <row r="662" ht="13.8" customHeight="1">
      <c r="A662" s="213">
        <f>IF($H662="UNIDADE CONSTRUTIVA",OFFSET(A662,-1,0)+1,LARGE(A$3:A661,1))</f>
        <v/>
      </c>
      <c r="B662" s="213" t="n"/>
      <c r="C662" s="213" t="n"/>
      <c r="D662" s="214" t="n"/>
      <c r="E662" s="214" t="n"/>
      <c r="G662" s="165" t="n"/>
      <c r="H662" s="165" t="n"/>
      <c r="I662" s="165" t="n"/>
      <c r="J662" s="166" t="n"/>
      <c r="K662" s="167" t="n"/>
      <c r="L662" s="170" t="n"/>
      <c r="M662" s="170" t="n"/>
      <c r="N662" s="173" t="n"/>
      <c r="O662" s="173" t="n"/>
      <c r="P662" s="173" t="n"/>
      <c r="Q662" s="173" t="n"/>
      <c r="R662" s="173" t="n"/>
      <c r="S662" s="171" t="n"/>
    </row>
    <row r="663" ht="13.8" customHeight="1">
      <c r="A663" s="213">
        <f>IF($H663="UNIDADE CONSTRUTIVA",OFFSET(A663,-1,0)+1,LARGE(A$3:A662,1))</f>
        <v/>
      </c>
      <c r="B663" s="213" t="n"/>
      <c r="C663" s="213" t="n"/>
      <c r="D663" s="214" t="n"/>
      <c r="E663" s="214" t="n"/>
      <c r="G663" s="165" t="n"/>
      <c r="H663" s="165" t="n"/>
      <c r="I663" s="165" t="n"/>
      <c r="J663" s="166" t="n"/>
      <c r="K663" s="167" t="n"/>
      <c r="L663" s="170" t="n"/>
      <c r="M663" s="170" t="n"/>
      <c r="N663" s="173" t="n"/>
      <c r="O663" s="173" t="n"/>
      <c r="P663" s="173" t="n"/>
      <c r="Q663" s="173" t="n"/>
      <c r="R663" s="173" t="n"/>
      <c r="S663" s="171" t="n"/>
    </row>
    <row r="664" ht="13.8" customHeight="1">
      <c r="A664" s="213">
        <f>IF($H664="UNIDADE CONSTRUTIVA",OFFSET(A664,-1,0)+1,LARGE(A$3:A663,1))</f>
        <v/>
      </c>
      <c r="B664" s="213" t="n"/>
      <c r="C664" s="213" t="n"/>
      <c r="D664" s="214" t="n"/>
      <c r="E664" s="214" t="n"/>
      <c r="G664" s="165" t="n"/>
      <c r="H664" s="165" t="n"/>
      <c r="I664" s="165" t="n"/>
      <c r="J664" s="166" t="n"/>
      <c r="K664" s="167" t="n"/>
      <c r="L664" s="170" t="n"/>
      <c r="M664" s="170" t="n"/>
      <c r="N664" s="173" t="n"/>
      <c r="O664" s="173" t="n"/>
      <c r="P664" s="173" t="n"/>
      <c r="Q664" s="173" t="n"/>
      <c r="R664" s="173" t="n"/>
      <c r="S664" s="171" t="n"/>
    </row>
    <row r="665" ht="13.8" customHeight="1">
      <c r="A665" s="213">
        <f>IF($H665="UNIDADE CONSTRUTIVA",OFFSET(A665,-1,0)+1,LARGE(A$3:A664,1))</f>
        <v/>
      </c>
      <c r="B665" s="213" t="n"/>
      <c r="C665" s="213" t="n"/>
      <c r="D665" s="214" t="n"/>
      <c r="E665" s="214" t="n"/>
      <c r="G665" s="165" t="n"/>
      <c r="H665" s="165" t="n"/>
      <c r="I665" s="165" t="n"/>
      <c r="J665" s="166" t="n"/>
      <c r="K665" s="167" t="n"/>
      <c r="L665" s="170" t="n"/>
      <c r="M665" s="170" t="n"/>
      <c r="N665" s="173" t="n"/>
      <c r="O665" s="173" t="n"/>
      <c r="P665" s="173" t="n"/>
      <c r="Q665" s="173" t="n"/>
      <c r="R665" s="173" t="n"/>
      <c r="S665" s="171" t="n"/>
    </row>
    <row r="666" ht="13.8" customHeight="1">
      <c r="A666" s="213">
        <f>IF($H666="UNIDADE CONSTRUTIVA",OFFSET(A666,-1,0)+1,LARGE(A$3:A665,1))</f>
        <v/>
      </c>
      <c r="B666" s="213" t="n"/>
      <c r="C666" s="213" t="n"/>
      <c r="D666" s="214" t="n"/>
      <c r="E666" s="214" t="n"/>
      <c r="G666" s="165" t="n"/>
      <c r="H666" s="165" t="n"/>
      <c r="I666" s="165" t="n"/>
      <c r="J666" s="166" t="n"/>
      <c r="K666" s="167" t="n"/>
      <c r="L666" s="170" t="n"/>
      <c r="M666" s="170" t="n"/>
      <c r="N666" s="173" t="n"/>
      <c r="O666" s="173" t="n"/>
      <c r="P666" s="173" t="n"/>
      <c r="Q666" s="173" t="n"/>
      <c r="R666" s="173" t="n"/>
      <c r="S666" s="171" t="n"/>
    </row>
    <row r="667" ht="13.8" customHeight="1">
      <c r="A667" s="213">
        <f>IF($H667="UNIDADE CONSTRUTIVA",OFFSET(A667,-1,0)+1,LARGE(A$3:A666,1))</f>
        <v/>
      </c>
      <c r="B667" s="213" t="n"/>
      <c r="C667" s="213" t="n"/>
      <c r="D667" s="214" t="n"/>
      <c r="E667" s="214" t="n"/>
      <c r="G667" s="165" t="n"/>
      <c r="H667" s="165" t="n"/>
      <c r="I667" s="165" t="n"/>
      <c r="J667" s="166" t="n"/>
      <c r="K667" s="167" t="n"/>
      <c r="L667" s="170" t="n"/>
      <c r="M667" s="170" t="n"/>
      <c r="N667" s="173" t="n"/>
      <c r="O667" s="173" t="n"/>
      <c r="P667" s="173" t="n"/>
      <c r="Q667" s="173" t="n"/>
      <c r="R667" s="173" t="n"/>
      <c r="S667" s="171" t="n"/>
    </row>
    <row r="668" ht="13.8" customHeight="1">
      <c r="A668" s="213">
        <f>IF($H668="UNIDADE CONSTRUTIVA",OFFSET(A668,-1,0)+1,LARGE(A$3:A667,1))</f>
        <v/>
      </c>
      <c r="B668" s="213" t="n"/>
      <c r="C668" s="213" t="n"/>
      <c r="D668" s="214" t="n"/>
      <c r="E668" s="214" t="n"/>
      <c r="G668" s="165" t="n"/>
      <c r="H668" s="165" t="n"/>
      <c r="I668" s="165" t="n"/>
      <c r="J668" s="166" t="n"/>
      <c r="K668" s="167" t="n"/>
      <c r="L668" s="170" t="n"/>
      <c r="M668" s="170" t="n"/>
      <c r="N668" s="173" t="n"/>
      <c r="O668" s="173" t="n"/>
      <c r="P668" s="173" t="n"/>
      <c r="Q668" s="173" t="n"/>
      <c r="R668" s="173" t="n"/>
      <c r="S668" s="171" t="n"/>
    </row>
    <row r="669" ht="13.8" customHeight="1">
      <c r="A669" s="213">
        <f>IF($H669="UNIDADE CONSTRUTIVA",OFFSET(A669,-1,0)+1,LARGE(A$3:A668,1))</f>
        <v/>
      </c>
      <c r="B669" s="213" t="n"/>
      <c r="C669" s="213" t="n"/>
      <c r="D669" s="214" t="n"/>
      <c r="E669" s="214" t="n"/>
      <c r="G669" s="165" t="n"/>
      <c r="H669" s="165" t="n"/>
      <c r="I669" s="165" t="n"/>
      <c r="J669" s="166" t="n"/>
      <c r="K669" s="167" t="n"/>
      <c r="L669" s="170" t="n"/>
      <c r="M669" s="170" t="n"/>
      <c r="N669" s="173" t="n"/>
      <c r="O669" s="173" t="n"/>
      <c r="P669" s="173" t="n"/>
      <c r="Q669" s="173" t="n"/>
      <c r="R669" s="173" t="n"/>
      <c r="S669" s="171" t="n"/>
    </row>
    <row r="670" ht="13.8" customHeight="1">
      <c r="A670" s="213">
        <f>IF($H670="UNIDADE CONSTRUTIVA",OFFSET(A670,-1,0)+1,LARGE(A$3:A669,1))</f>
        <v/>
      </c>
      <c r="B670" s="213" t="n"/>
      <c r="C670" s="213" t="n"/>
      <c r="D670" s="214" t="n"/>
      <c r="E670" s="214" t="n"/>
      <c r="G670" s="165" t="n"/>
      <c r="H670" s="165" t="n"/>
      <c r="I670" s="165" t="n"/>
      <c r="J670" s="166" t="n"/>
      <c r="K670" s="167" t="n"/>
      <c r="L670" s="170" t="n"/>
      <c r="M670" s="170" t="n"/>
      <c r="N670" s="173" t="n"/>
      <c r="O670" s="173" t="n"/>
      <c r="P670" s="173" t="n"/>
      <c r="Q670" s="173" t="n"/>
      <c r="R670" s="173" t="n"/>
      <c r="S670" s="171" t="n"/>
    </row>
    <row r="671" ht="13.8" customHeight="1">
      <c r="A671" s="213">
        <f>IF($H671="UNIDADE CONSTRUTIVA",OFFSET(A671,-1,0)+1,LARGE(A$3:A670,1))</f>
        <v/>
      </c>
      <c r="B671" s="213" t="n"/>
      <c r="C671" s="213" t="n"/>
      <c r="D671" s="214" t="n"/>
      <c r="E671" s="214" t="n"/>
      <c r="G671" s="165" t="n"/>
      <c r="H671" s="165" t="n"/>
      <c r="I671" s="165" t="n"/>
      <c r="J671" s="166" t="n"/>
      <c r="K671" s="167" t="n"/>
      <c r="L671" s="170" t="n"/>
      <c r="M671" s="170" t="n"/>
      <c r="N671" s="173" t="n"/>
      <c r="O671" s="173" t="n"/>
      <c r="P671" s="173" t="n"/>
      <c r="Q671" s="173" t="n"/>
      <c r="R671" s="173" t="n"/>
      <c r="S671" s="171" t="n"/>
    </row>
    <row r="672" ht="13.8" customHeight="1">
      <c r="A672" s="213">
        <f>IF($H672="UNIDADE CONSTRUTIVA",OFFSET(A672,-1,0)+1,LARGE(A$3:A671,1))</f>
        <v/>
      </c>
      <c r="B672" s="213" t="n"/>
      <c r="C672" s="213" t="n"/>
      <c r="D672" s="214" t="n"/>
      <c r="E672" s="214" t="n"/>
      <c r="G672" s="165" t="n"/>
      <c r="H672" s="165" t="n"/>
      <c r="I672" s="165" t="n"/>
      <c r="J672" s="166" t="n"/>
      <c r="K672" s="167" t="n"/>
      <c r="L672" s="170" t="n"/>
      <c r="M672" s="170" t="n"/>
      <c r="N672" s="173" t="n"/>
      <c r="O672" s="173" t="n"/>
      <c r="P672" s="173" t="n"/>
      <c r="Q672" s="173" t="n"/>
      <c r="R672" s="173" t="n"/>
      <c r="S672" s="171" t="n"/>
    </row>
    <row r="673" ht="13.8" customHeight="1">
      <c r="A673" s="213">
        <f>IF($H673="UNIDADE CONSTRUTIVA",OFFSET(A673,-1,0)+1,LARGE(A$3:A672,1))</f>
        <v/>
      </c>
      <c r="B673" s="213" t="n"/>
      <c r="C673" s="213" t="n"/>
      <c r="D673" s="214" t="n"/>
      <c r="E673" s="214" t="n"/>
      <c r="G673" s="165" t="n"/>
      <c r="H673" s="165" t="n"/>
      <c r="I673" s="165" t="n"/>
      <c r="J673" s="166" t="n"/>
      <c r="K673" s="167" t="n"/>
      <c r="L673" s="170" t="n"/>
      <c r="M673" s="170" t="n"/>
      <c r="N673" s="173" t="n"/>
      <c r="O673" s="173" t="n"/>
      <c r="P673" s="173" t="n"/>
      <c r="Q673" s="173" t="n"/>
      <c r="R673" s="173" t="n"/>
      <c r="S673" s="171" t="n"/>
    </row>
    <row r="674" ht="13.8" customHeight="1">
      <c r="A674" s="213">
        <f>IF($H674="UNIDADE CONSTRUTIVA",OFFSET(A674,-1,0)+1,LARGE(A$3:A673,1))</f>
        <v/>
      </c>
      <c r="B674" s="213" t="n"/>
      <c r="C674" s="213" t="n"/>
      <c r="D674" s="214" t="n"/>
      <c r="E674" s="214" t="n"/>
      <c r="G674" s="165" t="n"/>
      <c r="H674" s="165" t="n"/>
      <c r="I674" s="165" t="n"/>
      <c r="J674" s="166" t="n"/>
      <c r="K674" s="167" t="n"/>
      <c r="L674" s="170" t="n"/>
      <c r="M674" s="170" t="n"/>
      <c r="N674" s="173" t="n"/>
      <c r="O674" s="173" t="n"/>
      <c r="P674" s="173" t="n"/>
      <c r="Q674" s="173" t="n"/>
      <c r="R674" s="173" t="n"/>
      <c r="S674" s="171" t="n"/>
    </row>
    <row r="675" ht="13.8" customHeight="1">
      <c r="A675" s="213">
        <f>IF($H675="UNIDADE CONSTRUTIVA",OFFSET(A675,-1,0)+1,LARGE(A$3:A674,1))</f>
        <v/>
      </c>
      <c r="B675" s="213" t="n"/>
      <c r="C675" s="213" t="n"/>
      <c r="D675" s="214" t="n"/>
      <c r="E675" s="214" t="n"/>
      <c r="G675" s="165" t="n"/>
      <c r="H675" s="165" t="n"/>
      <c r="I675" s="165" t="n"/>
      <c r="J675" s="166" t="n"/>
      <c r="K675" s="167" t="n"/>
      <c r="L675" s="170" t="n"/>
      <c r="M675" s="170" t="n"/>
      <c r="N675" s="173" t="n"/>
      <c r="O675" s="173" t="n"/>
      <c r="P675" s="173" t="n"/>
      <c r="Q675" s="173" t="n"/>
      <c r="R675" s="173" t="n"/>
      <c r="S675" s="171" t="n"/>
    </row>
    <row r="676" ht="13.8" customHeight="1">
      <c r="A676" s="213">
        <f>IF($H676="UNIDADE CONSTRUTIVA",OFFSET(A676,-1,0)+1,LARGE(A$3:A675,1))</f>
        <v/>
      </c>
      <c r="B676" s="213" t="n"/>
      <c r="C676" s="213" t="n"/>
      <c r="D676" s="214" t="n"/>
      <c r="E676" s="214" t="n"/>
      <c r="G676" s="165" t="n"/>
      <c r="H676" s="165" t="n"/>
      <c r="I676" s="165" t="n"/>
      <c r="J676" s="166" t="n"/>
      <c r="K676" s="167" t="n"/>
      <c r="L676" s="170" t="n"/>
      <c r="M676" s="170" t="n"/>
      <c r="N676" s="173" t="n"/>
      <c r="O676" s="173" t="n"/>
      <c r="P676" s="173" t="n"/>
      <c r="Q676" s="173" t="n"/>
      <c r="R676" s="173" t="n"/>
      <c r="S676" s="171" t="n"/>
    </row>
    <row r="677" ht="13.8" customHeight="1">
      <c r="A677" s="213">
        <f>IF($H677="UNIDADE CONSTRUTIVA",OFFSET(A677,-1,0)+1,LARGE(A$3:A676,1))</f>
        <v/>
      </c>
      <c r="B677" s="213" t="n"/>
      <c r="C677" s="213" t="n"/>
      <c r="D677" s="214" t="n"/>
      <c r="E677" s="214" t="n"/>
      <c r="G677" s="165" t="n"/>
      <c r="H677" s="165" t="n"/>
      <c r="I677" s="165" t="n"/>
      <c r="J677" s="166" t="n"/>
      <c r="K677" s="167" t="n"/>
      <c r="L677" s="170" t="n"/>
      <c r="M677" s="170" t="n"/>
      <c r="N677" s="173" t="n"/>
      <c r="O677" s="173" t="n"/>
      <c r="P677" s="173" t="n"/>
      <c r="Q677" s="173" t="n"/>
      <c r="R677" s="173" t="n"/>
      <c r="S677" s="171" t="n"/>
    </row>
    <row r="678" ht="13.8" customHeight="1">
      <c r="A678" s="213">
        <f>IF($H678="UNIDADE CONSTRUTIVA",OFFSET(A678,-1,0)+1,LARGE(A$3:A677,1))</f>
        <v/>
      </c>
      <c r="B678" s="213" t="n"/>
      <c r="C678" s="213" t="n"/>
      <c r="D678" s="214" t="n"/>
      <c r="E678" s="214" t="n"/>
      <c r="G678" s="165" t="n"/>
      <c r="H678" s="165" t="n"/>
      <c r="I678" s="165" t="n"/>
      <c r="J678" s="166" t="n"/>
      <c r="K678" s="167" t="n"/>
      <c r="L678" s="170" t="n"/>
      <c r="M678" s="170" t="n"/>
      <c r="N678" s="173" t="n"/>
      <c r="O678" s="173" t="n"/>
      <c r="P678" s="173" t="n"/>
      <c r="Q678" s="173" t="n"/>
      <c r="R678" s="173" t="n"/>
      <c r="S678" s="171" t="n"/>
    </row>
    <row r="679" ht="13.8" customHeight="1">
      <c r="A679" s="213">
        <f>IF($H679="UNIDADE CONSTRUTIVA",OFFSET(A679,-1,0)+1,LARGE(A$3:A678,1))</f>
        <v/>
      </c>
      <c r="B679" s="213" t="n"/>
      <c r="C679" s="213" t="n"/>
      <c r="D679" s="214" t="n"/>
      <c r="E679" s="214" t="n"/>
      <c r="G679" s="165" t="n"/>
      <c r="H679" s="165" t="n"/>
      <c r="I679" s="165" t="n"/>
      <c r="J679" s="166" t="n"/>
      <c r="K679" s="167" t="n"/>
      <c r="L679" s="170" t="n"/>
      <c r="M679" s="170" t="n"/>
      <c r="N679" s="173" t="n"/>
      <c r="O679" s="173" t="n"/>
      <c r="P679" s="173" t="n"/>
      <c r="Q679" s="173" t="n"/>
      <c r="R679" s="173" t="n"/>
      <c r="S679" s="171" t="n"/>
    </row>
    <row r="680" ht="13.8" customHeight="1">
      <c r="A680" s="213">
        <f>IF($H680="UNIDADE CONSTRUTIVA",OFFSET(A680,-1,0)+1,LARGE(A$3:A679,1))</f>
        <v/>
      </c>
      <c r="B680" s="213" t="n"/>
      <c r="C680" s="213" t="n"/>
      <c r="D680" s="214" t="n"/>
      <c r="E680" s="214" t="n"/>
      <c r="G680" s="165" t="n"/>
      <c r="H680" s="165" t="n"/>
      <c r="I680" s="165" t="n"/>
      <c r="J680" s="166" t="n"/>
      <c r="K680" s="167" t="n"/>
      <c r="L680" s="170" t="n"/>
      <c r="M680" s="170" t="n"/>
      <c r="N680" s="173" t="n"/>
      <c r="O680" s="173" t="n"/>
      <c r="P680" s="173" t="n"/>
      <c r="Q680" s="173" t="n"/>
      <c r="R680" s="173" t="n"/>
      <c r="S680" s="171" t="n"/>
    </row>
    <row r="681" ht="13.8" customHeight="1">
      <c r="A681" s="213">
        <f>IF($H681="UNIDADE CONSTRUTIVA",OFFSET(A681,-1,0)+1,LARGE(A$3:A680,1))</f>
        <v/>
      </c>
      <c r="B681" s="213" t="n"/>
      <c r="C681" s="213" t="n"/>
      <c r="D681" s="214" t="n"/>
      <c r="E681" s="214" t="n"/>
      <c r="G681" s="165" t="n"/>
      <c r="H681" s="165" t="n"/>
      <c r="I681" s="165" t="n"/>
      <c r="J681" s="166" t="n"/>
      <c r="K681" s="167" t="n"/>
      <c r="L681" s="170" t="n"/>
      <c r="M681" s="170" t="n"/>
      <c r="N681" s="173" t="n"/>
      <c r="O681" s="173" t="n"/>
      <c r="P681" s="173" t="n"/>
      <c r="Q681" s="173" t="n"/>
      <c r="R681" s="173" t="n"/>
      <c r="S681" s="171" t="n"/>
    </row>
    <row r="682" ht="13.8" customHeight="1">
      <c r="A682" s="213">
        <f>IF($H682="UNIDADE CONSTRUTIVA",OFFSET(A682,-1,0)+1,LARGE(A$3:A681,1))</f>
        <v/>
      </c>
      <c r="B682" s="213" t="n"/>
      <c r="C682" s="213" t="n"/>
      <c r="D682" s="214" t="n"/>
      <c r="E682" s="214" t="n"/>
      <c r="G682" s="165" t="n"/>
      <c r="H682" s="165" t="n"/>
      <c r="I682" s="165" t="n"/>
      <c r="J682" s="166" t="n"/>
      <c r="K682" s="167" t="n"/>
      <c r="L682" s="170" t="n"/>
      <c r="M682" s="170" t="n"/>
      <c r="N682" s="173" t="n"/>
      <c r="O682" s="173" t="n"/>
      <c r="P682" s="173" t="n"/>
      <c r="Q682" s="173" t="n"/>
      <c r="R682" s="173" t="n"/>
      <c r="S682" s="171" t="n"/>
    </row>
    <row r="683" ht="13.8" customHeight="1">
      <c r="A683" s="213">
        <f>IF($H683="UNIDADE CONSTRUTIVA",OFFSET(A683,-1,0)+1,LARGE(A$3:A682,1))</f>
        <v/>
      </c>
      <c r="B683" s="213" t="n"/>
      <c r="C683" s="213" t="n"/>
      <c r="D683" s="214" t="n"/>
      <c r="E683" s="214" t="n"/>
      <c r="G683" s="165" t="n"/>
      <c r="H683" s="165" t="n"/>
      <c r="I683" s="165" t="n"/>
      <c r="J683" s="166" t="n"/>
      <c r="K683" s="167" t="n"/>
      <c r="L683" s="170" t="n"/>
      <c r="M683" s="170" t="n"/>
      <c r="N683" s="173" t="n"/>
      <c r="O683" s="173" t="n"/>
      <c r="P683" s="173" t="n"/>
      <c r="Q683" s="173" t="n"/>
      <c r="R683" s="173" t="n"/>
      <c r="S683" s="171" t="n"/>
    </row>
    <row r="684" ht="13.8" customHeight="1">
      <c r="A684" s="213">
        <f>IF($H684="UNIDADE CONSTRUTIVA",OFFSET(A684,-1,0)+1,LARGE(A$3:A683,1))</f>
        <v/>
      </c>
      <c r="B684" s="213" t="n"/>
      <c r="C684" s="213" t="n"/>
      <c r="D684" s="214" t="n"/>
      <c r="E684" s="214" t="n"/>
      <c r="G684" s="165" t="n"/>
      <c r="H684" s="165" t="n"/>
      <c r="I684" s="165" t="n"/>
      <c r="J684" s="166" t="n"/>
      <c r="K684" s="167" t="n"/>
      <c r="L684" s="170" t="n"/>
      <c r="M684" s="170" t="n"/>
      <c r="N684" s="173" t="n"/>
      <c r="O684" s="173" t="n"/>
      <c r="P684" s="173" t="n"/>
      <c r="Q684" s="173" t="n"/>
      <c r="R684" s="173" t="n"/>
      <c r="S684" s="171" t="n"/>
    </row>
    <row r="685" ht="13.8" customHeight="1">
      <c r="A685" s="213">
        <f>IF($H685="UNIDADE CONSTRUTIVA",OFFSET(A685,-1,0)+1,LARGE(A$3:A684,1))</f>
        <v/>
      </c>
      <c r="B685" s="213" t="n"/>
      <c r="C685" s="213" t="n"/>
      <c r="D685" s="214" t="n"/>
      <c r="E685" s="214" t="n"/>
      <c r="G685" s="165" t="n"/>
      <c r="H685" s="165" t="n"/>
      <c r="I685" s="165" t="n"/>
      <c r="J685" s="166" t="n"/>
      <c r="K685" s="167" t="n"/>
      <c r="L685" s="170" t="n"/>
      <c r="M685" s="170" t="n"/>
      <c r="N685" s="173" t="n"/>
      <c r="O685" s="173" t="n"/>
      <c r="P685" s="173" t="n"/>
      <c r="Q685" s="173" t="n"/>
      <c r="R685" s="173" t="n"/>
      <c r="S685" s="171" t="n"/>
    </row>
    <row r="686" ht="13.8" customHeight="1">
      <c r="A686" s="213">
        <f>IF($H686="UNIDADE CONSTRUTIVA",OFFSET(A686,-1,0)+1,LARGE(A$3:A685,1))</f>
        <v/>
      </c>
      <c r="B686" s="213" t="n"/>
      <c r="C686" s="213" t="n"/>
      <c r="D686" s="214" t="n"/>
      <c r="E686" s="214" t="n"/>
      <c r="G686" s="165" t="n"/>
      <c r="H686" s="165" t="n"/>
      <c r="I686" s="165" t="n"/>
      <c r="J686" s="166" t="n"/>
      <c r="K686" s="167" t="n"/>
      <c r="L686" s="170" t="n"/>
      <c r="M686" s="170" t="n"/>
      <c r="N686" s="173" t="n"/>
      <c r="O686" s="173" t="n"/>
      <c r="P686" s="173" t="n"/>
      <c r="Q686" s="173" t="n"/>
      <c r="R686" s="173" t="n"/>
      <c r="S686" s="171" t="n"/>
    </row>
    <row r="687" ht="13.8" customHeight="1">
      <c r="A687" s="213">
        <f>IF($H687="UNIDADE CONSTRUTIVA",OFFSET(A687,-1,0)+1,LARGE(A$3:A686,1))</f>
        <v/>
      </c>
      <c r="B687" s="213" t="n"/>
      <c r="C687" s="213" t="n"/>
      <c r="D687" s="214" t="n"/>
      <c r="E687" s="214" t="n"/>
      <c r="G687" s="165" t="n"/>
      <c r="H687" s="165" t="n"/>
      <c r="I687" s="165" t="n"/>
      <c r="J687" s="166" t="n"/>
      <c r="K687" s="167" t="n"/>
      <c r="L687" s="170" t="n"/>
      <c r="M687" s="170" t="n"/>
      <c r="N687" s="173" t="n"/>
      <c r="O687" s="173" t="n"/>
      <c r="P687" s="173" t="n"/>
      <c r="Q687" s="173" t="n"/>
      <c r="R687" s="173" t="n"/>
      <c r="S687" s="171" t="n"/>
    </row>
    <row r="688" ht="13.8" customHeight="1">
      <c r="A688" s="213">
        <f>IF($H688="UNIDADE CONSTRUTIVA",OFFSET(A688,-1,0)+1,LARGE(A$3:A687,1))</f>
        <v/>
      </c>
      <c r="B688" s="213" t="n"/>
      <c r="C688" s="213" t="n"/>
      <c r="D688" s="214" t="n"/>
      <c r="E688" s="214" t="n"/>
      <c r="G688" s="165" t="n"/>
      <c r="H688" s="165" t="n"/>
      <c r="I688" s="165" t="n"/>
      <c r="J688" s="166" t="n"/>
      <c r="K688" s="167" t="n"/>
      <c r="L688" s="170" t="n"/>
      <c r="M688" s="170" t="n"/>
      <c r="N688" s="173" t="n"/>
      <c r="O688" s="173" t="n"/>
      <c r="P688" s="173" t="n"/>
      <c r="Q688" s="173" t="n"/>
      <c r="R688" s="173" t="n"/>
      <c r="S688" s="171" t="n"/>
    </row>
    <row r="689" ht="13.8" customHeight="1">
      <c r="A689" s="213">
        <f>IF($H689="UNIDADE CONSTRUTIVA",OFFSET(A689,-1,0)+1,LARGE(A$3:A688,1))</f>
        <v/>
      </c>
      <c r="B689" s="213" t="n"/>
      <c r="C689" s="213" t="n"/>
      <c r="D689" s="214" t="n"/>
      <c r="E689" s="214" t="n"/>
      <c r="G689" s="165" t="n"/>
      <c r="H689" s="165" t="n"/>
      <c r="I689" s="165" t="n"/>
      <c r="J689" s="166" t="n"/>
      <c r="K689" s="167" t="n"/>
      <c r="L689" s="170" t="n"/>
      <c r="M689" s="170" t="n"/>
      <c r="N689" s="173" t="n"/>
      <c r="O689" s="173" t="n"/>
      <c r="P689" s="173" t="n"/>
      <c r="Q689" s="173" t="n"/>
      <c r="R689" s="173" t="n"/>
      <c r="S689" s="171" t="n"/>
    </row>
    <row r="690" ht="13.8" customHeight="1">
      <c r="A690" s="213">
        <f>IF($H690="UNIDADE CONSTRUTIVA",OFFSET(A690,-1,0)+1,LARGE(A$3:A689,1))</f>
        <v/>
      </c>
      <c r="B690" s="213" t="n"/>
      <c r="C690" s="213" t="n"/>
      <c r="D690" s="214" t="n"/>
      <c r="E690" s="214" t="n"/>
      <c r="G690" s="165" t="n"/>
      <c r="H690" s="165" t="n"/>
      <c r="I690" s="165" t="n"/>
      <c r="J690" s="166" t="n"/>
      <c r="K690" s="167" t="n"/>
      <c r="L690" s="170" t="n"/>
      <c r="M690" s="170" t="n"/>
      <c r="N690" s="173" t="n"/>
      <c r="O690" s="173" t="n"/>
      <c r="P690" s="173" t="n"/>
      <c r="Q690" s="173" t="n"/>
      <c r="R690" s="173" t="n"/>
      <c r="S690" s="171" t="n"/>
    </row>
    <row r="691" ht="13.8" customHeight="1">
      <c r="A691" s="213">
        <f>IF($H691="UNIDADE CONSTRUTIVA",OFFSET(A691,-1,0)+1,LARGE(A$3:A690,1))</f>
        <v/>
      </c>
      <c r="B691" s="213" t="n"/>
      <c r="C691" s="213" t="n"/>
      <c r="D691" s="214" t="n"/>
      <c r="E691" s="214" t="n"/>
      <c r="G691" s="165" t="n"/>
      <c r="H691" s="165" t="n"/>
      <c r="I691" s="165" t="n"/>
      <c r="J691" s="166" t="n"/>
      <c r="K691" s="167" t="n"/>
      <c r="L691" s="170" t="n"/>
      <c r="M691" s="170" t="n"/>
      <c r="N691" s="173" t="n"/>
      <c r="O691" s="173" t="n"/>
      <c r="P691" s="173" t="n"/>
      <c r="Q691" s="173" t="n"/>
      <c r="R691" s="173" t="n"/>
      <c r="S691" s="171" t="n"/>
    </row>
    <row r="692" ht="13.8" customHeight="1">
      <c r="A692" s="213">
        <f>IF($H692="UNIDADE CONSTRUTIVA",OFFSET(A692,-1,0)+1,LARGE(A$3:A691,1))</f>
        <v/>
      </c>
      <c r="B692" s="213" t="n"/>
      <c r="C692" s="213" t="n"/>
      <c r="D692" s="214" t="n"/>
      <c r="E692" s="214" t="n"/>
      <c r="G692" s="165" t="n"/>
      <c r="H692" s="165" t="n"/>
      <c r="I692" s="165" t="n"/>
      <c r="J692" s="166" t="n"/>
      <c r="K692" s="167" t="n"/>
      <c r="L692" s="170" t="n"/>
      <c r="M692" s="170" t="n"/>
      <c r="N692" s="173" t="n"/>
      <c r="O692" s="173" t="n"/>
      <c r="P692" s="173" t="n"/>
      <c r="Q692" s="173" t="n"/>
      <c r="R692" s="173" t="n"/>
      <c r="S692" s="171" t="n"/>
    </row>
    <row r="693" ht="13.8" customHeight="1">
      <c r="A693" s="213">
        <f>IF($H693="UNIDADE CONSTRUTIVA",OFFSET(A693,-1,0)+1,LARGE(A$3:A692,1))</f>
        <v/>
      </c>
      <c r="B693" s="213" t="n"/>
      <c r="C693" s="213" t="n"/>
      <c r="D693" s="214" t="n"/>
      <c r="E693" s="214" t="n"/>
      <c r="G693" s="165" t="n"/>
      <c r="H693" s="165" t="n"/>
      <c r="I693" s="165" t="n"/>
      <c r="J693" s="166" t="n"/>
      <c r="K693" s="167" t="n"/>
      <c r="L693" s="170" t="n"/>
      <c r="M693" s="170" t="n"/>
      <c r="N693" s="173" t="n"/>
      <c r="O693" s="173" t="n"/>
      <c r="P693" s="173" t="n"/>
      <c r="Q693" s="173" t="n"/>
      <c r="R693" s="173" t="n"/>
      <c r="S693" s="171" t="n"/>
    </row>
    <row r="694" ht="13.8" customHeight="1">
      <c r="A694" s="213">
        <f>IF($H694="UNIDADE CONSTRUTIVA",OFFSET(A694,-1,0)+1,LARGE(A$3:A693,1))</f>
        <v/>
      </c>
      <c r="B694" s="213" t="n"/>
      <c r="C694" s="213" t="n"/>
      <c r="D694" s="214" t="n"/>
      <c r="E694" s="214" t="n"/>
      <c r="G694" s="165" t="n"/>
      <c r="H694" s="165" t="n"/>
      <c r="I694" s="165" t="n"/>
      <c r="J694" s="166" t="n"/>
      <c r="K694" s="167" t="n"/>
      <c r="L694" s="170" t="n"/>
      <c r="M694" s="170" t="n"/>
      <c r="N694" s="173" t="n"/>
      <c r="O694" s="173" t="n"/>
      <c r="P694" s="173" t="n"/>
      <c r="Q694" s="173" t="n"/>
      <c r="R694" s="173" t="n"/>
      <c r="S694" s="171" t="n"/>
    </row>
    <row r="695" ht="13.8" customHeight="1">
      <c r="A695" s="213">
        <f>IF($H695="UNIDADE CONSTRUTIVA",OFFSET(A695,-1,0)+1,LARGE(A$3:A694,1))</f>
        <v/>
      </c>
      <c r="B695" s="213" t="n"/>
      <c r="C695" s="213" t="n"/>
      <c r="D695" s="214" t="n"/>
      <c r="E695" s="214" t="n"/>
      <c r="G695" s="165" t="n"/>
      <c r="H695" s="165" t="n"/>
      <c r="I695" s="165" t="n"/>
      <c r="J695" s="166" t="n"/>
      <c r="K695" s="167" t="n"/>
      <c r="L695" s="170" t="n"/>
      <c r="M695" s="170" t="n"/>
      <c r="N695" s="173" t="n"/>
      <c r="O695" s="173" t="n"/>
      <c r="P695" s="173" t="n"/>
      <c r="Q695" s="173" t="n"/>
      <c r="R695" s="173" t="n"/>
      <c r="S695" s="171" t="n"/>
    </row>
    <row r="696" ht="13.8" customHeight="1">
      <c r="A696" s="213">
        <f>IF($H696="UNIDADE CONSTRUTIVA",OFFSET(A696,-1,0)+1,LARGE(A$3:A695,1))</f>
        <v/>
      </c>
      <c r="B696" s="213" t="n"/>
      <c r="C696" s="213" t="n"/>
      <c r="D696" s="214" t="n"/>
      <c r="E696" s="214" t="n"/>
      <c r="G696" s="165" t="n"/>
      <c r="H696" s="165" t="n"/>
      <c r="I696" s="165" t="n"/>
      <c r="J696" s="166" t="n"/>
      <c r="K696" s="167" t="n"/>
      <c r="L696" s="170" t="n"/>
      <c r="M696" s="170" t="n"/>
      <c r="N696" s="173" t="n"/>
      <c r="O696" s="173" t="n"/>
      <c r="P696" s="173" t="n"/>
      <c r="Q696" s="173" t="n"/>
      <c r="R696" s="173" t="n"/>
      <c r="S696" s="171" t="n"/>
    </row>
    <row r="697" ht="13.8" customHeight="1">
      <c r="A697" s="213">
        <f>IF($H697="UNIDADE CONSTRUTIVA",OFFSET(A697,-1,0)+1,LARGE(A$3:A696,1))</f>
        <v/>
      </c>
      <c r="B697" s="213" t="n"/>
      <c r="C697" s="213" t="n"/>
      <c r="D697" s="214" t="n"/>
      <c r="E697" s="214" t="n"/>
      <c r="G697" s="165" t="n"/>
      <c r="H697" s="165" t="n"/>
      <c r="I697" s="165" t="n"/>
      <c r="J697" s="166" t="n"/>
      <c r="K697" s="167" t="n"/>
      <c r="L697" s="170" t="n"/>
      <c r="M697" s="170" t="n"/>
      <c r="N697" s="173" t="n"/>
      <c r="O697" s="173" t="n"/>
      <c r="P697" s="173" t="n"/>
      <c r="Q697" s="173" t="n"/>
      <c r="R697" s="173" t="n"/>
      <c r="S697" s="171" t="n"/>
    </row>
    <row r="698" ht="13.8" customHeight="1">
      <c r="A698" s="213">
        <f>IF($H698="UNIDADE CONSTRUTIVA",OFFSET(A698,-1,0)+1,LARGE(A$3:A697,1))</f>
        <v/>
      </c>
      <c r="B698" s="213" t="n"/>
      <c r="C698" s="213" t="n"/>
      <c r="D698" s="214" t="n"/>
      <c r="E698" s="214" t="n"/>
      <c r="G698" s="165" t="n"/>
      <c r="H698" s="165" t="n"/>
      <c r="I698" s="165" t="n"/>
      <c r="J698" s="166" t="n"/>
      <c r="K698" s="167" t="n"/>
      <c r="L698" s="170" t="n"/>
      <c r="M698" s="170" t="n"/>
      <c r="N698" s="173" t="n"/>
      <c r="O698" s="173" t="n"/>
      <c r="P698" s="173" t="n"/>
      <c r="Q698" s="173" t="n"/>
      <c r="R698" s="173" t="n"/>
      <c r="S698" s="171" t="n"/>
    </row>
    <row r="699" ht="13.8" customHeight="1">
      <c r="A699" s="213">
        <f>IF($H699="UNIDADE CONSTRUTIVA",OFFSET(A699,-1,0)+1,LARGE(A$3:A698,1))</f>
        <v/>
      </c>
      <c r="B699" s="213" t="n"/>
      <c r="C699" s="213" t="n"/>
      <c r="D699" s="214" t="n"/>
      <c r="E699" s="214" t="n"/>
      <c r="G699" s="165" t="n"/>
      <c r="H699" s="165" t="n"/>
      <c r="I699" s="165" t="n"/>
      <c r="J699" s="166" t="n"/>
      <c r="K699" s="167" t="n"/>
      <c r="L699" s="170" t="n"/>
      <c r="M699" s="170" t="n"/>
      <c r="N699" s="173" t="n"/>
      <c r="O699" s="173" t="n"/>
      <c r="P699" s="173" t="n"/>
      <c r="Q699" s="173" t="n"/>
      <c r="R699" s="173" t="n"/>
      <c r="S699" s="171" t="n"/>
    </row>
    <row r="700" ht="13.8" customHeight="1">
      <c r="A700" s="213">
        <f>IF($H700="UNIDADE CONSTRUTIVA",OFFSET(A700,-1,0)+1,LARGE(A$3:A699,1))</f>
        <v/>
      </c>
      <c r="B700" s="213" t="n"/>
      <c r="C700" s="213" t="n"/>
      <c r="D700" s="214" t="n"/>
      <c r="E700" s="214" t="n"/>
      <c r="G700" s="165" t="n"/>
      <c r="H700" s="165" t="n"/>
      <c r="I700" s="165" t="n"/>
      <c r="J700" s="166" t="n"/>
      <c r="K700" s="167" t="n"/>
      <c r="L700" s="170" t="n"/>
      <c r="M700" s="170" t="n"/>
      <c r="N700" s="173" t="n"/>
      <c r="O700" s="173" t="n"/>
      <c r="P700" s="173" t="n"/>
      <c r="Q700" s="173" t="n"/>
      <c r="R700" s="173" t="n"/>
      <c r="S700" s="171" t="n"/>
    </row>
    <row r="701" ht="13.8" customHeight="1">
      <c r="A701" s="213">
        <f>IF($H701="UNIDADE CONSTRUTIVA",OFFSET(A701,-1,0)+1,LARGE(A$3:A700,1))</f>
        <v/>
      </c>
      <c r="B701" s="213" t="n"/>
      <c r="C701" s="213" t="n"/>
      <c r="D701" s="214" t="n"/>
      <c r="E701" s="214" t="n"/>
      <c r="G701" s="165" t="n"/>
      <c r="H701" s="165" t="n"/>
      <c r="I701" s="165" t="n"/>
      <c r="J701" s="166" t="n"/>
      <c r="K701" s="167" t="n"/>
      <c r="L701" s="170" t="n"/>
      <c r="M701" s="170" t="n"/>
      <c r="N701" s="173" t="n"/>
      <c r="O701" s="173" t="n"/>
      <c r="P701" s="173" t="n"/>
      <c r="Q701" s="173" t="n"/>
      <c r="R701" s="173" t="n"/>
      <c r="S701" s="171" t="n"/>
    </row>
    <row r="702" ht="13.8" customHeight="1">
      <c r="A702" s="213">
        <f>IF($H702="UNIDADE CONSTRUTIVA",OFFSET(A702,-1,0)+1,LARGE(A$3:A701,1))</f>
        <v/>
      </c>
      <c r="B702" s="213" t="n"/>
      <c r="C702" s="213" t="n"/>
      <c r="D702" s="214" t="n"/>
      <c r="E702" s="214" t="n"/>
      <c r="G702" s="165" t="n"/>
      <c r="H702" s="165" t="n"/>
      <c r="I702" s="165" t="n"/>
      <c r="J702" s="166" t="n"/>
      <c r="K702" s="167" t="n"/>
      <c r="L702" s="170" t="n"/>
      <c r="M702" s="170" t="n"/>
      <c r="N702" s="173" t="n"/>
      <c r="O702" s="173" t="n"/>
      <c r="P702" s="173" t="n"/>
      <c r="Q702" s="173" t="n"/>
      <c r="R702" s="173" t="n"/>
      <c r="S702" s="171" t="n"/>
    </row>
    <row r="703" ht="13.8" customHeight="1">
      <c r="A703" s="213">
        <f>IF($H703="UNIDADE CONSTRUTIVA",OFFSET(A703,-1,0)+1,LARGE(A$3:A702,1))</f>
        <v/>
      </c>
      <c r="B703" s="213" t="n"/>
      <c r="C703" s="213" t="n"/>
      <c r="D703" s="214" t="n"/>
      <c r="E703" s="214" t="n"/>
      <c r="G703" s="165" t="n"/>
      <c r="H703" s="165" t="n"/>
      <c r="I703" s="165" t="n"/>
      <c r="J703" s="166" t="n"/>
      <c r="K703" s="167" t="n"/>
      <c r="L703" s="170" t="n"/>
      <c r="M703" s="170" t="n"/>
      <c r="N703" s="173" t="n"/>
      <c r="O703" s="173" t="n"/>
      <c r="P703" s="173" t="n"/>
      <c r="Q703" s="173" t="n"/>
      <c r="R703" s="173" t="n"/>
      <c r="S703" s="171" t="n"/>
    </row>
    <row r="704" ht="13.8" customHeight="1">
      <c r="A704" s="213">
        <f>IF($H704="UNIDADE CONSTRUTIVA",OFFSET(A704,-1,0)+1,LARGE(A$3:A703,1))</f>
        <v/>
      </c>
      <c r="B704" s="213" t="n"/>
      <c r="C704" s="213" t="n"/>
      <c r="D704" s="214" t="n"/>
      <c r="E704" s="214" t="n"/>
      <c r="G704" s="165" t="n"/>
      <c r="H704" s="165" t="n"/>
      <c r="I704" s="165" t="n"/>
      <c r="J704" s="166" t="n"/>
      <c r="K704" s="167" t="n"/>
      <c r="L704" s="170" t="n"/>
      <c r="M704" s="170" t="n"/>
      <c r="N704" s="173" t="n"/>
      <c r="O704" s="173" t="n"/>
      <c r="P704" s="173" t="n"/>
      <c r="Q704" s="173" t="n"/>
      <c r="R704" s="173" t="n"/>
      <c r="S704" s="171" t="n"/>
    </row>
    <row r="705" ht="13.8" customHeight="1">
      <c r="A705" s="213">
        <f>IF($H705="UNIDADE CONSTRUTIVA",OFFSET(A705,-1,0)+1,LARGE(A$3:A704,1))</f>
        <v/>
      </c>
      <c r="B705" s="213" t="n"/>
      <c r="C705" s="213" t="n"/>
      <c r="D705" s="214" t="n"/>
      <c r="E705" s="214" t="n"/>
      <c r="G705" s="165" t="n"/>
      <c r="H705" s="165" t="n"/>
      <c r="I705" s="165" t="n"/>
      <c r="J705" s="166" t="n"/>
      <c r="K705" s="167" t="n"/>
      <c r="L705" s="170" t="n"/>
      <c r="M705" s="170" t="n"/>
      <c r="N705" s="173" t="n"/>
      <c r="O705" s="173" t="n"/>
      <c r="P705" s="173" t="n"/>
      <c r="Q705" s="173" t="n"/>
      <c r="R705" s="173" t="n"/>
      <c r="S705" s="171" t="n"/>
    </row>
    <row r="706" ht="13.8" customHeight="1">
      <c r="A706" s="213">
        <f>IF($H706="UNIDADE CONSTRUTIVA",OFFSET(A706,-1,0)+1,LARGE(A$3:A705,1))</f>
        <v/>
      </c>
      <c r="B706" s="213" t="n"/>
      <c r="C706" s="213" t="n"/>
      <c r="D706" s="214" t="n"/>
      <c r="E706" s="214" t="n"/>
      <c r="G706" s="165" t="n"/>
      <c r="H706" s="165" t="n"/>
      <c r="I706" s="165" t="n"/>
      <c r="J706" s="166" t="n"/>
      <c r="K706" s="167" t="n"/>
      <c r="L706" s="170" t="n"/>
      <c r="M706" s="170" t="n"/>
      <c r="N706" s="173" t="n"/>
      <c r="O706" s="173" t="n"/>
      <c r="P706" s="173" t="n"/>
      <c r="Q706" s="173" t="n"/>
      <c r="R706" s="173" t="n"/>
      <c r="S706" s="171" t="n"/>
    </row>
    <row r="707" ht="13.8" customHeight="1">
      <c r="A707" s="213">
        <f>IF($H707="UNIDADE CONSTRUTIVA",OFFSET(A707,-1,0)+1,LARGE(A$3:A706,1))</f>
        <v/>
      </c>
      <c r="B707" s="213" t="n"/>
      <c r="C707" s="213" t="n"/>
      <c r="D707" s="214" t="n"/>
      <c r="E707" s="214" t="n"/>
      <c r="G707" s="165" t="n"/>
      <c r="H707" s="165" t="n"/>
      <c r="I707" s="165" t="n"/>
      <c r="J707" s="166" t="n"/>
      <c r="K707" s="167" t="n"/>
      <c r="L707" s="170" t="n"/>
      <c r="M707" s="170" t="n"/>
      <c r="N707" s="173" t="n"/>
      <c r="O707" s="173" t="n"/>
      <c r="P707" s="173" t="n"/>
      <c r="Q707" s="173" t="n"/>
      <c r="R707" s="173" t="n"/>
      <c r="S707" s="171" t="n"/>
    </row>
    <row r="708" ht="13.8" customHeight="1">
      <c r="A708" s="213">
        <f>IF($H708="UNIDADE CONSTRUTIVA",OFFSET(A708,-1,0)+1,LARGE(A$3:A707,1))</f>
        <v/>
      </c>
      <c r="B708" s="213" t="n"/>
      <c r="C708" s="213" t="n"/>
      <c r="D708" s="214" t="n"/>
      <c r="E708" s="214" t="n"/>
      <c r="G708" s="165" t="n"/>
      <c r="H708" s="165" t="n"/>
      <c r="I708" s="165" t="n"/>
      <c r="J708" s="166" t="n"/>
      <c r="K708" s="167" t="n"/>
      <c r="L708" s="170" t="n"/>
      <c r="M708" s="170" t="n"/>
      <c r="N708" s="173" t="n"/>
      <c r="O708" s="173" t="n"/>
      <c r="P708" s="173" t="n"/>
      <c r="Q708" s="173" t="n"/>
      <c r="R708" s="173" t="n"/>
      <c r="S708" s="171" t="n"/>
    </row>
    <row r="709" ht="13.8" customHeight="1">
      <c r="A709" s="213">
        <f>IF($H709="UNIDADE CONSTRUTIVA",OFFSET(A709,-1,0)+1,LARGE(A$3:A708,1))</f>
        <v/>
      </c>
      <c r="B709" s="213" t="n"/>
      <c r="C709" s="213" t="n"/>
      <c r="D709" s="214" t="n"/>
      <c r="E709" s="214" t="n"/>
      <c r="G709" s="165" t="n"/>
      <c r="H709" s="165" t="n"/>
      <c r="I709" s="165" t="n"/>
      <c r="J709" s="166" t="n"/>
      <c r="K709" s="167" t="n"/>
      <c r="L709" s="170" t="n"/>
      <c r="M709" s="170" t="n"/>
      <c r="N709" s="173" t="n"/>
      <c r="O709" s="173" t="n"/>
      <c r="P709" s="173" t="n"/>
      <c r="Q709" s="173" t="n"/>
      <c r="R709" s="173" t="n"/>
      <c r="S709" s="171" t="n"/>
    </row>
    <row r="710" ht="13.8" customHeight="1">
      <c r="A710" s="213">
        <f>IF($H710="UNIDADE CONSTRUTIVA",OFFSET(A710,-1,0)+1,LARGE(A$3:A709,1))</f>
        <v/>
      </c>
      <c r="B710" s="213" t="n"/>
      <c r="C710" s="213" t="n"/>
      <c r="D710" s="214" t="n"/>
      <c r="E710" s="214" t="n"/>
      <c r="G710" s="165" t="n"/>
      <c r="H710" s="165" t="n"/>
      <c r="I710" s="165" t="n"/>
      <c r="J710" s="166" t="n"/>
      <c r="K710" s="167" t="n"/>
      <c r="L710" s="170" t="n"/>
      <c r="M710" s="170" t="n"/>
      <c r="N710" s="173" t="n"/>
      <c r="O710" s="173" t="n"/>
      <c r="P710" s="173" t="n"/>
      <c r="Q710" s="173" t="n"/>
      <c r="R710" s="173" t="n"/>
      <c r="S710" s="171" t="n"/>
    </row>
    <row r="711" ht="13.8" customHeight="1">
      <c r="A711" s="213">
        <f>IF($H711="UNIDADE CONSTRUTIVA",OFFSET(A711,-1,0)+1,LARGE(A$3:A710,1))</f>
        <v/>
      </c>
      <c r="B711" s="213" t="n"/>
      <c r="C711" s="213" t="n"/>
      <c r="D711" s="214" t="n"/>
      <c r="E711" s="214" t="n"/>
      <c r="G711" s="165" t="n"/>
      <c r="H711" s="165" t="n"/>
      <c r="I711" s="165" t="n"/>
      <c r="J711" s="166" t="n"/>
      <c r="K711" s="167" t="n"/>
      <c r="L711" s="170" t="n"/>
      <c r="M711" s="170" t="n"/>
      <c r="N711" s="173" t="n"/>
      <c r="O711" s="173" t="n"/>
      <c r="P711" s="173" t="n"/>
      <c r="Q711" s="173" t="n"/>
      <c r="R711" s="173" t="n"/>
      <c r="S711" s="171" t="n"/>
    </row>
    <row r="712" ht="13.8" customHeight="1">
      <c r="A712" s="213">
        <f>IF($H712="UNIDADE CONSTRUTIVA",OFFSET(A712,-1,0)+1,LARGE(A$3:A711,1))</f>
        <v/>
      </c>
      <c r="B712" s="213" t="n"/>
      <c r="C712" s="213" t="n"/>
      <c r="D712" s="214" t="n"/>
      <c r="E712" s="214" t="n"/>
      <c r="G712" s="165" t="n"/>
      <c r="H712" s="165" t="n"/>
      <c r="I712" s="165" t="n"/>
      <c r="J712" s="166" t="n"/>
      <c r="K712" s="167" t="n"/>
      <c r="L712" s="170" t="n"/>
      <c r="M712" s="170" t="n"/>
      <c r="N712" s="173" t="n"/>
      <c r="O712" s="173" t="n"/>
      <c r="P712" s="173" t="n"/>
      <c r="Q712" s="173" t="n"/>
      <c r="R712" s="173" t="n"/>
      <c r="S712" s="171" t="n"/>
    </row>
    <row r="713" ht="13.8" customHeight="1">
      <c r="A713" s="213">
        <f>IF($H713="UNIDADE CONSTRUTIVA",OFFSET(A713,-1,0)+1,LARGE(A$3:A712,1))</f>
        <v/>
      </c>
      <c r="B713" s="213" t="n"/>
      <c r="C713" s="213" t="n"/>
      <c r="D713" s="214" t="n"/>
      <c r="E713" s="214" t="n"/>
      <c r="G713" s="165" t="n"/>
      <c r="H713" s="165" t="n"/>
      <c r="I713" s="165" t="n"/>
      <c r="J713" s="166" t="n"/>
      <c r="K713" s="167" t="n"/>
      <c r="L713" s="170" t="n"/>
      <c r="M713" s="170" t="n"/>
      <c r="N713" s="173" t="n"/>
      <c r="O713" s="173" t="n"/>
      <c r="P713" s="173" t="n"/>
      <c r="Q713" s="173" t="n"/>
      <c r="R713" s="173" t="n"/>
      <c r="S713" s="171" t="n"/>
    </row>
    <row r="714" ht="13.8" customHeight="1">
      <c r="A714" s="213">
        <f>IF($H714="UNIDADE CONSTRUTIVA",OFFSET(A714,-1,0)+1,LARGE(A$3:A713,1))</f>
        <v/>
      </c>
      <c r="B714" s="213" t="n"/>
      <c r="C714" s="213" t="n"/>
      <c r="D714" s="214" t="n"/>
      <c r="E714" s="214" t="n"/>
      <c r="G714" s="165" t="n"/>
      <c r="H714" s="165" t="n"/>
      <c r="I714" s="165" t="n"/>
      <c r="J714" s="166" t="n"/>
      <c r="K714" s="167" t="n"/>
      <c r="L714" s="170" t="n"/>
      <c r="M714" s="170" t="n"/>
      <c r="N714" s="173" t="n"/>
      <c r="O714" s="173" t="n"/>
      <c r="P714" s="173" t="n"/>
      <c r="Q714" s="173" t="n"/>
      <c r="R714" s="173" t="n"/>
      <c r="S714" s="171" t="n"/>
    </row>
    <row r="715" ht="13.8" customHeight="1">
      <c r="A715" s="213">
        <f>IF($H715="UNIDADE CONSTRUTIVA",OFFSET(A715,-1,0)+1,LARGE(A$3:A714,1))</f>
        <v/>
      </c>
      <c r="B715" s="213" t="n"/>
      <c r="C715" s="213" t="n"/>
      <c r="D715" s="214" t="n"/>
      <c r="E715" s="214" t="n"/>
      <c r="G715" s="165" t="n"/>
      <c r="H715" s="165" t="n"/>
      <c r="I715" s="165" t="n"/>
      <c r="J715" s="166" t="n"/>
      <c r="K715" s="167" t="n"/>
      <c r="L715" s="170" t="n"/>
      <c r="M715" s="170" t="n"/>
      <c r="N715" s="173" t="n"/>
      <c r="O715" s="173" t="n"/>
      <c r="P715" s="173" t="n"/>
      <c r="Q715" s="173" t="n"/>
      <c r="R715" s="173" t="n"/>
      <c r="S715" s="171" t="n"/>
    </row>
    <row r="716" ht="13.8" customHeight="1">
      <c r="A716" s="213">
        <f>IF($H716="UNIDADE CONSTRUTIVA",OFFSET(A716,-1,0)+1,LARGE(A$3:A715,1))</f>
        <v/>
      </c>
      <c r="B716" s="213" t="n"/>
      <c r="C716" s="213" t="n"/>
      <c r="D716" s="214" t="n"/>
      <c r="E716" s="214" t="n"/>
      <c r="G716" s="165" t="n"/>
      <c r="H716" s="165" t="n"/>
      <c r="I716" s="165" t="n"/>
      <c r="J716" s="166" t="n"/>
      <c r="K716" s="167" t="n"/>
      <c r="L716" s="170" t="n"/>
      <c r="M716" s="170" t="n"/>
      <c r="N716" s="173" t="n"/>
      <c r="O716" s="173" t="n"/>
      <c r="P716" s="173" t="n"/>
      <c r="Q716" s="173" t="n"/>
      <c r="R716" s="173" t="n"/>
      <c r="S716" s="171" t="n"/>
    </row>
    <row r="717" ht="13.8" customHeight="1">
      <c r="A717" s="213">
        <f>IF($H717="UNIDADE CONSTRUTIVA",OFFSET(A717,-1,0)+1,LARGE(A$3:A716,1))</f>
        <v/>
      </c>
      <c r="B717" s="213" t="n"/>
      <c r="C717" s="213" t="n"/>
      <c r="D717" s="214" t="n"/>
      <c r="E717" s="214" t="n"/>
      <c r="G717" s="165" t="n"/>
      <c r="H717" s="165" t="n"/>
      <c r="I717" s="165" t="n"/>
      <c r="J717" s="166" t="n"/>
      <c r="K717" s="167" t="n"/>
      <c r="L717" s="170" t="n"/>
      <c r="M717" s="170" t="n"/>
      <c r="N717" s="173" t="n"/>
      <c r="O717" s="173" t="n"/>
      <c r="P717" s="173" t="n"/>
      <c r="Q717" s="173" t="n"/>
      <c r="R717" s="173" t="n"/>
      <c r="S717" s="171" t="n"/>
    </row>
    <row r="718" ht="13.8" customHeight="1">
      <c r="A718" s="213">
        <f>IF($H718="UNIDADE CONSTRUTIVA",OFFSET(A718,-1,0)+1,LARGE(A$3:A717,1))</f>
        <v/>
      </c>
      <c r="B718" s="213" t="n"/>
      <c r="C718" s="213" t="n"/>
      <c r="D718" s="214" t="n"/>
      <c r="E718" s="214" t="n"/>
      <c r="G718" s="165" t="n"/>
      <c r="H718" s="165" t="n"/>
      <c r="I718" s="165" t="n"/>
      <c r="J718" s="166" t="n"/>
      <c r="K718" s="167" t="n"/>
      <c r="L718" s="170" t="n"/>
      <c r="M718" s="170" t="n"/>
      <c r="N718" s="173" t="n"/>
      <c r="O718" s="173" t="n"/>
      <c r="P718" s="173" t="n"/>
      <c r="Q718" s="173" t="n"/>
      <c r="R718" s="173" t="n"/>
      <c r="S718" s="171" t="n"/>
    </row>
    <row r="719" ht="13.8" customHeight="1">
      <c r="A719" s="213">
        <f>IF($H719="UNIDADE CONSTRUTIVA",OFFSET(A719,-1,0)+1,LARGE(A$3:A718,1))</f>
        <v/>
      </c>
      <c r="B719" s="213" t="n"/>
      <c r="C719" s="213" t="n"/>
      <c r="D719" s="214" t="n"/>
      <c r="E719" s="214" t="n"/>
      <c r="G719" s="165" t="n"/>
      <c r="H719" s="165" t="n"/>
      <c r="I719" s="165" t="n"/>
      <c r="J719" s="166" t="n"/>
      <c r="K719" s="167" t="n"/>
      <c r="L719" s="170" t="n"/>
      <c r="M719" s="170" t="n"/>
      <c r="N719" s="173" t="n"/>
      <c r="O719" s="173" t="n"/>
      <c r="P719" s="173" t="n"/>
      <c r="Q719" s="173" t="n"/>
      <c r="R719" s="173" t="n"/>
      <c r="S719" s="171" t="n"/>
    </row>
    <row r="720" ht="13.8" customHeight="1">
      <c r="A720" s="213">
        <f>IF($H720="UNIDADE CONSTRUTIVA",OFFSET(A720,-1,0)+1,LARGE(A$3:A719,1))</f>
        <v/>
      </c>
      <c r="B720" s="213" t="n"/>
      <c r="C720" s="213" t="n"/>
      <c r="D720" s="214" t="n"/>
      <c r="E720" s="214" t="n"/>
      <c r="G720" s="165" t="n"/>
      <c r="H720" s="165" t="n"/>
      <c r="I720" s="165" t="n"/>
      <c r="J720" s="166" t="n"/>
      <c r="K720" s="167" t="n"/>
      <c r="L720" s="170" t="n"/>
      <c r="M720" s="170" t="n"/>
      <c r="N720" s="173" t="n"/>
      <c r="O720" s="173" t="n"/>
      <c r="P720" s="173" t="n"/>
      <c r="Q720" s="173" t="n"/>
      <c r="R720" s="173" t="n"/>
      <c r="S720" s="171" t="n"/>
    </row>
    <row r="721" ht="13.8" customHeight="1">
      <c r="A721" s="213">
        <f>IF($H721="UNIDADE CONSTRUTIVA",OFFSET(A721,-1,0)+1,LARGE(A$3:A720,1))</f>
        <v/>
      </c>
      <c r="B721" s="213" t="n"/>
      <c r="C721" s="213" t="n"/>
      <c r="D721" s="214" t="n"/>
      <c r="E721" s="214" t="n"/>
      <c r="G721" s="165" t="n"/>
      <c r="H721" s="165" t="n"/>
      <c r="I721" s="165" t="n"/>
      <c r="J721" s="166" t="n"/>
      <c r="K721" s="167" t="n"/>
      <c r="L721" s="170" t="n"/>
      <c r="M721" s="170" t="n"/>
      <c r="N721" s="173" t="n"/>
      <c r="O721" s="173" t="n"/>
      <c r="P721" s="173" t="n"/>
      <c r="Q721" s="173" t="n"/>
      <c r="R721" s="173" t="n"/>
      <c r="S721" s="171" t="n"/>
    </row>
    <row r="722" ht="13.8" customHeight="1">
      <c r="A722" s="213">
        <f>IF($H722="UNIDADE CONSTRUTIVA",OFFSET(A722,-1,0)+1,LARGE(A$3:A721,1))</f>
        <v/>
      </c>
      <c r="B722" s="213" t="n"/>
      <c r="C722" s="213" t="n"/>
      <c r="D722" s="214" t="n"/>
      <c r="E722" s="214" t="n"/>
      <c r="G722" s="165" t="n"/>
      <c r="H722" s="165" t="n"/>
      <c r="I722" s="165" t="n"/>
      <c r="J722" s="166" t="n"/>
      <c r="K722" s="167" t="n"/>
      <c r="L722" s="170" t="n"/>
      <c r="M722" s="170" t="n"/>
      <c r="N722" s="173" t="n"/>
      <c r="O722" s="173" t="n"/>
      <c r="P722" s="173" t="n"/>
      <c r="Q722" s="173" t="n"/>
      <c r="R722" s="173" t="n"/>
      <c r="S722" s="171" t="n"/>
    </row>
    <row r="723" ht="13.8" customHeight="1">
      <c r="A723" s="213">
        <f>IF($H723="UNIDADE CONSTRUTIVA",OFFSET(A723,-1,0)+1,LARGE(A$3:A722,1))</f>
        <v/>
      </c>
      <c r="B723" s="213" t="n"/>
      <c r="C723" s="213" t="n"/>
      <c r="D723" s="214" t="n"/>
      <c r="E723" s="214" t="n"/>
      <c r="G723" s="165" t="n"/>
      <c r="H723" s="165" t="n"/>
      <c r="I723" s="165" t="n"/>
      <c r="J723" s="166" t="n"/>
      <c r="K723" s="167" t="n"/>
      <c r="L723" s="170" t="n"/>
      <c r="M723" s="170" t="n"/>
      <c r="N723" s="173" t="n"/>
      <c r="O723" s="173" t="n"/>
      <c r="P723" s="173" t="n"/>
      <c r="Q723" s="173" t="n"/>
      <c r="R723" s="173" t="n"/>
      <c r="S723" s="171" t="n"/>
    </row>
    <row r="724" ht="13.8" customHeight="1">
      <c r="A724" s="213">
        <f>IF($H724="UNIDADE CONSTRUTIVA",OFFSET(A724,-1,0)+1,LARGE(A$3:A723,1))</f>
        <v/>
      </c>
      <c r="B724" s="213" t="n"/>
      <c r="C724" s="213" t="n"/>
      <c r="D724" s="214" t="n"/>
      <c r="E724" s="214" t="n"/>
      <c r="G724" s="165" t="n"/>
      <c r="H724" s="165" t="n"/>
      <c r="I724" s="165" t="n"/>
      <c r="J724" s="166" t="n"/>
      <c r="K724" s="167" t="n"/>
      <c r="L724" s="170" t="n"/>
      <c r="M724" s="170" t="n"/>
      <c r="N724" s="173" t="n"/>
      <c r="O724" s="173" t="n"/>
      <c r="P724" s="173" t="n"/>
      <c r="Q724" s="173" t="n"/>
      <c r="R724" s="173" t="n"/>
      <c r="S724" s="171" t="n"/>
    </row>
    <row r="725" ht="13.8" customHeight="1">
      <c r="A725" s="213">
        <f>IF($H725="UNIDADE CONSTRUTIVA",OFFSET(A725,-1,0)+1,LARGE(A$3:A724,1))</f>
        <v/>
      </c>
      <c r="B725" s="213" t="n"/>
      <c r="C725" s="213" t="n"/>
      <c r="D725" s="214" t="n"/>
      <c r="E725" s="214" t="n"/>
      <c r="G725" s="165" t="n"/>
      <c r="H725" s="165" t="n"/>
      <c r="I725" s="165" t="n"/>
      <c r="J725" s="166" t="n"/>
      <c r="K725" s="167" t="n"/>
      <c r="L725" s="170" t="n"/>
      <c r="M725" s="170" t="n"/>
      <c r="N725" s="173" t="n"/>
      <c r="O725" s="173" t="n"/>
      <c r="P725" s="173" t="n"/>
      <c r="Q725" s="173" t="n"/>
      <c r="R725" s="173" t="n"/>
      <c r="S725" s="171" t="n"/>
    </row>
    <row r="726" ht="13.8" customHeight="1">
      <c r="A726" s="213">
        <f>IF($H726="UNIDADE CONSTRUTIVA",OFFSET(A726,-1,0)+1,LARGE(A$3:A725,1))</f>
        <v/>
      </c>
      <c r="B726" s="213" t="n"/>
      <c r="C726" s="213" t="n"/>
      <c r="D726" s="214" t="n"/>
      <c r="E726" s="214" t="n"/>
      <c r="G726" s="165" t="n"/>
      <c r="H726" s="165" t="n"/>
      <c r="I726" s="165" t="n"/>
      <c r="J726" s="166" t="n"/>
      <c r="K726" s="167" t="n"/>
      <c r="L726" s="170" t="n"/>
      <c r="M726" s="170" t="n"/>
      <c r="N726" s="173" t="n"/>
      <c r="O726" s="173" t="n"/>
      <c r="P726" s="173" t="n"/>
      <c r="Q726" s="173" t="n"/>
      <c r="R726" s="173" t="n"/>
      <c r="S726" s="171" t="n"/>
    </row>
    <row r="727" ht="13.8" customHeight="1">
      <c r="A727" s="213">
        <f>IF($H727="UNIDADE CONSTRUTIVA",OFFSET(A727,-1,0)+1,LARGE(A$3:A726,1))</f>
        <v/>
      </c>
      <c r="B727" s="213" t="n"/>
      <c r="C727" s="213" t="n"/>
      <c r="D727" s="214" t="n"/>
      <c r="E727" s="214" t="n"/>
      <c r="G727" s="165" t="n"/>
      <c r="H727" s="165" t="n"/>
      <c r="I727" s="165" t="n"/>
      <c r="J727" s="166" t="n"/>
      <c r="K727" s="167" t="n"/>
      <c r="L727" s="170" t="n"/>
      <c r="M727" s="170" t="n"/>
      <c r="N727" s="173" t="n"/>
      <c r="O727" s="173" t="n"/>
      <c r="P727" s="173" t="n"/>
      <c r="Q727" s="173" t="n"/>
      <c r="R727" s="173" t="n"/>
      <c r="S727" s="171" t="n"/>
    </row>
    <row r="728" ht="13.8" customHeight="1">
      <c r="A728" s="213">
        <f>IF($H728="UNIDADE CONSTRUTIVA",OFFSET(A728,-1,0)+1,LARGE(A$3:A727,1))</f>
        <v/>
      </c>
      <c r="B728" s="213" t="n"/>
      <c r="C728" s="213" t="n"/>
      <c r="D728" s="214" t="n"/>
      <c r="E728" s="214" t="n"/>
      <c r="G728" s="165" t="n"/>
      <c r="H728" s="165" t="n"/>
      <c r="I728" s="165" t="n"/>
      <c r="J728" s="166" t="n"/>
      <c r="K728" s="167" t="n"/>
      <c r="L728" s="170" t="n"/>
      <c r="M728" s="170" t="n"/>
      <c r="N728" s="173" t="n"/>
      <c r="O728" s="173" t="n"/>
      <c r="P728" s="173" t="n"/>
      <c r="Q728" s="173" t="n"/>
      <c r="R728" s="173" t="n"/>
      <c r="S728" s="171" t="n"/>
    </row>
    <row r="729" ht="13.8" customHeight="1">
      <c r="A729" s="213">
        <f>IF($H729="UNIDADE CONSTRUTIVA",OFFSET(A729,-1,0)+1,LARGE(A$3:A728,1))</f>
        <v/>
      </c>
      <c r="B729" s="213" t="n"/>
      <c r="C729" s="213" t="n"/>
      <c r="D729" s="214" t="n"/>
      <c r="E729" s="214" t="n"/>
      <c r="G729" s="165" t="n"/>
      <c r="H729" s="165" t="n"/>
      <c r="I729" s="165" t="n"/>
      <c r="J729" s="166" t="n"/>
      <c r="K729" s="167" t="n"/>
      <c r="L729" s="170" t="n"/>
      <c r="M729" s="170" t="n"/>
      <c r="N729" s="173" t="n"/>
      <c r="O729" s="173" t="n"/>
      <c r="P729" s="173" t="n"/>
      <c r="Q729" s="173" t="n"/>
      <c r="R729" s="173" t="n"/>
      <c r="S729" s="171" t="n"/>
    </row>
    <row r="730" ht="13.8" customHeight="1">
      <c r="A730" s="213">
        <f>IF($H730="UNIDADE CONSTRUTIVA",OFFSET(A730,-1,0)+1,LARGE(A$3:A729,1))</f>
        <v/>
      </c>
      <c r="B730" s="213" t="n"/>
      <c r="C730" s="213" t="n"/>
      <c r="D730" s="214" t="n"/>
      <c r="E730" s="214" t="n"/>
      <c r="G730" s="165" t="n"/>
      <c r="H730" s="165" t="n"/>
      <c r="I730" s="165" t="n"/>
      <c r="J730" s="166" t="n"/>
      <c r="K730" s="167" t="n"/>
      <c r="L730" s="170" t="n"/>
      <c r="M730" s="170" t="n"/>
      <c r="N730" s="173" t="n"/>
      <c r="O730" s="173" t="n"/>
      <c r="P730" s="173" t="n"/>
      <c r="Q730" s="173" t="n"/>
      <c r="R730" s="173" t="n"/>
      <c r="S730" s="171" t="n"/>
    </row>
    <row r="731" ht="13.8" customHeight="1">
      <c r="A731" s="213">
        <f>IF($H731="UNIDADE CONSTRUTIVA",OFFSET(A731,-1,0)+1,LARGE(A$3:A730,1))</f>
        <v/>
      </c>
      <c r="B731" s="213" t="n"/>
      <c r="C731" s="213" t="n"/>
      <c r="D731" s="214" t="n"/>
      <c r="E731" s="214" t="n"/>
      <c r="G731" s="165" t="n"/>
      <c r="H731" s="165" t="n"/>
      <c r="I731" s="165" t="n"/>
      <c r="J731" s="166" t="n"/>
      <c r="K731" s="167" t="n"/>
      <c r="L731" s="170" t="n"/>
      <c r="M731" s="170" t="n"/>
      <c r="N731" s="173" t="n"/>
      <c r="O731" s="173" t="n"/>
      <c r="P731" s="173" t="n"/>
      <c r="Q731" s="173" t="n"/>
      <c r="R731" s="173" t="n"/>
      <c r="S731" s="171" t="n"/>
    </row>
    <row r="732" ht="13.8" customHeight="1">
      <c r="A732" s="213">
        <f>IF($H732="UNIDADE CONSTRUTIVA",OFFSET(A732,-1,0)+1,LARGE(A$3:A731,1))</f>
        <v/>
      </c>
      <c r="B732" s="213" t="n"/>
      <c r="C732" s="213" t="n"/>
      <c r="D732" s="214" t="n"/>
      <c r="E732" s="214" t="n"/>
      <c r="G732" s="165" t="n"/>
      <c r="H732" s="165" t="n"/>
      <c r="I732" s="165" t="n"/>
      <c r="J732" s="166" t="n"/>
      <c r="K732" s="167" t="n"/>
      <c r="L732" s="170" t="n"/>
      <c r="M732" s="170" t="n"/>
      <c r="N732" s="173" t="n"/>
      <c r="O732" s="173" t="n"/>
      <c r="P732" s="173" t="n"/>
      <c r="Q732" s="173" t="n"/>
      <c r="R732" s="173" t="n"/>
      <c r="S732" s="171" t="n"/>
    </row>
    <row r="733" ht="13.8" customHeight="1">
      <c r="A733" s="213">
        <f>IF($H733="UNIDADE CONSTRUTIVA",OFFSET(A733,-1,0)+1,LARGE(A$3:A732,1))</f>
        <v/>
      </c>
      <c r="B733" s="213" t="n"/>
      <c r="C733" s="213" t="n"/>
      <c r="D733" s="214" t="n"/>
      <c r="E733" s="214" t="n"/>
      <c r="G733" s="165" t="n"/>
      <c r="H733" s="165" t="n"/>
      <c r="I733" s="165" t="n"/>
      <c r="J733" s="166" t="n"/>
      <c r="K733" s="167" t="n"/>
      <c r="L733" s="170" t="n"/>
      <c r="M733" s="170" t="n"/>
      <c r="N733" s="173" t="n"/>
      <c r="O733" s="173" t="n"/>
      <c r="P733" s="173" t="n"/>
      <c r="Q733" s="173" t="n"/>
      <c r="R733" s="173" t="n"/>
      <c r="S733" s="171" t="n"/>
    </row>
    <row r="734" ht="13.8" customHeight="1">
      <c r="A734" s="213">
        <f>IF($H734="UNIDADE CONSTRUTIVA",OFFSET(A734,-1,0)+1,LARGE(A$3:A733,1))</f>
        <v/>
      </c>
      <c r="B734" s="213" t="n"/>
      <c r="C734" s="213" t="n"/>
      <c r="D734" s="214" t="n"/>
      <c r="E734" s="214" t="n"/>
      <c r="G734" s="165" t="n"/>
      <c r="H734" s="165" t="n"/>
      <c r="I734" s="165" t="n"/>
      <c r="J734" s="166" t="n"/>
      <c r="K734" s="167" t="n"/>
      <c r="L734" s="170" t="n"/>
      <c r="M734" s="170" t="n"/>
      <c r="N734" s="173" t="n"/>
      <c r="O734" s="173" t="n"/>
      <c r="P734" s="173" t="n"/>
      <c r="Q734" s="173" t="n"/>
      <c r="R734" s="173" t="n"/>
      <c r="S734" s="171" t="n"/>
    </row>
    <row r="735" ht="13.8" customHeight="1">
      <c r="A735" s="213">
        <f>IF($H735="UNIDADE CONSTRUTIVA",OFFSET(A735,-1,0)+1,LARGE(A$3:A734,1))</f>
        <v/>
      </c>
      <c r="B735" s="213" t="n"/>
      <c r="C735" s="213" t="n"/>
      <c r="D735" s="214" t="n"/>
      <c r="E735" s="214" t="n"/>
      <c r="G735" s="165" t="n"/>
      <c r="H735" s="165" t="n"/>
      <c r="I735" s="165" t="n"/>
      <c r="J735" s="166" t="n"/>
      <c r="K735" s="167" t="n"/>
      <c r="L735" s="170" t="n"/>
      <c r="M735" s="170" t="n"/>
      <c r="N735" s="173" t="n"/>
      <c r="O735" s="173" t="n"/>
      <c r="P735" s="173" t="n"/>
      <c r="Q735" s="173" t="n"/>
      <c r="R735" s="173" t="n"/>
      <c r="S735" s="171" t="n"/>
    </row>
    <row r="736" ht="13.8" customHeight="1">
      <c r="A736" s="213">
        <f>IF($H736="UNIDADE CONSTRUTIVA",OFFSET(A736,-1,0)+1,LARGE(A$3:A735,1))</f>
        <v/>
      </c>
      <c r="B736" s="213" t="n"/>
      <c r="C736" s="213" t="n"/>
      <c r="D736" s="214" t="n"/>
      <c r="E736" s="214" t="n"/>
      <c r="G736" s="165" t="n"/>
      <c r="H736" s="165" t="n"/>
      <c r="I736" s="165" t="n"/>
      <c r="J736" s="166" t="n"/>
      <c r="K736" s="167" t="n"/>
      <c r="L736" s="170" t="n"/>
      <c r="M736" s="170" t="n"/>
      <c r="N736" s="173" t="n"/>
      <c r="O736" s="173" t="n"/>
      <c r="P736" s="173" t="n"/>
      <c r="Q736" s="173" t="n"/>
      <c r="R736" s="173" t="n"/>
      <c r="S736" s="171" t="n"/>
    </row>
    <row r="737" ht="13.8" customHeight="1">
      <c r="A737" s="213">
        <f>IF($H737="UNIDADE CONSTRUTIVA",OFFSET(A737,-1,0)+1,LARGE(A$3:A736,1))</f>
        <v/>
      </c>
      <c r="B737" s="213" t="n"/>
      <c r="C737" s="213" t="n"/>
      <c r="D737" s="214" t="n"/>
      <c r="E737" s="214" t="n"/>
      <c r="G737" s="165" t="n"/>
      <c r="H737" s="165" t="n"/>
      <c r="I737" s="165" t="n"/>
      <c r="J737" s="166" t="n"/>
      <c r="K737" s="167" t="n"/>
      <c r="L737" s="170" t="n"/>
      <c r="M737" s="170" t="n"/>
      <c r="N737" s="173" t="n"/>
      <c r="O737" s="173" t="n"/>
      <c r="P737" s="173" t="n"/>
      <c r="Q737" s="173" t="n"/>
      <c r="R737" s="173" t="n"/>
      <c r="S737" s="171" t="n"/>
    </row>
    <row r="738" ht="13.8" customHeight="1">
      <c r="A738" s="213">
        <f>IF($H738="UNIDADE CONSTRUTIVA",OFFSET(A738,-1,0)+1,LARGE(A$3:A737,1))</f>
        <v/>
      </c>
      <c r="B738" s="213" t="n"/>
      <c r="C738" s="213" t="n"/>
      <c r="D738" s="214" t="n"/>
      <c r="E738" s="214" t="n"/>
      <c r="G738" s="165" t="n"/>
      <c r="H738" s="165" t="n"/>
      <c r="I738" s="165" t="n"/>
      <c r="J738" s="166" t="n"/>
      <c r="K738" s="167" t="n"/>
      <c r="L738" s="170" t="n"/>
      <c r="M738" s="170" t="n"/>
      <c r="N738" s="173" t="n"/>
      <c r="O738" s="173" t="n"/>
      <c r="P738" s="173" t="n"/>
      <c r="Q738" s="173" t="n"/>
      <c r="R738" s="173" t="n"/>
      <c r="S738" s="171" t="n"/>
    </row>
    <row r="739" ht="13.8" customHeight="1">
      <c r="A739" s="213">
        <f>IF($H739="UNIDADE CONSTRUTIVA",OFFSET(A739,-1,0)+1,LARGE(A$3:A738,1))</f>
        <v/>
      </c>
      <c r="B739" s="213" t="n"/>
      <c r="C739" s="213" t="n"/>
      <c r="D739" s="214" t="n"/>
      <c r="E739" s="214" t="n"/>
      <c r="G739" s="165" t="n"/>
      <c r="H739" s="165" t="n"/>
      <c r="I739" s="165" t="n"/>
      <c r="J739" s="166" t="n"/>
      <c r="K739" s="167" t="n"/>
      <c r="L739" s="170" t="n"/>
      <c r="M739" s="170" t="n"/>
      <c r="N739" s="173" t="n"/>
      <c r="O739" s="173" t="n"/>
      <c r="P739" s="173" t="n"/>
      <c r="Q739" s="173" t="n"/>
      <c r="R739" s="173" t="n"/>
      <c r="S739" s="171" t="n"/>
    </row>
    <row r="740" ht="13.8" customHeight="1">
      <c r="A740" s="213">
        <f>IF($H740="UNIDADE CONSTRUTIVA",OFFSET(A740,-1,0)+1,LARGE(A$3:A739,1))</f>
        <v/>
      </c>
      <c r="B740" s="213" t="n"/>
      <c r="C740" s="213" t="n"/>
      <c r="D740" s="214" t="n"/>
      <c r="E740" s="214" t="n"/>
      <c r="G740" s="165" t="n"/>
      <c r="H740" s="165" t="n"/>
      <c r="I740" s="165" t="n"/>
      <c r="J740" s="166" t="n"/>
      <c r="K740" s="167" t="n"/>
      <c r="L740" s="170" t="n"/>
      <c r="M740" s="170" t="n"/>
      <c r="N740" s="173" t="n"/>
      <c r="O740" s="173" t="n"/>
      <c r="P740" s="173" t="n"/>
      <c r="Q740" s="173" t="n"/>
      <c r="R740" s="173" t="n"/>
      <c r="S740" s="171" t="n"/>
    </row>
    <row r="741" ht="13.8" customHeight="1">
      <c r="A741" s="213">
        <f>IF($H741="UNIDADE CONSTRUTIVA",OFFSET(A741,-1,0)+1,LARGE(A$3:A740,1))</f>
        <v/>
      </c>
      <c r="B741" s="213" t="n"/>
      <c r="C741" s="213" t="n"/>
      <c r="D741" s="214" t="n"/>
      <c r="E741" s="214" t="n"/>
      <c r="G741" s="165" t="n"/>
      <c r="H741" s="165" t="n"/>
      <c r="I741" s="165" t="n"/>
      <c r="J741" s="166" t="n"/>
      <c r="K741" s="167" t="n"/>
      <c r="L741" s="170" t="n"/>
      <c r="M741" s="170" t="n"/>
      <c r="N741" s="173" t="n"/>
      <c r="O741" s="173" t="n"/>
      <c r="P741" s="173" t="n"/>
      <c r="Q741" s="173" t="n"/>
      <c r="R741" s="173" t="n"/>
      <c r="S741" s="171" t="n"/>
    </row>
    <row r="742" ht="13.8" customHeight="1">
      <c r="A742" s="213">
        <f>IF($H742="UNIDADE CONSTRUTIVA",OFFSET(A742,-1,0)+1,LARGE(A$3:A741,1))</f>
        <v/>
      </c>
      <c r="B742" s="213" t="n"/>
      <c r="C742" s="213" t="n"/>
      <c r="D742" s="214" t="n"/>
      <c r="E742" s="214" t="n"/>
      <c r="G742" s="165" t="n"/>
      <c r="H742" s="165" t="n"/>
      <c r="I742" s="165" t="n"/>
      <c r="J742" s="166" t="n"/>
      <c r="K742" s="167" t="n"/>
      <c r="L742" s="170" t="n"/>
      <c r="M742" s="170" t="n"/>
      <c r="N742" s="173" t="n"/>
      <c r="O742" s="173" t="n"/>
      <c r="P742" s="173" t="n"/>
      <c r="Q742" s="173" t="n"/>
      <c r="R742" s="173" t="n"/>
      <c r="S742" s="171" t="n"/>
    </row>
    <row r="743" ht="13.8" customHeight="1">
      <c r="A743" s="213">
        <f>IF($H743="UNIDADE CONSTRUTIVA",OFFSET(A743,-1,0)+1,LARGE(A$3:A742,1))</f>
        <v/>
      </c>
      <c r="B743" s="213" t="n"/>
      <c r="C743" s="213" t="n"/>
      <c r="D743" s="214" t="n"/>
      <c r="E743" s="214" t="n"/>
      <c r="G743" s="165" t="n"/>
      <c r="H743" s="165" t="n"/>
      <c r="I743" s="165" t="n"/>
      <c r="J743" s="166" t="n"/>
      <c r="K743" s="167" t="n"/>
      <c r="L743" s="170" t="n"/>
      <c r="M743" s="170" t="n"/>
      <c r="N743" s="173" t="n"/>
      <c r="O743" s="173" t="n"/>
      <c r="P743" s="173" t="n"/>
      <c r="Q743" s="173" t="n"/>
      <c r="R743" s="173" t="n"/>
      <c r="S743" s="171" t="n"/>
    </row>
    <row r="744" ht="13.8" customHeight="1">
      <c r="A744" s="213">
        <f>IF($H744="UNIDADE CONSTRUTIVA",OFFSET(A744,-1,0)+1,LARGE(A$3:A743,1))</f>
        <v/>
      </c>
      <c r="B744" s="213" t="n"/>
      <c r="C744" s="213" t="n"/>
      <c r="D744" s="214" t="n"/>
      <c r="E744" s="214" t="n"/>
      <c r="G744" s="165" t="n"/>
      <c r="H744" s="165" t="n"/>
      <c r="I744" s="165" t="n"/>
      <c r="J744" s="166" t="n"/>
      <c r="K744" s="167" t="n"/>
      <c r="L744" s="170" t="n"/>
      <c r="M744" s="170" t="n"/>
      <c r="N744" s="173" t="n"/>
      <c r="O744" s="173" t="n"/>
      <c r="P744" s="173" t="n"/>
      <c r="Q744" s="173" t="n"/>
      <c r="R744" s="173" t="n"/>
      <c r="S744" s="171" t="n"/>
    </row>
    <row r="745" ht="13.8" customHeight="1">
      <c r="A745" s="213">
        <f>IF($H745="UNIDADE CONSTRUTIVA",OFFSET(A745,-1,0)+1,LARGE(A$3:A744,1))</f>
        <v/>
      </c>
      <c r="B745" s="213" t="n"/>
      <c r="C745" s="213" t="n"/>
      <c r="D745" s="214" t="n"/>
      <c r="E745" s="214" t="n"/>
      <c r="G745" s="165" t="n"/>
      <c r="H745" s="165" t="n"/>
      <c r="I745" s="165" t="n"/>
      <c r="J745" s="166" t="n"/>
      <c r="K745" s="167" t="n"/>
      <c r="L745" s="170" t="n"/>
      <c r="M745" s="170" t="n"/>
      <c r="N745" s="173" t="n"/>
      <c r="O745" s="173" t="n"/>
      <c r="P745" s="173" t="n"/>
      <c r="Q745" s="173" t="n"/>
      <c r="R745" s="173" t="n"/>
      <c r="S745" s="171" t="n"/>
    </row>
    <row r="746" ht="13.8" customHeight="1">
      <c r="A746" s="213">
        <f>IF($H746="UNIDADE CONSTRUTIVA",OFFSET(A746,-1,0)+1,LARGE(A$3:A745,1))</f>
        <v/>
      </c>
      <c r="B746" s="213" t="n"/>
      <c r="C746" s="213" t="n"/>
      <c r="D746" s="214" t="n"/>
      <c r="E746" s="214" t="n"/>
      <c r="G746" s="165" t="n"/>
      <c r="H746" s="165" t="n"/>
      <c r="I746" s="165" t="n"/>
      <c r="J746" s="166" t="n"/>
      <c r="K746" s="167" t="n"/>
      <c r="L746" s="170" t="n"/>
      <c r="M746" s="170" t="n"/>
      <c r="N746" s="173" t="n"/>
      <c r="O746" s="173" t="n"/>
      <c r="P746" s="173" t="n"/>
      <c r="Q746" s="173" t="n"/>
      <c r="R746" s="173" t="n"/>
      <c r="S746" s="171" t="n"/>
    </row>
    <row r="747" ht="13.8" customHeight="1">
      <c r="A747" s="213">
        <f>IF($H747="UNIDADE CONSTRUTIVA",OFFSET(A747,-1,0)+1,LARGE(A$3:A746,1))</f>
        <v/>
      </c>
      <c r="B747" s="213" t="n"/>
      <c r="C747" s="213" t="n"/>
      <c r="D747" s="214" t="n"/>
      <c r="E747" s="214" t="n"/>
      <c r="G747" s="165" t="n"/>
      <c r="H747" s="165" t="n"/>
      <c r="I747" s="165" t="n"/>
      <c r="J747" s="166" t="n"/>
      <c r="K747" s="167" t="n"/>
      <c r="L747" s="170" t="n"/>
      <c r="M747" s="170" t="n"/>
      <c r="N747" s="173" t="n"/>
      <c r="O747" s="173" t="n"/>
      <c r="P747" s="173" t="n"/>
      <c r="Q747" s="173" t="n"/>
      <c r="R747" s="173" t="n"/>
      <c r="S747" s="171" t="n"/>
    </row>
    <row r="748" ht="13.8" customHeight="1">
      <c r="A748" s="213">
        <f>IF($H748="UNIDADE CONSTRUTIVA",OFFSET(A748,-1,0)+1,LARGE(A$3:A747,1))</f>
        <v/>
      </c>
      <c r="B748" s="213" t="n"/>
      <c r="C748" s="213" t="n"/>
      <c r="D748" s="214" t="n"/>
      <c r="E748" s="214" t="n"/>
      <c r="G748" s="165" t="n"/>
      <c r="H748" s="165" t="n"/>
      <c r="I748" s="165" t="n"/>
      <c r="J748" s="166" t="n"/>
      <c r="K748" s="167" t="n"/>
      <c r="L748" s="170" t="n"/>
      <c r="M748" s="170" t="n"/>
      <c r="N748" s="173" t="n"/>
      <c r="O748" s="173" t="n"/>
      <c r="P748" s="173" t="n"/>
      <c r="Q748" s="173" t="n"/>
      <c r="R748" s="173" t="n"/>
      <c r="S748" s="171" t="n"/>
    </row>
    <row r="749" ht="13.8" customHeight="1">
      <c r="A749" s="213">
        <f>IF($H749="UNIDADE CONSTRUTIVA",OFFSET(A749,-1,0)+1,LARGE(A$3:A748,1))</f>
        <v/>
      </c>
      <c r="B749" s="213" t="n"/>
      <c r="C749" s="213" t="n"/>
      <c r="D749" s="214" t="n"/>
      <c r="E749" s="214" t="n"/>
      <c r="G749" s="165" t="n"/>
      <c r="H749" s="165" t="n"/>
      <c r="I749" s="165" t="n"/>
      <c r="J749" s="166" t="n"/>
      <c r="K749" s="167" t="n"/>
      <c r="L749" s="170" t="n"/>
      <c r="M749" s="170" t="n"/>
      <c r="N749" s="173" t="n"/>
      <c r="O749" s="173" t="n"/>
      <c r="P749" s="173" t="n"/>
      <c r="Q749" s="173" t="n"/>
      <c r="R749" s="173" t="n"/>
      <c r="S749" s="171" t="n"/>
    </row>
    <row r="750" ht="13.8" customHeight="1">
      <c r="A750" s="213">
        <f>IF($H750="UNIDADE CONSTRUTIVA",OFFSET(A750,-1,0)+1,LARGE(A$3:A749,1))</f>
        <v/>
      </c>
      <c r="B750" s="213" t="n"/>
      <c r="C750" s="213" t="n"/>
      <c r="D750" s="214" t="n"/>
      <c r="E750" s="214" t="n"/>
      <c r="G750" s="165" t="n"/>
      <c r="H750" s="165" t="n"/>
      <c r="I750" s="165" t="n"/>
      <c r="J750" s="166" t="n"/>
      <c r="K750" s="167" t="n"/>
      <c r="L750" s="170" t="n"/>
      <c r="M750" s="170" t="n"/>
      <c r="N750" s="173" t="n"/>
      <c r="O750" s="173" t="n"/>
      <c r="P750" s="173" t="n"/>
      <c r="Q750" s="173" t="n"/>
      <c r="R750" s="173" t="n"/>
      <c r="S750" s="171" t="n"/>
    </row>
    <row r="751" ht="13.8" customHeight="1">
      <c r="A751" s="213">
        <f>IF($H751="UNIDADE CONSTRUTIVA",OFFSET(A751,-1,0)+1,LARGE(A$3:A750,1))</f>
        <v/>
      </c>
      <c r="B751" s="213" t="n"/>
      <c r="C751" s="213" t="n"/>
      <c r="D751" s="214" t="n"/>
      <c r="E751" s="214" t="n"/>
      <c r="G751" s="165" t="n"/>
      <c r="H751" s="165" t="n"/>
      <c r="I751" s="165" t="n"/>
      <c r="J751" s="166" t="n"/>
      <c r="K751" s="167" t="n"/>
      <c r="L751" s="170" t="n"/>
      <c r="M751" s="170" t="n"/>
      <c r="N751" s="173" t="n"/>
      <c r="O751" s="173" t="n"/>
      <c r="P751" s="173" t="n"/>
      <c r="Q751" s="173" t="n"/>
      <c r="R751" s="173" t="n"/>
      <c r="S751" s="171" t="n"/>
    </row>
    <row r="752" ht="13.8" customHeight="1">
      <c r="A752" s="213">
        <f>IF($H752="UNIDADE CONSTRUTIVA",OFFSET(A752,-1,0)+1,LARGE(A$3:A751,1))</f>
        <v/>
      </c>
      <c r="B752" s="213" t="n"/>
      <c r="C752" s="213" t="n"/>
      <c r="D752" s="214" t="n"/>
      <c r="E752" s="214" t="n"/>
      <c r="G752" s="165" t="n"/>
      <c r="H752" s="165" t="n"/>
      <c r="I752" s="165" t="n"/>
      <c r="J752" s="166" t="n"/>
      <c r="K752" s="167" t="n"/>
      <c r="L752" s="170" t="n"/>
      <c r="M752" s="170" t="n"/>
      <c r="N752" s="173" t="n"/>
      <c r="O752" s="173" t="n"/>
      <c r="P752" s="173" t="n"/>
      <c r="Q752" s="173" t="n"/>
      <c r="R752" s="173" t="n"/>
      <c r="S752" s="171" t="n"/>
    </row>
    <row r="753" ht="13.8" customHeight="1">
      <c r="A753" s="213">
        <f>IF($H753="UNIDADE CONSTRUTIVA",OFFSET(A753,-1,0)+1,LARGE(A$3:A752,1))</f>
        <v/>
      </c>
      <c r="B753" s="213" t="n"/>
      <c r="C753" s="213" t="n"/>
      <c r="D753" s="214" t="n"/>
      <c r="E753" s="214" t="n"/>
      <c r="G753" s="165" t="n"/>
      <c r="H753" s="165" t="n"/>
      <c r="I753" s="165" t="n"/>
      <c r="J753" s="166" t="n"/>
      <c r="K753" s="167" t="n"/>
      <c r="L753" s="170" t="n"/>
      <c r="M753" s="170" t="n"/>
      <c r="N753" s="173" t="n"/>
      <c r="O753" s="173" t="n"/>
      <c r="P753" s="173" t="n"/>
      <c r="Q753" s="173" t="n"/>
      <c r="R753" s="173" t="n"/>
      <c r="S753" s="171" t="n"/>
    </row>
    <row r="754" ht="13.8" customHeight="1">
      <c r="A754" s="213">
        <f>IF($H754="UNIDADE CONSTRUTIVA",OFFSET(A754,-1,0)+1,LARGE(A$3:A753,1))</f>
        <v/>
      </c>
      <c r="B754" s="213" t="n"/>
      <c r="C754" s="213" t="n"/>
      <c r="D754" s="214" t="n"/>
      <c r="E754" s="214" t="n"/>
      <c r="G754" s="165" t="n"/>
      <c r="H754" s="165" t="n"/>
      <c r="I754" s="165" t="n"/>
      <c r="J754" s="166" t="n"/>
      <c r="K754" s="167" t="n"/>
      <c r="L754" s="170" t="n"/>
      <c r="M754" s="170" t="n"/>
      <c r="N754" s="173" t="n"/>
      <c r="O754" s="173" t="n"/>
      <c r="P754" s="173" t="n"/>
      <c r="Q754" s="173" t="n"/>
      <c r="R754" s="173" t="n"/>
      <c r="S754" s="171" t="n"/>
    </row>
    <row r="755" ht="13.8" customHeight="1">
      <c r="A755" s="213">
        <f>IF($H755="UNIDADE CONSTRUTIVA",OFFSET(A755,-1,0)+1,LARGE(A$3:A754,1))</f>
        <v/>
      </c>
      <c r="B755" s="213" t="n"/>
      <c r="C755" s="213" t="n"/>
      <c r="D755" s="214" t="n"/>
      <c r="E755" s="214" t="n"/>
      <c r="G755" s="165" t="n"/>
      <c r="H755" s="165" t="n"/>
      <c r="I755" s="165" t="n"/>
      <c r="J755" s="166" t="n"/>
      <c r="K755" s="167" t="n"/>
      <c r="L755" s="170" t="n"/>
      <c r="M755" s="170" t="n"/>
      <c r="N755" s="173" t="n"/>
      <c r="O755" s="173" t="n"/>
      <c r="P755" s="173" t="n"/>
      <c r="Q755" s="173" t="n"/>
      <c r="R755" s="173" t="n"/>
      <c r="S755" s="171" t="n"/>
    </row>
    <row r="756" ht="13.8" customHeight="1">
      <c r="A756" s="213">
        <f>IF($H756="UNIDADE CONSTRUTIVA",OFFSET(A756,-1,0)+1,LARGE(A$3:A755,1))</f>
        <v/>
      </c>
      <c r="B756" s="213" t="n"/>
      <c r="C756" s="213" t="n"/>
      <c r="D756" s="214" t="n"/>
      <c r="E756" s="214" t="n"/>
      <c r="G756" s="165" t="n"/>
      <c r="H756" s="165" t="n"/>
      <c r="I756" s="165" t="n"/>
      <c r="J756" s="166" t="n"/>
      <c r="K756" s="167" t="n"/>
      <c r="L756" s="170" t="n"/>
      <c r="M756" s="170" t="n"/>
      <c r="N756" s="173" t="n"/>
      <c r="O756" s="173" t="n"/>
      <c r="P756" s="173" t="n"/>
      <c r="Q756" s="173" t="n"/>
      <c r="R756" s="173" t="n"/>
      <c r="S756" s="171" t="n"/>
    </row>
    <row r="757" ht="13.8" customHeight="1">
      <c r="A757" s="213">
        <f>IF($H757="UNIDADE CONSTRUTIVA",OFFSET(A757,-1,0)+1,LARGE(A$3:A756,1))</f>
        <v/>
      </c>
      <c r="B757" s="213" t="n"/>
      <c r="C757" s="213" t="n"/>
      <c r="D757" s="214" t="n"/>
      <c r="E757" s="214" t="n"/>
      <c r="G757" s="165" t="n"/>
      <c r="H757" s="165" t="n"/>
      <c r="I757" s="165" t="n"/>
      <c r="J757" s="166" t="n"/>
      <c r="K757" s="167" t="n"/>
      <c r="L757" s="170" t="n"/>
      <c r="M757" s="170" t="n"/>
      <c r="N757" s="173" t="n"/>
      <c r="O757" s="173" t="n"/>
      <c r="P757" s="173" t="n"/>
      <c r="Q757" s="173" t="n"/>
      <c r="R757" s="173" t="n"/>
      <c r="S757" s="171" t="n"/>
    </row>
    <row r="758" ht="13.8" customHeight="1">
      <c r="A758" s="213">
        <f>IF($H758="UNIDADE CONSTRUTIVA",OFFSET(A758,-1,0)+1,LARGE(A$3:A757,1))</f>
        <v/>
      </c>
      <c r="B758" s="213" t="n"/>
      <c r="C758" s="213" t="n"/>
      <c r="D758" s="214" t="n"/>
      <c r="E758" s="214" t="n"/>
      <c r="G758" s="165" t="n"/>
      <c r="H758" s="165" t="n"/>
      <c r="I758" s="165" t="n"/>
      <c r="J758" s="166" t="n"/>
      <c r="K758" s="167" t="n"/>
      <c r="L758" s="170" t="n"/>
      <c r="M758" s="170" t="n"/>
      <c r="N758" s="173" t="n"/>
      <c r="O758" s="173" t="n"/>
      <c r="P758" s="173" t="n"/>
      <c r="Q758" s="173" t="n"/>
      <c r="R758" s="173" t="n"/>
      <c r="S758" s="171" t="n"/>
    </row>
    <row r="759" ht="13.8" customHeight="1">
      <c r="A759" s="213">
        <f>IF($H759="UNIDADE CONSTRUTIVA",OFFSET(A759,-1,0)+1,LARGE(A$3:A758,1))</f>
        <v/>
      </c>
      <c r="B759" s="213" t="n"/>
      <c r="C759" s="213" t="n"/>
      <c r="D759" s="214" t="n"/>
      <c r="E759" s="214" t="n"/>
      <c r="G759" s="165" t="n"/>
      <c r="H759" s="165" t="n"/>
      <c r="I759" s="165" t="n"/>
      <c r="J759" s="166" t="n"/>
      <c r="K759" s="167" t="n"/>
      <c r="L759" s="170" t="n"/>
      <c r="M759" s="170" t="n"/>
      <c r="N759" s="173" t="n"/>
      <c r="O759" s="173" t="n"/>
      <c r="P759" s="173" t="n"/>
      <c r="Q759" s="173" t="n"/>
      <c r="R759" s="173" t="n"/>
      <c r="S759" s="171" t="n"/>
    </row>
    <row r="760" ht="13.8" customHeight="1">
      <c r="A760" s="213">
        <f>IF($H760="UNIDADE CONSTRUTIVA",OFFSET(A760,-1,0)+1,LARGE(A$3:A759,1))</f>
        <v/>
      </c>
      <c r="B760" s="213" t="n"/>
      <c r="C760" s="213" t="n"/>
      <c r="D760" s="214" t="n"/>
      <c r="E760" s="214" t="n"/>
      <c r="G760" s="165" t="n"/>
      <c r="H760" s="165" t="n"/>
      <c r="I760" s="165" t="n"/>
      <c r="J760" s="166" t="n"/>
      <c r="K760" s="167" t="n"/>
      <c r="L760" s="170" t="n"/>
      <c r="M760" s="170" t="n"/>
      <c r="N760" s="173" t="n"/>
      <c r="O760" s="173" t="n"/>
      <c r="P760" s="173" t="n"/>
      <c r="Q760" s="173" t="n"/>
      <c r="R760" s="173" t="n"/>
      <c r="S760" s="171" t="n"/>
    </row>
    <row r="761" ht="13.8" customHeight="1">
      <c r="A761" s="213">
        <f>IF($H761="UNIDADE CONSTRUTIVA",OFFSET(A761,-1,0)+1,LARGE(A$3:A760,1))</f>
        <v/>
      </c>
      <c r="B761" s="213" t="n"/>
      <c r="C761" s="213" t="n"/>
      <c r="D761" s="214" t="n"/>
      <c r="E761" s="214" t="n"/>
      <c r="G761" s="165" t="n"/>
      <c r="H761" s="165" t="n"/>
      <c r="I761" s="165" t="n"/>
      <c r="J761" s="166" t="n"/>
      <c r="K761" s="167" t="n"/>
      <c r="L761" s="170" t="n"/>
      <c r="M761" s="170" t="n"/>
      <c r="N761" s="173" t="n"/>
      <c r="O761" s="173" t="n"/>
      <c r="P761" s="173" t="n"/>
      <c r="Q761" s="173" t="n"/>
      <c r="R761" s="173" t="n"/>
      <c r="S761" s="171" t="n"/>
    </row>
    <row r="762" ht="13.8" customHeight="1">
      <c r="A762" s="213">
        <f>IF($H762="UNIDADE CONSTRUTIVA",OFFSET(A762,-1,0)+1,LARGE(A$3:A761,1))</f>
        <v/>
      </c>
      <c r="B762" s="213" t="n"/>
      <c r="C762" s="213" t="n"/>
      <c r="D762" s="214" t="n"/>
      <c r="E762" s="214" t="n"/>
      <c r="G762" s="165" t="n"/>
      <c r="H762" s="165" t="n"/>
      <c r="I762" s="165" t="n"/>
      <c r="J762" s="166" t="n"/>
      <c r="K762" s="167" t="n"/>
      <c r="L762" s="170" t="n"/>
      <c r="M762" s="170" t="n"/>
      <c r="N762" s="173" t="n"/>
      <c r="O762" s="173" t="n"/>
      <c r="P762" s="173" t="n"/>
      <c r="Q762" s="173" t="n"/>
      <c r="R762" s="173" t="n"/>
      <c r="S762" s="171" t="n"/>
    </row>
    <row r="763" ht="13.8" customHeight="1">
      <c r="A763" s="213">
        <f>IF($H763="UNIDADE CONSTRUTIVA",OFFSET(A763,-1,0)+1,LARGE(A$3:A762,1))</f>
        <v/>
      </c>
      <c r="B763" s="213" t="n"/>
      <c r="C763" s="213" t="n"/>
      <c r="D763" s="214" t="n"/>
      <c r="E763" s="214" t="n"/>
      <c r="G763" s="165" t="n"/>
      <c r="H763" s="165" t="n"/>
      <c r="I763" s="165" t="n"/>
      <c r="J763" s="166" t="n"/>
      <c r="K763" s="167" t="n"/>
      <c r="L763" s="170" t="n"/>
      <c r="M763" s="170" t="n"/>
      <c r="N763" s="173" t="n"/>
      <c r="O763" s="173" t="n"/>
      <c r="P763" s="173" t="n"/>
      <c r="Q763" s="173" t="n"/>
      <c r="R763" s="173" t="n"/>
      <c r="S763" s="171" t="n"/>
    </row>
    <row r="764" ht="13.8" customHeight="1">
      <c r="A764" s="213">
        <f>IF($H764="UNIDADE CONSTRUTIVA",OFFSET(A764,-1,0)+1,LARGE(A$3:A763,1))</f>
        <v/>
      </c>
      <c r="B764" s="213" t="n"/>
      <c r="C764" s="213" t="n"/>
      <c r="D764" s="214" t="n"/>
      <c r="E764" s="214" t="n"/>
      <c r="G764" s="165" t="n"/>
      <c r="H764" s="165" t="n"/>
      <c r="I764" s="165" t="n"/>
      <c r="J764" s="166" t="n"/>
      <c r="K764" s="167" t="n"/>
      <c r="L764" s="170" t="n"/>
      <c r="M764" s="170" t="n"/>
      <c r="N764" s="173" t="n"/>
      <c r="O764" s="173" t="n"/>
      <c r="P764" s="173" t="n"/>
      <c r="Q764" s="173" t="n"/>
      <c r="R764" s="173" t="n"/>
      <c r="S764" s="171" t="n"/>
    </row>
    <row r="765" ht="13.8" customHeight="1">
      <c r="A765" s="213">
        <f>IF($H765="UNIDADE CONSTRUTIVA",OFFSET(A765,-1,0)+1,LARGE(A$3:A764,1))</f>
        <v/>
      </c>
      <c r="B765" s="213" t="n"/>
      <c r="C765" s="213" t="n"/>
      <c r="D765" s="214" t="n"/>
      <c r="E765" s="214" t="n"/>
      <c r="G765" s="165" t="n"/>
      <c r="H765" s="165" t="n"/>
      <c r="I765" s="165" t="n"/>
      <c r="J765" s="166" t="n"/>
      <c r="K765" s="167" t="n"/>
      <c r="L765" s="170" t="n"/>
      <c r="M765" s="170" t="n"/>
      <c r="N765" s="173" t="n"/>
      <c r="O765" s="173" t="n"/>
      <c r="P765" s="173" t="n"/>
      <c r="Q765" s="173" t="n"/>
      <c r="R765" s="173" t="n"/>
      <c r="S765" s="171" t="n"/>
    </row>
    <row r="766" ht="13.8" customHeight="1">
      <c r="A766" s="213">
        <f>IF($H766="UNIDADE CONSTRUTIVA",OFFSET(A766,-1,0)+1,LARGE(A$3:A765,1))</f>
        <v/>
      </c>
      <c r="B766" s="213" t="n"/>
      <c r="C766" s="213" t="n"/>
      <c r="D766" s="214" t="n"/>
      <c r="E766" s="214" t="n"/>
      <c r="G766" s="165" t="n"/>
      <c r="H766" s="165" t="n"/>
      <c r="I766" s="165" t="n"/>
      <c r="J766" s="166" t="n"/>
      <c r="K766" s="167" t="n"/>
      <c r="L766" s="170" t="n"/>
      <c r="M766" s="170" t="n"/>
      <c r="N766" s="173" t="n"/>
      <c r="O766" s="173" t="n"/>
      <c r="P766" s="173" t="n"/>
      <c r="Q766" s="173" t="n"/>
      <c r="R766" s="173" t="n"/>
      <c r="S766" s="171" t="n"/>
    </row>
    <row r="767" ht="13.8" customHeight="1">
      <c r="A767" s="213">
        <f>IF($H767="UNIDADE CONSTRUTIVA",OFFSET(A767,-1,0)+1,LARGE(A$3:A766,1))</f>
        <v/>
      </c>
      <c r="B767" s="213" t="n"/>
      <c r="C767" s="213" t="n"/>
      <c r="D767" s="214" t="n"/>
      <c r="E767" s="214" t="n"/>
      <c r="G767" s="165" t="n"/>
      <c r="H767" s="165" t="n"/>
      <c r="I767" s="165" t="n"/>
      <c r="J767" s="166" t="n"/>
      <c r="K767" s="167" t="n"/>
      <c r="L767" s="170" t="n"/>
      <c r="M767" s="170" t="n"/>
      <c r="N767" s="173" t="n"/>
      <c r="O767" s="173" t="n"/>
      <c r="P767" s="173" t="n"/>
      <c r="Q767" s="173" t="n"/>
      <c r="R767" s="173" t="n"/>
      <c r="S767" s="171" t="n"/>
    </row>
    <row r="768" ht="13.8" customHeight="1">
      <c r="A768" s="213">
        <f>IF($H768="UNIDADE CONSTRUTIVA",OFFSET(A768,-1,0)+1,LARGE(A$3:A767,1))</f>
        <v/>
      </c>
      <c r="B768" s="213" t="n"/>
      <c r="C768" s="213" t="n"/>
      <c r="D768" s="214" t="n"/>
      <c r="E768" s="214" t="n"/>
      <c r="G768" s="165" t="n"/>
      <c r="H768" s="165" t="n"/>
      <c r="I768" s="165" t="n"/>
      <c r="J768" s="166" t="n"/>
      <c r="K768" s="167" t="n"/>
      <c r="L768" s="170" t="n"/>
      <c r="M768" s="170" t="n"/>
      <c r="N768" s="173" t="n"/>
      <c r="O768" s="173" t="n"/>
      <c r="P768" s="173" t="n"/>
      <c r="Q768" s="173" t="n"/>
      <c r="R768" s="173" t="n"/>
      <c r="S768" s="171" t="n"/>
    </row>
    <row r="769" ht="13.8" customHeight="1">
      <c r="A769" s="213">
        <f>IF($H769="UNIDADE CONSTRUTIVA",OFFSET(A769,-1,0)+1,LARGE(A$3:A768,1))</f>
        <v/>
      </c>
      <c r="B769" s="213" t="n"/>
      <c r="C769" s="213" t="n"/>
      <c r="D769" s="214" t="n"/>
      <c r="E769" s="214" t="n"/>
      <c r="G769" s="165" t="n"/>
      <c r="H769" s="165" t="n"/>
      <c r="I769" s="165" t="n"/>
      <c r="J769" s="166" t="n"/>
      <c r="K769" s="167" t="n"/>
      <c r="L769" s="170" t="n"/>
      <c r="M769" s="170" t="n"/>
      <c r="N769" s="173" t="n"/>
      <c r="O769" s="173" t="n"/>
      <c r="P769" s="173" t="n"/>
      <c r="Q769" s="173" t="n"/>
      <c r="R769" s="173" t="n"/>
      <c r="S769" s="171" t="n"/>
    </row>
    <row r="770" ht="13.8" customHeight="1">
      <c r="A770" s="213">
        <f>IF($H770="UNIDADE CONSTRUTIVA",OFFSET(A770,-1,0)+1,LARGE(A$3:A769,1))</f>
        <v/>
      </c>
      <c r="B770" s="213" t="n"/>
      <c r="C770" s="213" t="n"/>
      <c r="D770" s="214" t="n"/>
      <c r="E770" s="214" t="n"/>
      <c r="G770" s="165" t="n"/>
      <c r="H770" s="165" t="n"/>
      <c r="I770" s="165" t="n"/>
      <c r="J770" s="166" t="n"/>
      <c r="K770" s="167" t="n"/>
      <c r="L770" s="170" t="n"/>
      <c r="M770" s="170" t="n"/>
      <c r="N770" s="173" t="n"/>
      <c r="O770" s="173" t="n"/>
      <c r="P770" s="173" t="n"/>
      <c r="Q770" s="173" t="n"/>
      <c r="R770" s="173" t="n"/>
      <c r="S770" s="171" t="n"/>
    </row>
    <row r="771" ht="13.8" customHeight="1">
      <c r="A771" s="213">
        <f>IF($H771="UNIDADE CONSTRUTIVA",OFFSET(A771,-1,0)+1,LARGE(A$3:A770,1))</f>
        <v/>
      </c>
      <c r="B771" s="213" t="n"/>
      <c r="C771" s="213" t="n"/>
      <c r="D771" s="214" t="n"/>
      <c r="E771" s="214" t="n"/>
      <c r="G771" s="165" t="n"/>
      <c r="H771" s="165" t="n"/>
      <c r="I771" s="165" t="n"/>
      <c r="J771" s="166" t="n"/>
      <c r="K771" s="167" t="n"/>
      <c r="L771" s="170" t="n"/>
      <c r="M771" s="170" t="n"/>
      <c r="N771" s="173" t="n"/>
      <c r="O771" s="173" t="n"/>
      <c r="P771" s="173" t="n"/>
      <c r="Q771" s="173" t="n"/>
      <c r="R771" s="173" t="n"/>
      <c r="S771" s="171" t="n"/>
    </row>
    <row r="772" ht="13.8" customHeight="1">
      <c r="A772" s="213">
        <f>IF($H772="UNIDADE CONSTRUTIVA",OFFSET(A772,-1,0)+1,LARGE(A$3:A771,1))</f>
        <v/>
      </c>
      <c r="B772" s="213" t="n"/>
      <c r="C772" s="213" t="n"/>
      <c r="D772" s="214" t="n"/>
      <c r="E772" s="214" t="n"/>
      <c r="G772" s="165" t="n"/>
      <c r="H772" s="165" t="n"/>
      <c r="I772" s="165" t="n"/>
      <c r="J772" s="166" t="n"/>
      <c r="K772" s="167" t="n"/>
      <c r="L772" s="170" t="n"/>
      <c r="M772" s="170" t="n"/>
      <c r="N772" s="173" t="n"/>
      <c r="O772" s="173" t="n"/>
      <c r="P772" s="173" t="n"/>
      <c r="Q772" s="173" t="n"/>
      <c r="R772" s="173" t="n"/>
      <c r="S772" s="171" t="n"/>
    </row>
    <row r="773" ht="13.8" customHeight="1">
      <c r="A773" s="213">
        <f>IF($H773="UNIDADE CONSTRUTIVA",OFFSET(A773,-1,0)+1,LARGE(A$3:A772,1))</f>
        <v/>
      </c>
      <c r="B773" s="213" t="n"/>
      <c r="C773" s="213" t="n"/>
      <c r="D773" s="214" t="n"/>
      <c r="E773" s="214" t="n"/>
      <c r="G773" s="165" t="n"/>
      <c r="H773" s="165" t="n"/>
      <c r="I773" s="165" t="n"/>
      <c r="J773" s="166" t="n"/>
      <c r="K773" s="167" t="n"/>
      <c r="L773" s="170" t="n"/>
      <c r="M773" s="170" t="n"/>
      <c r="N773" s="173" t="n"/>
      <c r="O773" s="173" t="n"/>
      <c r="P773" s="173" t="n"/>
      <c r="Q773" s="173" t="n"/>
      <c r="R773" s="173" t="n"/>
      <c r="S773" s="171" t="n"/>
    </row>
    <row r="774" ht="13.8" customHeight="1">
      <c r="A774" s="213">
        <f>IF($H774="UNIDADE CONSTRUTIVA",OFFSET(A774,-1,0)+1,LARGE(A$3:A773,1))</f>
        <v/>
      </c>
      <c r="B774" s="213" t="n"/>
      <c r="C774" s="213" t="n"/>
      <c r="D774" s="214" t="n"/>
      <c r="E774" s="214" t="n"/>
      <c r="G774" s="165" t="n"/>
      <c r="H774" s="165" t="n"/>
      <c r="I774" s="165" t="n"/>
      <c r="J774" s="166" t="n"/>
      <c r="K774" s="167" t="n"/>
      <c r="L774" s="170" t="n"/>
      <c r="M774" s="170" t="n"/>
      <c r="N774" s="173" t="n"/>
      <c r="O774" s="173" t="n"/>
      <c r="P774" s="173" t="n"/>
      <c r="Q774" s="173" t="n"/>
      <c r="R774" s="173" t="n"/>
      <c r="S774" s="171" t="n"/>
    </row>
    <row r="775" ht="13.8" customHeight="1">
      <c r="A775" s="213">
        <f>IF($H775="UNIDADE CONSTRUTIVA",OFFSET(A775,-1,0)+1,LARGE(A$3:A774,1))</f>
        <v/>
      </c>
      <c r="B775" s="213" t="n"/>
      <c r="C775" s="213" t="n"/>
      <c r="D775" s="214" t="n"/>
      <c r="E775" s="214" t="n"/>
      <c r="G775" s="165" t="n"/>
      <c r="H775" s="165" t="n"/>
      <c r="I775" s="165" t="n"/>
      <c r="J775" s="166" t="n"/>
      <c r="K775" s="167" t="n"/>
      <c r="L775" s="170" t="n"/>
      <c r="M775" s="170" t="n"/>
      <c r="N775" s="173" t="n"/>
      <c r="O775" s="173" t="n"/>
      <c r="P775" s="173" t="n"/>
      <c r="Q775" s="173" t="n"/>
      <c r="R775" s="173" t="n"/>
      <c r="S775" s="171" t="n"/>
    </row>
    <row r="776" ht="13.8" customHeight="1">
      <c r="A776" s="213">
        <f>IF($H776="UNIDADE CONSTRUTIVA",OFFSET(A776,-1,0)+1,LARGE(A$3:A775,1))</f>
        <v/>
      </c>
      <c r="B776" s="213" t="n"/>
      <c r="C776" s="213" t="n"/>
      <c r="D776" s="214" t="n"/>
      <c r="E776" s="214" t="n"/>
      <c r="G776" s="165" t="n"/>
      <c r="H776" s="165" t="n"/>
      <c r="I776" s="165" t="n"/>
      <c r="J776" s="166" t="n"/>
      <c r="K776" s="167" t="n"/>
      <c r="L776" s="170" t="n"/>
      <c r="M776" s="170" t="n"/>
      <c r="N776" s="173" t="n"/>
      <c r="O776" s="173" t="n"/>
      <c r="P776" s="173" t="n"/>
      <c r="Q776" s="173" t="n"/>
      <c r="R776" s="173" t="n"/>
      <c r="S776" s="171" t="n"/>
    </row>
    <row r="777" ht="13.8" customHeight="1">
      <c r="A777" s="213">
        <f>IF($H777="UNIDADE CONSTRUTIVA",OFFSET(A777,-1,0)+1,LARGE(A$3:A776,1))</f>
        <v/>
      </c>
      <c r="B777" s="213" t="n"/>
      <c r="C777" s="213" t="n"/>
      <c r="D777" s="214" t="n"/>
      <c r="E777" s="214" t="n"/>
      <c r="G777" s="165" t="n"/>
      <c r="H777" s="165" t="n"/>
      <c r="I777" s="165" t="n"/>
      <c r="J777" s="166" t="n"/>
      <c r="K777" s="167" t="n"/>
      <c r="L777" s="170" t="n"/>
      <c r="M777" s="170" t="n"/>
      <c r="N777" s="173" t="n"/>
      <c r="O777" s="173" t="n"/>
      <c r="P777" s="173" t="n"/>
      <c r="Q777" s="173" t="n"/>
      <c r="R777" s="173" t="n"/>
      <c r="S777" s="171" t="n"/>
    </row>
    <row r="778" ht="13.8" customHeight="1">
      <c r="A778" s="213">
        <f>IF($H778="UNIDADE CONSTRUTIVA",OFFSET(A778,-1,0)+1,LARGE(A$3:A777,1))</f>
        <v/>
      </c>
      <c r="B778" s="213" t="n"/>
      <c r="C778" s="213" t="n"/>
      <c r="D778" s="214" t="n"/>
      <c r="E778" s="214" t="n"/>
      <c r="G778" s="165" t="n"/>
      <c r="H778" s="165" t="n"/>
      <c r="I778" s="165" t="n"/>
      <c r="J778" s="166" t="n"/>
      <c r="K778" s="167" t="n"/>
      <c r="L778" s="170" t="n"/>
      <c r="M778" s="170" t="n"/>
      <c r="N778" s="173" t="n"/>
      <c r="O778" s="173" t="n"/>
      <c r="P778" s="173" t="n"/>
      <c r="Q778" s="173" t="n"/>
      <c r="R778" s="173" t="n"/>
      <c r="S778" s="171" t="n"/>
    </row>
    <row r="779" ht="13.8" customHeight="1">
      <c r="A779" s="213">
        <f>IF($H779="UNIDADE CONSTRUTIVA",OFFSET(A779,-1,0)+1,LARGE(A$3:A778,1))</f>
        <v/>
      </c>
      <c r="B779" s="213" t="n"/>
      <c r="C779" s="213" t="n"/>
      <c r="D779" s="214" t="n"/>
      <c r="E779" s="214" t="n"/>
      <c r="G779" s="165" t="n"/>
      <c r="H779" s="165" t="n"/>
      <c r="I779" s="165" t="n"/>
      <c r="J779" s="166" t="n"/>
      <c r="K779" s="167" t="n"/>
      <c r="L779" s="170" t="n"/>
      <c r="M779" s="170" t="n"/>
      <c r="N779" s="173" t="n"/>
      <c r="O779" s="173" t="n"/>
      <c r="P779" s="173" t="n"/>
      <c r="Q779" s="173" t="n"/>
      <c r="R779" s="173" t="n"/>
      <c r="S779" s="171" t="n"/>
    </row>
    <row r="780" ht="13.8" customHeight="1">
      <c r="A780" s="213">
        <f>IF($H780="UNIDADE CONSTRUTIVA",OFFSET(A780,-1,0)+1,LARGE(A$3:A779,1))</f>
        <v/>
      </c>
      <c r="B780" s="213" t="n"/>
      <c r="C780" s="213" t="n"/>
      <c r="D780" s="214" t="n"/>
      <c r="E780" s="214" t="n"/>
      <c r="G780" s="165" t="n"/>
      <c r="H780" s="165" t="n"/>
      <c r="I780" s="165" t="n"/>
      <c r="J780" s="166" t="n"/>
      <c r="K780" s="167" t="n"/>
      <c r="L780" s="170" t="n"/>
      <c r="M780" s="170" t="n"/>
      <c r="N780" s="173" t="n"/>
      <c r="O780" s="173" t="n"/>
      <c r="P780" s="173" t="n"/>
      <c r="Q780" s="173" t="n"/>
      <c r="R780" s="173" t="n"/>
      <c r="S780" s="171" t="n"/>
    </row>
    <row r="781" ht="13.8" customHeight="1">
      <c r="A781" s="213">
        <f>IF($H781="UNIDADE CONSTRUTIVA",OFFSET(A781,-1,0)+1,LARGE(A$3:A780,1))</f>
        <v/>
      </c>
      <c r="B781" s="213" t="n"/>
      <c r="C781" s="213" t="n"/>
      <c r="D781" s="214" t="n"/>
      <c r="E781" s="214" t="n"/>
      <c r="G781" s="165" t="n"/>
      <c r="H781" s="165" t="n"/>
      <c r="I781" s="165" t="n"/>
      <c r="J781" s="166" t="n"/>
      <c r="K781" s="167" t="n"/>
      <c r="L781" s="170" t="n"/>
      <c r="M781" s="170" t="n"/>
      <c r="N781" s="173" t="n"/>
      <c r="O781" s="173" t="n"/>
      <c r="P781" s="173" t="n"/>
      <c r="Q781" s="173" t="n"/>
      <c r="R781" s="173" t="n"/>
      <c r="S781" s="171" t="n"/>
    </row>
    <row r="782" ht="13.8" customHeight="1">
      <c r="A782" s="213">
        <f>IF($H782="UNIDADE CONSTRUTIVA",OFFSET(A782,-1,0)+1,LARGE(A$3:A781,1))</f>
        <v/>
      </c>
      <c r="B782" s="213" t="n"/>
      <c r="C782" s="213" t="n"/>
      <c r="D782" s="214" t="n"/>
      <c r="E782" s="214" t="n"/>
      <c r="G782" s="165" t="n"/>
      <c r="H782" s="165" t="n"/>
      <c r="I782" s="165" t="n"/>
      <c r="J782" s="166" t="n"/>
      <c r="K782" s="167" t="n"/>
      <c r="L782" s="170" t="n"/>
      <c r="M782" s="170" t="n"/>
      <c r="N782" s="173" t="n"/>
      <c r="O782" s="173" t="n"/>
      <c r="P782" s="173" t="n"/>
      <c r="Q782" s="173" t="n"/>
      <c r="R782" s="173" t="n"/>
      <c r="S782" s="171" t="n"/>
    </row>
    <row r="783" ht="13.8" customHeight="1">
      <c r="A783" s="213">
        <f>IF($H783="UNIDADE CONSTRUTIVA",OFFSET(A783,-1,0)+1,LARGE(A$3:A782,1))</f>
        <v/>
      </c>
      <c r="B783" s="213" t="n"/>
      <c r="C783" s="213" t="n"/>
      <c r="D783" s="214" t="n"/>
      <c r="E783" s="214" t="n"/>
      <c r="G783" s="165" t="n"/>
      <c r="H783" s="165" t="n"/>
      <c r="I783" s="165" t="n"/>
      <c r="J783" s="166" t="n"/>
      <c r="K783" s="167" t="n"/>
      <c r="L783" s="170" t="n"/>
      <c r="M783" s="170" t="n"/>
      <c r="N783" s="173" t="n"/>
      <c r="O783" s="173" t="n"/>
      <c r="P783" s="173" t="n"/>
      <c r="Q783" s="173" t="n"/>
      <c r="R783" s="173" t="n"/>
      <c r="S783" s="171" t="n"/>
    </row>
    <row r="784" ht="13.8" customHeight="1">
      <c r="A784" s="213">
        <f>IF($H784="UNIDADE CONSTRUTIVA",OFFSET(A784,-1,0)+1,LARGE(A$3:A783,1))</f>
        <v/>
      </c>
      <c r="B784" s="213" t="n"/>
      <c r="C784" s="213" t="n"/>
      <c r="D784" s="214" t="n"/>
      <c r="E784" s="214" t="n"/>
      <c r="G784" s="165" t="n"/>
      <c r="H784" s="165" t="n"/>
      <c r="I784" s="165" t="n"/>
      <c r="J784" s="166" t="n"/>
      <c r="K784" s="167" t="n"/>
      <c r="L784" s="170" t="n"/>
      <c r="M784" s="170" t="n"/>
      <c r="N784" s="173" t="n"/>
      <c r="O784" s="173" t="n"/>
      <c r="P784" s="173" t="n"/>
      <c r="Q784" s="173" t="n"/>
      <c r="R784" s="173" t="n"/>
      <c r="S784" s="171" t="n"/>
    </row>
    <row r="785" ht="13.8" customHeight="1">
      <c r="A785" s="213">
        <f>IF($H785="UNIDADE CONSTRUTIVA",OFFSET(A785,-1,0)+1,LARGE(A$3:A784,1))</f>
        <v/>
      </c>
      <c r="B785" s="213" t="n"/>
      <c r="C785" s="213" t="n"/>
      <c r="D785" s="214" t="n"/>
      <c r="E785" s="214" t="n"/>
      <c r="G785" s="165" t="n"/>
      <c r="H785" s="165" t="n"/>
      <c r="I785" s="165" t="n"/>
      <c r="J785" s="166" t="n"/>
      <c r="K785" s="167" t="n"/>
      <c r="L785" s="170" t="n"/>
      <c r="M785" s="170" t="n"/>
      <c r="N785" s="173" t="n"/>
      <c r="O785" s="173" t="n"/>
      <c r="P785" s="173" t="n"/>
      <c r="Q785" s="173" t="n"/>
      <c r="R785" s="173" t="n"/>
      <c r="S785" s="171" t="n"/>
    </row>
    <row r="786" ht="13.8" customHeight="1">
      <c r="A786" s="213">
        <f>IF($H786="UNIDADE CONSTRUTIVA",OFFSET(A786,-1,0)+1,LARGE(A$3:A785,1))</f>
        <v/>
      </c>
      <c r="B786" s="213" t="n"/>
      <c r="C786" s="213" t="n"/>
      <c r="D786" s="214" t="n"/>
      <c r="E786" s="214" t="n"/>
      <c r="G786" s="165" t="n"/>
      <c r="H786" s="165" t="n"/>
      <c r="I786" s="165" t="n"/>
      <c r="J786" s="166" t="n"/>
      <c r="K786" s="167" t="n"/>
      <c r="L786" s="170" t="n"/>
      <c r="M786" s="170" t="n"/>
      <c r="N786" s="173" t="n"/>
      <c r="O786" s="173" t="n"/>
      <c r="P786" s="173" t="n"/>
      <c r="Q786" s="173" t="n"/>
      <c r="R786" s="173" t="n"/>
      <c r="S786" s="171" t="n"/>
    </row>
    <row r="787" ht="13.8" customHeight="1">
      <c r="A787" s="213">
        <f>IF($H787="UNIDADE CONSTRUTIVA",OFFSET(A787,-1,0)+1,LARGE(A$3:A786,1))</f>
        <v/>
      </c>
      <c r="B787" s="213" t="n"/>
      <c r="C787" s="213" t="n"/>
      <c r="D787" s="214" t="n"/>
      <c r="E787" s="214" t="n"/>
      <c r="G787" s="165" t="n"/>
      <c r="H787" s="165" t="n"/>
      <c r="I787" s="165" t="n"/>
      <c r="J787" s="166" t="n"/>
      <c r="K787" s="167" t="n"/>
      <c r="L787" s="170" t="n"/>
      <c r="M787" s="170" t="n"/>
      <c r="N787" s="173" t="n"/>
      <c r="O787" s="173" t="n"/>
      <c r="P787" s="173" t="n"/>
      <c r="Q787" s="173" t="n"/>
      <c r="R787" s="173" t="n"/>
      <c r="S787" s="171" t="n"/>
    </row>
    <row r="788" ht="13.8" customHeight="1">
      <c r="A788" s="213">
        <f>IF($H788="UNIDADE CONSTRUTIVA",OFFSET(A788,-1,0)+1,LARGE(A$3:A787,1))</f>
        <v/>
      </c>
      <c r="B788" s="213" t="n"/>
      <c r="C788" s="213" t="n"/>
      <c r="D788" s="214" t="n"/>
      <c r="E788" s="214" t="n"/>
      <c r="G788" s="165" t="n"/>
      <c r="H788" s="165" t="n"/>
      <c r="I788" s="165" t="n"/>
      <c r="J788" s="166" t="n"/>
      <c r="K788" s="167" t="n"/>
      <c r="L788" s="170" t="n"/>
      <c r="M788" s="170" t="n"/>
      <c r="N788" s="173" t="n"/>
      <c r="O788" s="173" t="n"/>
      <c r="P788" s="173" t="n"/>
      <c r="Q788" s="173" t="n"/>
      <c r="R788" s="173" t="n"/>
      <c r="S788" s="171" t="n"/>
    </row>
    <row r="789" ht="13.8" customHeight="1">
      <c r="A789" s="213">
        <f>IF($H789="UNIDADE CONSTRUTIVA",OFFSET(A789,-1,0)+1,LARGE(A$3:A788,1))</f>
        <v/>
      </c>
      <c r="B789" s="213" t="n"/>
      <c r="C789" s="213" t="n"/>
      <c r="D789" s="214" t="n"/>
      <c r="E789" s="214" t="n"/>
      <c r="G789" s="165" t="n"/>
      <c r="H789" s="165" t="n"/>
      <c r="I789" s="165" t="n"/>
      <c r="J789" s="166" t="n"/>
      <c r="K789" s="167" t="n"/>
      <c r="L789" s="170" t="n"/>
      <c r="M789" s="170" t="n"/>
      <c r="N789" s="173" t="n"/>
      <c r="O789" s="173" t="n"/>
      <c r="P789" s="173" t="n"/>
      <c r="Q789" s="173" t="n"/>
      <c r="R789" s="173" t="n"/>
      <c r="S789" s="171" t="n"/>
    </row>
    <row r="790" ht="13.8" customHeight="1">
      <c r="A790" s="213">
        <f>IF($H790="UNIDADE CONSTRUTIVA",OFFSET(A790,-1,0)+1,LARGE(A$3:A789,1))</f>
        <v/>
      </c>
      <c r="B790" s="213" t="n"/>
      <c r="C790" s="213" t="n"/>
      <c r="D790" s="214" t="n"/>
      <c r="E790" s="214" t="n"/>
      <c r="G790" s="165" t="n"/>
      <c r="H790" s="165" t="n"/>
      <c r="I790" s="165" t="n"/>
      <c r="J790" s="166" t="n"/>
      <c r="K790" s="167" t="n"/>
      <c r="L790" s="170" t="n"/>
      <c r="M790" s="170" t="n"/>
      <c r="N790" s="173" t="n"/>
      <c r="O790" s="173" t="n"/>
      <c r="P790" s="173" t="n"/>
      <c r="Q790" s="173" t="n"/>
      <c r="R790" s="173" t="n"/>
      <c r="S790" s="171" t="n"/>
    </row>
    <row r="791" ht="13.8" customHeight="1">
      <c r="A791" s="213">
        <f>IF($H791="UNIDADE CONSTRUTIVA",OFFSET(A791,-1,0)+1,LARGE(A$3:A790,1))</f>
        <v/>
      </c>
      <c r="B791" s="213" t="n"/>
      <c r="C791" s="213" t="n"/>
      <c r="D791" s="214" t="n"/>
      <c r="E791" s="214" t="n"/>
      <c r="G791" s="165" t="n"/>
      <c r="H791" s="165" t="n"/>
      <c r="I791" s="165" t="n"/>
      <c r="J791" s="166" t="n"/>
      <c r="K791" s="167" t="n"/>
      <c r="L791" s="170" t="n"/>
      <c r="M791" s="170" t="n"/>
      <c r="N791" s="173" t="n"/>
      <c r="O791" s="173" t="n"/>
      <c r="P791" s="173" t="n"/>
      <c r="Q791" s="173" t="n"/>
      <c r="R791" s="173" t="n"/>
      <c r="S791" s="171" t="n"/>
    </row>
    <row r="792" ht="13.8" customHeight="1">
      <c r="A792" s="213">
        <f>IF($H792="UNIDADE CONSTRUTIVA",OFFSET(A792,-1,0)+1,LARGE(A$3:A791,1))</f>
        <v/>
      </c>
      <c r="B792" s="213" t="n"/>
      <c r="C792" s="213" t="n"/>
      <c r="D792" s="214" t="n"/>
      <c r="E792" s="214" t="n"/>
      <c r="G792" s="165" t="n"/>
      <c r="H792" s="165" t="n"/>
      <c r="I792" s="165" t="n"/>
      <c r="J792" s="166" t="n"/>
      <c r="K792" s="167" t="n"/>
      <c r="L792" s="170" t="n"/>
      <c r="M792" s="170" t="n"/>
      <c r="N792" s="173" t="n"/>
      <c r="O792" s="173" t="n"/>
      <c r="P792" s="173" t="n"/>
      <c r="Q792" s="173" t="n"/>
      <c r="R792" s="173" t="n"/>
      <c r="S792" s="171" t="n"/>
    </row>
    <row r="793" ht="13.8" customHeight="1">
      <c r="A793" s="213">
        <f>IF($H793="UNIDADE CONSTRUTIVA",OFFSET(A793,-1,0)+1,LARGE(A$3:A792,1))</f>
        <v/>
      </c>
      <c r="B793" s="213" t="n"/>
      <c r="C793" s="213" t="n"/>
      <c r="D793" s="214" t="n"/>
      <c r="E793" s="214" t="n"/>
      <c r="G793" s="165" t="n"/>
      <c r="H793" s="165" t="n"/>
      <c r="I793" s="165" t="n"/>
      <c r="J793" s="166" t="n"/>
      <c r="K793" s="167" t="n"/>
      <c r="L793" s="170" t="n"/>
      <c r="M793" s="170" t="n"/>
      <c r="N793" s="173" t="n"/>
      <c r="O793" s="173" t="n"/>
      <c r="P793" s="173" t="n"/>
      <c r="Q793" s="173" t="n"/>
      <c r="R793" s="173" t="n"/>
      <c r="S793" s="171" t="n"/>
    </row>
    <row r="794" ht="13.8" customHeight="1">
      <c r="A794" s="213">
        <f>IF($H794="UNIDADE CONSTRUTIVA",OFFSET(A794,-1,0)+1,LARGE(A$3:A793,1))</f>
        <v/>
      </c>
      <c r="B794" s="213" t="n"/>
      <c r="C794" s="213" t="n"/>
      <c r="D794" s="214" t="n"/>
      <c r="E794" s="214" t="n"/>
      <c r="G794" s="165" t="n"/>
      <c r="H794" s="165" t="n"/>
      <c r="I794" s="165" t="n"/>
      <c r="J794" s="166" t="n"/>
      <c r="K794" s="167" t="n"/>
      <c r="L794" s="170" t="n"/>
      <c r="M794" s="170" t="n"/>
      <c r="N794" s="173" t="n"/>
      <c r="O794" s="173" t="n"/>
      <c r="P794" s="173" t="n"/>
      <c r="Q794" s="173" t="n"/>
      <c r="R794" s="173" t="n"/>
      <c r="S794" s="171" t="n"/>
    </row>
    <row r="795" ht="13.8" customHeight="1">
      <c r="A795" s="213">
        <f>IF($H795="UNIDADE CONSTRUTIVA",OFFSET(A795,-1,0)+1,LARGE(A$3:A794,1))</f>
        <v/>
      </c>
      <c r="B795" s="213" t="n"/>
      <c r="C795" s="213" t="n"/>
      <c r="D795" s="214" t="n"/>
      <c r="E795" s="214" t="n"/>
      <c r="G795" s="165" t="n"/>
      <c r="H795" s="165" t="n"/>
      <c r="I795" s="165" t="n"/>
      <c r="J795" s="166" t="n"/>
      <c r="K795" s="167" t="n"/>
      <c r="L795" s="170" t="n"/>
      <c r="M795" s="170" t="n"/>
      <c r="N795" s="173" t="n"/>
      <c r="O795" s="173" t="n"/>
      <c r="P795" s="173" t="n"/>
      <c r="Q795" s="173" t="n"/>
      <c r="R795" s="173" t="n"/>
      <c r="S795" s="171" t="n"/>
    </row>
    <row r="796" ht="13.8" customHeight="1">
      <c r="A796" s="213">
        <f>IF($H796="UNIDADE CONSTRUTIVA",OFFSET(A796,-1,0)+1,LARGE(A$3:A795,1))</f>
        <v/>
      </c>
      <c r="B796" s="213" t="n"/>
      <c r="C796" s="213" t="n"/>
      <c r="D796" s="214" t="n"/>
      <c r="E796" s="214" t="n"/>
      <c r="G796" s="165" t="n"/>
      <c r="H796" s="165" t="n"/>
      <c r="I796" s="165" t="n"/>
      <c r="J796" s="166" t="n"/>
      <c r="K796" s="167" t="n"/>
      <c r="L796" s="170" t="n"/>
      <c r="M796" s="170" t="n"/>
      <c r="N796" s="173" t="n"/>
      <c r="O796" s="173" t="n"/>
      <c r="P796" s="173" t="n"/>
      <c r="Q796" s="173" t="n"/>
      <c r="R796" s="173" t="n"/>
      <c r="S796" s="171" t="n"/>
    </row>
    <row r="797" ht="13.8" customHeight="1">
      <c r="A797" s="213">
        <f>IF($H797="UNIDADE CONSTRUTIVA",OFFSET(A797,-1,0)+1,LARGE(A$3:A796,1))</f>
        <v/>
      </c>
      <c r="B797" s="213" t="n"/>
      <c r="C797" s="213" t="n"/>
      <c r="D797" s="214" t="n"/>
      <c r="E797" s="214" t="n"/>
      <c r="G797" s="165" t="n"/>
      <c r="H797" s="165" t="n"/>
      <c r="I797" s="165" t="n"/>
      <c r="J797" s="166" t="n"/>
      <c r="K797" s="167" t="n"/>
      <c r="L797" s="170" t="n"/>
      <c r="M797" s="170" t="n"/>
      <c r="N797" s="173" t="n"/>
      <c r="O797" s="173" t="n"/>
      <c r="P797" s="173" t="n"/>
      <c r="Q797" s="173" t="n"/>
      <c r="R797" s="173" t="n"/>
      <c r="S797" s="171" t="n"/>
    </row>
    <row r="798" ht="13.8" customHeight="1">
      <c r="A798" s="213">
        <f>IF($H798="UNIDADE CONSTRUTIVA",OFFSET(A798,-1,0)+1,LARGE(A$3:A797,1))</f>
        <v/>
      </c>
      <c r="B798" s="213" t="n"/>
      <c r="C798" s="213" t="n"/>
      <c r="D798" s="214" t="n"/>
      <c r="E798" s="214" t="n"/>
      <c r="G798" s="165" t="n"/>
      <c r="H798" s="165" t="n"/>
      <c r="I798" s="165" t="n"/>
      <c r="J798" s="166" t="n"/>
      <c r="K798" s="167" t="n"/>
      <c r="L798" s="170" t="n"/>
      <c r="M798" s="170" t="n"/>
      <c r="N798" s="173" t="n"/>
      <c r="O798" s="173" t="n"/>
      <c r="P798" s="173" t="n"/>
      <c r="Q798" s="173" t="n"/>
      <c r="R798" s="173" t="n"/>
      <c r="S798" s="171" t="n"/>
    </row>
    <row r="799" ht="13.8" customHeight="1">
      <c r="A799" s="213">
        <f>IF($H799="UNIDADE CONSTRUTIVA",OFFSET(A799,-1,0)+1,LARGE(A$3:A798,1))</f>
        <v/>
      </c>
      <c r="B799" s="213" t="n"/>
      <c r="C799" s="213" t="n"/>
      <c r="D799" s="214" t="n"/>
      <c r="E799" s="214" t="n"/>
      <c r="G799" s="165" t="n"/>
      <c r="H799" s="165" t="n"/>
      <c r="I799" s="165" t="n"/>
      <c r="J799" s="166" t="n"/>
      <c r="K799" s="167" t="n"/>
      <c r="L799" s="170" t="n"/>
      <c r="M799" s="170" t="n"/>
      <c r="N799" s="173" t="n"/>
      <c r="O799" s="173" t="n"/>
      <c r="P799" s="173" t="n"/>
      <c r="Q799" s="173" t="n"/>
      <c r="R799" s="173" t="n"/>
      <c r="S799" s="171" t="n"/>
    </row>
    <row r="800" ht="13.8" customHeight="1">
      <c r="A800" s="213">
        <f>IF($H800="UNIDADE CONSTRUTIVA",OFFSET(A800,-1,0)+1,LARGE(A$3:A799,1))</f>
        <v/>
      </c>
      <c r="B800" s="213" t="n"/>
      <c r="C800" s="213" t="n"/>
      <c r="D800" s="214" t="n"/>
      <c r="E800" s="214" t="n"/>
      <c r="G800" s="165" t="n"/>
      <c r="H800" s="165" t="n"/>
      <c r="I800" s="165" t="n"/>
      <c r="J800" s="166" t="n"/>
      <c r="K800" s="167" t="n"/>
      <c r="L800" s="170" t="n"/>
      <c r="M800" s="170" t="n"/>
      <c r="N800" s="173" t="n"/>
      <c r="O800" s="173" t="n"/>
      <c r="P800" s="173" t="n"/>
      <c r="Q800" s="173" t="n"/>
      <c r="R800" s="173" t="n"/>
      <c r="S800" s="171" t="n"/>
    </row>
    <row r="801" ht="13.8" customHeight="1">
      <c r="A801" s="213">
        <f>IF($H801="UNIDADE CONSTRUTIVA",OFFSET(A801,-1,0)+1,LARGE(A$3:A800,1))</f>
        <v/>
      </c>
      <c r="B801" s="213" t="n"/>
      <c r="C801" s="213" t="n"/>
      <c r="D801" s="214" t="n"/>
      <c r="E801" s="214" t="n"/>
      <c r="G801" s="165" t="n"/>
      <c r="H801" s="165" t="n"/>
      <c r="I801" s="165" t="n"/>
      <c r="J801" s="166" t="n"/>
      <c r="K801" s="167" t="n"/>
      <c r="L801" s="170" t="n"/>
      <c r="M801" s="170" t="n"/>
      <c r="N801" s="173" t="n"/>
      <c r="O801" s="173" t="n"/>
      <c r="P801" s="173" t="n"/>
      <c r="Q801" s="173" t="n"/>
      <c r="R801" s="173" t="n"/>
      <c r="S801" s="171" t="n"/>
    </row>
    <row r="802" ht="13.8" customHeight="1">
      <c r="A802" s="213">
        <f>IF($H802="UNIDADE CONSTRUTIVA",OFFSET(A802,-1,0)+1,LARGE(A$3:A801,1))</f>
        <v/>
      </c>
      <c r="B802" s="213" t="n"/>
      <c r="C802" s="213" t="n"/>
      <c r="D802" s="214" t="n"/>
      <c r="E802" s="214" t="n"/>
      <c r="G802" s="165" t="n"/>
      <c r="H802" s="165" t="n"/>
      <c r="I802" s="165" t="n"/>
      <c r="J802" s="166" t="n"/>
      <c r="K802" s="167" t="n"/>
      <c r="L802" s="170" t="n"/>
      <c r="M802" s="170" t="n"/>
      <c r="N802" s="173" t="n"/>
      <c r="O802" s="173" t="n"/>
      <c r="P802" s="173" t="n"/>
      <c r="Q802" s="173" t="n"/>
      <c r="R802" s="173" t="n"/>
      <c r="S802" s="171" t="n"/>
    </row>
    <row r="803" ht="13.8" customHeight="1">
      <c r="A803" s="213">
        <f>IF($H803="UNIDADE CONSTRUTIVA",OFFSET(A803,-1,0)+1,LARGE(A$3:A802,1))</f>
        <v/>
      </c>
      <c r="B803" s="213" t="n"/>
      <c r="C803" s="213" t="n"/>
      <c r="D803" s="214" t="n"/>
      <c r="E803" s="214" t="n"/>
      <c r="G803" s="165" t="n"/>
      <c r="H803" s="165" t="n"/>
      <c r="I803" s="165" t="n"/>
      <c r="J803" s="166" t="n"/>
      <c r="K803" s="167" t="n"/>
      <c r="L803" s="170" t="n"/>
      <c r="M803" s="170" t="n"/>
      <c r="N803" s="173" t="n"/>
      <c r="O803" s="173" t="n"/>
      <c r="P803" s="173" t="n"/>
      <c r="Q803" s="173" t="n"/>
      <c r="R803" s="173" t="n"/>
      <c r="S803" s="171" t="n"/>
    </row>
    <row r="804" ht="13.8" customHeight="1">
      <c r="A804" s="213">
        <f>IF($H804="UNIDADE CONSTRUTIVA",OFFSET(A804,-1,0)+1,LARGE(A$3:A803,1))</f>
        <v/>
      </c>
      <c r="B804" s="213" t="n"/>
      <c r="C804" s="213" t="n"/>
      <c r="D804" s="214" t="n"/>
      <c r="E804" s="214" t="n"/>
      <c r="G804" s="165" t="n"/>
      <c r="H804" s="165" t="n"/>
      <c r="I804" s="165" t="n"/>
      <c r="J804" s="166" t="n"/>
      <c r="K804" s="167" t="n"/>
      <c r="L804" s="170" t="n"/>
      <c r="M804" s="170" t="n"/>
      <c r="N804" s="173" t="n"/>
      <c r="O804" s="173" t="n"/>
      <c r="P804" s="173" t="n"/>
      <c r="Q804" s="173" t="n"/>
      <c r="R804" s="173" t="n"/>
      <c r="S804" s="171" t="n"/>
    </row>
    <row r="805" ht="13.8" customHeight="1">
      <c r="A805" s="213">
        <f>IF($H805="UNIDADE CONSTRUTIVA",OFFSET(A805,-1,0)+1,LARGE(A$3:A804,1))</f>
        <v/>
      </c>
      <c r="B805" s="213" t="n"/>
      <c r="C805" s="213" t="n"/>
      <c r="D805" s="214" t="n"/>
      <c r="E805" s="214" t="n"/>
      <c r="G805" s="165" t="n"/>
      <c r="H805" s="165" t="n"/>
      <c r="I805" s="165" t="n"/>
      <c r="J805" s="166" t="n"/>
      <c r="K805" s="167" t="n"/>
      <c r="L805" s="170" t="n"/>
      <c r="M805" s="170" t="n"/>
      <c r="N805" s="173" t="n"/>
      <c r="O805" s="173" t="n"/>
      <c r="P805" s="173" t="n"/>
      <c r="Q805" s="173" t="n"/>
      <c r="R805" s="173" t="n"/>
      <c r="S805" s="171" t="n"/>
    </row>
    <row r="806" ht="13.8" customHeight="1">
      <c r="A806" s="213">
        <f>IF($H806="UNIDADE CONSTRUTIVA",OFFSET(A806,-1,0)+1,LARGE(A$3:A805,1))</f>
        <v/>
      </c>
      <c r="B806" s="213" t="n"/>
      <c r="C806" s="213" t="n"/>
      <c r="D806" s="214" t="n"/>
      <c r="E806" s="214" t="n"/>
      <c r="G806" s="165" t="n"/>
      <c r="H806" s="165" t="n"/>
      <c r="I806" s="165" t="n"/>
      <c r="J806" s="166" t="n"/>
      <c r="K806" s="167" t="n"/>
      <c r="L806" s="170" t="n"/>
      <c r="M806" s="170" t="n"/>
      <c r="N806" s="173" t="n"/>
      <c r="O806" s="173" t="n"/>
      <c r="P806" s="173" t="n"/>
      <c r="Q806" s="173" t="n"/>
      <c r="R806" s="173" t="n"/>
      <c r="S806" s="171" t="n"/>
    </row>
    <row r="807" ht="13.8" customHeight="1">
      <c r="A807" s="213">
        <f>IF($H807="UNIDADE CONSTRUTIVA",OFFSET(A807,-1,0)+1,LARGE(A$3:A806,1))</f>
        <v/>
      </c>
      <c r="B807" s="213" t="n"/>
      <c r="C807" s="213" t="n"/>
      <c r="D807" s="214" t="n"/>
      <c r="E807" s="214" t="n"/>
      <c r="G807" s="165" t="n"/>
      <c r="H807" s="165" t="n"/>
      <c r="I807" s="165" t="n"/>
      <c r="J807" s="166" t="n"/>
      <c r="K807" s="167" t="n"/>
      <c r="L807" s="170" t="n"/>
      <c r="M807" s="170" t="n"/>
      <c r="N807" s="173" t="n"/>
      <c r="O807" s="173" t="n"/>
      <c r="P807" s="173" t="n"/>
      <c r="Q807" s="173" t="n"/>
      <c r="R807" s="173" t="n"/>
      <c r="S807" s="171" t="n"/>
    </row>
    <row r="808" ht="13.8" customHeight="1">
      <c r="A808" s="213">
        <f>IF($H808="UNIDADE CONSTRUTIVA",OFFSET(A808,-1,0)+1,LARGE(A$3:A807,1))</f>
        <v/>
      </c>
      <c r="B808" s="213" t="n"/>
      <c r="C808" s="213" t="n"/>
      <c r="D808" s="214" t="n"/>
      <c r="E808" s="214" t="n"/>
      <c r="G808" s="165" t="n"/>
      <c r="H808" s="165" t="n"/>
      <c r="I808" s="165" t="n"/>
      <c r="J808" s="166" t="n"/>
      <c r="K808" s="167" t="n"/>
      <c r="L808" s="170" t="n"/>
      <c r="M808" s="170" t="n"/>
      <c r="N808" s="173" t="n"/>
      <c r="O808" s="173" t="n"/>
      <c r="P808" s="173" t="n"/>
      <c r="Q808" s="173" t="n"/>
      <c r="R808" s="173" t="n"/>
      <c r="S808" s="171" t="n"/>
    </row>
    <row r="809" ht="13.8" customHeight="1">
      <c r="A809" s="213">
        <f>IF($H809="UNIDADE CONSTRUTIVA",OFFSET(A809,-1,0)+1,LARGE(A$3:A808,1))</f>
        <v/>
      </c>
      <c r="B809" s="213" t="n"/>
      <c r="C809" s="213" t="n"/>
      <c r="D809" s="214" t="n"/>
      <c r="E809" s="214" t="n"/>
      <c r="G809" s="165" t="n"/>
      <c r="H809" s="165" t="n"/>
      <c r="I809" s="165" t="n"/>
      <c r="J809" s="166" t="n"/>
      <c r="K809" s="167" t="n"/>
      <c r="L809" s="170" t="n"/>
      <c r="M809" s="170" t="n"/>
      <c r="N809" s="173" t="n"/>
      <c r="O809" s="173" t="n"/>
      <c r="P809" s="173" t="n"/>
      <c r="Q809" s="173" t="n"/>
      <c r="R809" s="173" t="n"/>
      <c r="S809" s="171" t="n"/>
    </row>
    <row r="810" ht="13.8" customHeight="1">
      <c r="A810" s="213">
        <f>IF($H810="UNIDADE CONSTRUTIVA",OFFSET(A810,-1,0)+1,LARGE(A$3:A809,1))</f>
        <v/>
      </c>
      <c r="B810" s="213" t="n"/>
      <c r="C810" s="213" t="n"/>
      <c r="D810" s="214" t="n"/>
      <c r="E810" s="214" t="n"/>
      <c r="G810" s="165" t="n"/>
      <c r="H810" s="165" t="n"/>
      <c r="I810" s="165" t="n"/>
      <c r="J810" s="166" t="n"/>
      <c r="K810" s="167" t="n"/>
      <c r="L810" s="170" t="n"/>
      <c r="M810" s="170" t="n"/>
      <c r="N810" s="173" t="n"/>
      <c r="O810" s="173" t="n"/>
      <c r="P810" s="173" t="n"/>
      <c r="Q810" s="173" t="n"/>
      <c r="R810" s="173" t="n"/>
      <c r="S810" s="171" t="n"/>
    </row>
    <row r="811" ht="13.8" customHeight="1">
      <c r="A811" s="213">
        <f>IF($H811="UNIDADE CONSTRUTIVA",OFFSET(A811,-1,0)+1,LARGE(A$3:A810,1))</f>
        <v/>
      </c>
      <c r="B811" s="213" t="n"/>
      <c r="C811" s="213" t="n"/>
      <c r="D811" s="214" t="n"/>
      <c r="E811" s="214" t="n"/>
      <c r="G811" s="165" t="n"/>
      <c r="H811" s="165" t="n"/>
      <c r="I811" s="165" t="n"/>
      <c r="J811" s="166" t="n"/>
      <c r="K811" s="167" t="n"/>
      <c r="L811" s="170" t="n"/>
      <c r="M811" s="170" t="n"/>
      <c r="N811" s="173" t="n"/>
      <c r="O811" s="173" t="n"/>
      <c r="P811" s="173" t="n"/>
      <c r="Q811" s="173" t="n"/>
      <c r="R811" s="173" t="n"/>
      <c r="S811" s="171" t="n"/>
    </row>
    <row r="812" ht="13.8" customHeight="1">
      <c r="A812" s="213">
        <f>IF($H812="UNIDADE CONSTRUTIVA",OFFSET(A812,-1,0)+1,LARGE(A$3:A811,1))</f>
        <v/>
      </c>
      <c r="B812" s="213" t="n"/>
      <c r="C812" s="213" t="n"/>
      <c r="D812" s="214" t="n"/>
      <c r="E812" s="214" t="n"/>
      <c r="G812" s="165" t="n"/>
      <c r="H812" s="165" t="n"/>
      <c r="I812" s="165" t="n"/>
      <c r="J812" s="166" t="n"/>
      <c r="K812" s="167" t="n"/>
      <c r="L812" s="170" t="n"/>
      <c r="M812" s="170" t="n"/>
      <c r="N812" s="173" t="n"/>
      <c r="O812" s="173" t="n"/>
      <c r="P812" s="173" t="n"/>
      <c r="Q812" s="173" t="n"/>
      <c r="R812" s="173" t="n"/>
      <c r="S812" s="171" t="n"/>
    </row>
    <row r="813" ht="13.8" customHeight="1">
      <c r="A813" s="213">
        <f>IF($H813="UNIDADE CONSTRUTIVA",OFFSET(A813,-1,0)+1,LARGE(A$3:A812,1))</f>
        <v/>
      </c>
      <c r="B813" s="213" t="n"/>
      <c r="C813" s="213" t="n"/>
      <c r="D813" s="214" t="n"/>
      <c r="E813" s="214" t="n"/>
      <c r="G813" s="165" t="n"/>
      <c r="H813" s="165" t="n"/>
      <c r="I813" s="165" t="n"/>
      <c r="J813" s="166" t="n"/>
      <c r="K813" s="167" t="n"/>
      <c r="L813" s="170" t="n"/>
      <c r="M813" s="170" t="n"/>
      <c r="N813" s="173" t="n"/>
      <c r="O813" s="173" t="n"/>
      <c r="P813" s="173" t="n"/>
      <c r="Q813" s="173" t="n"/>
      <c r="R813" s="173" t="n"/>
      <c r="S813" s="171" t="n"/>
    </row>
    <row r="814" ht="13.8" customHeight="1">
      <c r="A814" s="213">
        <f>IF($H814="UNIDADE CONSTRUTIVA",OFFSET(A814,-1,0)+1,LARGE(A$3:A813,1))</f>
        <v/>
      </c>
      <c r="B814" s="213" t="n"/>
      <c r="C814" s="213" t="n"/>
      <c r="D814" s="214" t="n"/>
      <c r="E814" s="214" t="n"/>
      <c r="G814" s="165" t="n"/>
      <c r="H814" s="165" t="n"/>
      <c r="I814" s="165" t="n"/>
      <c r="J814" s="166" t="n"/>
      <c r="K814" s="167" t="n"/>
      <c r="L814" s="170" t="n"/>
      <c r="M814" s="170" t="n"/>
      <c r="N814" s="173" t="n"/>
      <c r="O814" s="173" t="n"/>
      <c r="P814" s="173" t="n"/>
      <c r="Q814" s="173" t="n"/>
      <c r="R814" s="173" t="n"/>
      <c r="S814" s="171" t="n"/>
    </row>
    <row r="815" ht="13.8" customHeight="1">
      <c r="A815" s="213">
        <f>IF($H815="UNIDADE CONSTRUTIVA",OFFSET(A815,-1,0)+1,LARGE(A$3:A814,1))</f>
        <v/>
      </c>
      <c r="B815" s="213" t="n"/>
      <c r="C815" s="213" t="n"/>
      <c r="D815" s="214" t="n"/>
      <c r="E815" s="214" t="n"/>
      <c r="G815" s="165" t="n"/>
      <c r="H815" s="165" t="n"/>
      <c r="I815" s="165" t="n"/>
      <c r="J815" s="166" t="n"/>
      <c r="K815" s="167" t="n"/>
      <c r="L815" s="170" t="n"/>
      <c r="M815" s="170" t="n"/>
      <c r="N815" s="173" t="n"/>
      <c r="O815" s="173" t="n"/>
      <c r="P815" s="173" t="n"/>
      <c r="Q815" s="173" t="n"/>
      <c r="R815" s="173" t="n"/>
      <c r="S815" s="171" t="n"/>
    </row>
    <row r="816" ht="13.8" customHeight="1">
      <c r="A816" s="213">
        <f>IF($H816="UNIDADE CONSTRUTIVA",OFFSET(A816,-1,0)+1,LARGE(A$3:A815,1))</f>
        <v/>
      </c>
      <c r="B816" s="213" t="n"/>
      <c r="C816" s="213" t="n"/>
      <c r="D816" s="214" t="n"/>
      <c r="E816" s="214" t="n"/>
      <c r="G816" s="165" t="n"/>
      <c r="H816" s="165" t="n"/>
      <c r="I816" s="165" t="n"/>
      <c r="J816" s="166" t="n"/>
      <c r="K816" s="167" t="n"/>
      <c r="L816" s="170" t="n"/>
      <c r="M816" s="170" t="n"/>
      <c r="N816" s="173" t="n"/>
      <c r="O816" s="173" t="n"/>
      <c r="P816" s="173" t="n"/>
      <c r="Q816" s="173" t="n"/>
      <c r="R816" s="173" t="n"/>
      <c r="S816" s="171" t="n"/>
    </row>
    <row r="817" ht="13.8" customHeight="1">
      <c r="A817" s="213">
        <f>IF($H817="UNIDADE CONSTRUTIVA",OFFSET(A817,-1,0)+1,LARGE(A$3:A816,1))</f>
        <v/>
      </c>
      <c r="B817" s="213" t="n"/>
      <c r="C817" s="213" t="n"/>
      <c r="D817" s="214" t="n"/>
      <c r="E817" s="214" t="n"/>
      <c r="G817" s="165" t="n"/>
      <c r="H817" s="165" t="n"/>
      <c r="I817" s="165" t="n"/>
      <c r="J817" s="166" t="n"/>
      <c r="K817" s="167" t="n"/>
      <c r="L817" s="170" t="n"/>
      <c r="M817" s="170" t="n"/>
      <c r="N817" s="173" t="n"/>
      <c r="O817" s="173" t="n"/>
      <c r="P817" s="173" t="n"/>
      <c r="Q817" s="173" t="n"/>
      <c r="R817" s="173" t="n"/>
      <c r="S817" s="171" t="n"/>
    </row>
    <row r="818" ht="13.8" customHeight="1">
      <c r="A818" s="213">
        <f>IF($H818="UNIDADE CONSTRUTIVA",OFFSET(A818,-1,0)+1,LARGE(A$3:A817,1))</f>
        <v/>
      </c>
      <c r="B818" s="213" t="n"/>
      <c r="C818" s="213" t="n"/>
      <c r="D818" s="214" t="n"/>
      <c r="E818" s="214" t="n"/>
      <c r="G818" s="165" t="n"/>
      <c r="H818" s="165" t="n"/>
      <c r="I818" s="165" t="n"/>
      <c r="J818" s="166" t="n"/>
      <c r="K818" s="167" t="n"/>
      <c r="L818" s="170" t="n"/>
      <c r="M818" s="170" t="n"/>
      <c r="N818" s="173" t="n"/>
      <c r="O818" s="173" t="n"/>
      <c r="P818" s="173" t="n"/>
      <c r="Q818" s="173" t="n"/>
      <c r="R818" s="173" t="n"/>
      <c r="S818" s="171" t="n"/>
    </row>
    <row r="819" ht="13.8" customHeight="1">
      <c r="A819" s="213">
        <f>IF($H819="UNIDADE CONSTRUTIVA",OFFSET(A819,-1,0)+1,LARGE(A$3:A818,1))</f>
        <v/>
      </c>
      <c r="B819" s="213" t="n"/>
      <c r="C819" s="213" t="n"/>
      <c r="D819" s="214" t="n"/>
      <c r="E819" s="214" t="n"/>
      <c r="G819" s="165" t="n"/>
      <c r="H819" s="165" t="n"/>
      <c r="I819" s="165" t="n"/>
      <c r="J819" s="166" t="n"/>
      <c r="K819" s="167" t="n"/>
      <c r="L819" s="170" t="n"/>
      <c r="M819" s="170" t="n"/>
      <c r="N819" s="173" t="n"/>
      <c r="O819" s="173" t="n"/>
      <c r="P819" s="173" t="n"/>
      <c r="Q819" s="173" t="n"/>
      <c r="R819" s="173" t="n"/>
      <c r="S819" s="171" t="n"/>
    </row>
    <row r="820" ht="13.8" customHeight="1">
      <c r="A820" s="213">
        <f>IF($H820="UNIDADE CONSTRUTIVA",OFFSET(A820,-1,0)+1,LARGE(A$3:A819,1))</f>
        <v/>
      </c>
      <c r="B820" s="213" t="n"/>
      <c r="C820" s="213" t="n"/>
      <c r="D820" s="214" t="n"/>
      <c r="E820" s="214" t="n"/>
      <c r="G820" s="165" t="n"/>
      <c r="H820" s="165" t="n"/>
      <c r="I820" s="165" t="n"/>
      <c r="J820" s="166" t="n"/>
      <c r="K820" s="167" t="n"/>
      <c r="L820" s="170" t="n"/>
      <c r="M820" s="170" t="n"/>
      <c r="N820" s="173" t="n"/>
      <c r="O820" s="173" t="n"/>
      <c r="P820" s="173" t="n"/>
      <c r="Q820" s="173" t="n"/>
      <c r="R820" s="173" t="n"/>
      <c r="S820" s="171" t="n"/>
    </row>
    <row r="821" ht="13.8" customHeight="1">
      <c r="A821" s="213">
        <f>IF($H821="UNIDADE CONSTRUTIVA",OFFSET(A821,-1,0)+1,LARGE(A$3:A820,1))</f>
        <v/>
      </c>
      <c r="B821" s="213" t="n"/>
      <c r="C821" s="213" t="n"/>
      <c r="D821" s="214" t="n"/>
      <c r="E821" s="214" t="n"/>
      <c r="G821" s="165" t="n"/>
      <c r="H821" s="165" t="n"/>
      <c r="I821" s="165" t="n"/>
      <c r="J821" s="166" t="n"/>
      <c r="K821" s="167" t="n"/>
      <c r="L821" s="170" t="n"/>
      <c r="M821" s="170" t="n"/>
      <c r="N821" s="173" t="n"/>
      <c r="O821" s="173" t="n"/>
      <c r="P821" s="173" t="n"/>
      <c r="Q821" s="173" t="n"/>
      <c r="R821" s="173" t="n"/>
      <c r="S821" s="171" t="n"/>
    </row>
    <row r="822" ht="13.8" customHeight="1">
      <c r="A822" s="213">
        <f>IF($H822="UNIDADE CONSTRUTIVA",OFFSET(A822,-1,0)+1,LARGE(A$3:A821,1))</f>
        <v/>
      </c>
      <c r="B822" s="213" t="n"/>
      <c r="C822" s="213" t="n"/>
      <c r="D822" s="214" t="n"/>
      <c r="E822" s="214" t="n"/>
      <c r="G822" s="165" t="n"/>
      <c r="H822" s="165" t="n"/>
      <c r="I822" s="165" t="n"/>
      <c r="J822" s="166" t="n"/>
      <c r="K822" s="167" t="n"/>
      <c r="L822" s="170" t="n"/>
      <c r="M822" s="170" t="n"/>
      <c r="N822" s="173" t="n"/>
      <c r="O822" s="173" t="n"/>
      <c r="P822" s="173" t="n"/>
      <c r="Q822" s="173" t="n"/>
      <c r="R822" s="173" t="n"/>
      <c r="S822" s="171" t="n"/>
    </row>
    <row r="823" ht="13.8" customHeight="1">
      <c r="A823" s="213">
        <f>IF($H823="UNIDADE CONSTRUTIVA",OFFSET(A823,-1,0)+1,LARGE(A$3:A822,1))</f>
        <v/>
      </c>
      <c r="B823" s="213" t="n"/>
      <c r="C823" s="213" t="n"/>
      <c r="D823" s="214" t="n"/>
      <c r="E823" s="214" t="n"/>
      <c r="G823" s="165" t="n"/>
      <c r="H823" s="165" t="n"/>
      <c r="I823" s="165" t="n"/>
      <c r="J823" s="166" t="n"/>
      <c r="K823" s="167" t="n"/>
      <c r="L823" s="170" t="n"/>
      <c r="M823" s="170" t="n"/>
      <c r="N823" s="173" t="n"/>
      <c r="O823" s="173" t="n"/>
      <c r="P823" s="173" t="n"/>
      <c r="Q823" s="173" t="n"/>
      <c r="R823" s="173" t="n"/>
      <c r="S823" s="171" t="n"/>
    </row>
    <row r="824" ht="13.8" customHeight="1">
      <c r="A824" s="213">
        <f>IF($H824="UNIDADE CONSTRUTIVA",OFFSET(A824,-1,0)+1,LARGE(A$3:A823,1))</f>
        <v/>
      </c>
      <c r="B824" s="213" t="n"/>
      <c r="C824" s="213" t="n"/>
      <c r="D824" s="214" t="n"/>
      <c r="E824" s="214" t="n"/>
      <c r="G824" s="165" t="n"/>
      <c r="H824" s="165" t="n"/>
      <c r="I824" s="165" t="n"/>
      <c r="J824" s="166" t="n"/>
      <c r="K824" s="167" t="n"/>
      <c r="L824" s="170" t="n"/>
      <c r="M824" s="170" t="n"/>
      <c r="N824" s="173" t="n"/>
      <c r="O824" s="173" t="n"/>
      <c r="P824" s="173" t="n"/>
      <c r="Q824" s="173" t="n"/>
      <c r="R824" s="173" t="n"/>
      <c r="S824" s="171" t="n"/>
    </row>
    <row r="825" ht="13.8" customHeight="1">
      <c r="A825" s="213">
        <f>IF($H825="UNIDADE CONSTRUTIVA",OFFSET(A825,-1,0)+1,LARGE(A$3:A824,1))</f>
        <v/>
      </c>
      <c r="B825" s="213" t="n"/>
      <c r="C825" s="213" t="n"/>
      <c r="D825" s="214" t="n"/>
      <c r="E825" s="214" t="n"/>
      <c r="G825" s="165" t="n"/>
      <c r="H825" s="165" t="n"/>
      <c r="I825" s="165" t="n"/>
      <c r="J825" s="166" t="n"/>
      <c r="K825" s="167" t="n"/>
      <c r="L825" s="170" t="n"/>
      <c r="M825" s="170" t="n"/>
      <c r="N825" s="173" t="n"/>
      <c r="O825" s="173" t="n"/>
      <c r="P825" s="173" t="n"/>
      <c r="Q825" s="173" t="n"/>
      <c r="R825" s="173" t="n"/>
      <c r="S825" s="171" t="n"/>
    </row>
    <row r="826" ht="13.8" customHeight="1">
      <c r="A826" s="213">
        <f>IF($H826="UNIDADE CONSTRUTIVA",OFFSET(A826,-1,0)+1,LARGE(A$3:A825,1))</f>
        <v/>
      </c>
      <c r="B826" s="213" t="n"/>
      <c r="C826" s="213" t="n"/>
      <c r="D826" s="214" t="n"/>
      <c r="E826" s="214" t="n"/>
      <c r="G826" s="165" t="n"/>
      <c r="H826" s="165" t="n"/>
      <c r="I826" s="165" t="n"/>
      <c r="J826" s="166" t="n"/>
      <c r="K826" s="167" t="n"/>
      <c r="L826" s="170" t="n"/>
      <c r="M826" s="170" t="n"/>
      <c r="N826" s="173" t="n"/>
      <c r="O826" s="173" t="n"/>
      <c r="P826" s="173" t="n"/>
      <c r="Q826" s="173" t="n"/>
      <c r="R826" s="173" t="n"/>
      <c r="S826" s="171" t="n"/>
    </row>
    <row r="827" ht="13.8" customHeight="1">
      <c r="A827" s="213">
        <f>IF($H827="UNIDADE CONSTRUTIVA",OFFSET(A827,-1,0)+1,LARGE(A$3:A826,1))</f>
        <v/>
      </c>
      <c r="B827" s="213" t="n"/>
      <c r="C827" s="213" t="n"/>
      <c r="D827" s="214" t="n"/>
      <c r="E827" s="214" t="n"/>
      <c r="G827" s="165" t="n"/>
      <c r="H827" s="165" t="n"/>
      <c r="I827" s="165" t="n"/>
      <c r="J827" s="166" t="n"/>
      <c r="K827" s="167" t="n"/>
      <c r="L827" s="170" t="n"/>
      <c r="M827" s="170" t="n"/>
      <c r="N827" s="173" t="n"/>
      <c r="O827" s="173" t="n"/>
      <c r="P827" s="173" t="n"/>
      <c r="Q827" s="173" t="n"/>
      <c r="R827" s="173" t="n"/>
      <c r="S827" s="171" t="n"/>
    </row>
    <row r="828" ht="13.8" customHeight="1">
      <c r="A828" s="213">
        <f>IF($H828="UNIDADE CONSTRUTIVA",OFFSET(A828,-1,0)+1,LARGE(A$3:A827,1))</f>
        <v/>
      </c>
      <c r="B828" s="213" t="n"/>
      <c r="C828" s="213" t="n"/>
      <c r="D828" s="214" t="n"/>
      <c r="E828" s="214" t="n"/>
      <c r="G828" s="165" t="n"/>
      <c r="H828" s="165" t="n"/>
      <c r="I828" s="165" t="n"/>
      <c r="J828" s="166" t="n"/>
      <c r="K828" s="167" t="n"/>
      <c r="L828" s="170" t="n"/>
      <c r="M828" s="170" t="n"/>
      <c r="N828" s="173" t="n"/>
      <c r="O828" s="173" t="n"/>
      <c r="P828" s="173" t="n"/>
      <c r="Q828" s="173" t="n"/>
      <c r="R828" s="173" t="n"/>
      <c r="S828" s="171" t="n"/>
    </row>
    <row r="829" ht="13.8" customHeight="1">
      <c r="A829" s="213">
        <f>IF($H829="UNIDADE CONSTRUTIVA",OFFSET(A829,-1,0)+1,LARGE(A$3:A828,1))</f>
        <v/>
      </c>
      <c r="B829" s="213" t="n"/>
      <c r="C829" s="213" t="n"/>
      <c r="D829" s="214" t="n"/>
      <c r="E829" s="214" t="n"/>
      <c r="G829" s="165" t="n"/>
      <c r="H829" s="165" t="n"/>
      <c r="I829" s="165" t="n"/>
      <c r="J829" s="166" t="n"/>
      <c r="K829" s="167" t="n"/>
      <c r="L829" s="170" t="n"/>
      <c r="M829" s="170" t="n"/>
      <c r="N829" s="173" t="n"/>
      <c r="O829" s="173" t="n"/>
      <c r="P829" s="173" t="n"/>
      <c r="Q829" s="173" t="n"/>
      <c r="R829" s="173" t="n"/>
      <c r="S829" s="171" t="n"/>
    </row>
    <row r="830" ht="13.8" customHeight="1">
      <c r="A830" s="213">
        <f>IF($H830="UNIDADE CONSTRUTIVA",OFFSET(A830,-1,0)+1,LARGE(A$3:A829,1))</f>
        <v/>
      </c>
      <c r="B830" s="213" t="n"/>
      <c r="C830" s="213" t="n"/>
      <c r="D830" s="214" t="n"/>
      <c r="E830" s="214" t="n"/>
      <c r="G830" s="165" t="n"/>
      <c r="H830" s="165" t="n"/>
      <c r="I830" s="165" t="n"/>
      <c r="J830" s="166" t="n"/>
      <c r="K830" s="167" t="n"/>
      <c r="L830" s="170" t="n"/>
      <c r="M830" s="170" t="n"/>
      <c r="N830" s="173" t="n"/>
      <c r="O830" s="173" t="n"/>
      <c r="P830" s="173" t="n"/>
      <c r="Q830" s="173" t="n"/>
      <c r="R830" s="173" t="n"/>
      <c r="S830" s="171" t="n"/>
    </row>
    <row r="831" ht="13.8" customHeight="1">
      <c r="A831" s="213">
        <f>IF($H831="UNIDADE CONSTRUTIVA",OFFSET(A831,-1,0)+1,LARGE(A$3:A830,1))</f>
        <v/>
      </c>
      <c r="B831" s="213" t="n"/>
      <c r="C831" s="213" t="n"/>
      <c r="D831" s="214" t="n"/>
      <c r="E831" s="214" t="n"/>
      <c r="G831" s="165" t="n"/>
      <c r="H831" s="165" t="n"/>
      <c r="I831" s="165" t="n"/>
      <c r="J831" s="166" t="n"/>
      <c r="K831" s="167" t="n"/>
      <c r="L831" s="170" t="n"/>
      <c r="M831" s="170" t="n"/>
      <c r="N831" s="173" t="n"/>
      <c r="O831" s="173" t="n"/>
      <c r="P831" s="173" t="n"/>
      <c r="Q831" s="173" t="n"/>
      <c r="R831" s="173" t="n"/>
      <c r="S831" s="171" t="n"/>
    </row>
    <row r="832" ht="13.8" customHeight="1">
      <c r="A832" s="213">
        <f>IF($H832="UNIDADE CONSTRUTIVA",OFFSET(A832,-1,0)+1,LARGE(A$3:A831,1))</f>
        <v/>
      </c>
      <c r="B832" s="213" t="n"/>
      <c r="C832" s="213" t="n"/>
      <c r="D832" s="214" t="n"/>
      <c r="E832" s="214" t="n"/>
      <c r="G832" s="165" t="n"/>
      <c r="H832" s="165" t="n"/>
      <c r="I832" s="165" t="n"/>
      <c r="J832" s="166" t="n"/>
      <c r="K832" s="167" t="n"/>
      <c r="L832" s="170" t="n"/>
      <c r="M832" s="170" t="n"/>
      <c r="N832" s="173" t="n"/>
      <c r="O832" s="173" t="n"/>
      <c r="P832" s="173" t="n"/>
      <c r="Q832" s="173" t="n"/>
      <c r="R832" s="173" t="n"/>
      <c r="S832" s="171" t="n"/>
    </row>
    <row r="833" ht="13.8" customHeight="1">
      <c r="A833" s="213">
        <f>IF($H833="UNIDADE CONSTRUTIVA",OFFSET(A833,-1,0)+1,LARGE(A$3:A832,1))</f>
        <v/>
      </c>
      <c r="B833" s="213" t="n"/>
      <c r="C833" s="213" t="n"/>
      <c r="D833" s="214" t="n"/>
      <c r="E833" s="214" t="n"/>
      <c r="G833" s="165" t="n"/>
      <c r="H833" s="165" t="n"/>
      <c r="I833" s="165" t="n"/>
      <c r="J833" s="166" t="n"/>
      <c r="K833" s="167" t="n"/>
      <c r="L833" s="170" t="n"/>
      <c r="M833" s="170" t="n"/>
      <c r="N833" s="173" t="n"/>
      <c r="O833" s="173" t="n"/>
      <c r="P833" s="173" t="n"/>
      <c r="Q833" s="173" t="n"/>
      <c r="R833" s="173" t="n"/>
      <c r="S833" s="171" t="n"/>
    </row>
    <row r="834" ht="13.8" customHeight="1">
      <c r="A834" s="213">
        <f>IF($H834="UNIDADE CONSTRUTIVA",OFFSET(A834,-1,0)+1,LARGE(A$3:A833,1))</f>
        <v/>
      </c>
      <c r="B834" s="213" t="n"/>
      <c r="C834" s="213" t="n"/>
      <c r="D834" s="214" t="n"/>
      <c r="E834" s="214" t="n"/>
      <c r="G834" s="165" t="n"/>
      <c r="H834" s="165" t="n"/>
      <c r="I834" s="165" t="n"/>
      <c r="J834" s="166" t="n"/>
      <c r="K834" s="167" t="n"/>
      <c r="L834" s="170" t="n"/>
      <c r="M834" s="170" t="n"/>
      <c r="N834" s="173" t="n"/>
      <c r="O834" s="173" t="n"/>
      <c r="P834" s="173" t="n"/>
      <c r="Q834" s="173" t="n"/>
      <c r="R834" s="173" t="n"/>
      <c r="S834" s="171" t="n"/>
    </row>
    <row r="835" ht="13.8" customHeight="1">
      <c r="A835" s="213">
        <f>IF($H835="UNIDADE CONSTRUTIVA",OFFSET(A835,-1,0)+1,LARGE(A$3:A834,1))</f>
        <v/>
      </c>
      <c r="B835" s="213" t="n"/>
      <c r="C835" s="213" t="n"/>
      <c r="D835" s="214" t="n"/>
      <c r="E835" s="214" t="n"/>
      <c r="G835" s="165" t="n"/>
      <c r="H835" s="165" t="n"/>
      <c r="I835" s="165" t="n"/>
      <c r="J835" s="166" t="n"/>
      <c r="K835" s="167" t="n"/>
      <c r="L835" s="170" t="n"/>
      <c r="M835" s="170" t="n"/>
      <c r="N835" s="173" t="n"/>
      <c r="O835" s="173" t="n"/>
      <c r="P835" s="173" t="n"/>
      <c r="Q835" s="173" t="n"/>
      <c r="R835" s="173" t="n"/>
      <c r="S835" s="171" t="n"/>
    </row>
    <row r="836" ht="13.8" customHeight="1">
      <c r="A836" s="213">
        <f>IF($H836="UNIDADE CONSTRUTIVA",OFFSET(A836,-1,0)+1,LARGE(A$3:A835,1))</f>
        <v/>
      </c>
      <c r="B836" s="213" t="n"/>
      <c r="C836" s="213" t="n"/>
      <c r="D836" s="214" t="n"/>
      <c r="E836" s="214" t="n"/>
      <c r="G836" s="165" t="n"/>
      <c r="H836" s="165" t="n"/>
      <c r="I836" s="165" t="n"/>
      <c r="J836" s="166" t="n"/>
      <c r="K836" s="167" t="n"/>
      <c r="L836" s="170" t="n"/>
      <c r="M836" s="170" t="n"/>
      <c r="N836" s="173" t="n"/>
      <c r="O836" s="173" t="n"/>
      <c r="P836" s="173" t="n"/>
      <c r="Q836" s="173" t="n"/>
      <c r="R836" s="173" t="n"/>
      <c r="S836" s="171" t="n"/>
    </row>
    <row r="837" ht="13.8" customHeight="1">
      <c r="A837" s="213">
        <f>IF($H837="UNIDADE CONSTRUTIVA",OFFSET(A837,-1,0)+1,LARGE(A$3:A836,1))</f>
        <v/>
      </c>
      <c r="B837" s="213" t="n"/>
      <c r="C837" s="213" t="n"/>
      <c r="D837" s="214" t="n"/>
      <c r="E837" s="214" t="n"/>
      <c r="G837" s="165" t="n"/>
      <c r="H837" s="165" t="n"/>
      <c r="I837" s="165" t="n"/>
      <c r="J837" s="166" t="n"/>
      <c r="K837" s="167" t="n"/>
      <c r="L837" s="170" t="n"/>
      <c r="M837" s="170" t="n"/>
      <c r="N837" s="173" t="n"/>
      <c r="O837" s="173" t="n"/>
      <c r="P837" s="173" t="n"/>
      <c r="Q837" s="173" t="n"/>
      <c r="R837" s="173" t="n"/>
      <c r="S837" s="171" t="n"/>
    </row>
    <row r="838" ht="13.8" customHeight="1">
      <c r="A838" s="213">
        <f>IF($H838="UNIDADE CONSTRUTIVA",OFFSET(A838,-1,0)+1,LARGE(A$3:A837,1))</f>
        <v/>
      </c>
      <c r="B838" s="213" t="n"/>
      <c r="C838" s="213" t="n"/>
      <c r="D838" s="214" t="n"/>
      <c r="E838" s="214" t="n"/>
      <c r="G838" s="165" t="n"/>
      <c r="H838" s="165" t="n"/>
      <c r="I838" s="165" t="n"/>
      <c r="J838" s="166" t="n"/>
      <c r="K838" s="167" t="n"/>
      <c r="L838" s="170" t="n"/>
      <c r="M838" s="170" t="n"/>
      <c r="N838" s="173" t="n"/>
      <c r="O838" s="173" t="n"/>
      <c r="P838" s="173" t="n"/>
      <c r="Q838" s="173" t="n"/>
      <c r="R838" s="173" t="n"/>
      <c r="S838" s="171" t="n"/>
    </row>
    <row r="839" ht="13.8" customHeight="1">
      <c r="A839" s="213">
        <f>IF($H839="UNIDADE CONSTRUTIVA",OFFSET(A839,-1,0)+1,LARGE(A$3:A838,1))</f>
        <v/>
      </c>
      <c r="B839" s="213" t="n"/>
      <c r="C839" s="213" t="n"/>
      <c r="D839" s="214" t="n"/>
      <c r="E839" s="214" t="n"/>
      <c r="G839" s="165" t="n"/>
      <c r="H839" s="165" t="n"/>
      <c r="I839" s="165" t="n"/>
      <c r="J839" s="166" t="n"/>
      <c r="K839" s="167" t="n"/>
      <c r="L839" s="170" t="n"/>
      <c r="M839" s="170" t="n"/>
      <c r="N839" s="173" t="n"/>
      <c r="O839" s="173" t="n"/>
      <c r="P839" s="173" t="n"/>
      <c r="Q839" s="173" t="n"/>
      <c r="R839" s="173" t="n"/>
      <c r="S839" s="171" t="n"/>
    </row>
    <row r="840" ht="13.8" customHeight="1">
      <c r="A840" s="213">
        <f>IF($H840="UNIDADE CONSTRUTIVA",OFFSET(A840,-1,0)+1,LARGE(A$3:A839,1))</f>
        <v/>
      </c>
      <c r="B840" s="213" t="n"/>
      <c r="C840" s="213" t="n"/>
      <c r="D840" s="214" t="n"/>
      <c r="E840" s="214" t="n"/>
      <c r="G840" s="165" t="n"/>
      <c r="H840" s="165" t="n"/>
      <c r="I840" s="165" t="n"/>
      <c r="J840" s="166" t="n"/>
      <c r="K840" s="167" t="n"/>
      <c r="L840" s="170" t="n"/>
      <c r="M840" s="170" t="n"/>
      <c r="N840" s="173" t="n"/>
      <c r="O840" s="173" t="n"/>
      <c r="P840" s="173" t="n"/>
      <c r="Q840" s="173" t="n"/>
      <c r="R840" s="173" t="n"/>
      <c r="S840" s="171" t="n"/>
    </row>
    <row r="841" ht="13.8" customHeight="1">
      <c r="A841" s="213">
        <f>IF($H841="UNIDADE CONSTRUTIVA",OFFSET(A841,-1,0)+1,LARGE(A$3:A840,1))</f>
        <v/>
      </c>
      <c r="B841" s="213" t="n"/>
      <c r="C841" s="213" t="n"/>
      <c r="D841" s="214" t="n"/>
      <c r="E841" s="214" t="n"/>
      <c r="G841" s="165" t="n"/>
      <c r="H841" s="165" t="n"/>
      <c r="I841" s="165" t="n"/>
      <c r="J841" s="166" t="n"/>
      <c r="K841" s="167" t="n"/>
      <c r="L841" s="170" t="n"/>
      <c r="M841" s="170" t="n"/>
      <c r="N841" s="173" t="n"/>
      <c r="O841" s="173" t="n"/>
      <c r="P841" s="173" t="n"/>
      <c r="Q841" s="173" t="n"/>
      <c r="R841" s="173" t="n"/>
      <c r="S841" s="171" t="n"/>
    </row>
    <row r="842" ht="13.8" customHeight="1">
      <c r="A842" s="213">
        <f>IF($H842="UNIDADE CONSTRUTIVA",OFFSET(A842,-1,0)+1,LARGE(A$3:A841,1))</f>
        <v/>
      </c>
      <c r="B842" s="213" t="n"/>
      <c r="C842" s="213" t="n"/>
      <c r="D842" s="214" t="n"/>
      <c r="E842" s="214" t="n"/>
      <c r="G842" s="165" t="n"/>
      <c r="H842" s="165" t="n"/>
      <c r="I842" s="165" t="n"/>
      <c r="J842" s="166" t="n"/>
      <c r="K842" s="167" t="n"/>
      <c r="L842" s="170" t="n"/>
      <c r="M842" s="170" t="n"/>
      <c r="N842" s="173" t="n"/>
      <c r="O842" s="173" t="n"/>
      <c r="P842" s="173" t="n"/>
      <c r="Q842" s="173" t="n"/>
      <c r="R842" s="173" t="n"/>
      <c r="S842" s="171" t="n"/>
    </row>
    <row r="843" ht="13.8" customHeight="1">
      <c r="A843" s="213">
        <f>IF($H843="UNIDADE CONSTRUTIVA",OFFSET(A843,-1,0)+1,LARGE(A$3:A842,1))</f>
        <v/>
      </c>
      <c r="B843" s="213" t="n"/>
      <c r="C843" s="213" t="n"/>
      <c r="D843" s="214" t="n"/>
      <c r="E843" s="214" t="n"/>
      <c r="G843" s="165" t="n"/>
      <c r="H843" s="165" t="n"/>
      <c r="I843" s="165" t="n"/>
      <c r="J843" s="166" t="n"/>
      <c r="K843" s="167" t="n"/>
      <c r="L843" s="170" t="n"/>
      <c r="M843" s="170" t="n"/>
      <c r="N843" s="173" t="n"/>
      <c r="O843" s="173" t="n"/>
      <c r="P843" s="173" t="n"/>
      <c r="Q843" s="173" t="n"/>
      <c r="R843" s="173" t="n"/>
      <c r="S843" s="171" t="n"/>
    </row>
    <row r="844" ht="13.8" customHeight="1">
      <c r="A844" s="213">
        <f>IF($H844="UNIDADE CONSTRUTIVA",OFFSET(A844,-1,0)+1,LARGE(A$3:A843,1))</f>
        <v/>
      </c>
      <c r="B844" s="213" t="n"/>
      <c r="C844" s="213" t="n"/>
      <c r="D844" s="214" t="n"/>
      <c r="E844" s="214" t="n"/>
      <c r="G844" s="165" t="n"/>
      <c r="H844" s="165" t="n"/>
      <c r="I844" s="165" t="n"/>
      <c r="J844" s="166" t="n"/>
      <c r="K844" s="167" t="n"/>
      <c r="L844" s="170" t="n"/>
      <c r="M844" s="170" t="n"/>
      <c r="N844" s="173" t="n"/>
      <c r="O844" s="173" t="n"/>
      <c r="P844" s="173" t="n"/>
      <c r="Q844" s="173" t="n"/>
      <c r="R844" s="173" t="n"/>
      <c r="S844" s="171" t="n"/>
    </row>
    <row r="845" ht="13.8" customHeight="1">
      <c r="A845" s="213">
        <f>IF($H845="UNIDADE CONSTRUTIVA",OFFSET(A845,-1,0)+1,LARGE(A$3:A844,1))</f>
        <v/>
      </c>
      <c r="B845" s="213" t="n"/>
      <c r="C845" s="213" t="n"/>
      <c r="D845" s="214" t="n"/>
      <c r="E845" s="214" t="n"/>
      <c r="G845" s="165" t="n"/>
      <c r="H845" s="165" t="n"/>
      <c r="I845" s="165" t="n"/>
      <c r="J845" s="166" t="n"/>
      <c r="K845" s="167" t="n"/>
      <c r="L845" s="170" t="n"/>
      <c r="M845" s="170" t="n"/>
      <c r="N845" s="173" t="n"/>
      <c r="O845" s="173" t="n"/>
      <c r="P845" s="173" t="n"/>
      <c r="Q845" s="173" t="n"/>
      <c r="R845" s="173" t="n"/>
      <c r="S845" s="171" t="n"/>
    </row>
    <row r="846" ht="13.8" customHeight="1">
      <c r="A846" s="213">
        <f>IF($H846="UNIDADE CONSTRUTIVA",OFFSET(A846,-1,0)+1,LARGE(A$3:A845,1))</f>
        <v/>
      </c>
      <c r="B846" s="213" t="n"/>
      <c r="C846" s="213" t="n"/>
      <c r="D846" s="214" t="n"/>
      <c r="E846" s="214" t="n"/>
      <c r="G846" s="165" t="n"/>
      <c r="H846" s="165" t="n"/>
      <c r="I846" s="165" t="n"/>
      <c r="J846" s="166" t="n"/>
      <c r="K846" s="167" t="n"/>
      <c r="L846" s="170" t="n"/>
      <c r="M846" s="170" t="n"/>
      <c r="N846" s="173" t="n"/>
      <c r="O846" s="173" t="n"/>
      <c r="P846" s="173" t="n"/>
      <c r="Q846" s="173" t="n"/>
      <c r="R846" s="173" t="n"/>
      <c r="S846" s="171" t="n"/>
    </row>
    <row r="847" ht="13.8" customHeight="1">
      <c r="A847" s="213">
        <f>IF($H847="UNIDADE CONSTRUTIVA",OFFSET(A847,-1,0)+1,LARGE(A$3:A846,1))</f>
        <v/>
      </c>
      <c r="B847" s="213" t="n"/>
      <c r="C847" s="213" t="n"/>
      <c r="D847" s="214" t="n"/>
      <c r="E847" s="214" t="n"/>
      <c r="G847" s="165" t="n"/>
      <c r="H847" s="165" t="n"/>
      <c r="I847" s="165" t="n"/>
      <c r="J847" s="166" t="n"/>
      <c r="K847" s="167" t="n"/>
      <c r="L847" s="170" t="n"/>
      <c r="M847" s="170" t="n"/>
      <c r="N847" s="173" t="n"/>
      <c r="O847" s="173" t="n"/>
      <c r="P847" s="173" t="n"/>
      <c r="Q847" s="173" t="n"/>
      <c r="R847" s="173" t="n"/>
      <c r="S847" s="171" t="n"/>
    </row>
    <row r="848" ht="13.8" customHeight="1">
      <c r="A848" s="213">
        <f>IF($H848="UNIDADE CONSTRUTIVA",OFFSET(A848,-1,0)+1,LARGE(A$3:A847,1))</f>
        <v/>
      </c>
      <c r="B848" s="213" t="n"/>
      <c r="C848" s="213" t="n"/>
      <c r="D848" s="214" t="n"/>
      <c r="E848" s="214" t="n"/>
      <c r="G848" s="165" t="n"/>
      <c r="H848" s="165" t="n"/>
      <c r="I848" s="165" t="n"/>
      <c r="J848" s="166" t="n"/>
      <c r="K848" s="167" t="n"/>
      <c r="L848" s="170" t="n"/>
      <c r="M848" s="170" t="n"/>
      <c r="N848" s="173" t="n"/>
      <c r="O848" s="173" t="n"/>
      <c r="P848" s="173" t="n"/>
      <c r="Q848" s="173" t="n"/>
      <c r="R848" s="173" t="n"/>
      <c r="S848" s="171" t="n"/>
    </row>
    <row r="849" ht="13.8" customHeight="1">
      <c r="A849" s="213">
        <f>IF($H849="UNIDADE CONSTRUTIVA",OFFSET(A849,-1,0)+1,LARGE(A$3:A848,1))</f>
        <v/>
      </c>
      <c r="B849" s="213" t="n"/>
      <c r="C849" s="213" t="n"/>
      <c r="D849" s="214" t="n"/>
      <c r="E849" s="214" t="n"/>
      <c r="G849" s="165" t="n"/>
      <c r="H849" s="165" t="n"/>
      <c r="I849" s="165" t="n"/>
      <c r="J849" s="166" t="n"/>
      <c r="K849" s="167" t="n"/>
      <c r="L849" s="170" t="n"/>
      <c r="M849" s="170" t="n"/>
      <c r="N849" s="173" t="n"/>
      <c r="O849" s="173" t="n"/>
      <c r="P849" s="173" t="n"/>
      <c r="Q849" s="173" t="n"/>
      <c r="R849" s="173" t="n"/>
      <c r="S849" s="171" t="n"/>
    </row>
    <row r="850" ht="13.8" customHeight="1">
      <c r="A850" s="213">
        <f>IF($H850="UNIDADE CONSTRUTIVA",OFFSET(A850,-1,0)+1,LARGE(A$3:A849,1))</f>
        <v/>
      </c>
      <c r="B850" s="213" t="n"/>
      <c r="C850" s="213" t="n"/>
      <c r="D850" s="214" t="n"/>
      <c r="E850" s="214" t="n"/>
      <c r="G850" s="165" t="n"/>
      <c r="H850" s="165" t="n"/>
      <c r="I850" s="165" t="n"/>
      <c r="J850" s="166" t="n"/>
      <c r="K850" s="167" t="n"/>
      <c r="L850" s="170" t="n"/>
      <c r="M850" s="170" t="n"/>
      <c r="N850" s="173" t="n"/>
      <c r="O850" s="173" t="n"/>
      <c r="P850" s="173" t="n"/>
      <c r="Q850" s="173" t="n"/>
      <c r="R850" s="173" t="n"/>
      <c r="S850" s="171" t="n"/>
    </row>
    <row r="851" ht="13.8" customHeight="1">
      <c r="A851" s="213">
        <f>IF($H851="UNIDADE CONSTRUTIVA",OFFSET(A851,-1,0)+1,LARGE(A$3:A850,1))</f>
        <v/>
      </c>
      <c r="B851" s="213" t="n"/>
      <c r="C851" s="213" t="n"/>
      <c r="D851" s="214" t="n"/>
      <c r="E851" s="214" t="n"/>
      <c r="G851" s="165" t="n"/>
      <c r="H851" s="165" t="n"/>
      <c r="I851" s="165" t="n"/>
      <c r="J851" s="166" t="n"/>
      <c r="K851" s="167" t="n"/>
      <c r="L851" s="170" t="n"/>
      <c r="M851" s="170" t="n"/>
      <c r="N851" s="173" t="n"/>
      <c r="O851" s="173" t="n"/>
      <c r="P851" s="173" t="n"/>
      <c r="Q851" s="173" t="n"/>
      <c r="R851" s="173" t="n"/>
      <c r="S851" s="171" t="n"/>
    </row>
    <row r="852" ht="13.8" customHeight="1">
      <c r="A852" s="213">
        <f>IF($H852="UNIDADE CONSTRUTIVA",OFFSET(A852,-1,0)+1,LARGE(A$3:A851,1))</f>
        <v/>
      </c>
      <c r="B852" s="213" t="n"/>
      <c r="C852" s="213" t="n"/>
      <c r="D852" s="214" t="n"/>
      <c r="E852" s="214" t="n"/>
      <c r="G852" s="165" t="n"/>
      <c r="H852" s="165" t="n"/>
      <c r="I852" s="165" t="n"/>
      <c r="J852" s="166" t="n"/>
      <c r="K852" s="167" t="n"/>
      <c r="L852" s="170" t="n"/>
      <c r="M852" s="170" t="n"/>
      <c r="N852" s="173" t="n"/>
      <c r="O852" s="173" t="n"/>
      <c r="P852" s="173" t="n"/>
      <c r="Q852" s="173" t="n"/>
      <c r="R852" s="173" t="n"/>
      <c r="S852" s="171" t="n"/>
    </row>
    <row r="853" ht="13.8" customHeight="1">
      <c r="A853" s="213">
        <f>IF($H853="UNIDADE CONSTRUTIVA",OFFSET(A853,-1,0)+1,LARGE(A$3:A852,1))</f>
        <v/>
      </c>
      <c r="B853" s="213" t="n"/>
      <c r="C853" s="213" t="n"/>
      <c r="D853" s="214" t="n"/>
      <c r="E853" s="214" t="n"/>
      <c r="G853" s="165" t="n"/>
      <c r="H853" s="165" t="n"/>
      <c r="I853" s="165" t="n"/>
      <c r="J853" s="166" t="n"/>
      <c r="K853" s="167" t="n"/>
      <c r="L853" s="170" t="n"/>
      <c r="M853" s="170" t="n"/>
      <c r="N853" s="173" t="n"/>
      <c r="O853" s="173" t="n"/>
      <c r="P853" s="173" t="n"/>
      <c r="Q853" s="173" t="n"/>
      <c r="R853" s="173" t="n"/>
      <c r="S853" s="171" t="n"/>
    </row>
    <row r="854" ht="13.8" customHeight="1">
      <c r="A854" s="213">
        <f>IF($H854="UNIDADE CONSTRUTIVA",OFFSET(A854,-1,0)+1,LARGE(A$3:A853,1))</f>
        <v/>
      </c>
      <c r="B854" s="213" t="n"/>
      <c r="C854" s="213" t="n"/>
      <c r="D854" s="214" t="n"/>
      <c r="E854" s="214" t="n"/>
      <c r="G854" s="165" t="n"/>
      <c r="H854" s="165" t="n"/>
      <c r="I854" s="165" t="n"/>
      <c r="J854" s="166" t="n"/>
      <c r="K854" s="167" t="n"/>
      <c r="L854" s="170" t="n"/>
      <c r="M854" s="170" t="n"/>
      <c r="N854" s="173" t="n"/>
      <c r="O854" s="173" t="n"/>
      <c r="P854" s="173" t="n"/>
      <c r="Q854" s="173" t="n"/>
      <c r="R854" s="173" t="n"/>
      <c r="S854" s="171" t="n"/>
    </row>
    <row r="855" ht="13.8" customHeight="1">
      <c r="A855" s="213">
        <f>IF($H855="UNIDADE CONSTRUTIVA",OFFSET(A855,-1,0)+1,LARGE(A$3:A854,1))</f>
        <v/>
      </c>
      <c r="B855" s="213" t="n"/>
      <c r="C855" s="213" t="n"/>
      <c r="D855" s="214" t="n"/>
      <c r="E855" s="214" t="n"/>
      <c r="G855" s="165" t="n"/>
      <c r="H855" s="165" t="n"/>
      <c r="I855" s="165" t="n"/>
      <c r="J855" s="166" t="n"/>
      <c r="K855" s="167" t="n"/>
      <c r="L855" s="170" t="n"/>
      <c r="M855" s="170" t="n"/>
      <c r="N855" s="173" t="n"/>
      <c r="O855" s="173" t="n"/>
      <c r="P855" s="173" t="n"/>
      <c r="Q855" s="173" t="n"/>
      <c r="R855" s="173" t="n"/>
      <c r="S855" s="171" t="n"/>
    </row>
    <row r="856" ht="13.8" customHeight="1">
      <c r="A856" s="213">
        <f>IF($H856="UNIDADE CONSTRUTIVA",OFFSET(A856,-1,0)+1,LARGE(A$3:A855,1))</f>
        <v/>
      </c>
      <c r="B856" s="213" t="n"/>
      <c r="C856" s="213" t="n"/>
      <c r="D856" s="214" t="n"/>
      <c r="E856" s="214" t="n"/>
      <c r="G856" s="165" t="n"/>
      <c r="H856" s="165" t="n"/>
      <c r="I856" s="165" t="n"/>
      <c r="J856" s="166" t="n"/>
      <c r="K856" s="167" t="n"/>
      <c r="L856" s="170" t="n"/>
      <c r="M856" s="170" t="n"/>
      <c r="N856" s="173" t="n"/>
      <c r="O856" s="173" t="n"/>
      <c r="P856" s="173" t="n"/>
      <c r="Q856" s="173" t="n"/>
      <c r="R856" s="173" t="n"/>
      <c r="S856" s="171" t="n"/>
    </row>
    <row r="857" ht="13.8" customHeight="1">
      <c r="A857" s="213">
        <f>IF($H857="UNIDADE CONSTRUTIVA",OFFSET(A857,-1,0)+1,LARGE(A$3:A856,1))</f>
        <v/>
      </c>
      <c r="B857" s="213" t="n"/>
      <c r="C857" s="213" t="n"/>
      <c r="D857" s="214" t="n"/>
      <c r="E857" s="214" t="n"/>
      <c r="G857" s="165" t="n"/>
      <c r="H857" s="165" t="n"/>
      <c r="I857" s="165" t="n"/>
      <c r="J857" s="166" t="n"/>
      <c r="K857" s="167" t="n"/>
      <c r="L857" s="170" t="n"/>
      <c r="M857" s="170" t="n"/>
      <c r="N857" s="173" t="n"/>
      <c r="O857" s="173" t="n"/>
      <c r="P857" s="173" t="n"/>
      <c r="Q857" s="173" t="n"/>
      <c r="R857" s="173" t="n"/>
      <c r="S857" s="171" t="n"/>
    </row>
    <row r="858" ht="13.8" customHeight="1">
      <c r="A858" s="213">
        <f>IF($H858="UNIDADE CONSTRUTIVA",OFFSET(A858,-1,0)+1,LARGE(A$3:A857,1))</f>
        <v/>
      </c>
      <c r="B858" s="213" t="n"/>
      <c r="C858" s="213" t="n"/>
      <c r="D858" s="214" t="n"/>
      <c r="E858" s="214" t="n"/>
      <c r="G858" s="165" t="n"/>
      <c r="H858" s="165" t="n"/>
      <c r="I858" s="165" t="n"/>
      <c r="J858" s="166" t="n"/>
      <c r="K858" s="167" t="n"/>
      <c r="L858" s="170" t="n"/>
      <c r="M858" s="170" t="n"/>
      <c r="N858" s="173" t="n"/>
      <c r="O858" s="173" t="n"/>
      <c r="P858" s="173" t="n"/>
      <c r="Q858" s="173" t="n"/>
      <c r="R858" s="173" t="n"/>
      <c r="S858" s="171" t="n"/>
    </row>
    <row r="859" ht="13.8" customHeight="1">
      <c r="A859" s="213">
        <f>IF($H859="UNIDADE CONSTRUTIVA",OFFSET(A859,-1,0)+1,LARGE(A$3:A858,1))</f>
        <v/>
      </c>
      <c r="B859" s="213" t="n"/>
      <c r="C859" s="213" t="n"/>
      <c r="D859" s="214" t="n"/>
      <c r="E859" s="214" t="n"/>
      <c r="G859" s="165" t="n"/>
      <c r="H859" s="165" t="n"/>
      <c r="I859" s="165" t="n"/>
      <c r="J859" s="166" t="n"/>
      <c r="K859" s="167" t="n"/>
      <c r="L859" s="170" t="n"/>
      <c r="M859" s="170" t="n"/>
      <c r="N859" s="173" t="n"/>
      <c r="O859" s="173" t="n"/>
      <c r="P859" s="173" t="n"/>
      <c r="Q859" s="173" t="n"/>
      <c r="R859" s="173" t="n"/>
      <c r="S859" s="171" t="n"/>
    </row>
    <row r="860" ht="13.8" customHeight="1">
      <c r="A860" s="213">
        <f>IF($H860="UNIDADE CONSTRUTIVA",OFFSET(A860,-1,0)+1,LARGE(A$3:A859,1))</f>
        <v/>
      </c>
      <c r="B860" s="213" t="n"/>
      <c r="C860" s="213" t="n"/>
      <c r="D860" s="214" t="n"/>
      <c r="E860" s="214" t="n"/>
      <c r="G860" s="165" t="n"/>
      <c r="H860" s="165" t="n"/>
      <c r="I860" s="165" t="n"/>
      <c r="J860" s="166" t="n"/>
      <c r="K860" s="167" t="n"/>
      <c r="L860" s="170" t="n"/>
      <c r="M860" s="170" t="n"/>
      <c r="N860" s="173" t="n"/>
      <c r="O860" s="173" t="n"/>
      <c r="P860" s="173" t="n"/>
      <c r="Q860" s="173" t="n"/>
      <c r="R860" s="173" t="n"/>
      <c r="S860" s="171" t="n"/>
    </row>
    <row r="861" ht="13.8" customHeight="1">
      <c r="A861" s="213">
        <f>IF($H861="UNIDADE CONSTRUTIVA",OFFSET(A861,-1,0)+1,LARGE(A$3:A860,1))</f>
        <v/>
      </c>
      <c r="B861" s="213" t="n"/>
      <c r="C861" s="213" t="n"/>
      <c r="D861" s="214" t="n"/>
      <c r="E861" s="214" t="n"/>
      <c r="G861" s="165" t="n"/>
      <c r="H861" s="165" t="n"/>
      <c r="I861" s="165" t="n"/>
      <c r="J861" s="166" t="n"/>
      <c r="K861" s="167" t="n"/>
      <c r="L861" s="170" t="n"/>
      <c r="M861" s="170" t="n"/>
      <c r="N861" s="173" t="n"/>
      <c r="O861" s="173" t="n"/>
      <c r="P861" s="173" t="n"/>
      <c r="Q861" s="173" t="n"/>
      <c r="R861" s="173" t="n"/>
      <c r="S861" s="171" t="n"/>
    </row>
    <row r="862" ht="13.8" customHeight="1">
      <c r="A862" s="213">
        <f>IF($H862="UNIDADE CONSTRUTIVA",OFFSET(A862,-1,0)+1,LARGE(A$3:A861,1))</f>
        <v/>
      </c>
      <c r="B862" s="213" t="n"/>
      <c r="C862" s="213" t="n"/>
      <c r="D862" s="214" t="n"/>
      <c r="E862" s="214" t="n"/>
      <c r="G862" s="165" t="n"/>
      <c r="H862" s="165" t="n"/>
      <c r="I862" s="165" t="n"/>
      <c r="J862" s="166" t="n"/>
      <c r="K862" s="167" t="n"/>
      <c r="L862" s="170" t="n"/>
      <c r="M862" s="170" t="n"/>
      <c r="N862" s="173" t="n"/>
      <c r="O862" s="173" t="n"/>
      <c r="P862" s="173" t="n"/>
      <c r="Q862" s="173" t="n"/>
      <c r="R862" s="173" t="n"/>
      <c r="S862" s="171" t="n"/>
    </row>
    <row r="863" ht="13.8" customHeight="1">
      <c r="A863" s="213">
        <f>IF($H863="UNIDADE CONSTRUTIVA",OFFSET(A863,-1,0)+1,LARGE(A$3:A862,1))</f>
        <v/>
      </c>
      <c r="B863" s="213" t="n"/>
      <c r="C863" s="213" t="n"/>
      <c r="D863" s="214" t="n"/>
      <c r="E863" s="214" t="n"/>
      <c r="G863" s="165" t="n"/>
      <c r="H863" s="165" t="n"/>
      <c r="I863" s="165" t="n"/>
      <c r="J863" s="166" t="n"/>
      <c r="K863" s="167" t="n"/>
      <c r="L863" s="170" t="n"/>
      <c r="M863" s="170" t="n"/>
      <c r="N863" s="173" t="n"/>
      <c r="O863" s="173" t="n"/>
      <c r="P863" s="173" t="n"/>
      <c r="Q863" s="173" t="n"/>
      <c r="R863" s="173" t="n"/>
      <c r="S863" s="171" t="n"/>
    </row>
    <row r="864" ht="13.8" customHeight="1">
      <c r="A864" s="213">
        <f>IF($H864="UNIDADE CONSTRUTIVA",OFFSET(A864,-1,0)+1,LARGE(A$3:A863,1))</f>
        <v/>
      </c>
      <c r="B864" s="213" t="n"/>
      <c r="C864" s="213" t="n"/>
      <c r="D864" s="214" t="n"/>
      <c r="E864" s="214" t="n"/>
      <c r="G864" s="165" t="n"/>
      <c r="H864" s="165" t="n"/>
      <c r="I864" s="165" t="n"/>
      <c r="J864" s="166" t="n"/>
      <c r="K864" s="167" t="n"/>
      <c r="L864" s="170" t="n"/>
      <c r="M864" s="170" t="n"/>
      <c r="N864" s="173" t="n"/>
      <c r="O864" s="173" t="n"/>
      <c r="P864" s="173" t="n"/>
      <c r="Q864" s="173" t="n"/>
      <c r="R864" s="173" t="n"/>
      <c r="S864" s="171" t="n"/>
    </row>
    <row r="865" ht="13.8" customHeight="1">
      <c r="A865" s="213">
        <f>IF($H865="UNIDADE CONSTRUTIVA",OFFSET(A865,-1,0)+1,LARGE(A$3:A864,1))</f>
        <v/>
      </c>
      <c r="B865" s="213" t="n"/>
      <c r="C865" s="213" t="n"/>
      <c r="D865" s="214" t="n"/>
      <c r="E865" s="214" t="n"/>
      <c r="G865" s="165" t="n"/>
      <c r="H865" s="165" t="n"/>
      <c r="I865" s="165" t="n"/>
      <c r="J865" s="166" t="n"/>
      <c r="K865" s="167" t="n"/>
      <c r="L865" s="170" t="n"/>
      <c r="M865" s="170" t="n"/>
      <c r="N865" s="173" t="n"/>
      <c r="O865" s="173" t="n"/>
      <c r="P865" s="173" t="n"/>
      <c r="Q865" s="173" t="n"/>
      <c r="R865" s="173" t="n"/>
      <c r="S865" s="171" t="n"/>
    </row>
    <row r="866" ht="13.8" customHeight="1">
      <c r="A866" s="213">
        <f>IF($H866="UNIDADE CONSTRUTIVA",OFFSET(A866,-1,0)+1,LARGE(A$3:A865,1))</f>
        <v/>
      </c>
      <c r="B866" s="213" t="n"/>
      <c r="C866" s="213" t="n"/>
      <c r="D866" s="214" t="n"/>
      <c r="E866" s="214" t="n"/>
      <c r="G866" s="165" t="n"/>
      <c r="H866" s="165" t="n"/>
      <c r="I866" s="165" t="n"/>
      <c r="J866" s="166" t="n"/>
      <c r="K866" s="167" t="n"/>
      <c r="L866" s="170" t="n"/>
      <c r="M866" s="170" t="n"/>
      <c r="N866" s="173" t="n"/>
      <c r="O866" s="173" t="n"/>
      <c r="P866" s="173" t="n"/>
      <c r="Q866" s="173" t="n"/>
      <c r="R866" s="173" t="n"/>
      <c r="S866" s="171" t="n"/>
    </row>
    <row r="867" ht="13.8" customHeight="1">
      <c r="A867" s="213">
        <f>IF($H867="UNIDADE CONSTRUTIVA",OFFSET(A867,-1,0)+1,LARGE(A$3:A866,1))</f>
        <v/>
      </c>
      <c r="B867" s="213" t="n"/>
      <c r="C867" s="213" t="n"/>
      <c r="D867" s="214" t="n"/>
      <c r="E867" s="214" t="n"/>
      <c r="G867" s="165" t="n"/>
      <c r="H867" s="165" t="n"/>
      <c r="I867" s="165" t="n"/>
      <c r="J867" s="166" t="n"/>
      <c r="K867" s="167" t="n"/>
      <c r="L867" s="170" t="n"/>
      <c r="M867" s="170" t="n"/>
      <c r="N867" s="173" t="n"/>
      <c r="O867" s="173" t="n"/>
      <c r="P867" s="173" t="n"/>
      <c r="Q867" s="173" t="n"/>
      <c r="R867" s="173" t="n"/>
      <c r="S867" s="171" t="n"/>
    </row>
    <row r="868" ht="13.8" customHeight="1">
      <c r="A868" s="213">
        <f>IF($H868="UNIDADE CONSTRUTIVA",OFFSET(A868,-1,0)+1,LARGE(A$3:A867,1))</f>
        <v/>
      </c>
      <c r="B868" s="213" t="n"/>
      <c r="C868" s="213" t="n"/>
      <c r="D868" s="214" t="n"/>
      <c r="E868" s="214" t="n"/>
      <c r="G868" s="165" t="n"/>
      <c r="H868" s="165" t="n"/>
      <c r="I868" s="165" t="n"/>
      <c r="J868" s="166" t="n"/>
      <c r="K868" s="167" t="n"/>
      <c r="L868" s="170" t="n"/>
      <c r="M868" s="170" t="n"/>
      <c r="N868" s="173" t="n"/>
      <c r="O868" s="173" t="n"/>
      <c r="P868" s="173" t="n"/>
      <c r="Q868" s="173" t="n"/>
      <c r="R868" s="173" t="n"/>
      <c r="S868" s="171" t="n"/>
    </row>
    <row r="869" ht="13.8" customHeight="1">
      <c r="A869" s="213">
        <f>IF($H869="UNIDADE CONSTRUTIVA",OFFSET(A869,-1,0)+1,LARGE(A$3:A868,1))</f>
        <v/>
      </c>
      <c r="B869" s="213" t="n"/>
      <c r="C869" s="213" t="n"/>
      <c r="D869" s="214" t="n"/>
      <c r="E869" s="214" t="n"/>
      <c r="G869" s="165" t="n"/>
      <c r="H869" s="165" t="n"/>
      <c r="I869" s="165" t="n"/>
      <c r="J869" s="166" t="n"/>
      <c r="K869" s="167" t="n"/>
      <c r="L869" s="170" t="n"/>
      <c r="M869" s="170" t="n"/>
      <c r="N869" s="173" t="n"/>
      <c r="O869" s="173" t="n"/>
      <c r="P869" s="173" t="n"/>
      <c r="Q869" s="173" t="n"/>
      <c r="R869" s="173" t="n"/>
      <c r="S869" s="171" t="n"/>
    </row>
    <row r="870" ht="13.8" customHeight="1">
      <c r="A870" s="213">
        <f>IF($H870="UNIDADE CONSTRUTIVA",OFFSET(A870,-1,0)+1,LARGE(A$3:A869,1))</f>
        <v/>
      </c>
      <c r="B870" s="213" t="n"/>
      <c r="C870" s="213" t="n"/>
      <c r="D870" s="214" t="n"/>
      <c r="E870" s="214" t="n"/>
      <c r="G870" s="165" t="n"/>
      <c r="H870" s="165" t="n"/>
      <c r="I870" s="165" t="n"/>
      <c r="J870" s="166" t="n"/>
      <c r="K870" s="167" t="n"/>
      <c r="L870" s="170" t="n"/>
      <c r="M870" s="170" t="n"/>
      <c r="N870" s="173" t="n"/>
      <c r="O870" s="173" t="n"/>
      <c r="P870" s="173" t="n"/>
      <c r="Q870" s="173" t="n"/>
      <c r="R870" s="173" t="n"/>
      <c r="S870" s="171" t="n"/>
    </row>
    <row r="871" ht="13.8" customHeight="1">
      <c r="A871" s="213">
        <f>IF($H871="UNIDADE CONSTRUTIVA",OFFSET(A871,-1,0)+1,LARGE(A$3:A870,1))</f>
        <v/>
      </c>
      <c r="B871" s="213" t="n"/>
      <c r="C871" s="213" t="n"/>
      <c r="D871" s="214" t="n"/>
      <c r="E871" s="214" t="n"/>
      <c r="G871" s="165" t="n"/>
      <c r="H871" s="165" t="n"/>
      <c r="I871" s="165" t="n"/>
      <c r="J871" s="166" t="n"/>
      <c r="K871" s="167" t="n"/>
      <c r="L871" s="170" t="n"/>
      <c r="M871" s="170" t="n"/>
      <c r="N871" s="173" t="n"/>
      <c r="O871" s="173" t="n"/>
      <c r="P871" s="173" t="n"/>
      <c r="Q871" s="173" t="n"/>
      <c r="R871" s="173" t="n"/>
      <c r="S871" s="171" t="n"/>
    </row>
    <row r="872" ht="13.8" customHeight="1">
      <c r="A872" s="213">
        <f>IF($H872="UNIDADE CONSTRUTIVA",OFFSET(A872,-1,0)+1,LARGE(A$3:A871,1))</f>
        <v/>
      </c>
      <c r="B872" s="213" t="n"/>
      <c r="C872" s="213" t="n"/>
      <c r="D872" s="214" t="n"/>
      <c r="E872" s="214" t="n"/>
      <c r="G872" s="165" t="n"/>
      <c r="H872" s="165" t="n"/>
      <c r="I872" s="165" t="n"/>
      <c r="J872" s="166" t="n"/>
      <c r="K872" s="167" t="n"/>
      <c r="L872" s="170" t="n"/>
      <c r="M872" s="170" t="n"/>
      <c r="N872" s="173" t="n"/>
      <c r="O872" s="173" t="n"/>
      <c r="P872" s="173" t="n"/>
      <c r="Q872" s="173" t="n"/>
      <c r="R872" s="173" t="n"/>
      <c r="S872" s="171" t="n"/>
    </row>
    <row r="873" ht="13.8" customHeight="1">
      <c r="A873" s="213">
        <f>IF($H873="UNIDADE CONSTRUTIVA",OFFSET(A873,-1,0)+1,LARGE(A$3:A872,1))</f>
        <v/>
      </c>
      <c r="B873" s="213" t="n"/>
      <c r="C873" s="213" t="n"/>
      <c r="D873" s="214" t="n"/>
      <c r="E873" s="214" t="n"/>
      <c r="G873" s="165" t="n"/>
      <c r="H873" s="165" t="n"/>
      <c r="I873" s="165" t="n"/>
      <c r="J873" s="166" t="n"/>
      <c r="K873" s="167" t="n"/>
      <c r="L873" s="170" t="n"/>
      <c r="M873" s="170" t="n"/>
      <c r="N873" s="173" t="n"/>
      <c r="O873" s="173" t="n"/>
      <c r="P873" s="173" t="n"/>
      <c r="Q873" s="173" t="n"/>
      <c r="R873" s="173" t="n"/>
      <c r="S873" s="171" t="n"/>
    </row>
    <row r="874" ht="13.8" customHeight="1">
      <c r="A874" s="213">
        <f>IF($H874="UNIDADE CONSTRUTIVA",OFFSET(A874,-1,0)+1,LARGE(A$3:A873,1))</f>
        <v/>
      </c>
      <c r="B874" s="213" t="n"/>
      <c r="C874" s="213" t="n"/>
      <c r="D874" s="214" t="n"/>
      <c r="E874" s="214" t="n"/>
      <c r="G874" s="165" t="n"/>
      <c r="H874" s="165" t="n"/>
      <c r="I874" s="165" t="n"/>
      <c r="J874" s="166" t="n"/>
      <c r="K874" s="167" t="n"/>
      <c r="L874" s="170" t="n"/>
      <c r="M874" s="170" t="n"/>
      <c r="N874" s="173" t="n"/>
      <c r="O874" s="173" t="n"/>
      <c r="P874" s="173" t="n"/>
      <c r="Q874" s="173" t="n"/>
      <c r="R874" s="173" t="n"/>
      <c r="S874" s="171" t="n"/>
    </row>
    <row r="875" ht="13.8" customHeight="1">
      <c r="A875" s="213">
        <f>IF($H875="UNIDADE CONSTRUTIVA",OFFSET(A875,-1,0)+1,LARGE(A$3:A874,1))</f>
        <v/>
      </c>
      <c r="B875" s="213" t="n"/>
      <c r="C875" s="213" t="n"/>
      <c r="D875" s="214" t="n"/>
      <c r="E875" s="214" t="n"/>
      <c r="G875" s="165" t="n"/>
      <c r="H875" s="165" t="n"/>
      <c r="I875" s="165" t="n"/>
      <c r="J875" s="166" t="n"/>
      <c r="K875" s="167" t="n"/>
      <c r="L875" s="170" t="n"/>
      <c r="M875" s="170" t="n"/>
      <c r="N875" s="173" t="n"/>
      <c r="O875" s="173" t="n"/>
      <c r="P875" s="173" t="n"/>
      <c r="Q875" s="173" t="n"/>
      <c r="R875" s="173" t="n"/>
      <c r="S875" s="171" t="n"/>
    </row>
    <row r="876" ht="13.8" customHeight="1">
      <c r="A876" s="213">
        <f>IF($H876="UNIDADE CONSTRUTIVA",OFFSET(A876,-1,0)+1,LARGE(A$3:A875,1))</f>
        <v/>
      </c>
      <c r="B876" s="213" t="n"/>
      <c r="C876" s="213" t="n"/>
      <c r="D876" s="214" t="n"/>
      <c r="E876" s="214" t="n"/>
      <c r="G876" s="165" t="n"/>
      <c r="H876" s="165" t="n"/>
      <c r="I876" s="165" t="n"/>
      <c r="J876" s="166" t="n"/>
      <c r="K876" s="167" t="n"/>
      <c r="L876" s="170" t="n"/>
      <c r="M876" s="170" t="n"/>
      <c r="N876" s="173" t="n"/>
      <c r="O876" s="173" t="n"/>
      <c r="P876" s="173" t="n"/>
      <c r="Q876" s="173" t="n"/>
      <c r="R876" s="173" t="n"/>
      <c r="S876" s="171" t="n"/>
    </row>
    <row r="877" ht="13.8" customHeight="1">
      <c r="A877" s="213">
        <f>IF($H877="UNIDADE CONSTRUTIVA",OFFSET(A877,-1,0)+1,LARGE(A$3:A876,1))</f>
        <v/>
      </c>
      <c r="B877" s="213" t="n"/>
      <c r="C877" s="213" t="n"/>
      <c r="D877" s="214" t="n"/>
      <c r="E877" s="214" t="n"/>
      <c r="G877" s="165" t="n"/>
      <c r="H877" s="165" t="n"/>
      <c r="I877" s="165" t="n"/>
      <c r="J877" s="166" t="n"/>
      <c r="K877" s="167" t="n"/>
      <c r="L877" s="170" t="n"/>
      <c r="M877" s="170" t="n"/>
      <c r="N877" s="173" t="n"/>
      <c r="O877" s="173" t="n"/>
      <c r="P877" s="173" t="n"/>
      <c r="Q877" s="173" t="n"/>
      <c r="R877" s="173" t="n"/>
      <c r="S877" s="171" t="n"/>
    </row>
    <row r="878" ht="13.8" customHeight="1">
      <c r="A878" s="213">
        <f>IF($H878="UNIDADE CONSTRUTIVA",OFFSET(A878,-1,0)+1,LARGE(A$3:A877,1))</f>
        <v/>
      </c>
      <c r="B878" s="213" t="n"/>
      <c r="C878" s="213" t="n"/>
      <c r="D878" s="214" t="n"/>
      <c r="E878" s="214" t="n"/>
      <c r="G878" s="165" t="n"/>
      <c r="H878" s="165" t="n"/>
      <c r="I878" s="165" t="n"/>
      <c r="J878" s="166" t="n"/>
      <c r="K878" s="167" t="n"/>
      <c r="L878" s="170" t="n"/>
      <c r="M878" s="170" t="n"/>
      <c r="N878" s="173" t="n"/>
      <c r="O878" s="173" t="n"/>
      <c r="P878" s="173" t="n"/>
      <c r="Q878" s="173" t="n"/>
      <c r="R878" s="173" t="n"/>
      <c r="S878" s="171" t="n"/>
    </row>
    <row r="879" ht="13.8" customHeight="1">
      <c r="A879" s="213">
        <f>IF($H879="UNIDADE CONSTRUTIVA",OFFSET(A879,-1,0)+1,LARGE(A$3:A878,1))</f>
        <v/>
      </c>
      <c r="B879" s="213" t="n"/>
      <c r="C879" s="213" t="n"/>
      <c r="D879" s="214" t="n"/>
      <c r="E879" s="214" t="n"/>
      <c r="G879" s="165" t="n"/>
      <c r="H879" s="165" t="n"/>
      <c r="I879" s="165" t="n"/>
      <c r="J879" s="166" t="n"/>
      <c r="K879" s="167" t="n"/>
      <c r="L879" s="170" t="n"/>
      <c r="M879" s="170" t="n"/>
      <c r="N879" s="173" t="n"/>
      <c r="O879" s="173" t="n"/>
      <c r="P879" s="173" t="n"/>
      <c r="Q879" s="173" t="n"/>
      <c r="R879" s="173" t="n"/>
      <c r="S879" s="171" t="n"/>
    </row>
    <row r="880" ht="13.8" customHeight="1">
      <c r="A880" s="213">
        <f>IF($H880="UNIDADE CONSTRUTIVA",OFFSET(A880,-1,0)+1,LARGE(A$3:A879,1))</f>
        <v/>
      </c>
      <c r="B880" s="213" t="n"/>
      <c r="C880" s="213" t="n"/>
      <c r="D880" s="214" t="n"/>
      <c r="E880" s="214" t="n"/>
      <c r="G880" s="165" t="n"/>
      <c r="H880" s="165" t="n"/>
      <c r="I880" s="165" t="n"/>
      <c r="J880" s="166" t="n"/>
      <c r="K880" s="167" t="n"/>
      <c r="L880" s="170" t="n"/>
      <c r="M880" s="170" t="n"/>
      <c r="N880" s="173" t="n"/>
      <c r="O880" s="173" t="n"/>
      <c r="P880" s="173" t="n"/>
      <c r="Q880" s="173" t="n"/>
      <c r="R880" s="173" t="n"/>
      <c r="S880" s="171" t="n"/>
    </row>
    <row r="881" ht="13.8" customHeight="1">
      <c r="A881" s="213">
        <f>IF($H881="UNIDADE CONSTRUTIVA",OFFSET(A881,-1,0)+1,LARGE(A$3:A880,1))</f>
        <v/>
      </c>
      <c r="B881" s="213" t="n"/>
      <c r="C881" s="213" t="n"/>
      <c r="D881" s="214" t="n"/>
      <c r="E881" s="214" t="n"/>
      <c r="G881" s="165" t="n"/>
      <c r="H881" s="165" t="n"/>
      <c r="I881" s="165" t="n"/>
      <c r="J881" s="166" t="n"/>
      <c r="K881" s="167" t="n"/>
      <c r="L881" s="170" t="n"/>
      <c r="M881" s="170" t="n"/>
      <c r="N881" s="173" t="n"/>
      <c r="O881" s="173" t="n"/>
      <c r="P881" s="173" t="n"/>
      <c r="Q881" s="173" t="n"/>
      <c r="R881" s="173" t="n"/>
      <c r="S881" s="171" t="n"/>
    </row>
    <row r="882" ht="13.8" customHeight="1">
      <c r="A882" s="213">
        <f>IF($H882="UNIDADE CONSTRUTIVA",OFFSET(A882,-1,0)+1,LARGE(A$3:A881,1))</f>
        <v/>
      </c>
      <c r="B882" s="213" t="n"/>
      <c r="C882" s="213" t="n"/>
      <c r="D882" s="214" t="n"/>
      <c r="E882" s="214" t="n"/>
      <c r="G882" s="165" t="n"/>
      <c r="H882" s="165" t="n"/>
      <c r="I882" s="165" t="n"/>
      <c r="J882" s="166" t="n"/>
      <c r="K882" s="167" t="n"/>
      <c r="L882" s="170" t="n"/>
      <c r="M882" s="170" t="n"/>
      <c r="N882" s="173" t="n"/>
      <c r="O882" s="173" t="n"/>
      <c r="P882" s="173" t="n"/>
      <c r="Q882" s="173" t="n"/>
      <c r="R882" s="173" t="n"/>
      <c r="S882" s="171" t="n"/>
    </row>
    <row r="883" ht="13.8" customHeight="1">
      <c r="A883" s="213">
        <f>IF($H883="UNIDADE CONSTRUTIVA",OFFSET(A883,-1,0)+1,LARGE(A$3:A882,1))</f>
        <v/>
      </c>
      <c r="B883" s="213" t="n"/>
      <c r="C883" s="213" t="n"/>
      <c r="D883" s="214" t="n"/>
      <c r="E883" s="214" t="n"/>
      <c r="G883" s="165" t="n"/>
      <c r="H883" s="165" t="n"/>
      <c r="I883" s="165" t="n"/>
      <c r="J883" s="166" t="n"/>
      <c r="K883" s="167" t="n"/>
      <c r="L883" s="170" t="n"/>
      <c r="M883" s="170" t="n"/>
      <c r="N883" s="173" t="n"/>
      <c r="O883" s="173" t="n"/>
      <c r="P883" s="173" t="n"/>
      <c r="Q883" s="173" t="n"/>
      <c r="R883" s="173" t="n"/>
      <c r="S883" s="171" t="n"/>
    </row>
    <row r="884" ht="13.8" customHeight="1">
      <c r="A884" s="213">
        <f>IF($H884="UNIDADE CONSTRUTIVA",OFFSET(A884,-1,0)+1,LARGE(A$3:A883,1))</f>
        <v/>
      </c>
      <c r="B884" s="213" t="n"/>
      <c r="C884" s="213" t="n"/>
      <c r="D884" s="214" t="n"/>
      <c r="E884" s="214" t="n"/>
      <c r="G884" s="165" t="n"/>
      <c r="H884" s="165" t="n"/>
      <c r="I884" s="165" t="n"/>
      <c r="J884" s="166" t="n"/>
      <c r="K884" s="167" t="n"/>
      <c r="L884" s="170" t="n"/>
      <c r="M884" s="170" t="n"/>
      <c r="N884" s="173" t="n"/>
      <c r="O884" s="173" t="n"/>
      <c r="P884" s="173" t="n"/>
      <c r="Q884" s="173" t="n"/>
      <c r="R884" s="173" t="n"/>
      <c r="S884" s="171" t="n"/>
    </row>
    <row r="885" ht="13.8" customHeight="1">
      <c r="A885" s="213">
        <f>IF($H885="UNIDADE CONSTRUTIVA",OFFSET(A885,-1,0)+1,LARGE(A$3:A884,1))</f>
        <v/>
      </c>
      <c r="B885" s="213" t="n"/>
      <c r="C885" s="213" t="n"/>
      <c r="D885" s="214" t="n"/>
      <c r="E885" s="214" t="n"/>
      <c r="G885" s="165" t="n"/>
      <c r="H885" s="165" t="n"/>
      <c r="I885" s="165" t="n"/>
      <c r="J885" s="166" t="n"/>
      <c r="K885" s="167" t="n"/>
      <c r="L885" s="170" t="n"/>
      <c r="M885" s="170" t="n"/>
      <c r="N885" s="173" t="n"/>
      <c r="O885" s="173" t="n"/>
      <c r="P885" s="173" t="n"/>
      <c r="Q885" s="173" t="n"/>
      <c r="R885" s="173" t="n"/>
      <c r="S885" s="171" t="n"/>
    </row>
    <row r="886" ht="13.8" customHeight="1">
      <c r="A886" s="213">
        <f>IF($H886="UNIDADE CONSTRUTIVA",OFFSET(A886,-1,0)+1,LARGE(A$3:A885,1))</f>
        <v/>
      </c>
      <c r="B886" s="213" t="n"/>
      <c r="C886" s="213" t="n"/>
      <c r="D886" s="214" t="n"/>
      <c r="E886" s="214" t="n"/>
      <c r="G886" s="165" t="n"/>
      <c r="H886" s="165" t="n"/>
      <c r="I886" s="165" t="n"/>
      <c r="J886" s="166" t="n"/>
      <c r="K886" s="167" t="n"/>
      <c r="L886" s="170" t="n"/>
      <c r="M886" s="170" t="n"/>
      <c r="N886" s="173" t="n"/>
      <c r="O886" s="173" t="n"/>
      <c r="P886" s="173" t="n"/>
      <c r="Q886" s="173" t="n"/>
      <c r="R886" s="173" t="n"/>
      <c r="S886" s="171" t="n"/>
    </row>
    <row r="887" ht="13.8" customHeight="1">
      <c r="A887" s="213">
        <f>IF($H887="UNIDADE CONSTRUTIVA",OFFSET(A887,-1,0)+1,LARGE(A$3:A886,1))</f>
        <v/>
      </c>
      <c r="B887" s="213" t="n"/>
      <c r="C887" s="213" t="n"/>
      <c r="D887" s="214" t="n"/>
      <c r="E887" s="214" t="n"/>
      <c r="G887" s="165" t="n"/>
      <c r="H887" s="165" t="n"/>
      <c r="I887" s="165" t="n"/>
      <c r="J887" s="166" t="n"/>
      <c r="K887" s="167" t="n"/>
      <c r="L887" s="170" t="n"/>
      <c r="M887" s="170" t="n"/>
      <c r="N887" s="173" t="n"/>
      <c r="O887" s="173" t="n"/>
      <c r="P887" s="173" t="n"/>
      <c r="Q887" s="173" t="n"/>
      <c r="R887" s="173" t="n"/>
      <c r="S887" s="171" t="n"/>
    </row>
    <row r="888" ht="13.8" customHeight="1">
      <c r="A888" s="213">
        <f>IF($H888="UNIDADE CONSTRUTIVA",OFFSET(A888,-1,0)+1,LARGE(A$3:A887,1))</f>
        <v/>
      </c>
      <c r="B888" s="213" t="n"/>
      <c r="C888" s="213" t="n"/>
      <c r="D888" s="214" t="n"/>
      <c r="E888" s="214" t="n"/>
      <c r="G888" s="165" t="n"/>
      <c r="H888" s="165" t="n"/>
      <c r="I888" s="165" t="n"/>
      <c r="J888" s="166" t="n"/>
      <c r="K888" s="167" t="n"/>
      <c r="L888" s="170" t="n"/>
      <c r="M888" s="170" t="n"/>
      <c r="N888" s="173" t="n"/>
      <c r="O888" s="173" t="n"/>
      <c r="P888" s="173" t="n"/>
      <c r="Q888" s="173" t="n"/>
      <c r="R888" s="173" t="n"/>
      <c r="S888" s="171" t="n"/>
    </row>
    <row r="889" ht="13.8" customHeight="1">
      <c r="A889" s="213">
        <f>IF($H889="UNIDADE CONSTRUTIVA",OFFSET(A889,-1,0)+1,LARGE(A$3:A888,1))</f>
        <v/>
      </c>
      <c r="B889" s="213" t="n"/>
      <c r="C889" s="213" t="n"/>
      <c r="D889" s="214" t="n"/>
      <c r="E889" s="214" t="n"/>
      <c r="G889" s="165" t="n"/>
      <c r="H889" s="165" t="n"/>
      <c r="I889" s="165" t="n"/>
      <c r="J889" s="166" t="n"/>
      <c r="K889" s="167" t="n"/>
      <c r="L889" s="170" t="n"/>
      <c r="M889" s="170" t="n"/>
      <c r="N889" s="173" t="n"/>
      <c r="O889" s="173" t="n"/>
      <c r="P889" s="173" t="n"/>
      <c r="Q889" s="173" t="n"/>
      <c r="R889" s="173" t="n"/>
      <c r="S889" s="171" t="n"/>
    </row>
    <row r="890" ht="13.8" customHeight="1">
      <c r="A890" s="213">
        <f>IF($H890="UNIDADE CONSTRUTIVA",OFFSET(A890,-1,0)+1,LARGE(A$3:A889,1))</f>
        <v/>
      </c>
      <c r="B890" s="213" t="n"/>
      <c r="C890" s="213" t="n"/>
      <c r="D890" s="214" t="n"/>
      <c r="E890" s="214" t="n"/>
      <c r="G890" s="165" t="n"/>
      <c r="H890" s="165" t="n"/>
      <c r="I890" s="165" t="n"/>
      <c r="J890" s="166" t="n"/>
      <c r="K890" s="167" t="n"/>
      <c r="L890" s="170" t="n"/>
      <c r="M890" s="170" t="n"/>
      <c r="N890" s="173" t="n"/>
      <c r="O890" s="173" t="n"/>
      <c r="P890" s="173" t="n"/>
      <c r="Q890" s="173" t="n"/>
      <c r="R890" s="173" t="n"/>
      <c r="S890" s="171" t="n"/>
    </row>
    <row r="891" ht="13.8" customHeight="1">
      <c r="A891" s="213">
        <f>IF($H891="UNIDADE CONSTRUTIVA",OFFSET(A891,-1,0)+1,LARGE(A$3:A890,1))</f>
        <v/>
      </c>
      <c r="B891" s="213" t="n"/>
      <c r="C891" s="213" t="n"/>
      <c r="D891" s="214" t="n"/>
      <c r="E891" s="214" t="n"/>
      <c r="G891" s="165" t="n"/>
      <c r="H891" s="165" t="n"/>
      <c r="I891" s="165" t="n"/>
      <c r="J891" s="166" t="n"/>
      <c r="K891" s="167" t="n"/>
      <c r="L891" s="170" t="n"/>
      <c r="M891" s="170" t="n"/>
      <c r="N891" s="173" t="n"/>
      <c r="O891" s="173" t="n"/>
      <c r="P891" s="173" t="n"/>
      <c r="Q891" s="173" t="n"/>
      <c r="R891" s="173" t="n"/>
      <c r="S891" s="171" t="n"/>
    </row>
    <row r="892" ht="13.8" customHeight="1">
      <c r="A892" s="213">
        <f>IF($H892="UNIDADE CONSTRUTIVA",OFFSET(A892,-1,0)+1,LARGE(A$3:A891,1))</f>
        <v/>
      </c>
      <c r="B892" s="213" t="n"/>
      <c r="C892" s="213" t="n"/>
      <c r="D892" s="214" t="n"/>
      <c r="E892" s="214" t="n"/>
      <c r="G892" s="165" t="n"/>
      <c r="H892" s="165" t="n"/>
      <c r="I892" s="165" t="n"/>
      <c r="J892" s="166" t="n"/>
      <c r="K892" s="167" t="n"/>
      <c r="L892" s="170" t="n"/>
      <c r="M892" s="170" t="n"/>
      <c r="N892" s="173" t="n"/>
      <c r="O892" s="173" t="n"/>
      <c r="P892" s="173" t="n"/>
      <c r="Q892" s="173" t="n"/>
      <c r="R892" s="173" t="n"/>
      <c r="S892" s="171" t="n"/>
    </row>
    <row r="893" ht="13.8" customHeight="1">
      <c r="A893" s="213">
        <f>IF($H893="UNIDADE CONSTRUTIVA",OFFSET(A893,-1,0)+1,LARGE(A$3:A892,1))</f>
        <v/>
      </c>
      <c r="B893" s="213" t="n"/>
      <c r="C893" s="213" t="n"/>
      <c r="D893" s="214" t="n"/>
      <c r="E893" s="214" t="n"/>
      <c r="G893" s="165" t="n"/>
      <c r="H893" s="165" t="n"/>
      <c r="I893" s="165" t="n"/>
      <c r="J893" s="166" t="n"/>
      <c r="K893" s="167" t="n"/>
      <c r="L893" s="170" t="n"/>
      <c r="M893" s="170" t="n"/>
      <c r="N893" s="173" t="n"/>
      <c r="O893" s="173" t="n"/>
      <c r="P893" s="173" t="n"/>
      <c r="Q893" s="173" t="n"/>
      <c r="R893" s="173" t="n"/>
      <c r="S893" s="171" t="n"/>
    </row>
    <row r="894" ht="13.8" customHeight="1">
      <c r="A894" s="213">
        <f>IF($H894="UNIDADE CONSTRUTIVA",OFFSET(A894,-1,0)+1,LARGE(A$3:A893,1))</f>
        <v/>
      </c>
      <c r="B894" s="213" t="n"/>
      <c r="C894" s="213" t="n"/>
      <c r="D894" s="214" t="n"/>
      <c r="E894" s="214" t="n"/>
      <c r="G894" s="165" t="n"/>
      <c r="H894" s="165" t="n"/>
      <c r="I894" s="165" t="n"/>
      <c r="J894" s="166" t="n"/>
      <c r="K894" s="167" t="n"/>
      <c r="L894" s="170" t="n"/>
      <c r="M894" s="170" t="n"/>
      <c r="N894" s="173" t="n"/>
      <c r="O894" s="173" t="n"/>
      <c r="P894" s="173" t="n"/>
      <c r="Q894" s="173" t="n"/>
      <c r="R894" s="173" t="n"/>
      <c r="S894" s="171" t="n"/>
    </row>
    <row r="895" ht="13.8" customHeight="1">
      <c r="A895" s="213">
        <f>IF($H895="UNIDADE CONSTRUTIVA",OFFSET(A895,-1,0)+1,LARGE(A$3:A894,1))</f>
        <v/>
      </c>
      <c r="B895" s="213" t="n"/>
      <c r="C895" s="213" t="n"/>
      <c r="D895" s="214" t="n"/>
      <c r="E895" s="214" t="n"/>
      <c r="G895" s="165" t="n"/>
      <c r="H895" s="165" t="n"/>
      <c r="I895" s="165" t="n"/>
      <c r="J895" s="166" t="n"/>
      <c r="K895" s="167" t="n"/>
      <c r="L895" s="170" t="n"/>
      <c r="M895" s="170" t="n"/>
      <c r="N895" s="173" t="n"/>
      <c r="O895" s="173" t="n"/>
      <c r="P895" s="173" t="n"/>
      <c r="Q895" s="173" t="n"/>
      <c r="R895" s="173" t="n"/>
      <c r="S895" s="171" t="n"/>
    </row>
    <row r="896" ht="13.8" customHeight="1">
      <c r="A896" s="213">
        <f>IF($H896="UNIDADE CONSTRUTIVA",OFFSET(A896,-1,0)+1,LARGE(A$3:A895,1))</f>
        <v/>
      </c>
      <c r="B896" s="213" t="n"/>
      <c r="C896" s="213" t="n"/>
      <c r="D896" s="214" t="n"/>
      <c r="E896" s="214" t="n"/>
      <c r="G896" s="165" t="n"/>
      <c r="H896" s="165" t="n"/>
      <c r="I896" s="165" t="n"/>
      <c r="J896" s="166" t="n"/>
      <c r="K896" s="167" t="n"/>
      <c r="L896" s="170" t="n"/>
      <c r="M896" s="170" t="n"/>
      <c r="N896" s="173" t="n"/>
      <c r="O896" s="173" t="n"/>
      <c r="P896" s="173" t="n"/>
      <c r="Q896" s="173" t="n"/>
      <c r="R896" s="173" t="n"/>
      <c r="S896" s="171" t="n"/>
    </row>
    <row r="897" ht="13.8" customHeight="1">
      <c r="A897" s="213">
        <f>IF($H897="UNIDADE CONSTRUTIVA",OFFSET(A897,-1,0)+1,LARGE(A$3:A896,1))</f>
        <v/>
      </c>
      <c r="B897" s="213" t="n"/>
      <c r="C897" s="213" t="n"/>
      <c r="D897" s="214" t="n"/>
      <c r="E897" s="214" t="n"/>
      <c r="G897" s="165" t="n"/>
      <c r="H897" s="165" t="n"/>
      <c r="I897" s="165" t="n"/>
      <c r="J897" s="166" t="n"/>
      <c r="K897" s="167" t="n"/>
      <c r="L897" s="170" t="n"/>
      <c r="M897" s="170" t="n"/>
      <c r="N897" s="173" t="n"/>
      <c r="O897" s="173" t="n"/>
      <c r="P897" s="173" t="n"/>
      <c r="Q897" s="173" t="n"/>
      <c r="R897" s="173" t="n"/>
      <c r="S897" s="171" t="n"/>
    </row>
    <row r="898" ht="13.8" customHeight="1">
      <c r="A898" s="213">
        <f>IF($H898="UNIDADE CONSTRUTIVA",OFFSET(A898,-1,0)+1,LARGE(A$3:A897,1))</f>
        <v/>
      </c>
      <c r="B898" s="213" t="n"/>
      <c r="C898" s="213" t="n"/>
      <c r="D898" s="214" t="n"/>
      <c r="E898" s="214" t="n"/>
      <c r="G898" s="165" t="n"/>
      <c r="H898" s="165" t="n"/>
      <c r="I898" s="165" t="n"/>
      <c r="J898" s="166" t="n"/>
      <c r="K898" s="167" t="n"/>
      <c r="L898" s="170" t="n"/>
      <c r="M898" s="170" t="n"/>
      <c r="N898" s="173" t="n"/>
      <c r="O898" s="173" t="n"/>
      <c r="P898" s="173" t="n"/>
      <c r="Q898" s="173" t="n"/>
      <c r="R898" s="173" t="n"/>
      <c r="S898" s="171" t="n"/>
    </row>
    <row r="899" ht="13.8" customHeight="1">
      <c r="A899" s="213">
        <f>IF($H899="UNIDADE CONSTRUTIVA",OFFSET(A899,-1,0)+1,LARGE(A$3:A898,1))</f>
        <v/>
      </c>
      <c r="B899" s="213" t="n"/>
      <c r="C899" s="213" t="n"/>
      <c r="D899" s="214" t="n"/>
      <c r="E899" s="214" t="n"/>
      <c r="G899" s="165" t="n"/>
      <c r="H899" s="165" t="n"/>
      <c r="I899" s="165" t="n"/>
      <c r="J899" s="166" t="n"/>
      <c r="K899" s="167" t="n"/>
      <c r="L899" s="170" t="n"/>
      <c r="M899" s="170" t="n"/>
      <c r="N899" s="173" t="n"/>
      <c r="O899" s="173" t="n"/>
      <c r="P899" s="173" t="n"/>
      <c r="Q899" s="173" t="n"/>
      <c r="R899" s="173" t="n"/>
      <c r="S899" s="171" t="n"/>
    </row>
    <row r="900" ht="13.8" customHeight="1">
      <c r="A900" s="213">
        <f>IF($H900="UNIDADE CONSTRUTIVA",OFFSET(A900,-1,0)+1,LARGE(A$3:A899,1))</f>
        <v/>
      </c>
      <c r="B900" s="213" t="n"/>
      <c r="C900" s="213" t="n"/>
      <c r="D900" s="214" t="n"/>
      <c r="E900" s="214" t="n"/>
      <c r="G900" s="165" t="n"/>
      <c r="H900" s="165" t="n"/>
      <c r="I900" s="165" t="n"/>
      <c r="J900" s="166" t="n"/>
      <c r="K900" s="167" t="n"/>
      <c r="L900" s="170" t="n"/>
      <c r="M900" s="170" t="n"/>
      <c r="N900" s="173" t="n"/>
      <c r="O900" s="173" t="n"/>
      <c r="P900" s="173" t="n"/>
      <c r="Q900" s="173" t="n"/>
      <c r="R900" s="173" t="n"/>
      <c r="S900" s="171" t="n"/>
    </row>
    <row r="901" ht="13.8" customHeight="1">
      <c r="A901" s="213">
        <f>IF($H901="UNIDADE CONSTRUTIVA",OFFSET(A901,-1,0)+1,LARGE(A$3:A900,1))</f>
        <v/>
      </c>
      <c r="B901" s="213" t="n"/>
      <c r="C901" s="213" t="n"/>
      <c r="D901" s="214" t="n"/>
      <c r="E901" s="214" t="n"/>
      <c r="G901" s="165" t="n"/>
      <c r="H901" s="165" t="n"/>
      <c r="I901" s="165" t="n"/>
      <c r="J901" s="166" t="n"/>
      <c r="K901" s="167" t="n"/>
      <c r="L901" s="170" t="n"/>
      <c r="M901" s="170" t="n"/>
      <c r="N901" s="173" t="n"/>
      <c r="O901" s="173" t="n"/>
      <c r="P901" s="173" t="n"/>
      <c r="Q901" s="173" t="n"/>
      <c r="R901" s="173" t="n"/>
      <c r="S901" s="171" t="n"/>
    </row>
    <row r="902" ht="13.8" customHeight="1">
      <c r="A902" s="213">
        <f>IF($H902="UNIDADE CONSTRUTIVA",OFFSET(A902,-1,0)+1,LARGE(A$3:A901,1))</f>
        <v/>
      </c>
      <c r="B902" s="213" t="n"/>
      <c r="C902" s="213" t="n"/>
      <c r="D902" s="214" t="n"/>
      <c r="E902" s="214" t="n"/>
      <c r="G902" s="165" t="n"/>
      <c r="H902" s="165" t="n"/>
      <c r="I902" s="165" t="n"/>
      <c r="J902" s="166" t="n"/>
      <c r="K902" s="167" t="n"/>
      <c r="L902" s="170" t="n"/>
      <c r="M902" s="170" t="n"/>
      <c r="N902" s="173" t="n"/>
      <c r="O902" s="173" t="n"/>
      <c r="P902" s="173" t="n"/>
      <c r="Q902" s="173" t="n"/>
      <c r="R902" s="173" t="n"/>
      <c r="S902" s="171" t="n"/>
    </row>
    <row r="903" ht="13.8" customHeight="1">
      <c r="A903" s="213">
        <f>IF($H903="UNIDADE CONSTRUTIVA",OFFSET(A903,-1,0)+1,LARGE(A$3:A902,1))</f>
        <v/>
      </c>
      <c r="B903" s="213" t="n"/>
      <c r="C903" s="213" t="n"/>
      <c r="D903" s="214" t="n"/>
      <c r="E903" s="214" t="n"/>
      <c r="G903" s="165" t="n"/>
      <c r="H903" s="165" t="n"/>
      <c r="I903" s="165" t="n"/>
      <c r="J903" s="166" t="n"/>
      <c r="K903" s="167" t="n"/>
      <c r="L903" s="170" t="n"/>
      <c r="M903" s="170" t="n"/>
      <c r="N903" s="173" t="n"/>
      <c r="O903" s="173" t="n"/>
      <c r="P903" s="173" t="n"/>
      <c r="Q903" s="173" t="n"/>
      <c r="R903" s="173" t="n"/>
      <c r="S903" s="171" t="n"/>
    </row>
    <row r="904" ht="13.8" customHeight="1">
      <c r="A904" s="213">
        <f>IF($H904="UNIDADE CONSTRUTIVA",OFFSET(A904,-1,0)+1,LARGE(A$3:A903,1))</f>
        <v/>
      </c>
      <c r="B904" s="213" t="n"/>
      <c r="C904" s="213" t="n"/>
      <c r="D904" s="214" t="n"/>
      <c r="E904" s="214" t="n"/>
      <c r="G904" s="165" t="n"/>
      <c r="H904" s="165" t="n"/>
      <c r="I904" s="165" t="n"/>
      <c r="J904" s="166" t="n"/>
      <c r="K904" s="167" t="n"/>
      <c r="L904" s="170" t="n"/>
      <c r="M904" s="170" t="n"/>
      <c r="N904" s="173" t="n"/>
      <c r="O904" s="173" t="n"/>
      <c r="P904" s="173" t="n"/>
      <c r="Q904" s="173" t="n"/>
      <c r="R904" s="173" t="n"/>
      <c r="S904" s="171" t="n"/>
    </row>
    <row r="905" ht="13.8" customHeight="1">
      <c r="A905" s="213">
        <f>IF($H905="UNIDADE CONSTRUTIVA",OFFSET(A905,-1,0)+1,LARGE(A$3:A904,1))</f>
        <v/>
      </c>
      <c r="B905" s="213" t="n"/>
      <c r="C905" s="213" t="n"/>
      <c r="D905" s="214" t="n"/>
      <c r="E905" s="214" t="n"/>
      <c r="G905" s="165" t="n"/>
      <c r="H905" s="165" t="n"/>
      <c r="I905" s="165" t="n"/>
      <c r="J905" s="166" t="n"/>
      <c r="K905" s="167" t="n"/>
      <c r="L905" s="170" t="n"/>
      <c r="M905" s="170" t="n"/>
      <c r="N905" s="173" t="n"/>
      <c r="O905" s="173" t="n"/>
      <c r="P905" s="173" t="n"/>
      <c r="Q905" s="173" t="n"/>
      <c r="R905" s="173" t="n"/>
      <c r="S905" s="171" t="n"/>
    </row>
    <row r="906" ht="13.8" customHeight="1">
      <c r="A906" s="213">
        <f>IF($H906="UNIDADE CONSTRUTIVA",OFFSET(A906,-1,0)+1,LARGE(A$3:A905,1))</f>
        <v/>
      </c>
      <c r="B906" s="213" t="n"/>
      <c r="C906" s="213" t="n"/>
      <c r="D906" s="214" t="n"/>
      <c r="E906" s="214" t="n"/>
      <c r="G906" s="165" t="n"/>
      <c r="H906" s="165" t="n"/>
      <c r="I906" s="165" t="n"/>
      <c r="J906" s="166" t="n"/>
      <c r="K906" s="167" t="n"/>
      <c r="L906" s="170" t="n"/>
      <c r="M906" s="170" t="n"/>
      <c r="N906" s="173" t="n"/>
      <c r="O906" s="173" t="n"/>
      <c r="P906" s="173" t="n"/>
      <c r="Q906" s="173" t="n"/>
      <c r="R906" s="173" t="n"/>
      <c r="S906" s="171" t="n"/>
    </row>
    <row r="907" ht="13.8" customHeight="1">
      <c r="A907" s="213">
        <f>IF($H907="UNIDADE CONSTRUTIVA",OFFSET(A907,-1,0)+1,LARGE(A$3:A906,1))</f>
        <v/>
      </c>
      <c r="B907" s="213" t="n"/>
      <c r="C907" s="213" t="n"/>
      <c r="D907" s="214" t="n"/>
      <c r="E907" s="214" t="n"/>
      <c r="G907" s="165" t="n"/>
      <c r="H907" s="165" t="n"/>
      <c r="I907" s="165" t="n"/>
      <c r="J907" s="166" t="n"/>
      <c r="K907" s="167" t="n"/>
      <c r="L907" s="170" t="n"/>
      <c r="M907" s="170" t="n"/>
      <c r="N907" s="173" t="n"/>
      <c r="O907" s="173" t="n"/>
      <c r="P907" s="173" t="n"/>
      <c r="Q907" s="173" t="n"/>
      <c r="R907" s="173" t="n"/>
      <c r="S907" s="171" t="n"/>
    </row>
    <row r="908" ht="13.8" customHeight="1">
      <c r="A908" s="213">
        <f>IF($H908="UNIDADE CONSTRUTIVA",OFFSET(A908,-1,0)+1,LARGE(A$3:A907,1))</f>
        <v/>
      </c>
      <c r="B908" s="213" t="n"/>
      <c r="C908" s="213" t="n"/>
      <c r="D908" s="214" t="n"/>
      <c r="E908" s="214" t="n"/>
      <c r="G908" s="165" t="n"/>
      <c r="H908" s="165" t="n"/>
      <c r="I908" s="165" t="n"/>
      <c r="J908" s="166" t="n"/>
      <c r="K908" s="167" t="n"/>
      <c r="L908" s="170" t="n"/>
      <c r="M908" s="170" t="n"/>
      <c r="N908" s="173" t="n"/>
      <c r="O908" s="173" t="n"/>
      <c r="P908" s="173" t="n"/>
      <c r="Q908" s="173" t="n"/>
      <c r="R908" s="173" t="n"/>
      <c r="S908" s="171" t="n"/>
    </row>
    <row r="909" ht="13.8" customHeight="1">
      <c r="A909" s="213">
        <f>IF($H909="UNIDADE CONSTRUTIVA",OFFSET(A909,-1,0)+1,LARGE(A$3:A908,1))</f>
        <v/>
      </c>
      <c r="B909" s="213" t="n"/>
      <c r="C909" s="213" t="n"/>
      <c r="D909" s="214" t="n"/>
      <c r="E909" s="214" t="n"/>
      <c r="G909" s="165" t="n"/>
      <c r="H909" s="165" t="n"/>
      <c r="I909" s="165" t="n"/>
      <c r="J909" s="166" t="n"/>
      <c r="K909" s="167" t="n"/>
      <c r="L909" s="170" t="n"/>
      <c r="M909" s="170" t="n"/>
      <c r="N909" s="173" t="n"/>
      <c r="O909" s="173" t="n"/>
      <c r="P909" s="173" t="n"/>
      <c r="Q909" s="173" t="n"/>
      <c r="R909" s="173" t="n"/>
      <c r="S909" s="171" t="n"/>
    </row>
    <row r="910" ht="13.8" customHeight="1">
      <c r="A910" s="213">
        <f>IF($H910="UNIDADE CONSTRUTIVA",OFFSET(A910,-1,0)+1,LARGE(A$3:A909,1))</f>
        <v/>
      </c>
      <c r="B910" s="213" t="n"/>
      <c r="C910" s="213" t="n"/>
      <c r="D910" s="214" t="n"/>
      <c r="E910" s="214" t="n"/>
      <c r="G910" s="165" t="n"/>
      <c r="H910" s="165" t="n"/>
      <c r="I910" s="165" t="n"/>
      <c r="J910" s="166" t="n"/>
      <c r="K910" s="167" t="n"/>
      <c r="L910" s="170" t="n"/>
      <c r="M910" s="170" t="n"/>
      <c r="N910" s="173" t="n"/>
      <c r="O910" s="173" t="n"/>
      <c r="P910" s="173" t="n"/>
      <c r="Q910" s="173" t="n"/>
      <c r="R910" s="173" t="n"/>
      <c r="S910" s="171" t="n"/>
    </row>
    <row r="911" ht="13.8" customHeight="1">
      <c r="A911" s="213">
        <f>IF($H911="UNIDADE CONSTRUTIVA",OFFSET(A911,-1,0)+1,LARGE(A$3:A910,1))</f>
        <v/>
      </c>
      <c r="B911" s="213" t="n"/>
      <c r="C911" s="213" t="n"/>
      <c r="D911" s="214" t="n"/>
      <c r="E911" s="214" t="n"/>
      <c r="G911" s="165" t="n"/>
      <c r="H911" s="165" t="n"/>
      <c r="I911" s="165" t="n"/>
      <c r="J911" s="166" t="n"/>
      <c r="K911" s="167" t="n"/>
      <c r="L911" s="170" t="n"/>
      <c r="M911" s="170" t="n"/>
      <c r="N911" s="173" t="n"/>
      <c r="O911" s="173" t="n"/>
      <c r="P911" s="173" t="n"/>
      <c r="Q911" s="173" t="n"/>
      <c r="R911" s="173" t="n"/>
      <c r="S911" s="171" t="n"/>
    </row>
    <row r="912" ht="13.8" customHeight="1">
      <c r="A912" s="213">
        <f>IF($H912="UNIDADE CONSTRUTIVA",OFFSET(A912,-1,0)+1,LARGE(A$3:A911,1))</f>
        <v/>
      </c>
      <c r="B912" s="213" t="n"/>
      <c r="C912" s="213" t="n"/>
      <c r="D912" s="214" t="n"/>
      <c r="E912" s="214" t="n"/>
      <c r="G912" s="165" t="n"/>
      <c r="H912" s="165" t="n"/>
      <c r="I912" s="165" t="n"/>
      <c r="J912" s="166" t="n"/>
      <c r="K912" s="167" t="n"/>
      <c r="L912" s="170" t="n"/>
      <c r="M912" s="170" t="n"/>
      <c r="N912" s="173" t="n"/>
      <c r="O912" s="173" t="n"/>
      <c r="P912" s="173" t="n"/>
      <c r="Q912" s="173" t="n"/>
      <c r="R912" s="173" t="n"/>
      <c r="S912" s="171" t="n"/>
    </row>
    <row r="913" ht="13.8" customHeight="1">
      <c r="A913" s="213">
        <f>IF($H913="UNIDADE CONSTRUTIVA",OFFSET(A913,-1,0)+1,LARGE(A$3:A912,1))</f>
        <v/>
      </c>
      <c r="B913" s="213" t="n"/>
      <c r="C913" s="213" t="n"/>
      <c r="D913" s="214" t="n"/>
      <c r="E913" s="214" t="n"/>
      <c r="G913" s="165" t="n"/>
      <c r="H913" s="165" t="n"/>
      <c r="I913" s="165" t="n"/>
      <c r="J913" s="166" t="n"/>
      <c r="K913" s="167" t="n"/>
      <c r="L913" s="170" t="n"/>
      <c r="M913" s="170" t="n"/>
      <c r="N913" s="173" t="n"/>
      <c r="O913" s="173" t="n"/>
      <c r="P913" s="173" t="n"/>
      <c r="Q913" s="173" t="n"/>
      <c r="R913" s="173" t="n"/>
      <c r="S913" s="171" t="n"/>
    </row>
    <row r="914" ht="13.8" customHeight="1">
      <c r="A914" s="213">
        <f>IF($H914="UNIDADE CONSTRUTIVA",OFFSET(A914,-1,0)+1,LARGE(A$3:A913,1))</f>
        <v/>
      </c>
      <c r="B914" s="213" t="n"/>
      <c r="C914" s="213" t="n"/>
      <c r="D914" s="214" t="n"/>
      <c r="E914" s="214" t="n"/>
      <c r="G914" s="165" t="n"/>
      <c r="H914" s="165" t="n"/>
      <c r="I914" s="165" t="n"/>
      <c r="J914" s="166" t="n"/>
      <c r="K914" s="167" t="n"/>
      <c r="L914" s="170" t="n"/>
      <c r="M914" s="170" t="n"/>
      <c r="N914" s="173" t="n"/>
      <c r="O914" s="173" t="n"/>
      <c r="P914" s="173" t="n"/>
      <c r="Q914" s="173" t="n"/>
      <c r="R914" s="173" t="n"/>
      <c r="S914" s="171" t="n"/>
    </row>
    <row r="915" ht="13.8" customHeight="1">
      <c r="A915" s="213">
        <f>IF($H915="UNIDADE CONSTRUTIVA",OFFSET(A915,-1,0)+1,LARGE(A$3:A914,1))</f>
        <v/>
      </c>
      <c r="B915" s="213" t="n"/>
      <c r="C915" s="213" t="n"/>
      <c r="D915" s="214" t="n"/>
      <c r="E915" s="214" t="n"/>
      <c r="G915" s="165" t="n"/>
      <c r="H915" s="165" t="n"/>
      <c r="I915" s="165" t="n"/>
      <c r="J915" s="166" t="n"/>
      <c r="K915" s="167" t="n"/>
      <c r="L915" s="170" t="n"/>
      <c r="M915" s="170" t="n"/>
      <c r="N915" s="173" t="n"/>
      <c r="O915" s="173" t="n"/>
      <c r="P915" s="173" t="n"/>
      <c r="Q915" s="173" t="n"/>
      <c r="R915" s="173" t="n"/>
      <c r="S915" s="171" t="n"/>
    </row>
    <row r="916" ht="13.8" customHeight="1">
      <c r="A916" s="213">
        <f>IF($H916="UNIDADE CONSTRUTIVA",OFFSET(A916,-1,0)+1,LARGE(A$3:A915,1))</f>
        <v/>
      </c>
      <c r="B916" s="213" t="n"/>
      <c r="C916" s="213" t="n"/>
      <c r="D916" s="214" t="n"/>
      <c r="E916" s="214" t="n"/>
      <c r="G916" s="165" t="n"/>
      <c r="H916" s="165" t="n"/>
      <c r="I916" s="165" t="n"/>
      <c r="J916" s="166" t="n"/>
      <c r="K916" s="167" t="n"/>
      <c r="L916" s="170" t="n"/>
      <c r="M916" s="170" t="n"/>
      <c r="N916" s="173" t="n"/>
      <c r="O916" s="173" t="n"/>
      <c r="P916" s="173" t="n"/>
      <c r="Q916" s="173" t="n"/>
      <c r="R916" s="173" t="n"/>
      <c r="S916" s="171" t="n"/>
    </row>
    <row r="917" ht="13.8" customHeight="1">
      <c r="A917" s="213">
        <f>IF($H917="UNIDADE CONSTRUTIVA",OFFSET(A917,-1,0)+1,LARGE(A$3:A916,1))</f>
        <v/>
      </c>
      <c r="B917" s="213" t="n"/>
      <c r="C917" s="213" t="n"/>
      <c r="D917" s="214" t="n"/>
      <c r="E917" s="214" t="n"/>
      <c r="G917" s="165" t="n"/>
      <c r="H917" s="165" t="n"/>
      <c r="I917" s="165" t="n"/>
      <c r="J917" s="166" t="n"/>
      <c r="K917" s="167" t="n"/>
      <c r="L917" s="170" t="n"/>
      <c r="M917" s="170" t="n"/>
      <c r="N917" s="173" t="n"/>
      <c r="O917" s="173" t="n"/>
      <c r="P917" s="173" t="n"/>
      <c r="Q917" s="173" t="n"/>
      <c r="R917" s="173" t="n"/>
      <c r="S917" s="171" t="n"/>
    </row>
    <row r="918" ht="13.8" customHeight="1">
      <c r="A918" s="213">
        <f>IF($H918="UNIDADE CONSTRUTIVA",OFFSET(A918,-1,0)+1,LARGE(A$3:A917,1))</f>
        <v/>
      </c>
      <c r="B918" s="213" t="n"/>
      <c r="C918" s="213" t="n"/>
      <c r="D918" s="214" t="n"/>
      <c r="E918" s="214" t="n"/>
      <c r="G918" s="165" t="n"/>
      <c r="H918" s="165" t="n"/>
      <c r="I918" s="165" t="n"/>
      <c r="J918" s="166" t="n"/>
      <c r="K918" s="167" t="n"/>
      <c r="L918" s="170" t="n"/>
      <c r="M918" s="170" t="n"/>
      <c r="N918" s="173" t="n"/>
      <c r="O918" s="173" t="n"/>
      <c r="P918" s="173" t="n"/>
      <c r="Q918" s="173" t="n"/>
      <c r="R918" s="173" t="n"/>
      <c r="S918" s="171" t="n"/>
    </row>
    <row r="919" ht="13.8" customHeight="1">
      <c r="A919" s="213">
        <f>IF($H919="UNIDADE CONSTRUTIVA",OFFSET(A919,-1,0)+1,LARGE(A$3:A918,1))</f>
        <v/>
      </c>
      <c r="B919" s="213" t="n"/>
      <c r="C919" s="213" t="n"/>
      <c r="D919" s="214" t="n"/>
      <c r="E919" s="214" t="n"/>
      <c r="G919" s="165" t="n"/>
      <c r="H919" s="165" t="n"/>
      <c r="I919" s="165" t="n"/>
      <c r="J919" s="166" t="n"/>
      <c r="K919" s="167" t="n"/>
      <c r="L919" s="170" t="n"/>
      <c r="M919" s="170" t="n"/>
      <c r="N919" s="173" t="n"/>
      <c r="O919" s="173" t="n"/>
      <c r="P919" s="173" t="n"/>
      <c r="Q919" s="173" t="n"/>
      <c r="R919" s="173" t="n"/>
      <c r="S919" s="171" t="n"/>
    </row>
    <row r="920" ht="13.8" customHeight="1">
      <c r="A920" s="213">
        <f>IF($H920="UNIDADE CONSTRUTIVA",OFFSET(A920,-1,0)+1,LARGE(A$3:A919,1))</f>
        <v/>
      </c>
      <c r="B920" s="213" t="n"/>
      <c r="C920" s="213" t="n"/>
      <c r="D920" s="214" t="n"/>
      <c r="E920" s="214" t="n"/>
      <c r="G920" s="165" t="n"/>
      <c r="H920" s="165" t="n"/>
      <c r="I920" s="165" t="n"/>
      <c r="J920" s="166" t="n"/>
      <c r="K920" s="167" t="n"/>
      <c r="L920" s="170" t="n"/>
      <c r="M920" s="170" t="n"/>
      <c r="N920" s="173" t="n"/>
      <c r="O920" s="173" t="n"/>
      <c r="P920" s="173" t="n"/>
      <c r="Q920" s="173" t="n"/>
      <c r="R920" s="173" t="n"/>
      <c r="S920" s="171" t="n"/>
    </row>
    <row r="921" ht="13.8" customHeight="1">
      <c r="A921" s="213">
        <f>IF($H921="UNIDADE CONSTRUTIVA",OFFSET(A921,-1,0)+1,LARGE(A$3:A920,1))</f>
        <v/>
      </c>
      <c r="B921" s="213" t="n"/>
      <c r="C921" s="213" t="n"/>
      <c r="D921" s="214" t="n"/>
      <c r="E921" s="214" t="n"/>
      <c r="G921" s="165" t="n"/>
      <c r="H921" s="165" t="n"/>
      <c r="I921" s="165" t="n"/>
      <c r="J921" s="166" t="n"/>
      <c r="K921" s="167" t="n"/>
      <c r="L921" s="170" t="n"/>
      <c r="M921" s="170" t="n"/>
      <c r="N921" s="173" t="n"/>
      <c r="O921" s="173" t="n"/>
      <c r="P921" s="173" t="n"/>
      <c r="Q921" s="173" t="n"/>
      <c r="R921" s="173" t="n"/>
      <c r="S921" s="171" t="n"/>
    </row>
    <row r="922" ht="13.8" customHeight="1">
      <c r="A922" s="213">
        <f>IF($H922="UNIDADE CONSTRUTIVA",OFFSET(A922,-1,0)+1,LARGE(A$3:A921,1))</f>
        <v/>
      </c>
      <c r="B922" s="213" t="n"/>
      <c r="C922" s="213" t="n"/>
      <c r="D922" s="214" t="n"/>
      <c r="E922" s="214" t="n"/>
      <c r="G922" s="165" t="n"/>
      <c r="H922" s="165" t="n"/>
      <c r="I922" s="165" t="n"/>
      <c r="J922" s="166" t="n"/>
      <c r="K922" s="167" t="n"/>
      <c r="L922" s="170" t="n"/>
      <c r="M922" s="170" t="n"/>
      <c r="N922" s="173" t="n"/>
      <c r="O922" s="173" t="n"/>
      <c r="P922" s="173" t="n"/>
      <c r="Q922" s="173" t="n"/>
      <c r="R922" s="173" t="n"/>
      <c r="S922" s="171" t="n"/>
    </row>
    <row r="923" ht="13.8" customHeight="1">
      <c r="A923" s="213">
        <f>IF($H923="UNIDADE CONSTRUTIVA",OFFSET(A923,-1,0)+1,LARGE(A$3:A922,1))</f>
        <v/>
      </c>
      <c r="B923" s="213" t="n"/>
      <c r="C923" s="213" t="n"/>
      <c r="D923" s="214" t="n"/>
      <c r="E923" s="214" t="n"/>
      <c r="G923" s="165" t="n"/>
      <c r="H923" s="165" t="n"/>
      <c r="I923" s="165" t="n"/>
      <c r="J923" s="166" t="n"/>
      <c r="K923" s="167" t="n"/>
      <c r="L923" s="170" t="n"/>
      <c r="M923" s="170" t="n"/>
      <c r="N923" s="173" t="n"/>
      <c r="O923" s="173" t="n"/>
      <c r="P923" s="173" t="n"/>
      <c r="Q923" s="173" t="n"/>
      <c r="R923" s="173" t="n"/>
      <c r="S923" s="171" t="n"/>
    </row>
    <row r="924" ht="13.8" customHeight="1">
      <c r="A924" s="213">
        <f>IF($H924="UNIDADE CONSTRUTIVA",OFFSET(A924,-1,0)+1,LARGE(A$3:A923,1))</f>
        <v/>
      </c>
      <c r="B924" s="213" t="n"/>
      <c r="C924" s="213" t="n"/>
      <c r="D924" s="214" t="n"/>
      <c r="E924" s="214" t="n"/>
      <c r="G924" s="165" t="n"/>
      <c r="H924" s="165" t="n"/>
      <c r="I924" s="165" t="n"/>
      <c r="J924" s="166" t="n"/>
      <c r="K924" s="167" t="n"/>
      <c r="L924" s="170" t="n"/>
      <c r="M924" s="170" t="n"/>
      <c r="N924" s="173" t="n"/>
      <c r="O924" s="173" t="n"/>
      <c r="P924" s="173" t="n"/>
      <c r="Q924" s="173" t="n"/>
      <c r="R924" s="173" t="n"/>
      <c r="S924" s="171" t="n"/>
    </row>
    <row r="925" ht="13.8" customHeight="1">
      <c r="A925" s="213">
        <f>IF($H925="UNIDADE CONSTRUTIVA",OFFSET(A925,-1,0)+1,LARGE(A$3:A924,1))</f>
        <v/>
      </c>
      <c r="B925" s="213" t="n"/>
      <c r="C925" s="213" t="n"/>
      <c r="D925" s="214" t="n"/>
      <c r="E925" s="214" t="n"/>
      <c r="G925" s="165" t="n"/>
      <c r="H925" s="165" t="n"/>
      <c r="I925" s="165" t="n"/>
      <c r="J925" s="166" t="n"/>
      <c r="K925" s="167" t="n"/>
      <c r="L925" s="170" t="n"/>
      <c r="M925" s="170" t="n"/>
      <c r="N925" s="173" t="n"/>
      <c r="O925" s="173" t="n"/>
      <c r="P925" s="173" t="n"/>
      <c r="Q925" s="173" t="n"/>
      <c r="R925" s="173" t="n"/>
      <c r="S925" s="171" t="n"/>
    </row>
    <row r="926" ht="13.8" customHeight="1">
      <c r="A926" s="213">
        <f>IF($H926="UNIDADE CONSTRUTIVA",OFFSET(A926,-1,0)+1,LARGE(A$3:A925,1))</f>
        <v/>
      </c>
      <c r="B926" s="213" t="n"/>
      <c r="C926" s="213" t="n"/>
      <c r="D926" s="214" t="n"/>
      <c r="E926" s="214" t="n"/>
      <c r="G926" s="165" t="n"/>
      <c r="H926" s="165" t="n"/>
      <c r="I926" s="165" t="n"/>
      <c r="J926" s="166" t="n"/>
      <c r="K926" s="167" t="n"/>
      <c r="L926" s="170" t="n"/>
      <c r="M926" s="170" t="n"/>
      <c r="N926" s="173" t="n"/>
      <c r="O926" s="173" t="n"/>
      <c r="P926" s="173" t="n"/>
      <c r="Q926" s="173" t="n"/>
      <c r="R926" s="173" t="n"/>
      <c r="S926" s="171" t="n"/>
    </row>
    <row r="927" ht="13.8" customHeight="1">
      <c r="A927" s="213">
        <f>IF($H927="UNIDADE CONSTRUTIVA",OFFSET(A927,-1,0)+1,LARGE(A$3:A926,1))</f>
        <v/>
      </c>
      <c r="B927" s="213" t="n"/>
      <c r="C927" s="213" t="n"/>
      <c r="D927" s="214" t="n"/>
      <c r="E927" s="214" t="n"/>
      <c r="G927" s="165" t="n"/>
      <c r="H927" s="165" t="n"/>
      <c r="I927" s="165" t="n"/>
      <c r="J927" s="166" t="n"/>
      <c r="K927" s="167" t="n"/>
      <c r="L927" s="170" t="n"/>
      <c r="M927" s="170" t="n"/>
      <c r="N927" s="173" t="n"/>
      <c r="O927" s="173" t="n"/>
      <c r="P927" s="173" t="n"/>
      <c r="Q927" s="173" t="n"/>
      <c r="R927" s="173" t="n"/>
      <c r="S927" s="171" t="n"/>
    </row>
    <row r="928" ht="13.8" customHeight="1">
      <c r="A928" s="213">
        <f>IF($H928="UNIDADE CONSTRUTIVA",OFFSET(A928,-1,0)+1,LARGE(A$3:A927,1))</f>
        <v/>
      </c>
      <c r="B928" s="213" t="n"/>
      <c r="C928" s="213" t="n"/>
      <c r="D928" s="214" t="n"/>
      <c r="E928" s="214" t="n"/>
      <c r="G928" s="165" t="n"/>
      <c r="H928" s="165" t="n"/>
      <c r="I928" s="165" t="n"/>
      <c r="J928" s="166" t="n"/>
      <c r="K928" s="167" t="n"/>
      <c r="L928" s="170" t="n"/>
      <c r="M928" s="170" t="n"/>
      <c r="N928" s="173" t="n"/>
      <c r="O928" s="173" t="n"/>
      <c r="P928" s="173" t="n"/>
      <c r="Q928" s="173" t="n"/>
      <c r="R928" s="173" t="n"/>
      <c r="S928" s="171" t="n"/>
    </row>
    <row r="929" ht="13.8" customHeight="1">
      <c r="A929" s="213">
        <f>IF($H929="UNIDADE CONSTRUTIVA",OFFSET(A929,-1,0)+1,LARGE(A$3:A928,1))</f>
        <v/>
      </c>
      <c r="B929" s="213" t="n"/>
      <c r="C929" s="213" t="n"/>
      <c r="D929" s="214" t="n"/>
      <c r="E929" s="214" t="n"/>
      <c r="G929" s="165" t="n"/>
      <c r="H929" s="165" t="n"/>
      <c r="I929" s="165" t="n"/>
      <c r="J929" s="166" t="n"/>
      <c r="K929" s="167" t="n"/>
      <c r="L929" s="170" t="n"/>
      <c r="M929" s="170" t="n"/>
      <c r="N929" s="173" t="n"/>
      <c r="O929" s="173" t="n"/>
      <c r="P929" s="173" t="n"/>
      <c r="Q929" s="173" t="n"/>
      <c r="R929" s="173" t="n"/>
      <c r="S929" s="171" t="n"/>
    </row>
    <row r="930" ht="13.8" customHeight="1">
      <c r="A930" s="213">
        <f>IF($H930="UNIDADE CONSTRUTIVA",OFFSET(A930,-1,0)+1,LARGE(A$3:A929,1))</f>
        <v/>
      </c>
      <c r="B930" s="213" t="n"/>
      <c r="C930" s="213" t="n"/>
      <c r="D930" s="214" t="n"/>
      <c r="E930" s="214" t="n"/>
      <c r="G930" s="165" t="n"/>
      <c r="H930" s="165" t="n"/>
      <c r="I930" s="165" t="n"/>
      <c r="J930" s="166" t="n"/>
      <c r="K930" s="167" t="n"/>
      <c r="L930" s="170" t="n"/>
      <c r="M930" s="170" t="n"/>
      <c r="N930" s="173" t="n"/>
      <c r="O930" s="173" t="n"/>
      <c r="P930" s="173" t="n"/>
      <c r="Q930" s="173" t="n"/>
      <c r="R930" s="173" t="n"/>
      <c r="S930" s="171" t="n"/>
    </row>
    <row r="931" ht="13.8" customHeight="1">
      <c r="A931" s="213">
        <f>IF($H931="UNIDADE CONSTRUTIVA",OFFSET(A931,-1,0)+1,LARGE(A$3:A930,1))</f>
        <v/>
      </c>
      <c r="B931" s="213" t="n"/>
      <c r="C931" s="213" t="n"/>
      <c r="D931" s="214" t="n"/>
      <c r="E931" s="214" t="n"/>
      <c r="G931" s="165" t="n"/>
      <c r="H931" s="165" t="n"/>
      <c r="I931" s="165" t="n"/>
      <c r="J931" s="166" t="n"/>
      <c r="K931" s="167" t="n"/>
      <c r="L931" s="170" t="n"/>
      <c r="M931" s="170" t="n"/>
      <c r="N931" s="173" t="n"/>
      <c r="O931" s="173" t="n"/>
      <c r="P931" s="173" t="n"/>
      <c r="Q931" s="173" t="n"/>
      <c r="R931" s="173" t="n"/>
      <c r="S931" s="171" t="n"/>
    </row>
    <row r="932" ht="13.8" customHeight="1">
      <c r="A932" s="213">
        <f>IF($H932="UNIDADE CONSTRUTIVA",OFFSET(A932,-1,0)+1,LARGE(A$3:A931,1))</f>
        <v/>
      </c>
      <c r="B932" s="213" t="n"/>
      <c r="C932" s="213" t="n"/>
      <c r="D932" s="214" t="n"/>
      <c r="E932" s="214" t="n"/>
      <c r="G932" s="165" t="n"/>
      <c r="H932" s="165" t="n"/>
      <c r="I932" s="165" t="n"/>
      <c r="J932" s="166" t="n"/>
      <c r="K932" s="167" t="n"/>
      <c r="L932" s="170" t="n"/>
      <c r="M932" s="170" t="n"/>
      <c r="N932" s="173" t="n"/>
      <c r="O932" s="173" t="n"/>
      <c r="P932" s="173" t="n"/>
      <c r="Q932" s="173" t="n"/>
      <c r="R932" s="173" t="n"/>
      <c r="S932" s="171" t="n"/>
    </row>
    <row r="933" ht="13.8" customHeight="1">
      <c r="A933" s="213">
        <f>IF($H933="UNIDADE CONSTRUTIVA",OFFSET(A933,-1,0)+1,LARGE(A$3:A932,1))</f>
        <v/>
      </c>
      <c r="B933" s="213" t="n"/>
      <c r="C933" s="213" t="n"/>
      <c r="D933" s="214" t="n"/>
      <c r="E933" s="214" t="n"/>
      <c r="G933" s="165" t="n"/>
      <c r="H933" s="165" t="n"/>
      <c r="I933" s="165" t="n"/>
      <c r="J933" s="166" t="n"/>
      <c r="K933" s="167" t="n"/>
      <c r="L933" s="170" t="n"/>
      <c r="M933" s="170" t="n"/>
      <c r="N933" s="173" t="n"/>
      <c r="O933" s="173" t="n"/>
      <c r="P933" s="173" t="n"/>
      <c r="Q933" s="173" t="n"/>
      <c r="R933" s="173" t="n"/>
      <c r="S933" s="171" t="n"/>
    </row>
    <row r="934" ht="13.8" customHeight="1">
      <c r="A934" s="213">
        <f>IF($H934="UNIDADE CONSTRUTIVA",OFFSET(A934,-1,0)+1,LARGE(A$3:A933,1))</f>
        <v/>
      </c>
      <c r="B934" s="213" t="n"/>
      <c r="C934" s="213" t="n"/>
      <c r="D934" s="214" t="n"/>
      <c r="E934" s="214" t="n"/>
      <c r="G934" s="165" t="n"/>
      <c r="H934" s="165" t="n"/>
      <c r="I934" s="165" t="n"/>
      <c r="J934" s="166" t="n"/>
      <c r="K934" s="167" t="n"/>
      <c r="L934" s="170" t="n"/>
      <c r="M934" s="170" t="n"/>
      <c r="N934" s="173" t="n"/>
      <c r="O934" s="173" t="n"/>
      <c r="P934" s="173" t="n"/>
      <c r="Q934" s="173" t="n"/>
      <c r="R934" s="173" t="n"/>
      <c r="S934" s="171" t="n"/>
    </row>
    <row r="935" ht="13.8" customHeight="1">
      <c r="A935" s="213">
        <f>IF($H935="UNIDADE CONSTRUTIVA",OFFSET(A935,-1,0)+1,LARGE(A$3:A934,1))</f>
        <v/>
      </c>
      <c r="B935" s="213" t="n"/>
      <c r="C935" s="213" t="n"/>
      <c r="D935" s="214" t="n"/>
      <c r="E935" s="214" t="n"/>
      <c r="G935" s="165" t="n"/>
      <c r="H935" s="165" t="n"/>
      <c r="I935" s="165" t="n"/>
      <c r="J935" s="166" t="n"/>
      <c r="K935" s="167" t="n"/>
      <c r="L935" s="170" t="n"/>
      <c r="M935" s="170" t="n"/>
      <c r="N935" s="173" t="n"/>
      <c r="O935" s="173" t="n"/>
      <c r="P935" s="173" t="n"/>
      <c r="Q935" s="173" t="n"/>
      <c r="R935" s="173" t="n"/>
      <c r="S935" s="171" t="n"/>
    </row>
    <row r="936" ht="13.8" customHeight="1">
      <c r="A936" s="213">
        <f>IF($H936="UNIDADE CONSTRUTIVA",OFFSET(A936,-1,0)+1,LARGE(A$3:A935,1))</f>
        <v/>
      </c>
      <c r="B936" s="213" t="n"/>
      <c r="C936" s="213" t="n"/>
      <c r="D936" s="214" t="n"/>
      <c r="E936" s="214" t="n"/>
      <c r="G936" s="165" t="n"/>
      <c r="H936" s="165" t="n"/>
      <c r="I936" s="165" t="n"/>
      <c r="J936" s="166" t="n"/>
      <c r="K936" s="167" t="n"/>
      <c r="L936" s="170" t="n"/>
      <c r="M936" s="170" t="n"/>
      <c r="N936" s="173" t="n"/>
      <c r="O936" s="173" t="n"/>
      <c r="P936" s="173" t="n"/>
      <c r="Q936" s="173" t="n"/>
      <c r="R936" s="173" t="n"/>
      <c r="S936" s="171" t="n"/>
    </row>
    <row r="937" ht="13.8" customHeight="1">
      <c r="A937" s="213">
        <f>IF($H937="UNIDADE CONSTRUTIVA",OFFSET(A937,-1,0)+1,LARGE(A$3:A936,1))</f>
        <v/>
      </c>
      <c r="B937" s="213" t="n"/>
      <c r="C937" s="213" t="n"/>
      <c r="D937" s="214" t="n"/>
      <c r="E937" s="214" t="n"/>
      <c r="G937" s="165" t="n"/>
      <c r="H937" s="165" t="n"/>
      <c r="I937" s="165" t="n"/>
      <c r="J937" s="166" t="n"/>
      <c r="K937" s="167" t="n"/>
      <c r="L937" s="170" t="n"/>
      <c r="M937" s="170" t="n"/>
      <c r="N937" s="173" t="n"/>
      <c r="O937" s="173" t="n"/>
      <c r="P937" s="173" t="n"/>
      <c r="Q937" s="173" t="n"/>
      <c r="R937" s="173" t="n"/>
      <c r="S937" s="171" t="n"/>
    </row>
    <row r="938" ht="13.8" customHeight="1">
      <c r="A938" s="213">
        <f>IF($H938="UNIDADE CONSTRUTIVA",OFFSET(A938,-1,0)+1,LARGE(A$3:A937,1))</f>
        <v/>
      </c>
      <c r="B938" s="213" t="n"/>
      <c r="C938" s="213" t="n"/>
      <c r="D938" s="214" t="n"/>
      <c r="E938" s="214" t="n"/>
      <c r="G938" s="165" t="n"/>
      <c r="H938" s="165" t="n"/>
      <c r="I938" s="165" t="n"/>
      <c r="J938" s="166" t="n"/>
      <c r="K938" s="167" t="n"/>
      <c r="L938" s="170" t="n"/>
      <c r="M938" s="170" t="n"/>
      <c r="N938" s="173" t="n"/>
      <c r="O938" s="173" t="n"/>
      <c r="P938" s="173" t="n"/>
      <c r="Q938" s="173" t="n"/>
      <c r="R938" s="173" t="n"/>
      <c r="S938" s="171" t="n"/>
    </row>
    <row r="939" ht="13.8" customHeight="1">
      <c r="A939" s="213">
        <f>IF($H939="UNIDADE CONSTRUTIVA",OFFSET(A939,-1,0)+1,LARGE(A$3:A938,1))</f>
        <v/>
      </c>
      <c r="B939" s="213" t="n"/>
      <c r="C939" s="213" t="n"/>
      <c r="D939" s="214" t="n"/>
      <c r="E939" s="214" t="n"/>
      <c r="G939" s="165" t="n"/>
      <c r="H939" s="165" t="n"/>
      <c r="I939" s="165" t="n"/>
      <c r="J939" s="166" t="n"/>
      <c r="K939" s="167" t="n"/>
      <c r="L939" s="170" t="n"/>
      <c r="M939" s="170" t="n"/>
      <c r="N939" s="173" t="n"/>
      <c r="O939" s="173" t="n"/>
      <c r="P939" s="173" t="n"/>
      <c r="Q939" s="173" t="n"/>
      <c r="R939" s="173" t="n"/>
      <c r="S939" s="171" t="n"/>
    </row>
    <row r="940" ht="13.8" customHeight="1">
      <c r="A940" s="213">
        <f>IF($H940="UNIDADE CONSTRUTIVA",OFFSET(A940,-1,0)+1,LARGE(A$3:A939,1))</f>
        <v/>
      </c>
      <c r="B940" s="213" t="n"/>
      <c r="C940" s="213" t="n"/>
      <c r="D940" s="214" t="n"/>
      <c r="E940" s="214" t="n"/>
      <c r="G940" s="165" t="n"/>
      <c r="H940" s="165" t="n"/>
      <c r="I940" s="165" t="n"/>
      <c r="J940" s="166" t="n"/>
      <c r="K940" s="167" t="n"/>
      <c r="L940" s="170" t="n"/>
      <c r="M940" s="170" t="n"/>
      <c r="N940" s="173" t="n"/>
      <c r="O940" s="173" t="n"/>
      <c r="P940" s="173" t="n"/>
      <c r="Q940" s="173" t="n"/>
      <c r="R940" s="173" t="n"/>
      <c r="S940" s="171" t="n"/>
    </row>
    <row r="941" ht="13.8" customHeight="1">
      <c r="A941" s="213">
        <f>IF($H941="UNIDADE CONSTRUTIVA",OFFSET(A941,-1,0)+1,LARGE(A$3:A940,1))</f>
        <v/>
      </c>
      <c r="B941" s="213" t="n"/>
      <c r="C941" s="213" t="n"/>
      <c r="D941" s="214" t="n"/>
      <c r="E941" s="214" t="n"/>
      <c r="G941" s="165" t="n"/>
      <c r="H941" s="165" t="n"/>
      <c r="I941" s="165" t="n"/>
      <c r="J941" s="166" t="n"/>
      <c r="K941" s="167" t="n"/>
      <c r="L941" s="170" t="n"/>
      <c r="M941" s="170" t="n"/>
      <c r="N941" s="173" t="n"/>
      <c r="O941" s="173" t="n"/>
      <c r="P941" s="173" t="n"/>
      <c r="Q941" s="173" t="n"/>
      <c r="R941" s="173" t="n"/>
      <c r="S941" s="171" t="n"/>
    </row>
    <row r="942" ht="13.8" customHeight="1">
      <c r="A942" s="213">
        <f>IF($H942="UNIDADE CONSTRUTIVA",OFFSET(A942,-1,0)+1,LARGE(A$3:A941,1))</f>
        <v/>
      </c>
      <c r="B942" s="213" t="n"/>
      <c r="C942" s="213" t="n"/>
      <c r="D942" s="214" t="n"/>
      <c r="E942" s="214" t="n"/>
      <c r="G942" s="165" t="n"/>
      <c r="H942" s="165" t="n"/>
      <c r="I942" s="165" t="n"/>
      <c r="J942" s="166" t="n"/>
      <c r="K942" s="167" t="n"/>
      <c r="L942" s="170" t="n"/>
      <c r="M942" s="170" t="n"/>
      <c r="N942" s="173" t="n"/>
      <c r="O942" s="173" t="n"/>
      <c r="P942" s="173" t="n"/>
      <c r="Q942" s="173" t="n"/>
      <c r="R942" s="173" t="n"/>
      <c r="S942" s="171" t="n"/>
    </row>
    <row r="943" ht="13.8" customHeight="1">
      <c r="A943" s="213">
        <f>IF($H943="UNIDADE CONSTRUTIVA",OFFSET(A943,-1,0)+1,LARGE(A$3:A942,1))</f>
        <v/>
      </c>
      <c r="B943" s="213" t="n"/>
      <c r="C943" s="213" t="n"/>
      <c r="D943" s="214" t="n"/>
      <c r="E943" s="214" t="n"/>
      <c r="G943" s="165" t="n"/>
      <c r="H943" s="165" t="n"/>
      <c r="I943" s="165" t="n"/>
      <c r="J943" s="166" t="n"/>
      <c r="K943" s="167" t="n"/>
      <c r="L943" s="170" t="n"/>
      <c r="M943" s="170" t="n"/>
      <c r="N943" s="173" t="n"/>
      <c r="O943" s="173" t="n"/>
      <c r="P943" s="173" t="n"/>
      <c r="Q943" s="173" t="n"/>
      <c r="R943" s="173" t="n"/>
      <c r="S943" s="171" t="n"/>
    </row>
    <row r="944" ht="13.8" customHeight="1">
      <c r="A944" s="213">
        <f>IF($H944="UNIDADE CONSTRUTIVA",OFFSET(A944,-1,0)+1,LARGE(A$3:A943,1))</f>
        <v/>
      </c>
      <c r="B944" s="213" t="n"/>
      <c r="C944" s="213" t="n"/>
      <c r="D944" s="214" t="n"/>
      <c r="E944" s="214" t="n"/>
      <c r="G944" s="165" t="n"/>
      <c r="H944" s="165" t="n"/>
      <c r="I944" s="165" t="n"/>
      <c r="J944" s="166" t="n"/>
      <c r="K944" s="167" t="n"/>
      <c r="L944" s="170" t="n"/>
      <c r="M944" s="170" t="n"/>
      <c r="N944" s="173" t="n"/>
      <c r="O944" s="173" t="n"/>
      <c r="P944" s="173" t="n"/>
      <c r="Q944" s="173" t="n"/>
      <c r="R944" s="173" t="n"/>
      <c r="S944" s="171" t="n"/>
    </row>
    <row r="945" ht="13.8" customHeight="1">
      <c r="A945" s="213">
        <f>IF($H945="UNIDADE CONSTRUTIVA",OFFSET(A945,-1,0)+1,LARGE(A$3:A944,1))</f>
        <v/>
      </c>
      <c r="B945" s="213" t="n"/>
      <c r="C945" s="213" t="n"/>
      <c r="D945" s="214" t="n"/>
      <c r="E945" s="214" t="n"/>
      <c r="G945" s="165" t="n"/>
      <c r="H945" s="165" t="n"/>
      <c r="I945" s="165" t="n"/>
      <c r="J945" s="166" t="n"/>
      <c r="K945" s="167" t="n"/>
      <c r="L945" s="170" t="n"/>
      <c r="M945" s="170" t="n"/>
      <c r="N945" s="173" t="n"/>
      <c r="O945" s="173" t="n"/>
      <c r="P945" s="173" t="n"/>
      <c r="Q945" s="173" t="n"/>
      <c r="R945" s="173" t="n"/>
      <c r="S945" s="171" t="n"/>
    </row>
    <row r="946" ht="13.8" customHeight="1">
      <c r="A946" s="213">
        <f>IF($H946="UNIDADE CONSTRUTIVA",OFFSET(A946,-1,0)+1,LARGE(A$3:A945,1))</f>
        <v/>
      </c>
      <c r="B946" s="213" t="n"/>
      <c r="C946" s="213" t="n"/>
      <c r="D946" s="214" t="n"/>
      <c r="E946" s="214" t="n"/>
      <c r="G946" s="165" t="n"/>
      <c r="H946" s="165" t="n"/>
      <c r="I946" s="165" t="n"/>
      <c r="J946" s="166" t="n"/>
      <c r="K946" s="167" t="n"/>
      <c r="L946" s="170" t="n"/>
      <c r="M946" s="170" t="n"/>
      <c r="N946" s="173" t="n"/>
      <c r="O946" s="173" t="n"/>
      <c r="P946" s="173" t="n"/>
      <c r="Q946" s="173" t="n"/>
      <c r="R946" s="173" t="n"/>
      <c r="S946" s="171" t="n"/>
    </row>
    <row r="947" ht="13.8" customHeight="1">
      <c r="A947" s="213">
        <f>IF($H947="UNIDADE CONSTRUTIVA",OFFSET(A947,-1,0)+1,LARGE(A$3:A946,1))</f>
        <v/>
      </c>
      <c r="B947" s="213" t="n"/>
      <c r="C947" s="213" t="n"/>
      <c r="D947" s="214" t="n"/>
      <c r="E947" s="214" t="n"/>
      <c r="G947" s="165" t="n"/>
      <c r="H947" s="165" t="n"/>
      <c r="I947" s="165" t="n"/>
      <c r="J947" s="166" t="n"/>
      <c r="K947" s="167" t="n"/>
      <c r="L947" s="170" t="n"/>
      <c r="M947" s="170" t="n"/>
      <c r="N947" s="173" t="n"/>
      <c r="O947" s="173" t="n"/>
      <c r="P947" s="173" t="n"/>
      <c r="Q947" s="173" t="n"/>
      <c r="R947" s="173" t="n"/>
      <c r="S947" s="171" t="n"/>
    </row>
    <row r="948" ht="13.8" customHeight="1">
      <c r="A948" s="213">
        <f>IF($H948="UNIDADE CONSTRUTIVA",OFFSET(A948,-1,0)+1,LARGE(A$3:A947,1))</f>
        <v/>
      </c>
      <c r="B948" s="213" t="n"/>
      <c r="C948" s="213" t="n"/>
      <c r="D948" s="214" t="n"/>
      <c r="E948" s="214" t="n"/>
      <c r="G948" s="165" t="n"/>
      <c r="H948" s="165" t="n"/>
      <c r="I948" s="165" t="n"/>
      <c r="J948" s="166" t="n"/>
      <c r="K948" s="167" t="n"/>
      <c r="L948" s="170" t="n"/>
      <c r="M948" s="170" t="n"/>
      <c r="N948" s="173" t="n"/>
      <c r="O948" s="173" t="n"/>
      <c r="P948" s="173" t="n"/>
      <c r="Q948" s="173" t="n"/>
      <c r="R948" s="173" t="n"/>
      <c r="S948" s="171" t="n"/>
    </row>
    <row r="949" ht="13.8" customHeight="1">
      <c r="A949" s="213">
        <f>IF($H949="UNIDADE CONSTRUTIVA",OFFSET(A949,-1,0)+1,LARGE(A$3:A948,1))</f>
        <v/>
      </c>
      <c r="B949" s="213" t="n"/>
      <c r="C949" s="213" t="n"/>
      <c r="D949" s="214" t="n"/>
      <c r="E949" s="214" t="n"/>
      <c r="G949" s="165" t="n"/>
      <c r="H949" s="165" t="n"/>
      <c r="I949" s="165" t="n"/>
      <c r="J949" s="166" t="n"/>
      <c r="K949" s="167" t="n"/>
      <c r="L949" s="170" t="n"/>
      <c r="M949" s="170" t="n"/>
      <c r="N949" s="173" t="n"/>
      <c r="O949" s="173" t="n"/>
      <c r="P949" s="173" t="n"/>
      <c r="Q949" s="173" t="n"/>
      <c r="R949" s="173" t="n"/>
      <c r="S949" s="171" t="n"/>
    </row>
    <row r="950" ht="13.8" customHeight="1">
      <c r="A950" s="213">
        <f>IF($H950="UNIDADE CONSTRUTIVA",OFFSET(A950,-1,0)+1,LARGE(A$3:A949,1))</f>
        <v/>
      </c>
      <c r="B950" s="213" t="n"/>
      <c r="C950" s="213" t="n"/>
      <c r="D950" s="214" t="n"/>
      <c r="E950" s="214" t="n"/>
      <c r="G950" s="165" t="n"/>
      <c r="H950" s="165" t="n"/>
      <c r="I950" s="165" t="n"/>
      <c r="J950" s="166" t="n"/>
      <c r="K950" s="167" t="n"/>
      <c r="L950" s="170" t="n"/>
      <c r="M950" s="170" t="n"/>
      <c r="N950" s="173" t="n"/>
      <c r="O950" s="173" t="n"/>
      <c r="P950" s="173" t="n"/>
      <c r="Q950" s="173" t="n"/>
      <c r="R950" s="173" t="n"/>
      <c r="S950" s="171" t="n"/>
    </row>
    <row r="951" ht="13.8" customHeight="1">
      <c r="A951" s="213">
        <f>IF($H951="UNIDADE CONSTRUTIVA",OFFSET(A951,-1,0)+1,LARGE(A$3:A950,1))</f>
        <v/>
      </c>
      <c r="B951" s="213" t="n"/>
      <c r="C951" s="213" t="n"/>
      <c r="D951" s="214" t="n"/>
      <c r="E951" s="214" t="n"/>
      <c r="G951" s="165" t="n"/>
      <c r="H951" s="165" t="n"/>
      <c r="I951" s="165" t="n"/>
      <c r="J951" s="166" t="n"/>
      <c r="K951" s="167" t="n"/>
      <c r="L951" s="170" t="n"/>
      <c r="M951" s="170" t="n"/>
      <c r="N951" s="173" t="n"/>
      <c r="O951" s="173" t="n"/>
      <c r="P951" s="173" t="n"/>
      <c r="Q951" s="173" t="n"/>
      <c r="R951" s="173" t="n"/>
      <c r="S951" s="171" t="n"/>
    </row>
    <row r="952" ht="13.8" customHeight="1">
      <c r="A952" s="213">
        <f>IF($H952="UNIDADE CONSTRUTIVA",OFFSET(A952,-1,0)+1,LARGE(A$3:A951,1))</f>
        <v/>
      </c>
      <c r="B952" s="213" t="n"/>
      <c r="C952" s="213" t="n"/>
      <c r="D952" s="214" t="n"/>
      <c r="E952" s="214" t="n"/>
      <c r="G952" s="165" t="n"/>
      <c r="H952" s="165" t="n"/>
      <c r="I952" s="165" t="n"/>
      <c r="J952" s="166" t="n"/>
      <c r="K952" s="167" t="n"/>
      <c r="L952" s="170" t="n"/>
      <c r="M952" s="170" t="n"/>
      <c r="N952" s="173" t="n"/>
      <c r="O952" s="173" t="n"/>
      <c r="P952" s="173" t="n"/>
      <c r="Q952" s="173" t="n"/>
      <c r="R952" s="173" t="n"/>
      <c r="S952" s="171" t="n"/>
    </row>
    <row r="953" ht="13.8" customHeight="1">
      <c r="A953" s="213">
        <f>IF($H953="UNIDADE CONSTRUTIVA",OFFSET(A953,-1,0)+1,LARGE(A$3:A952,1))</f>
        <v/>
      </c>
      <c r="B953" s="213" t="n"/>
      <c r="C953" s="213" t="n"/>
      <c r="D953" s="214" t="n"/>
      <c r="E953" s="214" t="n"/>
      <c r="G953" s="165" t="n"/>
      <c r="H953" s="165" t="n"/>
      <c r="I953" s="165" t="n"/>
      <c r="J953" s="166" t="n"/>
      <c r="K953" s="167" t="n"/>
      <c r="L953" s="170" t="n"/>
      <c r="M953" s="170" t="n"/>
      <c r="N953" s="173" t="n"/>
      <c r="O953" s="173" t="n"/>
      <c r="P953" s="173" t="n"/>
      <c r="Q953" s="173" t="n"/>
      <c r="R953" s="173" t="n"/>
      <c r="S953" s="171" t="n"/>
    </row>
    <row r="954" ht="13.8" customHeight="1">
      <c r="A954" s="213">
        <f>IF($H954="UNIDADE CONSTRUTIVA",OFFSET(A954,-1,0)+1,LARGE(A$3:A953,1))</f>
        <v/>
      </c>
      <c r="B954" s="213" t="n"/>
      <c r="C954" s="213" t="n"/>
      <c r="D954" s="214" t="n"/>
      <c r="E954" s="214" t="n"/>
      <c r="G954" s="165" t="n"/>
      <c r="H954" s="165" t="n"/>
      <c r="I954" s="165" t="n"/>
      <c r="J954" s="166" t="n"/>
      <c r="K954" s="167" t="n"/>
      <c r="L954" s="170" t="n"/>
      <c r="M954" s="170" t="n"/>
      <c r="N954" s="173" t="n"/>
      <c r="O954" s="173" t="n"/>
      <c r="P954" s="173" t="n"/>
      <c r="Q954" s="173" t="n"/>
      <c r="R954" s="173" t="n"/>
      <c r="S954" s="171" t="n"/>
    </row>
    <row r="955" ht="13.8" customHeight="1">
      <c r="A955" s="213">
        <f>IF($H955="UNIDADE CONSTRUTIVA",OFFSET(A955,-1,0)+1,LARGE(A$3:A954,1))</f>
        <v/>
      </c>
      <c r="B955" s="213" t="n"/>
      <c r="C955" s="213" t="n"/>
      <c r="D955" s="214" t="n"/>
      <c r="E955" s="214" t="n"/>
      <c r="G955" s="165" t="n"/>
      <c r="H955" s="165" t="n"/>
      <c r="I955" s="165" t="n"/>
      <c r="J955" s="166" t="n"/>
      <c r="K955" s="167" t="n"/>
      <c r="L955" s="170" t="n"/>
      <c r="M955" s="170" t="n"/>
      <c r="N955" s="173" t="n"/>
      <c r="O955" s="173" t="n"/>
      <c r="P955" s="173" t="n"/>
      <c r="Q955" s="173" t="n"/>
      <c r="R955" s="173" t="n"/>
      <c r="S955" s="171" t="n"/>
    </row>
    <row r="956" ht="13.8" customHeight="1">
      <c r="A956" s="213">
        <f>IF($H956="UNIDADE CONSTRUTIVA",OFFSET(A956,-1,0)+1,LARGE(A$3:A955,1))</f>
        <v/>
      </c>
      <c r="B956" s="213" t="n"/>
      <c r="C956" s="213" t="n"/>
      <c r="D956" s="214" t="n"/>
      <c r="E956" s="214" t="n"/>
      <c r="G956" s="165" t="n"/>
      <c r="H956" s="165" t="n"/>
      <c r="I956" s="165" t="n"/>
      <c r="J956" s="166" t="n"/>
      <c r="K956" s="167" t="n"/>
      <c r="L956" s="170" t="n"/>
      <c r="M956" s="170" t="n"/>
      <c r="N956" s="173" t="n"/>
      <c r="O956" s="173" t="n"/>
      <c r="P956" s="173" t="n"/>
      <c r="Q956" s="173" t="n"/>
      <c r="R956" s="173" t="n"/>
      <c r="S956" s="171" t="n"/>
    </row>
    <row r="957" ht="13.8" customHeight="1">
      <c r="A957" s="213">
        <f>IF($H957="UNIDADE CONSTRUTIVA",OFFSET(A957,-1,0)+1,LARGE(A$3:A956,1))</f>
        <v/>
      </c>
      <c r="B957" s="213" t="n"/>
      <c r="C957" s="213" t="n"/>
      <c r="D957" s="214" t="n"/>
      <c r="E957" s="214" t="n"/>
      <c r="G957" s="165" t="n"/>
      <c r="H957" s="165" t="n"/>
      <c r="I957" s="165" t="n"/>
      <c r="J957" s="166" t="n"/>
      <c r="K957" s="167" t="n"/>
      <c r="L957" s="170" t="n"/>
      <c r="M957" s="170" t="n"/>
      <c r="N957" s="173" t="n"/>
      <c r="O957" s="173" t="n"/>
      <c r="P957" s="173" t="n"/>
      <c r="Q957" s="173" t="n"/>
      <c r="R957" s="173" t="n"/>
      <c r="S957" s="171" t="n"/>
    </row>
    <row r="958" ht="13.8" customHeight="1">
      <c r="A958" s="213">
        <f>IF($H958="UNIDADE CONSTRUTIVA",OFFSET(A958,-1,0)+1,LARGE(A$3:A957,1))</f>
        <v/>
      </c>
      <c r="B958" s="213" t="n"/>
      <c r="C958" s="213" t="n"/>
      <c r="D958" s="214" t="n"/>
      <c r="E958" s="214" t="n"/>
      <c r="G958" s="165" t="n"/>
      <c r="H958" s="165" t="n"/>
      <c r="I958" s="165" t="n"/>
      <c r="J958" s="166" t="n"/>
      <c r="K958" s="167" t="n"/>
      <c r="L958" s="170" t="n"/>
      <c r="M958" s="170" t="n"/>
      <c r="N958" s="173" t="n"/>
      <c r="O958" s="173" t="n"/>
      <c r="P958" s="173" t="n"/>
      <c r="Q958" s="173" t="n"/>
      <c r="R958" s="173" t="n"/>
      <c r="S958" s="171" t="n"/>
    </row>
    <row r="959" ht="13.8" customHeight="1">
      <c r="A959" s="213">
        <f>IF($H959="UNIDADE CONSTRUTIVA",OFFSET(A959,-1,0)+1,LARGE(A$3:A958,1))</f>
        <v/>
      </c>
      <c r="B959" s="213" t="n"/>
      <c r="C959" s="213" t="n"/>
      <c r="D959" s="214" t="n"/>
      <c r="E959" s="214" t="n"/>
      <c r="G959" s="165" t="n"/>
      <c r="H959" s="165" t="n"/>
      <c r="I959" s="165" t="n"/>
      <c r="J959" s="166" t="n"/>
      <c r="K959" s="167" t="n"/>
      <c r="L959" s="170" t="n"/>
      <c r="M959" s="170" t="n"/>
      <c r="N959" s="173" t="n"/>
      <c r="O959" s="173" t="n"/>
      <c r="P959" s="173" t="n"/>
      <c r="Q959" s="173" t="n"/>
      <c r="R959" s="173" t="n"/>
      <c r="S959" s="171" t="n"/>
    </row>
    <row r="960" ht="13.8" customHeight="1">
      <c r="A960" s="213">
        <f>IF($H960="UNIDADE CONSTRUTIVA",OFFSET(A960,-1,0)+1,LARGE(A$3:A959,1))</f>
        <v/>
      </c>
      <c r="B960" s="213" t="n"/>
      <c r="C960" s="213" t="n"/>
      <c r="D960" s="214" t="n"/>
      <c r="E960" s="214" t="n"/>
      <c r="G960" s="165" t="n"/>
      <c r="H960" s="165" t="n"/>
      <c r="I960" s="165" t="n"/>
      <c r="J960" s="166" t="n"/>
      <c r="K960" s="167" t="n"/>
      <c r="L960" s="170" t="n"/>
      <c r="M960" s="170" t="n"/>
      <c r="N960" s="173" t="n"/>
      <c r="O960" s="173" t="n"/>
      <c r="P960" s="173" t="n"/>
      <c r="Q960" s="173" t="n"/>
      <c r="R960" s="173" t="n"/>
      <c r="S960" s="171" t="n"/>
    </row>
    <row r="961" ht="13.8" customHeight="1">
      <c r="A961" s="213">
        <f>IF($H961="UNIDADE CONSTRUTIVA",OFFSET(A961,-1,0)+1,LARGE(A$3:A960,1))</f>
        <v/>
      </c>
      <c r="B961" s="213" t="n"/>
      <c r="C961" s="213" t="n"/>
      <c r="D961" s="214" t="n"/>
      <c r="E961" s="214" t="n"/>
      <c r="G961" s="165" t="n"/>
      <c r="H961" s="165" t="n"/>
      <c r="I961" s="165" t="n"/>
      <c r="J961" s="166" t="n"/>
      <c r="K961" s="167" t="n"/>
      <c r="L961" s="170" t="n"/>
      <c r="M961" s="170" t="n"/>
      <c r="N961" s="173" t="n"/>
      <c r="O961" s="173" t="n"/>
      <c r="P961" s="173" t="n"/>
      <c r="Q961" s="173" t="n"/>
      <c r="R961" s="173" t="n"/>
      <c r="S961" s="171" t="n"/>
    </row>
    <row r="962" ht="13.8" customHeight="1">
      <c r="A962" s="213">
        <f>IF($H962="UNIDADE CONSTRUTIVA",OFFSET(A962,-1,0)+1,LARGE(A$3:A961,1))</f>
        <v/>
      </c>
      <c r="B962" s="213" t="n"/>
      <c r="C962" s="213" t="n"/>
      <c r="D962" s="214" t="n"/>
      <c r="E962" s="214" t="n"/>
      <c r="G962" s="165" t="n"/>
      <c r="H962" s="165" t="n"/>
      <c r="I962" s="165" t="n"/>
      <c r="J962" s="166" t="n"/>
      <c r="K962" s="167" t="n"/>
      <c r="L962" s="170" t="n"/>
      <c r="M962" s="170" t="n"/>
      <c r="N962" s="173" t="n"/>
      <c r="O962" s="173" t="n"/>
      <c r="P962" s="173" t="n"/>
      <c r="Q962" s="173" t="n"/>
      <c r="R962" s="173" t="n"/>
      <c r="S962" s="171" t="n"/>
    </row>
    <row r="963" ht="13.8" customHeight="1">
      <c r="A963" s="213">
        <f>IF($H963="UNIDADE CONSTRUTIVA",OFFSET(A963,-1,0)+1,LARGE(A$3:A962,1))</f>
        <v/>
      </c>
      <c r="B963" s="213" t="n"/>
      <c r="C963" s="213" t="n"/>
      <c r="D963" s="214" t="n"/>
      <c r="E963" s="214" t="n"/>
      <c r="G963" s="165" t="n"/>
      <c r="H963" s="165" t="n"/>
      <c r="I963" s="165" t="n"/>
      <c r="J963" s="166" t="n"/>
      <c r="K963" s="167" t="n"/>
      <c r="L963" s="170" t="n"/>
      <c r="M963" s="170" t="n"/>
      <c r="N963" s="173" t="n"/>
      <c r="O963" s="173" t="n"/>
      <c r="P963" s="173" t="n"/>
      <c r="Q963" s="173" t="n"/>
      <c r="R963" s="173" t="n"/>
      <c r="S963" s="171" t="n"/>
    </row>
    <row r="964" ht="13.8" customHeight="1">
      <c r="A964" s="213">
        <f>IF($H964="UNIDADE CONSTRUTIVA",OFFSET(A964,-1,0)+1,LARGE(A$3:A963,1))</f>
        <v/>
      </c>
      <c r="B964" s="213" t="n"/>
      <c r="C964" s="213" t="n"/>
      <c r="D964" s="214" t="n"/>
      <c r="E964" s="214" t="n"/>
      <c r="G964" s="165" t="n"/>
      <c r="H964" s="165" t="n"/>
      <c r="I964" s="165" t="n"/>
      <c r="J964" s="166" t="n"/>
      <c r="K964" s="167" t="n"/>
      <c r="L964" s="170" t="n"/>
      <c r="M964" s="170" t="n"/>
      <c r="N964" s="173" t="n"/>
      <c r="O964" s="173" t="n"/>
      <c r="P964" s="173" t="n"/>
      <c r="Q964" s="173" t="n"/>
      <c r="R964" s="173" t="n"/>
      <c r="S964" s="171" t="n"/>
    </row>
    <row r="965" ht="13.8" customHeight="1">
      <c r="A965" s="213">
        <f>IF($H965="UNIDADE CONSTRUTIVA",OFFSET(A965,-1,0)+1,LARGE(A$3:A964,1))</f>
        <v/>
      </c>
      <c r="B965" s="213" t="n"/>
      <c r="C965" s="213" t="n"/>
      <c r="D965" s="214" t="n"/>
      <c r="E965" s="214" t="n"/>
      <c r="G965" s="165" t="n"/>
      <c r="H965" s="165" t="n"/>
      <c r="I965" s="165" t="n"/>
      <c r="J965" s="166" t="n"/>
      <c r="K965" s="167" t="n"/>
      <c r="L965" s="170" t="n"/>
      <c r="M965" s="170" t="n"/>
      <c r="N965" s="173" t="n"/>
      <c r="O965" s="173" t="n"/>
      <c r="P965" s="173" t="n"/>
      <c r="Q965" s="173" t="n"/>
      <c r="R965" s="173" t="n"/>
      <c r="S965" s="171" t="n"/>
    </row>
    <row r="966" ht="13.8" customHeight="1">
      <c r="A966" s="213">
        <f>IF($H966="UNIDADE CONSTRUTIVA",OFFSET(A966,-1,0)+1,LARGE(A$3:A965,1))</f>
        <v/>
      </c>
      <c r="B966" s="213" t="n"/>
      <c r="C966" s="213" t="n"/>
      <c r="D966" s="214" t="n"/>
      <c r="E966" s="214" t="n"/>
      <c r="G966" s="165" t="n"/>
      <c r="H966" s="165" t="n"/>
      <c r="I966" s="165" t="n"/>
      <c r="J966" s="166" t="n"/>
      <c r="K966" s="167" t="n"/>
      <c r="L966" s="170" t="n"/>
      <c r="M966" s="170" t="n"/>
      <c r="N966" s="173" t="n"/>
      <c r="O966" s="173" t="n"/>
      <c r="P966" s="173" t="n"/>
      <c r="Q966" s="173" t="n"/>
      <c r="R966" s="173" t="n"/>
      <c r="S966" s="171" t="n"/>
    </row>
    <row r="967" ht="13.8" customHeight="1">
      <c r="A967" s="213">
        <f>IF($H967="UNIDADE CONSTRUTIVA",OFFSET(A967,-1,0)+1,LARGE(A$3:A966,1))</f>
        <v/>
      </c>
      <c r="B967" s="213" t="n"/>
      <c r="C967" s="213" t="n"/>
      <c r="D967" s="214" t="n"/>
      <c r="E967" s="214" t="n"/>
      <c r="G967" s="165" t="n"/>
      <c r="H967" s="165" t="n"/>
      <c r="I967" s="165" t="n"/>
      <c r="J967" s="166" t="n"/>
      <c r="K967" s="167" t="n"/>
      <c r="L967" s="170" t="n"/>
      <c r="M967" s="170" t="n"/>
      <c r="N967" s="173" t="n"/>
      <c r="O967" s="173" t="n"/>
      <c r="P967" s="173" t="n"/>
      <c r="Q967" s="173" t="n"/>
      <c r="R967" s="173" t="n"/>
      <c r="S967" s="171" t="n"/>
    </row>
    <row r="968" ht="13.8" customHeight="1">
      <c r="A968" s="213">
        <f>IF($H968="UNIDADE CONSTRUTIVA",OFFSET(A968,-1,0)+1,LARGE(A$3:A967,1))</f>
        <v/>
      </c>
      <c r="B968" s="213" t="n"/>
      <c r="C968" s="213" t="n"/>
      <c r="D968" s="214" t="n"/>
      <c r="E968" s="214" t="n"/>
      <c r="G968" s="165" t="n"/>
      <c r="H968" s="165" t="n"/>
      <c r="I968" s="165" t="n"/>
      <c r="J968" s="166" t="n"/>
      <c r="K968" s="167" t="n"/>
      <c r="L968" s="170" t="n"/>
      <c r="M968" s="170" t="n"/>
      <c r="N968" s="173" t="n"/>
      <c r="O968" s="173" t="n"/>
      <c r="P968" s="173" t="n"/>
      <c r="Q968" s="173" t="n"/>
      <c r="R968" s="173" t="n"/>
      <c r="S968" s="171" t="n"/>
    </row>
    <row r="969" ht="13.8" customHeight="1">
      <c r="A969" s="213">
        <f>IF($H969="UNIDADE CONSTRUTIVA",OFFSET(A969,-1,0)+1,LARGE(A$3:A968,1))</f>
        <v/>
      </c>
      <c r="B969" s="213" t="n"/>
      <c r="C969" s="213" t="n"/>
      <c r="D969" s="214" t="n"/>
      <c r="E969" s="214" t="n"/>
      <c r="G969" s="165" t="n"/>
      <c r="H969" s="165" t="n"/>
      <c r="I969" s="165" t="n"/>
      <c r="J969" s="166" t="n"/>
      <c r="K969" s="167" t="n"/>
      <c r="L969" s="170" t="n"/>
      <c r="M969" s="170" t="n"/>
      <c r="N969" s="173" t="n"/>
      <c r="O969" s="173" t="n"/>
      <c r="P969" s="173" t="n"/>
      <c r="Q969" s="173" t="n"/>
      <c r="R969" s="173" t="n"/>
      <c r="S969" s="171" t="n"/>
    </row>
    <row r="970" ht="13.8" customHeight="1">
      <c r="A970" s="213">
        <f>IF($H970="UNIDADE CONSTRUTIVA",OFFSET(A970,-1,0)+1,LARGE(A$3:A969,1))</f>
        <v/>
      </c>
      <c r="B970" s="213" t="n"/>
      <c r="C970" s="213" t="n"/>
      <c r="D970" s="214" t="n"/>
      <c r="E970" s="214" t="n"/>
      <c r="G970" s="165" t="n"/>
      <c r="H970" s="165" t="n"/>
      <c r="I970" s="165" t="n"/>
      <c r="J970" s="166" t="n"/>
      <c r="K970" s="167" t="n"/>
      <c r="L970" s="170" t="n"/>
      <c r="M970" s="170" t="n"/>
      <c r="N970" s="173" t="n"/>
      <c r="O970" s="173" t="n"/>
      <c r="P970" s="173" t="n"/>
      <c r="Q970" s="173" t="n"/>
      <c r="R970" s="173" t="n"/>
      <c r="S970" s="171" t="n"/>
    </row>
    <row r="971" ht="13.8" customHeight="1">
      <c r="A971" s="213">
        <f>IF($H971="UNIDADE CONSTRUTIVA",OFFSET(A971,-1,0)+1,LARGE(A$3:A970,1))</f>
        <v/>
      </c>
      <c r="B971" s="213" t="n"/>
      <c r="C971" s="213" t="n"/>
      <c r="D971" s="214" t="n"/>
      <c r="E971" s="214" t="n"/>
      <c r="G971" s="165" t="n"/>
      <c r="H971" s="165" t="n"/>
      <c r="I971" s="165" t="n"/>
      <c r="J971" s="166" t="n"/>
      <c r="K971" s="167" t="n"/>
      <c r="L971" s="170" t="n"/>
      <c r="M971" s="170" t="n"/>
      <c r="N971" s="173" t="n"/>
      <c r="O971" s="173" t="n"/>
      <c r="P971" s="173" t="n"/>
      <c r="Q971" s="173" t="n"/>
      <c r="R971" s="173" t="n"/>
      <c r="S971" s="171" t="n"/>
    </row>
    <row r="972" ht="13.8" customHeight="1">
      <c r="A972" s="213">
        <f>IF($H972="UNIDADE CONSTRUTIVA",OFFSET(A972,-1,0)+1,LARGE(A$3:A971,1))</f>
        <v/>
      </c>
      <c r="B972" s="213" t="n"/>
      <c r="C972" s="213" t="n"/>
      <c r="D972" s="214" t="n"/>
      <c r="E972" s="214" t="n"/>
      <c r="G972" s="165" t="n"/>
      <c r="H972" s="165" t="n"/>
      <c r="I972" s="165" t="n"/>
      <c r="J972" s="166" t="n"/>
      <c r="K972" s="167" t="n"/>
      <c r="L972" s="170" t="n"/>
      <c r="M972" s="170" t="n"/>
      <c r="N972" s="173" t="n"/>
      <c r="O972" s="173" t="n"/>
      <c r="P972" s="173" t="n"/>
      <c r="Q972" s="173" t="n"/>
      <c r="R972" s="173" t="n"/>
      <c r="S972" s="171" t="n"/>
    </row>
    <row r="973" ht="13.8" customHeight="1">
      <c r="A973" s="213">
        <f>IF($H973="UNIDADE CONSTRUTIVA",OFFSET(A973,-1,0)+1,LARGE(A$3:A972,1))</f>
        <v/>
      </c>
      <c r="B973" s="213" t="n"/>
      <c r="C973" s="213" t="n"/>
      <c r="D973" s="214" t="n"/>
      <c r="E973" s="214" t="n"/>
      <c r="G973" s="165" t="n"/>
      <c r="H973" s="165" t="n"/>
      <c r="I973" s="165" t="n"/>
      <c r="J973" s="166" t="n"/>
      <c r="K973" s="167" t="n"/>
      <c r="L973" s="170" t="n"/>
      <c r="M973" s="170" t="n"/>
      <c r="N973" s="173" t="n"/>
      <c r="O973" s="173" t="n"/>
      <c r="P973" s="173" t="n"/>
      <c r="Q973" s="173" t="n"/>
      <c r="R973" s="173" t="n"/>
      <c r="S973" s="171" t="n"/>
    </row>
    <row r="974" ht="13.8" customHeight="1">
      <c r="A974" s="213">
        <f>IF($H974="UNIDADE CONSTRUTIVA",OFFSET(A974,-1,0)+1,LARGE(A$3:A973,1))</f>
        <v/>
      </c>
      <c r="B974" s="213" t="n"/>
      <c r="C974" s="213" t="n"/>
      <c r="D974" s="214" t="n"/>
      <c r="E974" s="214" t="n"/>
      <c r="G974" s="165" t="n"/>
      <c r="H974" s="165" t="n"/>
      <c r="I974" s="165" t="n"/>
      <c r="J974" s="166" t="n"/>
      <c r="K974" s="167" t="n"/>
      <c r="L974" s="170" t="n"/>
      <c r="M974" s="170" t="n"/>
      <c r="N974" s="173" t="n"/>
      <c r="O974" s="173" t="n"/>
      <c r="P974" s="173" t="n"/>
      <c r="Q974" s="173" t="n"/>
      <c r="R974" s="173" t="n"/>
      <c r="S974" s="171" t="n"/>
    </row>
    <row r="975" ht="13.8" customHeight="1">
      <c r="A975" s="213">
        <f>IF($H975="UNIDADE CONSTRUTIVA",OFFSET(A975,-1,0)+1,LARGE(A$3:A974,1))</f>
        <v/>
      </c>
      <c r="B975" s="213" t="n"/>
      <c r="C975" s="213" t="n"/>
      <c r="D975" s="214" t="n"/>
      <c r="E975" s="214" t="n"/>
      <c r="G975" s="165" t="n"/>
      <c r="H975" s="165" t="n"/>
      <c r="I975" s="165" t="n"/>
      <c r="J975" s="166" t="n"/>
      <c r="K975" s="167" t="n"/>
      <c r="L975" s="170" t="n"/>
      <c r="M975" s="170" t="n"/>
      <c r="N975" s="173" t="n"/>
      <c r="O975" s="173" t="n"/>
      <c r="P975" s="173" t="n"/>
      <c r="Q975" s="173" t="n"/>
      <c r="R975" s="173" t="n"/>
      <c r="S975" s="171" t="n"/>
    </row>
    <row r="976" ht="13.8" customHeight="1">
      <c r="A976" s="213">
        <f>IF($H976="UNIDADE CONSTRUTIVA",OFFSET(A976,-1,0)+1,LARGE(A$3:A975,1))</f>
        <v/>
      </c>
      <c r="B976" s="213" t="n"/>
      <c r="C976" s="213" t="n"/>
      <c r="D976" s="214" t="n"/>
      <c r="E976" s="214" t="n"/>
      <c r="G976" s="165" t="n"/>
      <c r="H976" s="165" t="n"/>
      <c r="I976" s="165" t="n"/>
      <c r="J976" s="166" t="n"/>
      <c r="K976" s="167" t="n"/>
      <c r="L976" s="170" t="n"/>
      <c r="M976" s="170" t="n"/>
      <c r="N976" s="173" t="n"/>
      <c r="O976" s="173" t="n"/>
      <c r="P976" s="173" t="n"/>
      <c r="Q976" s="173" t="n"/>
      <c r="R976" s="173" t="n"/>
      <c r="S976" s="171" t="n"/>
    </row>
    <row r="977" ht="13.8" customHeight="1">
      <c r="A977" s="213">
        <f>IF($H977="UNIDADE CONSTRUTIVA",OFFSET(A977,-1,0)+1,LARGE(A$3:A976,1))</f>
        <v/>
      </c>
      <c r="B977" s="213" t="n"/>
      <c r="C977" s="213" t="n"/>
      <c r="D977" s="214" t="n"/>
      <c r="E977" s="214" t="n"/>
      <c r="G977" s="165" t="n"/>
      <c r="H977" s="165" t="n"/>
      <c r="I977" s="165" t="n"/>
      <c r="J977" s="166" t="n"/>
      <c r="K977" s="167" t="n"/>
      <c r="L977" s="170" t="n"/>
      <c r="M977" s="170" t="n"/>
      <c r="N977" s="173" t="n"/>
      <c r="O977" s="173" t="n"/>
      <c r="P977" s="173" t="n"/>
      <c r="Q977" s="173" t="n"/>
      <c r="R977" s="173" t="n"/>
      <c r="S977" s="171" t="n"/>
    </row>
    <row r="978" ht="13.8" customHeight="1">
      <c r="A978" s="213">
        <f>IF($H978="UNIDADE CONSTRUTIVA",OFFSET(A978,-1,0)+1,LARGE(A$3:A977,1))</f>
        <v/>
      </c>
      <c r="B978" s="213" t="n"/>
      <c r="C978" s="213" t="n"/>
      <c r="D978" s="214" t="n"/>
      <c r="E978" s="214" t="n"/>
      <c r="G978" s="165" t="n"/>
      <c r="H978" s="165" t="n"/>
      <c r="I978" s="165" t="n"/>
      <c r="J978" s="166" t="n"/>
      <c r="K978" s="167" t="n"/>
      <c r="L978" s="170" t="n"/>
      <c r="M978" s="170" t="n"/>
      <c r="N978" s="173" t="n"/>
      <c r="O978" s="173" t="n"/>
      <c r="P978" s="173" t="n"/>
      <c r="Q978" s="173" t="n"/>
      <c r="R978" s="173" t="n"/>
      <c r="S978" s="171" t="n"/>
    </row>
    <row r="979" ht="13.8" customHeight="1">
      <c r="A979" s="213">
        <f>IF($H979="UNIDADE CONSTRUTIVA",OFFSET(A979,-1,0)+1,LARGE(A$3:A978,1))</f>
        <v/>
      </c>
      <c r="B979" s="213" t="n"/>
      <c r="C979" s="213" t="n"/>
      <c r="D979" s="214" t="n"/>
      <c r="E979" s="214" t="n"/>
      <c r="G979" s="165" t="n"/>
      <c r="H979" s="165" t="n"/>
      <c r="I979" s="165" t="n"/>
      <c r="J979" s="166" t="n"/>
      <c r="K979" s="167" t="n"/>
      <c r="L979" s="170" t="n"/>
      <c r="M979" s="170" t="n"/>
      <c r="N979" s="173" t="n"/>
      <c r="O979" s="173" t="n"/>
      <c r="P979" s="173" t="n"/>
      <c r="Q979" s="173" t="n"/>
      <c r="R979" s="173" t="n"/>
      <c r="S979" s="171" t="n"/>
    </row>
    <row r="980" ht="13.8" customHeight="1">
      <c r="A980" s="213">
        <f>IF($H980="UNIDADE CONSTRUTIVA",OFFSET(A980,-1,0)+1,LARGE(A$3:A979,1))</f>
        <v/>
      </c>
      <c r="B980" s="213" t="n"/>
      <c r="C980" s="213" t="n"/>
      <c r="D980" s="214" t="n"/>
      <c r="E980" s="214" t="n"/>
      <c r="G980" s="165" t="n"/>
      <c r="H980" s="165" t="n"/>
      <c r="I980" s="165" t="n"/>
      <c r="J980" s="166" t="n"/>
      <c r="K980" s="167" t="n"/>
      <c r="L980" s="170" t="n"/>
      <c r="M980" s="170" t="n"/>
      <c r="N980" s="173" t="n"/>
      <c r="O980" s="173" t="n"/>
      <c r="P980" s="173" t="n"/>
      <c r="Q980" s="173" t="n"/>
      <c r="R980" s="173" t="n"/>
      <c r="S980" s="171" t="n"/>
    </row>
    <row r="981" ht="13.8" customHeight="1">
      <c r="A981" s="213">
        <f>IF($H981="UNIDADE CONSTRUTIVA",OFFSET(A981,-1,0)+1,LARGE(A$3:A980,1))</f>
        <v/>
      </c>
      <c r="B981" s="213" t="n"/>
      <c r="C981" s="213" t="n"/>
      <c r="D981" s="214" t="n"/>
      <c r="E981" s="214" t="n"/>
      <c r="G981" s="165" t="n"/>
      <c r="H981" s="165" t="n"/>
      <c r="I981" s="165" t="n"/>
      <c r="J981" s="166" t="n"/>
      <c r="K981" s="167" t="n"/>
      <c r="L981" s="170" t="n"/>
      <c r="M981" s="170" t="n"/>
      <c r="N981" s="173" t="n"/>
      <c r="O981" s="173" t="n"/>
      <c r="P981" s="173" t="n"/>
      <c r="Q981" s="173" t="n"/>
      <c r="R981" s="173" t="n"/>
      <c r="S981" s="171" t="n"/>
    </row>
    <row r="982" ht="13.8" customHeight="1">
      <c r="A982" s="213">
        <f>IF($H982="UNIDADE CONSTRUTIVA",OFFSET(A982,-1,0)+1,LARGE(A$3:A981,1))</f>
        <v/>
      </c>
      <c r="B982" s="213" t="n"/>
      <c r="C982" s="213" t="n"/>
      <c r="D982" s="214" t="n"/>
      <c r="E982" s="214" t="n"/>
      <c r="G982" s="165" t="n"/>
      <c r="H982" s="165" t="n"/>
      <c r="I982" s="165" t="n"/>
      <c r="J982" s="166" t="n"/>
      <c r="K982" s="167" t="n"/>
      <c r="L982" s="170" t="n"/>
      <c r="M982" s="170" t="n"/>
      <c r="N982" s="173" t="n"/>
      <c r="O982" s="173" t="n"/>
      <c r="P982" s="173" t="n"/>
      <c r="Q982" s="173" t="n"/>
      <c r="R982" s="173" t="n"/>
      <c r="S982" s="171" t="n"/>
    </row>
    <row r="983" ht="13.8" customHeight="1">
      <c r="A983" s="213">
        <f>IF($H983="UNIDADE CONSTRUTIVA",OFFSET(A983,-1,0)+1,LARGE(A$3:A982,1))</f>
        <v/>
      </c>
      <c r="B983" s="213" t="n"/>
      <c r="C983" s="213" t="n"/>
      <c r="D983" s="214" t="n"/>
      <c r="E983" s="214" t="n"/>
      <c r="G983" s="165" t="n"/>
      <c r="H983" s="165" t="n"/>
      <c r="I983" s="165" t="n"/>
      <c r="J983" s="166" t="n"/>
      <c r="K983" s="167" t="n"/>
      <c r="L983" s="170" t="n"/>
      <c r="M983" s="170" t="n"/>
      <c r="N983" s="173" t="n"/>
      <c r="O983" s="173" t="n"/>
      <c r="P983" s="173" t="n"/>
      <c r="Q983" s="173" t="n"/>
      <c r="R983" s="173" t="n"/>
      <c r="S983" s="171" t="n"/>
    </row>
    <row r="984" ht="13.8" customHeight="1">
      <c r="A984" s="213">
        <f>IF($H984="UNIDADE CONSTRUTIVA",OFFSET(A984,-1,0)+1,LARGE(A$3:A983,1))</f>
        <v/>
      </c>
      <c r="B984" s="213" t="n"/>
      <c r="C984" s="213" t="n"/>
      <c r="D984" s="214" t="n"/>
      <c r="E984" s="214" t="n"/>
      <c r="G984" s="165" t="n"/>
      <c r="H984" s="165" t="n"/>
      <c r="I984" s="165" t="n"/>
      <c r="J984" s="166" t="n"/>
      <c r="K984" s="167" t="n"/>
      <c r="L984" s="170" t="n"/>
      <c r="M984" s="170" t="n"/>
      <c r="N984" s="173" t="n"/>
      <c r="O984" s="173" t="n"/>
      <c r="P984" s="173" t="n"/>
      <c r="Q984" s="173" t="n"/>
      <c r="R984" s="173" t="n"/>
      <c r="S984" s="171" t="n"/>
    </row>
    <row r="985" ht="13.8" customHeight="1">
      <c r="A985" s="213">
        <f>IF($H985="UNIDADE CONSTRUTIVA",OFFSET(A985,-1,0)+1,LARGE(A$3:A984,1))</f>
        <v/>
      </c>
      <c r="B985" s="213" t="n"/>
      <c r="C985" s="213" t="n"/>
      <c r="D985" s="214" t="n"/>
      <c r="E985" s="214" t="n"/>
      <c r="G985" s="165" t="n"/>
      <c r="H985" s="165" t="n"/>
      <c r="I985" s="165" t="n"/>
      <c r="J985" s="166" t="n"/>
      <c r="K985" s="167" t="n"/>
      <c r="L985" s="170" t="n"/>
      <c r="M985" s="170" t="n"/>
      <c r="N985" s="173" t="n"/>
      <c r="O985" s="173" t="n"/>
      <c r="P985" s="173" t="n"/>
      <c r="Q985" s="173" t="n"/>
      <c r="R985" s="173" t="n"/>
      <c r="S985" s="171" t="n"/>
    </row>
    <row r="986" ht="13.8" customHeight="1">
      <c r="A986" s="213">
        <f>IF($H986="UNIDADE CONSTRUTIVA",OFFSET(A986,-1,0)+1,LARGE(A$3:A985,1))</f>
        <v/>
      </c>
      <c r="B986" s="213" t="n"/>
      <c r="C986" s="213" t="n"/>
      <c r="D986" s="214" t="n"/>
      <c r="E986" s="214" t="n"/>
      <c r="G986" s="165" t="n"/>
      <c r="H986" s="165" t="n"/>
      <c r="I986" s="165" t="n"/>
      <c r="J986" s="166" t="n"/>
      <c r="K986" s="167" t="n"/>
      <c r="L986" s="170" t="n"/>
      <c r="M986" s="170" t="n"/>
      <c r="N986" s="173" t="n"/>
      <c r="O986" s="173" t="n"/>
      <c r="P986" s="173" t="n"/>
      <c r="Q986" s="173" t="n"/>
      <c r="R986" s="173" t="n"/>
      <c r="S986" s="171" t="n"/>
    </row>
    <row r="987" ht="13.8" customHeight="1">
      <c r="A987" s="213">
        <f>IF($H987="UNIDADE CONSTRUTIVA",OFFSET(A987,-1,0)+1,LARGE(A$3:A986,1))</f>
        <v/>
      </c>
      <c r="B987" s="213" t="n"/>
      <c r="C987" s="213" t="n"/>
      <c r="D987" s="214" t="n"/>
      <c r="E987" s="214" t="n"/>
      <c r="G987" s="165" t="n"/>
      <c r="H987" s="165" t="n"/>
      <c r="I987" s="165" t="n"/>
      <c r="J987" s="166" t="n"/>
      <c r="K987" s="167" t="n"/>
      <c r="L987" s="170" t="n"/>
      <c r="M987" s="170" t="n"/>
      <c r="N987" s="173" t="n"/>
      <c r="O987" s="173" t="n"/>
      <c r="P987" s="173" t="n"/>
      <c r="Q987" s="173" t="n"/>
      <c r="R987" s="173" t="n"/>
      <c r="S987" s="171" t="n"/>
    </row>
    <row r="988" ht="13.8" customHeight="1">
      <c r="A988" s="213">
        <f>IF($H988="UNIDADE CONSTRUTIVA",OFFSET(A988,-1,0)+1,LARGE(A$3:A987,1))</f>
        <v/>
      </c>
      <c r="B988" s="213" t="n"/>
      <c r="C988" s="213" t="n"/>
      <c r="D988" s="214" t="n"/>
      <c r="E988" s="214" t="n"/>
      <c r="G988" s="165" t="n"/>
      <c r="H988" s="165" t="n"/>
      <c r="I988" s="165" t="n"/>
      <c r="J988" s="166" t="n"/>
      <c r="K988" s="167" t="n"/>
      <c r="L988" s="170" t="n"/>
      <c r="M988" s="170" t="n"/>
      <c r="N988" s="173" t="n"/>
      <c r="O988" s="173" t="n"/>
      <c r="P988" s="173" t="n"/>
      <c r="Q988" s="173" t="n"/>
      <c r="R988" s="173" t="n"/>
      <c r="S988" s="171" t="n"/>
    </row>
    <row r="989" ht="13.8" customHeight="1">
      <c r="A989" s="213">
        <f>IF($H989="UNIDADE CONSTRUTIVA",OFFSET(A989,-1,0)+1,LARGE(A$3:A988,1))</f>
        <v/>
      </c>
      <c r="B989" s="213" t="n"/>
      <c r="C989" s="213" t="n"/>
      <c r="D989" s="214" t="n"/>
      <c r="E989" s="214" t="n"/>
      <c r="G989" s="165" t="n"/>
      <c r="H989" s="165" t="n"/>
      <c r="I989" s="165" t="n"/>
      <c r="J989" s="166" t="n"/>
      <c r="K989" s="167" t="n"/>
      <c r="L989" s="170" t="n"/>
      <c r="M989" s="170" t="n"/>
      <c r="N989" s="173" t="n"/>
      <c r="O989" s="173" t="n"/>
      <c r="P989" s="173" t="n"/>
      <c r="Q989" s="173" t="n"/>
      <c r="R989" s="173" t="n"/>
      <c r="S989" s="171" t="n"/>
    </row>
    <row r="990" ht="13.8" customHeight="1">
      <c r="A990" s="213">
        <f>IF($H990="UNIDADE CONSTRUTIVA",OFFSET(A990,-1,0)+1,LARGE(A$3:A989,1))</f>
        <v/>
      </c>
      <c r="B990" s="213" t="n"/>
      <c r="C990" s="213" t="n"/>
      <c r="D990" s="214" t="n"/>
      <c r="E990" s="214" t="n"/>
      <c r="G990" s="165" t="n"/>
      <c r="H990" s="165" t="n"/>
      <c r="I990" s="165" t="n"/>
      <c r="J990" s="166" t="n"/>
      <c r="K990" s="167" t="n"/>
      <c r="L990" s="170" t="n"/>
      <c r="M990" s="170" t="n"/>
      <c r="N990" s="173" t="n"/>
      <c r="O990" s="173" t="n"/>
      <c r="P990" s="173" t="n"/>
      <c r="Q990" s="173" t="n"/>
      <c r="R990" s="173" t="n"/>
      <c r="S990" s="171" t="n"/>
    </row>
    <row r="991" ht="13.8" customHeight="1">
      <c r="A991" s="213">
        <f>IF($H991="UNIDADE CONSTRUTIVA",OFFSET(A991,-1,0)+1,LARGE(A$3:A990,1))</f>
        <v/>
      </c>
      <c r="B991" s="213" t="n"/>
      <c r="C991" s="213" t="n"/>
      <c r="D991" s="214" t="n"/>
      <c r="E991" s="214" t="n"/>
      <c r="G991" s="165" t="n"/>
      <c r="H991" s="165" t="n"/>
      <c r="I991" s="165" t="n"/>
      <c r="J991" s="166" t="n"/>
      <c r="K991" s="167" t="n"/>
      <c r="L991" s="170" t="n"/>
      <c r="M991" s="170" t="n"/>
      <c r="N991" s="173" t="n"/>
      <c r="O991" s="173" t="n"/>
      <c r="P991" s="173" t="n"/>
      <c r="Q991" s="173" t="n"/>
      <c r="R991" s="173" t="n"/>
      <c r="S991" s="171" t="n"/>
    </row>
    <row r="992" ht="13.8" customHeight="1">
      <c r="A992" s="213">
        <f>IF($H992="UNIDADE CONSTRUTIVA",OFFSET(A992,-1,0)+1,LARGE(A$3:A991,1))</f>
        <v/>
      </c>
      <c r="B992" s="213" t="n"/>
      <c r="C992" s="213" t="n"/>
      <c r="D992" s="214" t="n"/>
      <c r="E992" s="214" t="n"/>
      <c r="G992" s="165" t="n"/>
      <c r="H992" s="165" t="n"/>
      <c r="I992" s="165" t="n"/>
      <c r="J992" s="166" t="n"/>
      <c r="K992" s="167" t="n"/>
      <c r="L992" s="170" t="n"/>
      <c r="M992" s="170" t="n"/>
      <c r="N992" s="173" t="n"/>
      <c r="O992" s="173" t="n"/>
      <c r="P992" s="173" t="n"/>
      <c r="Q992" s="173" t="n"/>
      <c r="R992" s="173" t="n"/>
      <c r="S992" s="171" t="n"/>
    </row>
    <row r="993" ht="13.8" customHeight="1">
      <c r="A993" s="213">
        <f>IF($H993="UNIDADE CONSTRUTIVA",OFFSET(A993,-1,0)+1,LARGE(A$3:A992,1))</f>
        <v/>
      </c>
      <c r="B993" s="213" t="n"/>
      <c r="C993" s="213" t="n"/>
      <c r="D993" s="214" t="n"/>
      <c r="E993" s="214" t="n"/>
      <c r="G993" s="165" t="n"/>
      <c r="H993" s="165" t="n"/>
      <c r="I993" s="165" t="n"/>
      <c r="J993" s="166" t="n"/>
      <c r="K993" s="167" t="n"/>
      <c r="L993" s="170" t="n"/>
      <c r="M993" s="170" t="n"/>
      <c r="N993" s="173" t="n"/>
      <c r="O993" s="173" t="n"/>
      <c r="P993" s="173" t="n"/>
      <c r="Q993" s="173" t="n"/>
      <c r="R993" s="173" t="n"/>
      <c r="S993" s="171" t="n"/>
    </row>
    <row r="994" ht="13.8" customHeight="1">
      <c r="A994" s="213">
        <f>IF($H994="UNIDADE CONSTRUTIVA",OFFSET(A994,-1,0)+1,LARGE(A$3:A993,1))</f>
        <v/>
      </c>
      <c r="B994" s="213" t="n"/>
      <c r="C994" s="213" t="n"/>
      <c r="D994" s="214" t="n"/>
      <c r="E994" s="214" t="n"/>
      <c r="G994" s="165" t="n"/>
      <c r="H994" s="165" t="n"/>
      <c r="I994" s="165" t="n"/>
      <c r="J994" s="166" t="n"/>
      <c r="K994" s="167" t="n"/>
      <c r="L994" s="170" t="n"/>
      <c r="M994" s="170" t="n"/>
      <c r="N994" s="173" t="n"/>
      <c r="O994" s="173" t="n"/>
      <c r="P994" s="173" t="n"/>
      <c r="Q994" s="173" t="n"/>
      <c r="R994" s="173" t="n"/>
      <c r="S994" s="171" t="n"/>
    </row>
    <row r="995" ht="13.8" customHeight="1">
      <c r="A995" s="213">
        <f>IF($H995="UNIDADE CONSTRUTIVA",OFFSET(A995,-1,0)+1,LARGE(A$3:A994,1))</f>
        <v/>
      </c>
      <c r="B995" s="213" t="n"/>
      <c r="C995" s="213" t="n"/>
      <c r="D995" s="214" t="n"/>
      <c r="E995" s="214" t="n"/>
      <c r="G995" s="165" t="n"/>
      <c r="H995" s="165" t="n"/>
      <c r="I995" s="165" t="n"/>
      <c r="J995" s="166" t="n"/>
      <c r="K995" s="167" t="n"/>
      <c r="L995" s="170" t="n"/>
      <c r="M995" s="170" t="n"/>
      <c r="N995" s="173" t="n"/>
      <c r="O995" s="173" t="n"/>
      <c r="P995" s="173" t="n"/>
      <c r="Q995" s="173" t="n"/>
      <c r="R995" s="173" t="n"/>
      <c r="S995" s="171" t="n"/>
    </row>
    <row r="996" ht="13.8" customHeight="1">
      <c r="A996" s="213">
        <f>IF($H996="UNIDADE CONSTRUTIVA",OFFSET(A996,-1,0)+1,LARGE(A$3:A995,1))</f>
        <v/>
      </c>
      <c r="B996" s="213" t="n"/>
      <c r="C996" s="213" t="n"/>
      <c r="D996" s="214" t="n"/>
      <c r="E996" s="214" t="n"/>
      <c r="G996" s="165" t="n"/>
      <c r="H996" s="165" t="n"/>
      <c r="I996" s="165" t="n"/>
      <c r="J996" s="166" t="n"/>
      <c r="K996" s="167" t="n"/>
      <c r="L996" s="170" t="n"/>
      <c r="M996" s="170" t="n"/>
      <c r="N996" s="173" t="n"/>
      <c r="O996" s="173" t="n"/>
      <c r="P996" s="173" t="n"/>
      <c r="Q996" s="173" t="n"/>
      <c r="R996" s="173" t="n"/>
      <c r="S996" s="171" t="n"/>
    </row>
    <row r="997" ht="13.8" customHeight="1">
      <c r="A997" s="213">
        <f>IF($H997="UNIDADE CONSTRUTIVA",OFFSET(A997,-1,0)+1,LARGE(A$3:A996,1))</f>
        <v/>
      </c>
      <c r="B997" s="213" t="n"/>
      <c r="C997" s="213" t="n"/>
      <c r="D997" s="214" t="n"/>
      <c r="E997" s="214" t="n"/>
      <c r="G997" s="165" t="n"/>
      <c r="H997" s="165" t="n"/>
      <c r="I997" s="165" t="n"/>
      <c r="J997" s="166" t="n"/>
      <c r="K997" s="167" t="n"/>
      <c r="L997" s="170" t="n"/>
      <c r="M997" s="170" t="n"/>
      <c r="N997" s="173" t="n"/>
      <c r="O997" s="173" t="n"/>
      <c r="P997" s="173" t="n"/>
      <c r="Q997" s="173" t="n"/>
      <c r="R997" s="173" t="n"/>
      <c r="S997" s="171" t="n"/>
    </row>
    <row r="998" ht="13.8" customHeight="1">
      <c r="A998" s="213">
        <f>IF($H998="UNIDADE CONSTRUTIVA",OFFSET(A998,-1,0)+1,LARGE(A$3:A997,1))</f>
        <v/>
      </c>
      <c r="B998" s="213" t="n"/>
      <c r="C998" s="213" t="n"/>
      <c r="D998" s="214" t="n"/>
      <c r="E998" s="214" t="n"/>
      <c r="G998" s="165" t="n"/>
      <c r="H998" s="165" t="n"/>
      <c r="I998" s="165" t="n"/>
      <c r="J998" s="166" t="n"/>
      <c r="K998" s="167" t="n"/>
      <c r="L998" s="170" t="n"/>
      <c r="M998" s="170" t="n"/>
      <c r="N998" s="173" t="n"/>
      <c r="O998" s="173" t="n"/>
      <c r="P998" s="173" t="n"/>
      <c r="Q998" s="173" t="n"/>
      <c r="R998" s="173" t="n"/>
      <c r="S998" s="171" t="n"/>
    </row>
    <row r="999" ht="13.8" customHeight="1">
      <c r="A999" s="213">
        <f>IF($H999="UNIDADE CONSTRUTIVA",OFFSET(A999,-1,0)+1,LARGE(A$3:A998,1))</f>
        <v/>
      </c>
      <c r="B999" s="213" t="n"/>
      <c r="C999" s="213" t="n"/>
      <c r="D999" s="214" t="n"/>
      <c r="E999" s="214" t="n"/>
      <c r="G999" s="165" t="n"/>
      <c r="H999" s="165" t="n"/>
      <c r="I999" s="165" t="n"/>
      <c r="J999" s="166" t="n"/>
      <c r="K999" s="167" t="n"/>
      <c r="L999" s="170" t="n"/>
      <c r="M999" s="170" t="n"/>
      <c r="N999" s="173" t="n"/>
      <c r="O999" s="173" t="n"/>
      <c r="P999" s="173" t="n"/>
      <c r="Q999" s="173" t="n"/>
      <c r="R999" s="173" t="n"/>
      <c r="S999" s="171" t="n"/>
    </row>
    <row r="1000" ht="13.8" customHeight="1">
      <c r="A1000" s="213">
        <f>IF($H1000="UNIDADE CONSTRUTIVA",OFFSET(A1000,-1,0)+1,LARGE(A$3:A999,1))</f>
        <v/>
      </c>
      <c r="B1000" s="213" t="n"/>
      <c r="C1000" s="213" t="n"/>
      <c r="D1000" s="214" t="n"/>
      <c r="E1000" s="214" t="n"/>
      <c r="G1000" s="165" t="n"/>
      <c r="H1000" s="165" t="n"/>
      <c r="I1000" s="165" t="n"/>
      <c r="J1000" s="166" t="n"/>
      <c r="K1000" s="167" t="n"/>
      <c r="L1000" s="170" t="n"/>
      <c r="M1000" s="170" t="n"/>
      <c r="N1000" s="173" t="n"/>
      <c r="O1000" s="173" t="n"/>
      <c r="P1000" s="173" t="n"/>
      <c r="Q1000" s="173" t="n"/>
      <c r="R1000" s="173" t="n"/>
      <c r="S1000" s="171" t="n"/>
    </row>
    <row r="1001" ht="13.8" customHeight="1">
      <c r="A1001" s="213">
        <f>IF($H1001="UNIDADE CONSTRUTIVA",OFFSET(A1001,-1,0)+1,LARGE(A$3:A1000,1))</f>
        <v/>
      </c>
      <c r="B1001" s="213" t="n"/>
      <c r="C1001" s="213" t="n"/>
      <c r="D1001" s="214" t="n"/>
      <c r="E1001" s="214" t="n"/>
      <c r="G1001" s="165" t="n"/>
      <c r="H1001" s="165" t="n"/>
      <c r="I1001" s="165" t="n"/>
      <c r="J1001" s="166" t="n"/>
      <c r="K1001" s="167" t="n"/>
      <c r="L1001" s="170" t="n"/>
      <c r="M1001" s="170" t="n"/>
      <c r="N1001" s="173" t="n"/>
      <c r="O1001" s="173" t="n"/>
      <c r="P1001" s="173" t="n"/>
      <c r="Q1001" s="173" t="n"/>
      <c r="R1001" s="173" t="n"/>
      <c r="S1001" s="171" t="n"/>
    </row>
    <row r="1002" ht="13.8" customHeight="1">
      <c r="A1002" s="213">
        <f>IF($H1002="UNIDADE CONSTRUTIVA",OFFSET(A1002,-1,0)+1,LARGE(A$3:A1001,1))</f>
        <v/>
      </c>
      <c r="B1002" s="213" t="n"/>
      <c r="C1002" s="213" t="n"/>
      <c r="D1002" s="214" t="n"/>
      <c r="E1002" s="214" t="n"/>
      <c r="G1002" s="165" t="n"/>
      <c r="H1002" s="165" t="n"/>
      <c r="I1002" s="165" t="n"/>
      <c r="J1002" s="166" t="n"/>
      <c r="K1002" s="167" t="n"/>
      <c r="L1002" s="170" t="n"/>
      <c r="M1002" s="170" t="n"/>
      <c r="N1002" s="173" t="n"/>
      <c r="O1002" s="173" t="n"/>
      <c r="P1002" s="173" t="n"/>
      <c r="Q1002" s="173" t="n"/>
      <c r="R1002" s="173" t="n"/>
      <c r="S1002" s="171" t="n"/>
    </row>
    <row r="1003" ht="13.8" customHeight="1">
      <c r="A1003" s="213">
        <f>IF($H1003="UNIDADE CONSTRUTIVA",OFFSET(A1003,-1,0)+1,LARGE(A$3:A1002,1))</f>
        <v/>
      </c>
      <c r="B1003" s="213" t="n"/>
      <c r="C1003" s="213" t="n"/>
      <c r="D1003" s="214" t="n"/>
      <c r="E1003" s="214" t="n"/>
      <c r="G1003" s="165" t="n"/>
      <c r="H1003" s="165" t="n"/>
      <c r="I1003" s="165" t="n"/>
      <c r="J1003" s="166" t="n"/>
      <c r="K1003" s="167" t="n"/>
      <c r="L1003" s="170" t="n"/>
      <c r="M1003" s="170" t="n"/>
      <c r="N1003" s="173" t="n"/>
      <c r="O1003" s="173" t="n"/>
      <c r="P1003" s="173" t="n"/>
      <c r="Q1003" s="173" t="n"/>
      <c r="R1003" s="173" t="n"/>
      <c r="S1003" s="171" t="n"/>
    </row>
    <row r="1004" ht="13.8" customHeight="1">
      <c r="A1004" s="213">
        <f>IF($H1004="UNIDADE CONSTRUTIVA",OFFSET(A1004,-1,0)+1,LARGE(A$3:A1003,1))</f>
        <v/>
      </c>
      <c r="B1004" s="213" t="n"/>
      <c r="C1004" s="213" t="n"/>
      <c r="D1004" s="214" t="n"/>
      <c r="E1004" s="214" t="n"/>
      <c r="G1004" s="165" t="n"/>
      <c r="H1004" s="165" t="n"/>
      <c r="I1004" s="165" t="n"/>
      <c r="J1004" s="166" t="n"/>
      <c r="K1004" s="167" t="n"/>
      <c r="L1004" s="170" t="n"/>
      <c r="M1004" s="170" t="n"/>
      <c r="N1004" s="173" t="n"/>
      <c r="O1004" s="173" t="n"/>
      <c r="P1004" s="173" t="n"/>
      <c r="Q1004" s="173" t="n"/>
      <c r="R1004" s="173" t="n"/>
      <c r="S1004" s="171" t="n"/>
    </row>
    <row r="1005" ht="13.8" customHeight="1">
      <c r="A1005" s="213">
        <f>IF($H1005="UNIDADE CONSTRUTIVA",OFFSET(A1005,-1,0)+1,LARGE(A$3:A1004,1))</f>
        <v/>
      </c>
      <c r="B1005" s="213" t="n"/>
      <c r="C1005" s="213" t="n"/>
      <c r="D1005" s="214" t="n"/>
      <c r="E1005" s="214" t="n"/>
      <c r="G1005" s="165" t="n"/>
      <c r="H1005" s="165" t="n"/>
      <c r="I1005" s="165" t="n"/>
      <c r="J1005" s="166" t="n"/>
      <c r="K1005" s="167" t="n"/>
      <c r="L1005" s="170" t="n"/>
      <c r="M1005" s="170" t="n"/>
      <c r="N1005" s="173" t="n"/>
      <c r="O1005" s="173" t="n"/>
      <c r="P1005" s="173" t="n"/>
      <c r="Q1005" s="173" t="n"/>
      <c r="R1005" s="173" t="n"/>
      <c r="S1005" s="171" t="n"/>
    </row>
    <row r="1006" ht="13.8" customHeight="1">
      <c r="A1006" s="213">
        <f>IF($H1006="UNIDADE CONSTRUTIVA",OFFSET(A1006,-1,0)+1,LARGE(A$3:A1005,1))</f>
        <v/>
      </c>
      <c r="B1006" s="213" t="n"/>
      <c r="C1006" s="213" t="n"/>
      <c r="D1006" s="214" t="n"/>
      <c r="E1006" s="214" t="n"/>
      <c r="G1006" s="165" t="n"/>
      <c r="H1006" s="165" t="n"/>
      <c r="I1006" s="165" t="n"/>
      <c r="J1006" s="166" t="n"/>
      <c r="K1006" s="167" t="n"/>
      <c r="L1006" s="170" t="n"/>
      <c r="M1006" s="170" t="n"/>
      <c r="N1006" s="173" t="n"/>
      <c r="O1006" s="173" t="n"/>
      <c r="P1006" s="173" t="n"/>
      <c r="Q1006" s="173" t="n"/>
      <c r="R1006" s="173" t="n"/>
      <c r="S1006" s="171" t="n"/>
    </row>
    <row r="1007" ht="13.8" customHeight="1">
      <c r="A1007" s="213">
        <f>IF($H1007="UNIDADE CONSTRUTIVA",OFFSET(A1007,-1,0)+1,LARGE(A$3:A1006,1))</f>
        <v/>
      </c>
      <c r="B1007" s="213" t="n"/>
      <c r="C1007" s="213" t="n"/>
      <c r="D1007" s="214" t="n"/>
      <c r="E1007" s="214" t="n"/>
      <c r="G1007" s="165" t="n"/>
      <c r="H1007" s="165" t="n"/>
      <c r="I1007" s="165" t="n"/>
      <c r="J1007" s="166" t="n"/>
      <c r="K1007" s="167" t="n"/>
      <c r="L1007" s="170" t="n"/>
      <c r="M1007" s="170" t="n"/>
      <c r="N1007" s="173" t="n"/>
      <c r="O1007" s="173" t="n"/>
      <c r="P1007" s="173" t="n"/>
      <c r="Q1007" s="173" t="n"/>
      <c r="R1007" s="173" t="n"/>
      <c r="S1007" s="171" t="n"/>
    </row>
    <row r="1008" ht="13.8" customHeight="1">
      <c r="A1008" s="213">
        <f>IF($H1008="UNIDADE CONSTRUTIVA",OFFSET(A1008,-1,0)+1,LARGE(A$3:A1007,1))</f>
        <v/>
      </c>
      <c r="B1008" s="213" t="n"/>
      <c r="C1008" s="213" t="n"/>
      <c r="D1008" s="214" t="n"/>
      <c r="E1008" s="214" t="n"/>
      <c r="G1008" s="165" t="n"/>
      <c r="H1008" s="165" t="n"/>
      <c r="I1008" s="165" t="n"/>
      <c r="J1008" s="166" t="n"/>
      <c r="K1008" s="167" t="n"/>
      <c r="L1008" s="170" t="n"/>
      <c r="M1008" s="170" t="n"/>
      <c r="N1008" s="173" t="n"/>
      <c r="O1008" s="173" t="n"/>
      <c r="P1008" s="173" t="n"/>
      <c r="Q1008" s="173" t="n"/>
      <c r="R1008" s="173" t="n"/>
      <c r="S1008" s="171" t="n"/>
    </row>
    <row r="1009" ht="13.8" customHeight="1">
      <c r="A1009" s="213">
        <f>IF($H1009="UNIDADE CONSTRUTIVA",OFFSET(A1009,-1,0)+1,LARGE(A$3:A1008,1))</f>
        <v/>
      </c>
      <c r="B1009" s="213" t="n"/>
      <c r="C1009" s="213" t="n"/>
      <c r="D1009" s="214" t="n"/>
      <c r="E1009" s="214" t="n"/>
      <c r="G1009" s="165" t="n"/>
      <c r="H1009" s="165" t="n"/>
      <c r="I1009" s="165" t="n"/>
      <c r="J1009" s="166" t="n"/>
      <c r="K1009" s="167" t="n"/>
      <c r="L1009" s="170" t="n"/>
      <c r="M1009" s="170" t="n"/>
      <c r="N1009" s="173" t="n"/>
      <c r="O1009" s="173" t="n"/>
      <c r="P1009" s="173" t="n"/>
      <c r="Q1009" s="173" t="n"/>
      <c r="R1009" s="173" t="n"/>
      <c r="S1009" s="171" t="n"/>
    </row>
    <row r="1010" ht="13.8" customHeight="1">
      <c r="A1010" s="213">
        <f>IF($H1010="UNIDADE CONSTRUTIVA",OFFSET(A1010,-1,0)+1,LARGE(A$3:A1009,1))</f>
        <v/>
      </c>
      <c r="B1010" s="213" t="n"/>
      <c r="C1010" s="213" t="n"/>
      <c r="D1010" s="214" t="n"/>
      <c r="E1010" s="214" t="n"/>
      <c r="G1010" s="165" t="n"/>
      <c r="H1010" s="165" t="n"/>
      <c r="I1010" s="165" t="n"/>
      <c r="J1010" s="166" t="n"/>
      <c r="K1010" s="167" t="n"/>
      <c r="L1010" s="170" t="n"/>
      <c r="M1010" s="170" t="n"/>
      <c r="N1010" s="173" t="n"/>
      <c r="O1010" s="173" t="n"/>
      <c r="P1010" s="173" t="n"/>
      <c r="Q1010" s="173" t="n"/>
      <c r="R1010" s="173" t="n"/>
      <c r="S1010" s="171" t="n"/>
    </row>
    <row r="1011" ht="13.8" customHeight="1">
      <c r="A1011" s="213">
        <f>IF($H1011="UNIDADE CONSTRUTIVA",OFFSET(A1011,-1,0)+1,LARGE(A$3:A1010,1))</f>
        <v/>
      </c>
      <c r="B1011" s="213" t="n"/>
      <c r="C1011" s="213" t="n"/>
      <c r="D1011" s="214" t="n"/>
      <c r="E1011" s="214" t="n"/>
      <c r="G1011" s="165" t="n"/>
      <c r="H1011" s="165" t="n"/>
      <c r="I1011" s="165" t="n"/>
      <c r="J1011" s="166" t="n"/>
      <c r="K1011" s="167" t="n"/>
      <c r="L1011" s="170" t="n"/>
      <c r="M1011" s="170" t="n"/>
      <c r="N1011" s="173" t="n"/>
      <c r="O1011" s="173" t="n"/>
      <c r="P1011" s="173" t="n"/>
      <c r="Q1011" s="173" t="n"/>
      <c r="R1011" s="173" t="n"/>
      <c r="S1011" s="171" t="n"/>
    </row>
    <row r="1012" ht="13.8" customHeight="1">
      <c r="A1012" s="213">
        <f>IF($H1012="UNIDADE CONSTRUTIVA",OFFSET(A1012,-1,0)+1,LARGE(A$3:A1011,1))</f>
        <v/>
      </c>
      <c r="B1012" s="213" t="n"/>
      <c r="C1012" s="213" t="n"/>
      <c r="D1012" s="214" t="n"/>
      <c r="E1012" s="214" t="n"/>
      <c r="G1012" s="165" t="n"/>
      <c r="H1012" s="165" t="n"/>
      <c r="I1012" s="165" t="n"/>
      <c r="J1012" s="166" t="n"/>
      <c r="K1012" s="167" t="n"/>
      <c r="L1012" s="170" t="n"/>
      <c r="M1012" s="170" t="n"/>
      <c r="N1012" s="173" t="n"/>
      <c r="O1012" s="173" t="n"/>
      <c r="P1012" s="173" t="n"/>
      <c r="Q1012" s="173" t="n"/>
      <c r="R1012" s="173" t="n"/>
      <c r="S1012" s="171" t="n"/>
    </row>
    <row r="1013" ht="13.8" customHeight="1">
      <c r="A1013" s="213">
        <f>IF($H1013="UNIDADE CONSTRUTIVA",OFFSET(A1013,-1,0)+1,LARGE(A$3:A1012,1))</f>
        <v/>
      </c>
      <c r="B1013" s="213" t="n"/>
      <c r="C1013" s="213" t="n"/>
      <c r="D1013" s="214" t="n"/>
      <c r="E1013" s="214" t="n"/>
      <c r="G1013" s="165" t="n"/>
      <c r="H1013" s="165" t="n"/>
      <c r="I1013" s="165" t="n"/>
      <c r="J1013" s="166" t="n"/>
      <c r="K1013" s="167" t="n"/>
      <c r="L1013" s="170" t="n"/>
      <c r="M1013" s="170" t="n"/>
      <c r="N1013" s="173" t="n"/>
      <c r="O1013" s="173" t="n"/>
      <c r="P1013" s="173" t="n"/>
      <c r="Q1013" s="173" t="n"/>
      <c r="R1013" s="173" t="n"/>
      <c r="S1013" s="171" t="n"/>
    </row>
    <row r="1014" ht="13.8" customHeight="1">
      <c r="A1014" s="213">
        <f>IF($H1014="UNIDADE CONSTRUTIVA",OFFSET(A1014,-1,0)+1,LARGE(A$3:A1013,1))</f>
        <v/>
      </c>
      <c r="B1014" s="213" t="n"/>
      <c r="C1014" s="213" t="n"/>
      <c r="D1014" s="214" t="n"/>
      <c r="E1014" s="214" t="n"/>
      <c r="G1014" s="165" t="n"/>
      <c r="H1014" s="165" t="n"/>
      <c r="I1014" s="165" t="n"/>
      <c r="J1014" s="166" t="n"/>
      <c r="K1014" s="167" t="n"/>
      <c r="L1014" s="170" t="n"/>
      <c r="M1014" s="170" t="n"/>
      <c r="N1014" s="173" t="n"/>
      <c r="O1014" s="173" t="n"/>
      <c r="P1014" s="173" t="n"/>
      <c r="Q1014" s="173" t="n"/>
      <c r="R1014" s="173" t="n"/>
      <c r="S1014" s="171" t="n"/>
    </row>
    <row r="1015" ht="13.8" customHeight="1">
      <c r="A1015" s="213">
        <f>IF($H1015="UNIDADE CONSTRUTIVA",OFFSET(A1015,-1,0)+1,LARGE(A$3:A1014,1))</f>
        <v/>
      </c>
      <c r="B1015" s="213" t="n"/>
      <c r="C1015" s="213" t="n"/>
      <c r="D1015" s="214" t="n"/>
      <c r="E1015" s="214" t="n"/>
      <c r="G1015" s="165" t="n"/>
      <c r="H1015" s="165" t="n"/>
      <c r="I1015" s="165" t="n"/>
      <c r="J1015" s="166" t="n"/>
      <c r="K1015" s="167" t="n"/>
      <c r="L1015" s="170" t="n"/>
      <c r="M1015" s="170" t="n"/>
      <c r="N1015" s="173" t="n"/>
      <c r="O1015" s="173" t="n"/>
      <c r="P1015" s="173" t="n"/>
      <c r="Q1015" s="173" t="n"/>
      <c r="R1015" s="173" t="n"/>
      <c r="S1015" s="171" t="n"/>
    </row>
    <row r="1016" ht="13.8" customHeight="1">
      <c r="A1016" s="213">
        <f>IF($H1016="UNIDADE CONSTRUTIVA",OFFSET(A1016,-1,0)+1,LARGE(A$3:A1015,1))</f>
        <v/>
      </c>
      <c r="B1016" s="213" t="n"/>
      <c r="C1016" s="213" t="n"/>
      <c r="D1016" s="214" t="n"/>
      <c r="E1016" s="214" t="n"/>
      <c r="G1016" s="165" t="n"/>
      <c r="H1016" s="165" t="n"/>
      <c r="I1016" s="165" t="n"/>
      <c r="J1016" s="166" t="n"/>
      <c r="K1016" s="167" t="n"/>
      <c r="L1016" s="170" t="n"/>
      <c r="M1016" s="170" t="n"/>
      <c r="N1016" s="173" t="n"/>
      <c r="O1016" s="173" t="n"/>
      <c r="P1016" s="173" t="n"/>
      <c r="Q1016" s="173" t="n"/>
      <c r="R1016" s="173" t="n"/>
      <c r="S1016" s="171" t="n"/>
    </row>
    <row r="1017" ht="13.8" customHeight="1">
      <c r="A1017" s="213">
        <f>IF($H1017="UNIDADE CONSTRUTIVA",OFFSET(A1017,-1,0)+1,LARGE(A$3:A1016,1))</f>
        <v/>
      </c>
      <c r="B1017" s="213" t="n"/>
      <c r="C1017" s="213" t="n"/>
      <c r="D1017" s="214" t="n"/>
      <c r="E1017" s="214" t="n"/>
      <c r="G1017" s="165" t="n"/>
      <c r="H1017" s="165" t="n"/>
      <c r="I1017" s="165" t="n"/>
      <c r="J1017" s="166" t="n"/>
      <c r="K1017" s="167" t="n"/>
      <c r="L1017" s="170" t="n"/>
      <c r="M1017" s="170" t="n"/>
      <c r="N1017" s="173" t="n"/>
      <c r="O1017" s="173" t="n"/>
      <c r="P1017" s="173" t="n"/>
      <c r="Q1017" s="173" t="n"/>
      <c r="R1017" s="173" t="n"/>
      <c r="S1017" s="171" t="n"/>
    </row>
    <row r="1018" ht="13.8" customHeight="1">
      <c r="A1018" s="213">
        <f>IF($H1018="UNIDADE CONSTRUTIVA",OFFSET(A1018,-1,0)+1,LARGE(A$3:A1017,1))</f>
        <v/>
      </c>
      <c r="B1018" s="213" t="n"/>
      <c r="C1018" s="213" t="n"/>
      <c r="D1018" s="214" t="n"/>
      <c r="E1018" s="214" t="n"/>
      <c r="G1018" s="165" t="n"/>
      <c r="H1018" s="165" t="n"/>
      <c r="I1018" s="165" t="n"/>
      <c r="J1018" s="166" t="n"/>
      <c r="K1018" s="167" t="n"/>
      <c r="L1018" s="170" t="n"/>
      <c r="M1018" s="170" t="n"/>
      <c r="N1018" s="173" t="n"/>
      <c r="O1018" s="173" t="n"/>
      <c r="P1018" s="173" t="n"/>
      <c r="Q1018" s="173" t="n"/>
      <c r="R1018" s="173" t="n"/>
      <c r="S1018" s="171" t="n"/>
    </row>
    <row r="1019" ht="13.8" customHeight="1">
      <c r="A1019" s="213">
        <f>IF($H1019="UNIDADE CONSTRUTIVA",OFFSET(A1019,-1,0)+1,LARGE(A$3:A1018,1))</f>
        <v/>
      </c>
      <c r="B1019" s="213" t="n"/>
      <c r="C1019" s="213" t="n"/>
      <c r="D1019" s="214" t="n"/>
      <c r="E1019" s="214" t="n"/>
      <c r="G1019" s="165" t="n"/>
      <c r="H1019" s="165" t="n"/>
      <c r="I1019" s="165" t="n"/>
      <c r="J1019" s="166" t="n"/>
      <c r="K1019" s="167" t="n"/>
      <c r="L1019" s="170" t="n"/>
      <c r="M1019" s="170" t="n"/>
      <c r="N1019" s="173" t="n"/>
      <c r="O1019" s="173" t="n"/>
      <c r="P1019" s="173" t="n"/>
      <c r="Q1019" s="173" t="n"/>
      <c r="R1019" s="173" t="n"/>
      <c r="S1019" s="171" t="n"/>
    </row>
    <row r="1020" ht="13.8" customHeight="1">
      <c r="A1020" s="213">
        <f>IF($H1020="UNIDADE CONSTRUTIVA",OFFSET(A1020,-1,0)+1,LARGE(A$3:A1019,1))</f>
        <v/>
      </c>
      <c r="B1020" s="213" t="n"/>
      <c r="C1020" s="213" t="n"/>
      <c r="D1020" s="214" t="n"/>
      <c r="E1020" s="214" t="n"/>
      <c r="G1020" s="165" t="n"/>
      <c r="H1020" s="165" t="n"/>
      <c r="I1020" s="165" t="n"/>
      <c r="J1020" s="166" t="n"/>
      <c r="K1020" s="167" t="n"/>
      <c r="L1020" s="170" t="n"/>
      <c r="M1020" s="170" t="n"/>
      <c r="N1020" s="173" t="n"/>
      <c r="O1020" s="173" t="n"/>
      <c r="P1020" s="173" t="n"/>
      <c r="Q1020" s="173" t="n"/>
      <c r="R1020" s="173" t="n"/>
      <c r="S1020" s="171" t="n"/>
    </row>
    <row r="1021" ht="13.8" customHeight="1">
      <c r="A1021" s="213">
        <f>IF($H1021="UNIDADE CONSTRUTIVA",OFFSET(A1021,-1,0)+1,LARGE(A$3:A1020,1))</f>
        <v/>
      </c>
      <c r="B1021" s="213" t="n"/>
      <c r="C1021" s="213" t="n"/>
      <c r="D1021" s="214" t="n"/>
      <c r="E1021" s="214" t="n"/>
      <c r="G1021" s="165" t="n"/>
      <c r="H1021" s="165" t="n"/>
      <c r="I1021" s="165" t="n"/>
      <c r="J1021" s="166" t="n"/>
      <c r="K1021" s="167" t="n"/>
      <c r="L1021" s="170" t="n"/>
      <c r="M1021" s="170" t="n"/>
      <c r="N1021" s="173" t="n"/>
      <c r="O1021" s="173" t="n"/>
      <c r="P1021" s="173" t="n"/>
      <c r="Q1021" s="173" t="n"/>
      <c r="R1021" s="173" t="n"/>
      <c r="S1021" s="171" t="n"/>
    </row>
    <row r="1022" ht="13.8" customHeight="1">
      <c r="A1022" s="213">
        <f>IF($H1022="UNIDADE CONSTRUTIVA",OFFSET(A1022,-1,0)+1,LARGE(A$3:A1021,1))</f>
        <v/>
      </c>
      <c r="B1022" s="213" t="n"/>
      <c r="C1022" s="213" t="n"/>
      <c r="D1022" s="214" t="n"/>
      <c r="E1022" s="214" t="n"/>
      <c r="G1022" s="165" t="n"/>
      <c r="H1022" s="165" t="n"/>
      <c r="I1022" s="165" t="n"/>
      <c r="J1022" s="166" t="n"/>
      <c r="K1022" s="167" t="n"/>
      <c r="L1022" s="170" t="n"/>
      <c r="M1022" s="170" t="n"/>
      <c r="N1022" s="173" t="n"/>
      <c r="O1022" s="173" t="n"/>
      <c r="P1022" s="173" t="n"/>
      <c r="Q1022" s="173" t="n"/>
      <c r="R1022" s="173" t="n"/>
      <c r="S1022" s="171" t="n"/>
    </row>
    <row r="1023" ht="13.8" customHeight="1">
      <c r="A1023" s="213">
        <f>IF($H1023="UNIDADE CONSTRUTIVA",OFFSET(A1023,-1,0)+1,LARGE(A$3:A1022,1))</f>
        <v/>
      </c>
      <c r="B1023" s="213" t="n"/>
      <c r="C1023" s="213" t="n"/>
      <c r="D1023" s="214" t="n"/>
      <c r="E1023" s="214" t="n"/>
      <c r="G1023" s="165" t="n"/>
      <c r="H1023" s="165" t="n"/>
      <c r="I1023" s="165" t="n"/>
      <c r="J1023" s="166" t="n"/>
      <c r="K1023" s="167" t="n"/>
      <c r="L1023" s="170" t="n"/>
      <c r="M1023" s="170" t="n"/>
      <c r="N1023" s="173" t="n"/>
      <c r="O1023" s="173" t="n"/>
      <c r="P1023" s="173" t="n"/>
      <c r="Q1023" s="173" t="n"/>
      <c r="R1023" s="173" t="n"/>
      <c r="S1023" s="171" t="n"/>
    </row>
    <row r="1024" ht="13.8" customHeight="1">
      <c r="A1024" s="213">
        <f>IF($H1024="UNIDADE CONSTRUTIVA",OFFSET(A1024,-1,0)+1,LARGE(A$3:A1023,1))</f>
        <v/>
      </c>
      <c r="B1024" s="213" t="n"/>
      <c r="C1024" s="213" t="n"/>
      <c r="D1024" s="214" t="n"/>
      <c r="E1024" s="214" t="n"/>
      <c r="G1024" s="165" t="n"/>
      <c r="H1024" s="165" t="n"/>
      <c r="I1024" s="165" t="n"/>
      <c r="J1024" s="166" t="n"/>
      <c r="K1024" s="167" t="n"/>
      <c r="L1024" s="170" t="n"/>
      <c r="M1024" s="170" t="n"/>
      <c r="N1024" s="173" t="n"/>
      <c r="O1024" s="173" t="n"/>
      <c r="P1024" s="173" t="n"/>
      <c r="Q1024" s="173" t="n"/>
      <c r="R1024" s="173" t="n"/>
      <c r="S1024" s="171" t="n"/>
    </row>
    <row r="1025" ht="13.8" customHeight="1">
      <c r="A1025" s="213">
        <f>IF($H1025="UNIDADE CONSTRUTIVA",OFFSET(A1025,-1,0)+1,LARGE(A$3:A1024,1))</f>
        <v/>
      </c>
      <c r="B1025" s="213" t="n"/>
      <c r="C1025" s="213" t="n"/>
      <c r="D1025" s="214" t="n"/>
      <c r="E1025" s="214" t="n"/>
      <c r="G1025" s="165" t="n"/>
      <c r="H1025" s="165" t="n"/>
      <c r="I1025" s="165" t="n"/>
      <c r="J1025" s="166" t="n"/>
      <c r="K1025" s="167" t="n"/>
      <c r="L1025" s="170" t="n"/>
      <c r="M1025" s="170" t="n"/>
      <c r="N1025" s="173" t="n"/>
      <c r="O1025" s="173" t="n"/>
      <c r="P1025" s="173" t="n"/>
      <c r="Q1025" s="173" t="n"/>
      <c r="R1025" s="173" t="n"/>
      <c r="S1025" s="171" t="n"/>
    </row>
    <row r="1026" ht="13.8" customHeight="1">
      <c r="A1026" s="213">
        <f>IF($H1026="UNIDADE CONSTRUTIVA",OFFSET(A1026,-1,0)+1,LARGE(A$3:A1025,1))</f>
        <v/>
      </c>
      <c r="B1026" s="213" t="n"/>
      <c r="C1026" s="213" t="n"/>
      <c r="D1026" s="214" t="n"/>
      <c r="E1026" s="214" t="n"/>
      <c r="G1026" s="165" t="n"/>
      <c r="H1026" s="165" t="n"/>
      <c r="I1026" s="165" t="n"/>
      <c r="J1026" s="166" t="n"/>
      <c r="K1026" s="167" t="n"/>
      <c r="L1026" s="170" t="n"/>
      <c r="M1026" s="170" t="n"/>
      <c r="N1026" s="173" t="n"/>
      <c r="O1026" s="173" t="n"/>
      <c r="P1026" s="173" t="n"/>
      <c r="Q1026" s="173" t="n"/>
      <c r="R1026" s="173" t="n"/>
      <c r="S1026" s="171" t="n"/>
    </row>
    <row r="1027" ht="13.8" customHeight="1">
      <c r="A1027" s="213">
        <f>IF($H1027="UNIDADE CONSTRUTIVA",OFFSET(A1027,-1,0)+1,LARGE(A$3:A1026,1))</f>
        <v/>
      </c>
      <c r="B1027" s="213" t="n"/>
      <c r="C1027" s="213" t="n"/>
      <c r="D1027" s="214" t="n"/>
      <c r="E1027" s="214" t="n"/>
      <c r="G1027" s="165" t="n"/>
      <c r="H1027" s="165" t="n"/>
      <c r="I1027" s="165" t="n"/>
      <c r="J1027" s="166" t="n"/>
      <c r="K1027" s="167" t="n"/>
      <c r="L1027" s="170" t="n"/>
      <c r="M1027" s="170" t="n"/>
      <c r="N1027" s="173" t="n"/>
      <c r="O1027" s="173" t="n"/>
      <c r="P1027" s="173" t="n"/>
      <c r="Q1027" s="173" t="n"/>
      <c r="R1027" s="173" t="n"/>
      <c r="S1027" s="171" t="n"/>
    </row>
    <row r="1028" ht="13.8" customHeight="1">
      <c r="A1028" s="213">
        <f>IF($H1028="UNIDADE CONSTRUTIVA",OFFSET(A1028,-1,0)+1,LARGE(A$3:A1027,1))</f>
        <v/>
      </c>
      <c r="B1028" s="213" t="n"/>
      <c r="C1028" s="213" t="n"/>
      <c r="D1028" s="214" t="n"/>
      <c r="E1028" s="214" t="n"/>
      <c r="G1028" s="165" t="n"/>
      <c r="H1028" s="165" t="n"/>
      <c r="I1028" s="165" t="n"/>
      <c r="J1028" s="166" t="n"/>
      <c r="K1028" s="167" t="n"/>
      <c r="L1028" s="170" t="n"/>
      <c r="M1028" s="170" t="n"/>
      <c r="N1028" s="173" t="n"/>
      <c r="O1028" s="173" t="n"/>
      <c r="P1028" s="173" t="n"/>
      <c r="Q1028" s="173" t="n"/>
      <c r="R1028" s="173" t="n"/>
      <c r="S1028" s="171" t="n"/>
    </row>
    <row r="1029" ht="13.8" customHeight="1">
      <c r="A1029" s="213">
        <f>IF($H1029="UNIDADE CONSTRUTIVA",OFFSET(A1029,-1,0)+1,LARGE(A$3:A1028,1))</f>
        <v/>
      </c>
      <c r="B1029" s="213" t="n"/>
      <c r="C1029" s="213" t="n"/>
      <c r="D1029" s="214" t="n"/>
      <c r="E1029" s="214" t="n"/>
      <c r="G1029" s="165" t="n"/>
      <c r="H1029" s="165" t="n"/>
      <c r="I1029" s="165" t="n"/>
      <c r="J1029" s="166" t="n"/>
      <c r="K1029" s="167" t="n"/>
      <c r="L1029" s="170" t="n"/>
      <c r="M1029" s="170" t="n"/>
      <c r="N1029" s="173" t="n"/>
      <c r="O1029" s="173" t="n"/>
      <c r="P1029" s="173" t="n"/>
      <c r="Q1029" s="173" t="n"/>
      <c r="R1029" s="173" t="n"/>
      <c r="S1029" s="171" t="n"/>
    </row>
    <row r="1030" ht="13.8" customHeight="1">
      <c r="A1030" s="213">
        <f>IF($H1030="UNIDADE CONSTRUTIVA",OFFSET(A1030,-1,0)+1,LARGE(A$3:A1029,1))</f>
        <v/>
      </c>
      <c r="B1030" s="213" t="n"/>
      <c r="C1030" s="213" t="n"/>
      <c r="D1030" s="214" t="n"/>
      <c r="E1030" s="214" t="n"/>
      <c r="G1030" s="165" t="n"/>
      <c r="H1030" s="165" t="n"/>
      <c r="I1030" s="165" t="n"/>
      <c r="J1030" s="166" t="n"/>
      <c r="K1030" s="167" t="n"/>
      <c r="L1030" s="170" t="n"/>
      <c r="M1030" s="170" t="n"/>
      <c r="N1030" s="173" t="n"/>
      <c r="O1030" s="173" t="n"/>
      <c r="P1030" s="173" t="n"/>
      <c r="Q1030" s="173" t="n"/>
      <c r="R1030" s="173" t="n"/>
      <c r="S1030" s="171" t="n"/>
    </row>
    <row r="1031" ht="13.8" customHeight="1">
      <c r="A1031" s="213">
        <f>IF($H1031="UNIDADE CONSTRUTIVA",OFFSET(A1031,-1,0)+1,LARGE(A$3:A1030,1))</f>
        <v/>
      </c>
      <c r="B1031" s="213" t="n"/>
      <c r="C1031" s="213" t="n"/>
      <c r="D1031" s="214" t="n"/>
      <c r="E1031" s="214" t="n"/>
      <c r="G1031" s="165" t="n"/>
      <c r="H1031" s="165" t="n"/>
      <c r="I1031" s="165" t="n"/>
      <c r="J1031" s="166" t="n"/>
      <c r="K1031" s="167" t="n"/>
      <c r="L1031" s="170" t="n"/>
      <c r="M1031" s="170" t="n"/>
      <c r="N1031" s="173" t="n"/>
      <c r="O1031" s="173" t="n"/>
      <c r="P1031" s="173" t="n"/>
      <c r="Q1031" s="173" t="n"/>
      <c r="R1031" s="173" t="n"/>
      <c r="S1031" s="171" t="n"/>
    </row>
    <row r="1032" ht="13.8" customHeight="1">
      <c r="A1032" s="213">
        <f>IF($H1032="UNIDADE CONSTRUTIVA",OFFSET(A1032,-1,0)+1,LARGE(A$3:A1031,1))</f>
        <v/>
      </c>
      <c r="B1032" s="213" t="n"/>
      <c r="C1032" s="213" t="n"/>
      <c r="D1032" s="214" t="n"/>
      <c r="E1032" s="214" t="n"/>
      <c r="G1032" s="165" t="n"/>
      <c r="H1032" s="165" t="n"/>
      <c r="I1032" s="165" t="n"/>
      <c r="J1032" s="166" t="n"/>
      <c r="K1032" s="167" t="n"/>
      <c r="L1032" s="170" t="n"/>
      <c r="M1032" s="170" t="n"/>
      <c r="N1032" s="173" t="n"/>
      <c r="O1032" s="173" t="n"/>
      <c r="P1032" s="173" t="n"/>
      <c r="Q1032" s="173" t="n"/>
      <c r="R1032" s="173" t="n"/>
      <c r="S1032" s="171" t="n"/>
    </row>
    <row r="1033" ht="13.8" customHeight="1">
      <c r="A1033" s="213">
        <f>IF($H1033="UNIDADE CONSTRUTIVA",OFFSET(A1033,-1,0)+1,LARGE(A$3:A1032,1))</f>
        <v/>
      </c>
      <c r="B1033" s="213" t="n"/>
      <c r="C1033" s="213" t="n"/>
      <c r="D1033" s="214" t="n"/>
      <c r="E1033" s="214" t="n"/>
      <c r="G1033" s="165" t="n"/>
      <c r="H1033" s="165" t="n"/>
      <c r="I1033" s="165" t="n"/>
      <c r="J1033" s="166" t="n"/>
      <c r="K1033" s="167" t="n"/>
      <c r="L1033" s="170" t="n"/>
      <c r="M1033" s="170" t="n"/>
      <c r="N1033" s="173" t="n"/>
      <c r="O1033" s="173" t="n"/>
      <c r="P1033" s="173" t="n"/>
      <c r="Q1033" s="173" t="n"/>
      <c r="R1033" s="173" t="n"/>
      <c r="S1033" s="171" t="n"/>
    </row>
    <row r="1034" ht="13.8" customHeight="1">
      <c r="A1034" s="213">
        <f>IF($H1034="UNIDADE CONSTRUTIVA",OFFSET(A1034,-1,0)+1,LARGE(A$3:A1033,1))</f>
        <v/>
      </c>
      <c r="B1034" s="213" t="n"/>
      <c r="C1034" s="213" t="n"/>
      <c r="D1034" s="214" t="n"/>
      <c r="E1034" s="214" t="n"/>
      <c r="G1034" s="165" t="n"/>
      <c r="H1034" s="165" t="n"/>
      <c r="I1034" s="165" t="n"/>
      <c r="J1034" s="166" t="n"/>
      <c r="K1034" s="167" t="n"/>
      <c r="L1034" s="170" t="n"/>
      <c r="M1034" s="170" t="n"/>
      <c r="N1034" s="173" t="n"/>
      <c r="O1034" s="173" t="n"/>
      <c r="P1034" s="173" t="n"/>
      <c r="Q1034" s="173" t="n"/>
      <c r="R1034" s="173" t="n"/>
      <c r="S1034" s="171" t="n"/>
    </row>
    <row r="1035" ht="13.8" customHeight="1">
      <c r="A1035" s="213">
        <f>IF($H1035="UNIDADE CONSTRUTIVA",OFFSET(A1035,-1,0)+1,LARGE(A$3:A1034,1))</f>
        <v/>
      </c>
      <c r="B1035" s="213" t="n"/>
      <c r="C1035" s="213" t="n"/>
      <c r="D1035" s="214" t="n"/>
      <c r="E1035" s="214" t="n"/>
      <c r="G1035" s="165" t="n"/>
      <c r="H1035" s="165" t="n"/>
      <c r="I1035" s="165" t="n"/>
      <c r="J1035" s="166" t="n"/>
      <c r="K1035" s="167" t="n"/>
      <c r="L1035" s="170" t="n"/>
      <c r="M1035" s="170" t="n"/>
      <c r="N1035" s="173" t="n"/>
      <c r="O1035" s="173" t="n"/>
      <c r="P1035" s="173" t="n"/>
      <c r="Q1035" s="173" t="n"/>
      <c r="R1035" s="173" t="n"/>
      <c r="S1035" s="171" t="n"/>
    </row>
    <row r="1036" ht="13.8" customHeight="1">
      <c r="A1036" s="213">
        <f>IF($H1036="UNIDADE CONSTRUTIVA",OFFSET(A1036,-1,0)+1,LARGE(A$3:A1035,1))</f>
        <v/>
      </c>
      <c r="B1036" s="213" t="n"/>
      <c r="C1036" s="213" t="n"/>
      <c r="D1036" s="214" t="n"/>
      <c r="E1036" s="214" t="n"/>
      <c r="G1036" s="165" t="n"/>
      <c r="H1036" s="165" t="n"/>
      <c r="I1036" s="165" t="n"/>
      <c r="J1036" s="166" t="n"/>
      <c r="K1036" s="167" t="n"/>
      <c r="L1036" s="170" t="n"/>
      <c r="M1036" s="170" t="n"/>
      <c r="N1036" s="173" t="n"/>
      <c r="O1036" s="173" t="n"/>
      <c r="P1036" s="173" t="n"/>
      <c r="Q1036" s="173" t="n"/>
      <c r="R1036" s="173" t="n"/>
      <c r="S1036" s="171" t="n"/>
    </row>
    <row r="1037" ht="13.8" customHeight="1">
      <c r="A1037" s="213">
        <f>IF($H1037="UNIDADE CONSTRUTIVA",OFFSET(A1037,-1,0)+1,LARGE(A$3:A1036,1))</f>
        <v/>
      </c>
      <c r="B1037" s="213" t="n"/>
      <c r="C1037" s="213" t="n"/>
      <c r="D1037" s="214" t="n"/>
      <c r="E1037" s="214" t="n"/>
      <c r="G1037" s="165" t="n"/>
      <c r="H1037" s="165" t="n"/>
      <c r="I1037" s="165" t="n"/>
      <c r="J1037" s="166" t="n"/>
      <c r="K1037" s="167" t="n"/>
      <c r="L1037" s="170" t="n"/>
      <c r="M1037" s="170" t="n"/>
      <c r="N1037" s="173" t="n"/>
      <c r="O1037" s="173" t="n"/>
      <c r="P1037" s="173" t="n"/>
      <c r="Q1037" s="173" t="n"/>
      <c r="R1037" s="173" t="n"/>
      <c r="S1037" s="171" t="n"/>
    </row>
    <row r="1038" ht="13.8" customHeight="1">
      <c r="A1038" s="213">
        <f>IF($H1038="UNIDADE CONSTRUTIVA",OFFSET(A1038,-1,0)+1,LARGE(A$3:A1037,1))</f>
        <v/>
      </c>
      <c r="B1038" s="213" t="n"/>
      <c r="C1038" s="213" t="n"/>
      <c r="D1038" s="214" t="n"/>
      <c r="E1038" s="214" t="n"/>
      <c r="G1038" s="165" t="n"/>
      <c r="H1038" s="165" t="n"/>
      <c r="I1038" s="165" t="n"/>
      <c r="J1038" s="166" t="n"/>
      <c r="K1038" s="167" t="n"/>
      <c r="L1038" s="170" t="n"/>
      <c r="M1038" s="170" t="n"/>
      <c r="N1038" s="173" t="n"/>
      <c r="O1038" s="173" t="n"/>
      <c r="P1038" s="173" t="n"/>
      <c r="Q1038" s="173" t="n"/>
      <c r="R1038" s="173" t="n"/>
      <c r="S1038" s="171" t="n"/>
    </row>
    <row r="1039" ht="13.8" customHeight="1">
      <c r="A1039" s="213">
        <f>IF($H1039="UNIDADE CONSTRUTIVA",OFFSET(A1039,-1,0)+1,LARGE(A$3:A1038,1))</f>
        <v/>
      </c>
      <c r="B1039" s="213" t="n"/>
      <c r="C1039" s="213" t="n"/>
      <c r="D1039" s="214" t="n"/>
      <c r="E1039" s="214" t="n"/>
      <c r="G1039" s="165" t="n"/>
      <c r="H1039" s="165" t="n"/>
      <c r="I1039" s="165" t="n"/>
      <c r="J1039" s="166" t="n"/>
      <c r="K1039" s="167" t="n"/>
      <c r="L1039" s="170" t="n"/>
      <c r="M1039" s="170" t="n"/>
      <c r="N1039" s="173" t="n"/>
      <c r="O1039" s="173" t="n"/>
      <c r="P1039" s="173" t="n"/>
      <c r="Q1039" s="173" t="n"/>
      <c r="R1039" s="173" t="n"/>
      <c r="S1039" s="171" t="n"/>
    </row>
    <row r="1040" ht="13.8" customHeight="1">
      <c r="A1040" s="213">
        <f>IF($H1040="UNIDADE CONSTRUTIVA",OFFSET(A1040,-1,0)+1,LARGE(A$3:A1039,1))</f>
        <v/>
      </c>
      <c r="B1040" s="213" t="n"/>
      <c r="C1040" s="213" t="n"/>
      <c r="D1040" s="214" t="n"/>
      <c r="E1040" s="214" t="n"/>
      <c r="G1040" s="165" t="n"/>
      <c r="H1040" s="165" t="n"/>
      <c r="I1040" s="165" t="n"/>
      <c r="J1040" s="166" t="n"/>
      <c r="K1040" s="167" t="n"/>
      <c r="L1040" s="170" t="n"/>
      <c r="M1040" s="170" t="n"/>
      <c r="N1040" s="173" t="n"/>
      <c r="O1040" s="173" t="n"/>
      <c r="P1040" s="173" t="n"/>
      <c r="Q1040" s="173" t="n"/>
      <c r="R1040" s="173" t="n"/>
      <c r="S1040" s="171" t="n"/>
    </row>
    <row r="1041" ht="13.8" customHeight="1">
      <c r="A1041" s="213">
        <f>IF($H1041="UNIDADE CONSTRUTIVA",OFFSET(A1041,-1,0)+1,LARGE(A$3:A1040,1))</f>
        <v/>
      </c>
      <c r="B1041" s="213" t="n"/>
      <c r="C1041" s="213" t="n"/>
      <c r="D1041" s="214" t="n"/>
      <c r="E1041" s="214" t="n"/>
      <c r="G1041" s="165" t="n"/>
      <c r="H1041" s="165" t="n"/>
      <c r="I1041" s="165" t="n"/>
      <c r="J1041" s="166" t="n"/>
      <c r="K1041" s="167" t="n"/>
      <c r="L1041" s="170" t="n"/>
      <c r="M1041" s="170" t="n"/>
      <c r="N1041" s="173" t="n"/>
      <c r="O1041" s="173" t="n"/>
      <c r="P1041" s="173" t="n"/>
      <c r="Q1041" s="173" t="n"/>
      <c r="R1041" s="173" t="n"/>
      <c r="S1041" s="171" t="n"/>
    </row>
    <row r="1042" ht="13.8" customHeight="1">
      <c r="A1042" s="213">
        <f>IF($H1042="UNIDADE CONSTRUTIVA",OFFSET(A1042,-1,0)+1,LARGE(A$3:A1041,1))</f>
        <v/>
      </c>
      <c r="B1042" s="213" t="n"/>
      <c r="C1042" s="213" t="n"/>
      <c r="D1042" s="214" t="n"/>
      <c r="E1042" s="214" t="n"/>
      <c r="G1042" s="165" t="n"/>
      <c r="H1042" s="165" t="n"/>
      <c r="I1042" s="165" t="n"/>
      <c r="J1042" s="166" t="n"/>
      <c r="K1042" s="167" t="n"/>
      <c r="L1042" s="170" t="n"/>
      <c r="M1042" s="170" t="n"/>
      <c r="N1042" s="173" t="n"/>
      <c r="O1042" s="173" t="n"/>
      <c r="P1042" s="173" t="n"/>
      <c r="Q1042" s="173" t="n"/>
      <c r="R1042" s="173" t="n"/>
      <c r="S1042" s="171" t="n"/>
    </row>
    <row r="1043" ht="13.8" customHeight="1">
      <c r="A1043" s="213">
        <f>IF($H1043="UNIDADE CONSTRUTIVA",OFFSET(A1043,-1,0)+1,LARGE(A$3:A1042,1))</f>
        <v/>
      </c>
      <c r="B1043" s="213" t="n"/>
      <c r="C1043" s="213" t="n"/>
      <c r="D1043" s="214" t="n"/>
      <c r="E1043" s="214" t="n"/>
      <c r="G1043" s="165" t="n"/>
      <c r="H1043" s="165" t="n"/>
      <c r="I1043" s="165" t="n"/>
      <c r="J1043" s="166" t="n"/>
      <c r="K1043" s="167" t="n"/>
      <c r="L1043" s="170" t="n"/>
      <c r="M1043" s="170" t="n"/>
      <c r="N1043" s="173" t="n"/>
      <c r="O1043" s="173" t="n"/>
      <c r="P1043" s="173" t="n"/>
      <c r="Q1043" s="173" t="n"/>
      <c r="R1043" s="173" t="n"/>
      <c r="S1043" s="171" t="n"/>
    </row>
    <row r="1044" ht="13.8" customHeight="1">
      <c r="A1044" s="213">
        <f>IF($H1044="UNIDADE CONSTRUTIVA",OFFSET(A1044,-1,0)+1,LARGE(A$3:A1043,1))</f>
        <v/>
      </c>
      <c r="B1044" s="213" t="n"/>
      <c r="C1044" s="213" t="n"/>
      <c r="D1044" s="214" t="n"/>
      <c r="E1044" s="214" t="n"/>
      <c r="G1044" s="165" t="n"/>
      <c r="H1044" s="165" t="n"/>
      <c r="I1044" s="165" t="n"/>
      <c r="J1044" s="166" t="n"/>
      <c r="K1044" s="167" t="n"/>
      <c r="L1044" s="170" t="n"/>
      <c r="M1044" s="170" t="n"/>
      <c r="N1044" s="173" t="n"/>
      <c r="O1044" s="173" t="n"/>
      <c r="P1044" s="173" t="n"/>
      <c r="Q1044" s="173" t="n"/>
      <c r="R1044" s="173" t="n"/>
      <c r="S1044" s="171" t="n"/>
    </row>
    <row r="1045" ht="13.8" customHeight="1">
      <c r="A1045" s="213">
        <f>IF($H1045="UNIDADE CONSTRUTIVA",OFFSET(A1045,-1,0)+1,LARGE(A$3:A1044,1))</f>
        <v/>
      </c>
      <c r="B1045" s="213" t="n"/>
      <c r="C1045" s="213" t="n"/>
      <c r="D1045" s="214" t="n"/>
      <c r="E1045" s="214" t="n"/>
      <c r="G1045" s="165" t="n"/>
      <c r="H1045" s="165" t="n"/>
      <c r="I1045" s="165" t="n"/>
      <c r="J1045" s="166" t="n"/>
      <c r="K1045" s="167" t="n"/>
      <c r="L1045" s="170" t="n"/>
      <c r="M1045" s="170" t="n"/>
      <c r="N1045" s="173" t="n"/>
      <c r="O1045" s="173" t="n"/>
      <c r="P1045" s="173" t="n"/>
      <c r="Q1045" s="173" t="n"/>
      <c r="R1045" s="173" t="n"/>
      <c r="S1045" s="171" t="n"/>
    </row>
    <row r="1046" ht="13.8" customHeight="1">
      <c r="A1046" s="213">
        <f>IF($H1046="UNIDADE CONSTRUTIVA",OFFSET(A1046,-1,0)+1,LARGE(A$3:A1045,1))</f>
        <v/>
      </c>
      <c r="B1046" s="213" t="n"/>
      <c r="C1046" s="213" t="n"/>
      <c r="D1046" s="214" t="n"/>
      <c r="E1046" s="214" t="n"/>
      <c r="G1046" s="165" t="n"/>
      <c r="H1046" s="165" t="n"/>
      <c r="I1046" s="165" t="n"/>
      <c r="J1046" s="166" t="n"/>
      <c r="K1046" s="167" t="n"/>
      <c r="L1046" s="170" t="n"/>
      <c r="M1046" s="170" t="n"/>
      <c r="N1046" s="173" t="n"/>
      <c r="O1046" s="173" t="n"/>
      <c r="P1046" s="173" t="n"/>
      <c r="Q1046" s="173" t="n"/>
      <c r="R1046" s="173" t="n"/>
      <c r="S1046" s="171" t="n"/>
    </row>
    <row r="1047" ht="13.8" customHeight="1">
      <c r="A1047" s="213">
        <f>IF($H1047="UNIDADE CONSTRUTIVA",OFFSET(A1047,-1,0)+1,LARGE(A$3:A1046,1))</f>
        <v/>
      </c>
      <c r="B1047" s="213" t="n"/>
      <c r="C1047" s="213" t="n"/>
      <c r="D1047" s="214" t="n"/>
      <c r="E1047" s="214" t="n"/>
      <c r="G1047" s="165" t="n"/>
      <c r="H1047" s="165" t="n"/>
      <c r="I1047" s="165" t="n"/>
      <c r="J1047" s="166" t="n"/>
      <c r="K1047" s="167" t="n"/>
      <c r="L1047" s="170" t="n"/>
      <c r="M1047" s="170" t="n"/>
      <c r="N1047" s="173" t="n"/>
      <c r="O1047" s="173" t="n"/>
      <c r="P1047" s="173" t="n"/>
      <c r="Q1047" s="173" t="n"/>
      <c r="R1047" s="173" t="n"/>
      <c r="S1047" s="171" t="n"/>
    </row>
    <row r="1048" ht="13.8" customHeight="1">
      <c r="A1048" s="213">
        <f>IF($H1048="UNIDADE CONSTRUTIVA",OFFSET(A1048,-1,0)+1,LARGE(A$3:A1047,1))</f>
        <v/>
      </c>
      <c r="B1048" s="213" t="n"/>
      <c r="C1048" s="213" t="n"/>
      <c r="D1048" s="214" t="n"/>
      <c r="E1048" s="214" t="n"/>
      <c r="G1048" s="165" t="n"/>
      <c r="H1048" s="165" t="n"/>
      <c r="I1048" s="165" t="n"/>
      <c r="J1048" s="166" t="n"/>
      <c r="K1048" s="167" t="n"/>
      <c r="L1048" s="170" t="n"/>
      <c r="M1048" s="170" t="n"/>
      <c r="N1048" s="173" t="n"/>
      <c r="O1048" s="173" t="n"/>
      <c r="P1048" s="173" t="n"/>
      <c r="Q1048" s="173" t="n"/>
      <c r="R1048" s="173" t="n"/>
      <c r="S1048" s="171" t="n"/>
    </row>
    <row r="1049" ht="13.8" customHeight="1">
      <c r="A1049" s="213">
        <f>IF($H1049="UNIDADE CONSTRUTIVA",OFFSET(A1049,-1,0)+1,LARGE(A$3:A1048,1))</f>
        <v/>
      </c>
      <c r="B1049" s="213" t="n"/>
      <c r="C1049" s="213" t="n"/>
      <c r="D1049" s="214" t="n"/>
      <c r="E1049" s="214" t="n"/>
      <c r="G1049" s="165" t="n"/>
      <c r="H1049" s="165" t="n"/>
      <c r="I1049" s="165" t="n"/>
      <c r="J1049" s="166" t="n"/>
      <c r="K1049" s="167" t="n"/>
      <c r="L1049" s="170" t="n"/>
      <c r="M1049" s="170" t="n"/>
      <c r="N1049" s="173" t="n"/>
      <c r="O1049" s="173" t="n"/>
      <c r="P1049" s="173" t="n"/>
      <c r="Q1049" s="173" t="n"/>
      <c r="R1049" s="173" t="n"/>
      <c r="S1049" s="171" t="n"/>
    </row>
    <row r="1050" ht="13.8" customHeight="1">
      <c r="A1050" s="213">
        <f>IF($H1050="UNIDADE CONSTRUTIVA",OFFSET(A1050,-1,0)+1,LARGE(A$3:A1049,1))</f>
        <v/>
      </c>
      <c r="B1050" s="213" t="n"/>
      <c r="C1050" s="213" t="n"/>
      <c r="D1050" s="214" t="n"/>
      <c r="E1050" s="214" t="n"/>
      <c r="G1050" s="165" t="n"/>
      <c r="H1050" s="165" t="n"/>
      <c r="I1050" s="165" t="n"/>
      <c r="J1050" s="166" t="n"/>
      <c r="K1050" s="167" t="n"/>
      <c r="L1050" s="170" t="n"/>
      <c r="M1050" s="170" t="n"/>
      <c r="N1050" s="173" t="n"/>
      <c r="O1050" s="173" t="n"/>
      <c r="P1050" s="173" t="n"/>
      <c r="Q1050" s="173" t="n"/>
      <c r="R1050" s="173" t="n"/>
      <c r="S1050" s="171" t="n"/>
    </row>
    <row r="1051" ht="13.8" customHeight="1">
      <c r="A1051" s="213">
        <f>IF($H1051="UNIDADE CONSTRUTIVA",OFFSET(A1051,-1,0)+1,LARGE(A$3:A1050,1))</f>
        <v/>
      </c>
      <c r="B1051" s="213" t="n"/>
      <c r="C1051" s="213" t="n"/>
      <c r="D1051" s="214" t="n"/>
      <c r="E1051" s="214" t="n"/>
      <c r="G1051" s="165" t="n"/>
      <c r="H1051" s="165" t="n"/>
      <c r="I1051" s="165" t="n"/>
      <c r="J1051" s="166" t="n"/>
      <c r="K1051" s="167" t="n"/>
      <c r="L1051" s="170" t="n"/>
      <c r="M1051" s="170" t="n"/>
      <c r="N1051" s="173" t="n"/>
      <c r="O1051" s="173" t="n"/>
      <c r="P1051" s="173" t="n"/>
      <c r="Q1051" s="173" t="n"/>
      <c r="R1051" s="173" t="n"/>
      <c r="S1051" s="171" t="n"/>
    </row>
    <row r="1052" ht="13.8" customHeight="1">
      <c r="A1052" s="213">
        <f>IF($H1052="UNIDADE CONSTRUTIVA",OFFSET(A1052,-1,0)+1,LARGE(A$3:A1051,1))</f>
        <v/>
      </c>
      <c r="B1052" s="213" t="n"/>
      <c r="C1052" s="213" t="n"/>
      <c r="D1052" s="214" t="n"/>
      <c r="E1052" s="214" t="n"/>
      <c r="G1052" s="165" t="n"/>
      <c r="H1052" s="165" t="n"/>
      <c r="I1052" s="165" t="n"/>
      <c r="J1052" s="166" t="n"/>
      <c r="K1052" s="167" t="n"/>
      <c r="L1052" s="170" t="n"/>
      <c r="M1052" s="170" t="n"/>
      <c r="N1052" s="173" t="n"/>
      <c r="O1052" s="173" t="n"/>
      <c r="P1052" s="173" t="n"/>
      <c r="Q1052" s="173" t="n"/>
      <c r="R1052" s="173" t="n"/>
      <c r="S1052" s="171" t="n"/>
    </row>
    <row r="1053" ht="13.8" customHeight="1">
      <c r="A1053" s="213">
        <f>IF($H1053="UNIDADE CONSTRUTIVA",OFFSET(A1053,-1,0)+1,LARGE(A$3:A1052,1))</f>
        <v/>
      </c>
      <c r="B1053" s="213" t="n"/>
      <c r="C1053" s="213" t="n"/>
      <c r="D1053" s="214" t="n"/>
      <c r="E1053" s="214" t="n"/>
      <c r="G1053" s="165" t="n"/>
      <c r="H1053" s="165" t="n"/>
      <c r="I1053" s="165" t="n"/>
      <c r="J1053" s="166" t="n"/>
      <c r="K1053" s="167" t="n"/>
      <c r="L1053" s="170" t="n"/>
      <c r="M1053" s="170" t="n"/>
      <c r="N1053" s="173" t="n"/>
      <c r="O1053" s="173" t="n"/>
      <c r="P1053" s="173" t="n"/>
      <c r="Q1053" s="173" t="n"/>
      <c r="R1053" s="173" t="n"/>
      <c r="S1053" s="171" t="n"/>
    </row>
    <row r="1054" ht="13.8" customHeight="1">
      <c r="A1054" s="213">
        <f>IF($H1054="UNIDADE CONSTRUTIVA",OFFSET(A1054,-1,0)+1,LARGE(A$3:A1053,1))</f>
        <v/>
      </c>
      <c r="B1054" s="213" t="n"/>
      <c r="C1054" s="213" t="n"/>
      <c r="D1054" s="214" t="n"/>
      <c r="E1054" s="214" t="n"/>
      <c r="G1054" s="165" t="n"/>
      <c r="H1054" s="165" t="n"/>
      <c r="I1054" s="165" t="n"/>
      <c r="J1054" s="166" t="n"/>
      <c r="K1054" s="167" t="n"/>
      <c r="L1054" s="170" t="n"/>
      <c r="M1054" s="170" t="n"/>
      <c r="N1054" s="173" t="n"/>
      <c r="O1054" s="173" t="n"/>
      <c r="P1054" s="173" t="n"/>
      <c r="Q1054" s="173" t="n"/>
      <c r="R1054" s="173" t="n"/>
      <c r="S1054" s="171" t="n"/>
    </row>
    <row r="1055" ht="13.8" customHeight="1">
      <c r="A1055" s="213">
        <f>IF($H1055="UNIDADE CONSTRUTIVA",OFFSET(A1055,-1,0)+1,LARGE(A$3:A1054,1))</f>
        <v/>
      </c>
      <c r="B1055" s="213" t="n"/>
      <c r="C1055" s="213" t="n"/>
      <c r="D1055" s="214" t="n"/>
      <c r="E1055" s="214" t="n"/>
      <c r="G1055" s="165" t="n"/>
      <c r="H1055" s="165" t="n"/>
      <c r="I1055" s="165" t="n"/>
      <c r="J1055" s="166" t="n"/>
      <c r="K1055" s="167" t="n"/>
      <c r="L1055" s="170" t="n"/>
      <c r="M1055" s="170" t="n"/>
      <c r="N1055" s="173" t="n"/>
      <c r="O1055" s="173" t="n"/>
      <c r="P1055" s="173" t="n"/>
      <c r="Q1055" s="173" t="n"/>
      <c r="R1055" s="173" t="n"/>
      <c r="S1055" s="171" t="n"/>
    </row>
    <row r="1056" ht="13.8" customHeight="1">
      <c r="A1056" s="213">
        <f>IF($H1056="UNIDADE CONSTRUTIVA",OFFSET(A1056,-1,0)+1,LARGE(A$3:A1055,1))</f>
        <v/>
      </c>
      <c r="B1056" s="213" t="n"/>
      <c r="C1056" s="213" t="n"/>
      <c r="D1056" s="214" t="n"/>
      <c r="E1056" s="214" t="n"/>
      <c r="G1056" s="165" t="n"/>
      <c r="H1056" s="165" t="n"/>
      <c r="I1056" s="165" t="n"/>
      <c r="J1056" s="166" t="n"/>
      <c r="K1056" s="167" t="n"/>
      <c r="L1056" s="170" t="n"/>
      <c r="M1056" s="170" t="n"/>
      <c r="N1056" s="173" t="n"/>
      <c r="O1056" s="173" t="n"/>
      <c r="P1056" s="173" t="n"/>
      <c r="Q1056" s="173" t="n"/>
      <c r="R1056" s="173" t="n"/>
      <c r="S1056" s="171" t="n"/>
    </row>
    <row r="1057" ht="13.8" customHeight="1">
      <c r="A1057" s="213">
        <f>IF($H1057="UNIDADE CONSTRUTIVA",OFFSET(A1057,-1,0)+1,LARGE(A$3:A1056,1))</f>
        <v/>
      </c>
      <c r="B1057" s="213" t="n"/>
      <c r="C1057" s="213" t="n"/>
      <c r="D1057" s="214" t="n"/>
      <c r="E1057" s="214" t="n"/>
      <c r="G1057" s="165" t="n"/>
      <c r="H1057" s="165" t="n"/>
      <c r="I1057" s="165" t="n"/>
      <c r="J1057" s="166" t="n"/>
      <c r="K1057" s="167" t="n"/>
      <c r="L1057" s="170" t="n"/>
      <c r="M1057" s="170" t="n"/>
      <c r="N1057" s="173" t="n"/>
      <c r="O1057" s="173" t="n"/>
      <c r="P1057" s="173" t="n"/>
      <c r="Q1057" s="173" t="n"/>
      <c r="R1057" s="173" t="n"/>
      <c r="S1057" s="171" t="n"/>
    </row>
    <row r="1058" ht="13.8" customHeight="1">
      <c r="A1058" s="213">
        <f>IF($H1058="UNIDADE CONSTRUTIVA",OFFSET(A1058,-1,0)+1,LARGE(A$3:A1057,1))</f>
        <v/>
      </c>
      <c r="B1058" s="213" t="n"/>
      <c r="C1058" s="213" t="n"/>
      <c r="D1058" s="214" t="n"/>
      <c r="E1058" s="214" t="n"/>
      <c r="G1058" s="165" t="n"/>
      <c r="H1058" s="165" t="n"/>
      <c r="I1058" s="165" t="n"/>
      <c r="J1058" s="166" t="n"/>
      <c r="K1058" s="167" t="n"/>
      <c r="L1058" s="170" t="n"/>
      <c r="M1058" s="170" t="n"/>
      <c r="N1058" s="173" t="n"/>
      <c r="O1058" s="173" t="n"/>
      <c r="P1058" s="173" t="n"/>
      <c r="Q1058" s="173" t="n"/>
      <c r="R1058" s="173" t="n"/>
      <c r="S1058" s="171" t="n"/>
    </row>
    <row r="1059" ht="13.8" customHeight="1">
      <c r="A1059" s="213">
        <f>IF($H1059="UNIDADE CONSTRUTIVA",OFFSET(A1059,-1,0)+1,LARGE(A$3:A1058,1))</f>
        <v/>
      </c>
      <c r="B1059" s="213" t="n"/>
      <c r="C1059" s="213" t="n"/>
      <c r="D1059" s="214" t="n"/>
      <c r="E1059" s="214" t="n"/>
      <c r="G1059" s="165" t="n"/>
      <c r="H1059" s="165" t="n"/>
      <c r="I1059" s="165" t="n"/>
      <c r="J1059" s="166" t="n"/>
      <c r="K1059" s="167" t="n"/>
      <c r="L1059" s="170" t="n"/>
      <c r="M1059" s="170" t="n"/>
      <c r="N1059" s="173" t="n"/>
      <c r="O1059" s="173" t="n"/>
      <c r="P1059" s="173" t="n"/>
      <c r="Q1059" s="173" t="n"/>
      <c r="R1059" s="173" t="n"/>
      <c r="S1059" s="171" t="n"/>
    </row>
    <row r="1060" ht="13.8" customHeight="1">
      <c r="A1060" s="213">
        <f>IF($H1060="UNIDADE CONSTRUTIVA",OFFSET(A1060,-1,0)+1,LARGE(A$3:A1059,1))</f>
        <v/>
      </c>
      <c r="B1060" s="213" t="n"/>
      <c r="C1060" s="213" t="n"/>
      <c r="D1060" s="214" t="n"/>
      <c r="E1060" s="214" t="n"/>
      <c r="G1060" s="165" t="n"/>
      <c r="H1060" s="165" t="n"/>
      <c r="I1060" s="165" t="n"/>
      <c r="J1060" s="166" t="n"/>
      <c r="K1060" s="167" t="n"/>
      <c r="L1060" s="170" t="n"/>
      <c r="M1060" s="170" t="n"/>
      <c r="N1060" s="173" t="n"/>
      <c r="O1060" s="173" t="n"/>
      <c r="P1060" s="173" t="n"/>
      <c r="Q1060" s="173" t="n"/>
      <c r="R1060" s="173" t="n"/>
      <c r="S1060" s="171" t="n"/>
    </row>
    <row r="1061" ht="13.8" customHeight="1">
      <c r="A1061" s="213">
        <f>IF($H1061="UNIDADE CONSTRUTIVA",OFFSET(A1061,-1,0)+1,LARGE(A$3:A1060,1))</f>
        <v/>
      </c>
      <c r="B1061" s="213" t="n"/>
      <c r="C1061" s="213" t="n"/>
      <c r="D1061" s="214" t="n"/>
      <c r="E1061" s="214" t="n"/>
      <c r="G1061" s="165" t="n"/>
      <c r="H1061" s="165" t="n"/>
      <c r="I1061" s="165" t="n"/>
      <c r="J1061" s="166" t="n"/>
      <c r="K1061" s="167" t="n"/>
      <c r="L1061" s="170" t="n"/>
      <c r="M1061" s="170" t="n"/>
      <c r="N1061" s="173" t="n"/>
      <c r="O1061" s="173" t="n"/>
      <c r="P1061" s="173" t="n"/>
      <c r="Q1061" s="173" t="n"/>
      <c r="R1061" s="173" t="n"/>
      <c r="S1061" s="171" t="n"/>
    </row>
    <row r="1062" ht="13.8" customHeight="1">
      <c r="A1062" s="213">
        <f>IF($H1062="UNIDADE CONSTRUTIVA",OFFSET(A1062,-1,0)+1,LARGE(A$3:A1061,1))</f>
        <v/>
      </c>
      <c r="B1062" s="213" t="n"/>
      <c r="C1062" s="213" t="n"/>
      <c r="D1062" s="214" t="n"/>
      <c r="E1062" s="214" t="n"/>
      <c r="G1062" s="165" t="n"/>
      <c r="H1062" s="165" t="n"/>
      <c r="I1062" s="165" t="n"/>
      <c r="J1062" s="166" t="n"/>
      <c r="K1062" s="167" t="n"/>
      <c r="L1062" s="170" t="n"/>
      <c r="M1062" s="170" t="n"/>
      <c r="N1062" s="173" t="n"/>
      <c r="O1062" s="173" t="n"/>
      <c r="P1062" s="173" t="n"/>
      <c r="Q1062" s="173" t="n"/>
      <c r="R1062" s="173" t="n"/>
      <c r="S1062" s="171" t="n"/>
    </row>
    <row r="1063" ht="13.8" customHeight="1">
      <c r="A1063" s="213">
        <f>IF($H1063="UNIDADE CONSTRUTIVA",OFFSET(A1063,-1,0)+1,LARGE(A$3:A1062,1))</f>
        <v/>
      </c>
      <c r="B1063" s="213" t="n"/>
      <c r="C1063" s="213" t="n"/>
      <c r="D1063" s="214" t="n"/>
      <c r="E1063" s="214" t="n"/>
      <c r="G1063" s="165" t="n"/>
      <c r="H1063" s="165" t="n"/>
      <c r="I1063" s="165" t="n"/>
      <c r="J1063" s="166" t="n"/>
      <c r="K1063" s="167" t="n"/>
      <c r="L1063" s="170" t="n"/>
      <c r="M1063" s="170" t="n"/>
      <c r="N1063" s="173" t="n"/>
      <c r="O1063" s="173" t="n"/>
      <c r="P1063" s="173" t="n"/>
      <c r="Q1063" s="173" t="n"/>
      <c r="R1063" s="173" t="n"/>
      <c r="S1063" s="171" t="n"/>
    </row>
    <row r="1064" ht="13.8" customHeight="1">
      <c r="A1064" s="213">
        <f>IF($H1064="UNIDADE CONSTRUTIVA",OFFSET(A1064,-1,0)+1,LARGE(A$3:A1063,1))</f>
        <v/>
      </c>
      <c r="B1064" s="213" t="n"/>
      <c r="C1064" s="213" t="n"/>
      <c r="D1064" s="214" t="n"/>
      <c r="E1064" s="214" t="n"/>
      <c r="G1064" s="165" t="n"/>
      <c r="H1064" s="165" t="n"/>
      <c r="I1064" s="165" t="n"/>
      <c r="J1064" s="166" t="n"/>
      <c r="K1064" s="167" t="n"/>
      <c r="L1064" s="170" t="n"/>
      <c r="M1064" s="170" t="n"/>
      <c r="N1064" s="173" t="n"/>
      <c r="O1064" s="173" t="n"/>
      <c r="P1064" s="173" t="n"/>
      <c r="Q1064" s="173" t="n"/>
      <c r="R1064" s="173" t="n"/>
      <c r="S1064" s="171" t="n"/>
    </row>
    <row r="1065" ht="13.8" customHeight="1">
      <c r="A1065" s="213">
        <f>IF($H1065="UNIDADE CONSTRUTIVA",OFFSET(A1065,-1,0)+1,LARGE(A$3:A1064,1))</f>
        <v/>
      </c>
      <c r="B1065" s="213" t="n"/>
      <c r="C1065" s="213" t="n"/>
      <c r="D1065" s="214" t="n"/>
      <c r="E1065" s="214" t="n"/>
      <c r="G1065" s="165" t="n"/>
      <c r="H1065" s="165" t="n"/>
      <c r="I1065" s="165" t="n"/>
      <c r="J1065" s="166" t="n"/>
      <c r="K1065" s="167" t="n"/>
      <c r="L1065" s="170" t="n"/>
      <c r="M1065" s="170" t="n"/>
      <c r="N1065" s="173" t="n"/>
      <c r="O1065" s="173" t="n"/>
      <c r="P1065" s="173" t="n"/>
      <c r="Q1065" s="173" t="n"/>
      <c r="R1065" s="173" t="n"/>
      <c r="S1065" s="171" t="n"/>
    </row>
    <row r="1066" ht="13.8" customHeight="1">
      <c r="A1066" s="213">
        <f>IF($H1066="UNIDADE CONSTRUTIVA",OFFSET(A1066,-1,0)+1,LARGE(A$3:A1065,1))</f>
        <v/>
      </c>
      <c r="B1066" s="213" t="n"/>
      <c r="C1066" s="213" t="n"/>
      <c r="D1066" s="214" t="n"/>
      <c r="E1066" s="214" t="n"/>
      <c r="G1066" s="165" t="n"/>
      <c r="H1066" s="165" t="n"/>
      <c r="I1066" s="165" t="n"/>
      <c r="J1066" s="166" t="n"/>
      <c r="K1066" s="167" t="n"/>
      <c r="L1066" s="170" t="n"/>
      <c r="M1066" s="170" t="n"/>
      <c r="N1066" s="173" t="n"/>
      <c r="O1066" s="173" t="n"/>
      <c r="P1066" s="173" t="n"/>
      <c r="Q1066" s="173" t="n"/>
      <c r="R1066" s="173" t="n"/>
      <c r="S1066" s="171" t="n"/>
    </row>
    <row r="1067" ht="13.8" customHeight="1">
      <c r="A1067" s="213">
        <f>IF($H1067="UNIDADE CONSTRUTIVA",OFFSET(A1067,-1,0)+1,LARGE(A$3:A1066,1))</f>
        <v/>
      </c>
      <c r="B1067" s="213" t="n"/>
      <c r="C1067" s="213" t="n"/>
      <c r="D1067" s="214" t="n"/>
      <c r="E1067" s="214" t="n"/>
      <c r="G1067" s="165" t="n"/>
      <c r="H1067" s="165" t="n"/>
      <c r="I1067" s="165" t="n"/>
      <c r="J1067" s="166" t="n"/>
      <c r="K1067" s="167" t="n"/>
      <c r="L1067" s="170" t="n"/>
      <c r="M1067" s="170" t="n"/>
      <c r="N1067" s="173" t="n"/>
      <c r="O1067" s="173" t="n"/>
      <c r="P1067" s="173" t="n"/>
      <c r="Q1067" s="173" t="n"/>
      <c r="R1067" s="173" t="n"/>
      <c r="S1067" s="171" t="n"/>
    </row>
    <row r="1068" ht="13.8" customHeight="1">
      <c r="A1068" s="213">
        <f>IF($H1068="UNIDADE CONSTRUTIVA",OFFSET(A1068,-1,0)+1,LARGE(A$3:A1067,1))</f>
        <v/>
      </c>
      <c r="B1068" s="213" t="n"/>
      <c r="C1068" s="213" t="n"/>
      <c r="D1068" s="214" t="n"/>
      <c r="E1068" s="214" t="n"/>
      <c r="G1068" s="165" t="n"/>
      <c r="H1068" s="165" t="n"/>
      <c r="I1068" s="165" t="n"/>
      <c r="J1068" s="166" t="n"/>
      <c r="K1068" s="167" t="n"/>
      <c r="L1068" s="170" t="n"/>
      <c r="M1068" s="170" t="n"/>
      <c r="N1068" s="173" t="n"/>
      <c r="O1068" s="173" t="n"/>
      <c r="P1068" s="173" t="n"/>
      <c r="Q1068" s="173" t="n"/>
      <c r="R1068" s="173" t="n"/>
      <c r="S1068" s="171" t="n"/>
    </row>
    <row r="1069" ht="13.8" customHeight="1">
      <c r="A1069" s="213">
        <f>IF($H1069="UNIDADE CONSTRUTIVA",OFFSET(A1069,-1,0)+1,LARGE(A$3:A1068,1))</f>
        <v/>
      </c>
      <c r="B1069" s="213" t="n"/>
      <c r="C1069" s="213" t="n"/>
      <c r="D1069" s="214" t="n"/>
      <c r="E1069" s="214" t="n"/>
      <c r="G1069" s="165" t="n"/>
      <c r="H1069" s="165" t="n"/>
      <c r="I1069" s="165" t="n"/>
      <c r="J1069" s="166" t="n"/>
      <c r="K1069" s="167" t="n"/>
      <c r="L1069" s="170" t="n"/>
      <c r="M1069" s="170" t="n"/>
      <c r="N1069" s="173" t="n"/>
      <c r="O1069" s="173" t="n"/>
      <c r="P1069" s="173" t="n"/>
      <c r="Q1069" s="173" t="n"/>
      <c r="R1069" s="173" t="n"/>
      <c r="S1069" s="171" t="n"/>
    </row>
    <row r="1070" ht="13.8" customHeight="1">
      <c r="A1070" s="213">
        <f>IF($H1070="UNIDADE CONSTRUTIVA",OFFSET(A1070,-1,0)+1,LARGE(A$3:A1069,1))</f>
        <v/>
      </c>
      <c r="B1070" s="213" t="n"/>
      <c r="C1070" s="213" t="n"/>
      <c r="D1070" s="214" t="n"/>
      <c r="E1070" s="214" t="n"/>
      <c r="G1070" s="165" t="n"/>
      <c r="H1070" s="165" t="n"/>
      <c r="I1070" s="165" t="n"/>
      <c r="J1070" s="166" t="n"/>
      <c r="K1070" s="167" t="n"/>
      <c r="L1070" s="170" t="n"/>
      <c r="M1070" s="170" t="n"/>
      <c r="N1070" s="173" t="n"/>
      <c r="O1070" s="173" t="n"/>
      <c r="P1070" s="173" t="n"/>
      <c r="Q1070" s="173" t="n"/>
      <c r="R1070" s="173" t="n"/>
      <c r="S1070" s="171" t="n"/>
    </row>
    <row r="1071" ht="13.8" customHeight="1">
      <c r="A1071" s="213">
        <f>IF($H1071="UNIDADE CONSTRUTIVA",OFFSET(A1071,-1,0)+1,LARGE(A$3:A1070,1))</f>
        <v/>
      </c>
      <c r="B1071" s="213" t="n"/>
      <c r="C1071" s="213" t="n"/>
      <c r="D1071" s="214" t="n"/>
      <c r="E1071" s="214" t="n"/>
      <c r="G1071" s="165" t="n"/>
      <c r="H1071" s="165" t="n"/>
      <c r="I1071" s="165" t="n"/>
      <c r="J1071" s="166" t="n"/>
      <c r="K1071" s="167" t="n"/>
      <c r="L1071" s="170" t="n"/>
      <c r="M1071" s="170" t="n"/>
      <c r="N1071" s="173" t="n"/>
      <c r="O1071" s="173" t="n"/>
      <c r="P1071" s="173" t="n"/>
      <c r="Q1071" s="173" t="n"/>
      <c r="R1071" s="173" t="n"/>
      <c r="S1071" s="171" t="n"/>
    </row>
    <row r="1072" ht="13.8" customHeight="1">
      <c r="A1072" s="213">
        <f>IF($H1072="UNIDADE CONSTRUTIVA",OFFSET(A1072,-1,0)+1,LARGE(A$3:A1071,1))</f>
        <v/>
      </c>
      <c r="B1072" s="213" t="n"/>
      <c r="C1072" s="213" t="n"/>
      <c r="D1072" s="214" t="n"/>
      <c r="E1072" s="214" t="n"/>
      <c r="G1072" s="165" t="n"/>
      <c r="H1072" s="165" t="n"/>
      <c r="I1072" s="165" t="n"/>
      <c r="J1072" s="166" t="n"/>
      <c r="K1072" s="167" t="n"/>
      <c r="L1072" s="170" t="n"/>
      <c r="M1072" s="170" t="n"/>
      <c r="N1072" s="173" t="n"/>
      <c r="O1072" s="173" t="n"/>
      <c r="P1072" s="173" t="n"/>
      <c r="Q1072" s="173" t="n"/>
      <c r="R1072" s="173" t="n"/>
      <c r="S1072" s="171" t="n"/>
    </row>
    <row r="1073" ht="13.8" customHeight="1">
      <c r="A1073" s="213">
        <f>IF($H1073="UNIDADE CONSTRUTIVA",OFFSET(A1073,-1,0)+1,LARGE(A$3:A1072,1))</f>
        <v/>
      </c>
      <c r="B1073" s="213" t="n"/>
      <c r="C1073" s="213" t="n"/>
      <c r="D1073" s="214" t="n"/>
      <c r="E1073" s="214" t="n"/>
      <c r="G1073" s="165" t="n"/>
      <c r="H1073" s="165" t="n"/>
      <c r="I1073" s="165" t="n"/>
      <c r="J1073" s="166" t="n"/>
      <c r="K1073" s="167" t="n"/>
      <c r="L1073" s="170" t="n"/>
      <c r="M1073" s="170" t="n"/>
      <c r="N1073" s="173" t="n"/>
      <c r="O1073" s="173" t="n"/>
      <c r="P1073" s="173" t="n"/>
      <c r="Q1073" s="173" t="n"/>
      <c r="R1073" s="173" t="n"/>
      <c r="S1073" s="171" t="n"/>
    </row>
    <row r="1074" ht="13.8" customHeight="1">
      <c r="B1074" s="213" t="n"/>
      <c r="C1074" s="213" t="n"/>
      <c r="D1074" s="214" t="n"/>
      <c r="E1074" s="214" t="n"/>
    </row>
    <row r="1075" ht="13.8" customHeight="1"/>
  </sheetData>
  <autoFilter ref="F7:N1074"/>
  <mergeCells count="3">
    <mergeCell ref="G6:J6"/>
    <mergeCell ref="K6:N6"/>
    <mergeCell ref="O6:R6"/>
  </mergeCells>
  <conditionalFormatting sqref="G11 G13:G22">
    <cfRule type="expression" priority="3338" dxfId="4">
      <formula>$H11="CÉLULA CONSTRUTIVA"</formula>
    </cfRule>
    <cfRule type="expression" priority="3339" dxfId="11">
      <formula>$H11="ETAPA"</formula>
    </cfRule>
    <cfRule type="expression" priority="3340" dxfId="53">
      <formula>$H11="SUBETAPA"</formula>
    </cfRule>
  </conditionalFormatting>
  <conditionalFormatting sqref="G26:G27">
    <cfRule type="expression" priority="3215" dxfId="4">
      <formula>$H26="CÉLULA CONSTRUTIVA"</formula>
    </cfRule>
    <cfRule type="expression" priority="3216" dxfId="53">
      <formula>$H26="SUBETAPA"</formula>
    </cfRule>
    <cfRule type="expression" priority="3217" dxfId="11">
      <formula>$H26="ETAPA"</formula>
    </cfRule>
  </conditionalFormatting>
  <conditionalFormatting sqref="G29">
    <cfRule type="expression" priority="628" dxfId="53">
      <formula>$H29="SUBETAPA"</formula>
    </cfRule>
    <cfRule type="expression" priority="629" dxfId="11">
      <formula>$H29="ETAPA"</formula>
    </cfRule>
  </conditionalFormatting>
  <conditionalFormatting sqref="G29:G41">
    <cfRule type="expression" priority="621" dxfId="4">
      <formula>$H29="CÉLULA CONSTRUTIVA"</formula>
    </cfRule>
  </conditionalFormatting>
  <conditionalFormatting sqref="G30 G35 G39">
    <cfRule type="expression" priority="3029" dxfId="53">
      <formula>$H30="SUBETAPA"</formula>
    </cfRule>
    <cfRule type="expression" priority="3030" dxfId="11">
      <formula>$H30="ETAPA"</formula>
    </cfRule>
  </conditionalFormatting>
  <conditionalFormatting sqref="G31:G34">
    <cfRule type="expression" priority="626" dxfId="53">
      <formula>$H31="SUBETAPA"</formula>
    </cfRule>
    <cfRule type="expression" priority="627" dxfId="11">
      <formula>$H31="ETAPA"</formula>
    </cfRule>
  </conditionalFormatting>
  <conditionalFormatting sqref="G36:G38">
    <cfRule type="expression" priority="624" dxfId="53">
      <formula>$H36="SUBETAPA"</formula>
    </cfRule>
    <cfRule type="expression" priority="625" dxfId="11">
      <formula>$H36="ETAPA"</formula>
    </cfRule>
  </conditionalFormatting>
  <conditionalFormatting sqref="G40:G41">
    <cfRule type="expression" priority="622" dxfId="53">
      <formula>$H40="SUBETAPA"</formula>
    </cfRule>
    <cfRule type="expression" priority="623" dxfId="11">
      <formula>$H40="ETAPA"</formula>
    </cfRule>
  </conditionalFormatting>
  <conditionalFormatting sqref="G44">
    <cfRule type="expression" priority="619" dxfId="53">
      <formula>$H44="SUBETAPA"</formula>
    </cfRule>
    <cfRule type="expression" priority="620" dxfId="11">
      <formula>$H44="ETAPA"</formula>
    </cfRule>
  </conditionalFormatting>
  <conditionalFormatting sqref="G44:G54">
    <cfRule type="expression" priority="610" dxfId="4">
      <formula>$H44="CÉLULA CONSTRUTIVA"</formula>
    </cfRule>
  </conditionalFormatting>
  <conditionalFormatting sqref="G45 G50 G52">
    <cfRule type="expression" priority="3098" dxfId="53">
      <formula>$H45="SUBETAPA"</formula>
    </cfRule>
    <cfRule type="expression" priority="3099" dxfId="11">
      <formula>$H45="ETAPA"</formula>
    </cfRule>
  </conditionalFormatting>
  <conditionalFormatting sqref="G46:G49">
    <cfRule type="expression" priority="617" dxfId="53">
      <formula>$H46="SUBETAPA"</formula>
    </cfRule>
    <cfRule type="expression" priority="618" dxfId="11">
      <formula>$H46="ETAPA"</formula>
    </cfRule>
  </conditionalFormatting>
  <conditionalFormatting sqref="G51">
    <cfRule type="expression" priority="615" dxfId="53">
      <formula>$H51="SUBETAPA"</formula>
    </cfRule>
    <cfRule type="expression" priority="616" dxfId="11">
      <formula>$H51="ETAPA"</formula>
    </cfRule>
  </conditionalFormatting>
  <conditionalFormatting sqref="G53">
    <cfRule type="expression" priority="613" dxfId="53">
      <formula>$H53="SUBETAPA"</formula>
    </cfRule>
    <cfRule type="expression" priority="614" dxfId="11">
      <formula>$H53="ETAPA"</formula>
    </cfRule>
  </conditionalFormatting>
  <conditionalFormatting sqref="G54">
    <cfRule type="expression" priority="611" dxfId="53">
      <formula>$H54="SUBETAPA"</formula>
    </cfRule>
    <cfRule type="expression" priority="612" dxfId="11">
      <formula>$H54="ETAPA"</formula>
    </cfRule>
  </conditionalFormatting>
  <conditionalFormatting sqref="G58:G85">
    <cfRule type="expression" priority="2803" dxfId="4">
      <formula>$H58="CÉLULA CONSTRUTIVA"</formula>
    </cfRule>
    <cfRule type="expression" priority="2804" dxfId="53">
      <formula>$H58="SUBETAPA"</formula>
    </cfRule>
    <cfRule type="expression" priority="2805" dxfId="11">
      <formula>$H58="ETAPA"</formula>
    </cfRule>
  </conditionalFormatting>
  <conditionalFormatting sqref="G90:G113 G114:R114 G115:G116 G422:G424 H110:R110 H112:L113 H418:K421 L419:L421 M97:M109 M111:M113 N112:P113 O418:O421 P419:P421 Q97:Q109 Q111:Q113 R112:R113">
    <cfRule type="expression" priority="2736" dxfId="0">
      <formula>$H90="ETAPA"</formula>
    </cfRule>
  </conditionalFormatting>
  <conditionalFormatting sqref="G117">
    <cfRule type="expression" priority="2603" dxfId="6">
      <formula>$H117="SUBETAPA"</formula>
    </cfRule>
    <cfRule type="expression" priority="2604" dxfId="0">
      <formula>$H117="ETAPA"</formula>
    </cfRule>
    <cfRule type="expression" priority="2605" dxfId="2">
      <formula>$H117="CÉLULA CONSTRUTIVA"</formula>
    </cfRule>
  </conditionalFormatting>
  <conditionalFormatting sqref="G128">
    <cfRule type="expression" priority="581" dxfId="4">
      <formula>$H128="CÉLULA CONSTRUTIVA"</formula>
    </cfRule>
    <cfRule type="expression" priority="582" dxfId="11">
      <formula>$H128="ETAPA"</formula>
    </cfRule>
  </conditionalFormatting>
  <conditionalFormatting sqref="G131">
    <cfRule type="expression" priority="3428" dxfId="2">
      <formula>$H131="CÉLULA CONSTRUTIVA"</formula>
    </cfRule>
    <cfRule type="expression" priority="3429" dxfId="6">
      <formula>$H131="SUBETAPA"</formula>
    </cfRule>
  </conditionalFormatting>
  <conditionalFormatting sqref="G120:M124 G125:G127 G132:G139 G144:M145 G148:R148 G150:R150 G151:G158 G160:G162 G254:M254 G255:N255 G256:G257 G259:G269 G278:R278 G279:M279 G284:R284 G286:G287 G289:G293 G295:G305 G307:R312 G317 G326:M326 G330:M330 G332:M339 G344 G347 G351:G352 G358 G360 G362:G363 G369:I369 G400:G401 G407:I408 G415:I416 G427:L427 G428:R428 G429:L429 G434:M434 H125:M125 H126:R126 H151:M154 H162:R162 H256:N256 H327:R327 H329:R329 H331:R331 H345:I346 H348:I348 H403:I403 H431:M431 J346:J348 K345:L346 K348:L348 K408 K416:R416 M317:M319 M325:N325 M401 M408 N121:N122 N124:N125 N133 N153 N348:P348 N398:N399 O120:Q125 O144:Q145 O151:Q154 O254:Q254 O255:R256 O279:Q279 O326:Q326 O330:Q330 O332:Q339 O345:P346 O408 O427:P427 O429:P429 O431:Q431 O434:Q434 Q317:Q319 Q325:R325 Q401 Q408 R121:R122 R124:R125 R133 R153 R348 R398:R399">
    <cfRule type="expression" priority="7680" dxfId="0">
      <formula>$H120="ETAPA"</formula>
    </cfRule>
  </conditionalFormatting>
  <conditionalFormatting sqref="G147">
    <cfRule type="expression" priority="7416" dxfId="2">
      <formula>$H147="CÉLULA CONSTRUTIVA"</formula>
    </cfRule>
    <cfRule type="expression" priority="7404" dxfId="0">
      <formula>$H147="ETAPA"</formula>
    </cfRule>
  </conditionalFormatting>
  <conditionalFormatting sqref="G149">
    <cfRule type="expression" priority="7391" dxfId="2">
      <formula>$H149="CÉLULA CONSTRUTIVA"</formula>
    </cfRule>
    <cfRule type="expression" priority="7379" dxfId="0">
      <formula>$H149="ETAPA"</formula>
    </cfRule>
  </conditionalFormatting>
  <conditionalFormatting sqref="G151:G159">
    <cfRule type="expression" priority="7332" dxfId="2">
      <formula>$H151="CÉLULA CONSTRUTIVA"</formula>
    </cfRule>
  </conditionalFormatting>
  <conditionalFormatting sqref="G159">
    <cfRule type="expression" priority="7333" dxfId="6">
      <formula>$H159="SUBETAPA"</formula>
    </cfRule>
    <cfRule type="expression" priority="7337" dxfId="0">
      <formula>$H159="ETAPA"</formula>
    </cfRule>
  </conditionalFormatting>
  <conditionalFormatting sqref="G163">
    <cfRule type="expression" priority="4130" dxfId="2">
      <formula>$H163="CÉLULA CONSTRUTIVA"</formula>
    </cfRule>
    <cfRule type="expression" priority="4131" dxfId="6">
      <formula>$H163="SUBETAPA"</formula>
    </cfRule>
    <cfRule type="expression" priority="4135" dxfId="0">
      <formula>$H163="ETAPA"</formula>
    </cfRule>
  </conditionalFormatting>
  <conditionalFormatting sqref="G164">
    <cfRule type="expression" priority="3840" dxfId="6">
      <formula>$H164="SUBETAPA"</formula>
    </cfRule>
    <cfRule type="expression" priority="3841" dxfId="0">
      <formula>$H164="ETAPA"</formula>
    </cfRule>
    <cfRule type="expression" priority="3842" dxfId="2">
      <formula>$H164="CÉLULA CONSTRUTIVA"</formula>
    </cfRule>
  </conditionalFormatting>
  <conditionalFormatting sqref="G165">
    <cfRule type="expression" priority="3914" dxfId="6">
      <formula>$H165="SUBETAPA"</formula>
    </cfRule>
    <cfRule type="expression" priority="3915" dxfId="0">
      <formula>$H165="ETAPA"</formula>
    </cfRule>
    <cfRule type="expression" priority="3916" dxfId="2">
      <formula>$H165="CÉLULA CONSTRUTIVA"</formula>
    </cfRule>
  </conditionalFormatting>
  <conditionalFormatting sqref="G166">
    <cfRule type="expression" priority="3689" dxfId="6">
      <formula>$H166="SUBETAPA"</formula>
    </cfRule>
    <cfRule type="expression" priority="3690" dxfId="0">
      <formula>$H166="ETAPA"</formula>
    </cfRule>
    <cfRule type="expression" priority="3691" dxfId="2">
      <formula>$H166="CÉLULA CONSTRUTIVA"</formula>
    </cfRule>
  </conditionalFormatting>
  <conditionalFormatting sqref="G167">
    <cfRule type="expression" priority="3764" dxfId="6">
      <formula>$H167="SUBETAPA"</formula>
    </cfRule>
    <cfRule type="expression" priority="3765" dxfId="0">
      <formula>$H167="ETAPA"</formula>
    </cfRule>
    <cfRule type="expression" priority="3766" dxfId="2">
      <formula>$H167="CÉLULA CONSTRUTIVA"</formula>
    </cfRule>
  </conditionalFormatting>
  <conditionalFormatting sqref="G168">
    <cfRule type="expression" priority="4064" dxfId="6">
      <formula>$H168="SUBETAPA"</formula>
    </cfRule>
    <cfRule type="expression" priority="4065" dxfId="0">
      <formula>$H168="ETAPA"</formula>
    </cfRule>
    <cfRule type="expression" priority="4066" dxfId="2">
      <formula>$H168="CÉLULA CONSTRUTIVA"</formula>
    </cfRule>
  </conditionalFormatting>
  <conditionalFormatting sqref="G169">
    <cfRule type="expression" priority="4162" dxfId="6">
      <formula>$H169="SUBETAPA"</formula>
    </cfRule>
    <cfRule type="expression" priority="4163" dxfId="0">
      <formula>$H169="ETAPA"</formula>
    </cfRule>
    <cfRule type="expression" priority="4164" dxfId="2">
      <formula>$H169="CÉLULA CONSTRUTIVA"</formula>
    </cfRule>
  </conditionalFormatting>
  <conditionalFormatting sqref="G170">
    <cfRule type="expression" priority="3989" dxfId="6">
      <formula>$H170="SUBETAPA"</formula>
    </cfRule>
    <cfRule type="expression" priority="3990" dxfId="0">
      <formula>$H170="ETAPA"</formula>
    </cfRule>
    <cfRule type="expression" priority="3991" dxfId="2">
      <formula>$H170="CÉLULA CONSTRUTIVA"</formula>
    </cfRule>
  </conditionalFormatting>
  <conditionalFormatting sqref="G171">
    <cfRule type="expression" priority="3613" dxfId="6">
      <formula>$H171="SUBETAPA"</formula>
    </cfRule>
    <cfRule type="expression" priority="3614" dxfId="0">
      <formula>$H171="ETAPA"</formula>
    </cfRule>
    <cfRule type="expression" priority="3615" dxfId="2">
      <formula>$H171="CÉLULA CONSTRUTIVA"</formula>
    </cfRule>
  </conditionalFormatting>
  <conditionalFormatting sqref="G172 G235:L236 G237:G238 G245:G247 G249 G251 H237:L237">
    <cfRule type="expression" priority="2568" dxfId="4">
      <formula>$H172="CÉLULA CONSTRUTIVA"</formula>
    </cfRule>
  </conditionalFormatting>
  <conditionalFormatting sqref="G172 G192 G234 G237:G238 G241 G245:G247 G249 G251 H179:L179 H233:L233 N172 N192 O179:P179 O233:P233 R172 R192">
    <cfRule type="expression" priority="2558" dxfId="11">
      <formula>$H172="ETAPA"</formula>
    </cfRule>
  </conditionalFormatting>
  <conditionalFormatting sqref="G225 G227 G229 H228:L230">
    <cfRule type="expression" priority="1359" dxfId="6">
      <formula>$H225="SUBETAPA"</formula>
    </cfRule>
  </conditionalFormatting>
  <conditionalFormatting sqref="G225 G227 G229 J225:J230">
    <cfRule type="expression" priority="1358" dxfId="0">
      <formula>$H225="ETAPA"</formula>
    </cfRule>
  </conditionalFormatting>
  <conditionalFormatting sqref="G233">
    <cfRule type="expression" priority="607" dxfId="2">
      <formula>$H233="CÉLULA CONSTRUTIVA"</formula>
    </cfRule>
    <cfRule type="expression" priority="608" dxfId="6">
      <formula>$H233="SUBETAPA"</formula>
    </cfRule>
    <cfRule type="expression" priority="609" dxfId="0">
      <formula>$H233="ETAPA"</formula>
    </cfRule>
  </conditionalFormatting>
  <conditionalFormatting sqref="G289:G300">
    <cfRule type="expression" priority="7296" dxfId="2">
      <formula>$H289="CÉLULA CONSTRUTIVA"</formula>
    </cfRule>
  </conditionalFormatting>
  <conditionalFormatting sqref="G294">
    <cfRule type="expression" priority="7297" dxfId="6">
      <formula>$H294="SUBETAPA"</formula>
    </cfRule>
    <cfRule type="expression" priority="7301" dxfId="0">
      <formula>$H294="ETAPA"</formula>
    </cfRule>
  </conditionalFormatting>
  <conditionalFormatting sqref="G318:G325 G331 G333:G339">
    <cfRule type="expression" priority="7552" dxfId="0">
      <formula>$H318="ETAPA"</formula>
    </cfRule>
  </conditionalFormatting>
  <conditionalFormatting sqref="G327:G329">
    <cfRule type="expression" priority="672" dxfId="0">
      <formula>$H327="ETAPA"</formula>
    </cfRule>
  </conditionalFormatting>
  <conditionalFormatting sqref="G328">
    <cfRule type="expression" priority="680" dxfId="6">
      <formula>$H328="SUBETAPA"</formula>
    </cfRule>
    <cfRule type="expression" priority="681" dxfId="2">
      <formula>$H328="CÉLULA CONSTRUTIVA"</formula>
    </cfRule>
  </conditionalFormatting>
  <conditionalFormatting sqref="G349 J349:J350">
    <cfRule type="expression" priority="7262" dxfId="0">
      <formula>$H349="ETAPA"</formula>
    </cfRule>
    <cfRule type="expression" priority="7261" dxfId="6">
      <formula>$H349="SUBETAPA"</formula>
    </cfRule>
  </conditionalFormatting>
  <conditionalFormatting sqref="G373">
    <cfRule type="expression" priority="5289" dxfId="2">
      <formula>$H373="CÉLULA CONSTRUTIVA"</formula>
    </cfRule>
    <cfRule type="expression" priority="5290" dxfId="6">
      <formula>$H373="SUBETAPA"</formula>
    </cfRule>
  </conditionalFormatting>
  <conditionalFormatting sqref="G380">
    <cfRule type="expression" priority="767" dxfId="6">
      <formula>$H380="SUBETAPA"</formula>
    </cfRule>
    <cfRule type="expression" priority="768" dxfId="2">
      <formula>$H380="CÉLULA CONSTRUTIVA"</formula>
    </cfRule>
    <cfRule type="expression" priority="769" dxfId="0">
      <formula>$H380="ETAPA"</formula>
    </cfRule>
  </conditionalFormatting>
  <conditionalFormatting sqref="G382">
    <cfRule type="expression" priority="764" dxfId="6">
      <formula>$H382="SUBETAPA"</formula>
    </cfRule>
    <cfRule type="expression" priority="765" dxfId="2">
      <formula>$H382="CÉLULA CONSTRUTIVA"</formula>
    </cfRule>
    <cfRule type="expression" priority="766" dxfId="0">
      <formula>$H382="ETAPA"</formula>
    </cfRule>
  </conditionalFormatting>
  <conditionalFormatting sqref="G384">
    <cfRule type="expression" priority="761" dxfId="6">
      <formula>$H384="SUBETAPA"</formula>
    </cfRule>
    <cfRule type="expression" priority="762" dxfId="2">
      <formula>$H384="CÉLULA CONSTRUTIVA"</formula>
    </cfRule>
    <cfRule type="expression" priority="763" dxfId="0">
      <formula>$H384="ETAPA"</formula>
    </cfRule>
  </conditionalFormatting>
  <conditionalFormatting sqref="G403:G404">
    <cfRule type="expression" priority="4175" dxfId="0">
      <formula>$H403="ETAPA"</formula>
    </cfRule>
    <cfRule type="expression" priority="4176" dxfId="2">
      <formula>$H403="CÉLULA CONSTRUTIVA"</formula>
    </cfRule>
    <cfRule type="expression" priority="4177" dxfId="6">
      <formula>$H403="SUBETAPA"</formula>
    </cfRule>
  </conditionalFormatting>
  <conditionalFormatting sqref="G406">
    <cfRule type="expression" priority="3486" dxfId="0">
      <formula>$H406="ETAPA"</formula>
    </cfRule>
    <cfRule type="expression" priority="3489" dxfId="2">
      <formula>$H406="CÉLULA CONSTRUTIVA"</formula>
    </cfRule>
  </conditionalFormatting>
  <conditionalFormatting sqref="G408">
    <cfRule type="expression" priority="7471" dxfId="0">
      <formula>$H408="ETAPA"</formula>
    </cfRule>
  </conditionalFormatting>
  <conditionalFormatting sqref="G411:G413">
    <cfRule type="expression" priority="4172" dxfId="0">
      <formula>$H411="ETAPA"</formula>
    </cfRule>
    <cfRule type="expression" priority="4173" dxfId="2">
      <formula>$H411="CÉLULA CONSTRUTIVA"</formula>
    </cfRule>
    <cfRule type="expression" priority="4174" dxfId="0">
      <formula>$H411="ETAPA"</formula>
    </cfRule>
  </conditionalFormatting>
  <conditionalFormatting sqref="G415:G416">
    <cfRule type="expression" priority="4168" dxfId="0">
      <formula>$H415="ETAPA"</formula>
    </cfRule>
    <cfRule type="expression" priority="4169" dxfId="2">
      <formula>$H415="CÉLULA CONSTRUTIVA"</formula>
    </cfRule>
    <cfRule type="expression" priority="4170" dxfId="0">
      <formula>$H415="ETAPA"</formula>
    </cfRule>
    <cfRule type="expression" priority="4171" dxfId="2">
      <formula>$H415="CÉLULA CONSTRUTIVA"</formula>
    </cfRule>
  </conditionalFormatting>
  <conditionalFormatting sqref="G208:I208 K208 M208">
    <cfRule type="expression" priority="2023" dxfId="11">
      <formula>$H208="ETAPA"</formula>
    </cfRule>
    <cfRule type="expression" priority="2022" dxfId="4">
      <formula>$H208="CÉLULA CONSTRUTIVA"</formula>
    </cfRule>
  </conditionalFormatting>
  <conditionalFormatting sqref="G373:I373">
    <cfRule type="expression" priority="5291" dxfId="0">
      <formula>$H373="ETAPA"</formula>
    </cfRule>
  </conditionalFormatting>
  <conditionalFormatting sqref="G386:I386 K386:M386">
    <cfRule type="expression" priority="7193" dxfId="2">
      <formula>$H386="CÉLULA CONSTRUTIVA"</formula>
    </cfRule>
  </conditionalFormatting>
  <conditionalFormatting sqref="G386:I386 K386:R386">
    <cfRule type="expression" priority="7191" dxfId="0">
      <formula>$H386="ETAPA"</formula>
    </cfRule>
  </conditionalFormatting>
  <conditionalFormatting sqref="G389:I389 K389:L389">
    <cfRule type="expression" priority="7201" dxfId="2">
      <formula>$H389="CÉLULA CONSTRUTIVA"</formula>
    </cfRule>
  </conditionalFormatting>
  <conditionalFormatting sqref="G391:I391 K391:L391">
    <cfRule type="expression" priority="7168" dxfId="2">
      <formula>$H391="CÉLULA CONSTRUTIVA"</formula>
    </cfRule>
  </conditionalFormatting>
  <conditionalFormatting sqref="G391:I391 K391:M391">
    <cfRule type="expression" priority="7160" dxfId="6">
      <formula>$H391="SUBETAPA"</formula>
    </cfRule>
  </conditionalFormatting>
  <conditionalFormatting sqref="G394:I394 K394:L394">
    <cfRule type="expression" priority="7124" dxfId="2">
      <formula>$H394="CÉLULA CONSTRUTIVA"</formula>
    </cfRule>
  </conditionalFormatting>
  <conditionalFormatting sqref="G399:I399 G408 G411:G413 G415:G416 H401:I401 K399 K401:L401">
    <cfRule type="expression" priority="7477" dxfId="2">
      <formula>$H399="CÉLULA CONSTRUTIVA"</formula>
    </cfRule>
  </conditionalFormatting>
  <conditionalFormatting sqref="G405:I406 K406 M406">
    <cfRule type="expression" priority="3534" dxfId="0">
      <formula>$H405="ETAPA"</formula>
    </cfRule>
  </conditionalFormatting>
  <conditionalFormatting sqref="G436:I436">
    <cfRule type="expression" priority="7793" dxfId="6">
      <formula>$H436="SUBETAPA"</formula>
    </cfRule>
    <cfRule type="expression" priority="7794" dxfId="2">
      <formula>$H436="CÉLULA CONSTRUTIVA"</formula>
    </cfRule>
  </conditionalFormatting>
  <conditionalFormatting sqref="G131:J131 L131 N131 P131 R131">
    <cfRule type="expression" priority="3431" dxfId="0">
      <formula>$H131="ETAPA"</formula>
    </cfRule>
  </conditionalFormatting>
  <conditionalFormatting sqref="G316:J316 G318:G325 G327 G329 G331 G332:M339 H319:I319 K319:L319 L316:N316 O319:P319 O332:Q339 P316:R316">
    <cfRule type="expression" priority="7693" dxfId="2">
      <formula>$H316="CÉLULA CONSTRUTIVA"</formula>
    </cfRule>
  </conditionalFormatting>
  <conditionalFormatting sqref="G316:J316 G318:G325 G327 G329 G331 G333:G339 L316 N316 P316 R316">
    <cfRule type="expression" priority="7692" dxfId="6">
      <formula>$H316="SUBETAPA"</formula>
    </cfRule>
  </conditionalFormatting>
  <conditionalFormatting sqref="G402:J402">
    <cfRule type="expression" priority="7091" dxfId="0">
      <formula>$H402="ETAPA"</formula>
    </cfRule>
  </conditionalFormatting>
  <conditionalFormatting sqref="G173:K173 J177 M173">
    <cfRule type="expression" priority="2510" dxfId="11">
      <formula>$H173="ETAPA"</formula>
    </cfRule>
  </conditionalFormatting>
  <conditionalFormatting sqref="G174:K174 M191">
    <cfRule type="expression" priority="2519" dxfId="11">
      <formula>$H174="ETAPA"</formula>
    </cfRule>
  </conditionalFormatting>
  <conditionalFormatting sqref="G175:K176 G177 G179 G181 G183 G185 G187 G189 G191">
    <cfRule type="expression" priority="2489" dxfId="11">
      <formula>$H175="ETAPA"</formula>
    </cfRule>
  </conditionalFormatting>
  <conditionalFormatting sqref="G178:K178">
    <cfRule type="expression" priority="2468" dxfId="11">
      <formula>$H178="ETAPA"</formula>
    </cfRule>
  </conditionalFormatting>
  <conditionalFormatting sqref="G180:K180 M180">
    <cfRule type="expression" priority="1530" dxfId="11">
      <formula>$H180="ETAPA"</formula>
    </cfRule>
  </conditionalFormatting>
  <conditionalFormatting sqref="G182:K182 H181:K181">
    <cfRule type="expression" priority="1502" dxfId="11">
      <formula>$H181="ETAPA"</formula>
    </cfRule>
  </conditionalFormatting>
  <conditionalFormatting sqref="G184:K184">
    <cfRule type="expression" priority="1481" dxfId="11">
      <formula>$H184="ETAPA"</formula>
    </cfRule>
  </conditionalFormatting>
  <conditionalFormatting sqref="G186:K186">
    <cfRule type="expression" priority="1404" dxfId="11">
      <formula>$H186="ETAPA"</formula>
    </cfRule>
  </conditionalFormatting>
  <conditionalFormatting sqref="G188:K188">
    <cfRule type="expression" priority="1383" dxfId="11">
      <formula>$H188="ETAPA"</formula>
    </cfRule>
  </conditionalFormatting>
  <conditionalFormatting sqref="G193:K193 M193">
    <cfRule type="expression" priority="2204" dxfId="11">
      <formula>$H193="ETAPA"</formula>
    </cfRule>
  </conditionalFormatting>
  <conditionalFormatting sqref="G193:K193 M193:O193 Q193:R193">
    <cfRule type="expression" priority="2205" dxfId="4">
      <formula>$H193="CÉLULA CONSTRUTIVA"</formula>
    </cfRule>
  </conditionalFormatting>
  <conditionalFormatting sqref="G196:K196">
    <cfRule type="expression" priority="2183" dxfId="11">
      <formula>$H196="ETAPA"</formula>
    </cfRule>
  </conditionalFormatting>
  <conditionalFormatting sqref="G198:K198">
    <cfRule type="expression" priority="2162" dxfId="11">
      <formula>$H198="ETAPA"</formula>
    </cfRule>
  </conditionalFormatting>
  <conditionalFormatting sqref="G199:K199 M199">
    <cfRule type="expression" priority="2214" dxfId="11">
      <formula>$H199="ETAPA"</formula>
    </cfRule>
    <cfRule type="expression" priority="2213" dxfId="4">
      <formula>$H199="CÉLULA CONSTRUTIVA"</formula>
    </cfRule>
  </conditionalFormatting>
  <conditionalFormatting sqref="G204:K204">
    <cfRule type="expression" priority="2141" dxfId="11">
      <formula>$H204="ETAPA"</formula>
    </cfRule>
  </conditionalFormatting>
  <conditionalFormatting sqref="G206:K206 H207:K207 M206:M207">
    <cfRule type="expression" priority="2250" dxfId="11">
      <formula>$H206="ETAPA"</formula>
    </cfRule>
    <cfRule type="expression" priority="2382" dxfId="4">
      <formula>$H206="CÉLULA CONSTRUTIVA"</formula>
    </cfRule>
  </conditionalFormatting>
  <conditionalFormatting sqref="G211:K211 G213 G215 G219:G220">
    <cfRule type="expression" priority="2024" dxfId="53">
      <formula>$H211="SUBETAPA"</formula>
    </cfRule>
  </conditionalFormatting>
  <conditionalFormatting sqref="G222:K222">
    <cfRule type="expression" priority="1918" dxfId="11">
      <formula>$H222="ETAPA"</formula>
    </cfRule>
  </conditionalFormatting>
  <conditionalFormatting sqref="G231:K231">
    <cfRule type="expression" priority="1119" dxfId="11">
      <formula>$H231="ETAPA"</formula>
    </cfRule>
  </conditionalFormatting>
  <conditionalFormatting sqref="G232:K232">
    <cfRule type="expression" priority="1878" dxfId="11">
      <formula>$H232="ETAPA"</formula>
    </cfRule>
  </conditionalFormatting>
  <conditionalFormatting sqref="G316:K316">
    <cfRule type="expression" priority="5604" dxfId="0">
      <formula>$H316="ETAPA"</formula>
    </cfRule>
  </conditionalFormatting>
  <conditionalFormatting sqref="G425:K425">
    <cfRule type="expression" priority="4261" dxfId="0">
      <formula>$H425="ETAPA"</formula>
    </cfRule>
  </conditionalFormatting>
  <conditionalFormatting sqref="G417:R417 G418:G421 G426 G430:R430 G431:G432 G436:K436 O436">
    <cfRule type="expression" priority="7789" dxfId="0">
      <formula>$H417="ETAPA"</formula>
    </cfRule>
  </conditionalFormatting>
  <conditionalFormatting sqref="G8:L10 G12:L12 H17:R17 H18:M22 N11 N16 N19:N22 O8:P10 O12:P12 O18:Q22 R11 R16 R19:R22">
    <cfRule type="expression" priority="3391" dxfId="2">
      <formula>$H8="CÉLULA CONSTRUTIVA"</formula>
    </cfRule>
  </conditionalFormatting>
  <conditionalFormatting sqref="G24:L25">
    <cfRule type="expression" priority="3088" dxfId="0">
      <formula>$H24="ETAPA"</formula>
    </cfRule>
  </conditionalFormatting>
  <conditionalFormatting sqref="G55:L57 H58:L61 H82:R82 O55:P61">
    <cfRule type="expression" priority="3019" dxfId="6">
      <formula>$H55="SUBETAPA"</formula>
    </cfRule>
  </conditionalFormatting>
  <conditionalFormatting sqref="G86:L89 H90:L108">
    <cfRule type="expression" priority="2738" dxfId="2">
      <formula>$H86="CÉLULA CONSTRUTIVA"</formula>
    </cfRule>
  </conditionalFormatting>
  <conditionalFormatting sqref="G172:L172">
    <cfRule type="expression" priority="2571" dxfId="53">
      <formula>$H172="SUBETAPA"</formula>
    </cfRule>
    <cfRule type="expression" priority="2573" dxfId="11">
      <formula>$H172="ETAPA"</formula>
    </cfRule>
  </conditionalFormatting>
  <conditionalFormatting sqref="G173:L175 G177 G179 G181 G183 G185 G187 G189 G191">
    <cfRule type="expression" priority="2512" dxfId="53">
      <formula>$H173="SUBETAPA"</formula>
    </cfRule>
  </conditionalFormatting>
  <conditionalFormatting sqref="G177:L177 G190:L190 H191:L191">
    <cfRule type="expression" priority="2514" dxfId="11">
      <formula>$H177="ETAPA"</formula>
    </cfRule>
  </conditionalFormatting>
  <conditionalFormatting sqref="G180:L180 H181:L181">
    <cfRule type="expression" priority="1525" dxfId="53">
      <formula>$H180="SUBETAPA"</formula>
    </cfRule>
  </conditionalFormatting>
  <conditionalFormatting sqref="G190:L190 H191:L191">
    <cfRule type="expression" priority="2516" dxfId="4">
      <formula>$H190="CÉLULA CONSTRUTIVA"</formula>
    </cfRule>
  </conditionalFormatting>
  <conditionalFormatting sqref="G193:L193">
    <cfRule type="expression" priority="2206" dxfId="53">
      <formula>$H193="SUBETAPA"</formula>
    </cfRule>
  </conditionalFormatting>
  <conditionalFormatting sqref="G194:L195 G197:L197 G199 G201 G203 G205 G207">
    <cfRule type="expression" priority="2215" dxfId="11">
      <formula>$H194="ETAPA"</formula>
    </cfRule>
    <cfRule type="expression" priority="2217" dxfId="4">
      <formula>$H194="CÉLULA CONSTRUTIVA"</formula>
    </cfRule>
  </conditionalFormatting>
  <conditionalFormatting sqref="G194:L195 G197:L197 G199:L203 G205 G207">
    <cfRule type="expression" priority="2216" dxfId="53">
      <formula>$H194="SUBETAPA"</formula>
    </cfRule>
  </conditionalFormatting>
  <conditionalFormatting sqref="G200:L203 L205:N205 O200:P203 P205:R205">
    <cfRule type="expression" priority="2226" dxfId="11">
      <formula>#REF!="ETAPA"</formula>
    </cfRule>
    <cfRule type="expression" priority="2225" dxfId="4">
      <formula>#REF!="CÉLULA CONSTRUTIVA"</formula>
    </cfRule>
  </conditionalFormatting>
  <conditionalFormatting sqref="G209:L209 G216:L218 H213:R213 H219:R220 M217:N218 O209:P209 O216:P218 Q217:R218">
    <cfRule type="expression" priority="2021" dxfId="4">
      <formula>$H209="CÉLULA CONSTRUTIVA"</formula>
    </cfRule>
  </conditionalFormatting>
  <conditionalFormatting sqref="G216:L216">
    <cfRule type="expression" priority="1966" dxfId="11">
      <formula>$H216="ETAPA"</formula>
    </cfRule>
  </conditionalFormatting>
  <conditionalFormatting sqref="G221:L221 H213:M213 H219:L220">
    <cfRule type="expression" priority="2057" dxfId="53">
      <formula>#REF!="SUBETAPA"</formula>
    </cfRule>
  </conditionalFormatting>
  <conditionalFormatting sqref="G239:L239">
    <cfRule type="expression" priority="1356" dxfId="4">
      <formula>$H239="CÉLULA CONSTRUTIVA"</formula>
    </cfRule>
  </conditionalFormatting>
  <conditionalFormatting sqref="G241:L241 H237:L237">
    <cfRule type="expression" priority="1812" dxfId="53">
      <formula>#REF!="SUBETAPA"</formula>
    </cfRule>
  </conditionalFormatting>
  <conditionalFormatting sqref="G242:L242 H249:J249 H251:J251">
    <cfRule type="expression" priority="1714" dxfId="53">
      <formula>#REF!="SUBETAPA"</formula>
    </cfRule>
  </conditionalFormatting>
  <conditionalFormatting sqref="G242:L242">
    <cfRule type="expression" priority="1713" dxfId="11">
      <formula>$H242="ETAPA"</formula>
    </cfRule>
  </conditionalFormatting>
  <conditionalFormatting sqref="G252:L252">
    <cfRule type="expression" priority="7991" dxfId="6">
      <formula>$H252="SUBETAPA"</formula>
    </cfRule>
    <cfRule type="expression" priority="7992" dxfId="2">
      <formula>$H252="CÉLULA CONSTRUTIVA"</formula>
    </cfRule>
  </conditionalFormatting>
  <conditionalFormatting sqref="G375:L375">
    <cfRule type="expression" priority="917" dxfId="11">
      <formula>$H375="ETAPA"</formula>
    </cfRule>
    <cfRule type="expression" priority="918" dxfId="53">
      <formula>#REF!="SUBETAPA"</formula>
    </cfRule>
    <cfRule type="expression" priority="916" dxfId="4">
      <formula>$H375="CÉLULA CONSTRUTIVA"</formula>
    </cfRule>
  </conditionalFormatting>
  <conditionalFormatting sqref="G385:L385 J386:J387 J389">
    <cfRule type="expression" priority="7219" dxfId="2">
      <formula>$H385="CÉLULA CONSTRUTIVA"</formula>
    </cfRule>
    <cfRule type="expression" priority="7218" dxfId="6">
      <formula>$H385="SUBETAPA"</formula>
    </cfRule>
  </conditionalFormatting>
  <conditionalFormatting sqref="G396:L396 J397">
    <cfRule type="expression" priority="7902" dxfId="6">
      <formula>$H396="SUBETAPA"</formula>
    </cfRule>
    <cfRule type="expression" priority="7903" dxfId="2">
      <formula>$H396="CÉLULA CONSTRUTIVA"</formula>
    </cfRule>
  </conditionalFormatting>
  <conditionalFormatting sqref="G398:L398">
    <cfRule type="expression" priority="7529" dxfId="2">
      <formula>$H398="CÉLULA CONSTRUTIVA"</formula>
    </cfRule>
  </conditionalFormatting>
  <conditionalFormatting sqref="G402:L402">
    <cfRule type="expression" priority="7090" dxfId="2">
      <formula>$H402="CÉLULA CONSTRUTIVA"</formula>
    </cfRule>
  </conditionalFormatting>
  <conditionalFormatting sqref="G410:L410">
    <cfRule type="expression" priority="7051" dxfId="2">
      <formula>$H410="CÉLULA CONSTRUTIVA"</formula>
    </cfRule>
  </conditionalFormatting>
  <conditionalFormatting sqref="G425:L425 H426:I426 K426:L426">
    <cfRule type="expression" priority="4257" dxfId="6">
      <formula>$H425="SUBETAPA"</formula>
    </cfRule>
    <cfRule type="expression" priority="4256" dxfId="2">
      <formula>$H425="CÉLULA CONSTRUTIVA"</formula>
    </cfRule>
  </conditionalFormatting>
  <conditionalFormatting sqref="G437:L438 L313">
    <cfRule type="expression" priority="8160" dxfId="0">
      <formula>$H313="ETAPA"</formula>
    </cfRule>
  </conditionalFormatting>
  <conditionalFormatting sqref="G437:L438">
    <cfRule type="expression" priority="8147" dxfId="6">
      <formula>$H437="SUBETAPA"</formula>
    </cfRule>
    <cfRule type="expression" priority="8148" dxfId="2">
      <formula>$H437="CÉLULA CONSTRUTIVA"</formula>
    </cfRule>
  </conditionalFormatting>
  <conditionalFormatting sqref="G24:M24">
    <cfRule type="expression" priority="3093" dxfId="2">
      <formula>$H24="CÉLULA CONSTRUTIVA"</formula>
    </cfRule>
  </conditionalFormatting>
  <conditionalFormatting sqref="G23:M23 G25:M25 G28:M28 H26:L27 H29:R29 H30:L32 H34:L38 H45:L48 H50:M51 M30:M38 M45:M49 O23:Q23 O25:Q25 O26:P27 O28:Q28 O30:P32 O34:P38 O45:P48 O50:Q51 Q30:Q38 Q45:Q49">
    <cfRule type="expression" priority="3306" dxfId="2">
      <formula>$H23="CÉLULA CONSTRUTIVA"</formula>
    </cfRule>
  </conditionalFormatting>
  <conditionalFormatting sqref="G42:M43">
    <cfRule type="expression" priority="3182" dxfId="2">
      <formula>$H42="CÉLULA CONSTRUTIVA"</formula>
    </cfRule>
  </conditionalFormatting>
  <conditionalFormatting sqref="G55:M57 H58:L59 H83:L84">
    <cfRule type="expression" priority="3020" dxfId="2">
      <formula>$H55="CÉLULA CONSTRUTIVA"</formula>
    </cfRule>
  </conditionalFormatting>
  <conditionalFormatting sqref="G86:M89 H90:M90 L91:L108 N100:N108 O86:Q90 P91:P108 R100:R108">
    <cfRule type="expression" priority="2749" dxfId="6">
      <formula>$H86="SUBETAPA"</formula>
    </cfRule>
  </conditionalFormatting>
  <conditionalFormatting sqref="G147:M147">
    <cfRule type="expression" priority="7400" dxfId="6">
      <formula>$H147="SUBETAPA"</formula>
    </cfRule>
  </conditionalFormatting>
  <conditionalFormatting sqref="G149:M149">
    <cfRule type="expression" priority="7373" dxfId="6">
      <formula>$H149="SUBETAPA"</formula>
    </cfRule>
  </conditionalFormatting>
  <conditionalFormatting sqref="G172:M172">
    <cfRule type="expression" priority="2572" dxfId="4">
      <formula>$H172="CÉLULA CONSTRUTIVA"</formula>
    </cfRule>
  </conditionalFormatting>
  <conditionalFormatting sqref="G206:M206 H205:M205 H207:M207">
    <cfRule type="expression" priority="2219" dxfId="53">
      <formula>$H205="SUBETAPA"</formula>
    </cfRule>
  </conditionalFormatting>
  <conditionalFormatting sqref="G208:M208">
    <cfRule type="expression" priority="2028" dxfId="53">
      <formula>$H208="SUBETAPA"</formula>
    </cfRule>
  </conditionalFormatting>
  <conditionalFormatting sqref="G243:M243">
    <cfRule type="expression" priority="1598" dxfId="53">
      <formula>$H243="SUBETAPA"</formula>
    </cfRule>
  </conditionalFormatting>
  <conditionalFormatting sqref="G253:M253">
    <cfRule type="expression" priority="7965" dxfId="2">
      <formula>$H253="CÉLULA CONSTRUTIVA"</formula>
    </cfRule>
  </conditionalFormatting>
  <conditionalFormatting sqref="G258:M258 G270:M273 G275:G276 G278 G285:M285 G306:M306 G340:K343 G374 H259:R260 H286:M287 H289:R293 H299:R299 H304:M305 H307:R307 H310:R312 H344:K344 L153:M154 M275:N276 N140:N142 N144 N256 N273 N305 N319 O258:Q258 O270:Q273 O285:Q287 O304:Q306 O340:O344 P153:Q154 Q275:R276 R140:R142 R144 R256 R273 R305 R319">
    <cfRule type="expression" priority="7813" dxfId="2">
      <formula>$H140="CÉLULA CONSTRUTIVA"</formula>
    </cfRule>
  </conditionalFormatting>
  <conditionalFormatting sqref="G277:M277">
    <cfRule type="expression" priority="6938" dxfId="0">
      <formula>$H277="ETAPA"</formula>
    </cfRule>
    <cfRule type="expression" priority="6939" dxfId="2">
      <formula>$H277="CÉLULA CONSTRUTIVA"</formula>
    </cfRule>
  </conditionalFormatting>
  <conditionalFormatting sqref="G313:M314">
    <cfRule type="expression" priority="8248" dxfId="2">
      <formula>$H313="CÉLULA CONSTRUTIVA"</formula>
    </cfRule>
    <cfRule type="expression" priority="8247" dxfId="6">
      <formula>$H313="SUBETAPA"</formula>
    </cfRule>
  </conditionalFormatting>
  <conditionalFormatting sqref="G315:M315">
    <cfRule type="expression" priority="7839" dxfId="6">
      <formula>$H315="SUBETAPA"</formula>
    </cfRule>
    <cfRule type="expression" priority="7843" dxfId="2">
      <formula>$H315="CÉLULA CONSTRUTIVA"</formula>
    </cfRule>
  </conditionalFormatting>
  <conditionalFormatting sqref="G378:M378">
    <cfRule type="expression" priority="799" dxfId="6">
      <formula>$H378="SUBETAPA"</formula>
    </cfRule>
    <cfRule type="expression" priority="800" dxfId="2">
      <formula>$H378="CÉLULA CONSTRUTIVA"</formula>
    </cfRule>
    <cfRule type="expression" priority="801" dxfId="0">
      <formula>$H378="ETAPA"</formula>
    </cfRule>
  </conditionalFormatting>
  <conditionalFormatting sqref="G397:M397">
    <cfRule type="expression" priority="7520" dxfId="2">
      <formula>$H397="CÉLULA CONSTRUTIVA"</formula>
    </cfRule>
  </conditionalFormatting>
  <conditionalFormatting sqref="G397:M398">
    <cfRule type="expression" priority="7519" dxfId="6">
      <formula>$H397="SUBETAPA"</formula>
    </cfRule>
  </conditionalFormatting>
  <conditionalFormatting sqref="G402:M402">
    <cfRule type="expression" priority="7082" dxfId="6">
      <formula>$H402="SUBETAPA"</formula>
    </cfRule>
  </conditionalFormatting>
  <conditionalFormatting sqref="G409:M409">
    <cfRule type="expression" priority="7037" dxfId="2">
      <formula>$H409="CÉLULA CONSTRUTIVA"</formula>
    </cfRule>
  </conditionalFormatting>
  <conditionalFormatting sqref="G409:M410">
    <cfRule type="expression" priority="7036" dxfId="6">
      <formula>$H409="SUBETAPA"</formula>
    </cfRule>
  </conditionalFormatting>
  <conditionalFormatting sqref="G23:R23">
    <cfRule type="expression" priority="3218" dxfId="0">
      <formula>$H23="ETAPA"</formula>
    </cfRule>
  </conditionalFormatting>
  <conditionalFormatting sqref="G42:R43">
    <cfRule type="expression" priority="3176" dxfId="0">
      <formula>$H42="ETAPA"</formula>
    </cfRule>
  </conditionalFormatting>
  <conditionalFormatting sqref="G55:R55 M83:N83 N56:N57 N61 N64 Q83:R83 R56:R57 R61 R64">
    <cfRule type="expression" priority="2914" dxfId="0">
      <formula>$H55="ETAPA"</formula>
    </cfRule>
  </conditionalFormatting>
  <conditionalFormatting sqref="G86:R88 N97 R97">
    <cfRule type="expression" priority="2755" dxfId="0">
      <formula>$H86="ETAPA"</formula>
    </cfRule>
  </conditionalFormatting>
  <conditionalFormatting sqref="G118:R119 G129:R130 H127:R127 H132:R132 H133:M134 H136:R139 K131 M131 M438 N120 N123 N134 O131 O133:Q134 Q131 Q438 R120 R123 R134">
    <cfRule type="expression" priority="7669" dxfId="0">
      <formula>$H118="ETAPA"</formula>
    </cfRule>
  </conditionalFormatting>
  <conditionalFormatting sqref="G118:R119 H132:R133 H138:R139 M438 N120 N123 N127 N129:N130 Q438 R120 R123 R127 R129:R130">
    <cfRule type="expression" priority="7672" dxfId="2">
      <formula>$H118="CÉLULA CONSTRUTIVA"</formula>
    </cfRule>
    <cfRule type="expression" priority="7668" dxfId="6">
      <formula>$H118="SUBETAPA"</formula>
    </cfRule>
  </conditionalFormatting>
  <conditionalFormatting sqref="G128:R128">
    <cfRule type="expression" priority="583" dxfId="4">
      <formula>$H128="CÉLULA CONSTRUTIVA"</formula>
    </cfRule>
  </conditionalFormatting>
  <conditionalFormatting sqref="G177:R177 G190:L190 H191:L191 O190:P191">
    <cfRule type="expression" priority="2515" dxfId="53">
      <formula>$H177="SUBETAPA"</formula>
    </cfRule>
  </conditionalFormatting>
  <conditionalFormatting sqref="G178:R178">
    <cfRule type="expression" priority="2469" dxfId="4">
      <formula>$H178="CÉLULA CONSTRUTIVA"</formula>
    </cfRule>
    <cfRule type="expression" priority="2470" dxfId="53">
      <formula>$H178="SUBETAPA"</formula>
    </cfRule>
  </conditionalFormatting>
  <conditionalFormatting sqref="G182:R182">
    <cfRule type="expression" priority="1503" dxfId="4">
      <formula>$H182="CÉLULA CONSTRUTIVA"</formula>
    </cfRule>
    <cfRule type="expression" priority="1504" dxfId="53">
      <formula>$H182="SUBETAPA"</formula>
    </cfRule>
  </conditionalFormatting>
  <conditionalFormatting sqref="G184:R184">
    <cfRule type="expression" priority="1482" dxfId="4">
      <formula>$H184="CÉLULA CONSTRUTIVA"</formula>
    </cfRule>
    <cfRule type="expression" priority="1483" dxfId="53">
      <formula>$H184="SUBETAPA"</formula>
    </cfRule>
  </conditionalFormatting>
  <conditionalFormatting sqref="G192:R192 G234:R234">
    <cfRule type="expression" priority="2570" dxfId="11">
      <formula>$H192="ETAPA"</formula>
    </cfRule>
  </conditionalFormatting>
  <conditionalFormatting sqref="G196:R196">
    <cfRule type="expression" priority="2184" dxfId="4">
      <formula>$H196="CÉLULA CONSTRUTIVA"</formula>
    </cfRule>
    <cfRule type="expression" priority="2185" dxfId="53">
      <formula>$H196="SUBETAPA"</formula>
    </cfRule>
  </conditionalFormatting>
  <conditionalFormatting sqref="G198:R198">
    <cfRule type="expression" priority="2163" dxfId="4">
      <formula>$H198="CÉLULA CONSTRUTIVA"</formula>
    </cfRule>
    <cfRule type="expression" priority="2164" dxfId="53">
      <formula>$H198="SUBETAPA"</formula>
    </cfRule>
  </conditionalFormatting>
  <conditionalFormatting sqref="G211:R211 G213 G215 G219:G220">
    <cfRule type="expression" priority="2025" dxfId="4">
      <formula>$H211="CÉLULA CONSTRUTIVA"</formula>
    </cfRule>
    <cfRule type="expression" priority="2026" dxfId="11">
      <formula>$H211="ETAPA"</formula>
    </cfRule>
  </conditionalFormatting>
  <conditionalFormatting sqref="G216:R216">
    <cfRule type="expression" priority="1967" dxfId="53">
      <formula>$H216="SUBETAPA"</formula>
    </cfRule>
  </conditionalFormatting>
  <conditionalFormatting sqref="G221:R221">
    <cfRule type="expression" priority="2029" dxfId="11">
      <formula>$H221="ETAPA"</formula>
    </cfRule>
  </conditionalFormatting>
  <conditionalFormatting sqref="G223:R224 G226 G228 G230">
    <cfRule type="expression" priority="1195" dxfId="2">
      <formula>$H223="CÉLULA CONSTRUTIVA"</formula>
    </cfRule>
  </conditionalFormatting>
  <conditionalFormatting sqref="G243:R243">
    <cfRule type="expression" priority="1570" dxfId="4">
      <formula>$H243="CÉLULA CONSTRUTIVA"</formula>
    </cfRule>
  </conditionalFormatting>
  <conditionalFormatting sqref="G252:R252">
    <cfRule type="expression" priority="7961" dxfId="0">
      <formula>$H252="ETAPA"</formula>
    </cfRule>
  </conditionalFormatting>
  <conditionalFormatting sqref="G253:R253">
    <cfRule type="expression" priority="7964" dxfId="0">
      <formula>$H253="ETAPA"</formula>
    </cfRule>
  </conditionalFormatting>
  <conditionalFormatting sqref="G258:R258">
    <cfRule type="expression" priority="7889" dxfId="6">
      <formula>$H258="SUBETAPA"</formula>
    </cfRule>
  </conditionalFormatting>
  <conditionalFormatting sqref="G277:R277">
    <cfRule type="expression" priority="6940" dxfId="6">
      <formula>$H277="SUBETAPA"</formula>
    </cfRule>
  </conditionalFormatting>
  <conditionalFormatting sqref="G285:R285">
    <cfRule type="expression" priority="7875" dxfId="0">
      <formula>$H285="ETAPA"</formula>
    </cfRule>
  </conditionalFormatting>
  <conditionalFormatting sqref="G330:R330">
    <cfRule type="expression" priority="7280" dxfId="2">
      <formula>$H330="CÉLULA CONSTRUTIVA"</formula>
    </cfRule>
  </conditionalFormatting>
  <conditionalFormatting sqref="G340:R342 H344:L344 N344:P344 N360 N362:N363 R344 R360 R362:R363">
    <cfRule type="expression" priority="8153" dxfId="0">
      <formula>$H340="ETAPA"</formula>
    </cfRule>
  </conditionalFormatting>
  <conditionalFormatting sqref="G376:R377 G379:R379 G381:R381 G383:R383">
    <cfRule type="expression" priority="802" dxfId="6">
      <formula>$H376="SUBETAPA"</formula>
    </cfRule>
    <cfRule type="expression" priority="803" dxfId="2">
      <formula>$H376="CÉLULA CONSTRUTIVA"</formula>
    </cfRule>
    <cfRule type="expression" priority="804" dxfId="0">
      <formula>$H376="ETAPA"</formula>
    </cfRule>
  </conditionalFormatting>
  <conditionalFormatting sqref="G385:R385">
    <cfRule type="expression" priority="7210" dxfId="0">
      <formula>$H385="ETAPA"</formula>
    </cfRule>
  </conditionalFormatting>
  <conditionalFormatting sqref="G396:R396">
    <cfRule type="expression" priority="7894" dxfId="0">
      <formula>$H396="ETAPA"</formula>
    </cfRule>
  </conditionalFormatting>
  <conditionalFormatting sqref="G397:R397">
    <cfRule type="expression" priority="7518" dxfId="0">
      <formula>$H397="ETAPA"</formula>
    </cfRule>
  </conditionalFormatting>
  <conditionalFormatting sqref="G409:R409">
    <cfRule type="expression" priority="7035" dxfId="0">
      <formula>$H409="ETAPA"</formula>
    </cfRule>
  </conditionalFormatting>
  <conditionalFormatting sqref="G417:R417 G418:G419 G420:J420 G421:I421 G424 G426 G430:L430 G431:G432 G434 H419:L419 L420:L421 O419:P419 O430:P430 P420:P421">
    <cfRule type="expression" priority="7664" dxfId="2">
      <formula>$H417="CÉLULA CONSTRUTIVA"</formula>
    </cfRule>
    <cfRule type="expression" priority="7663" dxfId="6">
      <formula>$H417="SUBETAPA"</formula>
    </cfRule>
  </conditionalFormatting>
  <conditionalFormatting sqref="G435:R435 M427:N427 M430:N430 Q427:R427 Q430:R430">
    <cfRule type="expression" priority="7745" dxfId="6">
      <formula>$H427="SUBETAPA"</formula>
    </cfRule>
    <cfRule type="expression" priority="7746" dxfId="2">
      <formula>$H427="CÉLULA CONSTRUTIVA"</formula>
    </cfRule>
  </conditionalFormatting>
  <conditionalFormatting sqref="G176:R176">
    <cfRule type="expression" priority="2490" dxfId="4">
      <formula>$H176="CÉLULA CONSTRUTIVA"</formula>
    </cfRule>
    <cfRule type="expression" priority="2491" dxfId="53">
      <formula>$H176="SUBETAPA"</formula>
    </cfRule>
  </conditionalFormatting>
  <conditionalFormatting sqref="G186:R186">
    <cfRule type="expression" priority="1405" dxfId="4">
      <formula>$H186="CÉLULA CONSTRUTIVA"</formula>
    </cfRule>
    <cfRule type="expression" priority="1406" dxfId="53">
      <formula>$H186="SUBETAPA"</formula>
    </cfRule>
  </conditionalFormatting>
  <conditionalFormatting sqref="G188:R188">
    <cfRule type="expression" priority="1384" dxfId="4">
      <formula>$H188="CÉLULA CONSTRUTIVA"</formula>
    </cfRule>
    <cfRule type="expression" priority="1385" dxfId="53">
      <formula>$H188="SUBETAPA"</formula>
    </cfRule>
  </conditionalFormatting>
  <conditionalFormatting sqref="G204:R204">
    <cfRule type="expression" priority="2142" dxfId="4">
      <formula>$H204="CÉLULA CONSTRUTIVA"</formula>
    </cfRule>
    <cfRule type="expression" priority="2143" dxfId="53">
      <formula>$H204="SUBETAPA"</formula>
    </cfRule>
  </conditionalFormatting>
  <conditionalFormatting sqref="G221:R222">
    <cfRule type="expression" priority="1576" dxfId="4">
      <formula>$H221="CÉLULA CONSTRUTIVA"</formula>
    </cfRule>
  </conditionalFormatting>
  <conditionalFormatting sqref="G222:R222">
    <cfRule type="expression" priority="1899" dxfId="53">
      <formula>$H222="SUBETAPA"</formula>
    </cfRule>
  </conditionalFormatting>
  <conditionalFormatting sqref="G231:R231">
    <cfRule type="expression" priority="1099" dxfId="4">
      <formula>$H231="CÉLULA CONSTRUTIVA"</formula>
    </cfRule>
    <cfRule type="expression" priority="1100" dxfId="53">
      <formula>$H231="SUBETAPA"</formula>
    </cfRule>
  </conditionalFormatting>
  <conditionalFormatting sqref="G232:R232">
    <cfRule type="expression" priority="1879" dxfId="4">
      <formula>$H232="CÉLULA CONSTRUTIVA"</formula>
    </cfRule>
    <cfRule type="expression" priority="1880" dxfId="53">
      <formula>$H232="SUBETAPA"</formula>
    </cfRule>
  </conditionalFormatting>
  <conditionalFormatting sqref="G8:R10 G12:R12">
    <cfRule type="expression" priority="3350" dxfId="0">
      <formula>$H8="ETAPA"</formula>
    </cfRule>
  </conditionalFormatting>
  <conditionalFormatting sqref="G209:R209">
    <cfRule type="expression" priority="2030" dxfId="53">
      <formula>$H209="SUBETAPA"</formula>
    </cfRule>
  </conditionalFormatting>
  <conditionalFormatting sqref="G210:R210">
    <cfRule type="expression" priority="1919" dxfId="11">
      <formula>$H210="ETAPA"</formula>
    </cfRule>
    <cfRule type="expression" priority="1920" dxfId="4">
      <formula>$H210="CÉLULA CONSTRUTIVA"</formula>
    </cfRule>
    <cfRule type="expression" priority="1921" dxfId="53">
      <formula>$H210="SUBETAPA"</formula>
    </cfRule>
  </conditionalFormatting>
  <conditionalFormatting sqref="G212:R212">
    <cfRule type="expression" priority="1020" dxfId="11">
      <formula>$H212="ETAPA"</formula>
    </cfRule>
    <cfRule type="expression" priority="1021" dxfId="4">
      <formula>$H212="CÉLULA CONSTRUTIVA"</formula>
    </cfRule>
    <cfRule type="expression" priority="1022" dxfId="53">
      <formula>$H212="SUBETAPA"</formula>
    </cfRule>
  </conditionalFormatting>
  <conditionalFormatting sqref="G214:R214">
    <cfRule type="expression" priority="958" dxfId="11">
      <formula>$H214="ETAPA"</formula>
    </cfRule>
    <cfRule type="expression" priority="959" dxfId="4">
      <formula>$H214="CÉLULA CONSTRUTIVA"</formula>
    </cfRule>
    <cfRule type="expression" priority="960" dxfId="53">
      <formula>$H214="SUBETAPA"</formula>
    </cfRule>
  </conditionalFormatting>
  <conditionalFormatting sqref="G209:L209 G217:R218 H213:M213 H219:L220 O209:P209 O213:Q213 O219:P220">
    <cfRule type="expression" priority="2020" dxfId="11">
      <formula>$H209="ETAPA"</formula>
    </cfRule>
  </conditionalFormatting>
  <conditionalFormatting sqref="G217:R218">
    <cfRule type="expression" priority="1965" dxfId="53">
      <formula>$H217="SUBETAPA"</formula>
    </cfRule>
  </conditionalFormatting>
  <conditionalFormatting sqref="G235:R236">
    <cfRule type="expression" priority="1811" dxfId="53">
      <formula>$H235="SUBETAPA"</formula>
    </cfRule>
  </conditionalFormatting>
  <conditionalFormatting sqref="G239:R239">
    <cfRule type="expression" priority="1325" dxfId="11">
      <formula>$H239="ETAPA"</formula>
    </cfRule>
    <cfRule type="expression" priority="1327" dxfId="53">
      <formula>$H239="SUBETAPA"</formula>
    </cfRule>
  </conditionalFormatting>
  <conditionalFormatting sqref="G235:R236 G240:R240 G241:L241 H237:M237 O237:Q237 O241:P241">
    <cfRule type="expression" priority="1809" dxfId="11">
      <formula>$H235="ETAPA"</formula>
    </cfRule>
  </conditionalFormatting>
  <conditionalFormatting sqref="G240:R240">
    <cfRule type="expression" priority="1765" dxfId="53">
      <formula>$H240="SUBETAPA"</formula>
    </cfRule>
  </conditionalFormatting>
  <conditionalFormatting sqref="G243:M243 G244:R244 O243:Q243">
    <cfRule type="expression" priority="1599" dxfId="11">
      <formula>$H243="ETAPA"</formula>
    </cfRule>
  </conditionalFormatting>
  <conditionalFormatting sqref="G244:R244">
    <cfRule type="expression" priority="1664" dxfId="53">
      <formula>$H244="SUBETAPA"</formula>
    </cfRule>
  </conditionalFormatting>
  <conditionalFormatting sqref="G248:R248">
    <cfRule type="expression" priority="1620" dxfId="53">
      <formula>$H248="SUBETAPA"</formula>
    </cfRule>
  </conditionalFormatting>
  <conditionalFormatting sqref="G250:R250">
    <cfRule type="expression" priority="1279" dxfId="11">
      <formula>$H250="ETAPA"</formula>
    </cfRule>
    <cfRule type="expression" priority="1280" dxfId="53">
      <formula>$H250="SUBETAPA"</formula>
    </cfRule>
    <cfRule type="expression" priority="1324" dxfId="4">
      <formula>$H250="CÉLULA CONSTRUTIVA"</formula>
    </cfRule>
  </conditionalFormatting>
  <conditionalFormatting sqref="G280:R280">
    <cfRule type="expression" priority="5976" dxfId="0">
      <formula>$H280="ETAPA"</formula>
    </cfRule>
  </conditionalFormatting>
  <conditionalFormatting sqref="G440:L442 G443:R443 N440:R442">
    <cfRule type="expression" priority="8329" dxfId="53">
      <formula>$H440="SUBETAPA"</formula>
    </cfRule>
  </conditionalFormatting>
  <conditionalFormatting sqref="H69:H80">
    <cfRule type="expression" priority="3011" dxfId="6">
      <formula>$H69="SUBETAPA"</formula>
    </cfRule>
    <cfRule type="expression" priority="3012" dxfId="2">
      <formula>$H69="CÉLULA CONSTRUTIVA"</formula>
    </cfRule>
    <cfRule type="expression" priority="3013" dxfId="0">
      <formula>$H69="ETAPA"</formula>
    </cfRule>
  </conditionalFormatting>
  <conditionalFormatting sqref="H82">
    <cfRule type="expression" priority="2868" dxfId="0">
      <formula>$H82="ETAPA"</formula>
    </cfRule>
  </conditionalFormatting>
  <conditionalFormatting sqref="H68:I68">
    <cfRule type="expression" priority="2781" dxfId="6">
      <formula>$H68="SUBETAPA"</formula>
    </cfRule>
    <cfRule type="expression" priority="2802" dxfId="2">
      <formula>$H68="CÉLULA CONSTRUTIVA"</formula>
    </cfRule>
  </conditionalFormatting>
  <conditionalFormatting sqref="H117:I117">
    <cfRule type="expression" priority="2701" dxfId="6">
      <formula>$H117="SUBETAPA"</formula>
    </cfRule>
    <cfRule type="expression" priority="2721" dxfId="2">
      <formula>$H117="CÉLULA CONSTRUTIVA"</formula>
    </cfRule>
  </conditionalFormatting>
  <conditionalFormatting sqref="H164:I164 K164">
    <cfRule type="expression" priority="3838" dxfId="6">
      <formula>$H164="SUBETAPA"</formula>
    </cfRule>
    <cfRule type="expression" priority="3839" dxfId="2">
      <formula>$H164="CÉLULA CONSTRUTIVA"</formula>
    </cfRule>
  </conditionalFormatting>
  <conditionalFormatting sqref="H165:I165 K165">
    <cfRule type="expression" priority="3912" dxfId="6">
      <formula>$H165="SUBETAPA"</formula>
    </cfRule>
    <cfRule type="expression" priority="3913" dxfId="2">
      <formula>$H165="CÉLULA CONSTRUTIVA"</formula>
    </cfRule>
  </conditionalFormatting>
  <conditionalFormatting sqref="H166:I166 K166">
    <cfRule type="expression" priority="3687" dxfId="6">
      <formula>$H166="SUBETAPA"</formula>
    </cfRule>
    <cfRule type="expression" priority="3688" dxfId="2">
      <formula>$H166="CÉLULA CONSTRUTIVA"</formula>
    </cfRule>
  </conditionalFormatting>
  <conditionalFormatting sqref="H167:I167 K167">
    <cfRule type="expression" priority="3762" dxfId="6">
      <formula>$H167="SUBETAPA"</formula>
    </cfRule>
    <cfRule type="expression" priority="3763" dxfId="2">
      <formula>$H167="CÉLULA CONSTRUTIVA"</formula>
    </cfRule>
  </conditionalFormatting>
  <conditionalFormatting sqref="H168:I168 K168">
    <cfRule type="expression" priority="4062" dxfId="6">
      <formula>$H168="SUBETAPA"</formula>
    </cfRule>
    <cfRule type="expression" priority="4063" dxfId="2">
      <formula>$H168="CÉLULA CONSTRUTIVA"</formula>
    </cfRule>
  </conditionalFormatting>
  <conditionalFormatting sqref="H170:I170 K170">
    <cfRule type="expression" priority="3987" dxfId="6">
      <formula>$H170="SUBETAPA"</formula>
    </cfRule>
    <cfRule type="expression" priority="3988" dxfId="2">
      <formula>$H170="CÉLULA CONSTRUTIVA"</formula>
    </cfRule>
  </conditionalFormatting>
  <conditionalFormatting sqref="H171:I171 K171">
    <cfRule type="expression" priority="3611" dxfId="6">
      <formula>$H171="SUBETAPA"</formula>
    </cfRule>
    <cfRule type="expression" priority="3612" dxfId="2">
      <formula>$H171="CÉLULA CONSTRUTIVA"</formula>
    </cfRule>
  </conditionalFormatting>
  <conditionalFormatting sqref="H318:I318 K318:L318 N318:P318 R318">
    <cfRule type="expression" priority="7837" dxfId="6">
      <formula>$H318="SUBETAPA"</formula>
    </cfRule>
  </conditionalFormatting>
  <conditionalFormatting sqref="H320:I320 K320:R320">
    <cfRule type="expression" priority="5577" dxfId="6">
      <formula>$H320="SUBETAPA"</formula>
    </cfRule>
    <cfRule type="expression" priority="5578" dxfId="0">
      <formula>$H320="ETAPA"</formula>
    </cfRule>
  </conditionalFormatting>
  <conditionalFormatting sqref="H320:I320 K320:L320 N320:P320 R320">
    <cfRule type="expression" priority="5579" dxfId="2">
      <formula>$H320="CÉLULA CONSTRUTIVA"</formula>
    </cfRule>
  </conditionalFormatting>
  <conditionalFormatting sqref="H321:I321 K321:R321">
    <cfRule type="expression" priority="5564" dxfId="6">
      <formula>$H321="SUBETAPA"</formula>
    </cfRule>
    <cfRule type="expression" priority="5565" dxfId="0">
      <formula>$H321="ETAPA"</formula>
    </cfRule>
  </conditionalFormatting>
  <conditionalFormatting sqref="H321:I321 K321:L321 N321:P321 R321">
    <cfRule type="expression" priority="5566" dxfId="2">
      <formula>$H321="CÉLULA CONSTRUTIVA"</formula>
    </cfRule>
  </conditionalFormatting>
  <conditionalFormatting sqref="H322:I322 K322:R322">
    <cfRule type="expression" priority="5549" dxfId="0">
      <formula>$H322="ETAPA"</formula>
    </cfRule>
    <cfRule type="expression" priority="5548" dxfId="6">
      <formula>$H322="SUBETAPA"</formula>
    </cfRule>
  </conditionalFormatting>
  <conditionalFormatting sqref="H323:I323 K323:R323">
    <cfRule type="expression" priority="5591" dxfId="0">
      <formula>$H323="ETAPA"</formula>
    </cfRule>
    <cfRule type="expression" priority="5590" dxfId="6">
      <formula>$H323="SUBETAPA"</formula>
    </cfRule>
  </conditionalFormatting>
  <conditionalFormatting sqref="H325:I325 K325:L325">
    <cfRule type="expression" priority="5598" dxfId="0">
      <formula>$H325="ETAPA"</formula>
    </cfRule>
    <cfRule type="expression" priority="5599" dxfId="2">
      <formula>$H325="CÉLULA CONSTRUTIVA"</formula>
    </cfRule>
  </conditionalFormatting>
  <conditionalFormatting sqref="H325:I325 K325:R325">
    <cfRule type="expression" priority="5597" dxfId="6">
      <formula>$H325="SUBETAPA"</formula>
    </cfRule>
  </conditionalFormatting>
  <conditionalFormatting sqref="H347:I347 K347:L347 N347:P347 R347">
    <cfRule type="expression" priority="7685" dxfId="6">
      <formula>$H347="SUBETAPA"</formula>
    </cfRule>
    <cfRule type="expression" priority="7687" dxfId="0">
      <formula>$H347="ETAPA"</formula>
    </cfRule>
  </conditionalFormatting>
  <conditionalFormatting sqref="H349:I350 K350:L350">
    <cfRule type="expression" priority="7243" dxfId="0">
      <formula>$H349="ETAPA"</formula>
    </cfRule>
  </conditionalFormatting>
  <conditionalFormatting sqref="H369:I369 K369:L369 N369:P369 N397:N399 N402:N403 N428 R369 R397:R399 R402:R403 R428">
    <cfRule type="expression" priority="7425" dxfId="6">
      <formula>$H369="SUBETAPA"</formula>
    </cfRule>
  </conditionalFormatting>
  <conditionalFormatting sqref="H373:I373 K373:L373 N373:P373 R373">
    <cfRule type="expression" priority="5261" dxfId="6">
      <formula>$H373="SUBETAPA"</formula>
    </cfRule>
    <cfRule type="expression" priority="5262" dxfId="2">
      <formula>$H373="CÉLULA CONSTRUTIVA"</formula>
    </cfRule>
  </conditionalFormatting>
  <conditionalFormatting sqref="H374:I374">
    <cfRule type="expression" priority="5276" dxfId="6">
      <formula>$H374="SUBETAPA"</formula>
    </cfRule>
    <cfRule type="expression" priority="5277" dxfId="2">
      <formula>$H374="CÉLULA CONSTRUTIVA"</formula>
    </cfRule>
    <cfRule type="expression" priority="5278" dxfId="0">
      <formula>$H374="ETAPA"</formula>
    </cfRule>
  </conditionalFormatting>
  <conditionalFormatting sqref="H392:I392 K392:M392">
    <cfRule type="expression" priority="5246" dxfId="2">
      <formula>$H392="CÉLULA CONSTRUTIVA"</formula>
    </cfRule>
    <cfRule type="expression" priority="5247" dxfId="6">
      <formula>$H392="SUBETAPA"</formula>
    </cfRule>
  </conditionalFormatting>
  <conditionalFormatting sqref="H400:I400 K400:L400">
    <cfRule type="expression" priority="4715" dxfId="2">
      <formula>$H400="CÉLULA CONSTRUTIVA"</formula>
    </cfRule>
  </conditionalFormatting>
  <conditionalFormatting sqref="H404:I404 N404 R404">
    <cfRule type="expression" priority="4486" dxfId="0">
      <formula>$H404="ETAPA"</formula>
    </cfRule>
  </conditionalFormatting>
  <conditionalFormatting sqref="H404:I404">
    <cfRule type="expression" priority="4485" dxfId="6">
      <formula>$H404="SUBETAPA"</formula>
    </cfRule>
  </conditionalFormatting>
  <conditionalFormatting sqref="H426:I426 K426">
    <cfRule type="expression" priority="4283" dxfId="0">
      <formula>$H426="ETAPA"</formula>
    </cfRule>
  </conditionalFormatting>
  <conditionalFormatting sqref="H131:J131 L131 N131 P131 R131">
    <cfRule type="expression" priority="3430" dxfId="6">
      <formula>$H131="SUBETAPA"</formula>
    </cfRule>
    <cfRule type="expression" priority="3432" dxfId="2">
      <formula>$H131="CÉLULA CONSTRUTIVA"</formula>
    </cfRule>
  </conditionalFormatting>
  <conditionalFormatting sqref="H160:J160">
    <cfRule type="expression" priority="4180" dxfId="0">
      <formula>$H160="ETAPA"</formula>
    </cfRule>
  </conditionalFormatting>
  <conditionalFormatting sqref="H164:J164">
    <cfRule type="expression" priority="3769" dxfId="0">
      <formula>$H164="ETAPA"</formula>
    </cfRule>
  </conditionalFormatting>
  <conditionalFormatting sqref="H166:J166">
    <cfRule type="expression" priority="3618" dxfId="0">
      <formula>$H166="ETAPA"</formula>
    </cfRule>
  </conditionalFormatting>
  <conditionalFormatting sqref="H167:J167">
    <cfRule type="expression" priority="3694" dxfId="0">
      <formula>$H167="ETAPA"</formula>
    </cfRule>
  </conditionalFormatting>
  <conditionalFormatting sqref="H168:J168">
    <cfRule type="expression" priority="3994" dxfId="0">
      <formula>$H168="ETAPA"</formula>
    </cfRule>
  </conditionalFormatting>
  <conditionalFormatting sqref="H169:J169">
    <cfRule type="expression" priority="4069" dxfId="0">
      <formula>$H169="ETAPA"</formula>
    </cfRule>
  </conditionalFormatting>
  <conditionalFormatting sqref="H170:J170">
    <cfRule type="expression" priority="3919" dxfId="0">
      <formula>$H170="ETAPA"</formula>
    </cfRule>
  </conditionalFormatting>
  <conditionalFormatting sqref="H171:J171">
    <cfRule type="expression" priority="3542" dxfId="0">
      <formula>$H171="ETAPA"</formula>
    </cfRule>
  </conditionalFormatting>
  <conditionalFormatting sqref="H245:J247">
    <cfRule type="expression" priority="1619" dxfId="53">
      <formula>#REF!="SUBETAPA"</formula>
    </cfRule>
  </conditionalFormatting>
  <conditionalFormatting sqref="H264:J264 L264:M264">
    <cfRule type="expression" priority="6930" dxfId="6">
      <formula>$H264="SUBETAPA"</formula>
    </cfRule>
  </conditionalFormatting>
  <conditionalFormatting sqref="H324:J324 L324:N324 P324:R324">
    <cfRule type="expression" priority="5535" dxfId="2">
      <formula>$H324="CÉLULA CONSTRUTIVA"</formula>
    </cfRule>
    <cfRule type="expression" priority="5536" dxfId="0">
      <formula>$H324="ETAPA"</formula>
    </cfRule>
    <cfRule type="expression" priority="5537" dxfId="6">
      <formula>$H324="SUBETAPA"</formula>
    </cfRule>
  </conditionalFormatting>
  <conditionalFormatting sqref="H365:J365 L365 N365 P365 R365">
    <cfRule type="expression" priority="5232" dxfId="6">
      <formula>$H365="SUBETAPA"</formula>
    </cfRule>
    <cfRule type="expression" priority="5233" dxfId="2">
      <formula>$H365="CÉLULA CONSTRUTIVA"</formula>
    </cfRule>
  </conditionalFormatting>
  <conditionalFormatting sqref="H366:J366 L366 N366 P366 R366">
    <cfRule type="expression" priority="7453" dxfId="2">
      <formula>$H366="CÉLULA CONSTRUTIVA"</formula>
    </cfRule>
    <cfRule type="expression" priority="7452" dxfId="6">
      <formula>$H366="SUBETAPA"</formula>
    </cfRule>
  </conditionalFormatting>
  <conditionalFormatting sqref="H370:J370">
    <cfRule type="expression" priority="7440" dxfId="6">
      <formula>$H370="SUBETAPA"</formula>
    </cfRule>
    <cfRule type="expression" priority="7441" dxfId="2">
      <formula>$H370="CÉLULA CONSTRUTIVA"</formula>
    </cfRule>
    <cfRule type="expression" priority="7442" dxfId="0">
      <formula>$H370="ETAPA"</formula>
    </cfRule>
  </conditionalFormatting>
  <conditionalFormatting sqref="H371:J371">
    <cfRule type="expression" priority="5310" dxfId="6">
      <formula>$H371="SUBETAPA"</formula>
    </cfRule>
    <cfRule type="expression" priority="5311" dxfId="2">
      <formula>$H371="CÉLULA CONSTRUTIVA"</formula>
    </cfRule>
    <cfRule type="expression" priority="5312" dxfId="0">
      <formula>$H371="ETAPA"</formula>
    </cfRule>
  </conditionalFormatting>
  <conditionalFormatting sqref="H372:J372">
    <cfRule type="expression" priority="4331" dxfId="6">
      <formula>$H372="SUBETAPA"</formula>
    </cfRule>
    <cfRule type="expression" priority="4332" dxfId="2">
      <formula>$H372="CÉLULA CONSTRUTIVA"</formula>
    </cfRule>
    <cfRule type="expression" priority="4333" dxfId="0">
      <formula>$H372="ETAPA"</formula>
    </cfRule>
  </conditionalFormatting>
  <conditionalFormatting sqref="H403:J403 J407:J408">
    <cfRule type="expression" priority="7466" dxfId="2">
      <formula>$H403="CÉLULA CONSTRUTIVA"</formula>
    </cfRule>
  </conditionalFormatting>
  <conditionalFormatting sqref="H29:L29 H33:K33 M25:M29">
    <cfRule type="expression" priority="3260" dxfId="0">
      <formula>$H25="ETAPA"</formula>
    </cfRule>
  </conditionalFormatting>
  <conditionalFormatting sqref="H33:K33">
    <cfRule type="expression" priority="3259" dxfId="2">
      <formula>$H33="CÉLULA CONSTRUTIVA"</formula>
    </cfRule>
  </conditionalFormatting>
  <conditionalFormatting sqref="H60:K62 H64:L67 L61:L62 L69:L80">
    <cfRule type="expression" priority="2869" dxfId="0">
      <formula>$H60="ETAPA"</formula>
    </cfRule>
  </conditionalFormatting>
  <conditionalFormatting sqref="H60:K62 H72:K81 H82 L61:L62 L69:L81 M81:N81 O60:O62 O72:O81 P61:P62 P69:P81 Q81:R81">
    <cfRule type="expression" priority="2867" dxfId="2">
      <formula>$H60="CÉLULA CONSTRUTIVA"</formula>
    </cfRule>
  </conditionalFormatting>
  <conditionalFormatting sqref="H72:K80">
    <cfRule type="expression" priority="3021" dxfId="0">
      <formula>$H72="ETAPA"</formula>
    </cfRule>
  </conditionalFormatting>
  <conditionalFormatting sqref="H109:K109 M89:N96 O109 Q89:R96">
    <cfRule type="expression" priority="2751" dxfId="2">
      <formula>$H89="CÉLULA CONSTRUTIVA"</formula>
    </cfRule>
  </conditionalFormatting>
  <conditionalFormatting sqref="H159:K159 H160:I160 K160">
    <cfRule type="expression" priority="7362" dxfId="6">
      <formula>$H159="SUBETAPA"</formula>
    </cfRule>
    <cfRule type="expression" priority="7363" dxfId="2">
      <formula>$H159="CÉLULA CONSTRUTIVA"</formula>
    </cfRule>
  </conditionalFormatting>
  <conditionalFormatting sqref="H163:K163 H169:I169 K169">
    <cfRule type="expression" priority="4160" dxfId="6">
      <formula>$H163="SUBETAPA"</formula>
    </cfRule>
    <cfRule type="expression" priority="4161" dxfId="2">
      <formula>$H163="CÉLULA CONSTRUTIVA"</formula>
    </cfRule>
  </conditionalFormatting>
  <conditionalFormatting sqref="H165:K165">
    <cfRule type="expression" priority="3845" dxfId="0">
      <formula>$H165="ETAPA"</formula>
    </cfRule>
  </conditionalFormatting>
  <conditionalFormatting sqref="H205:K205">
    <cfRule type="expression" priority="2211" dxfId="4">
      <formula>$H205="CÉLULA CONSTRUTIVA"</formula>
    </cfRule>
    <cfRule type="expression" priority="2212" dxfId="11">
      <formula>$H205="ETAPA"</formula>
    </cfRule>
  </conditionalFormatting>
  <conditionalFormatting sqref="H365:K365">
    <cfRule type="expression" priority="5227" dxfId="0">
      <formula>$H365="ETAPA"</formula>
    </cfRule>
  </conditionalFormatting>
  <conditionalFormatting sqref="H422:K424">
    <cfRule type="expression" priority="8146" dxfId="0">
      <formula>$H422="ETAPA"</formula>
    </cfRule>
  </conditionalFormatting>
  <conditionalFormatting sqref="H16:L17 N16:P17 R16:R17">
    <cfRule type="expression" priority="3392" dxfId="0">
      <formula>$H16="ETAPA"</formula>
    </cfRule>
  </conditionalFormatting>
  <conditionalFormatting sqref="G28:L28 H30:L32 H45:I48 J33:J34 J45:J49 K45:L48 M30:M38">
    <cfRule type="expression" priority="3254" dxfId="0">
      <formula>$H28="ETAPA"</formula>
    </cfRule>
  </conditionalFormatting>
  <conditionalFormatting sqref="H34:L39">
    <cfRule type="expression" priority="3188" dxfId="0">
      <formula>$H34="ETAPA"</formula>
    </cfRule>
  </conditionalFormatting>
  <conditionalFormatting sqref="H39:L39">
    <cfRule type="expression" priority="3189" dxfId="6">
      <formula>$H39="SUBETAPA"</formula>
    </cfRule>
  </conditionalFormatting>
  <conditionalFormatting sqref="H40:M40 H41:L41">
    <cfRule type="expression" priority="3028" dxfId="0">
      <formula>$H40="ETAPA"</formula>
    </cfRule>
  </conditionalFormatting>
  <conditionalFormatting sqref="H41:L41">
    <cfRule type="expression" priority="3027" dxfId="2">
      <formula>$H41="CÉLULA CONSTRUTIVA"</formula>
    </cfRule>
  </conditionalFormatting>
  <conditionalFormatting sqref="H44:L44">
    <cfRule type="expression" priority="3158" dxfId="2">
      <formula>$H44="CÉLULA CONSTRUTIVA"</formula>
    </cfRule>
  </conditionalFormatting>
  <conditionalFormatting sqref="H45:L45">
    <cfRule type="expression" priority="3153" dxfId="6">
      <formula>$H45="SUBETAPA"</formula>
    </cfRule>
  </conditionalFormatting>
  <conditionalFormatting sqref="H49:L49">
    <cfRule type="expression" priority="3151" dxfId="2">
      <formula>$H49="CÉLULA CONSTRUTIVA"</formula>
    </cfRule>
  </conditionalFormatting>
  <conditionalFormatting sqref="H52:L52">
    <cfRule type="expression" priority="3122" dxfId="6">
      <formula>$H52="SUBETAPA"</formula>
    </cfRule>
  </conditionalFormatting>
  <conditionalFormatting sqref="H52:L53">
    <cfRule type="expression" priority="3100" dxfId="0">
      <formula>$H52="ETAPA"</formula>
    </cfRule>
  </conditionalFormatting>
  <conditionalFormatting sqref="H53:L54">
    <cfRule type="expression" priority="3052" dxfId="6">
      <formula>$H53="SUBETAPA"</formula>
    </cfRule>
  </conditionalFormatting>
  <conditionalFormatting sqref="H54:L54">
    <cfRule type="expression" priority="3053" dxfId="2">
      <formula>$H54="CÉLULA CONSTRUTIVA"</formula>
    </cfRule>
    <cfRule type="expression" priority="3054" dxfId="0">
      <formula>$H54="ETAPA"</formula>
    </cfRule>
  </conditionalFormatting>
  <conditionalFormatting sqref="H62:L67">
    <cfRule type="expression" priority="2850" dxfId="6">
      <formula>$H62="SUBETAPA"</formula>
    </cfRule>
  </conditionalFormatting>
  <conditionalFormatting sqref="H63:L67 M58:M68">
    <cfRule type="expression" priority="2851" dxfId="2">
      <formula>$H58="CÉLULA CONSTRUTIVA"</formula>
    </cfRule>
  </conditionalFormatting>
  <conditionalFormatting sqref="H68:L68">
    <cfRule type="expression" priority="2774" dxfId="0">
      <formula>$H68="ETAPA"</formula>
    </cfRule>
  </conditionalFormatting>
  <conditionalFormatting sqref="H82:L84">
    <cfRule type="expression" priority="2870" dxfId="0">
      <formula>$H82="ETAPA"</formula>
    </cfRule>
  </conditionalFormatting>
  <conditionalFormatting sqref="H83:L84">
    <cfRule type="expression" priority="2876" dxfId="6">
      <formula>$H83="SUBETAPA"</formula>
    </cfRule>
  </conditionalFormatting>
  <conditionalFormatting sqref="H117:L117">
    <cfRule type="expression" priority="2697" dxfId="0">
      <formula>$H117="ETAPA"</formula>
    </cfRule>
  </conditionalFormatting>
  <conditionalFormatting sqref="G180:M180 H181:L181 H183:L183">
    <cfRule type="expression" priority="1524" dxfId="4">
      <formula>$H180="CÉLULA CONSTRUTIVA"</formula>
    </cfRule>
  </conditionalFormatting>
  <conditionalFormatting sqref="H183:L183">
    <cfRule type="expression" priority="1527" dxfId="11">
      <formula>$H183="ETAPA"</formula>
    </cfRule>
  </conditionalFormatting>
  <conditionalFormatting sqref="H185:L185">
    <cfRule type="expression" priority="1553" dxfId="11">
      <formula>$H185="ETAPA"</formula>
    </cfRule>
  </conditionalFormatting>
  <conditionalFormatting sqref="H187:L187">
    <cfRule type="expression" priority="1426" dxfId="4">
      <formula>$H187="CÉLULA CONSTRUTIVA"</formula>
    </cfRule>
    <cfRule type="expression" priority="1428" dxfId="11">
      <formula>$H187="ETAPA"</formula>
    </cfRule>
  </conditionalFormatting>
  <conditionalFormatting sqref="H189:L189">
    <cfRule type="expression" priority="1435" dxfId="11">
      <formula>$H189="ETAPA"</formula>
    </cfRule>
  </conditionalFormatting>
  <conditionalFormatting sqref="H226:L226">
    <cfRule type="expression" priority="1233" dxfId="6">
      <formula>$H226="SUBETAPA"</formula>
    </cfRule>
    <cfRule type="expression" priority="1234" dxfId="2">
      <formula>$H226="CÉLULA CONSTRUTIVA"</formula>
    </cfRule>
    <cfRule type="expression" priority="1235" dxfId="0">
      <formula>$H226="ETAPA"</formula>
    </cfRule>
  </conditionalFormatting>
  <conditionalFormatting sqref="H228:L228 H230:L230">
    <cfRule type="expression" priority="1256" dxfId="2">
      <formula>$H228="CÉLULA CONSTRUTIVA"</formula>
    </cfRule>
    <cfRule type="expression" priority="1257" dxfId="0">
      <formula>$H228="ETAPA"</formula>
    </cfRule>
  </conditionalFormatting>
  <conditionalFormatting sqref="H238:L238">
    <cfRule type="expression" priority="1268" dxfId="53">
      <formula>#REF!="SUBETAPA"</formula>
    </cfRule>
    <cfRule type="expression" priority="1277" dxfId="4">
      <formula>$H238="CÉLULA CONSTRUTIVA"</formula>
    </cfRule>
  </conditionalFormatting>
  <conditionalFormatting sqref="H262:L263">
    <cfRule type="expression" priority="7761" dxfId="2">
      <formula>$H262="CÉLULA CONSTRUTIVA"</formula>
    </cfRule>
  </conditionalFormatting>
  <conditionalFormatting sqref="H264:L264">
    <cfRule type="expression" priority="6929" dxfId="2">
      <formula>$H264="CÉLULA CONSTRUTIVA"</formula>
    </cfRule>
  </conditionalFormatting>
  <conditionalFormatting sqref="H265:L265 H318:I318 K318:L318 L343 N265:P265 N333:N334 O318:P318 P343 R265 R333:R334">
    <cfRule type="expression" priority="7920" dxfId="2">
      <formula>$H265="CÉLULA CONSTRUTIVA"</formula>
    </cfRule>
  </conditionalFormatting>
  <conditionalFormatting sqref="H294:M294 H295:L295 N295:P295 O294:Q294 R295">
    <cfRule type="expression" priority="7314" dxfId="6">
      <formula>$H294="SUBETAPA"</formula>
    </cfRule>
  </conditionalFormatting>
  <conditionalFormatting sqref="H295:L295">
    <cfRule type="expression" priority="7313" dxfId="0">
      <formula>$H295="ETAPA"</formula>
    </cfRule>
  </conditionalFormatting>
  <conditionalFormatting sqref="H317:L317 N317:P317 R317">
    <cfRule type="expression" priority="8023" dxfId="2">
      <formula>$H317="CÉLULA CONSTRUTIVA"</formula>
    </cfRule>
    <cfRule type="expression" priority="8019" dxfId="6">
      <formula>$H317="SUBETAPA"</formula>
    </cfRule>
  </conditionalFormatting>
  <conditionalFormatting sqref="H326:L326 N326:P326 R326">
    <cfRule type="expression" priority="7781" dxfId="6">
      <formula>$H326="SUBETAPA"</formula>
    </cfRule>
  </conditionalFormatting>
  <conditionalFormatting sqref="H327:L327 H329:L329">
    <cfRule type="expression" priority="7681" dxfId="6">
      <formula>$H327="SUBETAPA"</formula>
    </cfRule>
  </conditionalFormatting>
  <conditionalFormatting sqref="H328:L328">
    <cfRule type="expression" priority="679" dxfId="6">
      <formula>$H328="SUBETAPA"</formula>
    </cfRule>
  </conditionalFormatting>
  <conditionalFormatting sqref="H330:L330 N330:P330 R330">
    <cfRule type="expression" priority="7279" dxfId="6">
      <formula>$H330="SUBETAPA"</formula>
    </cfRule>
  </conditionalFormatting>
  <conditionalFormatting sqref="H351:L352 N351:P352 R351:R352">
    <cfRule type="expression" priority="7688" dxfId="6">
      <formula>$H351="SUBETAPA"</formula>
    </cfRule>
    <cfRule type="expression" priority="7689" dxfId="2">
      <formula>$H351="CÉLULA CONSTRUTIVA"</formula>
    </cfRule>
    <cfRule type="expression" priority="7690" dxfId="0">
      <formula>$H351="ETAPA"</formula>
    </cfRule>
  </conditionalFormatting>
  <conditionalFormatting sqref="H353:L358 N358 O353:P358 R358">
    <cfRule type="expression" priority="7819" dxfId="2">
      <formula>$H353="CÉLULA CONSTRUTIVA"</formula>
    </cfRule>
  </conditionalFormatting>
  <conditionalFormatting sqref="H358:L358 N358:P358 R358">
    <cfRule type="expression" priority="7818" dxfId="6">
      <formula>$H358="SUBETAPA"</formula>
    </cfRule>
    <cfRule type="expression" priority="7820" dxfId="0">
      <formula>$H358="ETAPA"</formula>
    </cfRule>
  </conditionalFormatting>
  <conditionalFormatting sqref="H359:L359">
    <cfRule type="expression" priority="7996" dxfId="6">
      <formula>$H359="SUBETAPA"</formula>
    </cfRule>
    <cfRule type="expression" priority="7997" dxfId="2">
      <formula>$H359="CÉLULA CONSTRUTIVA"</formula>
    </cfRule>
    <cfRule type="expression" priority="7998" dxfId="0">
      <formula>$H359="ETAPA"</formula>
    </cfRule>
  </conditionalFormatting>
  <conditionalFormatting sqref="H361:L361">
    <cfRule type="expression" priority="7994" dxfId="6">
      <formula>$H361="SUBETAPA"</formula>
    </cfRule>
    <cfRule type="expression" priority="7995" dxfId="2">
      <formula>$H361="CÉLULA CONSTRUTIVA"</formula>
    </cfRule>
  </conditionalFormatting>
  <conditionalFormatting sqref="H368:L368 N368:P368 R368">
    <cfRule type="expression" priority="5306" dxfId="6">
      <formula>$H368="SUBETAPA"</formula>
    </cfRule>
    <cfRule type="expression" priority="5307" dxfId="2">
      <formula>$H368="CÉLULA CONSTRUTIVA"</formula>
    </cfRule>
  </conditionalFormatting>
  <conditionalFormatting sqref="H400:L401">
    <cfRule type="expression" priority="4709" dxfId="0">
      <formula>$H400="ETAPA"</formula>
    </cfRule>
  </conditionalFormatting>
  <conditionalFormatting sqref="H432:L432">
    <cfRule type="expression" priority="4231" dxfId="6">
      <formula>$H432="SUBETAPA"</formula>
    </cfRule>
    <cfRule type="expression" priority="4230" dxfId="2">
      <formula>$H432="CÉLULA CONSTRUTIVA"</formula>
    </cfRule>
  </conditionalFormatting>
  <conditionalFormatting sqref="H11:M11 M19:M22">
    <cfRule type="expression" priority="3355" dxfId="2">
      <formula>$H11="CÉLULA CONSTRUTIVA"</formula>
    </cfRule>
  </conditionalFormatting>
  <conditionalFormatting sqref="H13:M15">
    <cfRule type="expression" priority="3330" dxfId="0">
      <formula>$H13="ETAPA"</formula>
    </cfRule>
  </conditionalFormatting>
  <conditionalFormatting sqref="H13:M17">
    <cfRule type="expression" priority="3361" dxfId="6">
      <formula>$H13="SUBETAPA"</formula>
    </cfRule>
  </conditionalFormatting>
  <conditionalFormatting sqref="G8:M10 G12:M12 H18:M22">
    <cfRule type="expression" priority="3390" dxfId="6">
      <formula>$H8="SUBETAPA"</formula>
    </cfRule>
  </conditionalFormatting>
  <conditionalFormatting sqref="H18:M22">
    <cfRule type="expression" priority="3363" dxfId="0">
      <formula>$H18="ETAPA"</formula>
    </cfRule>
  </conditionalFormatting>
  <conditionalFormatting sqref="H26:M27">
    <cfRule type="expression" priority="3233" dxfId="0">
      <formula>$H26="ETAPA"</formula>
    </cfRule>
  </conditionalFormatting>
  <conditionalFormatting sqref="H41:M41">
    <cfRule type="expression" priority="3025" dxfId="6">
      <formula>$H41="SUBETAPA"</formula>
    </cfRule>
  </conditionalFormatting>
  <conditionalFormatting sqref="H44:M44">
    <cfRule type="expression" priority="3159" dxfId="0">
      <formula>$H44="ETAPA"</formula>
    </cfRule>
  </conditionalFormatting>
  <conditionalFormatting sqref="H49:M49">
    <cfRule type="expression" priority="3152" dxfId="0">
      <formula>$H49="ETAPA"</formula>
    </cfRule>
  </conditionalFormatting>
  <conditionalFormatting sqref="H50:M51">
    <cfRule type="expression" priority="3130" dxfId="0">
      <formula>$H50="ETAPA"</formula>
    </cfRule>
  </conditionalFormatting>
  <conditionalFormatting sqref="H53:M53">
    <cfRule type="expression" priority="3096" dxfId="2">
      <formula>$H53="CÉLULA CONSTRUTIVA"</formula>
    </cfRule>
  </conditionalFormatting>
  <conditionalFormatting sqref="H85:M85">
    <cfRule type="expression" priority="2769" dxfId="6">
      <formula>$H85="SUBETAPA"</formula>
    </cfRule>
    <cfRule type="expression" priority="2770" dxfId="2">
      <formula>$H85="CÉLULA CONSTRUTIVA"</formula>
    </cfRule>
    <cfRule type="expression" priority="2771" dxfId="0">
      <formula>$H85="ETAPA"</formula>
    </cfRule>
  </conditionalFormatting>
  <conditionalFormatting sqref="H116:M116">
    <cfRule type="expression" priority="2742" dxfId="0">
      <formula>$H116="ETAPA"</formula>
    </cfRule>
  </conditionalFormatting>
  <conditionalFormatting sqref="H146:M146">
    <cfRule type="expression" priority="4226" dxfId="2">
      <formula>$H146="CÉLULA CONSTRUTIVA"</formula>
    </cfRule>
    <cfRule type="expression" priority="4227" dxfId="6">
      <formula>$H146="SUBETAPA"</formula>
    </cfRule>
  </conditionalFormatting>
  <conditionalFormatting sqref="H146:M147">
    <cfRule type="expression" priority="4225" dxfId="0">
      <formula>$H146="ETAPA"</formula>
    </cfRule>
  </conditionalFormatting>
  <conditionalFormatting sqref="H147:M147">
    <cfRule type="expression" priority="7399" dxfId="2">
      <formula>$H147="CÉLULA CONSTRUTIVA"</formula>
    </cfRule>
  </conditionalFormatting>
  <conditionalFormatting sqref="H149:M149">
    <cfRule type="expression" priority="7371" dxfId="0">
      <formula>$H149="ETAPA"</formula>
    </cfRule>
    <cfRule type="expression" priority="7372" dxfId="2">
      <formula>$H149="CÉLULA CONSTRUTIVA"</formula>
    </cfRule>
  </conditionalFormatting>
  <conditionalFormatting sqref="H159:M159 K160:L160">
    <cfRule type="expression" priority="7351" dxfId="0">
      <formula>$H159="ETAPA"</formula>
    </cfRule>
  </conditionalFormatting>
  <conditionalFormatting sqref="H163:M163 K169:L169">
    <cfRule type="expression" priority="4149" dxfId="0">
      <formula>$H163="ETAPA"</formula>
    </cfRule>
  </conditionalFormatting>
  <conditionalFormatting sqref="G241:R241 H179:M179 H233:R233 O179:Q179">
    <cfRule type="expression" priority="2559" dxfId="4">
      <formula>$H179="CÉLULA CONSTRUTIVA"</formula>
    </cfRule>
  </conditionalFormatting>
  <conditionalFormatting sqref="H185:M185">
    <cfRule type="expression" priority="1554" dxfId="4">
      <formula>$H185="CÉLULA CONSTRUTIVA"</formula>
    </cfRule>
    <cfRule type="expression" priority="1556" dxfId="53">
      <formula>$H185="SUBETAPA"</formula>
    </cfRule>
  </conditionalFormatting>
  <conditionalFormatting sqref="H189:M189">
    <cfRule type="expression" priority="1436" dxfId="4">
      <formula>$H189="CÉLULA CONSTRUTIVA"</formula>
    </cfRule>
    <cfRule type="expression" priority="1438" dxfId="53">
      <formula>$H189="SUBETAPA"</formula>
    </cfRule>
  </conditionalFormatting>
  <conditionalFormatting sqref="H215:M215">
    <cfRule type="expression" priority="1005" dxfId="11">
      <formula>$H215="ETAPA"</formula>
    </cfRule>
    <cfRule type="expression" priority="1015" dxfId="53">
      <formula>#REF!="SUBETAPA"</formula>
    </cfRule>
  </conditionalFormatting>
  <conditionalFormatting sqref="H225:M225 J226">
    <cfRule type="expression" priority="1221" dxfId="2">
      <formula>$H225="CÉLULA CONSTRUTIVA"</formula>
    </cfRule>
    <cfRule type="expression" priority="1222" dxfId="0">
      <formula>$H225="ETAPA"</formula>
    </cfRule>
  </conditionalFormatting>
  <conditionalFormatting sqref="H238:M238">
    <cfRule type="expression" priority="1266" dxfId="11">
      <formula>$H238="ETAPA"</formula>
    </cfRule>
  </conditionalFormatting>
  <conditionalFormatting sqref="H267:M269">
    <cfRule type="expression" priority="7815" dxfId="6">
      <formula>$H267="SUBETAPA"</formula>
    </cfRule>
    <cfRule type="expression" priority="7816" dxfId="2">
      <formula>$H267="CÉLULA CONSTRUTIVA"</formula>
    </cfRule>
  </conditionalFormatting>
  <conditionalFormatting sqref="H304:M304">
    <cfRule type="expression" priority="7735" dxfId="6">
      <formula>$H304="SUBETAPA"</formula>
    </cfRule>
  </conditionalFormatting>
  <conditionalFormatting sqref="H328:M328">
    <cfRule type="expression" priority="671" dxfId="2">
      <formula>$H328="CÉLULA CONSTRUTIVA"</formula>
    </cfRule>
  </conditionalFormatting>
  <conditionalFormatting sqref="H368:M368">
    <cfRule type="expression" priority="5300" dxfId="0">
      <formula>$H368="ETAPA"</formula>
    </cfRule>
  </conditionalFormatting>
  <conditionalFormatting sqref="H380:M380">
    <cfRule type="expression" priority="792" dxfId="6">
      <formula>$H380="SUBETAPA"</formula>
    </cfRule>
    <cfRule type="expression" priority="793" dxfId="2">
      <formula>$H380="CÉLULA CONSTRUTIVA"</formula>
    </cfRule>
    <cfRule type="expression" priority="794" dxfId="0">
      <formula>$H380="ETAPA"</formula>
    </cfRule>
  </conditionalFormatting>
  <conditionalFormatting sqref="H382:M382">
    <cfRule type="expression" priority="785" dxfId="6">
      <formula>$H382="SUBETAPA"</formula>
    </cfRule>
    <cfRule type="expression" priority="786" dxfId="2">
      <formula>$H382="CÉLULA CONSTRUTIVA"</formula>
    </cfRule>
    <cfRule type="expression" priority="787" dxfId="0">
      <formula>$H382="ETAPA"</formula>
    </cfRule>
  </conditionalFormatting>
  <conditionalFormatting sqref="H384:M384">
    <cfRule type="expression" priority="778" dxfId="6">
      <formula>$H384="SUBETAPA"</formula>
    </cfRule>
    <cfRule type="expression" priority="779" dxfId="2">
      <formula>$H384="CÉLULA CONSTRUTIVA"</formula>
    </cfRule>
    <cfRule type="expression" priority="780" dxfId="0">
      <formula>$H384="ETAPA"</formula>
    </cfRule>
  </conditionalFormatting>
  <conditionalFormatting sqref="H393:M393">
    <cfRule type="expression" priority="7224" dxfId="2">
      <formula>$H393="CÉLULA CONSTRUTIVA"</formula>
    </cfRule>
  </conditionalFormatting>
  <conditionalFormatting sqref="H26:R27">
    <cfRule type="expression" priority="3255" dxfId="6">
      <formula>$H26="SUBETAPA"</formula>
    </cfRule>
  </conditionalFormatting>
  <conditionalFormatting sqref="H39:R39">
    <cfRule type="expression" priority="3190" dxfId="2">
      <formula>$H39="CÉLULA CONSTRUTIVA"</formula>
    </cfRule>
  </conditionalFormatting>
  <conditionalFormatting sqref="H44:R44">
    <cfRule type="expression" priority="3157" dxfId="6">
      <formula>$H44="SUBETAPA"</formula>
    </cfRule>
  </conditionalFormatting>
  <conditionalFormatting sqref="H52:R52">
    <cfRule type="expression" priority="3123" dxfId="2">
      <formula>$H52="CÉLULA CONSTRUTIVA"</formula>
    </cfRule>
  </conditionalFormatting>
  <conditionalFormatting sqref="H91:K108 H109:R109 O91:O108">
    <cfRule type="expression" priority="2750" dxfId="6">
      <formula>$H91="SUBETAPA"</formula>
    </cfRule>
  </conditionalFormatting>
  <conditionalFormatting sqref="H109:R109 H111:R111 H115:R115">
    <cfRule type="expression" priority="2740" dxfId="0">
      <formula>$H109="ETAPA"</formula>
    </cfRule>
  </conditionalFormatting>
  <conditionalFormatting sqref="H135:R135">
    <cfRule type="expression" priority="6970" dxfId="6">
      <formula>$H135="SUBETAPA"</formula>
    </cfRule>
    <cfRule type="expression" priority="6971" dxfId="0">
      <formula>$H135="ETAPA"</formula>
    </cfRule>
    <cfRule type="expression" priority="6972" dxfId="2">
      <formula>$H135="CÉLULA CONSTRUTIVA"</formula>
    </cfRule>
  </conditionalFormatting>
  <conditionalFormatting sqref="H183:R183">
    <cfRule type="expression" priority="1528" dxfId="53">
      <formula>$H183="SUBETAPA"</formula>
    </cfRule>
  </conditionalFormatting>
  <conditionalFormatting sqref="H187:R187">
    <cfRule type="expression" priority="1429" dxfId="53">
      <formula>$H187="SUBETAPA"</formula>
    </cfRule>
  </conditionalFormatting>
  <conditionalFormatting sqref="H215:R215">
    <cfRule type="expression" priority="1006" dxfId="4">
      <formula>$H215="CÉLULA CONSTRUTIVA"</formula>
    </cfRule>
  </conditionalFormatting>
  <conditionalFormatting sqref="H227:R227 J228">
    <cfRule type="expression" priority="1196" dxfId="6">
      <formula>$H227="SUBETAPA"</formula>
    </cfRule>
    <cfRule type="expression" priority="1197" dxfId="2">
      <formula>$H227="CÉLULA CONSTRUTIVA"</formula>
    </cfRule>
    <cfRule type="expression" priority="1198" dxfId="0">
      <formula>$H227="ETAPA"</formula>
    </cfRule>
  </conditionalFormatting>
  <conditionalFormatting sqref="G223:R224 G226 G228 G230 H229:R229 J230">
    <cfRule type="expression" priority="1229" dxfId="0">
      <formula>$H223="ETAPA"</formula>
    </cfRule>
  </conditionalFormatting>
  <conditionalFormatting sqref="H229:R229 J230">
    <cfRule type="expression" priority="1228" dxfId="2">
      <formula>$H229="CÉLULA CONSTRUTIVA"</formula>
    </cfRule>
  </conditionalFormatting>
  <conditionalFormatting sqref="H267:R269">
    <cfRule type="expression" priority="7817" dxfId="0">
      <formula>$H267="ETAPA"</formula>
    </cfRule>
  </conditionalFormatting>
  <conditionalFormatting sqref="H294:R294">
    <cfRule type="expression" priority="7312" dxfId="0">
      <formula>$H294="ETAPA"</formula>
    </cfRule>
  </conditionalFormatting>
  <conditionalFormatting sqref="H296:R296">
    <cfRule type="expression" priority="7857" dxfId="0">
      <formula>$H296="ETAPA"</formula>
    </cfRule>
  </conditionalFormatting>
  <conditionalFormatting sqref="H301:R301">
    <cfRule type="expression" priority="7849" dxfId="0">
      <formula>$H301="ETAPA"</formula>
    </cfRule>
  </conditionalFormatting>
  <conditionalFormatting sqref="H304:R304">
    <cfRule type="expression" priority="7734" dxfId="0">
      <formula>$H304="ETAPA"</formula>
    </cfRule>
  </conditionalFormatting>
  <conditionalFormatting sqref="H418:R418">
    <cfRule type="expression" priority="7582" dxfId="6">
      <formula>$H418="SUBETAPA"</formula>
    </cfRule>
    <cfRule type="expression" priority="7583" dxfId="2">
      <formula>$H418="CÉLULA CONSTRUTIVA"</formula>
    </cfRule>
  </conditionalFormatting>
  <conditionalFormatting sqref="H422:R422">
    <cfRule type="expression" priority="8154" dxfId="6">
      <formula>$H422="SUBETAPA"</formula>
    </cfRule>
    <cfRule type="expression" priority="8155" dxfId="2">
      <formula>$H422="CÉLULA CONSTRUTIVA"</formula>
    </cfRule>
  </conditionalFormatting>
  <conditionalFormatting sqref="H433:R433">
    <cfRule type="expression" priority="7809" dxfId="6">
      <formula>$H433="SUBETAPA"</formula>
    </cfRule>
    <cfRule type="expression" priority="7810" dxfId="2">
      <formula>$H433="CÉLULA CONSTRUTIVA"</formula>
    </cfRule>
  </conditionalFormatting>
  <conditionalFormatting sqref="H11:R11">
    <cfRule type="expression" priority="3319" dxfId="0">
      <formula>$H11="ETAPA"</formula>
    </cfRule>
  </conditionalFormatting>
  <conditionalFormatting sqref="G90:G116 H110:R110 M91:M109 M111:M114 Q91:Q109 Q111:Q114">
    <cfRule type="expression" priority="2735" dxfId="6">
      <formula>$H90="SUBETAPA"</formula>
    </cfRule>
  </conditionalFormatting>
  <conditionalFormatting sqref="H111:R111 H115:R116">
    <cfRule type="expression" priority="2748" dxfId="6">
      <formula>$H111="SUBETAPA"</formula>
    </cfRule>
  </conditionalFormatting>
  <conditionalFormatting sqref="G138 G253:M254 H134:R134 O253:Q254">
    <cfRule type="expression" priority="7673" dxfId="6">
      <formula>$H134="SUBETAPA"</formula>
    </cfRule>
  </conditionalFormatting>
  <conditionalFormatting sqref="G254:M254 G301:M301 H134:R134 H266:L266 H302:R302 H308:R309 N266:P266 O254:Q254 O301:Q301 R266">
    <cfRule type="expression" priority="7643" dxfId="2">
      <formula>$H134="CÉLULA CONSTRUTIVA"</formula>
    </cfRule>
  </conditionalFormatting>
  <conditionalFormatting sqref="H257:R257">
    <cfRule type="expression" priority="6963" dxfId="2">
      <formula>$H257="CÉLULA CONSTRUTIVA"</formula>
    </cfRule>
    <cfRule type="expression" priority="6964" dxfId="6">
      <formula>$H257="SUBETAPA"</formula>
    </cfRule>
    <cfRule type="expression" priority="6965" dxfId="0">
      <formula>$H257="ETAPA"</formula>
    </cfRule>
  </conditionalFormatting>
  <conditionalFormatting sqref="H262:R263">
    <cfRule type="expression" priority="7589" dxfId="0">
      <formula>$H262="ETAPA"</formula>
    </cfRule>
  </conditionalFormatting>
  <conditionalFormatting sqref="H264:R264">
    <cfRule type="expression" priority="6921" dxfId="0">
      <formula>$H264="ETAPA"</formula>
    </cfRule>
  </conditionalFormatting>
  <conditionalFormatting sqref="H287:R287">
    <cfRule type="expression" priority="7541" dxfId="0">
      <formula>$H287="ETAPA"</formula>
    </cfRule>
  </conditionalFormatting>
  <conditionalFormatting sqref="H302:R302">
    <cfRule type="expression" priority="7670" dxfId="0">
      <formula>$H302="ETAPA"</formula>
    </cfRule>
    <cfRule type="expression" priority="7671" dxfId="6">
      <formula>$H302="SUBETAPA"</formula>
    </cfRule>
  </conditionalFormatting>
  <conditionalFormatting sqref="H303:R303">
    <cfRule type="expression" priority="5776" dxfId="2">
      <formula>$H303="CÉLULA CONSTRUTIVA"</formula>
    </cfRule>
    <cfRule type="expression" priority="5777" dxfId="0">
      <formula>$H303="ETAPA"</formula>
    </cfRule>
    <cfRule type="expression" priority="5778" dxfId="6">
      <formula>$H303="SUBETAPA"</formula>
    </cfRule>
  </conditionalFormatting>
  <conditionalFormatting sqref="H328:R328">
    <cfRule type="expression" priority="678" dxfId="0">
      <formula>$H328="ETAPA"</formula>
    </cfRule>
  </conditionalFormatting>
  <conditionalFormatting sqref="H366:R367">
    <cfRule type="expression" priority="7449" dxfId="0">
      <formula>$H366="ETAPA"</formula>
    </cfRule>
  </conditionalFormatting>
  <conditionalFormatting sqref="H81:R81">
    <cfRule type="expression" priority="2831" dxfId="0">
      <formula>$H81="ETAPA"</formula>
    </cfRule>
  </conditionalFormatting>
  <conditionalFormatting sqref="H82:R82">
    <cfRule type="expression" priority="2875" dxfId="2">
      <formula>$H82="CÉLULA CONSTRUTIVA"</formula>
    </cfRule>
  </conditionalFormatting>
  <conditionalFormatting sqref="H259:R260">
    <cfRule type="expression" priority="6546" dxfId="0">
      <formula>$H259="ETAPA"</formula>
    </cfRule>
  </conditionalFormatting>
  <conditionalFormatting sqref="G140:M140 G272:M273 G306:M306 H286:R286 M141:M143 O140:Q140 O272:Q273 O306:Q306 Q141:Q143">
    <cfRule type="expression" priority="7762" dxfId="0">
      <formula>$H140="ETAPA"</formula>
    </cfRule>
  </conditionalFormatting>
  <conditionalFormatting sqref="H297:R297">
    <cfRule type="expression" priority="7544" dxfId="0">
      <formula>$H297="ETAPA"</formula>
    </cfRule>
    <cfRule type="expression" priority="7545" dxfId="6">
      <formula>$H297="SUBETAPA"</formula>
    </cfRule>
  </conditionalFormatting>
  <conditionalFormatting sqref="H297:R298">
    <cfRule type="expression" priority="7543" dxfId="2">
      <formula>$H297="CÉLULA CONSTRUTIVA"</formula>
    </cfRule>
  </conditionalFormatting>
  <conditionalFormatting sqref="H298:R298">
    <cfRule type="expression" priority="7546" dxfId="0">
      <formula>$H298="ETAPA"</formula>
    </cfRule>
    <cfRule type="expression" priority="7547" dxfId="6">
      <formula>$H298="SUBETAPA"</formula>
    </cfRule>
  </conditionalFormatting>
  <conditionalFormatting sqref="G272:M273 G275:G276 G278 G280:R280 G285:M285 G306:M306 G340:K343 G345:G346 G348 G350 G353:G357 G359 G361 G364:G368 G370:G372 G374 H259:R260 H262:J263 H286:M287 H289:R293 H299:R299 H305:R305 H307:R307 H310:R312 H332:L339 H344:L344 L262:M263 M155:M158 N140:N142 N267:N273 N275:N276 N281:N283 N319 N343:N344 N346 O272:Q273 O285:Q287 O306:Q306 O332:P339 O340:O343 O344:P344 P262:Q263 Q155:Q158 R140:R142 R267:R273 R275:R276 R281:R283 R319 R343:R344 R346">
    <cfRule type="expression" priority="7993" dxfId="6">
      <formula>$H140="SUBETAPA"</formula>
    </cfRule>
  </conditionalFormatting>
  <conditionalFormatting sqref="H300:R300">
    <cfRule type="expression" priority="5815" dxfId="2">
      <formula>$H300="CÉLULA CONSTRUTIVA"</formula>
    </cfRule>
    <cfRule type="expression" priority="5816" dxfId="0">
      <formula>$H300="ETAPA"</formula>
    </cfRule>
    <cfRule type="expression" priority="5819" dxfId="6">
      <formula>$H300="SUBETAPA"</formula>
    </cfRule>
  </conditionalFormatting>
  <conditionalFormatting sqref="H432:R432">
    <cfRule type="expression" priority="4249" dxfId="0">
      <formula>$H432="ETAPA"</formula>
    </cfRule>
  </conditionalFormatting>
  <conditionalFormatting sqref="I69:K71">
    <cfRule type="expression" priority="3016" dxfId="6">
      <formula>$H69="SUBETAPA"</formula>
    </cfRule>
    <cfRule type="expression" priority="3017" dxfId="2">
      <formula>$H69="CÉLULA CONSTRUTIVA"</formula>
    </cfRule>
    <cfRule type="expression" priority="3018" dxfId="0">
      <formula>$H69="ETAPA"</formula>
    </cfRule>
  </conditionalFormatting>
  <conditionalFormatting sqref="J27">
    <cfRule type="expression" priority="3204" dxfId="2">
      <formula>$H27="CÉLULA CONSTRUTIVA"</formula>
    </cfRule>
    <cfRule type="expression" priority="3205" dxfId="0">
      <formula>$H27="ETAPA"</formula>
    </cfRule>
  </conditionalFormatting>
  <conditionalFormatting sqref="J32">
    <cfRule type="expression" priority="3196" dxfId="6">
      <formula>$H32="SUBETAPA"</formula>
    </cfRule>
  </conditionalFormatting>
  <conditionalFormatting sqref="J62:J63">
    <cfRule type="expression" priority="2848" dxfId="0">
      <formula>$H62="ETAPA"</formula>
    </cfRule>
  </conditionalFormatting>
  <conditionalFormatting sqref="J128">
    <cfRule type="expression" priority="584" dxfId="53">
      <formula>$H128="SUBETAPA"</formula>
    </cfRule>
    <cfRule type="expression" priority="585" dxfId="11">
      <formula>$H128="ETAPA"</formula>
    </cfRule>
  </conditionalFormatting>
  <conditionalFormatting sqref="J152 J162:L162">
    <cfRule type="expression" priority="7726" dxfId="2">
      <formula>$H152="CÉLULA CONSTRUTIVA"</formula>
    </cfRule>
  </conditionalFormatting>
  <conditionalFormatting sqref="J152 L162">
    <cfRule type="expression" priority="7727" dxfId="6">
      <formula>$H152="SUBETAPA"</formula>
    </cfRule>
  </conditionalFormatting>
  <conditionalFormatting sqref="J154">
    <cfRule type="expression" priority="7724" dxfId="2">
      <formula>$H154="CÉLULA CONSTRUTIVA"</formula>
    </cfRule>
  </conditionalFormatting>
  <conditionalFormatting sqref="J156">
    <cfRule type="expression" priority="7707" dxfId="2">
      <formula>$H156="CÉLULA CONSTRUTIVA"</formula>
    </cfRule>
    <cfRule type="expression" priority="7708" dxfId="6">
      <formula>$H156="SUBETAPA"</formula>
    </cfRule>
    <cfRule type="expression" priority="7709" dxfId="0">
      <formula>$H156="ETAPA"</formula>
    </cfRule>
  </conditionalFormatting>
  <conditionalFormatting sqref="J160">
    <cfRule type="expression" priority="4178" dxfId="2">
      <formula>$H160="CÉLULA CONSTRUTIVA"</formula>
    </cfRule>
    <cfRule type="expression" priority="4179" dxfId="6">
      <formula>$H160="SUBETAPA"</formula>
    </cfRule>
    <cfRule type="expression" priority="4181" dxfId="2">
      <formula>$H160="CÉLULA CONSTRUTIVA"</formula>
    </cfRule>
  </conditionalFormatting>
  <conditionalFormatting sqref="J162">
    <cfRule type="expression" priority="4182" dxfId="2">
      <formula>$H162="CÉLULA CONSTRUTIVA"</formula>
    </cfRule>
  </conditionalFormatting>
  <conditionalFormatting sqref="J164">
    <cfRule type="expression" priority="3767" dxfId="2">
      <formula>$H164="CÉLULA CONSTRUTIVA"</formula>
    </cfRule>
    <cfRule type="expression" priority="3768" dxfId="6">
      <formula>$H164="SUBETAPA"</formula>
    </cfRule>
    <cfRule type="expression" priority="3770" dxfId="2">
      <formula>$H164="CÉLULA CONSTRUTIVA"</formula>
    </cfRule>
  </conditionalFormatting>
  <conditionalFormatting sqref="J165">
    <cfRule type="expression" priority="3843" dxfId="2">
      <formula>$H165="CÉLULA CONSTRUTIVA"</formula>
    </cfRule>
    <cfRule type="expression" priority="3844" dxfId="6">
      <formula>$H165="SUBETAPA"</formula>
    </cfRule>
    <cfRule type="expression" priority="3846" dxfId="2">
      <formula>$H165="CÉLULA CONSTRUTIVA"</formula>
    </cfRule>
  </conditionalFormatting>
  <conditionalFormatting sqref="J166">
    <cfRule type="expression" priority="3616" dxfId="2">
      <formula>$H166="CÉLULA CONSTRUTIVA"</formula>
    </cfRule>
    <cfRule type="expression" priority="3617" dxfId="6">
      <formula>$H166="SUBETAPA"</formula>
    </cfRule>
    <cfRule type="expression" priority="3619" dxfId="2">
      <formula>$H166="CÉLULA CONSTRUTIVA"</formula>
    </cfRule>
  </conditionalFormatting>
  <conditionalFormatting sqref="J167">
    <cfRule type="expression" priority="3692" dxfId="2">
      <formula>$H167="CÉLULA CONSTRUTIVA"</formula>
    </cfRule>
    <cfRule type="expression" priority="3693" dxfId="6">
      <formula>$H167="SUBETAPA"</formula>
    </cfRule>
    <cfRule type="expression" priority="3695" dxfId="2">
      <formula>$H167="CÉLULA CONSTRUTIVA"</formula>
    </cfRule>
  </conditionalFormatting>
  <conditionalFormatting sqref="J168">
    <cfRule type="expression" priority="3992" dxfId="2">
      <formula>$H168="CÉLULA CONSTRUTIVA"</formula>
    </cfRule>
    <cfRule type="expression" priority="3993" dxfId="6">
      <formula>$H168="SUBETAPA"</formula>
    </cfRule>
    <cfRule type="expression" priority="3995" dxfId="2">
      <formula>$H168="CÉLULA CONSTRUTIVA"</formula>
    </cfRule>
  </conditionalFormatting>
  <conditionalFormatting sqref="J169">
    <cfRule type="expression" priority="4067" dxfId="2">
      <formula>$H169="CÉLULA CONSTRUTIVA"</formula>
    </cfRule>
    <cfRule type="expression" priority="4068" dxfId="6">
      <formula>$H169="SUBETAPA"</formula>
    </cfRule>
    <cfRule type="expression" priority="4070" dxfId="2">
      <formula>$H169="CÉLULA CONSTRUTIVA"</formula>
    </cfRule>
  </conditionalFormatting>
  <conditionalFormatting sqref="J170">
    <cfRule type="expression" priority="3917" dxfId="2">
      <formula>$H170="CÉLULA CONSTRUTIVA"</formula>
    </cfRule>
    <cfRule type="expression" priority="3918" dxfId="6">
      <formula>$H170="SUBETAPA"</formula>
    </cfRule>
    <cfRule type="expression" priority="3920" dxfId="2">
      <formula>$H170="CÉLULA CONSTRUTIVA"</formula>
    </cfRule>
  </conditionalFormatting>
  <conditionalFormatting sqref="J171">
    <cfRule type="expression" priority="3540" dxfId="2">
      <formula>$H171="CÉLULA CONSTRUTIVA"</formula>
    </cfRule>
    <cfRule type="expression" priority="3541" dxfId="6">
      <formula>$H171="SUBETAPA"</formula>
    </cfRule>
    <cfRule type="expression" priority="3543" dxfId="2">
      <formula>$H171="CÉLULA CONSTRUTIVA"</formula>
    </cfRule>
  </conditionalFormatting>
  <conditionalFormatting sqref="J177">
    <cfRule type="expression" priority="2513" dxfId="53">
      <formula>$H177="SUBETAPA"</formula>
    </cfRule>
  </conditionalFormatting>
  <conditionalFormatting sqref="J183">
    <cfRule type="expression" priority="1523" dxfId="11">
      <formula>$H183="ETAPA"</formula>
    </cfRule>
    <cfRule type="expression" priority="1526" dxfId="53">
      <formula>$H183="SUBETAPA"</formula>
    </cfRule>
  </conditionalFormatting>
  <conditionalFormatting sqref="J187">
    <cfRule type="expression" priority="1425" dxfId="11">
      <formula>$H187="ETAPA"</formula>
    </cfRule>
    <cfRule type="expression" priority="1427" dxfId="53">
      <formula>$H187="SUBETAPA"</formula>
    </cfRule>
  </conditionalFormatting>
  <conditionalFormatting sqref="J208">
    <cfRule type="expression" priority="2031" dxfId="4">
      <formula>$H208="CÉLULA CONSTRUTIVA"</formula>
    </cfRule>
    <cfRule type="expression" priority="2032" dxfId="11">
      <formula>$H208="ETAPA"</formula>
    </cfRule>
  </conditionalFormatting>
  <conditionalFormatting sqref="J221">
    <cfRule type="expression" priority="2033" dxfId="4">
      <formula>$H221="CÉLULA CONSTRUTIVA"</formula>
    </cfRule>
    <cfRule type="expression" priority="2034" dxfId="11">
      <formula>$H221="ETAPA"</formula>
    </cfRule>
  </conditionalFormatting>
  <conditionalFormatting sqref="G223:I224 G226 G228 G230 H225:I225 J223:J228 K223:L225">
    <cfRule type="expression" priority="1220" dxfId="6">
      <formula>$H223="SUBETAPA"</formula>
    </cfRule>
  </conditionalFormatting>
  <conditionalFormatting sqref="J225:J228">
    <cfRule type="expression" priority="1193" dxfId="2">
      <formula>$H225="CÉLULA CONSTRUTIVA"</formula>
    </cfRule>
  </conditionalFormatting>
  <conditionalFormatting sqref="J226:J228">
    <cfRule type="expression" priority="1194" dxfId="0">
      <formula>$H226="ETAPA"</formula>
    </cfRule>
  </conditionalFormatting>
  <conditionalFormatting sqref="J227:J228">
    <cfRule type="expression" priority="1190" dxfId="6">
      <formula>$H227="SUBETAPA"</formula>
    </cfRule>
    <cfRule type="expression" priority="1191" dxfId="2">
      <formula>$H227="CÉLULA CONSTRUTIVA"</formula>
    </cfRule>
    <cfRule type="expression" priority="1192" dxfId="0">
      <formula>$H227="ETAPA"</formula>
    </cfRule>
  </conditionalFormatting>
  <conditionalFormatting sqref="J227:J230">
    <cfRule type="expression" priority="1360" dxfId="6">
      <formula>$H227="SUBETAPA"</formula>
    </cfRule>
    <cfRule type="expression" priority="1361" dxfId="2">
      <formula>$H227="CÉLULA CONSTRUTIVA"</formula>
    </cfRule>
  </conditionalFormatting>
  <conditionalFormatting sqref="J228:J230">
    <cfRule type="expression" priority="1187" dxfId="6">
      <formula>$H228="SUBETAPA"</formula>
    </cfRule>
    <cfRule type="expression" priority="1188" dxfId="2">
      <formula>$H228="CÉLULA CONSTRUTIVA"</formula>
    </cfRule>
    <cfRule type="expression" priority="1189" dxfId="0">
      <formula>$H228="ETAPA"</formula>
    </cfRule>
    <cfRule type="expression" priority="1242" dxfId="2">
      <formula>$H228="CÉLULA CONSTRUTIVA"</formula>
    </cfRule>
    <cfRule type="expression" priority="1243" dxfId="0">
      <formula>$H228="ETAPA"</formula>
    </cfRule>
  </conditionalFormatting>
  <conditionalFormatting sqref="G225 G227 G229 J229:J230">
    <cfRule type="expression" priority="1357" dxfId="2">
      <formula>$H225="CÉLULA CONSTRUTIVA"</formula>
    </cfRule>
  </conditionalFormatting>
  <conditionalFormatting sqref="J230">
    <cfRule type="expression" priority="1240" dxfId="2">
      <formula>$H230="CÉLULA CONSTRUTIVA"</formula>
    </cfRule>
    <cfRule type="expression" priority="1241" dxfId="0">
      <formula>$H230="ETAPA"</formula>
    </cfRule>
  </conditionalFormatting>
  <conditionalFormatting sqref="J285">
    <cfRule type="expression" priority="7586" dxfId="0">
      <formula>$H285="ETAPA"</formula>
    </cfRule>
    <cfRule type="expression" priority="7587" dxfId="6">
      <formula>$H285="SUBETAPA"</formula>
    </cfRule>
  </conditionalFormatting>
  <conditionalFormatting sqref="G439:K439 G440:R443 J318:J319 J345">
    <cfRule type="expression" priority="8325" dxfId="11">
      <formula>$H318="ETAPA"</formula>
    </cfRule>
  </conditionalFormatting>
  <conditionalFormatting sqref="J318:J320">
    <cfRule type="expression" priority="5572" dxfId="4">
      <formula>$H318="CÉLULA CONSTRUTIVA"</formula>
    </cfRule>
    <cfRule type="expression" priority="5573" dxfId="53">
      <formula>$H318="SUBETAPA"</formula>
    </cfRule>
  </conditionalFormatting>
  <conditionalFormatting sqref="J320">
    <cfRule type="expression" priority="5571" dxfId="11">
      <formula>$H320="ETAPA"</formula>
    </cfRule>
  </conditionalFormatting>
  <conditionalFormatting sqref="J321">
    <cfRule type="expression" priority="5558" dxfId="11">
      <formula>$H321="ETAPA"</formula>
    </cfRule>
    <cfRule type="expression" priority="5559" dxfId="4">
      <formula>$H321="CÉLULA CONSTRUTIVA"</formula>
    </cfRule>
    <cfRule type="expression" priority="5560" dxfId="53">
      <formula>$H321="SUBETAPA"</formula>
    </cfRule>
  </conditionalFormatting>
  <conditionalFormatting sqref="J322">
    <cfRule type="expression" priority="5542" dxfId="11">
      <formula>$H322="ETAPA"</formula>
    </cfRule>
    <cfRule type="expression" priority="5543" dxfId="4">
      <formula>$H322="CÉLULA CONSTRUTIVA"</formula>
    </cfRule>
    <cfRule type="expression" priority="5544" dxfId="53">
      <formula>$H322="SUBETAPA"</formula>
    </cfRule>
  </conditionalFormatting>
  <conditionalFormatting sqref="J323 J325">
    <cfRule type="expression" priority="5584" dxfId="11">
      <formula>$H323="ETAPA"</formula>
    </cfRule>
    <cfRule type="expression" priority="5585" dxfId="4">
      <formula>$H323="CÉLULA CONSTRUTIVA"</formula>
    </cfRule>
    <cfRule type="expression" priority="5586" dxfId="53">
      <formula>$H323="SUBETAPA"</formula>
    </cfRule>
  </conditionalFormatting>
  <conditionalFormatting sqref="G439:K439 G440:R443 J345 M439:R439">
    <cfRule type="expression" priority="8323" dxfId="4">
      <formula>$H345="CÉLULA CONSTRUTIVA"</formula>
    </cfRule>
  </conditionalFormatting>
  <conditionalFormatting sqref="G439:K439 J345 M439:R439 M440:M442">
    <cfRule type="expression" priority="8324" dxfId="53">
      <formula>$H345="SUBETAPA"</formula>
    </cfRule>
  </conditionalFormatting>
  <conditionalFormatting sqref="J369">
    <cfRule type="expression" priority="7419" dxfId="6">
      <formula>$H369="SUBETAPA"</formula>
    </cfRule>
    <cfRule type="expression" priority="7420" dxfId="2">
      <formula>$H369="CÉLULA CONSTRUTIVA"</formula>
    </cfRule>
    <cfRule type="expression" priority="7421" dxfId="0">
      <formula>$H369="ETAPA"</formula>
    </cfRule>
  </conditionalFormatting>
  <conditionalFormatting sqref="J373:J374">
    <cfRule type="expression" priority="5255" dxfId="2">
      <formula>$H373="CÉLULA CONSTRUTIVA"</formula>
    </cfRule>
    <cfRule type="expression" priority="5256" dxfId="6">
      <formula>$H373="SUBETAPA"</formula>
    </cfRule>
    <cfRule type="expression" priority="5257" dxfId="0">
      <formula>$H373="ETAPA"</formula>
    </cfRule>
  </conditionalFormatting>
  <conditionalFormatting sqref="J386:J388">
    <cfRule type="expression" priority="7140" dxfId="0">
      <formula>$H386="ETAPA"</formula>
    </cfRule>
  </conditionalFormatting>
  <conditionalFormatting sqref="J388">
    <cfRule type="expression" priority="7137" dxfId="6">
      <formula>$H388="SUBETAPA"</formula>
    </cfRule>
    <cfRule type="expression" priority="7138" dxfId="0">
      <formula>$H388="ETAPA"</formula>
    </cfRule>
    <cfRule type="expression" priority="7139" dxfId="2">
      <formula>$H388="CÉLULA CONSTRUTIVA"</formula>
    </cfRule>
  </conditionalFormatting>
  <conditionalFormatting sqref="J390">
    <cfRule type="expression" priority="7178" dxfId="6">
      <formula>$H390="SUBETAPA"</formula>
    </cfRule>
    <cfRule type="expression" priority="7179" dxfId="0">
      <formula>$H390="ETAPA"</formula>
    </cfRule>
    <cfRule type="expression" priority="7180" dxfId="2">
      <formula>$H390="CÉLULA CONSTRUTIVA"</formula>
    </cfRule>
    <cfRule type="expression" priority="7181" dxfId="0">
      <formula>$H390="ETAPA"</formula>
    </cfRule>
  </conditionalFormatting>
  <conditionalFormatting sqref="J391">
    <cfRule type="expression" priority="7174" dxfId="6">
      <formula>$H391="SUBETAPA"</formula>
    </cfRule>
    <cfRule type="expression" priority="7175" dxfId="2">
      <formula>$H391="CÉLULA CONSTRUTIVA"</formula>
    </cfRule>
  </conditionalFormatting>
  <conditionalFormatting sqref="J392">
    <cfRule type="expression" priority="5242" dxfId="6">
      <formula>$H392="SUBETAPA"</formula>
    </cfRule>
    <cfRule type="expression" priority="5243" dxfId="0">
      <formula>$H392="ETAPA"</formula>
    </cfRule>
    <cfRule type="expression" priority="5244" dxfId="2">
      <formula>$H392="CÉLULA CONSTRUTIVA"</formula>
    </cfRule>
    <cfRule type="expression" priority="5245" dxfId="0">
      <formula>$H392="ETAPA"</formula>
    </cfRule>
  </conditionalFormatting>
  <conditionalFormatting sqref="J393">
    <cfRule type="expression" priority="7222" dxfId="6">
      <formula>$H393="SUBETAPA"</formula>
    </cfRule>
    <cfRule type="expression" priority="7223" dxfId="0">
      <formula>$H393="ETAPA"</formula>
    </cfRule>
    <cfRule type="expression" priority="7225" dxfId="0">
      <formula>$H393="ETAPA"</formula>
    </cfRule>
  </conditionalFormatting>
  <conditionalFormatting sqref="J394">
    <cfRule type="expression" priority="7130" dxfId="6">
      <formula>$H394="SUBETAPA"</formula>
    </cfRule>
    <cfRule type="expression" priority="7131" dxfId="2">
      <formula>$H394="CÉLULA CONSTRUTIVA"</formula>
    </cfRule>
  </conditionalFormatting>
  <conditionalFormatting sqref="J395">
    <cfRule type="expression" priority="7103" dxfId="6">
      <formula>$H395="SUBETAPA"</formula>
    </cfRule>
    <cfRule type="expression" priority="7104" dxfId="0">
      <formula>$H395="ETAPA"</formula>
    </cfRule>
    <cfRule type="expression" priority="7105" dxfId="2">
      <formula>$H395="CÉLULA CONSTRUTIVA"</formula>
    </cfRule>
    <cfRule type="expression" priority="7106" dxfId="0">
      <formula>$H395="ETAPA"</formula>
    </cfRule>
  </conditionalFormatting>
  <conditionalFormatting sqref="J398">
    <cfRule type="expression" priority="7530" dxfId="0">
      <formula>$H398="ETAPA"</formula>
    </cfRule>
  </conditionalFormatting>
  <conditionalFormatting sqref="J399">
    <cfRule type="expression" priority="4165" dxfId="2">
      <formula>$H399="CÉLULA CONSTRUTIVA"</formula>
    </cfRule>
    <cfRule type="expression" priority="4166" dxfId="6">
      <formula>$H399="SUBETAPA"</formula>
    </cfRule>
    <cfRule type="expression" priority="4167" dxfId="0">
      <formula>$H399="ETAPA"</formula>
    </cfRule>
  </conditionalFormatting>
  <conditionalFormatting sqref="J400">
    <cfRule type="expression" priority="4710" dxfId="2">
      <formula>$H400="CÉLULA CONSTRUTIVA"</formula>
    </cfRule>
    <cfRule type="expression" priority="4711" dxfId="6">
      <formula>$H400="SUBETAPA"</formula>
    </cfRule>
  </conditionalFormatting>
  <conditionalFormatting sqref="J401">
    <cfRule type="expression" priority="4707" dxfId="2">
      <formula>$H401="CÉLULA CONSTRUTIVA"</formula>
    </cfRule>
    <cfRule type="expression" priority="4708" dxfId="6">
      <formula>$H401="SUBETAPA"</formula>
    </cfRule>
  </conditionalFormatting>
  <conditionalFormatting sqref="J403 J407:J408">
    <cfRule type="expression" priority="7464" dxfId="6">
      <formula>$H403="SUBETAPA"</formula>
    </cfRule>
    <cfRule type="expression" priority="7465" dxfId="0">
      <formula>$H403="ETAPA"</formula>
    </cfRule>
    <cfRule type="expression" priority="7467" dxfId="0">
      <formula>$H403="ETAPA"</formula>
    </cfRule>
  </conditionalFormatting>
  <conditionalFormatting sqref="J404">
    <cfRule type="expression" priority="4480" dxfId="6">
      <formula>$H404="SUBETAPA"</formula>
    </cfRule>
    <cfRule type="expression" priority="4481" dxfId="0">
      <formula>$H404="ETAPA"</formula>
    </cfRule>
    <cfRule type="expression" priority="4482" dxfId="2">
      <formula>$H404="CÉLULA CONSTRUTIVA"</formula>
    </cfRule>
    <cfRule type="expression" priority="4483" dxfId="0">
      <formula>$H404="ETAPA"</formula>
    </cfRule>
  </conditionalFormatting>
  <conditionalFormatting sqref="J405:J406">
    <cfRule type="expression" priority="3481" dxfId="6">
      <formula>$H405="SUBETAPA"</formula>
    </cfRule>
    <cfRule type="expression" priority="3482" dxfId="0">
      <formula>$H405="ETAPA"</formula>
    </cfRule>
    <cfRule type="expression" priority="3483" dxfId="2">
      <formula>$H405="CÉLULA CONSTRUTIVA"</formula>
    </cfRule>
    <cfRule type="expression" priority="3484" dxfId="0">
      <formula>$H405="ETAPA"</formula>
    </cfRule>
  </conditionalFormatting>
  <conditionalFormatting sqref="J409">
    <cfRule type="expression" priority="7069" dxfId="6">
      <formula>$H409="SUBETAPA"</formula>
    </cfRule>
    <cfRule type="expression" priority="7070" dxfId="2">
      <formula>$H409="CÉLULA CONSTRUTIVA"</formula>
    </cfRule>
  </conditionalFormatting>
  <conditionalFormatting sqref="J410">
    <cfRule type="expression" priority="7052" dxfId="0">
      <formula>$H410="ETAPA"</formula>
    </cfRule>
  </conditionalFormatting>
  <conditionalFormatting sqref="J411:J413">
    <cfRule type="expression" priority="7010" dxfId="6">
      <formula>$H411="SUBETAPA"</formula>
    </cfRule>
    <cfRule type="expression" priority="7011" dxfId="0">
      <formula>$H411="ETAPA"</formula>
    </cfRule>
    <cfRule type="expression" priority="7012" dxfId="2">
      <formula>$H411="CÉLULA CONSTRUTIVA"</formula>
    </cfRule>
    <cfRule type="expression" priority="7013" dxfId="0">
      <formula>$H411="ETAPA"</formula>
    </cfRule>
  </conditionalFormatting>
  <conditionalFormatting sqref="J414">
    <cfRule type="expression" priority="7018" dxfId="6">
      <formula>$H414="SUBETAPA"</formula>
    </cfRule>
    <cfRule type="expression" priority="7019" dxfId="0">
      <formula>$H414="ETAPA"</formula>
    </cfRule>
    <cfRule type="expression" priority="7020" dxfId="2">
      <formula>$H414="CÉLULA CONSTRUTIVA"</formula>
    </cfRule>
    <cfRule type="expression" priority="7021" dxfId="0">
      <formula>$H414="ETAPA"</formula>
    </cfRule>
  </conditionalFormatting>
  <conditionalFormatting sqref="J415:J416">
    <cfRule type="expression" priority="7014" dxfId="6">
      <formula>$H415="SUBETAPA"</formula>
    </cfRule>
    <cfRule type="expression" priority="7015" dxfId="0">
      <formula>$H415="ETAPA"</formula>
    </cfRule>
    <cfRule type="expression" priority="7016" dxfId="2">
      <formula>$H415="CÉLULA CONSTRUTIVA"</formula>
    </cfRule>
    <cfRule type="expression" priority="7017" dxfId="0">
      <formula>$H415="ETAPA"</formula>
    </cfRule>
  </conditionalFormatting>
  <conditionalFormatting sqref="J421">
    <cfRule type="expression" priority="7562" dxfId="2">
      <formula>$H421="CÉLULA CONSTRUTIVA"</formula>
    </cfRule>
    <cfRule type="expression" priority="7563" dxfId="6">
      <formula>$H421="SUBETAPA"</formula>
    </cfRule>
  </conditionalFormatting>
  <conditionalFormatting sqref="J426">
    <cfRule type="expression" priority="4253" dxfId="2">
      <formula>$H426="CÉLULA CONSTRUTIVA"</formula>
    </cfRule>
    <cfRule type="expression" priority="4254" dxfId="6">
      <formula>$H426="SUBETAPA"</formula>
    </cfRule>
    <cfRule type="expression" priority="4255" dxfId="0">
      <formula>$H426="ETAPA"</formula>
    </cfRule>
  </conditionalFormatting>
  <conditionalFormatting sqref="J436">
    <cfRule type="expression" priority="7787" dxfId="6">
      <formula>$H436="SUBETAPA"</formula>
    </cfRule>
    <cfRule type="expression" priority="7788" dxfId="2">
      <formula>$H436="CÉLULA CONSTRUTIVA"</formula>
    </cfRule>
  </conditionalFormatting>
  <conditionalFormatting sqref="J156:K156">
    <cfRule type="expression" priority="7710" dxfId="6">
      <formula>$H156="SUBETAPA"</formula>
    </cfRule>
  </conditionalFormatting>
  <conditionalFormatting sqref="J68:L68">
    <cfRule type="expression" priority="2772" dxfId="6">
      <formula>$H68="SUBETAPA"</formula>
    </cfRule>
    <cfRule type="expression" priority="2773" dxfId="2">
      <formula>$H68="CÉLULA CONSTRUTIVA"</formula>
    </cfRule>
  </conditionalFormatting>
  <conditionalFormatting sqref="J117:L117">
    <cfRule type="expression" priority="2696" dxfId="2">
      <formula>$H117="CÉLULA CONSTRUTIVA"</formula>
    </cfRule>
  </conditionalFormatting>
  <conditionalFormatting sqref="J117:M117">
    <cfRule type="expression" priority="2695" dxfId="6">
      <formula>$H117="SUBETAPA"</formula>
    </cfRule>
  </conditionalFormatting>
  <conditionalFormatting sqref="J141:M142">
    <cfRule type="expression" priority="8249" dxfId="2">
      <formula>$H141="CÉLULA CONSTRUTIVA"</formula>
    </cfRule>
  </conditionalFormatting>
  <conditionalFormatting sqref="J389:M389">
    <cfRule type="expression" priority="7190" dxfId="0">
      <formula>$H389="ETAPA"</formula>
    </cfRule>
  </conditionalFormatting>
  <conditionalFormatting sqref="J391:M391">
    <cfRule type="expression" priority="7159" dxfId="0">
      <formula>$H391="ETAPA"</formula>
    </cfRule>
  </conditionalFormatting>
  <conditionalFormatting sqref="J394:M394">
    <cfRule type="expression" priority="7115" dxfId="0">
      <formula>$H394="ETAPA"</formula>
    </cfRule>
  </conditionalFormatting>
  <conditionalFormatting sqref="K262:K263">
    <cfRule type="expression" priority="7760" dxfId="6">
      <formula>$H262="SUBETAPA"</formula>
    </cfRule>
  </conditionalFormatting>
  <conditionalFormatting sqref="K264">
    <cfRule type="expression" priority="6928" dxfId="6">
      <formula>$H264="SUBETAPA"</formula>
    </cfRule>
  </conditionalFormatting>
  <conditionalFormatting sqref="K316">
    <cfRule type="expression" priority="5605" dxfId="6">
      <formula>$H316="SUBETAPA"</formula>
    </cfRule>
    <cfRule type="expression" priority="5606" dxfId="2">
      <formula>$H316="CÉLULA CONSTRUTIVA"</formula>
    </cfRule>
  </conditionalFormatting>
  <conditionalFormatting sqref="K324">
    <cfRule type="expression" priority="5532" dxfId="2">
      <formula>$H324="CÉLULA CONSTRUTIVA"</formula>
    </cfRule>
    <cfRule type="expression" priority="5533" dxfId="0">
      <formula>$H324="ETAPA"</formula>
    </cfRule>
    <cfRule type="expression" priority="5534" dxfId="6">
      <formula>$H324="SUBETAPA"</formula>
    </cfRule>
  </conditionalFormatting>
  <conditionalFormatting sqref="K333">
    <cfRule type="expression" priority="7551" dxfId="0">
      <formula>$H333="ETAPA"</formula>
    </cfRule>
  </conditionalFormatting>
  <conditionalFormatting sqref="K349">
    <cfRule type="expression" priority="7269" dxfId="2">
      <formula>$H349="CÉLULA CONSTRUTIVA"</formula>
    </cfRule>
  </conditionalFormatting>
  <conditionalFormatting sqref="K365">
    <cfRule type="expression" priority="5228" dxfId="2">
      <formula>$H365="CÉLULA CONSTRUTIVA"</formula>
    </cfRule>
    <cfRule type="expression" priority="5229" dxfId="6">
      <formula>$H365="SUBETAPA"</formula>
    </cfRule>
  </conditionalFormatting>
  <conditionalFormatting sqref="K366">
    <cfRule type="expression" priority="7450" dxfId="2">
      <formula>$H366="CÉLULA CONSTRUTIVA"</formula>
    </cfRule>
    <cfRule type="expression" priority="7451" dxfId="6">
      <formula>$H366="SUBETAPA"</formula>
    </cfRule>
  </conditionalFormatting>
  <conditionalFormatting sqref="K370">
    <cfRule type="expression" priority="7417" dxfId="2">
      <formula>$H370="CÉLULA CONSTRUTIVA"</formula>
    </cfRule>
    <cfRule type="expression" priority="7418" dxfId="6">
      <formula>$H370="SUBETAPA"</formula>
    </cfRule>
  </conditionalFormatting>
  <conditionalFormatting sqref="K370:K372">
    <cfRule type="expression" priority="4284" dxfId="0">
      <formula>$H370="ETAPA"</formula>
    </cfRule>
  </conditionalFormatting>
  <conditionalFormatting sqref="K371">
    <cfRule type="expression" priority="5308" dxfId="2">
      <formula>$H371="CÉLULA CONSTRUTIVA"</formula>
    </cfRule>
    <cfRule type="expression" priority="5309" dxfId="6">
      <formula>$H371="SUBETAPA"</formula>
    </cfRule>
  </conditionalFormatting>
  <conditionalFormatting sqref="K372">
    <cfRule type="expression" priority="4285" dxfId="6">
      <formula>$H372="SUBETAPA"</formula>
    </cfRule>
    <cfRule type="expression" priority="4286" dxfId="2">
      <formula>$H372="CÉLULA CONSTRUTIVA"</formula>
    </cfRule>
  </conditionalFormatting>
  <conditionalFormatting sqref="K374">
    <cfRule type="expression" priority="4287" dxfId="0">
      <formula>$H374="ETAPA"</formula>
    </cfRule>
    <cfRule type="expression" priority="4288" dxfId="6">
      <formula>$H374="SUBETAPA"</formula>
    </cfRule>
    <cfRule type="expression" priority="4289" dxfId="2">
      <formula>$H374="CÉLULA CONSTRUTIVA"</formula>
    </cfRule>
  </conditionalFormatting>
  <conditionalFormatting sqref="K388 M388">
    <cfRule type="expression" priority="7147" dxfId="0">
      <formula>$H388="ETAPA"</formula>
    </cfRule>
  </conditionalFormatting>
  <conditionalFormatting sqref="K390 M390">
    <cfRule type="expression" priority="7188" dxfId="0">
      <formula>$H390="ETAPA"</formula>
    </cfRule>
  </conditionalFormatting>
  <conditionalFormatting sqref="K395 M395">
    <cfRule type="expression" priority="7113" dxfId="0">
      <formula>$H395="ETAPA"</formula>
    </cfRule>
  </conditionalFormatting>
  <conditionalFormatting sqref="G398:I399 G411:G413 G415:G416 K399 K407:M407 M399 N408 O399 O407:Q407 Q399 R408">
    <cfRule type="expression" priority="7476" dxfId="0">
      <formula>$H398="ETAPA"</formula>
    </cfRule>
  </conditionalFormatting>
  <conditionalFormatting sqref="K403 M403">
    <cfRule type="expression" priority="7079" dxfId="0">
      <formula>$H403="ETAPA"</formula>
    </cfRule>
    <cfRule type="expression" priority="7075" dxfId="6">
      <formula>$H403="SUBETAPA"</formula>
    </cfRule>
  </conditionalFormatting>
  <conditionalFormatting sqref="K403">
    <cfRule type="expression" priority="7080" dxfId="2">
      <formula>$H403="CÉLULA CONSTRUTIVA"</formula>
    </cfRule>
  </conditionalFormatting>
  <conditionalFormatting sqref="K404 M404">
    <cfRule type="expression" priority="4472" dxfId="0">
      <formula>$H404="ETAPA"</formula>
    </cfRule>
    <cfRule type="expression" priority="4471" dxfId="6">
      <formula>$H404="SUBETAPA"</formula>
    </cfRule>
  </conditionalFormatting>
  <conditionalFormatting sqref="K404">
    <cfRule type="expression" priority="4473" dxfId="2">
      <formula>$H404="CÉLULA CONSTRUTIVA"</formula>
    </cfRule>
  </conditionalFormatting>
  <conditionalFormatting sqref="G405:I406 K406 M405:M406">
    <cfRule type="expression" priority="3490" dxfId="2">
      <formula>$H405="CÉLULA CONSTRUTIVA"</formula>
    </cfRule>
  </conditionalFormatting>
  <conditionalFormatting sqref="G405:I406 K406 M406:O406 Q406:R406">
    <cfRule type="expression" priority="3530" dxfId="6">
      <formula>$H405="SUBETAPA"</formula>
    </cfRule>
  </conditionalFormatting>
  <conditionalFormatting sqref="G411:I413 K411 K412:L413 N415 O411 O412:P413 R415">
    <cfRule type="expression" priority="7029" dxfId="2">
      <formula>$H411="CÉLULA CONSTRUTIVA"</formula>
    </cfRule>
  </conditionalFormatting>
  <conditionalFormatting sqref="G410:I414 K411 K412:M412 K413:L413 K415:L415 M411 N415:P415 O411 O412:Q412 O413:P413 Q411 R415">
    <cfRule type="expression" priority="7028" dxfId="0">
      <formula>$H410="ETAPA"</formula>
    </cfRule>
  </conditionalFormatting>
  <conditionalFormatting sqref="K420">
    <cfRule type="expression" priority="7561" dxfId="6">
      <formula>$H420="SUBETAPA"</formula>
    </cfRule>
  </conditionalFormatting>
  <conditionalFormatting sqref="K420:K421">
    <cfRule type="expression" priority="7559" dxfId="2">
      <formula>$H420="CÉLULA CONSTRUTIVA"</formula>
    </cfRule>
  </conditionalFormatting>
  <conditionalFormatting sqref="K421">
    <cfRule type="expression" priority="7560" dxfId="6">
      <formula>$H421="SUBETAPA"</formula>
    </cfRule>
  </conditionalFormatting>
  <conditionalFormatting sqref="G128:I128 K128:L128">
    <cfRule type="expression" priority="593" dxfId="53">
      <formula>$H128="SUBETAPA"</formula>
    </cfRule>
  </conditionalFormatting>
  <conditionalFormatting sqref="K164:L164 L165:M165">
    <cfRule type="expression" priority="3837" dxfId="0">
      <formula>$H164="ETAPA"</formula>
    </cfRule>
  </conditionalFormatting>
  <conditionalFormatting sqref="K166:L166">
    <cfRule type="expression" priority="3686" dxfId="0">
      <formula>$H166="ETAPA"</formula>
    </cfRule>
  </conditionalFormatting>
  <conditionalFormatting sqref="K167:L167">
    <cfRule type="expression" priority="3761" dxfId="0">
      <formula>$H167="ETAPA"</formula>
    </cfRule>
  </conditionalFormatting>
  <conditionalFormatting sqref="K168:L168">
    <cfRule type="expression" priority="4061" dxfId="0">
      <formula>$H168="ETAPA"</formula>
    </cfRule>
  </conditionalFormatting>
  <conditionalFormatting sqref="K170:L170">
    <cfRule type="expression" priority="3986" dxfId="0">
      <formula>$H170="ETAPA"</formula>
    </cfRule>
  </conditionalFormatting>
  <conditionalFormatting sqref="K171:L171">
    <cfRule type="expression" priority="3610" dxfId="0">
      <formula>$H171="ETAPA"</formula>
    </cfRule>
  </conditionalFormatting>
  <conditionalFormatting sqref="K245:L247">
    <cfRule type="expression" priority="1560" dxfId="11">
      <formula>$H245="ETAPA"</formula>
    </cfRule>
    <cfRule type="expression" priority="1561" dxfId="4">
      <formula>$H245="CÉLULA CONSTRUTIVA"</formula>
    </cfRule>
    <cfRule type="expression" priority="1562" dxfId="53">
      <formula>#REF!="SUBETAPA"</formula>
    </cfRule>
  </conditionalFormatting>
  <conditionalFormatting sqref="K249:L249 K251:L251">
    <cfRule type="expression" priority="1557" dxfId="11">
      <formula>$H249="ETAPA"</formula>
    </cfRule>
    <cfRule type="expression" priority="1558" dxfId="4">
      <formula>$H249="CÉLULA CONSTRUTIVA"</formula>
    </cfRule>
    <cfRule type="expression" priority="1559" dxfId="53">
      <formula>#REF!="SUBETAPA"</formula>
    </cfRule>
  </conditionalFormatting>
  <conditionalFormatting sqref="H322:I322 K322:L322 N322:P322 R322">
    <cfRule type="expression" priority="5550" dxfId="2">
      <formula>$H322="CÉLULA CONSTRUTIVA"</formula>
    </cfRule>
  </conditionalFormatting>
  <conditionalFormatting sqref="H323:I323 K323:L323 N323:P323 R323">
    <cfRule type="expression" priority="5592" dxfId="2">
      <formula>$H323="CÉLULA CONSTRUTIVA"</formula>
    </cfRule>
  </conditionalFormatting>
  <conditionalFormatting sqref="K349:L349 N349:P349 R349">
    <cfRule type="expression" priority="7245" dxfId="0">
      <formula>$H349="ETAPA"</formula>
    </cfRule>
  </conditionalFormatting>
  <conditionalFormatting sqref="K350:L350">
    <cfRule type="expression" priority="7263" dxfId="2">
      <formula>$H350="CÉLULA CONSTRUTIVA"</formula>
    </cfRule>
  </conditionalFormatting>
  <conditionalFormatting sqref="K369:L369 N369:P369 R369">
    <cfRule type="expression" priority="7728" dxfId="0">
      <formula>$H369="ETAPA"</formula>
    </cfRule>
  </conditionalFormatting>
  <conditionalFormatting sqref="K373:L373 N373:P373 R373">
    <cfRule type="expression" priority="5292" dxfId="0">
      <formula>$H373="ETAPA"</formula>
    </cfRule>
  </conditionalFormatting>
  <conditionalFormatting sqref="G387:I388 K387:L387">
    <cfRule type="expression" priority="7152" dxfId="2">
      <formula>$H387="CÉLULA CONSTRUTIVA"</formula>
    </cfRule>
  </conditionalFormatting>
  <conditionalFormatting sqref="K407:L408">
    <cfRule type="expression" priority="7461" dxfId="2">
      <formula>$H407="CÉLULA CONSTRUTIVA"</formula>
    </cfRule>
  </conditionalFormatting>
  <conditionalFormatting sqref="K387:M387">
    <cfRule type="expression" priority="7148" dxfId="0">
      <formula>$H387="ETAPA"</formula>
    </cfRule>
  </conditionalFormatting>
  <conditionalFormatting sqref="G386:I387 G389:I389 K386:M387 K389:M389">
    <cfRule type="expression" priority="7192" dxfId="6">
      <formula>$H386="SUBETAPA"</formula>
    </cfRule>
  </conditionalFormatting>
  <conditionalFormatting sqref="H393:I393 K393:M393">
    <cfRule type="expression" priority="7226" dxfId="6">
      <formula>$H393="SUBETAPA"</formula>
    </cfRule>
  </conditionalFormatting>
  <conditionalFormatting sqref="G394:I394 K394:M394">
    <cfRule type="expression" priority="7116" dxfId="6">
      <formula>$H394="SUBETAPA"</formula>
    </cfRule>
  </conditionalFormatting>
  <conditionalFormatting sqref="K398:M398">
    <cfRule type="expression" priority="7478" dxfId="0">
      <formula>$H398="ETAPA"</formula>
    </cfRule>
  </conditionalFormatting>
  <conditionalFormatting sqref="H400:I400 K400:M400">
    <cfRule type="expression" priority="4720" dxfId="6">
      <formula>$H400="SUBETAPA"</formula>
    </cfRule>
  </conditionalFormatting>
  <conditionalFormatting sqref="K402:M402">
    <cfRule type="expression" priority="7081" dxfId="0">
      <formula>$H402="ETAPA"</formula>
    </cfRule>
  </conditionalFormatting>
  <conditionalFormatting sqref="K405:M405 N406 O405:Q405 R406">
    <cfRule type="expression" priority="3488" dxfId="0">
      <formula>$H405="ETAPA"</formula>
    </cfRule>
  </conditionalFormatting>
  <conditionalFormatting sqref="K405:M405">
    <cfRule type="expression" priority="3487" dxfId="6">
      <formula>$H405="SUBETAPA"</formula>
    </cfRule>
  </conditionalFormatting>
  <conditionalFormatting sqref="K410:M410">
    <cfRule type="expression" priority="7030" dxfId="0">
      <formula>$H410="ETAPA"</formula>
    </cfRule>
  </conditionalFormatting>
  <conditionalFormatting sqref="K412:M415">
    <cfRule type="expression" priority="7060" dxfId="6">
      <formula>$H412="SUBETAPA"</formula>
    </cfRule>
  </conditionalFormatting>
  <conditionalFormatting sqref="G128:I128 K128:R128">
    <cfRule type="expression" priority="594" dxfId="11">
      <formula>$H128="ETAPA"</formula>
    </cfRule>
  </conditionalFormatting>
  <conditionalFormatting sqref="K436:R436">
    <cfRule type="expression" priority="7790" dxfId="6">
      <formula>$H436="SUBETAPA"</formula>
    </cfRule>
    <cfRule type="expression" priority="7791" dxfId="2">
      <formula>$H436="CÉLULA CONSTRUTIVA"</formula>
    </cfRule>
  </conditionalFormatting>
  <conditionalFormatting sqref="H392:I392 K392:R392">
    <cfRule type="expression" priority="5250" dxfId="0">
      <formula>$H392="ETAPA"</formula>
    </cfRule>
  </conditionalFormatting>
  <conditionalFormatting sqref="L33">
    <cfRule type="expression" priority="3226" dxfId="2">
      <formula>$H33="CÉLULA CONSTRUTIVA"</formula>
    </cfRule>
    <cfRule type="expression" priority="3227" dxfId="0">
      <formula>$H33="ETAPA"</formula>
    </cfRule>
  </conditionalFormatting>
  <conditionalFormatting sqref="H72:K81 L69:L81 M81:N81 O72:O81 P69:P81 Q81:R81">
    <cfRule type="expression" priority="2877" dxfId="6">
      <formula>$H69="SUBETAPA"</formula>
    </cfRule>
  </conditionalFormatting>
  <conditionalFormatting sqref="L109">
    <cfRule type="expression" priority="2747" dxfId="2">
      <formula>$H109="CÉLULA CONSTRUTIVA"</formula>
    </cfRule>
  </conditionalFormatting>
  <conditionalFormatting sqref="L141:L142">
    <cfRule type="expression" priority="8250" dxfId="0">
      <formula>$H141="ETAPA"</formula>
    </cfRule>
  </conditionalFormatting>
  <conditionalFormatting sqref="L159:L160 N160 P159:P160 R160">
    <cfRule type="expression" priority="7350" dxfId="2">
      <formula>$H159="CÉLULA CONSTRUTIVA"</formula>
    </cfRule>
    <cfRule type="expression" priority="7349" dxfId="6">
      <formula>$H159="SUBETAPA"</formula>
    </cfRule>
  </conditionalFormatting>
  <conditionalFormatting sqref="L163 L169 N169 P163 P169 R169">
    <cfRule type="expression" priority="4148" dxfId="2">
      <formula>$H163="CÉLULA CONSTRUTIVA"</formula>
    </cfRule>
    <cfRule type="expression" priority="4147" dxfId="6">
      <formula>$H163="SUBETAPA"</formula>
    </cfRule>
  </conditionalFormatting>
  <conditionalFormatting sqref="L166 N166 P166 R166">
    <cfRule type="expression" priority="3685" dxfId="2">
      <formula>$H166="CÉLULA CONSTRUTIVA"</formula>
    </cfRule>
    <cfRule type="expression" priority="3684" dxfId="6">
      <formula>$H166="SUBETAPA"</formula>
    </cfRule>
  </conditionalFormatting>
  <conditionalFormatting sqref="L168 N168 P168 R168">
    <cfRule type="expression" priority="4060" dxfId="2">
      <formula>$H168="CÉLULA CONSTRUTIVA"</formula>
    </cfRule>
    <cfRule type="expression" priority="4059" dxfId="6">
      <formula>$H168="SUBETAPA"</formula>
    </cfRule>
  </conditionalFormatting>
  <conditionalFormatting sqref="L170 N170 P170 R170">
    <cfRule type="expression" priority="3985" dxfId="2">
      <formula>$H170="CÉLULA CONSTRUTIVA"</formula>
    </cfRule>
    <cfRule type="expression" priority="3984" dxfId="6">
      <formula>$H170="SUBETAPA"</formula>
    </cfRule>
  </conditionalFormatting>
  <conditionalFormatting sqref="L171 N171 P171 R171">
    <cfRule type="expression" priority="3609" dxfId="2">
      <formula>$H171="CÉLULA CONSTRUTIVA"</formula>
    </cfRule>
    <cfRule type="expression" priority="3608" dxfId="6">
      <formula>$H171="SUBETAPA"</formula>
    </cfRule>
  </conditionalFormatting>
  <conditionalFormatting sqref="L173">
    <cfRule type="expression" priority="2517" dxfId="4">
      <formula>$H173="CÉLULA CONSTRUTIVA"</formula>
    </cfRule>
  </conditionalFormatting>
  <conditionalFormatting sqref="L173:L175">
    <cfRule type="expression" priority="2518" dxfId="11">
      <formula>$H173="ETAPA"</formula>
    </cfRule>
  </conditionalFormatting>
  <conditionalFormatting sqref="L180:L181">
    <cfRule type="expression" priority="1529" dxfId="11">
      <formula>$H180="ETAPA"</formula>
    </cfRule>
  </conditionalFormatting>
  <conditionalFormatting sqref="L193">
    <cfRule type="expression" priority="2207" dxfId="4">
      <formula>$H193="CÉLULA CONSTRUTIVA"</formula>
    </cfRule>
    <cfRule type="expression" priority="2208" dxfId="11">
      <formula>$H193="ETAPA"</formula>
    </cfRule>
  </conditionalFormatting>
  <conditionalFormatting sqref="L199">
    <cfRule type="expression" priority="2221" dxfId="4">
      <formula>$H199="CÉLULA CONSTRUTIVA"</formula>
    </cfRule>
    <cfRule type="expression" priority="2222" dxfId="11">
      <formula>$H199="ETAPA"</formula>
    </cfRule>
  </conditionalFormatting>
  <conditionalFormatting sqref="L206:L207">
    <cfRule type="expression" priority="2223" dxfId="4">
      <formula>$H206="CÉLULA CONSTRUTIVA"</formula>
    </cfRule>
    <cfRule type="expression" priority="2224" dxfId="11">
      <formula>$H206="ETAPA"</formula>
    </cfRule>
  </conditionalFormatting>
  <conditionalFormatting sqref="L208">
    <cfRule type="expression" priority="2035" dxfId="4">
      <formula>$H208="CÉLULA CONSTRUTIVA"</formula>
    </cfRule>
    <cfRule type="expression" priority="2036" dxfId="11">
      <formula>$H208="ETAPA"</formula>
    </cfRule>
  </conditionalFormatting>
  <conditionalFormatting sqref="L263:L264">
    <cfRule type="expression" priority="6920" dxfId="0">
      <formula>$H263="ETAPA"</formula>
    </cfRule>
  </conditionalFormatting>
  <conditionalFormatting sqref="L349">
    <cfRule type="expression" priority="7244" dxfId="2">
      <formula>$H349="CÉLULA CONSTRUTIVA"</formula>
    </cfRule>
  </conditionalFormatting>
  <conditionalFormatting sqref="L363:L365">
    <cfRule type="expression" priority="5230" dxfId="0">
      <formula>$H363="ETAPA"</formula>
    </cfRule>
  </conditionalFormatting>
  <conditionalFormatting sqref="L370">
    <cfRule type="expression" priority="7443" dxfId="6">
      <formula>$H370="SUBETAPA"</formula>
    </cfRule>
    <cfRule type="expression" priority="7444" dxfId="2">
      <formula>$H370="CÉLULA CONSTRUTIVA"</formula>
    </cfRule>
    <cfRule type="expression" priority="7445" dxfId="0">
      <formula>$H370="ETAPA"</formula>
    </cfRule>
  </conditionalFormatting>
  <conditionalFormatting sqref="L371">
    <cfRule type="expression" priority="5313" dxfId="6">
      <formula>$H371="SUBETAPA"</formula>
    </cfRule>
    <cfRule type="expression" priority="5314" dxfId="2">
      <formula>$H371="CÉLULA CONSTRUTIVA"</formula>
    </cfRule>
    <cfRule type="expression" priority="5315" dxfId="0">
      <formula>$H371="ETAPA"</formula>
    </cfRule>
  </conditionalFormatting>
  <conditionalFormatting sqref="L372">
    <cfRule type="expression" priority="4334" dxfId="6">
      <formula>$H372="SUBETAPA"</formula>
    </cfRule>
    <cfRule type="expression" priority="4335" dxfId="2">
      <formula>$H372="CÉLULA CONSTRUTIVA"</formula>
    </cfRule>
    <cfRule type="expression" priority="4336" dxfId="0">
      <formula>$H372="ETAPA"</formula>
    </cfRule>
  </conditionalFormatting>
  <conditionalFormatting sqref="L374">
    <cfRule type="expression" priority="5279" dxfId="6">
      <formula>$H374="SUBETAPA"</formula>
    </cfRule>
    <cfRule type="expression" priority="5280" dxfId="2">
      <formula>$H374="CÉLULA CONSTRUTIVA"</formula>
    </cfRule>
    <cfRule type="expression" priority="5281" dxfId="0">
      <formula>$H374="ETAPA"</formula>
    </cfRule>
  </conditionalFormatting>
  <conditionalFormatting sqref="L388">
    <cfRule type="expression" priority="7153" dxfId="6">
      <formula>#REF!="SUBETAPA"</formula>
    </cfRule>
    <cfRule type="expression" priority="7154" dxfId="0">
      <formula>#REF!="ETAPA"</formula>
    </cfRule>
    <cfRule type="expression" priority="7155" dxfId="2">
      <formula>#REF!="CÉLULA CONSTRUTIVA"</formula>
    </cfRule>
  </conditionalFormatting>
  <conditionalFormatting sqref="L390">
    <cfRule type="expression" priority="7234" dxfId="6">
      <formula>#REF!="SUBETAPA"</formula>
    </cfRule>
    <cfRule type="expression" priority="7235" dxfId="0">
      <formula>#REF!="ETAPA"</formula>
    </cfRule>
    <cfRule type="expression" priority="7236" dxfId="2">
      <formula>#REF!="CÉLULA CONSTRUTIVA"</formula>
    </cfRule>
  </conditionalFormatting>
  <conditionalFormatting sqref="L395">
    <cfRule type="expression" priority="7134" dxfId="6">
      <formula>#REF!="SUBETAPA"</formula>
    </cfRule>
    <cfRule type="expression" priority="7135" dxfId="0">
      <formula>#REF!="ETAPA"</formula>
    </cfRule>
    <cfRule type="expression" priority="7136" dxfId="2">
      <formula>#REF!="CÉLULA CONSTRUTIVA"</formula>
    </cfRule>
  </conditionalFormatting>
  <conditionalFormatting sqref="L399">
    <cfRule type="expression" priority="7536" dxfId="6">
      <formula>$H401="SUBETAPA"</formula>
    </cfRule>
    <cfRule type="expression" priority="7537" dxfId="0">
      <formula>$H401="ETAPA"</formula>
    </cfRule>
    <cfRule type="expression" priority="7538" dxfId="2">
      <formula>$H401="CÉLULA CONSTRUTIVA"</formula>
    </cfRule>
  </conditionalFormatting>
  <conditionalFormatting sqref="L403">
    <cfRule type="expression" priority="8343" dxfId="6">
      <formula>#REF!="SUBETAPA"</formula>
    </cfRule>
    <cfRule type="expression" priority="8344" dxfId="0">
      <formula>#REF!="ETAPA"</formula>
    </cfRule>
    <cfRule type="expression" priority="8345" dxfId="2">
      <formula>#REF!="CÉLULA CONSTRUTIVA"</formula>
    </cfRule>
  </conditionalFormatting>
  <conditionalFormatting sqref="L404">
    <cfRule type="expression" priority="4487" dxfId="6">
      <formula>#REF!="SUBETAPA"</formula>
    </cfRule>
    <cfRule type="expression" priority="4488" dxfId="0">
      <formula>#REF!="ETAPA"</formula>
    </cfRule>
    <cfRule type="expression" priority="4489" dxfId="2">
      <formula>#REF!="CÉLULA CONSTRUTIVA"</formula>
    </cfRule>
  </conditionalFormatting>
  <conditionalFormatting sqref="L406">
    <cfRule type="expression" priority="3478" dxfId="2">
      <formula>$H406="CÉLULA CONSTRUTIVA"</formula>
    </cfRule>
    <cfRule type="expression" priority="3479" dxfId="6">
      <formula>$H406="SUBETAPA"</formula>
    </cfRule>
    <cfRule type="expression" priority="3480" dxfId="0">
      <formula>$H406="ETAPA"</formula>
    </cfRule>
  </conditionalFormatting>
  <conditionalFormatting sqref="L408">
    <cfRule type="expression" priority="7462" dxfId="6">
      <formula>$H408="SUBETAPA"</formula>
    </cfRule>
    <cfRule type="expression" priority="7463" dxfId="0">
      <formula>$H408="ETAPA"</formula>
    </cfRule>
  </conditionalFormatting>
  <conditionalFormatting sqref="L411">
    <cfRule type="expression" priority="7057" dxfId="6">
      <formula>$H413="SUBETAPA"</formula>
    </cfRule>
    <cfRule type="expression" priority="7058" dxfId="0">
      <formula>$H413="ETAPA"</formula>
    </cfRule>
    <cfRule type="expression" priority="7059" dxfId="2">
      <formula>$H413="CÉLULA CONSTRUTIVA"</formula>
    </cfRule>
  </conditionalFormatting>
  <conditionalFormatting sqref="L423:L424">
    <cfRule type="expression" priority="8145" dxfId="0">
      <formula>$H423="ETAPA"</formula>
    </cfRule>
  </conditionalFormatting>
  <conditionalFormatting sqref="L425:L426">
    <cfRule type="expression" priority="4282" dxfId="0">
      <formula>$H425="ETAPA"</formula>
    </cfRule>
  </conditionalFormatting>
  <conditionalFormatting sqref="G56:L57 H58:L59 L60:M60">
    <cfRule type="expression" priority="3007" dxfId="0">
      <formula>$H56="ETAPA"</formula>
    </cfRule>
  </conditionalFormatting>
  <conditionalFormatting sqref="L60:M60">
    <cfRule type="expression" priority="3006" dxfId="2">
      <formula>$H60="CÉLULA CONSTRUTIVA"</formula>
    </cfRule>
  </conditionalFormatting>
  <conditionalFormatting sqref="L435:M435">
    <cfRule type="expression" priority="7744" dxfId="0">
      <formula>$H435="ETAPA"</formula>
    </cfRule>
  </conditionalFormatting>
  <conditionalFormatting sqref="L178:N178 P178:R178">
    <cfRule type="expression" priority="2471" dxfId="11">
      <formula>$H178="ETAPA"</formula>
    </cfRule>
  </conditionalFormatting>
  <conditionalFormatting sqref="L182:N182 P182:R182">
    <cfRule type="expression" priority="1505" dxfId="11">
      <formula>$H182="ETAPA"</formula>
    </cfRule>
  </conditionalFormatting>
  <conditionalFormatting sqref="L184:N184 P184:R184">
    <cfRule type="expression" priority="1484" dxfId="11">
      <formula>$H184="ETAPA"</formula>
    </cfRule>
  </conditionalFormatting>
  <conditionalFormatting sqref="L196:N196 P196:R196">
    <cfRule type="expression" priority="2186" dxfId="11">
      <formula>$H196="ETAPA"</formula>
    </cfRule>
  </conditionalFormatting>
  <conditionalFormatting sqref="L198:N198 P198:R198">
    <cfRule type="expression" priority="2165" dxfId="11">
      <formula>$H198="ETAPA"</formula>
    </cfRule>
  </conditionalFormatting>
  <conditionalFormatting sqref="L211:N211 P211:R211">
    <cfRule type="expression" priority="2037" dxfId="53">
      <formula>$H211="SUBETAPA"</formula>
    </cfRule>
  </conditionalFormatting>
  <conditionalFormatting sqref="H360:L360 L340:N342 L344 N344 N360:P360 N362:N363 P340:R342 P344 R344 R360 R362:R363">
    <cfRule type="expression" priority="8152" dxfId="2">
      <formula>$H340="CÉLULA CONSTRUTIVA"</formula>
    </cfRule>
  </conditionalFormatting>
  <conditionalFormatting sqref="H360:L360 L340:N342 N360:P360 N362:N363 P340:R342 R360 R362:R363">
    <cfRule type="expression" priority="8151" dxfId="6">
      <formula>$H340="SUBETAPA"</formula>
    </cfRule>
  </conditionalFormatting>
  <conditionalFormatting sqref="L418:N418 P418:R418">
    <cfRule type="expression" priority="7584" dxfId="0">
      <formula>$H418="ETAPA"</formula>
    </cfRule>
  </conditionalFormatting>
  <conditionalFormatting sqref="L422:N422 P422:R422">
    <cfRule type="expression" priority="8156" dxfId="0">
      <formula>$H422="ETAPA"</formula>
    </cfRule>
  </conditionalFormatting>
  <conditionalFormatting sqref="L436:N436 P436:R436">
    <cfRule type="expression" priority="7792" dxfId="0">
      <formula>$H436="ETAPA"</formula>
    </cfRule>
  </conditionalFormatting>
  <conditionalFormatting sqref="L316:N316 P316:R316">
    <cfRule type="expression" priority="7691" dxfId="0">
      <formula>$H316="ETAPA"</formula>
    </cfRule>
  </conditionalFormatting>
  <conditionalFormatting sqref="L176:N176 P176:R176">
    <cfRule type="expression" priority="2492" dxfId="11">
      <formula>$H176="ETAPA"</formula>
    </cfRule>
  </conditionalFormatting>
  <conditionalFormatting sqref="L186:N186 P186:R186">
    <cfRule type="expression" priority="1407" dxfId="11">
      <formula>$H186="ETAPA"</formula>
    </cfRule>
  </conditionalFormatting>
  <conditionalFormatting sqref="L188:N188 P188:R188">
    <cfRule type="expression" priority="1386" dxfId="11">
      <formula>$H188="ETAPA"</formula>
    </cfRule>
  </conditionalFormatting>
  <conditionalFormatting sqref="L204:N204 P204:R204">
    <cfRule type="expression" priority="2144" dxfId="11">
      <formula>$H204="ETAPA"</formula>
    </cfRule>
  </conditionalFormatting>
  <conditionalFormatting sqref="L222:N222 P222:R222">
    <cfRule type="expression" priority="1900" dxfId="11">
      <formula>$H222="ETAPA"</formula>
    </cfRule>
  </conditionalFormatting>
  <conditionalFormatting sqref="L231:N231 P231:R231">
    <cfRule type="expression" priority="1101" dxfId="11">
      <formula>$H231="ETAPA"</formula>
    </cfRule>
  </conditionalFormatting>
  <conditionalFormatting sqref="L232:N232 P232:R232">
    <cfRule type="expression" priority="1881" dxfId="11">
      <formula>$H232="ETAPA"</formula>
    </cfRule>
  </conditionalFormatting>
  <conditionalFormatting sqref="M11 M13:M14 M19:M22">
    <cfRule type="expression" priority="3353" dxfId="2">
      <formula>$H11="CÉLULA CONSTRUTIVA"</formula>
    </cfRule>
    <cfRule type="expression" priority="3352" dxfId="0">
      <formula>$H11="ETAPA"</formula>
    </cfRule>
  </conditionalFormatting>
  <conditionalFormatting sqref="M11 M13:N14 M19:M22 Q11 Q13:R14 Q19:Q22">
    <cfRule type="expression" priority="3354" dxfId="0">
      <formula>$H11="ETAPA"</formula>
    </cfRule>
  </conditionalFormatting>
  <conditionalFormatting sqref="M16:M17">
    <cfRule type="expression" priority="3357" dxfId="2">
      <formula>$H16="CÉLULA CONSTRUTIVA"</formula>
    </cfRule>
    <cfRule type="expression" priority="3358" dxfId="0">
      <formula>$H16="ETAPA"</formula>
    </cfRule>
    <cfRule type="expression" priority="3359" dxfId="2">
      <formula>$H16="CÉLULA CONSTRUTIVA"</formula>
    </cfRule>
    <cfRule type="expression" priority="3360" dxfId="0">
      <formula>$H16="ETAPA"</formula>
    </cfRule>
    <cfRule type="expression" priority="3362" dxfId="0">
      <formula>$H16="ETAPA"</formula>
    </cfRule>
  </conditionalFormatting>
  <conditionalFormatting sqref="M19:M22">
    <cfRule type="expression" priority="3351" dxfId="2">
      <formula>$H19="CÉLULA CONSTRUTIVA"</formula>
    </cfRule>
  </conditionalFormatting>
  <conditionalFormatting sqref="G23:M24 G25:L25 G28:L28 G42:M43 H29:L38 H40:M40 H46:L49 H50:M51 M25:M38 M44:M49 N29 O23:Q24 O25:P25 O28:P38 O40:Q40 O42:Q43 O46:P49 O50:Q51 Q25:Q38 Q44:Q49 R29">
    <cfRule type="expression" priority="3258" dxfId="6">
      <formula>$H23="SUBETAPA"</formula>
    </cfRule>
  </conditionalFormatting>
  <conditionalFormatting sqref="M26">
    <cfRule type="expression" priority="3082" dxfId="2">
      <formula>$H26="CÉLULA CONSTRUTIVA"</formula>
    </cfRule>
    <cfRule type="expression" priority="3083" dxfId="0">
      <formula>$H26="ETAPA"</formula>
    </cfRule>
  </conditionalFormatting>
  <conditionalFormatting sqref="M26:M27">
    <cfRule type="expression" priority="3214" dxfId="2">
      <formula>$H26="CÉLULA CONSTRUTIVA"</formula>
    </cfRule>
    <cfRule type="expression" priority="3234" dxfId="2">
      <formula>$H26="CÉLULA CONSTRUTIVA"</formula>
    </cfRule>
  </conditionalFormatting>
  <conditionalFormatting sqref="M41">
    <cfRule type="expression" priority="3023" dxfId="2">
      <formula>$H41="CÉLULA CONSTRUTIVA"</formula>
    </cfRule>
    <cfRule type="expression" priority="3024" dxfId="0">
      <formula>$H41="ETAPA"</formula>
    </cfRule>
  </conditionalFormatting>
  <conditionalFormatting sqref="M44">
    <cfRule type="expression" priority="3173" dxfId="2">
      <formula>$H44="CÉLULA CONSTRUTIVA"</formula>
    </cfRule>
  </conditionalFormatting>
  <conditionalFormatting sqref="M44:M49">
    <cfRule type="expression" priority="3156" dxfId="0">
      <formula>$H44="ETAPA"</formula>
    </cfRule>
  </conditionalFormatting>
  <conditionalFormatting sqref="M53:M54">
    <cfRule type="expression" priority="3097" dxfId="0">
      <formula>$H53="ETAPA"</formula>
    </cfRule>
  </conditionalFormatting>
  <conditionalFormatting sqref="M54">
    <cfRule type="expression" priority="3026" dxfId="2">
      <formula>$H54="CÉLULA CONSTRUTIVA"</formula>
    </cfRule>
  </conditionalFormatting>
  <conditionalFormatting sqref="M55:M80">
    <cfRule type="expression" priority="2775" dxfId="6">
      <formula>$H55="SUBETAPA"</formula>
    </cfRule>
  </conditionalFormatting>
  <conditionalFormatting sqref="M56:M60">
    <cfRule type="expression" priority="2888" dxfId="0">
      <formula>$H56="ETAPA"</formula>
    </cfRule>
  </conditionalFormatting>
  <conditionalFormatting sqref="M58:M68 N62:N63 Q58:Q68 R62:R63">
    <cfRule type="expression" priority="2853" dxfId="0">
      <formula>$H58="ETAPA"</formula>
    </cfRule>
  </conditionalFormatting>
  <conditionalFormatting sqref="H63:L63 M62:M63">
    <cfRule type="expression" priority="2849" dxfId="0">
      <formula>$H62="ETAPA"</formula>
    </cfRule>
  </conditionalFormatting>
  <conditionalFormatting sqref="M58:M60 M62:M63">
    <cfRule type="expression" priority="2887" dxfId="2">
      <formula>$H58="CÉLULA CONSTRUTIVA"</formula>
    </cfRule>
  </conditionalFormatting>
  <conditionalFormatting sqref="M62:M63">
    <cfRule type="expression" priority="2885" dxfId="2">
      <formula>$H62="CÉLULA CONSTRUTIVA"</formula>
    </cfRule>
    <cfRule type="expression" priority="2886" dxfId="0">
      <formula>$H62="ETAPA"</formula>
    </cfRule>
  </conditionalFormatting>
  <conditionalFormatting sqref="M65">
    <cfRule type="expression" priority="2889" dxfId="2">
      <formula>$H65="CÉLULA CONSTRUTIVA"</formula>
    </cfRule>
    <cfRule type="expression" priority="2890" dxfId="0">
      <formula>$H65="ETAPA"</formula>
    </cfRule>
  </conditionalFormatting>
  <conditionalFormatting sqref="M69:M80">
    <cfRule type="expression" priority="2776" dxfId="2">
      <formula>$H69="CÉLULA CONSTRUTIVA"</formula>
    </cfRule>
    <cfRule type="expression" priority="2777" dxfId="0">
      <formula>$H69="ETAPA"</formula>
    </cfRule>
  </conditionalFormatting>
  <conditionalFormatting sqref="G90:G113 G114:R114 G115:L116 H110:L113 M109:M113 M115:M117 N110:P113 N115 O115:P116 Q109:Q113 Q115:Q117 R110:R113 R115">
    <cfRule type="expression" priority="2737" dxfId="2">
      <formula>$H90="CÉLULA CONSTRUTIVA"</formula>
    </cfRule>
  </conditionalFormatting>
  <conditionalFormatting sqref="M116:M117">
    <cfRule type="expression" priority="2741" dxfId="6">
      <formula>$H116="SUBETAPA"</formula>
    </cfRule>
  </conditionalFormatting>
  <conditionalFormatting sqref="M117">
    <cfRule type="expression" priority="2694" dxfId="0">
      <formula>$H117="ETAPA"</formula>
    </cfRule>
  </conditionalFormatting>
  <conditionalFormatting sqref="M155:M159">
    <cfRule type="expression" priority="7342" dxfId="2">
      <formula>$H155="CÉLULA CONSTRUTIVA"</formula>
    </cfRule>
  </conditionalFormatting>
  <conditionalFormatting sqref="M158">
    <cfRule type="expression" priority="4187" dxfId="0">
      <formula>$H158="ETAPA"</formula>
    </cfRule>
  </conditionalFormatting>
  <conditionalFormatting sqref="M159">
    <cfRule type="expression" priority="7343" dxfId="6">
      <formula>$H159="SUBETAPA"</formula>
    </cfRule>
  </conditionalFormatting>
  <conditionalFormatting sqref="M160">
    <cfRule type="expression" priority="4183" dxfId="0">
      <formula>$H160="ETAPA"</formula>
    </cfRule>
    <cfRule type="expression" priority="4184" dxfId="2">
      <formula>$H160="CÉLULA CONSTRUTIVA"</formula>
    </cfRule>
    <cfRule type="expression" priority="4185" dxfId="6">
      <formula>$H160="SUBETAPA"</formula>
    </cfRule>
    <cfRule type="expression" priority="4186" dxfId="0">
      <formula>$H160="ETAPA"</formula>
    </cfRule>
  </conditionalFormatting>
  <conditionalFormatting sqref="M163">
    <cfRule type="expression" priority="4140" dxfId="2">
      <formula>$H163="CÉLULA CONSTRUTIVA"</formula>
    </cfRule>
    <cfRule type="expression" priority="4141" dxfId="6">
      <formula>$H163="SUBETAPA"</formula>
    </cfRule>
  </conditionalFormatting>
  <conditionalFormatting sqref="M164">
    <cfRule type="expression" priority="3771" dxfId="0">
      <formula>$H164="ETAPA"</formula>
    </cfRule>
    <cfRule type="expression" priority="3772" dxfId="2">
      <formula>$H164="CÉLULA CONSTRUTIVA"</formula>
    </cfRule>
    <cfRule type="expression" priority="3773" dxfId="6">
      <formula>$H164="SUBETAPA"</formula>
    </cfRule>
    <cfRule type="expression" priority="3774" dxfId="0">
      <formula>$H164="ETAPA"</formula>
    </cfRule>
  </conditionalFormatting>
  <conditionalFormatting sqref="M165">
    <cfRule type="expression" priority="3847" dxfId="2">
      <formula>$H165="CÉLULA CONSTRUTIVA"</formula>
    </cfRule>
    <cfRule type="expression" priority="3848" dxfId="6">
      <formula>$H165="SUBETAPA"</formula>
    </cfRule>
    <cfRule type="expression" priority="3849" dxfId="0">
      <formula>$H165="ETAPA"</formula>
    </cfRule>
  </conditionalFormatting>
  <conditionalFormatting sqref="M166">
    <cfRule type="expression" priority="3620" dxfId="0">
      <formula>$H166="ETAPA"</formula>
    </cfRule>
    <cfRule type="expression" priority="3621" dxfId="2">
      <formula>$H166="CÉLULA CONSTRUTIVA"</formula>
    </cfRule>
    <cfRule type="expression" priority="3622" dxfId="6">
      <formula>$H166="SUBETAPA"</formula>
    </cfRule>
  </conditionalFormatting>
  <conditionalFormatting sqref="M166:M167">
    <cfRule type="expression" priority="3623" dxfId="0">
      <formula>$H166="ETAPA"</formula>
    </cfRule>
  </conditionalFormatting>
  <conditionalFormatting sqref="M167">
    <cfRule type="expression" priority="3696" dxfId="2">
      <formula>$H167="CÉLULA CONSTRUTIVA"</formula>
    </cfRule>
    <cfRule type="expression" priority="3697" dxfId="6">
      <formula>$H167="SUBETAPA"</formula>
    </cfRule>
  </conditionalFormatting>
  <conditionalFormatting sqref="M167:M168">
    <cfRule type="expression" priority="3698" dxfId="0">
      <formula>$H167="ETAPA"</formula>
    </cfRule>
  </conditionalFormatting>
  <conditionalFormatting sqref="M168">
    <cfRule type="expression" priority="3996" dxfId="2">
      <formula>$H168="CÉLULA CONSTRUTIVA"</formula>
    </cfRule>
    <cfRule type="expression" priority="3997" dxfId="6">
      <formula>$H168="SUBETAPA"</formula>
    </cfRule>
  </conditionalFormatting>
  <conditionalFormatting sqref="M168:M169">
    <cfRule type="expression" priority="3998" dxfId="0">
      <formula>$H168="ETAPA"</formula>
    </cfRule>
  </conditionalFormatting>
  <conditionalFormatting sqref="M169">
    <cfRule type="expression" priority="4071" dxfId="2">
      <formula>$H169="CÉLULA CONSTRUTIVA"</formula>
    </cfRule>
    <cfRule type="expression" priority="4072" dxfId="6">
      <formula>$H169="SUBETAPA"</formula>
    </cfRule>
    <cfRule type="expression" priority="4073" dxfId="0">
      <formula>$H169="ETAPA"</formula>
    </cfRule>
  </conditionalFormatting>
  <conditionalFormatting sqref="M170">
    <cfRule type="expression" priority="3921" dxfId="2">
      <formula>$H170="CÉLULA CONSTRUTIVA"</formula>
    </cfRule>
    <cfRule type="expression" priority="3922" dxfId="6">
      <formula>$H170="SUBETAPA"</formula>
    </cfRule>
    <cfRule type="expression" priority="3923" dxfId="0">
      <formula>$H170="ETAPA"</formula>
    </cfRule>
  </conditionalFormatting>
  <conditionalFormatting sqref="M170:M171">
    <cfRule type="expression" priority="3547" dxfId="0">
      <formula>$H170="ETAPA"</formula>
    </cfRule>
  </conditionalFormatting>
  <conditionalFormatting sqref="M171">
    <cfRule type="expression" priority="3544" dxfId="0">
      <formula>$H171="ETAPA"</formula>
    </cfRule>
    <cfRule type="expression" priority="3545" dxfId="2">
      <formula>$H171="CÉLULA CONSTRUTIVA"</formula>
    </cfRule>
    <cfRule type="expression" priority="3546" dxfId="6">
      <formula>$H171="SUBETAPA"</formula>
    </cfRule>
  </conditionalFormatting>
  <conditionalFormatting sqref="M172">
    <cfRule type="expression" priority="2574" dxfId="53">
      <formula>$H172="SUBETAPA"</formula>
    </cfRule>
    <cfRule type="expression" priority="2575" dxfId="11">
      <formula>$H172="ETAPA"</formula>
    </cfRule>
  </conditionalFormatting>
  <conditionalFormatting sqref="M179 M233:N233 M241:N241 Q179 Q233:R233 Q241:R241">
    <cfRule type="expression" priority="2560" dxfId="11">
      <formula>$H179="ETAPA"</formula>
    </cfRule>
  </conditionalFormatting>
  <conditionalFormatting sqref="M185">
    <cfRule type="expression" priority="1555" dxfId="11">
      <formula>$H185="ETAPA"</formula>
    </cfRule>
  </conditionalFormatting>
  <conditionalFormatting sqref="M189">
    <cfRule type="expression" priority="1437" dxfId="11">
      <formula>$H189="ETAPA"</formula>
    </cfRule>
  </conditionalFormatting>
  <conditionalFormatting sqref="M191">
    <cfRule type="expression" priority="2532" dxfId="4">
      <formula>$H191="CÉLULA CONSTRUTIVA"</formula>
    </cfRule>
  </conditionalFormatting>
  <conditionalFormatting sqref="M195">
    <cfRule type="expression" priority="2230" dxfId="11">
      <formula>$H195="ETAPA"</formula>
    </cfRule>
    <cfRule type="expression" priority="2248" dxfId="4">
      <formula>$H195="CÉLULA CONSTRUTIVA"</formula>
    </cfRule>
  </conditionalFormatting>
  <conditionalFormatting sqref="M197 M199">
    <cfRule type="expression" priority="2218" dxfId="53">
      <formula>#REF!="SUBETAPA"</formula>
    </cfRule>
  </conditionalFormatting>
  <conditionalFormatting sqref="M226">
    <cfRule type="expression" priority="1185" dxfId="2">
      <formula>$H226="CÉLULA CONSTRUTIVA"</formula>
    </cfRule>
    <cfRule type="expression" priority="1186" dxfId="0">
      <formula>$H226="ETAPA"</formula>
    </cfRule>
  </conditionalFormatting>
  <conditionalFormatting sqref="M228">
    <cfRule type="expression" priority="1169" dxfId="6">
      <formula>$H228="SUBETAPA"</formula>
    </cfRule>
    <cfRule type="expression" priority="1170" dxfId="2">
      <formula>$H228="CÉLULA CONSTRUTIVA"</formula>
    </cfRule>
    <cfRule type="expression" priority="1171" dxfId="0">
      <formula>$H228="ETAPA"</formula>
    </cfRule>
  </conditionalFormatting>
  <conditionalFormatting sqref="M230">
    <cfRule type="expression" priority="1166" dxfId="6">
      <formula>$H230="SUBETAPA"</formula>
    </cfRule>
    <cfRule type="expression" priority="1167" dxfId="2">
      <formula>$H230="CÉLULA CONSTRUTIVA"</formula>
    </cfRule>
    <cfRule type="expression" priority="1168" dxfId="0">
      <formula>$H230="ETAPA"</formula>
    </cfRule>
  </conditionalFormatting>
  <conditionalFormatting sqref="M237">
    <cfRule type="expression" priority="2602" dxfId="53">
      <formula>#REF!="SUBETAPA"</formula>
    </cfRule>
  </conditionalFormatting>
  <conditionalFormatting sqref="M238">
    <cfRule type="expression" priority="1267" dxfId="4">
      <formula>$H238="CÉLULA CONSTRUTIVA"</formula>
    </cfRule>
    <cfRule type="expression" priority="1278" dxfId="53">
      <formula>#REF!="SUBETAPA"</formula>
    </cfRule>
  </conditionalFormatting>
  <conditionalFormatting sqref="M242">
    <cfRule type="expression" priority="1715" dxfId="53">
      <formula>$H242="SUBETAPA"</formula>
    </cfRule>
    <cfRule type="expression" priority="1716" dxfId="4">
      <formula>$H242="CÉLULA CONSTRUTIVA"</formula>
    </cfRule>
    <cfRule type="expression" priority="1717" dxfId="11">
      <formula>$H242="ETAPA"</formula>
    </cfRule>
  </conditionalFormatting>
  <conditionalFormatting sqref="G343:L343 G345:G346 G348 G350 G353:G357 G359 G361 G364:G368 G370:G372 G374 H289:R293 H299:R299 H305:R305 M258 O343:P343 Q258">
    <cfRule type="expression" priority="7814" dxfId="0">
      <formula>$H258="ETAPA"</formula>
    </cfRule>
  </conditionalFormatting>
  <conditionalFormatting sqref="M261">
    <cfRule type="expression" priority="7879" dxfId="6">
      <formula>$H261="SUBETAPA"</formula>
    </cfRule>
  </conditionalFormatting>
  <conditionalFormatting sqref="M264">
    <cfRule type="expression" priority="6919" dxfId="2">
      <formula>$H264="CÉLULA CONSTRUTIVA"</formula>
    </cfRule>
  </conditionalFormatting>
  <conditionalFormatting sqref="H353:L357 M275:M276 M278 N343 N353:P357 Q275:Q276 Q278 R343 R353:R357">
    <cfRule type="expression" priority="8162" dxfId="0">
      <formula>$H275="ETAPA"</formula>
    </cfRule>
  </conditionalFormatting>
  <conditionalFormatting sqref="M295">
    <cfRule type="expression" priority="7316" dxfId="0">
      <formula>$H295="ETAPA"</formula>
    </cfRule>
    <cfRule type="expression" priority="7317" dxfId="2">
      <formula>$H295="CÉLULA CONSTRUTIVA"</formula>
    </cfRule>
    <cfRule type="expression" priority="7318" dxfId="0">
      <formula>$H295="ETAPA"</formula>
    </cfRule>
    <cfRule type="expression" priority="7319" dxfId="6">
      <formula>$H295="SUBETAPA"</formula>
    </cfRule>
    <cfRule type="expression" priority="7320" dxfId="2">
      <formula>$H295="CÉLULA CONSTRUTIVA"</formula>
    </cfRule>
    <cfRule type="expression" priority="7321" dxfId="0">
      <formula>$H295="ETAPA"</formula>
    </cfRule>
  </conditionalFormatting>
  <conditionalFormatting sqref="M316:M319 M325:M327 M329:M339">
    <cfRule type="expression" priority="7553" dxfId="0">
      <formula>$H316="ETAPA"</formula>
    </cfRule>
    <cfRule type="expression" priority="7554" dxfId="2">
      <formula>$H316="CÉLULA CONSTRUTIVA"</formula>
    </cfRule>
  </conditionalFormatting>
  <conditionalFormatting sqref="M320">
    <cfRule type="expression" priority="5574" dxfId="2">
      <formula>$H320="CÉLULA CONSTRUTIVA"</formula>
    </cfRule>
    <cfRule type="expression" priority="5575" dxfId="0">
      <formula>$H320="ETAPA"</formula>
    </cfRule>
    <cfRule type="expression" priority="5576" dxfId="2">
      <formula>$H320="CÉLULA CONSTRUTIVA"</formula>
    </cfRule>
  </conditionalFormatting>
  <conditionalFormatting sqref="M321">
    <cfRule type="expression" priority="5561" dxfId="2">
      <formula>$H321="CÉLULA CONSTRUTIVA"</formula>
    </cfRule>
    <cfRule type="expression" priority="5562" dxfId="0">
      <formula>$H321="ETAPA"</formula>
    </cfRule>
    <cfRule type="expression" priority="5563" dxfId="2">
      <formula>$H321="CÉLULA CONSTRUTIVA"</formula>
    </cfRule>
  </conditionalFormatting>
  <conditionalFormatting sqref="M322">
    <cfRule type="expression" priority="5545" dxfId="2">
      <formula>$H322="CÉLULA CONSTRUTIVA"</formula>
    </cfRule>
    <cfRule type="expression" priority="5546" dxfId="0">
      <formula>$H322="ETAPA"</formula>
    </cfRule>
    <cfRule type="expression" priority="5547" dxfId="2">
      <formula>$H322="CÉLULA CONSTRUTIVA"</formula>
    </cfRule>
  </conditionalFormatting>
  <conditionalFormatting sqref="M323">
    <cfRule type="expression" priority="5587" dxfId="2">
      <formula>$H323="CÉLULA CONSTRUTIVA"</formula>
    </cfRule>
    <cfRule type="expression" priority="5588" dxfId="0">
      <formula>$H323="ETAPA"</formula>
    </cfRule>
    <cfRule type="expression" priority="5589" dxfId="2">
      <formula>$H323="CÉLULA CONSTRUTIVA"</formula>
    </cfRule>
  </conditionalFormatting>
  <conditionalFormatting sqref="M328">
    <cfRule type="expression" priority="673" dxfId="0">
      <formula>$H328="ETAPA"</formula>
    </cfRule>
    <cfRule type="expression" priority="674" dxfId="2">
      <formula>$H328="CÉLULA CONSTRUTIVA"</formula>
    </cfRule>
    <cfRule type="expression" priority="677" dxfId="6">
      <formula>$H328="SUBETAPA"</formula>
    </cfRule>
  </conditionalFormatting>
  <conditionalFormatting sqref="M343:M348 M351:M364 M366:M367 M369:M370">
    <cfRule type="expression" priority="7459" dxfId="0">
      <formula>$H343="ETAPA"</formula>
    </cfRule>
    <cfRule type="expression" priority="7460" dxfId="2">
      <formula>$H343="CÉLULA CONSTRUTIVA"</formula>
    </cfRule>
    <cfRule type="expression" priority="7458" dxfId="6">
      <formula>$H343="SUBETAPA"</formula>
    </cfRule>
  </conditionalFormatting>
  <conditionalFormatting sqref="M343:M364">
    <cfRule type="expression" priority="7258" dxfId="0">
      <formula>$H343="ETAPA"</formula>
    </cfRule>
    <cfRule type="expression" priority="7259" dxfId="2">
      <formula>$H343="CÉLULA CONSTRUTIVA"</formula>
    </cfRule>
  </conditionalFormatting>
  <conditionalFormatting sqref="M349:M350">
    <cfRule type="expression" priority="7255" dxfId="0">
      <formula>$H349="ETAPA"</formula>
    </cfRule>
    <cfRule type="expression" priority="7256" dxfId="2">
      <formula>$H349="CÉLULA CONSTRUTIVA"</formula>
    </cfRule>
    <cfRule type="expression" priority="7257" dxfId="6">
      <formula>$H349="SUBETAPA"</formula>
    </cfRule>
  </conditionalFormatting>
  <conditionalFormatting sqref="M365">
    <cfRule type="expression" priority="5234" dxfId="2">
      <formula>$H365="CÉLULA CONSTRUTIVA"</formula>
    </cfRule>
    <cfRule type="expression" priority="5235" dxfId="6">
      <formula>$H365="SUBETAPA"</formula>
    </cfRule>
    <cfRule type="expression" priority="5236" dxfId="0">
      <formula>$H365="ETAPA"</formula>
    </cfRule>
    <cfRule type="expression" priority="5237" dxfId="2">
      <formula>$H365="CÉLULA CONSTRUTIVA"</formula>
    </cfRule>
  </conditionalFormatting>
  <conditionalFormatting sqref="M366:M367 M369:M370">
    <cfRule type="expression" priority="7457" dxfId="2">
      <formula>$H366="CÉLULA CONSTRUTIVA"</formula>
    </cfRule>
  </conditionalFormatting>
  <conditionalFormatting sqref="M368">
    <cfRule type="expression" priority="5298" dxfId="2">
      <formula>$H368="CÉLULA CONSTRUTIVA"</formula>
    </cfRule>
    <cfRule type="expression" priority="5299" dxfId="6">
      <formula>$H368="SUBETAPA"</formula>
    </cfRule>
    <cfRule type="expression" priority="5301" dxfId="2">
      <formula>$H368="CÉLULA CONSTRUTIVA"</formula>
    </cfRule>
  </conditionalFormatting>
  <conditionalFormatting sqref="M369:M371">
    <cfRule type="expression" priority="5321" dxfId="0">
      <formula>$H369="ETAPA"</formula>
    </cfRule>
  </conditionalFormatting>
  <conditionalFormatting sqref="M371">
    <cfRule type="expression" priority="5319" dxfId="2">
      <formula>$H371="CÉLULA CONSTRUTIVA"</formula>
    </cfRule>
    <cfRule type="expression" priority="5320" dxfId="6">
      <formula>$H371="SUBETAPA"</formula>
    </cfRule>
    <cfRule type="expression" priority="5322" dxfId="2">
      <formula>$H371="CÉLULA CONSTRUTIVA"</formula>
    </cfRule>
  </conditionalFormatting>
  <conditionalFormatting sqref="M372">
    <cfRule type="expression" priority="4340" dxfId="2">
      <formula>$H372="CÉLULA CONSTRUTIVA"</formula>
    </cfRule>
    <cfRule type="expression" priority="4341" dxfId="6">
      <formula>$H372="SUBETAPA"</formula>
    </cfRule>
    <cfRule type="expression" priority="4343" dxfId="2">
      <formula>$H372="CÉLULA CONSTRUTIVA"</formula>
    </cfRule>
  </conditionalFormatting>
  <conditionalFormatting sqref="M372:M374">
    <cfRule type="expression" priority="4342" dxfId="0">
      <formula>$H372="ETAPA"</formula>
    </cfRule>
  </conditionalFormatting>
  <conditionalFormatting sqref="M373:M374">
    <cfRule type="expression" priority="5285" dxfId="2">
      <formula>$H373="CÉLULA CONSTRUTIVA"</formula>
    </cfRule>
    <cfRule type="expression" priority="5286" dxfId="6">
      <formula>$H373="SUBETAPA"</formula>
    </cfRule>
    <cfRule type="expression" priority="5287" dxfId="0">
      <formula>$H373="ETAPA"</formula>
    </cfRule>
    <cfRule type="expression" priority="5288" dxfId="2">
      <formula>$H373="CÉLULA CONSTRUTIVA"</formula>
    </cfRule>
  </conditionalFormatting>
  <conditionalFormatting sqref="M375">
    <cfRule type="expression" priority="919" dxfId="53">
      <formula>$H375="SUBETAPA"</formula>
    </cfRule>
    <cfRule type="expression" priority="920" dxfId="4">
      <formula>$H375="CÉLULA CONSTRUTIVA"</formula>
    </cfRule>
    <cfRule type="expression" priority="921" dxfId="11">
      <formula>$H375="ETAPA"</formula>
    </cfRule>
  </conditionalFormatting>
  <conditionalFormatting sqref="M378">
    <cfRule type="expression" priority="795" dxfId="2">
      <formula>$H378="CÉLULA CONSTRUTIVA"</formula>
    </cfRule>
    <cfRule type="expression" priority="796" dxfId="0">
      <formula>$H378="ETAPA"</formula>
    </cfRule>
    <cfRule type="expression" priority="797" dxfId="2">
      <formula>$H378="CÉLULA CONSTRUTIVA"</formula>
    </cfRule>
    <cfRule type="expression" priority="798" dxfId="0">
      <formula>$H378="ETAPA"</formula>
    </cfRule>
  </conditionalFormatting>
  <conditionalFormatting sqref="M380">
    <cfRule type="expression" priority="788" dxfId="2">
      <formula>$H380="CÉLULA CONSTRUTIVA"</formula>
    </cfRule>
    <cfRule type="expression" priority="789" dxfId="0">
      <formula>$H380="ETAPA"</formula>
    </cfRule>
    <cfRule type="expression" priority="790" dxfId="2">
      <formula>$H380="CÉLULA CONSTRUTIVA"</formula>
    </cfRule>
    <cfRule type="expression" priority="791" dxfId="0">
      <formula>$H380="ETAPA"</formula>
    </cfRule>
  </conditionalFormatting>
  <conditionalFormatting sqref="M382">
    <cfRule type="expression" priority="781" dxfId="2">
      <formula>$H382="CÉLULA CONSTRUTIVA"</formula>
    </cfRule>
    <cfRule type="expression" priority="782" dxfId="0">
      <formula>$H382="ETAPA"</formula>
    </cfRule>
    <cfRule type="expression" priority="783" dxfId="2">
      <formula>$H382="CÉLULA CONSTRUTIVA"</formula>
    </cfRule>
    <cfRule type="expression" priority="784" dxfId="0">
      <formula>$H382="ETAPA"</formula>
    </cfRule>
  </conditionalFormatting>
  <conditionalFormatting sqref="M384">
    <cfRule type="expression" priority="774" dxfId="2">
      <formula>$H384="CÉLULA CONSTRUTIVA"</formula>
    </cfRule>
    <cfRule type="expression" priority="775" dxfId="0">
      <formula>$H384="ETAPA"</formula>
    </cfRule>
    <cfRule type="expression" priority="776" dxfId="2">
      <formula>$H384="CÉLULA CONSTRUTIVA"</formula>
    </cfRule>
    <cfRule type="expression" priority="777" dxfId="0">
      <formula>$H384="ETAPA"</formula>
    </cfRule>
  </conditionalFormatting>
  <conditionalFormatting sqref="G390:I390 G392:G393 G395 K388 K390 M387:M391">
    <cfRule type="expression" priority="7189" dxfId="2">
      <formula>$H387="CÉLULA CONSTRUTIVA"</formula>
    </cfRule>
  </conditionalFormatting>
  <conditionalFormatting sqref="G388:I388 G390 G392:G393 G395 K388 M388">
    <cfRule type="expression" priority="7143" dxfId="6">
      <formula>$H388="SUBETAPA"</formula>
    </cfRule>
  </conditionalFormatting>
  <conditionalFormatting sqref="G390:I390 K390 M390">
    <cfRule type="expression" priority="7184" dxfId="6">
      <formula>$H390="SUBETAPA"</formula>
    </cfRule>
  </conditionalFormatting>
  <conditionalFormatting sqref="G395:I395 K395 M394:M395">
    <cfRule type="expression" priority="7114" dxfId="2">
      <formula>$H394="CÉLULA CONSTRUTIVA"</formula>
    </cfRule>
  </conditionalFormatting>
  <conditionalFormatting sqref="G395:I395 K395 M395">
    <cfRule type="expression" priority="7109" dxfId="6">
      <formula>$H395="SUBETAPA"</formula>
    </cfRule>
  </conditionalFormatting>
  <conditionalFormatting sqref="G120:M127 G129:M130 G132:G139 G144:L144 G145:M145 G148:R148 G150:R150 G161:G162 G255:R255 G256:G257 G259:G269 G279:M283 G284:R284 G286:G287 G302:G305 G307:G312 G317 G326:M326 G344:G346 G347:L348 G400:G401 G407:I408 G414:I416 G422:G423 G427:L427 G428:M429 G433 H136:R137 H256:M256 H275:M276 H278:R278 H327:M327 H329:M329 H331:R331 H345:I346 H423:L424 H431:M431 H434:M434 J346 K131 K345:L346 K416:R416 L151:M152 M131 M143:M144 M161:M162 M261:M263 M265:M266 M317:M319 M325:N325 M398:M399 M401:M403 M407:M408 N121:N122 N124:N126 N348 O120:Q127 O129:Q130 O131 O144:P144 O145:Q145 O256:Q256 O275:Q276 O279:Q283 O326:Q327 O329:Q329 O345:P348 O423:P424 O427:P427 O428:Q429 O431:Q431 O434:Q434 P151:Q152 Q131 Q143:Q144 Q161:Q162 Q261:Q263 Q265:Q266 Q317:Q319 Q325:R325 Q398:Q399 Q401:Q403 Q407:Q408 R121:R122 R124:R126 R348">
    <cfRule type="expression" priority="7479" dxfId="2">
      <formula>$H120="CÉLULA CONSTRUTIVA"</formula>
    </cfRule>
  </conditionalFormatting>
  <conditionalFormatting sqref="K399 K407:M407 M399">
    <cfRule type="expression" priority="7472" dxfId="6">
      <formula>$H399="SUBETAPA"</formula>
    </cfRule>
  </conditionalFormatting>
  <conditionalFormatting sqref="M400">
    <cfRule type="expression" priority="4716" dxfId="2">
      <formula>$H400="CÉLULA CONSTRUTIVA"</formula>
    </cfRule>
    <cfRule type="expression" priority="4721" dxfId="0">
      <formula>$H400="ETAPA"</formula>
    </cfRule>
  </conditionalFormatting>
  <conditionalFormatting sqref="H404:I404 M404">
    <cfRule type="expression" priority="4484" dxfId="2">
      <formula>$H404="CÉLULA CONSTRUTIVA"</formula>
    </cfRule>
  </conditionalFormatting>
  <conditionalFormatting sqref="K414:M415 M410:M413">
    <cfRule type="expression" priority="7031" dxfId="2">
      <formula>$H410="CÉLULA CONSTRUTIVA"</formula>
    </cfRule>
  </conditionalFormatting>
  <conditionalFormatting sqref="K414:L414 M413:M415">
    <cfRule type="expression" priority="7064" dxfId="0">
      <formula>$H413="ETAPA"</formula>
    </cfRule>
  </conditionalFormatting>
  <conditionalFormatting sqref="M420">
    <cfRule type="expression" priority="7558" dxfId="6">
      <formula>$H420="SUBETAPA"</formula>
    </cfRule>
  </conditionalFormatting>
  <conditionalFormatting sqref="M420:M421">
    <cfRule type="expression" priority="7555" dxfId="0">
      <formula>$H420="ETAPA"</formula>
    </cfRule>
    <cfRule type="expression" priority="7556" dxfId="2">
      <formula>$H420="CÉLULA CONSTRUTIVA"</formula>
    </cfRule>
  </conditionalFormatting>
  <conditionalFormatting sqref="M421">
    <cfRule type="expression" priority="7557" dxfId="6">
      <formula>$H421="SUBETAPA"</formula>
    </cfRule>
  </conditionalFormatting>
  <conditionalFormatting sqref="M426">
    <cfRule type="expression" priority="4250" dxfId="6">
      <formula>$H426="SUBETAPA"</formula>
    </cfRule>
    <cfRule type="expression" priority="4251" dxfId="2">
      <formula>$H426="CÉLULA CONSTRUTIVA"</formula>
    </cfRule>
    <cfRule type="expression" priority="4252" dxfId="0">
      <formula>$H426="ETAPA"</formula>
    </cfRule>
  </conditionalFormatting>
  <conditionalFormatting sqref="M443">
    <cfRule type="expression" priority="8326" dxfId="53">
      <formula>$H440="SUBETAPA"</formula>
    </cfRule>
    <cfRule type="expression" priority="8327" dxfId="4">
      <formula>$H440="CÉLULA CONSTRUTIVA"</formula>
    </cfRule>
    <cfRule type="expression" priority="8328" dxfId="11">
      <formula>$H440="ETAPA"</formula>
    </cfRule>
  </conditionalFormatting>
  <conditionalFormatting sqref="M24:N24 Q24:R24">
    <cfRule type="expression" priority="3087" dxfId="0">
      <formula>$H24="ETAPA"</formula>
    </cfRule>
  </conditionalFormatting>
  <conditionalFormatting sqref="M39:N39 Q39:R39">
    <cfRule type="expression" priority="3191" dxfId="0">
      <formula>$H39="ETAPA"</formula>
    </cfRule>
    <cfRule type="expression" priority="3265" dxfId="6">
      <formula>$H39="SUBETAPA"</formula>
    </cfRule>
  </conditionalFormatting>
  <conditionalFormatting sqref="M51:N51 Q51:R51">
    <cfRule type="expression" priority="3131" dxfId="2">
      <formula>$H51="CÉLULA CONSTRUTIVA"</formula>
    </cfRule>
    <cfRule type="expression" priority="3132" dxfId="0">
      <formula>$H51="ETAPA"</formula>
    </cfRule>
  </conditionalFormatting>
  <conditionalFormatting sqref="M52:N52 Q52:R52">
    <cfRule type="expression" priority="3125" dxfId="6">
      <formula>$H52="SUBETAPA"</formula>
    </cfRule>
    <cfRule type="expression" priority="3124" dxfId="0">
      <formula>$H52="ETAPA"</formula>
    </cfRule>
  </conditionalFormatting>
  <conditionalFormatting sqref="M84:N84 Q84:R84">
    <cfRule type="expression" priority="2855" dxfId="0">
      <formula>$H84="ETAPA"</formula>
    </cfRule>
    <cfRule type="expression" priority="2854" dxfId="2">
      <formula>$H84="CÉLULA CONSTRUTIVA"</formula>
    </cfRule>
  </conditionalFormatting>
  <conditionalFormatting sqref="M86:N88 Q86:R88">
    <cfRule type="expression" priority="2754" dxfId="2">
      <formula>$H86="CÉLULA CONSTRUTIVA"</formula>
    </cfRule>
  </conditionalFormatting>
  <conditionalFormatting sqref="M175:N175 Q175:R175">
    <cfRule type="expression" priority="2520" dxfId="11">
      <formula>$H175="ETAPA"</formula>
    </cfRule>
    <cfRule type="expression" priority="2556" dxfId="53">
      <formula>#REF!="SUBETAPA"</formula>
    </cfRule>
    <cfRule type="expression" priority="2462" dxfId="4">
      <formula>$H175="CÉLULA CONSTRUTIVA"</formula>
    </cfRule>
  </conditionalFormatting>
  <conditionalFormatting sqref="M177:N177 Q177:R177">
    <cfRule type="expression" priority="2521" dxfId="4">
      <formula>$H177="CÉLULA CONSTRUTIVA"</formula>
    </cfRule>
    <cfRule type="expression" priority="2522" dxfId="11">
      <formula>$H177="ETAPA"</formula>
    </cfRule>
  </conditionalFormatting>
  <conditionalFormatting sqref="M180:N180 Q180:R180">
    <cfRule type="expression" priority="1552" dxfId="53">
      <formula>$H174="SUBETAPA"</formula>
    </cfRule>
  </conditionalFormatting>
  <conditionalFormatting sqref="M181:N181 Q181:R181">
    <cfRule type="expression" priority="1531" dxfId="11">
      <formula>$H181="ETAPA"</formula>
    </cfRule>
    <cfRule type="expression" priority="1551" dxfId="53">
      <formula>#REF!="SUBETAPA"</formula>
    </cfRule>
    <cfRule type="expression" priority="1475" dxfId="4">
      <formula>$H181="CÉLULA CONSTRUTIVA"</formula>
    </cfRule>
  </conditionalFormatting>
  <conditionalFormatting sqref="M183:N183 Q183:R183">
    <cfRule type="expression" priority="1532" dxfId="4">
      <formula>$H183="CÉLULA CONSTRUTIVA"</formula>
    </cfRule>
    <cfRule type="expression" priority="1533" dxfId="11">
      <formula>$H183="ETAPA"</formula>
    </cfRule>
  </conditionalFormatting>
  <conditionalFormatting sqref="M187:N187 Q187:R187">
    <cfRule type="expression" priority="1430" dxfId="4">
      <formula>$H187="CÉLULA CONSTRUTIVA"</formula>
    </cfRule>
    <cfRule type="expression" priority="1431" dxfId="11">
      <formula>$H187="ETAPA"</formula>
    </cfRule>
  </conditionalFormatting>
  <conditionalFormatting sqref="M191:N191 M195:N195 Q191:R191 Q195:R195">
    <cfRule type="expression" priority="2601" dxfId="53">
      <formula>$H175="SUBETAPA"</formula>
    </cfRule>
  </conditionalFormatting>
  <conditionalFormatting sqref="M197:N197 N206 Q197:R197 R206">
    <cfRule type="expression" priority="2241" dxfId="11">
      <formula>$H197="ETAPA"</formula>
    </cfRule>
  </conditionalFormatting>
  <conditionalFormatting sqref="M200:N200 Q200:R200">
    <cfRule type="expression" priority="2231" dxfId="11">
      <formula>$H200="ETAPA"</formula>
    </cfRule>
    <cfRule type="expression" priority="1069" dxfId="4">
      <formula>$H200="CÉLULA CONSTRUTIVA"</formula>
    </cfRule>
  </conditionalFormatting>
  <conditionalFormatting sqref="M200:N201 Q200:R201">
    <cfRule type="expression" priority="2237" dxfId="53">
      <formula>$H200="SUBETAPA"</formula>
    </cfRule>
  </conditionalFormatting>
  <conditionalFormatting sqref="M201:N201 Q201:R201">
    <cfRule type="expression" priority="2238" dxfId="4">
      <formula>$H201="CÉLULA CONSTRUTIVA"</formula>
    </cfRule>
    <cfRule type="expression" priority="2239" dxfId="11">
      <formula>$H201="ETAPA"</formula>
    </cfRule>
  </conditionalFormatting>
  <conditionalFormatting sqref="M216:N216 Q216:R216">
    <cfRule type="expression" priority="1969" dxfId="11">
      <formula>$H216="ETAPA"</formula>
    </cfRule>
    <cfRule type="expression" priority="1968" dxfId="4">
      <formula>$H216="CÉLULA CONSTRUTIVA"</formula>
    </cfRule>
  </conditionalFormatting>
  <conditionalFormatting sqref="M219:N220 Q219:R220">
    <cfRule type="expression" priority="2040" dxfId="11">
      <formula>$H219="ETAPA"</formula>
    </cfRule>
  </conditionalFormatting>
  <conditionalFormatting sqref="M219:N221 Q219:R221">
    <cfRule type="expression" priority="2041" dxfId="53">
      <formula>$H219="SUBETAPA"</formula>
    </cfRule>
  </conditionalFormatting>
  <conditionalFormatting sqref="M223:N226 Q223:R226">
    <cfRule type="expression" priority="1184" dxfId="6">
      <formula>$H223="SUBETAPA"</formula>
    </cfRule>
  </conditionalFormatting>
  <conditionalFormatting sqref="M229:N229 N228 N230 Q229:R229 R228 R230">
    <cfRule type="expression" priority="1175" dxfId="6">
      <formula>$H228="SUBETAPA"</formula>
    </cfRule>
  </conditionalFormatting>
  <conditionalFormatting sqref="M245:N247 M249:N249 M251:N251 Q245:R247 Q249:R249 Q251:R251">
    <cfRule type="expression" priority="1711" dxfId="53">
      <formula>$H245="SUBETAPA"</formula>
    </cfRule>
  </conditionalFormatting>
  <conditionalFormatting sqref="M252:N252 Q252:R252">
    <cfRule type="expression" priority="7959" dxfId="6">
      <formula>$H252="SUBETAPA"</formula>
    </cfRule>
    <cfRule type="expression" priority="7960" dxfId="2">
      <formula>$H252="CÉLULA CONSTRUTIVA"</formula>
    </cfRule>
  </conditionalFormatting>
  <conditionalFormatting sqref="M385:N385 Q385:R385">
    <cfRule type="expression" priority="7208" dxfId="6">
      <formula>$H385="SUBETAPA"</formula>
    </cfRule>
    <cfRule type="expression" priority="7209" dxfId="2">
      <formula>$H385="CÉLULA CONSTRUTIVA"</formula>
    </cfRule>
  </conditionalFormatting>
  <conditionalFormatting sqref="M396:N396 Q396:R396">
    <cfRule type="expression" priority="7892" dxfId="6">
      <formula>$H396="SUBETAPA"</formula>
    </cfRule>
    <cfRule type="expression" priority="7893" dxfId="2">
      <formula>$H396="CÉLULA CONSTRUTIVA"</formula>
    </cfRule>
  </conditionalFormatting>
  <conditionalFormatting sqref="M419:N419 Q419:R419">
    <cfRule type="expression" priority="7567" dxfId="6">
      <formula>$H419="SUBETAPA"</formula>
    </cfRule>
    <cfRule type="expression" priority="7568" dxfId="2">
      <formula>$H419="CÉLULA CONSTRUTIVA"</formula>
    </cfRule>
  </conditionalFormatting>
  <conditionalFormatting sqref="M419:N419 M423:N423 Q419:R419 Q423:R423">
    <cfRule type="expression" priority="8131" dxfId="0">
      <formula>$H419="ETAPA"</formula>
    </cfRule>
  </conditionalFormatting>
  <conditionalFormatting sqref="M423:N423 Q423:R423">
    <cfRule type="expression" priority="8129" dxfId="6">
      <formula>$H423="SUBETAPA"</formula>
    </cfRule>
    <cfRule type="expression" priority="8130" dxfId="2">
      <formula>$H423="CÉLULA CONSTRUTIVA"</formula>
    </cfRule>
  </conditionalFormatting>
  <conditionalFormatting sqref="M425:N425 Q425:R425">
    <cfRule type="expression" priority="4268" dxfId="0">
      <formula>$H425="ETAPA"</formula>
    </cfRule>
    <cfRule type="expression" priority="4266" dxfId="6">
      <formula>$H425="SUBETAPA"</formula>
    </cfRule>
    <cfRule type="expression" priority="4267" dxfId="2">
      <formula>$H425="CÉLULA CONSTRUTIVA"</formula>
    </cfRule>
  </conditionalFormatting>
  <conditionalFormatting sqref="M427:N427 Q427:R427">
    <cfRule type="expression" priority="7811" dxfId="0">
      <formula>$H427="ETAPA"</formula>
    </cfRule>
  </conditionalFormatting>
  <conditionalFormatting sqref="M429:N429 Q429:R429">
    <cfRule type="expression" priority="6992" dxfId="0">
      <formula>$H429="ETAPA"</formula>
    </cfRule>
  </conditionalFormatting>
  <conditionalFormatting sqref="M437:N437 Q437:R437">
    <cfRule type="expression" priority="7806" dxfId="6">
      <formula>$H437="SUBETAPA"</formula>
    </cfRule>
    <cfRule type="expression" priority="7807" dxfId="2">
      <formula>$H437="CÉLULA CONSTRUTIVA"</formula>
    </cfRule>
    <cfRule type="expression" priority="7808" dxfId="0">
      <formula>$H437="ETAPA"</formula>
    </cfRule>
  </conditionalFormatting>
  <conditionalFormatting sqref="M19:N19 Q19:R19">
    <cfRule type="expression" priority="3317" dxfId="0">
      <formula>$H19="ETAPA"</formula>
    </cfRule>
  </conditionalFormatting>
  <conditionalFormatting sqref="M20:N22 Q20:R22">
    <cfRule type="expression" priority="3356" dxfId="0">
      <formula>$H20="ETAPA"</formula>
    </cfRule>
  </conditionalFormatting>
  <conditionalFormatting sqref="M26:N26 Q26:R26">
    <cfRule type="expression" priority="3197" dxfId="2">
      <formula>$H26="CÉLULA CONSTRUTIVA"</formula>
    </cfRule>
    <cfRule type="expression" priority="3198" dxfId="0">
      <formula>$H26="ETAPA"</formula>
    </cfRule>
  </conditionalFormatting>
  <conditionalFormatting sqref="M27:N27 Q27:R27">
    <cfRule type="expression" priority="3256" dxfId="2">
      <formula>$H27="CÉLULA CONSTRUTIVA"</formula>
    </cfRule>
    <cfRule type="expression" priority="3257" dxfId="0">
      <formula>$H27="ETAPA"</formula>
    </cfRule>
  </conditionalFormatting>
  <conditionalFormatting sqref="M58:N59 Q58:R59">
    <cfRule type="expression" priority="3014" dxfId="2">
      <formula>$H58="CÉLULA CONSTRUTIVA"</formula>
    </cfRule>
    <cfRule type="expression" priority="3015" dxfId="0">
      <formula>$H58="ETAPA"</formula>
    </cfRule>
  </conditionalFormatting>
  <conditionalFormatting sqref="M58:N60 Q58:R60">
    <cfRule type="expression" priority="3008" dxfId="6">
      <formula>$H58="SUBETAPA"</formula>
    </cfRule>
  </conditionalFormatting>
  <conditionalFormatting sqref="M365:N365 Q365:R365">
    <cfRule type="expression" priority="5231" dxfId="0">
      <formula>$H365="ETAPA"</formula>
    </cfRule>
  </conditionalFormatting>
  <conditionalFormatting sqref="M368:N368 Q368:R368">
    <cfRule type="expression" priority="5297" dxfId="0">
      <formula>$H368="ETAPA"</formula>
    </cfRule>
  </conditionalFormatting>
  <conditionalFormatting sqref="M371:N371 Q371:R371">
    <cfRule type="expression" priority="5318" dxfId="0">
      <formula>$H371="ETAPA"</formula>
    </cfRule>
  </conditionalFormatting>
  <conditionalFormatting sqref="M372:N372 Q372:R372">
    <cfRule type="expression" priority="4339" dxfId="0">
      <formula>$H372="ETAPA"</formula>
    </cfRule>
  </conditionalFormatting>
  <conditionalFormatting sqref="H13:L16 M8:M12 M13:N14 M15:M16 O13:P16 Q8:Q12 Q13:R14 Q15:Q16">
    <cfRule type="expression" priority="3337" dxfId="2">
      <formula>$H8="CÉLULA CONSTRUTIVA"</formula>
    </cfRule>
  </conditionalFormatting>
  <conditionalFormatting sqref="M29:N29 Q29:R29">
    <cfRule type="expression" priority="3200" dxfId="0">
      <formula>$H29="ETAPA"</formula>
    </cfRule>
  </conditionalFormatting>
  <conditionalFormatting sqref="M44:N44 Q44:R44">
    <cfRule type="expression" priority="3154" dxfId="2">
      <formula>$H44="CÉLULA CONSTRUTIVA"</formula>
    </cfRule>
    <cfRule type="expression" priority="3155" dxfId="0">
      <formula>$H44="ETAPA"</formula>
    </cfRule>
  </conditionalFormatting>
  <conditionalFormatting sqref="M53:N54 Q53:R54">
    <cfRule type="expression" priority="3114" dxfId="6">
      <formula>$H53="SUBETAPA"</formula>
    </cfRule>
  </conditionalFormatting>
  <conditionalFormatting sqref="M62:N63 Q62:R63">
    <cfRule type="expression" priority="2852" dxfId="2">
      <formula>$H62="CÉLULA CONSTRUTIVA"</formula>
    </cfRule>
  </conditionalFormatting>
  <conditionalFormatting sqref="M83:N84 Q83:R84">
    <cfRule type="expression" priority="2829" dxfId="6">
      <formula>$H83="SUBETAPA"</formula>
    </cfRule>
  </conditionalFormatting>
  <conditionalFormatting sqref="M97:N108 Q97:R108">
    <cfRule type="expression" priority="2726" dxfId="2">
      <formula>$H97="CÉLULA CONSTRUTIVA"</formula>
    </cfRule>
  </conditionalFormatting>
  <conditionalFormatting sqref="M128:N128 Q128:R128">
    <cfRule type="expression" priority="590" dxfId="53">
      <formula>$H128="SUBETAPA"</formula>
    </cfRule>
  </conditionalFormatting>
  <conditionalFormatting sqref="M156:N156 Q156:R156">
    <cfRule type="expression" priority="6712" dxfId="0">
      <formula>$H156="ETAPA"</formula>
    </cfRule>
  </conditionalFormatting>
  <conditionalFormatting sqref="G173:K175 G177:L177 G179 G181 G183 G185 G187 G189 G191 L174:L175 M173:N173 O173:O175 O177:P177 P174:P175 Q173:R173">
    <cfRule type="expression" priority="2511" dxfId="4">
      <formula>$H173="CÉLULA CONSTRUTIVA"</formula>
    </cfRule>
  </conditionalFormatting>
  <conditionalFormatting sqref="M173:N173 Q173:R173">
    <cfRule type="expression" priority="2557" dxfId="53">
      <formula>#REF!="SUBETAPA"</formula>
    </cfRule>
  </conditionalFormatting>
  <conditionalFormatting sqref="M174:N174 Q174:R174">
    <cfRule type="expression" priority="931" dxfId="53">
      <formula>$H174="SUBETAPA"</formula>
    </cfRule>
    <cfRule type="expression" priority="932" dxfId="4">
      <formula>$H174="CÉLULA CONSTRUTIVA"</formula>
    </cfRule>
    <cfRule type="expression" priority="933" dxfId="11">
      <formula>$H174="ETAPA"</formula>
    </cfRule>
  </conditionalFormatting>
  <conditionalFormatting sqref="M190:N190 Q190:R190">
    <cfRule type="expression" priority="2526" dxfId="53">
      <formula>$H190="SUBETAPA"</formula>
    </cfRule>
    <cfRule type="expression" priority="2527" dxfId="4">
      <formula>$H190="CÉLULA CONSTRUTIVA"</formula>
    </cfRule>
    <cfRule type="expression" priority="2528" dxfId="11">
      <formula>$H190="ETAPA"</formula>
    </cfRule>
  </conditionalFormatting>
  <conditionalFormatting sqref="M193:N193 Q193:R193">
    <cfRule type="expression" priority="2210" dxfId="53">
      <formula>$H178="SUBETAPA"</formula>
    </cfRule>
  </conditionalFormatting>
  <conditionalFormatting sqref="M194:N194 Q194:R194">
    <cfRule type="expression" priority="2234" dxfId="53">
      <formula>$H194="SUBETAPA"</formula>
    </cfRule>
    <cfRule type="expression" priority="2235" dxfId="4">
      <formula>$H194="CÉLULA CONSTRUTIVA"</formula>
    </cfRule>
    <cfRule type="expression" priority="2236" dxfId="11">
      <formula>$H194="ETAPA"</formula>
    </cfRule>
  </conditionalFormatting>
  <conditionalFormatting sqref="M202:N203 Q202:R203">
    <cfRule type="expression" priority="2227" dxfId="53">
      <formula>$H202="SUBETAPA"</formula>
    </cfRule>
    <cfRule type="expression" priority="2228" dxfId="4">
      <formula>$H202="CÉLULA CONSTRUTIVA"</formula>
    </cfRule>
    <cfRule type="expression" priority="2229" dxfId="11">
      <formula>$H202="ETAPA"</formula>
    </cfRule>
  </conditionalFormatting>
  <conditionalFormatting sqref="M209:N209 Q209:R209">
    <cfRule type="expression" priority="2038" dxfId="4">
      <formula>$H209="CÉLULA CONSTRUTIVA"</formula>
    </cfRule>
    <cfRule type="expression" priority="2039" dxfId="11">
      <formula>$H209="ETAPA"</formula>
    </cfRule>
  </conditionalFormatting>
  <conditionalFormatting sqref="M239:N239 Q239:R239">
    <cfRule type="expression" priority="1326" dxfId="4">
      <formula>$H239="CÉLULA CONSTRUTIVA"</formula>
    </cfRule>
  </conditionalFormatting>
  <conditionalFormatting sqref="M424:N424 Q424:R424">
    <cfRule type="expression" priority="8132" dxfId="6">
      <formula>$H424="SUBETAPA"</formula>
    </cfRule>
    <cfRule type="expression" priority="8133" dxfId="2">
      <formula>$H424="CÉLULA CONSTRUTIVA"</formula>
    </cfRule>
    <cfRule type="expression" priority="8144" dxfId="0">
      <formula>$H424="ETAPA"</formula>
    </cfRule>
  </conditionalFormatting>
  <conditionalFormatting sqref="M432:N432 Q432:R432">
    <cfRule type="expression" priority="4237" dxfId="6">
      <formula>$H432="SUBETAPA"</formula>
    </cfRule>
    <cfRule type="expression" priority="4238" dxfId="2">
      <formula>$H432="CÉLULA CONSTRUTIVA"</formula>
    </cfRule>
  </conditionalFormatting>
  <conditionalFormatting sqref="M439:R439">
    <cfRule type="expression" priority="8330" dxfId="11">
      <formula>$H439="ETAPA"</formula>
    </cfRule>
  </conditionalFormatting>
  <conditionalFormatting sqref="N15 R15">
    <cfRule type="expression" priority="3343" dxfId="2">
      <formula>$H15="CÉLULA CONSTRUTIVA"</formula>
    </cfRule>
    <cfRule type="expression" priority="3344" dxfId="0">
      <formula>$H15="ETAPA"</formula>
    </cfRule>
    <cfRule type="expression" priority="3314" dxfId="6">
      <formula>$H15="SUBETAPA"</formula>
    </cfRule>
  </conditionalFormatting>
  <conditionalFormatting sqref="N18 R18">
    <cfRule type="expression" priority="3341" dxfId="2">
      <formula>$H18="CÉLULA CONSTRUTIVA"</formula>
    </cfRule>
    <cfRule type="expression" priority="3342" dxfId="0">
      <formula>$H18="ETAPA"</formula>
    </cfRule>
    <cfRule type="expression" priority="3311" dxfId="6">
      <formula>$H18="SUBETAPA"</formula>
    </cfRule>
  </conditionalFormatting>
  <conditionalFormatting sqref="N23:N25 R23:R25">
    <cfRule type="expression" priority="3085" dxfId="6">
      <formula>$H23="SUBETAPA"</formula>
    </cfRule>
    <cfRule type="expression" priority="3086" dxfId="2">
      <formula>$H23="CÉLULA CONSTRUTIVA"</formula>
    </cfRule>
  </conditionalFormatting>
  <conditionalFormatting sqref="N25 R25">
    <cfRule type="expression" priority="3235" dxfId="0">
      <formula>$H25="ETAPA"</formula>
    </cfRule>
  </conditionalFormatting>
  <conditionalFormatting sqref="N28 R28">
    <cfRule type="expression" priority="3206" dxfId="6">
      <formula>$H28="SUBETAPA"</formula>
    </cfRule>
    <cfRule type="expression" priority="3207" dxfId="2">
      <formula>$H28="CÉLULA CONSTRUTIVA"</formula>
    </cfRule>
    <cfRule type="expression" priority="3208" dxfId="0">
      <formula>$H28="ETAPA"</formula>
    </cfRule>
  </conditionalFormatting>
  <conditionalFormatting sqref="N30:N36 N40 N45:N50 R30:R36 R40 R45:R50">
    <cfRule type="expression" priority="3303" dxfId="0">
      <formula>$H30="ETAPA"</formula>
    </cfRule>
  </conditionalFormatting>
  <conditionalFormatting sqref="N42:N43 R42:R43">
    <cfRule type="expression" priority="3174" dxfId="6">
      <formula>$H42="SUBETAPA"</formula>
    </cfRule>
    <cfRule type="expression" priority="3175" dxfId="2">
      <formula>$H42="CÉLULA CONSTRUTIVA"</formula>
    </cfRule>
  </conditionalFormatting>
  <conditionalFormatting sqref="M83:N83 N55:N57 N61 N64 Q83:R83 R55:R57 R61 R64">
    <cfRule type="expression" priority="2913" dxfId="2">
      <formula>$H55="CÉLULA CONSTRUTIVA"</formula>
    </cfRule>
  </conditionalFormatting>
  <conditionalFormatting sqref="N55:N57 R55:R57">
    <cfRule type="expression" priority="2912" dxfId="6">
      <formula>$H55="SUBETAPA"</formula>
    </cfRule>
  </conditionalFormatting>
  <conditionalFormatting sqref="N97:N99 R97:R99">
    <cfRule type="expression" priority="2753" dxfId="6">
      <formula>$H97="SUBETAPA"</formula>
    </cfRule>
  </conditionalFormatting>
  <conditionalFormatting sqref="N145 N157 N270:N272 N279 N281:N283 N288 N306 R145 R157 R270:R272 R279 R281:R283 R288 R306">
    <cfRule type="expression" priority="8253" dxfId="0">
      <formula>$H145="ETAPA"</formula>
    </cfRule>
  </conditionalFormatting>
  <conditionalFormatting sqref="N145 N157 N281:N283 R145 R157 R281:R283">
    <cfRule type="expression" priority="8252" dxfId="2">
      <formula>$H145="CÉLULA CONSTRUTIVA"</formula>
    </cfRule>
  </conditionalFormatting>
  <conditionalFormatting sqref="N147 R147">
    <cfRule type="expression" priority="7414" dxfId="2">
      <formula>$H147="CÉLULA CONSTRUTIVA"</formula>
    </cfRule>
    <cfRule type="expression" priority="7415" dxfId="0">
      <formula>$H147="ETAPA"</formula>
    </cfRule>
    <cfRule type="expression" priority="7413" dxfId="6">
      <formula>$H147="SUBETAPA"</formula>
    </cfRule>
  </conditionalFormatting>
  <conditionalFormatting sqref="N149 R149">
    <cfRule type="expression" priority="7389" dxfId="2">
      <formula>$H149="CÉLULA CONSTRUTIVA"</formula>
    </cfRule>
    <cfRule type="expression" priority="7390" dxfId="0">
      <formula>$H149="ETAPA"</formula>
    </cfRule>
    <cfRule type="expression" priority="7388" dxfId="6">
      <formula>$H149="SUBETAPA"</formula>
    </cfRule>
  </conditionalFormatting>
  <conditionalFormatting sqref="G274:R274 G288:R288 H151:K154 H261:L261 H296:M296 H367:L367 J155:L155 J156:K156 J161:L161 J253 L156:L158 N151:N153 N155:N156 N158 N161:P161 N261:P261 N270:N272 N279:N280 N306 N335:N339 N367:P367 O151:O154 O155:P155 O156 O296:Q296 P156:P158 R151:R153 R155:R156 R158 R161 R261 R270:R272 R279:R280 R306 R335:R339 R367">
    <cfRule type="expression" priority="8056" dxfId="2">
      <formula>$H151="CÉLULA CONSTRUTIVA"</formula>
    </cfRule>
  </conditionalFormatting>
  <conditionalFormatting sqref="N159 R159">
    <cfRule type="expression" priority="7360" dxfId="2">
      <formula>$H159="CÉLULA CONSTRUTIVA"</formula>
    </cfRule>
    <cfRule type="expression" priority="7361" dxfId="0">
      <formula>$H159="ETAPA"</formula>
    </cfRule>
    <cfRule type="expression" priority="7359" dxfId="6">
      <formula>$H159="SUBETAPA"</formula>
    </cfRule>
  </conditionalFormatting>
  <conditionalFormatting sqref="N163 R163">
    <cfRule type="expression" priority="4158" dxfId="2">
      <formula>$H163="CÉLULA CONSTRUTIVA"</formula>
    </cfRule>
    <cfRule type="expression" priority="4159" dxfId="0">
      <formula>$H163="ETAPA"</formula>
    </cfRule>
    <cfRule type="expression" priority="4157" dxfId="6">
      <formula>$H163="SUBETAPA"</formula>
    </cfRule>
  </conditionalFormatting>
  <conditionalFormatting sqref="N172 R172">
    <cfRule type="expression" priority="2576" dxfId="53">
      <formula>$H172="SUBETAPA"</formula>
    </cfRule>
    <cfRule type="expression" priority="2577" dxfId="4">
      <formula>$H172="CÉLULA CONSTRUTIVA"</formula>
    </cfRule>
    <cfRule type="expression" priority="2578" dxfId="11">
      <formula>$H172="ETAPA"</formula>
    </cfRule>
  </conditionalFormatting>
  <conditionalFormatting sqref="N173 R173">
    <cfRule type="expression" priority="2529" dxfId="11">
      <formula>$H173="ETAPA"</formula>
    </cfRule>
  </conditionalFormatting>
  <conditionalFormatting sqref="N179 R179">
    <cfRule type="expression" priority="2523" dxfId="53">
      <formula>$H179="SUBETAPA"</formula>
    </cfRule>
    <cfRule type="expression" priority="2524" dxfId="4">
      <formula>$H179="CÉLULA CONSTRUTIVA"</formula>
    </cfRule>
    <cfRule type="expression" priority="2525" dxfId="11">
      <formula>$H179="ETAPA"</formula>
    </cfRule>
  </conditionalFormatting>
  <conditionalFormatting sqref="N180 R180">
    <cfRule type="expression" priority="1537" dxfId="11">
      <formula>#REF!="ETAPA"</formula>
    </cfRule>
    <cfRule type="expression" priority="1538" dxfId="4">
      <formula>#REF!="CÉLULA CONSTRUTIVA"</formula>
    </cfRule>
  </conditionalFormatting>
  <conditionalFormatting sqref="N185 R185">
    <cfRule type="expression" priority="1534" dxfId="53">
      <formula>$H185="SUBETAPA"</formula>
    </cfRule>
    <cfRule type="expression" priority="1535" dxfId="4">
      <formula>$H185="CÉLULA CONSTRUTIVA"</formula>
    </cfRule>
    <cfRule type="expression" priority="1536" dxfId="11">
      <formula>$H185="ETAPA"</formula>
    </cfRule>
  </conditionalFormatting>
  <conditionalFormatting sqref="N191 R191">
    <cfRule type="expression" priority="2530" dxfId="11">
      <formula>#REF!="ETAPA"</formula>
    </cfRule>
    <cfRule type="expression" priority="2531" dxfId="4">
      <formula>#REF!="CÉLULA CONSTRUTIVA"</formula>
    </cfRule>
  </conditionalFormatting>
  <conditionalFormatting sqref="N193 R193">
    <cfRule type="expression" priority="2209" dxfId="11">
      <formula>$H193="ETAPA"</formula>
    </cfRule>
  </conditionalFormatting>
  <conditionalFormatting sqref="N195 N199 R195 R199">
    <cfRule type="expression" priority="2243" dxfId="11">
      <formula>#REF!="ETAPA"</formula>
    </cfRule>
    <cfRule type="expression" priority="2244" dxfId="4">
      <formula>#REF!="CÉLULA CONSTRUTIVA"</formula>
    </cfRule>
  </conditionalFormatting>
  <conditionalFormatting sqref="N197 N206:N207 R197 R206:R207">
    <cfRule type="expression" priority="2220" dxfId="53">
      <formula>$H197="SUBETAPA"</formula>
    </cfRule>
  </conditionalFormatting>
  <conditionalFormatting sqref="N197 R197">
    <cfRule type="expression" priority="2240" dxfId="4">
      <formula>$H197="CÉLULA CONSTRUTIVA"</formula>
    </cfRule>
  </conditionalFormatting>
  <conditionalFormatting sqref="N199 R199">
    <cfRule type="expression" priority="2232" dxfId="53">
      <formula>$H192="SUBETAPA"</formula>
    </cfRule>
  </conditionalFormatting>
  <conditionalFormatting sqref="N205 R205">
    <cfRule type="expression" priority="2245" dxfId="53">
      <formula>$H205="SUBETAPA"</formula>
    </cfRule>
  </conditionalFormatting>
  <conditionalFormatting sqref="N206:N207 R206:R207">
    <cfRule type="expression" priority="2233" dxfId="4">
      <formula>$H206="CÉLULA CONSTRUTIVA"</formula>
    </cfRule>
  </conditionalFormatting>
  <conditionalFormatting sqref="N207 R207">
    <cfRule type="expression" priority="2242" dxfId="11">
      <formula>$H207="ETAPA"</formula>
    </cfRule>
  </conditionalFormatting>
  <conditionalFormatting sqref="N208 R208">
    <cfRule type="expression" priority="2042" dxfId="53">
      <formula>$H201="SUBETAPA"</formula>
    </cfRule>
    <cfRule type="expression" priority="2043" dxfId="53">
      <formula>$H208="SUBETAPA"</formula>
    </cfRule>
    <cfRule type="expression" priority="2044" dxfId="4">
      <formula>$H208="CÉLULA CONSTRUTIVA"</formula>
    </cfRule>
    <cfRule type="expression" priority="2045" dxfId="11">
      <formula>$H208="ETAPA"</formula>
    </cfRule>
    <cfRule type="expression" priority="2047" dxfId="11">
      <formula>#REF!="ETAPA"</formula>
    </cfRule>
    <cfRule type="expression" priority="2048" dxfId="4">
      <formula>#REF!="CÉLULA CONSTRUTIVA"</formula>
    </cfRule>
  </conditionalFormatting>
  <conditionalFormatting sqref="N213 R213">
    <cfRule type="expression" priority="2046" dxfId="11">
      <formula>$H213="ETAPA"</formula>
    </cfRule>
    <cfRule type="expression" priority="2049" dxfId="53">
      <formula>$H213="SUBETAPA"</formula>
    </cfRule>
  </conditionalFormatting>
  <conditionalFormatting sqref="N215 R215">
    <cfRule type="expression" priority="1008" dxfId="11">
      <formula>$H215="ETAPA"</formula>
    </cfRule>
    <cfRule type="expression" priority="1009" dxfId="53">
      <formula>$H215="SUBETAPA"</formula>
    </cfRule>
  </conditionalFormatting>
  <conditionalFormatting sqref="N225:N226 R225:R226">
    <cfRule type="expression" priority="1212" dxfId="2">
      <formula>$H225="CÉLULA CONSTRUTIVA"</formula>
    </cfRule>
    <cfRule type="expression" priority="1213" dxfId="0">
      <formula>$H225="ETAPA"</formula>
    </cfRule>
  </conditionalFormatting>
  <conditionalFormatting sqref="N228 R228">
    <cfRule type="expression" priority="1178" dxfId="2">
      <formula>$H228="CÉLULA CONSTRUTIVA"</formula>
    </cfRule>
    <cfRule type="expression" priority="1179" dxfId="0">
      <formula>$H228="ETAPA"</formula>
    </cfRule>
  </conditionalFormatting>
  <conditionalFormatting sqref="N230 R230">
    <cfRule type="expression" priority="1176" dxfId="2">
      <formula>$H230="CÉLULA CONSTRUTIVA"</formula>
    </cfRule>
    <cfRule type="expression" priority="1177" dxfId="0">
      <formula>$H230="ETAPA"</formula>
    </cfRule>
  </conditionalFormatting>
  <conditionalFormatting sqref="N237:N238 R237:R238">
    <cfRule type="expression" priority="952" dxfId="4">
      <formula>$H237="CÉLULA CONSTRUTIVA"</formula>
    </cfRule>
    <cfRule type="expression" priority="953" dxfId="11">
      <formula>$H237="ETAPA"</formula>
    </cfRule>
    <cfRule type="expression" priority="954" dxfId="53">
      <formula>$H237="SUBETAPA"</formula>
    </cfRule>
  </conditionalFormatting>
  <conditionalFormatting sqref="N242 R242">
    <cfRule type="expression" priority="1718" dxfId="53">
      <formula>#REF!="SUBETAPA"</formula>
    </cfRule>
    <cfRule type="expression" priority="1719" dxfId="4">
      <formula>$H242="CÉLULA CONSTRUTIVA"</formula>
    </cfRule>
    <cfRule type="expression" priority="1720" dxfId="11">
      <formula>$H242="ETAPA"</formula>
    </cfRule>
  </conditionalFormatting>
  <conditionalFormatting sqref="N243 R243">
    <cfRule type="expression" priority="1566" dxfId="11">
      <formula>$H243="ETAPA"</formula>
    </cfRule>
    <cfRule type="expression" priority="1567" dxfId="4">
      <formula>$H243="CÉLULA CONSTRUTIVA"</formula>
    </cfRule>
    <cfRule type="expression" priority="1568" dxfId="53">
      <formula>$H243="SUBETAPA"</formula>
    </cfRule>
    <cfRule type="expression" priority="1569" dxfId="53">
      <formula>$H243="SUBETAPA"</formula>
    </cfRule>
    <cfRule type="expression" priority="1571" dxfId="11">
      <formula>$H243="ETAPA"</formula>
    </cfRule>
  </conditionalFormatting>
  <conditionalFormatting sqref="G248:R248 H249:J249 H251:J251 M249:N249 M251:N251 N245 Q249:R249 Q251:R251 R245">
    <cfRule type="expression" priority="1618" dxfId="11">
      <formula>$H245="ETAPA"</formula>
    </cfRule>
  </conditionalFormatting>
  <conditionalFormatting sqref="N245 R245">
    <cfRule type="expression" priority="1617" dxfId="4">
      <formula>$H245="CÉLULA CONSTRUTIVA"</formula>
    </cfRule>
  </conditionalFormatting>
  <conditionalFormatting sqref="N246 R246">
    <cfRule type="expression" priority="1721" dxfId="4">
      <formula>$H246="CÉLULA CONSTRUTIVA"</formula>
    </cfRule>
    <cfRule type="expression" priority="1722" dxfId="11">
      <formula>$H246="ETAPA"</formula>
    </cfRule>
  </conditionalFormatting>
  <conditionalFormatting sqref="N247 R247">
    <cfRule type="expression" priority="1584" dxfId="11">
      <formula>$H247="ETAPA"</formula>
    </cfRule>
    <cfRule type="expression" priority="1565" dxfId="4">
      <formula>$H247="CÉLULA CONSTRUTIVA"</formula>
    </cfRule>
  </conditionalFormatting>
  <conditionalFormatting sqref="N253:N254 R253:R254">
    <cfRule type="expression" priority="7962" dxfId="6">
      <formula>$H253="SUBETAPA"</formula>
    </cfRule>
    <cfRule type="expression" priority="7963" dxfId="2">
      <formula>$H253="CÉLULA CONSTRUTIVA"</formula>
    </cfRule>
  </conditionalFormatting>
  <conditionalFormatting sqref="N254 R254">
    <cfRule type="expression" priority="8057" dxfId="0">
      <formula>$H254="ETAPA"</formula>
    </cfRule>
  </conditionalFormatting>
  <conditionalFormatting sqref="N258 R258">
    <cfRule type="expression" priority="7890" dxfId="2">
      <formula>$H258="CÉLULA CONSTRUTIVA"</formula>
    </cfRule>
    <cfRule type="expression" priority="7891" dxfId="0">
      <formula>$H258="ETAPA"</formula>
    </cfRule>
  </conditionalFormatting>
  <conditionalFormatting sqref="G270:M271 G274:R274 G281:M283 G288:R288 H161:L161 H296:M296 H301:M301 H367:L367 J155:L155 J253 L156:L158 N151:N153 N155:N156 N158 N161:P161 N261 N279 N306 N335:N339 N367:P367 O155:P155 O270:Q271 O281:Q283 O296:Q296 O301:Q301 P156:P158 R151:R153 R155:R156 R158 R161 R261 R279 R306 R335:R339 R367">
    <cfRule type="expression" priority="8055" dxfId="6">
      <formula>$H151="SUBETAPA"</formula>
    </cfRule>
  </conditionalFormatting>
  <conditionalFormatting sqref="H265:M266 L343 N265 N333:N334 O265:Q266 P343 R265 R333:R334">
    <cfRule type="expression" priority="7919" dxfId="6">
      <formula>$H265="SUBETAPA"</formula>
    </cfRule>
  </conditionalFormatting>
  <conditionalFormatting sqref="N277 R277">
    <cfRule type="expression" priority="6941" dxfId="2">
      <formula>$H277="CÉLULA CONSTRUTIVA"</formula>
    </cfRule>
    <cfRule type="expression" priority="6958" dxfId="0">
      <formula>$H277="ETAPA"</formula>
    </cfRule>
  </conditionalFormatting>
  <conditionalFormatting sqref="N285 R285">
    <cfRule type="expression" priority="7873" dxfId="6">
      <formula>$H285="SUBETAPA"</formula>
    </cfRule>
    <cfRule type="expression" priority="7874" dxfId="2">
      <formula>$H285="CÉLULA CONSTRUTIVA"</formula>
    </cfRule>
  </conditionalFormatting>
  <conditionalFormatting sqref="N294 R294">
    <cfRule type="expression" priority="7310" dxfId="6">
      <formula>$H294="SUBETAPA"</formula>
    </cfRule>
    <cfRule type="expression" priority="7311" dxfId="2">
      <formula>$H294="CÉLULA CONSTRUTIVA"</formula>
    </cfRule>
  </conditionalFormatting>
  <conditionalFormatting sqref="N296 R296">
    <cfRule type="expression" priority="7855" dxfId="6">
      <formula>$H296="SUBETAPA"</formula>
    </cfRule>
    <cfRule type="expression" priority="7856" dxfId="2">
      <formula>$H296="CÉLULA CONSTRUTIVA"</formula>
    </cfRule>
  </conditionalFormatting>
  <conditionalFormatting sqref="N301 R301">
    <cfRule type="expression" priority="7847" dxfId="6">
      <formula>$H301="SUBETAPA"</formula>
    </cfRule>
    <cfRule type="expression" priority="7848" dxfId="2">
      <formula>$H301="CÉLULA CONSTRUTIVA"</formula>
    </cfRule>
  </conditionalFormatting>
  <conditionalFormatting sqref="N304 R304">
    <cfRule type="expression" priority="7732" dxfId="6">
      <formula>$H304="SUBETAPA"</formula>
    </cfRule>
    <cfRule type="expression" priority="7733" dxfId="2">
      <formula>$H304="CÉLULA CONSTRUTIVA"</formula>
    </cfRule>
  </conditionalFormatting>
  <conditionalFormatting sqref="H317:L317 N313:N315 N317:P317 R313:R315 R317">
    <cfRule type="expression" priority="8159" dxfId="0">
      <formula>$H313="ETAPA"</formula>
    </cfRule>
  </conditionalFormatting>
  <conditionalFormatting sqref="N313:N315 R313:R315">
    <cfRule type="expression" priority="8157" dxfId="6">
      <formula>$H313="SUBETAPA"</formula>
    </cfRule>
    <cfRule type="expression" priority="8158" dxfId="2">
      <formula>$H313="CÉLULA CONSTRUTIVA"</formula>
    </cfRule>
  </conditionalFormatting>
  <conditionalFormatting sqref="N326 R326">
    <cfRule type="expression" priority="7782" dxfId="2">
      <formula>$H326="CÉLULA CONSTRUTIVA"</formula>
    </cfRule>
    <cfRule type="expression" priority="7783" dxfId="0">
      <formula>$H326="ETAPA"</formula>
    </cfRule>
  </conditionalFormatting>
  <conditionalFormatting sqref="N330 R330">
    <cfRule type="expression" priority="7281" dxfId="0">
      <formula>$H330="ETAPA"</formula>
    </cfRule>
  </conditionalFormatting>
  <conditionalFormatting sqref="N332 R332">
    <cfRule type="expression" priority="7784" dxfId="6">
      <formula>$H332="SUBETAPA"</formula>
    </cfRule>
    <cfRule type="expression" priority="7785" dxfId="2">
      <formula>$H332="CÉLULA CONSTRUTIVA"</formula>
    </cfRule>
    <cfRule type="expression" priority="7786" dxfId="0">
      <formula>$H332="ETAPA"</formula>
    </cfRule>
  </conditionalFormatting>
  <conditionalFormatting sqref="N347 R347">
    <cfRule type="expression" priority="7686" dxfId="2">
      <formula>$H347="CÉLULA CONSTRUTIVA"</formula>
    </cfRule>
  </conditionalFormatting>
  <conditionalFormatting sqref="H349:I350 K349:L350 N349 O349:P350 R349">
    <cfRule type="expression" priority="7270" dxfId="6">
      <formula>$H349="SUBETAPA"</formula>
    </cfRule>
  </conditionalFormatting>
  <conditionalFormatting sqref="N375 R375">
    <cfRule type="expression" priority="906" dxfId="4">
      <formula>$H375="CÉLULA CONSTRUTIVA"</formula>
    </cfRule>
    <cfRule type="expression" priority="907" dxfId="11">
      <formula>$H375="ETAPA"</formula>
    </cfRule>
    <cfRule type="expression" priority="908" dxfId="53">
      <formula>$H375="SUBETAPA"</formula>
    </cfRule>
    <cfRule type="expression" priority="909" dxfId="53">
      <formula>$H370="SUBETAPA"</formula>
    </cfRule>
    <cfRule type="expression" priority="910" dxfId="4">
      <formula>$H375="CÉLULA CONSTRUTIVA"</formula>
    </cfRule>
    <cfRule type="expression" priority="911" dxfId="11">
      <formula>$H375="ETAPA"</formula>
    </cfRule>
  </conditionalFormatting>
  <conditionalFormatting sqref="N378 R378">
    <cfRule type="expression" priority="818" dxfId="6">
      <formula>$H378="SUBETAPA"</formula>
    </cfRule>
    <cfRule type="expression" priority="819" dxfId="2">
      <formula>$H378="CÉLULA CONSTRUTIVA"</formula>
    </cfRule>
    <cfRule type="expression" priority="820" dxfId="0">
      <formula>$H378="ETAPA"</formula>
    </cfRule>
  </conditionalFormatting>
  <conditionalFormatting sqref="N380 R380">
    <cfRule type="expression" priority="839" dxfId="6">
      <formula>$H380="SUBETAPA"</formula>
    </cfRule>
    <cfRule type="expression" priority="840" dxfId="2">
      <formula>$H380="CÉLULA CONSTRUTIVA"</formula>
    </cfRule>
    <cfRule type="expression" priority="841" dxfId="0">
      <formula>$H380="ETAPA"</formula>
    </cfRule>
  </conditionalFormatting>
  <conditionalFormatting sqref="N386:N391 N393:N395 R386:R391 R393:R395">
    <cfRule type="expression" priority="7227" dxfId="6">
      <formula>$H386="SUBETAPA"</formula>
    </cfRule>
    <cfRule type="expression" priority="7228" dxfId="2">
      <formula>$H386="CÉLULA CONSTRUTIVA"</formula>
    </cfRule>
  </conditionalFormatting>
  <conditionalFormatting sqref="G387:I391 G392:G393 G394:I395 H393:I393 K393:R393 N387:N391 N394:N395 R387:R391 R394:R395">
    <cfRule type="expression" priority="7229" dxfId="0">
      <formula>$H387="ETAPA"</formula>
    </cfRule>
  </conditionalFormatting>
  <conditionalFormatting sqref="N400 R400">
    <cfRule type="expression" priority="4717" dxfId="6">
      <formula>$H400="SUBETAPA"</formula>
    </cfRule>
    <cfRule type="expression" priority="4718" dxfId="2">
      <formula>$H400="CÉLULA CONSTRUTIVA"</formula>
    </cfRule>
    <cfRule type="expression" priority="4719" dxfId="0">
      <formula>$H400="ETAPA"</formula>
    </cfRule>
  </conditionalFormatting>
  <conditionalFormatting sqref="N401 R401">
    <cfRule type="expression" priority="7516" dxfId="6">
      <formula>$H401="SUBETAPA"</formula>
    </cfRule>
    <cfRule type="expression" priority="7517" dxfId="2">
      <formula>$H401="CÉLULA CONSTRUTIVA"</formula>
    </cfRule>
  </conditionalFormatting>
  <conditionalFormatting sqref="N401:N403 R401:R403">
    <cfRule type="expression" priority="7521" dxfId="0">
      <formula>$H401="ETAPA"</formula>
    </cfRule>
  </conditionalFormatting>
  <conditionalFormatting sqref="N405 R405">
    <cfRule type="expression" priority="3491" dxfId="6">
      <formula>$H405="SUBETAPA"</formula>
    </cfRule>
    <cfRule type="expression" priority="3492" dxfId="2">
      <formula>$H405="CÉLULA CONSTRUTIVA"</formula>
    </cfRule>
    <cfRule type="expression" priority="3533" dxfId="0">
      <formula>$H405="ETAPA"</formula>
    </cfRule>
  </conditionalFormatting>
  <conditionalFormatting sqref="N407 R407">
    <cfRule type="expression" priority="7480" dxfId="6">
      <formula>$H407="SUBETAPA"</formula>
    </cfRule>
    <cfRule type="expression" priority="7481" dxfId="2">
      <formula>$H407="CÉLULA CONSTRUTIVA"</formula>
    </cfRule>
  </conditionalFormatting>
  <conditionalFormatting sqref="N409:N413 R409:R413">
    <cfRule type="expression" priority="7033" dxfId="6">
      <formula>$H409="SUBETAPA"</formula>
    </cfRule>
  </conditionalFormatting>
  <conditionalFormatting sqref="N409:N414 R409:R414">
    <cfRule type="expression" priority="7034" dxfId="2">
      <formula>$H409="CÉLULA CONSTRUTIVA"</formula>
    </cfRule>
  </conditionalFormatting>
  <conditionalFormatting sqref="N410:N414 R410:R414">
    <cfRule type="expression" priority="7038" dxfId="0">
      <formula>$H410="ETAPA"</formula>
    </cfRule>
  </conditionalFormatting>
  <conditionalFormatting sqref="N414 R414">
    <cfRule type="expression" priority="7032" dxfId="6">
      <formula>$H414="SUBETAPA"</formula>
    </cfRule>
  </conditionalFormatting>
  <conditionalFormatting sqref="N429 R429">
    <cfRule type="expression" priority="6990" dxfId="6">
      <formula>$H429="SUBETAPA"</formula>
    </cfRule>
    <cfRule type="expression" priority="6991" dxfId="2">
      <formula>$H429="CÉLULA CONSTRUTIVA"</formula>
    </cfRule>
  </conditionalFormatting>
  <conditionalFormatting sqref="N431 R431">
    <cfRule type="expression" priority="6997" dxfId="6">
      <formula>$H431="SUBETAPA"</formula>
    </cfRule>
    <cfRule type="expression" priority="6998" dxfId="2">
      <formula>$H431="CÉLULA CONSTRUTIVA"</formula>
    </cfRule>
    <cfRule type="expression" priority="6999" dxfId="0">
      <formula>$H431="ETAPA"</formula>
    </cfRule>
  </conditionalFormatting>
  <conditionalFormatting sqref="N434 R434">
    <cfRule type="expression" priority="8173" dxfId="6">
      <formula>$H434="SUBETAPA"</formula>
    </cfRule>
    <cfRule type="expression" priority="8174" dxfId="2">
      <formula>$H434="CÉLULA CONSTRUTIVA"</formula>
    </cfRule>
    <cfRule type="expression" priority="8175" dxfId="0">
      <formula>$H434="ETAPA"</formula>
    </cfRule>
  </conditionalFormatting>
  <conditionalFormatting sqref="N435 R435">
    <cfRule type="expression" priority="7747" dxfId="0">
      <formula>$H435="ETAPA"</formula>
    </cfRule>
  </conditionalFormatting>
  <conditionalFormatting sqref="N30 R30">
    <cfRule type="expression" priority="3075" dxfId="6">
      <formula>$H30="SUBETAPA"</formula>
    </cfRule>
  </conditionalFormatting>
  <conditionalFormatting sqref="N35 R35">
    <cfRule type="expression" priority="3072" dxfId="6">
      <formula>$H35="SUBETAPA"</formula>
    </cfRule>
  </conditionalFormatting>
  <conditionalFormatting sqref="N37:N38 R37:R38">
    <cfRule type="expression" priority="3201" dxfId="6">
      <formula>$H37="SUBETAPA"</formula>
    </cfRule>
    <cfRule type="expression" priority="3202" dxfId="2">
      <formula>$H37="CÉLULA CONSTRUTIVA"</formula>
    </cfRule>
    <cfRule type="expression" priority="3203" dxfId="0">
      <formula>$H37="ETAPA"</formula>
    </cfRule>
  </conditionalFormatting>
  <conditionalFormatting sqref="N45 R45">
    <cfRule type="expression" priority="3063" dxfId="6">
      <formula>$H45="SUBETAPA"</formula>
    </cfRule>
  </conditionalFormatting>
  <conditionalFormatting sqref="N50 R50">
    <cfRule type="expression" priority="3060" dxfId="6">
      <formula>$H50="SUBETAPA"</formula>
    </cfRule>
  </conditionalFormatting>
  <conditionalFormatting sqref="N60 R60">
    <cfRule type="expression" priority="3009" dxfId="2">
      <formula>$H60="CÉLULA CONSTRUTIVA"</formula>
    </cfRule>
    <cfRule type="expression" priority="3010" dxfId="0">
      <formula>$H60="ETAPA"</formula>
    </cfRule>
  </conditionalFormatting>
  <conditionalFormatting sqref="N61 R61">
    <cfRule type="expression" priority="2844" dxfId="6">
      <formula>$H61="SUBETAPA"</formula>
    </cfRule>
  </conditionalFormatting>
  <conditionalFormatting sqref="N66 R66">
    <cfRule type="expression" priority="2838" dxfId="6">
      <formula>$H66="SUBETAPA"</formula>
    </cfRule>
    <cfRule type="expression" priority="2910" dxfId="2">
      <formula>$H66="CÉLULA CONSTRUTIVA"</formula>
    </cfRule>
    <cfRule type="expression" priority="2911" dxfId="0">
      <formula>$H66="ETAPA"</formula>
    </cfRule>
  </conditionalFormatting>
  <conditionalFormatting sqref="N86:N96 R86:R96">
    <cfRule type="expression" priority="2734" dxfId="6">
      <formula>$H86="SUBETAPA"</formula>
    </cfRule>
  </conditionalFormatting>
  <conditionalFormatting sqref="N116 R116">
    <cfRule type="expression" priority="2739" dxfId="0">
      <formula>$H116="ETAPA"</formula>
    </cfRule>
  </conditionalFormatting>
  <conditionalFormatting sqref="N128 R128">
    <cfRule type="expression" priority="591" dxfId="11">
      <formula>$H128="ETAPA"</formula>
    </cfRule>
    <cfRule type="expression" priority="592" dxfId="4">
      <formula>$H128="CÉLULA CONSTRUTIVA"</formula>
    </cfRule>
  </conditionalFormatting>
  <conditionalFormatting sqref="N146 R146">
    <cfRule type="expression" priority="4228" dxfId="6">
      <formula>$H146="SUBETAPA"</formula>
    </cfRule>
    <cfRule type="expression" priority="4229" dxfId="2">
      <formula>$H146="CÉLULA CONSTRUTIVA"</formula>
    </cfRule>
    <cfRule type="expression" priority="4215" dxfId="0">
      <formula>$H146="ETAPA"</formula>
    </cfRule>
  </conditionalFormatting>
  <conditionalFormatting sqref="H153:M154 H155:I156 N154 O153:Q154 R154">
    <cfRule type="expression" priority="7906" dxfId="6">
      <formula>$H153="SUBETAPA"</formula>
    </cfRule>
  </conditionalFormatting>
  <conditionalFormatting sqref="L164:L165 N164 P164:P165 R164">
    <cfRule type="expression" priority="3835" dxfId="6">
      <formula>$H164="SUBETAPA"</formula>
    </cfRule>
    <cfRule type="expression" priority="3836" dxfId="2">
      <formula>$H164="CÉLULA CONSTRUTIVA"</formula>
    </cfRule>
  </conditionalFormatting>
  <conditionalFormatting sqref="N165 R165">
    <cfRule type="expression" priority="3910" dxfId="6">
      <formula>$H165="SUBETAPA"</formula>
    </cfRule>
    <cfRule type="expression" priority="3911" dxfId="2">
      <formula>$H165="CÉLULA CONSTRUTIVA"</formula>
    </cfRule>
    <cfRule type="expression" priority="3881" dxfId="0">
      <formula>$H165="ETAPA"</formula>
    </cfRule>
  </conditionalFormatting>
  <conditionalFormatting sqref="L167 N167 P167 R167">
    <cfRule type="expression" priority="3759" dxfId="6">
      <formula>$H167="SUBETAPA"</formula>
    </cfRule>
    <cfRule type="expression" priority="3760" dxfId="2">
      <formula>$H167="CÉLULA CONSTRUTIVA"</formula>
    </cfRule>
  </conditionalFormatting>
  <conditionalFormatting sqref="N189 R189">
    <cfRule type="expression" priority="1432" dxfId="53">
      <formula>$H189="SUBETAPA"</formula>
    </cfRule>
    <cfRule type="expression" priority="1433" dxfId="4">
      <formula>$H189="CÉLULA CONSTRUTIVA"</formula>
    </cfRule>
    <cfRule type="expression" priority="1434" dxfId="11">
      <formula>$H189="ETAPA"</formula>
    </cfRule>
  </conditionalFormatting>
  <conditionalFormatting sqref="N262 R262">
    <cfRule type="expression" priority="7590" dxfId="6">
      <formula>$H262="SUBETAPA"</formula>
    </cfRule>
    <cfRule type="expression" priority="7591" dxfId="2">
      <formula>$H262="CÉLULA CONSTRUTIVA"</formula>
    </cfRule>
  </conditionalFormatting>
  <conditionalFormatting sqref="N263 R263">
    <cfRule type="expression" priority="7737" dxfId="6">
      <formula>$H263="SUBETAPA"</formula>
    </cfRule>
    <cfRule type="expression" priority="7738" dxfId="2">
      <formula>$H263="CÉLULA CONSTRUTIVA"</formula>
    </cfRule>
  </conditionalFormatting>
  <conditionalFormatting sqref="N264 R264">
    <cfRule type="expression" priority="6922" dxfId="6">
      <formula>$H264="SUBETAPA"</formula>
    </cfRule>
    <cfRule type="expression" priority="6923" dxfId="2">
      <formula>$H264="CÉLULA CONSTRUTIVA"</formula>
    </cfRule>
  </conditionalFormatting>
  <conditionalFormatting sqref="G120:M127 G129:M130 G132:G137 G139 G140:M145 G146 G148:R148 G150:R150 G151:G158 G160:G162 G255:N255 G256:G257 G259:G260 G261:L261 G262:G269 G279:M279 G284:R284 G286:G287 G289:G293 G295:G305 G307:G312 G317 G326 G330 G332:G339 G344 G347 G351:G352 G358 G360 G362:G363 G369 G399:I399 G400:G401 G407:I408 G411:I416 G422:G423 G427:L427 G428:M429 G433 H136:R137 H151:M152 H162:K162 H256:N256 H275:M276 H278:R278 H308:R309 H319:I319 H331:L331 H345:I345 H346:L346 H348:I348 H353:L357 H401:I401 H403:I403 H423:L424 H431:M431 H434:M434 J154 J347:J348 K131 K319:L319 K345:L345 K348:L348 K401:M401 K408 K416:R416 M131 M161:M162 M316:M319 M326:M327 M329:M339 M408:O408 N121:N122 N124:N126 N162:O162 N266 N331:P331 N348:P348 N353:P357 O120:Q127 O129:Q130 O131 O140:Q145 O151:Q152 O255:R256 O261:P261 O275:Q276 O279:Q279 O319:P319 O345:P346 O401:Q401 O423:P424 O427:P427 O428:Q429 O431:Q431 O434:Q434 Q131 Q161:Q162 Q316:Q319 Q326:Q327 Q329:Q339 Q408:R408 R121:R122 R124:R126 R162 R266 R331 R348 R353:R357">
    <cfRule type="expression" priority="7644" dxfId="6">
      <formula>$H120="SUBETAPA"</formula>
    </cfRule>
  </conditionalFormatting>
  <conditionalFormatting sqref="N267:N269 R267:R269">
    <cfRule type="expression" priority="7678" dxfId="2">
      <formula>$H267="CÉLULA CONSTRUTIVA"</formula>
    </cfRule>
  </conditionalFormatting>
  <conditionalFormatting sqref="N286:N287 R286:R287">
    <cfRule type="expression" priority="7858" dxfId="6">
      <formula>$H286="SUBETAPA"</formula>
    </cfRule>
    <cfRule type="expression" priority="7859" dxfId="2">
      <formula>$H286="CÉLULA CONSTRUTIVA"</formula>
    </cfRule>
  </conditionalFormatting>
  <conditionalFormatting sqref="N318 R318">
    <cfRule type="expression" priority="7838" dxfId="2">
      <formula>$H318="CÉLULA CONSTRUTIVA"</formula>
    </cfRule>
  </conditionalFormatting>
  <conditionalFormatting sqref="H318:I319 K318:L319 N318:P319 R318:R319">
    <cfRule type="expression" priority="7676" dxfId="0">
      <formula>$H318="ETAPA"</formula>
    </cfRule>
  </conditionalFormatting>
  <conditionalFormatting sqref="N327 N329 R327 R329">
    <cfRule type="expression" priority="7641" dxfId="6">
      <formula>$H327="SUBETAPA"</formula>
    </cfRule>
    <cfRule type="expression" priority="7642" dxfId="2">
      <formula>$H327="CÉLULA CONSTRUTIVA"</formula>
    </cfRule>
  </conditionalFormatting>
  <conditionalFormatting sqref="N328 R328">
    <cfRule type="expression" priority="675" dxfId="6">
      <formula>$H328="SUBETAPA"</formula>
    </cfRule>
    <cfRule type="expression" priority="676" dxfId="2">
      <formula>$H328="CÉLULA CONSTRUTIVA"</formula>
    </cfRule>
  </conditionalFormatting>
  <conditionalFormatting sqref="N333:N335 R333:R335">
    <cfRule type="expression" priority="7539" dxfId="0">
      <formula>$H333="ETAPA"</formula>
    </cfRule>
  </conditionalFormatting>
  <conditionalFormatting sqref="N336:N339 R336:R339">
    <cfRule type="expression" priority="7780" dxfId="0">
      <formula>$H336="ETAPA"</formula>
    </cfRule>
  </conditionalFormatting>
  <conditionalFormatting sqref="N345 R345">
    <cfRule type="expression" priority="8212" dxfId="6">
      <formula>$H345="SUBETAPA"</formula>
    </cfRule>
    <cfRule type="expression" priority="8213" dxfId="2">
      <formula>$H345="CÉLULA CONSTRUTIVA"</formula>
    </cfRule>
  </conditionalFormatting>
  <conditionalFormatting sqref="N345:N346 R345:R346">
    <cfRule type="expression" priority="8214" dxfId="0">
      <formula>$H345="ETAPA"</formula>
    </cfRule>
  </conditionalFormatting>
  <conditionalFormatting sqref="N346 R346">
    <cfRule type="expression" priority="7812" dxfId="2">
      <formula>$H346="CÉLULA CONSTRUTIVA"</formula>
    </cfRule>
  </conditionalFormatting>
  <conditionalFormatting sqref="N349 R349">
    <cfRule type="expression" priority="7238" dxfId="2">
      <formula>$H349="CÉLULA CONSTRUTIVA"</formula>
    </cfRule>
  </conditionalFormatting>
  <conditionalFormatting sqref="N350 R350">
    <cfRule type="expression" priority="7240" dxfId="6">
      <formula>$H350="SUBETAPA"</formula>
    </cfRule>
    <cfRule type="expression" priority="7241" dxfId="2">
      <formula>$H350="CÉLULA CONSTRUTIVA"</formula>
    </cfRule>
    <cfRule type="expression" priority="7242" dxfId="0">
      <formula>$H350="ETAPA"</formula>
    </cfRule>
  </conditionalFormatting>
  <conditionalFormatting sqref="N359 R359">
    <cfRule type="expression" priority="8228" dxfId="6">
      <formula>$H359="SUBETAPA"</formula>
    </cfRule>
    <cfRule type="expression" priority="8229" dxfId="2">
      <formula>$H359="CÉLULA CONSTRUTIVA"</formula>
    </cfRule>
    <cfRule type="expression" priority="8230" dxfId="0">
      <formula>$H359="ETAPA"</formula>
    </cfRule>
  </conditionalFormatting>
  <conditionalFormatting sqref="N361 R361">
    <cfRule type="expression" priority="8231" dxfId="6">
      <formula>$H361="SUBETAPA"</formula>
    </cfRule>
    <cfRule type="expression" priority="8232" dxfId="2">
      <formula>$H361="CÉLULA CONSTRUTIVA"</formula>
    </cfRule>
    <cfRule type="expression" priority="8233" dxfId="0">
      <formula>$H361="ETAPA"</formula>
    </cfRule>
  </conditionalFormatting>
  <conditionalFormatting sqref="N364 R364">
    <cfRule type="expression" priority="8239" dxfId="6">
      <formula>$H364="SUBETAPA"</formula>
    </cfRule>
    <cfRule type="expression" priority="8240" dxfId="2">
      <formula>$H364="CÉLULA CONSTRUTIVA"</formula>
    </cfRule>
    <cfRule type="expression" priority="8241" dxfId="0">
      <formula>$H364="ETAPA"</formula>
    </cfRule>
  </conditionalFormatting>
  <conditionalFormatting sqref="N370 R370">
    <cfRule type="expression" priority="7446" dxfId="6">
      <formula>$H370="SUBETAPA"</formula>
    </cfRule>
    <cfRule type="expression" priority="7447" dxfId="2">
      <formula>$H370="CÉLULA CONSTRUTIVA"</formula>
    </cfRule>
    <cfRule type="expression" priority="7448" dxfId="0">
      <formula>$H370="ETAPA"</formula>
    </cfRule>
  </conditionalFormatting>
  <conditionalFormatting sqref="N371 R371">
    <cfRule type="expression" priority="5316" dxfId="6">
      <formula>$H371="SUBETAPA"</formula>
    </cfRule>
    <cfRule type="expression" priority="5317" dxfId="2">
      <formula>$H371="CÉLULA CONSTRUTIVA"</formula>
    </cfRule>
  </conditionalFormatting>
  <conditionalFormatting sqref="N372 R372">
    <cfRule type="expression" priority="4337" dxfId="6">
      <formula>$H372="SUBETAPA"</formula>
    </cfRule>
    <cfRule type="expression" priority="4338" dxfId="2">
      <formula>$H372="CÉLULA CONSTRUTIVA"</formula>
    </cfRule>
  </conditionalFormatting>
  <conditionalFormatting sqref="N374 R374">
    <cfRule type="expression" priority="5282" dxfId="6">
      <formula>$H374="SUBETAPA"</formula>
    </cfRule>
    <cfRule type="expression" priority="5283" dxfId="2">
      <formula>$H374="CÉLULA CONSTRUTIVA"</formula>
    </cfRule>
    <cfRule type="expression" priority="5284" dxfId="0">
      <formula>$H374="ETAPA"</formula>
    </cfRule>
  </conditionalFormatting>
  <conditionalFormatting sqref="N392 R392">
    <cfRule type="expression" priority="5248" dxfId="6">
      <formula>$H392="SUBETAPA"</formula>
    </cfRule>
    <cfRule type="expression" priority="5249" dxfId="2">
      <formula>$H392="CÉLULA CONSTRUTIVA"</formula>
    </cfRule>
  </conditionalFormatting>
  <conditionalFormatting sqref="N404 R404">
    <cfRule type="expression" priority="4478" dxfId="6">
      <formula>$H404="SUBETAPA"</formula>
    </cfRule>
    <cfRule type="expression" priority="4479" dxfId="2">
      <formula>$H404="CÉLULA CONSTRUTIVA"</formula>
    </cfRule>
  </conditionalFormatting>
  <conditionalFormatting sqref="K405:L405 N406 O405:P405 R406">
    <cfRule type="expression" priority="3485" dxfId="2">
      <formula>$H405="CÉLULA CONSTRUTIVA"</formula>
    </cfRule>
  </conditionalFormatting>
  <conditionalFormatting sqref="N408 R408">
    <cfRule type="expression" priority="7470" dxfId="2">
      <formula>$H408="CÉLULA CONSTRUTIVA"</formula>
    </cfRule>
  </conditionalFormatting>
  <conditionalFormatting sqref="K411 M411 N415 O411 Q411 R415">
    <cfRule type="expression" priority="7024" dxfId="6">
      <formula>$H411="SUBETAPA"</formula>
    </cfRule>
  </conditionalFormatting>
  <conditionalFormatting sqref="N8:N10 N12 R8:R10 R12">
    <cfRule type="expression" priority="3349" dxfId="2">
      <formula>$H8="CÉLULA CONSTRUTIVA"</formula>
    </cfRule>
  </conditionalFormatting>
  <conditionalFormatting sqref="N8:N12 R8:R12">
    <cfRule type="expression" priority="3332" dxfId="6">
      <formula>$H8="SUBETAPA"</formula>
    </cfRule>
  </conditionalFormatting>
  <conditionalFormatting sqref="N13:N14 N16:N17 N20:N22 R13:R14 R16:R17 R20:R22">
    <cfRule type="expression" priority="3376" dxfId="6">
      <formula>$H13="SUBETAPA"</formula>
    </cfRule>
  </conditionalFormatting>
  <conditionalFormatting sqref="N19 R19">
    <cfRule type="expression" priority="3318" dxfId="6">
      <formula>$H19="SUBETAPA"</formula>
    </cfRule>
  </conditionalFormatting>
  <conditionalFormatting sqref="N31:N34 N36 N40 N46:N49 R31:R34 R36 R40 R46:R49">
    <cfRule type="expression" priority="3301" dxfId="6">
      <formula>$H31="SUBETAPA"</formula>
    </cfRule>
  </conditionalFormatting>
  <conditionalFormatting sqref="N41 R41">
    <cfRule type="expression" priority="3044" dxfId="6">
      <formula>$H41="SUBETAPA"</formula>
    </cfRule>
    <cfRule type="expression" priority="3045" dxfId="2">
      <formula>$H41="CÉLULA CONSTRUTIVA"</formula>
    </cfRule>
    <cfRule type="expression" priority="3046" dxfId="0">
      <formula>$H41="ETAPA"</formula>
    </cfRule>
  </conditionalFormatting>
  <conditionalFormatting sqref="N51 R51">
    <cfRule type="expression" priority="3127" dxfId="6">
      <formula>$H51="SUBETAPA"</formula>
    </cfRule>
  </conditionalFormatting>
  <conditionalFormatting sqref="N53:N54 R53:R54">
    <cfRule type="expression" priority="3115" dxfId="2">
      <formula>$H53="CÉLULA CONSTRUTIVA"</formula>
    </cfRule>
    <cfRule type="expression" priority="3116" dxfId="0">
      <formula>$H53="ETAPA"</formula>
    </cfRule>
  </conditionalFormatting>
  <conditionalFormatting sqref="N62:N64 R62:R64">
    <cfRule type="expression" priority="2841" dxfId="6">
      <formula>$H62="SUBETAPA"</formula>
    </cfRule>
  </conditionalFormatting>
  <conditionalFormatting sqref="N65 R65">
    <cfRule type="expression" priority="2996" dxfId="6">
      <formula>$H65="SUBETAPA"</formula>
    </cfRule>
    <cfRule type="expression" priority="2997" dxfId="2">
      <formula>$H65="CÉLULA CONSTRUTIVA"</formula>
    </cfRule>
    <cfRule type="expression" priority="2998" dxfId="0">
      <formula>$H65="ETAPA"</formula>
    </cfRule>
  </conditionalFormatting>
  <conditionalFormatting sqref="N67 N69:N70 R67 R69:R70">
    <cfRule type="expression" priority="2902" dxfId="2">
      <formula>$H67="CÉLULA CONSTRUTIVA"</formula>
    </cfRule>
  </conditionalFormatting>
  <conditionalFormatting sqref="N67 N69:N80 R67 R69:R80">
    <cfRule type="expression" priority="2903" dxfId="0">
      <formula>$H67="ETAPA"</formula>
    </cfRule>
  </conditionalFormatting>
  <conditionalFormatting sqref="N67 R67">
    <cfRule type="expression" priority="2901" dxfId="6">
      <formula>$H67="SUBETAPA"</formula>
    </cfRule>
  </conditionalFormatting>
  <conditionalFormatting sqref="N68 R68">
    <cfRule type="expression" priority="2779" dxfId="6">
      <formula>$H68="SUBETAPA"</formula>
    </cfRule>
    <cfRule type="expression" priority="2796" dxfId="2">
      <formula>$H68="CÉLULA CONSTRUTIVA"</formula>
    </cfRule>
    <cfRule type="expression" priority="2797" dxfId="0">
      <formula>$H68="ETAPA"</formula>
    </cfRule>
  </conditionalFormatting>
  <conditionalFormatting sqref="N69:N80 R69:R80">
    <cfRule type="expression" priority="2835" dxfId="6">
      <formula>$H69="SUBETAPA"</formula>
    </cfRule>
  </conditionalFormatting>
  <conditionalFormatting sqref="N71:N72 R71:R72">
    <cfRule type="expression" priority="2859" dxfId="2">
      <formula>$H71="CÉLULA CONSTRUTIVA"</formula>
    </cfRule>
  </conditionalFormatting>
  <conditionalFormatting sqref="N73:N80 R73:R80">
    <cfRule type="expression" priority="2856" dxfId="2">
      <formula>$H73="CÉLULA CONSTRUTIVA"</formula>
    </cfRule>
  </conditionalFormatting>
  <conditionalFormatting sqref="N85 R85">
    <cfRule type="expression" priority="2819" dxfId="6">
      <formula>$H85="SUBETAPA"</formula>
    </cfRule>
    <cfRule type="expression" priority="2820" dxfId="2">
      <formula>$H85="CÉLULA CONSTRUTIVA"</formula>
    </cfRule>
    <cfRule type="expression" priority="2821" dxfId="0">
      <formula>$H85="ETAPA"</formula>
    </cfRule>
  </conditionalFormatting>
  <conditionalFormatting sqref="N109 R109">
    <cfRule type="expression" priority="2729" dxfId="2">
      <formula>$H109="CÉLULA CONSTRUTIVA"</formula>
    </cfRule>
  </conditionalFormatting>
  <conditionalFormatting sqref="N116:N117 R116:R117">
    <cfRule type="expression" priority="2700" dxfId="2">
      <formula>$H116="CÉLULA CONSTRUTIVA"</formula>
    </cfRule>
  </conditionalFormatting>
  <conditionalFormatting sqref="N117 R117">
    <cfRule type="expression" priority="2699" dxfId="6">
      <formula>$H117="SUBETAPA"</formula>
    </cfRule>
    <cfRule type="expression" priority="2716" dxfId="0">
      <formula>$H117="ETAPA"</formula>
    </cfRule>
  </conditionalFormatting>
  <conditionalFormatting sqref="N143:N144 R143:R144">
    <cfRule type="expression" priority="8033" dxfId="0">
      <formula>$H143="ETAPA"</formula>
    </cfRule>
    <cfRule type="expression" priority="8044" dxfId="6">
      <formula>$H143="SUBETAPA"</formula>
    </cfRule>
  </conditionalFormatting>
  <conditionalFormatting sqref="H155:M158 H161:M161 N154 O155:Q158 O161:Q161 R154">
    <cfRule type="expression" priority="8112" dxfId="0">
      <formula>$H154="ETAPA"</formula>
    </cfRule>
  </conditionalFormatting>
  <conditionalFormatting sqref="N158 R158">
    <cfRule type="expression" priority="6663" dxfId="0">
      <formula>$H158="ETAPA"</formula>
    </cfRule>
  </conditionalFormatting>
  <conditionalFormatting sqref="N160 R160">
    <cfRule type="expression" priority="6607" dxfId="0">
      <formula>$H160="ETAPA"</formula>
    </cfRule>
  </conditionalFormatting>
  <conditionalFormatting sqref="H369:I369 K369:L369 N162 N369:P369 N397:N399 N402:N403 N428 R162 R369 R397:R399 R402:R403 R428">
    <cfRule type="expression" priority="7426" dxfId="2">
      <formula>$H162="CÉLULA CONSTRUTIVA"</formula>
    </cfRule>
  </conditionalFormatting>
  <conditionalFormatting sqref="N164 R164">
    <cfRule type="expression" priority="3806" dxfId="0">
      <formula>$H164="ETAPA"</formula>
    </cfRule>
  </conditionalFormatting>
  <conditionalFormatting sqref="N166 R166">
    <cfRule type="expression" priority="3655" dxfId="0">
      <formula>$H166="ETAPA"</formula>
    </cfRule>
  </conditionalFormatting>
  <conditionalFormatting sqref="N167 R167">
    <cfRule type="expression" priority="3730" dxfId="0">
      <formula>$H167="ETAPA"</formula>
    </cfRule>
  </conditionalFormatting>
  <conditionalFormatting sqref="N168 R168">
    <cfRule type="expression" priority="4030" dxfId="0">
      <formula>$H168="ETAPA"</formula>
    </cfRule>
  </conditionalFormatting>
  <conditionalFormatting sqref="N169 R169">
    <cfRule type="expression" priority="4105" dxfId="0">
      <formula>$H169="ETAPA"</formula>
    </cfRule>
  </conditionalFormatting>
  <conditionalFormatting sqref="N170 R170">
    <cfRule type="expression" priority="3955" dxfId="0">
      <formula>$H170="ETAPA"</formula>
    </cfRule>
  </conditionalFormatting>
  <conditionalFormatting sqref="N171 R171">
    <cfRule type="expression" priority="3579" dxfId="0">
      <formula>$H171="ETAPA"</formula>
    </cfRule>
  </conditionalFormatting>
  <conditionalFormatting sqref="G192:R192 G234:R234 N172 R172">
    <cfRule type="expression" priority="2566" dxfId="4">
      <formula>$H172="CÉLULA CONSTRUTIVA"</formula>
    </cfRule>
  </conditionalFormatting>
  <conditionalFormatting sqref="G240:R240 M235:M237 N235:N236 Q235:Q237 R235:R236">
    <cfRule type="expression" priority="1810" dxfId="4">
      <formula>$H235="CÉLULA CONSTRUTIVA"</formula>
    </cfRule>
  </conditionalFormatting>
  <conditionalFormatting sqref="N273 R273">
    <cfRule type="expression" priority="6261" dxfId="0">
      <formula>$H273="ETAPA"</formula>
    </cfRule>
  </conditionalFormatting>
  <conditionalFormatting sqref="N295 R295">
    <cfRule type="expression" priority="5860" dxfId="0">
      <formula>$H295="ETAPA"</formula>
    </cfRule>
  </conditionalFormatting>
  <conditionalFormatting sqref="N382 R382">
    <cfRule type="expression" priority="860" dxfId="6">
      <formula>$H382="SUBETAPA"</formula>
    </cfRule>
    <cfRule type="expression" priority="861" dxfId="2">
      <formula>$H382="CÉLULA CONSTRUTIVA"</formula>
    </cfRule>
    <cfRule type="expression" priority="862" dxfId="0">
      <formula>$H382="ETAPA"</formula>
    </cfRule>
  </conditionalFormatting>
  <conditionalFormatting sqref="N384 R384">
    <cfRule type="expression" priority="881" dxfId="6">
      <formula>$H384="SUBETAPA"</formula>
    </cfRule>
    <cfRule type="expression" priority="882" dxfId="2">
      <formula>$H384="CÉLULA CONSTRUTIVA"</formula>
    </cfRule>
    <cfRule type="expression" priority="883" dxfId="0">
      <formula>$H384="ETAPA"</formula>
    </cfRule>
  </conditionalFormatting>
  <conditionalFormatting sqref="N420 R420">
    <cfRule type="expression" priority="7564" dxfId="6">
      <formula>$H420="SUBETAPA"</formula>
    </cfRule>
    <cfRule type="expression" priority="7565" dxfId="2">
      <formula>$H420="CÉLULA CONSTRUTIVA"</formula>
    </cfRule>
    <cfRule type="expression" priority="7566" dxfId="0">
      <formula>$H420="ETAPA"</formula>
    </cfRule>
  </conditionalFormatting>
  <conditionalFormatting sqref="N421 R421">
    <cfRule type="expression" priority="7569" dxfId="6">
      <formula>$H421="SUBETAPA"</formula>
    </cfRule>
    <cfRule type="expression" priority="7570" dxfId="2">
      <formula>$H421="CÉLULA CONSTRUTIVA"</formula>
    </cfRule>
    <cfRule type="expression" priority="7581" dxfId="0">
      <formula>$H421="ETAPA"</formula>
    </cfRule>
  </conditionalFormatting>
  <conditionalFormatting sqref="N426 R426">
    <cfRule type="expression" priority="4269" dxfId="6">
      <formula>$H426="SUBETAPA"</formula>
    </cfRule>
    <cfRule type="expression" priority="4270" dxfId="2">
      <formula>$H426="CÉLULA CONSTRUTIVA"</formula>
    </cfRule>
    <cfRule type="expression" priority="4281" dxfId="0">
      <formula>$H426="ETAPA"</formula>
    </cfRule>
  </conditionalFormatting>
  <conditionalFormatting sqref="G274:R276 G433:R433 H265:R266 N140:N142 N151:N152 N155 N161 N407 R140:R142 R151:R152 R155 R161 R407">
    <cfRule type="expression" priority="7647" dxfId="0">
      <formula>$H140="ETAPA"</formula>
    </cfRule>
  </conditionalFormatting>
  <conditionalFormatting sqref="H11:M11">
    <cfRule type="expression" priority="3336" dxfId="6">
      <formula>$H11="SUBETAPA"</formula>
    </cfRule>
  </conditionalFormatting>
  <conditionalFormatting sqref="H40:R40 N30:N36 N45:N50 R30:R36 R45:R50">
    <cfRule type="expression" priority="3302" dxfId="2">
      <formula>$H30="CÉLULA CONSTRUTIVA"</formula>
    </cfRule>
  </conditionalFormatting>
  <conditionalFormatting sqref="M82:N82 Q82:R82">
    <cfRule type="expression" priority="2879" dxfId="0">
      <formula>$H82="ETAPA"</formula>
    </cfRule>
  </conditionalFormatting>
  <conditionalFormatting sqref="G89:L89 H90:L91 H92:N96 H97:L108 M89:N91 N98:N108 O89:R96 O97:P108 R98:R108">
    <cfRule type="expression" priority="2752" dxfId="0">
      <formula>$H89="ETAPA"</formula>
    </cfRule>
  </conditionalFormatting>
  <conditionalFormatting sqref="H112:R114">
    <cfRule type="expression" priority="2763" dxfId="6">
      <formula>$H112="SUBETAPA"</formula>
    </cfRule>
  </conditionalFormatting>
  <conditionalFormatting sqref="N154 R154">
    <cfRule type="expression" priority="7599" dxfId="2">
      <formula>$H154="CÉLULA CONSTRUTIVA"</formula>
    </cfRule>
  </conditionalFormatting>
  <conditionalFormatting sqref="N145 N157 R145 R157">
    <cfRule type="expression" priority="8251" dxfId="6">
      <formula>$H145="SUBETAPA"</formula>
    </cfRule>
  </conditionalFormatting>
  <conditionalFormatting sqref="G140:M140 G141:I143 G144 G146 G148 G150 G152 G154 G156 G158 G160 G162 H155:I156 H157:K158 H161:I162 J143:L143 N143:P143 O140:Q140 O157:O158 R143">
    <cfRule type="expression" priority="8316" dxfId="2">
      <formula>$H140="CÉLULA CONSTRUTIVA"</formula>
    </cfRule>
  </conditionalFormatting>
  <conditionalFormatting sqref="G141:I143 G144 G146 G258:L258 G270:M271 G281:M283 G288:M288 H261:R261 J141:K142 J143:L143 O141:O142 O143:P143 O258:P258 O270:Q271 O281:Q283 O288:Q288">
    <cfRule type="expression" priority="8054" dxfId="0">
      <formula>$H141="ETAPA"</formula>
    </cfRule>
  </conditionalFormatting>
  <conditionalFormatting sqref="G172 G192:R192 G234:N234 G237:G238 G241 G245:G247 G249 G251 H179:M179 H233:N233 M241:N241 N172 O179:Q179 O233:R234 Q241:R241 R172">
    <cfRule type="expression" priority="2569" dxfId="53">
      <formula>$H172="SUBETAPA"</formula>
    </cfRule>
  </conditionalFormatting>
  <conditionalFormatting sqref="M197">
    <cfRule type="expression" priority="2282" dxfId="4">
      <formula>$H197="CÉLULA CONSTRUTIVA"</formula>
    </cfRule>
  </conditionalFormatting>
  <conditionalFormatting sqref="G242:L242 G244:R244 G248:R248 H245:J247 H249:J249 H251:J251 M245:M247 M249:N249 M251:N251 O242:P242 Q245:Q247 Q249:R249 Q251:R251">
    <cfRule type="expression" priority="1710" dxfId="4">
      <formula>$H242="CÉLULA CONSTRUTIVA"</formula>
    </cfRule>
  </conditionalFormatting>
  <conditionalFormatting sqref="H245:J247 M245:M247">
    <cfRule type="expression" priority="1708" dxfId="11">
      <formula>$H245="ETAPA"</formula>
    </cfRule>
  </conditionalFormatting>
  <conditionalFormatting sqref="H157:K158">
    <cfRule type="expression" priority="8315" dxfId="6">
      <formula>$H157="SUBETAPA"</formula>
    </cfRule>
  </conditionalFormatting>
  <conditionalFormatting sqref="H294:M294 H295:R295 O294:Q294">
    <cfRule type="expression" priority="7315" dxfId="2">
      <formula>$H294="CÉLULA CONSTRUTIVA"</formula>
    </cfRule>
  </conditionalFormatting>
  <conditionalFormatting sqref="N438 R438">
    <cfRule type="expression" priority="8255" dxfId="6">
      <formula>$H438="SUBETAPA"</formula>
    </cfRule>
    <cfRule type="expression" priority="8256" dxfId="2">
      <formula>$H438="CÉLULA CONSTRUTIVA"</formula>
    </cfRule>
    <cfRule type="expression" priority="8257" dxfId="0">
      <formula>$H438="ETAPA"</formula>
    </cfRule>
  </conditionalFormatting>
  <conditionalFormatting sqref="G349:G372 H349:J350">
    <cfRule type="expression" priority="7260" dxfId="2">
      <formula>$H349="CÉLULA CONSTRUTIVA"</formula>
    </cfRule>
  </conditionalFormatting>
  <conditionalFormatting sqref="H362:L364">
    <cfRule type="expression" priority="8259" dxfId="2">
      <formula>$H362="CÉLULA CONSTRUTIVA"</formula>
    </cfRule>
    <cfRule type="expression" priority="8258" dxfId="6">
      <formula>$H362="SUBETAPA"</formula>
    </cfRule>
  </conditionalFormatting>
  <conditionalFormatting sqref="H363:K363">
    <cfRule type="expression" priority="8254" dxfId="0">
      <formula>$H363="ETAPA"</formula>
    </cfRule>
  </conditionalFormatting>
  <conditionalFormatting sqref="M278 N343 N353:N357 Q278 R343 R353:R357">
    <cfRule type="expression" priority="8161" dxfId="2">
      <formula>$H278="CÉLULA CONSTRUTIVA"</formula>
    </cfRule>
  </conditionalFormatting>
  <conditionalFormatting sqref="G435:K435">
    <cfRule type="expression" priority="7758" dxfId="0">
      <formula>$H435="ETAPA"</formula>
    </cfRule>
  </conditionalFormatting>
  <conditionalFormatting sqref="G313:K313 G314:M315 H360:L362 H364:K364 J363 M313">
    <cfRule type="expression" priority="8317" dxfId="0">
      <formula>$H313="ETAPA"</formula>
    </cfRule>
  </conditionalFormatting>
  <conditionalFormatting sqref="S1:S7 S439:S1073">
    <cfRule type="cellIs" priority="8339" operator="equal" dxfId="676">
      <formula>"TETO"</formula>
    </cfRule>
    <cfRule type="cellIs" priority="8340" operator="equal" dxfId="675">
      <formula>"PAREDE"</formula>
    </cfRule>
    <cfRule type="cellIs" priority="8341" operator="equal" dxfId="674">
      <formula>"PISO"</formula>
    </cfRule>
    <cfRule type="cellIs" priority="8342" operator="equal" dxfId="673">
      <formula>"FACHADA"</formula>
    </cfRule>
  </conditionalFormatting>
  <conditionalFormatting sqref="S8:S22">
    <cfRule type="cellIs" priority="3345" operator="equal" dxfId="548">
      <formula>"TETO"</formula>
    </cfRule>
    <cfRule type="cellIs" priority="3346" operator="equal" dxfId="547">
      <formula>"PAREDE"</formula>
    </cfRule>
    <cfRule type="cellIs" priority="3347" operator="equal" dxfId="546">
      <formula>"PISO"</formula>
    </cfRule>
    <cfRule type="cellIs" priority="3348" operator="equal" dxfId="545">
      <formula>"FACHADA"</formula>
    </cfRule>
  </conditionalFormatting>
  <conditionalFormatting sqref="S23:S54">
    <cfRule type="cellIs" priority="3261" operator="equal" dxfId="548">
      <formula>"TETO"</formula>
    </cfRule>
    <cfRule type="cellIs" priority="3262" operator="equal" dxfId="547">
      <formula>"PAREDE"</formula>
    </cfRule>
    <cfRule type="cellIs" priority="3263" operator="equal" dxfId="546">
      <formula>"PISO"</formula>
    </cfRule>
    <cfRule type="cellIs" priority="3264" operator="equal" dxfId="545">
      <formula>"FACHADA"</formula>
    </cfRule>
  </conditionalFormatting>
  <conditionalFormatting sqref="S55:S85">
    <cfRule type="cellIs" priority="2871" operator="equal" dxfId="548">
      <formula>"TETO"</formula>
    </cfRule>
    <cfRule type="cellIs" priority="2872" operator="equal" dxfId="547">
      <formula>"PAREDE"</formula>
    </cfRule>
    <cfRule type="cellIs" priority="2873" operator="equal" dxfId="546">
      <formula>"PISO"</formula>
    </cfRule>
    <cfRule type="cellIs" priority="2874" operator="equal" dxfId="545">
      <formula>"FACHADA"</formula>
    </cfRule>
  </conditionalFormatting>
  <conditionalFormatting sqref="S86:S117">
    <cfRule type="cellIs" priority="2743" operator="equal" dxfId="548">
      <formula>"TETO"</formula>
    </cfRule>
    <cfRule type="cellIs" priority="2744" operator="equal" dxfId="547">
      <formula>"PAREDE"</formula>
    </cfRule>
    <cfRule type="cellIs" priority="2745" operator="equal" dxfId="546">
      <formula>"PISO"</formula>
    </cfRule>
    <cfRule type="cellIs" priority="2746" operator="equal" dxfId="545">
      <formula>"FACHADA"</formula>
    </cfRule>
  </conditionalFormatting>
  <conditionalFormatting sqref="S128">
    <cfRule type="cellIs" priority="586" operator="equal" dxfId="676">
      <formula>"TETO"</formula>
    </cfRule>
    <cfRule type="cellIs" priority="587" operator="equal" dxfId="675">
      <formula>"PAREDE"</formula>
    </cfRule>
    <cfRule type="cellIs" priority="588" operator="equal" dxfId="674">
      <formula>"PISO"</formula>
    </cfRule>
    <cfRule type="cellIs" priority="589" operator="equal" dxfId="673">
      <formula>"FACHADA"</formula>
    </cfRule>
  </conditionalFormatting>
  <conditionalFormatting sqref="S131">
    <cfRule type="cellIs" priority="3433" operator="equal" dxfId="548">
      <formula>"TETO"</formula>
    </cfRule>
    <cfRule type="cellIs" priority="3434" operator="equal" dxfId="547">
      <formula>"PAREDE"</formula>
    </cfRule>
    <cfRule type="cellIs" priority="3435" operator="equal" dxfId="546">
      <formula>"PISO"</formula>
    </cfRule>
    <cfRule type="cellIs" priority="3436" operator="equal" dxfId="545">
      <formula>"FACHADA"</formula>
    </cfRule>
  </conditionalFormatting>
  <conditionalFormatting sqref="S135:S137">
    <cfRule type="cellIs" priority="6973" operator="equal" dxfId="548">
      <formula>"TETO"</formula>
    </cfRule>
    <cfRule type="cellIs" priority="6974" operator="equal" dxfId="547">
      <formula>"PAREDE"</formula>
    </cfRule>
    <cfRule type="cellIs" priority="6975" operator="equal" dxfId="546">
      <formula>"PISO"</formula>
    </cfRule>
    <cfRule type="cellIs" priority="6976" operator="equal" dxfId="545">
      <formula>"FACHADA"</formula>
    </cfRule>
  </conditionalFormatting>
  <conditionalFormatting sqref="S146">
    <cfRule type="cellIs" priority="4221" operator="equal" dxfId="548">
      <formula>"TETO"</formula>
    </cfRule>
    <cfRule type="cellIs" priority="4222" operator="equal" dxfId="547">
      <formula>"PAREDE"</formula>
    </cfRule>
    <cfRule type="cellIs" priority="4223" operator="equal" dxfId="546">
      <formula>"PISO"</formula>
    </cfRule>
    <cfRule type="cellIs" priority="4224" operator="equal" dxfId="545">
      <formula>"FACHADA"</formula>
    </cfRule>
  </conditionalFormatting>
  <conditionalFormatting sqref="S147">
    <cfRule type="cellIs" priority="7395" operator="equal" dxfId="548">
      <formula>"TETO"</formula>
    </cfRule>
    <cfRule type="cellIs" priority="7396" operator="equal" dxfId="547">
      <formula>"PAREDE"</formula>
    </cfRule>
    <cfRule type="cellIs" priority="7397" operator="equal" dxfId="546">
      <formula>"PISO"</formula>
    </cfRule>
    <cfRule type="cellIs" priority="7398" operator="equal" dxfId="545">
      <formula>"FACHADA"</formula>
    </cfRule>
  </conditionalFormatting>
  <conditionalFormatting sqref="S118:S127 S129:S130 S132:S134 S138:S145 S148 S150:S158 S161:S162 S252:S256 S258:S263 S265:S276 S278:S293 S296:S299 S301:S302 S304:S319 S326:S327 S329 S332:S348 S351:S364 S366:S367 S369:S370 S396:S399 S401 S407:S408 S417:S424 S427:S430 S433:S438">
    <cfRule type="cellIs" priority="7740" operator="equal" dxfId="548">
      <formula>"TETO"</formula>
    </cfRule>
    <cfRule type="cellIs" priority="7741" operator="equal" dxfId="547">
      <formula>"PAREDE"</formula>
    </cfRule>
    <cfRule type="cellIs" priority="7742" operator="equal" dxfId="546">
      <formula>"PISO"</formula>
    </cfRule>
    <cfRule type="cellIs" priority="7743" operator="equal" dxfId="545">
      <formula>"FACHADA"</formula>
    </cfRule>
  </conditionalFormatting>
  <conditionalFormatting sqref="S149">
    <cfRule type="cellIs" priority="7367" operator="equal" dxfId="548">
      <formula>"TETO"</formula>
    </cfRule>
    <cfRule type="cellIs" priority="7368" operator="equal" dxfId="547">
      <formula>"PAREDE"</formula>
    </cfRule>
    <cfRule type="cellIs" priority="7369" operator="equal" dxfId="546">
      <formula>"PISO"</formula>
    </cfRule>
    <cfRule type="cellIs" priority="7370" operator="equal" dxfId="545">
      <formula>"FACHADA"</formula>
    </cfRule>
  </conditionalFormatting>
  <conditionalFormatting sqref="S159:S160">
    <cfRule type="cellIs" priority="7338" operator="equal" dxfId="548">
      <formula>"TETO"</formula>
    </cfRule>
    <cfRule type="cellIs" priority="7339" operator="equal" dxfId="547">
      <formula>"PAREDE"</formula>
    </cfRule>
    <cfRule type="cellIs" priority="7340" operator="equal" dxfId="546">
      <formula>"PISO"</formula>
    </cfRule>
    <cfRule type="cellIs" priority="7341" operator="equal" dxfId="545">
      <formula>"FACHADA"</formula>
    </cfRule>
  </conditionalFormatting>
  <conditionalFormatting sqref="S163 S169">
    <cfRule type="cellIs" priority="4136" operator="equal" dxfId="548">
      <formula>"TETO"</formula>
    </cfRule>
    <cfRule type="cellIs" priority="4137" operator="equal" dxfId="547">
      <formula>"PAREDE"</formula>
    </cfRule>
    <cfRule type="cellIs" priority="4138" operator="equal" dxfId="546">
      <formula>"PISO"</formula>
    </cfRule>
    <cfRule type="cellIs" priority="4139" operator="equal" dxfId="545">
      <formula>"FACHADA"</formula>
    </cfRule>
  </conditionalFormatting>
  <conditionalFormatting sqref="S164">
    <cfRule type="cellIs" priority="3831" operator="equal" dxfId="548">
      <formula>"TETO"</formula>
    </cfRule>
    <cfRule type="cellIs" priority="3832" operator="equal" dxfId="547">
      <formula>"PAREDE"</formula>
    </cfRule>
    <cfRule type="cellIs" priority="3833" operator="equal" dxfId="546">
      <formula>"PISO"</formula>
    </cfRule>
    <cfRule type="cellIs" priority="3834" operator="equal" dxfId="545">
      <formula>"FACHADA"</formula>
    </cfRule>
  </conditionalFormatting>
  <conditionalFormatting sqref="S165">
    <cfRule type="cellIs" priority="3906" operator="equal" dxfId="548">
      <formula>"TETO"</formula>
    </cfRule>
    <cfRule type="cellIs" priority="3907" operator="equal" dxfId="547">
      <formula>"PAREDE"</formula>
    </cfRule>
    <cfRule type="cellIs" priority="3908" operator="equal" dxfId="546">
      <formula>"PISO"</formula>
    </cfRule>
    <cfRule type="cellIs" priority="3909" operator="equal" dxfId="545">
      <formula>"FACHADA"</formula>
    </cfRule>
  </conditionalFormatting>
  <conditionalFormatting sqref="S166">
    <cfRule type="cellIs" priority="3680" operator="equal" dxfId="548">
      <formula>"TETO"</formula>
    </cfRule>
    <cfRule type="cellIs" priority="3681" operator="equal" dxfId="547">
      <formula>"PAREDE"</formula>
    </cfRule>
    <cfRule type="cellIs" priority="3682" operator="equal" dxfId="546">
      <formula>"PISO"</formula>
    </cfRule>
    <cfRule type="cellIs" priority="3683" operator="equal" dxfId="545">
      <formula>"FACHADA"</formula>
    </cfRule>
  </conditionalFormatting>
  <conditionalFormatting sqref="S167">
    <cfRule type="cellIs" priority="3755" operator="equal" dxfId="548">
      <formula>"TETO"</formula>
    </cfRule>
    <cfRule type="cellIs" priority="3756" operator="equal" dxfId="547">
      <formula>"PAREDE"</formula>
    </cfRule>
    <cfRule type="cellIs" priority="3757" operator="equal" dxfId="546">
      <formula>"PISO"</formula>
    </cfRule>
    <cfRule type="cellIs" priority="3758" operator="equal" dxfId="545">
      <formula>"FACHADA"</formula>
    </cfRule>
  </conditionalFormatting>
  <conditionalFormatting sqref="S168">
    <cfRule type="cellIs" priority="4055" operator="equal" dxfId="548">
      <formula>"TETO"</formula>
    </cfRule>
    <cfRule type="cellIs" priority="4056" operator="equal" dxfId="547">
      <formula>"PAREDE"</formula>
    </cfRule>
    <cfRule type="cellIs" priority="4057" operator="equal" dxfId="546">
      <formula>"PISO"</formula>
    </cfRule>
    <cfRule type="cellIs" priority="4058" operator="equal" dxfId="545">
      <formula>"FACHADA"</formula>
    </cfRule>
  </conditionalFormatting>
  <conditionalFormatting sqref="S170">
    <cfRule type="cellIs" priority="3980" operator="equal" dxfId="548">
      <formula>"TETO"</formula>
    </cfRule>
    <cfRule type="cellIs" priority="3981" operator="equal" dxfId="547">
      <formula>"PAREDE"</formula>
    </cfRule>
    <cfRule type="cellIs" priority="3982" operator="equal" dxfId="546">
      <formula>"PISO"</formula>
    </cfRule>
    <cfRule type="cellIs" priority="3983" operator="equal" dxfId="545">
      <formula>"FACHADA"</formula>
    </cfRule>
  </conditionalFormatting>
  <conditionalFormatting sqref="S171">
    <cfRule type="cellIs" priority="3604" operator="equal" dxfId="548">
      <formula>"TETO"</formula>
    </cfRule>
    <cfRule type="cellIs" priority="3605" operator="equal" dxfId="547">
      <formula>"PAREDE"</formula>
    </cfRule>
    <cfRule type="cellIs" priority="3606" operator="equal" dxfId="546">
      <formula>"PISO"</formula>
    </cfRule>
    <cfRule type="cellIs" priority="3607" operator="equal" dxfId="545">
      <formula>"FACHADA"</formula>
    </cfRule>
  </conditionalFormatting>
  <conditionalFormatting sqref="S172 S192 S234">
    <cfRule type="cellIs" priority="2561" operator="equal" dxfId="676">
      <formula>"TETO"</formula>
    </cfRule>
    <cfRule type="cellIs" priority="2562" operator="equal" dxfId="675">
      <formula>"PAREDE"</formula>
    </cfRule>
    <cfRule type="cellIs" priority="2563" operator="equal" dxfId="674">
      <formula>"PISO"</formula>
    </cfRule>
    <cfRule type="cellIs" priority="2564" operator="equal" dxfId="673">
      <formula>"FACHADA"</formula>
    </cfRule>
  </conditionalFormatting>
  <conditionalFormatting sqref="S223:S230">
    <cfRule type="cellIs" priority="1180" operator="equal" dxfId="548">
      <formula>"TETO"</formula>
    </cfRule>
    <cfRule type="cellIs" priority="1181" operator="equal" dxfId="547">
      <formula>"PAREDE"</formula>
    </cfRule>
    <cfRule type="cellIs" priority="1182" operator="equal" dxfId="546">
      <formula>"PISO"</formula>
    </cfRule>
    <cfRule type="cellIs" priority="1183" operator="equal" dxfId="545">
      <formula>"FACHADA"</formula>
    </cfRule>
  </conditionalFormatting>
  <conditionalFormatting sqref="S257">
    <cfRule type="cellIs" priority="6966" operator="equal" dxfId="548">
      <formula>"TETO"</formula>
    </cfRule>
    <cfRule type="cellIs" priority="6967" operator="equal" dxfId="547">
      <formula>"PAREDE"</formula>
    </cfRule>
    <cfRule type="cellIs" priority="6968" operator="equal" dxfId="546">
      <formula>"PISO"</formula>
    </cfRule>
    <cfRule type="cellIs" priority="6969" operator="equal" dxfId="545">
      <formula>"FACHADA"</formula>
    </cfRule>
  </conditionalFormatting>
  <conditionalFormatting sqref="S264">
    <cfRule type="cellIs" priority="6924" operator="equal" dxfId="548">
      <formula>"TETO"</formula>
    </cfRule>
    <cfRule type="cellIs" priority="6925" operator="equal" dxfId="547">
      <formula>"PAREDE"</formula>
    </cfRule>
    <cfRule type="cellIs" priority="6926" operator="equal" dxfId="546">
      <formula>"PISO"</formula>
    </cfRule>
    <cfRule type="cellIs" priority="6927" operator="equal" dxfId="545">
      <formula>"FACHADA"</formula>
    </cfRule>
  </conditionalFormatting>
  <conditionalFormatting sqref="S277">
    <cfRule type="cellIs" priority="6934" operator="equal" dxfId="548">
      <formula>"TETO"</formula>
    </cfRule>
    <cfRule type="cellIs" priority="6935" operator="equal" dxfId="547">
      <formula>"PAREDE"</formula>
    </cfRule>
    <cfRule type="cellIs" priority="6936" operator="equal" dxfId="546">
      <formula>"PISO"</formula>
    </cfRule>
    <cfRule type="cellIs" priority="6937" operator="equal" dxfId="545">
      <formula>"FACHADA"</formula>
    </cfRule>
  </conditionalFormatting>
  <conditionalFormatting sqref="S294:S295">
    <cfRule type="cellIs" priority="7302" operator="equal" dxfId="548">
      <formula>"TETO"</formula>
    </cfRule>
    <cfRule type="cellIs" priority="7303" operator="equal" dxfId="547">
      <formula>"PAREDE"</formula>
    </cfRule>
    <cfRule type="cellIs" priority="7304" operator="equal" dxfId="546">
      <formula>"PISO"</formula>
    </cfRule>
    <cfRule type="cellIs" priority="7305" operator="equal" dxfId="545">
      <formula>"FACHADA"</formula>
    </cfRule>
  </conditionalFormatting>
  <conditionalFormatting sqref="S300">
    <cfRule type="cellIs" priority="5811" operator="equal" dxfId="548">
      <formula>"TETO"</formula>
    </cfRule>
    <cfRule type="cellIs" priority="5812" operator="equal" dxfId="547">
      <formula>"PAREDE"</formula>
    </cfRule>
    <cfRule type="cellIs" priority="5813" operator="equal" dxfId="546">
      <formula>"PISO"</formula>
    </cfRule>
    <cfRule type="cellIs" priority="5814" operator="equal" dxfId="545">
      <formula>"FACHADA"</formula>
    </cfRule>
  </conditionalFormatting>
  <conditionalFormatting sqref="S303">
    <cfRule type="cellIs" priority="5779" operator="equal" dxfId="548">
      <formula>"TETO"</formula>
    </cfRule>
    <cfRule type="cellIs" priority="5780" operator="equal" dxfId="547">
      <formula>"PAREDE"</formula>
    </cfRule>
    <cfRule type="cellIs" priority="5781" operator="equal" dxfId="546">
      <formula>"PISO"</formula>
    </cfRule>
    <cfRule type="cellIs" priority="5782" operator="equal" dxfId="545">
      <formula>"FACHADA"</formula>
    </cfRule>
  </conditionalFormatting>
  <conditionalFormatting sqref="S320">
    <cfRule type="cellIs" priority="5580" operator="equal" dxfId="548">
      <formula>"TETO"</formula>
    </cfRule>
    <cfRule type="cellIs" priority="5581" operator="equal" dxfId="547">
      <formula>"PAREDE"</formula>
    </cfRule>
    <cfRule type="cellIs" priority="5582" operator="equal" dxfId="546">
      <formula>"PISO"</formula>
    </cfRule>
    <cfRule type="cellIs" priority="5583" operator="equal" dxfId="545">
      <formula>"FACHADA"</formula>
    </cfRule>
  </conditionalFormatting>
  <conditionalFormatting sqref="S321">
    <cfRule type="cellIs" priority="5567" operator="equal" dxfId="548">
      <formula>"TETO"</formula>
    </cfRule>
    <cfRule type="cellIs" priority="5568" operator="equal" dxfId="547">
      <formula>"PAREDE"</formula>
    </cfRule>
    <cfRule type="cellIs" priority="5569" operator="equal" dxfId="546">
      <formula>"PISO"</formula>
    </cfRule>
    <cfRule type="cellIs" priority="5570" operator="equal" dxfId="545">
      <formula>"FACHADA"</formula>
    </cfRule>
  </conditionalFormatting>
  <conditionalFormatting sqref="S322">
    <cfRule type="cellIs" priority="5551" operator="equal" dxfId="548">
      <formula>"TETO"</formula>
    </cfRule>
    <cfRule type="cellIs" priority="5552" operator="equal" dxfId="547">
      <formula>"PAREDE"</formula>
    </cfRule>
    <cfRule type="cellIs" priority="5553" operator="equal" dxfId="546">
      <formula>"PISO"</formula>
    </cfRule>
    <cfRule type="cellIs" priority="5554" operator="equal" dxfId="545">
      <formula>"FACHADA"</formula>
    </cfRule>
  </conditionalFormatting>
  <conditionalFormatting sqref="S323">
    <cfRule type="cellIs" priority="5593" operator="equal" dxfId="548">
      <formula>"TETO"</formula>
    </cfRule>
    <cfRule type="cellIs" priority="5594" operator="equal" dxfId="547">
      <formula>"PAREDE"</formula>
    </cfRule>
    <cfRule type="cellIs" priority="5595" operator="equal" dxfId="546">
      <formula>"PISO"</formula>
    </cfRule>
    <cfRule type="cellIs" priority="5596" operator="equal" dxfId="545">
      <formula>"FACHADA"</formula>
    </cfRule>
  </conditionalFormatting>
  <conditionalFormatting sqref="S324">
    <cfRule type="cellIs" priority="5538" operator="equal" dxfId="548">
      <formula>"TETO"</formula>
    </cfRule>
    <cfRule type="cellIs" priority="5539" operator="equal" dxfId="547">
      <formula>"PAREDE"</formula>
    </cfRule>
    <cfRule type="cellIs" priority="5540" operator="equal" dxfId="546">
      <formula>"PISO"</formula>
    </cfRule>
    <cfRule type="cellIs" priority="5541" operator="equal" dxfId="545">
      <formula>"FACHADA"</formula>
    </cfRule>
  </conditionalFormatting>
  <conditionalFormatting sqref="S325">
    <cfRule type="cellIs" priority="5600" operator="equal" dxfId="548">
      <formula>"TETO"</formula>
    </cfRule>
    <cfRule type="cellIs" priority="5601" operator="equal" dxfId="547">
      <formula>"PAREDE"</formula>
    </cfRule>
    <cfRule type="cellIs" priority="5602" operator="equal" dxfId="546">
      <formula>"PISO"</formula>
    </cfRule>
    <cfRule type="cellIs" priority="5603" operator="equal" dxfId="545">
      <formula>"FACHADA"</formula>
    </cfRule>
  </conditionalFormatting>
  <conditionalFormatting sqref="S328">
    <cfRule type="cellIs" priority="682" operator="equal" dxfId="548">
      <formula>"TETO"</formula>
    </cfRule>
    <cfRule type="cellIs" priority="683" operator="equal" dxfId="547">
      <formula>"PAREDE"</formula>
    </cfRule>
    <cfRule type="cellIs" priority="684" operator="equal" dxfId="546">
      <formula>"PISO"</formula>
    </cfRule>
    <cfRule type="cellIs" priority="685" operator="equal" dxfId="545">
      <formula>"FACHADA"</formula>
    </cfRule>
  </conditionalFormatting>
  <conditionalFormatting sqref="S330:S331">
    <cfRule type="cellIs" priority="7275" operator="equal" dxfId="548">
      <formula>"TETO"</formula>
    </cfRule>
    <cfRule type="cellIs" priority="7276" operator="equal" dxfId="547">
      <formula>"PAREDE"</formula>
    </cfRule>
    <cfRule type="cellIs" priority="7277" operator="equal" dxfId="546">
      <formula>"PISO"</formula>
    </cfRule>
    <cfRule type="cellIs" priority="7278" operator="equal" dxfId="545">
      <formula>"FACHADA"</formula>
    </cfRule>
  </conditionalFormatting>
  <conditionalFormatting sqref="S349:S350">
    <cfRule type="cellIs" priority="7264" operator="equal" dxfId="548">
      <formula>"TETO"</formula>
    </cfRule>
    <cfRule type="cellIs" priority="7265" operator="equal" dxfId="547">
      <formula>"PAREDE"</formula>
    </cfRule>
    <cfRule type="cellIs" priority="7266" operator="equal" dxfId="546">
      <formula>"PISO"</formula>
    </cfRule>
    <cfRule type="cellIs" priority="7267" operator="equal" dxfId="545">
      <formula>"FACHADA"</formula>
    </cfRule>
  </conditionalFormatting>
  <conditionalFormatting sqref="S365">
    <cfRule type="cellIs" priority="5238" operator="equal" dxfId="548">
      <formula>"TETO"</formula>
    </cfRule>
    <cfRule type="cellIs" priority="5239" operator="equal" dxfId="547">
      <formula>"PAREDE"</formula>
    </cfRule>
    <cfRule type="cellIs" priority="5240" operator="equal" dxfId="546">
      <formula>"PISO"</formula>
    </cfRule>
    <cfRule type="cellIs" priority="5241" operator="equal" dxfId="545">
      <formula>"FACHADA"</formula>
    </cfRule>
  </conditionalFormatting>
  <conditionalFormatting sqref="S368">
    <cfRule type="cellIs" priority="5302" operator="equal" dxfId="548">
      <formula>"TETO"</formula>
    </cfRule>
    <cfRule type="cellIs" priority="5303" operator="equal" dxfId="547">
      <formula>"PAREDE"</formula>
    </cfRule>
    <cfRule type="cellIs" priority="5304" operator="equal" dxfId="546">
      <formula>"PISO"</formula>
    </cfRule>
    <cfRule type="cellIs" priority="5305" operator="equal" dxfId="545">
      <formula>"FACHADA"</formula>
    </cfRule>
  </conditionalFormatting>
  <conditionalFormatting sqref="S371">
    <cfRule type="cellIs" priority="5323" operator="equal" dxfId="548">
      <formula>"TETO"</formula>
    </cfRule>
    <cfRule type="cellIs" priority="5324" operator="equal" dxfId="547">
      <formula>"PAREDE"</formula>
    </cfRule>
    <cfRule type="cellIs" priority="5325" operator="equal" dxfId="546">
      <formula>"PISO"</formula>
    </cfRule>
    <cfRule type="cellIs" priority="5326" operator="equal" dxfId="545">
      <formula>"FACHADA"</formula>
    </cfRule>
  </conditionalFormatting>
  <conditionalFormatting sqref="S372">
    <cfRule type="cellIs" priority="4344" operator="equal" dxfId="548">
      <formula>"TETO"</formula>
    </cfRule>
    <cfRule type="cellIs" priority="4345" operator="equal" dxfId="547">
      <formula>"PAREDE"</formula>
    </cfRule>
    <cfRule type="cellIs" priority="4346" operator="equal" dxfId="546">
      <formula>"PISO"</formula>
    </cfRule>
    <cfRule type="cellIs" priority="4347" operator="equal" dxfId="545">
      <formula>"FACHADA"</formula>
    </cfRule>
  </conditionalFormatting>
  <conditionalFormatting sqref="S373:S374">
    <cfRule type="cellIs" priority="5293" operator="equal" dxfId="548">
      <formula>"TETO"</formula>
    </cfRule>
    <cfRule type="cellIs" priority="5294" operator="equal" dxfId="547">
      <formula>"PAREDE"</formula>
    </cfRule>
    <cfRule type="cellIs" priority="5295" operator="equal" dxfId="546">
      <formula>"PISO"</formula>
    </cfRule>
    <cfRule type="cellIs" priority="5296" operator="equal" dxfId="545">
      <formula>"FACHADA"</formula>
    </cfRule>
  </conditionalFormatting>
  <conditionalFormatting sqref="S376:S384">
    <cfRule type="cellIs" priority="770" operator="equal" dxfId="548">
      <formula>"TETO"</formula>
    </cfRule>
    <cfRule type="cellIs" priority="771" operator="equal" dxfId="547">
      <formula>"PAREDE"</formula>
    </cfRule>
    <cfRule type="cellIs" priority="772" operator="equal" dxfId="546">
      <formula>"PISO"</formula>
    </cfRule>
    <cfRule type="cellIs" priority="773" operator="equal" dxfId="545">
      <formula>"FACHADA"</formula>
    </cfRule>
  </conditionalFormatting>
  <conditionalFormatting sqref="S385:S391 S393:S395">
    <cfRule type="cellIs" priority="7230" operator="equal" dxfId="548">
      <formula>"TETO"</formula>
    </cfRule>
    <cfRule type="cellIs" priority="7231" operator="equal" dxfId="547">
      <formula>"PAREDE"</formula>
    </cfRule>
    <cfRule type="cellIs" priority="7232" operator="equal" dxfId="546">
      <formula>"PISO"</formula>
    </cfRule>
    <cfRule type="cellIs" priority="7233" operator="equal" dxfId="545">
      <formula>"FACHADA"</formula>
    </cfRule>
  </conditionalFormatting>
  <conditionalFormatting sqref="S392">
    <cfRule type="cellIs" priority="5251" operator="equal" dxfId="548">
      <formula>"TETO"</formula>
    </cfRule>
    <cfRule type="cellIs" priority="5252" operator="equal" dxfId="547">
      <formula>"PAREDE"</formula>
    </cfRule>
    <cfRule type="cellIs" priority="5253" operator="equal" dxfId="546">
      <formula>"PISO"</formula>
    </cfRule>
    <cfRule type="cellIs" priority="5254" operator="equal" dxfId="545">
      <formula>"FACHADA"</formula>
    </cfRule>
  </conditionalFormatting>
  <conditionalFormatting sqref="S400">
    <cfRule type="cellIs" priority="4722" operator="equal" dxfId="548">
      <formula>"TETO"</formula>
    </cfRule>
    <cfRule type="cellIs" priority="4723" operator="equal" dxfId="547">
      <formula>"PAREDE"</formula>
    </cfRule>
    <cfRule type="cellIs" priority="4724" operator="equal" dxfId="546">
      <formula>"PISO"</formula>
    </cfRule>
    <cfRule type="cellIs" priority="4725" operator="equal" dxfId="545">
      <formula>"FACHADA"</formula>
    </cfRule>
  </conditionalFormatting>
  <conditionalFormatting sqref="S402:S403">
    <cfRule type="cellIs" priority="7097" operator="equal" dxfId="548">
      <formula>"TETO"</formula>
    </cfRule>
    <cfRule type="cellIs" priority="7098" operator="equal" dxfId="547">
      <formula>"PAREDE"</formula>
    </cfRule>
    <cfRule type="cellIs" priority="7099" operator="equal" dxfId="546">
      <formula>"PISO"</formula>
    </cfRule>
    <cfRule type="cellIs" priority="7100" operator="equal" dxfId="545">
      <formula>"FACHADA"</formula>
    </cfRule>
  </conditionalFormatting>
  <conditionalFormatting sqref="S404">
    <cfRule type="cellIs" priority="4474" operator="equal" dxfId="548">
      <formula>"TETO"</formula>
    </cfRule>
    <cfRule type="cellIs" priority="4475" operator="equal" dxfId="547">
      <formula>"PAREDE"</formula>
    </cfRule>
    <cfRule type="cellIs" priority="4476" operator="equal" dxfId="546">
      <formula>"PISO"</formula>
    </cfRule>
    <cfRule type="cellIs" priority="4477" operator="equal" dxfId="545">
      <formula>"FACHADA"</formula>
    </cfRule>
  </conditionalFormatting>
  <conditionalFormatting sqref="S405:S406">
    <cfRule type="cellIs" priority="3535" operator="equal" dxfId="548">
      <formula>"TETO"</formula>
    </cfRule>
    <cfRule type="cellIs" priority="3536" operator="equal" dxfId="547">
      <formula>"PAREDE"</formula>
    </cfRule>
    <cfRule type="cellIs" priority="3537" operator="equal" dxfId="546">
      <formula>"PISO"</formula>
    </cfRule>
    <cfRule type="cellIs" priority="3538" operator="equal" dxfId="545">
      <formula>"FACHADA"</formula>
    </cfRule>
  </conditionalFormatting>
  <conditionalFormatting sqref="S409:S416">
    <cfRule type="cellIs" priority="7065" operator="equal" dxfId="548">
      <formula>"TETO"</formula>
    </cfRule>
    <cfRule type="cellIs" priority="7066" operator="equal" dxfId="547">
      <formula>"PAREDE"</formula>
    </cfRule>
    <cfRule type="cellIs" priority="7067" operator="equal" dxfId="546">
      <formula>"PISO"</formula>
    </cfRule>
    <cfRule type="cellIs" priority="7068" operator="equal" dxfId="545">
      <formula>"FACHADA"</formula>
    </cfRule>
  </conditionalFormatting>
  <conditionalFormatting sqref="S425:S426">
    <cfRule type="cellIs" priority="4262" operator="equal" dxfId="548">
      <formula>"TETO"</formula>
    </cfRule>
    <cfRule type="cellIs" priority="4263" operator="equal" dxfId="547">
      <formula>"PAREDE"</formula>
    </cfRule>
    <cfRule type="cellIs" priority="4264" operator="equal" dxfId="546">
      <formula>"PISO"</formula>
    </cfRule>
    <cfRule type="cellIs" priority="4265" operator="equal" dxfId="545">
      <formula>"FACHADA"</formula>
    </cfRule>
  </conditionalFormatting>
  <conditionalFormatting sqref="S431">
    <cfRule type="cellIs" priority="6993" operator="equal" dxfId="548">
      <formula>"TETO"</formula>
    </cfRule>
    <cfRule type="cellIs" priority="6994" operator="equal" dxfId="547">
      <formula>"PAREDE"</formula>
    </cfRule>
    <cfRule type="cellIs" priority="6995" operator="equal" dxfId="546">
      <formula>"PISO"</formula>
    </cfRule>
    <cfRule type="cellIs" priority="6996" operator="equal" dxfId="545">
      <formula>"FACHADA"</formula>
    </cfRule>
  </conditionalFormatting>
  <conditionalFormatting sqref="S432">
    <cfRule type="cellIs" priority="4232" operator="equal" dxfId="548">
      <formula>"TETO"</formula>
    </cfRule>
    <cfRule type="cellIs" priority="4233" operator="equal" dxfId="547">
      <formula>"PAREDE"</formula>
    </cfRule>
    <cfRule type="cellIs" priority="4234" operator="equal" dxfId="546">
      <formula>"PISO"</formula>
    </cfRule>
    <cfRule type="cellIs" priority="4235" operator="equal" dxfId="545">
      <formula>"FACHADA"</formula>
    </cfRule>
  </conditionalFormatting>
  <conditionalFormatting sqref="O235:P237">
    <cfRule type="expression" priority="145" dxfId="4">
      <formula>$H235="CÉLULA CONSTRUTIVA"</formula>
    </cfRule>
  </conditionalFormatting>
  <conditionalFormatting sqref="O228:P230">
    <cfRule type="expression" priority="66" dxfId="6">
      <formula>$H228="SUBETAPA"</formula>
    </cfRule>
  </conditionalFormatting>
  <conditionalFormatting sqref="O208 Q208">
    <cfRule type="expression" priority="104" dxfId="11">
      <formula>$H208="ETAPA"</formula>
    </cfRule>
    <cfRule type="expression" priority="103" dxfId="4">
      <formula>$H208="CÉLULA CONSTRUTIVA"</formula>
    </cfRule>
  </conditionalFormatting>
  <conditionalFormatting sqref="O386:Q386">
    <cfRule type="expression" priority="437" dxfId="2">
      <formula>$H386="CÉLULA CONSTRUTIVA"</formula>
    </cfRule>
  </conditionalFormatting>
  <conditionalFormatting sqref="O389:P389">
    <cfRule type="expression" priority="438" dxfId="2">
      <formula>$H389="CÉLULA CONSTRUTIVA"</formula>
    </cfRule>
  </conditionalFormatting>
  <conditionalFormatting sqref="O391:P391">
    <cfRule type="expression" priority="431" dxfId="2">
      <formula>$H391="CÉLULA CONSTRUTIVA"</formula>
    </cfRule>
  </conditionalFormatting>
  <conditionalFormatting sqref="O391:Q391">
    <cfRule type="expression" priority="430" dxfId="6">
      <formula>$H391="SUBETAPA"</formula>
    </cfRule>
    <cfRule type="expression" priority="429" dxfId="0">
      <formula>$H391="ETAPA"</formula>
    </cfRule>
  </conditionalFormatting>
  <conditionalFormatting sqref="O394:P394">
    <cfRule type="expression" priority="418" dxfId="2">
      <formula>$H394="CÉLULA CONSTRUTIVA"</formula>
    </cfRule>
  </conditionalFormatting>
  <conditionalFormatting sqref="O399 O401:P401">
    <cfRule type="expression" priority="487" dxfId="2">
      <formula>$H399="CÉLULA CONSTRUTIVA"</formula>
    </cfRule>
  </conditionalFormatting>
  <conditionalFormatting sqref="O406 Q406">
    <cfRule type="expression" priority="243" dxfId="0">
      <formula>$H406="ETAPA"</formula>
    </cfRule>
  </conditionalFormatting>
  <conditionalFormatting sqref="O173 Q173">
    <cfRule type="expression" priority="137" dxfId="11">
      <formula>$H173="ETAPA"</formula>
    </cfRule>
  </conditionalFormatting>
  <conditionalFormatting sqref="O174 Q191">
    <cfRule type="expression" priority="143" dxfId="11">
      <formula>$H174="ETAPA"</formula>
    </cfRule>
  </conditionalFormatting>
  <conditionalFormatting sqref="O175:O176">
    <cfRule type="expression" priority="136" dxfId="11">
      <formula>$H175="ETAPA"</formula>
    </cfRule>
  </conditionalFormatting>
  <conditionalFormatting sqref="O178">
    <cfRule type="expression" priority="135" dxfId="11">
      <formula>$H178="ETAPA"</formula>
    </cfRule>
  </conditionalFormatting>
  <conditionalFormatting sqref="O180 Q180">
    <cfRule type="expression" priority="81" dxfId="11">
      <formula>$H180="ETAPA"</formula>
    </cfRule>
  </conditionalFormatting>
  <conditionalFormatting sqref="O181:O182">
    <cfRule type="expression" priority="76" dxfId="11">
      <formula>$H181="ETAPA"</formula>
    </cfRule>
  </conditionalFormatting>
  <conditionalFormatting sqref="O184">
    <cfRule type="expression" priority="75" dxfId="11">
      <formula>$H184="ETAPA"</formula>
    </cfRule>
  </conditionalFormatting>
  <conditionalFormatting sqref="O186">
    <cfRule type="expression" priority="68" dxfId="11">
      <formula>$H186="ETAPA"</formula>
    </cfRule>
  </conditionalFormatting>
  <conditionalFormatting sqref="O188">
    <cfRule type="expression" priority="67" dxfId="11">
      <formula>$H188="ETAPA"</formula>
    </cfRule>
  </conditionalFormatting>
  <conditionalFormatting sqref="O193 Q193">
    <cfRule type="expression" priority="113" dxfId="11">
      <formula>$H193="ETAPA"</formula>
    </cfRule>
  </conditionalFormatting>
  <conditionalFormatting sqref="O196">
    <cfRule type="expression" priority="112" dxfId="11">
      <formula>$H196="ETAPA"</formula>
    </cfRule>
  </conditionalFormatting>
  <conditionalFormatting sqref="O198">
    <cfRule type="expression" priority="111" dxfId="11">
      <formula>$H198="ETAPA"</formula>
    </cfRule>
  </conditionalFormatting>
  <conditionalFormatting sqref="O199 Q199">
    <cfRule type="expression" priority="120" dxfId="11">
      <formula>$H199="ETAPA"</formula>
    </cfRule>
    <cfRule type="expression" priority="119" dxfId="4">
      <formula>$H199="CÉLULA CONSTRUTIVA"</formula>
    </cfRule>
  </conditionalFormatting>
  <conditionalFormatting sqref="O204">
    <cfRule type="expression" priority="110" dxfId="11">
      <formula>$H204="ETAPA"</formula>
    </cfRule>
  </conditionalFormatting>
  <conditionalFormatting sqref="O206:O207 Q206:Q207">
    <cfRule type="expression" priority="132" dxfId="11">
      <formula>$H206="ETAPA"</formula>
    </cfRule>
    <cfRule type="expression" priority="134" dxfId="4">
      <formula>$H206="CÉLULA CONSTRUTIVA"</formula>
    </cfRule>
  </conditionalFormatting>
  <conditionalFormatting sqref="O211">
    <cfRule type="expression" priority="105" dxfId="53">
      <formula>$H211="SUBETAPA"</formula>
    </cfRule>
  </conditionalFormatting>
  <conditionalFormatting sqref="O222">
    <cfRule type="expression" priority="101" dxfId="11">
      <formula>$H222="ETAPA"</formula>
    </cfRule>
  </conditionalFormatting>
  <conditionalFormatting sqref="O231">
    <cfRule type="expression" priority="43" dxfId="11">
      <formula>$H231="ETAPA"</formula>
    </cfRule>
  </conditionalFormatting>
  <conditionalFormatting sqref="O232">
    <cfRule type="expression" priority="100" dxfId="11">
      <formula>$H232="ETAPA"</formula>
    </cfRule>
  </conditionalFormatting>
  <conditionalFormatting sqref="O316">
    <cfRule type="expression" priority="387" dxfId="0">
      <formula>$H316="ETAPA"</formula>
    </cfRule>
    <cfRule type="expression" priority="388" dxfId="6">
      <formula>$H316="SUBETAPA"</formula>
    </cfRule>
    <cfRule type="expression" priority="389" dxfId="2">
      <formula>$H316="CÉLULA CONSTRUTIVA"</formula>
    </cfRule>
  </conditionalFormatting>
  <conditionalFormatting sqref="O425">
    <cfRule type="expression" priority="312" dxfId="0">
      <formula>$H425="ETAPA"</formula>
    </cfRule>
  </conditionalFormatting>
  <conditionalFormatting sqref="O24:P25">
    <cfRule type="expression" priority="199" dxfId="0">
      <formula>$H24="ETAPA"</formula>
    </cfRule>
  </conditionalFormatting>
  <conditionalFormatting sqref="O86:P108">
    <cfRule type="expression" priority="156" dxfId="2">
      <formula>$H86="CÉLULA CONSTRUTIVA"</formula>
    </cfRule>
  </conditionalFormatting>
  <conditionalFormatting sqref="O172:P172">
    <cfRule type="expression" priority="146" dxfId="53">
      <formula>$H172="SUBETAPA"</formula>
    </cfRule>
    <cfRule type="expression" priority="148" dxfId="11">
      <formula>$H172="ETAPA"</formula>
    </cfRule>
  </conditionalFormatting>
  <conditionalFormatting sqref="O173:P175">
    <cfRule type="expression" priority="138" dxfId="53">
      <formula>$H173="SUBETAPA"</formula>
    </cfRule>
  </conditionalFormatting>
  <conditionalFormatting sqref="O177:P177 O190:P191">
    <cfRule type="expression" priority="139" dxfId="11">
      <formula>$H177="ETAPA"</formula>
    </cfRule>
  </conditionalFormatting>
  <conditionalFormatting sqref="O180:P181">
    <cfRule type="expression" priority="78" dxfId="53">
      <formula>$H180="SUBETAPA"</formula>
    </cfRule>
  </conditionalFormatting>
  <conditionalFormatting sqref="O190:P191">
    <cfRule type="expression" priority="140" dxfId="4">
      <formula>$H190="CÉLULA CONSTRUTIVA"</formula>
    </cfRule>
  </conditionalFormatting>
  <conditionalFormatting sqref="O193:P193">
    <cfRule type="expression" priority="114" dxfId="53">
      <formula>$H193="SUBETAPA"</formula>
    </cfRule>
  </conditionalFormatting>
  <conditionalFormatting sqref="O194:P195 O197:P197">
    <cfRule type="expression" priority="121" dxfId="11">
      <formula>$H194="ETAPA"</formula>
    </cfRule>
    <cfRule type="expression" priority="123" dxfId="4">
      <formula>$H194="CÉLULA CONSTRUTIVA"</formula>
    </cfRule>
  </conditionalFormatting>
  <conditionalFormatting sqref="O194:P195 O197:P197 O199:P203">
    <cfRule type="expression" priority="122" dxfId="53">
      <formula>$H194="SUBETAPA"</formula>
    </cfRule>
  </conditionalFormatting>
  <conditionalFormatting sqref="O216:P216">
    <cfRule type="expression" priority="102" dxfId="11">
      <formula>$H216="ETAPA"</formula>
    </cfRule>
  </conditionalFormatting>
  <conditionalFormatting sqref="O213:Q213 O219:P221">
    <cfRule type="expression" priority="109" dxfId="53">
      <formula>#REF!="SUBETAPA"</formula>
    </cfRule>
  </conditionalFormatting>
  <conditionalFormatting sqref="O239:P239">
    <cfRule type="expression" priority="65" dxfId="4">
      <formula>$H239="CÉLULA CONSTRUTIVA"</formula>
    </cfRule>
  </conditionalFormatting>
  <conditionalFormatting sqref="O237:P237 O241:P241">
    <cfRule type="expression" priority="99" dxfId="53">
      <formula>#REF!="SUBETAPA"</formula>
    </cfRule>
  </conditionalFormatting>
  <conditionalFormatting sqref="O242:P242">
    <cfRule type="expression" priority="95" dxfId="53">
      <formula>#REF!="SUBETAPA"</formula>
    </cfRule>
    <cfRule type="expression" priority="94" dxfId="11">
      <formula>$H242="ETAPA"</formula>
    </cfRule>
  </conditionalFormatting>
  <conditionalFormatting sqref="O252:P252">
    <cfRule type="expression" priority="522" dxfId="6">
      <formula>$H252="SUBETAPA"</formula>
    </cfRule>
    <cfRule type="expression" priority="523" dxfId="2">
      <formula>$H252="CÉLULA CONSTRUTIVA"</formula>
    </cfRule>
  </conditionalFormatting>
  <conditionalFormatting sqref="O375:P375">
    <cfRule type="expression" priority="36" dxfId="11">
      <formula>$H375="ETAPA"</formula>
    </cfRule>
    <cfRule type="expression" priority="37" dxfId="53">
      <formula>#REF!="SUBETAPA"</formula>
    </cfRule>
    <cfRule type="expression" priority="35" dxfId="4">
      <formula>$H375="CÉLULA CONSTRUTIVA"</formula>
    </cfRule>
  </conditionalFormatting>
  <conditionalFormatting sqref="O385:P385">
    <cfRule type="expression" priority="440" dxfId="2">
      <formula>$H385="CÉLULA CONSTRUTIVA"</formula>
    </cfRule>
    <cfRule type="expression" priority="439" dxfId="6">
      <formula>$H385="SUBETAPA"</formula>
    </cfRule>
  </conditionalFormatting>
  <conditionalFormatting sqref="O396:P396">
    <cfRule type="expression" priority="519" dxfId="6">
      <formula>$H396="SUBETAPA"</formula>
    </cfRule>
    <cfRule type="expression" priority="520" dxfId="2">
      <formula>$H396="CÉLULA CONSTRUTIVA"</formula>
    </cfRule>
  </conditionalFormatting>
  <conditionalFormatting sqref="O398:P398">
    <cfRule type="expression" priority="491" dxfId="2">
      <formula>$H398="CÉLULA CONSTRUTIVA"</formula>
    </cfRule>
  </conditionalFormatting>
  <conditionalFormatting sqref="O402:P402">
    <cfRule type="expression" priority="412" dxfId="2">
      <formula>$H402="CÉLULA CONSTRUTIVA"</formula>
    </cfRule>
  </conditionalFormatting>
  <conditionalFormatting sqref="O410:P410">
    <cfRule type="expression" priority="401" dxfId="2">
      <formula>$H410="CÉLULA CONSTRUTIVA"</formula>
    </cfRule>
  </conditionalFormatting>
  <conditionalFormatting sqref="O425:P426">
    <cfRule type="expression" priority="311" dxfId="6">
      <formula>$H425="SUBETAPA"</formula>
    </cfRule>
    <cfRule type="expression" priority="310" dxfId="2">
      <formula>$H425="CÉLULA CONSTRUTIVA"</formula>
    </cfRule>
  </conditionalFormatting>
  <conditionalFormatting sqref="O437:P438 P313">
    <cfRule type="expression" priority="533" dxfId="0">
      <formula>$H313="ETAPA"</formula>
    </cfRule>
  </conditionalFormatting>
  <conditionalFormatting sqref="O437:P438">
    <cfRule type="expression" priority="531" dxfId="6">
      <formula>$H437="SUBETAPA"</formula>
    </cfRule>
    <cfRule type="expression" priority="532" dxfId="2">
      <formula>$H437="CÉLULA CONSTRUTIVA"</formula>
    </cfRule>
  </conditionalFormatting>
  <conditionalFormatting sqref="O24:Q24">
    <cfRule type="expression" priority="200" dxfId="2">
      <formula>$H24="CÉLULA CONSTRUTIVA"</formula>
    </cfRule>
  </conditionalFormatting>
  <conditionalFormatting sqref="O42:Q43">
    <cfRule type="expression" priority="213" dxfId="2">
      <formula>$H42="CÉLULA CONSTRUTIVA"</formula>
    </cfRule>
  </conditionalFormatting>
  <conditionalFormatting sqref="O55:Q57 O58:P59 O83:P84">
    <cfRule type="expression" priority="186" dxfId="2">
      <formula>$H55="CÉLULA CONSTRUTIVA"</formula>
    </cfRule>
  </conditionalFormatting>
  <conditionalFormatting sqref="O147:Q147">
    <cfRule type="expression" priority="471" dxfId="6">
      <formula>$H147="SUBETAPA"</formula>
    </cfRule>
    <cfRule type="expression" priority="470" dxfId="2">
      <formula>$H147="CÉLULA CONSTRUTIVA"</formula>
    </cfRule>
  </conditionalFormatting>
  <conditionalFormatting sqref="O149:Q149">
    <cfRule type="expression" priority="469" dxfId="6">
      <formula>$H149="SUBETAPA"</formula>
    </cfRule>
    <cfRule type="expression" priority="467" dxfId="0">
      <formula>$H149="ETAPA"</formula>
    </cfRule>
    <cfRule type="expression" priority="468" dxfId="2">
      <formula>$H149="CÉLULA CONSTRUTIVA"</formula>
    </cfRule>
  </conditionalFormatting>
  <conditionalFormatting sqref="O172:Q172">
    <cfRule type="expression" priority="147" dxfId="4">
      <formula>$H172="CÉLULA CONSTRUTIVA"</formula>
    </cfRule>
  </conditionalFormatting>
  <conditionalFormatting sqref="O205:Q207">
    <cfRule type="expression" priority="125" dxfId="53">
      <formula>$H205="SUBETAPA"</formula>
    </cfRule>
  </conditionalFormatting>
  <conditionalFormatting sqref="O208:Q208">
    <cfRule type="expression" priority="106" dxfId="53">
      <formula>$H208="SUBETAPA"</formula>
    </cfRule>
  </conditionalFormatting>
  <conditionalFormatting sqref="O243:Q243">
    <cfRule type="expression" priority="92" dxfId="53">
      <formula>$H243="SUBETAPA"</formula>
    </cfRule>
  </conditionalFormatting>
  <conditionalFormatting sqref="O253:Q253">
    <cfRule type="expression" priority="521" dxfId="2">
      <formula>$H253="CÉLULA CONSTRUTIVA"</formula>
    </cfRule>
  </conditionalFormatting>
  <conditionalFormatting sqref="O277:Q277">
    <cfRule type="expression" priority="395" dxfId="0">
      <formula>$H277="ETAPA"</formula>
    </cfRule>
    <cfRule type="expression" priority="396" dxfId="2">
      <formula>$H277="CÉLULA CONSTRUTIVA"</formula>
    </cfRule>
  </conditionalFormatting>
  <conditionalFormatting sqref="O313:Q314">
    <cfRule type="expression" priority="535" dxfId="2">
      <formula>$H313="CÉLULA CONSTRUTIVA"</formula>
    </cfRule>
    <cfRule type="expression" priority="534" dxfId="6">
      <formula>$H313="SUBETAPA"</formula>
    </cfRule>
  </conditionalFormatting>
  <conditionalFormatting sqref="O315:Q315">
    <cfRule type="expression" priority="516" dxfId="6">
      <formula>$H315="SUBETAPA"</formula>
    </cfRule>
    <cfRule type="expression" priority="517" dxfId="2">
      <formula>$H315="CÉLULA CONSTRUTIVA"</formula>
    </cfRule>
  </conditionalFormatting>
  <conditionalFormatting sqref="O378:Q378">
    <cfRule type="expression" priority="32" dxfId="6">
      <formula>$H378="SUBETAPA"</formula>
    </cfRule>
    <cfRule type="expression" priority="33" dxfId="2">
      <formula>$H378="CÉLULA CONSTRUTIVA"</formula>
    </cfRule>
    <cfRule type="expression" priority="34" dxfId="0">
      <formula>$H378="ETAPA"</formula>
    </cfRule>
  </conditionalFormatting>
  <conditionalFormatting sqref="O397:Q397">
    <cfRule type="expression" priority="490" dxfId="2">
      <formula>$H397="CÉLULA CONSTRUTIVA"</formula>
    </cfRule>
  </conditionalFormatting>
  <conditionalFormatting sqref="O397:Q398">
    <cfRule type="expression" priority="489" dxfId="6">
      <formula>$H397="SUBETAPA"</formula>
    </cfRule>
  </conditionalFormatting>
  <conditionalFormatting sqref="O402:Q402">
    <cfRule type="expression" priority="411" dxfId="6">
      <formula>$H402="SUBETAPA"</formula>
    </cfRule>
    <cfRule type="expression" priority="410" dxfId="0">
      <formula>$H402="ETAPA"</formula>
    </cfRule>
  </conditionalFormatting>
  <conditionalFormatting sqref="O409:Q409">
    <cfRule type="expression" priority="400" dxfId="2">
      <formula>$H409="CÉLULA CONSTRUTIVA"</formula>
    </cfRule>
  </conditionalFormatting>
  <conditionalFormatting sqref="O409:Q410">
    <cfRule type="expression" priority="399" dxfId="6">
      <formula>$H409="SUBETAPA"</formula>
    </cfRule>
  </conditionalFormatting>
  <conditionalFormatting sqref="O164">
    <cfRule type="expression" priority="269" dxfId="6">
      <formula>$H164="SUBETAPA"</formula>
    </cfRule>
    <cfRule type="expression" priority="270" dxfId="2">
      <formula>$H164="CÉLULA CONSTRUTIVA"</formula>
    </cfRule>
  </conditionalFormatting>
  <conditionalFormatting sqref="O165">
    <cfRule type="expression" priority="275" dxfId="6">
      <formula>$H165="SUBETAPA"</formula>
    </cfRule>
    <cfRule type="expression" priority="276" dxfId="2">
      <formula>$H165="CÉLULA CONSTRUTIVA"</formula>
    </cfRule>
    <cfRule type="expression" priority="271" dxfId="0">
      <formula>$H165="ETAPA"</formula>
    </cfRule>
  </conditionalFormatting>
  <conditionalFormatting sqref="O166">
    <cfRule type="expression" priority="256" dxfId="6">
      <formula>$H166="SUBETAPA"</formula>
    </cfRule>
    <cfRule type="expression" priority="257" dxfId="2">
      <formula>$H166="CÉLULA CONSTRUTIVA"</formula>
    </cfRule>
  </conditionalFormatting>
  <conditionalFormatting sqref="O167">
    <cfRule type="expression" priority="262" dxfId="6">
      <formula>$H167="SUBETAPA"</formula>
    </cfRule>
    <cfRule type="expression" priority="263" dxfId="2">
      <formula>$H167="CÉLULA CONSTRUTIVA"</formula>
    </cfRule>
  </conditionalFormatting>
  <conditionalFormatting sqref="O168">
    <cfRule type="expression" priority="287" dxfId="6">
      <formula>$H168="SUBETAPA"</formula>
    </cfRule>
    <cfRule type="expression" priority="288" dxfId="2">
      <formula>$H168="CÉLULA CONSTRUTIVA"</formula>
    </cfRule>
  </conditionalFormatting>
  <conditionalFormatting sqref="O170">
    <cfRule type="expression" priority="281" dxfId="6">
      <formula>$H170="SUBETAPA"</formula>
    </cfRule>
    <cfRule type="expression" priority="282" dxfId="2">
      <formula>$H170="CÉLULA CONSTRUTIVA"</formula>
    </cfRule>
  </conditionalFormatting>
  <conditionalFormatting sqref="O171">
    <cfRule type="expression" priority="249" dxfId="6">
      <formula>$H171="SUBETAPA"</formula>
    </cfRule>
    <cfRule type="expression" priority="250" dxfId="2">
      <formula>$H171="CÉLULA CONSTRUTIVA"</formula>
    </cfRule>
  </conditionalFormatting>
  <conditionalFormatting sqref="O325:P325">
    <cfRule type="expression" priority="385" dxfId="0">
      <formula>$H325="ETAPA"</formula>
    </cfRule>
    <cfRule type="expression" priority="386" dxfId="2">
      <formula>$H325="CÉLULA CONSTRUTIVA"</formula>
    </cfRule>
  </conditionalFormatting>
  <conditionalFormatting sqref="O350:P350">
    <cfRule type="expression" priority="446" dxfId="0">
      <formula>$H350="ETAPA"</formula>
    </cfRule>
    <cfRule type="expression" priority="453" dxfId="2">
      <formula>$H350="CÉLULA CONSTRUTIVA"</formula>
    </cfRule>
  </conditionalFormatting>
  <conditionalFormatting sqref="O392:Q392">
    <cfRule type="expression" priority="348" dxfId="2">
      <formula>$H392="CÉLULA CONSTRUTIVA"</formula>
    </cfRule>
    <cfRule type="expression" priority="349" dxfId="6">
      <formula>$H392="SUBETAPA"</formula>
    </cfRule>
  </conditionalFormatting>
  <conditionalFormatting sqref="O400:P400">
    <cfRule type="expression" priority="336" dxfId="2">
      <formula>$H400="CÉLULA CONSTRUTIVA"</formula>
    </cfRule>
  </conditionalFormatting>
  <conditionalFormatting sqref="O426">
    <cfRule type="expression" priority="314" dxfId="0">
      <formula>$H426="ETAPA"</formula>
    </cfRule>
  </conditionalFormatting>
  <conditionalFormatting sqref="P264:Q264">
    <cfRule type="expression" priority="394" dxfId="6">
      <formula>$H264="SUBETAPA"</formula>
    </cfRule>
  </conditionalFormatting>
  <conditionalFormatting sqref="O29:P29 O33 Q25:Q29">
    <cfRule type="expression" priority="223" dxfId="0">
      <formula>$H25="ETAPA"</formula>
    </cfRule>
  </conditionalFormatting>
  <conditionalFormatting sqref="O33">
    <cfRule type="expression" priority="222" dxfId="2">
      <formula>$H33="CÉLULA CONSTRUTIVA"</formula>
    </cfRule>
  </conditionalFormatting>
  <conditionalFormatting sqref="O60:O62 O64:P67 P61:P62 P69:P80">
    <cfRule type="expression" priority="172" dxfId="0">
      <formula>$H60="ETAPA"</formula>
    </cfRule>
  </conditionalFormatting>
  <conditionalFormatting sqref="O72:O80">
    <cfRule type="expression" priority="187" dxfId="0">
      <formula>$H72="ETAPA"</formula>
    </cfRule>
  </conditionalFormatting>
  <conditionalFormatting sqref="O159:O160">
    <cfRule type="expression" priority="465" dxfId="6">
      <formula>$H159="SUBETAPA"</formula>
    </cfRule>
    <cfRule type="expression" priority="466" dxfId="2">
      <formula>$H159="CÉLULA CONSTRUTIVA"</formula>
    </cfRule>
  </conditionalFormatting>
  <conditionalFormatting sqref="O163 O169">
    <cfRule type="expression" priority="295" dxfId="6">
      <formula>$H163="SUBETAPA"</formula>
    </cfRule>
    <cfRule type="expression" priority="296" dxfId="2">
      <formula>$H163="CÉLULA CONSTRUTIVA"</formula>
    </cfRule>
  </conditionalFormatting>
  <conditionalFormatting sqref="O205">
    <cfRule type="expression" priority="117" dxfId="4">
      <formula>$H205="CÉLULA CONSTRUTIVA"</formula>
    </cfRule>
    <cfRule type="expression" priority="118" dxfId="11">
      <formula>$H205="ETAPA"</formula>
    </cfRule>
  </conditionalFormatting>
  <conditionalFormatting sqref="O365">
    <cfRule type="expression" priority="340" dxfId="0">
      <formula>$H365="ETAPA"</formula>
    </cfRule>
    <cfRule type="expression" priority="341" dxfId="2">
      <formula>$H365="CÉLULA CONSTRUTIVA"</formula>
    </cfRule>
    <cfRule type="expression" priority="342" dxfId="6">
      <formula>$H365="SUBETAPA"</formula>
    </cfRule>
  </conditionalFormatting>
  <conditionalFormatting sqref="O422:O424">
    <cfRule type="expression" priority="530" dxfId="0">
      <formula>$H422="ETAPA"</formula>
    </cfRule>
  </conditionalFormatting>
  <conditionalFormatting sqref="O28:P28 O30:P32 O45:P48 Q30:Q38">
    <cfRule type="expression" priority="221" dxfId="0">
      <formula>$H28="ETAPA"</formula>
    </cfRule>
  </conditionalFormatting>
  <conditionalFormatting sqref="O34:P39">
    <cfRule type="expression" priority="214" dxfId="0">
      <formula>$H34="ETAPA"</formula>
    </cfRule>
  </conditionalFormatting>
  <conditionalFormatting sqref="O39:P39">
    <cfRule type="expression" priority="215" dxfId="6">
      <formula>$H39="SUBETAPA"</formula>
    </cfRule>
  </conditionalFormatting>
  <conditionalFormatting sqref="O40:Q40 O41:P41">
    <cfRule type="expression" priority="193" dxfId="0">
      <formula>$H40="ETAPA"</formula>
    </cfRule>
  </conditionalFormatting>
  <conditionalFormatting sqref="O41:P41">
    <cfRule type="expression" priority="192" dxfId="2">
      <formula>$H41="CÉLULA CONSTRUTIVA"</formula>
    </cfRule>
  </conditionalFormatting>
  <conditionalFormatting sqref="O44:P44">
    <cfRule type="expression" priority="210" dxfId="2">
      <formula>$H44="CÉLULA CONSTRUTIVA"</formula>
    </cfRule>
  </conditionalFormatting>
  <conditionalFormatting sqref="O45:P45">
    <cfRule type="expression" priority="208" dxfId="6">
      <formula>$H45="SUBETAPA"</formula>
    </cfRule>
  </conditionalFormatting>
  <conditionalFormatting sqref="O49:P49">
    <cfRule type="expression" priority="206" dxfId="2">
      <formula>$H49="CÉLULA CONSTRUTIVA"</formula>
    </cfRule>
  </conditionalFormatting>
  <conditionalFormatting sqref="O52:P52">
    <cfRule type="expression" priority="204" dxfId="6">
      <formula>$H52="SUBETAPA"</formula>
    </cfRule>
  </conditionalFormatting>
  <conditionalFormatting sqref="O52:P53">
    <cfRule type="expression" priority="203" dxfId="0">
      <formula>$H52="ETAPA"</formula>
    </cfRule>
  </conditionalFormatting>
  <conditionalFormatting sqref="O53:P54">
    <cfRule type="expression" priority="194" dxfId="6">
      <formula>$H53="SUBETAPA"</formula>
    </cfRule>
  </conditionalFormatting>
  <conditionalFormatting sqref="O54:P54">
    <cfRule type="expression" priority="195" dxfId="2">
      <formula>$H54="CÉLULA CONSTRUTIVA"</formula>
    </cfRule>
    <cfRule type="expression" priority="196" dxfId="0">
      <formula>$H54="ETAPA"</formula>
    </cfRule>
  </conditionalFormatting>
  <conditionalFormatting sqref="O62:P67">
    <cfRule type="expression" priority="170" dxfId="6">
      <formula>$H62="SUBETAPA"</formula>
    </cfRule>
  </conditionalFormatting>
  <conditionalFormatting sqref="O63:P67 Q58:Q68">
    <cfRule type="expression" priority="171" dxfId="2">
      <formula>$H58="CÉLULA CONSTRUTIVA"</formula>
    </cfRule>
  </conditionalFormatting>
  <conditionalFormatting sqref="O68:P68">
    <cfRule type="expression" priority="165" dxfId="0">
      <formula>$H68="ETAPA"</formula>
    </cfRule>
    <cfRule type="expression" priority="163" dxfId="6">
      <formula>$H68="SUBETAPA"</formula>
    </cfRule>
    <cfRule type="expression" priority="164" dxfId="2">
      <formula>$H68="CÉLULA CONSTRUTIVA"</formula>
    </cfRule>
  </conditionalFormatting>
  <conditionalFormatting sqref="O82:P84">
    <cfRule type="expression" priority="173" dxfId="0">
      <formula>$H82="ETAPA"</formula>
    </cfRule>
  </conditionalFormatting>
  <conditionalFormatting sqref="O83:P84">
    <cfRule type="expression" priority="174" dxfId="6">
      <formula>$H83="SUBETAPA"</formula>
    </cfRule>
  </conditionalFormatting>
  <conditionalFormatting sqref="O117:P117">
    <cfRule type="expression" priority="155" dxfId="0">
      <formula>$H117="ETAPA"</formula>
    </cfRule>
    <cfRule type="expression" priority="154" dxfId="2">
      <formula>$H117="CÉLULA CONSTRUTIVA"</formula>
    </cfRule>
  </conditionalFormatting>
  <conditionalFormatting sqref="O180:Q180 O181:P181 O183:P183">
    <cfRule type="expression" priority="77" dxfId="4">
      <formula>$H180="CÉLULA CONSTRUTIVA"</formula>
    </cfRule>
  </conditionalFormatting>
  <conditionalFormatting sqref="O183:P183">
    <cfRule type="expression" priority="79" dxfId="11">
      <formula>$H183="ETAPA"</formula>
    </cfRule>
  </conditionalFormatting>
  <conditionalFormatting sqref="O185:P185">
    <cfRule type="expression" priority="82" dxfId="11">
      <formula>$H185="ETAPA"</formula>
    </cfRule>
  </conditionalFormatting>
  <conditionalFormatting sqref="O187:P187">
    <cfRule type="expression" priority="69" dxfId="4">
      <formula>$H187="CÉLULA CONSTRUTIVA"</formula>
    </cfRule>
    <cfRule type="expression" priority="70" dxfId="11">
      <formula>$H187="ETAPA"</formula>
    </cfRule>
  </conditionalFormatting>
  <conditionalFormatting sqref="O189:P189">
    <cfRule type="expression" priority="71" dxfId="11">
      <formula>$H189="ETAPA"</formula>
    </cfRule>
  </conditionalFormatting>
  <conditionalFormatting sqref="O226:P226">
    <cfRule type="expression" priority="55" dxfId="6">
      <formula>$H226="SUBETAPA"</formula>
    </cfRule>
    <cfRule type="expression" priority="56" dxfId="2">
      <formula>$H226="CÉLULA CONSTRUTIVA"</formula>
    </cfRule>
    <cfRule type="expression" priority="57" dxfId="0">
      <formula>$H226="ETAPA"</formula>
    </cfRule>
  </conditionalFormatting>
  <conditionalFormatting sqref="O228:P228 O230:P230">
    <cfRule type="expression" priority="58" dxfId="2">
      <formula>$H228="CÉLULA CONSTRUTIVA"</formula>
    </cfRule>
    <cfRule type="expression" priority="59" dxfId="0">
      <formula>$H228="ETAPA"</formula>
    </cfRule>
  </conditionalFormatting>
  <conditionalFormatting sqref="O238:P238">
    <cfRule type="expression" priority="62" dxfId="53">
      <formula>#REF!="SUBETAPA"</formula>
    </cfRule>
    <cfRule type="expression" priority="63" dxfId="4">
      <formula>$H238="CÉLULA CONSTRUTIVA"</formula>
    </cfRule>
  </conditionalFormatting>
  <conditionalFormatting sqref="O262:P263">
    <cfRule type="expression" priority="513" dxfId="2">
      <formula>$H262="CÉLULA CONSTRUTIVA"</formula>
    </cfRule>
  </conditionalFormatting>
  <conditionalFormatting sqref="O264:P264">
    <cfRule type="expression" priority="393" dxfId="2">
      <formula>$H264="CÉLULA CONSTRUTIVA"</formula>
    </cfRule>
  </conditionalFormatting>
  <conditionalFormatting sqref="O295:P295">
    <cfRule type="expression" priority="455" dxfId="0">
      <formula>$H295="ETAPA"</formula>
    </cfRule>
  </conditionalFormatting>
  <conditionalFormatting sqref="O327:P327 O329:P329">
    <cfRule type="expression" priority="505" dxfId="6">
      <formula>$H327="SUBETAPA"</formula>
    </cfRule>
  </conditionalFormatting>
  <conditionalFormatting sqref="O328:P328">
    <cfRule type="expression" priority="6" dxfId="6">
      <formula>$H328="SUBETAPA"</formula>
    </cfRule>
  </conditionalFormatting>
  <conditionalFormatting sqref="O359:P359">
    <cfRule type="expression" priority="526" dxfId="6">
      <formula>$H359="SUBETAPA"</formula>
    </cfRule>
    <cfRule type="expression" priority="527" dxfId="2">
      <formula>$H359="CÉLULA CONSTRUTIVA"</formula>
    </cfRule>
    <cfRule type="expression" priority="528" dxfId="0">
      <formula>$H359="ETAPA"</formula>
    </cfRule>
  </conditionalFormatting>
  <conditionalFormatting sqref="O361:P361">
    <cfRule type="expression" priority="524" dxfId="6">
      <formula>$H361="SUBETAPA"</formula>
    </cfRule>
    <cfRule type="expression" priority="525" dxfId="2">
      <formula>$H361="CÉLULA CONSTRUTIVA"</formula>
    </cfRule>
  </conditionalFormatting>
  <conditionalFormatting sqref="O400:P401">
    <cfRule type="expression" priority="335" dxfId="0">
      <formula>$H400="ETAPA"</formula>
    </cfRule>
  </conditionalFormatting>
  <conditionalFormatting sqref="O432:P432">
    <cfRule type="expression" priority="306" dxfId="6">
      <formula>$H432="SUBETAPA"</formula>
    </cfRule>
    <cfRule type="expression" priority="305" dxfId="2">
      <formula>$H432="CÉLULA CONSTRUTIVA"</formula>
    </cfRule>
  </conditionalFormatting>
  <conditionalFormatting sqref="O11:Q11 Q19:Q22">
    <cfRule type="expression" priority="229" dxfId="2">
      <formula>$H11="CÉLULA CONSTRUTIVA"</formula>
    </cfRule>
  </conditionalFormatting>
  <conditionalFormatting sqref="O13:Q15">
    <cfRule type="expression" priority="224" dxfId="0">
      <formula>$H13="ETAPA"</formula>
    </cfRule>
  </conditionalFormatting>
  <conditionalFormatting sqref="O13:Q17">
    <cfRule type="expression" priority="234" dxfId="6">
      <formula>$H13="SUBETAPA"</formula>
    </cfRule>
  </conditionalFormatting>
  <conditionalFormatting sqref="O8:Q10 O12:Q12 O18:Q22">
    <cfRule type="expression" priority="237" dxfId="6">
      <formula>$H8="SUBETAPA"</formula>
    </cfRule>
  </conditionalFormatting>
  <conditionalFormatting sqref="O18:Q22">
    <cfRule type="expression" priority="236" dxfId="0">
      <formula>$H18="ETAPA"</formula>
    </cfRule>
  </conditionalFormatting>
  <conditionalFormatting sqref="O26:Q27">
    <cfRule type="expression" priority="219" dxfId="0">
      <formula>$H26="ETAPA"</formula>
    </cfRule>
  </conditionalFormatting>
  <conditionalFormatting sqref="O41:Q41">
    <cfRule type="expression" priority="190" dxfId="6">
      <formula>$H41="SUBETAPA"</formula>
    </cfRule>
  </conditionalFormatting>
  <conditionalFormatting sqref="O44:Q44">
    <cfRule type="expression" priority="211" dxfId="0">
      <formula>$H44="ETAPA"</formula>
    </cfRule>
  </conditionalFormatting>
  <conditionalFormatting sqref="O49:Q49">
    <cfRule type="expression" priority="207" dxfId="0">
      <formula>$H49="ETAPA"</formula>
    </cfRule>
  </conditionalFormatting>
  <conditionalFormatting sqref="O50:Q51">
    <cfRule type="expression" priority="205" dxfId="0">
      <formula>$H50="ETAPA"</formula>
    </cfRule>
  </conditionalFormatting>
  <conditionalFormatting sqref="O53:Q53">
    <cfRule type="expression" priority="201" dxfId="2">
      <formula>$H53="CÉLULA CONSTRUTIVA"</formula>
    </cfRule>
  </conditionalFormatting>
  <conditionalFormatting sqref="O85:Q85">
    <cfRule type="expression" priority="160" dxfId="6">
      <formula>$H85="SUBETAPA"</formula>
    </cfRule>
    <cfRule type="expression" priority="161" dxfId="2">
      <formula>$H85="CÉLULA CONSTRUTIVA"</formula>
    </cfRule>
    <cfRule type="expression" priority="162" dxfId="0">
      <formula>$H85="ETAPA"</formula>
    </cfRule>
  </conditionalFormatting>
  <conditionalFormatting sqref="O116:Q116">
    <cfRule type="expression" priority="158" dxfId="0">
      <formula>$H116="ETAPA"</formula>
    </cfRule>
  </conditionalFormatting>
  <conditionalFormatting sqref="O146:Q146">
    <cfRule type="expression" priority="303" dxfId="2">
      <formula>$H146="CÉLULA CONSTRUTIVA"</formula>
    </cfRule>
    <cfRule type="expression" priority="304" dxfId="6">
      <formula>$H146="SUBETAPA"</formula>
    </cfRule>
  </conditionalFormatting>
  <conditionalFormatting sqref="O146:Q147">
    <cfRule type="expression" priority="302" dxfId="0">
      <formula>$H146="ETAPA"</formula>
    </cfRule>
  </conditionalFormatting>
  <conditionalFormatting sqref="O159:Q159 O160:P160">
    <cfRule type="expression" priority="464" dxfId="0">
      <formula>$H159="ETAPA"</formula>
    </cfRule>
  </conditionalFormatting>
  <conditionalFormatting sqref="O163:Q163 O169:P169">
    <cfRule type="expression" priority="294" dxfId="0">
      <formula>$H163="ETAPA"</formula>
    </cfRule>
  </conditionalFormatting>
  <conditionalFormatting sqref="O185:Q185">
    <cfRule type="expression" priority="83" dxfId="4">
      <formula>$H185="CÉLULA CONSTRUTIVA"</formula>
    </cfRule>
    <cfRule type="expression" priority="85" dxfId="53">
      <formula>$H185="SUBETAPA"</formula>
    </cfRule>
  </conditionalFormatting>
  <conditionalFormatting sqref="O189:Q189">
    <cfRule type="expression" priority="72" dxfId="4">
      <formula>$H189="CÉLULA CONSTRUTIVA"</formula>
    </cfRule>
    <cfRule type="expression" priority="74" dxfId="53">
      <formula>$H189="SUBETAPA"</formula>
    </cfRule>
  </conditionalFormatting>
  <conditionalFormatting sqref="O215:Q215">
    <cfRule type="expression" priority="41" dxfId="11">
      <formula>$H215="ETAPA"</formula>
    </cfRule>
    <cfRule type="expression" priority="42" dxfId="53">
      <formula>#REF!="SUBETAPA"</formula>
    </cfRule>
  </conditionalFormatting>
  <conditionalFormatting sqref="O225:Q225">
    <cfRule type="expression" priority="53" dxfId="2">
      <formula>$H225="CÉLULA CONSTRUTIVA"</formula>
    </cfRule>
    <cfRule type="expression" priority="54" dxfId="0">
      <formula>$H225="ETAPA"</formula>
    </cfRule>
  </conditionalFormatting>
  <conditionalFormatting sqref="O238:Q238">
    <cfRule type="expression" priority="60" dxfId="11">
      <formula>$H238="ETAPA"</formula>
    </cfRule>
  </conditionalFormatting>
  <conditionalFormatting sqref="O267:Q269">
    <cfRule type="expression" priority="514" dxfId="6">
      <formula>$H267="SUBETAPA"</formula>
    </cfRule>
    <cfRule type="expression" priority="515" dxfId="2">
      <formula>$H267="CÉLULA CONSTRUTIVA"</formula>
    </cfRule>
  </conditionalFormatting>
  <conditionalFormatting sqref="O304:Q304">
    <cfRule type="expression" priority="509" dxfId="6">
      <formula>$H304="SUBETAPA"</formula>
    </cfRule>
  </conditionalFormatting>
  <conditionalFormatting sqref="O328:Q328">
    <cfRule type="expression" priority="2" dxfId="2">
      <formula>$H328="CÉLULA CONSTRUTIVA"</formula>
    </cfRule>
  </conditionalFormatting>
  <conditionalFormatting sqref="O368:Q368">
    <cfRule type="expression" priority="359" dxfId="0">
      <formula>$H368="ETAPA"</formula>
    </cfRule>
  </conditionalFormatting>
  <conditionalFormatting sqref="O380:Q380">
    <cfRule type="expression" priority="25" dxfId="6">
      <formula>$H380="SUBETAPA"</formula>
    </cfRule>
    <cfRule type="expression" priority="26" dxfId="2">
      <formula>$H380="CÉLULA CONSTRUTIVA"</formula>
    </cfRule>
    <cfRule type="expression" priority="27" dxfId="0">
      <formula>$H380="ETAPA"</formula>
    </cfRule>
  </conditionalFormatting>
  <conditionalFormatting sqref="O382:Q382">
    <cfRule type="expression" priority="18" dxfId="6">
      <formula>$H382="SUBETAPA"</formula>
    </cfRule>
    <cfRule type="expression" priority="19" dxfId="2">
      <formula>$H382="CÉLULA CONSTRUTIVA"</formula>
    </cfRule>
    <cfRule type="expression" priority="20" dxfId="0">
      <formula>$H382="ETAPA"</formula>
    </cfRule>
  </conditionalFormatting>
  <conditionalFormatting sqref="O384:Q384">
    <cfRule type="expression" priority="11" dxfId="6">
      <formula>$H384="SUBETAPA"</formula>
    </cfRule>
    <cfRule type="expression" priority="12" dxfId="2">
      <formula>$H384="CÉLULA CONSTRUTIVA"</formula>
    </cfRule>
    <cfRule type="expression" priority="13" dxfId="0">
      <formula>$H384="ETAPA"</formula>
    </cfRule>
  </conditionalFormatting>
  <conditionalFormatting sqref="O393:Q393">
    <cfRule type="expression" priority="441" dxfId="2">
      <formula>$H393="CÉLULA CONSTRUTIVA"</formula>
    </cfRule>
    <cfRule type="expression" priority="442" dxfId="6">
      <formula>$H393="SUBETAPA"</formula>
    </cfRule>
  </conditionalFormatting>
  <conditionalFormatting sqref="O69:O71">
    <cfRule type="expression" priority="183" dxfId="6">
      <formula>$H69="SUBETAPA"</formula>
    </cfRule>
    <cfRule type="expression" priority="184" dxfId="2">
      <formula>$H69="CÉLULA CONSTRUTIVA"</formula>
    </cfRule>
    <cfRule type="expression" priority="185" dxfId="0">
      <formula>$H69="ETAPA"</formula>
    </cfRule>
  </conditionalFormatting>
  <conditionalFormatting sqref="O162:P162">
    <cfRule type="expression" priority="507" dxfId="2">
      <formula>$H162="CÉLULA CONSTRUTIVA"</formula>
    </cfRule>
  </conditionalFormatting>
  <conditionalFormatting sqref="P162">
    <cfRule type="expression" priority="508" dxfId="6">
      <formula>$H162="SUBETAPA"</formula>
    </cfRule>
  </conditionalFormatting>
  <conditionalFormatting sqref="O223:P225">
    <cfRule type="expression" priority="52" dxfId="6">
      <formula>$H223="SUBETAPA"</formula>
    </cfRule>
  </conditionalFormatting>
  <conditionalFormatting sqref="O156">
    <cfRule type="expression" priority="506" dxfId="6">
      <formula>$H156="SUBETAPA"</formula>
    </cfRule>
  </conditionalFormatting>
  <conditionalFormatting sqref="O117:Q117">
    <cfRule type="expression" priority="153" dxfId="6">
      <formula>$H117="SUBETAPA"</formula>
    </cfRule>
  </conditionalFormatting>
  <conditionalFormatting sqref="O141:Q142">
    <cfRule type="expression" priority="536" dxfId="2">
      <formula>$H141="CÉLULA CONSTRUTIVA"</formula>
    </cfRule>
  </conditionalFormatting>
  <conditionalFormatting sqref="O389:Q389">
    <cfRule type="expression" priority="435" dxfId="0">
      <formula>$H389="ETAPA"</formula>
    </cfRule>
  </conditionalFormatting>
  <conditionalFormatting sqref="O394:Q394">
    <cfRule type="expression" priority="416" dxfId="0">
      <formula>$H394="ETAPA"</formula>
    </cfRule>
    <cfRule type="expression" priority="417" dxfId="6">
      <formula>$H394="SUBETAPA"</formula>
    </cfRule>
  </conditionalFormatting>
  <conditionalFormatting sqref="O262:O263">
    <cfRule type="expression" priority="512" dxfId="6">
      <formula>$H262="SUBETAPA"</formula>
    </cfRule>
  </conditionalFormatting>
  <conditionalFormatting sqref="O264">
    <cfRule type="expression" priority="392" dxfId="6">
      <formula>$H264="SUBETAPA"</formula>
    </cfRule>
  </conditionalFormatting>
  <conditionalFormatting sqref="O324">
    <cfRule type="expression" priority="370" dxfId="2">
      <formula>$H324="CÉLULA CONSTRUTIVA"</formula>
    </cfRule>
    <cfRule type="expression" priority="371" dxfId="0">
      <formula>$H324="ETAPA"</formula>
    </cfRule>
    <cfRule type="expression" priority="372" dxfId="6">
      <formula>$H324="SUBETAPA"</formula>
    </cfRule>
  </conditionalFormatting>
  <conditionalFormatting sqref="O333">
    <cfRule type="expression" priority="495" dxfId="0">
      <formula>$H333="ETAPA"</formula>
    </cfRule>
  </conditionalFormatting>
  <conditionalFormatting sqref="O349">
    <cfRule type="expression" priority="454" dxfId="2">
      <formula>$H349="CÉLULA CONSTRUTIVA"</formula>
    </cfRule>
  </conditionalFormatting>
  <conditionalFormatting sqref="O366">
    <cfRule type="expression" priority="477" dxfId="2">
      <formula>$H366="CÉLULA CONSTRUTIVA"</formula>
    </cfRule>
    <cfRule type="expression" priority="478" dxfId="6">
      <formula>$H366="SUBETAPA"</formula>
    </cfRule>
  </conditionalFormatting>
  <conditionalFormatting sqref="O370">
    <cfRule type="expression" priority="472" dxfId="2">
      <formula>$H370="CÉLULA CONSTRUTIVA"</formula>
    </cfRule>
    <cfRule type="expression" priority="473" dxfId="6">
      <formula>$H370="SUBETAPA"</formula>
    </cfRule>
  </conditionalFormatting>
  <conditionalFormatting sqref="O370:O372">
    <cfRule type="expression" priority="315" dxfId="0">
      <formula>$H370="ETAPA"</formula>
    </cfRule>
  </conditionalFormatting>
  <conditionalFormatting sqref="O371">
    <cfRule type="expression" priority="361" dxfId="2">
      <formula>$H371="CÉLULA CONSTRUTIVA"</formula>
    </cfRule>
    <cfRule type="expression" priority="362" dxfId="6">
      <formula>$H371="SUBETAPA"</formula>
    </cfRule>
  </conditionalFormatting>
  <conditionalFormatting sqref="O372">
    <cfRule type="expression" priority="316" dxfId="6">
      <formula>$H372="SUBETAPA"</formula>
    </cfRule>
    <cfRule type="expression" priority="317" dxfId="2">
      <formula>$H372="CÉLULA CONSTRUTIVA"</formula>
    </cfRule>
  </conditionalFormatting>
  <conditionalFormatting sqref="O374">
    <cfRule type="expression" priority="318" dxfId="0">
      <formula>$H374="ETAPA"</formula>
    </cfRule>
    <cfRule type="expression" priority="319" dxfId="6">
      <formula>$H374="SUBETAPA"</formula>
    </cfRule>
    <cfRule type="expression" priority="320" dxfId="2">
      <formula>$H374="CÉLULA CONSTRUTIVA"</formula>
    </cfRule>
  </conditionalFormatting>
  <conditionalFormatting sqref="O388 Q388">
    <cfRule type="expression" priority="423" dxfId="0">
      <formula>$H388="ETAPA"</formula>
    </cfRule>
    <cfRule type="expression" priority="422" dxfId="6">
      <formula>$H388="SUBETAPA"</formula>
    </cfRule>
  </conditionalFormatting>
  <conditionalFormatting sqref="O390 Q390">
    <cfRule type="expression" priority="433" dxfId="0">
      <formula>$H390="ETAPA"</formula>
    </cfRule>
    <cfRule type="expression" priority="432" dxfId="6">
      <formula>$H390="SUBETAPA"</formula>
    </cfRule>
  </conditionalFormatting>
  <conditionalFormatting sqref="O395 Q395">
    <cfRule type="expression" priority="414" dxfId="0">
      <formula>$H395="ETAPA"</formula>
    </cfRule>
    <cfRule type="expression" priority="413" dxfId="6">
      <formula>$H395="SUBETAPA"</formula>
    </cfRule>
  </conditionalFormatting>
  <conditionalFormatting sqref="O403 Q403">
    <cfRule type="expression" priority="408" dxfId="0">
      <formula>$H403="ETAPA"</formula>
    </cfRule>
    <cfRule type="expression" priority="407" dxfId="6">
      <formula>$H403="SUBETAPA"</formula>
    </cfRule>
  </conditionalFormatting>
  <conditionalFormatting sqref="O403">
    <cfRule type="expression" priority="409" dxfId="2">
      <formula>$H403="CÉLULA CONSTRUTIVA"</formula>
    </cfRule>
  </conditionalFormatting>
  <conditionalFormatting sqref="O404 Q404">
    <cfRule type="expression" priority="329" dxfId="0">
      <formula>$H404="ETAPA"</formula>
    </cfRule>
    <cfRule type="expression" priority="328" dxfId="6">
      <formula>$H404="SUBETAPA"</formula>
    </cfRule>
  </conditionalFormatting>
  <conditionalFormatting sqref="O404">
    <cfRule type="expression" priority="330" dxfId="2">
      <formula>$H404="CÉLULA CONSTRUTIVA"</formula>
    </cfRule>
  </conditionalFormatting>
  <conditionalFormatting sqref="O406 Q405:Q406">
    <cfRule type="expression" priority="242" dxfId="2">
      <formula>$H405="CÉLULA CONSTRUTIVA"</formula>
    </cfRule>
  </conditionalFormatting>
  <conditionalFormatting sqref="O420">
    <cfRule type="expression" priority="504" dxfId="6">
      <formula>$H420="SUBETAPA"</formula>
    </cfRule>
  </conditionalFormatting>
  <conditionalFormatting sqref="O420:O421">
    <cfRule type="expression" priority="502" dxfId="2">
      <formula>$H420="CÉLULA CONSTRUTIVA"</formula>
    </cfRule>
  </conditionalFormatting>
  <conditionalFormatting sqref="O421">
    <cfRule type="expression" priority="503" dxfId="6">
      <formula>$H421="SUBETAPA"</formula>
    </cfRule>
  </conditionalFormatting>
  <conditionalFormatting sqref="O128:P128">
    <cfRule type="expression" priority="1" dxfId="53">
      <formula>$H128="SUBETAPA"</formula>
    </cfRule>
  </conditionalFormatting>
  <conditionalFormatting sqref="O164:P164 P165:Q165">
    <cfRule type="expression" priority="268" dxfId="0">
      <formula>$H164="ETAPA"</formula>
    </cfRule>
  </conditionalFormatting>
  <conditionalFormatting sqref="O166:P166">
    <cfRule type="expression" priority="255" dxfId="0">
      <formula>$H166="ETAPA"</formula>
    </cfRule>
  </conditionalFormatting>
  <conditionalFormatting sqref="O167:P167">
    <cfRule type="expression" priority="261" dxfId="0">
      <formula>$H167="ETAPA"</formula>
    </cfRule>
  </conditionalFormatting>
  <conditionalFormatting sqref="O168:P168">
    <cfRule type="expression" priority="286" dxfId="0">
      <formula>$H168="ETAPA"</formula>
    </cfRule>
  </conditionalFormatting>
  <conditionalFormatting sqref="O170:P170">
    <cfRule type="expression" priority="280" dxfId="0">
      <formula>$H170="ETAPA"</formula>
    </cfRule>
  </conditionalFormatting>
  <conditionalFormatting sqref="O171:P171">
    <cfRule type="expression" priority="248" dxfId="0">
      <formula>$H171="ETAPA"</formula>
    </cfRule>
  </conditionalFormatting>
  <conditionalFormatting sqref="O245:P247">
    <cfRule type="expression" priority="89" dxfId="11">
      <formula>$H245="ETAPA"</formula>
    </cfRule>
    <cfRule type="expression" priority="90" dxfId="4">
      <formula>$H245="CÉLULA CONSTRUTIVA"</formula>
    </cfRule>
    <cfRule type="expression" priority="91" dxfId="53">
      <formula>#REF!="SUBETAPA"</formula>
    </cfRule>
  </conditionalFormatting>
  <conditionalFormatting sqref="O249:P249 O251:P251">
    <cfRule type="expression" priority="86" dxfId="11">
      <formula>$H249="ETAPA"</formula>
    </cfRule>
    <cfRule type="expression" priority="87" dxfId="4">
      <formula>$H249="CÉLULA CONSTRUTIVA"</formula>
    </cfRule>
    <cfRule type="expression" priority="88" dxfId="53">
      <formula>#REF!="SUBETAPA"</formula>
    </cfRule>
  </conditionalFormatting>
  <conditionalFormatting sqref="O387:P387">
    <cfRule type="expression" priority="425" dxfId="2">
      <formula>$H387="CÉLULA CONSTRUTIVA"</formula>
    </cfRule>
  </conditionalFormatting>
  <conditionalFormatting sqref="O407:P408">
    <cfRule type="expression" priority="483" dxfId="2">
      <formula>$H407="CÉLULA CONSTRUTIVA"</formula>
    </cfRule>
  </conditionalFormatting>
  <conditionalFormatting sqref="O387:Q387">
    <cfRule type="expression" priority="424" dxfId="0">
      <formula>$H387="ETAPA"</formula>
    </cfRule>
  </conditionalFormatting>
  <conditionalFormatting sqref="O386:Q387 O389:Q389">
    <cfRule type="expression" priority="436" dxfId="6">
      <formula>$H386="SUBETAPA"</formula>
    </cfRule>
  </conditionalFormatting>
  <conditionalFormatting sqref="O398:Q398">
    <cfRule type="expression" priority="488" dxfId="0">
      <formula>$H398="ETAPA"</formula>
    </cfRule>
  </conditionalFormatting>
  <conditionalFormatting sqref="O400:Q400">
    <cfRule type="expression" priority="338" dxfId="6">
      <formula>$H400="SUBETAPA"</formula>
    </cfRule>
  </conditionalFormatting>
  <conditionalFormatting sqref="O405:Q405">
    <cfRule type="expression" priority="241" dxfId="6">
      <formula>$H405="SUBETAPA"</formula>
    </cfRule>
  </conditionalFormatting>
  <conditionalFormatting sqref="O410:Q410">
    <cfRule type="expression" priority="397" dxfId="0">
      <formula>$H410="ETAPA"</formula>
    </cfRule>
  </conditionalFormatting>
  <conditionalFormatting sqref="O412:Q415">
    <cfRule type="expression" priority="405" dxfId="6">
      <formula>$H412="SUBETAPA"</formula>
    </cfRule>
  </conditionalFormatting>
  <conditionalFormatting sqref="P33">
    <cfRule type="expression" priority="217" dxfId="2">
      <formula>$H33="CÉLULA CONSTRUTIVA"</formula>
    </cfRule>
    <cfRule type="expression" priority="218" dxfId="0">
      <formula>$H33="ETAPA"</formula>
    </cfRule>
  </conditionalFormatting>
  <conditionalFormatting sqref="P109">
    <cfRule type="expression" priority="159" dxfId="2">
      <formula>$H109="CÉLULA CONSTRUTIVA"</formula>
    </cfRule>
  </conditionalFormatting>
  <conditionalFormatting sqref="P141:P142">
    <cfRule type="expression" priority="537" dxfId="0">
      <formula>$H141="ETAPA"</formula>
    </cfRule>
  </conditionalFormatting>
  <conditionalFormatting sqref="P173">
    <cfRule type="expression" priority="141" dxfId="4">
      <formula>$H173="CÉLULA CONSTRUTIVA"</formula>
    </cfRule>
  </conditionalFormatting>
  <conditionalFormatting sqref="P173:P175">
    <cfRule type="expression" priority="142" dxfId="11">
      <formula>$H173="ETAPA"</formula>
    </cfRule>
  </conditionalFormatting>
  <conditionalFormatting sqref="P180:P181">
    <cfRule type="expression" priority="80" dxfId="11">
      <formula>$H180="ETAPA"</formula>
    </cfRule>
  </conditionalFormatting>
  <conditionalFormatting sqref="P193">
    <cfRule type="expression" priority="115" dxfId="4">
      <formula>$H193="CÉLULA CONSTRUTIVA"</formula>
    </cfRule>
    <cfRule type="expression" priority="116" dxfId="11">
      <formula>$H193="ETAPA"</formula>
    </cfRule>
  </conditionalFormatting>
  <conditionalFormatting sqref="P199">
    <cfRule type="expression" priority="126" dxfId="4">
      <formula>$H199="CÉLULA CONSTRUTIVA"</formula>
    </cfRule>
    <cfRule type="expression" priority="127" dxfId="11">
      <formula>$H199="ETAPA"</formula>
    </cfRule>
  </conditionalFormatting>
  <conditionalFormatting sqref="P206:P207">
    <cfRule type="expression" priority="128" dxfId="4">
      <formula>$H206="CÉLULA CONSTRUTIVA"</formula>
    </cfRule>
    <cfRule type="expression" priority="129" dxfId="11">
      <formula>$H206="ETAPA"</formula>
    </cfRule>
  </conditionalFormatting>
  <conditionalFormatting sqref="P208">
    <cfRule type="expression" priority="107" dxfId="4">
      <formula>$H208="CÉLULA CONSTRUTIVA"</formula>
    </cfRule>
    <cfRule type="expression" priority="108" dxfId="11">
      <formula>$H208="ETAPA"</formula>
    </cfRule>
  </conditionalFormatting>
  <conditionalFormatting sqref="P263:P264">
    <cfRule type="expression" priority="391" dxfId="0">
      <formula>$H263="ETAPA"</formula>
    </cfRule>
  </conditionalFormatting>
  <conditionalFormatting sqref="P349">
    <cfRule type="expression" priority="447" dxfId="2">
      <formula>$H349="CÉLULA CONSTRUTIVA"</formula>
    </cfRule>
  </conditionalFormatting>
  <conditionalFormatting sqref="P363:P365">
    <cfRule type="expression" priority="343" dxfId="0">
      <formula>$H363="ETAPA"</formula>
    </cfRule>
  </conditionalFormatting>
  <conditionalFormatting sqref="P370">
    <cfRule type="expression" priority="474" dxfId="6">
      <formula>$H370="SUBETAPA"</formula>
    </cfRule>
    <cfRule type="expression" priority="475" dxfId="2">
      <formula>$H370="CÉLULA CONSTRUTIVA"</formula>
    </cfRule>
    <cfRule type="expression" priority="476" dxfId="0">
      <formula>$H370="ETAPA"</formula>
    </cfRule>
  </conditionalFormatting>
  <conditionalFormatting sqref="P371">
    <cfRule type="expression" priority="363" dxfId="6">
      <formula>$H371="SUBETAPA"</formula>
    </cfRule>
    <cfRule type="expression" priority="364" dxfId="2">
      <formula>$H371="CÉLULA CONSTRUTIVA"</formula>
    </cfRule>
    <cfRule type="expression" priority="365" dxfId="0">
      <formula>$H371="ETAPA"</formula>
    </cfRule>
  </conditionalFormatting>
  <conditionalFormatting sqref="P372">
    <cfRule type="expression" priority="321" dxfId="6">
      <formula>$H372="SUBETAPA"</formula>
    </cfRule>
    <cfRule type="expression" priority="322" dxfId="2">
      <formula>$H372="CÉLULA CONSTRUTIVA"</formula>
    </cfRule>
    <cfRule type="expression" priority="323" dxfId="0">
      <formula>$H372="ETAPA"</formula>
    </cfRule>
  </conditionalFormatting>
  <conditionalFormatting sqref="P374">
    <cfRule type="expression" priority="350" dxfId="6">
      <formula>$H374="SUBETAPA"</formula>
    </cfRule>
    <cfRule type="expression" priority="351" dxfId="2">
      <formula>$H374="CÉLULA CONSTRUTIVA"</formula>
    </cfRule>
    <cfRule type="expression" priority="352" dxfId="0">
      <formula>$H374="ETAPA"</formula>
    </cfRule>
  </conditionalFormatting>
  <conditionalFormatting sqref="P388">
    <cfRule type="expression" priority="426" dxfId="6">
      <formula>#REF!="SUBETAPA"</formula>
    </cfRule>
    <cfRule type="expression" priority="427" dxfId="0">
      <formula>#REF!="ETAPA"</formula>
    </cfRule>
    <cfRule type="expression" priority="428" dxfId="2">
      <formula>#REF!="CÉLULA CONSTRUTIVA"</formula>
    </cfRule>
  </conditionalFormatting>
  <conditionalFormatting sqref="P390">
    <cfRule type="expression" priority="443" dxfId="6">
      <formula>#REF!="SUBETAPA"</formula>
    </cfRule>
    <cfRule type="expression" priority="444" dxfId="0">
      <formula>#REF!="ETAPA"</formula>
    </cfRule>
    <cfRule type="expression" priority="445" dxfId="2">
      <formula>#REF!="CÉLULA CONSTRUTIVA"</formula>
    </cfRule>
  </conditionalFormatting>
  <conditionalFormatting sqref="P395">
    <cfRule type="expression" priority="419" dxfId="6">
      <formula>#REF!="SUBETAPA"</formula>
    </cfRule>
    <cfRule type="expression" priority="420" dxfId="0">
      <formula>#REF!="ETAPA"</formula>
    </cfRule>
    <cfRule type="expression" priority="421" dxfId="2">
      <formula>#REF!="CÉLULA CONSTRUTIVA"</formula>
    </cfRule>
  </conditionalFormatting>
  <conditionalFormatting sqref="P399">
    <cfRule type="expression" priority="492" dxfId="6">
      <formula>$H401="SUBETAPA"</formula>
    </cfRule>
    <cfRule type="expression" priority="493" dxfId="0">
      <formula>$H401="ETAPA"</formula>
    </cfRule>
    <cfRule type="expression" priority="494" dxfId="2">
      <formula>$H401="CÉLULA CONSTRUTIVA"</formula>
    </cfRule>
  </conditionalFormatting>
  <conditionalFormatting sqref="P403">
    <cfRule type="expression" priority="543" dxfId="6">
      <formula>#REF!="SUBETAPA"</formula>
    </cfRule>
    <cfRule type="expression" priority="544" dxfId="0">
      <formula>#REF!="ETAPA"</formula>
    </cfRule>
    <cfRule type="expression" priority="545" dxfId="2">
      <formula>#REF!="CÉLULA CONSTRUTIVA"</formula>
    </cfRule>
  </conditionalFormatting>
  <conditionalFormatting sqref="P404">
    <cfRule type="expression" priority="332" dxfId="6">
      <formula>#REF!="SUBETAPA"</formula>
    </cfRule>
    <cfRule type="expression" priority="333" dxfId="0">
      <formula>#REF!="ETAPA"</formula>
    </cfRule>
    <cfRule type="expression" priority="334" dxfId="2">
      <formula>#REF!="CÉLULA CONSTRUTIVA"</formula>
    </cfRule>
  </conditionalFormatting>
  <conditionalFormatting sqref="P406">
    <cfRule type="expression" priority="238" dxfId="2">
      <formula>$H406="CÉLULA CONSTRUTIVA"</formula>
    </cfRule>
    <cfRule type="expression" priority="239" dxfId="6">
      <formula>$H406="SUBETAPA"</formula>
    </cfRule>
    <cfRule type="expression" priority="240" dxfId="0">
      <formula>$H406="ETAPA"</formula>
    </cfRule>
  </conditionalFormatting>
  <conditionalFormatting sqref="P408">
    <cfRule type="expression" priority="484" dxfId="6">
      <formula>$H408="SUBETAPA"</formula>
    </cfRule>
    <cfRule type="expression" priority="485" dxfId="0">
      <formula>$H408="ETAPA"</formula>
    </cfRule>
  </conditionalFormatting>
  <conditionalFormatting sqref="P411">
    <cfRule type="expression" priority="402" dxfId="6">
      <formula>$H413="SUBETAPA"</formula>
    </cfRule>
    <cfRule type="expression" priority="403" dxfId="0">
      <formula>$H413="ETAPA"</formula>
    </cfRule>
    <cfRule type="expression" priority="404" dxfId="2">
      <formula>$H413="CÉLULA CONSTRUTIVA"</formula>
    </cfRule>
  </conditionalFormatting>
  <conditionalFormatting sqref="P423:P424">
    <cfRule type="expression" priority="529" dxfId="0">
      <formula>$H423="ETAPA"</formula>
    </cfRule>
  </conditionalFormatting>
  <conditionalFormatting sqref="P425:P426">
    <cfRule type="expression" priority="313" dxfId="0">
      <formula>$H425="ETAPA"</formula>
    </cfRule>
  </conditionalFormatting>
  <conditionalFormatting sqref="O56:P59 P60:Q60">
    <cfRule type="expression" priority="182" dxfId="0">
      <formula>$H56="ETAPA"</formula>
    </cfRule>
  </conditionalFormatting>
  <conditionalFormatting sqref="P60:Q60">
    <cfRule type="expression" priority="181" dxfId="2">
      <formula>$H60="CÉLULA CONSTRUTIVA"</formula>
    </cfRule>
  </conditionalFormatting>
  <conditionalFormatting sqref="P435:Q435">
    <cfRule type="expression" priority="510" dxfId="0">
      <formula>$H435="ETAPA"</formula>
    </cfRule>
  </conditionalFormatting>
  <conditionalFormatting sqref="Q11 Q13:Q14 Q19:Q22">
    <cfRule type="expression" priority="228" dxfId="2">
      <formula>$H11="CÉLULA CONSTRUTIVA"</formula>
    </cfRule>
    <cfRule type="expression" priority="227" dxfId="0">
      <formula>$H11="ETAPA"</formula>
    </cfRule>
  </conditionalFormatting>
  <conditionalFormatting sqref="Q16:Q17">
    <cfRule type="expression" priority="230" dxfId="2">
      <formula>$H16="CÉLULA CONSTRUTIVA"</formula>
    </cfRule>
    <cfRule type="expression" priority="231" dxfId="0">
      <formula>$H16="ETAPA"</formula>
    </cfRule>
    <cfRule type="expression" priority="232" dxfId="2">
      <formula>$H16="CÉLULA CONSTRUTIVA"</formula>
    </cfRule>
    <cfRule type="expression" priority="233" dxfId="0">
      <formula>$H16="ETAPA"</formula>
    </cfRule>
    <cfRule type="expression" priority="235" dxfId="0">
      <formula>$H16="ETAPA"</formula>
    </cfRule>
  </conditionalFormatting>
  <conditionalFormatting sqref="Q19:Q22">
    <cfRule type="expression" priority="226" dxfId="2">
      <formula>$H19="CÉLULA CONSTRUTIVA"</formula>
    </cfRule>
  </conditionalFormatting>
  <conditionalFormatting sqref="Q26">
    <cfRule type="expression" priority="197" dxfId="2">
      <formula>$H26="CÉLULA CONSTRUTIVA"</formula>
    </cfRule>
    <cfRule type="expression" priority="198" dxfId="0">
      <formula>$H26="ETAPA"</formula>
    </cfRule>
  </conditionalFormatting>
  <conditionalFormatting sqref="Q26:Q27">
    <cfRule type="expression" priority="216" dxfId="2">
      <formula>$H26="CÉLULA CONSTRUTIVA"</formula>
    </cfRule>
    <cfRule type="expression" priority="220" dxfId="2">
      <formula>$H26="CÉLULA CONSTRUTIVA"</formula>
    </cfRule>
  </conditionalFormatting>
  <conditionalFormatting sqref="Q41">
    <cfRule type="expression" priority="188" dxfId="2">
      <formula>$H41="CÉLULA CONSTRUTIVA"</formula>
    </cfRule>
    <cfRule type="expression" priority="189" dxfId="0">
      <formula>$H41="ETAPA"</formula>
    </cfRule>
  </conditionalFormatting>
  <conditionalFormatting sqref="Q44">
    <cfRule type="expression" priority="212" dxfId="2">
      <formula>$H44="CÉLULA CONSTRUTIVA"</formula>
    </cfRule>
  </conditionalFormatting>
  <conditionalFormatting sqref="Q44:Q49">
    <cfRule type="expression" priority="209" dxfId="0">
      <formula>$H44="ETAPA"</formula>
    </cfRule>
  </conditionalFormatting>
  <conditionalFormatting sqref="Q53:Q54">
    <cfRule type="expression" priority="202" dxfId="0">
      <formula>$H53="ETAPA"</formula>
    </cfRule>
  </conditionalFormatting>
  <conditionalFormatting sqref="Q54">
    <cfRule type="expression" priority="191" dxfId="2">
      <formula>$H54="CÉLULA CONSTRUTIVA"</formula>
    </cfRule>
  </conditionalFormatting>
  <conditionalFormatting sqref="Q55:Q80">
    <cfRule type="expression" priority="166" dxfId="6">
      <formula>$H55="SUBETAPA"</formula>
    </cfRule>
  </conditionalFormatting>
  <conditionalFormatting sqref="Q56:Q60">
    <cfRule type="expression" priority="178" dxfId="0">
      <formula>$H56="ETAPA"</formula>
    </cfRule>
  </conditionalFormatting>
  <conditionalFormatting sqref="O63:P63 Q62:Q63">
    <cfRule type="expression" priority="169" dxfId="0">
      <formula>$H62="ETAPA"</formula>
    </cfRule>
  </conditionalFormatting>
  <conditionalFormatting sqref="Q58:Q60 Q62:Q63">
    <cfRule type="expression" priority="177" dxfId="2">
      <formula>$H58="CÉLULA CONSTRUTIVA"</formula>
    </cfRule>
  </conditionalFormatting>
  <conditionalFormatting sqref="Q62:Q63">
    <cfRule type="expression" priority="175" dxfId="2">
      <formula>$H62="CÉLULA CONSTRUTIVA"</formula>
    </cfRule>
    <cfRule type="expression" priority="176" dxfId="0">
      <formula>$H62="ETAPA"</formula>
    </cfRule>
  </conditionalFormatting>
  <conditionalFormatting sqref="Q65">
    <cfRule type="expression" priority="179" dxfId="2">
      <formula>$H65="CÉLULA CONSTRUTIVA"</formula>
    </cfRule>
    <cfRule type="expression" priority="180" dxfId="0">
      <formula>$H65="ETAPA"</formula>
    </cfRule>
  </conditionalFormatting>
  <conditionalFormatting sqref="Q69:Q80">
    <cfRule type="expression" priority="167" dxfId="2">
      <formula>$H69="CÉLULA CONSTRUTIVA"</formula>
    </cfRule>
    <cfRule type="expression" priority="168" dxfId="0">
      <formula>$H69="ETAPA"</formula>
    </cfRule>
  </conditionalFormatting>
  <conditionalFormatting sqref="Q116:Q117">
    <cfRule type="expression" priority="157" dxfId="6">
      <formula>$H116="SUBETAPA"</formula>
    </cfRule>
  </conditionalFormatting>
  <conditionalFormatting sqref="Q117">
    <cfRule type="expression" priority="152" dxfId="0">
      <formula>$H117="ETAPA"</formula>
    </cfRule>
  </conditionalFormatting>
  <conditionalFormatting sqref="Q155:Q159">
    <cfRule type="expression" priority="462" dxfId="2">
      <formula>$H155="CÉLULA CONSTRUTIVA"</formula>
    </cfRule>
  </conditionalFormatting>
  <conditionalFormatting sqref="Q158">
    <cfRule type="expression" priority="301" dxfId="0">
      <formula>$H158="ETAPA"</formula>
    </cfRule>
  </conditionalFormatting>
  <conditionalFormatting sqref="Q159">
    <cfRule type="expression" priority="463" dxfId="6">
      <formula>$H159="SUBETAPA"</formula>
    </cfRule>
  </conditionalFormatting>
  <conditionalFormatting sqref="Q160">
    <cfRule type="expression" priority="297" dxfId="0">
      <formula>$H160="ETAPA"</formula>
    </cfRule>
    <cfRule type="expression" priority="298" dxfId="2">
      <formula>$H160="CÉLULA CONSTRUTIVA"</formula>
    </cfRule>
    <cfRule type="expression" priority="299" dxfId="6">
      <formula>$H160="SUBETAPA"</formula>
    </cfRule>
    <cfRule type="expression" priority="300" dxfId="0">
      <formula>$H160="ETAPA"</formula>
    </cfRule>
  </conditionalFormatting>
  <conditionalFormatting sqref="Q163">
    <cfRule type="expression" priority="292" dxfId="2">
      <formula>$H163="CÉLULA CONSTRUTIVA"</formula>
    </cfRule>
    <cfRule type="expression" priority="293" dxfId="6">
      <formula>$H163="SUBETAPA"</formula>
    </cfRule>
  </conditionalFormatting>
  <conditionalFormatting sqref="Q164">
    <cfRule type="expression" priority="264" dxfId="0">
      <formula>$H164="ETAPA"</formula>
    </cfRule>
    <cfRule type="expression" priority="265" dxfId="2">
      <formula>$H164="CÉLULA CONSTRUTIVA"</formula>
    </cfRule>
    <cfRule type="expression" priority="266" dxfId="6">
      <formula>$H164="SUBETAPA"</formula>
    </cfRule>
    <cfRule type="expression" priority="267" dxfId="0">
      <formula>$H164="ETAPA"</formula>
    </cfRule>
  </conditionalFormatting>
  <conditionalFormatting sqref="Q165">
    <cfRule type="expression" priority="272" dxfId="2">
      <formula>$H165="CÉLULA CONSTRUTIVA"</formula>
    </cfRule>
    <cfRule type="expression" priority="273" dxfId="6">
      <formula>$H165="SUBETAPA"</formula>
    </cfRule>
    <cfRule type="expression" priority="274" dxfId="0">
      <formula>$H165="ETAPA"</formula>
    </cfRule>
  </conditionalFormatting>
  <conditionalFormatting sqref="Q166">
    <cfRule type="expression" priority="251" dxfId="0">
      <formula>$H166="ETAPA"</formula>
    </cfRule>
    <cfRule type="expression" priority="252" dxfId="2">
      <formula>$H166="CÉLULA CONSTRUTIVA"</formula>
    </cfRule>
    <cfRule type="expression" priority="253" dxfId="6">
      <formula>$H166="SUBETAPA"</formula>
    </cfRule>
  </conditionalFormatting>
  <conditionalFormatting sqref="Q166:Q167">
    <cfRule type="expression" priority="254" dxfId="0">
      <formula>$H166="ETAPA"</formula>
    </cfRule>
  </conditionalFormatting>
  <conditionalFormatting sqref="Q167">
    <cfRule type="expression" priority="258" dxfId="2">
      <formula>$H167="CÉLULA CONSTRUTIVA"</formula>
    </cfRule>
    <cfRule type="expression" priority="259" dxfId="6">
      <formula>$H167="SUBETAPA"</formula>
    </cfRule>
  </conditionalFormatting>
  <conditionalFormatting sqref="Q167:Q168">
    <cfRule type="expression" priority="260" dxfId="0">
      <formula>$H167="ETAPA"</formula>
    </cfRule>
  </conditionalFormatting>
  <conditionalFormatting sqref="Q168">
    <cfRule type="expression" priority="283" dxfId="2">
      <formula>$H168="CÉLULA CONSTRUTIVA"</formula>
    </cfRule>
    <cfRule type="expression" priority="284" dxfId="6">
      <formula>$H168="SUBETAPA"</formula>
    </cfRule>
  </conditionalFormatting>
  <conditionalFormatting sqref="Q168:Q169">
    <cfRule type="expression" priority="285" dxfId="0">
      <formula>$H168="ETAPA"</formula>
    </cfRule>
  </conditionalFormatting>
  <conditionalFormatting sqref="Q169">
    <cfRule type="expression" priority="289" dxfId="2">
      <formula>$H169="CÉLULA CONSTRUTIVA"</formula>
    </cfRule>
    <cfRule type="expression" priority="290" dxfId="6">
      <formula>$H169="SUBETAPA"</formula>
    </cfRule>
    <cfRule type="expression" priority="291" dxfId="0">
      <formula>$H169="ETAPA"</formula>
    </cfRule>
  </conditionalFormatting>
  <conditionalFormatting sqref="Q170">
    <cfRule type="expression" priority="277" dxfId="2">
      <formula>$H170="CÉLULA CONSTRUTIVA"</formula>
    </cfRule>
    <cfRule type="expression" priority="278" dxfId="6">
      <formula>$H170="SUBETAPA"</formula>
    </cfRule>
    <cfRule type="expression" priority="279" dxfId="0">
      <formula>$H170="ETAPA"</formula>
    </cfRule>
  </conditionalFormatting>
  <conditionalFormatting sqref="Q170:Q171">
    <cfRule type="expression" priority="247" dxfId="0">
      <formula>$H170="ETAPA"</formula>
    </cfRule>
  </conditionalFormatting>
  <conditionalFormatting sqref="Q171">
    <cfRule type="expression" priority="244" dxfId="0">
      <formula>$H171="ETAPA"</formula>
    </cfRule>
    <cfRule type="expression" priority="245" dxfId="2">
      <formula>$H171="CÉLULA CONSTRUTIVA"</formula>
    </cfRule>
    <cfRule type="expression" priority="246" dxfId="6">
      <formula>$H171="SUBETAPA"</formula>
    </cfRule>
  </conditionalFormatting>
  <conditionalFormatting sqref="Q172">
    <cfRule type="expression" priority="149" dxfId="53">
      <formula>$H172="SUBETAPA"</formula>
    </cfRule>
    <cfRule type="expression" priority="150" dxfId="11">
      <formula>$H172="ETAPA"</formula>
    </cfRule>
  </conditionalFormatting>
  <conditionalFormatting sqref="Q185">
    <cfRule type="expression" priority="84" dxfId="11">
      <formula>$H185="ETAPA"</formula>
    </cfRule>
  </conditionalFormatting>
  <conditionalFormatting sqref="Q189">
    <cfRule type="expression" priority="73" dxfId="11">
      <formula>$H189="ETAPA"</formula>
    </cfRule>
  </conditionalFormatting>
  <conditionalFormatting sqref="Q191">
    <cfRule type="expression" priority="144" dxfId="4">
      <formula>$H191="CÉLULA CONSTRUTIVA"</formula>
    </cfRule>
  </conditionalFormatting>
  <conditionalFormatting sqref="Q195">
    <cfRule type="expression" priority="130" dxfId="11">
      <formula>$H195="ETAPA"</formula>
    </cfRule>
    <cfRule type="expression" priority="131" dxfId="4">
      <formula>$H195="CÉLULA CONSTRUTIVA"</formula>
    </cfRule>
  </conditionalFormatting>
  <conditionalFormatting sqref="Q197 Q199">
    <cfRule type="expression" priority="124" dxfId="53">
      <formula>#REF!="SUBETAPA"</formula>
    </cfRule>
  </conditionalFormatting>
  <conditionalFormatting sqref="Q226">
    <cfRule type="expression" priority="50" dxfId="2">
      <formula>$H226="CÉLULA CONSTRUTIVA"</formula>
    </cfRule>
    <cfRule type="expression" priority="51" dxfId="0">
      <formula>$H226="ETAPA"</formula>
    </cfRule>
  </conditionalFormatting>
  <conditionalFormatting sqref="Q228">
    <cfRule type="expression" priority="47" dxfId="6">
      <formula>$H228="SUBETAPA"</formula>
    </cfRule>
    <cfRule type="expression" priority="48" dxfId="2">
      <formula>$H228="CÉLULA CONSTRUTIVA"</formula>
    </cfRule>
    <cfRule type="expression" priority="49" dxfId="0">
      <formula>$H228="ETAPA"</formula>
    </cfRule>
  </conditionalFormatting>
  <conditionalFormatting sqref="Q230">
    <cfRule type="expression" priority="44" dxfId="6">
      <formula>$H230="SUBETAPA"</formula>
    </cfRule>
    <cfRule type="expression" priority="45" dxfId="2">
      <formula>$H230="CÉLULA CONSTRUTIVA"</formula>
    </cfRule>
    <cfRule type="expression" priority="46" dxfId="0">
      <formula>$H230="ETAPA"</formula>
    </cfRule>
  </conditionalFormatting>
  <conditionalFormatting sqref="Q237">
    <cfRule type="expression" priority="151" dxfId="53">
      <formula>#REF!="SUBETAPA"</formula>
    </cfRule>
  </conditionalFormatting>
  <conditionalFormatting sqref="Q238">
    <cfRule type="expression" priority="61" dxfId="4">
      <formula>$H238="CÉLULA CONSTRUTIVA"</formula>
    </cfRule>
    <cfRule type="expression" priority="64" dxfId="53">
      <formula>#REF!="SUBETAPA"</formula>
    </cfRule>
  </conditionalFormatting>
  <conditionalFormatting sqref="Q242">
    <cfRule type="expression" priority="96" dxfId="53">
      <formula>$H242="SUBETAPA"</formula>
    </cfRule>
    <cfRule type="expression" priority="97" dxfId="4">
      <formula>$H242="CÉLULA CONSTRUTIVA"</formula>
    </cfRule>
    <cfRule type="expression" priority="98" dxfId="11">
      <formula>$H242="ETAPA"</formula>
    </cfRule>
  </conditionalFormatting>
  <conditionalFormatting sqref="Q261">
    <cfRule type="expression" priority="518" dxfId="6">
      <formula>$H261="SUBETAPA"</formula>
    </cfRule>
  </conditionalFormatting>
  <conditionalFormatting sqref="Q264">
    <cfRule type="expression" priority="390" dxfId="2">
      <formula>$H264="CÉLULA CONSTRUTIVA"</formula>
    </cfRule>
  </conditionalFormatting>
  <conditionalFormatting sqref="Q295">
    <cfRule type="expression" priority="456" dxfId="0">
      <formula>$H295="ETAPA"</formula>
    </cfRule>
    <cfRule type="expression" priority="457" dxfId="2">
      <formula>$H295="CÉLULA CONSTRUTIVA"</formula>
    </cfRule>
    <cfRule type="expression" priority="458" dxfId="0">
      <formula>$H295="ETAPA"</formula>
    </cfRule>
    <cfRule type="expression" priority="459" dxfId="6">
      <formula>$H295="SUBETAPA"</formula>
    </cfRule>
    <cfRule type="expression" priority="460" dxfId="2">
      <formula>$H295="CÉLULA CONSTRUTIVA"</formula>
    </cfRule>
    <cfRule type="expression" priority="461" dxfId="0">
      <formula>$H295="ETAPA"</formula>
    </cfRule>
  </conditionalFormatting>
  <conditionalFormatting sqref="Q316:Q319 Q325:Q327 Q329:Q339">
    <cfRule type="expression" priority="496" dxfId="0">
      <formula>$H316="ETAPA"</formula>
    </cfRule>
    <cfRule type="expression" priority="497" dxfId="2">
      <formula>$H316="CÉLULA CONSTRUTIVA"</formula>
    </cfRule>
  </conditionalFormatting>
  <conditionalFormatting sqref="Q320">
    <cfRule type="expression" priority="379" dxfId="2">
      <formula>$H320="CÉLULA CONSTRUTIVA"</formula>
    </cfRule>
    <cfRule type="expression" priority="380" dxfId="0">
      <formula>$H320="ETAPA"</formula>
    </cfRule>
    <cfRule type="expression" priority="381" dxfId="2">
      <formula>$H320="CÉLULA CONSTRUTIVA"</formula>
    </cfRule>
  </conditionalFormatting>
  <conditionalFormatting sqref="Q321">
    <cfRule type="expression" priority="376" dxfId="2">
      <formula>$H321="CÉLULA CONSTRUTIVA"</formula>
    </cfRule>
    <cfRule type="expression" priority="377" dxfId="0">
      <formula>$H321="ETAPA"</formula>
    </cfRule>
    <cfRule type="expression" priority="378" dxfId="2">
      <formula>$H321="CÉLULA CONSTRUTIVA"</formula>
    </cfRule>
  </conditionalFormatting>
  <conditionalFormatting sqref="Q322">
    <cfRule type="expression" priority="373" dxfId="2">
      <formula>$H322="CÉLULA CONSTRUTIVA"</formula>
    </cfRule>
    <cfRule type="expression" priority="374" dxfId="0">
      <formula>$H322="ETAPA"</formula>
    </cfRule>
    <cfRule type="expression" priority="375" dxfId="2">
      <formula>$H322="CÉLULA CONSTRUTIVA"</formula>
    </cfRule>
  </conditionalFormatting>
  <conditionalFormatting sqref="Q323">
    <cfRule type="expression" priority="382" dxfId="2">
      <formula>$H323="CÉLULA CONSTRUTIVA"</formula>
    </cfRule>
    <cfRule type="expression" priority="383" dxfId="0">
      <formula>$H323="ETAPA"</formula>
    </cfRule>
    <cfRule type="expression" priority="384" dxfId="2">
      <formula>$H323="CÉLULA CONSTRUTIVA"</formula>
    </cfRule>
  </conditionalFormatting>
  <conditionalFormatting sqref="Q328">
    <cfRule type="expression" priority="3" dxfId="0">
      <formula>$H328="ETAPA"</formula>
    </cfRule>
    <cfRule type="expression" priority="4" dxfId="2">
      <formula>$H328="CÉLULA CONSTRUTIVA"</formula>
    </cfRule>
    <cfRule type="expression" priority="5" dxfId="6">
      <formula>$H328="SUBETAPA"</formula>
    </cfRule>
  </conditionalFormatting>
  <conditionalFormatting sqref="Q343:Q348 Q351:Q364 Q366:Q367 Q369:Q370">
    <cfRule type="expression" priority="481" dxfId="0">
      <formula>$H343="ETAPA"</formula>
    </cfRule>
    <cfRule type="expression" priority="482" dxfId="2">
      <formula>$H343="CÉLULA CONSTRUTIVA"</formula>
    </cfRule>
    <cfRule type="expression" priority="480" dxfId="6">
      <formula>$H343="SUBETAPA"</formula>
    </cfRule>
  </conditionalFormatting>
  <conditionalFormatting sqref="Q343:Q364">
    <cfRule type="expression" priority="451" dxfId="0">
      <formula>$H343="ETAPA"</formula>
    </cfRule>
    <cfRule type="expression" priority="452" dxfId="2">
      <formula>$H343="CÉLULA CONSTRUTIVA"</formula>
    </cfRule>
  </conditionalFormatting>
  <conditionalFormatting sqref="Q349:Q350">
    <cfRule type="expression" priority="448" dxfId="0">
      <formula>$H349="ETAPA"</formula>
    </cfRule>
    <cfRule type="expression" priority="449" dxfId="2">
      <formula>$H349="CÉLULA CONSTRUTIVA"</formula>
    </cfRule>
    <cfRule type="expression" priority="450" dxfId="6">
      <formula>$H349="SUBETAPA"</formula>
    </cfRule>
  </conditionalFormatting>
  <conditionalFormatting sqref="Q365">
    <cfRule type="expression" priority="344" dxfId="2">
      <formula>$H365="CÉLULA CONSTRUTIVA"</formula>
    </cfRule>
    <cfRule type="expression" priority="345" dxfId="6">
      <formula>$H365="SUBETAPA"</formula>
    </cfRule>
    <cfRule type="expression" priority="346" dxfId="0">
      <formula>$H365="ETAPA"</formula>
    </cfRule>
    <cfRule type="expression" priority="347" dxfId="2">
      <formula>$H365="CÉLULA CONSTRUTIVA"</formula>
    </cfRule>
  </conditionalFormatting>
  <conditionalFormatting sqref="Q366:Q367 Q369:Q370">
    <cfRule type="expression" priority="479" dxfId="2">
      <formula>$H366="CÉLULA CONSTRUTIVA"</formula>
    </cfRule>
  </conditionalFormatting>
  <conditionalFormatting sqref="Q368">
    <cfRule type="expression" priority="357" dxfId="2">
      <formula>$H368="CÉLULA CONSTRUTIVA"</formula>
    </cfRule>
    <cfRule type="expression" priority="358" dxfId="6">
      <formula>$H368="SUBETAPA"</formula>
    </cfRule>
    <cfRule type="expression" priority="360" dxfId="2">
      <formula>$H368="CÉLULA CONSTRUTIVA"</formula>
    </cfRule>
  </conditionalFormatting>
  <conditionalFormatting sqref="Q369:Q371">
    <cfRule type="expression" priority="368" dxfId="0">
      <formula>$H369="ETAPA"</formula>
    </cfRule>
  </conditionalFormatting>
  <conditionalFormatting sqref="Q371">
    <cfRule type="expression" priority="366" dxfId="2">
      <formula>$H371="CÉLULA CONSTRUTIVA"</formula>
    </cfRule>
    <cfRule type="expression" priority="367" dxfId="6">
      <formula>$H371="SUBETAPA"</formula>
    </cfRule>
    <cfRule type="expression" priority="369" dxfId="2">
      <formula>$H371="CÉLULA CONSTRUTIVA"</formula>
    </cfRule>
  </conditionalFormatting>
  <conditionalFormatting sqref="Q372">
    <cfRule type="expression" priority="324" dxfId="2">
      <formula>$H372="CÉLULA CONSTRUTIVA"</formula>
    </cfRule>
    <cfRule type="expression" priority="325" dxfId="6">
      <formula>$H372="SUBETAPA"</formula>
    </cfRule>
    <cfRule type="expression" priority="327" dxfId="2">
      <formula>$H372="CÉLULA CONSTRUTIVA"</formula>
    </cfRule>
  </conditionalFormatting>
  <conditionalFormatting sqref="Q372:Q374">
    <cfRule type="expression" priority="326" dxfId="0">
      <formula>$H372="ETAPA"</formula>
    </cfRule>
  </conditionalFormatting>
  <conditionalFormatting sqref="Q373:Q374">
    <cfRule type="expression" priority="353" dxfId="2">
      <formula>$H373="CÉLULA CONSTRUTIVA"</formula>
    </cfRule>
    <cfRule type="expression" priority="354" dxfId="6">
      <formula>$H373="SUBETAPA"</formula>
    </cfRule>
    <cfRule type="expression" priority="355" dxfId="0">
      <formula>$H373="ETAPA"</formula>
    </cfRule>
    <cfRule type="expression" priority="356" dxfId="2">
      <formula>$H373="CÉLULA CONSTRUTIVA"</formula>
    </cfRule>
  </conditionalFormatting>
  <conditionalFormatting sqref="Q375">
    <cfRule type="expression" priority="38" dxfId="53">
      <formula>$H375="SUBETAPA"</formula>
    </cfRule>
    <cfRule type="expression" priority="39" dxfId="4">
      <formula>$H375="CÉLULA CONSTRUTIVA"</formula>
    </cfRule>
    <cfRule type="expression" priority="40" dxfId="11">
      <formula>$H375="ETAPA"</formula>
    </cfRule>
  </conditionalFormatting>
  <conditionalFormatting sqref="Q378">
    <cfRule type="expression" priority="28" dxfId="2">
      <formula>$H378="CÉLULA CONSTRUTIVA"</formula>
    </cfRule>
    <cfRule type="expression" priority="29" dxfId="0">
      <formula>$H378="ETAPA"</formula>
    </cfRule>
    <cfRule type="expression" priority="30" dxfId="2">
      <formula>$H378="CÉLULA CONSTRUTIVA"</formula>
    </cfRule>
    <cfRule type="expression" priority="31" dxfId="0">
      <formula>$H378="ETAPA"</formula>
    </cfRule>
  </conditionalFormatting>
  <conditionalFormatting sqref="Q380">
    <cfRule type="expression" priority="21" dxfId="2">
      <formula>$H380="CÉLULA CONSTRUTIVA"</formula>
    </cfRule>
    <cfRule type="expression" priority="22" dxfId="0">
      <formula>$H380="ETAPA"</formula>
    </cfRule>
    <cfRule type="expression" priority="23" dxfId="2">
      <formula>$H380="CÉLULA CONSTRUTIVA"</formula>
    </cfRule>
    <cfRule type="expression" priority="24" dxfId="0">
      <formula>$H380="ETAPA"</formula>
    </cfRule>
  </conditionalFormatting>
  <conditionalFormatting sqref="Q382">
    <cfRule type="expression" priority="14" dxfId="2">
      <formula>$H382="CÉLULA CONSTRUTIVA"</formula>
    </cfRule>
    <cfRule type="expression" priority="15" dxfId="0">
      <formula>$H382="ETAPA"</formula>
    </cfRule>
    <cfRule type="expression" priority="16" dxfId="2">
      <formula>$H382="CÉLULA CONSTRUTIVA"</formula>
    </cfRule>
    <cfRule type="expression" priority="17" dxfId="0">
      <formula>$H382="ETAPA"</formula>
    </cfRule>
  </conditionalFormatting>
  <conditionalFormatting sqref="Q384">
    <cfRule type="expression" priority="7" dxfId="2">
      <formula>$H384="CÉLULA CONSTRUTIVA"</formula>
    </cfRule>
    <cfRule type="expression" priority="8" dxfId="0">
      <formula>$H384="ETAPA"</formula>
    </cfRule>
    <cfRule type="expression" priority="9" dxfId="2">
      <formula>$H384="CÉLULA CONSTRUTIVA"</formula>
    </cfRule>
    <cfRule type="expression" priority="10" dxfId="0">
      <formula>$H384="ETAPA"</formula>
    </cfRule>
  </conditionalFormatting>
  <conditionalFormatting sqref="O388 O390 Q387:Q391">
    <cfRule type="expression" priority="434" dxfId="2">
      <formula>$H387="CÉLULA CONSTRUTIVA"</formula>
    </cfRule>
  </conditionalFormatting>
  <conditionalFormatting sqref="O395 Q394:Q395">
    <cfRule type="expression" priority="415" dxfId="2">
      <formula>$H394="CÉLULA CONSTRUTIVA"</formula>
    </cfRule>
  </conditionalFormatting>
  <conditionalFormatting sqref="O399 O407:Q407 Q399">
    <cfRule type="expression" priority="486" dxfId="6">
      <formula>$H399="SUBETAPA"</formula>
    </cfRule>
  </conditionalFormatting>
  <conditionalFormatting sqref="Q400">
    <cfRule type="expression" priority="337" dxfId="2">
      <formula>$H400="CÉLULA CONSTRUTIVA"</formula>
    </cfRule>
    <cfRule type="expression" priority="339" dxfId="0">
      <formula>$H400="ETAPA"</formula>
    </cfRule>
  </conditionalFormatting>
  <conditionalFormatting sqref="Q404">
    <cfRule type="expression" priority="331" dxfId="2">
      <formula>$H404="CÉLULA CONSTRUTIVA"</formula>
    </cfRule>
  </conditionalFormatting>
  <conditionalFormatting sqref="O414:Q415 Q410:Q413">
    <cfRule type="expression" priority="398" dxfId="2">
      <formula>$H410="CÉLULA CONSTRUTIVA"</formula>
    </cfRule>
  </conditionalFormatting>
  <conditionalFormatting sqref="O414:P414 Q413:Q415">
    <cfRule type="expression" priority="406" dxfId="0">
      <formula>$H413="ETAPA"</formula>
    </cfRule>
  </conditionalFormatting>
  <conditionalFormatting sqref="Q420">
    <cfRule type="expression" priority="501" dxfId="6">
      <formula>$H420="SUBETAPA"</formula>
    </cfRule>
  </conditionalFormatting>
  <conditionalFormatting sqref="Q420:Q421">
    <cfRule type="expression" priority="498" dxfId="0">
      <formula>$H420="ETAPA"</formula>
    </cfRule>
    <cfRule type="expression" priority="499" dxfId="2">
      <formula>$H420="CÉLULA CONSTRUTIVA"</formula>
    </cfRule>
  </conditionalFormatting>
  <conditionalFormatting sqref="Q421">
    <cfRule type="expression" priority="500" dxfId="6">
      <formula>$H421="SUBETAPA"</formula>
    </cfRule>
  </conditionalFormatting>
  <conditionalFormatting sqref="Q426">
    <cfRule type="expression" priority="307" dxfId="6">
      <formula>$H426="SUBETAPA"</formula>
    </cfRule>
    <cfRule type="expression" priority="308" dxfId="2">
      <formula>$H426="CÉLULA CONSTRUTIVA"</formula>
    </cfRule>
    <cfRule type="expression" priority="309" dxfId="0">
      <formula>$H426="ETAPA"</formula>
    </cfRule>
  </conditionalFormatting>
  <conditionalFormatting sqref="O11:Q11">
    <cfRule type="expression" priority="225" dxfId="6">
      <formula>$H11="SUBETAPA"</formula>
    </cfRule>
  </conditionalFormatting>
  <conditionalFormatting sqref="Q197">
    <cfRule type="expression" priority="133" dxfId="4">
      <formula>$H197="CÉLULA CONSTRUTIVA"</formula>
    </cfRule>
  </conditionalFormatting>
  <conditionalFormatting sqref="Q245:Q247">
    <cfRule type="expression" priority="93" dxfId="11">
      <formula>$H245="ETAPA"</formula>
    </cfRule>
  </conditionalFormatting>
  <conditionalFormatting sqref="O157:O158">
    <cfRule type="expression" priority="541" dxfId="6">
      <formula>$H157="SUBETAPA"</formula>
    </cfRule>
  </conditionalFormatting>
  <conditionalFormatting sqref="O362:P364">
    <cfRule type="expression" priority="540" dxfId="2">
      <formula>$H362="CÉLULA CONSTRUTIVA"</formula>
    </cfRule>
    <cfRule type="expression" priority="539" dxfId="6">
      <formula>$H362="SUBETAPA"</formula>
    </cfRule>
  </conditionalFormatting>
  <conditionalFormatting sqref="O363">
    <cfRule type="expression" priority="538" dxfId="0">
      <formula>$H363="ETAPA"</formula>
    </cfRule>
  </conditionalFormatting>
  <conditionalFormatting sqref="O435">
    <cfRule type="expression" priority="511" dxfId="0">
      <formula>$H435="ETAPA"</formula>
    </cfRule>
  </conditionalFormatting>
  <conditionalFormatting sqref="O313 O314:Q315 O360:P362 O364 Q313">
    <cfRule type="expression" priority="542" dxfId="0">
      <formula>$H313="ETAPA"</formula>
    </cfRule>
  </conditionalFormatting>
  <dataValidations disablePrompts="1" count="2">
    <dataValidation sqref="H8:H127 H129:H171 H223:H230 H252:H374 H376:H438" showDropDown="0" showInputMessage="1" showErrorMessage="1" allowBlank="1" type="list">
      <formula1>"UNIDADE CONSTRUTIVA,CÉLULA CONSTRUTIVA,ETAPA,SUBETAPA,SERVIÇO"</formula1>
    </dataValidation>
    <dataValidation sqref="H128 H172:H222 H231:H251 H375 H439:H443" showDropDown="0" showInputMessage="0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Bragatto</dc:creator>
  <dcterms:created xmlns:dcterms="http://purl.org/dc/terms/" xmlns:xsi="http://www.w3.org/2001/XMLSchema-instance" xsi:type="dcterms:W3CDTF">2026-04-02T17:07:41Z</dcterms:created>
  <dcterms:modified xmlns:dcterms="http://purl.org/dc/terms/" xmlns:xsi="http://www.w3.org/2001/XMLSchema-instance" xsi:type="dcterms:W3CDTF">2026-04-02T17:21:52Z</dcterms:modified>
  <cp:lastModifiedBy>Patricia Bragatto</cp:lastModifiedBy>
</cp:coreProperties>
</file>