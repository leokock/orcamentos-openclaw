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Borscheid\2025 - Alípio Schirmann\04. Custo\04.3 Custo - Executivo\02 - Elaboração\Validação interna\"/>
    </mc:Choice>
  </mc:AlternateContent>
  <xr:revisionPtr revIDLastSave="0" documentId="8_{DCD0792E-E630-4C94-AAB2-387A4FD51D10}" xr6:coauthVersionLast="47" xr6:coauthVersionMax="47" xr10:uidLastSave="{00000000-0000-0000-0000-000000000000}"/>
  <bookViews>
    <workbookView xWindow="-23604" yWindow="60" windowWidth="16836" windowHeight="11292" xr2:uid="{993454D9-7AE4-492F-A1D6-EDEACF757B49}"/>
  </bookViews>
  <sheets>
    <sheet name="CAPA" sheetId="1" r:id="rId1"/>
  </sheets>
  <externalReferences>
    <externalReference r:id="rId2"/>
    <externalReference r:id="rId3"/>
    <externalReference r:id="rId4"/>
    <externalReference r:id="rId5"/>
  </externalReferences>
  <definedNames>
    <definedName name="\0" localSheetId="0">#REF!</definedName>
    <definedName name="\0">#REF!</definedName>
    <definedName name="\1">#REF!</definedName>
    <definedName name="\a" localSheetId="0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i">#REF!</definedName>
    <definedName name="\J">#REF!</definedName>
    <definedName name="\k">#REF!</definedName>
    <definedName name="\l">#N/A</definedName>
    <definedName name="\m" localSheetId="0">#REF!</definedName>
    <definedName name="\m">#REF!</definedName>
    <definedName name="\o">#REF!</definedName>
    <definedName name="\p">#REF!</definedName>
    <definedName name="\r">#REF!</definedName>
    <definedName name="\T">#REF!</definedName>
    <definedName name="\xasd" localSheetId="0" hidden="1">{#N/A,#N/A,FALSE,"Plan1";#N/A,#N/A,FALSE,"Plan2"}</definedName>
    <definedName name="\xasd" hidden="1">{#N/A,#N/A,FALSE,"Plan1";#N/A,#N/A,FALSE,"Plan2"}</definedName>
    <definedName name="\z">#REF!</definedName>
    <definedName name="_" localSheetId="0" hidden="1">#REF!</definedName>
    <definedName name="_">#REF!</definedName>
    <definedName name="_\0">#REF!</definedName>
    <definedName name="_\1">#REF!</definedName>
    <definedName name="_\a">#REF!</definedName>
    <definedName name="_\b">#REF!</definedName>
    <definedName name="_\c">#REF!</definedName>
    <definedName name="_\d">#REF!</definedName>
    <definedName name="_\e">#REF!</definedName>
    <definedName name="_\i">#REF!</definedName>
    <definedName name="_\J">#REF!</definedName>
    <definedName name="_\k">#REF!</definedName>
    <definedName name="_\l">#N/A</definedName>
    <definedName name="_\m" localSheetId="0">#REF!</definedName>
    <definedName name="_\m">#REF!</definedName>
    <definedName name="_\o">#REF!</definedName>
    <definedName name="_\p">#REF!</definedName>
    <definedName name="_\r">#REF!</definedName>
    <definedName name="_\T">#REF!</definedName>
    <definedName name="_\xasd" localSheetId="0" hidden="1">{#N/A,#N/A,FALSE,"Plan1";#N/A,#N/A,FALSE,"Plan2"}</definedName>
    <definedName name="_\xasd" hidden="1">{#N/A,#N/A,FALSE,"Plan1";#N/A,#N/A,FALSE,"Plan2"}</definedName>
    <definedName name="_\z" localSheetId="0">#REF!</definedName>
    <definedName name="_\z">#REF!</definedName>
    <definedName name="__" localSheetId="0" hidden="1">#REF!</definedName>
    <definedName name="__">#REF!</definedName>
    <definedName name="____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ACR10">#REF!</definedName>
    <definedName name="______ACR15">#REF!</definedName>
    <definedName name="______acr20">#REF!</definedName>
    <definedName name="______acr5">#REF!</definedName>
    <definedName name="______ARQ1">#REF!</definedName>
    <definedName name="______QT100">#REF!</definedName>
    <definedName name="______QT2">#REF!</definedName>
    <definedName name="______QT3">#REF!</definedName>
    <definedName name="______QT4">#REF!</definedName>
    <definedName name="______QT50">#REF!</definedName>
    <definedName name="______QT75">#REF!</definedName>
    <definedName name="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ACR10">#REF!</definedName>
    <definedName name="_____ACR15">#REF!</definedName>
    <definedName name="_____acr20">#REF!</definedName>
    <definedName name="_____acr5">#REF!</definedName>
    <definedName name="_____ARQ1">#REF!</definedName>
    <definedName name="_____key2" localSheetId="0" hidden="1">#REF!</definedName>
    <definedName name="_____key2">#REF!</definedName>
    <definedName name="_____QT100">#REF!</definedName>
    <definedName name="_____QT2">#REF!</definedName>
    <definedName name="_____QT3">#REF!</definedName>
    <definedName name="_____QT4">#REF!</definedName>
    <definedName name="_____QT50">#REF!</definedName>
    <definedName name="_____QT75">#REF!</definedName>
    <definedName name="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key2" localSheetId="0" hidden="1">#REF!</definedName>
    <definedName name="____key2">#REF!</definedName>
    <definedName name="____la29" localSheetId="0" hidden="1">#REF!</definedName>
    <definedName name="____la29">#REF!</definedName>
    <definedName name="____la3" localSheetId="0" hidden="1">#REF!</definedName>
    <definedName name="____la3">#REF!</definedName>
    <definedName name="____la31">#REF!</definedName>
    <definedName name="____la32">#REF!</definedName>
    <definedName name="____la4">#REF!</definedName>
    <definedName name="____la5">#REF!</definedName>
    <definedName name="____la6">#REF!</definedName>
    <definedName name="____la7">#REF!</definedName>
    <definedName name="____la8">#REF!</definedName>
    <definedName name="____la9">#REF!</definedName>
    <definedName name="____lb1">#REF!</definedName>
    <definedName name="____lb10">#REF!</definedName>
    <definedName name="____lb11">#REF!</definedName>
    <definedName name="____lb12">#REF!</definedName>
    <definedName name="____lb13">#REF!</definedName>
    <definedName name="____lb14">#REF!</definedName>
    <definedName name="____lb15">#REF!</definedName>
    <definedName name="____lb16">#REF!</definedName>
    <definedName name="____lb17">#REF!</definedName>
    <definedName name="____lb18">#REF!</definedName>
    <definedName name="____lb19">#REF!</definedName>
    <definedName name="____lb2">#REF!</definedName>
    <definedName name="____lb20">#REF!</definedName>
    <definedName name="____lb21">#REF!</definedName>
    <definedName name="____lb22">#REF!</definedName>
    <definedName name="____lb23">#REF!</definedName>
    <definedName name="____lb24">#REF!</definedName>
    <definedName name="____lb25">#REF!</definedName>
    <definedName name="____lb27">#REF!</definedName>
    <definedName name="____lb28">#REF!</definedName>
    <definedName name="____lb29">#REF!</definedName>
    <definedName name="____lb3">#REF!</definedName>
    <definedName name="____lb30">#REF!</definedName>
    <definedName name="____lb31">#REF!</definedName>
    <definedName name="____lb32">#REF!</definedName>
    <definedName name="____lb4">#REF!</definedName>
    <definedName name="____lb5">#REF!</definedName>
    <definedName name="____lb6">#REF!</definedName>
    <definedName name="____lb7">#REF!</definedName>
    <definedName name="____lb8">#REF!</definedName>
    <definedName name="____lb9">#REF!</definedName>
    <definedName name="____lbc1">#REF!</definedName>
    <definedName name="____lbc10">#REF!</definedName>
    <definedName name="____lbc11">#REF!</definedName>
    <definedName name="____lbc12">#REF!</definedName>
    <definedName name="____lbc13">#REF!</definedName>
    <definedName name="____lbc14">#REF!</definedName>
    <definedName name="____lbc15">#REF!</definedName>
    <definedName name="____lbc16">#REF!</definedName>
    <definedName name="____lbc17">#REF!</definedName>
    <definedName name="____lbc18">#REF!</definedName>
    <definedName name="____lbc19">#REF!</definedName>
    <definedName name="____lbc2">#REF!</definedName>
    <definedName name="____lbc20">#REF!</definedName>
    <definedName name="____lbc21">#REF!</definedName>
    <definedName name="____lbc22">#REF!</definedName>
    <definedName name="____lbc23">#REF!</definedName>
    <definedName name="____lbc24">#REF!</definedName>
    <definedName name="____lbc25">#REF!</definedName>
    <definedName name="____lbc26">#REF!</definedName>
    <definedName name="____lbc27">#REF!</definedName>
    <definedName name="____lbc28">#REF!</definedName>
    <definedName name="____lbc29">#REF!</definedName>
    <definedName name="____lbc3">#REF!</definedName>
    <definedName name="____lbc31">#REF!</definedName>
    <definedName name="____lbc32">#REF!</definedName>
    <definedName name="____lbc4">#REF!</definedName>
    <definedName name="____lbc5">#REF!</definedName>
    <definedName name="____lbc6">#REF!</definedName>
    <definedName name="____lbc7">#REF!</definedName>
    <definedName name="____lbc8">#REF!</definedName>
    <definedName name="____lbc9">#REF!</definedName>
    <definedName name="____ld26">#REF!</definedName>
    <definedName name="____ld31">#REF!</definedName>
    <definedName name="____le31">#REF!</definedName>
    <definedName name="____lf31">#REF!</definedName>
    <definedName name="____PK2" localSheetId="0" hidden="1">{"'장비'!$A$3:$M$12"}</definedName>
    <definedName name="____PK2">{"'장비'!$A$3:$M$12"}</definedName>
    <definedName name="____PKG3" localSheetId="0" hidden="1">{"'장비'!$A$3:$M$12"}</definedName>
    <definedName name="____PKG3">{"'장비'!$A$3:$M$12"}</definedName>
    <definedName name="____qqq222" localSheetId="0" hidden="1">{"'장비'!$A$3:$M$12"}</definedName>
    <definedName name="____qqq222">{"'장비'!$A$3:$M$12"}</definedName>
    <definedName name="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x10">#REF!</definedName>
    <definedName name="____x11">#REF!</definedName>
    <definedName name="____x12">#REF!</definedName>
    <definedName name="____x13">#REF!</definedName>
    <definedName name="____x14">#REF!</definedName>
    <definedName name="____x15">#REF!</definedName>
    <definedName name="____x16">#REF!</definedName>
    <definedName name="____x17">#REF!</definedName>
    <definedName name="____x18">#REF!</definedName>
    <definedName name="____x19">#REF!</definedName>
    <definedName name="____x20">#REF!</definedName>
    <definedName name="____x21">#REF!</definedName>
    <definedName name="____x22">#REF!</definedName>
    <definedName name="____x23">#REF!</definedName>
    <definedName name="____x24">#REF!</definedName>
    <definedName name="____x25">#REF!</definedName>
    <definedName name="____x28">#REF!</definedName>
    <definedName name="____x29">#REF!</definedName>
    <definedName name="____x32">#REF!</definedName>
    <definedName name="____x4">#REF!</definedName>
    <definedName name="____x5">#REF!</definedName>
    <definedName name="____x6">#REF!</definedName>
    <definedName name="____x7">#REF!</definedName>
    <definedName name="____x8">#REF!</definedName>
    <definedName name="____x9">#REF!</definedName>
    <definedName name="___ACR10">#REF!</definedName>
    <definedName name="___ACR15">#REF!</definedName>
    <definedName name="___acr20">#REF!</definedName>
    <definedName name="___acr5">#REF!</definedName>
    <definedName name="___ARQ1">#REF!</definedName>
    <definedName name="__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key2" localSheetId="0" hidden="1">#REF!</definedName>
    <definedName name="___key2">#REF!</definedName>
    <definedName name="___la29" localSheetId="0" hidden="1">#REF!</definedName>
    <definedName name="___la29">#REF!</definedName>
    <definedName name="___la3" localSheetId="0" hidden="1">#REF!</definedName>
    <definedName name="___la3">#REF!</definedName>
    <definedName name="___la31">#REF!</definedName>
    <definedName name="___la32">#REF!</definedName>
    <definedName name="___la4">#REF!</definedName>
    <definedName name="___la5">#REF!</definedName>
    <definedName name="___la6">#REF!</definedName>
    <definedName name="___la7">#REF!</definedName>
    <definedName name="___la8">#REF!</definedName>
    <definedName name="___la9">#REF!</definedName>
    <definedName name="___lb1">#REF!</definedName>
    <definedName name="___lb10">#REF!</definedName>
    <definedName name="___lb11">#REF!</definedName>
    <definedName name="___lb12">#REF!</definedName>
    <definedName name="___lb13">#REF!</definedName>
    <definedName name="___lb14">#REF!</definedName>
    <definedName name="___lb15">#REF!</definedName>
    <definedName name="___lb16">#REF!</definedName>
    <definedName name="___lb17">#REF!</definedName>
    <definedName name="___lb18">#REF!</definedName>
    <definedName name="___lb19">#REF!</definedName>
    <definedName name="___lb2">#REF!</definedName>
    <definedName name="___lb20">#REF!</definedName>
    <definedName name="___lb21">#REF!</definedName>
    <definedName name="___lb22">#REF!</definedName>
    <definedName name="___lb23">#REF!</definedName>
    <definedName name="___lb24">#REF!</definedName>
    <definedName name="___lb25">#REF!</definedName>
    <definedName name="___lb27">#REF!</definedName>
    <definedName name="___lb28">#REF!</definedName>
    <definedName name="___lb29">#REF!</definedName>
    <definedName name="___lb3">#REF!</definedName>
    <definedName name="___lb30">#REF!</definedName>
    <definedName name="___lb31">#REF!</definedName>
    <definedName name="___lb32">#REF!</definedName>
    <definedName name="___lb4">#REF!</definedName>
    <definedName name="___lb5">#REF!</definedName>
    <definedName name="___lb6">#REF!</definedName>
    <definedName name="___lb7">#REF!</definedName>
    <definedName name="___lb8">#REF!</definedName>
    <definedName name="___lb9">#REF!</definedName>
    <definedName name="___lbc1">#REF!</definedName>
    <definedName name="___lbc10">#REF!</definedName>
    <definedName name="___lbc11">#REF!</definedName>
    <definedName name="___lbc12">#REF!</definedName>
    <definedName name="___lbc13">#REF!</definedName>
    <definedName name="___lbc14">#REF!</definedName>
    <definedName name="___lbc15">#REF!</definedName>
    <definedName name="___lbc16">#REF!</definedName>
    <definedName name="___lbc17">#REF!</definedName>
    <definedName name="___lbc18">#REF!</definedName>
    <definedName name="___lbc19">#REF!</definedName>
    <definedName name="___lbc2">#REF!</definedName>
    <definedName name="___lbc20">#REF!</definedName>
    <definedName name="___lbc21">#REF!</definedName>
    <definedName name="___lbc22">#REF!</definedName>
    <definedName name="___lbc23">#REF!</definedName>
    <definedName name="___lbc24">#REF!</definedName>
    <definedName name="___lbc25">#REF!</definedName>
    <definedName name="___lbc26">#REF!</definedName>
    <definedName name="___lbc27">#REF!</definedName>
    <definedName name="___lbc28">#REF!</definedName>
    <definedName name="___lbc29">#REF!</definedName>
    <definedName name="___lbc3">#REF!</definedName>
    <definedName name="___lbc31">#REF!</definedName>
    <definedName name="___lbc32">#REF!</definedName>
    <definedName name="___lbc4">#REF!</definedName>
    <definedName name="___lbc5">#REF!</definedName>
    <definedName name="___lbc6">#REF!</definedName>
    <definedName name="___lbc7">#REF!</definedName>
    <definedName name="___lbc8">#REF!</definedName>
    <definedName name="___lbc9">#REF!</definedName>
    <definedName name="___ld26">#REF!</definedName>
    <definedName name="___ld31">#REF!</definedName>
    <definedName name="___le31">#REF!</definedName>
    <definedName name="___lf31">#REF!</definedName>
    <definedName name="___PK2" localSheetId="0" hidden="1">{"'장비'!$A$3:$M$12"}</definedName>
    <definedName name="___PK2">{"'장비'!$A$3:$M$12"}</definedName>
    <definedName name="___PKG3" localSheetId="0" hidden="1">{"'장비'!$A$3:$M$12"}</definedName>
    <definedName name="___PKG3">{"'장비'!$A$3:$M$12"}</definedName>
    <definedName name="___qqq222" localSheetId="0" hidden="1">{"'장비'!$A$3:$M$12"}</definedName>
    <definedName name="___qqq222">{"'장비'!$A$3:$M$12"}</definedName>
    <definedName name="___QT100">#REF!</definedName>
    <definedName name="___QT2">#REF!</definedName>
    <definedName name="___QT3">#REF!</definedName>
    <definedName name="___QT4">#REF!</definedName>
    <definedName name="___QT50">#REF!</definedName>
    <definedName name="___QT75">#REF!</definedName>
    <definedName name="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x10">#REF!</definedName>
    <definedName name="___x11">#REF!</definedName>
    <definedName name="___x12">#REF!</definedName>
    <definedName name="___x13">#REF!</definedName>
    <definedName name="___x14">#REF!</definedName>
    <definedName name="___x15">#REF!</definedName>
    <definedName name="___x16">#REF!</definedName>
    <definedName name="___x17">#REF!</definedName>
    <definedName name="___x18">#REF!</definedName>
    <definedName name="___x19">#REF!</definedName>
    <definedName name="___x20">#REF!</definedName>
    <definedName name="___x21">#REF!</definedName>
    <definedName name="___x22">#REF!</definedName>
    <definedName name="___x23">#REF!</definedName>
    <definedName name="___x24">#REF!</definedName>
    <definedName name="___x25">#REF!</definedName>
    <definedName name="___x28">#REF!</definedName>
    <definedName name="___x29">#REF!</definedName>
    <definedName name="___x32">#REF!</definedName>
    <definedName name="___x4">#REF!</definedName>
    <definedName name="___x5">#REF!</definedName>
    <definedName name="___x6">#REF!</definedName>
    <definedName name="___x7">#REF!</definedName>
    <definedName name="___x8">#REF!</definedName>
    <definedName name="___x9">#REF!</definedName>
    <definedName name="__123Graph_A">#REF!</definedName>
    <definedName name="__123Graph_AChart1" localSheetId="0" hidden="1">#REF!</definedName>
    <definedName name="__123Graph_AChart1">#REF!</definedName>
    <definedName name="__123Graph_ACurrent">#REF!</definedName>
    <definedName name="__123Graph_ACUSTO">#REF!</definedName>
    <definedName name="__123Graph_AFAT">#REF!</definedName>
    <definedName name="__123Graph_AGRA1" localSheetId="0" hidden="1">#REF!</definedName>
    <definedName name="__123Graph_AGRA1">#REF!</definedName>
    <definedName name="__123Graph_ARES" localSheetId="0" hidden="1">#REF!</definedName>
    <definedName name="__123Graph_ARES">#REF!</definedName>
    <definedName name="__123Graph_B" localSheetId="0" hidden="1">#REF!</definedName>
    <definedName name="__123Graph_B">#REF!</definedName>
    <definedName name="__123Graph_BChart1" localSheetId="0" hidden="1">#REF!</definedName>
    <definedName name="__123Graph_BChart1">#REF!</definedName>
    <definedName name="__123Graph_BCurrent">#REF!</definedName>
    <definedName name="__123Graph_BCUSTO">#REF!</definedName>
    <definedName name="__123Graph_BFAT">#REF!</definedName>
    <definedName name="__123Graph_BPERFORMANCE">#REF!</definedName>
    <definedName name="__123Graph_BRES">#REF!</definedName>
    <definedName name="__123Graph_C" localSheetId="0" hidden="1">#REF!</definedName>
    <definedName name="__123Graph_C">#REF!</definedName>
    <definedName name="__123Graph_D" localSheetId="0" hidden="1">#REF!</definedName>
    <definedName name="__123Graph_D">#REF!</definedName>
    <definedName name="__123Graph_E">#REF!</definedName>
    <definedName name="__123Graph_F">#REF!</definedName>
    <definedName name="__123Graph_LBL_A">#REF!</definedName>
    <definedName name="__123Graph_LBL_B">#REF!</definedName>
    <definedName name="__123Graph_X" localSheetId="0" hidden="1">#REF!</definedName>
    <definedName name="__123Graph_X">#REF!</definedName>
    <definedName name="__123Graph_XChart1" localSheetId="0" hidden="1">#REF!</definedName>
    <definedName name="__123Graph_XChart1">#REF!</definedName>
    <definedName name="__123Graph_XCurrent">#REF!</definedName>
    <definedName name="__123Graph_XCUSTO">#REF!</definedName>
    <definedName name="__123Graph_XFAT">#REF!</definedName>
    <definedName name="__123Graph_XGRA1" localSheetId="0" hidden="1">#REF!</definedName>
    <definedName name="__123Graph_XGRA1">#REF!</definedName>
    <definedName name="__123Graph_XRES" localSheetId="0" hidden="1">#REF!</definedName>
    <definedName name="__123Graph_XRES">#REF!</definedName>
    <definedName name="__ACR10">#REF!</definedName>
    <definedName name="__ACR15">#REF!</definedName>
    <definedName name="__acr20">#REF!</definedName>
    <definedName name="__acr5">#REF!</definedName>
    <definedName name="__ARQ1">#REF!</definedName>
    <definedName name="__Axe3">#REF!</definedName>
    <definedName name="__Axe4">#REF!</definedName>
    <definedName name="_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htm2">#REF!</definedName>
    <definedName name="__htn2">#REF!</definedName>
    <definedName name="__iss2">#REF!</definedName>
    <definedName name="__key2" localSheetId="0" hidden="1">#REF!</definedName>
    <definedName name="__key2">#REF!</definedName>
    <definedName name="__la29" localSheetId="0" hidden="1">#REF!</definedName>
    <definedName name="__la29">#REF!</definedName>
    <definedName name="__la3" localSheetId="0" hidden="1">#REF!</definedName>
    <definedName name="__la3">#REF!</definedName>
    <definedName name="__la31">#REF!</definedName>
    <definedName name="__la32">#REF!</definedName>
    <definedName name="__la4">#REF!</definedName>
    <definedName name="__la5">#REF!</definedName>
    <definedName name="__la6">#REF!</definedName>
    <definedName name="__la7">#REF!</definedName>
    <definedName name="__la8">#REF!</definedName>
    <definedName name="__la9">#REF!</definedName>
    <definedName name="__lb1">#REF!</definedName>
    <definedName name="__lb10">#REF!</definedName>
    <definedName name="__lb11">#REF!</definedName>
    <definedName name="__lb12">#REF!</definedName>
    <definedName name="__lb13">#REF!</definedName>
    <definedName name="__lb14">#REF!</definedName>
    <definedName name="__lb15">#REF!</definedName>
    <definedName name="__lb16">#REF!</definedName>
    <definedName name="__lb17">#REF!</definedName>
    <definedName name="__lb18">#REF!</definedName>
    <definedName name="__lb19">#REF!</definedName>
    <definedName name="__lb2">#REF!</definedName>
    <definedName name="__lb20">#REF!</definedName>
    <definedName name="__lb21">#REF!</definedName>
    <definedName name="__lb22">#REF!</definedName>
    <definedName name="__lb23">#REF!</definedName>
    <definedName name="__lb24">#REF!</definedName>
    <definedName name="__lb25">#REF!</definedName>
    <definedName name="__lb27">#REF!</definedName>
    <definedName name="__lb28">#REF!</definedName>
    <definedName name="__lb29">#REF!</definedName>
    <definedName name="__lb3">#REF!</definedName>
    <definedName name="__lb30">#REF!</definedName>
    <definedName name="__lb31">#REF!</definedName>
    <definedName name="__lb32">#REF!</definedName>
    <definedName name="__lb4">#REF!</definedName>
    <definedName name="__lb5">#REF!</definedName>
    <definedName name="__lb6">#REF!</definedName>
    <definedName name="__lb7">#REF!</definedName>
    <definedName name="__lb8">#REF!</definedName>
    <definedName name="__lb9">#REF!</definedName>
    <definedName name="__lbc1">#REF!</definedName>
    <definedName name="__lbc10">#REF!</definedName>
    <definedName name="__lbc11">#REF!</definedName>
    <definedName name="__lbc12">#REF!</definedName>
    <definedName name="__lbc13">#REF!</definedName>
    <definedName name="__lbc14">#REF!</definedName>
    <definedName name="__lbc15">#REF!</definedName>
    <definedName name="__lbc16">#REF!</definedName>
    <definedName name="__lbc17">#REF!</definedName>
    <definedName name="__lbc18">#REF!</definedName>
    <definedName name="__lbc19">#REF!</definedName>
    <definedName name="__lbc2">#REF!</definedName>
    <definedName name="__lbc20">#REF!</definedName>
    <definedName name="__lbc21">#REF!</definedName>
    <definedName name="__lbc22">#REF!</definedName>
    <definedName name="__lbc23">#REF!</definedName>
    <definedName name="__lbc24">#REF!</definedName>
    <definedName name="__lbc25">#REF!</definedName>
    <definedName name="__lbc26">#REF!</definedName>
    <definedName name="__lbc27">#REF!</definedName>
    <definedName name="__lbc28">#REF!</definedName>
    <definedName name="__lbc29">#REF!</definedName>
    <definedName name="__lbc3">#REF!</definedName>
    <definedName name="__lbc31">#REF!</definedName>
    <definedName name="__lbc32">#REF!</definedName>
    <definedName name="__lbc4">#REF!</definedName>
    <definedName name="__lbc5">#REF!</definedName>
    <definedName name="__lbc6">#REF!</definedName>
    <definedName name="__lbc7">#REF!</definedName>
    <definedName name="__lbc8">#REF!</definedName>
    <definedName name="__lbc9">#REF!</definedName>
    <definedName name="__ld26">#REF!</definedName>
    <definedName name="__ld31">#REF!</definedName>
    <definedName name="__le31">#REF!</definedName>
    <definedName name="__lf31">#REF!</definedName>
    <definedName name="__PK2" localSheetId="0" hidden="1">{"'장비'!$A$3:$M$12"}</definedName>
    <definedName name="__PK2">{"'장비'!$A$3:$M$12"}</definedName>
    <definedName name="__PKG3" localSheetId="0" hidden="1">{"'장비'!$A$3:$M$12"}</definedName>
    <definedName name="__PKG3">{"'장비'!$A$3:$M$12"}</definedName>
    <definedName name="__qqq222" localSheetId="0" hidden="1">{"'장비'!$A$3:$M$12"}</definedName>
    <definedName name="__qqq222">{"'장비'!$A$3:$M$12"}</definedName>
    <definedName name="__QT100">#REF!</definedName>
    <definedName name="__QT2">#REF!</definedName>
    <definedName name="__QT3">#REF!</definedName>
    <definedName name="__QT4">#REF!</definedName>
    <definedName name="__QT50">#REF!</definedName>
    <definedName name="__QT75">#REF!</definedName>
    <definedName name="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x10">#REF!</definedName>
    <definedName name="__x11">#REF!</definedName>
    <definedName name="__x12">#REF!</definedName>
    <definedName name="__x13">#REF!</definedName>
    <definedName name="__x14">#REF!</definedName>
    <definedName name="__x15">#REF!</definedName>
    <definedName name="__x16">#REF!</definedName>
    <definedName name="__x17">#REF!</definedName>
    <definedName name="__x18">#REF!</definedName>
    <definedName name="__x19">#REF!</definedName>
    <definedName name="__x20">#REF!</definedName>
    <definedName name="__x21">#REF!</definedName>
    <definedName name="__x22">#REF!</definedName>
    <definedName name="__x23">#REF!</definedName>
    <definedName name="__x24">#REF!</definedName>
    <definedName name="__x25">#REF!</definedName>
    <definedName name="__x28">#REF!</definedName>
    <definedName name="__x29">#REF!</definedName>
    <definedName name="__x32">#REF!</definedName>
    <definedName name="__x4">#REF!</definedName>
    <definedName name="__x5">#REF!</definedName>
    <definedName name="__x6">#REF!</definedName>
    <definedName name="__x7">#REF!</definedName>
    <definedName name="__x8">#REF!</definedName>
    <definedName name="__x9">#REF!</definedName>
    <definedName name="_0.CURVA_OBRA">#REF!</definedName>
    <definedName name="_00.VAR._GASTO">#REF!</definedName>
    <definedName name="_000.CURVA_FINA">#REF!</definedName>
    <definedName name="_1">#REF!</definedName>
    <definedName name="_1__123Graph_ACHART_1" localSheetId="0" hidden="1">#REF!</definedName>
    <definedName name="_1__123Graph_ACHART_1">#REF!</definedName>
    <definedName name="_10__123Graph_CCHART_1" localSheetId="0" hidden="1">#REF!</definedName>
    <definedName name="_10__123Graph_CCHART_1">#REF!</definedName>
    <definedName name="_11.SERV.TECNIC">#REF!</definedName>
    <definedName name="_11__123Graph_DCHART_1" localSheetId="0" hidden="1">#REF!</definedName>
    <definedName name="_11__123Graph_DCHART_1">#REF!</definedName>
    <definedName name="_12.GAST_GERAIS">#REF!</definedName>
    <definedName name="_12__123Graph_XChart_1A">#REF!</definedName>
    <definedName name="_13.P._PERMAN.">#REF!</definedName>
    <definedName name="_15.IMPL._CANT">#REF!</definedName>
    <definedName name="_16.EQUIPAM.">#REF!</definedName>
    <definedName name="_17.OPER._CANT.">#REF!</definedName>
    <definedName name="_19.TRANC_LIMP.">#REF!</definedName>
    <definedName name="_1Dist_Val">#REF!</definedName>
    <definedName name="_2">#REF!</definedName>
    <definedName name="_2__123Graph_BCHART_1" localSheetId="0" hidden="1">#REF!</definedName>
    <definedName name="_2__123Graph_BCHART_1">#REF!</definedName>
    <definedName name="_25.PREP.TERREN">#REF!</definedName>
    <definedName name="_27.FUND._ESCOR">#REF!</definedName>
    <definedName name="_2F">#REF!</definedName>
    <definedName name="_3__123Graph_XCHART_1" localSheetId="0" hidden="1">#REF!</definedName>
    <definedName name="_3__123Graph_XCHART_1">#REF!</definedName>
    <definedName name="_31_32_33.C_A">#REF!</definedName>
    <definedName name="_41.ALVENARIA">#REF!</definedName>
    <definedName name="_47.IMP._ISOLA.">#REF!</definedName>
    <definedName name="_5__123Graph_ACHART_1" localSheetId="0" hidden="1">#REF!</definedName>
    <definedName name="_5__123Graph_ACHART_1">#REF!</definedName>
    <definedName name="_51.REV.ARGAMAS">#REF!</definedName>
    <definedName name="_52.REV.CERAM.I">#REF!</definedName>
    <definedName name="_53.REV.CERAM.E">#REF!</definedName>
    <definedName name="_54.TACOS_E_ASS">#REF!</definedName>
    <definedName name="_55.MARM._E_GRA">#REF!</definedName>
    <definedName name="_56.MARMORITE">#REF!</definedName>
    <definedName name="_59.OUTRS_REVES">#REF!</definedName>
    <definedName name="_6__123Graph_AChart_1A">#REF!</definedName>
    <definedName name="_61.ESQUAD._MAD">#REF!</definedName>
    <definedName name="_63.ESQUAD._ALU">#REF!</definedName>
    <definedName name="_65.ESQUAD._FER">#REF!</definedName>
    <definedName name="_67.VIDROS">#REF!</definedName>
    <definedName name="_7__123Graph_ACHART_2" localSheetId="0" hidden="1">#REF!</definedName>
    <definedName name="_7__123Graph_ACHART_2">#REF!</definedName>
    <definedName name="_71_73.I.ELET_H">#REF!</definedName>
    <definedName name="_77.OUTRAS_INST.">#REF!</definedName>
    <definedName name="_78.ELEVADORES">#REF!</definedName>
    <definedName name="_8__123Graph_BChart_1A">#REF!</definedName>
    <definedName name="_81.APAR._SANIT">#REF!</definedName>
    <definedName name="_83_85.PINT_LIM">#REF!</definedName>
    <definedName name="_9__123Graph_BCHART_2" localSheetId="0" hidden="1">#REF!</definedName>
    <definedName name="_9__123Graph_BCHART_2">#REF!</definedName>
    <definedName name="_ACR10">#REF!</definedName>
    <definedName name="_ACR15">#REF!</definedName>
    <definedName name="_acr20">#REF!</definedName>
    <definedName name="_acr5">#REF!</definedName>
    <definedName name="_akhnsdkjsdb">#REF!</definedName>
    <definedName name="_AMO_UniqueIdentifier">"'54256040-62ff-475a-9348-dbdfce08df30'"</definedName>
    <definedName name="_ARQ1">#REF!</definedName>
    <definedName name="_AtRisk_SimSetting_AutomaticallyGenerateReports">FALSE</definedName>
    <definedName name="_AtRisk_SimSetting_AutomaticResultsDisplayMode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RandomNumberGenerator">7</definedName>
    <definedName name="_AtRisk_SimSetting_ReportsList">0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Axe3">#REF!</definedName>
    <definedName name="_Axe4">#REF!</definedName>
    <definedName name="_Builtin13" localSheetId="0" hidden="1">#REF!</definedName>
    <definedName name="_Builtin13">#REF!</definedName>
    <definedName name="_CAB1">#REF!</definedName>
    <definedName name="_CAB2">#REF!</definedName>
    <definedName name="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Dist_Bin" localSheetId="0" hidden="1">#REF!</definedName>
    <definedName name="_Dist_Bin">#REF!</definedName>
    <definedName name="_Dist_Values" localSheetId="0" hidden="1">#REF!</definedName>
    <definedName name="_Dist_Values">#REF!</definedName>
    <definedName name="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Fill" localSheetId="0" hidden="1">#REF!</definedName>
    <definedName name="_Fill">#REF!</definedName>
    <definedName name="_fill1" localSheetId="0" hidden="1">#REF!</definedName>
    <definedName name="_fill1">#REF!</definedName>
    <definedName name="_FiltrarBancoDados2">#REF!</definedName>
    <definedName name="_xlnm._FilterDatabase" localSheetId="0" hidden="1">#REF!</definedName>
    <definedName name="_xlnm._FilterDatabase" hidden="1">#REF!</definedName>
    <definedName name="_htm2">#REF!</definedName>
    <definedName name="_htn2">#REF!</definedName>
    <definedName name="_IA0542" localSheetId="0" hidden="1">{#N/A,#N/A,FALSE,"Plan1";#N/A,#N/A,FALSE,"Plan2"}</definedName>
    <definedName name="_IA0542">{#N/A,#N/A,FALSE,"Plan1";#N/A,#N/A,FALSE,"Plan2"}</definedName>
    <definedName name="_iss2">#REF!</definedName>
    <definedName name="_IV65617">#REF!</definedName>
    <definedName name="_IV65999">#REF!</definedName>
    <definedName name="_IV66000">#REF!</definedName>
    <definedName name="_IV67021">#REF!</definedName>
    <definedName name="_IV67022">#REF!</definedName>
    <definedName name="_Key1" localSheetId="0" hidden="1">#REF!</definedName>
    <definedName name="_Key1">#REF!</definedName>
    <definedName name="_Key2" localSheetId="0" hidden="1">#REF!</definedName>
    <definedName name="_Key2">#REF!</definedName>
    <definedName name="_KEY3">#REF!</definedName>
    <definedName name="_key4">#REF!</definedName>
    <definedName name="_l">#REF!</definedName>
    <definedName name="_la29" localSheetId="0" hidden="1">#REF!</definedName>
    <definedName name="_la29">#REF!</definedName>
    <definedName name="_la3" localSheetId="0" hidden="1">#REF!</definedName>
    <definedName name="_la3">#REF!</definedName>
    <definedName name="_la31">#REF!</definedName>
    <definedName name="_la32">#REF!</definedName>
    <definedName name="_la4">#REF!</definedName>
    <definedName name="_la5">#REF!</definedName>
    <definedName name="_la6">#REF!</definedName>
    <definedName name="_la7">#REF!</definedName>
    <definedName name="_la8">#REF!</definedName>
    <definedName name="_la9">#REF!</definedName>
    <definedName name="_lb1">#REF!</definedName>
    <definedName name="_lb10">#REF!</definedName>
    <definedName name="_lb11">#REF!</definedName>
    <definedName name="_lb12">#REF!</definedName>
    <definedName name="_lb13">#REF!</definedName>
    <definedName name="_lb14">#REF!</definedName>
    <definedName name="_lb15">#REF!</definedName>
    <definedName name="_lb16">#REF!</definedName>
    <definedName name="_lb17">#REF!</definedName>
    <definedName name="_lb18">#REF!</definedName>
    <definedName name="_lb19">#REF!</definedName>
    <definedName name="_lb2">#REF!</definedName>
    <definedName name="_lb20">#REF!</definedName>
    <definedName name="_lb21">#REF!</definedName>
    <definedName name="_lb22">#REF!</definedName>
    <definedName name="_lb23">#REF!</definedName>
    <definedName name="_lb24">#REF!</definedName>
    <definedName name="_lb25">#REF!</definedName>
    <definedName name="_lb27">#REF!</definedName>
    <definedName name="_lb28">#REF!</definedName>
    <definedName name="_lb29">#REF!</definedName>
    <definedName name="_lb3">#REF!</definedName>
    <definedName name="_lb30">#REF!</definedName>
    <definedName name="_lb31">#REF!</definedName>
    <definedName name="_lb32">#REF!</definedName>
    <definedName name="_lb4">#REF!</definedName>
    <definedName name="_lb5">#REF!</definedName>
    <definedName name="_lb6">#REF!</definedName>
    <definedName name="_lb7">#REF!</definedName>
    <definedName name="_lb8">#REF!</definedName>
    <definedName name="_lb9">#REF!</definedName>
    <definedName name="_lbc1">#REF!</definedName>
    <definedName name="_lbc10">#REF!</definedName>
    <definedName name="_lbc11">#REF!</definedName>
    <definedName name="_lbc12">#REF!</definedName>
    <definedName name="_lbc13">#REF!</definedName>
    <definedName name="_lbc14">#REF!</definedName>
    <definedName name="_lbc15">#REF!</definedName>
    <definedName name="_lbc16">#REF!</definedName>
    <definedName name="_lbc17">#REF!</definedName>
    <definedName name="_lbc18">#REF!</definedName>
    <definedName name="_lbc19">#REF!</definedName>
    <definedName name="_lbc2">#REF!</definedName>
    <definedName name="_lbc20">#REF!</definedName>
    <definedName name="_lbc21">#REF!</definedName>
    <definedName name="_lbc22">#REF!</definedName>
    <definedName name="_lbc23">#REF!</definedName>
    <definedName name="_lbc24">#REF!</definedName>
    <definedName name="_lbc25">#REF!</definedName>
    <definedName name="_lbc26">#REF!</definedName>
    <definedName name="_lbc27">#REF!</definedName>
    <definedName name="_lbc28">#REF!</definedName>
    <definedName name="_lbc29">#REF!</definedName>
    <definedName name="_lbc3">#REF!</definedName>
    <definedName name="_lbc31">#REF!</definedName>
    <definedName name="_lbc32">#REF!</definedName>
    <definedName name="_lbc4">#REF!</definedName>
    <definedName name="_lbc5">#REF!</definedName>
    <definedName name="_lbc6">#REF!</definedName>
    <definedName name="_lbc7">#REF!</definedName>
    <definedName name="_lbc8">#REF!</definedName>
    <definedName name="_lbc9">#REF!</definedName>
    <definedName name="_ld26">#REF!</definedName>
    <definedName name="_ld31">#REF!</definedName>
    <definedName name="_le31">#REF!</definedName>
    <definedName name="_lf31">#REF!</definedName>
    <definedName name="_MatInverse_In">#REF!</definedName>
    <definedName name="_MatMult_A" localSheetId="0" hidden="1">#REF!</definedName>
    <definedName name="_MatMult_A">#REF!</definedName>
    <definedName name="_MatMult_AxB">#REF!</definedName>
    <definedName name="_MatMult_B">#REF!</definedName>
    <definedName name="_new11" localSheetId="0" hidden="1">{#N/A,#N/A,FALSE,"Global by BU";#N/A,#N/A,FALSE,"U.S. by BU";#N/A,#N/A,FALSE,"Canada by BU";#N/A,#N/A,FALSE,"Europe by BU";#N/A,#N/A,FALSE,"Asia by BU";#N/A,#N/A,FALSE,"Cala by BU"}</definedName>
    <definedName name="_new11">{#N/A,#N/A,FALSE,"Global by BU";#N/A,#N/A,FALSE,"U.S. by BU";#N/A,#N/A,FALSE,"Canada by BU";#N/A,#N/A,FALSE,"Europe by BU";#N/A,#N/A,FALSE,"Asia by BU";#N/A,#N/A,FALSE,"Cala by BU"}</definedName>
    <definedName name="_Order1">0</definedName>
    <definedName name="_Order2" localSheetId="0" hidden="1">255</definedName>
    <definedName name="_Order2">255</definedName>
    <definedName name="_Parse_Out" localSheetId="0" hidden="1">#REF!</definedName>
    <definedName name="_Parse_Out">#REF!</definedName>
    <definedName name="_PAV01">#REF!</definedName>
    <definedName name="_PAV02">#REF!</definedName>
    <definedName name="_PAV03">#REF!</definedName>
    <definedName name="_PAV04">#REF!</definedName>
    <definedName name="_PAV05">#REF!</definedName>
    <definedName name="_PAV06">#REF!</definedName>
    <definedName name="_PAV07">#REF!</definedName>
    <definedName name="_PAV08">#REF!</definedName>
    <definedName name="_PAV09">#REF!</definedName>
    <definedName name="_PAV10">#REF!</definedName>
    <definedName name="_PAV11">#REF!</definedName>
    <definedName name="_PK2" localSheetId="0" hidden="1">{"'장비'!$A$3:$M$12"}</definedName>
    <definedName name="_PK2">{"'장비'!$A$3:$M$12"}</definedName>
    <definedName name="_PKG3" localSheetId="0" hidden="1">{"'장비'!$A$3:$M$12"}</definedName>
    <definedName name="_PKG3">{"'장비'!$A$3:$M$12"}</definedName>
    <definedName name="_qqq222" localSheetId="0" hidden="1">{"'장비'!$A$3:$M$12"}</definedName>
    <definedName name="_qqq222">{"'장비'!$A$3:$M$12"}</definedName>
    <definedName name="_QT100">#REF!</definedName>
    <definedName name="_QT2">#REF!</definedName>
    <definedName name="_QT3">#REF!</definedName>
    <definedName name="_QT4">#REF!</definedName>
    <definedName name="_QT50">#REF!</definedName>
    <definedName name="_QT75">#REF!</definedName>
    <definedName name="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>1</definedName>
    <definedName name="_Regression_Out" localSheetId="0" hidden="1">#REF!</definedName>
    <definedName name="_Regression_Out">#REF!</definedName>
    <definedName name="_Regression_X" localSheetId="0" hidden="1">#REF!</definedName>
    <definedName name="_Regression_X">#REF!</definedName>
    <definedName name="_Regression_Y" localSheetId="0" hidden="1">#REF!</definedName>
    <definedName name="_Regression_Y">#REF!</definedName>
    <definedName name="_sfe5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ort" localSheetId="0" hidden="1">#REF!</definedName>
    <definedName name="_Sort">#REF!</definedName>
    <definedName name="_T">#REF!</definedName>
    <definedName name="_Table1_In1" localSheetId="0" hidden="1">#REF!</definedName>
    <definedName name="_Table1_In1">#REF!</definedName>
    <definedName name="_Table1_Out">#REF!</definedName>
    <definedName name="_wer3" localSheetId="0" hidden="1">{#N/A,#N/A,FALSE,"Plan1";#N/A,#N/A,FALSE,"Plan2"}</definedName>
    <definedName name="_wer3">{#N/A,#N/A,FALSE,"Plan1";#N/A,#N/A,FALSE,"Plan2"}</definedName>
    <definedName name="_wrn.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10" localSheetId="0" hidden="1">#REF!</definedName>
    <definedName name="_x10">#REF!</definedName>
    <definedName name="_x11" localSheetId="0" hidden="1">#REF!</definedName>
    <definedName name="_x11">#REF!</definedName>
    <definedName name="_x12" localSheetId="0" hidden="1">#REF!</definedName>
    <definedName name="_x12">#REF!</definedName>
    <definedName name="_x13">#REF!</definedName>
    <definedName name="_x14">#REF!</definedName>
    <definedName name="_x15">#REF!</definedName>
    <definedName name="_x16">#REF!</definedName>
    <definedName name="_x17">#REF!</definedName>
    <definedName name="_x18">#REF!</definedName>
    <definedName name="_x19">#REF!</definedName>
    <definedName name="_x20">#REF!</definedName>
    <definedName name="_x21">#REF!</definedName>
    <definedName name="_x22">#REF!</definedName>
    <definedName name="_x23">#REF!</definedName>
    <definedName name="_x24">#REF!</definedName>
    <definedName name="_x25">#REF!</definedName>
    <definedName name="_x28">#REF!</definedName>
    <definedName name="_x29">#REF!</definedName>
    <definedName name="_x32">#REF!</definedName>
    <definedName name="_x4">#REF!</definedName>
    <definedName name="_x5">#REF!</definedName>
    <definedName name="_x6">#REF!</definedName>
    <definedName name="_x7">#REF!</definedName>
    <definedName name="_x8">#REF!</definedName>
    <definedName name="_x9">#REF!</definedName>
    <definedName name="_xlcn.WorksheetConnection_2018_03ResumoRGOObrasRJ.xlsbTabela1" localSheetId="0" hidden="1">#REF!</definedName>
    <definedName name="_xlcn.WorksheetConnection_2018_03ResumoRGOObrasRJ.xlsbTabela1">#REF!</definedName>
    <definedName name="_xlcn.WorksheetConnection_ProjetocontrolefisicoefinanceiroRJ.xlsxTabela31" localSheetId="0" hidden="1">#REF!</definedName>
    <definedName name="_xlcn.WorksheetConnection_ProjetocontrolefisicoefinanceiroRJ.xlsxTabela31">#REF!</definedName>
    <definedName name="´cAE°eE¹" localSheetId="0" hidden="1">#REF!</definedName>
    <definedName name="´cAE°eE¹" hidden="1">#REF!</definedName>
    <definedName name="￠￥cAE¡ÆeEⓒo" hidden="1">#REF!</definedName>
    <definedName name="a" localSheetId="0" hidden="1">#REF!</definedName>
    <definedName name="a">#REF!</definedName>
    <definedName name="a\sgt" localSheetId="0" hidden="1">{#N/A,#N/A,FALSE,"Plan1";#N/A,#N/A,FALSE,"Plan2"}</definedName>
    <definedName name="a\sgt" hidden="1">{#N/A,#N/A,FALSE,"Plan1";#N/A,#N/A,FALSE,"Plan2"}</definedName>
    <definedName name="aa" localSheetId="0">#REF!</definedName>
    <definedName name="aa">#REF!</definedName>
    <definedName name="aaa">#REF!</definedName>
    <definedName name="AAAA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dc">#REF!</definedName>
    <definedName name="aaacccc" localSheetId="0" hidden="1">{#N/A,#N/A,FALSE,"Plan1";#N/A,#N/A,FALSE,"Plan2"}</definedName>
    <definedName name="aaacccc">{#N/A,#N/A,FALSE,"Plan1";#N/A,#N/A,FALSE,"Plan2"}</definedName>
    <definedName name="aaas">#REF!</definedName>
    <definedName name="AB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">#REF!</definedName>
    <definedName name="Abat_ISS">#REF!</definedName>
    <definedName name="ab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D" localSheetId="0" hidden="1">#REF!</definedName>
    <definedName name="ABCD">#REF!</definedName>
    <definedName name="abebqt">#REF!</definedName>
    <definedName name="abr17RJ">#REF!</definedName>
    <definedName name="ABRIL">#REF!</definedName>
    <definedName name="ABRIL2001">#REF!</definedName>
    <definedName name="ac" localSheetId="0" hidden="1">#REF!</definedName>
    <definedName name="ac">#REF!</definedName>
    <definedName name="Acabam.">#REF!</definedName>
    <definedName name="ACADUC">#REF!</definedName>
    <definedName name="ACBEB">#REF!</definedName>
    <definedName name="ACBOMB">#REF!</definedName>
    <definedName name="AccessDatabase">"C:\posec\DATABASE\vlv_list\vlvlist1.mdb"</definedName>
    <definedName name="ACCHAF">#REF!</definedName>
    <definedName name="ACCLINK.XLS_Localization_Table_List">"$A$1:$B$11"</definedName>
    <definedName name="ACCLINK.XLS_Localization_Table_List1">"$A$13:$B$31"</definedName>
    <definedName name="ACCLINK.XLS_Localization_Table_List10">"$A$13:$B$33"</definedName>
    <definedName name="ACCLINK.XLS_Localization_Table_List11">"$A$13:$B$33"</definedName>
    <definedName name="ACCLINK.XLS_Localization_Table_List12">"$A$13:$B$33"</definedName>
    <definedName name="ACCLINK.XLS_Localization_Table_List13">"$A$13:$B$33"</definedName>
    <definedName name="ACCLINK.XLS_Localization_Table_List14">"$A$13:$B$33"</definedName>
    <definedName name="ACCLINK.XLS_Localization_Table_List15">"$A$13:$B$33"</definedName>
    <definedName name="ACCLINK.XLS_Localization_Table_List16">"$A$13:$B$33"</definedName>
    <definedName name="ACCLINK.XLS_Localization_Table_List17">"$A$13:$B$33"</definedName>
    <definedName name="ACCLINK.XLS_Localization_Table_List18">"$A$13:$B$33"</definedName>
    <definedName name="ACCLINK.XLS_Localization_Table_List19">"$A$13:$B$33"</definedName>
    <definedName name="ACCLINK.XLS_Localization_Table_List2">"$A$13:$B$31"</definedName>
    <definedName name="ACCLINK.XLS_Localization_Table_List3">"$A$13:$B$31"</definedName>
    <definedName name="ACCLINK.XLS_Localization_Table_List4">"$A$13:$B$31"</definedName>
    <definedName name="ACCLINK.XLS_Localization_Table_List5">"$A$13:$B$31"</definedName>
    <definedName name="ACCLINK.XLS_Localization_Table_List6">"$A$13:$B$31"</definedName>
    <definedName name="ACCLINK.XLS_Localization_Table_List7">"$A$13:$B$31"</definedName>
    <definedName name="ACCLINK.XLS_Localization_Table_List8">"$A$13:$B$31"</definedName>
    <definedName name="ACCLINK.XLS_Localization_Table_List9">"$A$13:$B$33"</definedName>
    <definedName name="acdb" localSheetId="0" hidden="1">#REF!</definedName>
    <definedName name="acdb">#REF!</definedName>
    <definedName name="ACDER">#REF!</definedName>
    <definedName name="ACDIV">#REF!</definedName>
    <definedName name="ACDS" localSheetId="0" hidden="1">#REF!</definedName>
    <definedName name="ACDS">#REF!</definedName>
    <definedName name="ACEQP">#REF!</definedName>
    <definedName name="ACHAFQT">#REF!</definedName>
    <definedName name="achar18" localSheetId="0" hidden="1">#REF!</definedName>
    <definedName name="achar18">#REF!</definedName>
    <definedName name="achar19">#REF!</definedName>
    <definedName name="achart1">#REF!</definedName>
    <definedName name="achart10">#REF!</definedName>
    <definedName name="achart11">#REF!</definedName>
    <definedName name="achart12">#REF!</definedName>
    <definedName name="achart13">#REF!</definedName>
    <definedName name="achart14">#REF!</definedName>
    <definedName name="achart15">#REF!</definedName>
    <definedName name="achart16">#REF!</definedName>
    <definedName name="achart17">#REF!</definedName>
    <definedName name="achart2">#REF!</definedName>
    <definedName name="achart20">#REF!</definedName>
    <definedName name="achart21">#REF!</definedName>
    <definedName name="achart22">#REF!</definedName>
    <definedName name="achart23">#REF!</definedName>
    <definedName name="achart24">#REF!</definedName>
    <definedName name="achart25">#REF!</definedName>
    <definedName name="achart26">#REF!</definedName>
    <definedName name="achart27">#REF!</definedName>
    <definedName name="achart28">#REF!</definedName>
    <definedName name="achart29">#REF!</definedName>
    <definedName name="achart3">#REF!</definedName>
    <definedName name="achart30">#REF!</definedName>
    <definedName name="achart31">#REF!</definedName>
    <definedName name="achart32">#REF!</definedName>
    <definedName name="achart4">#REF!</definedName>
    <definedName name="achart5">#REF!</definedName>
    <definedName name="achart6">#REF!</definedName>
    <definedName name="achart7">#REF!</definedName>
    <definedName name="achart8">#REF!</definedName>
    <definedName name="achart9">#REF!</definedName>
    <definedName name="ACMUR">#REF!</definedName>
    <definedName name="açoeeer" localSheetId="0" hidden="1">{#N/A,#N/A,FALSE,"Plan1";#N/A,#N/A,FALSE,"Plan2"}</definedName>
    <definedName name="açoeeer">{#N/A,#N/A,FALSE,"Plan1";#N/A,#N/A,FALSE,"Plan2"}</definedName>
    <definedName name="ACOMP">#REF!</definedName>
    <definedName name="ACONT2">#REF!</definedName>
    <definedName name="ACPIPA">#REF!</definedName>
    <definedName name="ACTRANSP">#REF!</definedName>
    <definedName name="ACwvu.Características." localSheetId="0" hidden="1">#REF!</definedName>
    <definedName name="ACwvu.Características.">#REF!</definedName>
    <definedName name="ACwvu.Ciclos." localSheetId="0" hidden="1">#REF!</definedName>
    <definedName name="ACwvu.Ciclos.">#REF!</definedName>
    <definedName name="ACwvu.Custos." localSheetId="0" hidden="1">#REF!</definedName>
    <definedName name="ACwvu.Custos.">#REF!</definedName>
    <definedName name="ACwvu.PLANILHA2." localSheetId="0" hidden="1">#REF!</definedName>
    <definedName name="ACwvu.PLANILHA2.">#REF!</definedName>
    <definedName name="ACwvu.Recursos.">#REF!</definedName>
    <definedName name="ad" localSheetId="0" hidden="1">{#N/A,#N/A,FALSE,"Plan1";#N/A,#N/A,FALSE,"Plan2"}</definedName>
    <definedName name="ad">{#N/A,#N/A,FALSE,"Plan1";#N/A,#N/A,FALSE,"Plan2"}</definedName>
    <definedName name="adads" localSheetId="0" hidden="1">{#N/A,#N/A,FALSE,"Plan1";#N/A,#N/A,FALSE,"Plan2"}</definedName>
    <definedName name="adads">{#N/A,#N/A,FALSE,"Plan1";#N/A,#N/A,FALSE,"Plan2"}</definedName>
    <definedName name="adads2" localSheetId="0" hidden="1">{#N/A,#N/A,FALSE,"Plan1";#N/A,#N/A,FALSE,"Plan2"}</definedName>
    <definedName name="adads2">{#N/A,#N/A,FALSE,"Plan1";#N/A,#N/A,FALSE,"Plan2"}</definedName>
    <definedName name="adced" localSheetId="0" hidden="1">{#N/A,#N/A,FALSE,"Plan1";#N/A,#N/A,FALSE,"Plan2"}</definedName>
    <definedName name="adced">{#N/A,#N/A,FALSE,"Plan1";#N/A,#N/A,FALSE,"Plan2"}</definedName>
    <definedName name="adced2" localSheetId="0" hidden="1">{#N/A,#N/A,FALSE,"Plan1";#N/A,#N/A,FALSE,"Plan2"}</definedName>
    <definedName name="adced2">{#N/A,#N/A,FALSE,"Plan1";#N/A,#N/A,FALSE,"Plan2"}</definedName>
    <definedName name="ader" localSheetId="0" hidden="1">{#N/A,#N/A,FALSE,"Plan1";#N/A,#N/A,FALSE,"Plan2"}</definedName>
    <definedName name="ader">{#N/A,#N/A,FALSE,"Plan1";#N/A,#N/A,FALSE,"Plan2"}</definedName>
    <definedName name="ader2" localSheetId="0" hidden="1">{#N/A,#N/A,FALSE,"Plan1";#N/A,#N/A,FALSE,"Plan2"}</definedName>
    <definedName name="ader2">{#N/A,#N/A,FALSE,"Plan1";#N/A,#N/A,FALSE,"Plan2"}</definedName>
    <definedName name="adesr" localSheetId="0" hidden="1">{#N/A,#N/A,FALSE,"Plan1";#N/A,#N/A,FALSE,"Plan2"}</definedName>
    <definedName name="adesr">{#N/A,#N/A,FALSE,"Plan1";#N/A,#N/A,FALSE,"Plan2"}</definedName>
    <definedName name="adew">"3ORZTPXRHBU97C8AJ5UM8CAVA"</definedName>
    <definedName name="adewr" localSheetId="0" hidden="1">{#N/A,#N/A,FALSE,"Plan1";#N/A,#N/A,FALSE,"Plan2"}</definedName>
    <definedName name="adewr">{#N/A,#N/A,FALSE,"Plan1";#N/A,#N/A,FALSE,"Plan2"}</definedName>
    <definedName name="adf" localSheetId="0" hidden="1">{#N/A,#N/A,FALSE,"Plan1";#N/A,#N/A,FALSE,"Plan2"}</definedName>
    <definedName name="adf">{#N/A,#N/A,FALSE,"Plan1";#N/A,#N/A,FALSE,"Plan2"}</definedName>
    <definedName name="ADITIVO_BRUTO">#REF!</definedName>
    <definedName name="ADITIVO_LIQUIDO">#REF!</definedName>
    <definedName name="ADM.EXTERNA">#REF!</definedName>
    <definedName name="adsfr" localSheetId="0" hidden="1">{#N/A,#N/A,FALSE,"Plan1";#N/A,#N/A,FALSE,"Plan2"}</definedName>
    <definedName name="adsfr">{#N/A,#N/A,FALSE,"Plan1";#N/A,#N/A,FALSE,"Plan2"}</definedName>
    <definedName name="adssrgtg" localSheetId="0" hidden="1">{#N/A,#N/A,FALSE,"Plan1";#N/A,#N/A,FALSE,"Plan2"}</definedName>
    <definedName name="adssrgtg">{#N/A,#N/A,FALSE,"Plan1";#N/A,#N/A,FALSE,"Plan2"}</definedName>
    <definedName name="adtsetrr6t" localSheetId="0" hidden="1">{#N/A,#N/A,FALSE,"Plan1";#N/A,#N/A,FALSE,"Plan2"}</definedName>
    <definedName name="adtsetrr6t">{#N/A,#N/A,FALSE,"Plan1";#N/A,#N/A,FALSE,"Plan2"}</definedName>
    <definedName name="ADUCQT">#REF!</definedName>
    <definedName name="adwr" localSheetId="0" hidden="1">{#N/A,#N/A,FALSE,"Plan1";#N/A,#N/A,FALSE,"Plan2"}</definedName>
    <definedName name="adwr">{#N/A,#N/A,FALSE,"Plan1";#N/A,#N/A,FALSE,"Plan2"}</definedName>
    <definedName name="aeiresft" localSheetId="0" hidden="1">{#N/A,#N/A,FALSE,"Plan1";#N/A,#N/A,FALSE,"Plan2"}</definedName>
    <definedName name="aeiresft">{#N/A,#N/A,FALSE,"Plan1";#N/A,#N/A,FALSE,"Plan2"}</definedName>
    <definedName name="aEL3QE" localSheetId="0" hidden="1">{#N/A,#N/A,FALSE,"Plan1";#N/A,#N/A,FALSE,"Plan2"}</definedName>
    <definedName name="aEL3QE">{#N/A,#N/A,FALSE,"Plan1";#N/A,#N/A,FALSE,"Plan2"}</definedName>
    <definedName name="afeasfre" localSheetId="0" hidden="1">{#N/A,#N/A,FALSE,"Plan1";#N/A,#N/A,FALSE,"Plan2"}</definedName>
    <definedName name="afeasfre">{#N/A,#N/A,FALSE,"Plan1";#N/A,#N/A,FALSE,"Plan2"}</definedName>
    <definedName name="agdsf" localSheetId="0" hidden="1">#REF!</definedName>
    <definedName name="agdsf">#REF!</definedName>
    <definedName name="ago17RJ">#REF!</definedName>
    <definedName name="AGOSTO">#REF!</definedName>
    <definedName name="agu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 localSheetId="0" hidden="1">{#N/A,#N/A,FALSE,"CCTV"}</definedName>
    <definedName name="AH">{#N/A,#N/A,FALSE,"CCTV"}</definedName>
    <definedName name="AITEM">#REF!</definedName>
    <definedName name="Ajudante_Geral">#REF!</definedName>
    <definedName name="ajudante_mes">#REF!</definedName>
    <definedName name="AL">#REF!</definedName>
    <definedName name="ALTADUC">#REF!</definedName>
    <definedName name="ALTBOMB">#REF!</definedName>
    <definedName name="ALTCAP">#REF!</definedName>
    <definedName name="ALTDER">#REF!</definedName>
    <definedName name="ALTEQUIP">#REF!</definedName>
    <definedName name="ALTIEQP">#REF!</definedName>
    <definedName name="ALTMUR">#REF!</definedName>
    <definedName name="ALTRES10">#REF!</definedName>
    <definedName name="ALTRES15">#REF!</definedName>
    <definedName name="ALTRES20">#REF!</definedName>
    <definedName name="ALTTRANS">#REF!</definedName>
    <definedName name="ALUMÍNIO_2">#REF!</definedName>
    <definedName name="angelo" localSheetId="0">[2]Geral!#REF!</definedName>
    <definedName name="angelo">[2]Geral!#REF!</definedName>
    <definedName name="anscount" localSheetId="0" hidden="1">3</definedName>
    <definedName name="anscount">3</definedName>
    <definedName name="AQE" localSheetId="0" hidden="1">{"'장비'!$A$3:$M$12"}</definedName>
    <definedName name="AQE">{"'장비'!$A$3:$M$12"}</definedName>
    <definedName name="AQTEMP1">#REF!</definedName>
    <definedName name="AQTEMP2">#REF!</definedName>
    <definedName name="ArComprimido" localSheetId="0" hidden="1">{"'Estimativa de Lançamento-JAN'!$A$1:$AI$85"}</definedName>
    <definedName name="ArComprimido">{"'Estimativa de Lançamento-JAN'!$A$1:$AI$85"}</definedName>
    <definedName name="area" localSheetId="0" hidden="1">{#N/A,#N/A,FALSE,"Plan1";#N/A,#N/A,FALSE,"Plan2"}</definedName>
    <definedName name="area">{#N/A,#N/A,FALSE,"Plan1";#N/A,#N/A,FALSE,"Plan2"}</definedName>
    <definedName name="área">#REF!</definedName>
    <definedName name="Área_Construída" localSheetId="0">#REF!</definedName>
    <definedName name="Área_Construída">#REF!</definedName>
    <definedName name="_xlnm.Print_Area" localSheetId="0">CAPA!$A$1:$M$115</definedName>
    <definedName name="_xlnm.Print_Area">#REF!</definedName>
    <definedName name="Área_impressão_IM">#REF!</definedName>
    <definedName name="Área_Privativa" localSheetId="0">#REF!</definedName>
    <definedName name="Área_Privativa">#REF!</definedName>
    <definedName name="Área_Terreno" localSheetId="0">#REF!</definedName>
    <definedName name="Área_Terreno">#REF!</definedName>
    <definedName name="area1">#REF!</definedName>
    <definedName name="Areaimpresso" localSheetId="0">#REF!</definedName>
    <definedName name="Areaimpresso">#REF!</definedName>
    <definedName name="ARM">#REF!</definedName>
    <definedName name="ARMABLOCOS">#REF!</definedName>
    <definedName name="ARMAÇÃO">#REF!</definedName>
    <definedName name="ARQ">#REF!</definedName>
    <definedName name="ARQERR">#REF!</definedName>
    <definedName name="ARQPLAN">#REF!</definedName>
    <definedName name="ARQT">#REF!</definedName>
    <definedName name="ARQTEMP">#REF!</definedName>
    <definedName name="ARQTXT">#REF!</definedName>
    <definedName name="ARTEMP">#REF!</definedName>
    <definedName name="AS">#REF!</definedName>
    <definedName name="AS2DocOpenMode">"AS2DocumentBrowse"</definedName>
    <definedName name="asawe3" localSheetId="0" hidden="1">{#N/A,#N/A,FALSE,"Plan1";#N/A,#N/A,FALSE,"Plan2"}</definedName>
    <definedName name="asawe3">{#N/A,#N/A,FALSE,"Plan1";#N/A,#N/A,FALSE,"Plan2"}</definedName>
    <definedName name="ASD" localSheetId="0" hidden="1">17</definedName>
    <definedName name="ASD">17</definedName>
    <definedName name="ASDA" localSheetId="0" hidden="1">{#N/A,#N/A,FALSE,"Plan1";#N/A,#N/A,FALSE,"Plan2"}</definedName>
    <definedName name="ASDA">{#N/A,#N/A,FALSE,"Plan1";#N/A,#N/A,FALSE,"Plan2"}</definedName>
    <definedName name="asdade" localSheetId="0" hidden="1">{#N/A,#N/A,FALSE,"Plan1";#N/A,#N/A,FALSE,"Plan2"}</definedName>
    <definedName name="asdade">{#N/A,#N/A,FALSE,"Plan1";#N/A,#N/A,FALSE,"Plan2"}</definedName>
    <definedName name="asdas" localSheetId="0" hidden="1">{#N/A,#N/A,FALSE,"Plan1";#N/A,#N/A,FALSE,"Plan2"}</definedName>
    <definedName name="asdas">{#N/A,#N/A,FALSE,"Plan1";#N/A,#N/A,FALSE,"Plan2"}</definedName>
    <definedName name="asdawed" localSheetId="0" hidden="1">{#N/A,#N/A,FALSE,"Plan1";#N/A,#N/A,FALSE,"Plan2"}</definedName>
    <definedName name="asdawed">{#N/A,#N/A,FALSE,"Plan1";#N/A,#N/A,FALSE,"Plan2"}</definedName>
    <definedName name="ASDER" localSheetId="0" hidden="1">{#N/A,#N/A,FALSE,"Plan1";#N/A,#N/A,FALSE,"Plan2"}</definedName>
    <definedName name="ASDER">{#N/A,#N/A,FALSE,"Plan1";#N/A,#N/A,FALSE,"Plan2"}</definedName>
    <definedName name="asderr" localSheetId="0" hidden="1">{#N/A,#N/A,FALSE,"Plan1";#N/A,#N/A,FALSE,"Plan2"}</definedName>
    <definedName name="asderr">{#N/A,#N/A,FALSE,"Plan1";#N/A,#N/A,FALSE,"Plan2"}</definedName>
    <definedName name="asdesre" localSheetId="0" hidden="1">{#N/A,#N/A,FALSE,"Plan1";#N/A,#N/A,FALSE,"Plan2"}</definedName>
    <definedName name="asdesre">{#N/A,#N/A,FALSE,"Plan1";#N/A,#N/A,FALSE,"Plan2"}</definedName>
    <definedName name="asdewr" localSheetId="0" hidden="1">{#N/A,#N/A,FALSE,"Plan1";#N/A,#N/A,FALSE,"Plan2"}</definedName>
    <definedName name="asdewr">{#N/A,#N/A,FALSE,"Plan1";#N/A,#N/A,FALSE,"Plan2"}</definedName>
    <definedName name="ASDFASDFA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 localSheetId="0" hidden="1">{#N/A,#N/A,FALSE,"Plan1";#N/A,#N/A,FALSE,"Plan2"}</definedName>
    <definedName name="asdfs">{#N/A,#N/A,FALSE,"Plan1";#N/A,#N/A,FALSE,"Plan2"}</definedName>
    <definedName name="asdg" localSheetId="0" hidden="1">{#N/A,#N/A,FALSE,"Plan1";#N/A,#N/A,FALSE,"Plan2"}</definedName>
    <definedName name="asdg">{#N/A,#N/A,FALSE,"Plan1";#N/A,#N/A,FALSE,"Plan2"}</definedName>
    <definedName name="asdjksej" localSheetId="0" hidden="1">#REF!</definedName>
    <definedName name="asdjksej">#REF!</definedName>
    <definedName name="asdke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 localSheetId="0" hidden="1">{#N/A,#N/A,FALSE,"Plan1";#N/A,#N/A,FALSE,"Plan2"}</definedName>
    <definedName name="asdlas">{#N/A,#N/A,FALSE,"Plan1";#N/A,#N/A,FALSE,"Plan2"}</definedName>
    <definedName name="asdqwe" localSheetId="0" hidden="1">{#N/A,#N/A,FALSE,"Plan1";#N/A,#N/A,FALSE,"Plan2"}</definedName>
    <definedName name="asdqwe">{#N/A,#N/A,FALSE,"Plan1";#N/A,#N/A,FALSE,"Plan2"}</definedName>
    <definedName name="asdsa" localSheetId="0" hidden="1">{#N/A,#N/A,FALSE,"Plan1";#N/A,#N/A,FALSE,"Plan2"}</definedName>
    <definedName name="asdsa">{#N/A,#N/A,FALSE,"Plan1";#N/A,#N/A,FALSE,"Plan2"}</definedName>
    <definedName name="asdser" localSheetId="0" hidden="1">{#N/A,#N/A,FALSE,"Plan1";#N/A,#N/A,FALSE,"Plan2"}</definedName>
    <definedName name="asdser">{#N/A,#N/A,FALSE,"Plan1";#N/A,#N/A,FALSE,"Plan2"}</definedName>
    <definedName name="asdwef" localSheetId="0" hidden="1">{#N/A,#N/A,FALSE,"Plan1";#N/A,#N/A,FALSE,"Plan2"}</definedName>
    <definedName name="asdwef">{#N/A,#N/A,FALSE,"Plan1";#N/A,#N/A,FALSE,"Plan2"}</definedName>
    <definedName name="aseiuw" localSheetId="0" hidden="1">#REF!</definedName>
    <definedName name="aseiuw">#REF!</definedName>
    <definedName name="ASET" localSheetId="0" hidden="1">{#N/A,#N/A,FALSE,"Plan1";#N/A,#N/A,FALSE,"Plan2"}</definedName>
    <definedName name="ASET">{#N/A,#N/A,FALSE,"Plan1";#N/A,#N/A,FALSE,"Plan2"}</definedName>
    <definedName name="asfDSF" localSheetId="0" hidden="1">{#N/A,#N/A,FALSE,"Plan1";#N/A,#N/A,FALSE,"Plan2"}</definedName>
    <definedName name="asfDSF">{#N/A,#N/A,FALSE,"Plan1";#N/A,#N/A,FALSE,"Plan2"}</definedName>
    <definedName name="ASFERTE" localSheetId="0" hidden="1">{#N/A,#N/A,FALSE,"Plan1";#N/A,#N/A,FALSE,"Plan2"}</definedName>
    <definedName name="ASFERTE">{#N/A,#N/A,FALSE,"Plan1";#N/A,#N/A,FALSE,"Plan2"}</definedName>
    <definedName name="asfl" localSheetId="0" hidden="1">{#N/A,#N/A,FALSE,"Plan1";#N/A,#N/A,FALSE,"Plan2"}</definedName>
    <definedName name="asfl">{#N/A,#N/A,FALSE,"Plan1";#N/A,#N/A,FALSE,"Plan2"}</definedName>
    <definedName name="asfsz" localSheetId="0" hidden="1">{#N/A,#N/A,FALSE,"Plan1";#N/A,#N/A,FALSE,"Plan2"}</definedName>
    <definedName name="asfsz">{#N/A,#N/A,FALSE,"Plan1";#N/A,#N/A,FALSE,"Plan2"}</definedName>
    <definedName name="askserf" localSheetId="0" hidden="1">{#N/A,#N/A,FALSE,"Plan1";#N/A,#N/A,FALSE,"Plan2"}</definedName>
    <definedName name="askserf">{#N/A,#N/A,FALSE,"Plan1";#N/A,#N/A,FALSE,"Plan2"}</definedName>
    <definedName name="ASSFSDF" localSheetId="0" hidden="1">{#N/A,#N/A,FALSE,"Plan1";#N/A,#N/A,FALSE,"Plan2"}</definedName>
    <definedName name="ASSFSDF">{#N/A,#N/A,FALSE,"Plan1";#N/A,#N/A,FALSE,"Plan2"}</definedName>
    <definedName name="asw" localSheetId="0" hidden="1">{#N/A,#N/A,FALSE,"Plan1";#N/A,#N/A,FALSE,"Plan2"}</definedName>
    <definedName name="asw">{#N/A,#N/A,FALSE,"Plan1";#N/A,#N/A,FALSE,"Plan2"}</definedName>
    <definedName name="Até_Chaves">#REF!</definedName>
    <definedName name="ATIVOS" localSheetId="0" hidden="1">{#N/A,#N/A,FALSE,"F-01"}</definedName>
    <definedName name="ATIVOS">{#N/A,#N/A,FALSE,"F-01"}</definedName>
    <definedName name="Ato">#REF!</definedName>
    <definedName name="ATUAL">#REF!</definedName>
    <definedName name="aux" localSheetId="0">#REF!</definedName>
    <definedName name="aux">#REF!</definedName>
    <definedName name="AUXILIO">#REF!</definedName>
    <definedName name="avulsos">#REF!</definedName>
    <definedName name="awdjw" localSheetId="0" hidden="1">{#N/A,#N/A,FALSE,"Plan1";#N/A,#N/A,FALSE,"Plan2"}</definedName>
    <definedName name="awdjw">{#N/A,#N/A,FALSE,"Plan1";#N/A,#N/A,FALSE,"Plan2"}</definedName>
    <definedName name="aweqw4" localSheetId="0" hidden="1">{#N/A,#N/A,FALSE,"Plan1";#N/A,#N/A,FALSE,"Plan2"}</definedName>
    <definedName name="aweqw4">{#N/A,#N/A,FALSE,"Plan1";#N/A,#N/A,FALSE,"Plan2"}</definedName>
    <definedName name="awssdwaer" localSheetId="0" hidden="1">{#N/A,#N/A,FALSE,"Plan1";#N/A,#N/A,FALSE,"Plan2"}</definedName>
    <definedName name="awssdwaer">{#N/A,#N/A,FALSE,"Plan1";#N/A,#N/A,FALSE,"Plan2"}</definedName>
    <definedName name="AZ" localSheetId="0" hidden="1">#REF!</definedName>
    <definedName name="AZ">#REF!</definedName>
    <definedName name="b" localSheetId="0" hidden="1">{#N/A,#N/A,FALSE,"Plan1";#N/A,#N/A,FALSE,"Plan2"}</definedName>
    <definedName name="B">#REF!</definedName>
    <definedName name="BA">#REF!</definedName>
    <definedName name="balão1">"AutoForma 17"</definedName>
    <definedName name="BANCO">#REF!</definedName>
    <definedName name="Banco_dados_IM">#REF!</definedName>
    <definedName name="_xlnm.Database">#REF!</definedName>
    <definedName name="BANCO1">#REF!</definedName>
    <definedName name="BANCO2">#REF!</definedName>
    <definedName name="BANCO3">#REF!</definedName>
    <definedName name="BANCO4">#REF!</definedName>
    <definedName name="BASE">OFFSET(#REF!,0,0,COUNTA(#REF!)+1,5)</definedName>
    <definedName name="BASE_DE_DADOS_FLUXO_DE_CAIXA">OFFSET(#REF!,0,0,COUNTA(#REF!),COUNTA(#REF!))</definedName>
    <definedName name="BASE_FL_CX_3S">OFFSET(#REF!,0,0,COUNTA(#REF!),COUNTA(#REF!))</definedName>
    <definedName name="BASE_FLUXO_CAIXA_2017">OFFSET(#REF!,0,0,COUNTA(#REF!),COUNTA(#REF!))</definedName>
    <definedName name="bb">#REF!</definedName>
    <definedName name="bbb">#REF!</definedName>
    <definedName name="bbbbbbbbbbbbbbb" localSheetId="0" hidden="1">{"'Edit'!$A$1:$V$2277"}</definedName>
    <definedName name="bbbbbbbbbbbbbbb">{"'Edit'!$A$1:$V$2277"}</definedName>
    <definedName name="bchar10">#REF!</definedName>
    <definedName name="bchart1">#REF!</definedName>
    <definedName name="bchart11">#REF!</definedName>
    <definedName name="bchart12">#REF!</definedName>
    <definedName name="bchart13">#REF!</definedName>
    <definedName name="bchart14">#REF!</definedName>
    <definedName name="bchart15">#REF!</definedName>
    <definedName name="bchart16">#REF!</definedName>
    <definedName name="bchart17">#REF!</definedName>
    <definedName name="bchart18">#REF!</definedName>
    <definedName name="bchart19">#REF!</definedName>
    <definedName name="bchart2">#REF!</definedName>
    <definedName name="bchart20">#REF!</definedName>
    <definedName name="bchart21">#REF!</definedName>
    <definedName name="bchart22">#REF!</definedName>
    <definedName name="bchart23">#REF!</definedName>
    <definedName name="bchart24">#REF!</definedName>
    <definedName name="bchart25">#REF!</definedName>
    <definedName name="bchart26">#REF!</definedName>
    <definedName name="bchart27">#REF!</definedName>
    <definedName name="bchart28">#REF!</definedName>
    <definedName name="bchart29">#REF!</definedName>
    <definedName name="bchart3">#REF!</definedName>
    <definedName name="bchart30">#REF!</definedName>
    <definedName name="bchart31">#REF!</definedName>
    <definedName name="bchart32">#REF!</definedName>
    <definedName name="bchart4">#REF!</definedName>
    <definedName name="bchart5">#REF!</definedName>
    <definedName name="bchart6">#REF!</definedName>
    <definedName name="bchart7">#REF!</definedName>
    <definedName name="bchart8">#REF!</definedName>
    <definedName name="bchart9">#REF!</definedName>
    <definedName name="BD">#REF!</definedName>
    <definedName name="BDA" localSheetId="0">#REF!</definedName>
    <definedName name="BDA">#REF!</definedName>
    <definedName name="bdfjghf" localSheetId="0" hidden="1">{#N/A,#N/A,FALSE,"Plan1";#N/A,#N/A,FALSE,"Plan2"}</definedName>
    <definedName name="bdfjghf">{#N/A,#N/A,FALSE,"Plan1";#N/A,#N/A,FALSE,"Plan2"}</definedName>
    <definedName name="BDI" localSheetId="0">#REF!</definedName>
    <definedName name="BDI">#REF!</definedName>
    <definedName name="bdzbfbdr" localSheetId="0" hidden="1">{#N/A,#N/A,FALSE,"Plan1";#N/A,#N/A,FALSE,"Plan2"}</definedName>
    <definedName name="bdzbfbdr">{#N/A,#N/A,FALSE,"Plan1";#N/A,#N/A,FALSE,"Plan2"}</definedName>
    <definedName name="be">#REF!</definedName>
    <definedName name="bebqt">#REF!</definedName>
    <definedName name="bela_cdi">#REF!</definedName>
    <definedName name="bela_hist">#REF!</definedName>
    <definedName name="bela_uss">#REF!</definedName>
    <definedName name="bg" localSheetId="0" hidden="1">#REF!</definedName>
    <definedName name="bg">#REF!</definedName>
    <definedName name="BGG" localSheetId="0" hidden="1">{#N/A,#N/A,FALSE,"Plan1";#N/A,#N/A,FALSE,"Plan2"}</definedName>
    <definedName name="BGG">{#N/A,#N/A,FALSE,"Plan1";#N/A,#N/A,FALSE,"Plan2"}</definedName>
    <definedName name="bhjgfhfh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 localSheetId="0" hidden="1">{#N/A,#N/A,FALSE,"Plan1";#N/A,#N/A,FALSE,"Plan2"}</definedName>
    <definedName name="BJSDKHFE">{#N/A,#N/A,FALSE,"Plan1";#N/A,#N/A,FALSE,"Plan2"}</definedName>
    <definedName name="bloco">#REF!</definedName>
    <definedName name="BLPH1" localSheetId="0" hidden="1">#REF!</definedName>
    <definedName name="BLPH1">#REF!</definedName>
    <definedName name="BLPH100" localSheetId="0" hidden="1">#REF!</definedName>
    <definedName name="BLPH100">#REF!</definedName>
    <definedName name="BLPH101" localSheetId="0" hidden="1">#REF!</definedName>
    <definedName name="BLPH101">#REF!</definedName>
    <definedName name="BLPH102" localSheetId="0" hidden="1">#REF!</definedName>
    <definedName name="BLPH102">#REF!</definedName>
    <definedName name="BLPH103" localSheetId="0" hidden="1">#REF!</definedName>
    <definedName name="BLPH103">#REF!</definedName>
    <definedName name="BLPH104" localSheetId="0" hidden="1">#REF!</definedName>
    <definedName name="BLPH104">#REF!</definedName>
    <definedName name="BLPH107">#REF!</definedName>
    <definedName name="BLPH2">#REF!</definedName>
    <definedName name="BLPH3">#REF!</definedName>
    <definedName name="BLPH4">#REF!</definedName>
    <definedName name="BLPH5">#REF!</definedName>
    <definedName name="BLPH6">#REF!</definedName>
    <definedName name="BLPH7">#REF!</definedName>
    <definedName name="BLPH8">#REF!</definedName>
    <definedName name="BLPH96" localSheetId="0" hidden="1">#REF!</definedName>
    <definedName name="BLPH96">#REF!</definedName>
    <definedName name="BLPH97" localSheetId="0" hidden="1">#REF!</definedName>
    <definedName name="BLPH97">#REF!</definedName>
    <definedName name="BLPH98" localSheetId="0" hidden="1">#REF!</definedName>
    <definedName name="BLPH98">#REF!</definedName>
    <definedName name="BLPH99" localSheetId="0" hidden="1">#REF!</definedName>
    <definedName name="BLPH99">#REF!</definedName>
    <definedName name="bmdgghrtfde" localSheetId="0" hidden="1">{#N/A,#N/A,FALSE,"Plan1";#N/A,#N/A,FALSE,"Plan2"}</definedName>
    <definedName name="bmdgghrtfde">{#N/A,#N/A,FALSE,"Plan1";#N/A,#N/A,FALSE,"Plan2"}</definedName>
    <definedName name="bnkjhjhdfxgt" localSheetId="0" hidden="1">{#N/A,#N/A,FALSE,"Plan1";#N/A,#N/A,FALSE,"Plan2"}</definedName>
    <definedName name="bnkjhjhdfxgt">{#N/A,#N/A,FALSE,"Plan1";#N/A,#N/A,FALSE,"Plan2"}</definedName>
    <definedName name="BORBA2">#REF!</definedName>
    <definedName name="BORDA1" localSheetId="0">#N/A</definedName>
    <definedName name="BORDA1">#REF!</definedName>
    <definedName name="BuiltIn_Print_Area">#REF!</definedName>
    <definedName name="BuiltIn_Print_Area___0">#REF!</definedName>
    <definedName name="BuiltIn_Print_Titles">#REF!</definedName>
    <definedName name="BuiltIn_Print_Titles___0">#REF!</definedName>
    <definedName name="BV" localSheetId="0" hidden="1">#REF!</definedName>
    <definedName name="BV">#REF!</definedName>
    <definedName name="bxnzfmkzxbhdf" localSheetId="0" hidden="1">{#N/A,#N/A,FALSE,"Plan1";#N/A,#N/A,FALSE,"Plan2"}</definedName>
    <definedName name="bxnzfmkzxbhdf">{#N/A,#N/A,FALSE,"Plan1";#N/A,#N/A,FALSE,"Plan2"}</definedName>
    <definedName name="ca" localSheetId="0">#REF!</definedName>
    <definedName name="ca">#REF!</definedName>
    <definedName name="CAB" localSheetId="0">#N/A</definedName>
    <definedName name="CAB">#REF!</definedName>
    <definedName name="CAFS">"Carlos Antonio Fernandes da Silva"</definedName>
    <definedName name="CAGR">#REF!</definedName>
    <definedName name="caixa">#REF!</definedName>
    <definedName name="caix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mbio">#REF!</definedName>
    <definedName name="CAMP">#REF!</definedName>
    <definedName name="CAMPOS">#REF!</definedName>
    <definedName name="çaos\ewapo" localSheetId="0" hidden="1">{#N/A,#N/A,FALSE,"Plan1";#N/A,#N/A,FALSE,"Plan2"}</definedName>
    <definedName name="çaos\ewapo" hidden="1">{#N/A,#N/A,FALSE,"Plan1";#N/A,#N/A,FALSE,"Plan2"}</definedName>
    <definedName name="Capa" localSheetId="0">#REF!</definedName>
    <definedName name="Capa">#REF!</definedName>
    <definedName name="CAPA2">#REF!</definedName>
    <definedName name="CAPA55">#REF!</definedName>
    <definedName name="CAPA55A">#REF!</definedName>
    <definedName name="CAPELA">#REF!</definedName>
    <definedName name="CARLA">#REF!</definedName>
    <definedName name="CARLOS1">#REF!</definedName>
    <definedName name="CARTÃO4">#REF!</definedName>
    <definedName name="CAT6_IP" localSheetId="0" hidden="1">{#N/A,#N/A,FALSE,"F-01"}</definedName>
    <definedName name="CAT6_IP">{#N/A,#N/A,FALSE,"F-01"}</definedName>
    <definedName name="categori45">#REF!</definedName>
    <definedName name="CATEGORIA1">#REF!</definedName>
    <definedName name="CATEGORIA10">#REF!</definedName>
    <definedName name="CATEGORIA11">#REF!</definedName>
    <definedName name="CATEGORIA12">#REF!</definedName>
    <definedName name="CATEGORIA13">#REF!</definedName>
    <definedName name="CATEGORIA14">#REF!</definedName>
    <definedName name="CATEGORIA15">#REF!</definedName>
    <definedName name="CATEGORIA16">#REF!</definedName>
    <definedName name="CATEGORIA17">#REF!</definedName>
    <definedName name="CATEGORIA18">#REF!</definedName>
    <definedName name="CATEGORIA19">#REF!</definedName>
    <definedName name="CATEGORIA2">#REF!</definedName>
    <definedName name="CATEGORIA20">#REF!</definedName>
    <definedName name="CATEGORIA21">#REF!</definedName>
    <definedName name="CATEGORIA22">#REF!</definedName>
    <definedName name="CATEGORIA3">#REF!</definedName>
    <definedName name="CATEGORIA4">#REF!</definedName>
    <definedName name="CATEGORIA5">#REF!</definedName>
    <definedName name="CATEGORIA6">#REF!</definedName>
    <definedName name="CATEGORIA7">#REF!</definedName>
    <definedName name="CATEGORIA8">#REF!</definedName>
    <definedName name="CATEGORIA9">#REF!</definedName>
    <definedName name="CATORZE">#REF!</definedName>
    <definedName name="CAUX2">OFFSET(#REF!,0,0,COUNTA(#REF!)+1,1)</definedName>
    <definedName name="CAUX3">OFFSET(#REF!,0,0,COUNTA(#REF!)+1,1)</definedName>
    <definedName name="CCC">#REF!</definedName>
    <definedName name="ççç" localSheetId="0" hidden="1">{#N/A,#N/A,FALSE,"Plan1";#N/A,#N/A,FALSE,"Plan2"}</definedName>
    <definedName name="ççç">{#N/A,#N/A,FALSE,"Plan1";#N/A,#N/A,FALSE,"Plan2"}</definedName>
    <definedName name="cccc" localSheetId="0" hidden="1">{#N/A,#N/A,FALSE,"Plan1";#N/A,#N/A,FALSE,"Plan2"}</definedName>
    <definedName name="cccc">{#N/A,#N/A,FALSE,"Plan1";#N/A,#N/A,FALSE,"Plan2"}</definedName>
    <definedName name="ççççççç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 localSheetId="0" hidden="1">{"HW",#N/A,FALSE,"1998"}</definedName>
    <definedName name="cccccccccccccccc">{"HW",#N/A,FALSE,"1998"}</definedName>
    <definedName name="cchart1" localSheetId="0" hidden="1">#REF!</definedName>
    <definedName name="cchart1">#REF!</definedName>
    <definedName name="cchart10" localSheetId="0" hidden="1">#REF!</definedName>
    <definedName name="cchart10">#REF!</definedName>
    <definedName name="cchart11" localSheetId="0" hidden="1">#REF!</definedName>
    <definedName name="cchart11">#REF!</definedName>
    <definedName name="cchart12">#REF!</definedName>
    <definedName name="cchart13">#REF!</definedName>
    <definedName name="cchart14">#REF!</definedName>
    <definedName name="cchart15">#REF!</definedName>
    <definedName name="cchart16">#REF!</definedName>
    <definedName name="cchart17">#REF!</definedName>
    <definedName name="cchart18">#REF!</definedName>
    <definedName name="cchart19">#REF!</definedName>
    <definedName name="cchart2">#REF!</definedName>
    <definedName name="cchart20">#REF!</definedName>
    <definedName name="cchart21">#REF!</definedName>
    <definedName name="cchart22">#REF!</definedName>
    <definedName name="cchart23">#REF!</definedName>
    <definedName name="cchart24">#REF!</definedName>
    <definedName name="cchart25">#REF!</definedName>
    <definedName name="cchart26">#REF!</definedName>
    <definedName name="cchart27">#REF!</definedName>
    <definedName name="cchart28">#REF!</definedName>
    <definedName name="cchart29">#REF!</definedName>
    <definedName name="cchart3">#REF!</definedName>
    <definedName name="cchart31">#REF!</definedName>
    <definedName name="cchart32">#REF!</definedName>
    <definedName name="cchart4">#REF!</definedName>
    <definedName name="cchart5">#REF!</definedName>
    <definedName name="cchart6">#REF!</definedName>
    <definedName name="cchart7">#REF!</definedName>
    <definedName name="cchart8">#REF!</definedName>
    <definedName name="cchart9">#REF!</definedName>
    <definedName name="çcklfj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D">#REF!</definedName>
    <definedName name="çdfmerf" localSheetId="0" hidden="1">{#N/A,#N/A,FALSE,"Plan1";#N/A,#N/A,FALSE,"Plan2"}</definedName>
    <definedName name="çdfmerf">{#N/A,#N/A,FALSE,"Plan1";#N/A,#N/A,FALSE,"Plan2"}</definedName>
    <definedName name="CDSGHE" localSheetId="0" hidden="1">{#N/A,#N/A,FALSE,"Plan1";#N/A,#N/A,FALSE,"Plan2"}</definedName>
    <definedName name="CDSGHE">{#N/A,#N/A,FALSE,"Plan1";#N/A,#N/A,FALSE,"Plan2"}</definedName>
    <definedName name="cdvthd">#REF!</definedName>
    <definedName name="Cel_Constr">#REF!</definedName>
    <definedName name="CestaExcel">#REF!</definedName>
    <definedName name="CevaG">#REF!</definedName>
    <definedName name="CevaGS">#REF!</definedName>
    <definedName name="çfhjglkjhkljy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 localSheetId="0" hidden="1">{#N/A,#N/A,FALSE,"Plan1";#N/A,#N/A,FALSE,"Plan2"}</definedName>
    <definedName name="çflçf">{#N/A,#N/A,FALSE,"Plan1";#N/A,#N/A,FALSE,"Plan2"}</definedName>
    <definedName name="CHAFQT">#REF!</definedName>
    <definedName name="Chaves">#REF!</definedName>
    <definedName name="chfch" localSheetId="0" hidden="1">{#N/A,#N/A,FALSE,"Plan1";#N/A,#N/A,FALSE,"Plan2"}</definedName>
    <definedName name="chfch">{#N/A,#N/A,FALSE,"Plan1";#N/A,#N/A,FALSE,"Plan2"}</definedName>
    <definedName name="CI">#REF!</definedName>
    <definedName name="cidades">#REF!</definedName>
    <definedName name="CIFIXA">#REF!</definedName>
    <definedName name="CINCO">#REF!</definedName>
    <definedName name="CITOTAL">#REF!</definedName>
    <definedName name="CIVAR">#REF!</definedName>
    <definedName name="ÇJKRÇLFS" localSheetId="0" hidden="1">{"Econ Consolidado",#N/A,FALSE,"Econ Consol";"Fluxo de Caixa",#N/A,FALSE,"Fluxo Caixa";"Investimentos",#N/A,FALSE,"Investimentos"}</definedName>
    <definedName name="ÇJKRÇLFS">{"Econ Consolidado",#N/A,FALSE,"Econ Consol";"Fluxo de Caixa",#N/A,FALSE,"Fluxo Caixa";"Investimentos",#N/A,FALSE,"Investimentos"}</definedName>
    <definedName name="ÇJsrejtçe" localSheetId="0" hidden="1">{#N/A,#N/A,FALSE,"Plan1";#N/A,#N/A,FALSE,"Plan2"}</definedName>
    <definedName name="ÇJsrejtçe">{#N/A,#N/A,FALSE,"Plan1";#N/A,#N/A,FALSE,"Plan2"}</definedName>
    <definedName name="çkaçekow" localSheetId="0" hidden="1">{#N/A,#N/A,FALSE,"Plan1";#N/A,#N/A,FALSE,"Plan2"}</definedName>
    <definedName name="çkaçekow">{#N/A,#N/A,FALSE,"Plan1";#N/A,#N/A,FALSE,"Plan2"}</definedName>
    <definedName name="ÇKSDOEKR" localSheetId="0" hidden="1">{#N/A,#N/A,FALSE,"Plan1";#N/A,#N/A,FALSE,"Plan2"}</definedName>
    <definedName name="ÇKSDOEKR">{#N/A,#N/A,FALSE,"Plan1";#N/A,#N/A,FALSE,"Plan2"}</definedName>
    <definedName name="çl" localSheetId="0" hidden="1">{#N/A,#N/A,FALSE,"Plan1";#N/A,#N/A,FALSE,"Plan2"}</definedName>
    <definedName name="çl">{#N/A,#N/A,FALSE,"Plan1";#N/A,#N/A,FALSE,"Plan2"}</definedName>
    <definedName name="çlassde" localSheetId="0" hidden="1">{#N/A,#N/A,FALSE,"Plan1";#N/A,#N/A,FALSE,"Plan2"}</definedName>
    <definedName name="çlassde">{#N/A,#N/A,FALSE,"Plan1";#N/A,#N/A,FALSE,"Plan2"}</definedName>
    <definedName name="Classificação">#REF!</definedName>
    <definedName name="çlçlç" localSheetId="0" hidden="1">{#N/A,#N/A,FALSE,"Plan1";#N/A,#N/A,FALSE,"Plan2"}</definedName>
    <definedName name="çlçlç">{#N/A,#N/A,FALSE,"Plan1";#N/A,#N/A,FALSE,"Plan2"}</definedName>
    <definedName name="çld" localSheetId="0" hidden="1">{#N/A,#N/A,FALSE,"Plan1";#N/A,#N/A,FALSE,"Plan2"}</definedName>
    <definedName name="çld">{#N/A,#N/A,FALSE,"Plan1";#N/A,#N/A,FALSE,"Plan2"}</definedName>
    <definedName name="çlererr" localSheetId="0" hidden="1">{#N/A,#N/A,FALSE,"Plan1";#N/A,#N/A,FALSE,"Plan2"}</definedName>
    <definedName name="çlererr">{#N/A,#N/A,FALSE,"Plan1";#N/A,#N/A,FALSE,"Plan2"}</definedName>
    <definedName name="çlertert" localSheetId="0" hidden="1">{#N/A,#N/A,FALSE,"Plan1";#N/A,#N/A,FALSE,"Plan2"}</definedName>
    <definedName name="çlertert">{#N/A,#N/A,FALSE,"Plan1";#N/A,#N/A,FALSE,"Plan2"}</definedName>
    <definedName name="çlkdflçkrlr" localSheetId="0" hidden="1">#REF!</definedName>
    <definedName name="çlkdflçkrlr">#REF!</definedName>
    <definedName name="çll" localSheetId="0" hidden="1">{#N/A,#N/A,FALSE,"Plan1";#N/A,#N/A,FALSE,"Plan2"}</definedName>
    <definedName name="çll">{#N/A,#N/A,FALSE,"Plan1";#N/A,#N/A,FALSE,"Plan2"}</definedName>
    <definedName name="C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BRANÇA">#REF!</definedName>
    <definedName name="Cod_Esquadrias">#REF!</definedName>
    <definedName name="CÓDG">OFFSET(#REF!,0,0,COUNTA(#REF!),1)</definedName>
    <definedName name="codigo2">#REF!</definedName>
    <definedName name="codigo3">#REF!</definedName>
    <definedName name="CÓDT">OFFSET(#REF!,0,0,COUNTA(#REF!)+1,1)</definedName>
    <definedName name="COFINS">#REF!</definedName>
    <definedName name="cofins2">#REF!</definedName>
    <definedName name="COGS">#REF!</definedName>
    <definedName name="COLSUB">#REF!</definedName>
    <definedName name="COMISSOES">#REF!</definedName>
    <definedName name="COMPOSICAO">#REF!</definedName>
    <definedName name="composição">#REF!</definedName>
    <definedName name="COMPR">#REF!</definedName>
    <definedName name="COMPRIMENTO">#REF!</definedName>
    <definedName name="COMPROMETIDO">#REF!</definedName>
    <definedName name="CONFIRMAR" localSheetId="0" hidden="1">{#N/A,#N/A,TRUE,"Quinzena 01 à 15-04-98 "}</definedName>
    <definedName name="CONFIRMAR">{#N/A,#N/A,TRUE,"Quinzena 01 à 15-04-98 "}</definedName>
    <definedName name="cont" localSheetId="0" hidden="1">{#N/A,#N/A,FALSE,"Plan1";#N/A,#N/A,FALSE,"Plan2"}</definedName>
    <definedName name="cont">{#N/A,#N/A,FALSE,"Plan1";#N/A,#N/A,FALSE,"Plan2"}</definedName>
    <definedName name="CONT1">#REF!</definedName>
    <definedName name="CONT2">#REF!</definedName>
    <definedName name="CONT3">#REF!</definedName>
    <definedName name="CONTAIT">#REF!</definedName>
    <definedName name="CONTREC">#REF!</definedName>
    <definedName name="CONTRES">#REF!</definedName>
    <definedName name="CONTROLE">#REF!</definedName>
    <definedName name="Controle_Tecnologico" localSheetId="0" hidden="1">{#N/A,#N/A,FALSE,"Plan1";#N/A,#N/A,FALSE,"Plan2"}</definedName>
    <definedName name="Controle_Tecnologico">{#N/A,#N/A,FALSE,"Plan1";#N/A,#N/A,FALSE,"Plan2"}</definedName>
    <definedName name="Controle_tecnologico1" localSheetId="0" hidden="1">#REF!</definedName>
    <definedName name="Controle_tecnologico1">#REF!</definedName>
    <definedName name="CONVERSÃO">#REF!</definedName>
    <definedName name="cpmf">#REF!</definedName>
    <definedName name="Credor_Rel_Sienge">#REF!</definedName>
    <definedName name="_xlnm.Criteria">#REF!</definedName>
    <definedName name="CRONG">#REF!</definedName>
    <definedName name="cronograma" localSheetId="0">#REF!</definedName>
    <definedName name="cronograma">#REF!</definedName>
    <definedName name="CRONOGRAMA_FÍSICO_FINANCEIRO">#REF!</definedName>
    <definedName name="CS">#REF!</definedName>
    <definedName name="cs_diferida">#REF!</definedName>
    <definedName name="ÇSAÇDFW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dkfçdrkt" localSheetId="0" hidden="1">#REF!</definedName>
    <definedName name="çsdkfçdrkt">#REF!</definedName>
    <definedName name="CS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 localSheetId="0" hidden="1">{#N/A,#N/A,FALSE,"Plan1";#N/A,#N/A,FALSE,"Plan2"}</definedName>
    <definedName name="ÇSLÇDLFKD">{#N/A,#N/A,FALSE,"Plan1";#N/A,#N/A,FALSE,"Plan2"}</definedName>
    <definedName name="CT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ST_DIR_IND">#REF!</definedName>
    <definedName name="CUSTINDIRETO">#REF!</definedName>
    <definedName name="CUSTO_DIR_IND">#REF!</definedName>
    <definedName name="Custo_Direto_de_Obras_Civis_e_Instalações_...........................................">#REF!</definedName>
    <definedName name="Custo_Direto_em_geral">#REF!</definedName>
    <definedName name="custo_financing">#REF!</definedName>
    <definedName name="CUSTO_OUTROS">#REF!</definedName>
    <definedName name="Custo_Outros1">#REF!</definedName>
    <definedName name="CUSTODIRETO">#REF!</definedName>
    <definedName name="CUSTODIRETO_R">#REF!</definedName>
    <definedName name="CUSTODIRETO_U">#REF!</definedName>
    <definedName name="CUSTODIRETO1">#REF!</definedName>
    <definedName name="CUSTOFIN">#REF!</definedName>
    <definedName name="D" localSheetId="0">#REF!</definedName>
    <definedName name="D">#REF!</definedName>
    <definedName name="da">#REF!</definedName>
    <definedName name="dalm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 localSheetId="0" hidden="1">{#N/A,#N/A,FALSE,"Plan1";#N/A,#N/A,FALSE,"Plan2"}</definedName>
    <definedName name="dasfrt">{#N/A,#N/A,FALSE,"Plan1";#N/A,#N/A,FALSE,"Plan2"}</definedName>
    <definedName name="DATA">#REF!</definedName>
    <definedName name="Data_base">#REF!</definedName>
    <definedName name="data_base_VL">#REF!</definedName>
    <definedName name="DATA_COTAÇÃO">#REF!</definedName>
    <definedName name="DATA_ENTREGA">#REF!</definedName>
    <definedName name="DATA_FECHA">#REF!</definedName>
    <definedName name="Data_Inicio">#REF!</definedName>
    <definedName name="Data_Lançado_Sienge">#REF!</definedName>
    <definedName name="Data_Pagamento_Sienge">#REF!</definedName>
    <definedName name="Data_Previsão_Medição_Fin_Medição">#REF!</definedName>
    <definedName name="Data_Tendência_Recebimento_Fin_Medições">#REF!</definedName>
    <definedName name="DATA1">#REF!</definedName>
    <definedName name="DATA3">#REF!</definedName>
    <definedName name="DATA4">#REF!</definedName>
    <definedName name="DATA6">#REF!</definedName>
    <definedName name="Database">#REF!</definedName>
    <definedName name="DataChaves_MAP">#REF!</definedName>
    <definedName name="DatasOut13AteDez20">#REF!</definedName>
    <definedName name="DÇDL" localSheetId="0" hidden="1">{#N/A,#N/A,FALSE,"Plan1";#N/A,#N/A,FALSE,"Plan2"}</definedName>
    <definedName name="DÇDL">{#N/A,#N/A,FALSE,"Plan1";#N/A,#N/A,FALSE,"Plan2"}</definedName>
    <definedName name="dchart26" localSheetId="0" hidden="1">#REF!</definedName>
    <definedName name="dchart26">#REF!</definedName>
    <definedName name="dchart31" localSheetId="0" hidden="1">#REF!</definedName>
    <definedName name="dchart31">#REF!</definedName>
    <definedName name="dcnsfgdjkgb" localSheetId="0" hidden="1">{#N/A,#N/A,FALSE,"Plan1";#N/A,#N/A,FALSE,"Plan2"}</definedName>
    <definedName name="dcnsfgdjkgb">{#N/A,#N/A,FALSE,"Plan1";#N/A,#N/A,FALSE,"Plan2"}</definedName>
    <definedName name="DÇWK" localSheetId="0" hidden="1">{#N/A,#N/A,FALSE,"Plan1";#N/A,#N/A,FALSE,"Plan2"}</definedName>
    <definedName name="DÇWK">{#N/A,#N/A,FALSE,"Plan1";#N/A,#N/A,FALSE,"Plan2"}</definedName>
    <definedName name="DD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" localSheetId="0" hidden="1">{"'장비'!$A$3:$M$12"}</definedName>
    <definedName name="DDD">#REF!</definedName>
    <definedName name="ddddd" localSheetId="0" hidden="1">{#N/A,#N/A,FALSE,"Plan1";#N/A,#N/A,FALSE,"Plan2"}</definedName>
    <definedName name="ddddd">{#N/A,#N/A,FALSE,"Plan1";#N/A,#N/A,FALSE,"Plan2"}</definedName>
    <definedName name="ddddddddddd">#REF!</definedName>
    <definedName name="dddddddddddddddddddddddddd">#REF!</definedName>
    <definedName name="dddddddddddddppppppppp">#REF!</definedName>
    <definedName name="dde" localSheetId="0" hidden="1">{#N/A,#N/A,FALSE,"Plan1";#N/A,#N/A,FALSE,"Plan2"}</definedName>
    <definedName name="dde">{#N/A,#N/A,FALSE,"Plan1";#N/A,#N/A,FALSE,"Plan2"}</definedName>
    <definedName name="ddfs" localSheetId="0" hidden="1">#REF!</definedName>
    <definedName name="ddfs">#REF!</definedName>
    <definedName name="ddgfdvgd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 localSheetId="0" hidden="1">{#N/A,#N/A,FALSE,"Plan1";#N/A,#N/A,FALSE,"Plan2"}</definedName>
    <definedName name="DDGSFG">{#N/A,#N/A,FALSE,"Plan1";#N/A,#N/A,FALSE,"Plan2"}</definedName>
    <definedName name="dede" localSheetId="0" hidden="1">{#N/A,#N/A,FALSE,"Plan1";#N/A,#N/A,FALSE,"Plan2"}</definedName>
    <definedName name="dede">{#N/A,#N/A,FALSE,"Plan1";#N/A,#N/A,FALSE,"Plan2"}</definedName>
    <definedName name="defasagem">OFFSET(INDEX(#REF!,MATCH(#REF!,#REF!,0)),1,0,COUNTA(#REF!)-1)</definedName>
    <definedName name="depara">#REF!</definedName>
    <definedName name="DERIVQT">#REF!</definedName>
    <definedName name="des" localSheetId="0" hidden="1">{#N/A,#N/A,FALSE,"Plan1";#N/A,#N/A,FALSE,"Plan2"}</definedName>
    <definedName name="des">{#N/A,#N/A,FALSE,"Plan1";#N/A,#N/A,FALSE,"Plan2"}</definedName>
    <definedName name="desc" localSheetId="0" hidden="1">{#N/A,#N/A,FALSE,"Plan1";#N/A,#N/A,FALSE,"Plan2"}</definedName>
    <definedName name="desc">{#N/A,#N/A,FALSE,"Plan1";#N/A,#N/A,FALSE,"Plan2"}</definedName>
    <definedName name="DESCONTO">#REF!</definedName>
    <definedName name="DESCRIÇÃO_OBRA">#REF!</definedName>
    <definedName name="DespFatur">#REF!</definedName>
    <definedName name="DEZ">#REF!</definedName>
    <definedName name="dez17RJ">#REF!</definedName>
    <definedName name="DEZEMBRO">#REF!</definedName>
    <definedName name="DEZENOVE">#REF!</definedName>
    <definedName name="DEZESSEIS">#REF!</definedName>
    <definedName name="DEZESSETE">#REF!</definedName>
    <definedName name="DEZOITO">#REF!</definedName>
    <definedName name="d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 localSheetId="0" hidden="1">{#N/A,#N/A,FALSE,"명세표"}</definedName>
    <definedName name="DFD">{#N/A,#N/A,FALSE,"명세표"}</definedName>
    <definedName name="dfdfty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 localSheetId="0" hidden="1">{#N/A,#N/A,FALSE,"Plan1";#N/A,#N/A,FALSE,"Plan2"}</definedName>
    <definedName name="dfdjgfdfgdf">{#N/A,#N/A,FALSE,"Plan1";#N/A,#N/A,FALSE,"Plan2"}</definedName>
    <definedName name="dfdrtrr" localSheetId="0" hidden="1">{#N/A,#N/A,FALSE,"Plan1";#N/A,#N/A,FALSE,"Plan2"}</definedName>
    <definedName name="dfdrtrr">{#N/A,#N/A,FALSE,"Plan1";#N/A,#N/A,FALSE,"Plan2"}</definedName>
    <definedName name="DFDSG" localSheetId="0" hidden="1">{#N/A,#N/A,FALSE,"Plan1";#N/A,#N/A,FALSE,"Plan2"}</definedName>
    <definedName name="DFDSG">{#N/A,#N/A,FALSE,"Plan1";#N/A,#N/A,FALSE,"Plan2"}</definedName>
    <definedName name="dfer" localSheetId="0" hidden="1">{#N/A,#N/A,FALSE,"Plan1";#N/A,#N/A,FALSE,"Plan2"}</definedName>
    <definedName name="dfer">{#N/A,#N/A,FALSE,"Plan1";#N/A,#N/A,FALSE,"Plan2"}</definedName>
    <definedName name="dffbty" localSheetId="0" hidden="1">{#N/A,#N/A,FALSE,"Plan1";#N/A,#N/A,FALSE,"Plan2"}</definedName>
    <definedName name="dffbty">{#N/A,#N/A,FALSE,"Plan1";#N/A,#N/A,FALSE,"Plan2"}</definedName>
    <definedName name="dffg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 localSheetId="0" hidden="1">{#N/A,#N/A,FALSE,"Plan1";#N/A,#N/A,FALSE,"Plan2"}</definedName>
    <definedName name="dffhg">{#N/A,#N/A,FALSE,"Plan1";#N/A,#N/A,FALSE,"Plan2"}</definedName>
    <definedName name="dfg" localSheetId="0" hidden="1">{#N/A,#N/A,FALSE,"Plan1";#N/A,#N/A,FALSE,"Plan2"}</definedName>
    <definedName name="dfg">{#N/A,#N/A,FALSE,"Plan1";#N/A,#N/A,FALSE,"Plan2"}</definedName>
    <definedName name="dfgdf" localSheetId="0" hidden="1">{#N/A,#N/A,FALSE,"Plan1";#N/A,#N/A,FALSE,"Plan2"}</definedName>
    <definedName name="dfgdf">{#N/A,#N/A,FALSE,"Plan1";#N/A,#N/A,FALSE,"Plan2"}</definedName>
    <definedName name="dfgdytygr" localSheetId="0" hidden="1">{#N/A,#N/A,FALSE,"Plan1";#N/A,#N/A,FALSE,"Plan2"}</definedName>
    <definedName name="dfgdytygr">{#N/A,#N/A,FALSE,"Plan1";#N/A,#N/A,FALSE,"Plan2"}</definedName>
    <definedName name="dfgftrrdt5" localSheetId="0" hidden="1">{#N/A,#N/A,FALSE,"Plan1";#N/A,#N/A,FALSE,"Plan2"}</definedName>
    <definedName name="dfgftrrdt5">{#N/A,#N/A,FALSE,"Plan1";#N/A,#N/A,FALSE,"Plan2"}</definedName>
    <definedName name="dfgh">#REF!</definedName>
    <definedName name="dfghjfhsg" localSheetId="0" hidden="1">{#N/A,#N/A,FALSE,"Plan1";#N/A,#N/A,FALSE,"Plan2"}</definedName>
    <definedName name="dfghjfhsg">{#N/A,#N/A,FALSE,"Plan1";#N/A,#N/A,FALSE,"Plan2"}</definedName>
    <definedName name="dfgj" localSheetId="0" hidden="1">{#N/A,#N/A,FALSE,"Plan1";#N/A,#N/A,FALSE,"Plan2"}</definedName>
    <definedName name="dfgj">{#N/A,#N/A,FALSE,"Plan1";#N/A,#N/A,FALSE,"Plan2"}</definedName>
    <definedName name="dfgjfttyd" localSheetId="0" hidden="1">{#N/A,#N/A,FALSE,"Plan1";#N/A,#N/A,FALSE,"Plan2"}</definedName>
    <definedName name="dfgjfttyd">{#N/A,#N/A,FALSE,"Plan1";#N/A,#N/A,FALSE,"Plan2"}</definedName>
    <definedName name="dfgjjtdrtg" localSheetId="0" hidden="1">{#N/A,#N/A,FALSE,"Plan1";#N/A,#N/A,FALSE,"Plan2"}</definedName>
    <definedName name="dfgjjtdrtg">{#N/A,#N/A,FALSE,"Plan1";#N/A,#N/A,FALSE,"Plan2"}</definedName>
    <definedName name="dfgt" localSheetId="0" hidden="1">{#N/A,#N/A,FALSE,"Plan1";#N/A,#N/A,FALSE,"Plan2"}</definedName>
    <definedName name="dfgt">{#N/A,#N/A,FALSE,"Plan1";#N/A,#N/A,FALSE,"Plan2"}</definedName>
    <definedName name="dfgtrkjhk" localSheetId="0" hidden="1">{#N/A,#N/A,FALSE,"Plan1";#N/A,#N/A,FALSE,"Plan2"}</definedName>
    <definedName name="dfgtrkjhk">{#N/A,#N/A,FALSE,"Plan1";#N/A,#N/A,FALSE,"Plan2"}</definedName>
    <definedName name="dfgty" localSheetId="0" hidden="1">{#N/A,#N/A,FALSE,"Plan1";#N/A,#N/A,FALSE,"Plan2"}</definedName>
    <definedName name="dfgty">{#N/A,#N/A,FALSE,"Plan1";#N/A,#N/A,FALSE,"Plan2"}</definedName>
    <definedName name="dfhdgfdgf" localSheetId="0" hidden="1">{#N/A,#N/A,FALSE,"Plan1";#N/A,#N/A,FALSE,"Plan2"}</definedName>
    <definedName name="dfhdgfdgf">{#N/A,#N/A,FALSE,"Plan1";#N/A,#N/A,FALSE,"Plan2"}</definedName>
    <definedName name="DFHDJGJFHJGF" localSheetId="0" hidden="1">{#N/A,#N/A,FALSE,"Plan1";#N/A,#N/A,FALSE,"Plan2"}</definedName>
    <definedName name="DFHDJGJFHJGF">{#N/A,#N/A,FALSE,"Plan1";#N/A,#N/A,FALSE,"Plan2"}</definedName>
    <definedName name="dfhdyg" localSheetId="0" hidden="1">{#N/A,#N/A,FALSE,"Plan1";#N/A,#N/A,FALSE,"Plan2"}</definedName>
    <definedName name="dfhdyg">{#N/A,#N/A,FALSE,"Plan1";#N/A,#N/A,FALSE,"Plan2"}</definedName>
    <definedName name="DFHGDHUR" localSheetId="0" hidden="1">{#N/A,#N/A,FALSE,"Plan1";#N/A,#N/A,FALSE,"Plan2"}</definedName>
    <definedName name="DFHGDHUR">{#N/A,#N/A,FALSE,"Plan1";#N/A,#N/A,FALSE,"Plan2"}</definedName>
    <definedName name="dfhgjfgdhfjdrf" localSheetId="0" hidden="1">{#N/A,#N/A,FALSE,"Plan1";#N/A,#N/A,FALSE,"Plan2"}</definedName>
    <definedName name="dfhgjfgdhfjdrf">{#N/A,#N/A,FALSE,"Plan1";#N/A,#N/A,FALSE,"Plan2"}</definedName>
    <definedName name="dfhgkhfut" localSheetId="0" hidden="1">{#N/A,#N/A,FALSE,"Plan1";#N/A,#N/A,FALSE,"Plan2"}</definedName>
    <definedName name="dfhgkhfut">{#N/A,#N/A,FALSE,"Plan1";#N/A,#N/A,FALSE,"Plan2"}</definedName>
    <definedName name="dfhgkjdhkjghjd" localSheetId="0" hidden="1">#REF!</definedName>
    <definedName name="dfhgkjdhkjghjd">#REF!</definedName>
    <definedName name="dfhguitrhfg" localSheetId="0" hidden="1">{#N/A,#N/A,FALSE,"Plan1";#N/A,#N/A,FALSE,"Plan2"}</definedName>
    <definedName name="dfhguitrhfg">{#N/A,#N/A,FALSE,"Plan1";#N/A,#N/A,FALSE,"Plan2"}</definedName>
    <definedName name="DFHKHDGKJHDKS" localSheetId="0" hidden="1">{#N/A,#N/A,FALSE,"Plan1";#N/A,#N/A,FALSE,"Plan2"}</definedName>
    <definedName name="DFHKHDGKJHDKS">{#N/A,#N/A,FALSE,"Plan1";#N/A,#N/A,FALSE,"Plan2"}</definedName>
    <definedName name="dfijvnqienvvnjv">#REF!</definedName>
    <definedName name="dfjgjfhykj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 localSheetId="0" hidden="1">{#N/A,#N/A,FALSE,"Plan1";#N/A,#N/A,FALSE,"Plan2"}</definedName>
    <definedName name="dfjkgtdftr">{#N/A,#N/A,FALSE,"Plan1";#N/A,#N/A,FALSE,"Plan2"}</definedName>
    <definedName name="dfkhgfg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 localSheetId="0" hidden="1">{#N/A,#N/A,FALSE,"Plan1";#N/A,#N/A,FALSE,"Plan2"}</definedName>
    <definedName name="dfknfhkdrj">{#N/A,#N/A,FALSE,"Plan1";#N/A,#N/A,FALSE,"Plan2"}</definedName>
    <definedName name="dfnert" localSheetId="0" hidden="1">{#N/A,#N/A,FALSE,"Plan1";#N/A,#N/A,FALSE,"Plan2"}</definedName>
    <definedName name="dfnert">{#N/A,#N/A,FALSE,"Plan1";#N/A,#N/A,FALSE,"Plan2"}</definedName>
    <definedName name="dfrt" localSheetId="0" hidden="1">{#N/A,#N/A,FALSE,"Plan1";#N/A,#N/A,FALSE,"Plan2"}</definedName>
    <definedName name="dfrt">{#N/A,#N/A,FALSE,"Plan1";#N/A,#N/A,FALSE,"Plan2"}</definedName>
    <definedName name="dfsdr5tt" localSheetId="0" hidden="1">{#N/A,#N/A,FALSE,"Plan1";#N/A,#N/A,FALSE,"Plan2"}</definedName>
    <definedName name="dfsdr5tt">{#N/A,#N/A,FALSE,"Plan1";#N/A,#N/A,FALSE,"Plan2"}</definedName>
    <definedName name="dfsds" localSheetId="0" hidden="1">#REF!</definedName>
    <definedName name="dfsds">#REF!</definedName>
    <definedName name="dfsd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 localSheetId="0" hidden="1">{#N/A,#N/A,FALSE,"Plan1";#N/A,#N/A,FALSE,"Plan2"}</definedName>
    <definedName name="dfsdtr">{#N/A,#N/A,FALSE,"Plan1";#N/A,#N/A,FALSE,"Plan2"}</definedName>
    <definedName name="dfsf" localSheetId="0" hidden="1">{#N/A,#N/A,FALSE,"Plan1";#N/A,#N/A,FALSE,"Plan2"}</definedName>
    <definedName name="dfsf">{#N/A,#N/A,FALSE,"Plan1";#N/A,#N/A,FALSE,"Plan2"}</definedName>
    <definedName name="DFT" localSheetId="0" hidden="1">{#N/A,#N/A,FALSE,"Plan1";#N/A,#N/A,FALSE,"Plan2"}</definedName>
    <definedName name="DFT">{#N/A,#N/A,FALSE,"Plan1";#N/A,#N/A,FALSE,"Plan2"}</definedName>
    <definedName name="DFTRTTY" localSheetId="0" hidden="1">{#N/A,#N/A,FALSE,"Plan1";#N/A,#N/A,FALSE,"Plan2"}</definedName>
    <definedName name="DFTRTTY">{#N/A,#N/A,FALSE,"Plan1";#N/A,#N/A,FALSE,"Plan2"}</definedName>
    <definedName name="dfurghifdjyhits" localSheetId="0" hidden="1">{#N/A,#N/A,FALSE,"Plan1";#N/A,#N/A,FALSE,"Plan2"}</definedName>
    <definedName name="dfurghifdjyhits">{#N/A,#N/A,FALSE,"Plan1";#N/A,#N/A,FALSE,"Plan2"}</definedName>
    <definedName name="dfxgdrged" localSheetId="0" hidden="1">{#N/A,#N/A,FALSE,"Plan1";#N/A,#N/A,FALSE,"Plan2"}</definedName>
    <definedName name="dfxgdrged">{#N/A,#N/A,FALSE,"Plan1";#N/A,#N/A,FALSE,"Plan2"}</definedName>
    <definedName name="dgfrtyt" localSheetId="0" hidden="1">{#N/A,#N/A,FALSE,"Plan1";#N/A,#N/A,FALSE,"Plan2"}</definedName>
    <definedName name="dgfrtyt">{#N/A,#N/A,FALSE,"Plan1";#N/A,#N/A,FALSE,"Plan2"}</definedName>
    <definedName name="dggfdg" localSheetId="0" hidden="1">{#N/A,#N/A,FALSE,"Plan1";#N/A,#N/A,FALSE,"Plan2"}</definedName>
    <definedName name="dggfdg">{#N/A,#N/A,FALSE,"Plan1";#N/A,#N/A,FALSE,"Plan2"}</definedName>
    <definedName name="dgldfhgkljslh" localSheetId="0" hidden="1">{#N/A,#N/A,FALSE,"Plan1";#N/A,#N/A,FALSE,"Plan2"}</definedName>
    <definedName name="dgldfhgkljslh">{#N/A,#N/A,FALSE,"Plan1";#N/A,#N/A,FALSE,"Plan2"}</definedName>
    <definedName name="dhfgdhrehrwe" localSheetId="0" hidden="1">{#N/A,#N/A,FALSE,"Plan1";#N/A,#N/A,FALSE,"Plan2"}</definedName>
    <definedName name="dhfgdhrehrwe">{#N/A,#N/A,FALSE,"Plan1";#N/A,#N/A,FALSE,"Plan2"}</definedName>
    <definedName name="dhgfdgrfgdfgd" localSheetId="0" hidden="1">{#N/A,#N/A,FALSE,"Plan1";#N/A,#N/A,FALSE,"Plan2"}</definedName>
    <definedName name="dhgfdgrfgdfgd">{#N/A,#N/A,FALSE,"Plan1";#N/A,#N/A,FALSE,"Plan2"}</definedName>
    <definedName name="dhkjfhdhfjdh" localSheetId="0" hidden="1">{#N/A,#N/A,FALSE,"Plan1";#N/A,#N/A,FALSE,"Plan2"}</definedName>
    <definedName name="dhkjfhdhfjdh">{#N/A,#N/A,FALSE,"Plan1";#N/A,#N/A,FALSE,"Plan2"}</definedName>
    <definedName name="DHTJRT" localSheetId="0" hidden="1">{#N/A,#N/A,FALSE,"Plan1";#N/A,#N/A,FALSE,"Plan2"}</definedName>
    <definedName name="DHTJRT">{#N/A,#N/A,FALSE,"Plan1";#N/A,#N/A,FALSE,"Plan2"}</definedName>
    <definedName name="DI">#REF!</definedName>
    <definedName name="dia3estac">#REF!</definedName>
    <definedName name="diaestaca">#REF!</definedName>
    <definedName name="diambase">#REF!</definedName>
    <definedName name="DIFQT">#REF!</definedName>
    <definedName name="dijghdhks" localSheetId="0" hidden="1">{#N/A,#N/A,FALSE,"Plan1";#N/A,#N/A,FALSE,"Plan2"}</definedName>
    <definedName name="dijghdhks">{#N/A,#N/A,FALSE,"Plan1";#N/A,#N/A,FALSE,"Plan2"}</definedName>
    <definedName name="DIMENSÕES">#REF!</definedName>
    <definedName name="DIR_OPER">#REF!</definedName>
    <definedName name="DIR_TECNICO">#REF!</definedName>
    <definedName name="direto" localSheetId="0">#REF!</definedName>
    <definedName name="direto">#REF!</definedName>
    <definedName name="DIRETORIA">#REF!</definedName>
    <definedName name="diretorias">#REF!</definedName>
    <definedName name="Discrim">#REF!</definedName>
    <definedName name="DISCRIMINAÇÃO">#REF!</definedName>
    <definedName name="Discriminação_Controladoria">#REF!</definedName>
    <definedName name="DistCidade">#REF!</definedName>
    <definedName name="distratos">#REF!</definedName>
    <definedName name="div">#REF!</definedName>
    <definedName name="djasdrjas" localSheetId="0" hidden="1">{#N/A,#N/A,FALSE,"Plan1";#N/A,#N/A,FALSE,"Plan2"}</definedName>
    <definedName name="djasdrjas">{#N/A,#N/A,FALSE,"Plan1";#N/A,#N/A,FALSE,"Plan2"}</definedName>
    <definedName name="dj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 localSheetId="0" hidden="1">{#N/A,#N/A,FALSE,"Plan1";#N/A,#N/A,FALSE,"Plan2"}</definedName>
    <definedName name="djfkhjhfgrgdfh">{#N/A,#N/A,FALSE,"Plan1";#N/A,#N/A,FALSE,"Plan2"}</definedName>
    <definedName name="djfkhsdkjhf" localSheetId="0" hidden="1">{#N/A,#N/A,FALSE,"Plan1";#N/A,#N/A,FALSE,"Plan2"}</definedName>
    <definedName name="djfkhsdkjhf">{#N/A,#N/A,FALSE,"Plan1";#N/A,#N/A,FALSE,"Plan2"}</definedName>
    <definedName name="djfldjsgljslkjtg" localSheetId="0" hidden="1">{#N/A,#N/A,FALSE,"Plan1";#N/A,#N/A,FALSE,"Plan2"}</definedName>
    <definedName name="djfldjsgljslkjtg">{#N/A,#N/A,FALSE,"Plan1";#N/A,#N/A,FALSE,"Plan2"}</definedName>
    <definedName name="djflkdjgdth" localSheetId="0" hidden="1">{#N/A,#N/A,FALSE,"Plan1";#N/A,#N/A,FALSE,"Plan2"}</definedName>
    <definedName name="djflkdjgdth">{#N/A,#N/A,FALSE,"Plan1";#N/A,#N/A,FALSE,"Plan2"}</definedName>
    <definedName name="DJFLKDJGKTJYJT" localSheetId="0" hidden="1">{#N/A,#N/A,FALSE,"Plan1";#N/A,#N/A,FALSE,"Plan2"}</definedName>
    <definedName name="DJFLKDJGKTJYJT">{#N/A,#N/A,FALSE,"Plan1";#N/A,#N/A,FALSE,"Plan2"}</definedName>
    <definedName name="djgkfjgtiyty" localSheetId="0" hidden="1">{#N/A,#N/A,FALSE,"Plan1";#N/A,#N/A,FALSE,"Plan2"}</definedName>
    <definedName name="djgkfjgtiyty">{#N/A,#N/A,FALSE,"Plan1";#N/A,#N/A,FALSE,"Plan2"}</definedName>
    <definedName name="djrkehrjfhng" localSheetId="0" hidden="1">{#N/A,#N/A,FALSE,"Plan1";#N/A,#N/A,FALSE,"Plan2"}</definedName>
    <definedName name="djrkehrjfhng">{#N/A,#N/A,FALSE,"Plan1";#N/A,#N/A,FALSE,"Plan2"}</definedName>
    <definedName name="djswfr" localSheetId="0" hidden="1">#REF!</definedName>
    <definedName name="djswfr">#REF!</definedName>
    <definedName name="djtkjldfr" localSheetId="0" hidden="1">{#N/A,#N/A,FALSE,"Plan1";#N/A,#N/A,FALSE,"Plan2"}</definedName>
    <definedName name="djtkjldfr">{#N/A,#N/A,FALSE,"Plan1";#N/A,#N/A,FALSE,"Plan2"}</definedName>
    <definedName name="DJXDLFGDFG" localSheetId="0" hidden="1">{#N/A,#N/A,FALSE,"Plan1";#N/A,#N/A,FALSE,"Plan2"}</definedName>
    <definedName name="DJXDLFGDFG">{#N/A,#N/A,FALSE,"Plan1";#N/A,#N/A,FALSE,"Plan2"}</definedName>
    <definedName name="dkdkdkdkd" localSheetId="0" hidden="1">{#N/A,#N/A,FALSE,"명세표"}</definedName>
    <definedName name="dkdkdkdkd">{#N/A,#N/A,FALSE,"명세표"}</definedName>
    <definedName name="dkfhskgf" localSheetId="0" hidden="1">{#N/A,#N/A,FALSE,"Plan1";#N/A,#N/A,FALSE,"Plan2"}</definedName>
    <definedName name="dkfhskgf">{#N/A,#N/A,FALSE,"Plan1";#N/A,#N/A,FALSE,"Plan2"}</definedName>
    <definedName name="dkjfk" localSheetId="0" hidden="1">{#N/A,#N/A,FALSE,"Plan1";#N/A,#N/A,FALSE,"Plan2"}</definedName>
    <definedName name="dkjfk">{#N/A,#N/A,FALSE,"Plan1";#N/A,#N/A,FALSE,"Plan2"}</definedName>
    <definedName name="DKLD" localSheetId="0" hidden="1">{#N/A,#N/A,FALSE,"Plan1";#N/A,#N/A,FALSE,"Plan2"}</definedName>
    <definedName name="DKLD">{#N/A,#N/A,FALSE,"Plan1";#N/A,#N/A,FALSE,"Plan2"}</definedName>
    <definedName name="DKLFJDKFD" localSheetId="0" hidden="1">{#N/A,#N/A,FALSE,"Plan1";#N/A,#N/A,FALSE,"Plan2"}</definedName>
    <definedName name="DKLFJDKFD">{#N/A,#N/A,FALSE,"Plan1";#N/A,#N/A,FALSE,"Plan2"}</definedName>
    <definedName name="dklfjgirtgid" localSheetId="0" hidden="1">{#N/A,#N/A,FALSE,"Plan1";#N/A,#N/A,FALSE,"Plan2"}</definedName>
    <definedName name="dklfjgirtgid">{#N/A,#N/A,FALSE,"Plan1";#N/A,#N/A,FALSE,"Plan2"}</definedName>
    <definedName name="dklf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 localSheetId="0" hidden="1">{#N/A,#N/A,FALSE,"Plan1";#N/A,#N/A,FALSE,"Plan2"}</definedName>
    <definedName name="dmbfmndbmtrhed">{#N/A,#N/A,FALSE,"Plan1";#N/A,#N/A,FALSE,"Plan2"}</definedName>
    <definedName name="DNFJKDHTKRE" localSheetId="0" hidden="1">{#N/A,#N/A,FALSE,"Plan1";#N/A,#N/A,FALSE,"Plan2"}</definedName>
    <definedName name="DNFJKDHTKRE">{#N/A,#N/A,FALSE,"Plan1";#N/A,#N/A,FALSE,"Plan2"}</definedName>
    <definedName name="dn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CUMENT">#REF!</definedName>
    <definedName name="DOIS">#REF!</definedName>
    <definedName name="dolar">#REF!</definedName>
    <definedName name="dolar_dez">#REF!</definedName>
    <definedName name="dolar_nov">#REF!</definedName>
    <definedName name="dolar_out">#REF!</definedName>
    <definedName name="dolar2">#REF!</definedName>
    <definedName name="dolarabr">#REF!</definedName>
    <definedName name="dolarabr02">#REF!</definedName>
    <definedName name="DolarAgo">#REF!</definedName>
    <definedName name="dolarago02">#REF!</definedName>
    <definedName name="dolardez">#REF!</definedName>
    <definedName name="dolarfev">#REF!</definedName>
    <definedName name="dolarfev02">#REF!</definedName>
    <definedName name="dolarfimdez">#REF!</definedName>
    <definedName name="dolarFimJun">#REF!</definedName>
    <definedName name="dolarfindez">#REF!</definedName>
    <definedName name="dolarfinmar">#REF!</definedName>
    <definedName name="DolarFinSet">#REF!</definedName>
    <definedName name="dolarjan">#REF!</definedName>
    <definedName name="dolarjan02">#REF!</definedName>
    <definedName name="DolarJul">#REF!</definedName>
    <definedName name="dolarjul02">#REF!</definedName>
    <definedName name="dolarjun">#REF!</definedName>
    <definedName name="dolarjun02">#REF!</definedName>
    <definedName name="dolarmai">#REF!</definedName>
    <definedName name="dolarmai02">#REF!</definedName>
    <definedName name="dolarmar">#REF!</definedName>
    <definedName name="dolarmar02">#REF!</definedName>
    <definedName name="dolarnov">#REF!</definedName>
    <definedName name="dolarout">#REF!</definedName>
    <definedName name="DolarSet">#REF!</definedName>
    <definedName name="dolarset02">#REF!</definedName>
    <definedName name="DOZE">#REF!</definedName>
    <definedName name="DRE" localSheetId="0">#REF!</definedName>
    <definedName name="DRE">#REF!</definedName>
    <definedName name="drewr" localSheetId="0" hidden="1">{#N/A,#N/A,FALSE,"Plan1";#N/A,#N/A,FALSE,"Plan2"}</definedName>
    <definedName name="drewr">{#N/A,#N/A,FALSE,"Plan1";#N/A,#N/A,FALSE,"Plan2"}</definedName>
    <definedName name="DRRJR" localSheetId="0" hidden="1">{#N/A,#N/A,FALSE,"Plan1";#N/A,#N/A,FALSE,"Plan2"}</definedName>
    <definedName name="DRRJR">{#N/A,#N/A,FALSE,"Plan1";#N/A,#N/A,FALSE,"Plan2"}</definedName>
    <definedName name="drtr" localSheetId="0" hidden="1">#REF!</definedName>
    <definedName name="drtr">#REF!</definedName>
    <definedName name="drtrt" localSheetId="0" hidden="1">{"'Estimativa de Lançamento-JAN'!$A$1:$AI$85"}</definedName>
    <definedName name="drtrt">{"'Estimativa de Lançamento-JAN'!$A$1:$AI$85"}</definedName>
    <definedName name="dsdrf" localSheetId="0" hidden="1">{#N/A,#N/A,FALSE,"Plan1";#N/A,#N/A,FALSE,"Plan2"}</definedName>
    <definedName name="dsdrf">{#N/A,#N/A,FALSE,"Plan1";#N/A,#N/A,FALSE,"Plan2"}</definedName>
    <definedName name="dsfdf" localSheetId="0" hidden="1">{#N/A,#N/A,FALSE,"Plan1";#N/A,#N/A,FALSE,"Plan2"}</definedName>
    <definedName name="dsfdf">{#N/A,#N/A,FALSE,"Plan1";#N/A,#N/A,FALSE,"Plan2"}</definedName>
    <definedName name="dsfg" localSheetId="0" hidden="1">{#N/A,#N/A,FALSE,"Plan1";#N/A,#N/A,FALSE,"Plan2"}</definedName>
    <definedName name="dsfg">{#N/A,#N/A,FALSE,"Plan1";#N/A,#N/A,FALSE,"Plan2"}</definedName>
    <definedName name="DSFKDSKH" localSheetId="0" hidden="1">{#N/A,#N/A,FALSE,"Plan1";#N/A,#N/A,FALSE,"Plan2"}</definedName>
    <definedName name="DSFKDSKH">{#N/A,#N/A,FALSE,"Plan1";#N/A,#N/A,FALSE,"Plan2"}</definedName>
    <definedName name="DSF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 localSheetId="0" hidden="1">{#N/A,#N/A,FALSE,"Plan1";#N/A,#N/A,FALSE,"Plan2"}</definedName>
    <definedName name="dsfrtyy">{#N/A,#N/A,FALSE,"Plan1";#N/A,#N/A,FALSE,"Plan2"}</definedName>
    <definedName name="DSFSAD" localSheetId="0" hidden="1">{#N/A,#N/A,FALSE,"Plan1";#N/A,#N/A,FALSE,"Plan2"}</definedName>
    <definedName name="DSFSAD">{#N/A,#N/A,FALSE,"Plan1";#N/A,#N/A,FALSE,"Plan2"}</definedName>
    <definedName name="dsfsdf" localSheetId="0" hidden="1">{#N/A,#N/A,FALSE,"Plan1";#N/A,#N/A,FALSE,"Plan2"}</definedName>
    <definedName name="dsfsdf">{#N/A,#N/A,FALSE,"Plan1";#N/A,#N/A,FALSE,"Plan2"}</definedName>
    <definedName name="dsfsdgfb" localSheetId="0" hidden="1">{#N/A,#N/A,FALSE,"Plan1";#N/A,#N/A,FALSE,"Plan2"}</definedName>
    <definedName name="dsfsdgfb">{#N/A,#N/A,FALSE,"Plan1";#N/A,#N/A,FALSE,"Plan2"}</definedName>
    <definedName name="dsgfr" localSheetId="0" hidden="1">{#N/A,#N/A,FALSE,"Plan1";#N/A,#N/A,FALSE,"Plan2"}</definedName>
    <definedName name="dsgfr">{#N/A,#N/A,FALSE,"Plan1";#N/A,#N/A,FALSE,"Plan2"}</definedName>
    <definedName name="dshfkhkrhesru" localSheetId="0" hidden="1">{#N/A,#N/A,FALSE,"Plan1";#N/A,#N/A,FALSE,"Plan2"}</definedName>
    <definedName name="dshfkhkrhesru">{#N/A,#N/A,FALSE,"Plan1";#N/A,#N/A,FALSE,"Plan2"}</definedName>
    <definedName name="dsjkthkr" localSheetId="0" hidden="1">{#N/A,#N/A,FALSE,"Plan1";#N/A,#N/A,FALSE,"Plan2"}</definedName>
    <definedName name="dsjkthkr">{#N/A,#N/A,FALSE,"Plan1";#N/A,#N/A,FALSE,"Plan2"}</definedName>
    <definedName name="dskfdhksdfh">4</definedName>
    <definedName name="DSLFJSLFJ" localSheetId="0" hidden="1">{#N/A,#N/A,FALSE,"Plan1";#N/A,#N/A,FALSE,"Plan2"}</definedName>
    <definedName name="DSLFJSLFJ">{#N/A,#N/A,FALSE,"Plan1";#N/A,#N/A,FALSE,"Plan2"}</definedName>
    <definedName name="dslfkf">4</definedName>
    <definedName name="dsrff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 localSheetId="0" hidden="1">{#N/A,#N/A,FALSE,"Plan1";#N/A,#N/A,FALSE,"Plan2"}</definedName>
    <definedName name="dss">{#N/A,#N/A,FALSE,"Plan1";#N/A,#N/A,FALSE,"Plan2"}</definedName>
    <definedName name="dtgsrytt" localSheetId="0" hidden="1">{#N/A,#N/A,FALSE,"Plan1";#N/A,#N/A,FALSE,"Plan2"}</definedName>
    <definedName name="dtgsrytt">{#N/A,#N/A,FALSE,"Plan1";#N/A,#N/A,FALSE,"Plan2"}</definedName>
    <definedName name="dtrjkhtrgkfh" localSheetId="0" hidden="1">{#N/A,#N/A,FALSE,"Plan1";#N/A,#N/A,FALSE,"Plan2"}</definedName>
    <definedName name="dtrjkhtrgkfh">{#N/A,#N/A,FALSE,"Plan1";#N/A,#N/A,FALSE,"Plan2"}</definedName>
    <definedName name="dttjuk" localSheetId="0" hidden="1">{#N/A,#N/A,FALSE,"Plan1";#N/A,#N/A,FALSE,"Plan2"}</definedName>
    <definedName name="dttjuk">{#N/A,#N/A,FALSE,"Plan1";#N/A,#N/A,FALSE,"Plan2"}</definedName>
    <definedName name="dvtry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 localSheetId="0" hidden="1">{#N/A,#N/A,FALSE,"Plan1";#N/A,#N/A,FALSE,"Plan2"}</definedName>
    <definedName name="dwetrt">{#N/A,#N/A,FALSE,"Plan1";#N/A,#N/A,FALSE,"Plan2"}</definedName>
    <definedName name="dwqhdjwqgdwq">#REF!</definedName>
    <definedName name="DY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 localSheetId="0" hidden="1">{#N/A,#N/A,FALSE,"Plan1";#N/A,#N/A,FALSE,"Plan2"}</definedName>
    <definedName name="DYHYGJDHZKGF">{#N/A,#N/A,FALSE,"Plan1";#N/A,#N/A,FALSE,"Plan2"}</definedName>
    <definedName name="dzdfr" localSheetId="0" hidden="1">{#N/A,#N/A,FALSE,"Plan1";#N/A,#N/A,FALSE,"Plan2"}</definedName>
    <definedName name="dzdfr">{#N/A,#N/A,FALSE,"Plan1";#N/A,#N/A,FALSE,"Plan2"}</definedName>
    <definedName name="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a" localSheetId="0">#REF!</definedName>
    <definedName name="ea">#REF!</definedName>
    <definedName name="E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 localSheetId="0" hidden="1">{#N/A,#N/A,FALSE,"F-01"}</definedName>
    <definedName name="ECEW">{#N/A,#N/A,FALSE,"F-01"}</definedName>
    <definedName name="ECEW_1" localSheetId="0" hidden="1">{#N/A,#N/A,FALSE,"F-01"}</definedName>
    <definedName name="ECEW_1">{#N/A,#N/A,FALSE,"F-01"}</definedName>
    <definedName name="echart31" localSheetId="0" hidden="1">#REF!</definedName>
    <definedName name="echart31">#REF!</definedName>
    <definedName name="EcoPark">#REF!</definedName>
    <definedName name="ECS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 localSheetId="0" hidden="1">{#N/A,#N/A,FALSE,"Plan1";#N/A,#N/A,FALSE,"Plan2"}</definedName>
    <definedName name="EDE">{#N/A,#N/A,FALSE,"Plan1";#N/A,#N/A,FALSE,"Plan2"}</definedName>
    <definedName name="ee">#REF!</definedName>
    <definedName name="eee" localSheetId="0" hidden="1">{#N/A,#N/A,FALSE,"ET-CAPA";#N/A,#N/A,FALSE,"ET-PAG1";#N/A,#N/A,FALSE,"ET-PAG2";#N/A,#N/A,FALSE,"ET-PAG3";#N/A,#N/A,FALSE,"ET-PAG4";#N/A,#N/A,FALSE,"ET-PAG5"}</definedName>
    <definedName name="eee">{#N/A,#N/A,FALSE,"ET-CAPA";#N/A,#N/A,FALSE,"ET-PAG1";#N/A,#N/A,FALSE,"ET-PAG2";#N/A,#N/A,FALSE,"ET-PAG3";#N/A,#N/A,FALSE,"ET-PAG4";#N/A,#N/A,FALSE,"ET-PAG5"}</definedName>
    <definedName name="EF">#REF!</definedName>
    <definedName name="efestfr" localSheetId="0" hidden="1">{#N/A,#N/A,FALSE,"Plan1";#N/A,#N/A,FALSE,"Plan2"}</definedName>
    <definedName name="efestfr">{#N/A,#N/A,FALSE,"Plan1";#N/A,#N/A,FALSE,"Plan2"}</definedName>
    <definedName name="EFICIÊNCIA">#REF!</definedName>
    <definedName name="Eficiência1">#REF!</definedName>
    <definedName name="efrdrt" localSheetId="0" hidden="1">{#N/A,#N/A,FALSE,"Plan1";#N/A,#N/A,FALSE,"Plan2"}</definedName>
    <definedName name="efrdrt">{#N/A,#N/A,FALSE,"Plan1";#N/A,#N/A,FALSE,"Plan2"}</definedName>
    <definedName name="efrg" localSheetId="0" hidden="1">{#N/A,#N/A,FALSE,"Plan1";#N/A,#N/A,FALSE,"Plan2"}</definedName>
    <definedName name="efrg">{#N/A,#N/A,FALSE,"Plan1";#N/A,#N/A,FALSE,"Plan2"}</definedName>
    <definedName name="efsgfr" localSheetId="0" hidden="1">{#N/A,#N/A,FALSE,"Plan1";#N/A,#N/A,FALSE,"Plan2"}</definedName>
    <definedName name="efsgfr">{#N/A,#N/A,FALSE,"Plan1";#N/A,#N/A,FALSE,"Plan2"}</definedName>
    <definedName name="eixo_x_fluxo_graf1">IFERROR(OFFSET(INDEX(#REF!,MATCH((INDEX(#REF!,MATCH(1,#REF!,0))),#REF!,0)),0,0,1,COUNTIF(#REF!,"&gt;=0")+COUNTIF(#REF!,"&lt;0")),0)</definedName>
    <definedName name="eixo_x_graf2">IFERROR(OFFSET(INDEX(#REF!,MATCH((INDEX(#REF!,MATCH(1,#REF!,0))),#REF!,0)),0,0,1,COUNTIF(#REF!,"&gt;=0")+COUNTIF(#REF!,"&lt;0")),0)</definedName>
    <definedName name="eixo_x_graf3_distratos">#REF!</definedName>
    <definedName name="eixo_x_graf3_vendas">#REF!</definedName>
    <definedName name="eixo_y_cury_graf2">IFERROR(OFFSET(INDEX(#REF!,MATCH((INDEX(#REF!,MATCH(1,#REF!,0))),#REF!,0)),0,0,1,COUNTIF(#REF!,"&gt;=0")+COUNTIF(#REF!,"&lt;0")),0)</definedName>
    <definedName name="eixo_y_fluxo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3">#REF!</definedName>
    <definedName name="eixo_y_socio_graf2">IFERROR(OFFSET(INDEX(#REF!,MATCH((INDEX(#REF!,MATCH(1,#REF!,0))),#REF!,0)),0,0,1,COUNTIF(#REF!,"&gt;=0")+COUNTIF(#REF!,"&lt;0")),0)</definedName>
    <definedName name="eixo_y_viab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M">#REF!</definedName>
    <definedName name="Empreend">#REF!</definedName>
    <definedName name="Empreendimentos">#REF!</definedName>
    <definedName name="empresas">#REF!</definedName>
    <definedName name="encanador">#REF!</definedName>
    <definedName name="EPI">#REF!</definedName>
    <definedName name="EQUIP">#REF!</definedName>
    <definedName name="equipamento">#REF!</definedName>
    <definedName name="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 localSheetId="0" hidden="1">{#N/A,#N/A,FALSE,"Plan1";#N/A,#N/A,FALSE,"Plan2"}</definedName>
    <definedName name="ergfhyu">{#N/A,#N/A,FALSE,"Plan1";#N/A,#N/A,FALSE,"Plan2"}</definedName>
    <definedName name="erne_cdi">#REF!</definedName>
    <definedName name="erne_hist">#REF!</definedName>
    <definedName name="erne_uss">#REF!</definedName>
    <definedName name="erte" localSheetId="0" hidden="1">#REF!</definedName>
    <definedName name="erte">#REF!</definedName>
    <definedName name="ESGFDSFD" localSheetId="0" hidden="1">{#N/A,#N/A,FALSE,"Plan1";#N/A,#N/A,FALSE,"Plan2"}</definedName>
    <definedName name="ESGFDSFD">{#N/A,#N/A,FALSE,"Plan1";#N/A,#N/A,FALSE,"Plan2"}</definedName>
    <definedName name="esp">#REF!</definedName>
    <definedName name="ESPESSURA">#REF!</definedName>
    <definedName name="estaca">#REF!</definedName>
    <definedName name="estaca3">#REF!</definedName>
    <definedName name="ESTADO">#REF!</definedName>
    <definedName name="estados">#REF!</definedName>
    <definedName name="estagiário">#REF!</definedName>
    <definedName name="ESTOQUE">#REF!</definedName>
    <definedName name="Etq_final">#REF!</definedName>
    <definedName name="EU" localSheetId="0" hidden="1">{#N/A,#N/A,FALSE,"Plan1";#N/A,#N/A,FALSE,"Plan2"}</definedName>
    <definedName name="EU">{#N/A,#N/A,FALSE,"Plan1";#N/A,#N/A,FALSE,"Plan2"}</definedName>
    <definedName name="EV__LASTREFTIME__">39965.7223611111</definedName>
    <definedName name="EVL" localSheetId="0" hidden="1">{"Econ Consolidado",#N/A,FALSE,"Econ Consol";"Fluxo de Caixa",#N/A,FALSE,"Fluxo Caixa";"Investimentos",#N/A,FALSE,"Investimentos"}</definedName>
    <definedName name="EVL">{"Econ Consolidado",#N/A,FALSE,"Econ Consol";"Fluxo de Caixa",#N/A,FALSE,"Fluxo Caixa";"Investimentos",#N/A,FALSE,"Investimentos"}</definedName>
    <definedName name="Evol." localSheetId="0" hidden="1">{"Econ Consolidado",#N/A,FALSE,"Econ Consol";"Fluxo de Caixa",#N/A,FALSE,"Fluxo Caixa";"Investimentos",#N/A,FALSE,"Investimentos"}</definedName>
    <definedName name="Evol.">{"Econ Consolidado",#N/A,FALSE,"Econ Consol";"Fluxo de Caixa",#N/A,FALSE,"Fluxo Caixa";"Investimentos",#N/A,FALSE,"Investimentos"}</definedName>
    <definedName name="ewfr" localSheetId="0" hidden="1">{#N/A,#N/A,FALSE,"Plan1";#N/A,#N/A,FALSE,"Plan2"}</definedName>
    <definedName name="ewfr">{#N/A,#N/A,FALSE,"Plan1";#N/A,#N/A,FALSE,"Plan2"}</definedName>
    <definedName name="exce_cdi">#REF!</definedName>
    <definedName name="exce_hist">#REF!</definedName>
    <definedName name="exce_uss">#REF!</definedName>
    <definedName name="Excel_BuiltIn__FilterDatabase_1">#REF!</definedName>
    <definedName name="Excel_BuiltIn__FilterDatabase_1_1">#REF!</definedName>
    <definedName name="Excel_BuiltIn__FilterDatabase_6">#REF!</definedName>
    <definedName name="Excel_BuiltIn_Print_Area_0">#REF!</definedName>
    <definedName name="Excel_BuiltIn_Print_Area_1_1">#REF!</definedName>
    <definedName name="Excel_BuiltIn_Print_Titles_1_1_1">#REF!</definedName>
    <definedName name="Excel_BuiltIn_Print_Titles_1_1_4">#REF!</definedName>
    <definedName name="Excel_BuiltIn_Print_Titles_1_1_5">#REF!</definedName>
    <definedName name="Exrate">#REF!</definedName>
    <definedName name="eyruieyteta" localSheetId="0" hidden="1">{#N/A,#N/A,FALSE,"Plan1";#N/A,#N/A,FALSE,"Plan2"}</definedName>
    <definedName name="eyruieyteta">{#N/A,#N/A,FALSE,"Plan1";#N/A,#N/A,FALSE,"Plan2"}</definedName>
    <definedName name="f" localSheetId="0" hidden="1">{#N/A,#N/A,FALSE,"Plan1";#N/A,#N/A,FALSE,"Plan2"}</definedName>
    <definedName name="f">#REF!</definedName>
    <definedName name="FACULDADE">#REF!</definedName>
    <definedName name="FAL">#REF!</definedName>
    <definedName name="farialima">#REF!</definedName>
    <definedName name="FAS" localSheetId="0" hidden="1">{"'Total'!$A$1","'Total'!$A$3"}</definedName>
    <definedName name="FAS">{"'Total'!$A$1","'Total'!$A$3"}</definedName>
    <definedName name="fasfasf" localSheetId="0" hidden="1">{#N/A,#N/A,TRUE,"Quinzena 01 à 15-04-98 "}</definedName>
    <definedName name="fasfasf">{#N/A,#N/A,TRUE,"Quinzena 01 à 15-04-98 "}</definedName>
    <definedName name="FATOR_K">#REF!</definedName>
    <definedName name="FATORK">#REF!</definedName>
    <definedName name="FBancaria">#REF!</definedName>
    <definedName name="fchart31" localSheetId="0" hidden="1">#REF!</definedName>
    <definedName name="fchart31">#REF!</definedName>
    <definedName name="fddhght" localSheetId="0" hidden="1">{#N/A,#N/A,FALSE,"Plan1";#N/A,#N/A,FALSE,"Plan2"}</definedName>
    <definedName name="fddhght">{#N/A,#N/A,FALSE,"Plan1";#N/A,#N/A,FALSE,"Plan2"}</definedName>
    <definedName name="fdfgd" localSheetId="0" hidden="1">{#N/A,#N/A,FALSE,"Plan1";#N/A,#N/A,FALSE,"Plan2"}</definedName>
    <definedName name="fdfgd">{#N/A,#N/A,FALSE,"Plan1";#N/A,#N/A,FALSE,"Plan2"}</definedName>
    <definedName name="fdfn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 localSheetId="0" hidden="1">{#N/A,#N/A,FALSE,"Plan1";#N/A,#N/A,FALSE,"Plan2"}</definedName>
    <definedName name="fdgaf">{#N/A,#N/A,FALSE,"Plan1";#N/A,#N/A,FALSE,"Plan2"}</definedName>
    <definedName name="fdgdf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 localSheetId="0" hidden="1">{#N/A,#N/A,FALSE,"Plan1";#N/A,#N/A,FALSE,"Plan2"}</definedName>
    <definedName name="FDGFDJHGZEDR">{#N/A,#N/A,FALSE,"Plan1";#N/A,#N/A,FALSE,"Plan2"}</definedName>
    <definedName name="fdgfyhygfuj" localSheetId="0" hidden="1">{#N/A,#N/A,FALSE,"Plan1";#N/A,#N/A,FALSE,"Plan2"}</definedName>
    <definedName name="fdgfyhygfuj">{#N/A,#N/A,FALSE,"Plan1";#N/A,#N/A,FALSE,"Plan2"}</definedName>
    <definedName name="fdhgfdf" localSheetId="0" hidden="1">{#N/A,#N/A,FALSE,"Plan1";#N/A,#N/A,FALSE,"Plan2"}</definedName>
    <definedName name="fdhgfdf">{#N/A,#N/A,FALSE,"Plan1";#N/A,#N/A,FALSE,"Plan2"}</definedName>
    <definedName name="fdjfgdfjg" localSheetId="0" hidden="1">{#N/A,#N/A,FALSE,"Plan1";#N/A,#N/A,FALSE,"Plan2"}</definedName>
    <definedName name="fdjfgdfjg">{#N/A,#N/A,FALSE,"Plan1";#N/A,#N/A,FALSE,"Plan2"}</definedName>
    <definedName name="fdjghkshtygt" localSheetId="0" hidden="1">{#N/A,#N/A,FALSE,"Plan1";#N/A,#N/A,FALSE,"Plan2"}</definedName>
    <definedName name="fdjghkshtygt">{#N/A,#N/A,FALSE,"Plan1";#N/A,#N/A,FALSE,"Plan2"}</definedName>
    <definedName name="fdnhgf" localSheetId="0" hidden="1">{"'Estimativa de Lançamento-JAN'!$A$1:$AI$85"}</definedName>
    <definedName name="fdnhgf">{"'Estimativa de Lançamento-JAN'!$A$1:$AI$85"}</definedName>
    <definedName name="fdsf" localSheetId="0" hidden="1">{#N/A,#N/A,FALSE,"Plan1";#N/A,#N/A,FALSE,"Plan2"}</definedName>
    <definedName name="fdsf">{#N/A,#N/A,FALSE,"Plan1";#N/A,#N/A,FALSE,"Plan2"}</definedName>
    <definedName name="FE">#REF!</definedName>
    <definedName name="fefefefe">#REF!</definedName>
    <definedName name="FER" localSheetId="0" hidden="1">#REF!</definedName>
    <definedName name="FER">#REF!</definedName>
    <definedName name="fev17RJ">#REF!</definedName>
    <definedName name="FEVEREIRO2001">#REF!</definedName>
    <definedName name="ff">#REF!</definedName>
    <definedName name="fffefes">#REF!</definedName>
    <definedName name="fffff" localSheetId="0" hidden="1">{#N/A,#N/A,FALSE,"Plan1";#N/A,#N/A,FALSE,"Plan2"}</definedName>
    <definedName name="fffff">{#N/A,#N/A,FALSE,"Plan1";#N/A,#N/A,FALSE,"Plan2"}</definedName>
    <definedName name="FFFFFFF" localSheetId="0">#REF!</definedName>
    <definedName name="FFFFFFF">#REF!</definedName>
    <definedName name="FFTY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 localSheetId="0" hidden="1">{#N/A,#N/A,FALSE,"Plan1";#N/A,#N/A,FALSE,"Plan2"}</definedName>
    <definedName name="fg">{#N/A,#N/A,FALSE,"Plan1";#N/A,#N/A,FALSE,"Plan2"}</definedName>
    <definedName name="fgg" localSheetId="0" hidden="1">{"'장비'!$A$3:$M$12"}</definedName>
    <definedName name="fgg">{"'장비'!$A$3:$M$12"}</definedName>
    <definedName name="fghfh" localSheetId="0" hidden="1">{"'Estimativa de Lançamento-JAN'!$A$1:$AI$85"}</definedName>
    <definedName name="fghfh">{"'Estimativa de Lançamento-JAN'!$A$1:$AI$85"}</definedName>
    <definedName name="fghgfh" localSheetId="0" hidden="1">{#N/A,#N/A,FALSE,"Plan1";#N/A,#N/A,FALSE,"Plan2"}</definedName>
    <definedName name="fghgfh">{#N/A,#N/A,FALSE,"Plan1";#N/A,#N/A,FALSE,"Plan2"}</definedName>
    <definedName name="FGJHFGK" localSheetId="0" hidden="1">{#N/A,#N/A,FALSE,"Plan1";#N/A,#N/A,FALSE,"Plan2"}</definedName>
    <definedName name="FGJHFGK">{#N/A,#N/A,FALSE,"Plan1";#N/A,#N/A,FALSE,"Plan2"}</definedName>
    <definedName name="fgktyhdf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 localSheetId="0" hidden="1">{#N/A,#N/A,FALSE,"Plan1";#N/A,#N/A,FALSE,"Plan2"}</definedName>
    <definedName name="fgtrgty">{#N/A,#N/A,FALSE,"Plan1";#N/A,#N/A,FALSE,"Plan2"}</definedName>
    <definedName name="fgty" localSheetId="0" hidden="1">#REF!</definedName>
    <definedName name="fgty">#REF!</definedName>
    <definedName name="fhgjfgyt" localSheetId="0" hidden="1">{#N/A,#N/A,FALSE,"Plan1";#N/A,#N/A,FALSE,"Plan2"}</definedName>
    <definedName name="fhgjfgyt">{#N/A,#N/A,FALSE,"Plan1";#N/A,#N/A,FALSE,"Plan2"}</definedName>
    <definedName name="fhgjkhtrfg" localSheetId="0" hidden="1">{#N/A,#N/A,FALSE,"Plan1";#N/A,#N/A,FALSE,"Plan2"}</definedName>
    <definedName name="fhgjkhtrfg">{#N/A,#N/A,FALSE,"Plan1";#N/A,#N/A,FALSE,"Plan2"}</definedName>
    <definedName name="FHGTGSRSG" localSheetId="0" hidden="1">{#N/A,#N/A,FALSE,"Plan1";#N/A,#N/A,FALSE,"Plan2"}</definedName>
    <definedName name="FHGTGSRSG">{#N/A,#N/A,FALSE,"Plan1";#N/A,#N/A,FALSE,"Plan2"}</definedName>
    <definedName name="FIELD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 localSheetId="0" hidden="1">{#N/A,#N/A,TRUE,"Quinzena 01 à 15-04-98 "}</definedName>
    <definedName name="FILTRO">{#N/A,#N/A,TRUE,"Quinzena 01 à 15-04-98 "}</definedName>
    <definedName name="Filtro_Rel_Sienge">#REF!</definedName>
    <definedName name="Firs_hist">#REF!</definedName>
    <definedName name="First_cdi">#REF!</definedName>
    <definedName name="First_uss">#REF!</definedName>
    <definedName name="fjdhfgjdhtgu" localSheetId="0" hidden="1">{#N/A,#N/A,FALSE,"Plan1";#N/A,#N/A,FALSE,"Plan2"}</definedName>
    <definedName name="fjdhfgjdhtgu">{#N/A,#N/A,FALSE,"Plan1";#N/A,#N/A,FALSE,"Plan2"}</definedName>
    <definedName name="fjfjg" localSheetId="0" hidden="1">{#N/A,#N/A,FALSE,"명세표"}</definedName>
    <definedName name="fjfjg">{#N/A,#N/A,FALSE,"명세표"}</definedName>
    <definedName name="FJG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localSheetId="0" hidden="1">{#N/A,#N/A,FALSE,"Plan1";#N/A,#N/A,FALSE,"Plan2"}</definedName>
    <definedName name="FJHJHG">{#N/A,#N/A,FALSE,"Plan1";#N/A,#N/A,FALSE,"Plan2"}</definedName>
    <definedName name="fjtgfh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 localSheetId="0" hidden="1">{#N/A,#N/A,FALSE,"Plan1";#N/A,#N/A,FALSE,"Plan2"}</definedName>
    <definedName name="fkfw">{#N/A,#N/A,FALSE,"Plan1";#N/A,#N/A,FALSE,"Plan2"}</definedName>
    <definedName name="fl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l">#REF!</definedName>
    <definedName name="FL_1">#REF!</definedName>
    <definedName name="FL_2">#REF!</definedName>
    <definedName name="FL_3">#REF!</definedName>
    <definedName name="Fluxo_captação">#REF!</definedName>
    <definedName name="FOLHA2">#REF!</definedName>
    <definedName name="Format">#REF!</definedName>
    <definedName name="Formato_da_Loja">#REF!</definedName>
    <definedName name="FORMULA">#REF!</definedName>
    <definedName name="FORNECEDOR">OFFSET(#REF!,6,0,COUNTA(#REF!))</definedName>
    <definedName name="FORNECEDOR_2">OFFSET(#REF!,6,0,COUNTA(#REF!))</definedName>
    <definedName name="FORNECEDOR_3">OFFSET(#REF!,6,0,COUNTA(#REF!))</definedName>
    <definedName name="FORNECEDOR_4">OFFSET(#REF!,6,0,COUNTA(#REF!))</definedName>
    <definedName name="FORNECEDOR_5">OFFSET(#REF!,6,0,COUNTA(#REF!))</definedName>
    <definedName name="FORNECEDOR_7">OFFSET(#REF!,6,0,COUNTA(#REF!))</definedName>
    <definedName name="FORNECEDOR_8">OFFSET(#REF!,6,0,COUNTA(#REF!))</definedName>
    <definedName name="frçt4r" localSheetId="0" hidden="1">{#N/A,#N/A,FALSE,"Plan1";#N/A,#N/A,FALSE,"Plan2"}</definedName>
    <definedName name="frçt4r">{#N/A,#N/A,FALSE,"Plan1";#N/A,#N/A,FALSE,"Plan2"}</definedName>
    <definedName name="frdtty" localSheetId="0" hidden="1">{#N/A,#N/A,FALSE,"Plan1";#N/A,#N/A,FALSE,"Plan2"}</definedName>
    <definedName name="frdtty">{#N/A,#N/A,FALSE,"Plan1";#N/A,#N/A,FALSE,"Plan2"}</definedName>
    <definedName name="fsdfs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 localSheetId="0" hidden="1">{#N/A,#N/A,FALSE,"Plan1";#N/A,#N/A,FALSE,"Plan2"}</definedName>
    <definedName name="fuihgjk">{#N/A,#N/A,FALSE,"Plan1";#N/A,#N/A,FALSE,"Plan2"}</definedName>
    <definedName name="fuste">#REF!</definedName>
    <definedName name="fxjghkfg" localSheetId="0" hidden="1">{#N/A,#N/A,FALSE,"Plan1";#N/A,#N/A,FALSE,"Plan2"}</definedName>
    <definedName name="fxjghkfg">{#N/A,#N/A,FALSE,"Plan1";#N/A,#N/A,FALSE,"Plan2"}</definedName>
    <definedName name="g_10">#REF!</definedName>
    <definedName name="g_11">#REF!</definedName>
    <definedName name="g_12">#REF!</definedName>
    <definedName name="g_13">#REF!</definedName>
    <definedName name="g_15">#REF!</definedName>
    <definedName name="g_16">#REF!</definedName>
    <definedName name="g_17">#REF!</definedName>
    <definedName name="g_19">#REF!</definedName>
    <definedName name="g_21">#REF!</definedName>
    <definedName name="g_25">#REF!</definedName>
    <definedName name="g_27">#REF!</definedName>
    <definedName name="g_31">#REF!</definedName>
    <definedName name="g_32">#REF!</definedName>
    <definedName name="g_33">#REF!</definedName>
    <definedName name="g_34">#REF!</definedName>
    <definedName name="G_35">#REF!</definedName>
    <definedName name="g_37">#REF!</definedName>
    <definedName name="g_41">#REF!</definedName>
    <definedName name="g_42">#REF!</definedName>
    <definedName name="g_45">#REF!</definedName>
    <definedName name="g_47">#REF!</definedName>
    <definedName name="g_51">#REF!</definedName>
    <definedName name="g_52">#REF!</definedName>
    <definedName name="g_53">#REF!</definedName>
    <definedName name="G_54">#REF!</definedName>
    <definedName name="G_55">#REF!</definedName>
    <definedName name="G_56">#REF!</definedName>
    <definedName name="G_57">#REF!</definedName>
    <definedName name="G_58">#REF!</definedName>
    <definedName name="G_59">#REF!</definedName>
    <definedName name="G_61">#REF!</definedName>
    <definedName name="G_63">#REF!</definedName>
    <definedName name="G_65">#REF!</definedName>
    <definedName name="G_67">#REF!</definedName>
    <definedName name="g_68">#REF!</definedName>
    <definedName name="g_69">#REF!</definedName>
    <definedName name="G_71">#REF!</definedName>
    <definedName name="G_73">#REF!</definedName>
    <definedName name="G_75">#REF!</definedName>
    <definedName name="G_77">#REF!</definedName>
    <definedName name="G_78">#REF!</definedName>
    <definedName name="G_81">#REF!</definedName>
    <definedName name="G_83">#REF!</definedName>
    <definedName name="G_85">#REF!</definedName>
    <definedName name="G_87">#REF!</definedName>
    <definedName name="G_90">#REF!</definedName>
    <definedName name="G_91">#REF!</definedName>
    <definedName name="G_92">#REF!</definedName>
    <definedName name="G_94">#REF!</definedName>
    <definedName name="G_95">#REF!</definedName>
    <definedName name="G_96">#REF!</definedName>
    <definedName name="gal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RAGEM">#REF!</definedName>
    <definedName name="garcia">#REF!</definedName>
    <definedName name="GASTOS_JULHO">#REF!</definedName>
    <definedName name="gbdjkvhgd" localSheetId="0" hidden="1">{#N/A,#N/A,FALSE,"Plan1";#N/A,#N/A,FALSE,"Plan2"}</definedName>
    <definedName name="gbdjkvhgd">{#N/A,#N/A,FALSE,"Plan1";#N/A,#N/A,FALSE,"Plan2"}</definedName>
    <definedName name="gbdsjgsjfdgj" localSheetId="0" hidden="1">{#N/A,#N/A,FALSE,"Plan1";#N/A,#N/A,FALSE,"Plan2"}</definedName>
    <definedName name="gbdsjgsjfdgj">{#N/A,#N/A,FALSE,"Plan1";#N/A,#N/A,FALSE,"Plan2"}</definedName>
    <definedName name="gdfdhgfjgj" localSheetId="0" hidden="1">{#N/A,#N/A,FALSE,"Plan1";#N/A,#N/A,FALSE,"Plan2"}</definedName>
    <definedName name="gdfdhgfjgj">{#N/A,#N/A,FALSE,"Plan1";#N/A,#N/A,FALSE,"Plan2"}</definedName>
    <definedName name="gdfgdstggt" localSheetId="0" hidden="1">{#N/A,#N/A,FALSE,"Plan1";#N/A,#N/A,FALSE,"Plan2"}</definedName>
    <definedName name="gdfgdstggt">{#N/A,#N/A,FALSE,"Plan1";#N/A,#N/A,FALSE,"Plan2"}</definedName>
    <definedName name="GDFHGRJGFJDRF" localSheetId="0" hidden="1">{"Econ Consolidado",#N/A,FALSE,"Econ Consol";"Fluxo de Caixa",#N/A,FALSE,"Fluxo Caixa";"Investimentos",#N/A,FALSE,"Investimentos"}</definedName>
    <definedName name="GDFHGRJGFJDRF">{"Econ Consolidado",#N/A,FALSE,"Econ Consol";"Fluxo de Caixa",#N/A,FALSE,"Fluxo Caixa";"Investimentos",#N/A,FALSE,"Investimentos"}</definedName>
    <definedName name="gdfigfhuyuy" localSheetId="0" hidden="1">{#N/A,#N/A,FALSE,"Plan1";#N/A,#N/A,FALSE,"Plan2"}</definedName>
    <definedName name="gdfigfhuyuy">{#N/A,#N/A,FALSE,"Plan1";#N/A,#N/A,FALSE,"Plan2"}</definedName>
    <definedName name="gdfsgfew" localSheetId="0" hidden="1">{#N/A,#N/A,FALSE,"Plan1";#N/A,#N/A,FALSE,"Plan2"}</definedName>
    <definedName name="gdfsgfew">{#N/A,#N/A,FALSE,"Plan1";#N/A,#N/A,FALSE,"Plan2"}</definedName>
    <definedName name="gdhfgdhfgf" localSheetId="0" hidden="1">{#N/A,#N/A,FALSE,"Plan1";#N/A,#N/A,FALSE,"Plan2"}</definedName>
    <definedName name="gdhfgdhfgf">{#N/A,#N/A,FALSE,"Plan1";#N/A,#N/A,FALSE,"Plan2"}</definedName>
    <definedName name="gdsfhefrwrw" localSheetId="0" hidden="1">{#N/A,#N/A,FALSE,"Plan1";#N/A,#N/A,FALSE,"Plan2"}</definedName>
    <definedName name="gdsfhefrwrw">{#N/A,#N/A,FALSE,"Plan1";#N/A,#N/A,FALSE,"Plan2"}</definedName>
    <definedName name="GER_TECNICO">#REF!</definedName>
    <definedName name="Gerentes">#REF!</definedName>
    <definedName name="geshrjhed" localSheetId="0" hidden="1">{#N/A,#N/A,FALSE,"Plan1";#N/A,#N/A,FALSE,"Plan2"}</definedName>
    <definedName name="geshrjhed">{#N/A,#N/A,FALSE,"Plan1";#N/A,#N/A,FALSE,"Plan2"}</definedName>
    <definedName name="gestao" localSheetId="0" hidden="1">OFFSET(INDEX(#REF!,MATCH(#REF!,#REF!,0)),1,0,COUNTA(#REF!)-1)</definedName>
    <definedName name="gestao">OFFSET(INDEX(#REF!,MATCH(#REF!,#REF!,0)),1,0,COUNTA(#REF!)-1)</definedName>
    <definedName name="gfdcgnkf" localSheetId="0" hidden="1">{#N/A,#N/A,FALSE,"Plan1";#N/A,#N/A,FALSE,"Plan2"}</definedName>
    <definedName name="gfdcgnkf">{#N/A,#N/A,FALSE,"Plan1";#N/A,#N/A,FALSE,"Plan2"}</definedName>
    <definedName name="gfdjtgur" localSheetId="0" hidden="1">{#N/A,#N/A,FALSE,"Plan1";#N/A,#N/A,FALSE,"Plan2"}</definedName>
    <definedName name="gfdjtgur">{#N/A,#N/A,FALSE,"Plan1";#N/A,#N/A,FALSE,"Plan2"}</definedName>
    <definedName name="gfdrtg" localSheetId="0" hidden="1">#REF!</definedName>
    <definedName name="gfdrtg">#REF!</definedName>
    <definedName name="gfgdhxgfdhf" localSheetId="0" hidden="1">{#N/A,#N/A,FALSE,"Plan1";#N/A,#N/A,FALSE,"Plan2"}</definedName>
    <definedName name="gfgdhxgfdhf">{#N/A,#N/A,FALSE,"Plan1";#N/A,#N/A,FALSE,"Plan2"}</definedName>
    <definedName name="gfhfdtgjb" localSheetId="0" hidden="1">{#N/A,#N/A,FALSE,"Plan1";#N/A,#N/A,FALSE,"Plan2"}</definedName>
    <definedName name="gfhfdtgjb">{#N/A,#N/A,FALSE,"Plan1";#N/A,#N/A,FALSE,"Plan2"}</definedName>
    <definedName name="gfjdshrtjhtged" localSheetId="0" hidden="1">{#N/A,#N/A,FALSE,"Plan1";#N/A,#N/A,FALSE,"Plan2"}</definedName>
    <definedName name="gfjdshrtjhtged">{#N/A,#N/A,FALSE,"Plan1";#N/A,#N/A,FALSE,"Plan2"}</definedName>
    <definedName name="gfjgkddgfd" localSheetId="0" hidden="1">{#N/A,#N/A,FALSE,"Plan1";#N/A,#N/A,FALSE,"Plan2"}</definedName>
    <definedName name="gfjgkddgfd">{#N/A,#N/A,FALSE,"Plan1";#N/A,#N/A,FALSE,"Plan2"}</definedName>
    <definedName name="gfsghjdgygr" localSheetId="0" hidden="1">{#N/A,#N/A,FALSE,"Plan1";#N/A,#N/A,FALSE,"Plan2"}</definedName>
    <definedName name="gfsghjdgygr">{#N/A,#N/A,FALSE,"Plan1";#N/A,#N/A,FALSE,"Plan2"}</definedName>
    <definedName name="gftfy" localSheetId="0" hidden="1">{#N/A,#N/A,FALSE,"Plan1";#N/A,#N/A,FALSE,"Plan2"}</definedName>
    <definedName name="gftfy">{#N/A,#N/A,FALSE,"Plan1";#N/A,#N/A,FALSE,"Plan2"}</definedName>
    <definedName name="gfty" localSheetId="0" hidden="1">{#N/A,#N/A,FALSE,"Plan1";#N/A,#N/A,FALSE,"Plan2"}</definedName>
    <definedName name="gfty">{#N/A,#N/A,FALSE,"Plan1";#N/A,#N/A,FALSE,"Plan2"}</definedName>
    <definedName name="GFUJU9" localSheetId="0" hidden="1">{#N/A,#N/A,FALSE,"Plan1";#N/A,#N/A,FALSE,"Plan2"}</definedName>
    <definedName name="GFUJU9">{#N/A,#N/A,FALSE,"Plan1";#N/A,#N/A,FALSE,"Plan2"}</definedName>
    <definedName name="ggg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 localSheetId="0" hidden="1">{#N/A,#N/A,FALSE,"Plan1";#N/A,#N/A,FALSE,"Plan2"}</definedName>
    <definedName name="GGGG">{#N/A,#N/A,FALSE,"Plan1";#N/A,#N/A,FALSE,"Plan2"}</definedName>
    <definedName name="ggggggggg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 localSheetId="0" hidden="1">{"'장비'!$A$3:$M$12"}</definedName>
    <definedName name="gh">{"'장비'!$A$3:$M$12"}</definedName>
    <definedName name="ghfgdfrtert" localSheetId="0" hidden="1">{#N/A,#N/A,FALSE,"Plan1";#N/A,#N/A,FALSE,"Plan2"}</definedName>
    <definedName name="ghfgdfrtert">{#N/A,#N/A,FALSE,"Plan1";#N/A,#N/A,FALSE,"Plan2"}</definedName>
    <definedName name="ghfhghft" localSheetId="0" hidden="1">{#N/A,#N/A,FALSE,"Plan1";#N/A,#N/A,FALSE,"Plan2"}</definedName>
    <definedName name="ghfhghft">{#N/A,#N/A,FALSE,"Plan1";#N/A,#N/A,FALSE,"Plan2"}</definedName>
    <definedName name="ghjg" localSheetId="0" hidden="1">{"'Estimativa de Lançamento-JAN'!$A$1:$AI$85"}</definedName>
    <definedName name="ghjg">{"'Estimativa de Lançamento-JAN'!$A$1:$AI$85"}</definedName>
    <definedName name="ghkfhgh" localSheetId="0" hidden="1">{#N/A,#N/A,FALSE,"Plan1";#N/A,#N/A,FALSE,"Plan2"}</definedName>
    <definedName name="ghkfhgh">{#N/A,#N/A,FALSE,"Plan1";#N/A,#N/A,FALSE,"Plan2"}</definedName>
    <definedName name="ghkjh" localSheetId="0" hidden="1">{#N/A,#N/A,FALSE,"ENG'G(보호계전기)"}</definedName>
    <definedName name="ghkjh">{#N/A,#N/A,FALSE,"ENG'G(보호계전기)"}</definedName>
    <definedName name="GJ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 localSheetId="0" hidden="1">{#N/A,#N/A,FALSE,"Plan1";#N/A,#N/A,FALSE,"Plan2"}</definedName>
    <definedName name="gjfhjktgcf">{#N/A,#N/A,FALSE,"Plan1";#N/A,#N/A,FALSE,"Plan2"}</definedName>
    <definedName name="GJ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 localSheetId="0" hidden="1">{#N/A,#N/A,FALSE,"Plan1";#N/A,#N/A,FALSE,"Plan2"}</definedName>
    <definedName name="gjkhgjhjfggfjhfg">{#N/A,#N/A,FALSE,"Plan1";#N/A,#N/A,FALSE,"Plan2"}</definedName>
    <definedName name="glgl" localSheetId="0" hidden="1">{#N/A,#N/A,FALSE,"Plan1";#N/A,#N/A,FALSE,"Plan2"}</definedName>
    <definedName name="glgl">{#N/A,#N/A,FALSE,"Plan1";#N/A,#N/A,FALSE,"Plan2"}</definedName>
    <definedName name="global" localSheetId="0" hidden="1">{"'Estimativa de Lançamento-JAN'!$A$1:$AI$85"}</definedName>
    <definedName name="GLOBAL">#REF!</definedName>
    <definedName name="gnfrth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rec_cdi">#REF!</definedName>
    <definedName name="grec_hist">#REF!</definedName>
    <definedName name="grec_uss">#REF!</definedName>
    <definedName name="grua">#REF!</definedName>
    <definedName name="GSDWJSTG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 localSheetId="0" hidden="1">{#N/A,#N/A,FALSE,"Plan1";#N/A,#N/A,FALSE,"Plan2"}</definedName>
    <definedName name="gtuigsdyugsdf">{#N/A,#N/A,FALSE,"Plan1";#N/A,#N/A,FALSE,"Plan2"}</definedName>
    <definedName name="GUI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 localSheetId="0" hidden="1">{#N/A,#N/A,FALSE,"CCTV"}</definedName>
    <definedName name="GV">{#N/A,#N/A,FALSE,"CCTV"}</definedName>
    <definedName name="h">#REF!</definedName>
    <definedName name="hbjgjuae">#REF!</definedName>
    <definedName name="hcjfkhdghfktg" localSheetId="0" hidden="1">{#N/A,#N/A,FALSE,"Plan1";#N/A,#N/A,FALSE,"Plan2"}</definedName>
    <definedName name="hcjfkhdghfktg">{#N/A,#N/A,FALSE,"Plan1";#N/A,#N/A,FALSE,"Plan2"}</definedName>
    <definedName name="hckhjfdkgfdg" localSheetId="0" hidden="1">#REF!</definedName>
    <definedName name="hckhjfdkgfdg">#REF!</definedName>
    <definedName name="hddfndgdfg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 localSheetId="0" hidden="1">{#N/A,#N/A,FALSE,"Plan1";#N/A,#N/A,FALSE,"Plan2"}</definedName>
    <definedName name="HDFGHGST">{#N/A,#N/A,FALSE,"Plan1";#N/A,#N/A,FALSE,"Plan2"}</definedName>
    <definedName name="HDFGJKHKFDHTY" localSheetId="0" hidden="1">{#N/A,#N/A,FALSE,"Plan1";#N/A,#N/A,FALSE,"Plan2"}</definedName>
    <definedName name="HDFGJKHKFDHTY">{#N/A,#N/A,FALSE,"Plan1";#N/A,#N/A,FALSE,"Plan2"}</definedName>
    <definedName name="hdfhdhrtgd" localSheetId="0" hidden="1">{#N/A,#N/A,FALSE,"Plan1";#N/A,#N/A,FALSE,"Plan2"}</definedName>
    <definedName name="hdfhdhrtgd">{#N/A,#N/A,FALSE,"Plan1";#N/A,#N/A,FALSE,"Plan2"}</definedName>
    <definedName name="hdfhftde" localSheetId="0" hidden="1">{#N/A,#N/A,FALSE,"Plan1";#N/A,#N/A,FALSE,"Plan2"}</definedName>
    <definedName name="hdfhftde">{#N/A,#N/A,FALSE,"Plan1";#N/A,#N/A,FALSE,"Plan2"}</definedName>
    <definedName name="hdfhgkdhgtrf" localSheetId="0" hidden="1">{#N/A,#N/A,FALSE,"Plan1";#N/A,#N/A,FALSE,"Plan2"}</definedName>
    <definedName name="hdfhgkdhgtrf">{#N/A,#N/A,FALSE,"Plan1";#N/A,#N/A,FALSE,"Plan2"}</definedName>
    <definedName name="hdfjhdkzhgdr" localSheetId="0" hidden="1">{#N/A,#N/A,FALSE,"Plan1";#N/A,#N/A,FALSE,"Plan2"}</definedName>
    <definedName name="hdfjhdkzhgdr">{#N/A,#N/A,FALSE,"Plan1";#N/A,#N/A,FALSE,"Plan2"}</definedName>
    <definedName name="hdfjkgvjgtd" localSheetId="0" hidden="1">{#N/A,#N/A,FALSE,"Plan1";#N/A,#N/A,FALSE,"Plan2"}</definedName>
    <definedName name="hdfjkgvjgtd">{#N/A,#N/A,FALSE,"Plan1";#N/A,#N/A,FALSE,"Plan2"}</definedName>
    <definedName name="hdfjkhdhrute" localSheetId="0" hidden="1">{#N/A,#N/A,FALSE,"Plan1";#N/A,#N/A,FALSE,"Plan2"}</definedName>
    <definedName name="hdfjkhdhrute">{#N/A,#N/A,FALSE,"Plan1";#N/A,#N/A,FALSE,"Plan2"}</definedName>
    <definedName name="HDFKGVF" localSheetId="0" hidden="1">{#N/A,#N/A,FALSE,"Plan1";#N/A,#N/A,FALSE,"Plan2"}</definedName>
    <definedName name="HDFKGVF">{#N/A,#N/A,FALSE,"Plan1";#N/A,#N/A,FALSE,"Plan2"}</definedName>
    <definedName name="hdgfhdgtdrt" localSheetId="0" hidden="1">{#N/A,#N/A,FALSE,"Plan1";#N/A,#N/A,FALSE,"Plan2"}</definedName>
    <definedName name="hdgfhdgtdrt">{#N/A,#N/A,FALSE,"Plan1";#N/A,#N/A,FALSE,"Plan2"}</definedName>
    <definedName name="hdghgtgtrgd" localSheetId="0" hidden="1">{#N/A,#N/A,FALSE,"Plan1";#N/A,#N/A,FALSE,"Plan2"}</definedName>
    <definedName name="hdghgtgtrgd">{#N/A,#N/A,FALSE,"Plan1";#N/A,#N/A,FALSE,"Plan2"}</definedName>
    <definedName name="HDHDGHTUHDTG" localSheetId="0" hidden="1">{#N/A,#N/A,FALSE,"Plan1";#N/A,#N/A,FALSE,"Plan2"}</definedName>
    <definedName name="HDHDGHTUHDTG">{#N/A,#N/A,FALSE,"Plan1";#N/A,#N/A,FALSE,"Plan2"}</definedName>
    <definedName name="hdhghfthrrhy" localSheetId="0" hidden="1">{#N/A,#N/A,FALSE,"Plan1";#N/A,#N/A,FALSE,"Plan2"}</definedName>
    <definedName name="hdhghfthrrhy">{#N/A,#N/A,FALSE,"Plan1";#N/A,#N/A,FALSE,"Plan2"}</definedName>
    <definedName name="hdkfjhydjh" localSheetId="0" hidden="1">{#N/A,#N/A,FALSE,"Plan1";#N/A,#N/A,FALSE,"Plan2"}</definedName>
    <definedName name="hdkfjhydjh">{#N/A,#N/A,FALSE,"Plan1";#N/A,#N/A,FALSE,"Plan2"}</definedName>
    <definedName name="hdsgfgrrdgr" localSheetId="0" hidden="1">{#N/A,#N/A,FALSE,"Plan1";#N/A,#N/A,FALSE,"Plan2"}</definedName>
    <definedName name="hdsgfgrrdgr">{#N/A,#N/A,FALSE,"Plan1";#N/A,#N/A,FALSE,"Plan2"}</definedName>
    <definedName name="hdtertkkdsa" localSheetId="0" hidden="1">{#N/A,#N/A,FALSE,"Plan1";#N/A,#N/A,FALSE,"Plan2"}</definedName>
    <definedName name="hdtertkkdsa">{#N/A,#N/A,FALSE,"Plan1";#N/A,#N/A,FALSE,"Plan2"}</definedName>
    <definedName name="Header">#REF!</definedName>
    <definedName name="HEDHA" localSheetId="0" hidden="1">{#N/A,#N/A,FALSE,"Plan1";#N/A,#N/A,FALSE,"Plan2"}</definedName>
    <definedName name="HEDHA">{#N/A,#N/A,FALSE,"Plan1";#N/A,#N/A,FALSE,"Plan2"}</definedName>
    <definedName name="heif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LP">#REF!</definedName>
    <definedName name="herkfdshfker" localSheetId="0" hidden="1">{#N/A,#N/A,FALSE,"Plan1";#N/A,#N/A,FALSE,"Plan2"}</definedName>
    <definedName name="herkfdshfker">{#N/A,#N/A,FALSE,"Plan1";#N/A,#N/A,FALSE,"Plan2"}</definedName>
    <definedName name="hersdtretyt" localSheetId="0" hidden="1">{#N/A,#N/A,FALSE,"Plan1";#N/A,#N/A,FALSE,"Plan2"}</definedName>
    <definedName name="hersdtretyt">{#N/A,#N/A,FALSE,"Plan1";#N/A,#N/A,FALSE,"Plan2"}</definedName>
    <definedName name="HFDJTHTRS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 localSheetId="0" hidden="1">{#N/A,#N/A,FALSE,"Plan1";#N/A,#N/A,FALSE,"Plan2"}</definedName>
    <definedName name="HFDKHGFR">{#N/A,#N/A,FALSE,"Plan1";#N/A,#N/A,FALSE,"Plan2"}</definedName>
    <definedName name="hfdkhgkfdhtj" localSheetId="0" hidden="1">{#N/A,#N/A,FALSE,"Plan1";#N/A,#N/A,FALSE,"Plan2"}</definedName>
    <definedName name="hfdkhgkfdhtj">{#N/A,#N/A,FALSE,"Plan1";#N/A,#N/A,FALSE,"Plan2"}</definedName>
    <definedName name="hfgfktgkhyt" localSheetId="0" hidden="1">{#N/A,#N/A,FALSE,"Plan1";#N/A,#N/A,FALSE,"Plan2"}</definedName>
    <definedName name="hfgfktgkhyt">{#N/A,#N/A,FALSE,"Plan1";#N/A,#N/A,FALSE,"Plan2"}</definedName>
    <definedName name="hfghdkhrgkjg" localSheetId="0" hidden="1">{#N/A,#N/A,FALSE,"Plan1";#N/A,#N/A,FALSE,"Plan2"}</definedName>
    <definedName name="hfghdkhrgkjg">{#N/A,#N/A,FALSE,"Plan1";#N/A,#N/A,FALSE,"Plan2"}</definedName>
    <definedName name="hfighfth" localSheetId="0" hidden="1">{#N/A,#N/A,FALSE,"Plan1";#N/A,#N/A,FALSE,"Plan2"}</definedName>
    <definedName name="hfighfth">{#N/A,#N/A,FALSE,"Plan1";#N/A,#N/A,FALSE,"Plan2"}</definedName>
    <definedName name="hfjghtfuyrf" localSheetId="0" hidden="1">{#N/A,#N/A,FALSE,"Plan1";#N/A,#N/A,FALSE,"Plan2"}</definedName>
    <definedName name="hfjghtfuyrf">{#N/A,#N/A,FALSE,"Plan1";#N/A,#N/A,FALSE,"Plan2"}</definedName>
    <definedName name="HFKJHDJGHFJ" localSheetId="0" hidden="1">{#N/A,#N/A,FALSE,"Plan1";#N/A,#N/A,FALSE,"Plan2"}</definedName>
    <definedName name="HFKJHDJGHFJ">{#N/A,#N/A,FALSE,"Plan1";#N/A,#N/A,FALSE,"Plan2"}</definedName>
    <definedName name="hgdesgfgsj" localSheetId="0" hidden="1">{#N/A,#N/A,FALSE,"Plan1";#N/A,#N/A,FALSE,"Plan2"}</definedName>
    <definedName name="hgdesgfgsj">{#N/A,#N/A,FALSE,"Plan1";#N/A,#N/A,FALSE,"Plan2"}</definedName>
    <definedName name="hgdgfd" localSheetId="0" hidden="1">{#N/A,#N/A,FALSE,"Plan1";#N/A,#N/A,FALSE,"Plan2"}</definedName>
    <definedName name="hgdgfd">{#N/A,#N/A,FALSE,"Plan1";#N/A,#N/A,FALSE,"Plan2"}</definedName>
    <definedName name="hgfhjkdfhj" localSheetId="0" hidden="1">{#N/A,#N/A,FALSE,"Plan1";#N/A,#N/A,FALSE,"Plan2"}</definedName>
    <definedName name="hgfhjkdfhj">{#N/A,#N/A,FALSE,"Plan1";#N/A,#N/A,FALSE,"Plan2"}</definedName>
    <definedName name="hgg" localSheetId="0" hidden="1">{#N/A,#N/A,FALSE,"Plan1";#N/A,#N/A,FALSE,"Plan2"}</definedName>
    <definedName name="hgg">{#N/A,#N/A,FALSE,"Plan1";#N/A,#N/A,FALSE,"Plan2"}</definedName>
    <definedName name="hgjdfgghg" localSheetId="0" hidden="1">{#N/A,#N/A,FALSE,"Plan1";#N/A,#N/A,FALSE,"Plan2"}</definedName>
    <definedName name="hgjdfgghg">{#N/A,#N/A,FALSE,"Plan1";#N/A,#N/A,FALSE,"Plan2"}</definedName>
    <definedName name="hgjkfdhg" localSheetId="0" hidden="1">{#N/A,#N/A,FALSE,"Plan1";#N/A,#N/A,FALSE,"Plan2"}</definedName>
    <definedName name="hgjkfdhg">{#N/A,#N/A,FALSE,"Plan1";#N/A,#N/A,FALSE,"Plan2"}</definedName>
    <definedName name="hgkdfhkfk" localSheetId="0" hidden="1">{#N/A,#N/A,FALSE,"Plan1";#N/A,#N/A,FALSE,"Plan2"}</definedName>
    <definedName name="hgkdfhkfk">{#N/A,#N/A,FALSE,"Plan1";#N/A,#N/A,FALSE,"Plan2"}</definedName>
    <definedName name="hgkjhdfhtrdyt" localSheetId="0" hidden="1">{#N/A,#N/A,FALSE,"Plan1";#N/A,#N/A,FALSE,"Plan2"}</definedName>
    <definedName name="hgkjhdfhtrdyt">{#N/A,#N/A,FALSE,"Plan1";#N/A,#N/A,FALSE,"Plan2"}</definedName>
    <definedName name="hgkjhdfkhgtfhg" localSheetId="0" hidden="1">{#N/A,#N/A,FALSE,"Plan1";#N/A,#N/A,FALSE,"Plan2"}</definedName>
    <definedName name="hgkjhdfkhgtfhg">{#N/A,#N/A,FALSE,"Plan1";#N/A,#N/A,FALSE,"Plan2"}</definedName>
    <definedName name="hgkjhkfhsdkdhgk" localSheetId="0" hidden="1">{#N/A,#N/A,FALSE,"Plan1";#N/A,#N/A,FALSE,"Plan2"}</definedName>
    <definedName name="hgkjhkfhsdkdhgk">{#N/A,#N/A,FALSE,"Plan1";#N/A,#N/A,FALSE,"Plan2"}</definedName>
    <definedName name="hgsufgdhghd" localSheetId="0" hidden="1">{#N/A,#N/A,FALSE,"Plan1";#N/A,#N/A,FALSE,"Plan2"}</definedName>
    <definedName name="hgsufgdhghd">{#N/A,#N/A,FALSE,"Plan1";#N/A,#N/A,FALSE,"Plan2"}</definedName>
    <definedName name="HHGFHTYUT" localSheetId="0" hidden="1">{#N/A,#N/A,FALSE,"Plan1";#N/A,#N/A,FALSE,"Plan2"}</definedName>
    <definedName name="HHGFHTYUT">{#N/A,#N/A,FALSE,"Plan1";#N/A,#N/A,FALSE,"Plan2"}</definedName>
    <definedName name="hhh" localSheetId="0" hidden="1">{"'Total'!$A$1","'Total'!$A$3"}</definedName>
    <definedName name="hhh">{"'Total'!$A$1","'Total'!$A$3"}</definedName>
    <definedName name="HHIHLK" localSheetId="0" hidden="1">#REF!</definedName>
    <definedName name="HHIHLK">#REF!</definedName>
    <definedName name="hik" localSheetId="0" hidden="1">{#N/A,#N/A,FALSE,"TABLE"}</definedName>
    <definedName name="hik">{#N/A,#N/A,FALSE,"TABLE"}</definedName>
    <definedName name="hist">#REF!</definedName>
    <definedName name="HIST1">#REF!</definedName>
    <definedName name="HISTEQ">#REF!</definedName>
    <definedName name="HISTOGRAMA">#REF!</definedName>
    <definedName name="hjdgtjdjxrfg" localSheetId="0" hidden="1">{#N/A,#N/A,FALSE,"Plan1";#N/A,#N/A,FALSE,"Plan2"}</definedName>
    <definedName name="hjdgtjdjxrfg">{#N/A,#N/A,FALSE,"Plan1";#N/A,#N/A,FALSE,"Plan2"}</definedName>
    <definedName name="HJFDGD" localSheetId="0" hidden="1">{#N/A,#N/A,FALSE,"Plan1";#N/A,#N/A,FALSE,"Plan2"}</definedName>
    <definedName name="HJFDGD">{#N/A,#N/A,FALSE,"Plan1";#N/A,#N/A,FALSE,"Plan2"}</definedName>
    <definedName name="HJGASD" localSheetId="0" hidden="1">{#N/A,#N/A,FALSE,"Plan1";#N/A,#N/A,FALSE,"Plan2"}</definedName>
    <definedName name="HJGASD">{#N/A,#N/A,FALSE,"Plan1";#N/A,#N/A,FALSE,"Plan2"}</definedName>
    <definedName name="HJGFGTFDG" localSheetId="0" hidden="1">{#N/A,#N/A,FALSE,"Plan1";#N/A,#N/A,FALSE,"Plan2"}</definedName>
    <definedName name="HJGFGTFDG">{#N/A,#N/A,FALSE,"Plan1";#N/A,#N/A,FALSE,"Plan2"}</definedName>
    <definedName name="hjgfhdsgfhsd" localSheetId="0" hidden="1">{#N/A,#N/A,FALSE,"Plan1";#N/A,#N/A,FALSE,"Plan2"}</definedName>
    <definedName name="hjgfhdsgfhsd">{#N/A,#N/A,FALSE,"Plan1";#N/A,#N/A,FALSE,"Plan2"}</definedName>
    <definedName name="hjgxfjgdjyftr" localSheetId="0" hidden="1">{#N/A,#N/A,FALSE,"Plan1";#N/A,#N/A,FALSE,"Plan2"}</definedName>
    <definedName name="hjgxfjgdjyftr">{#N/A,#N/A,FALSE,"Plan1";#N/A,#N/A,FALSE,"Plan2"}</definedName>
    <definedName name="hjgyugasd" localSheetId="0" hidden="1">{#N/A,#N/A,FALSE,"Plan1";#N/A,#N/A,FALSE,"Plan2"}</definedName>
    <definedName name="hjgyugasd">{#N/A,#N/A,FALSE,"Plan1";#N/A,#N/A,FALSE,"Plan2"}</definedName>
    <definedName name="hjjfyfy" localSheetId="0" hidden="1">{#N/A,#N/A,FALSE,"Plan1";#N/A,#N/A,FALSE,"Plan2"}</definedName>
    <definedName name="hjjfyfy">{#N/A,#N/A,FALSE,"Plan1";#N/A,#N/A,FALSE,"Plan2"}</definedName>
    <definedName name="hjkchkvjhdjkgh" localSheetId="0" hidden="1">{#N/A,#N/A,FALSE,"Plan1";#N/A,#N/A,FALSE,"Plan2"}</definedName>
    <definedName name="hjkchkvjhdjkgh">{#N/A,#N/A,FALSE,"Plan1";#N/A,#N/A,FALSE,"Plan2"}</definedName>
    <definedName name="hjkfjdyht" localSheetId="0" hidden="1">{#N/A,#N/A,FALSE,"Plan1";#N/A,#N/A,FALSE,"Plan2"}</definedName>
    <definedName name="hjkfjdyht">{#N/A,#N/A,FALSE,"Plan1";#N/A,#N/A,FALSE,"Plan2"}</definedName>
    <definedName name="hjsdff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 localSheetId="0" hidden="1">{#N/A,#N/A,FALSE,"Plan1";#N/A,#N/A,FALSE,"Plan2"}</definedName>
    <definedName name="hjsdkhk">{#N/A,#N/A,FALSE,"Plan1";#N/A,#N/A,FALSE,"Plan2"}</definedName>
    <definedName name="hjsdsdrjfrh">2</definedName>
    <definedName name="hjsrdfre" localSheetId="0" hidden="1">{"Econ Consolidado",#N/A,FALSE,"Econ Consol";"Fluxo de Caixa",#N/A,FALSE,"Fluxo Caixa";"Investimentos",#N/A,FALSE,"Investimentos"}</definedName>
    <definedName name="hjsrdfre">{"Econ Consolidado",#N/A,FALSE,"Econ Consol";"Fluxo de Caixa",#N/A,FALSE,"Fluxo Caixa";"Investimentos",#N/A,FALSE,"Investimentos"}</definedName>
    <definedName name="HKewewsr" localSheetId="0" hidden="1">{#N/A,#N/A,FALSE,"Plan1";#N/A,#N/A,FALSE,"Plan2"}</definedName>
    <definedName name="HKewewsr">{#N/A,#N/A,FALSE,"Plan1";#N/A,#N/A,FALSE,"Plan2"}</definedName>
    <definedName name="hkhdskacd" localSheetId="0" hidden="1">{#N/A,#N/A,FALSE,"Plan1";#N/A,#N/A,FALSE,"Plan2"}</definedName>
    <definedName name="hkhdskacd">{#N/A,#N/A,FALSE,"Plan1";#N/A,#N/A,FALSE,"Plan2"}</definedName>
    <definedName name="hkjfgfhgfh" localSheetId="0" hidden="1">{#N/A,#N/A,FALSE,"Plan1";#N/A,#N/A,FALSE,"Plan2"}</definedName>
    <definedName name="hkjfgfhgfh">{#N/A,#N/A,FALSE,"Plan1";#N/A,#N/A,FALSE,"Plan2"}</definedName>
    <definedName name="hkjfhgjkfhghfg" localSheetId="0" hidden="1">{#N/A,#N/A,FALSE,"Plan1";#N/A,#N/A,FALSE,"Plan2"}</definedName>
    <definedName name="hkjfhgjkfhghfg">{#N/A,#N/A,FALSE,"Plan1";#N/A,#N/A,FALSE,"Plan2"}</definedName>
    <definedName name="HKLZHFRH" localSheetId="0" hidden="1">{#N/A,#N/A,FALSE,"Plan1";#N/A,#N/A,FALSE,"Plan2"}</definedName>
    <definedName name="HKLZHFRH">{#N/A,#N/A,FALSE,"Plan1";#N/A,#N/A,FALSE,"Plan2"}</definedName>
    <definedName name="ho" localSheetId="0" hidden="1">{#N/A,#N/A,FALSE,"TABLE"}</definedName>
    <definedName name="ho">{#N/A,#N/A,FALSE,"TABLE"}</definedName>
    <definedName name="HOJE">#REF!</definedName>
    <definedName name="HONORARIOS">#REF!</definedName>
    <definedName name="HOSPEDES">#REF!</definedName>
    <definedName name="HOTEL">#REF!</definedName>
    <definedName name="hrterte" localSheetId="0" hidden="1">{#N/A,#N/A,FALSE,"Plan1";#N/A,#N/A,FALSE,"Plan2"}</definedName>
    <definedName name="hrterte">{#N/A,#N/A,FALSE,"Plan1";#N/A,#N/A,FALSE,"Plan2"}</definedName>
    <definedName name="hsdf" localSheetId="0" hidden="1">{#N/A,#N/A,FALSE,"Plan1";#N/A,#N/A,FALSE,"Plan2"}</definedName>
    <definedName name="hsdf">{#N/A,#N/A,FALSE,"Plan1";#N/A,#N/A,FALSE,"Plan2"}</definedName>
    <definedName name="hsdfgdgudrt" localSheetId="0" hidden="1">{#N/A,#N/A,FALSE,"Plan1";#N/A,#N/A,FALSE,"Plan2"}</definedName>
    <definedName name="hsdfgdgudrt">{#N/A,#N/A,FALSE,"Plan1";#N/A,#N/A,FALSE,"Plan2"}</definedName>
    <definedName name="hsdfjkdhur" localSheetId="0" hidden="1">{#N/A,#N/A,FALSE,"Plan1";#N/A,#N/A,FALSE,"Plan2"}</definedName>
    <definedName name="hsdfjkdhur">{#N/A,#N/A,FALSE,"Plan1";#N/A,#N/A,FALSE,"Plan2"}</definedName>
    <definedName name="hsdgftdht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 localSheetId="0" hidden="1">{#N/A,#N/A,FALSE,"Plan1";#N/A,#N/A,FALSE,"Plan2"}</definedName>
    <definedName name="hsdjffd">{#N/A,#N/A,FALSE,"Plan1";#N/A,#N/A,FALSE,"Plan2"}</definedName>
    <definedName name="hsdjffe" localSheetId="0" hidden="1">{#N/A,#N/A,FALSE,"Plan1";#N/A,#N/A,FALSE,"Plan2"}</definedName>
    <definedName name="hsdjffe">{#N/A,#N/A,FALSE,"Plan1";#N/A,#N/A,FALSE,"Plan2"}</definedName>
    <definedName name="HSFIHDTR" localSheetId="0" hidden="1">{"Econ Consolidado",#N/A,FALSE,"Econ Consol";"Fluxo de Caixa",#N/A,FALSE,"Fluxo Caixa";"Investimentos",#N/A,FALSE,"Investimentos"}</definedName>
    <definedName name="HSFIHDTR">{"Econ Consolidado",#N/A,FALSE,"Econ Consol";"Fluxo de Caixa",#N/A,FALSE,"Fluxo Caixa";"Investimentos",#N/A,FALSE,"Investimentos"}</definedName>
    <definedName name="hsfjkdshrgf" localSheetId="0" hidden="1">{#N/A,#N/A,FALSE,"Plan1";#N/A,#N/A,FALSE,"Plan2"}</definedName>
    <definedName name="hsfjkdshrgf">{#N/A,#N/A,FALSE,"Plan1";#N/A,#N/A,FALSE,"Plan2"}</definedName>
    <definedName name="hthhrtetdre" localSheetId="0" hidden="1">{#N/A,#N/A,FALSE,"Plan1";#N/A,#N/A,FALSE,"Plan2"}</definedName>
    <definedName name="hthhrtetdre">{#N/A,#N/A,FALSE,"Plan1";#N/A,#N/A,FALSE,"Plan2"}</definedName>
    <definedName name="HTM">#REF!</definedName>
    <definedName name="HTML_CodePage">949</definedName>
    <definedName name="HTML_Control" localSheetId="0" hidden="1">{"'장비'!$A$3:$M$12"}</definedName>
    <definedName name="HTML_Control">{"'장비'!$A$3:$M$12"}</definedName>
    <definedName name="HTML_Description">""</definedName>
    <definedName name="HTML_Email">""</definedName>
    <definedName name="HTML_Header">"장비"</definedName>
    <definedName name="HTML_LastUpdate">"97-08-05"</definedName>
    <definedName name="HTML_LineAfter">FALSE</definedName>
    <definedName name="HTML_LineBefore">FALSE</definedName>
    <definedName name="HTML_Name">"이진화"</definedName>
    <definedName name="HTML_OBDlg2">TRUE</definedName>
    <definedName name="HTML_OBDlg4">TRUE</definedName>
    <definedName name="HTML_OS">0</definedName>
    <definedName name="HTML_PathFile">"C:\My Documents\MyHTML.htm"</definedName>
    <definedName name="HTML_Title">"가산동미라보"</definedName>
    <definedName name="HTML2_CONTROL" localSheetId="0" hidden="1">{"'Estimativa de Lançamento-JAN'!$A$1:$AI$85"}</definedName>
    <definedName name="HTML2_CONTROL">{"'Estimativa de Lançamento-JAN'!$A$1:$AI$85"}</definedName>
    <definedName name="HTML3_CONTROL" localSheetId="0" hidden="1">{"'Estimativa de Lançamento-JAN'!$A$1:$AI$85"}</definedName>
    <definedName name="HTML3_CONTROL">{"'Estimativa de Lançamento-JAN'!$A$1:$AI$85"}</definedName>
    <definedName name="HTMLControl" localSheetId="0" hidden="1">{"'Edit'!$A$1:$V$2277"}</definedName>
    <definedName name="HTMLControl">{"'Edit'!$A$1:$V$2277"}</definedName>
    <definedName name="HTN">#REF!</definedName>
    <definedName name="HVJKHGKFXHFD" localSheetId="0" hidden="1">{#N/A,#N/A,FALSE,"Plan1";#N/A,#N/A,FALSE,"Plan2"}</definedName>
    <definedName name="HVJKHGKFXHFD">{#N/A,#N/A,FALSE,"Plan1";#N/A,#N/A,FALSE,"Plan2"}</definedName>
    <definedName name="hwekjhekhf" localSheetId="0" hidden="1">{#N/A,#N/A,FALSE,"Plan1";#N/A,#N/A,FALSE,"Plan2"}</definedName>
    <definedName name="hwekjhekhf">{#N/A,#N/A,FALSE,"Plan1";#N/A,#N/A,FALSE,"Plan2"}</definedName>
    <definedName name="HXFRE" localSheetId="0" hidden="1">{#N/A,#N/A,FALSE,"Plan1";#N/A,#N/A,FALSE,"Plan2"}</definedName>
    <definedName name="HXFRE">{#N/A,#N/A,FALSE,"Plan1";#N/A,#N/A,FALSE,"Plan2"}</definedName>
    <definedName name="HXKJFGDKHG" localSheetId="0" hidden="1">{#N/A,#N/A,FALSE,"Plan1";#N/A,#N/A,FALSE,"Plan2"}</definedName>
    <definedName name="HXKJFGDKHG">{#N/A,#N/A,FALSE,"Plan1";#N/A,#N/A,FALSE,"Plan2"}</definedName>
    <definedName name="I">#REF!</definedName>
    <definedName name="ibir_cdi">#REF!</definedName>
    <definedName name="ibir_hist">#REF!</definedName>
    <definedName name="ibir_uss">#REF!</definedName>
    <definedName name="IC" localSheetId="0" hidden="1">#REF!</definedName>
    <definedName name="IC">#REF!</definedName>
    <definedName name="icoa_cdi">#REF!</definedName>
    <definedName name="icoa_hist">#REF!</definedName>
    <definedName name="icoa_uss">#REF!</definedName>
    <definedName name="Identificação">#REF!</definedName>
    <definedName name="idfhgkjhfkthy" localSheetId="0" hidden="1">{#N/A,#N/A,FALSE,"Plan1";#N/A,#N/A,FALSE,"Plan2"}</definedName>
    <definedName name="idfhgkjhfkthy">{#N/A,#N/A,FALSE,"Plan1";#N/A,#N/A,FALSE,"Plan2"}</definedName>
    <definedName name="ieroweft" localSheetId="0" hidden="1">{#N/A,#N/A,FALSE,"Plan1";#N/A,#N/A,FALSE,"Plan2"}</definedName>
    <definedName name="ieroweft">{#N/A,#N/A,FALSE,"Plan1";#N/A,#N/A,FALSE,"Plan2"}</definedName>
    <definedName name="iewpotqi5poejy" localSheetId="0" hidden="1">{#N/A,#N/A,FALSE,"Plan1";#N/A,#N/A,FALSE,"Plan2"}</definedName>
    <definedName name="iewpotqi5poejy">{#N/A,#N/A,FALSE,"Plan1";#N/A,#N/A,FALSE,"Plan2"}</definedName>
    <definedName name="ihdfifguhgfuiyh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eidhgufr" localSheetId="0" hidden="1">#REF!</definedName>
    <definedName name="iheidhgufr">#REF!</definedName>
    <definedName name="ihfdkjhktgrd" localSheetId="0" hidden="1">{#N/A,#N/A,FALSE,"Plan1";#N/A,#N/A,FALSE,"Plan2"}</definedName>
    <definedName name="ihfdkjhktgrd">{#N/A,#N/A,FALSE,"Plan1";#N/A,#N/A,FALSE,"Plan2"}</definedName>
    <definedName name="ihrtetw4r" localSheetId="0" hidden="1">{#N/A,#N/A,FALSE,"Plan1";#N/A,#N/A,FALSE,"Plan2"}</definedName>
    <definedName name="ihrtetw4r">{#N/A,#N/A,FALSE,"Plan1";#N/A,#N/A,FALSE,"Plan2"}</definedName>
    <definedName name="II">#REF!</definedName>
    <definedName name="IIASDSAWE" localSheetId="0" hidden="1">{"Econ Consolidado",#N/A,FALSE,"Econ Consol";"Fluxo de Caixa",#N/A,FALSE,"Fluxo Caixa";"Investimentos",#N/A,FALSE,"Investimentos"}</definedName>
    <definedName name="IIASDSAWE">{"Econ Consolidado",#N/A,FALSE,"Econ Consol";"Fluxo de Caixa",#N/A,FALSE,"Fluxo Caixa";"Investimentos",#N/A,FALSE,"Investimentos"}</definedName>
    <definedName name="III">#REF!</definedName>
    <definedName name="iinstalaçõ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 localSheetId="0" hidden="1">{#N/A,#N/A,FALSE,"Plan1";#N/A,#N/A,FALSE,"Plan2"}</definedName>
    <definedName name="ilhweilrji4e">{#N/A,#N/A,FALSE,"Plan1";#N/A,#N/A,FALSE,"Plan2"}</definedName>
    <definedName name="ilsdr4wf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M">#REF!</definedName>
    <definedName name="IMP" localSheetId="0" hidden="1">#REF!</definedName>
    <definedName name="IMP">#REF!</definedName>
    <definedName name="IMPERMEABILIZ.">#REF!</definedName>
    <definedName name="IMPF">#REF!</definedName>
    <definedName name="IMPI">#REF!</definedName>
    <definedName name="IMPOSTO">#REF!</definedName>
    <definedName name="INCC">#REF!</definedName>
    <definedName name="Incorido_Aplicado_X_Físico">#REF!</definedName>
    <definedName name="INCORPORAÇÃO">#REF!</definedName>
    <definedName name="Index" localSheetId="0" hidden="1">#REF!</definedName>
    <definedName name="Index">#REF!</definedName>
    <definedName name="Indice">#REF!</definedName>
    <definedName name="indice_correcao_proj">#REF!</definedName>
    <definedName name="infra">#REF!</definedName>
    <definedName name="Infra_OBra_Sienge">#REF!</definedName>
    <definedName name="Infra_Projetos_Sienge">#REF!</definedName>
    <definedName name="INFRA2">#REF!</definedName>
    <definedName name="Insatalaçõ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S_Bloqueado_Fin_Medição">#REF!</definedName>
    <definedName name="Inss_Bloqueado_Previsão_Fin_Medições">#REF!</definedName>
    <definedName name="instalaçoe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U">OFFSET(#REF!,0,0,COUNTA(#REF!),1)</definedName>
    <definedName name="INSUMOS">#REF!</definedName>
    <definedName name="INT.FILTRO.NBASE">#REF!</definedName>
    <definedName name="INTEGRA" localSheetId="0" hidden="1">{"'Edit'!$A$1:$V$2277"}</definedName>
    <definedName name="INTEGRA">{"'Edit'!$A$1:$V$2277"}</definedName>
    <definedName name="IO">196.003</definedName>
    <definedName name="ioeriotyt" localSheetId="0" hidden="1">{#N/A,#N/A,FALSE,"Plan1";#N/A,#N/A,FALSE,"Plan2"}</definedName>
    <definedName name="ioeriotyt">{#N/A,#N/A,FALSE,"Plan1";#N/A,#N/A,FALSE,"Plan2"}</definedName>
    <definedName name="iohudtorh" localSheetId="0" hidden="1">{#N/A,#N/A,FALSE,"Plan1";#N/A,#N/A,FALSE,"Plan2"}</definedName>
    <definedName name="iohudtorh">{#N/A,#N/A,FALSE,"Plan1";#N/A,#N/A,FALSE,"Plan2"}</definedName>
    <definedName name="iojtkheayed" localSheetId="0" hidden="1">{#N/A,#N/A,FALSE,"Plan1";#N/A,#N/A,FALSE,"Plan2"}</definedName>
    <definedName name="iojtkheayed">{#N/A,#N/A,FALSE,"Plan1";#N/A,#N/A,FALSE,"Plan2"}</definedName>
    <definedName name="iouweroieuw4" localSheetId="0" hidden="1">{#N/A,#N/A,FALSE,"Plan1";#N/A,#N/A,FALSE,"Plan2"}</definedName>
    <definedName name="iouweroieuw4">{#N/A,#N/A,FALSE,"Plan1";#N/A,#N/A,FALSE,"Plan2"}</definedName>
    <definedName name="iphifpgh" localSheetId="0" hidden="1">{#N/A,#N/A,FALSE,"Plan1";#N/A,#N/A,FALSE,"Plan2"}</definedName>
    <definedName name="iphifpgh">{#N/A,#N/A,FALSE,"Plan1";#N/A,#N/A,FALSE,"Plan2"}</definedName>
    <definedName name="IPMF">#REF!</definedName>
    <definedName name="ipodsifgpds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 localSheetId="0" hidden="1">{#N/A,#N/A,FALSE,"Plan1";#N/A,#N/A,FALSE,"Plan2"}</definedName>
    <definedName name="ipotjrjketjr">{#N/A,#N/A,FALSE,"Plan1";#N/A,#N/A,FALSE,"Plan2"}</definedName>
    <definedName name="IQ_ADDIN">"AUTO"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NAMES_REVISION_DATE_">40730.4399768518</definedName>
    <definedName name="IQ_NTM">6000</definedName>
    <definedName name="IQ_TODAY">0</definedName>
    <definedName name="IQ_WEEK">50000</definedName>
    <definedName name="IQ_YTD">3000</definedName>
    <definedName name="IQ_YTDMONTH">130000</definedName>
    <definedName name="IR_diferido">#REF!</definedName>
    <definedName name="ISOPOR">#REF!</definedName>
    <definedName name="ISS">#REF!</definedName>
    <definedName name="ItalieNS">#REF!</definedName>
    <definedName name="ItalieNT">#REF!</definedName>
    <definedName name="itc_cdi">#REF!</definedName>
    <definedName name="itc_hist">#REF!</definedName>
    <definedName name="itc_uss">#REF!</definedName>
    <definedName name="item_1" localSheetId="0">#REF!</definedName>
    <definedName name="item_1">#REF!</definedName>
    <definedName name="ITEMCONT">#REF!</definedName>
    <definedName name="ITEMDER">#REF!</definedName>
    <definedName name="ITEMIZAÇÃO">#REF!</definedName>
    <definedName name="ITEMIZAÇÃO_2">#REF!</definedName>
    <definedName name="ITEMIZAÇÃO_3">#REF!</definedName>
    <definedName name="ITEMIZAÇÃO_4">#REF!</definedName>
    <definedName name="ITEMIZAÇÃO_5">#REF!</definedName>
    <definedName name="ITEMIZAÇÃO_7">#REF!</definedName>
    <definedName name="ITEMIZAÇÃO_8">#REF!</definedName>
    <definedName name="ITEMR20">#REF!</definedName>
    <definedName name="ITEM별상세업무분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NS">#REF!</definedName>
    <definedName name="ITENS0">#REF!</definedName>
    <definedName name="ITENS1">#REF!</definedName>
    <definedName name="ITENSP">#REF!</definedName>
    <definedName name="ITENSPMED">#REF!</definedName>
    <definedName name="IUGFGDFUY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V">#REF!</definedName>
    <definedName name="iyguygiyt" localSheetId="0" hidden="1">{#N/A,#N/A,FALSE,"Plan1";#N/A,#N/A,FALSE,"Plan2"}</definedName>
    <definedName name="iyguygiyt">{#N/A,#N/A,FALSE,"Plan1";#N/A,#N/A,FALSE,"Plan2"}</definedName>
    <definedName name="iyuyheturtd" localSheetId="0" hidden="1">{#N/A,#N/A,FALSE,"Plan1";#N/A,#N/A,FALSE,"Plan2"}</definedName>
    <definedName name="iyuyheturtd">{#N/A,#N/A,FALSE,"Plan1";#N/A,#N/A,FALSE,"Plan2"}</definedName>
    <definedName name="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 localSheetId="0" hidden="1">{#N/A,#N/A,FALSE,"Plan1";#N/A,#N/A,FALSE,"Plan2"}</definedName>
    <definedName name="jalejdasjf">{#N/A,#N/A,FALSE,"Plan1";#N/A,#N/A,FALSE,"Plan2"}</definedName>
    <definedName name="jan_05">#REF!</definedName>
    <definedName name="jan17RJ">#REF!</definedName>
    <definedName name="JANEIRO2001">#REF!</definedName>
    <definedName name="JASDJS" localSheetId="0" hidden="1">{#N/A,#N/A,FALSE,"Plan1";#N/A,#N/A,FALSE,"Plan2"}</definedName>
    <definedName name="JASDJS">{#N/A,#N/A,FALSE,"Plan1";#N/A,#N/A,FALSE,"Plan2"}</definedName>
    <definedName name="jaskldjlse" localSheetId="0" hidden="1">{#N/A,#N/A,FALSE,"Plan1";#N/A,#N/A,FALSE,"Plan2"}</definedName>
    <definedName name="jaskldjlse">{#N/A,#N/A,FALSE,"Plan1";#N/A,#N/A,FALSE,"Plan2"}</definedName>
    <definedName name="JASLDKLD" localSheetId="0" hidden="1">{#N/A,#N/A,FALSE,"Plan1";#N/A,#N/A,FALSE,"Plan2"}</definedName>
    <definedName name="JASLDKLD">{#N/A,#N/A,FALSE,"Plan1";#N/A,#N/A,FALSE,"Plan2"}</definedName>
    <definedName name="jasoe" localSheetId="0" hidden="1">#REF!</definedName>
    <definedName name="jasoe">#REF!</definedName>
    <definedName name="jbzxffcbgdhgft" localSheetId="0" hidden="1">#REF!</definedName>
    <definedName name="jbzxffcbgdhgft">#REF!</definedName>
    <definedName name="JÇDFHDF" localSheetId="0" hidden="1">{"Econ Consolidado",#N/A,FALSE,"Econ Consol";"Fluxo de Caixa",#N/A,FALSE,"Fluxo Caixa";"Investimentos",#N/A,FALSE,"Investimentos"}</definedName>
    <definedName name="JÇDFHDF">{"Econ Consolidado",#N/A,FALSE,"Econ Consol";"Fluxo de Caixa",#N/A,FALSE,"Fluxo Caixa";"Investimentos",#N/A,FALSE,"Investimentos"}</definedName>
    <definedName name="jdbgftbhr" localSheetId="0" hidden="1">{#N/A,#N/A,FALSE,"Plan1";#N/A,#N/A,FALSE,"Plan2"}</definedName>
    <definedName name="jdbgftbhr">{#N/A,#N/A,FALSE,"Plan1";#N/A,#N/A,FALSE,"Plan2"}</definedName>
    <definedName name="jdfgkrhgft" localSheetId="0" hidden="1">#REF!</definedName>
    <definedName name="jdfgkrhgft">#REF!</definedName>
    <definedName name="jdfgldfjgklh" localSheetId="0" hidden="1">{#N/A,#N/A,FALSE,"Plan1";#N/A,#N/A,FALSE,"Plan2"}</definedName>
    <definedName name="jdfgldfjgklh">{#N/A,#N/A,FALSE,"Plan1";#N/A,#N/A,FALSE,"Plan2"}</definedName>
    <definedName name="jdfhjkdrhjtkg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 localSheetId="0" hidden="1">{#N/A,#N/A,FALSE,"Plan1";#N/A,#N/A,FALSE,"Plan2"}</definedName>
    <definedName name="jdfjdtrgt">{#N/A,#N/A,FALSE,"Plan1";#N/A,#N/A,FALSE,"Plan2"}</definedName>
    <definedName name="JDFJLDJR" localSheetId="0" hidden="1">{#N/A,#N/A,FALSE,"Plan1";#N/A,#N/A,FALSE,"Plan2"}</definedName>
    <definedName name="JDFJLDJR">{#N/A,#N/A,FALSE,"Plan1";#N/A,#N/A,FALSE,"Plan2"}</definedName>
    <definedName name="jdfkgitfgdrtt" localSheetId="0" hidden="1">{#N/A,#N/A,FALSE,"Plan1";#N/A,#N/A,FALSE,"Plan2"}</definedName>
    <definedName name="jdfkgitfgdrtt">{#N/A,#N/A,FALSE,"Plan1";#N/A,#N/A,FALSE,"Plan2"}</definedName>
    <definedName name="JDFKHFKJ" localSheetId="0" hidden="1">{#N/A,#N/A,FALSE,"Plan1";#N/A,#N/A,FALSE,"Plan2"}</definedName>
    <definedName name="JDFKHFKJ">{#N/A,#N/A,FALSE,"Plan1";#N/A,#N/A,FALSE,"Plan2"}</definedName>
    <definedName name="jdfklgtdtr" localSheetId="0" hidden="1">{#N/A,#N/A,FALSE,"Plan1";#N/A,#N/A,FALSE,"Plan2"}</definedName>
    <definedName name="jdfklgtdtr">{#N/A,#N/A,FALSE,"Plan1";#N/A,#N/A,FALSE,"Plan2"}</definedName>
    <definedName name="JDFKTHRT" localSheetId="0" hidden="1">{#N/A,#N/A,FALSE,"Plan1";#N/A,#N/A,FALSE,"Plan2"}</definedName>
    <definedName name="JDFKTHRT">{#N/A,#N/A,FALSE,"Plan1";#N/A,#N/A,FALSE,"Plan2"}</definedName>
    <definedName name="JDFLKJDRF" localSheetId="0" hidden="1">{#N/A,#N/A,FALSE,"Plan1";#N/A,#N/A,FALSE,"Plan2"}</definedName>
    <definedName name="JDFLKJDRF">{#N/A,#N/A,FALSE,"Plan1";#N/A,#N/A,FALSE,"Plan2"}</definedName>
    <definedName name="jdfzlkjgfdht" localSheetId="0" hidden="1">{#N/A,#N/A,FALSE,"Plan1";#N/A,#N/A,FALSE,"Plan2"}</definedName>
    <definedName name="jdfzlkjgfdht">{#N/A,#N/A,FALSE,"Plan1";#N/A,#N/A,FALSE,"Plan2"}</definedName>
    <definedName name="jdglhfghkt" localSheetId="0" hidden="1">{#N/A,#N/A,FALSE,"Plan1";#N/A,#N/A,FALSE,"Plan2"}</definedName>
    <definedName name="jdglhfghkt">{#N/A,#N/A,FALSE,"Plan1";#N/A,#N/A,FALSE,"Plan2"}</definedName>
    <definedName name="jdhfjdhgfd" localSheetId="0" hidden="1">{#N/A,#N/A,FALSE,"Plan1";#N/A,#N/A,FALSE,"Plan2"}</definedName>
    <definedName name="jdhfjdhgfd">{#N/A,#N/A,FALSE,"Plan1";#N/A,#N/A,FALSE,"Plan2"}</definedName>
    <definedName name="jdjdjdjd" localSheetId="0" hidden="1">{#N/A,#N/A,FALSE,"명세표"}</definedName>
    <definedName name="jdjdjdjd">{#N/A,#N/A,FALSE,"명세표"}</definedName>
    <definedName name="jdkfhgjhf" localSheetId="0" hidden="1">{#N/A,#N/A,FALSE,"Plan1";#N/A,#N/A,FALSE,"Plan2"}</definedName>
    <definedName name="jdkfhgjhf">{#N/A,#N/A,FALSE,"Plan1";#N/A,#N/A,FALSE,"Plan2"}</definedName>
    <definedName name="jdkfjdtr" localSheetId="0" hidden="1">{#N/A,#N/A,FALSE,"Plan1";#N/A,#N/A,FALSE,"Plan2"}</definedName>
    <definedName name="jdkfjdtr">{#N/A,#N/A,FALSE,"Plan1";#N/A,#N/A,FALSE,"Plan2"}</definedName>
    <definedName name="jdljgftldjti5r" localSheetId="0" hidden="1">{#N/A,#N/A,FALSE,"Plan1";#N/A,#N/A,FALSE,"Plan2"}</definedName>
    <definedName name="jdljgftldjti5r">{#N/A,#N/A,FALSE,"Plan1";#N/A,#N/A,FALSE,"Plan2"}</definedName>
    <definedName name="JDLKJDASGF" localSheetId="0" hidden="1">{#N/A,#N/A,FALSE,"Plan1";#N/A,#N/A,FALSE,"Plan2"}</definedName>
    <definedName name="JDLKJDASGF">{#N/A,#N/A,FALSE,"Plan1";#N/A,#N/A,FALSE,"Plan2"}</definedName>
    <definedName name="jdrfkdjfghrtfjg" localSheetId="0" hidden="1">{#N/A,#N/A,FALSE,"Plan1";#N/A,#N/A,FALSE,"Plan2"}</definedName>
    <definedName name="jdrfkdjfghrtfjg">{#N/A,#N/A,FALSE,"Plan1";#N/A,#N/A,FALSE,"Plan2"}</definedName>
    <definedName name="jdskfhdk" localSheetId="0" hidden="1">{#N/A,#N/A,FALSE,"Plan1";#N/A,#N/A,FALSE,"Plan2"}</definedName>
    <definedName name="jdskfhdk">{#N/A,#N/A,FALSE,"Plan1";#N/A,#N/A,FALSE,"Plan2"}</definedName>
    <definedName name="JDSKLGKDRHGGF" localSheetId="0" hidden="1">{#N/A,#N/A,FALSE,"Plan1";#N/A,#N/A,FALSE,"Plan2"}</definedName>
    <definedName name="JDSKLGKDRHGGF">{#N/A,#N/A,FALSE,"Plan1";#N/A,#N/A,FALSE,"Plan2"}</definedName>
    <definedName name="jefsgfr" localSheetId="0" hidden="1">{#N/A,#N/A,FALSE,"Plan1";#N/A,#N/A,FALSE,"Plan2"}</definedName>
    <definedName name="jefsgfr">{#N/A,#N/A,FALSE,"Plan1";#N/A,#N/A,FALSE,"Plan2"}</definedName>
    <definedName name="JERHIEHYURE" localSheetId="0" hidden="1">{#N/A,#N/A,FALSE,"Plan1";#N/A,#N/A,FALSE,"Plan2"}</definedName>
    <definedName name="JERHIEHYURE">{#N/A,#N/A,FALSE,"Plan1";#N/A,#N/A,FALSE,"Plan2"}</definedName>
    <definedName name="jfddlsrtyty" localSheetId="0" hidden="1">{#N/A,#N/A,FALSE,"Plan1";#N/A,#N/A,FALSE,"Plan2"}</definedName>
    <definedName name="jfddlsrtyty">{#N/A,#N/A,FALSE,"Plan1";#N/A,#N/A,FALSE,"Plan2"}</definedName>
    <definedName name="jfdjtgdjghitfyh" localSheetId="0" hidden="1">{#N/A,#N/A,FALSE,"Plan1";#N/A,#N/A,FALSE,"Plan2"}</definedName>
    <definedName name="jfdjtgdjghitfyh">{#N/A,#N/A,FALSE,"Plan1";#N/A,#N/A,FALSE,"Plan2"}</definedName>
    <definedName name="jfdkgkftftg" localSheetId="0" hidden="1">{#N/A,#N/A,FALSE,"Plan1";#N/A,#N/A,FALSE,"Plan2"}</definedName>
    <definedName name="jfdkgkftftg">{#N/A,#N/A,FALSE,"Plan1";#N/A,#N/A,FALSE,"Plan2"}</definedName>
    <definedName name="jfghjkfdhtkyru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 localSheetId="0" hidden="1">{#N/A,#N/A,FALSE,"Plan1";#N/A,#N/A,FALSE,"Plan2"}</definedName>
    <definedName name="JFGJYHTY">{#N/A,#N/A,FALSE,"Plan1";#N/A,#N/A,FALSE,"Plan2"}</definedName>
    <definedName name="jfgkflcnjkglc" localSheetId="0" hidden="1">{#N/A,#N/A,FALSE,"Plan1";#N/A,#N/A,FALSE,"Plan2"}</definedName>
    <definedName name="jfgkflcnjkglc">{#N/A,#N/A,FALSE,"Plan1";#N/A,#N/A,FALSE,"Plan2"}</definedName>
    <definedName name="JFHRE" localSheetId="0" hidden="1">{#N/A,#N/A,FALSE,"Plan1";#N/A,#N/A,FALSE,"Plan2"}</definedName>
    <definedName name="JFHRE">{#N/A,#N/A,FALSE,"Plan1";#N/A,#N/A,FALSE,"Plan2"}</definedName>
    <definedName name="jfkdls5jtirjd" localSheetId="0" hidden="1">{#N/A,#N/A,FALSE,"Plan1";#N/A,#N/A,FALSE,"Plan2"}</definedName>
    <definedName name="jfkdls5jtirjd">{#N/A,#N/A,FALSE,"Plan1";#N/A,#N/A,FALSE,"Plan2"}</definedName>
    <definedName name="jfkljdkfcj" localSheetId="0" hidden="1">{#N/A,#N/A,FALSE,"Plan1";#N/A,#N/A,FALSE,"Plan2"}</definedName>
    <definedName name="jfkljdkfcj">{#N/A,#N/A,FALSE,"Plan1";#N/A,#N/A,FALSE,"Plan2"}</definedName>
    <definedName name="jfkrhdtghdut" localSheetId="0" hidden="1">{#N/A,#N/A,FALSE,"Plan1";#N/A,#N/A,FALSE,"Plan2"}</definedName>
    <definedName name="jfkrhdtghdut">{#N/A,#N/A,FALSE,"Plan1";#N/A,#N/A,FALSE,"Plan2"}</definedName>
    <definedName name="JFRESR" localSheetId="0" hidden="1">{#N/A,#N/A,FALSE,"Plan1";#N/A,#N/A,FALSE,"Plan2"}</definedName>
    <definedName name="JFRESR">{#N/A,#N/A,FALSE,"Plan1";#N/A,#N/A,FALSE,"Plan2"}</definedName>
    <definedName name="jgdfdgfjgdj" localSheetId="0" hidden="1">{#N/A,#N/A,FALSE,"Plan1";#N/A,#N/A,FALSE,"Plan2"}</definedName>
    <definedName name="jgdfdgfjgdj">{#N/A,#N/A,FALSE,"Plan1";#N/A,#N/A,FALSE,"Plan2"}</definedName>
    <definedName name="jgdfght" localSheetId="0" hidden="1">{#N/A,#N/A,FALSE,"Plan1";#N/A,#N/A,FALSE,"Plan2"}</definedName>
    <definedName name="jgdfght">{#N/A,#N/A,FALSE,"Plan1";#N/A,#N/A,FALSE,"Plan2"}</definedName>
    <definedName name="jgfgdsgfdhrf" localSheetId="0" hidden="1">{#N/A,#N/A,FALSE,"Plan1";#N/A,#N/A,FALSE,"Plan2"}</definedName>
    <definedName name="jgfgdsgfdhrf">{#N/A,#N/A,FALSE,"Plan1";#N/A,#N/A,FALSE,"Plan2"}</definedName>
    <definedName name="JGFJGTFT" localSheetId="0" hidden="1">{#N/A,#N/A,FALSE,"Plan1";#N/A,#N/A,FALSE,"Plan2"}</definedName>
    <definedName name="JGFJGTFT">{#N/A,#N/A,FALSE,"Plan1";#N/A,#N/A,FALSE,"Plan2"}</definedName>
    <definedName name="JGJSFJKSDGB">17</definedName>
    <definedName name="jgkjkhjuftgi" localSheetId="0" hidden="1">{#N/A,#N/A,FALSE,"Plan1";#N/A,#N/A,FALSE,"Plan2"}</definedName>
    <definedName name="jgkjkhjuftgi">{#N/A,#N/A,FALSE,"Plan1";#N/A,#N/A,FALSE,"Plan2"}</definedName>
    <definedName name="jh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 localSheetId="0" hidden="1">{#N/A,#N/A,FALSE,"Plan1";#N/A,#N/A,FALSE,"Plan2"}</definedName>
    <definedName name="jhdfjjhirft">{#N/A,#N/A,FALSE,"Plan1";#N/A,#N/A,FALSE,"Plan2"}</definedName>
    <definedName name="jhdfjkhtrdhf" localSheetId="0" hidden="1">{#N/A,#N/A,FALSE,"Plan1";#N/A,#N/A,FALSE,"Plan2"}</definedName>
    <definedName name="jhdfjkhtrdhf">{#N/A,#N/A,FALSE,"Plan1";#N/A,#N/A,FALSE,"Plan2"}</definedName>
    <definedName name="jhdfuthr" localSheetId="0" hidden="1">{#N/A,#N/A,FALSE,"Plan1";#N/A,#N/A,FALSE,"Plan2"}</definedName>
    <definedName name="jhdfuthr">{#N/A,#N/A,FALSE,"Plan1";#N/A,#N/A,FALSE,"Plan2"}</definedName>
    <definedName name="JHDFZGRDHF" localSheetId="0" hidden="1">{"Econ Consolidado",#N/A,FALSE,"Econ Consol";"Fluxo de Caixa",#N/A,FALSE,"Fluxo Caixa";"Investimentos",#N/A,FALSE,"Investimentos"}</definedName>
    <definedName name="JHDFZGRDHF">{"Econ Consolidado",#N/A,FALSE,"Econ Consol";"Fluxo de Caixa",#N/A,FALSE,"Fluxo Caixa";"Investimentos",#N/A,FALSE,"Investimentos"}</definedName>
    <definedName name="JHERKHKFGH" localSheetId="0" hidden="1">{#N/A,#N/A,FALSE,"Plan1";#N/A,#N/A,FALSE,"Plan2"}</definedName>
    <definedName name="JHERKHKFGH">{#N/A,#N/A,FALSE,"Plan1";#N/A,#N/A,FALSE,"Plan2"}</definedName>
    <definedName name="jhfhhztfhe" localSheetId="0" hidden="1">#REF!</definedName>
    <definedName name="jhfhhztfhe">#REF!</definedName>
    <definedName name="JHGKJFJFJGL" localSheetId="0" hidden="1">{#N/A,#N/A,FALSE,"Plan1";#N/A,#N/A,FALSE,"Plan2"}</definedName>
    <definedName name="JHGKJFJFJGL">{#N/A,#N/A,FALSE,"Plan1";#N/A,#N/A,FALSE,"Plan2"}</definedName>
    <definedName name="jhsdjkhfuks" localSheetId="0" hidden="1">{#N/A,#N/A,FALSE,"Plan1";#N/A,#N/A,FALSE,"Plan2"}</definedName>
    <definedName name="jhsdjkhfuks">{#N/A,#N/A,FALSE,"Plan1";#N/A,#N/A,FALSE,"Plan2"}</definedName>
    <definedName name="jisdrkje" localSheetId="0" hidden="1">{#N/A,#N/A,FALSE,"Plan1";#N/A,#N/A,FALSE,"Plan2"}</definedName>
    <definedName name="jisdrkje">{#N/A,#N/A,FALSE,"Plan1";#N/A,#N/A,FALSE,"Plan2"}</definedName>
    <definedName name="jishfrieyhtau" localSheetId="0" hidden="1">{#N/A,#N/A,FALSE,"Plan1";#N/A,#N/A,FALSE,"Plan2"}</definedName>
    <definedName name="jishfrieyhtau">{#N/A,#N/A,FALSE,"Plan1";#N/A,#N/A,FALSE,"Plan2"}</definedName>
    <definedName name="jiu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 localSheetId="0" hidden="1">{"'Apr-00'!$B$4:$AD$44"}</definedName>
    <definedName name="jj">{"'Apr-00'!$B$4:$AD$44"}</definedName>
    <definedName name="jjfdsktyhhy" localSheetId="0" hidden="1">{#N/A,#N/A,FALSE,"Plan1";#N/A,#N/A,FALSE,"Plan2"}</definedName>
    <definedName name="jjfdsktyhhy">{#N/A,#N/A,FALSE,"Plan1";#N/A,#N/A,FALSE,"Plan2"}</definedName>
    <definedName name="jjjjjjjjjjjjjjjjjjjj">#REF!</definedName>
    <definedName name="jjkjkjk" localSheetId="0" hidden="1">{#N/A,#N/A,FALSE,"Plan1";#N/A,#N/A,FALSE,"Plan2"}</definedName>
    <definedName name="jjkjkjk">{#N/A,#N/A,FALSE,"Plan1";#N/A,#N/A,FALSE,"Plan2"}</definedName>
    <definedName name="JKDCK" localSheetId="0" hidden="1">{#N/A,#N/A,FALSE,"Plan1";#N/A,#N/A,FALSE,"Plan2"}</definedName>
    <definedName name="JKDCK">{#N/A,#N/A,FALSE,"Plan1";#N/A,#N/A,FALSE,"Plan2"}</definedName>
    <definedName name="JKDFHKHFR" localSheetId="0" hidden="1">{#N/A,#N/A,FALSE,"Plan1";#N/A,#N/A,FALSE,"Plan2"}</definedName>
    <definedName name="JKDFHKHFR">{#N/A,#N/A,FALSE,"Plan1";#N/A,#N/A,FALSE,"Plan2"}</definedName>
    <definedName name="JKDFTRDRJ" localSheetId="0" hidden="1">{#N/A,#N/A,FALSE,"Plan1";#N/A,#N/A,FALSE,"Plan2"}</definedName>
    <definedName name="JKDFTRDRJ">{#N/A,#N/A,FALSE,"Plan1";#N/A,#N/A,FALSE,"Plan2"}</definedName>
    <definedName name="jkdhfukhddf" localSheetId="0" hidden="1">{#N/A,#N/A,FALSE,"Plan1";#N/A,#N/A,FALSE,"Plan2"}</definedName>
    <definedName name="jkdhfukhddf">{#N/A,#N/A,FALSE,"Plan1";#N/A,#N/A,FALSE,"Plan2"}</definedName>
    <definedName name="JKDRKGJHTDR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 localSheetId="0" hidden="1">{#N/A,#N/A,FALSE,"Plan1";#N/A,#N/A,FALSE,"Plan2"}</definedName>
    <definedName name="jkelsjreja">{#N/A,#N/A,FALSE,"Plan1";#N/A,#N/A,FALSE,"Plan2"}</definedName>
    <definedName name="jkfhjgkfhghh" localSheetId="0" hidden="1">{#N/A,#N/A,FALSE,"Plan1";#N/A,#N/A,FALSE,"Plan2"}</definedName>
    <definedName name="jkfhjgkfhghh">{#N/A,#N/A,FALSE,"Plan1";#N/A,#N/A,FALSE,"Plan2"}</definedName>
    <definedName name="jkhderjkhes" localSheetId="0" hidden="1">{#N/A,#N/A,FALSE,"Plan1";#N/A,#N/A,FALSE,"Plan2"}</definedName>
    <definedName name="jkhderjkhes">{#N/A,#N/A,FALSE,"Plan1";#N/A,#N/A,FALSE,"Plan2"}</definedName>
    <definedName name="jkhdfhfd" localSheetId="0" hidden="1">{#N/A,#N/A,FALSE,"Plan1";#N/A,#N/A,FALSE,"Plan2"}</definedName>
    <definedName name="jkhdfhfd">{#N/A,#N/A,FALSE,"Plan1";#N/A,#N/A,FALSE,"Plan2"}</definedName>
    <definedName name="jkhfhest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 localSheetId="0" hidden="1">{#N/A,#N/A,FALSE,"Plan1";#N/A,#N/A,FALSE,"Plan2"}</definedName>
    <definedName name="JKHFKJHGKFTHUDET">{#N/A,#N/A,FALSE,"Plan1";#N/A,#N/A,FALSE,"Plan2"}</definedName>
    <definedName name="JKHGDHFUHTG" localSheetId="0" hidden="1">{#N/A,#N/A,FALSE,"Plan1";#N/A,#N/A,FALSE,"Plan2"}</definedName>
    <definedName name="JKHGDHFUHTG">{#N/A,#N/A,FALSE,"Plan1";#N/A,#N/A,FALSE,"Plan2"}</definedName>
    <definedName name="jkhsdzjkfyiu" localSheetId="0" hidden="1">{#N/A,#N/A,FALSE,"Plan1";#N/A,#N/A,FALSE,"Plan2"}</definedName>
    <definedName name="jkhsdzjkfyiu">{#N/A,#N/A,FALSE,"Plan1";#N/A,#N/A,FALSE,"Plan2"}</definedName>
    <definedName name="jkjsdkhfdhrf" localSheetId="0" hidden="1">{#N/A,#N/A,FALSE,"Plan1";#N/A,#N/A,FALSE,"Plan2"}</definedName>
    <definedName name="jkjsdkhfdhrf">{#N/A,#N/A,FALSE,"Plan1";#N/A,#N/A,FALSE,"Plan2"}</definedName>
    <definedName name="jklgfsjgtjtg" localSheetId="0" hidden="1">{#N/A,#N/A,FALSE,"Plan1";#N/A,#N/A,FALSE,"Plan2"}</definedName>
    <definedName name="jklgfsjgtjtg">{#N/A,#N/A,FALSE,"Plan1";#N/A,#N/A,FALSE,"Plan2"}</definedName>
    <definedName name="jksldfjsdhf" localSheetId="0" hidden="1">{#N/A,#N/A,FALSE,"Plan1";#N/A,#N/A,FALSE,"Plan2"}</definedName>
    <definedName name="jksldfjsdhf">{#N/A,#N/A,FALSE,"Plan1";#N/A,#N/A,FALSE,"Plan2"}</definedName>
    <definedName name="jkxhcjkhfr" localSheetId="0" hidden="1">{#N/A,#N/A,FALSE,"Plan1";#N/A,#N/A,FALSE,"Plan2"}</definedName>
    <definedName name="jkxhcjkhfr">{#N/A,#N/A,FALSE,"Plan1";#N/A,#N/A,FALSE,"Plan2"}</definedName>
    <definedName name="JNGCKFKJFGH" localSheetId="0" hidden="1">{#N/A,#N/A,FALSE,"Plan1";#N/A,#N/A,FALSE,"Plan2"}</definedName>
    <definedName name="JNGCKFKJFGH">{#N/A,#N/A,FALSE,"Plan1";#N/A,#N/A,FALSE,"Plan2"}</definedName>
    <definedName name="JOALDO">#REF!</definedName>
    <definedName name="joao_cdi">#REF!</definedName>
    <definedName name="joao_hist">#REF!</definedName>
    <definedName name="joao_uss">#REF!</definedName>
    <definedName name="JREJRW" localSheetId="0" hidden="1">{#N/A,#N/A,FALSE,"Plan1";#N/A,#N/A,FALSE,"Plan2"}</definedName>
    <definedName name="JREJRW">{#N/A,#N/A,FALSE,"Plan1";#N/A,#N/A,FALSE,"Plan2"}</definedName>
    <definedName name="JSADKAH" localSheetId="0" hidden="1">{"Econ Consolidado",#N/A,FALSE,"Econ Consol";"Fluxo de Caixa",#N/A,FALSE,"Fluxo Caixa";"Investimentos",#N/A,FALSE,"Investimentos"}</definedName>
    <definedName name="JSADKAH">{"Econ Consolidado",#N/A,FALSE,"Econ Consol";"Fluxo de Caixa",#N/A,FALSE,"Fluxo Caixa";"Investimentos",#N/A,FALSE,"Investimentos"}</definedName>
    <definedName name="JSDAJRE" localSheetId="0" hidden="1">{#N/A,#N/A,FALSE,"Plan1";#N/A,#N/A,FALSE,"Plan2"}</definedName>
    <definedName name="JSDAJRE">{#N/A,#N/A,FALSE,"Plan1";#N/A,#N/A,FALSE,"Plan2"}</definedName>
    <definedName name="jsdffse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 localSheetId="0" hidden="1">{#N/A,#N/A,FALSE,"Plan1";#N/A,#N/A,FALSE,"Plan2"}</definedName>
    <definedName name="jsdfjgx">{#N/A,#N/A,FALSE,"Plan1";#N/A,#N/A,FALSE,"Plan2"}</definedName>
    <definedName name="jsdfkgnfr" localSheetId="0" hidden="1">#REF!</definedName>
    <definedName name="jsdfkgnfr">#REF!</definedName>
    <definedName name="jsdfsdfd" localSheetId="0" hidden="1">{#N/A,#N/A,FALSE,"Plan1";#N/A,#N/A,FALSE,"Plan2"}</definedName>
    <definedName name="jsdfsdfd">{#N/A,#N/A,FALSE,"Plan1";#N/A,#N/A,FALSE,"Plan2"}</definedName>
    <definedName name="jsdljficd" localSheetId="0" hidden="1">{#N/A,#N/A,FALSE,"Plan1";#N/A,#N/A,FALSE,"Plan2"}</definedName>
    <definedName name="jsdljficd">{#N/A,#N/A,FALSE,"Plan1";#N/A,#N/A,FALSE,"Plan2"}</definedName>
    <definedName name="JSDTLFJDRG" localSheetId="0" hidden="1">{#N/A,#N/A,FALSE,"Plan1";#N/A,#N/A,FALSE,"Plan2"}</definedName>
    <definedName name="JSDTLFJDRG">{#N/A,#N/A,FALSE,"Plan1";#N/A,#N/A,FALSE,"Plan2"}</definedName>
    <definedName name="jsfjsjferwea" localSheetId="0" hidden="1">{#N/A,#N/A,FALSE,"Plan1";#N/A,#N/A,FALSE,"Plan2"}</definedName>
    <definedName name="jsfjsjferwea">{#N/A,#N/A,FALSE,"Plan1";#N/A,#N/A,FALSE,"Plan2"}</definedName>
    <definedName name="jslrjer" localSheetId="0" hidden="1">{#N/A,#N/A,FALSE,"Plan1";#N/A,#N/A,FALSE,"Plan2"}</definedName>
    <definedName name="jslrjer">{#N/A,#N/A,FALSE,"Plan1";#N/A,#N/A,FALSE,"Plan2"}</definedName>
    <definedName name="juklhkhdf" localSheetId="0" hidden="1">{#N/A,#N/A,FALSE,"Plan1";#N/A,#N/A,FALSE,"Plan2"}</definedName>
    <definedName name="juklhkhdf">{#N/A,#N/A,FALSE,"Plan1";#N/A,#N/A,FALSE,"Plan2"}</definedName>
    <definedName name="jul17RJ">#REF!</definedName>
    <definedName name="JULHO">#REF!</definedName>
    <definedName name="JULHO2001">#REF!</definedName>
    <definedName name="JULHO99" localSheetId="0" hidden="1">{#N/A,#N/A,TRUE,"Quinzena 01 à 15-04-98 "}</definedName>
    <definedName name="JULHO99">{#N/A,#N/A,TRUE,"Quinzena 01 à 15-04-98 "}</definedName>
    <definedName name="jun17RJ">#REF!</definedName>
    <definedName name="JUNHO">#REF!</definedName>
    <definedName name="JUNHO2001">#REF!</definedName>
    <definedName name="JurosTpMes">#REF!</definedName>
    <definedName name="jwekljd" localSheetId="0" hidden="1">{#N/A,#N/A,FALSE,"Plan1";#N/A,#N/A,FALSE,"Plan2"}</definedName>
    <definedName name="jwekljd">{#N/A,#N/A,FALSE,"Plan1";#N/A,#N/A,FALSE,"Plan2"}</definedName>
    <definedName name="JWEOITORU5Y" localSheetId="0" hidden="1">{#N/A,#N/A,FALSE,"Plan1";#N/A,#N/A,FALSE,"Plan2"}</definedName>
    <definedName name="JWEOITORU5Y">{#N/A,#N/A,FALSE,"Plan1";#N/A,#N/A,FALSE,"Plan2"}</definedName>
    <definedName name="jxdfjsrf" localSheetId="0" hidden="1">{#N/A,#N/A,FALSE,"Plan1";#N/A,#N/A,FALSE,"Plan2"}</definedName>
    <definedName name="jxdfjsrf">{#N/A,#N/A,FALSE,"Plan1";#N/A,#N/A,FALSE,"Plan2"}</definedName>
    <definedName name="jxdklfjv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Y" localSheetId="0" hidden="1">#REF!</definedName>
    <definedName name="JY">#REF!</definedName>
    <definedName name="jzsdjkszl" localSheetId="0" hidden="1">{#N/A,#N/A,FALSE,"Plan1";#N/A,#N/A,FALSE,"Plan2"}</definedName>
    <definedName name="jzsdjkszl">{#N/A,#N/A,FALSE,"Plan1";#N/A,#N/A,FALSE,"Plan2"}</definedName>
    <definedName name="JZXFKLJLDJF" localSheetId="0" hidden="1">{#N/A,#N/A,FALSE,"Plan1";#N/A,#N/A,FALSE,"Plan2"}</definedName>
    <definedName name="JZXFKLJLDJF">{#N/A,#N/A,FALSE,"Plan1";#N/A,#N/A,FALSE,"Plan2"}</definedName>
    <definedName name="jzxklfdlvgfg" localSheetId="0" hidden="1">{#N/A,#N/A,FALSE,"Plan1";#N/A,#N/A,FALSE,"Plan2"}</definedName>
    <definedName name="jzxklfdlvgfg">{#N/A,#N/A,FALSE,"Plan1";#N/A,#N/A,FALSE,"Plan2"}</definedName>
    <definedName name="k" localSheetId="0" hidden="1">{#N/A,#N/A,FALSE,"Plan1";#N/A,#N/A,FALSE,"Plan2"}</definedName>
    <definedName name="k">{#N/A,#N/A,FALSE,"Plan1";#N/A,#N/A,FALSE,"Plan2"}</definedName>
    <definedName name="K_1">#REF!</definedName>
    <definedName name="kaedkroswr" localSheetId="0" hidden="1">{"Econ Consolidado",#N/A,FALSE,"Econ Consol";"Fluxo de Caixa",#N/A,FALSE,"Fluxo Caixa";"Investimentos",#N/A,FALSE,"Investimentos"}</definedName>
    <definedName name="kaedkroswr">{"Econ Consolidado",#N/A,FALSE,"Econ Consol";"Fluxo de Caixa",#N/A,FALSE,"Fluxo Caixa";"Investimentos",#N/A,FALSE,"Investimentos"}</definedName>
    <definedName name="kapa">#REF!</definedName>
    <definedName name="kç\lKçaksdçaqew" localSheetId="0" hidden="1">{#N/A,#N/A,FALSE,"Plan1";#N/A,#N/A,FALSE,"Plan2"}</definedName>
    <definedName name="kç\lKçaksdçaqew" hidden="1">{#N/A,#N/A,FALSE,"Plan1";#N/A,#N/A,FALSE,"Plan2"}</definedName>
    <definedName name="kçdasekr" localSheetId="0" hidden="1">{#N/A,#N/A,FALSE,"Plan1";#N/A,#N/A,FALSE,"Plan2"}</definedName>
    <definedName name="kçdasekr">{#N/A,#N/A,FALSE,"Plan1";#N/A,#N/A,FALSE,"Plan2"}</definedName>
    <definedName name="kçfdljtredr" localSheetId="0" hidden="1">{#N/A,#N/A,FALSE,"Plan1";#N/A,#N/A,FALSE,"Plan2"}</definedName>
    <definedName name="kçfdljtredr">{#N/A,#N/A,FALSE,"Plan1";#N/A,#N/A,FALSE,"Plan2"}</definedName>
    <definedName name="KCIVIL">#REF!</definedName>
    <definedName name="kclçkglf" localSheetId="0" hidden="1">{#N/A,#N/A,FALSE,"Plan1";#N/A,#N/A,FALSE,"Plan2"}</definedName>
    <definedName name="kclçkglf">{#N/A,#N/A,FALSE,"Plan1";#N/A,#N/A,FALSE,"Plan2"}</definedName>
    <definedName name="kçlkasçkere" localSheetId="0" hidden="1">{#N/A,#N/A,FALSE,"Plan1";#N/A,#N/A,FALSE,"Plan2"}</definedName>
    <definedName name="kçlkasçkere">{#N/A,#N/A,FALSE,"Plan1";#N/A,#N/A,FALSE,"Plan2"}</definedName>
    <definedName name="kdfbngtjkbf" localSheetId="0" hidden="1">{#N/A,#N/A,FALSE,"Plan1";#N/A,#N/A,FALSE,"Plan2"}</definedName>
    <definedName name="kdfbngtjkbf">{#N/A,#N/A,FALSE,"Plan1";#N/A,#N/A,FALSE,"Plan2"}</definedName>
    <definedName name="kdfhkghkrh" localSheetId="0" hidden="1">{#N/A,#N/A,FALSE,"Plan1";#N/A,#N/A,FALSE,"Plan2"}</definedName>
    <definedName name="kdfhkghkrh">{#N/A,#N/A,FALSE,"Plan1";#N/A,#N/A,FALSE,"Plan2"}</definedName>
    <definedName name="kdfier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 localSheetId="0" hidden="1">{#N/A,#N/A,FALSE,"Plan1";#N/A,#N/A,FALSE,"Plan2"}</definedName>
    <definedName name="kdfkçrkf">{#N/A,#N/A,FALSE,"Plan1";#N/A,#N/A,FALSE,"Plan2"}</definedName>
    <definedName name="kdfljlfr" localSheetId="0" hidden="1">{#N/A,#N/A,FALSE,"Plan1";#N/A,#N/A,FALSE,"Plan2"}</definedName>
    <definedName name="kdfljlfr">{#N/A,#N/A,FALSE,"Plan1";#N/A,#N/A,FALSE,"Plan2"}</definedName>
    <definedName name="kdhfgkdfhytgu" localSheetId="0" hidden="1">{#N/A,#N/A,FALSE,"Plan1";#N/A,#N/A,FALSE,"Plan2"}</definedName>
    <definedName name="kdhfgkdfhytgu">{#N/A,#N/A,FALSE,"Plan1";#N/A,#N/A,FALSE,"Plan2"}</definedName>
    <definedName name="kdhgftfg" localSheetId="0" hidden="1">{#N/A,#N/A,FALSE,"Plan1";#N/A,#N/A,FALSE,"Plan2"}</definedName>
    <definedName name="kdhgftfg">{#N/A,#N/A,FALSE,"Plan1";#N/A,#N/A,FALSE,"Plan2"}</definedName>
    <definedName name="KDHKFGKKHGF" localSheetId="0" hidden="1">{#N/A,#N/A,FALSE,"Plan1";#N/A,#N/A,FALSE,"Plan2"}</definedName>
    <definedName name="KDHKFGKKHGF">{#N/A,#N/A,FALSE,"Plan1";#N/A,#N/A,FALSE,"Plan2"}</definedName>
    <definedName name="kdjfdr" localSheetId="0" hidden="1">#REF!</definedName>
    <definedName name="kdjfdr">#REF!</definedName>
    <definedName name="kdjgkfjgd" localSheetId="0" hidden="1">{#N/A,#N/A,FALSE,"Plan1";#N/A,#N/A,FALSE,"Plan2"}</definedName>
    <definedName name="kdjgkfjgd">{#N/A,#N/A,FALSE,"Plan1";#N/A,#N/A,FALSE,"Plan2"}</definedName>
    <definedName name="kdjglkdlgjd" localSheetId="0" hidden="1">{#N/A,#N/A,FALSE,"Plan1";#N/A,#N/A,FALSE,"Plan2"}</definedName>
    <definedName name="kdjglkdlgjd">{#N/A,#N/A,FALSE,"Plan1";#N/A,#N/A,FALSE,"Plan2"}</definedName>
    <definedName name="kdjsfkldjgkty" localSheetId="0" hidden="1">{#N/A,#N/A,FALSE,"Plan1";#N/A,#N/A,FALSE,"Plan2"}</definedName>
    <definedName name="kdjsfkldjgkty">{#N/A,#N/A,FALSE,"Plan1";#N/A,#N/A,FALSE,"Plan2"}</definedName>
    <definedName name="KDJU" localSheetId="0" hidden="1">{"'장비'!$A$3:$M$12"}</definedName>
    <definedName name="KDJU">{"'장비'!$A$3:$M$12"}</definedName>
    <definedName name="kdkjhgdkfhjk" localSheetId="0" hidden="1">{#N/A,#N/A,FALSE,"Plan1";#N/A,#N/A,FALSE,"Plan2"}</definedName>
    <definedName name="kdkjhgdkfhjk">{#N/A,#N/A,FALSE,"Plan1";#N/A,#N/A,FALSE,"Plan2"}</definedName>
    <definedName name="kdsf" localSheetId="0" hidden="1">{#N/A,#N/A,FALSE,"Plan1";#N/A,#N/A,FALSE,"Plan2"}</definedName>
    <definedName name="kdsf">{#N/A,#N/A,FALSE,"Plan1";#N/A,#N/A,FALSE,"Plan2"}</definedName>
    <definedName name="kdsr" localSheetId="0" hidden="1">{#N/A,#N/A,FALSE,"Plan1";#N/A,#N/A,FALSE,"Plan2"}</definedName>
    <definedName name="kdsr">{#N/A,#N/A,FALSE,"Plan1";#N/A,#N/A,FALSE,"Plan2"}</definedName>
    <definedName name="kergtfdstr" localSheetId="0" hidden="1">{#N/A,#N/A,FALSE,"Plan1";#N/A,#N/A,FALSE,"Plan2"}</definedName>
    <definedName name="kergtfdstr">{#N/A,#N/A,FALSE,"Plan1";#N/A,#N/A,FALSE,"Plan2"}</definedName>
    <definedName name="kesp">#REF!</definedName>
    <definedName name="KFDKTHGT" localSheetId="0" hidden="1">{#N/A,#N/A,FALSE,"Plan1";#N/A,#N/A,FALSE,"Plan2"}</definedName>
    <definedName name="KFDKTHGT">{#N/A,#N/A,FALSE,"Plan1";#N/A,#N/A,FALSE,"Plan2"}</definedName>
    <definedName name="kfdxlfdzs" localSheetId="0" hidden="1">{"Econ Consolidado",#N/A,FALSE,"Econ Consol";"Fluxo de Caixa",#N/A,FALSE,"Fluxo Caixa";"Investimentos",#N/A,FALSE,"Investimentos"}</definedName>
    <definedName name="kfdxlfdzs">{"Econ Consolidado",#N/A,FALSE,"Econ Consol";"Fluxo de Caixa",#N/A,FALSE,"Fluxo Caixa";"Investimentos",#N/A,FALSE,"Investimentos"}</definedName>
    <definedName name="kfgkhjkjhy" localSheetId="0" hidden="1">{#N/A,#N/A,FALSE,"Plan1";#N/A,#N/A,FALSE,"Plan2"}</definedName>
    <definedName name="kfgkhjkjhy">{#N/A,#N/A,FALSE,"Plan1";#N/A,#N/A,FALSE,"Plan2"}</definedName>
    <definedName name="KFJFDSDF" localSheetId="0" hidden="1">{#N/A,#N/A,FALSE,"Plan1";#N/A,#N/A,FALSE,"Plan2"}</definedName>
    <definedName name="KFJFDSDF">{#N/A,#N/A,FALSE,"Plan1";#N/A,#N/A,FALSE,"Plan2"}</definedName>
    <definedName name="kfnkeasd" localSheetId="0" hidden="1">{#N/A,#N/A,FALSE,"Plan1";#N/A,#N/A,FALSE,"Plan2"}</definedName>
    <definedName name="kfnkeasd">{#N/A,#N/A,FALSE,"Plan1";#N/A,#N/A,FALSE,"Plan2"}</definedName>
    <definedName name="khdjkfkjhtg" localSheetId="0" hidden="1">{#N/A,#N/A,FALSE,"Plan1";#N/A,#N/A,FALSE,"Plan2"}</definedName>
    <definedName name="khdjkfkjhtg">{#N/A,#N/A,FALSE,"Plan1";#N/A,#N/A,FALSE,"Plan2"}</definedName>
    <definedName name="khdkfjhhfsdg" localSheetId="0" hidden="1">{#N/A,#N/A,FALSE,"Plan1";#N/A,#N/A,FALSE,"Plan2"}</definedName>
    <definedName name="khdkfjhhfsdg">{#N/A,#N/A,FALSE,"Plan1";#N/A,#N/A,FALSE,"Plan2"}</definedName>
    <definedName name="khdkjfhgudytu" localSheetId="0" hidden="1">{#N/A,#N/A,FALSE,"Plan1";#N/A,#N/A,FALSE,"Plan2"}</definedName>
    <definedName name="khdkjfhgudytu">{#N/A,#N/A,FALSE,"Plan1";#N/A,#N/A,FALSE,"Plan2"}</definedName>
    <definedName name="khfdghhhgd" localSheetId="0" hidden="1">{#N/A,#N/A,FALSE,"Plan1";#N/A,#N/A,FALSE,"Plan2"}</definedName>
    <definedName name="khfdghhhgd">{#N/A,#N/A,FALSE,"Plan1";#N/A,#N/A,FALSE,"Plan2"}</definedName>
    <definedName name="khfdkjhsdjf" localSheetId="0" hidden="1">{#N/A,#N/A,FALSE,"Plan1";#N/A,#N/A,FALSE,"Plan2"}</definedName>
    <definedName name="khfdkjhsdjf">{#N/A,#N/A,FALSE,"Plan1";#N/A,#N/A,FALSE,"Plan2"}</definedName>
    <definedName name="khgdkftfy" localSheetId="0" hidden="1">{#N/A,#N/A,FALSE,"Plan1";#N/A,#N/A,FALSE,"Plan2"}</definedName>
    <definedName name="khgdkftfy">{#N/A,#N/A,FALSE,"Plan1";#N/A,#N/A,FALSE,"Plan2"}</definedName>
    <definedName name="khgfhhtuhf" localSheetId="0" hidden="1">{#N/A,#N/A,FALSE,"Plan1";#N/A,#N/A,FALSE,"Plan2"}</definedName>
    <definedName name="khgfhhtuhf">{#N/A,#N/A,FALSE,"Plan1";#N/A,#N/A,FALSE,"Plan2"}</definedName>
    <definedName name="khjkh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 localSheetId="0" hidden="1">{#N/A,#N/A,FALSE,"Plan1";#N/A,#N/A,FALSE,"Plan2"}</definedName>
    <definedName name="KHJKLSDF">{#N/A,#N/A,FALSE,"Plan1";#N/A,#N/A,FALSE,"Plan2"}</definedName>
    <definedName name="kieret" localSheetId="0" hidden="1">{#N/A,#N/A,FALSE,"Plan1";#N/A,#N/A,FALSE,"Plan2"}</definedName>
    <definedName name="kieret">{#N/A,#N/A,FALSE,"Plan1";#N/A,#N/A,FALSE,"Plan2"}</definedName>
    <definedName name="kiweokwr" localSheetId="0" hidden="1">#REF!</definedName>
    <definedName name="kiweokwr">#REF!</definedName>
    <definedName name="kjchkfhsezk" localSheetId="0" hidden="1">{#N/A,#N/A,FALSE,"Plan1";#N/A,#N/A,FALSE,"Plan2"}</definedName>
    <definedName name="kjchkfhsezk">{#N/A,#N/A,FALSE,"Plan1";#N/A,#N/A,FALSE,"Plan2"}</definedName>
    <definedName name="kjdghksef" localSheetId="0" hidden="1">{#N/A,#N/A,FALSE,"Plan1";#N/A,#N/A,FALSE,"Plan2"}</definedName>
    <definedName name="kjdghksef">{#N/A,#N/A,FALSE,"Plan1";#N/A,#N/A,FALSE,"Plan2"}</definedName>
    <definedName name="kjdkftyhtert" localSheetId="0" hidden="1">{#N/A,#N/A,FALSE,"Plan1";#N/A,#N/A,FALSE,"Plan2"}</definedName>
    <definedName name="kjdkftyhtert">{#N/A,#N/A,FALSE,"Plan1";#N/A,#N/A,FALSE,"Plan2"}</definedName>
    <definedName name="kjdlfkjds" localSheetId="0" hidden="1">{#N/A,#N/A,FALSE,"Plan1";#N/A,#N/A,FALSE,"Plan2"}</definedName>
    <definedName name="kjdlfkjds">{#N/A,#N/A,FALSE,"Plan1";#N/A,#N/A,FALSE,"Plan2"}</definedName>
    <definedName name="kjdzhfytrfy" localSheetId="0" hidden="1">{#N/A,#N/A,FALSE,"Plan1";#N/A,#N/A,FALSE,"Plan2"}</definedName>
    <definedName name="kjdzhfytrfy">{#N/A,#N/A,FALSE,"Plan1";#N/A,#N/A,FALSE,"Plan2"}</definedName>
    <definedName name="kjhdfgjthdft" localSheetId="0" hidden="1">{#N/A,#N/A,FALSE,"Plan1";#N/A,#N/A,FALSE,"Plan2"}</definedName>
    <definedName name="kjhdfgjthdft">{#N/A,#N/A,FALSE,"Plan1";#N/A,#N/A,FALSE,"Plan2"}</definedName>
    <definedName name="kjhsdf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 localSheetId="0" hidden="1">{#N/A,#N/A,FALSE,"Plan1";#N/A,#N/A,FALSE,"Plan2"}</definedName>
    <definedName name="kjhsiorf">{#N/A,#N/A,FALSE,"Plan1";#N/A,#N/A,FALSE,"Plan2"}</definedName>
    <definedName name="KJ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 localSheetId="0" hidden="1">{#N/A,#N/A,FALSE,"Plan1";#N/A,#N/A,FALSE,"Plan2"}</definedName>
    <definedName name="kjjwww">{#N/A,#N/A,FALSE,"Plan1";#N/A,#N/A,FALSE,"Plan2"}</definedName>
    <definedName name="kjl" localSheetId="0" hidden="1">{#N/A,#N/A,FALSE,"ENG'G(보호계전기)"}</definedName>
    <definedName name="kjl">{#N/A,#N/A,FALSE,"ENG'G(보호계전기)"}</definedName>
    <definedName name="KJOI" localSheetId="0" hidden="1">{#N/A,#N/A,FALSE,"Plan1";#N/A,#N/A,FALSE,"Plan2"}</definedName>
    <definedName name="KJOI">{#N/A,#N/A,FALSE,"Plan1";#N/A,#N/A,FALSE,"Plan2"}</definedName>
    <definedName name="kjqwerw" localSheetId="0" hidden="1">{#N/A,#N/A,FALSE,"Plan1";#N/A,#N/A,FALSE,"Plan2"}</definedName>
    <definedName name="kjqwerw">{#N/A,#N/A,FALSE,"Plan1";#N/A,#N/A,FALSE,"Plan2"}</definedName>
    <definedName name="kjsfert" localSheetId="0" hidden="1">{#N/A,#N/A,FALSE,"Plan1";#N/A,#N/A,FALSE,"Plan2"}</definedName>
    <definedName name="kjsfert">{#N/A,#N/A,FALSE,"Plan1";#N/A,#N/A,FALSE,"Plan2"}</definedName>
    <definedName name="KJXCFKR" localSheetId="0" hidden="1">{#N/A,#N/A,FALSE,"Plan1";#N/A,#N/A,FALSE,"Plan2"}</definedName>
    <definedName name="KJXCFKR">{#N/A,#N/A,FALSE,"Plan1";#N/A,#N/A,FALSE,"Plan2"}</definedName>
    <definedName name="KJXDFD" localSheetId="0" hidden="1">{#N/A,#N/A,FALSE,"Plan1";#N/A,#N/A,FALSE,"Plan2"}</definedName>
    <definedName name="KJXDFD">{#N/A,#N/A,FALSE,"Plan1";#N/A,#N/A,FALSE,"Plan2"}</definedName>
    <definedName name="kjydhfkjghkjfh" localSheetId="0" hidden="1">#REF!</definedName>
    <definedName name="kjydhfkjghkjfh">#REF!</definedName>
    <definedName name="kk">#REF!</definedName>
    <definedName name="kk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 localSheetId="0" hidden="1">{#N/A,#N/A,FALSE,"Plan1";#N/A,#N/A,FALSE,"Plan2"}</definedName>
    <definedName name="kkk">{#N/A,#N/A,FALSE,"Plan1";#N/A,#N/A,FALSE,"Plan2"}</definedName>
    <definedName name="kkkkk" localSheetId="0" hidden="1">{#N/A,#N/A,FALSE,"Plan1";#N/A,#N/A,FALSE,"Plan2"}</definedName>
    <definedName name="kkkkk">{#N/A,#N/A,FALSE,"Plan1";#N/A,#N/A,FALSE,"Plan2"}</definedName>
    <definedName name="kkkkkk" localSheetId="0" hidden="1">{#N/A,#N/A,FALSE,"Plan1";#N/A,#N/A,FALSE,"Plan2"}</definedName>
    <definedName name="kkkkkk">{#N/A,#N/A,FALSE,"Plan1";#N/A,#N/A,FALSE,"Plan2"}</definedName>
    <definedName name="kko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 localSheetId="0" hidden="1">{#N/A,#N/A,FALSE,"Plan1";#N/A,#N/A,FALSE,"Plan2"}</definedName>
    <definedName name="kksaklçer">{#N/A,#N/A,FALSE,"Plan1";#N/A,#N/A,FALSE,"Plan2"}</definedName>
    <definedName name="kksarde" localSheetId="0" hidden="1">{#N/A,#N/A,FALSE,"Plan1";#N/A,#N/A,FALSE,"Plan2"}</definedName>
    <definedName name="kksarde">{#N/A,#N/A,FALSE,"Plan1";#N/A,#N/A,FALSE,"Plan2"}</definedName>
    <definedName name="klaskldjsw" localSheetId="0" hidden="1">{#N/A,#N/A,FALSE,"Plan1";#N/A,#N/A,FALSE,"Plan2"}</definedName>
    <definedName name="klaskldjsw">{#N/A,#N/A,FALSE,"Plan1";#N/A,#N/A,FALSE,"Plan2"}</definedName>
    <definedName name="klçkop" localSheetId="0" hidden="1">{#N/A,#N/A,FALSE,"Plan1";#N/A,#N/A,FALSE,"Plan2"}</definedName>
    <definedName name="klçkop">{#N/A,#N/A,FALSE,"Plan1";#N/A,#N/A,FALSE,"Plan2"}</definedName>
    <definedName name="KLDFNTRDT" localSheetId="0" hidden="1">{#N/A,#N/A,FALSE,"Plan1";#N/A,#N/A,FALSE,"Plan2"}</definedName>
    <definedName name="KLDFNTRDT">{#N/A,#N/A,FALSE,"Plan1";#N/A,#N/A,FALSE,"Plan2"}</definedName>
    <definedName name="klhjsdklhdf" localSheetId="0" hidden="1">{#N/A,#N/A,FALSE,"Plan1";#N/A,#N/A,FALSE,"Plan2"}</definedName>
    <definedName name="klhjsdklhdf">{#N/A,#N/A,FALSE,"Plan1";#N/A,#N/A,FALSE,"Plan2"}</definedName>
    <definedName name="KLHSKLRHWE" localSheetId="0" hidden="1">{#N/A,#N/A,FALSE,"Plan1";#N/A,#N/A,FALSE,"Plan2"}</definedName>
    <definedName name="KLHSKLRHWE">{#N/A,#N/A,FALSE,"Plan1";#N/A,#N/A,FALSE,"Plan2"}</definedName>
    <definedName name="KLJASKJD" localSheetId="0" hidden="1">{#N/A,#N/A,FALSE,"Plan1";#N/A,#N/A,FALSE,"Plan2"}</definedName>
    <definedName name="KLJASKJD">{#N/A,#N/A,FALSE,"Plan1";#N/A,#N/A,FALSE,"Plan2"}</definedName>
    <definedName name="KLJDXL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 localSheetId="0" hidden="1">{#N/A,#N/A,FALSE,"Plan1";#N/A,#N/A,FALSE,"Plan2"}</definedName>
    <definedName name="kljeflwr">{#N/A,#N/A,FALSE,"Plan1";#N/A,#N/A,FALSE,"Plan2"}</definedName>
    <definedName name="kljflgjrf" localSheetId="0" hidden="1">{#N/A,#N/A,FALSE,"Plan1";#N/A,#N/A,FALSE,"Plan2"}</definedName>
    <definedName name="kljflgjrf">{#N/A,#N/A,FALSE,"Plan1";#N/A,#N/A,FALSE,"Plan2"}</definedName>
    <definedName name="kljgfdfr" localSheetId="0" hidden="1">{#N/A,#N/A,FALSE,"Plan1";#N/A,#N/A,FALSE,"Plan2"}</definedName>
    <definedName name="kljgfdfr">{#N/A,#N/A,FALSE,"Plan1";#N/A,#N/A,FALSE,"Plan2"}</definedName>
    <definedName name="kljgfjrt" localSheetId="0" hidden="1">{#N/A,#N/A,FALSE,"Plan1";#N/A,#N/A,FALSE,"Plan2"}</definedName>
    <definedName name="kljgfjrt">{#N/A,#N/A,FALSE,"Plan1";#N/A,#N/A,FALSE,"Plan2"}</definedName>
    <definedName name="kljlkdfj" localSheetId="0" hidden="1">{#N/A,#N/A,FALSE,"Plan1";#N/A,#N/A,FALSE,"Plan2"}</definedName>
    <definedName name="kljlkdfj">{#N/A,#N/A,FALSE,"Plan1";#N/A,#N/A,FALSE,"Plan2"}</definedName>
    <definedName name="kljsakjfr" localSheetId="0" hidden="1">{#N/A,#N/A,FALSE,"Plan1";#N/A,#N/A,FALSE,"Plan2"}</definedName>
    <definedName name="kljsakjfr">{#N/A,#N/A,FALSE,"Plan1";#N/A,#N/A,FALSE,"Plan2"}</definedName>
    <definedName name="kljsdje" localSheetId="0" hidden="1">{#N/A,#N/A,FALSE,"Plan1";#N/A,#N/A,FALSE,"Plan2"}</definedName>
    <definedName name="kljsdje">{#N/A,#N/A,FALSE,"Plan1";#N/A,#N/A,FALSE,"Plan2"}</definedName>
    <definedName name="kljsfwe" localSheetId="0" hidden="1">{#N/A,#N/A,FALSE,"Plan1";#N/A,#N/A,FALSE,"Plan2"}</definedName>
    <definedName name="kljsfwe">{#N/A,#N/A,FALSE,"Plan1";#N/A,#N/A,FALSE,"Plan2"}</definedName>
    <definedName name="klk" localSheetId="0" hidden="1">{#N/A,#N/A,FALSE,"Plan1";#N/A,#N/A,FALSE,"Plan2"}</definedName>
    <definedName name="klk">{#N/A,#N/A,FALSE,"Plan1";#N/A,#N/A,FALSE,"Plan2"}</definedName>
    <definedName name="KLKKLKÇJÇ" localSheetId="0" hidden="1">{#N/A,#N/A,FALSE,"Plan1";#N/A,#N/A,FALSE,"Plan2"}</definedName>
    <definedName name="KLKKLKÇJÇ">{#N/A,#N/A,FALSE,"Plan1";#N/A,#N/A,FALSE,"Plan2"}</definedName>
    <definedName name="KLSDFT" localSheetId="0" hidden="1">{#N/A,#N/A,FALSE,"Plan1";#N/A,#N/A,FALSE,"Plan2"}</definedName>
    <definedName name="KLSDFT">{#N/A,#N/A,FALSE,"Plan1";#N/A,#N/A,FALSE,"Plan2"}</definedName>
    <definedName name="KLSDHSJKHF" localSheetId="0" hidden="1">{#N/A,#N/A,FALSE,"Plan1";#N/A,#N/A,FALSE,"Plan2"}</definedName>
    <definedName name="KLSDHSJKHF">{#N/A,#N/A,FALSE,"Plan1";#N/A,#N/A,FALSE,"Plan2"}</definedName>
    <definedName name="klsdkre" localSheetId="0" hidden="1">{#N/A,#N/A,FALSE,"Plan1";#N/A,#N/A,FALSE,"Plan2"}</definedName>
    <definedName name="klsdkre">{#N/A,#N/A,FALSE,"Plan1";#N/A,#N/A,FALSE,"Plan2"}</definedName>
    <definedName name="KLSIDJE" localSheetId="0" hidden="1">{#N/A,#N/A,FALSE,"Plan1";#N/A,#N/A,FALSE,"Plan2"}</definedName>
    <definedName name="KLSIDJE">{#N/A,#N/A,FALSE,"Plan1";#N/A,#N/A,FALSE,"Plan2"}</definedName>
    <definedName name="klsjarsf" localSheetId="0" hidden="1">{#N/A,#N/A,FALSE,"Plan1";#N/A,#N/A,FALSE,"Plan2"}</definedName>
    <definedName name="klsjarsf">{#N/A,#N/A,FALSE,"Plan1";#N/A,#N/A,FALSE,"Plan2"}</definedName>
    <definedName name="klsjdwe" localSheetId="0" hidden="1">#REF!</definedName>
    <definedName name="klsjdwe">#REF!</definedName>
    <definedName name="klxhjfdkhser" localSheetId="0" hidden="1">{#N/A,#N/A,FALSE,"Plan1";#N/A,#N/A,FALSE,"Plan2"}</definedName>
    <definedName name="klxhjfdkhser">{#N/A,#N/A,FALSE,"Plan1";#N/A,#N/A,FALSE,"Plan2"}</definedName>
    <definedName name="kopipnsdfne" localSheetId="0" hidden="1">{#N/A,#N/A,FALSE,"Plan1";#N/A,#N/A,FALSE,"Plan2"}</definedName>
    <definedName name="kopipnsdfne">{#N/A,#N/A,FALSE,"Plan1";#N/A,#N/A,FALSE,"Plan2"}</definedName>
    <definedName name="kp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 localSheetId="0" hidden="1">{#N/A,#N/A,FALSE,"Plan1";#N/A,#N/A,FALSE,"Plan2"}</definedName>
    <definedName name="KSDLDF">{#N/A,#N/A,FALSE,"Plan1";#N/A,#N/A,FALSE,"Plan2"}</definedName>
    <definedName name="ksdlkfsçzd" localSheetId="0" hidden="1">{#N/A,#N/A,FALSE,"Plan1";#N/A,#N/A,FALSE,"Plan2"}</definedName>
    <definedName name="ksdlkfsçzd">{#N/A,#N/A,FALSE,"Plan1";#N/A,#N/A,FALSE,"Plan2"}</definedName>
    <definedName name="KSDNFK">#REF!</definedName>
    <definedName name="ksdoçierfe" localSheetId="0" hidden="1">{#N/A,#N/A,FALSE,"Plan1";#N/A,#N/A,FALSE,"Plan2"}</definedName>
    <definedName name="ksdoçierfe">{#N/A,#N/A,FALSE,"Plan1";#N/A,#N/A,FALSE,"Plan2"}</definedName>
    <definedName name="ksdtrdrkf" localSheetId="0" hidden="1">{#N/A,#N/A,FALSE,"Plan1";#N/A,#N/A,FALSE,"Plan2"}</definedName>
    <definedName name="ksdtrdrkf">{#N/A,#N/A,FALSE,"Plan1";#N/A,#N/A,FALSE,"Plan2"}</definedName>
    <definedName name="KSFÇJDFJL" localSheetId="0" hidden="1">{#N/A,#N/A,FALSE,"Plan1";#N/A,#N/A,FALSE,"Plan2"}</definedName>
    <definedName name="KSFÇJDFJL">{#N/A,#N/A,FALSE,"Plan1";#N/A,#N/A,FALSE,"Plan2"}</definedName>
    <definedName name="ksfhse" localSheetId="0" hidden="1">{#N/A,#N/A,FALSE,"Plan1";#N/A,#N/A,FALSE,"Plan2"}</definedName>
    <definedName name="ksfhse">{#N/A,#N/A,FALSE,"Plan1";#N/A,#N/A,FALSE,"Plan2"}</definedName>
    <definedName name="KSRKOE" localSheetId="0" hidden="1">{#N/A,#N/A,FALSE,"Plan1";#N/A,#N/A,FALSE,"Plan2"}</definedName>
    <definedName name="KSRKOE">{#N/A,#N/A,FALSE,"Plan1";#N/A,#N/A,FALSE,"Plan2"}</definedName>
    <definedName name="KSWKE" localSheetId="0" hidden="1">{#N/A,#N/A,FALSE,"Plan1";#N/A,#N/A,FALSE,"Plan2"}</definedName>
    <definedName name="KSWKE">{#N/A,#N/A,FALSE,"Plan1";#N/A,#N/A,FALSE,"Plan2"}</definedName>
    <definedName name="kubus">#REF!</definedName>
    <definedName name="kubus1">#REF!</definedName>
    <definedName name="kysdusf" localSheetId="0" hidden="1">{#N/A,#N/A,FALSE,"Plan1";#N/A,#N/A,FALSE,"Plan2"}</definedName>
    <definedName name="kysdusf">{#N/A,#N/A,FALSE,"Plan1";#N/A,#N/A,FALSE,"Plan2"}</definedName>
    <definedName name="kzslçdkçle" localSheetId="0" hidden="1">{#N/A,#N/A,FALSE,"Plan1";#N/A,#N/A,FALSE,"Plan2"}</definedName>
    <definedName name="kzslçdkçle">{#N/A,#N/A,FALSE,"Plan1";#N/A,#N/A,FALSE,"Plan2"}</definedName>
    <definedName name="L_">#REF!</definedName>
    <definedName name="LAEKWRK" localSheetId="0" hidden="1">{#N/A,#N/A,FALSE,"Plan1";#N/A,#N/A,FALSE,"Plan2"}</definedName>
    <definedName name="LAEKWRK">{#N/A,#N/A,FALSE,"Plan1";#N/A,#N/A,FALSE,"Plan2"}</definedName>
    <definedName name="laeqwep" localSheetId="0" hidden="1">#REF!</definedName>
    <definedName name="laeqwep">#REF!</definedName>
    <definedName name="LAKDEWRF" localSheetId="0" hidden="1">{#N/A,#N/A,FALSE,"Plan1";#N/A,#N/A,FALSE,"Plan2"}</definedName>
    <definedName name="LAKDEWRF">{#N/A,#N/A,FALSE,"Plan1";#N/A,#N/A,FALSE,"Plan2"}</definedName>
    <definedName name="Lancamentos">#REF!</definedName>
    <definedName name="LARGURA">#REF!</definedName>
    <definedName name="LASÇDSRLF" localSheetId="0" hidden="1">{#N/A,#N/A,FALSE,"Plan1";#N/A,#N/A,FALSE,"Plan2"}</definedName>
    <definedName name="LASÇDSRLF">{#N/A,#N/A,FALSE,"Plan1";#N/A,#N/A,FALSE,"Plan2"}</definedName>
    <definedName name="LASDAKWE">25</definedName>
    <definedName name="lasrlswer" localSheetId="0" hidden="1">{#N/A,#N/A,FALSE,"Plan1";#N/A,#N/A,FALSE,"Plan2"}</definedName>
    <definedName name="lasrlswer">{#N/A,#N/A,FALSE,"Plan1";#N/A,#N/A,FALSE,"Plan2"}</definedName>
    <definedName name="LAZER">#REF!</definedName>
    <definedName name="lbla1">#REF!</definedName>
    <definedName name="lbla10">#REF!</definedName>
    <definedName name="lbla11">#REF!</definedName>
    <definedName name="lbla12">#REF!</definedName>
    <definedName name="lbla13">#REF!</definedName>
    <definedName name="lbla14">#REF!</definedName>
    <definedName name="lbla15">#REF!</definedName>
    <definedName name="lbla16">#REF!</definedName>
    <definedName name="lbla17">#REF!</definedName>
    <definedName name="lbla18">#REF!</definedName>
    <definedName name="lbla19">#REF!</definedName>
    <definedName name="lbla2">#REF!</definedName>
    <definedName name="lbla20">#REF!</definedName>
    <definedName name="lbla21">#REF!</definedName>
    <definedName name="lbla22">#REF!</definedName>
    <definedName name="lbla23">#REF!</definedName>
    <definedName name="lbla24">#REF!</definedName>
    <definedName name="lbla25">#REF!</definedName>
    <definedName name="lbla27">#REF!</definedName>
    <definedName name="lbla28">#REF!</definedName>
    <definedName name="lçadple4r" localSheetId="0" hidden="1">{#N/A,#N/A,FALSE,"Plan1";#N/A,#N/A,FALSE,"Plan2"}</definedName>
    <definedName name="lçadple4r">{#N/A,#N/A,FALSE,"Plan1";#N/A,#N/A,FALSE,"Plan2"}</definedName>
    <definedName name="lçasser" localSheetId="0" hidden="1">{#N/A,#N/A,FALSE,"Plan1";#N/A,#N/A,FALSE,"Plan2"}</definedName>
    <definedName name="lçasser">{#N/A,#N/A,FALSE,"Plan1";#N/A,#N/A,FALSE,"Plan2"}</definedName>
    <definedName name="lcdgjtklfrn" localSheetId="0" hidden="1">{#N/A,#N/A,FALSE,"Plan1";#N/A,#N/A,FALSE,"Plan2"}</definedName>
    <definedName name="lcdgjtklfrn">{#N/A,#N/A,FALSE,"Plan1";#N/A,#N/A,FALSE,"Plan2"}</definedName>
    <definedName name="lçfklsdkçaer" localSheetId="0" hidden="1">{#N/A,#N/A,FALSE,"Plan1";#N/A,#N/A,FALSE,"Plan2"}</definedName>
    <definedName name="lçfklsdkçaer">{#N/A,#N/A,FALSE,"Plan1";#N/A,#N/A,FALSE,"Plan2"}</definedName>
    <definedName name="lçjkgf" localSheetId="0" hidden="1">{#N/A,#N/A,FALSE,"Plan1";#N/A,#N/A,FALSE,"Plan2"}</definedName>
    <definedName name="lçjkgf">{#N/A,#N/A,FALSE,"Plan1";#N/A,#N/A,FALSE,"Plan2"}</definedName>
    <definedName name="LÇJSLDFJ" localSheetId="0" hidden="1">{#N/A,#N/A,FALSE,"Plan1";#N/A,#N/A,FALSE,"Plan2"}</definedName>
    <definedName name="LÇJSLDFJ">{#N/A,#N/A,FALSE,"Plan1";#N/A,#N/A,FALSE,"Plan2"}</definedName>
    <definedName name="LÇKÇSDRLK" localSheetId="0" hidden="1">{#N/A,#N/A,FALSE,"Plan1";#N/A,#N/A,FALSE,"Plan2"}</definedName>
    <definedName name="LÇKÇSDRLK">{#N/A,#N/A,FALSE,"Plan1";#N/A,#N/A,FALSE,"Plan2"}</definedName>
    <definedName name="lçkdfkdstkre">25</definedName>
    <definedName name="lçkl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 localSheetId="0" hidden="1">{#N/A,#N/A,FALSE,"Plan1";#N/A,#N/A,FALSE,"Plan2"}</definedName>
    <definedName name="lçlfklçdglfdgt">{#N/A,#N/A,FALSE,"Plan1";#N/A,#N/A,FALSE,"Plan2"}</definedName>
    <definedName name="lçslrr4r" localSheetId="0" hidden="1">{#N/A,#N/A,FALSE,"Plan1";#N/A,#N/A,FALSE,"Plan2"}</definedName>
    <definedName name="lçslrr4r">{#N/A,#N/A,FALSE,"Plan1";#N/A,#N/A,FALSE,"Plan2"}</definedName>
    <definedName name="ldfjgry" localSheetId="0" hidden="1">{#N/A,#N/A,FALSE,"Plan1";#N/A,#N/A,FALSE,"Plan2"}</definedName>
    <definedName name="ldfjgry">{#N/A,#N/A,FALSE,"Plan1";#N/A,#N/A,FALSE,"Plan2"}</definedName>
    <definedName name="ldfjgtilrf" localSheetId="0" hidden="1">{#N/A,#N/A,FALSE,"Plan1";#N/A,#N/A,FALSE,"Plan2"}</definedName>
    <definedName name="ldfjgtilrf">{#N/A,#N/A,FALSE,"Plan1";#N/A,#N/A,FALSE,"Plan2"}</definedName>
    <definedName name="ldk" localSheetId="0" hidden="1">{#N/A,#N/A,FALSE,"Plan1";#N/A,#N/A,FALSE,"Plan2"}</definedName>
    <definedName name="ldk">{#N/A,#N/A,FALSE,"Plan1";#N/A,#N/A,FALSE,"Plan2"}</definedName>
    <definedName name="ldkgkdfjgkh" localSheetId="0" hidden="1">{#N/A,#N/A,FALSE,"Plan1";#N/A,#N/A,FALSE,"Plan2"}</definedName>
    <definedName name="ldkgkdfjgkh">{#N/A,#N/A,FALSE,"Plan1";#N/A,#N/A,FALSE,"Plan2"}</definedName>
    <definedName name="LDTJGR" localSheetId="0" hidden="1">{#N/A,#N/A,FALSE,"Plan1";#N/A,#N/A,FALSE,"Plan2"}</definedName>
    <definedName name="LDTJGR">{#N/A,#N/A,FALSE,"Plan1";#N/A,#N/A,FALSE,"Plan2"}</definedName>
    <definedName name="Leg" localSheetId="0" hidden="1">#REF!</definedName>
    <definedName name="Leg">#REF!</definedName>
    <definedName name="legr_cdi">#REF!</definedName>
    <definedName name="legr_hist">#REF!</definedName>
    <definedName name="legr_uss">#REF!</definedName>
    <definedName name="LEKG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VANTAMENTO">#REF!</definedName>
    <definedName name="lfjdjrt" localSheetId="0" hidden="1">{#N/A,#N/A,FALSE,"Plan1";#N/A,#N/A,FALSE,"Plan2"}</definedName>
    <definedName name="lfjdjrt">{#N/A,#N/A,FALSE,"Plan1";#N/A,#N/A,FALSE,"Plan2"}</definedName>
    <definedName name="LI">#REF!</definedName>
    <definedName name="LIDER_OPER">#REF!</definedName>
    <definedName name="lidfjgklruf" localSheetId="0" hidden="1">{#N/A,#N/A,FALSE,"Plan1";#N/A,#N/A,FALSE,"Plan2"}</definedName>
    <definedName name="lidfjgklruf">{#N/A,#N/A,FALSE,"Plan1";#N/A,#N/A,FALSE,"Plan2"}</definedName>
    <definedName name="LII">#REF!</definedName>
    <definedName name="LIII">#REF!</definedName>
    <definedName name="LIMBO">#REF!</definedName>
    <definedName name="limcount">3</definedName>
    <definedName name="LIN">#REF!</definedName>
    <definedName name="list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A">#REF!</definedName>
    <definedName name="LISTA_CONTAS">#REF!</definedName>
    <definedName name="lista_empresa">OFFSET(INDEX(#REF!,MATCH(#REF!,#REF!,0)),1,0,COUNTA(#REF!)-1)</definedName>
    <definedName name="LISTA_FORNECEDORES">#REF!</definedName>
    <definedName name="LISTSEL">#REF!</definedName>
    <definedName name="listt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V">#REF!</definedName>
    <definedName name="LIX">#REF!</definedName>
    <definedName name="ljdfkgyt" localSheetId="0" hidden="1">{#N/A,#N/A,FALSE,"Plan1";#N/A,#N/A,FALSE,"Plan2"}</definedName>
    <definedName name="ljdfkgyt">{#N/A,#N/A,FALSE,"Plan1";#N/A,#N/A,FALSE,"Plan2"}</definedName>
    <definedName name="LJDFLJRL" localSheetId="0" hidden="1">{#N/A,#N/A,FALSE,"Plan1";#N/A,#N/A,FALSE,"Plan2"}</definedName>
    <definedName name="LJDFLJRL">{#N/A,#N/A,FALSE,"Plan1";#N/A,#N/A,FALSE,"Plan2"}</definedName>
    <definedName name="ljsdfrd" localSheetId="0" hidden="1">{#N/A,#N/A,FALSE,"Plan1";#N/A,#N/A,FALSE,"Plan2"}</definedName>
    <definedName name="ljsdfrd">{#N/A,#N/A,FALSE,"Plan1";#N/A,#N/A,FALSE,"Plan2"}</definedName>
    <definedName name="LJSFLDJDLKFJG" localSheetId="0" hidden="1">#REF!</definedName>
    <definedName name="LJSFLDJDLKFJG">#REF!</definedName>
    <definedName name="LK" localSheetId="0" hidden="1">{#N/A,#N/A,TRUE,"Quinzena 01 à 15-04-98 "}</definedName>
    <definedName name="LK">{#N/A,#N/A,TRUE,"Quinzena 01 à 15-04-98 "}</definedName>
    <definedName name="lkasdkeo" localSheetId="0" hidden="1">{#N/A,#N/A,FALSE,"Plan1";#N/A,#N/A,FALSE,"Plan2"}</definedName>
    <definedName name="lkasdkeo">{#N/A,#N/A,FALSE,"Plan1";#N/A,#N/A,FALSE,"Plan2"}</definedName>
    <definedName name="lkdeas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 localSheetId="0" hidden="1">{#N/A,#N/A,FALSE,"Plan1";#N/A,#N/A,FALSE,"Plan2"}</definedName>
    <definedName name="lkdzxfsdrf">{#N/A,#N/A,FALSE,"Plan1";#N/A,#N/A,FALSE,"Plan2"}</definedName>
    <definedName name="lkfdkçtktr" localSheetId="0" hidden="1">{#N/A,#N/A,FALSE,"Plan1";#N/A,#N/A,FALSE,"Plan2"}</definedName>
    <definedName name="lkfdkçtktr">{#N/A,#N/A,FALSE,"Plan1";#N/A,#N/A,FALSE,"Plan2"}</definedName>
    <definedName name="lkjr4">17</definedName>
    <definedName name="LKSSDKÇ\E" localSheetId="0" hidden="1">{#N/A,#N/A,FALSE,"Plan1";#N/A,#N/A,FALSE,"Plan2"}</definedName>
    <definedName name="LKSSDKÇ\E" hidden="1">{#N/A,#N/A,FALSE,"Plan1";#N/A,#N/A,FALSE,"Plan2"}</definedName>
    <definedName name="lkt" localSheetId="0" hidden="1">{#N/A,#N/A,FALSE,"Plan1";#N/A,#N/A,FALSE,"Plan2"}</definedName>
    <definedName name="lkt">{#N/A,#N/A,FALSE,"Plan1";#N/A,#N/A,FALSE,"Plan2"}</definedName>
    <definedName name="lktlyklt" localSheetId="0" hidden="1">{#N/A,#N/A,FALSE,"Plan1";#N/A,#N/A,FALSE,"Plan2"}</definedName>
    <definedName name="lktlyklt">{#N/A,#N/A,FALSE,"Plan1";#N/A,#N/A,FALSE,"Plan2"}</definedName>
    <definedName name="LKTTYT" localSheetId="0" hidden="1">{#N/A,#N/A,FALSE,"Plan1";#N/A,#N/A,FALSE,"Plan2"}</definedName>
    <definedName name="LKTTYT">{#N/A,#N/A,FALSE,"Plan1";#N/A,#N/A,FALSE,"Plan2"}</definedName>
    <definedName name="llgg" localSheetId="0" hidden="1">{#N/A,#N/A,FALSE,"Plan1";#N/A,#N/A,FALSE,"Plan2"}</definedName>
    <definedName name="llgg">{#N/A,#N/A,FALSE,"Plan1";#N/A,#N/A,FALSE,"Plan2"}</definedName>
    <definedName name="LLL" localSheetId="0" hidden="1">{#N/A,#N/A,FALSE,"Plan1";#N/A,#N/A,FALSE,"Plan2"}</definedName>
    <definedName name="LLL">{#N/A,#N/A,FALSE,"Plan1";#N/A,#N/A,FALSE,"Plan2"}</definedName>
    <definedName name="LM_AR" localSheetId="0" hidden="1">{#N/A,#N/A,FALSE,"F-01"}</definedName>
    <definedName name="LM_AR">{#N/A,#N/A,FALSE,"F-01"}</definedName>
    <definedName name="LM_AT" localSheetId="0" hidden="1">{#N/A,#N/A,FALSE,"F-01"}</definedName>
    <definedName name="LM_AT">{#N/A,#N/A,FALSE,"F-01"}</definedName>
    <definedName name="LM_INC" localSheetId="0" hidden="1">{#N/A,#N/A,FALSE,"F-01"}</definedName>
    <definedName name="LM_INC">{#N/A,#N/A,FALSE,"F-01"}</definedName>
    <definedName name="LMPAS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CALMENU">#REF!</definedName>
    <definedName name="LOCALOBRA">#REF!</definedName>
    <definedName name="LS" localSheetId="0">'[3]M.O.'!#REF!</definedName>
    <definedName name="LS">'[3]M.O.'!#REF!</definedName>
    <definedName name="LSDFKLDKFTR" localSheetId="0" hidden="1">{#N/A,#N/A,FALSE,"Plan1";#N/A,#N/A,FALSE,"Plan2"}</definedName>
    <definedName name="LSDFKLDKFTR">{#N/A,#N/A,FALSE,"Plan1";#N/A,#N/A,FALSE,"Plan2"}</definedName>
    <definedName name="lsdjs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 localSheetId="0" hidden="1">{#N/A,#N/A,FALSE,"Plan1";#N/A,#N/A,FALSE,"Plan2"}</definedName>
    <definedName name="lsdkljfkg">{#N/A,#N/A,FALSE,"Plan1";#N/A,#N/A,FALSE,"Plan2"}</definedName>
    <definedName name="lsdsder" localSheetId="0" hidden="1">{#N/A,#N/A,FALSE,"Plan1";#N/A,#N/A,FALSE,"Plan2"}</definedName>
    <definedName name="lsdsder">{#N/A,#N/A,FALSE,"Plan1";#N/A,#N/A,FALSE,"Plan2"}</definedName>
    <definedName name="ltj6ljyhdjhngças" localSheetId="0" hidden="1">{#N/A,#N/A,FALSE,"Plan1";#N/A,#N/A,FALSE,"Plan2"}</definedName>
    <definedName name="ltj6ljyhdjhngças">{#N/A,#N/A,FALSE,"Plan1";#N/A,#N/A,FALSE,"Plan2"}</definedName>
    <definedName name="LUCRO">#REF!</definedName>
    <definedName name="luis_cdi">#REF!</definedName>
    <definedName name="luis_hist">#REF!</definedName>
    <definedName name="luis_uss">#REF!</definedName>
    <definedName name="LV">#REF!</definedName>
    <definedName name="LVI">#REF!</definedName>
    <definedName name="LVII">#REF!</definedName>
    <definedName name="LVIII">#REF!</definedName>
    <definedName name="lwaeddew" localSheetId="0" hidden="1">#REF!</definedName>
    <definedName name="lwaeddew">#REF!</definedName>
    <definedName name="LXX">#REF!</definedName>
    <definedName name="LXXI">#REF!</definedName>
    <definedName name="LXXII">#REF!</definedName>
    <definedName name="LXXIII">#REF!</definedName>
    <definedName name="LXXIV">#REF!</definedName>
    <definedName name="LXXIX">#REF!</definedName>
    <definedName name="LXXV">#REF!</definedName>
    <definedName name="LXXVI">#REF!</definedName>
    <definedName name="LXXVII">#REF!</definedName>
    <definedName name="LXXVIII">#REF!</definedName>
    <definedName name="LXXX">#REF!</definedName>
    <definedName name="LXXXI">#REF!</definedName>
    <definedName name="LXXXII">#REF!</definedName>
    <definedName name="LXXXIII">#REF!</definedName>
    <definedName name="LXXXIV">#REF!</definedName>
    <definedName name="LXXXV">#REF!</definedName>
    <definedName name="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DRI">#REF!</definedName>
    <definedName name="mai17RJ">#REF!</definedName>
    <definedName name="MAIO">#REF!</definedName>
    <definedName name="MAIO2001">#REF!</definedName>
    <definedName name="MAISAP" localSheetId="0" hidden="1">{#N/A,#N/A,FALSE,"Plan1";#N/A,#N/A,FALSE,"Plan2"}</definedName>
    <definedName name="MAISAP">{#N/A,#N/A,FALSE,"Plan1";#N/A,#N/A,FALSE,"Plan2"}</definedName>
    <definedName name="MA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O_DE_OBRA">#REF!</definedName>
    <definedName name="mar17RJ">#REF!</definedName>
    <definedName name="MARCAX">#REF!</definedName>
    <definedName name="MARÇO">#REF!</definedName>
    <definedName name="MARÇO2001">#REF!</definedName>
    <definedName name="martha">#REF!</definedName>
    <definedName name="MAST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ERIAL">#REF!</definedName>
    <definedName name="mattubcu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 localSheetId="0" hidden="1">{#N/A,#N/A,FALSE,"Plan1";#N/A,#N/A,FALSE,"Plan2"}</definedName>
    <definedName name="MAURILIO">{#N/A,#N/A,FALSE,"Plan1";#N/A,#N/A,FALSE,"Plan2"}</definedName>
    <definedName name="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V">#REF!</definedName>
    <definedName name="mdfgtr" localSheetId="0" hidden="1">{#N/A,#N/A,FALSE,"Plan1";#N/A,#N/A,FALSE,"Plan2"}</definedName>
    <definedName name="mdfgtr">{#N/A,#N/A,FALSE,"Plan1";#N/A,#N/A,FALSE,"Plan2"}</definedName>
    <definedName name="MDSÇLFJKJSD" localSheetId="0" hidden="1">{#N/A,#N/A,FALSE,"Plan1";#N/A,#N/A,FALSE,"Plan2"}</definedName>
    <definedName name="MDSÇLFJKJSD">{#N/A,#N/A,FALSE,"Plan1";#N/A,#N/A,FALSE,"Plan2"}</definedName>
    <definedName name="ME" localSheetId="0" hidden="1">{"HW",#N/A,FALSE,"1998"}</definedName>
    <definedName name="ME">{"HW",#N/A,FALSE,"1998"}</definedName>
    <definedName name="Medido_Fin_Medições">#REF!</definedName>
    <definedName name="melo_cdi">#REF!</definedName>
    <definedName name="melo_hist">#REF!</definedName>
    <definedName name="melo_uss">#REF!</definedName>
    <definedName name="MEMÓRIA">#REF!</definedName>
    <definedName name="memória2">#REF!</definedName>
    <definedName name="mensal">#REF!</definedName>
    <definedName name="MENU" localSheetId="0">#REF!</definedName>
    <definedName name="MENU">#REF!</definedName>
    <definedName name="MENU1" localSheetId="0">#REF!</definedName>
    <definedName name="MENU1">#REF!</definedName>
    <definedName name="MENU2" localSheetId="0">#REF!</definedName>
    <definedName name="MENU2">#REF!</definedName>
    <definedName name="MENU3" localSheetId="0">#REF!</definedName>
    <definedName name="MENU3">#REF!</definedName>
    <definedName name="MENU4" localSheetId="0">#REF!</definedName>
    <definedName name="MENU4">#REF!</definedName>
    <definedName name="MENU5" localSheetId="0">#REF!</definedName>
    <definedName name="MENU5">#REF!</definedName>
    <definedName name="MENU6" localSheetId="0">#REF!</definedName>
    <definedName name="MENU6">#REF!</definedName>
    <definedName name="MENUBOM">#REF!</definedName>
    <definedName name="MENUEQP">#REF!</definedName>
    <definedName name="MENUFIM">#REF!</definedName>
    <definedName name="MENUMED">#REF!</definedName>
    <definedName name="MENUOBRA">#REF!</definedName>
    <definedName name="MENUOUT">#REF!</definedName>
    <definedName name="MENUOUTRO">#REF!</definedName>
    <definedName name="menures">#REF!</definedName>
    <definedName name="Mês_data_base">#REF!</definedName>
    <definedName name="Mês_Medição_Fin_Medições">#REF!</definedName>
    <definedName name="mes_relatorio">#REF!</definedName>
    <definedName name="Meses">#REF!</definedName>
    <definedName name="MESTR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_venda">#REF!</definedName>
    <definedName name="MetaBP">#REF!</definedName>
    <definedName name="MILENA" localSheetId="0" hidden="1">#REF!</definedName>
    <definedName name="MILENA">#REF!</definedName>
    <definedName name="Minha_Casa_Minha_Vida">#REF!</definedName>
    <definedName name="MLMÇLKJKI" localSheetId="0" hidden="1">{#N/A,#N/A,FALSE,"Plan1";#N/A,#N/A,FALSE,"Plan2"}</definedName>
    <definedName name="MLMÇLKJKI">{#N/A,#N/A,FALSE,"Plan1";#N/A,#N/A,FALSE,"Plan2"}</definedName>
    <definedName name="M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 localSheetId="0" hidden="1">{"tabela",#N/A,FALSE,"Tabela";"decoração",#N/A,FALSE,"Decor.";"Informações",#N/A,FALSE,"Inform."}</definedName>
    <definedName name="mmmmm">{"tabela",#N/A,FALSE,"Tabela";"decoração",#N/A,FALSE,"Decor.";"Informações",#N/A,FALSE,"Inform."}</definedName>
    <definedName name="mmmmmm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 localSheetId="0" hidden="1">{#N/A,#N/A,FALSE,"Plan1";#N/A,#N/A,FALSE,"Plan2"}</definedName>
    <definedName name="MNBXFKGS">{#N/A,#N/A,FALSE,"Plan1";#N/A,#N/A,FALSE,"Plan2"}</definedName>
    <definedName name="mncvbgcvmc" localSheetId="0" hidden="1">{#N/A,#N/A,FALSE,"Plan1";#N/A,#N/A,FALSE,"Plan2"}</definedName>
    <definedName name="mncvbgcvmc">{#N/A,#N/A,FALSE,"Plan1";#N/A,#N/A,FALSE,"Plan2"}</definedName>
    <definedName name="MNDKZSFNCEA" localSheetId="0" hidden="1">{#N/A,#N/A,FALSE,"Plan1";#N/A,#N/A,FALSE,"Plan2"}</definedName>
    <definedName name="MNDKZSFNCEA">{#N/A,#N/A,FALSE,"Plan1";#N/A,#N/A,FALSE,"Plan2"}</definedName>
    <definedName name="mnhdshfgfhd" localSheetId="0" hidden="1">{#N/A,#N/A,FALSE,"Plan1";#N/A,#N/A,FALSE,"Plan2"}</definedName>
    <definedName name="mnhdshfgfhd">{#N/A,#N/A,FALSE,"Plan1";#N/A,#N/A,FALSE,"Plan2"}</definedName>
    <definedName name="mo" localSheetId="0">#REF!</definedName>
    <definedName name="mo">#REF!</definedName>
    <definedName name="mobr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 localSheetId="0" hidden="1">{#N/A,#N/A,FALSE,"cdi";#N/A,#N/A,FALSE,"debent";#N/A,#N/A,FALSE,"fdos";#N/A,#N/A,FALSE,"resumo"}</definedName>
    <definedName name="Modelo1">{#N/A,#N/A,FALSE,"cdi";#N/A,#N/A,FALSE,"debent";#N/A,#N/A,FALSE,"fdos";#N/A,#N/A,FALSE,"resumo"}</definedName>
    <definedName name="Modelo1a" localSheetId="0" hidden="1">{#N/A,#N/A,FALSE,"cdi";#N/A,#N/A,FALSE,"debent";#N/A,#N/A,FALSE,"fdos";#N/A,#N/A,FALSE,"resumo"}</definedName>
    <definedName name="Modelo1a">{#N/A,#N/A,FALSE,"cdi";#N/A,#N/A,FALSE,"debent";#N/A,#N/A,FALSE,"fdos";#N/A,#N/A,FALSE,"resumo"}</definedName>
    <definedName name="Modelo2" localSheetId="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ódulo">#REF!</definedName>
    <definedName name="mond_cdi">#REF!</definedName>
    <definedName name="mond_hist">#REF!</definedName>
    <definedName name="mond_uss">#REF!</definedName>
    <definedName name="MP" localSheetId="0" hidden="1">{#N/A,#N/A,FALSE,"CCTV"}</definedName>
    <definedName name="MP">{#N/A,#N/A,FALSE,"CCTV"}</definedName>
    <definedName name="MSDFJKDT">25</definedName>
    <definedName name="MSDRFSWER" localSheetId="0" hidden="1">{"Econ Consolidado",#N/A,FALSE,"Econ Consol";"Fluxo de Caixa",#N/A,FALSE,"Fluxo Caixa";"Investimentos",#N/A,FALSE,"Investimentos"}</definedName>
    <definedName name="MSDRFSWER">{"Econ Consolidado",#N/A,FALSE,"Econ Consol";"Fluxo de Caixa",#N/A,FALSE,"Fluxo Caixa";"Investimentos",#N/A,FALSE,"Investimentos"}</definedName>
    <definedName name="MURBOMB">#REF!</definedName>
    <definedName name="mzshdjshjs" localSheetId="0" hidden="1">{#N/A,#N/A,FALSE,"Plan1";#N/A,#N/A,FALSE,"Plan2"}</definedName>
    <definedName name="mzshdjshjs">{#N/A,#N/A,FALSE,"Plan1";#N/A,#N/A,FALSE,"Plan2"}</definedName>
    <definedName name="na" localSheetId="0" hidden="1">{#N/A,#N/A,FALSE,"$170M Cash";#N/A,#N/A,FALSE,"$250M Cash";#N/A,#N/A,FALSE,"$325M Cash"}</definedName>
    <definedName name="na">{#N/A,#N/A,FALSE,"$170M Cash";#N/A,#N/A,FALSE,"$250M Cash";#N/A,#N/A,FALSE,"$325M Cash"}</definedName>
    <definedName name="ncdgrdhrtg" localSheetId="0" hidden="1">{#N/A,#N/A,FALSE,"Plan1";#N/A,#N/A,FALSE,"Plan2"}</definedName>
    <definedName name="ncdgrdhrtg">{#N/A,#N/A,FALSE,"Plan1";#N/A,#N/A,FALSE,"Plan2"}</definedName>
    <definedName name="nchngdfhgdh" localSheetId="0" hidden="1">{#N/A,#N/A,FALSE,"Plan1";#N/A,#N/A,FALSE,"Plan2"}</definedName>
    <definedName name="nchngdfhgdh">{#N/A,#N/A,FALSE,"Plan1";#N/A,#N/A,FALSE,"Plan2"}</definedName>
    <definedName name="NCJFKNGJHF" localSheetId="0" hidden="1">{#N/A,#N/A,FALSE,"Plan1";#N/A,#N/A,FALSE,"Plan2"}</definedName>
    <definedName name="NCJFKNGJHF">{#N/A,#N/A,FALSE,"Plan1";#N/A,#N/A,FALSE,"Plan2"}</definedName>
    <definedName name="NDATA">#REF!</definedName>
    <definedName name="ndcxhgdhf" localSheetId="0" hidden="1">{#N/A,#N/A,FALSE,"Plan1";#N/A,#N/A,FALSE,"Plan2"}</definedName>
    <definedName name="ndcxhgdhf">{#N/A,#N/A,FALSE,"Plan1";#N/A,#N/A,FALSE,"Plan2"}</definedName>
    <definedName name="ndfjnjkrhdgt" localSheetId="0" hidden="1">{#N/A,#N/A,FALSE,"Plan1";#N/A,#N/A,FALSE,"Plan2"}</definedName>
    <definedName name="ndfjnjkrhdgt">{#N/A,#N/A,FALSE,"Plan1";#N/A,#N/A,FALSE,"Plan2"}</definedName>
    <definedName name="ndfkghkjthfyst" localSheetId="0" hidden="1">{#N/A,#N/A,FALSE,"Plan1";#N/A,#N/A,FALSE,"Plan2"}</definedName>
    <definedName name="ndfkghkjthfyst">{#N/A,#N/A,FALSE,"Plan1";#N/A,#N/A,FALSE,"Plan2"}</definedName>
    <definedName name="ndfldslvjnvberugberqubquierbv">#REF!</definedName>
    <definedName name="NDJGKFKGHUFG" localSheetId="0" hidden="1">{#N/A,#N/A,FALSE,"Plan1";#N/A,#N/A,FALSE,"Plan2"}</definedName>
    <definedName name="NDJGKFKGHUFG">{#N/A,#N/A,FALSE,"Plan1";#N/A,#N/A,FALSE,"Plan2"}</definedName>
    <definedName name="ndrjkt" localSheetId="0" hidden="1">{#N/A,#N/A,FALSE,"Plan1";#N/A,#N/A,FALSE,"Plan2"}</definedName>
    <definedName name="ndrjkt">{#N/A,#N/A,FALSE,"Plan1";#N/A,#N/A,FALSE,"Plan2"}</definedName>
    <definedName name="new" localSheetId="0" hidden="1">{#N/A,#N/A,FALSE,"Global by BU";#N/A,#N/A,FALSE,"U.S. by BU";#N/A,#N/A,FALSE,"Canada by BU";#N/A,#N/A,FALSE,"Europe by BU";#N/A,#N/A,FALSE,"Asia by BU";#N/A,#N/A,FALSE,"Cala by BU"}</definedName>
    <definedName name="new">{#N/A,#N/A,FALSE,"Global by BU";#N/A,#N/A,FALSE,"U.S. by BU";#N/A,#N/A,FALSE,"Canada by BU";#N/A,#N/A,FALSE,"Europe by BU";#N/A,#N/A,FALSE,"Asia by BU";#N/A,#N/A,FALSE,"Cala by BU"}</definedName>
    <definedName name="NEWNAME" localSheetId="0" hidden="1">{#N/A,#N/A,FALSE,"CCTV"}</definedName>
    <definedName name="NEWNAME">{#N/A,#N/A,FALSE,"CCTV"}</definedName>
    <definedName name="nfgjkhvhfghn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 localSheetId="0" hidden="1">{#N/A,#N/A,FALSE,"Plan1";#N/A,#N/A,FALSE,"Plan2"}</definedName>
    <definedName name="nfkhdjkthde">{#N/A,#N/A,FALSE,"Plan1";#N/A,#N/A,FALSE,"Plan2"}</definedName>
    <definedName name="n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 localSheetId="0" hidden="1">{#N/A,#N/A,FALSE,"Plan1";#N/A,#N/A,FALSE,"Plan2"}</definedName>
    <definedName name="NHJHFDSHF">{#N/A,#N/A,FALSE,"Plan1";#N/A,#N/A,FALSE,"Plan2"}</definedName>
    <definedName name="NJSDFHERTG" localSheetId="0" hidden="1">{#N/A,#N/A,FALSE,"Plan1";#N/A,#N/A,FALSE,"Plan2"}</definedName>
    <definedName name="NJSDFHERTG">{#N/A,#N/A,FALSE,"Plan1";#N/A,#N/A,FALSE,"Plan2"}</definedName>
    <definedName name="nkfnsskdn" localSheetId="0" hidden="1">{#N/A,#N/A,FALSE,"Plan1";#N/A,#N/A,FALSE,"Plan2"}</definedName>
    <definedName name="nkfnsskdn">{#N/A,#N/A,FALSE,"Plan1";#N/A,#N/A,FALSE,"Plan2"}</definedName>
    <definedName name="NKJL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">#REF!</definedName>
    <definedName name="nlaksjdwe" localSheetId="0" hidden="1">{#N/A,#N/A,FALSE,"Plan1";#N/A,#N/A,FALSE,"Plan2"}</definedName>
    <definedName name="nlaksjdwe">{#N/A,#N/A,FALSE,"Plan1";#N/A,#N/A,FALSE,"Plan2"}</definedName>
    <definedName name="nljsdfljfdsfr" localSheetId="0" hidden="1">{#N/A,#N/A,FALSE,"Plan1";#N/A,#N/A,FALSE,"Plan2"}</definedName>
    <definedName name="nljsdfljfdsfr">{#N/A,#N/A,FALSE,"Plan1";#N/A,#N/A,FALSE,"Plan2"}</definedName>
    <definedName name="nm_k1">#REF!</definedName>
    <definedName name="nm_k2">#REF!</definedName>
    <definedName name="nm_k3">#REF!</definedName>
    <definedName name="nmjdfhxj" localSheetId="0" hidden="1">{#N/A,#N/A,FALSE,"Plan1";#N/A,#N/A,FALSE,"Plan2"}</definedName>
    <definedName name="nmjdfhxj">{#N/A,#N/A,FALSE,"Plan1";#N/A,#N/A,FALSE,"Plan2"}</definedName>
    <definedName name="nnmn" localSheetId="0" hidden="1">{#N/A,#N/A,FALSE,"Plan1";#N/A,#N/A,FALSE,"Plan2"}</definedName>
    <definedName name="nnmn">{#N/A,#N/A,FALSE,"Plan1";#N/A,#N/A,FALSE,"Plan2"}</definedName>
    <definedName name="nnn" localSheetId="0" hidden="1">{#N/A,#N/A,FALSE,"Plan1";#N/A,#N/A,FALSE,"Plan2"}</definedName>
    <definedName name="nnn">{#N/A,#N/A,FALSE,"Plan1";#N/A,#N/A,FALSE,"Plan2"}</definedName>
    <definedName name="nnnnnnnnnnn" localSheetId="0" hidden="1">{"HW",#N/A,FALSE,"1998"}</definedName>
    <definedName name="nnnnnnnnnnn">{"HW",#N/A,FALSE,"1998"}</definedName>
    <definedName name="NNNNNNNNNNNNNNN" localSheetId="0" hidden="1">{#N/A,#N/A,FALSE,"Plan1";#N/A,#N/A,FALSE,"Plan2"}</definedName>
    <definedName name="NNNNNNNNNNNNNNN">{#N/A,#N/A,FALSE,"Plan1";#N/A,#N/A,FALSE,"Plan2"}</definedName>
    <definedName name="nnnnnnnnnnnnnnnnnnnn" localSheetId="0" hidden="1">{#N/A,#N/A,FALSE,"Plan1";#N/A,#N/A,FALSE,"Plan2"}</definedName>
    <definedName name="nnnnnnnnnnnnnnnnnnnn">{#N/A,#N/A,FALSE,"Plan1";#N/A,#N/A,FALSE,"Plan2"}</definedName>
    <definedName name="NNXFT" localSheetId="0" hidden="1">{#N/A,#N/A,FALSE,"Plan1";#N/A,#N/A,FALSE,"Plan2"}</definedName>
    <definedName name="NNXFT">{#N/A,#N/A,FALSE,"Plan1";#N/A,#N/A,FALSE,"Plan2"}</definedName>
    <definedName name="no">#REF!</definedName>
    <definedName name="NOME">#REF!</definedName>
    <definedName name="nome2">#REF!</definedName>
    <definedName name="NOMEITEM">#REF!</definedName>
    <definedName name="NOMEOBRA">#REF!</definedName>
    <definedName name="nov17RJ">#REF!</definedName>
    <definedName name="NOVE">#REF!</definedName>
    <definedName name="NOVEMBRO">#REF!</definedName>
    <definedName name="nsdkfndgfdnatf" localSheetId="0" hidden="1">{#N/A,#N/A,FALSE,"Plan1";#N/A,#N/A,FALSE,"Plan2"}</definedName>
    <definedName name="nsdkfndgfdnatf">{#N/A,#N/A,FALSE,"Plan1";#N/A,#N/A,FALSE,"Plan2"}</definedName>
    <definedName name="nsfljdiljrf" localSheetId="0" hidden="1">{#N/A,#N/A,FALSE,"Plan1";#N/A,#N/A,FALSE,"Plan2"}</definedName>
    <definedName name="nsfljdiljrf">{#N/A,#N/A,FALSE,"Plan1";#N/A,#N/A,FALSE,"Plan2"}</definedName>
    <definedName name="NUCOPIAS">#REF!</definedName>
    <definedName name="NUMOBRA">#REF!</definedName>
    <definedName name="NutN">#REF!</definedName>
    <definedName name="nzxcnnjkd" localSheetId="0" hidden="1">{#N/A,#N/A,FALSE,"Plan1";#N/A,#N/A,FALSE,"Plan2"}</definedName>
    <definedName name="nzxcnnjkd">{#N/A,#N/A,FALSE,"Plan1";#N/A,#N/A,FALSE,"Plan2"}</definedName>
    <definedName name="OAE" localSheetId="0">#REF!</definedName>
    <definedName name="OAE">#REF!</definedName>
    <definedName name="OBRA">#REF!</definedName>
    <definedName name="Obra_Fin_Medição">#REF!</definedName>
    <definedName name="OBRA_PROJETADO">#REF!</definedName>
    <definedName name="Obra_Rel_Controladoria">#REF!</definedName>
    <definedName name="Obra_Sienge">#REF!</definedName>
    <definedName name="Obra2_Fin_Medição">#REF!</definedName>
    <definedName name="OBRALOC">#REF!</definedName>
    <definedName name="OBRAS">#REF!</definedName>
    <definedName name="Obras_Apoio_Rel_Controladoria">#REF!</definedName>
    <definedName name="OBRAS_REALIZADO">#REF!</definedName>
    <definedName name="OBRASEL">#REF!</definedName>
    <definedName name="odflgj">25</definedName>
    <definedName name="odfuudor" localSheetId="0" hidden="1">{#N/A,#N/A,FALSE,"Plan1";#N/A,#N/A,FALSE,"Plan2"}</definedName>
    <definedName name="odfuudor">{#N/A,#N/A,FALSE,"Plan1";#N/A,#N/A,FALSE,"Plan2"}</definedName>
    <definedName name="ODH" localSheetId="0" hidden="1">#REF!</definedName>
    <definedName name="ODH">#REF!</definedName>
    <definedName name="oficial_mes">#REF!</definedName>
    <definedName name="oficial2_mes">#REF!</definedName>
    <definedName name="oiditrot" localSheetId="0" hidden="1">{#N/A,#N/A,FALSE,"Plan1";#N/A,#N/A,FALSE,"Plan2"}</definedName>
    <definedName name="oiditrot">{#N/A,#N/A,FALSE,"Plan1";#N/A,#N/A,FALSE,"Plan2"}</definedName>
    <definedName name="oio" localSheetId="0" hidden="1">{#N/A,#N/A,FALSE,"Plan1";#N/A,#N/A,FALSE,"Plan2"}</definedName>
    <definedName name="oio">{#N/A,#N/A,FALSE,"Plan1";#N/A,#N/A,FALSE,"Plan2"}</definedName>
    <definedName name="OITO">#REF!</definedName>
    <definedName name="oiufioorif" localSheetId="0" hidden="1">#REF!</definedName>
    <definedName name="oiufioorif">#REF!</definedName>
    <definedName name="OJÇLJ" localSheetId="0" hidden="1">{#N/A,#N/A,FALSE,"Plan1";#N/A,#N/A,FALSE,"Plan2"}</definedName>
    <definedName name="OJÇLJ">{#N/A,#N/A,FALSE,"Plan1";#N/A,#N/A,FALSE,"Plan2"}</definedName>
    <definedName name="ojkdfit" localSheetId="0" hidden="1">{#N/A,#N/A,FALSE,"Plan1";#N/A,#N/A,FALSE,"Plan2"}</definedName>
    <definedName name="ojkdfit">{#N/A,#N/A,FALSE,"Plan1";#N/A,#N/A,FALSE,"Plan2"}</definedName>
    <definedName name="oMISSOS" localSheetId="0" hidden="1">#REF!</definedName>
    <definedName name="oMISSOS">#REF!</definedName>
    <definedName name="ONZE">#REF!</definedName>
    <definedName name="ooo" localSheetId="0" hidden="1">{#N/A,#N/A,FALSE,"Plan1";#N/A,#N/A,FALSE,"Plan2"}</definedName>
    <definedName name="ooo">{#N/A,#N/A,FALSE,"Plan1";#N/A,#N/A,FALSE,"Plan2"}</definedName>
    <definedName name="OPASEDWED" localSheetId="0" hidden="1">{"Econ Consolidado",#N/A,FALSE,"Econ Consol";"Fluxo de Caixa",#N/A,FALSE,"Fluxo Caixa";"Investimentos",#N/A,FALSE,"Investimentos"}</definedName>
    <definedName name="OPASEDWED">{"Econ Consolidado",#N/A,FALSE,"Econ Consol";"Fluxo de Caixa",#N/A,FALSE,"Fluxo Caixa";"Investimentos",#N/A,FALSE,"Investimentos"}</definedName>
    <definedName name="opcao_taxa_desconto">#REF!</definedName>
    <definedName name="opções">#REF!</definedName>
    <definedName name="opiwre" localSheetId="0" hidden="1">{#N/A,#N/A,FALSE,"Plan1";#N/A,#N/A,FALSE,"Plan2"}</definedName>
    <definedName name="opiwre">{#N/A,#N/A,FALSE,"Plan1";#N/A,#N/A,FALSE,"Plan2"}</definedName>
    <definedName name="ORCAMEN">#REF!</definedName>
    <definedName name="Orcamentistas">#REF!</definedName>
    <definedName name="origem_recebiveis">#REF!</definedName>
    <definedName name="origem_unidades">#REF!</definedName>
    <definedName name="Origem2_Recebimento_Fin_Medições">#REF!</definedName>
    <definedName name="os" localSheetId="0" hidden="1">{#N/A,#N/A,FALSE,"TABLE"}</definedName>
    <definedName name="os">{#N/A,#N/A,FALSE,"TABLE"}</definedName>
    <definedName name="osca_cdi">#REF!</definedName>
    <definedName name="osca_hist">#REF!</definedName>
    <definedName name="osca_uss">#REF!</definedName>
    <definedName name="otodgkrjglsrd" localSheetId="0" hidden="1">{#N/A,#N/A,FALSE,"Plan1";#N/A,#N/A,FALSE,"Plan2"}</definedName>
    <definedName name="otodgkrjglsrd">{#N/A,#N/A,FALSE,"Plan1";#N/A,#N/A,FALSE,"Plan2"}</definedName>
    <definedName name="OUERWRSR" localSheetId="0" hidden="1">{#N/A,#N/A,FALSE,"Plan1";#N/A,#N/A,FALSE,"Plan2"}</definedName>
    <definedName name="OUERWRSR">{#N/A,#N/A,FALSE,"Plan1";#N/A,#N/A,FALSE,"Plan2"}</definedName>
    <definedName name="out17RJ">#REF!</definedName>
    <definedName name="outro" localSheetId="0" hidden="1">#REF!</definedName>
    <definedName name="outro">#REF!</definedName>
    <definedName name="OUTROS">#REF!</definedName>
    <definedName name="OUTROS_CCUSTO">#REF!</definedName>
    <definedName name="Outros_Pisos">#REF!</definedName>
    <definedName name="Outros1">#REF!</definedName>
    <definedName name="OUTUBRO">#REF!</definedName>
    <definedName name="overhaul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xfo_cdi">#REF!</definedName>
    <definedName name="oxfo_hist">#REF!</definedName>
    <definedName name="oxfo_uss">#REF!</definedName>
    <definedName name="P">#REF!</definedName>
    <definedName name="PA">#REF!</definedName>
    <definedName name="Padrao_A">#REF!</definedName>
    <definedName name="Padrao_B">#REF!</definedName>
    <definedName name="Padrao_C">#REF!</definedName>
    <definedName name="Padrao_D">#REF!</definedName>
    <definedName name="Padrao_E">#REF!</definedName>
    <definedName name="Padrao_F">#REF!</definedName>
    <definedName name="Pagamento_Num" localSheetId="0">ROW()-Linha_Cabeçalho</definedName>
    <definedName name="Pagamento_Num">ROW()-Linha_Cabeçalho</definedName>
    <definedName name="Pago_Até_2015_Controladoria">#REF!</definedName>
    <definedName name="Pal_Workbook_GUID">"3HURD34M2XKWJ5V6M4BWCR5Q"</definedName>
    <definedName name="PAP">#REF!</definedName>
    <definedName name="PARAM_FIS_1">#REF!</definedName>
    <definedName name="PARAM_FIS_2">#REF!</definedName>
    <definedName name="ParamValues1" localSheetId="0">[4]ParamValues!$A$1:$A$39</definedName>
    <definedName name="ParamValues1">#REF!</definedName>
    <definedName name="ParamValues2">#REF!</definedName>
    <definedName name="Parao_E">#REF!</definedName>
    <definedName name="Parede1">#REF!</definedName>
    <definedName name="Parede2">#REF!</definedName>
    <definedName name="PAREDES">#REF!</definedName>
    <definedName name="PAV" localSheetId="0">#REF!</definedName>
    <definedName name="PAV">#REF!</definedName>
    <definedName name="PAVILHAO">#REF!</definedName>
    <definedName name="PAVT">#REF!</definedName>
    <definedName name="pçgktr">#REF!</definedName>
    <definedName name="PDER">#REF!</definedName>
    <definedName name="PDIVERS">#REF!</definedName>
    <definedName name="PE">#REF!</definedName>
    <definedName name="PEMD">#REF!</definedName>
    <definedName name="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TE">#REF!</definedName>
    <definedName name="perfura">#REF!</definedName>
    <definedName name="Perímetro_lajão" localSheetId="0">#REF!</definedName>
    <definedName name="Perímetro_lajão">#REF!</definedName>
    <definedName name="Perímetro_Terreno" localSheetId="0">#REF!</definedName>
    <definedName name="Perímetro_Terreno">#REF!</definedName>
    <definedName name="Perímetro_torre" localSheetId="0">#REF!</definedName>
    <definedName name="Perímetro_torre">#REF!</definedName>
    <definedName name="pessoal">#REF!</definedName>
    <definedName name="petro2">#REF!</definedName>
    <definedName name="PhyG">#REF!</definedName>
    <definedName name="PhyGS">#REF!</definedName>
    <definedName name="PI">#REF!</definedName>
    <definedName name="piaz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EQUIP">#REF!</definedName>
    <definedName name="Pintura">'[3]M.O.'!#REF!</definedName>
    <definedName name="PIS_COFINS">#REF!</definedName>
    <definedName name="PisCofins">#REF!</definedName>
    <definedName name="Piso1">#REF!</definedName>
    <definedName name="Piso2">#REF!</definedName>
    <definedName name="PISOS">#REF!</definedName>
    <definedName name="PL">#REF!</definedName>
    <definedName name="PLACAS" localSheetId="0" hidden="1">{#N/A,#N/A,TRUE,"Quinzena 01 à 15-04-98 "}</definedName>
    <definedName name="PLACAS">{#N/A,#N/A,TRUE,"Quinzena 01 à 15-04-98 "}</definedName>
    <definedName name="Placas_Areas" localSheetId="0" hidden="1">{#N/A,#N/A,TRUE,"Quinzena 01 à 15-04-98 "}</definedName>
    <definedName name="Placas_Areas">{#N/A,#N/A,TRUE,"Quinzena 01 à 15-04-98 "}</definedName>
    <definedName name="plan" localSheetId="0" hidden="1">#REF!</definedName>
    <definedName name="PLAN">#REF!</definedName>
    <definedName name="plan2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ILHA">#REF!</definedName>
    <definedName name="Planilha2">#REF!</definedName>
    <definedName name="plasçdeaw" localSheetId="0" hidden="1">{#N/A,#N/A,FALSE,"Plan1";#N/A,#N/A,FALSE,"Plan2"}</definedName>
    <definedName name="plasçdeaw">{#N/A,#N/A,FALSE,"Plan1";#N/A,#N/A,FALSE,"Plan2"}</definedName>
    <definedName name="plaslrswe" localSheetId="0" hidden="1">{#N/A,#N/A,FALSE,"Plan1";#N/A,#N/A,FALSE,"Plan2"}</definedName>
    <definedName name="plaslrswe">{#N/A,#N/A,FALSE,"Plan1";#N/A,#N/A,FALSE,"Plan2"}</definedName>
    <definedName name="pls" localSheetId="0" hidden="1">#REF!</definedName>
    <definedName name="pls">#REF!</definedName>
    <definedName name="plsearpef" localSheetId="0" hidden="1">{#N/A,#N/A,FALSE,"Plan1";#N/A,#N/A,FALSE,"Plan2"}</definedName>
    <definedName name="plsearpef">{#N/A,#N/A,FALSE,"Plan1";#N/A,#N/A,FALSE,"Plan2"}</definedName>
    <definedName name="plss" localSheetId="0" hidden="1">{#N/A,#N/A,FALSE,"Plan1";#N/A,#N/A,FALSE,"Plan2"}</definedName>
    <definedName name="plss">{#N/A,#N/A,FALSE,"Plan1";#N/A,#N/A,FALSE,"Plan2"}</definedName>
    <definedName name="PMUR">#REF!</definedName>
    <definedName name="PN2건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onderações">#REF!</definedName>
    <definedName name="Pós_Chaves">#REF!</definedName>
    <definedName name="pr" localSheetId="0">#REF!</definedName>
    <definedName name="pr">#REF!</definedName>
    <definedName name="PRAZO">#REF!</definedName>
    <definedName name="Prazo_da_Estrutura" localSheetId="0">#REF!</definedName>
    <definedName name="Prazo_da_Estrutura">#REF!</definedName>
    <definedName name="PRAZO_EDITAL">#REF!</definedName>
    <definedName name="Prazo_Obra" localSheetId="0">#REF!</definedName>
    <definedName name="Prazo_Obra">#REF!</definedName>
    <definedName name="PRAZO_ORC">#REF!</definedName>
    <definedName name="prazo2">#REF!</definedName>
    <definedName name="PRE" localSheetId="0">#REF!</definedName>
    <definedName name="PRE">#REF!</definedName>
    <definedName name="PREÇ">OFFSET(#REF!,0,0,COUNTA(#REF!),1)</definedName>
    <definedName name="Preço">ROW()-Linha_Cabeçalho</definedName>
    <definedName name="Previsão_Inicial_abr_16">#REF!</definedName>
    <definedName name="Previsão_Inicial_ago_16">#REF!</definedName>
    <definedName name="Previsão_Inicial_dez_16">#REF!</definedName>
    <definedName name="Previsão_Inicial_fev_16">#REF!</definedName>
    <definedName name="Previsão_Inicial_jan_16">#REF!</definedName>
    <definedName name="Previsão_Inicial_jul_16">#REF!</definedName>
    <definedName name="Previsão_Inicial_jun_16">#REF!</definedName>
    <definedName name="Previsão_Inicial_mai_16">#REF!</definedName>
    <definedName name="Previsão_Inicial_mar_16">#REF!</definedName>
    <definedName name="Previsão_Inicial_nov_16">#REF!</definedName>
    <definedName name="Previsão_Inicial_out_16">#REF!</definedName>
    <definedName name="Previsão_Inicial_set_16">#REF!</definedName>
    <definedName name="Previsão_Vento1">#REF!</definedName>
    <definedName name="Previsto_a_medir_Fin_Medições">#REF!</definedName>
    <definedName name="print" localSheetId="0" hidden="1">{#N/A,#N/A,FALSE,"$170M Cash";#N/A,#N/A,FALSE,"$250M Cash";#N/A,#N/A,FALSE,"$325M Cash"}</definedName>
    <definedName name="print">{#N/A,#N/A,FALSE,"$170M Cash";#N/A,#N/A,FALSE,"$250M Cash";#N/A,#N/A,FALSE,"$325M Cash"}</definedName>
    <definedName name="Print_Area">#REF!</definedName>
    <definedName name="Print_Area_MI" localSheetId="0">#REF!</definedName>
    <definedName name="Print_Area_MI">#REF!</definedName>
    <definedName name="Print_Titles">#REF!</definedName>
    <definedName name="PRINT_TITLES_MI">#REF!</definedName>
    <definedName name="programa">#REF!</definedName>
    <definedName name="Programaa">#REF!</definedName>
    <definedName name="Projeção_torre" localSheetId="0">#REF!</definedName>
    <definedName name="Projeção_torre">#REF!</definedName>
    <definedName name="projeto_nome_com">IF((COUNTA(#REF!)-2)&gt;1,"TERRENO "&amp;VLOOKUP(#REF!,#REF!,8,0),VLOOKUP(#REF!,#REF!,3,0))</definedName>
    <definedName name="PROPAGANDA">#REF!</definedName>
    <definedName name="ptirigyiotut" localSheetId="0" hidden="1">{#N/A,#N/A,FALSE,"Plan1";#N/A,#N/A,FALSE,"Plan2"}</definedName>
    <definedName name="ptirigyiotut">{#N/A,#N/A,FALSE,"Plan1";#N/A,#N/A,FALSE,"Plan2"}</definedName>
    <definedName name="PWER3" localSheetId="0" hidden="1">{#N/A,#N/A,FALSE,"Plan1";#N/A,#N/A,FALSE,"Plan2"}</definedName>
    <definedName name="PWER3">{#N/A,#N/A,FALSE,"Plan1";#N/A,#N/A,FALSE,"Plan2"}</definedName>
    <definedName name="q" localSheetId="0" hidden="1">#REF!</definedName>
    <definedName name="q">#REF!</definedName>
    <definedName name="QCLIENTE_PCLIENTE">#REF!</definedName>
    <definedName name="QCliente_PCliente1">#REF!</definedName>
    <definedName name="qe" localSheetId="0">#REF!</definedName>
    <definedName name="qe">#REF!</definedName>
    <definedName name="qee" localSheetId="0">#REF!</definedName>
    <definedName name="qee">#REF!</definedName>
    <definedName name="qkqh1" localSheetId="0" hidden="1">{#N/A,#N/A,FALSE,"명세표"}</definedName>
    <definedName name="qkqh1">{#N/A,#N/A,FALSE,"명세표"}</definedName>
    <definedName name="QOAS_POAS">#REF!</definedName>
    <definedName name="QQ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Q">#REF!:#REF!</definedName>
    <definedName name="QQQQQQQQ" localSheetId="0" hidden="1">#REF!</definedName>
    <definedName name="QQQQQQQQ">#REF!</definedName>
    <definedName name="QREAL_PCLIENTE">#REF!</definedName>
    <definedName name="QReal_PCliente1">#REF!</definedName>
    <definedName name="QSQWSE" localSheetId="0" hidden="1">{#N/A,#N/A,FALSE,"Plan1";#N/A,#N/A,FALSE,"Plan2"}</definedName>
    <definedName name="QSQWSE">{#N/A,#N/A,FALSE,"Plan1";#N/A,#N/A,FALSE,"Plan2"}</definedName>
    <definedName name="qtd_mensal">#REF!</definedName>
    <definedName name="qtd3esta">#REF!</definedName>
    <definedName name="qtdbase">#REF!</definedName>
    <definedName name="qtdbltub">#REF!</definedName>
    <definedName name="qtdestac">#REF!</definedName>
    <definedName name="qtdsap">#REF!</definedName>
    <definedName name="qtdtub">#REF!</definedName>
    <definedName name="QTNULO">#REF!</definedName>
    <definedName name="QTPADRAO">#REF!</definedName>
    <definedName name="QTRES">#REF!</definedName>
    <definedName name="QuadraE">#REF!</definedName>
    <definedName name="quadrocompar.">#REF!</definedName>
    <definedName name="QUANT">#REF!</definedName>
    <definedName name="Quant_Aptos" localSheetId="0">#REF!</definedName>
    <definedName name="Quant_Aptos">#REF!</definedName>
    <definedName name="Quant_Cremalheira" localSheetId="0">#REF!</definedName>
    <definedName name="Quant_Cremalheira">#REF!</definedName>
    <definedName name="Quant_grua" localSheetId="0">#REF!</definedName>
    <definedName name="Quant_grua">#REF!</definedName>
    <definedName name="Quant_pav_lajão" localSheetId="0">#REF!</definedName>
    <definedName name="Quant_pav_lajão">#REF!</definedName>
    <definedName name="Quant_tipo" localSheetId="0">#REF!</definedName>
    <definedName name="Quant_tipo">#REF!</definedName>
    <definedName name="Quant_torres" localSheetId="0">#REF!</definedName>
    <definedName name="Quant_torres">#REF!</definedName>
    <definedName name="Quantidade_Elevadores" localSheetId="0">#REF!</definedName>
    <definedName name="Quantidade_Elevadores">#REF!</definedName>
    <definedName name="QUANTP">#REF!</definedName>
    <definedName name="QUATRO">#REF!</definedName>
    <definedName name="QUINZE">#REF!</definedName>
    <definedName name="qwdqw" localSheetId="0" hidden="1">{#N/A,#N/A,FALSE,"Plan1";#N/A,#N/A,FALSE,"Plan2"}</definedName>
    <definedName name="qwdqw">{#N/A,#N/A,FALSE,"Plan1";#N/A,#N/A,FALSE,"Plan2"}</definedName>
    <definedName name="qweqwe" localSheetId="0" hidden="1">{#N/A,#N/A,FALSE,"Plan1";#N/A,#N/A,FALSE,"Plan2"}</definedName>
    <definedName name="qweqwe">{#N/A,#N/A,FALSE,"Plan1";#N/A,#N/A,FALSE,"Plan2"}</definedName>
    <definedName name="qweqwe4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wqe" localSheetId="0" hidden="1">#REF!</definedName>
    <definedName name="qwewqe">#REF!</definedName>
    <definedName name="qwqw" localSheetId="0" hidden="1">#REF!</definedName>
    <definedName name="qwqw">#REF!</definedName>
    <definedName name="R.imobAtualiz">#REF!</definedName>
    <definedName name="R_CorretAtualiz">#REF!</definedName>
    <definedName name="R_G.Cobr.Atualiz">#REF!</definedName>
    <definedName name="R_PmaisJAtualiz">#REF!</definedName>
    <definedName name="R_Prev.PerdaAtualiz">#REF!</definedName>
    <definedName name="RADIO" localSheetId="0" hidden="1">{"HW",#N/A,FALSE,"1998"}</definedName>
    <definedName name="RADIO">{"HW",#N/A,FALSE,"1998"}</definedName>
    <definedName name="RANGE">#REF!</definedName>
    <definedName name="RANGE1">#REF!</definedName>
    <definedName name="RANGE2">#REF!</definedName>
    <definedName name="RARQIMP">#REF!</definedName>
    <definedName name="RawData">#REF!</definedName>
    <definedName name="RE">#REF!</definedName>
    <definedName name="RECADUC">#REF!</definedName>
    <definedName name="Recebido_Acumulado_2015_Controladoria">#REF!</definedName>
    <definedName name="RE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orsu" localSheetId="0">#REF!</definedName>
    <definedName name="reforsu">#REF!</definedName>
    <definedName name="REL_RJ">#REF!</definedName>
    <definedName name="REL_SP">#REF!</definedName>
    <definedName name="relat3">#REF!</definedName>
    <definedName name="ren" localSheetId="0">#REF!</definedName>
    <definedName name="ren">#REF!</definedName>
    <definedName name="REPETIÇÃO">#REF!</definedName>
    <definedName name="ReqC">#REF!</definedName>
    <definedName name="Responsável_Rel_Controladoria">#REF!</definedName>
    <definedName name="resum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">#REF!</definedName>
    <definedName name="RESUMO2" localSheetId="0" hidden="1">{#N/A,#N/A,TRUE,"Quinzena 01 à 15-04-98 "}</definedName>
    <definedName name="RESUMO2">{#N/A,#N/A,TRUE,"Quinzena 01 à 15-04-98 "}</definedName>
    <definedName name="REV" localSheetId="0">#REF!</definedName>
    <definedName name="REV">#REF!</definedName>
    <definedName name="RF" localSheetId="0" hidden="1">{#N/A,#N/A,FALSE,"CCTV"}</definedName>
    <definedName name="RF">{#N/A,#N/A,FALSE,"CCTV"}</definedName>
    <definedName name="rgedrfrgfdg" localSheetId="0" hidden="1">{#N/A,#N/A,FALSE,"Plan1";#N/A,#N/A,FALSE,"Plan2"}</definedName>
    <definedName name="rgedrfrgfdg">{#N/A,#N/A,FALSE,"Plan1";#N/A,#N/A,FALSE,"Plan2"}</definedName>
    <definedName name="rhdrmq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I">#REF!</definedName>
    <definedName name="ridbeb">#REF!</definedName>
    <definedName name="RIDCHAF">#REF!</definedName>
    <definedName name="ridres05">#REF!</definedName>
    <definedName name="RIDRES10">#REF!</definedName>
    <definedName name="RIDRES15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5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1</definedName>
    <definedName name="RiskSwapState">"True"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name="RO">#REF!</definedName>
    <definedName name="Rodapé">#REF!</definedName>
    <definedName name="RODAPÉS">#REF!</definedName>
    <definedName name="ROMANO">#REF!</definedName>
    <definedName name="ROTCOMP">#REF!</definedName>
    <definedName name="ROTIMP">#REF!</definedName>
    <definedName name="ROTRES">#REF!</definedName>
    <definedName name="RQTADUC">#REF!</definedName>
    <definedName name="rqtbeb">#REF!</definedName>
    <definedName name="RQTCHAF">#REF!</definedName>
    <definedName name="RQTDERV">#REF!</definedName>
    <definedName name="rres05">#REF!</definedName>
    <definedName name="RRES10">#REF!</definedName>
    <definedName name="RRES15">#REF!</definedName>
    <definedName name="RRES20">#REF!</definedName>
    <definedName name="RRR" localSheetId="0" hidden="1">#REF!</definedName>
    <definedName name="RRR">#REF!</definedName>
    <definedName name="rrrrr" localSheetId="0" hidden="1">{"'장비'!$A$3:$M$12"}</definedName>
    <definedName name="rrrrr">{"'장비'!$A$3:$M$12"}</definedName>
    <definedName name="rrrrrrrr" localSheetId="0" hidden="1">{"'장비'!$A$3:$M$12"}</definedName>
    <definedName name="rrrrrrrr">{"'장비'!$A$3:$M$12"}</definedName>
    <definedName name="rrrrrrrrrrr" localSheetId="0" hidden="1">{#N/A,#N/A,TRUE,"Quinzena 01 à 15-04-98 "}</definedName>
    <definedName name="rrrrrrrrrrr">{#N/A,#N/A,TRUE,"Quinzena 01 à 15-04-98 "}</definedName>
    <definedName name="RSEQ">#REF!</definedName>
    <definedName name="RSUBTOT">#REF!</definedName>
    <definedName name="rtitbeb">#REF!</definedName>
    <definedName name="RTITCHAF">#REF!</definedName>
    <definedName name="rtubos">#REF!</definedName>
    <definedName name="RTYE" localSheetId="0" hidden="1">{"'장비'!$A$3:$M$12"}</definedName>
    <definedName name="RTYE">{"'장비'!$A$3:$M$12"}</definedName>
    <definedName name="s">#REF!</definedName>
    <definedName name="sa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 localSheetId="0" hidden="1">{#N/A,#N/A,FALSE,"Plan1";#N/A,#N/A,FALSE,"Plan2"}</definedName>
    <definedName name="sadasd">{#N/A,#N/A,FALSE,"Plan1";#N/A,#N/A,FALSE,"Plan2"}</definedName>
    <definedName name="sadke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 localSheetId="0" hidden="1">{#N/A,#N/A,FALSE,"Plan1";#N/A,#N/A,FALSE,"Plan2"}</definedName>
    <definedName name="sadkrjkedft">{#N/A,#N/A,FALSE,"Plan1";#N/A,#N/A,FALSE,"Plan2"}</definedName>
    <definedName name="SADSRTR" localSheetId="0" hidden="1">{#N/A,#N/A,FALSE,"Plan1";#N/A,#N/A,FALSE,"Plan2"}</definedName>
    <definedName name="SADSRTR">{#N/A,#N/A,FALSE,"Plan1";#N/A,#N/A,FALSE,"Plan2"}</definedName>
    <definedName name="sadwde" localSheetId="0" hidden="1">{#N/A,#N/A,FALSE,"Plan1";#N/A,#N/A,FALSE,"Plan2"}</definedName>
    <definedName name="sadwde">{#N/A,#N/A,FALSE,"Plan1";#N/A,#N/A,FALSE,"Plan2"}</definedName>
    <definedName name="Salas">#REF!</definedName>
    <definedName name="sanjay" localSheetId="0" hidden="1">{#N/A,#N/A,FALSE,"TABLE"}</definedName>
    <definedName name="sanjay">{#N/A,#N/A,FALSE,"TABLE"}</definedName>
    <definedName name="sapata">#REF!</definedName>
    <definedName name="SAPBEXrevision">14</definedName>
    <definedName name="SAPBEXsysID">"BW3"</definedName>
    <definedName name="SAPBEXwbID">"3SO04G3IWYENSZLK6QOKKYLB2"</definedName>
    <definedName name="SAS" localSheetId="0" hidden="1">{#N/A,#N/A,FALSE,"Plan1";#N/A,#N/A,FALSE,"Plan2"}</definedName>
    <definedName name="SAS">{#N/A,#N/A,FALSE,"Plan1";#N/A,#N/A,FALSE,"Plan2"}</definedName>
    <definedName name="sasads" localSheetId="0" hidden="1">{#N/A,#N/A,FALSE,"Plan1";#N/A,#N/A,FALSE,"Plan2"}</definedName>
    <definedName name="sasads">{#N/A,#N/A,FALSE,"Plan1";#N/A,#N/A,FALSE,"Plan2"}</definedName>
    <definedName name="SC" localSheetId="0" hidden="1">#REF!</definedName>
    <definedName name="SC">#REF!</definedName>
    <definedName name="sçadldfsfd">25</definedName>
    <definedName name="sda">#REF!</definedName>
    <definedName name="sda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 localSheetId="0" hidden="1">{#N/A,#N/A,FALSE,"Plan1";#N/A,#N/A,FALSE,"Plan2"}</definedName>
    <definedName name="SDAOTGFR">{#N/A,#N/A,FALSE,"Plan1";#N/A,#N/A,FALSE,"Plan2"}</definedName>
    <definedName name="sdckd" localSheetId="0" hidden="1">{#N/A,#N/A,FALSE,"Plan1";#N/A,#N/A,FALSE,"Plan2"}</definedName>
    <definedName name="sdckd">{#N/A,#N/A,FALSE,"Plan1";#N/A,#N/A,FALSE,"Plan2"}</definedName>
    <definedName name="SDDFKSEDE" localSheetId="0" hidden="1">{#N/A,#N/A,FALSE,"Plan1";#N/A,#N/A,FALSE,"Plan2"}</definedName>
    <definedName name="SDDFKSEDE">{#N/A,#N/A,FALSE,"Plan1";#N/A,#N/A,FALSE,"Plan2"}</definedName>
    <definedName name="sddkslker" localSheetId="0" hidden="1">{#N/A,#N/A,FALSE,"Plan1";#N/A,#N/A,FALSE,"Plan2"}</definedName>
    <definedName name="sddkslker">{#N/A,#N/A,FALSE,"Plan1";#N/A,#N/A,FALSE,"Plan2"}</definedName>
    <definedName name="sdefr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t" localSheetId="0" hidden="1">#REF!</definedName>
    <definedName name="sdert">#REF!</definedName>
    <definedName name="sdf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 localSheetId="0" hidden="1">{#N/A,#N/A,FALSE,"Plan1";#N/A,#N/A,FALSE,"Plan2"}</definedName>
    <definedName name="sdfdds">{#N/A,#N/A,FALSE,"Plan1";#N/A,#N/A,FALSE,"Plan2"}</definedName>
    <definedName name="sdfdfc" localSheetId="0" hidden="1">{#N/A,#N/A,FALSE,"Plan1";#N/A,#N/A,FALSE,"Plan2"}</definedName>
    <definedName name="sdfdfc">{#N/A,#N/A,FALSE,"Plan1";#N/A,#N/A,FALSE,"Plan2"}</definedName>
    <definedName name="sdfdf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 localSheetId="0" hidden="1">{#N/A,#N/A,FALSE,"Plan1";#N/A,#N/A,FALSE,"Plan2"}</definedName>
    <definedName name="sdfdgft">{#N/A,#N/A,FALSE,"Plan1";#N/A,#N/A,FALSE,"Plan2"}</definedName>
    <definedName name="sdfdsf" localSheetId="0" hidden="1">{#N/A,#N/A,FALSE,"Plan1";#N/A,#N/A,FALSE,"Plan2"}</definedName>
    <definedName name="sdfdsf">{#N/A,#N/A,FALSE,"Plan1";#N/A,#N/A,FALSE,"Plan2"}</definedName>
    <definedName name="sdfdsf\da" localSheetId="0" hidden="1">{#N/A,#N/A,FALSE,"Plan1";#N/A,#N/A,FALSE,"Plan2"}</definedName>
    <definedName name="sdfdsf\da" hidden="1">{#N/A,#N/A,FALSE,"Plan1";#N/A,#N/A,FALSE,"Plan2"}</definedName>
    <definedName name="SDFEDRT" localSheetId="0" hidden="1">{#N/A,#N/A,FALSE,"Plan1";#N/A,#N/A,FALSE,"Plan2"}</definedName>
    <definedName name="SDFEDRT">{#N/A,#N/A,FALSE,"Plan1";#N/A,#N/A,FALSE,"Plan2"}</definedName>
    <definedName name="sdfer" localSheetId="0" hidden="1">{#N/A,#N/A,FALSE,"Plan1";#N/A,#N/A,FALSE,"Plan2"}</definedName>
    <definedName name="sdfer">{#N/A,#N/A,FALSE,"Plan1";#N/A,#N/A,FALSE,"Plan2"}</definedName>
    <definedName name="sdferr" localSheetId="0" hidden="1">{#N/A,#N/A,FALSE,"Plan1";#N/A,#N/A,FALSE,"Plan2"}</definedName>
    <definedName name="sdferr">{#N/A,#N/A,FALSE,"Plan1";#N/A,#N/A,FALSE,"Plan2"}</definedName>
    <definedName name="sdfe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 localSheetId="0" hidden="1">{#N/A,#N/A,FALSE,"Plan1";#N/A,#N/A,FALSE,"Plan2"}</definedName>
    <definedName name="SDFGJFSRF">{#N/A,#N/A,FALSE,"Plan1";#N/A,#N/A,FALSE,"Plan2"}</definedName>
    <definedName name="sdfgtr" localSheetId="0" hidden="1">{#N/A,#N/A,FALSE,"Plan1";#N/A,#N/A,FALSE,"Plan2"}</definedName>
    <definedName name="sdfgtr">{#N/A,#N/A,FALSE,"Plan1";#N/A,#N/A,FALSE,"Plan2"}</definedName>
    <definedName name="sdfjdetrt" localSheetId="0" hidden="1">{#N/A,#N/A,FALSE,"Plan1";#N/A,#N/A,FALSE,"Plan2"}</definedName>
    <definedName name="sdfjdetrt">{#N/A,#N/A,FALSE,"Plan1";#N/A,#N/A,FALSE,"Plan2"}</definedName>
    <definedName name="SDFJDRTJEIDR" localSheetId="0" hidden="1">{#N/A,#N/A,FALSE,"Plan1";#N/A,#N/A,FALSE,"Plan2"}</definedName>
    <definedName name="SDFJDRTJEIDR">{#N/A,#N/A,FALSE,"Plan1";#N/A,#N/A,FALSE,"Plan2"}</definedName>
    <definedName name="sdfjergtij" localSheetId="0" hidden="1">{#N/A,#N/A,FALSE,"Plan1";#N/A,#N/A,FALSE,"Plan2"}</definedName>
    <definedName name="sdfjergtij">{#N/A,#N/A,FALSE,"Plan1";#N/A,#N/A,FALSE,"Plan2"}</definedName>
    <definedName name="SDFOPJKWE" localSheetId="0" hidden="1">{#N/A,#N/A,FALSE,"Plan1";#N/A,#N/A,FALSE,"Plan2"}</definedName>
    <definedName name="SDFOPJKWE">{#N/A,#N/A,FALSE,"Plan1";#N/A,#N/A,FALSE,"Plan2"}</definedName>
    <definedName name="sdfrdt5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 localSheetId="0" hidden="1">{#N/A,#N/A,FALSE,"Plan1";#N/A,#N/A,FALSE,"Plan2"}</definedName>
    <definedName name="sdfrt">{#N/A,#N/A,FALSE,"Plan1";#N/A,#N/A,FALSE,"Plan2"}</definedName>
    <definedName name="SDFRTKK" localSheetId="0" hidden="1">{#N/A,#N/A,FALSE,"Plan1";#N/A,#N/A,FALSE,"Plan2"}</definedName>
    <definedName name="SDFRTKK">{#N/A,#N/A,FALSE,"Plan1";#N/A,#N/A,FALSE,"Plan2"}</definedName>
    <definedName name="SDFRTR" localSheetId="0" hidden="1">{#N/A,#N/A,FALSE,"Plan1";#N/A,#N/A,FALSE,"Plan2"}</definedName>
    <definedName name="SDFRTR">{#N/A,#N/A,FALSE,"Plan1";#N/A,#N/A,FALSE,"Plan2"}</definedName>
    <definedName name="sdfry6" localSheetId="0" hidden="1">{#N/A,#N/A,FALSE,"Plan1";#N/A,#N/A,FALSE,"Plan2"}</definedName>
    <definedName name="sdfry6">{#N/A,#N/A,FALSE,"Plan1";#N/A,#N/A,FALSE,"Plan2"}</definedName>
    <definedName name="sdfsaf" localSheetId="0" hidden="1">{#N/A,#N/A,FALSE,"Plan1";#N/A,#N/A,FALSE,"Plan2"}</definedName>
    <definedName name="sdfsaf">{#N/A,#N/A,FALSE,"Plan1";#N/A,#N/A,FALSE,"Plan2"}</definedName>
    <definedName name="sdfsd" localSheetId="0" hidden="1">{"'Estimativa de Lançamento-JAN'!$A$1:$AI$85"}</definedName>
    <definedName name="sdfsd">{"'Estimativa de Lançamento-JAN'!$A$1:$AI$85"}</definedName>
    <definedName name="sdfsdfg" localSheetId="0" hidden="1">{#N/A,#N/A,FALSE,"Plan1";#N/A,#N/A,FALSE,"Plan2"}</definedName>
    <definedName name="sdfsdfg">{#N/A,#N/A,FALSE,"Plan1";#N/A,#N/A,FALSE,"Plan2"}</definedName>
    <definedName name="SDFSDFK" localSheetId="0" hidden="1">{#N/A,#N/A,FALSE,"Plan1";#N/A,#N/A,FALSE,"Plan2"}</definedName>
    <definedName name="SDFSDFK">{#N/A,#N/A,FALSE,"Plan1";#N/A,#N/A,FALSE,"Plan2"}</definedName>
    <definedName name="sdfsdgftret" localSheetId="0" hidden="1">{#N/A,#N/A,FALSE,"Plan1";#N/A,#N/A,FALSE,"Plan2"}</definedName>
    <definedName name="sdfsdgftret">{#N/A,#N/A,FALSE,"Plan1";#N/A,#N/A,FALSE,"Plan2"}</definedName>
    <definedName name="sdfsdr">1</definedName>
    <definedName name="sdfsf" localSheetId="0" hidden="1">{#N/A,#N/A,FALSE,"Plan1";#N/A,#N/A,FALSE,"Plan2"}</definedName>
    <definedName name="sdfsf">{#N/A,#N/A,FALSE,"Plan1";#N/A,#N/A,FALSE,"Plan2"}</definedName>
    <definedName name="SDFSFRT" localSheetId="0" hidden="1">{"Econ Consolidado",#N/A,FALSE,"Econ Consol";"Fluxo de Caixa",#N/A,FALSE,"Fluxo Caixa";"Investimentos",#N/A,FALSE,"Investimentos"}</definedName>
    <definedName name="SDFSFRT">{"Econ Consolidado",#N/A,FALSE,"Econ Consol";"Fluxo de Caixa",#N/A,FALSE,"Fluxo Caixa";"Investimentos",#N/A,FALSE,"Investimentos"}</definedName>
    <definedName name="sdfsr" localSheetId="0" hidden="1">{#N/A,#N/A,FALSE,"Plan1";#N/A,#N/A,FALSE,"Plan2"}</definedName>
    <definedName name="sdfsr">{#N/A,#N/A,FALSE,"Plan1";#N/A,#N/A,FALSE,"Plan2"}</definedName>
    <definedName name="sdfty" localSheetId="0" hidden="1">{#N/A,#N/A,FALSE,"Plan1";#N/A,#N/A,FALSE,"Plan2"}</definedName>
    <definedName name="sdfty">{#N/A,#N/A,FALSE,"Plan1";#N/A,#N/A,FALSE,"Plan2"}</definedName>
    <definedName name="sdgdf" localSheetId="0" hidden="1">{#N/A,#N/A,FALSE,"Plan1";#N/A,#N/A,FALSE,"Plan2"}</definedName>
    <definedName name="sdgdf">{#N/A,#N/A,FALSE,"Plan1";#N/A,#N/A,FALSE,"Plan2"}</definedName>
    <definedName name="sdgfrt" localSheetId="0" hidden="1">{#N/A,#N/A,FALSE,"Plan1";#N/A,#N/A,FALSE,"Plan2"}</definedName>
    <definedName name="sdgfrt">{#N/A,#N/A,FALSE,"Plan1";#N/A,#N/A,FALSE,"Plan2"}</definedName>
    <definedName name="sdgft" localSheetId="0" hidden="1">{#N/A,#N/A,FALSE,"Plan1";#N/A,#N/A,FALSE,"Plan2"}</definedName>
    <definedName name="sdgft">{#N/A,#N/A,FALSE,"Plan1";#N/A,#N/A,FALSE,"Plan2"}</definedName>
    <definedName name="sdgt" localSheetId="0" hidden="1">{#N/A,#N/A,FALSE,"Plan1";#N/A,#N/A,FALSE,"Plan2"}</definedName>
    <definedName name="sdgt">{#N/A,#N/A,FALSE,"Plan1";#N/A,#N/A,FALSE,"Plan2"}</definedName>
    <definedName name="sdgtry" localSheetId="0" hidden="1">#REF!</definedName>
    <definedName name="sdgtry">#REF!</definedName>
    <definedName name="sdhfghdsfg" localSheetId="0" hidden="1">{#N/A,#N/A,FALSE,"Plan1";#N/A,#N/A,FALSE,"Plan2"}</definedName>
    <definedName name="sdhfghdsfg">{#N/A,#N/A,FALSE,"Plan1";#N/A,#N/A,FALSE,"Plan2"}</definedName>
    <definedName name="SDHFJKHDFJRE" localSheetId="0" hidden="1">{#N/A,#N/A,FALSE,"Plan1";#N/A,#N/A,FALSE,"Plan2"}</definedName>
    <definedName name="SDHFJKHDFJRE">{#N/A,#N/A,FALSE,"Plan1";#N/A,#N/A,FALSE,"Plan2"}</definedName>
    <definedName name="SDHKFDRKGTR" localSheetId="0" hidden="1">{#N/A,#N/A,FALSE,"Plan1";#N/A,#N/A,FALSE,"Plan2"}</definedName>
    <definedName name="SDHKFDRKGTR">{#N/A,#N/A,FALSE,"Plan1";#N/A,#N/A,FALSE,"Plan2"}</definedName>
    <definedName name="sdjdswger" localSheetId="0" hidden="1">{#N/A,#N/A,FALSE,"Plan1";#N/A,#N/A,FALSE,"Plan2"}</definedName>
    <definedName name="sdjdswger">{#N/A,#N/A,FALSE,"Plan1";#N/A,#N/A,FALSE,"Plan2"}</definedName>
    <definedName name="sdjfdf" localSheetId="0" hidden="1">{#N/A,#N/A,FALSE,"Plan1";#N/A,#N/A,FALSE,"Plan2"}</definedName>
    <definedName name="sdjfdf">{#N/A,#N/A,FALSE,"Plan1";#N/A,#N/A,FALSE,"Plan2"}</definedName>
    <definedName name="sdjfhdjk" localSheetId="0" hidden="1">{#N/A,#N/A,FALSE,"Plan1";#N/A,#N/A,FALSE,"Plan2"}</definedName>
    <definedName name="sdjfhdjk">{#N/A,#N/A,FALSE,"Plan1";#N/A,#N/A,FALSE,"Plan2"}</definedName>
    <definedName name="SDJFJDER" localSheetId="0" hidden="1">{#N/A,#N/A,FALSE,"Plan1";#N/A,#N/A,FALSE,"Plan2"}</definedName>
    <definedName name="SDJFJDER">{#N/A,#N/A,FALSE,"Plan1";#N/A,#N/A,FALSE,"Plan2"}</definedName>
    <definedName name="sdjflsdjfl" localSheetId="0" hidden="1">{#N/A,#N/A,FALSE,"Plan1";#N/A,#N/A,FALSE,"Plan2"}</definedName>
    <definedName name="sdjflsdjfl">{#N/A,#N/A,FALSE,"Plan1";#N/A,#N/A,FALSE,"Plan2"}</definedName>
    <definedName name="SDJHF" localSheetId="0" hidden="1">{#N/A,#N/A,FALSE,"Plan1";#N/A,#N/A,FALSE,"Plan2"}</definedName>
    <definedName name="SDJHF">{#N/A,#N/A,FALSE,"Plan1";#N/A,#N/A,FALSE,"Plan2"}</definedName>
    <definedName name="sdjrderertrr" localSheetId="0" hidden="1">{#N/A,#N/A,FALSE,"Plan1";#N/A,#N/A,FALSE,"Plan2"}</definedName>
    <definedName name="sdjrderertrr">{#N/A,#N/A,FALSE,"Plan1";#N/A,#N/A,FALSE,"Plan2"}</definedName>
    <definedName name="sdkdjk" localSheetId="0" hidden="1">{#N/A,#N/A,FALSE,"Plan1";#N/A,#N/A,FALSE,"Plan2"}</definedName>
    <definedName name="sdkdjk">{#N/A,#N/A,FALSE,"Plan1";#N/A,#N/A,FALSE,"Plan2"}</definedName>
    <definedName name="sdkfjhkdgfh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 localSheetId="0" hidden="1">{#N/A,#N/A,FALSE,"Plan1";#N/A,#N/A,FALSE,"Plan2"}</definedName>
    <definedName name="sdkfnjd">{#N/A,#N/A,FALSE,"Plan1";#N/A,#N/A,FALSE,"Plan2"}</definedName>
    <definedName name="sdkk" localSheetId="0" hidden="1">{#N/A,#N/A,FALSE,"Plan1";#N/A,#N/A,FALSE,"Plan2"}</definedName>
    <definedName name="sdkk">{#N/A,#N/A,FALSE,"Plan1";#N/A,#N/A,FALSE,"Plan2"}</definedName>
    <definedName name="sdlfsdflj" localSheetId="0" hidden="1">{#N/A,#N/A,FALSE,"Plan1";#N/A,#N/A,FALSE,"Plan2"}</definedName>
    <definedName name="sdlfsdflj">{#N/A,#N/A,FALSE,"Plan1";#N/A,#N/A,FALSE,"Plan2"}</definedName>
    <definedName name="sdmfmdfsgfd" localSheetId="0" hidden="1">{#N/A,#N/A,FALSE,"Plan1";#N/A,#N/A,FALSE,"Plan2"}</definedName>
    <definedName name="sdmfmdfsgfd">{#N/A,#N/A,FALSE,"Plan1";#N/A,#N/A,FALSE,"Plan2"}</definedName>
    <definedName name="sd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 localSheetId="0" hidden="1">{#N/A,#N/A,FALSE,"Plan1";#N/A,#N/A,FALSE,"Plan2"}</definedName>
    <definedName name="sdrfgt">{#N/A,#N/A,FALSE,"Plan1";#N/A,#N/A,FALSE,"Plan2"}</definedName>
    <definedName name="sdsd" localSheetId="0" hidden="1">{#N/A,#N/A,FALSE,"Plan1";#N/A,#N/A,FALSE,"Plan2"}</definedName>
    <definedName name="sdsd">{#N/A,#N/A,FALSE,"Plan1";#N/A,#N/A,FALSE,"Plan2"}</definedName>
    <definedName name="sdser" localSheetId="0" hidden="1">{#N/A,#N/A,FALSE,"Plan1";#N/A,#N/A,FALSE,"Plan2"}</definedName>
    <definedName name="sdser">{#N/A,#N/A,FALSE,"Plan1";#N/A,#N/A,FALSE,"Plan2"}</definedName>
    <definedName name="sdsre" localSheetId="0" hidden="1">{#N/A,#N/A,FALSE,"Plan1";#N/A,#N/A,FALSE,"Plan2"}</definedName>
    <definedName name="sdsre">{#N/A,#N/A,FALSE,"Plan1";#N/A,#N/A,FALSE,"Plan2"}</definedName>
    <definedName name="sdss" localSheetId="0" hidden="1">{#N/A,#N/A,FALSE,"Plan1";#N/A,#N/A,FALSE,"Plan2"}</definedName>
    <definedName name="sdss">{#N/A,#N/A,FALSE,"Plan1";#N/A,#N/A,FALSE,"Plan2"}</definedName>
    <definedName name="sdtrtg" localSheetId="0" hidden="1">#REF!</definedName>
    <definedName name="sdtrtg">#REF!</definedName>
    <definedName name="sdusi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 localSheetId="0" hidden="1">{"Econ Consolidado",#N/A,FALSE,"Econ Consol";"Fluxo de Caixa",#N/A,FALSE,"Fluxo Caixa";"Investimentos",#N/A,FALSE,"Investimentos"}</definedName>
    <definedName name="SDWER">{"Econ Consolidado",#N/A,FALSE,"Econ Consol";"Fluxo de Caixa",#N/A,FALSE,"Fluxo Caixa";"Investimentos",#N/A,FALSE,"Investimentos"}</definedName>
    <definedName name="sdxfrt" localSheetId="0" hidden="1">{#N/A,#N/A,FALSE,"Plan1";#N/A,#N/A,FALSE,"Plan2"}</definedName>
    <definedName name="sdxfrt">{#N/A,#N/A,FALSE,"Plan1";#N/A,#N/A,FALSE,"Plan2"}</definedName>
    <definedName name="SDZFERF" localSheetId="0" hidden="1">{#N/A,#N/A,FALSE,"Plan1";#N/A,#N/A,FALSE,"Plan2"}</definedName>
    <definedName name="SDZFERF">{#N/A,#N/A,FALSE,"Plan1";#N/A,#N/A,FALSE,"Plan2"}</definedName>
    <definedName name="se">#REF!</definedName>
    <definedName name="SEDE">#REF!</definedName>
    <definedName name="sefret4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" localSheetId="0">#REF!</definedName>
    <definedName name="SEG">#REF!</definedName>
    <definedName name="segftru" localSheetId="0" hidden="1">{#N/A,#N/A,FALSE,"Plan1";#N/A,#N/A,FALSE,"Plan2"}</definedName>
    <definedName name="segftru">{#N/A,#N/A,FALSE,"Plan1";#N/A,#N/A,FALSE,"Plan2"}</definedName>
    <definedName name="SegmentaçãodeDados_UF1">""</definedName>
    <definedName name="SegmentaçãodeDados_UF11">""</definedName>
    <definedName name="SegmentaçãodeDados_UF12">""</definedName>
    <definedName name="SEIS">#REF!</definedName>
    <definedName name="sencount" localSheetId="0" hidden="1">3</definedName>
    <definedName name="sencount">3</definedName>
    <definedName name="SEQUENCIA">#REF!</definedName>
    <definedName name="SEREWRSWE" localSheetId="0" hidden="1">{"tabela",#N/A,FALSE,"Tabela";"decoração",#N/A,FALSE,"Decor.";"Informações",#N/A,FALSE,"Inform."}</definedName>
    <definedName name="SEREWRSWE">{"tabela",#N/A,FALSE,"Tabela";"decoração",#N/A,FALSE,"Decor.";"Informações",#N/A,FALSE,"Inform."}</definedName>
    <definedName name="Set_17">#REF!</definedName>
    <definedName name="SETE">#REF!</definedName>
    <definedName name="SETEMBRO">#REF!</definedName>
    <definedName name="setRJ17">#REF!</definedName>
    <definedName name="severo">#REF!</definedName>
    <definedName name="sf" localSheetId="0" hidden="1">{#N/A,#N/A,FALSE,"Plan1";#N/A,#N/A,FALSE,"Plan2"}</definedName>
    <definedName name="sf">{#N/A,#N/A,FALSE,"Plan1";#N/A,#N/A,FALSE,"Plan2"}</definedName>
    <definedName name="sfcre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 localSheetId="0" hidden="1">{#N/A,#N/A,FALSE,"Plan1";#N/A,#N/A,FALSE,"Plan2"}</definedName>
    <definedName name="sfddfd">{#N/A,#N/A,FALSE,"Plan1";#N/A,#N/A,FALSE,"Plan2"}</definedName>
    <definedName name="sfds" localSheetId="0" hidden="1">{#N/A,#N/A,FALSE,"Plan1";#N/A,#N/A,FALSE,"Plan2"}</definedName>
    <definedName name="sfds">{#N/A,#N/A,FALSE,"Plan1";#N/A,#N/A,FALSE,"Plan2"}</definedName>
    <definedName name="sfdsd" localSheetId="0" hidden="1">{#N/A,#N/A,FALSE,"Plan1";#N/A,#N/A,FALSE,"Plan2"}</definedName>
    <definedName name="sfdsd">{#N/A,#N/A,FALSE,"Plan1";#N/A,#N/A,FALSE,"Plan2"}</definedName>
    <definedName name="SFDSF">34</definedName>
    <definedName name="sfrsdrgt" localSheetId="0" hidden="1">{#N/A,#N/A,FALSE,"Plan1";#N/A,#N/A,FALSE,"Plan2"}</definedName>
    <definedName name="sfrsdrgt">{#N/A,#N/A,FALSE,"Plan1";#N/A,#N/A,FALSE,"Plan2"}</definedName>
    <definedName name="SFRT" localSheetId="0" hidden="1">{#N/A,#N/A,FALSE,"Plan1";#N/A,#N/A,FALSE,"Plan2"}</definedName>
    <definedName name="SFRT">{#N/A,#N/A,FALSE,"Plan1";#N/A,#N/A,FALSE,"Plan2"}</definedName>
    <definedName name="sfsdferf" localSheetId="0" hidden="1">{#N/A,#N/A,FALSE,"Plan1";#N/A,#N/A,FALSE,"Plan2"}</definedName>
    <definedName name="sfsdferf">{#N/A,#N/A,FALSE,"Plan1";#N/A,#N/A,FALSE,"Plan2"}</definedName>
    <definedName name="sfsdfs">34</definedName>
    <definedName name="SFSDS" localSheetId="0" hidden="1">{#N/A,#N/A,FALSE,"Plan1";#N/A,#N/A,FALSE,"Plan2"}</definedName>
    <definedName name="SFSDS">{#N/A,#N/A,FALSE,"Plan1";#N/A,#N/A,FALSE,"Plan2"}</definedName>
    <definedName name="SGarantia">#REF!</definedName>
    <definedName name="sgtghty" localSheetId="0" hidden="1">{#N/A,#N/A,FALSE,"Plan1";#N/A,#N/A,FALSE,"Plan2"}</definedName>
    <definedName name="sgtghty">{#N/A,#N/A,FALSE,"Plan1";#N/A,#N/A,FALSE,"Plan2"}</definedName>
    <definedName name="S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RED_FORMULA_0" localSheetId="0">#N/A</definedName>
    <definedName name="SHARED_FORMULA_0">#REF!</definedName>
    <definedName name="SHARED_FORMULA_1" localSheetId="0">#N/A</definedName>
    <definedName name="SHARED_FORMULA_1">#REF!</definedName>
    <definedName name="SHARED_FORMULA_10" localSheetId="0">#N/A</definedName>
    <definedName name="SHARED_FORMULA_10">#REF!</definedName>
    <definedName name="SHARED_FORMULA_11" localSheetId="0">#N/A</definedName>
    <definedName name="SHARED_FORMULA_11">#REF!</definedName>
    <definedName name="SHARED_FORMULA_12" localSheetId="0">#N/A</definedName>
    <definedName name="SHARED_FORMULA_12">#REF!</definedName>
    <definedName name="SHARED_FORMULA_13" localSheetId="0">#N/A</definedName>
    <definedName name="SHARED_FORMULA_13">#REF!</definedName>
    <definedName name="SHARED_FORMULA_14" localSheetId="0">#N/A</definedName>
    <definedName name="SHARED_FORMULA_14">#REF!</definedName>
    <definedName name="SHARED_FORMULA_15" localSheetId="0">#N/A</definedName>
    <definedName name="SHARED_FORMULA_15">#REF!</definedName>
    <definedName name="SHARED_FORMULA_16" localSheetId="0">#N/A</definedName>
    <definedName name="SHARED_FORMULA_16">#REF!</definedName>
    <definedName name="SHARED_FORMULA_17" localSheetId="0">#N/A</definedName>
    <definedName name="SHARED_FORMULA_17">#REF!</definedName>
    <definedName name="SHARED_FORMULA_18" localSheetId="0">#N/A</definedName>
    <definedName name="SHARED_FORMULA_18">#REF!</definedName>
    <definedName name="SHARED_FORMULA_19" localSheetId="0">#N/A</definedName>
    <definedName name="SHARED_FORMULA_19">#REF!</definedName>
    <definedName name="SHARED_FORMULA_2" localSheetId="0">#N/A</definedName>
    <definedName name="SHARED_FORMULA_2">#REF!</definedName>
    <definedName name="SHARED_FORMULA_20" localSheetId="0">#N/A</definedName>
    <definedName name="SHARED_FORMULA_20">#REF!</definedName>
    <definedName name="SHARED_FORMULA_21" localSheetId="0">#N/A</definedName>
    <definedName name="SHARED_FORMULA_21">#REF!</definedName>
    <definedName name="SHARED_FORMULA_22" localSheetId="0">#N/A</definedName>
    <definedName name="SHARED_FORMULA_22">#REF!</definedName>
    <definedName name="SHARED_FORMULA_23" localSheetId="0">#N/A</definedName>
    <definedName name="SHARED_FORMULA_23">#REF!</definedName>
    <definedName name="SHARED_FORMULA_24" localSheetId="0">#N/A</definedName>
    <definedName name="SHARED_FORMULA_24">#REF!</definedName>
    <definedName name="SHARED_FORMULA_25" localSheetId="0">#N/A</definedName>
    <definedName name="SHARED_FORMULA_25">#REF!</definedName>
    <definedName name="SHARED_FORMULA_26" localSheetId="0">#N/A</definedName>
    <definedName name="SHARED_FORMULA_26">#REF!</definedName>
    <definedName name="SHARED_FORMULA_27" localSheetId="0">#N/A</definedName>
    <definedName name="SHARED_FORMULA_27">#REF!</definedName>
    <definedName name="SHARED_FORMULA_28" localSheetId="0">#N/A</definedName>
    <definedName name="SHARED_FORMULA_28">#REF!</definedName>
    <definedName name="SHARED_FORMULA_29" localSheetId="0">#N/A</definedName>
    <definedName name="SHARED_FORMULA_29">#REF!</definedName>
    <definedName name="SHARED_FORMULA_3" localSheetId="0">#N/A</definedName>
    <definedName name="SHARED_FORMULA_3">#REF!</definedName>
    <definedName name="SHARED_FORMULA_30" localSheetId="0">#N/A</definedName>
    <definedName name="SHARED_FORMULA_30">#REF!</definedName>
    <definedName name="SHARED_FORMULA_31" localSheetId="0">#N/A</definedName>
    <definedName name="SHARED_FORMULA_31">#REF!</definedName>
    <definedName name="SHARED_FORMULA_32" localSheetId="0">#N/A</definedName>
    <definedName name="SHARED_FORMULA_32">#REF!</definedName>
    <definedName name="SHARED_FORMULA_33" localSheetId="0">#N/A</definedName>
    <definedName name="SHARED_FORMULA_33">#REF!</definedName>
    <definedName name="SHARED_FORMULA_34" localSheetId="0">#N/A</definedName>
    <definedName name="SHARED_FORMULA_34">#REF!</definedName>
    <definedName name="SHARED_FORMULA_35" localSheetId="0">#N/A</definedName>
    <definedName name="SHARED_FORMULA_35">#REF!</definedName>
    <definedName name="SHARED_FORMULA_36" localSheetId="0">#N/A</definedName>
    <definedName name="SHARED_FORMULA_36">#REF!</definedName>
    <definedName name="SHARED_FORMULA_37" localSheetId="0">#N/A</definedName>
    <definedName name="SHARED_FORMULA_37">#REF!</definedName>
    <definedName name="SHARED_FORMULA_38" localSheetId="0">#N/A</definedName>
    <definedName name="SHARED_FORMULA_38">#REF!</definedName>
    <definedName name="SHARED_FORMULA_39" localSheetId="0">#N/A</definedName>
    <definedName name="SHARED_FORMULA_39">#REF!</definedName>
    <definedName name="SHARED_FORMULA_4" localSheetId="0">#N/A</definedName>
    <definedName name="SHARED_FORMULA_4">#REF!</definedName>
    <definedName name="SHARED_FORMULA_40" localSheetId="0">#N/A</definedName>
    <definedName name="SHARED_FORMULA_40">#REF!</definedName>
    <definedName name="SHARED_FORMULA_41" localSheetId="0">#N/A</definedName>
    <definedName name="SHARED_FORMULA_41">#REF!</definedName>
    <definedName name="SHARED_FORMULA_42" localSheetId="0">#N/A</definedName>
    <definedName name="SHARED_FORMULA_42">#REF!</definedName>
    <definedName name="SHARED_FORMULA_43" localSheetId="0">#N/A</definedName>
    <definedName name="SHARED_FORMULA_43">#REF!</definedName>
    <definedName name="SHARED_FORMULA_44" localSheetId="0">#N/A</definedName>
    <definedName name="SHARED_FORMULA_44">#REF!</definedName>
    <definedName name="SHARED_FORMULA_45" localSheetId="0">#N/A</definedName>
    <definedName name="SHARED_FORMULA_45">#REF!</definedName>
    <definedName name="SHARED_FORMULA_46" localSheetId="0">#N/A</definedName>
    <definedName name="SHARED_FORMULA_46">#REF!</definedName>
    <definedName name="SHARED_FORMULA_47" localSheetId="0">#N/A</definedName>
    <definedName name="SHARED_FORMULA_47">#REF!</definedName>
    <definedName name="SHARED_FORMULA_48" localSheetId="0">#N/A</definedName>
    <definedName name="SHARED_FORMULA_48">#REF!</definedName>
    <definedName name="SHARED_FORMULA_49" localSheetId="0">#N/A</definedName>
    <definedName name="SHARED_FORMULA_49">#REF!</definedName>
    <definedName name="SHARED_FORMULA_5" localSheetId="0">#N/A</definedName>
    <definedName name="SHARED_FORMULA_5">#REF!</definedName>
    <definedName name="SHARED_FORMULA_50" localSheetId="0">#N/A</definedName>
    <definedName name="SHARED_FORMULA_50">#REF!</definedName>
    <definedName name="SHARED_FORMULA_51" localSheetId="0">#N/A</definedName>
    <definedName name="SHARED_FORMULA_51">#REF!</definedName>
    <definedName name="SHARED_FORMULA_52" localSheetId="0">#N/A</definedName>
    <definedName name="SHARED_FORMULA_52">#REF!</definedName>
    <definedName name="SHARED_FORMULA_53" localSheetId="0">#N/A</definedName>
    <definedName name="SHARED_FORMULA_53">#REF!</definedName>
    <definedName name="SHARED_FORMULA_54" localSheetId="0">#N/A</definedName>
    <definedName name="SHARED_FORMULA_54">#REF!</definedName>
    <definedName name="SHARED_FORMULA_55" localSheetId="0">#N/A</definedName>
    <definedName name="SHARED_FORMULA_55">#REF!</definedName>
    <definedName name="SHARED_FORMULA_56" localSheetId="0">#N/A</definedName>
    <definedName name="SHARED_FORMULA_56">#REF!</definedName>
    <definedName name="SHARED_FORMULA_57" localSheetId="0">#N/A</definedName>
    <definedName name="SHARED_FORMULA_57">#REF!</definedName>
    <definedName name="SHARED_FORMULA_58" localSheetId="0">#N/A</definedName>
    <definedName name="SHARED_FORMULA_58">#REF!</definedName>
    <definedName name="SHARED_FORMULA_59" localSheetId="0">#N/A</definedName>
    <definedName name="SHARED_FORMULA_59">#REF!</definedName>
    <definedName name="SHARED_FORMULA_6" localSheetId="0">#N/A</definedName>
    <definedName name="SHARED_FORMULA_6">#REF!</definedName>
    <definedName name="SHARED_FORMULA_60" localSheetId="0">#N/A</definedName>
    <definedName name="SHARED_FORMULA_60">#REF!</definedName>
    <definedName name="SHARED_FORMULA_61" localSheetId="0">#N/A</definedName>
    <definedName name="SHARED_FORMULA_61">#REF!</definedName>
    <definedName name="SHARED_FORMULA_62" localSheetId="0">#N/A</definedName>
    <definedName name="SHARED_FORMULA_62">#REF!</definedName>
    <definedName name="SHARED_FORMULA_7" localSheetId="0">#N/A</definedName>
    <definedName name="SHARED_FORMULA_7">#REF!</definedName>
    <definedName name="SHARED_FORMULA_8" localSheetId="0">#N/A</definedName>
    <definedName name="SHARED_FORMULA_8">#REF!</definedName>
    <definedName name="SHARED_FORMULA_9" localSheetId="0">#N/A</definedName>
    <definedName name="SHARED_FORMULA_9">#REF!</definedName>
    <definedName name="SIH" localSheetId="0">#REF!</definedName>
    <definedName name="SIH">#REF!</definedName>
    <definedName name="SISTEM1">#REF!</definedName>
    <definedName name="SISTEM2">#REF!</definedName>
    <definedName name="SIV" localSheetId="0">#REF!</definedName>
    <definedName name="SIV">#REF!</definedName>
    <definedName name="sjawe" localSheetId="0" hidden="1">{#N/A,#N/A,FALSE,"Plan1";#N/A,#N/A,FALSE,"Plan2"}</definedName>
    <definedName name="sjawe">{#N/A,#N/A,FALSE,"Plan1";#N/A,#N/A,FALSE,"Plan2"}</definedName>
    <definedName name="sjdffd" localSheetId="0" hidden="1">{#N/A,#N/A,FALSE,"Plan1";#N/A,#N/A,FALSE,"Plan2"}</definedName>
    <definedName name="sjdffd">{#N/A,#N/A,FALSE,"Plan1";#N/A,#N/A,FALSE,"Plan2"}</definedName>
    <definedName name="SJDFHDJS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 localSheetId="0" hidden="1">{#N/A,#N/A,FALSE,"Plan1";#N/A,#N/A,FALSE,"Plan2"}</definedName>
    <definedName name="SJDHFHRE">{#N/A,#N/A,FALSE,"Plan1";#N/A,#N/A,FALSE,"Plan2"}</definedName>
    <definedName name="SJDKJDE" localSheetId="0" hidden="1">{"Econ Consolidado",#N/A,FALSE,"Econ Consol";"Fluxo de Caixa",#N/A,FALSE,"Fluxo Caixa";"Investimentos",#N/A,FALSE,"Investimentos"}</definedName>
    <definedName name="SJDKJDE">{"Econ Consolidado",#N/A,FALSE,"Econ Consol";"Fluxo de Caixa",#N/A,FALSE,"Fluxo Caixa";"Investimentos",#N/A,FALSE,"Investimentos"}</definedName>
    <definedName name="sjekwjri" localSheetId="0" hidden="1">{#N/A,#N/A,FALSE,"Plan1";#N/A,#N/A,FALSE,"Plan2"}</definedName>
    <definedName name="sjekwjri">{#N/A,#N/A,FALSE,"Plan1";#N/A,#N/A,FALSE,"Plan2"}</definedName>
    <definedName name="sjfkdhsfds" localSheetId="0" hidden="1">{#N/A,#N/A,FALSE,"Plan1";#N/A,#N/A,FALSE,"Plan2"}</definedName>
    <definedName name="sjfkdhsfds">{#N/A,#N/A,FALSE,"Plan1";#N/A,#N/A,FALSE,"Plan2"}</definedName>
    <definedName name="sjkdljslkrje" localSheetId="0" hidden="1">{#N/A,#N/A,FALSE,"Plan1";#N/A,#N/A,FALSE,"Plan2"}</definedName>
    <definedName name="sjkdljslkrje">{#N/A,#N/A,FALSE,"Plan1";#N/A,#N/A,FALSE,"Plan2"}</definedName>
    <definedName name="skadadaszs" localSheetId="0" hidden="1">{#N/A,#N/A,FALSE,"Plan1";#N/A,#N/A,FALSE,"Plan2"}</definedName>
    <definedName name="skadadaszs">{#N/A,#N/A,FALSE,"Plan1";#N/A,#N/A,FALSE,"Plan2"}</definedName>
    <definedName name="SKASH" localSheetId="0" hidden="1">{#N/A,#N/A,FALSE,"Plan1";#N/A,#N/A,FALSE,"Plan2"}</definedName>
    <definedName name="SKASH">{#N/A,#N/A,FALSE,"Plan1";#N/A,#N/A,FALSE,"Plan2"}</definedName>
    <definedName name="skldfrde" localSheetId="0" hidden="1">{#N/A,#N/A,FALSE,"Plan1";#N/A,#N/A,FALSE,"Plan2"}</definedName>
    <definedName name="skldfrde">{#N/A,#N/A,FALSE,"Plan1";#N/A,#N/A,FALSE,"Plan2"}</definedName>
    <definedName name="skosroer" localSheetId="0" hidden="1">{#N/A,#N/A,FALSE,"Plan1";#N/A,#N/A,FALSE,"Plan2"}</definedName>
    <definedName name="skosroer">{#N/A,#N/A,FALSE,"Plan1";#N/A,#N/A,FALSE,"Plan2"}</definedName>
    <definedName name="SO">#REF!</definedName>
    <definedName name="solver_lin">0</definedName>
    <definedName name="solver_num">0</definedName>
    <definedName name="solver_rel1">3</definedName>
    <definedName name="solver_rhs1">0</definedName>
    <definedName name="solver_tmp">0</definedName>
    <definedName name="solver_typ">1</definedName>
    <definedName name="solver_val">0</definedName>
    <definedName name="soma">#REF!</definedName>
    <definedName name="sp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 localSheetId="0" hidden="1">{#N/A,#N/A,FALSE,"Plan1";#N/A,#N/A,FALSE,"Plan2"}</definedName>
    <definedName name="sQEWWE">{#N/A,#N/A,FALSE,"Plan1";#N/A,#N/A,FALSE,"Plan2"}</definedName>
    <definedName name="SR" localSheetId="0" hidden="1">#REF!</definedName>
    <definedName name="SR">#REF!</definedName>
    <definedName name="SR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>#REF!</definedName>
    <definedName name="sssss" localSheetId="0" hidden="1">#REF!</definedName>
    <definedName name="sssss">#REF!</definedName>
    <definedName name="stake_cury">#REF!</definedName>
    <definedName name="status_projeto" localSheetId="0" hidden="1">OFFSET(INDEX(#REF!,MATCH(#REF!,#REF!,0)),1,0,COUNTA(#REF!)-1)</definedName>
    <definedName name="status_projeto">OFFSET(INDEX(#REF!,MATCH(#REF!,#REF!,0)),1,0,COUNTA(#REF!)-1)</definedName>
    <definedName name="SUB_TOTAL_1">#REF!</definedName>
    <definedName name="SUBDER">#REF!</definedName>
    <definedName name="SUBDIV">#REF!</definedName>
    <definedName name="SUBEQP">#REF!</definedName>
    <definedName name="SUBMUR">#REF!</definedName>
    <definedName name="summ" localSheetId="0" hidden="1">#REF!</definedName>
    <definedName name="summ">#REF!</definedName>
    <definedName name="susref" localSheetId="0">#REF!</definedName>
    <definedName name="susref">#REF!</definedName>
    <definedName name="Swvu.Características.">#REF!</definedName>
    <definedName name="Swvu.Ciclos.">#REF!</definedName>
    <definedName name="Swvu.Custos.">#REF!</definedName>
    <definedName name="Swvu.PLANILHA2.">#REF!</definedName>
    <definedName name="Swvu.Recursos.">#REF!</definedName>
    <definedName name="T_actual">#REF!</definedName>
    <definedName name="t_cc">#REF!</definedName>
    <definedName name="t_KSB1_Transport">#REF!</definedName>
    <definedName name="tab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_GASTOS">#REF!</definedName>
    <definedName name="TABACABAMENTOS">#REF!</definedName>
    <definedName name="tabela">#REF!</definedName>
    <definedName name="Tabela_Atribuição">#REF!</definedName>
    <definedName name="TABELA_DE_REVESTIMENTOS">#REF!</definedName>
    <definedName name="Tabela_Recursos">#REF!</definedName>
    <definedName name="Tabela_Tarefas">#REF!</definedName>
    <definedName name="Tabela1">#REF!</definedName>
    <definedName name="Tabela2">#REF!</definedName>
    <definedName name="tabela3">#REF!</definedName>
    <definedName name="TABREF">#REF!</definedName>
    <definedName name="tania" localSheetId="0">#REF!</definedName>
    <definedName name="tania">#REF!</definedName>
    <definedName name="TAUX2">OFFSET(#REF!,0,0,COUNTA(#REF!)+1,1)</definedName>
    <definedName name="TAUX3">OFFSET(#REF!,0,0,COUNTA(#REF!)+1,1)</definedName>
    <definedName name="TAXA_VENTO">#REF!</definedName>
    <definedName name="TAXAS">#REF!</definedName>
    <definedName name="TbDin">OFFSET(#REF!,0,0,COUNTA(#REF!),13)</definedName>
    <definedName name="tc" localSheetId="0">#REF!</definedName>
    <definedName name="tc">#REF!</definedName>
    <definedName name="TE">#REF!</definedName>
    <definedName name="TECLA">#REF!</definedName>
    <definedName name="Tendência_Obra_Controladoria">#REF!</definedName>
    <definedName name="TERRENO">#REF!</definedName>
    <definedName name="Test" localSheetId="0" hidden="1">{"'Edit'!$A$1:$V$2277"}</definedName>
    <definedName name="Test">{"'Edit'!$A$1:$V$2277"}</definedName>
    <definedName name="TESTANDO" localSheetId="0" hidden="1">{#N/A,#N/A,TRUE,"Quinzena 01 à 15-04-98 "}</definedName>
    <definedName name="TESTANDO">{#N/A,#N/A,TRUE,"Quinzena 01 à 15-04-98 "}</definedName>
    <definedName name="teste" localSheetId="0">#REF!</definedName>
    <definedName name="teste">#REF!</definedName>
    <definedName name="teste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3">#REF!</definedName>
    <definedName name="TESTHKEY">#REF!</definedName>
    <definedName name="teto1">#REF!</definedName>
    <definedName name="Teto2">#REF!</definedName>
    <definedName name="tetuytw">#REF!</definedName>
    <definedName name="TextRefCopyRangeCount">1</definedName>
    <definedName name="thjgsergsr" localSheetId="0" hidden="1">{#N/A,#N/A,FALSE,"Plan1";#N/A,#N/A,FALSE,"Plan2"}</definedName>
    <definedName name="thjgsergsr">{#N/A,#N/A,FALSE,"Plan1";#N/A,#N/A,FALSE,"Plan2"}</definedName>
    <definedName name="THYJ" localSheetId="0" hidden="1">{#N/A,#N/A,FALSE,"Plan1";#N/A,#N/A,FALSE,"Plan2"}</definedName>
    <definedName name="THYJ">{#N/A,#N/A,FALSE,"Plan1";#N/A,#N/A,FALSE,"Plan2"}</definedName>
    <definedName name="tihjgih" localSheetId="0" hidden="1">{#N/A,#N/A,FALSE,"Plan1";#N/A,#N/A,FALSE,"Plan2"}</definedName>
    <definedName name="tihjgih">{#N/A,#N/A,FALSE,"Plan1";#N/A,#N/A,FALSE,"Plan2"}</definedName>
    <definedName name="TIPO_CTT">#REF!</definedName>
    <definedName name="Tipo_de_Diretoria">#REF!</definedName>
    <definedName name="Tipo_de_Gestao">#REF!</definedName>
    <definedName name="Tipo_de_Padrao">#REF!</definedName>
    <definedName name="Tipo_de_Regiao">#REF!</definedName>
    <definedName name="Tipo_de_Segmento">#REF!</definedName>
    <definedName name="Tipo_de_Status">#REF!</definedName>
    <definedName name="Tipo_de_UF">#REF!</definedName>
    <definedName name="Tipo_de_Unidade_de_Negocio">#REF!</definedName>
    <definedName name="Tipo_do_cliente">#REF!</definedName>
    <definedName name="tipo_subtotal">#REF!</definedName>
    <definedName name="tipobloco">#REF!</definedName>
    <definedName name="titbeb">#REF!</definedName>
    <definedName name="TITCHAF">#REF!</definedName>
    <definedName name="TituloMkt">#REF!</definedName>
    <definedName name="titulos" localSheetId="0">#REF!</definedName>
    <definedName name="titulos">#REF!</definedName>
    <definedName name="_xlnm.Print_Titles">#REF!</definedName>
    <definedName name="Títulos_impressão_IM">#REF!</definedName>
    <definedName name="TMO">#REF!</definedName>
    <definedName name="TOLTAL2">#REF!</definedName>
    <definedName name="TOT" localSheetId="0">#REF!</definedName>
    <definedName name="TOT">#REF!</definedName>
    <definedName name="tot3estac">#REF!</definedName>
    <definedName name="TOTAIS">#REF!</definedName>
    <definedName name="Total" localSheetId="0">#REF!</definedName>
    <definedName name="Total">#REF!</definedName>
    <definedName name="Total_2016_Rel_Controladoria">#REF!</definedName>
    <definedName name="Total_Parcelas_MAP">#REF!</definedName>
    <definedName name="total_unid">#REF!</definedName>
    <definedName name="TOTAL1">#REF!</definedName>
    <definedName name="TOTAL10">#REF!</definedName>
    <definedName name="TOTAL11">#REF!</definedName>
    <definedName name="TOTAL12">#REF!</definedName>
    <definedName name="TOTAL13">#REF!</definedName>
    <definedName name="TOTAL14">#REF!</definedName>
    <definedName name="TOTAL15">#REF!</definedName>
    <definedName name="TOTAL16">#REF!</definedName>
    <definedName name="TOTAL2">#REF!</definedName>
    <definedName name="TOTAL3">#REF!</definedName>
    <definedName name="TOTAL4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ITEM">#REF!</definedName>
    <definedName name="totbase">#REF!</definedName>
    <definedName name="totestaca">#REF!</definedName>
    <definedName name="TOTG">OFFSET(#REF!,0,0,COUNTA(#REF!),1)</definedName>
    <definedName name="totperfura">#REF!</definedName>
    <definedName name="TOTQTS">#REF!</definedName>
    <definedName name="TOTT">OFFSET(#REF!,0,0,COUNTA(#REF!)+1,1)</definedName>
    <definedName name="TR">#REF!</definedName>
    <definedName name="Transferencia1">#REF!</definedName>
    <definedName name="TRES">#REF!</definedName>
    <definedName name="TREZE">#REF!</definedName>
    <definedName name="tri">#REF!</definedName>
    <definedName name="Trimestre_data_base">#REF!</definedName>
    <definedName name="trjyidih" localSheetId="0" hidden="1">{#N/A,#N/A,FALSE,"Plan1";#N/A,#N/A,FALSE,"Plan2"}</definedName>
    <definedName name="trjyidih">{#N/A,#N/A,FALSE,"Plan1";#N/A,#N/A,FALSE,"Plan2"}</definedName>
    <definedName name="TRP" localSheetId="0">#REF!</definedName>
    <definedName name="TRP">#REF!</definedName>
    <definedName name="TTT">#REF!</definedName>
    <definedName name="TURNO">#REF!</definedName>
    <definedName name="tuyedjsksj" localSheetId="0" hidden="1">{#N/A,#N/A,FALSE,"Plan1";#N/A,#N/A,FALSE,"Plan2"}</definedName>
    <definedName name="tuyedjsksj">{#N/A,#N/A,FALSE,"Plan1";#N/A,#N/A,FALSE,"Plan2"}</definedName>
    <definedName name="TX_ADM">#REF!</definedName>
    <definedName name="tx_desconto_real">#REF!</definedName>
    <definedName name="TxAplicMes">#REF!</definedName>
    <definedName name="TxCdiMes">#REF!</definedName>
    <definedName name="TxDescMes">#REF!</definedName>
    <definedName name="TxSecuritizacaoMes">#REF!</definedName>
    <definedName name="TxSfhEco">#REF!</definedName>
    <definedName name="TxSfhMap">#REF!</definedName>
    <definedName name="TXTEQUIP">#REF!</definedName>
    <definedName name="TXTMARCA">#REF!</definedName>
    <definedName name="TXTMOD">#REF!</definedName>
    <definedName name="TXTPOT">#REF!</definedName>
    <definedName name="TYHGFHFHG" localSheetId="0" hidden="1">{#N/A,#N/A,FALSE,"Plan1";#N/A,#N/A,FALSE,"Plan2"}</definedName>
    <definedName name="TYHGFHFHG">{#N/A,#N/A,FALSE,"Plan1";#N/A,#N/A,FALSE,"Plan2"}</definedName>
    <definedName name="u" localSheetId="0" hidden="1">{#N/A,#N/A,FALSE,"ET-CAPA";#N/A,#N/A,FALSE,"ET-PAG1";#N/A,#N/A,FALSE,"ET-PAG2";#N/A,#N/A,FALSE,"ET-PAG3";#N/A,#N/A,FALSE,"ET-PAG4";#N/A,#N/A,FALSE,"ET-PAG5"}</definedName>
    <definedName name="u">{#N/A,#N/A,FALSE,"ET-CAPA";#N/A,#N/A,FALSE,"ET-PAG1";#N/A,#N/A,FALSE,"ET-PAG2";#N/A,#N/A,FALSE,"ET-PAG3";#N/A,#N/A,FALSE,"ET-PAG4";#N/A,#N/A,FALSE,"ET-PAG5"}</definedName>
    <definedName name="udhgfhfg" localSheetId="0" hidden="1">{#N/A,#N/A,FALSE,"Plan1";#N/A,#N/A,FALSE,"Plan2"}</definedName>
    <definedName name="udhgfhfg">{#N/A,#N/A,FALSE,"Plan1";#N/A,#N/A,FALSE,"Plan2"}</definedName>
    <definedName name="ueiutriuef" localSheetId="0" hidden="1">{#N/A,#N/A,FALSE,"Plan1";#N/A,#N/A,FALSE,"Plan2"}</definedName>
    <definedName name="ueiutriuef">{#N/A,#N/A,FALSE,"Plan1";#N/A,#N/A,FALSE,"Plan2"}</definedName>
    <definedName name="UENSIT">#REF!</definedName>
    <definedName name="UENSITS">#REF!</definedName>
    <definedName name="UHGSDUS" localSheetId="0" hidden="1">{#N/A,#N/A,FALSE,"Plan1";#N/A,#N/A,FALSE,"Plan2"}</definedName>
    <definedName name="UHGSDUS">{#N/A,#N/A,FALSE,"Plan1";#N/A,#N/A,FALSE,"Plan2"}</definedName>
    <definedName name="UI" localSheetId="0" hidden="1">#REF!</definedName>
    <definedName name="UI">#REF!</definedName>
    <definedName name="UIHWER45R" localSheetId="0" hidden="1">{#N/A,#N/A,FALSE,"Plan1";#N/A,#N/A,FALSE,"Plan2"}</definedName>
    <definedName name="UIHWER45R">{#N/A,#N/A,FALSE,"Plan1";#N/A,#N/A,FALSE,"Plan2"}</definedName>
    <definedName name="uiosderuiu" localSheetId="0" hidden="1">{#N/A,#N/A,FALSE,"Plan1";#N/A,#N/A,FALSE,"Plan2"}</definedName>
    <definedName name="uiosderuiu">{#N/A,#N/A,FALSE,"Plan1";#N/A,#N/A,FALSE,"Plan2"}</definedName>
    <definedName name="UIOURET" localSheetId="0" hidden="1">{#N/A,#N/A,FALSE,"Plan1";#N/A,#N/A,FALSE,"Plan2"}</definedName>
    <definedName name="UIOURET">{#N/A,#N/A,FALSE,"Plan1";#N/A,#N/A,FALSE,"Plan2"}</definedName>
    <definedName name="uiwuer" localSheetId="0" hidden="1">{#N/A,#N/A,FALSE,"Plan1";#N/A,#N/A,FALSE,"Plan2"}</definedName>
    <definedName name="uiwuer">{#N/A,#N/A,FALSE,"Plan1";#N/A,#N/A,FALSE,"Plan2"}</definedName>
    <definedName name="UKHDFDSGUDFKD" localSheetId="0" hidden="1">{#N/A,#N/A,FALSE,"Plan1";#N/A,#N/A,FALSE,"Plan2"}</definedName>
    <definedName name="UKHDFDSGUDFKD">{#N/A,#N/A,FALSE,"Plan1";#N/A,#N/A,FALSE,"Plan2"}</definedName>
    <definedName name="um" localSheetId="0" hidden="1">0</definedName>
    <definedName name="UM">#REF!</definedName>
    <definedName name="UNI_FILT_OFFSPEC">2</definedName>
    <definedName name="UNI_FILT_ONSPEC">1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QUIP">1</definedName>
    <definedName name="UNI_RET_OFFSPEC">512</definedName>
    <definedName name="UNI_RET_ONSPEC">256</definedName>
    <definedName name="UNI_RET_PROP">32</definedName>
    <definedName name="UNI_RET_PROPDESC">64</definedName>
    <definedName name="UNI_RET_SMPLPNT">4</definedName>
    <definedName name="UNI_RET_SPECMAX">2048</definedName>
    <definedName name="UNI_RET_SPECMIN">1024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D">OFFSET(#REF!,0,0,COUNTA(#REF!),1)</definedName>
    <definedName name="uni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v_cdi">#REF!</definedName>
    <definedName name="univ_hist">#REF!</definedName>
    <definedName name="univ_uss">#REF!</definedName>
    <definedName name="UPS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 localSheetId="0" hidden="1">{#N/A,#N/A,FALSE,"Plan1";#N/A,#N/A,FALSE,"Plan2"}</definedName>
    <definedName name="uryrtyt">{#N/A,#N/A,FALSE,"Plan1";#N/A,#N/A,FALSE,"Plan2"}</definedName>
    <definedName name="V">#REF!</definedName>
    <definedName name="VALIDADE_EXECUÇÃO">#REF!</definedName>
    <definedName name="Valor_PLS_Controladoria">#REF!</definedName>
    <definedName name="Valor_Previsto_Fin_Medições">#REF!</definedName>
    <definedName name="VALOR_REAIS">#REF!</definedName>
    <definedName name="Valor_Recebido_Fin_Medições">#REF!</definedName>
    <definedName name="Valor_Sienge">#REF!</definedName>
    <definedName name="VALOR_VENDA">#REF!</definedName>
    <definedName name="valores_diferidos">#REF!</definedName>
    <definedName name="valv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OS">#REF!</definedName>
    <definedName name="vdsgfrhgfr" localSheetId="0" hidden="1">{#N/A,#N/A,FALSE,"Plan1";#N/A,#N/A,FALSE,"Plan2"}</definedName>
    <definedName name="vdsgfrhgfr">{#N/A,#N/A,FALSE,"Plan1";#N/A,#N/A,FALSE,"Plan2"}</definedName>
    <definedName name="Veiculos">#REF!</definedName>
    <definedName name="VENDA_ADOTADA">#REF!</definedName>
    <definedName name="VENDAFINAL_R">#REF!</definedName>
    <definedName name="VENDAFINAL_U">#REF!</definedName>
    <definedName name="Vendas">#REF!</definedName>
    <definedName name="vendas_">#REF!</definedName>
    <definedName name="VERIFICAR" localSheetId="0" hidden="1">{#N/A,#N/A,TRUE,"Quinzena 01 à 15-04-98 "}</definedName>
    <definedName name="VERIFICAR">{#N/A,#N/A,TRUE,"Quinzena 01 à 15-04-98 "}</definedName>
    <definedName name="versao_estudo">#REF!</definedName>
    <definedName name="vfbg">#REF!</definedName>
    <definedName name="vfnijf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 localSheetId="0" hidden="1">{#N/A,#N/A,FALSE,"Plan1";#N/A,#N/A,FALSE,"Plan2"}</definedName>
    <definedName name="VFV">{#N/A,#N/A,FALSE,"Plan1";#N/A,#N/A,FALSE,"Plan2"}</definedName>
    <definedName name="VI">#REF!</definedName>
    <definedName name="VINTE">#REF!</definedName>
    <definedName name="visao_cashflow">#REF!</definedName>
    <definedName name="visao_VL">#REF!</definedName>
    <definedName name="vl_cd">#REF!</definedName>
    <definedName name="vl_k1">#REF!</definedName>
    <definedName name="vl_k2">#REF!</definedName>
    <definedName name="vl_k3">#REF!</definedName>
    <definedName name="vld_classificacao" localSheetId="0" hidden="1">IF(#REF!="Ativa",OFFSET(INDEX(rng_list_classificacao,MATCH(#REF!,rng_list_classificacao,0)),1,0,COUNTA(rng_list_classificacao)-1),#REF!)</definedName>
    <definedName name="vld_classificacao">IF(#REF!="Ativa",OFFSET(INDEX(rng_list_classificacao,MATCH(#REF!,rng_list_classificacao,0)),1,0,COUNTA(rng_list_classificacao)-1),#REF!)</definedName>
    <definedName name="vld_regional" localSheetId="0" hidden="1">OFFSET(INDEX(rng_list_regional,MATCH(#REF!,rng_list_regional,0)),1,0,COUNTA(rng_list_regional)-1)</definedName>
    <definedName name="vld_regional">OFFSET(INDEX(rng_list_regional,MATCH(#REF!,rng_list_regional,0)),1,0,COUNTA(rng_list_regional)-1)</definedName>
    <definedName name="vld_segmento" localSheetId="0" hidden="1">IF(#REF!="Ativa",OFFSET(INDEX(rng_list_segmento,MATCH(#REF!,rng_list_segmento,0)),1,0,COUNTA(rng_list_segmento)-1),#REF!)</definedName>
    <definedName name="vld_segmento">IF(#REF!="Ativa",OFFSET(INDEX(rng_list_segmento,MATCH(#REF!,rng_list_segmento,0)),1,0,COUNTA(rng_list_segmento)-1),#REF!)</definedName>
    <definedName name="vld_sociedade" localSheetId="0" hidden="1">OFFSET(INDEX(rng_list_sociedade,MATCH(#REF!,rng_list_sociedade,0)),1,0,COUNTA(rng_list_sociedade)-1)</definedName>
    <definedName name="vld_sociedade">OFFSET(INDEX(rng_list_sociedade,MATCH(#REF!,rng_list_sociedade,0)),1,0,COUNTA(rng_list_sociedade)-1)</definedName>
    <definedName name="vld_status_empresa" localSheetId="0" hidden="1">OFFSET(INDEX(rng_list_status_empresa,MATCH(#REF!,rng_list_status_empresa,0)),1,0,COUNTA(rng_list_status_empresa)-1)</definedName>
    <definedName name="vld_status_empresa">OFFSET(INDEX(rng_list_status_empresa,MATCH(#REF!,rng_list_status_empresa,0)),1,0,COUNTA(rng_list_status_empresa)-1)</definedName>
    <definedName name="vld_status_lancamento" localSheetId="0" hidden="1">IF(#REF!="Ativa",OFFSET(INDEX(rng_list_status_lancamento,MATCH(#REF!,rng_list_status_lancamento,0)),1,0,COUNTA(rng_list_status_lancamento)-1),#REF!)</definedName>
    <definedName name="vld_status_lancamento">IF(#REF!="Ativa",OFFSET(INDEX(rng_list_status_lancamento,MATCH(#REF!,rng_list_status_lancamento,0)),1,0,COUNTA(rng_list_status_lancamento)-1),#REF!)</definedName>
    <definedName name="vld_status_projeto" localSheetId="0" hidden="1">IF(#REF!="Ativa",OFFSET(INDEX(rng_list_status_projeto,MATCH(#REF!,rng_list_status_projeto,0)),1,0,COUNTA(rng_list_status_projeto)-1),#REF!)</definedName>
    <definedName name="vld_status_projeto">IF(#REF!="Ativa",OFFSET(INDEX(rng_list_status_projeto,MATCH(#REF!,rng_list_status_projeto,0)),1,0,COUNTA(rng_list_status_projeto)-1),#REF!)</definedName>
    <definedName name="vld_status_viabilidade" localSheetId="0" hidden="1">OFFSET(INDEX(rng_list_status_viabilidade,MATCH(#REF!,rng_list_status_viabilidade,0)),1,0,COUNTA(rng_list_status_viabilidade)-1)</definedName>
    <definedName name="vld_status_viabilidade">OFFSET(INDEX(rng_list_status_viabilidade,MATCH(#REF!,rng_list_status_viabilidade,0)),1,0,COUNTA(rng_list_status_viabilidade)-1)</definedName>
    <definedName name="VOLUME1">#REF!</definedName>
    <definedName name="VOLUME2">#REF!</definedName>
    <definedName name="VOLUME3">#REF!</definedName>
    <definedName name="VSDHFGDFGR" localSheetId="0" hidden="1">{#N/A,#N/A,FALSE,"Plan1";#N/A,#N/A,FALSE,"Plan2"}</definedName>
    <definedName name="VSDHFGDFGR">{#N/A,#N/A,FALSE,"Plan1";#N/A,#N/A,FALSE,"Plan2"}</definedName>
    <definedName name="vvbb" localSheetId="0" hidden="1">{"tabela",#N/A,FALSE,"Tabela";"decoração",#N/A,FALSE,"Decor.";"Informações",#N/A,FALSE,"Inform."}</definedName>
    <definedName name="vvbb">{"tabela",#N/A,FALSE,"Tabela";"decoração",#N/A,FALSE,"Decor.";"Informações",#N/A,FALSE,"Inform."}</definedName>
    <definedName name="vvcbnb" localSheetId="0" hidden="1">{#N/A,#N/A,FALSE,"Plan1";#N/A,#N/A,FALSE,"Plan2"}</definedName>
    <definedName name="vvcbnb">{#N/A,#N/A,FALSE,"Plan1";#N/A,#N/A,FALSE,"Plan2"}</definedName>
    <definedName name="vvvvv" localSheetId="0" hidden="1">{"Econ Consolidado",#N/A,FALSE,"Econ Consol";"Fluxo de Caixa",#N/A,FALSE,"Fluxo Caixa";"Investimentos",#N/A,FALSE,"Investimentos"}</definedName>
    <definedName name="vvvvv">{"Econ Consolidado",#N/A,FALSE,"Econ Consol";"Fluxo de Caixa",#N/A,FALSE,"Fluxo Caixa";"Investimentos",#N/A,FALSE,"Investimentos"}</definedName>
    <definedName name="vvvvvv" localSheetId="0" hidden="1">{#N/A,#N/A,FALSE,"Plan1";#N/A,#N/A,FALSE,"Plan2"}</definedName>
    <definedName name="vvvvvv">{#N/A,#N/A,FALSE,"Plan1";#N/A,#N/A,FALSE,"Plan2"}</definedName>
    <definedName name="vvvvvvvvvvvvvvvvv" localSheetId="0" hidden="1">{"HW",#N/A,FALSE,"1998"}</definedName>
    <definedName name="vvvvvvvvvvvvvvvvv">{"HW",#N/A,FALSE,"1998"}</definedName>
    <definedName name="VX" localSheetId="0" hidden="1">#REF!</definedName>
    <definedName name="VX">#REF!</definedName>
    <definedName name="w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">#REF!</definedName>
    <definedName name="wacc">#REF!</definedName>
    <definedName name="wadalrdjlaev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dewr" localSheetId="0" hidden="1">#REF!</definedName>
    <definedName name="wdewr">#REF!</definedName>
    <definedName name="WE" localSheetId="0" hidden="1">#REF!</definedName>
    <definedName name="WE">#REF!</definedName>
    <definedName name="weki_9701.xls">#REF!</definedName>
    <definedName name="wekir9701.xls">#REF!</definedName>
    <definedName name="werw4tr" localSheetId="0" hidden="1">{#N/A,#N/A,FALSE,"Plan1";#N/A,#N/A,FALSE,"Plan2"}</definedName>
    <definedName name="werw4tr">{#N/A,#N/A,FALSE,"Plan1";#N/A,#N/A,FALSE,"Plan2"}</definedName>
    <definedName name="wetoedjtkdr" localSheetId="0" hidden="1">{#N/A,#N/A,FALSE,"Plan1";#N/A,#N/A,FALSE,"Plan2"}</definedName>
    <definedName name="wetoedjtkdr">{#N/A,#N/A,FALSE,"Plan1";#N/A,#N/A,FALSE,"Plan2"}</definedName>
    <definedName name="WHATS" localSheetId="0" hidden="1">{"'Edit'!$A$1:$V$2277"}</definedName>
    <definedName name="WHATS">{"'Edit'!$A$1:$V$2277"}</definedName>
    <definedName name="win.VESSEL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TENS">#REF!</definedName>
    <definedName name="WKJHIR" localSheetId="0" hidden="1">{#N/A,#N/A,FALSE,"Plan1";#N/A,#N/A,FALSE,"Plan2"}</definedName>
    <definedName name="WKJHIR">{#N/A,#N/A,FALSE,"Plan1";#N/A,#N/A,FALSE,"Plan2"}</definedName>
    <definedName name="WLQ" localSheetId="0" hidden="1">{#N/A,#N/A,FALSE,"명세표"}</definedName>
    <definedName name="WLQ">{#N/A,#N/A,FALSE,"명세표"}</definedName>
    <definedName name="WNMLOCAL">#REF!</definedName>
    <definedName name="WNMMUN">#REF!</definedName>
    <definedName name="WNMSERV">#REF!</definedName>
    <definedName name="worl_cdi">#REF!</definedName>
    <definedName name="worl_hist">#REF!</definedName>
    <definedName name="worl_uss">#REF!</definedName>
    <definedName name="WRITE" localSheetId="0" hidden="1">{#N/A,#N/A,FALSE,"CCTV"}</definedName>
    <definedName name="WRITE">{#N/A,#N/A,FALSE,"CCTV"}</definedName>
    <definedName name="wrn.BM." localSheetId="0" hidden="1">{#N/A,#N/A,FALSE,"CCTV"}</definedName>
    <definedName name="wrn.BM.">{#N/A,#N/A,FALSE,"CCTV"}</definedName>
    <definedName name="wrn.Brita98.xls." localSheetId="0" hidden="1">{#N/A,#N/A,TRUE,"Quinzena 01 à 15-04-98 "}</definedName>
    <definedName name="wrn.Brita98.xls.">{#N/A,#N/A,TRUE,"Quinzena 01 à 15-04-98 "}</definedName>
    <definedName name="wrn.Completo." localSheetId="0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 localSheetId="0" hidden="1">{"EconCons",#N/A,TRUE,"Econômico - Consolidado";"CaixaCons",#N/A,TRUE,"Caixa - Consolidado";"InvestCons",#N/A,TRUE,"Invest Consolidado"}</definedName>
    <definedName name="wrn.Cons.">{"EconCons",#N/A,TRUE,"Econômico - Consolidado";"CaixaCons",#N/A,TRUE,"Caixa - Consolidado";"InvestCons",#N/A,TRUE,"Invest Consolidado"}</definedName>
    <definedName name="wrn.Consolidado." localSheetId="0" hidden="1">{"Econ Consolidado",#N/A,FALSE,"Econ Consol";"Fluxo de Caixa",#N/A,FALSE,"Fluxo Caixa";"Investimentos",#N/A,FALSE,"Investimentos"}</definedName>
    <definedName name="wrn.Consolidado.">{"Econ Consolidado",#N/A,FALSE,"Econ Consol";"Fluxo de Caixa",#N/A,FALSE,"Fluxo Caixa";"Investimentos",#N/A,FALSE,"Investimentos"}</definedName>
    <definedName name="wrn.GERAL." localSheetId="0" hidden="1">{#N/A,#N/A,FALSE,"ET-CAPA";#N/A,#N/A,FALSE,"ET-PAG1";#N/A,#N/A,FALSE,"ET-PAG2";#N/A,#N/A,FALSE,"ET-PAG3";#N/A,#N/A,FALSE,"ET-PAG4";#N/A,#N/A,FALSE,"ET-PAG5"}</definedName>
    <definedName name="wrn.GERAL.">{#N/A,#N/A,FALSE,"ET-CAPA";#N/A,#N/A,FALSE,"ET-PAG1";#N/A,#N/A,FALSE,"ET-PAG2";#N/A,#N/A,FALSE,"ET-PAG3";#N/A,#N/A,FALSE,"ET-PAG4";#N/A,#N/A,FALSE,"ET-PAG5"}</definedName>
    <definedName name="wrn.HAGE." localSheetId="0" hidden="1">{#N/A,#N/A,FALSE,"cdi";#N/A,#N/A,FALSE,"debent";#N/A,#N/A,FALSE,"fdos";#N/A,#N/A,FALSE,"resumo"}</definedName>
    <definedName name="wrn.HAGE.">{#N/A,#N/A,FALSE,"cdi";#N/A,#N/A,FALSE,"debent";#N/A,#N/A,FALSE,"fdos";#N/A,#N/A,FALSE,"resumo"}</definedName>
    <definedName name="wrn.HAGE01" localSheetId="0" hidden="1">{#N/A,#N/A,FALSE,"cdi";#N/A,#N/A,FALSE,"debent";#N/A,#N/A,FALSE,"fdos";#N/A,#N/A,FALSE,"resumo"}</definedName>
    <definedName name="wrn.HAGE01">{#N/A,#N/A,FALSE,"cdi";#N/A,#N/A,FALSE,"debent";#N/A,#N/A,FALSE,"fdos";#N/A,#N/A,FALSE,"resumo"}</definedName>
    <definedName name="wrn.HW." localSheetId="0" hidden="1">{"HW",#N/A,FALSE,"1998"}</definedName>
    <definedName name="wrn.HW.">{"HW",#N/A,FALSE,"1998"}</definedName>
    <definedName name="wrn.imp_flx." localSheetId="0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>{#N/A,#N/A,FALSE,"CONSOLID";#N/A,#N/A,FALSE,"CIMENTO";#N/A,#N/A,FALSE,"METALURGIA";#N/A,#N/A,FALSE,"PAPEL";#N/A,#N/A,FALSE,"QUÍMICA";#N/A,#N/A,FALSE,"AGROINDL";#N/A,#N/A,FALSE,"OUTROS";#N/A,#N/A,FALSE,"REAL_ORCADO"}</definedName>
    <definedName name="wrn.IMPRESSO." localSheetId="0" hidden="1">{#N/A,#N/A,FALSE,"Plan1";#N/A,#N/A,FALSE,"Plan2"}</definedName>
    <definedName name="wrn.IMPRESSO.">{#N/A,#N/A,FALSE,"Plan1";#N/A,#N/A,FALSE,"Plan2"}</definedName>
    <definedName name="wrn.Imprimir." localSheetId="0" hidden="1">{"tabela",#N/A,FALSE,"Tabela";"decoração",#N/A,FALSE,"Decor.";"Informações",#N/A,FALSE,"Inform."}</definedName>
    <definedName name="wrn.Imprimir.">{"tabela",#N/A,FALSE,"Tabela";"decoração",#N/A,FALSE,"Decor.";"Informações",#N/A,FALSE,"Inform."}</definedName>
    <definedName name="wrn.LPU._.MG." localSheetId="0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 localSheetId="0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>{#N/A,#N/A,TRUE,"表紙";#N/A,#N/A,TRUE,"DMC合成";#N/A,#N/A,TRUE,"DMC回収･精製";#N/A,#N/A,TRUE,"MPC工程";#N/A,#N/A,TRUE,"DPC工程";#N/A,#N/A,TRUE,"ANI工程";#N/A,#N/A,TRUE,"PHOｰ触媒工程";#N/A,#N/A,TRUE,"用役"}</definedName>
    <definedName name="wrn.mode_lev.xls." localSheetId="0" hidden="1">{#N/A,#N/A,FALSE,"ALVENARIA";#N/A,#N/A,FALSE,"BLOCOS";#N/A,#N/A,FALSE,"CINTAS";#N/A,#N/A,FALSE,"CORTINA";#N/A,#N/A,FALSE,"LAJES";#N/A,#N/A,FALSE,"PILARES";#N/A,#N/A,FALSE,"VIGAS"}</definedName>
    <definedName name="wrn.mode_lev.xls.">{#N/A,#N/A,FALSE,"ALVENARIA";#N/A,#N/A,FALSE,"BLOCOS";#N/A,#N/A,FALSE,"CINTAS";#N/A,#N/A,FALSE,"CORTINA";#N/A,#N/A,FALSE,"LAJES";#N/A,#N/A,FALSE,"PILARES";#N/A,#N/A,FALSE,"VIGAS"}</definedName>
    <definedName name="wrn.Month._.Report._.Package." localSheetId="0" hidden="1">{#N/A,#N/A,FALSE,"Global Wls Trend";#N/A,#N/A,FALSE,"Region Trend";#N/A,#N/A,FALSE,"PBU Trend"}</definedName>
    <definedName name="wrn.Month._.Report._.Package.">{#N/A,#N/A,FALSE,"Global Wls Trend";#N/A,#N/A,FALSE,"Region Trend";#N/A,#N/A,FALSE,"PBU Trend"}</definedName>
    <definedName name="wrn.Monthly._.Report._.Package." localSheetId="0" hidden="1">{#N/A,#N/A,FALSE,"Global by BU";#N/A,#N/A,FALSE,"U.S. by BU";#N/A,#N/A,FALSE,"Canada by BU";#N/A,#N/A,FALSE,"Europe by BU";#N/A,#N/A,FALSE,"Asia by BU";#N/A,#N/A,FALSE,"Cala by BU"}</definedName>
    <definedName name="wrn.Monthly._.Report._.Package.">{#N/A,#N/A,FALSE,"Global by BU";#N/A,#N/A,FALSE,"U.S. by BU";#N/A,#N/A,FALSE,"Canada by BU";#N/A,#N/A,FALSE,"Europe by BU";#N/A,#N/A,FALSE,"Asia by BU";#N/A,#N/A,FALSE,"Cala by BU"}</definedName>
    <definedName name="wrn.PENDENCIAS.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 localSheetId="0" hidden="1">{#N/A,#N/A,FALSE,"F-01"}</definedName>
    <definedName name="wrn.Planiha._.de._.Medição._.F._.01.">{#N/A,#N/A,FALSE,"F-01"}</definedName>
    <definedName name="wrn.Planiha._.de._.Medição._.F._.01._1" localSheetId="0" hidden="1">{#N/A,#N/A,FALSE,"F-01"}</definedName>
    <definedName name="wrn.Planiha._.de._.Medição._.F._.01._1">{#N/A,#N/A,FALSE,"F-01"}</definedName>
    <definedName name="wrn.Planilha_de_Medição_F_02" localSheetId="0" hidden="1">{#N/A,#N/A,FALSE,"F-01"}</definedName>
    <definedName name="wrn.Planilha_de_Medição_F_02">{#N/A,#N/A,FALSE,"F-01"}</definedName>
    <definedName name="wrn.print._.all." localSheetId="0" hidden="1">{#N/A,#N/A,FALSE,"$170M Cash";#N/A,#N/A,FALSE,"$250M Cash";#N/A,#N/A,FALSE,"$325M Cash"}</definedName>
    <definedName name="wrn.print._.all.">{#N/A,#N/A,FALSE,"$170M Cash";#N/A,#N/A,FALSE,"$250M Cash";#N/A,#N/A,FALSE,"$325M Cash"}</definedName>
    <definedName name="wrn.PrintAll." localSheetId="0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localSheetId="0" hidden="1">{#N/A,#N/A,FALSE,"Sheet1";#N/A,#N/A,FALSE,"Sheet2";#N/A,#N/A,FALSE,"Sheet3"}</definedName>
    <definedName name="wrn.PrintCurr.">{#N/A,#N/A,FALSE,"Sheet1";#N/A,#N/A,FALSE,"Sheet2";#N/A,#N/A,FALSE,"Sheet3"}</definedName>
    <definedName name="wrn.PrintPrev1." localSheetId="0" hidden="1">{#N/A,#N/A,FALSE,"Sheet4";#N/A,#N/A,FALSE,"Sheet5";#N/A,#N/A,FALSE,"Sheet6"}</definedName>
    <definedName name="wrn.PrintPrev1.">{#N/A,#N/A,FALSE,"Sheet4";#N/A,#N/A,FALSE,"Sheet5";#N/A,#N/A,FALSE,"Sheet6"}</definedName>
    <definedName name="wrn.PrintPrev2." localSheetId="0" hidden="1">{#N/A,#N/A,FALSE,"Sheet7";#N/A,#N/A,FALSE,"Sheet8";#N/A,#N/A,FALSE,"Sheet9"}</definedName>
    <definedName name="wrn.PrintPrev2.">{#N/A,#N/A,FALSE,"Sheet7";#N/A,#N/A,FALSE,"Sheet8";#N/A,#N/A,FALSE,"Sheet9"}</definedName>
    <definedName name="wrn.Quadros._.relatório." localSheetId="0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 localSheetId="0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>{#N/A,#N/A,FALSE,"표지";#N/A,#N/A,FALSE,"목차";#N/A,#N/A,FALSE,"내용1";#N/A,#N/A,FALSE,"내용2";#N/A,#N/A,FALSE,"결론";#N/A,#N/A,FALSE,"첨부";#N/A,#N/A,FALSE,"진공도달시간";#N/A,#N/A,FALSE,"배가스속도"}</definedName>
    <definedName name="wrn.STAFFS." localSheetId="0" hidden="1">{#N/A,#N/A,FALSE,"TABLE"}</definedName>
    <definedName name="wrn.STAFFS.">{#N/A,#N/A,FALSE,"TABLE"}</definedName>
    <definedName name="wrn.TERCEIRO." localSheetId="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 localSheetId="0" hidden="1">{#N/A,#N/A,FALSE,"명세표"}</definedName>
    <definedName name="wrn.test1.">{#N/A,#N/A,FALSE,"명세표"}</definedName>
    <definedName name="wrn.Unidades." localSheetId="0" hidden="1">{"Rio Branco",#N/A,FALSE,"Rio Branco";"Itajaí",#N/A,FALSE,"Itajaí";"Pinheiro Machado",#N/A,FALSE,"PMachado";"Esteio",#N/A,FALSE,"Esteio"}</definedName>
    <definedName name="wrn.Unidades.">{"Rio Branco",#N/A,FALSE,"Rio Branco";"Itajaí",#N/A,FALSE,"Itajaí";"Pinheiro Machado",#N/A,FALSE,"PMachado";"Esteio",#N/A,FALSE,"Esteio"}</definedName>
    <definedName name="wrn.VESSEL및N2._.구입사양서.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 localSheetId="0" hidden="1">{#N/A,#N/A,FALSE,"Sheet1";#N/A,#N/A,FALSE,"Sheet2";#N/A,#N/A,FALSE,"TAB96-1"}</definedName>
    <definedName name="wrn.견적.">{#N/A,#N/A,FALSE,"Sheet1";#N/A,#N/A,FALSE,"Sheet2";#N/A,#N/A,FALSE,"TAB96-1"}</definedName>
    <definedName name="wrn.보호계전기." localSheetId="0" hidden="1">{#N/A,#N/A,FALSE,"ENG'G(보호계전기)"}</definedName>
    <definedName name="wrn.보호계전기.">{#N/A,#N/A,FALSE,"ENG'G(보호계전기)"}</definedName>
    <definedName name="wrn.현장._.NCR._.분석." localSheetId="0" hidden="1">{#N/A,#N/A,FALSE,"현장 NCR 분석";#N/A,#N/A,FALSE,"현장품질감사";#N/A,#N/A,FALSE,"현장품질감사"}</definedName>
    <definedName name="wrn.현장._.NCR._.분석.">{#N/A,#N/A,FALSE,"현장 NCR 분석";#N/A,#N/A,FALSE,"현장품질감사";#N/A,#N/A,FALSE,"현장품질감사"}</definedName>
    <definedName name="wrn1.Cons." localSheetId="0" hidden="1">{"EconCons",#N/A,TRUE,"Econômico - Consolidado";"CaixaCons",#N/A,TRUE,"Caixa - Consolidado";"InvestCons",#N/A,TRUE,"Invest Consolidado"}</definedName>
    <definedName name="wrn1.Cons.">{"EconCons",#N/A,TRUE,"Econômico - Consolidado";"CaixaCons",#N/A,TRUE,"Caixa - Consolidado";"InvestCons",#N/A,TRUE,"Invest Consolidado"}</definedName>
    <definedName name="wrn1.print._.all." localSheetId="0" hidden="1">{#N/A,#N/A,FALSE,"$170M Cash";#N/A,#N/A,FALSE,"$250M Cash";#N/A,#N/A,FALSE,"$325M Cash"}</definedName>
    <definedName name="wrn1.print._.all.">{#N/A,#N/A,FALSE,"$170M Cash";#N/A,#N/A,FALSE,"$250M Cash";#N/A,#N/A,FALSE,"$325M Cash"}</definedName>
    <definedName name="WRS" localSheetId="0" hidden="1">{"'장비'!$A$3:$M$12"}</definedName>
    <definedName name="WRS">{"'장비'!$A$3:$M$12"}</definedName>
    <definedName name="wrt" localSheetId="0" hidden="1">{#N/A,#N/A,FALSE,"$170M Cash";#N/A,#N/A,FALSE,"$250M Cash";#N/A,#N/A,FALSE,"$325M Cash"}</definedName>
    <definedName name="wrt">{#N/A,#N/A,FALSE,"$170M Cash";#N/A,#N/A,FALSE,"$250M Cash";#N/A,#N/A,FALSE,"$325M Cash"}</definedName>
    <definedName name="wvu.PLANILHA2.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>#REF!</definedName>
    <definedName name="XALFA">#REF!</definedName>
    <definedName name="XC">#REF!</definedName>
    <definedName name="xcfrt" localSheetId="0" hidden="1">{#N/A,#N/A,FALSE,"Plan1";#N/A,#N/A,FALSE,"Plan2"}</definedName>
    <definedName name="xcfrt">{#N/A,#N/A,FALSE,"Plan1";#N/A,#N/A,FALSE,"Plan2"}</definedName>
    <definedName name="xcgjkfghf" localSheetId="0" hidden="1">{#N/A,#N/A,FALSE,"Plan1";#N/A,#N/A,FALSE,"Plan2"}</definedName>
    <definedName name="xcgjkfghf">{#N/A,#N/A,FALSE,"Plan1";#N/A,#N/A,FALSE,"Plan2"}</definedName>
    <definedName name="XCGJKVHFDG" localSheetId="0" hidden="1">{#N/A,#N/A,FALSE,"Plan1";#N/A,#N/A,FALSE,"Plan2"}</definedName>
    <definedName name="XCGJKVHFDG">{#N/A,#N/A,FALSE,"Plan1";#N/A,#N/A,FALSE,"Plan2"}</definedName>
    <definedName name="xcgtrty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I">#REF!</definedName>
    <definedName name="XCII">#REF!</definedName>
    <definedName name="XCIII">#REF!</definedName>
    <definedName name="XCIV">#REF!</definedName>
    <definedName name="XCIX">#REF!</definedName>
    <definedName name="xçl" localSheetId="0" hidden="1">{#N/A,#N/A,FALSE,"Plan1";#N/A,#N/A,FALSE,"Plan2"}</definedName>
    <definedName name="xçl">{#N/A,#N/A,FALSE,"Plan1";#N/A,#N/A,FALSE,"Plan2"}</definedName>
    <definedName name="xcndj" localSheetId="0" hidden="1">{#N/A,#N/A,FALSE,"Plan1";#N/A,#N/A,FALSE,"Plan2"}</definedName>
    <definedName name="xcndj">{#N/A,#N/A,FALSE,"Plan1";#N/A,#N/A,FALSE,"Plan2"}</definedName>
    <definedName name="XCV">#REF!</definedName>
    <definedName name="XCVGGT" localSheetId="0" hidden="1">{#N/A,#N/A,FALSE,"Plan1";#N/A,#N/A,FALSE,"Plan2"}</definedName>
    <definedName name="XCVGGT">{#N/A,#N/A,FALSE,"Plan1";#N/A,#N/A,FALSE,"Plan2"}</definedName>
    <definedName name="XCVI">#REF!</definedName>
    <definedName name="XCVII">#REF!</definedName>
    <definedName name="XCVIII">#REF!</definedName>
    <definedName name="xcvrg" localSheetId="0" hidden="1">{#N/A,#N/A,FALSE,"Plan1";#N/A,#N/A,FALSE,"Plan2"}</definedName>
    <definedName name="xcvrg">{#N/A,#N/A,FALSE,"Plan1";#N/A,#N/A,FALSE,"Plan2"}</definedName>
    <definedName name="XDATA">#REF!</definedName>
    <definedName name="xdfef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 localSheetId="0" hidden="1">{#N/A,#N/A,FALSE,"Plan1";#N/A,#N/A,FALSE,"Plan2"}</definedName>
    <definedName name="xdgtyhyt">{#N/A,#N/A,FALSE,"Plan1";#N/A,#N/A,FALSE,"Plan2"}</definedName>
    <definedName name="xfdlfj" localSheetId="0" hidden="1">{#N/A,#N/A,FALSE,"Plan1";#N/A,#N/A,FALSE,"Plan2"}</definedName>
    <definedName name="xfdlfj">{#N/A,#N/A,FALSE,"Plan1";#N/A,#N/A,FALSE,"Plan2"}</definedName>
    <definedName name="xfdxfdf" localSheetId="0" hidden="1">{#N/A,#N/A,FALSE,"Plan1";#N/A,#N/A,FALSE,"Plan2"}</definedName>
    <definedName name="xfdxfdf">{#N/A,#N/A,FALSE,"Plan1";#N/A,#N/A,FALSE,"Plan2"}</definedName>
    <definedName name="XFJKLDJKLG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 localSheetId="0" hidden="1">{#N/A,#N/A,FALSE,"Plan1";#N/A,#N/A,FALSE,"Plan2"}</definedName>
    <definedName name="xfrty">{#N/A,#N/A,FALSE,"Plan1";#N/A,#N/A,FALSE,"Plan2"}</definedName>
    <definedName name="XF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 localSheetId="0" hidden="1">{"Econ Consolidado",#N/A,FALSE,"Econ Consol";"Fluxo de Caixa",#N/A,FALSE,"Fluxo Caixa";"Investimentos",#N/A,FALSE,"Investimentos"}</definedName>
    <definedName name="xfvchdhhd">{"Econ Consolidado",#N/A,FALSE,"Econ Consol";"Fluxo de Caixa",#N/A,FALSE,"Fluxo Caixa";"Investimentos",#N/A,FALSE,"Investimentos"}</definedName>
    <definedName name="xfvgcfgt" localSheetId="0" hidden="1">{#N/A,#N/A,FALSE,"Plan1";#N/A,#N/A,FALSE,"Plan2"}</definedName>
    <definedName name="xfvgcfgt">{#N/A,#N/A,FALSE,"Plan1";#N/A,#N/A,FALSE,"Plan2"}</definedName>
    <definedName name="xgrg" localSheetId="0" hidden="1">{#N/A,#N/A,FALSE,"Plan1";#N/A,#N/A,FALSE,"Plan2"}</definedName>
    <definedName name="xgrg">{#N/A,#N/A,FALSE,"Plan1";#N/A,#N/A,FALSE,"Plan2"}</definedName>
    <definedName name="XI">#REF!</definedName>
    <definedName name="XII">#REF!</definedName>
    <definedName name="XIII">#REF!</definedName>
    <definedName name="XITEM">#REF!</definedName>
    <definedName name="XIV">#REF!</definedName>
    <definedName name="XLOC">#REF!</definedName>
    <definedName name="xmght" localSheetId="0" hidden="1">{#N/A,#N/A,FALSE,"Plan1";#N/A,#N/A,FALSE,"Plan2"}</definedName>
    <definedName name="xmght">{#N/A,#N/A,FALSE,"Plan1";#N/A,#N/A,FALSE,"Plan2"}</definedName>
    <definedName name="xnInforme_quantos_bebedouros____bebqt__if_bebqt__0__xlQt.bebedouros_invalida___ENTER_p_reinformar__xresp__branch_rqtderv">#REF!</definedName>
    <definedName name="XNUCOPIAS">#REF!</definedName>
    <definedName name="xo" localSheetId="0" hidden="1">{#N/A,#N/A,FALSE,"Global by BU";#N/A,#N/A,FALSE,"U.S. by BU";#N/A,#N/A,FALSE,"Canada by BU";#N/A,#N/A,FALSE,"Europe by BU";#N/A,#N/A,FALSE,"Asia by BU";#N/A,#N/A,FALSE,"Cala by BU"}</definedName>
    <definedName name="xo">{#N/A,#N/A,FALSE,"Global by BU";#N/A,#N/A,FALSE,"U.S. by BU";#N/A,#N/A,FALSE,"Canada by BU";#N/A,#N/A,FALSE,"Europe by BU";#N/A,#N/A,FALSE,"Asia by BU";#N/A,#N/A,FALSE,"Cala by BU"}</definedName>
    <definedName name="XREF_COLUMN_1" localSheetId="0" hidden="1">#REF!</definedName>
    <definedName name="XREF_COLUMN_1">#REF!</definedName>
    <definedName name="XREF_COLUMN_2" localSheetId="0" hidden="1">#REF!</definedName>
    <definedName name="XREF_COLUMN_2">#REF!</definedName>
    <definedName name="XREF_COLUMN_3">#REF!</definedName>
    <definedName name="XREF_COLUMN_4">#REF!</definedName>
    <definedName name="XRefColumnsCount">1</definedName>
    <definedName name="XRefCopy2">#REF!</definedName>
    <definedName name="XRefCopy3Row" localSheetId="0" hidden="1">#REF!</definedName>
    <definedName name="XRefCopy3Row">#REF!</definedName>
    <definedName name="XRefCopy4Row">#REF!</definedName>
    <definedName name="XRefCopy6">#REF!</definedName>
    <definedName name="XRefCopyRangeCount">1</definedName>
    <definedName name="XRefPaste2">#REF!</definedName>
    <definedName name="XRefPaste4">#REF!</definedName>
    <definedName name="XRefPaste5">#REF!</definedName>
    <definedName name="XRefPaste6">#REF!</definedName>
    <definedName name="XRefPaste7Row">#REF!</definedName>
    <definedName name="XRefPasteRangeCount">1</definedName>
    <definedName name="XRESP">#REF!</definedName>
    <definedName name="XTITRES">#REF!</definedName>
    <definedName name="XV">#REF!</definedName>
    <definedName name="xx" localSheetId="0" hidden="1">#REF!</definedName>
    <definedName name="XX">#REF!</definedName>
    <definedName name="XXI">#REF!</definedName>
    <definedName name="XXII">#REF!</definedName>
    <definedName name="XXIII">#REF!</definedName>
    <definedName name="XXIV">#REF!</definedName>
    <definedName name="XXV">#REF!</definedName>
    <definedName name="xx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">#REF!</definedName>
    <definedName name="XXXI">#REF!</definedName>
    <definedName name="XXXII">#REF!</definedName>
    <definedName name="XXXIII">#REF!</definedName>
    <definedName name="XXXIV">#REF!</definedName>
    <definedName name="XXXIX">#REF!</definedName>
    <definedName name="XXXV">#REF!</definedName>
    <definedName name="XXXVI">#REF!</definedName>
    <definedName name="XXXVII">#REF!</definedName>
    <definedName name="XXXVIII">#REF!</definedName>
    <definedName name="xxxx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" localSheetId="0" hidden="1">{"'Edit'!$A$1:$V$2277"}</definedName>
    <definedName name="xxxxxxxxxxxx">#REF!</definedName>
    <definedName name="xxxxxxxxxxxxxx" localSheetId="0" hidden="1">{#N/A,#N/A,FALSE,"Plan1";#N/A,#N/A,FALSE,"Plan2"}</definedName>
    <definedName name="xxxxxxxxxxxxxx">{#N/A,#N/A,FALSE,"Plan1";#N/A,#N/A,FALSE,"Plan2"}</definedName>
    <definedName name="xzfrt" localSheetId="0" hidden="1">{#N/A,#N/A,FALSE,"Plan1";#N/A,#N/A,FALSE,"Plan2"}</definedName>
    <definedName name="xzfrt">{#N/A,#N/A,FALSE,"Plan1";#N/A,#N/A,FALSE,"Plan2"}</definedName>
    <definedName name="yeitrtged" localSheetId="0" hidden="1">{#N/A,#N/A,FALSE,"Plan1";#N/A,#N/A,FALSE,"Plan2"}</definedName>
    <definedName name="yeitrtged">{#N/A,#N/A,FALSE,"Plan1";#N/A,#N/A,FALSE,"Plan2"}</definedName>
    <definedName name="yhdfiuygrui" localSheetId="0" hidden="1">{#N/A,#N/A,FALSE,"Plan1";#N/A,#N/A,FALSE,"Plan2"}</definedName>
    <definedName name="yhdfiuygrui">{#N/A,#N/A,FALSE,"Plan1";#N/A,#N/A,FALSE,"Plan2"}</definedName>
    <definedName name="YRGUYDRIY" localSheetId="0" hidden="1">{"Econ Consolidado",#N/A,FALSE,"Econ Consol";"Fluxo de Caixa",#N/A,FALSE,"Fluxo Caixa";"Investimentos",#N/A,FALSE,"Investimentos"}</definedName>
    <definedName name="YRGUYDRIY">{"Econ Consolidado",#N/A,FALSE,"Econ Consol";"Fluxo de Caixa",#N/A,FALSE,"Fluxo Caixa";"Investimentos",#N/A,FALSE,"Investimentos"}</definedName>
    <definedName name="ytdju">#REF!</definedName>
    <definedName name="yuegursdmksf" localSheetId="0" hidden="1">{#N/A,#N/A,FALSE,"Plan1";#N/A,#N/A,FALSE,"Plan2"}</definedName>
    <definedName name="yuegursdmksf">{#N/A,#N/A,FALSE,"Plan1";#N/A,#N/A,FALSE,"Plan2"}</definedName>
    <definedName name="yuekl4fr" localSheetId="0" hidden="1">{#N/A,#N/A,FALSE,"Plan1";#N/A,#N/A,FALSE,"Plan2"}</definedName>
    <definedName name="yuekl4fr">{#N/A,#N/A,FALSE,"Plan1";#N/A,#N/A,FALSE,"Plan2"}</definedName>
    <definedName name="yureytuyrea" localSheetId="0" hidden="1">{#N/A,#N/A,FALSE,"Plan1";#N/A,#N/A,FALSE,"Plan2"}</definedName>
    <definedName name="yureytuyrea">{#N/A,#N/A,FALSE,"Plan1";#N/A,#N/A,FALSE,"Plan2"}</definedName>
    <definedName name="z" localSheetId="0" hidden="1">{"'Estimativa de Lançamento-JAN'!$A$1:$AI$85"}</definedName>
    <definedName name="z">{"'Estimativa de Lançamento-JAN'!$A$1:$AI$85"}</definedName>
    <definedName name="z\djs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_022B7420_7F94_427F_B370_84030F9B3342_.wvu.FilterData" localSheetId="0" hidden="1">#REF!</definedName>
    <definedName name="Z_022B7420_7F94_427F_B370_84030F9B3342_.wvu.FilterData" hidden="1">#REF!</definedName>
    <definedName name="Z_04BC043C_175B_412D_8093_6F29CD74FBAE_.wvu.FilterData" localSheetId="0" hidden="1">#REF!</definedName>
    <definedName name="Z_04BC043C_175B_412D_8093_6F29CD74FBAE_.wvu.FilterData" hidden="1">#REF!</definedName>
    <definedName name="Z_058B9256_CB4D_4C39_834D_D693FEEB491F_.wvu.FilterData" localSheetId="0" hidden="1">#REF!</definedName>
    <definedName name="Z_058B9256_CB4D_4C39_834D_D693FEEB491F_.wvu.FilterData" hidden="1">#REF!</definedName>
    <definedName name="Z_05D1A71D_3B7B_4FB7_8DF3_B8E29CA3927A_.wvu.FilterData" hidden="1">#REF!</definedName>
    <definedName name="Z_07C2CF55_E6DF_411A_AB00_7E155615468C_.wvu.FilterData" hidden="1">#REF!</definedName>
    <definedName name="Z_0B1003A7_69DB_4D5B_966D_57B9E8AF76FB_.wvu.FilterData" hidden="1">#REF!</definedName>
    <definedName name="Z_0C3EE359_64F6_4049_9576_8EACA8563EA4_.wvu.FilterData" hidden="1">#REF!</definedName>
    <definedName name="Z_0D05AC4E_32D3_4985_8208_9776E00AC749_.wvu.FilterData" hidden="1">#REF!</definedName>
    <definedName name="Z_0DB407A0_1449_11D8_ADD1_0060083A646F_.wvu.PrintArea">#REF!</definedName>
    <definedName name="Z_0DC459DE_F68C_4E33_8D1E_F1663ABAC944_.wvu.FilterData" hidden="1">#REF!</definedName>
    <definedName name="Z_0FACBA89_1203_4ED8_87E5_EC1D45B051B7_.wvu.FilterData" hidden="1">#REF!</definedName>
    <definedName name="Z_0FEA3536_5108_4591_BECF_C3181387F85F_.wvu.FilterData" hidden="1">#REF!</definedName>
    <definedName name="Z_0FEFDB42_ECBC_4500_A6C8_FEE3D368790B_.wvu.FilterData" hidden="1">#REF!</definedName>
    <definedName name="Z_110A0651_47C7_408E_B3BF_0C80D30B95FC_.wvu.FilterData" hidden="1">#REF!</definedName>
    <definedName name="Z_128E64DD_BE84_40EE_A6D2_C9B0EB25CBBD_.wvu.FilterData" hidden="1">#REF!</definedName>
    <definedName name="Z_12F2973E_0018_407B_98AD_CD9C5D1F65FA_.wvu.FilterData" hidden="1">#REF!</definedName>
    <definedName name="Z_137DAE61_8A8D_4219_A4CC_0EEC18A94882_.wvu.FilterData" hidden="1">#REF!</definedName>
    <definedName name="Z_13E06FB5_D019_406D_B278_1B53AD2F6386_.wvu.FilterData" hidden="1">#REF!</definedName>
    <definedName name="Z_14D375AC_5615_46DE_8EE3_95915B2A8B54_.wvu.FilterData" localSheetId="0" hidden="1">#REF!</definedName>
    <definedName name="Z_14D375AC_5615_46DE_8EE3_95915B2A8B54_.wvu.FilterData" hidden="1">#REF!</definedName>
    <definedName name="Z_15697660_066E_11D5_AF15_00010242ED40_.wvu.PrintArea" localSheetId="0" hidden="1">#REF!</definedName>
    <definedName name="Z_15697660_066E_11D5_AF15_00010242ED40_.wvu.PrintArea">#REF!</definedName>
    <definedName name="Z_15697660_066E_11D5_AF15_00010242ED40_.wvu.PrintTitles">#REF!</definedName>
    <definedName name="Z_15697660_066E_11D5_AF15_00010242ED40_.wvu.Rows">#REF!</definedName>
    <definedName name="Z_15B5DC78_B02F_4AC6_8572_015040A55619_.wvu.FilterData" hidden="1">#REF!</definedName>
    <definedName name="Z_166D6F0F_4D44_46E7_8C36_48FD4848B5AA_.wvu.FilterData" hidden="1">#REF!</definedName>
    <definedName name="Z_16FAB836_2255_4D4C_90E4_6B46255F3759_.wvu.FilterData" hidden="1">#REF!</definedName>
    <definedName name="Z_198D391C_95CB_49F5_8924_5FEA3CE5C98A_.wvu.FilterData" hidden="1">#REF!</definedName>
    <definedName name="Z_1D9C37CC_3E33_4D4D_B7CD_819F75C83D65_.wvu.FilterData" hidden="1">#REF!</definedName>
    <definedName name="Z_1DF9838C_880D_4C4E_BFFE_89B5894EC40F_.wvu.FilterData" hidden="1">#REF!</definedName>
    <definedName name="Z_1EF42BFC_874B_4E01_B67D_1607E823ACD0_.wvu.FilterData" hidden="1">#REF!</definedName>
    <definedName name="Z_1F94C6E7_3CCA_4599_AF6F_4D6291B2AD93_.wvu.FilterData" hidden="1">#REF!</definedName>
    <definedName name="Z_20A9AA17_0DEB_4190_8DAD_FC60D0D33A52_.wvu.FilterData" hidden="1">#REF!</definedName>
    <definedName name="Z_2103F656_ECB2_4F99_BE9B_56F4D7A5CEE2_.wvu.FilterData" hidden="1">#REF!</definedName>
    <definedName name="Z_2158A2BC_8DB5_455D_AFDE_914B22949288_.wvu.FilterData" hidden="1">#REF!</definedName>
    <definedName name="Z_21A967FF_561E_495F_AEB9_4DD3BEDA53BC_.wvu.FilterData" hidden="1">#REF!</definedName>
    <definedName name="Z_227E7522_DC52_4EA7_A11A_0741FF23CC42_.wvu.FilterData" hidden="1">#REF!</definedName>
    <definedName name="Z_23BA0C23_280B_4568_A53C_1C6D2E85772A_.wvu.FilterData" hidden="1">#REF!</definedName>
    <definedName name="Z_244346C6_3866_4160_9E2E_C77913F25398_.wvu.FilterData" hidden="1">#REF!</definedName>
    <definedName name="Z_25117F67_F0EE_43EF_8FF9_79F533CE10B0_.wvu.FilterData" hidden="1">#REF!</definedName>
    <definedName name="Z_259E2DDE_5459_4510_B7A2_66F49964C56E_.wvu.FilterData" hidden="1">#REF!</definedName>
    <definedName name="Z_25C7DFCF_BE54_4A41_B957_DE39B9B2A5B5_.wvu.FilterData" hidden="1">#REF!</definedName>
    <definedName name="Z_272E0E4D_901D_11D7_B59C_0050DAB35C7B_.wvu.FilterData" hidden="1">#REF!</definedName>
    <definedName name="Z_27D9353E_5A5F_49BF_8724_FA312A4073FF_.wvu.FilterData" hidden="1">#REF!</definedName>
    <definedName name="Z_299BE965_B904_49FA_A79D_B9538F94936F_.wvu.FilterData" hidden="1">#REF!</definedName>
    <definedName name="Z_29D37CE9_76D1_4D09_99A0_55ABA6929929_.wvu.FilterData" hidden="1">#REF!</definedName>
    <definedName name="Z_2C05BC27_731C_41F4_980F_CD81E4A7A662_.wvu.FilterData" hidden="1">#REF!</definedName>
    <definedName name="Z_2C0BDCBF_705B_4E5A_9659_05D99EC56641_.wvu.FilterData" hidden="1">#REF!</definedName>
    <definedName name="Z_2CD580B5_D99D_45ED_AC1E_45F8CBBBB9F1_.wvu.FilterData" hidden="1">#REF!</definedName>
    <definedName name="Z_2D98D706_A306_4353_8B3D_DA92F9EAEC9A_.wvu.FilterData" hidden="1">#REF!</definedName>
    <definedName name="Z_2F8736FC_F07E_49E8_9C13_8E0A0F5EFE5F_.wvu.FilterData" hidden="1">#REF!</definedName>
    <definedName name="Z_304C2F7A_D3A6_4DBA_A568_C3E56D7C6E2F_.wvu.FilterData" hidden="1">#REF!</definedName>
    <definedName name="Z_30E0ACE8_B29A_44E9_B542_E8C1CA3FD802_.wvu.FilterData" hidden="1">#REF!</definedName>
    <definedName name="Z_31A27EA2_D574_43B8_A671_7419A12151C9_.wvu.FilterData" hidden="1">#REF!</definedName>
    <definedName name="Z_32D1B352_62AB_4105_8DFC_EAA2DF743365_.wvu.FilterData" hidden="1">#REF!</definedName>
    <definedName name="Z_330DF436_5BED_40AF_AC51_73D268BD9DF4_.wvu.FilterData" hidden="1">#REF!</definedName>
    <definedName name="Z_33B8EF57_2FB1_4600_9590_B0A2F2FE409B_.wvu.FilterData" hidden="1">#REF!</definedName>
    <definedName name="Z_3404588C_6CE7_4C97_A62C_D19D9EE290D3_.wvu.FilterData" hidden="1">#REF!</definedName>
    <definedName name="Z_34E71878_8D1A_4343_91A1_3FE085136D2B_.wvu.FilterData" hidden="1">#REF!</definedName>
    <definedName name="Z_37611AA0_E86A_42C8_8705_108B25E060A1_.wvu.FilterData" hidden="1">#REF!</definedName>
    <definedName name="Z_38FE6CED_4C19_4332_9788_ACC902B20A46_.wvu.FilterData" hidden="1">#REF!</definedName>
    <definedName name="Z_394E75CB_4F7F_4C88_A08F_29E48E587341_.wvu.FilterData" hidden="1">#REF!</definedName>
    <definedName name="Z_3C200595_20A3_4A0C_B071_705F4AD5DAD3_.wvu.FilterData" hidden="1">#REF!</definedName>
    <definedName name="Z_3E93FF4A_0B7F_475C_A63C_54FBDB9DB4C5_.wvu.FilterData" hidden="1">#REF!</definedName>
    <definedName name="Z_3FF05DC4_CA9E_470D_A193_91785ACE00EF_.wvu.FilterData" hidden="1">#REF!</definedName>
    <definedName name="Z_43791B95_57D7_42F4_8815_D1B7E488543E_.wvu.FilterData" hidden="1">#REF!</definedName>
    <definedName name="Z_445AA90F_6D9B_40F5_8E1D_CE1EF57CF450_.wvu.FilterData" hidden="1">#REF!</definedName>
    <definedName name="Z_454E0C40_F84F_42A3_A371_6F23C1F38595_.wvu.FilterData" hidden="1">#REF!</definedName>
    <definedName name="Z_4608FCB3_3552_4D58_B6CE_B8F34D78221E_.wvu.FilterData" hidden="1">#REF!</definedName>
    <definedName name="Z_46E47F7C_9185_4E39_BED5_B4A69FF64CC1_.wvu.FilterData" hidden="1">#REF!</definedName>
    <definedName name="Z_48202D5D_77CB_41DE_8C59_9325C98D7C97_.wvu.FilterData" hidden="1">#REF!</definedName>
    <definedName name="Z_48824DFE_B714_4D0B_9E95_F01C5BAD5D1F_.wvu.FilterData" hidden="1">#REF!</definedName>
    <definedName name="Z_4C45D885_33EE_4DA9_BF96_6B10CFBA5596_.wvu.FilterData" hidden="1">#REF!</definedName>
    <definedName name="Z_4CA4BF7C_65C1_4E25_8563_22DF58586D2C_.wvu.PrintArea">#REF!</definedName>
    <definedName name="Z_4CA4BF7C_65C1_4E25_8563_22DF58586D2C_.wvu.PrintTitles">#REF!</definedName>
    <definedName name="Z_4CA4BF7C_65C1_4E25_8563_22DF58586D2C_.wvu.Rows">#REF!</definedName>
    <definedName name="Z_4D344757_9064_4D2F_A3A5_69132D23B7B9_.wvu.FilterData" hidden="1">#REF!</definedName>
    <definedName name="Z_4E773EE1_0A5B_43A9_9C28_FFB0A27D19C3_.wvu.FilterData" hidden="1">#REF!</definedName>
    <definedName name="Z_5122F04C_91B2_4031_BAE2_43203D520992_.wvu.FilterData" hidden="1">#REF!</definedName>
    <definedName name="Z_52B8D0B0_5872_4367_8D38_9AA5A4B975B3_.wvu.FilterData" hidden="1">#REF!</definedName>
    <definedName name="Z_532423B2_94C7_44C1_9A2A_9712DAE92CE9_.wvu.FilterData" hidden="1">#REF!</definedName>
    <definedName name="Z_53F31130_5EA7_42BA_93EB_88A7CB743782_.wvu.FilterData" hidden="1">#REF!</definedName>
    <definedName name="Z_55213581_1831_4A94_AB4D_23E4F8BC8085_.wvu.FilterData" hidden="1">#REF!</definedName>
    <definedName name="Z_552B9204_1C85_45BC_B148_AF3E206BDAA2_.wvu.FilterData" hidden="1">#REF!</definedName>
    <definedName name="Z_566671FC_5910_47FD_B961_1065A17D262D_.wvu.FilterData" hidden="1">#REF!</definedName>
    <definedName name="Z_569D17FA_30FE_42CA_8D65_E126C1C01EC2_.wvu.FilterData" hidden="1">#REF!</definedName>
    <definedName name="Z_573E904E_5C2F_4CA2_AFCF_918B916322E4_.wvu.FilterData" hidden="1">#REF!</definedName>
    <definedName name="Z_58DA6172_DC47_4A5F_B420_207BB6987764_.wvu.FilterData" hidden="1">#REF!</definedName>
    <definedName name="Z_58FCB891_F6F4_46F2_BF6B_861E585C9231_.wvu.FilterData" hidden="1">#REF!</definedName>
    <definedName name="Z_59A87EBA_E018_40E8_A580_AB2176E95D7E_.wvu.FilterData" hidden="1">#REF!</definedName>
    <definedName name="Z_5A3E740D_87C0_4F85_AB6D_B402AD860D04_.wvu.FilterData" hidden="1">#REF!</definedName>
    <definedName name="Z_5B42E6B5_40AA_4D3F_B932_EF1583491CDE_.wvu.FilterData" hidden="1">#REF!</definedName>
    <definedName name="Z_5B7B4951_7310_4C66_B906_4D046076272E_.wvu.FilterData" hidden="1">#REF!</definedName>
    <definedName name="Z_5D41F4B9_83DF_4509_9C07_453BA5A62846_.wvu.FilterData" hidden="1">#REF!</definedName>
    <definedName name="Z_5DB05E9F_8F3B_4886_A6CB_2CC53331BA7A_.wvu.FilterData" hidden="1">#REF!</definedName>
    <definedName name="Z_5F096896_2CB8_4B96_A0FE_9AB50EEEEFAB_.wvu.FilterData" hidden="1">#REF!</definedName>
    <definedName name="Z_60DF8B29_1C1F_4B50_BDA8_B8E0C7DD04C3_.wvu.Cols" localSheetId="0" hidden="1">#REF!,#REF!</definedName>
    <definedName name="Z_60DF8B29_1C1F_4B50_BDA8_B8E0C7DD04C3_.wvu.Cols">#REF!,#REF!</definedName>
    <definedName name="Z_60DF8B29_1C1F_4B50_BDA8_B8E0C7DD04C3_.wvu.FilterData" localSheetId="0" hidden="1">#REF!</definedName>
    <definedName name="Z_60DF8B29_1C1F_4B50_BDA8_B8E0C7DD04C3_.wvu.FilterData" hidden="1">#REF!</definedName>
    <definedName name="Z_615F4A4D_D5AB_4A04_81F5_F436484247A5_.wvu.FilterData" localSheetId="0" hidden="1">#REF!</definedName>
    <definedName name="Z_615F4A4D_D5AB_4A04_81F5_F436484247A5_.wvu.FilterData" hidden="1">#REF!</definedName>
    <definedName name="Z_616443B5_6F0D_4082_9223_F71B54305366_.wvu.FilterData" localSheetId="0" hidden="1">#REF!</definedName>
    <definedName name="Z_616443B5_6F0D_4082_9223_F71B54305366_.wvu.FilterData" hidden="1">#REF!</definedName>
    <definedName name="Z_631F0312_B404_409F_AF2B_39FB2D25040B_.wvu.FilterData" hidden="1">#REF!</definedName>
    <definedName name="Z_632CF316_8294_4588_87E1_2B69E184A62B_.wvu.FilterData" hidden="1">#REF!</definedName>
    <definedName name="Z_66D1BA5F_F4AE_443C_8583_CE89D6674A73_.wvu.FilterData" hidden="1">#REF!</definedName>
    <definedName name="Z_66DD4806_8039_438A_B1CE_46CC5B464050_.wvu.FilterData" hidden="1">#REF!</definedName>
    <definedName name="Z_67B65FDF_FF67_490E_B8E5_92DC66C9FC9D_.wvu.FilterData" hidden="1">#REF!</definedName>
    <definedName name="Z_68B709DF_9429_4090_9106_386C5F16C4D7_.wvu.FilterData" hidden="1">#REF!</definedName>
    <definedName name="Z_690BC25F_5AA3_4B4B_9507_8C197E768E98_.wvu.FilterData" hidden="1">#REF!</definedName>
    <definedName name="Z_6A66B8A7_491B_4A29_94A1_39F4FDA32C48_.wvu.FilterData" hidden="1">#REF!</definedName>
    <definedName name="Z_6A6F36C8_24A1_4147_9C63_27B7978935DD_.wvu.FilterData" hidden="1">#REF!</definedName>
    <definedName name="Z_6C2050D3_ABE5_4B48_B2A7_DDDD21669987_.wvu.FilterData" hidden="1">#REF!</definedName>
    <definedName name="Z_6CD84A0B_C00D_4BC8_A655_6383CCA4B296_.wvu.FilterData" hidden="1">#REF!</definedName>
    <definedName name="Z_6D5E5F42_E924_48A0_A50F_5BB481AFD1D5_.wvu.FilterData" hidden="1">#REF!</definedName>
    <definedName name="Z_6D789842_F56B_40C4_8907_F36C02855F76_.wvu.FilterData" hidden="1">#REF!</definedName>
    <definedName name="Z_6E345713_0818_471C_B54B_D890B987A0BC_.wvu.FilterData" hidden="1">#REF!</definedName>
    <definedName name="Z_701DEAE4_9CF1_491A_A54B_A6AE3235639D_.wvu.FilterData" hidden="1">#REF!</definedName>
    <definedName name="Z_7319B1DA_C8AE_4D1D_AB4C_B14141921483_.wvu.FilterData" hidden="1">#REF!</definedName>
    <definedName name="Z_75A1B66F_9EE1_4406_8264_C9BF12113183_.wvu.FilterData" hidden="1">#REF!</definedName>
    <definedName name="Z_7651BD63_D75B_41A5_B133_06AE6A84AE8F_.wvu.FilterData" hidden="1">#REF!</definedName>
    <definedName name="Z_767B7DB4_B657_4E6E_831B_84CA933FFCBE_.wvu.FilterData" hidden="1">#REF!</definedName>
    <definedName name="Z_76FA93EF_40A9_4929_9B4A_2213742C1620_.wvu.FilterData" hidden="1">#REF!</definedName>
    <definedName name="Z_78A33412_D032_45F7_9C2D_D4A31DB937D9_.wvu.FilterData" hidden="1">#REF!</definedName>
    <definedName name="Z_796E4E5E_16C3_474D_B1D5_F6D39CD34051_.wvu.FilterData" hidden="1">#REF!</definedName>
    <definedName name="Z_7BFA9C41_C881_48A8_90C2_F93F8E16E599_.wvu.FilterData" hidden="1">#REF!</definedName>
    <definedName name="Z_7BFBCE1E_B6C5_4BAC_AD95_2B50D2ED28AB_.wvu.FilterData" hidden="1">#REF!</definedName>
    <definedName name="Z_7C6FEBF3_4382_4282_BBB0_E0269BEE42DE_.wvu.FilterData" hidden="1">#REF!</definedName>
    <definedName name="Z_7D057642_92FA_4DD6_84C5_B10B17893E1F_.wvu.FilterData" hidden="1">#REF!</definedName>
    <definedName name="Z_7ED5F3D1_B838_492E_9467_7E7CE6B348ED_.wvu.FilterData" hidden="1">#REF!</definedName>
    <definedName name="Z_8090FD3B_94DF_4ACF_9708_D5B9ADEFD29C_.wvu.FilterData" hidden="1">#REF!</definedName>
    <definedName name="Z_8149A5A7_8307_4FA6_B457_A66B8A6DFABD_.wvu.FilterData" hidden="1">#REF!</definedName>
    <definedName name="Z_819A0FD3_B678_47E8_9DFB_641B3990B590_.wvu.FilterData" hidden="1">#REF!</definedName>
    <definedName name="Z_82999604_BD48_4054_BDCB_CB8B074A34A3_.wvu.FilterData" hidden="1">#REF!</definedName>
    <definedName name="Z_8473B3F0_0740_4E9F_9BAE_9113E5077DE8_.wvu.FilterData" hidden="1">#REF!</definedName>
    <definedName name="Z_85A83A94_71B4_44C8_8B5A_68CAA2461241_.wvu.FilterData" hidden="1">#REF!</definedName>
    <definedName name="Z_86E0C273_91AF_11D7_9C1E_0004231B06E7_.wvu.FilterData" hidden="1">#REF!</definedName>
    <definedName name="Z_87F04A72_68BF_497D_8569_47D1A3B89590_.wvu.FilterData" hidden="1">#REF!</definedName>
    <definedName name="Z_893CBEFD_F317_41F0_BA87_CC1860E1F73B_.wvu.FilterData" hidden="1">#REF!</definedName>
    <definedName name="Z_89D83FA2_2F4F_4275_9074_3A6247C2CDA6_.wvu.FilterData" hidden="1">#REF!</definedName>
    <definedName name="Z_8B2E8E84_1A68_4B75_A867_04E8EAC8E685_.wvu.FilterData" hidden="1">#REF!</definedName>
    <definedName name="Z_8B5FADF8_BAFC_44E0_9D1D_DE21657D83CA_.wvu.FilterData" hidden="1">#REF!</definedName>
    <definedName name="Z_8CBA7976_3F45_4926_8F5C_251343B1DCDB_.wvu.FilterData" hidden="1">#REF!</definedName>
    <definedName name="Z_8D213052_8AFD_4E06_B410_DCB431062572_.wvu.FilterData" hidden="1">#REF!</definedName>
    <definedName name="Z_8EA755F4_0515_4AA0_970C_55F473C7FD9B_.wvu.FilterData" hidden="1">#REF!</definedName>
    <definedName name="Z_8F33F4E3_A14E_4DD4_ADD4_B19023A45B10_.wvu.FilterData" hidden="1">#REF!</definedName>
    <definedName name="Z_901BF8EA_CA8A_411C_8FD3_BCB793FCF48A_.wvu.FilterData" hidden="1">#REF!</definedName>
    <definedName name="Z_9066F505_4944_4582_AAF9_B40B49D59413_.wvu.PrintArea">#REF!</definedName>
    <definedName name="Z_9066F505_4944_4582_AAF9_B40B49D59413_.wvu.PrintTitles">#REF!</definedName>
    <definedName name="Z_9066F505_4944_4582_AAF9_B40B49D59413_.wvu.Rows">#REF!</definedName>
    <definedName name="Z_91488B6D_F045_4050_BA1B_41C2E3B3B10A_.wvu.FilterData" hidden="1">#REF!</definedName>
    <definedName name="Z_92919032_3A1D_4E0A_A8D8_FD23494D13A8_.wvu.FilterData" hidden="1">#REF!</definedName>
    <definedName name="Z_9587B38A_B060_410B_8598_4B23623A371C_.wvu.FilterData" hidden="1">#REF!</definedName>
    <definedName name="Z_96EB0306_BB94_45E8_9D0D_4C07A6623010_.wvu.FilterData" hidden="1">#REF!</definedName>
    <definedName name="Z_97666733_8666_4F9D_9588_AF9B6CF9224C_.wvu.FilterData" hidden="1">#REF!</definedName>
    <definedName name="Z_98599B4F_1D05_4040_9183_E1D7A1DDEB9C_.wvu.FilterData" hidden="1">#REF!</definedName>
    <definedName name="Z_98C8BF36_C172_45C3_8EFB_521E6ACCA0D3_.wvu.FilterData" hidden="1">#REF!</definedName>
    <definedName name="Z_9A372634_7C2D_4502_BF44_0C63FD1FB6D2_.wvu.FilterData" hidden="1">#REF!</definedName>
    <definedName name="Z_9A5CC0D4_28E7_4461_BE2E_802002496535_.wvu.FilterData" hidden="1">#REF!</definedName>
    <definedName name="Z_9C86BF25_210A_4B5C_9F2A_856CA801294A_.wvu.FilterData" hidden="1">#REF!</definedName>
    <definedName name="Z_9C8AF864_7E20_415C_848E_C2849E8CBF0C_.wvu.FilterData" hidden="1">#REF!</definedName>
    <definedName name="Z_9E7B61E2_2701_4257_A261_86548A6D7D7C_.wvu.FilterData" hidden="1">#REF!</definedName>
    <definedName name="Z_A0276843_5A14_4A7A_AD1C_583475FE9ED2_.wvu.FilterData" hidden="1">#REF!</definedName>
    <definedName name="Z_A2CB926C_E33A_4E38_9626_682814771DB1_.wvu.FilterData" hidden="1">#REF!</definedName>
    <definedName name="Z_A320C8A7_8D87_4204_85D4_AE25493D1363_.wvu.FilterData" hidden="1">#REF!</definedName>
    <definedName name="Z_A5F4C2AC_640B_40D9_88C9_69B3215DBE96_.wvu.FilterData" hidden="1">#REF!</definedName>
    <definedName name="Z_A686C168_1672_48B1_ADFD_481A1276CC81_.wvu.FilterData" hidden="1">#REF!</definedName>
    <definedName name="Z_A933351F_4BD3_4901_98D5_53D192BD61DC_.wvu.FilterData" hidden="1">#REF!</definedName>
    <definedName name="Z_AA0BD2F5_1513_40DB_B224_CC27CA57E181_.wvu.FilterData" hidden="1">#REF!</definedName>
    <definedName name="Z_AA329A38_94E6_4014_8D54_EFB48C7FA433_.wvu.FilterData" hidden="1">#REF!</definedName>
    <definedName name="Z_AC5679A6_5A24_441C_BBA3_F0C9D8E8E441_.wvu.FilterData" hidden="1">#REF!</definedName>
    <definedName name="Z_ACE528A7_3516_429C_8E77_FA07F86ED2D8_.wvu.Cols">#REF!</definedName>
    <definedName name="Z_AE302359_F16A_4874_8921_3865B0ECD878_.wvu.FilterData" hidden="1">#REF!</definedName>
    <definedName name="Z_AF0BF736_181F_4A59_8FB9_D3BCA8E591F7_.wvu.FilterData" hidden="1">#REF!</definedName>
    <definedName name="Z_AF12B415_1D2E_4088_9C86_BB0173951217_.wvu.FilterData" hidden="1">#REF!</definedName>
    <definedName name="Z_AF537E87_E5DE_4792_8C82_FFA1FC35463A_.wvu.FilterData" hidden="1">#REF!</definedName>
    <definedName name="Z_B1269BAB_A618_45E5_8379_9ECE98405A14_.wvu.FilterData" hidden="1">#REF!</definedName>
    <definedName name="Z_B20EEB3D_E9E6_496E_8678_B417DDC74718_.wvu.FilterData" hidden="1">#REF!</definedName>
    <definedName name="Z_B3255642_8A6B_11D5_916F_005004920FCB_.wvu.PrintTitles">#REF!</definedName>
    <definedName name="Z_B4864B96_AD18_4114_8AFA_A8BAA8915737_.wvu.FilterData" hidden="1">#REF!</definedName>
    <definedName name="Z_B645C4A8_1830_42C7_9DBF_0F519499A6CE_.wvu.FilterData" hidden="1">#REF!</definedName>
    <definedName name="Z_B7475313_60A1_440E_A07B_6B97978B34F2_.wvu.FilterData" hidden="1">#REF!</definedName>
    <definedName name="Z_B891B51F_1CA2_435F_A819_8A494B08D3EE_.wvu.FilterData" hidden="1">#REF!</definedName>
    <definedName name="Z_B8CE2FA5_D3F2_48A0_8603_A3FBA2808CB4_.wvu.FilterData" hidden="1">#REF!</definedName>
    <definedName name="Z_B9837360_94DA_11D7_9C1E_0004231B06E7_.wvu.FilterData" hidden="1">#REF!</definedName>
    <definedName name="Z_BBE1AFA0_C6F6_4019_9D53_075DA4654337_.wvu.FilterData" hidden="1">#REF!</definedName>
    <definedName name="Z_BC0EED6A_3F15_49FF_A48F_B40AC74B528A_.wvu.FilterData" hidden="1">#REF!</definedName>
    <definedName name="Z_BC4212E8_2D54_48E9_A2B4_66875F86EBEF_.wvu.FilterData" hidden="1">#REF!</definedName>
    <definedName name="Z_BE48B5BF_102F_4FB8_8807_DA126440E01B_.wvu.FilterData" hidden="1">#REF!</definedName>
    <definedName name="Z_BE949522_4A35_4352_9A91_0CE0E28D3461_.wvu.FilterData" hidden="1">#REF!</definedName>
    <definedName name="Z_C1310828_8567_4952_A9D3_7183F1221321_.wvu.FilterData" hidden="1">#REF!</definedName>
    <definedName name="Z_C581774C_2FCD_4906_B930_CCB3F9F9A50B_.wvu.FilterData" hidden="1">#REF!</definedName>
    <definedName name="Z_C67C9A44_7556_4756_AC39_E00F137116ED_.wvu.FilterData" hidden="1">#REF!</definedName>
    <definedName name="Z_C908089F_9A5A_11D7_9C1E_0004231B06E7_.wvu.FilterData" hidden="1">#REF!</definedName>
    <definedName name="Z_C942EE3A_8DBF_41D7_ADAF_F43C01F31E23_.wvu.FilterData" hidden="1">#REF!</definedName>
    <definedName name="Z_CB8FB7EE_B771_11D7_9C1E_0004231B06E7_.wvu.FilterData" hidden="1">#REF!</definedName>
    <definedName name="Z_CB8FB7F1_B771_11D7_9C1E_0004231B06E7_.wvu.FilterData" hidden="1">#REF!</definedName>
    <definedName name="Z_CD48E0DF_E307_492A_9CFD_ADF6DE6ECCFB_.wvu.FilterData" hidden="1">#REF!</definedName>
    <definedName name="Z_CDAD3BC7_95B1_4949_91B3_EAB234D2A550_.wvu.FilterData" hidden="1">#REF!</definedName>
    <definedName name="Z_CE1A6073_4007_44EE_88D3_3C79CF746C78_.wvu.FilterData" hidden="1">#REF!</definedName>
    <definedName name="Z_D0500033_B90B_46E5_BD62_60D0DA033A55_.wvu.FilterData" hidden="1">#REF!</definedName>
    <definedName name="Z_D11C04A2_606C_4EF4_9AD3_4865E5EFAE70_.wvu.FilterData" hidden="1">#REF!</definedName>
    <definedName name="Z_D1371C66_ADFD_11D7_9C1E_0004231B06E7_.wvu.FilterData" hidden="1">#REF!</definedName>
    <definedName name="Z_D1371C82_ADFD_11D7_9C1E_0004231B06E7_.wvu.FilterData" hidden="1">#REF!</definedName>
    <definedName name="Z_D1371C98_ADFD_11D7_9C1E_0004231B06E7_.wvu.FilterData" hidden="1">#REF!</definedName>
    <definedName name="Z_D15727E9_9BC2_420E_AC98_E8E9B60BD754_.wvu.FilterData" hidden="1">#REF!</definedName>
    <definedName name="Z_D371D622_5497_46A4_826D_01F2F492E39D_.wvu.FilterData" hidden="1">#REF!</definedName>
    <definedName name="Z_D3FF2053_BD11_4CA8_9648_A06F387C0C79_.wvu.FilterData" hidden="1">#REF!</definedName>
    <definedName name="Z_D4D6DC3A_302F_4BF4_8221_EFB7EA05B30F_.wvu.FilterData" hidden="1">#REF!</definedName>
    <definedName name="Z_D4FF4BA0_F9BE_4CEE_B334_FBD19DA86BF4_.wvu.FilterData" hidden="1">#REF!</definedName>
    <definedName name="Z_D5810466_54E3_455B_B341_3E7B86FB72D3_.wvu.FilterData" hidden="1">#REF!</definedName>
    <definedName name="Z_D60B1DF7_D653_4F01_B5AD_6A66E578C24F_.wvu.FilterData" hidden="1">#REF!</definedName>
    <definedName name="Z_D684BA0E_B94B_4BF7_8F27_4E3A1924425C_.wvu.FilterData" hidden="1">#REF!</definedName>
    <definedName name="Z_D9443332_B48E_4E65_8F23_AC96FB75A5A9_.wvu.FilterData" hidden="1">#REF!</definedName>
    <definedName name="Z_DAA35AF8_874B_4671_A195_994D9700CFB0_.wvu.FilterData" hidden="1">#REF!</definedName>
    <definedName name="Z_DB31579F_8662_40C5_BB19_660F0F7B70E5_.wvu.FilterData" hidden="1">#REF!</definedName>
    <definedName name="Z_DB349C77_BBCF_4BF0_8906_770DC9CEB279_.wvu.FilterData" hidden="1">#REF!</definedName>
    <definedName name="Z_DBA9A16F_C863_43D6_BEF6_4907AD7FF11A_.wvu.FilterData" hidden="1">#REF!</definedName>
    <definedName name="Z_DC39DC03_5BF1_41DE_A26D_8DA774859990_.wvu.FilterData" hidden="1">#REF!</definedName>
    <definedName name="Z_DC4BE57B_E9B6_4823_AAB5_0B4AD0A1C9F8_.wvu.FilterData" hidden="1">#REF!</definedName>
    <definedName name="Z_DD40B456_B833_4D7B_A3C9_47AA2D6A0830_.wvu.FilterData" hidden="1">#REF!</definedName>
    <definedName name="Z_DDC9046D_2716_4CA3_9471_7091058B3C12_.wvu.FilterData" hidden="1">#REF!</definedName>
    <definedName name="Z_DF3B204A_F509_4DA0_BCB7_F89536B5FEBF_.wvu.FilterData" hidden="1">#REF!</definedName>
    <definedName name="Z_E3FFE9E0_6C4F_4FB4_A56E_FBE96871B5C8_.wvu.Cols" localSheetId="0" hidden="1">#REF!,#REF!</definedName>
    <definedName name="Z_E3FFE9E0_6C4F_4FB4_A56E_FBE96871B5C8_.wvu.Cols">#REF!,#REF!</definedName>
    <definedName name="Z_E3FFE9E0_6C4F_4FB4_A56E_FBE96871B5C8_.wvu.FilterData" localSheetId="0" hidden="1">#REF!</definedName>
    <definedName name="Z_E3FFE9E0_6C4F_4FB4_A56E_FBE96871B5C8_.wvu.FilterData" hidden="1">#REF!</definedName>
    <definedName name="Z_E42D429F_E4E8_41D2_9176_83C726BAF8E3_.wvu.FilterData" localSheetId="0" hidden="1">#REF!</definedName>
    <definedName name="Z_E42D429F_E4E8_41D2_9176_83C726BAF8E3_.wvu.FilterData" hidden="1">#REF!</definedName>
    <definedName name="Z_E491B72F_902A_11D7_9C1E_0004231B06E7_.wvu.FilterData" localSheetId="0" hidden="1">#REF!</definedName>
    <definedName name="Z_E491B72F_902A_11D7_9C1E_0004231B06E7_.wvu.FilterData" hidden="1">#REF!</definedName>
    <definedName name="Z_E491B77E_902A_11D7_9C1E_0004231B06E7_.wvu.FilterData" hidden="1">#REF!</definedName>
    <definedName name="Z_E4A534A8_CD89_4423_9F3F_8134353F3CAC_.wvu.FilterData" hidden="1">#REF!</definedName>
    <definedName name="Z_E4E1532E_DC25_47E7_8CAC_8E70342889F1_.wvu.FilterData" hidden="1">#REF!</definedName>
    <definedName name="Z_E74731A0_5CEF_4B97_AFDD_B1DCA3953478_.wvu.FilterData" hidden="1">#REF!</definedName>
    <definedName name="Z_E7582842_0D7F_4174_A223_2AB1DD8C9047_.wvu.FilterData" hidden="1">#REF!</definedName>
    <definedName name="Z_E7E3B215_0D2B_424B_B9A9_091ABF42A9B2_.wvu.FilterData" hidden="1">#REF!</definedName>
    <definedName name="Z_E833D806_B408_4951_8EA0_84873DD98CC6_.wvu.FilterData" hidden="1">#REF!</definedName>
    <definedName name="Z_E84FA520_D8B7_472A_9913_1B62E15D532D_.wvu.FilterData" hidden="1">#REF!</definedName>
    <definedName name="Z_E856A7FB_F0DE_4CE8_85BE_FBD78193AF0B_.wvu.FilterData" hidden="1">#REF!</definedName>
    <definedName name="Z_E8B81FC8_C17A_451A_B505_641DE5886245_.wvu.FilterData" hidden="1">#REF!</definedName>
    <definedName name="Z_EA900FC6_5EC3_4E18_9ED9_37FAC8862A4C_.wvu.FilterData" hidden="1">#REF!</definedName>
    <definedName name="Z_EC12F0CE_807C_4CF2_B52D_1E5945238C05_.wvu.FilterData" hidden="1">#REF!</definedName>
    <definedName name="Z_EC74CDC8_4C91_4C55_BE9F_24DF0A9793FF_.wvu.FilterData" hidden="1">#REF!</definedName>
    <definedName name="Z_ED3E33DB_FBFA_4FDE_929F_AD12074101A3_.wvu.FilterData" hidden="1">#REF!</definedName>
    <definedName name="Z_EE21DFC7_81AA_40DA_B313_9BC83DA41DD6_.wvu.FilterData" hidden="1">#REF!</definedName>
    <definedName name="Z_EE5311D7_3149_40F1_82F5_7EEC6ACB6C85_.wvu.FilterData" hidden="1">#REF!</definedName>
    <definedName name="Z_EEE8CD21_C3A5_4786_B8BE_B9E68F0A5347_.wvu.FilterData" hidden="1">#REF!</definedName>
    <definedName name="Z_F0522591_4E2E_4AD6_B99B_B69551272A68_.wvu.FilterData" hidden="1">#REF!</definedName>
    <definedName name="Z_F1326E0B_5376_4D6E_9BC8_214AA525DE83_.wvu.FilterData" hidden="1">#REF!</definedName>
    <definedName name="Z_F2145668_4090_4220_8C3C_9C4DCC7A01D1_.wvu.Cols">#REF!</definedName>
    <definedName name="Z_F2145668_4090_4220_8C3C_9C4DCC7A01D1_.wvu.FilterData" hidden="1">#REF!</definedName>
    <definedName name="Z_F300E2D5_C458_4E4B_AB71_FF06367EF684_.wvu.FilterData" hidden="1">#REF!</definedName>
    <definedName name="Z_F3F443DB_8EE1_48F9_9BF4_EAF21EDD719F_.wvu.FilterData" hidden="1">#REF!</definedName>
    <definedName name="Z_F6923408_DB58_4A59_8717_D0133A922204_.wvu.FilterData" hidden="1">#REF!</definedName>
    <definedName name="Z_F9CB3A99_6D24_412C_93C4_575819594890_.wvu.FilterData" localSheetId="0" hidden="1">#REF!</definedName>
    <definedName name="Z_F9CB3A99_6D24_412C_93C4_575819594890_.wvu.FilterData" hidden="1">#REF!</definedName>
    <definedName name="Z_FA40CB26_17FE_4901_96A4_2176E8FA5EEE_.wvu.FilterData" hidden="1">#REF!</definedName>
    <definedName name="Z_FC4D1412_4B52_4393_A184_1BAD70B9C231_.wvu.FilterData" hidden="1">#REF!</definedName>
    <definedName name="Z_FD259A29_AD61_4284_9BC7_5C3B20DD002B_.wvu.FilterData" hidden="1">#REF!</definedName>
    <definedName name="Z_FDFF93A6_D487_497C_8FA1_B8636451E74C_.wvu.FilterData" hidden="1">#REF!</definedName>
    <definedName name="Z_FE37516D_56E4_424C_8DE6_6B2719F76EF4_.wvu.FilterData" hidden="1">#REF!</definedName>
    <definedName name="Z_FEBB3479_FB57_4CDC_BCCD_5D8B83257FC7_.wvu.FilterData" hidden="1">#REF!</definedName>
    <definedName name="zcdçskld" localSheetId="0" hidden="1">{#N/A,#N/A,FALSE,"Plan1";#N/A,#N/A,FALSE,"Plan2"}</definedName>
    <definedName name="zcdçskld">{#N/A,#N/A,FALSE,"Plan1";#N/A,#N/A,FALSE,"Plan2"}</definedName>
    <definedName name="zcsdrfrt" localSheetId="0" hidden="1">{#N/A,#N/A,FALSE,"Plan1";#N/A,#N/A,FALSE,"Plan2"}</definedName>
    <definedName name="zcsdrfrt">{#N/A,#N/A,FALSE,"Plan1";#N/A,#N/A,FALSE,"Plan2"}</definedName>
    <definedName name="ZDRE" localSheetId="0" hidden="1">{#N/A,#N/A,FALSE,"Plan1";#N/A,#N/A,FALSE,"Plan2"}</definedName>
    <definedName name="ZDRE">{#N/A,#N/A,FALSE,"Plan1";#N/A,#N/A,FALSE,"Plan2"}</definedName>
    <definedName name="ZEZE">#REF!</definedName>
    <definedName name="ZIN">#REF!</definedName>
    <definedName name="ZINS">#REF!</definedName>
    <definedName name="ZSADF" localSheetId="0" hidden="1">{#N/A,#N/A,FALSE,"Plan1";#N/A,#N/A,FALSE,"Plan2"}</definedName>
    <definedName name="ZSADF">{#N/A,#N/A,FALSE,"Plan1";#N/A,#N/A,FALSE,"Plan2"}</definedName>
    <definedName name="zsads" localSheetId="0" hidden="1">{#N/A,#N/A,FALSE,"Plan1";#N/A,#N/A,FALSE,"Plan2"}</definedName>
    <definedName name="zsads">{#N/A,#N/A,FALSE,"Plan1";#N/A,#N/A,FALSE,"Plan2"}</definedName>
    <definedName name="ZSDFSETR" localSheetId="0" hidden="1">#REF!</definedName>
    <definedName name="ZSDFSETR">#REF!</definedName>
    <definedName name="zsds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 localSheetId="0" hidden="1">{#N/A,#N/A,FALSE,"Plan1";#N/A,#N/A,FALSE,"Plan2"}</definedName>
    <definedName name="zxccdf">{#N/A,#N/A,FALSE,"Plan1";#N/A,#N/A,FALSE,"Plan2"}</definedName>
    <definedName name="zxcdsf" localSheetId="0" hidden="1">#REF!</definedName>
    <definedName name="zxcdsf">#REF!</definedName>
    <definedName name="zxcfdstrrt" localSheetId="0" hidden="1">{#N/A,#N/A,FALSE,"Plan1";#N/A,#N/A,FALSE,"Plan2"}</definedName>
    <definedName name="zxcfdstrrt">{#N/A,#N/A,FALSE,"Plan1";#N/A,#N/A,FALSE,"Plan2"}</definedName>
    <definedName name="zxcx" localSheetId="0" hidden="1">{#N/A,#N/A,FALSE,"Plan1";#N/A,#N/A,FALSE,"Plan2"}</definedName>
    <definedName name="zxcx">{#N/A,#N/A,FALSE,"Plan1";#N/A,#N/A,FALSE,"Plan2"}</definedName>
    <definedName name="ZXFCR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 localSheetId="0" hidden="1">{#N/A,#N/A,FALSE,"Plan1";#N/A,#N/A,FALSE,"Plan2"}</definedName>
    <definedName name="ZXFHDFRHDF">{#N/A,#N/A,FALSE,"Plan1";#N/A,#N/A,FALSE,"Plan2"}</definedName>
    <definedName name="ZZ">#REF!</definedName>
    <definedName name="zzdftr" localSheetId="0" hidden="1">{#N/A,#N/A,FALSE,"Plan1";#N/A,#N/A,FALSE,"Plan2"}</definedName>
    <definedName name="zzdftr">{#N/A,#N/A,FALSE,"Plan1";#N/A,#N/A,FALSE,"Plan2"}</definedName>
    <definedName name="zzz" localSheetId="0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zzz">#REF!</definedName>
    <definedName name="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 localSheetId="0" hidden="1">{"'장비'!$A$3:$M$12"}</definedName>
    <definedName name="ㄱㄷㄱㄷㄱㄱㅎㄺㄷ">{"'장비'!$A$3:$M$12"}</definedName>
    <definedName name="가나다">#REF!</definedName>
    <definedName name="검증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조건" localSheetId="0" hidden="1">#REF!</definedName>
    <definedName name="견적조건">#REF!</definedName>
    <definedName name="계약고햔황2" localSheetId="0" hidden="1">#REF!</definedName>
    <definedName name="계약고햔황2">#REF!</definedName>
    <definedName name="계약고현황2" localSheetId="0" hidden="1">#REF!</definedName>
    <definedName name="계약고현황2">#REF!</definedName>
    <definedName name="고문" localSheetId="0" hidden="1">{#N/A,#N/A,FALSE,"현장 NCR 분석";#N/A,#N/A,FALSE,"현장품질감사";#N/A,#N/A,FALSE,"현장품질감사"}</definedName>
    <definedName name="고문">{#N/A,#N/A,FALSE,"현장 NCR 분석";#N/A,#N/A,FALSE,"현장품질감사";#N/A,#N/A,FALSE,"현장품질감사"}</definedName>
    <definedName name="고문2" localSheetId="0" hidden="1">{#N/A,#N/A,FALSE,"현장 NCR 분석";#N/A,#N/A,FALSE,"현장품질감사";#N/A,#N/A,FALSE,"현장품질감사"}</definedName>
    <definedName name="고문2">{#N/A,#N/A,FALSE,"현장 NCR 분석";#N/A,#N/A,FALSE,"현장품질감사";#N/A,#N/A,FALSE,"현장품질감사"}</definedName>
    <definedName name="공공공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 localSheetId="0" hidden="1">{#N/A,#N/A,FALSE,"ENG'G(보호계전기)"}</definedName>
    <definedName name="공급구분표_수정">{#N/A,#N/A,FALSE,"ENG'G(보호계전기)"}</definedName>
    <definedName name="공급표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ㄴㄴ" localSheetId="0" hidden="1">#REF!</definedName>
    <definedName name="ㄴㄴㄴㄴ">#REF!</definedName>
    <definedName name="내역" localSheetId="0" hidden="1">{#N/A,#N/A,FALSE,"CCTV"}</definedName>
    <definedName name="내역">{#N/A,#N/A,FALSE,"CCTV"}</definedName>
    <definedName name="ㄷㄳ" localSheetId="0" hidden="1">{"'장비'!$A$3:$M$12"}</definedName>
    <definedName name="ㄷㄳ">{"'장비'!$A$3:$M$12"}</definedName>
    <definedName name="ㄷㄷㄷㄷ" localSheetId="0" hidden="1">{"'장비'!$A$3:$M$12"}</definedName>
    <definedName name="ㄷㄷㄷㄷ">{"'장비'!$A$3:$M$12"}</definedName>
    <definedName name="ㄷㅈㅂㄷ" localSheetId="0" hidden="1">{"'장비'!$A$3:$M$12"}</definedName>
    <definedName name="ㄷㅈㅂㄷ">{"'장비'!$A$3:$M$12"}</definedName>
    <definedName name="당초계획">#REF!</definedName>
    <definedName name="도면외주">#REF!</definedName>
    <definedName name="도면용역비">#REF!</definedName>
    <definedName name="ㄹㄹ" localSheetId="0" hidden="1">{"'장비'!$A$3:$M$12"}</definedName>
    <definedName name="ㄹㄹ">{"'장비'!$A$3:$M$12"}</definedName>
    <definedName name="ㄹㄹㄹ">#REF!</definedName>
    <definedName name="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 localSheetId="0" hidden="1">{#N/A,#N/A,FALSE,"현장 NCR 분석";#N/A,#N/A,FALSE,"현장품질감사";#N/A,#N/A,FALSE,"현장품질감사"}</definedName>
    <definedName name="러러러">{#N/A,#N/A,FALSE,"현장 NCR 분석";#N/A,#N/A,FALSE,"현장품질감사";#N/A,#N/A,FALSE,"현장품질감사"}</definedName>
    <definedName name="ㅁ" localSheetId="0" hidden="1">{#N/A,#N/A,FALSE,"명세표"}</definedName>
    <definedName name="ㅁ">{#N/A,#N/A,FALSE,"명세표"}</definedName>
    <definedName name="ㅁㄱ해ㅜ5" localSheetId="0" hidden="1">#REF!</definedName>
    <definedName name="ㅁㄱ해ㅜ5">#REF!</definedName>
    <definedName name="ㅁ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 localSheetId="0" hidden="1">{#N/A,#N/A,FALSE,"명세표"}</definedName>
    <definedName name="ㅁㅁ">{#N/A,#N/A,FALSE,"명세표"}</definedName>
    <definedName name="ㅁㅁㅁ" localSheetId="0" hidden="1">#REF!</definedName>
    <definedName name="ㅁㅁㅁ">#REF!</definedName>
    <definedName name="ㅁㅁㅁㅁㅁㅁㅁㅁㅁㅁㅁ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 localSheetId="0" hidden="1">{#N/A,#N/A,FALSE,"명세표"}</definedName>
    <definedName name="머">{#N/A,#N/A,FALSE,"명세표"}</definedName>
    <definedName name="ㅂㅂㅂㅂ" localSheetId="0" hidden="1">{#N/A,#N/A,FALSE,"명세표"}</definedName>
    <definedName name="ㅂㅂㅂㅂ">{#N/A,#N/A,FALSE,"명세표"}</definedName>
    <definedName name="ㅂㅂㅂㅂㅂㅂㅂ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 localSheetId="0" hidden="1">{"'장비'!$A$3:$M$12"}</definedName>
    <definedName name="ㅂㅈㄱㅂㅈㄷㄱ">{"'장비'!$A$3:$M$12"}</definedName>
    <definedName name="ㅂㅈㄷ" localSheetId="0" hidden="1">{"'장비'!$A$3:$M$12"}</definedName>
    <definedName name="ㅂㅈㄷ">{"'장비'!$A$3:$M$12"}</definedName>
    <definedName name="ㅂㅈㄷㄷㅂㅈㅈㅂ" localSheetId="0" hidden="1">{"'장비'!$A$3:$M$12"}</definedName>
    <definedName name="ㅂㅈㄷㄷㅂㅈㅈㅂ">{"'장비'!$A$3:$M$12"}</definedName>
    <definedName name="ㅂㅈㄷㅂㅈ" localSheetId="0" hidden="1">{"'장비'!$A$3:$M$12"}</definedName>
    <definedName name="ㅂㅈㄷㅂㅈ">{"'장비'!$A$3:$M$12"}</definedName>
    <definedName name="ㅂㅈㄷㅂㅈㅈㅂㄷ" localSheetId="0" hidden="1">{"'장비'!$A$3:$M$12"}</definedName>
    <definedName name="ㅂㅈㄷㅂㅈㅈㅂㄷ">{"'장비'!$A$3:$M$12"}</definedName>
    <definedName name="ㅂㅈㄷㅈㅂㄷ" localSheetId="0" hidden="1">{"'장비'!$A$3:$M$12"}</definedName>
    <definedName name="ㅂㅈㄷㅈㅂㄷ">{"'장비'!$A$3:$M$12"}</definedName>
    <definedName name="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충" localSheetId="0" hidden="1">#REF!</definedName>
    <definedName name="보충">#REF!</definedName>
    <definedName name="보호" localSheetId="0" hidden="1">{#N/A,#N/A,FALSE,"ENG'G(보호계전기)"}</definedName>
    <definedName name="보호">{#N/A,#N/A,FALSE,"ENG'G(보호계전기)"}</definedName>
    <definedName name="본공사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공사" localSheetId="0" hidden="1">#REF!</definedName>
    <definedName name="부대공사">#REF!</definedName>
    <definedName name="부손익" localSheetId="0" hidden="1">{#N/A,#N/A,FALSE,"현장 NCR 분석";#N/A,#N/A,FALSE,"현장품질감사";#N/A,#N/A,FALSE,"현장품질감사"}</definedName>
    <definedName name="부손익">{#N/A,#N/A,FALSE,"현장 NCR 분석";#N/A,#N/A,FALSE,"현장품질감사";#N/A,#N/A,FALSE,"현장품질감사"}</definedName>
    <definedName name="분야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 localSheetId="0" hidden="1">{"'장비'!$A$3:$M$12"}</definedName>
    <definedName name="ㅅㄱㄱㄷ">{"'장비'!$A$3:$M$12"}</definedName>
    <definedName name="ㅅㅅㅅㅅㅅ" localSheetId="0" hidden="1">{"'장비'!$A$3:$M$12"}</definedName>
    <definedName name="ㅅㅅㅅㅅㅅ">{"'장비'!$A$3:$M$12"}</definedName>
    <definedName name="사업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계획수정" localSheetId="0" hidden="1">#REF!</definedName>
    <definedName name="사업계획수정">#REF!</definedName>
    <definedName name="사업관리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부양식2" localSheetId="0" hidden="1">#REF!</definedName>
    <definedName name="사업부양식2">#REF!</definedName>
    <definedName name="산출" localSheetId="0" hidden="1">#REF!</definedName>
    <definedName name="산출">#REF!</definedName>
    <definedName name="새안" localSheetId="0" hidden="1">{#N/A,#N/A,FALSE,"TABLE"}</definedName>
    <definedName name="새안">{#N/A,#N/A,FALSE,"TABLE"}</definedName>
    <definedName name="석항" localSheetId="0" hidden="1">{#N/A,#N/A,FALSE,"명세표"}</definedName>
    <definedName name="석항">{#N/A,#N/A,FALSE,"명세표"}</definedName>
    <definedName name="설계현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손익계산서" localSheetId="0" hidden="1">#REF!</definedName>
    <definedName name="손익계산서">#REF!</definedName>
    <definedName name="쇼ㅗㅎ로" localSheetId="0" hidden="1">{"'장비'!$A$3:$M$12"}</definedName>
    <definedName name="쇼ㅗㅎ로">{"'장비'!$A$3:$M$12"}</definedName>
    <definedName name="수">#REF!</definedName>
    <definedName name="수당" localSheetId="0" hidden="1">#N/A</definedName>
    <definedName name="수당">#REF!</definedName>
    <definedName name="신설" localSheetId="0" hidden="1">{#N/A,#N/A,FALSE,"명세표"}</definedName>
    <definedName name="신설">{#N/A,#N/A,FALSE,"명세표"}</definedName>
    <definedName name="실적총괄1" localSheetId="0" hidden="1">#REF!</definedName>
    <definedName name="실적총괄1">#REF!</definedName>
    <definedName name="실총" localSheetId="0" hidden="1">#REF!</definedName>
    <definedName name="실총">#REF!</definedName>
    <definedName name="ㅇㄹㄹ" localSheetId="0" hidden="1">#REF!</definedName>
    <definedName name="ㅇㄹㄹ">#REF!</definedName>
    <definedName name="ㅇ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ㅇㅇ" localSheetId="0" hidden="1">#REF!</definedName>
    <definedName name="ㅇㅇㅇㅇ">#REF!</definedName>
    <definedName name="양식변경12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월" localSheetId="0" hidden="1">#REF!</definedName>
    <definedName name="이월">#REF!</definedName>
    <definedName name="이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 localSheetId="0" hidden="1">{#N/A,#N/A,FALSE,"명세표"}</definedName>
    <definedName name="ㅈ">{#N/A,#N/A,FALSE,"명세표"}</definedName>
    <definedName name="ㅈㅈㅈㅈ" localSheetId="0" hidden="1">{#N/A,#N/A,FALSE,"명세표"}</definedName>
    <definedName name="ㅈㅈㅈㅈ">{#N/A,#N/A,FALSE,"명세표"}</definedName>
    <definedName name="자미" localSheetId="0" hidden="1">{#N/A,#N/A,FALSE,"명세표"}</definedName>
    <definedName name="자미">{#N/A,#N/A,FALSE,"명세표"}</definedName>
    <definedName name="자운" localSheetId="0" hidden="1">#REF!</definedName>
    <definedName name="자운">#REF!</definedName>
    <definedName name="자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계장금액" localSheetId="0" hidden="1">#REF!</definedName>
    <definedName name="전계장금액">#REF!</definedName>
    <definedName name="전기사양_SAMPL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선조장" localSheetId="0" hidden="1">#REF!</definedName>
    <definedName name="전선조장">#REF!</definedName>
    <definedName name="조직표현장" localSheetId="0" hidden="1">#REF!</definedName>
    <definedName name="조직표현장">#REF!</definedName>
    <definedName name="종합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 localSheetId="0" hidden="1">{#N/A,#N/A,FALSE,"ENG'G(보호계전기)"}</definedName>
    <definedName name="중량비교검토">{#N/A,#N/A,FALSE,"ENG'G(보호계전기)"}</definedName>
    <definedName name="집계" localSheetId="0" hidden="1">{#N/A,#N/A,FALSE,"명세표"}</definedName>
    <definedName name="집계">{#N/A,#N/A,FALSE,"명세표"}</definedName>
    <definedName name="철골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 localSheetId="0" hidden="1">{#N/A,#N/A,FALSE,"명세표"}</definedName>
    <definedName name="ㅋㅁ">{#N/A,#N/A,FALSE,"명세표"}</definedName>
    <definedName name="ㅋㅋㅋ" localSheetId="0" hidden="1">{#N/A,#N/A,FALSE,"명세표"}</definedName>
    <definedName name="ㅋㅋㅋ">{#N/A,#N/A,FALSE,"명세표"}</definedName>
    <definedName name="ㅌㅌ" localSheetId="0" hidden="1">{#N/A,#N/A,FALSE,"명세표"}</definedName>
    <definedName name="ㅌㅌ">{#N/A,#N/A,FALSE,"명세표"}</definedName>
    <definedName name="토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 localSheetId="0" hidden="1">{"'장비'!$A$3:$M$12"}</definedName>
    <definedName name="ㅎㅎㅎㅎ">{"'장비'!$A$3:$M$12"}</definedName>
    <definedName name="하하하" localSheetId="0" hidden="1">{#N/A,#N/A,FALSE,"명세표"}</definedName>
    <definedName name="하하하">{#N/A,#N/A,FALSE,"명세표"}</definedName>
    <definedName name="한국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 localSheetId="0" hidden="1">{#N/A,#N/A,FALSE,"명세표"}</definedName>
    <definedName name="호호호">{#N/A,#N/A,FALSE,"명세표"}</definedName>
    <definedName name="ㅏㅏㅏ" localSheetId="0" hidden="1">{#N/A,#N/A,FALSE,"명세표"}</definedName>
    <definedName name="ㅏㅏㅏ">{#N/A,#N/A,FALSE,"명세표"}</definedName>
    <definedName name="ㅔㅔ" localSheetId="0" hidden="1">{#N/A,#N/A,FALSE,"명세표"}</definedName>
    <definedName name="ㅔㅔ">{#N/A,#N/A,FALSE,"명세표"}</definedName>
    <definedName name="ㅔㅔㅔㅔㅔ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 localSheetId="0" hidden="1">{"'장비'!$A$3:$M$12"}</definedName>
    <definedName name="ㅗ홓ㅎ로">{"'장비'!$A$3:$M$12"}</definedName>
    <definedName name="ㅗㅗ" localSheetId="0" hidden="1">{#N/A,#N/A,FALSE,"명세표"}</definedName>
    <definedName name="ㅗㅗ">{#N/A,#N/A,FALSE,"명세표"}</definedName>
    <definedName name="ㅗㅗㅗㅗㅗ" localSheetId="0" hidden="1">{"'장비'!$A$3:$M$12"}</definedName>
    <definedName name="ㅗㅗㅗㅗㅗ">{"'장비'!$A$3:$M$12"}</definedName>
    <definedName name="ㅛ" localSheetId="0" hidden="1">{"'장비'!$A$3:$M$12"}</definedName>
    <definedName name="ㅛ">{"'장비'!$A$3:$M$12"}</definedName>
    <definedName name="ㅛㅕㅛㅕㅛ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 localSheetId="0" hidden="1">{"'장비'!$A$3:$M$12"}</definedName>
    <definedName name="ㅛㅛㅛ">{"'장비'!$A$3:$M$12"}</definedName>
    <definedName name="ㅜ" localSheetId="0" hidden="1">{#N/A,#N/A,FALSE,"명세표"}</definedName>
    <definedName name="ㅜ">{#N/A,#N/A,FALSE,"명세표"}</definedName>
    <definedName name="ㅠㅠ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 localSheetId="0" hidden="1">{#N/A,#N/A,FALSE,"명세표"}</definedName>
    <definedName name="ㅡㅡ">{#N/A,#N/A,FALSE,"명세표"}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5" i="1" l="1"/>
  <c r="E105" i="1"/>
  <c r="D105" i="1"/>
  <c r="F96" i="1"/>
  <c r="E96" i="1"/>
  <c r="D96" i="1"/>
  <c r="G94" i="1"/>
  <c r="G93" i="1"/>
  <c r="G92" i="1"/>
  <c r="G91" i="1"/>
  <c r="G90" i="1"/>
  <c r="G89" i="1"/>
  <c r="G96" i="1" s="1"/>
  <c r="F12" i="1" s="1"/>
  <c r="D84" i="1"/>
  <c r="C84" i="1"/>
  <c r="B84" i="1"/>
  <c r="D83" i="1"/>
  <c r="C83" i="1"/>
  <c r="B83" i="1"/>
  <c r="J82" i="1"/>
  <c r="C82" i="1"/>
  <c r="D82" i="1" s="1"/>
  <c r="B82" i="1"/>
  <c r="J81" i="1"/>
  <c r="C81" i="1"/>
  <c r="D81" i="1" s="1"/>
  <c r="B81" i="1"/>
  <c r="J80" i="1"/>
  <c r="D80" i="1"/>
  <c r="C80" i="1"/>
  <c r="B80" i="1"/>
  <c r="C79" i="1"/>
  <c r="D79" i="1" s="1"/>
  <c r="B79" i="1"/>
  <c r="C78" i="1"/>
  <c r="D78" i="1" s="1"/>
  <c r="B78" i="1"/>
  <c r="C77" i="1"/>
  <c r="D77" i="1" s="1"/>
  <c r="B77" i="1"/>
  <c r="D76" i="1"/>
  <c r="C76" i="1"/>
  <c r="B76" i="1"/>
  <c r="C75" i="1"/>
  <c r="D75" i="1" s="1"/>
  <c r="B75" i="1"/>
  <c r="I74" i="1"/>
  <c r="C74" i="1"/>
  <c r="D74" i="1" s="1"/>
  <c r="B74" i="1"/>
  <c r="I73" i="1"/>
  <c r="C73" i="1"/>
  <c r="D73" i="1" s="1"/>
  <c r="B73" i="1"/>
  <c r="I72" i="1"/>
  <c r="D72" i="1"/>
  <c r="C72" i="1"/>
  <c r="B72" i="1"/>
  <c r="I71" i="1"/>
  <c r="C71" i="1"/>
  <c r="D71" i="1" s="1"/>
  <c r="B71" i="1"/>
  <c r="I70" i="1"/>
  <c r="C70" i="1"/>
  <c r="D70" i="1" s="1"/>
  <c r="B70" i="1"/>
  <c r="I69" i="1"/>
  <c r="D69" i="1"/>
  <c r="C69" i="1"/>
  <c r="B69" i="1"/>
  <c r="I68" i="1"/>
  <c r="C68" i="1"/>
  <c r="D68" i="1" s="1"/>
  <c r="B68" i="1"/>
  <c r="I67" i="1"/>
  <c r="D67" i="1"/>
  <c r="C67" i="1"/>
  <c r="B67" i="1"/>
  <c r="I66" i="1"/>
  <c r="C66" i="1"/>
  <c r="D66" i="1" s="1"/>
  <c r="B66" i="1"/>
  <c r="I65" i="1"/>
  <c r="C65" i="1"/>
  <c r="D65" i="1" s="1"/>
  <c r="B65" i="1"/>
  <c r="I64" i="1"/>
  <c r="C64" i="1"/>
  <c r="D64" i="1" s="1"/>
  <c r="B64" i="1"/>
  <c r="I63" i="1"/>
  <c r="C63" i="1"/>
  <c r="D63" i="1" s="1"/>
  <c r="B63" i="1"/>
  <c r="I62" i="1"/>
  <c r="C62" i="1"/>
  <c r="D62" i="1" s="1"/>
  <c r="B62" i="1"/>
  <c r="I61" i="1"/>
  <c r="C61" i="1"/>
  <c r="D61" i="1" s="1"/>
  <c r="B61" i="1"/>
  <c r="I60" i="1"/>
  <c r="C60" i="1"/>
  <c r="D60" i="1" s="1"/>
  <c r="B60" i="1"/>
  <c r="I59" i="1"/>
  <c r="C59" i="1"/>
  <c r="D59" i="1" s="1"/>
  <c r="B59" i="1"/>
  <c r="I58" i="1"/>
  <c r="C58" i="1"/>
  <c r="D58" i="1" s="1"/>
  <c r="B58" i="1"/>
  <c r="I57" i="1"/>
  <c r="C57" i="1"/>
  <c r="D57" i="1" s="1"/>
  <c r="B57" i="1"/>
  <c r="I56" i="1"/>
  <c r="D56" i="1"/>
  <c r="C56" i="1"/>
  <c r="B56" i="1"/>
  <c r="I55" i="1"/>
  <c r="C55" i="1"/>
  <c r="D55" i="1" s="1"/>
  <c r="B55" i="1"/>
  <c r="I54" i="1"/>
  <c r="C54" i="1"/>
  <c r="D54" i="1" s="1"/>
  <c r="B54" i="1"/>
  <c r="C53" i="1"/>
  <c r="D53" i="1" s="1"/>
  <c r="B53" i="1"/>
  <c r="C52" i="1"/>
  <c r="D52" i="1" s="1"/>
  <c r="B52" i="1"/>
  <c r="C51" i="1"/>
  <c r="D51" i="1" s="1"/>
  <c r="C14" i="1" s="1"/>
  <c r="B51" i="1"/>
  <c r="G48" i="1"/>
  <c r="F48" i="1"/>
  <c r="G47" i="1"/>
  <c r="F47" i="1"/>
  <c r="G46" i="1"/>
  <c r="F46" i="1"/>
  <c r="G45" i="1"/>
  <c r="F45" i="1"/>
  <c r="G44" i="1"/>
  <c r="F44" i="1"/>
  <c r="E44" i="1"/>
  <c r="G43" i="1"/>
  <c r="F43" i="1"/>
  <c r="E43" i="1"/>
  <c r="G42" i="1"/>
  <c r="F42" i="1"/>
  <c r="E42" i="1"/>
  <c r="G41" i="1"/>
  <c r="F41" i="1"/>
  <c r="E41" i="1"/>
  <c r="G40" i="1"/>
  <c r="F40" i="1"/>
  <c r="E40" i="1"/>
  <c r="G39" i="1"/>
  <c r="F39" i="1"/>
  <c r="E39" i="1"/>
  <c r="G38" i="1"/>
  <c r="F38" i="1"/>
  <c r="E38" i="1"/>
  <c r="G37" i="1"/>
  <c r="F37" i="1"/>
  <c r="E37" i="1"/>
  <c r="G36" i="1"/>
  <c r="F36" i="1"/>
  <c r="E36" i="1"/>
  <c r="G35" i="1"/>
  <c r="F35" i="1"/>
  <c r="E35" i="1"/>
  <c r="G34" i="1"/>
  <c r="F34" i="1"/>
  <c r="E34" i="1"/>
  <c r="G33" i="1"/>
  <c r="F33" i="1"/>
  <c r="E33" i="1"/>
  <c r="G32" i="1"/>
  <c r="F32" i="1"/>
  <c r="E32" i="1"/>
  <c r="G31" i="1"/>
  <c r="F31" i="1"/>
  <c r="E31" i="1"/>
  <c r="G30" i="1"/>
  <c r="F30" i="1"/>
  <c r="E30" i="1"/>
  <c r="G29" i="1"/>
  <c r="F29" i="1"/>
  <c r="E29" i="1"/>
  <c r="G28" i="1"/>
  <c r="F28" i="1"/>
  <c r="E28" i="1"/>
  <c r="G27" i="1"/>
  <c r="F27" i="1"/>
  <c r="E27" i="1"/>
  <c r="G26" i="1"/>
  <c r="F26" i="1"/>
  <c r="E26" i="1"/>
  <c r="C12" i="1" s="1"/>
  <c r="J79" i="1" s="1"/>
  <c r="G25" i="1"/>
  <c r="F25" i="1"/>
  <c r="E25" i="1"/>
  <c r="G24" i="1"/>
  <c r="F24" i="1"/>
  <c r="E24" i="1"/>
  <c r="G23" i="1"/>
  <c r="F23" i="1"/>
  <c r="G22" i="1"/>
  <c r="F22" i="1"/>
  <c r="G21" i="1"/>
  <c r="F21" i="1"/>
  <c r="G20" i="1"/>
  <c r="F20" i="1"/>
  <c r="G19" i="1"/>
  <c r="F19" i="1"/>
  <c r="F16" i="1"/>
  <c r="C16" i="1"/>
  <c r="C10" i="1"/>
  <c r="F6" i="1"/>
  <c r="J52" i="1" l="1"/>
  <c r="L52" i="1" l="1"/>
  <c r="J60" i="1" l="1"/>
  <c r="J63" i="1"/>
  <c r="J64" i="1"/>
  <c r="L60" i="1" l="1"/>
  <c r="J65" i="1"/>
  <c r="L64" i="1"/>
  <c r="L63" i="1"/>
  <c r="L65" i="1" l="1"/>
  <c r="J67" i="1" l="1"/>
  <c r="J70" i="1" l="1"/>
  <c r="L67" i="1"/>
  <c r="L70" i="1" l="1"/>
  <c r="J59" i="1" l="1"/>
  <c r="J54" i="1"/>
  <c r="J69" i="1" l="1"/>
  <c r="L59" i="1"/>
  <c r="J66" i="1"/>
  <c r="L54" i="1"/>
  <c r="J68" i="1" l="1"/>
  <c r="L69" i="1"/>
  <c r="L66" i="1"/>
  <c r="L68" i="1" l="1"/>
  <c r="J72" i="1" l="1"/>
  <c r="L72" i="1" l="1"/>
  <c r="J57" i="1" l="1"/>
  <c r="L57" i="1" l="1"/>
  <c r="J58" i="1" l="1"/>
  <c r="J56" i="1"/>
  <c r="L56" i="1" l="1"/>
  <c r="L58" i="1"/>
  <c r="J55" i="1" l="1"/>
  <c r="L55" i="1" l="1"/>
  <c r="J61" i="1" l="1"/>
  <c r="J73" i="1"/>
  <c r="J71" i="1"/>
  <c r="L71" i="1" l="1"/>
  <c r="L73" i="1"/>
  <c r="L61" i="1"/>
  <c r="J53" i="1"/>
  <c r="L53" i="1" l="1"/>
  <c r="J62" i="1"/>
  <c r="J74" i="1"/>
  <c r="J75" i="1" l="1"/>
  <c r="K79" i="1"/>
  <c r="K52" i="1"/>
  <c r="K64" i="1"/>
  <c r="K60" i="1"/>
  <c r="K63" i="1"/>
  <c r="K65" i="1"/>
  <c r="K67" i="1"/>
  <c r="K70" i="1"/>
  <c r="K59" i="1"/>
  <c r="K54" i="1"/>
  <c r="K69" i="1"/>
  <c r="K66" i="1"/>
  <c r="K68" i="1"/>
  <c r="K72" i="1"/>
  <c r="K57" i="1"/>
  <c r="K56" i="1"/>
  <c r="K58" i="1"/>
  <c r="K55" i="1"/>
  <c r="K71" i="1"/>
  <c r="K61" i="1"/>
  <c r="K73" i="1"/>
  <c r="K53" i="1"/>
  <c r="K74" i="1"/>
  <c r="L74" i="1"/>
  <c r="L62" i="1"/>
  <c r="K62" i="1"/>
  <c r="L75" i="1"/>
  <c r="L76" i="1" s="1"/>
  <c r="K75" i="1" l="1"/>
  <c r="K82" i="1"/>
  <c r="L82" i="1" s="1"/>
  <c r="K81" i="1"/>
  <c r="L81" i="1" s="1"/>
  <c r="L79" i="1"/>
  <c r="K80" i="1"/>
  <c r="L8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tc={F9550D45-C799-4A8D-BEB0-50AE1B1018CC}</author>
  </authors>
  <commentList>
    <comment ref="C6" authorId="0" shapeId="0" xr:uid="{F9550D45-C799-4A8D-BEB0-50AE1B1018C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CONFORME TEMPO DE EQUIPE EM FORMULÁRIO DE INDIRETOS
Responder:
    41 MESES ESTA NO PRELIMINAR</t>
      </text>
    </comment>
  </commentList>
</comments>
</file>

<file path=xl/sharedStrings.xml><?xml version="1.0" encoding="utf-8"?>
<sst xmlns="http://schemas.openxmlformats.org/spreadsheetml/2006/main" count="147" uniqueCount="97">
  <si>
    <t>DADOS DO EMPREENDIMENTO</t>
  </si>
  <si>
    <t xml:space="preserve">Projeto: </t>
  </si>
  <si>
    <t>RESIDENCIAL ALIPIO SCHIRMANN</t>
  </si>
  <si>
    <t>ENDEREÇO DA OBRA:</t>
  </si>
  <si>
    <t>Rua : 298 E RUA 300, lotes 131, 132, 133 e 134, Jardim Guarani-  Nº XX | CEP: 88220-971</t>
  </si>
  <si>
    <t xml:space="preserve">Empresa: </t>
  </si>
  <si>
    <t>Borscheid</t>
  </si>
  <si>
    <t>Cidade/ES:</t>
  </si>
  <si>
    <t>Meia Praia/SC</t>
  </si>
  <si>
    <t xml:space="preserve">Revisão: </t>
  </si>
  <si>
    <t xml:space="preserve">R00 </t>
  </si>
  <si>
    <t>CNPJ:</t>
  </si>
  <si>
    <t>03.893.978/0001-18</t>
  </si>
  <si>
    <t xml:space="preserve">Pazo de Obra: </t>
  </si>
  <si>
    <t xml:space="preserve">Nº Unid. Residenciais: </t>
  </si>
  <si>
    <t>Imagens</t>
  </si>
  <si>
    <t xml:space="preserve">Área do Terreno: </t>
  </si>
  <si>
    <t xml:space="preserve">Nº Unid. Comerciais: </t>
  </si>
  <si>
    <t xml:space="preserve">Área Construída: </t>
  </si>
  <si>
    <t xml:space="preserve">Nº Pavimentos: </t>
  </si>
  <si>
    <t xml:space="preserve">Área Privativa: </t>
  </si>
  <si>
    <t xml:space="preserve">Total de Dormitórios: </t>
  </si>
  <si>
    <t>Área de Lazer:</t>
  </si>
  <si>
    <t xml:space="preserve">Nº Subsolos: </t>
  </si>
  <si>
    <t>Área Comercial:</t>
  </si>
  <si>
    <t xml:space="preserve">Nº Vagas: </t>
  </si>
  <si>
    <t xml:space="preserve">Torre </t>
  </si>
  <si>
    <t>Pavimento</t>
  </si>
  <si>
    <t>Área</t>
  </si>
  <si>
    <t>Área Privativa</t>
  </si>
  <si>
    <t>Perímetro</t>
  </si>
  <si>
    <t>Pé direito</t>
  </si>
  <si>
    <t>Torre 1</t>
  </si>
  <si>
    <t>TÉRREO 01</t>
  </si>
  <si>
    <t>MEZANINO DO 01 PAV</t>
  </si>
  <si>
    <t>2º PAV - GARAGEM</t>
  </si>
  <si>
    <t>MEZANINO DO 02 PAV</t>
  </si>
  <si>
    <t>3º PAVTO -  LAZER</t>
  </si>
  <si>
    <t>4º PAVTO -  TIPO</t>
  </si>
  <si>
    <t>5º PAVTO -  TIPO</t>
  </si>
  <si>
    <t>6º PAVTO -  TIPO</t>
  </si>
  <si>
    <t>7º PAVTO -  TIPO</t>
  </si>
  <si>
    <t>8º PAVTO -  TIPO</t>
  </si>
  <si>
    <t>9º PAVTO -  TIPO</t>
  </si>
  <si>
    <t>10º PAVTO -  TIPO</t>
  </si>
  <si>
    <t>11º PAVTO -  TIPO</t>
  </si>
  <si>
    <t>12º PAVTO -  TIPO</t>
  </si>
  <si>
    <t>13º PAVTO -  TIPO</t>
  </si>
  <si>
    <t>14º PAVTO -  TIPO</t>
  </si>
  <si>
    <t>15º PAVTO -  TIPO</t>
  </si>
  <si>
    <t>16º PAVTO -  TIPO</t>
  </si>
  <si>
    <t>17º PAVTO -  TIPO</t>
  </si>
  <si>
    <t>18º PAVTO -  TIPO</t>
  </si>
  <si>
    <t>19º PAVTO -  TIPO</t>
  </si>
  <si>
    <t>20º PAVTO -  TIPO</t>
  </si>
  <si>
    <t>21º PAVTO -  TIPO</t>
  </si>
  <si>
    <t>22º PAVTO -  TIPO</t>
  </si>
  <si>
    <t>23º PAVTO -  TIPO</t>
  </si>
  <si>
    <t>24º PAVTO -  TIPO</t>
  </si>
  <si>
    <t>25º PVTO - PENTHOUSE X1</t>
  </si>
  <si>
    <t>26º PVTO - ROOFTOP</t>
  </si>
  <si>
    <t>PAVIMENTO DE COBERTURA / CASA DE MÁQUINAS</t>
  </si>
  <si>
    <t>RESERVATÓRIOS</t>
  </si>
  <si>
    <t>Descrição</t>
  </si>
  <si>
    <t xml:space="preserve">Área </t>
  </si>
  <si>
    <t>ETAPA</t>
  </si>
  <si>
    <t>VALOR ORÇADO</t>
  </si>
  <si>
    <t>%</t>
  </si>
  <si>
    <t>VALOR / m²</t>
  </si>
  <si>
    <t>TERRENO</t>
  </si>
  <si>
    <t>GERENCIAMENTO TÉCNICO E ADMINISTRATIVO</t>
  </si>
  <si>
    <t>TOTAL</t>
  </si>
  <si>
    <t>CUB/SC</t>
  </si>
  <si>
    <t>DESCRIÇÃO</t>
  </si>
  <si>
    <t>ÁREA (m²)</t>
  </si>
  <si>
    <t>VALOR UNITÁRIO</t>
  </si>
  <si>
    <t>VALOR TOTAL</t>
  </si>
  <si>
    <t>VALOR POR ÁREA PRIVATIVA (R$/m²)</t>
  </si>
  <si>
    <t>Tipo Apart. 1</t>
  </si>
  <si>
    <t>Tipo Apart. 2</t>
  </si>
  <si>
    <t>Penthouse</t>
  </si>
  <si>
    <t>Apartamentos</t>
  </si>
  <si>
    <t>Quantidade</t>
  </si>
  <si>
    <t>Total vagas</t>
  </si>
  <si>
    <t>Total dormitórios</t>
  </si>
  <si>
    <t>QUADRO DE ÁREAS</t>
  </si>
  <si>
    <t>4º PAVTO -  TIPO A 22º PAVTO -  TIPO</t>
  </si>
  <si>
    <t>Tipo 1</t>
  </si>
  <si>
    <t>Tipo 2</t>
  </si>
  <si>
    <t>Tipo 1 penthouse</t>
  </si>
  <si>
    <t>Sala comercial</t>
  </si>
  <si>
    <t>Total banheiros</t>
  </si>
  <si>
    <t>Sala comercial 1</t>
  </si>
  <si>
    <t>Sala comercial 2</t>
  </si>
  <si>
    <t>Sala comercial 3</t>
  </si>
  <si>
    <t>Sala comercial 4</t>
  </si>
  <si>
    <t>Sala comercial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</si>
</sst>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R$&quot;\ * #,##0.00_-;\-&quot;R$&quot;\ * #,##0.00_-;_-&quot;R$&quot;\ * &quot;-&quot;??_-;_-@_-"/>
    <numFmt numFmtId="164" formatCode="_(* #,##0.00_);_(* \(#,##0.00\);_(* &quot;-&quot;??_);_(@_)"/>
    <numFmt numFmtId="165" formatCode="dd/mm/yy;@"/>
    <numFmt numFmtId="166" formatCode="00\ &quot;Meses&quot;"/>
    <numFmt numFmtId="167" formatCode="00\ &quot;un&quot;"/>
    <numFmt numFmtId="168" formatCode="00.00\ &quot;M²&quot;"/>
    <numFmt numFmtId="169" formatCode="_-* #,##0.00_-;\-* #,##0.00_-;_-* &quot;-&quot;??_-;_-@"/>
    <numFmt numFmtId="170" formatCode="_(&quot;R$&quot;* #,##0.00_);_(&quot;R$&quot;* \(#,##0.00\);_(&quot;R$&quot;* &quot;-&quot;??_);_(@_)"/>
    <numFmt numFmtId="171" formatCode="[$-416]mmm\-yy;@"/>
    <numFmt numFmtId="172" formatCode="#,##0&quot; m²&quot;"/>
    <numFmt numFmtId="173" formatCode="#,##0.00&quot; m²&quot;"/>
  </numFmts>
  <fonts count="25" x14ac:knownFonts="1">
    <font>
      <sz val="11"/>
      <color theme="1"/>
      <name val="Aptos Narrow"/>
      <family val="2"/>
      <scheme val="minor"/>
    </font>
    <font>
      <sz val="8"/>
      <name val="Arial"/>
      <family val="2"/>
    </font>
    <font>
      <b/>
      <sz val="20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9"/>
      <name val="Aptos Narrow"/>
      <family val="2"/>
      <scheme val="minor"/>
    </font>
    <font>
      <sz val="10"/>
      <name val="Aptos Narrow"/>
      <family val="2"/>
      <scheme val="minor"/>
    </font>
    <font>
      <i/>
      <sz val="10"/>
      <name val="Aptos Narrow"/>
      <family val="2"/>
      <scheme val="minor"/>
    </font>
    <font>
      <b/>
      <sz val="10"/>
      <color theme="8" tint="-0.499984740745262"/>
      <name val="Aptos Narrow"/>
      <family val="2"/>
      <scheme val="minor"/>
    </font>
    <font>
      <sz val="10"/>
      <name val="Arial"/>
      <family val="2"/>
    </font>
    <font>
      <sz val="9.5"/>
      <name val="Aptos Narrow"/>
      <family val="2"/>
      <scheme val="minor"/>
    </font>
    <font>
      <sz val="1"/>
      <name val="Aptos Narrow"/>
      <family val="2"/>
      <scheme val="minor"/>
    </font>
    <font>
      <b/>
      <i/>
      <sz val="9"/>
      <color theme="0"/>
      <name val="Aptos Narrow"/>
      <family val="2"/>
      <scheme val="minor"/>
    </font>
    <font>
      <i/>
      <sz val="10"/>
      <color rgb="FF121212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i/>
      <sz val="9"/>
      <name val="Aptos Narrow"/>
      <family val="2"/>
      <scheme val="minor"/>
    </font>
    <font>
      <i/>
      <sz val="8"/>
      <color rgb="FF121212"/>
      <name val="Aptos Narrow"/>
      <family val="2"/>
      <scheme val="minor"/>
    </font>
    <font>
      <sz val="8"/>
      <color rgb="FF121212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name val="Calibri"/>
      <family val="2"/>
    </font>
    <font>
      <sz val="10"/>
      <color rgb="FF000000"/>
      <name val="Aptos Narrow"/>
      <family val="2"/>
      <scheme val="minor"/>
    </font>
    <font>
      <b/>
      <sz val="10"/>
      <color theme="0"/>
      <name val="Calibri"/>
      <family val="2"/>
    </font>
    <font>
      <sz val="11"/>
      <name val="Calibri"/>
      <family val="2"/>
    </font>
    <font>
      <sz val="11"/>
      <color theme="0"/>
      <name val="Calibri"/>
      <family val="2"/>
    </font>
    <font>
      <sz val="9"/>
      <color indexed="81"/>
      <name val="Segoe UI"/>
      <charset val="1"/>
    </font>
  </fonts>
  <fills count="8">
    <fill>
      <patternFill patternType="none"/>
    </fill>
    <fill>
      <patternFill patternType="gray125"/>
    </fill>
    <fill>
      <patternFill patternType="solid">
        <fgColor rgb="FF1851D6"/>
        <bgColor indexed="64"/>
      </patternFill>
    </fill>
    <fill>
      <patternFill patternType="solid">
        <fgColor rgb="FF255AE5"/>
        <bgColor rgb="FF255AE5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DCDCDC"/>
      </patternFill>
    </fill>
    <fill>
      <patternFill patternType="solid">
        <fgColor theme="0" tint="-9.9978637043366805E-2"/>
        <bgColor theme="0"/>
      </patternFill>
    </fill>
    <fill>
      <patternFill patternType="solid">
        <fgColor rgb="FF255AE5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indexed="64"/>
      </top>
      <bottom style="thin">
        <color rgb="FF29292F"/>
      </bottom>
      <diagonal/>
    </border>
    <border>
      <left/>
      <right style="medium">
        <color indexed="64"/>
      </right>
      <top style="medium">
        <color indexed="64"/>
      </top>
      <bottom style="thin">
        <color rgb="FF29292F"/>
      </bottom>
      <diagonal/>
    </border>
    <border>
      <left style="medium">
        <color indexed="64"/>
      </left>
      <right/>
      <top style="thin">
        <color rgb="FF29292F"/>
      </top>
      <bottom style="hair">
        <color rgb="FF29292F"/>
      </bottom>
      <diagonal/>
    </border>
    <border>
      <left/>
      <right/>
      <top style="thin">
        <color rgb="FF29292F"/>
      </top>
      <bottom style="hair">
        <color rgb="FF29292F"/>
      </bottom>
      <diagonal/>
    </border>
    <border>
      <left/>
      <right style="medium">
        <color indexed="64"/>
      </right>
      <top style="thin">
        <color rgb="FF29292F"/>
      </top>
      <bottom style="hair">
        <color rgb="FF29292F"/>
      </bottom>
      <diagonal/>
    </border>
    <border>
      <left style="medium">
        <color indexed="64"/>
      </left>
      <right/>
      <top style="hair">
        <color rgb="FF29292F"/>
      </top>
      <bottom style="hair">
        <color rgb="FF29292F"/>
      </bottom>
      <diagonal/>
    </border>
    <border>
      <left/>
      <right/>
      <top style="hair">
        <color rgb="FF29292F"/>
      </top>
      <bottom style="hair">
        <color rgb="FF29292F"/>
      </bottom>
      <diagonal/>
    </border>
    <border>
      <left/>
      <right style="medium">
        <color indexed="64"/>
      </right>
      <top style="hair">
        <color rgb="FF29292F"/>
      </top>
      <bottom style="hair">
        <color rgb="FF29292F"/>
      </bottom>
      <diagonal/>
    </border>
    <border>
      <left style="medium">
        <color indexed="64"/>
      </left>
      <right/>
      <top style="hair">
        <color rgb="FF29292F"/>
      </top>
      <bottom style="medium">
        <color indexed="64"/>
      </bottom>
      <diagonal/>
    </border>
    <border>
      <left/>
      <right/>
      <top style="hair">
        <color rgb="FF29292F"/>
      </top>
      <bottom style="medium">
        <color auto="1"/>
      </bottom>
      <diagonal/>
    </border>
    <border>
      <left/>
      <right style="medium">
        <color indexed="64"/>
      </right>
      <top style="hair">
        <color rgb="FF29292F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4" fontId="20" fillId="0" borderId="0" applyFont="0" applyFill="0" applyBorder="0" applyAlignment="0" applyProtection="0"/>
    <xf numFmtId="0" fontId="1" fillId="0" borderId="0"/>
    <xf numFmtId="164" fontId="8" fillId="0" borderId="0" applyFont="0" applyFill="0" applyBorder="0" applyAlignment="0" applyProtection="0"/>
    <xf numFmtId="0" fontId="8" fillId="0" borderId="0" applyNumberFormat="0" applyFont="0" applyFill="0" applyBorder="0" applyAlignment="0" applyProtection="0"/>
    <xf numFmtId="170" fontId="8" fillId="0" borderId="0" applyFont="0" applyFill="0" applyBorder="0" applyAlignment="0" applyProtection="0"/>
  </cellStyleXfs>
  <cellXfs count="118">
    <xf numFmtId="0" fontId="0" fillId="0" borderId="0" xfId="0"/>
    <xf numFmtId="17" fontId="2" fillId="2" borderId="1" xfId="2" applyNumberFormat="1" applyFont="1" applyFill="1" applyBorder="1" applyAlignment="1">
      <alignment vertical="center"/>
    </xf>
    <xf numFmtId="17" fontId="2" fillId="2" borderId="2" xfId="2" applyNumberFormat="1" applyFont="1" applyFill="1" applyBorder="1" applyAlignment="1">
      <alignment vertical="center"/>
    </xf>
    <xf numFmtId="17" fontId="3" fillId="2" borderId="3" xfId="2" applyNumberFormat="1" applyFont="1" applyFill="1" applyBorder="1" applyAlignment="1">
      <alignment horizontal="center" vertical="center"/>
    </xf>
    <xf numFmtId="17" fontId="3" fillId="2" borderId="4" xfId="2" applyNumberFormat="1" applyFont="1" applyFill="1" applyBorder="1" applyAlignment="1">
      <alignment horizontal="center" vertical="center"/>
    </xf>
    <xf numFmtId="0" fontId="4" fillId="0" borderId="0" xfId="2" applyFont="1"/>
    <xf numFmtId="0" fontId="5" fillId="0" borderId="5" xfId="2" applyFont="1" applyBorder="1" applyAlignment="1">
      <alignment vertical="center"/>
    </xf>
    <xf numFmtId="0" fontId="6" fillId="0" borderId="6" xfId="2" applyFont="1" applyBorder="1" applyAlignment="1">
      <alignment horizontal="right" vertical="center"/>
    </xf>
    <xf numFmtId="0" fontId="5" fillId="0" borderId="6" xfId="2" applyFont="1" applyBorder="1" applyAlignment="1">
      <alignment vertical="center"/>
    </xf>
    <xf numFmtId="0" fontId="5" fillId="0" borderId="6" xfId="2" applyFont="1" applyBorder="1" applyAlignment="1">
      <alignment horizontal="right" vertical="center"/>
    </xf>
    <xf numFmtId="0" fontId="5" fillId="0" borderId="6" xfId="2" applyFont="1" applyBorder="1" applyAlignment="1">
      <alignment horizontal="left" vertical="center"/>
    </xf>
    <xf numFmtId="0" fontId="5" fillId="0" borderId="7" xfId="2" applyFont="1" applyBorder="1" applyAlignment="1">
      <alignment vertical="center"/>
    </xf>
    <xf numFmtId="0" fontId="7" fillId="0" borderId="0" xfId="2" applyFont="1" applyAlignment="1">
      <alignment vertical="center"/>
    </xf>
    <xf numFmtId="0" fontId="5" fillId="0" borderId="0" xfId="2" applyFont="1" applyAlignment="1">
      <alignment vertical="center"/>
    </xf>
    <xf numFmtId="0" fontId="5" fillId="0" borderId="8" xfId="2" applyFont="1" applyBorder="1" applyAlignment="1">
      <alignment vertical="center"/>
    </xf>
    <xf numFmtId="0" fontId="6" fillId="0" borderId="9" xfId="2" applyFont="1" applyBorder="1" applyAlignment="1">
      <alignment horizontal="right" vertical="center"/>
    </xf>
    <xf numFmtId="0" fontId="5" fillId="0" borderId="9" xfId="2" applyFont="1" applyBorder="1" applyAlignment="1">
      <alignment vertical="center"/>
    </xf>
    <xf numFmtId="0" fontId="5" fillId="0" borderId="9" xfId="2" applyFont="1" applyBorder="1" applyAlignment="1">
      <alignment horizontal="right" vertical="center"/>
    </xf>
    <xf numFmtId="0" fontId="5" fillId="0" borderId="9" xfId="2" applyFont="1" applyBorder="1" applyAlignment="1">
      <alignment horizontal="left" vertical="center"/>
    </xf>
    <xf numFmtId="165" fontId="9" fillId="0" borderId="9" xfId="3" quotePrefix="1" applyNumberFormat="1" applyFont="1" applyFill="1" applyBorder="1" applyAlignment="1">
      <alignment horizontal="left" vertical="center"/>
    </xf>
    <xf numFmtId="0" fontId="5" fillId="0" borderId="10" xfId="2" applyFont="1" applyBorder="1" applyAlignment="1">
      <alignment vertical="center"/>
    </xf>
    <xf numFmtId="0" fontId="4" fillId="0" borderId="0" xfId="2" applyFont="1" applyAlignment="1">
      <alignment vertical="center"/>
    </xf>
    <xf numFmtId="0" fontId="5" fillId="0" borderId="11" xfId="2" applyFont="1" applyBorder="1" applyAlignment="1">
      <alignment vertical="center"/>
    </xf>
    <xf numFmtId="0" fontId="6" fillId="0" borderId="12" xfId="2" applyFont="1" applyBorder="1" applyAlignment="1">
      <alignment horizontal="right" vertical="center"/>
    </xf>
    <xf numFmtId="0" fontId="5" fillId="0" borderId="12" xfId="2" applyFont="1" applyBorder="1" applyAlignment="1">
      <alignment vertical="center"/>
    </xf>
    <xf numFmtId="0" fontId="5" fillId="0" borderId="12" xfId="2" applyFont="1" applyBorder="1" applyAlignment="1">
      <alignment horizontal="right" vertical="center"/>
    </xf>
    <xf numFmtId="0" fontId="5" fillId="0" borderId="12" xfId="2" applyFont="1" applyBorder="1" applyAlignment="1">
      <alignment horizontal="left" vertical="center"/>
    </xf>
    <xf numFmtId="0" fontId="5" fillId="0" borderId="13" xfId="2" applyFont="1" applyBorder="1" applyAlignment="1">
      <alignment vertical="center"/>
    </xf>
    <xf numFmtId="0" fontId="10" fillId="0" borderId="0" xfId="4" applyNumberFormat="1" applyFont="1" applyFill="1" applyBorder="1" applyAlignment="1"/>
    <xf numFmtId="0" fontId="5" fillId="0" borderId="0" xfId="4" applyNumberFormat="1" applyFont="1" applyFill="1" applyBorder="1" applyAlignment="1"/>
    <xf numFmtId="0" fontId="11" fillId="3" borderId="14" xfId="4" applyFont="1" applyFill="1" applyBorder="1" applyAlignment="1">
      <alignment vertical="center"/>
    </xf>
    <xf numFmtId="166" fontId="12" fillId="4" borderId="15" xfId="4" applyNumberFormat="1" applyFont="1" applyFill="1" applyBorder="1" applyAlignment="1">
      <alignment vertical="center" wrapText="1"/>
    </xf>
    <xf numFmtId="0" fontId="11" fillId="3" borderId="14" xfId="4" applyFont="1" applyFill="1" applyBorder="1" applyAlignment="1">
      <alignment horizontal="right" vertical="center"/>
    </xf>
    <xf numFmtId="167" fontId="12" fillId="4" borderId="15" xfId="4" applyNumberFormat="1" applyFont="1" applyFill="1" applyBorder="1" applyAlignment="1">
      <alignment vertical="center" wrapText="1"/>
    </xf>
    <xf numFmtId="0" fontId="13" fillId="3" borderId="1" xfId="4" applyFont="1" applyFill="1" applyBorder="1" applyAlignment="1">
      <alignment horizontal="center" vertical="center"/>
    </xf>
    <xf numFmtId="0" fontId="13" fillId="3" borderId="2" xfId="4" applyFont="1" applyFill="1" applyBorder="1" applyAlignment="1">
      <alignment horizontal="center" vertical="center"/>
    </xf>
    <xf numFmtId="0" fontId="13" fillId="3" borderId="16" xfId="4" applyFont="1" applyFill="1" applyBorder="1" applyAlignment="1">
      <alignment horizontal="center" vertical="center"/>
    </xf>
    <xf numFmtId="0" fontId="14" fillId="0" borderId="0" xfId="4" applyNumberFormat="1" applyFont="1" applyFill="1" applyBorder="1" applyAlignment="1"/>
    <xf numFmtId="0" fontId="5" fillId="0" borderId="17" xfId="4" applyNumberFormat="1" applyFont="1" applyFill="1" applyBorder="1" applyAlignment="1"/>
    <xf numFmtId="0" fontId="5" fillId="0" borderId="18" xfId="4" applyNumberFormat="1" applyFont="1" applyFill="1" applyBorder="1" applyAlignment="1"/>
    <xf numFmtId="0" fontId="5" fillId="0" borderId="0" xfId="4" applyNumberFormat="1" applyFont="1" applyFill="1" applyBorder="1" applyAlignment="1">
      <alignment horizontal="center" wrapText="1"/>
    </xf>
    <xf numFmtId="168" fontId="12" fillId="4" borderId="15" xfId="4" applyNumberFormat="1" applyFont="1" applyFill="1" applyBorder="1" applyAlignment="1">
      <alignment vertical="center" wrapText="1"/>
    </xf>
    <xf numFmtId="0" fontId="13" fillId="3" borderId="19" xfId="4" applyFont="1" applyFill="1" applyBorder="1" applyAlignment="1">
      <alignment horizontal="center" vertical="center"/>
    </xf>
    <xf numFmtId="0" fontId="13" fillId="3" borderId="20" xfId="4" applyFont="1" applyFill="1" applyBorder="1" applyAlignment="1">
      <alignment horizontal="center" vertical="center"/>
    </xf>
    <xf numFmtId="0" fontId="13" fillId="3" borderId="21" xfId="4" applyFont="1" applyFill="1" applyBorder="1" applyAlignment="1">
      <alignment horizontal="center" vertical="center"/>
    </xf>
    <xf numFmtId="0" fontId="5" fillId="0" borderId="22" xfId="4" applyNumberFormat="1" applyFont="1" applyFill="1" applyBorder="1" applyAlignment="1">
      <alignment horizontal="center"/>
    </xf>
    <xf numFmtId="0" fontId="5" fillId="0" borderId="23" xfId="4" applyNumberFormat="1" applyFont="1" applyFill="1" applyBorder="1" applyAlignment="1">
      <alignment horizontal="left"/>
    </xf>
    <xf numFmtId="0" fontId="5" fillId="0" borderId="23" xfId="4" applyNumberFormat="1" applyFont="1" applyFill="1" applyBorder="1" applyAlignment="1">
      <alignment horizontal="center"/>
    </xf>
    <xf numFmtId="0" fontId="5" fillId="0" borderId="24" xfId="4" applyNumberFormat="1" applyFont="1" applyFill="1" applyBorder="1" applyAlignment="1">
      <alignment horizontal="center"/>
    </xf>
    <xf numFmtId="0" fontId="5" fillId="0" borderId="25" xfId="4" applyNumberFormat="1" applyFont="1" applyFill="1" applyBorder="1" applyAlignment="1">
      <alignment horizontal="center"/>
    </xf>
    <xf numFmtId="0" fontId="5" fillId="0" borderId="26" xfId="4" applyNumberFormat="1" applyFont="1" applyFill="1" applyBorder="1" applyAlignment="1">
      <alignment horizontal="left"/>
    </xf>
    <xf numFmtId="0" fontId="5" fillId="0" borderId="26" xfId="4" applyNumberFormat="1" applyFont="1" applyFill="1" applyBorder="1" applyAlignment="1">
      <alignment horizontal="center"/>
    </xf>
    <xf numFmtId="0" fontId="5" fillId="0" borderId="27" xfId="4" applyNumberFormat="1" applyFont="1" applyFill="1" applyBorder="1" applyAlignment="1">
      <alignment horizontal="center"/>
    </xf>
    <xf numFmtId="0" fontId="5" fillId="0" borderId="28" xfId="4" applyNumberFormat="1" applyFont="1" applyFill="1" applyBorder="1" applyAlignment="1"/>
    <xf numFmtId="0" fontId="5" fillId="0" borderId="29" xfId="4" applyNumberFormat="1" applyFont="1" applyFill="1" applyBorder="1" applyAlignment="1"/>
    <xf numFmtId="0" fontId="5" fillId="0" borderId="30" xfId="4" applyNumberFormat="1" applyFont="1" applyFill="1" applyBorder="1" applyAlignment="1"/>
    <xf numFmtId="0" fontId="15" fillId="4" borderId="0" xfId="4" applyFont="1" applyFill="1" applyBorder="1" applyAlignment="1">
      <alignment horizontal="center" vertical="center" wrapText="1"/>
    </xf>
    <xf numFmtId="169" fontId="16" fillId="4" borderId="0" xfId="4" applyNumberFormat="1" applyFont="1" applyFill="1" applyBorder="1" applyAlignment="1">
      <alignment vertical="center" wrapText="1"/>
    </xf>
    <xf numFmtId="0" fontId="5" fillId="0" borderId="22" xfId="4" applyNumberFormat="1" applyFont="1" applyFill="1" applyBorder="1" applyAlignment="1">
      <alignment horizontal="left"/>
    </xf>
    <xf numFmtId="0" fontId="13" fillId="3" borderId="31" xfId="4" applyFont="1" applyFill="1" applyBorder="1" applyAlignment="1">
      <alignment horizontal="center" vertical="center"/>
    </xf>
    <xf numFmtId="0" fontId="17" fillId="5" borderId="32" xfId="4" applyFont="1" applyFill="1" applyBorder="1" applyAlignment="1">
      <alignment horizontal="left" vertical="center" indent="1"/>
    </xf>
    <xf numFmtId="170" fontId="18" fillId="4" borderId="33" xfId="5" applyFont="1" applyFill="1" applyBorder="1" applyAlignment="1">
      <alignment horizontal="center" vertical="center"/>
    </xf>
    <xf numFmtId="10" fontId="17" fillId="4" borderId="33" xfId="4" applyNumberFormat="1" applyFont="1" applyFill="1" applyBorder="1" applyAlignment="1">
      <alignment horizontal="center" vertical="center"/>
    </xf>
    <xf numFmtId="170" fontId="17" fillId="4" borderId="34" xfId="5" applyFont="1" applyFill="1" applyBorder="1" applyAlignment="1">
      <alignment horizontal="center" vertical="center"/>
    </xf>
    <xf numFmtId="0" fontId="17" fillId="6" borderId="32" xfId="4" applyFont="1" applyFill="1" applyBorder="1" applyAlignment="1">
      <alignment horizontal="left" vertical="center" indent="1"/>
    </xf>
    <xf numFmtId="170" fontId="18" fillId="6" borderId="33" xfId="5" applyFont="1" applyFill="1" applyBorder="1" applyAlignment="1">
      <alignment horizontal="center" vertical="center"/>
    </xf>
    <xf numFmtId="10" fontId="17" fillId="6" borderId="33" xfId="4" applyNumberFormat="1" applyFont="1" applyFill="1" applyBorder="1" applyAlignment="1">
      <alignment horizontal="center" vertical="center"/>
    </xf>
    <xf numFmtId="170" fontId="17" fillId="6" borderId="34" xfId="5" applyFont="1" applyFill="1" applyBorder="1" applyAlignment="1">
      <alignment horizontal="center" vertical="center"/>
    </xf>
    <xf numFmtId="44" fontId="5" fillId="0" borderId="0" xfId="4" applyNumberFormat="1" applyFont="1" applyFill="1" applyBorder="1" applyAlignment="1"/>
    <xf numFmtId="0" fontId="13" fillId="3" borderId="35" xfId="4" applyFont="1" applyFill="1" applyBorder="1" applyAlignment="1">
      <alignment horizontal="left" vertical="center" indent="2"/>
    </xf>
    <xf numFmtId="170" fontId="13" fillId="3" borderId="36" xfId="5" applyFont="1" applyFill="1" applyBorder="1" applyAlignment="1">
      <alignment horizontal="center" vertical="center"/>
    </xf>
    <xf numFmtId="9" fontId="13" fillId="3" borderId="36" xfId="4" applyNumberFormat="1" applyFont="1" applyFill="1" applyBorder="1" applyAlignment="1">
      <alignment horizontal="center" vertical="center"/>
    </xf>
    <xf numFmtId="170" fontId="13" fillId="3" borderId="37" xfId="5" applyFont="1" applyFill="1" applyBorder="1" applyAlignment="1">
      <alignment horizontal="center" vertical="center"/>
    </xf>
    <xf numFmtId="0" fontId="13" fillId="3" borderId="38" xfId="4" applyFont="1" applyFill="1" applyBorder="1" applyAlignment="1">
      <alignment horizontal="left" vertical="center" indent="2"/>
    </xf>
    <xf numFmtId="170" fontId="13" fillId="3" borderId="39" xfId="5" applyFont="1" applyFill="1" applyBorder="1" applyAlignment="1">
      <alignment horizontal="left" vertical="center"/>
    </xf>
    <xf numFmtId="171" fontId="13" fillId="3" borderId="39" xfId="4" applyNumberFormat="1" applyFont="1" applyFill="1" applyBorder="1" applyAlignment="1">
      <alignment horizontal="center" vertical="center"/>
    </xf>
    <xf numFmtId="170" fontId="13" fillId="3" borderId="40" xfId="5" applyFont="1" applyFill="1" applyBorder="1" applyAlignment="1">
      <alignment horizontal="center" vertical="center"/>
    </xf>
    <xf numFmtId="0" fontId="13" fillId="3" borderId="19" xfId="4" applyFont="1" applyFill="1" applyBorder="1" applyAlignment="1">
      <alignment horizontal="center" vertical="center" wrapText="1"/>
    </xf>
    <xf numFmtId="0" fontId="13" fillId="3" borderId="20" xfId="4" applyFont="1" applyFill="1" applyBorder="1" applyAlignment="1">
      <alignment horizontal="center" vertical="center" wrapText="1"/>
    </xf>
    <xf numFmtId="0" fontId="13" fillId="3" borderId="21" xfId="4" applyFont="1" applyFill="1" applyBorder="1" applyAlignment="1">
      <alignment horizontal="center" vertical="center" wrapText="1"/>
    </xf>
    <xf numFmtId="0" fontId="19" fillId="0" borderId="22" xfId="4" applyNumberFormat="1" applyFont="1" applyFill="1" applyBorder="1" applyAlignment="1">
      <alignment horizontal="center" vertical="center" wrapText="1"/>
    </xf>
    <xf numFmtId="172" fontId="19" fillId="0" borderId="23" xfId="4" applyNumberFormat="1" applyFont="1" applyFill="1" applyBorder="1" applyAlignment="1">
      <alignment horizontal="center" vertical="center" wrapText="1"/>
    </xf>
    <xf numFmtId="44" fontId="19" fillId="0" borderId="23" xfId="1" applyFont="1" applyFill="1" applyBorder="1" applyAlignment="1">
      <alignment horizontal="center" vertical="center" wrapText="1"/>
    </xf>
    <xf numFmtId="44" fontId="19" fillId="0" borderId="24" xfId="1" applyFont="1" applyFill="1" applyBorder="1" applyAlignment="1">
      <alignment horizontal="center" vertical="center" wrapText="1"/>
    </xf>
    <xf numFmtId="173" fontId="19" fillId="0" borderId="23" xfId="4" applyNumberFormat="1" applyFont="1" applyFill="1" applyBorder="1" applyAlignment="1">
      <alignment horizontal="center" vertical="center" wrapText="1"/>
    </xf>
    <xf numFmtId="0" fontId="19" fillId="0" borderId="25" xfId="4" applyNumberFormat="1" applyFont="1" applyFill="1" applyBorder="1" applyAlignment="1">
      <alignment horizontal="center" vertical="center" wrapText="1"/>
    </xf>
    <xf numFmtId="173" fontId="19" fillId="0" borderId="26" xfId="4" applyNumberFormat="1" applyFont="1" applyFill="1" applyBorder="1" applyAlignment="1">
      <alignment horizontal="center" vertical="center" wrapText="1"/>
    </xf>
    <xf numFmtId="44" fontId="19" fillId="0" borderId="26" xfId="1" applyFont="1" applyFill="1" applyBorder="1" applyAlignment="1">
      <alignment horizontal="center" vertical="center" wrapText="1"/>
    </xf>
    <xf numFmtId="44" fontId="19" fillId="0" borderId="27" xfId="1" applyFont="1" applyFill="1" applyBorder="1" applyAlignment="1">
      <alignment horizontal="center" vertical="center" wrapText="1"/>
    </xf>
    <xf numFmtId="0" fontId="5" fillId="0" borderId="25" xfId="4" applyNumberFormat="1" applyFont="1" applyFill="1" applyBorder="1" applyAlignment="1">
      <alignment horizontal="left"/>
    </xf>
    <xf numFmtId="0" fontId="21" fillId="3" borderId="19" xfId="4" applyFont="1" applyFill="1" applyBorder="1" applyAlignment="1">
      <alignment horizontal="center" vertical="center" wrapText="1"/>
    </xf>
    <xf numFmtId="0" fontId="21" fillId="3" borderId="20" xfId="4" applyFont="1" applyFill="1" applyBorder="1" applyAlignment="1">
      <alignment horizontal="center" vertical="center" wrapText="1"/>
    </xf>
    <xf numFmtId="0" fontId="21" fillId="3" borderId="21" xfId="4" applyFont="1" applyFill="1" applyBorder="1" applyAlignment="1">
      <alignment horizontal="center" vertical="center" wrapText="1"/>
    </xf>
    <xf numFmtId="0" fontId="13" fillId="3" borderId="1" xfId="4" applyFont="1" applyFill="1" applyBorder="1" applyAlignment="1">
      <alignment horizontal="left" vertical="center"/>
    </xf>
    <xf numFmtId="0" fontId="13" fillId="3" borderId="2" xfId="4" applyFont="1" applyFill="1" applyBorder="1" applyAlignment="1">
      <alignment horizontal="center" vertical="center"/>
    </xf>
    <xf numFmtId="0" fontId="13" fillId="3" borderId="16" xfId="4" applyFont="1" applyFill="1" applyBorder="1" applyAlignment="1">
      <alignment horizontal="center" vertical="center"/>
    </xf>
    <xf numFmtId="0" fontId="19" fillId="0" borderId="41" xfId="4" applyNumberFormat="1" applyFont="1" applyFill="1" applyBorder="1" applyAlignment="1">
      <alignment horizontal="center" vertical="center" wrapText="1"/>
    </xf>
    <xf numFmtId="0" fontId="19" fillId="0" borderId="42" xfId="1" applyNumberFormat="1" applyFont="1" applyFill="1" applyBorder="1" applyAlignment="1">
      <alignment horizontal="center" vertical="center" wrapText="1"/>
    </xf>
    <xf numFmtId="173" fontId="22" fillId="0" borderId="42" xfId="4" applyNumberFormat="1" applyFont="1" applyFill="1" applyBorder="1" applyAlignment="1">
      <alignment horizontal="center" vertical="center" wrapText="1"/>
    </xf>
    <xf numFmtId="0" fontId="19" fillId="0" borderId="43" xfId="1" applyNumberFormat="1" applyFont="1" applyFill="1" applyBorder="1" applyAlignment="1">
      <alignment horizontal="center" vertical="center" wrapText="1"/>
    </xf>
    <xf numFmtId="0" fontId="19" fillId="0" borderId="44" xfId="4" applyNumberFormat="1" applyFont="1" applyFill="1" applyBorder="1" applyAlignment="1">
      <alignment horizontal="center" vertical="center" wrapText="1"/>
    </xf>
    <xf numFmtId="0" fontId="19" fillId="0" borderId="45" xfId="1" applyNumberFormat="1" applyFont="1" applyFill="1" applyBorder="1" applyAlignment="1">
      <alignment horizontal="center" vertical="center" wrapText="1"/>
    </xf>
    <xf numFmtId="173" fontId="22" fillId="0" borderId="45" xfId="4" applyNumberFormat="1" applyFont="1" applyFill="1" applyBorder="1" applyAlignment="1">
      <alignment horizontal="center" vertical="center" wrapText="1"/>
    </xf>
    <xf numFmtId="0" fontId="19" fillId="0" borderId="46" xfId="1" applyNumberFormat="1" applyFont="1" applyFill="1" applyBorder="1" applyAlignment="1">
      <alignment horizontal="center" vertical="center" wrapText="1"/>
    </xf>
    <xf numFmtId="0" fontId="19" fillId="0" borderId="47" xfId="4" applyNumberFormat="1" applyFont="1" applyFill="1" applyBorder="1" applyAlignment="1">
      <alignment horizontal="center" vertical="center" wrapText="1"/>
    </xf>
    <xf numFmtId="0" fontId="19" fillId="0" borderId="48" xfId="1" applyNumberFormat="1" applyFont="1" applyFill="1" applyBorder="1" applyAlignment="1">
      <alignment horizontal="center" vertical="center" wrapText="1"/>
    </xf>
    <xf numFmtId="173" fontId="22" fillId="0" borderId="48" xfId="4" applyNumberFormat="1" applyFont="1" applyFill="1" applyBorder="1" applyAlignment="1">
      <alignment horizontal="center" vertical="center" wrapText="1"/>
    </xf>
    <xf numFmtId="0" fontId="19" fillId="0" borderId="49" xfId="1" applyNumberFormat="1" applyFont="1" applyFill="1" applyBorder="1" applyAlignment="1">
      <alignment horizontal="center" vertical="center" wrapText="1"/>
    </xf>
    <xf numFmtId="173" fontId="23" fillId="7" borderId="50" xfId="4" applyNumberFormat="1" applyFont="1" applyFill="1" applyBorder="1" applyAlignment="1">
      <alignment horizontal="center" vertical="center" wrapText="1"/>
    </xf>
    <xf numFmtId="0" fontId="13" fillId="3" borderId="51" xfId="4" applyFont="1" applyFill="1" applyBorder="1" applyAlignment="1">
      <alignment horizontal="center" vertical="center" wrapText="1"/>
    </xf>
    <xf numFmtId="0" fontId="5" fillId="0" borderId="22" xfId="4" applyNumberFormat="1" applyFont="1" applyFill="1" applyBorder="1" applyAlignment="1">
      <alignment horizontal="center" wrapText="1"/>
    </xf>
    <xf numFmtId="0" fontId="5" fillId="0" borderId="23" xfId="4" applyNumberFormat="1" applyFont="1" applyFill="1" applyBorder="1" applyAlignment="1">
      <alignment horizontal="left" wrapText="1"/>
    </xf>
    <xf numFmtId="0" fontId="5" fillId="0" borderId="23" xfId="4" applyNumberFormat="1" applyFont="1" applyFill="1" applyBorder="1" applyAlignment="1">
      <alignment horizontal="center" wrapText="1"/>
    </xf>
    <xf numFmtId="0" fontId="5" fillId="0" borderId="24" xfId="4" applyNumberFormat="1" applyFont="1" applyFill="1" applyBorder="1" applyAlignment="1">
      <alignment horizontal="center" wrapText="1"/>
    </xf>
    <xf numFmtId="0" fontId="5" fillId="0" borderId="25" xfId="4" applyNumberFormat="1" applyFont="1" applyFill="1" applyBorder="1" applyAlignment="1">
      <alignment horizontal="center" wrapText="1"/>
    </xf>
    <xf numFmtId="0" fontId="5" fillId="0" borderId="26" xfId="4" applyNumberFormat="1" applyFont="1" applyFill="1" applyBorder="1" applyAlignment="1">
      <alignment horizontal="left" wrapText="1"/>
    </xf>
    <xf numFmtId="0" fontId="5" fillId="0" borderId="26" xfId="4" applyNumberFormat="1" applyFont="1" applyFill="1" applyBorder="1" applyAlignment="1">
      <alignment horizontal="center" wrapText="1"/>
    </xf>
    <xf numFmtId="0" fontId="5" fillId="0" borderId="27" xfId="4" applyNumberFormat="1" applyFont="1" applyFill="1" applyBorder="1" applyAlignment="1">
      <alignment horizontal="center" wrapText="1"/>
    </xf>
  </cellXfs>
  <cellStyles count="6">
    <cellStyle name="Moeda" xfId="1" builtinId="4"/>
    <cellStyle name="Moeda 9 2" xfId="5" xr:uid="{E9F7CBE2-C30C-4A78-BD41-9A94F0C0D3CC}"/>
    <cellStyle name="Normal" xfId="0" builtinId="0"/>
    <cellStyle name="Normal 10" xfId="2" xr:uid="{A30F9BC2-246B-4ED7-B96C-742FF86A655A}"/>
    <cellStyle name="Normal 2 4" xfId="4" xr:uid="{226A9625-5B34-4C58-A606-AD713F35522C}"/>
    <cellStyle name="Vírgula 3 2" xfId="3" xr:uid="{CB3A5290-C7C1-494D-8551-DD2EED2A3C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423657</xdr:colOff>
      <xdr:row>0</xdr:row>
      <xdr:rowOff>329959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92B4123-0EFD-48B0-97F1-D1736B6257C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283" b="39658"/>
        <a:stretch/>
      </xdr:blipFill>
      <xdr:spPr bwMode="auto">
        <a:xfrm>
          <a:off x="0" y="0"/>
          <a:ext cx="1566657" cy="3299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838200</xdr:colOff>
      <xdr:row>5</xdr:row>
      <xdr:rowOff>172796</xdr:rowOff>
    </xdr:from>
    <xdr:to>
      <xdr:col>11</xdr:col>
      <xdr:colOff>66675</xdr:colOff>
      <xdr:row>46</xdr:row>
      <xdr:rowOff>6613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013E075-EA76-4FDE-9114-A1FBF570C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72375" y="1153871"/>
          <a:ext cx="3943350" cy="7025192"/>
        </a:xfrm>
        <a:prstGeom prst="rect">
          <a:avLst/>
        </a:prstGeom>
      </xdr:spPr>
    </xdr:pic>
    <xdr:clientData/>
  </xdr:twoCellAnchor>
  <xdr:twoCellAnchor editAs="oneCell">
    <xdr:from>
      <xdr:col>8</xdr:col>
      <xdr:colOff>419100</xdr:colOff>
      <xdr:row>88</xdr:row>
      <xdr:rowOff>66675</xdr:rowOff>
    </xdr:from>
    <xdr:to>
      <xdr:col>11</xdr:col>
      <xdr:colOff>457863</xdr:colOff>
      <xdr:row>122</xdr:row>
      <xdr:rowOff>143766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A4141C7-6BDC-43FC-B3A8-A3FECC45E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53275" y="15106650"/>
          <a:ext cx="4753638" cy="638264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jetos%20em%20Andamento\Borscheid\2025%20-%20Al&#237;pio%20Schirmann\04.%20Custo\04.3%20Custo%20-%20Executivo\02%20-%20Elabora&#231;&#227;o\R02\CTN-BRC_ALP%20-%20Or&#231;amento%20Executivo_R02.xlsx" TargetMode="External"/><Relationship Id="rId1" Type="http://schemas.openxmlformats.org/officeDocument/2006/relationships/externalLinkPath" Target="/.shortcut-targets-by-id/16oaQUYgx8kiowDwLhg-oO1zGZ777DJUb/2.%20Projetos%20em%20Andamento/Borscheid/2025%20-%20Al&#237;pio%20Schirmann/04.%20Custo/04.3%20Custo%20-%20Executivo/02%20-%20Elabora&#231;&#227;o/R02/CTN-BRC_ALP%20-%20Or&#231;amento%20Executivo_R0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postas%20Fechadas\AS%20Ramos%20-%2001.2022\02.%20Paessaggio\02.%20Escopo\02.4%20Escopo%20-%20Extra&#231;&#227;o%20de%20quantitativos\CTN_ORC_ED%20PAESAGGIO_MOD_ARQ_R04.xlsx" TargetMode="External"/><Relationship Id="rId1" Type="http://schemas.openxmlformats.org/officeDocument/2006/relationships/externalLinkPath" Target="/.shortcut-targets-by-id/16oaQUYgx8kiowDwLhg-oO1zGZ777DJUb/2.%20Projetos%20em%20Andamento/AS%20Ramos%20-%2001.2022/02.%20Paessaggio/02.%20Escopo/02.4%20Escopo%20-%20Extra&#231;&#227;o%20de%20quantitativos/CTN_ORC_ED%20PAESAGGIO_MOD_ARQ_R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und. Rasa | Contenção (2)"/>
      <sheetName val="BASES"/>
      <sheetName val="CAPA"/>
      <sheetName val="PROJETOS"/>
      <sheetName val="Terreno"/>
      <sheetName val="EAP Análise"/>
      <sheetName val="Ger_Tec e Adm"/>
      <sheetName val="EAP"/>
      <sheetName val="Ger_Executivo"/>
      <sheetName val="CPU"/>
      <sheetName val="Insumos"/>
      <sheetName val="ARQUITETURA"/>
      <sheetName val="Resumo Estrutura"/>
      <sheetName val="Estacas"/>
      <sheetName val="Custo Empreiteiro"/>
      <sheetName val="MOBILIÁRIO"/>
      <sheetName val="ELÉTRICA"/>
      <sheetName val="LOUÇAS E METAIS"/>
      <sheetName val="HIDROSSANITARIO"/>
      <sheetName val="EPCs"/>
      <sheetName val="Cont.Tecnol."/>
      <sheetName val="Equipamentos Especiais"/>
      <sheetName val="CANTEIRO"/>
      <sheetName val="Exautão e Climatização"/>
      <sheetName val="Fund. Rasa | Contenção"/>
      <sheetName val="PCI"/>
      <sheetName val="CUBETAS"/>
      <sheetName val="Escoramento"/>
      <sheetName val="Infra - Visus"/>
    </sheetNames>
    <sheetDataSet>
      <sheetData sheetId="0"/>
      <sheetData sheetId="1"/>
      <sheetData sheetId="2"/>
      <sheetData sheetId="3"/>
      <sheetData sheetId="4">
        <row r="25">
          <cell r="N25">
            <v>12463690</v>
          </cell>
        </row>
      </sheetData>
      <sheetData sheetId="5"/>
      <sheetData sheetId="6">
        <row r="171">
          <cell r="N171">
            <v>7647984.8958626492</v>
          </cell>
        </row>
      </sheetData>
      <sheetData sheetId="7"/>
      <sheetData sheetId="8">
        <row r="8">
          <cell r="J8" t="str">
            <v>MOVIMENTAÇÃO DE TERRA</v>
          </cell>
          <cell r="N8">
            <v>399006.27218558872</v>
          </cell>
        </row>
        <row r="23">
          <cell r="J23" t="str">
            <v>INFRAESTRUTURA</v>
          </cell>
          <cell r="N23">
            <v>3161953.28242788</v>
          </cell>
        </row>
        <row r="55">
          <cell r="J55" t="str">
            <v>SUPRAESTRUTURA</v>
          </cell>
          <cell r="N55">
            <v>10108557.30664587</v>
          </cell>
        </row>
        <row r="774">
          <cell r="J774" t="str">
            <v>PAREDES E PAINÉIS</v>
          </cell>
          <cell r="N774">
            <v>1651661.2666405858</v>
          </cell>
        </row>
        <row r="803">
          <cell r="J803" t="str">
            <v>IMPERMEABILIZAÇÃO E TRATAMENTOS</v>
          </cell>
          <cell r="N803">
            <v>0</v>
          </cell>
        </row>
        <row r="845">
          <cell r="J845" t="str">
            <v>SISTEMAS E INSTALAÇÕES ELÉTRICAS</v>
          </cell>
          <cell r="N845">
            <v>1766253.5109273663</v>
          </cell>
        </row>
        <row r="861">
          <cell r="J861" t="str">
            <v>SISTEMAS E INSTALAÇÕES HIDROSSANITÁRIAS E DRENAGEM</v>
          </cell>
          <cell r="N861">
            <v>1498051.7425000002</v>
          </cell>
        </row>
        <row r="875">
          <cell r="J875" t="str">
            <v>INSTALAÇÕES PREVENTIVAS</v>
          </cell>
          <cell r="N875">
            <v>240707.54899999994</v>
          </cell>
        </row>
        <row r="883">
          <cell r="J883" t="str">
            <v>INSTALAÇÕES DE GÁS</v>
          </cell>
          <cell r="N883">
            <v>132388.42126859503</v>
          </cell>
        </row>
        <row r="889">
          <cell r="J889" t="str">
            <v>EQUIPAMENTOS E SISTEMAS ESPECIAIS</v>
          </cell>
          <cell r="N889">
            <v>1907483.1440000001</v>
          </cell>
        </row>
        <row r="901">
          <cell r="J901" t="str">
            <v>CLIMATIZAÇÃO, EXAUSTÃO MECÂNICA</v>
          </cell>
          <cell r="N901">
            <v>735215.63</v>
          </cell>
        </row>
        <row r="912">
          <cell r="J912" t="str">
            <v>INSTALAÇÕES ESPECIAIS</v>
          </cell>
          <cell r="N912">
            <v>232513.04399999999</v>
          </cell>
        </row>
        <row r="927">
          <cell r="J927" t="str">
            <v>REVESTIMENTOS INTERNOS DE PAREDE</v>
          </cell>
          <cell r="N927">
            <v>2666343.7245932668</v>
          </cell>
        </row>
        <row r="950">
          <cell r="J950" t="str">
            <v>REVESTIMENTOS E ACABAMENTOS INTERNOS EM TETO</v>
          </cell>
          <cell r="N950">
            <v>1571485.1675125007</v>
          </cell>
        </row>
        <row r="963">
          <cell r="J963" t="str">
            <v>PISOS E PAVIMENTAÇÕES</v>
          </cell>
          <cell r="N963">
            <v>3564772.2926656231</v>
          </cell>
        </row>
        <row r="1004">
          <cell r="J1004" t="str">
            <v>SISTEMAS DE PINTURA INTERNA</v>
          </cell>
          <cell r="N1004">
            <v>3328946.1267937268</v>
          </cell>
        </row>
        <row r="1026">
          <cell r="J1026" t="str">
            <v>ESQUADRIAS, VIDROS E FERRAGENS</v>
          </cell>
          <cell r="N1026">
            <v>4338372.2198832277</v>
          </cell>
        </row>
        <row r="1065">
          <cell r="J1065" t="str">
            <v>LOUÇAS E METAIS</v>
          </cell>
          <cell r="N1065">
            <v>375768.76439999999</v>
          </cell>
        </row>
        <row r="1075">
          <cell r="J1075" t="str">
            <v>REVESTIMENTOS E ACABAMENTOS EM FACHADA</v>
          </cell>
          <cell r="N1075">
            <v>3683706.8691224391</v>
          </cell>
        </row>
        <row r="1156">
          <cell r="J1156" t="str">
            <v>SERVIÇOS COMPLEMENTARES E FINAIS</v>
          </cell>
          <cell r="N1156">
            <v>2722446.4411619934</v>
          </cell>
        </row>
        <row r="1175">
          <cell r="J1175" t="str">
            <v>IMPREVISTOS E CONTINGÊNCIAS</v>
          </cell>
          <cell r="N1175">
            <v>1324812.4347402323</v>
          </cell>
        </row>
      </sheetData>
      <sheetData sheetId="9"/>
      <sheetData sheetId="10"/>
      <sheetData sheetId="11"/>
      <sheetData sheetId="12"/>
      <sheetData sheetId="13"/>
      <sheetData sheetId="14"/>
      <sheetData sheetId="15">
        <row r="1">
          <cell r="C1" t="str">
            <v>RESIDENCIAL ALIPIO SCHIRMANN</v>
          </cell>
        </row>
        <row r="2">
          <cell r="C2" t="str">
            <v>Borscheid</v>
          </cell>
        </row>
        <row r="3">
          <cell r="C3" t="str">
            <v>R00</v>
          </cell>
        </row>
        <row r="5">
          <cell r="C5" t="str">
            <v>Ambiente</v>
          </cell>
          <cell r="E5" t="str">
            <v>Descrição</v>
          </cell>
          <cell r="F5" t="str">
            <v>Quantidade (un)</v>
          </cell>
        </row>
        <row r="7">
          <cell r="B7" t="str">
            <v>Térreo</v>
          </cell>
          <cell r="C7" t="str">
            <v>Hall de acesso</v>
          </cell>
          <cell r="E7" t="str">
            <v xml:space="preserve">Área: </v>
          </cell>
          <cell r="F7">
            <v>56.53</v>
          </cell>
        </row>
        <row r="8">
          <cell r="C8" t="str">
            <v>Hall de acesso</v>
          </cell>
          <cell r="E8" t="str">
            <v>Poltrona Serrana | Boobam</v>
          </cell>
          <cell r="F8">
            <v>4</v>
          </cell>
        </row>
        <row r="9">
          <cell r="C9" t="str">
            <v>Hall de acesso</v>
          </cell>
          <cell r="E9" t="str">
            <v>Mesa de Canto para Sala Baixa SINGAPURA Dourada Vidro Mármore Calacata Bege</v>
          </cell>
          <cell r="F9">
            <v>4</v>
          </cell>
        </row>
        <row r="10">
          <cell r="C10" t="str">
            <v>Hall de acesso</v>
          </cell>
          <cell r="E10" t="str">
            <v>Mesa de Centro Newt Retangular Acabamento em Vidro e Espelhada</v>
          </cell>
          <cell r="F10">
            <v>1</v>
          </cell>
        </row>
        <row r="11">
          <cell r="C11" t="str">
            <v>Hall de acesso</v>
          </cell>
          <cell r="E11" t="str">
            <v>Decoração</v>
          </cell>
          <cell r="F11">
            <v>4</v>
          </cell>
        </row>
        <row r="12">
          <cell r="C12" t="str">
            <v>Hall de acesso</v>
          </cell>
          <cell r="E12" t="str">
            <v>Marcenaria</v>
          </cell>
          <cell r="F12">
            <v>1</v>
          </cell>
        </row>
        <row r="13">
          <cell r="C13" t="str">
            <v>Hall de acesso</v>
          </cell>
          <cell r="E13" t="str">
            <v>Plantas</v>
          </cell>
          <cell r="F13">
            <v>3</v>
          </cell>
        </row>
        <row r="14">
          <cell r="C14" t="str">
            <v>Hall de acesso</v>
          </cell>
          <cell r="E14" t="str">
            <v>Lixeira de Aço Inox 5 Litros com Pedal Antiderrapante Balde Removível Alça para Transporte</v>
          </cell>
          <cell r="F14">
            <v>1</v>
          </cell>
        </row>
        <row r="15">
          <cell r="C15" t="str">
            <v>Hall de acesso</v>
          </cell>
          <cell r="E15" t="str">
            <v>Almofada 40x40</v>
          </cell>
          <cell r="F15">
            <v>8</v>
          </cell>
        </row>
        <row r="16">
          <cell r="C16" t="str">
            <v>Hall de acesso</v>
          </cell>
          <cell r="E16" t="str">
            <v>Cortina Blackout Bege Jacquard - 10m x 2,50 - Valeriana | Dona Cortina</v>
          </cell>
          <cell r="F16">
            <v>2</v>
          </cell>
        </row>
        <row r="17">
          <cell r="C17" t="str">
            <v>Hall de acesso</v>
          </cell>
          <cell r="E17" t="str">
            <v>Sofá de lobby</v>
          </cell>
          <cell r="F17">
            <v>1</v>
          </cell>
        </row>
        <row r="18">
          <cell r="C18" t="str">
            <v>Hall de acesso</v>
          </cell>
          <cell r="E18" t="str">
            <v>Quadro Decorativo Off White Abstrato 1,00x1,50m</v>
          </cell>
          <cell r="F18">
            <v>3</v>
          </cell>
        </row>
        <row r="19">
          <cell r="C19" t="str">
            <v>Hall de acesso</v>
          </cell>
          <cell r="E19" t="str">
            <v>Tapete Orgânico Nuvola Bean Bege</v>
          </cell>
          <cell r="F19">
            <v>1</v>
          </cell>
        </row>
        <row r="20">
          <cell r="C20" t="str">
            <v>Hall de acesso</v>
          </cell>
          <cell r="E20" t="str">
            <v>Iluminação</v>
          </cell>
          <cell r="F20">
            <v>4</v>
          </cell>
        </row>
        <row r="21">
          <cell r="B21" t="str">
            <v>Térreo</v>
          </cell>
          <cell r="C21" t="str">
            <v>Lavabo - Lobby</v>
          </cell>
          <cell r="E21" t="str">
            <v xml:space="preserve">Área: </v>
          </cell>
          <cell r="F21">
            <v>2.3199999999999998</v>
          </cell>
        </row>
        <row r="22">
          <cell r="C22" t="str">
            <v>Lavabo - Lobby</v>
          </cell>
          <cell r="E22" t="str">
            <v>save energy Spot Embutir Par20 Duplo Branco Recuado</v>
          </cell>
          <cell r="F22">
            <v>1</v>
          </cell>
        </row>
        <row r="23">
          <cell r="C23" t="str">
            <v>Lavabo - Lobby</v>
          </cell>
          <cell r="E23" t="str">
            <v>Lixeira de Aço Inox 5 Litros com Pedal Antiderrapante Balde Removível Alça para Transporte</v>
          </cell>
          <cell r="F23">
            <v>1</v>
          </cell>
        </row>
        <row r="24">
          <cell r="C24" t="str">
            <v>Lavabo - Lobby</v>
          </cell>
          <cell r="E24" t="str">
            <v>Espelho Orgânico Piedra 68 cm x 79 cm Preto</v>
          </cell>
          <cell r="F24">
            <v>1</v>
          </cell>
        </row>
        <row r="25">
          <cell r="C25" t="str">
            <v>Lavabo - Lobby</v>
          </cell>
          <cell r="E25" t="str">
            <v>Marcenaria</v>
          </cell>
          <cell r="F25">
            <v>0.5</v>
          </cell>
        </row>
        <row r="26">
          <cell r="B26" t="str">
            <v>Térreo</v>
          </cell>
          <cell r="C26" t="str">
            <v>Hall Praia</v>
          </cell>
          <cell r="E26" t="str">
            <v xml:space="preserve">Área: </v>
          </cell>
          <cell r="F26">
            <v>44.83</v>
          </cell>
        </row>
        <row r="27">
          <cell r="C27" t="str">
            <v>Hall Praia</v>
          </cell>
          <cell r="E27" t="str">
            <v>Plantas</v>
          </cell>
          <cell r="F27">
            <v>3</v>
          </cell>
        </row>
        <row r="28">
          <cell r="C28" t="str">
            <v>Hall Praia</v>
          </cell>
          <cell r="E28" t="str">
            <v xml:space="preserve">Kit 2 Luminárias Arandela Quadro Led 3000K </v>
          </cell>
          <cell r="F28">
            <v>1</v>
          </cell>
        </row>
        <row r="29">
          <cell r="C29" t="str">
            <v>Hall Praia</v>
          </cell>
          <cell r="E29" t="str">
            <v>Lixeira de Aço Inox 5 Litros com Pedal Antiderrapante Balde Removível Alça para Transporte</v>
          </cell>
          <cell r="F29">
            <v>1</v>
          </cell>
        </row>
        <row r="30">
          <cell r="C30" t="str">
            <v>Hall Praia</v>
          </cell>
          <cell r="E30" t="str">
            <v>Led - 10 metros</v>
          </cell>
          <cell r="F30">
            <v>1</v>
          </cell>
        </row>
        <row r="31">
          <cell r="C31" t="str">
            <v>Hall Praia</v>
          </cell>
          <cell r="E31" t="str">
            <v>save energy Spot Embutir Par20 Duplo Branco Recuado</v>
          </cell>
          <cell r="F31">
            <v>5</v>
          </cell>
        </row>
        <row r="32">
          <cell r="C32" t="str">
            <v>Hall Praia</v>
          </cell>
          <cell r="E32" t="str">
            <v>Decoração</v>
          </cell>
          <cell r="F32">
            <v>1</v>
          </cell>
        </row>
        <row r="33">
          <cell r="C33" t="str">
            <v>Hall Praia</v>
          </cell>
          <cell r="E33" t="str">
            <v>Quadro Decorativo Off White Abstrato 1,00x1,50m</v>
          </cell>
          <cell r="F33">
            <v>3</v>
          </cell>
        </row>
        <row r="34">
          <cell r="B34" t="str">
            <v>Térreo</v>
          </cell>
          <cell r="C34" t="str">
            <v>Zelador</v>
          </cell>
          <cell r="E34" t="str">
            <v xml:space="preserve">Área: </v>
          </cell>
          <cell r="F34">
            <v>3.89</v>
          </cell>
        </row>
        <row r="35">
          <cell r="C35" t="str">
            <v>Zelador</v>
          </cell>
          <cell r="E35" t="str">
            <v>Decoração</v>
          </cell>
          <cell r="F35">
            <v>0.5</v>
          </cell>
        </row>
        <row r="36">
          <cell r="C36" t="str">
            <v>Zelador</v>
          </cell>
          <cell r="E36" t="str">
            <v>Cadeira Dot All Black - Recepção</v>
          </cell>
          <cell r="F36">
            <v>1</v>
          </cell>
        </row>
        <row r="37">
          <cell r="C37" t="str">
            <v>Zelador</v>
          </cell>
          <cell r="E37" t="str">
            <v>Lixeira de Aço Inox 5 Litros com Pedal Antiderrapante Balde Removível Alça para Transporte</v>
          </cell>
          <cell r="F37">
            <v>1</v>
          </cell>
        </row>
        <row r="38">
          <cell r="C38" t="str">
            <v>Zelador</v>
          </cell>
          <cell r="E38" t="str">
            <v>Marcenaria</v>
          </cell>
          <cell r="F38">
            <v>0.8</v>
          </cell>
        </row>
        <row r="39">
          <cell r="C39" t="str">
            <v>Zelador</v>
          </cell>
          <cell r="E39" t="str">
            <v>save energy Spot Embutir Par20 Duplo Branco Recuado</v>
          </cell>
          <cell r="F39">
            <v>3</v>
          </cell>
        </row>
        <row r="41">
          <cell r="B41" t="str">
            <v>Lazer</v>
          </cell>
          <cell r="C41" t="str">
            <v>Deck + Prainha</v>
          </cell>
          <cell r="E41" t="str">
            <v xml:space="preserve">Área: </v>
          </cell>
          <cell r="F41">
            <v>44.82</v>
          </cell>
        </row>
        <row r="42">
          <cell r="C42" t="str">
            <v>Deck + Prainha</v>
          </cell>
          <cell r="E42" t="str">
            <v>Jogo Mesa 1,50m Redonda Alumínio Ripada + 5 Cadeiras Brisa</v>
          </cell>
          <cell r="F42">
            <v>2</v>
          </cell>
        </row>
        <row r="43">
          <cell r="C43" t="str">
            <v>Deck + Prainha</v>
          </cell>
          <cell r="E43" t="str">
            <v>Espreguiçadeira em Alumínio Reclinável com 4 Posições 102x65x199cm Cinza Aquila Naterial</v>
          </cell>
          <cell r="F43">
            <v>4</v>
          </cell>
        </row>
        <row r="44">
          <cell r="C44" t="str">
            <v>Deck + Prainha</v>
          </cell>
          <cell r="E44" t="str">
            <v>OMBRELONE LATERAL SUPREMO COM FLOREIRA QUADRADO - TECIDO POLIÉSTER</v>
          </cell>
          <cell r="F44">
            <v>1</v>
          </cell>
        </row>
        <row r="45">
          <cell r="C45" t="str">
            <v>Deck + Prainha</v>
          </cell>
          <cell r="E45" t="str">
            <v>save energy Spot Embutir Par20 Duplo Branco Recuado</v>
          </cell>
          <cell r="F45">
            <v>3</v>
          </cell>
        </row>
        <row r="46">
          <cell r="B46" t="str">
            <v>Lazer</v>
          </cell>
          <cell r="C46" t="str">
            <v>WC Deck 1</v>
          </cell>
          <cell r="E46" t="str">
            <v xml:space="preserve">Área: </v>
          </cell>
          <cell r="F46">
            <v>3.77</v>
          </cell>
        </row>
        <row r="47">
          <cell r="C47" t="str">
            <v>WC Deck 1</v>
          </cell>
          <cell r="E47" t="str">
            <v>save energy Spot Embutir Par20 Duplo Branco Recuado</v>
          </cell>
          <cell r="F47">
            <v>2</v>
          </cell>
        </row>
        <row r="48">
          <cell r="C48" t="str">
            <v>WC Deck 1</v>
          </cell>
          <cell r="E48" t="str">
            <v>Lixeira de Aço Inox 5 Litros com Pedal Antiderrapante Balde Removível Alça para Transporte</v>
          </cell>
          <cell r="F48">
            <v>1</v>
          </cell>
        </row>
        <row r="49">
          <cell r="C49" t="str">
            <v>WC Deck 1</v>
          </cell>
          <cell r="E49" t="str">
            <v>Espelho Orgânico Piedra 68 cm x 79 cm Preto</v>
          </cell>
          <cell r="F49">
            <v>1</v>
          </cell>
        </row>
        <row r="50">
          <cell r="C50" t="str">
            <v>WC Deck 1</v>
          </cell>
          <cell r="E50" t="str">
            <v>Marcenaria</v>
          </cell>
          <cell r="F50">
            <v>0.5</v>
          </cell>
        </row>
        <row r="51">
          <cell r="B51" t="str">
            <v>Lazer</v>
          </cell>
          <cell r="C51" t="str">
            <v>WC Deck 2</v>
          </cell>
          <cell r="E51" t="str">
            <v xml:space="preserve">Área: </v>
          </cell>
          <cell r="F51">
            <v>3.77</v>
          </cell>
        </row>
        <row r="52">
          <cell r="C52" t="str">
            <v>WC Deck 2</v>
          </cell>
          <cell r="E52" t="str">
            <v>save energy Spot Embutir Par20 Duplo Branco Recuado</v>
          </cell>
          <cell r="F52">
            <v>2</v>
          </cell>
        </row>
        <row r="53">
          <cell r="C53" t="str">
            <v>WC Deck 2</v>
          </cell>
          <cell r="E53" t="str">
            <v>Lixeira de Aço Inox 5 Litros com Pedal Antiderrapante Balde Removível Alça para Transporte</v>
          </cell>
          <cell r="F53">
            <v>1</v>
          </cell>
        </row>
        <row r="54">
          <cell r="C54" t="str">
            <v>WC Deck 2</v>
          </cell>
          <cell r="E54" t="str">
            <v>Espelho Orgânico Piedra 68 cm x 79 cm Preto</v>
          </cell>
          <cell r="F54">
            <v>1</v>
          </cell>
        </row>
        <row r="55">
          <cell r="C55" t="str">
            <v>WC Deck 2</v>
          </cell>
          <cell r="E55" t="str">
            <v>Marcenaria</v>
          </cell>
          <cell r="F55">
            <v>0.5</v>
          </cell>
        </row>
        <row r="56">
          <cell r="B56" t="str">
            <v>Lazer</v>
          </cell>
          <cell r="C56" t="str">
            <v>Circulação elevadores - Lazer</v>
          </cell>
          <cell r="E56" t="str">
            <v xml:space="preserve">Área: </v>
          </cell>
          <cell r="F56">
            <v>13.91</v>
          </cell>
        </row>
        <row r="57">
          <cell r="C57" t="str">
            <v>Circulação elevadores - Lazer</v>
          </cell>
          <cell r="E57" t="str">
            <v>Plantas</v>
          </cell>
          <cell r="F57">
            <v>3</v>
          </cell>
        </row>
        <row r="58">
          <cell r="C58" t="str">
            <v>Circulação elevadores - Lazer</v>
          </cell>
          <cell r="E58" t="str">
            <v>Lixeira de Aço Inox 5 Litros com Pedal Antiderrapante Balde Removível Alça para Transporte</v>
          </cell>
          <cell r="F58">
            <v>1</v>
          </cell>
        </row>
        <row r="59">
          <cell r="C59" t="str">
            <v>Circulação elevadores - Lazer</v>
          </cell>
          <cell r="E59" t="str">
            <v>Led - 10 metros</v>
          </cell>
          <cell r="F59">
            <v>1</v>
          </cell>
        </row>
        <row r="60">
          <cell r="C60" t="str">
            <v>Circulação elevadores - Lazer</v>
          </cell>
          <cell r="E60" t="str">
            <v>save energy Spot Embutir Par20 Duplo Branco Recuado</v>
          </cell>
          <cell r="F60">
            <v>10</v>
          </cell>
        </row>
        <row r="61">
          <cell r="C61" t="str">
            <v>Circulação elevadores - Lazer</v>
          </cell>
          <cell r="E61" t="str">
            <v>Decoração</v>
          </cell>
          <cell r="F61">
            <v>1</v>
          </cell>
        </row>
        <row r="62">
          <cell r="C62" t="str">
            <v>Circulação elevadores - Lazer</v>
          </cell>
          <cell r="E62" t="str">
            <v>Quadro Decorativo Off White Abstrato 1,00x1,50m</v>
          </cell>
          <cell r="F62">
            <v>2</v>
          </cell>
        </row>
        <row r="63">
          <cell r="B63" t="str">
            <v>Lazer</v>
          </cell>
          <cell r="C63" t="str">
            <v>Gourmet 1</v>
          </cell>
          <cell r="E63" t="str">
            <v xml:space="preserve">Área: </v>
          </cell>
          <cell r="F63">
            <v>63.65</v>
          </cell>
        </row>
        <row r="64">
          <cell r="C64" t="str">
            <v>Gourmet 1</v>
          </cell>
          <cell r="E64" t="str">
            <v>Plantas</v>
          </cell>
          <cell r="F64">
            <v>3</v>
          </cell>
        </row>
        <row r="65">
          <cell r="C65" t="str">
            <v>Gourmet 1</v>
          </cell>
          <cell r="E65" t="str">
            <v>save energy Spot Embutir Par20 Duplo Branco Recuado</v>
          </cell>
          <cell r="F65">
            <v>5</v>
          </cell>
        </row>
        <row r="66">
          <cell r="C66" t="str">
            <v>Gourmet 1</v>
          </cell>
          <cell r="E66" t="str">
            <v>Decoração</v>
          </cell>
          <cell r="F66">
            <v>1</v>
          </cell>
        </row>
        <row r="67">
          <cell r="C67" t="str">
            <v>Gourmet 1</v>
          </cell>
          <cell r="E67" t="str">
            <v>Lixeira de Aço Inox 5 Litros com Pedal Antiderrapante Balde Removível Alça para Transporte</v>
          </cell>
          <cell r="F67">
            <v>1</v>
          </cell>
        </row>
        <row r="68">
          <cell r="C68" t="str">
            <v>Gourmet 1</v>
          </cell>
          <cell r="E68" t="str">
            <v xml:space="preserve">Conjunto de Mesa Diamante Com 06 Cadeiras Lara </v>
          </cell>
          <cell r="F68">
            <v>2</v>
          </cell>
        </row>
        <row r="69">
          <cell r="C69" t="str">
            <v>Gourmet 1</v>
          </cell>
          <cell r="E69" t="str">
            <v>Geladeira Electrolux Frost Free 400L Efficient AutoSense Inverse cor Inox Look (DB44S)</v>
          </cell>
          <cell r="F69">
            <v>1</v>
          </cell>
        </row>
        <row r="70">
          <cell r="C70" t="str">
            <v>Gourmet 1</v>
          </cell>
          <cell r="E70" t="str">
            <v>Mesa de Centro Orgânica Rustica Natural D50cm preta</v>
          </cell>
          <cell r="F70">
            <v>1</v>
          </cell>
        </row>
        <row r="71">
          <cell r="C71" t="str">
            <v>Gourmet 1</v>
          </cell>
          <cell r="E71" t="str">
            <v xml:space="preserve"> Banqueta Alta para Cozinha de Madeira Estofada</v>
          </cell>
          <cell r="F71">
            <v>5</v>
          </cell>
        </row>
        <row r="72">
          <cell r="C72" t="str">
            <v>Gourmet 1</v>
          </cell>
          <cell r="E72" t="str">
            <v>Cooktop de Indução Cinco Bocas EOS 90cm Preto 9500W ECI05EP 220V</v>
          </cell>
          <cell r="F72">
            <v>1</v>
          </cell>
        </row>
        <row r="73">
          <cell r="C73" t="str">
            <v>Gourmet 1</v>
          </cell>
          <cell r="E73" t="str">
            <v>Cervejeira Gelopar GCB23EPR 230 Litros Porta Cega</v>
          </cell>
          <cell r="F73">
            <v>1</v>
          </cell>
        </row>
        <row r="74">
          <cell r="C74" t="str">
            <v>Gourmet 1</v>
          </cell>
          <cell r="E74" t="str">
            <v>Bancada de marmore</v>
          </cell>
          <cell r="F74">
            <v>1</v>
          </cell>
        </row>
        <row r="75">
          <cell r="C75" t="str">
            <v>Gourmet 1</v>
          </cell>
          <cell r="E75" t="str">
            <v>Kit Promocional: Linha Taças em Cristal Bohemia Sommelier para Vinho Tinto, Branco e Espumante (18 Taças)</v>
          </cell>
          <cell r="F75">
            <v>2</v>
          </cell>
        </row>
        <row r="76">
          <cell r="C76" t="str">
            <v>Gourmet 1</v>
          </cell>
          <cell r="E76" t="str">
            <v xml:space="preserve">Kit de Coquetel Profissional com 26 Peças, Coqueteleira de 750 ml, </v>
          </cell>
          <cell r="F76">
            <v>1</v>
          </cell>
        </row>
        <row r="77">
          <cell r="C77" t="str">
            <v>Gourmet 1</v>
          </cell>
          <cell r="E77" t="str">
            <v>Kit Promocional: Linha Bar Sommelier - Copos para Whisky + Copos Long Drink (12 Copos)</v>
          </cell>
          <cell r="F77">
            <v>2</v>
          </cell>
        </row>
        <row r="78">
          <cell r="C78" t="str">
            <v>Gourmet 1</v>
          </cell>
          <cell r="E78" t="str">
            <v>Sofá de Living Solano 3 Lugares (L: 220cm) C/ Almofadas Soltas Linho Níquel</v>
          </cell>
          <cell r="F78">
            <v>1</v>
          </cell>
        </row>
        <row r="79">
          <cell r="B79" t="str">
            <v>Lazer</v>
          </cell>
          <cell r="C79" t="str">
            <v>Gourmet 2</v>
          </cell>
          <cell r="E79" t="str">
            <v xml:space="preserve">Área: </v>
          </cell>
          <cell r="F79">
            <v>58.95</v>
          </cell>
        </row>
        <row r="80">
          <cell r="C80" t="str">
            <v>Gourmet 2</v>
          </cell>
          <cell r="E80" t="str">
            <v>Plantas</v>
          </cell>
          <cell r="F80">
            <v>2</v>
          </cell>
        </row>
        <row r="81">
          <cell r="C81" t="str">
            <v>Gourmet 2</v>
          </cell>
          <cell r="E81" t="str">
            <v>save energy Spot Embutir Par20 Duplo Branco Recuado</v>
          </cell>
          <cell r="F81">
            <v>5</v>
          </cell>
        </row>
        <row r="82">
          <cell r="C82" t="str">
            <v>Gourmet 2</v>
          </cell>
          <cell r="E82" t="str">
            <v>Decoração</v>
          </cell>
          <cell r="F82">
            <v>1</v>
          </cell>
        </row>
        <row r="83">
          <cell r="C83" t="str">
            <v>Gourmet 2</v>
          </cell>
          <cell r="E83" t="str">
            <v>Lixeira de Aço Inox 5 Litros com Pedal Antiderrapante Balde Removível Alça para Transporte</v>
          </cell>
          <cell r="F83">
            <v>1</v>
          </cell>
        </row>
        <row r="84">
          <cell r="C84" t="str">
            <v>Gourmet 2</v>
          </cell>
          <cell r="E84" t="str">
            <v xml:space="preserve">Conjunto de Mesa Diamante Com 06 Cadeiras Lara </v>
          </cell>
          <cell r="F84">
            <v>2</v>
          </cell>
        </row>
        <row r="85">
          <cell r="C85" t="str">
            <v>Gourmet 2</v>
          </cell>
          <cell r="E85" t="str">
            <v>Geladeira Electrolux Frost Free 400L Efficient AutoSense Inverse cor Inox Look (DB44S)</v>
          </cell>
          <cell r="F85">
            <v>1</v>
          </cell>
        </row>
        <row r="86">
          <cell r="C86" t="str">
            <v>Gourmet 2</v>
          </cell>
          <cell r="E86" t="str">
            <v>Mesa de Centro Orgânica Rustica Natural D50cm preta</v>
          </cell>
          <cell r="F86">
            <v>1</v>
          </cell>
        </row>
        <row r="87">
          <cell r="C87" t="str">
            <v>Gourmet 2</v>
          </cell>
          <cell r="E87" t="str">
            <v xml:space="preserve"> Banqueta Alta para Cozinha de Madeira Estofada</v>
          </cell>
          <cell r="F87">
            <v>7</v>
          </cell>
        </row>
        <row r="88">
          <cell r="C88" t="str">
            <v>Gourmet 2</v>
          </cell>
          <cell r="E88" t="str">
            <v>Cooktop de Indução Cinco Bocas EOS 90cm Preto 9500W ECI05EP 220V</v>
          </cell>
          <cell r="F88">
            <v>1</v>
          </cell>
        </row>
        <row r="89">
          <cell r="C89" t="str">
            <v>Gourmet 2</v>
          </cell>
          <cell r="E89" t="str">
            <v>Bancada de marmore</v>
          </cell>
          <cell r="F89">
            <v>1</v>
          </cell>
        </row>
        <row r="90">
          <cell r="C90" t="str">
            <v>Gourmet 2</v>
          </cell>
          <cell r="E90" t="str">
            <v>Kit Promocional: Linha Taças em Cristal Bohemia Sommelier para Vinho Tinto, Branco e Espumante (18 Taças)</v>
          </cell>
          <cell r="F90">
            <v>2</v>
          </cell>
        </row>
        <row r="91">
          <cell r="C91" t="str">
            <v>Gourmet 2</v>
          </cell>
          <cell r="E91" t="str">
            <v xml:space="preserve">Kit de Coquetel Profissional com 26 Peças, Coqueteleira de 750 ml, </v>
          </cell>
          <cell r="F91">
            <v>1</v>
          </cell>
        </row>
        <row r="92">
          <cell r="C92" t="str">
            <v>Gourmet 2</v>
          </cell>
          <cell r="E92" t="str">
            <v>Kit Promocional: Linha Bar Sommelier - Copos para Whisky + Copos Long Drink (12 Copos)</v>
          </cell>
          <cell r="F92">
            <v>2</v>
          </cell>
        </row>
        <row r="93">
          <cell r="B93" t="str">
            <v>Lazer</v>
          </cell>
          <cell r="C93" t="str">
            <v>Área entre Gourmets</v>
          </cell>
          <cell r="E93" t="str">
            <v xml:space="preserve">Área: </v>
          </cell>
          <cell r="F93">
            <v>27.2118</v>
          </cell>
        </row>
        <row r="94">
          <cell r="C94" t="str">
            <v>Área entre Gourmets</v>
          </cell>
          <cell r="E94" t="str">
            <v>Plantas</v>
          </cell>
          <cell r="F94">
            <v>2</v>
          </cell>
        </row>
        <row r="95">
          <cell r="C95" t="str">
            <v>Área entre Gourmets</v>
          </cell>
          <cell r="E95" t="str">
            <v>save energy Spot Embutir Par20 Duplo Branco Recuado</v>
          </cell>
          <cell r="F95">
            <v>5</v>
          </cell>
        </row>
        <row r="96">
          <cell r="C96" t="str">
            <v>Área entre Gourmets</v>
          </cell>
          <cell r="E96" t="str">
            <v>Decoração</v>
          </cell>
          <cell r="F96">
            <v>1</v>
          </cell>
        </row>
        <row r="97">
          <cell r="C97" t="str">
            <v>Área entre Gourmets</v>
          </cell>
          <cell r="E97" t="str">
            <v>Lixeira de Aço Inox 5 Litros com Pedal Antiderrapante Balde Removível Alça para Transporte</v>
          </cell>
          <cell r="F97">
            <v>1</v>
          </cell>
        </row>
        <row r="98">
          <cell r="C98" t="str">
            <v>Área entre Gourmets</v>
          </cell>
          <cell r="E98" t="str">
            <v>Mesa coletiva externa em concreto aparente ou granito flameado</v>
          </cell>
          <cell r="F98">
            <v>1</v>
          </cell>
        </row>
        <row r="99">
          <cell r="C99" t="str">
            <v>Área entre Gourmets</v>
          </cell>
          <cell r="E99" t="str">
            <v xml:space="preserve"> Banqueta Alta para Cozinha de Madeira Estofada</v>
          </cell>
          <cell r="F99">
            <v>13</v>
          </cell>
        </row>
        <row r="100">
          <cell r="B100" t="str">
            <v>Lazer</v>
          </cell>
          <cell r="C100" t="str">
            <v>Bar Molhado</v>
          </cell>
          <cell r="E100" t="str">
            <v xml:space="preserve">Área: </v>
          </cell>
          <cell r="F100">
            <v>9.18</v>
          </cell>
        </row>
        <row r="101">
          <cell r="C101" t="str">
            <v>Bar Molhado</v>
          </cell>
          <cell r="E101" t="str">
            <v>Frigobar 88 Litros Suggar Inox 127V</v>
          </cell>
          <cell r="F101">
            <v>1</v>
          </cell>
        </row>
        <row r="102">
          <cell r="C102" t="str">
            <v>Bar Molhado</v>
          </cell>
          <cell r="E102" t="str">
            <v>Decoração</v>
          </cell>
          <cell r="F102">
            <v>1</v>
          </cell>
        </row>
        <row r="103">
          <cell r="C103" t="str">
            <v>Bar Molhado</v>
          </cell>
          <cell r="E103" t="str">
            <v>Lixeira de Aço Inox 5 Litros com Pedal Antiderrapante Balde Removível Alça para Transporte</v>
          </cell>
          <cell r="F103">
            <v>1</v>
          </cell>
        </row>
        <row r="104">
          <cell r="C104" t="str">
            <v>Bar Molhado</v>
          </cell>
          <cell r="E104" t="str">
            <v>Marmoraria</v>
          </cell>
          <cell r="F104">
            <v>3</v>
          </cell>
        </row>
        <row r="105">
          <cell r="C105" t="str">
            <v>Bar Molhado</v>
          </cell>
          <cell r="E105" t="str">
            <v>save energy Spot Embutir Par20 Duplo Branco Recuado</v>
          </cell>
          <cell r="F105">
            <v>3</v>
          </cell>
        </row>
        <row r="106">
          <cell r="C106" t="str">
            <v>Bar Molhado</v>
          </cell>
          <cell r="E106" t="str">
            <v>Banco Inox 316 Supremo para Piscina Bar Molhado</v>
          </cell>
          <cell r="F106">
            <v>12</v>
          </cell>
        </row>
        <row r="107">
          <cell r="B107" t="str">
            <v>Lazer</v>
          </cell>
          <cell r="C107" t="str">
            <v>Massagem</v>
          </cell>
          <cell r="E107" t="str">
            <v xml:space="preserve">Área: </v>
          </cell>
          <cell r="F107">
            <v>6.88</v>
          </cell>
        </row>
        <row r="108">
          <cell r="C108" t="str">
            <v>Massagem</v>
          </cell>
          <cell r="E108" t="str">
            <v>Iluminação</v>
          </cell>
          <cell r="F108">
            <v>6</v>
          </cell>
        </row>
        <row r="109">
          <cell r="C109" t="str">
            <v>Massagem</v>
          </cell>
          <cell r="E109" t="str">
            <v>save energy Spot Embutir Par20 Duplo Branco Recuado</v>
          </cell>
          <cell r="F109">
            <v>5</v>
          </cell>
        </row>
        <row r="110">
          <cell r="C110" t="str">
            <v>Massagem</v>
          </cell>
          <cell r="E110" t="str">
            <v>Led - 10 metros</v>
          </cell>
          <cell r="F110">
            <v>2</v>
          </cell>
        </row>
        <row r="111">
          <cell r="C111" t="str">
            <v>Massagem</v>
          </cell>
          <cell r="E111" t="str">
            <v>Maca Spa Multifuncional - Cedro 65 x 75 x 195cm</v>
          </cell>
          <cell r="F111">
            <v>1</v>
          </cell>
        </row>
        <row r="112">
          <cell r="C112" t="str">
            <v>Massagem</v>
          </cell>
          <cell r="E112" t="str">
            <v>Decoração</v>
          </cell>
          <cell r="F112">
            <v>5</v>
          </cell>
        </row>
        <row r="113">
          <cell r="C113" t="str">
            <v>Massagem</v>
          </cell>
          <cell r="E113" t="str">
            <v>Banco Regulável Giratório C.R.A. Moveis </v>
          </cell>
          <cell r="F113">
            <v>1</v>
          </cell>
        </row>
        <row r="114">
          <cell r="C114" t="str">
            <v>Massagem</v>
          </cell>
          <cell r="E114" t="str">
            <v>Carrinho Auxiliar Estetica 3 Andares 4 Rodizios Branco</v>
          </cell>
          <cell r="F114">
            <v>1</v>
          </cell>
        </row>
        <row r="115">
          <cell r="C115" t="str">
            <v>Massagem</v>
          </cell>
          <cell r="E115" t="str">
            <v>Maca Spa Multifuncional - Cedro 65 x 75 x 195cm</v>
          </cell>
          <cell r="F115">
            <v>1</v>
          </cell>
        </row>
        <row r="116">
          <cell r="C116" t="str">
            <v>Massagem</v>
          </cell>
          <cell r="E116" t="str">
            <v>Lixeira de Aço Inox 5 Litros com Pedal Antiderrapante Balde Removível Alça para Transporte</v>
          </cell>
          <cell r="F116">
            <v>1</v>
          </cell>
        </row>
        <row r="117">
          <cell r="C117" t="str">
            <v>Massagem</v>
          </cell>
          <cell r="E117" t="str">
            <v>Marcenaria</v>
          </cell>
          <cell r="F117">
            <v>1</v>
          </cell>
        </row>
        <row r="118">
          <cell r="B118" t="str">
            <v>Lazer</v>
          </cell>
          <cell r="C118" t="str">
            <v>Personl Care</v>
          </cell>
          <cell r="E118" t="str">
            <v xml:space="preserve">Área: </v>
          </cell>
          <cell r="F118">
            <v>9.3000000000000007</v>
          </cell>
        </row>
        <row r="119">
          <cell r="C119" t="str">
            <v>Personl Care</v>
          </cell>
          <cell r="E119" t="str">
            <v>Cadeira Cabelereiro Salão De Beleza Base Redonda Bege</v>
          </cell>
          <cell r="F119">
            <v>2</v>
          </cell>
        </row>
        <row r="120">
          <cell r="C120" t="str">
            <v>Personl Care</v>
          </cell>
          <cell r="E120" t="str">
            <v>Espelho de parede</v>
          </cell>
          <cell r="F120">
            <v>2</v>
          </cell>
        </row>
        <row r="121">
          <cell r="C121" t="str">
            <v>Personl Care</v>
          </cell>
          <cell r="E121" t="str">
            <v>Marcenaria</v>
          </cell>
          <cell r="F121">
            <v>1</v>
          </cell>
        </row>
        <row r="122">
          <cell r="C122" t="str">
            <v>Personl Care</v>
          </cell>
          <cell r="E122" t="str">
            <v xml:space="preserve">Lustre Pendente Redondo Arco 16 Bolas Globo Branco </v>
          </cell>
          <cell r="F122">
            <v>1</v>
          </cell>
        </row>
        <row r="123">
          <cell r="C123" t="str">
            <v>Personl Care</v>
          </cell>
          <cell r="E123" t="str">
            <v>Decoração</v>
          </cell>
          <cell r="F123">
            <v>2</v>
          </cell>
        </row>
        <row r="124">
          <cell r="C124" t="str">
            <v>Personl Care</v>
          </cell>
          <cell r="E124" t="str">
            <v>Iluminação</v>
          </cell>
          <cell r="F124">
            <v>2</v>
          </cell>
        </row>
        <row r="125">
          <cell r="C125" t="str">
            <v>Personl Care</v>
          </cell>
          <cell r="E125" t="str">
            <v>Lixeira de Aço Inox 5 Litros com Pedal Antiderrapante Balde Removível Alça para Transporte</v>
          </cell>
          <cell r="F125">
            <v>1</v>
          </cell>
        </row>
        <row r="126">
          <cell r="B126" t="str">
            <v>Lazer</v>
          </cell>
          <cell r="C126" t="str">
            <v>Lavabo PNE - lazer</v>
          </cell>
          <cell r="E126" t="str">
            <v xml:space="preserve">Área: </v>
          </cell>
          <cell r="F126">
            <v>3.32</v>
          </cell>
        </row>
        <row r="127">
          <cell r="C127" t="str">
            <v>Lavabo PNE - lazer</v>
          </cell>
          <cell r="E127" t="str">
            <v>save energy Spot Embutir Par20 Duplo Branco Recuado</v>
          </cell>
          <cell r="F127">
            <v>2</v>
          </cell>
        </row>
        <row r="128">
          <cell r="C128" t="str">
            <v>Lavabo PNE - lazer</v>
          </cell>
          <cell r="E128" t="str">
            <v>Lixeira de Aço Inox 5 Litros com Pedal Antiderrapante Balde Removível Alça para Transporte</v>
          </cell>
          <cell r="F128">
            <v>1</v>
          </cell>
        </row>
        <row r="129">
          <cell r="C129" t="str">
            <v>Lavabo PNE - lazer</v>
          </cell>
          <cell r="E129" t="str">
            <v>Espelho Orgânico Piedra 68 cm x 79 cm Preto</v>
          </cell>
          <cell r="F129">
            <v>1</v>
          </cell>
        </row>
        <row r="130">
          <cell r="C130" t="str">
            <v>Lavabo PNE - lazer</v>
          </cell>
          <cell r="E130" t="str">
            <v>Marcenaria</v>
          </cell>
          <cell r="F130">
            <v>0.5</v>
          </cell>
        </row>
        <row r="131">
          <cell r="B131" t="str">
            <v>Lazer</v>
          </cell>
          <cell r="C131" t="str">
            <v>Lavabo - lazer</v>
          </cell>
          <cell r="E131" t="str">
            <v xml:space="preserve">Área: </v>
          </cell>
          <cell r="F131">
            <v>2.88</v>
          </cell>
        </row>
        <row r="132">
          <cell r="C132" t="str">
            <v>Lavabo - lazer</v>
          </cell>
          <cell r="E132" t="str">
            <v>save energy Spot Embutir Par20 Duplo Branco Recuado</v>
          </cell>
          <cell r="F132">
            <v>2</v>
          </cell>
        </row>
        <row r="133">
          <cell r="C133" t="str">
            <v>Lavabo - lazer</v>
          </cell>
          <cell r="E133" t="str">
            <v>Lixeira de Aço Inox 5 Litros com Pedal Antiderrapante Balde Removível Alça para Transporte</v>
          </cell>
          <cell r="F133">
            <v>1</v>
          </cell>
        </row>
        <row r="134">
          <cell r="C134" t="str">
            <v>Lavabo - lazer</v>
          </cell>
          <cell r="E134" t="str">
            <v>Espelho Orgânico Piedra 68 cm x 79 cm Preto</v>
          </cell>
          <cell r="F134">
            <v>1</v>
          </cell>
        </row>
        <row r="135">
          <cell r="C135" t="str">
            <v>Lavabo - lazer</v>
          </cell>
          <cell r="E135" t="str">
            <v>Marcenaria</v>
          </cell>
          <cell r="F135">
            <v>0.5</v>
          </cell>
        </row>
        <row r="136">
          <cell r="B136" t="str">
            <v>Lazer</v>
          </cell>
          <cell r="C136" t="str">
            <v>Lounge</v>
          </cell>
          <cell r="E136" t="str">
            <v xml:space="preserve">Área: </v>
          </cell>
          <cell r="F136">
            <v>35.21</v>
          </cell>
        </row>
        <row r="137">
          <cell r="C137" t="str">
            <v>Lounge</v>
          </cell>
          <cell r="E137" t="str">
            <v>SOFÁ curvo amorfo branco</v>
          </cell>
          <cell r="F137">
            <v>1</v>
          </cell>
        </row>
        <row r="138">
          <cell r="C138" t="str">
            <v>Lounge</v>
          </cell>
          <cell r="E138" t="str">
            <v xml:space="preserve">MESA LATERAL RED. 18 CM PINGO DOURO </v>
          </cell>
          <cell r="F138">
            <v>2</v>
          </cell>
        </row>
        <row r="139">
          <cell r="C139" t="str">
            <v>Lounge</v>
          </cell>
          <cell r="E139" t="str">
            <v>Decoração</v>
          </cell>
          <cell r="F139">
            <v>4</v>
          </cell>
        </row>
        <row r="140">
          <cell r="C140" t="str">
            <v>Lounge</v>
          </cell>
          <cell r="E140" t="str">
            <v>Plantas</v>
          </cell>
          <cell r="F140">
            <v>8</v>
          </cell>
        </row>
        <row r="141">
          <cell r="C141" t="str">
            <v>Lounge</v>
          </cell>
          <cell r="E141" t="str">
            <v>Poltrona Giratória Capri Off White - Luisa Decor</v>
          </cell>
          <cell r="F141">
            <v>2</v>
          </cell>
        </row>
        <row r="142">
          <cell r="C142" t="str">
            <v>Lounge</v>
          </cell>
          <cell r="E142" t="str">
            <v>Cortina Blackout Bege Jacquard - 10m x 2,50 - Valeriana | Dona Cortina</v>
          </cell>
          <cell r="F142">
            <v>2</v>
          </cell>
        </row>
        <row r="143">
          <cell r="C143" t="str">
            <v>Lounge</v>
          </cell>
          <cell r="E143" t="str">
            <v>Vaso decorativo</v>
          </cell>
          <cell r="F143">
            <v>1</v>
          </cell>
        </row>
        <row r="144">
          <cell r="C144" t="str">
            <v>Lounge</v>
          </cell>
          <cell r="E144" t="str">
            <v>Iluminação</v>
          </cell>
          <cell r="F144">
            <v>1</v>
          </cell>
        </row>
        <row r="145">
          <cell r="C145" t="str">
            <v>Lounge</v>
          </cell>
          <cell r="E145" t="str">
            <v>Led - 10 metros</v>
          </cell>
          <cell r="F145">
            <v>1</v>
          </cell>
        </row>
        <row r="146">
          <cell r="C146" t="str">
            <v>Lounge</v>
          </cell>
          <cell r="E146" t="str">
            <v>Almofada 40x40</v>
          </cell>
          <cell r="F146">
            <v>2</v>
          </cell>
        </row>
        <row r="147">
          <cell r="C147" t="str">
            <v>Lounge</v>
          </cell>
          <cell r="E147" t="str">
            <v>Tapete Sala Orgânico Mixture Riot</v>
          </cell>
          <cell r="F147">
            <v>2</v>
          </cell>
        </row>
        <row r="148">
          <cell r="C148" t="str">
            <v>Lounge</v>
          </cell>
          <cell r="E148" t="str">
            <v>Marcenaria</v>
          </cell>
          <cell r="F148">
            <v>4</v>
          </cell>
        </row>
        <row r="149">
          <cell r="B149" t="str">
            <v>Lazer</v>
          </cell>
          <cell r="C149" t="str">
            <v>Salão de Festas</v>
          </cell>
          <cell r="E149" t="str">
            <v xml:space="preserve">Área: </v>
          </cell>
          <cell r="F149">
            <v>70.989999999999995</v>
          </cell>
        </row>
        <row r="150">
          <cell r="C150" t="str">
            <v>Salão de Festas</v>
          </cell>
          <cell r="E150" t="str">
            <v>Mesa de Jantar Redonda com Tampo Giratório Madeira</v>
          </cell>
          <cell r="F150">
            <v>6</v>
          </cell>
        </row>
        <row r="151">
          <cell r="C151" t="str">
            <v>Salão de Festas</v>
          </cell>
          <cell r="E151" t="str">
            <v>Cadeira Livy Estofada: Elegância e Design Atemporal</v>
          </cell>
          <cell r="F151">
            <v>30</v>
          </cell>
        </row>
        <row r="152">
          <cell r="C152" t="str">
            <v>Salão de Festas</v>
          </cell>
          <cell r="E152" t="str">
            <v xml:space="preserve">Lustre Pendente Redondo Arco 16 Bolas Globo Branco </v>
          </cell>
          <cell r="F152">
            <v>1</v>
          </cell>
        </row>
        <row r="153">
          <cell r="C153" t="str">
            <v>Salão de Festas</v>
          </cell>
          <cell r="E153" t="str">
            <v>Marmore bancada cozinha + a da ilha embutida</v>
          </cell>
          <cell r="F153">
            <v>4.5</v>
          </cell>
        </row>
        <row r="154">
          <cell r="C154" t="str">
            <v>Salão de Festas</v>
          </cell>
          <cell r="E154" t="str">
            <v>Marcenaria</v>
          </cell>
          <cell r="F154">
            <v>21</v>
          </cell>
        </row>
        <row r="155">
          <cell r="C155" t="str">
            <v>Salão de Festas</v>
          </cell>
          <cell r="E155" t="str">
            <v>Plantas</v>
          </cell>
          <cell r="F155">
            <v>10</v>
          </cell>
        </row>
        <row r="156">
          <cell r="C156" t="str">
            <v>Salão de Festas</v>
          </cell>
          <cell r="E156" t="str">
            <v>Decoração</v>
          </cell>
          <cell r="F156">
            <v>10</v>
          </cell>
        </row>
        <row r="157">
          <cell r="C157" t="str">
            <v>Salão de Festas</v>
          </cell>
          <cell r="E157" t="str">
            <v>Quadro Decorativo Off White Abstrato 1,00x1,50m</v>
          </cell>
          <cell r="F157">
            <v>3</v>
          </cell>
        </row>
        <row r="158">
          <cell r="C158" t="str">
            <v>Salão de Festas</v>
          </cell>
          <cell r="E158" t="str">
            <v>Coifa de Ilha Oster Inox Touch Control, 90cm, 220v, OCFA590</v>
          </cell>
          <cell r="F158">
            <v>1</v>
          </cell>
        </row>
        <row r="159">
          <cell r="C159" t="str">
            <v>Salão de Festas</v>
          </cell>
          <cell r="E159" t="str">
            <v>Forno de Embutir Elétrico Fischer Fit Line 48L</v>
          </cell>
          <cell r="F159">
            <v>1</v>
          </cell>
        </row>
        <row r="160">
          <cell r="C160" t="str">
            <v>Salão de Festas</v>
          </cell>
          <cell r="E160" t="str">
            <v>Micro-ondas Electrolux 31L cor Inox Espelhado com Painel</v>
          </cell>
          <cell r="F160">
            <v>1</v>
          </cell>
        </row>
        <row r="161">
          <cell r="C161" t="str">
            <v>Salão de Festas</v>
          </cell>
          <cell r="E161" t="str">
            <v>Banqueta Gave - Aço Inox | MadeiraMadeira</v>
          </cell>
          <cell r="F161">
            <v>5</v>
          </cell>
        </row>
        <row r="162">
          <cell r="C162" t="str">
            <v>Salão de Festas</v>
          </cell>
          <cell r="E162" t="str">
            <v>Pendente LED Ailsa 3000K 7W Bivolt (D) 45cm x (A) 28cm</v>
          </cell>
          <cell r="F162">
            <v>1</v>
          </cell>
        </row>
        <row r="163">
          <cell r="C163" t="str">
            <v>Salão de Festas</v>
          </cell>
          <cell r="E163" t="str">
            <v>Lustre Pendente Redondo Circular Arco Anel Aro Led</v>
          </cell>
          <cell r="F163">
            <v>5</v>
          </cell>
        </row>
        <row r="164">
          <cell r="C164" t="str">
            <v>Salão de Festas</v>
          </cell>
          <cell r="E164" t="str">
            <v>Faqueiro, Jogo de Talheres 84PCS, 410 Faqueiro Inox, Conjunto de Talheres de Aço Inoxidáve</v>
          </cell>
          <cell r="F164">
            <v>1</v>
          </cell>
        </row>
        <row r="165">
          <cell r="C165" t="str">
            <v>Salão de Festas</v>
          </cell>
          <cell r="E165" t="str">
            <v>Oxford Aparelho De Jantar 20 Peças Ryo Maresia</v>
          </cell>
          <cell r="F165">
            <v>1</v>
          </cell>
        </row>
        <row r="166">
          <cell r="C166" t="str">
            <v>Salão de Festas</v>
          </cell>
          <cell r="E166" t="str">
            <v>Mesa De Bar Em Madeira Cumarú Nascente</v>
          </cell>
          <cell r="F166">
            <v>2</v>
          </cell>
        </row>
        <row r="167">
          <cell r="C167" t="str">
            <v>Salão de Festas</v>
          </cell>
          <cell r="E167" t="str">
            <v>riva Jogo Xícaras Cafe Riviera Com Colheres</v>
          </cell>
          <cell r="F167">
            <v>1</v>
          </cell>
        </row>
        <row r="168">
          <cell r="C168" t="str">
            <v>Salão de Festas</v>
          </cell>
          <cell r="E168" t="str">
            <v>Geladeira Electrolux Frost Free 400L Efficient AutoSense Inverse cor Inox Look (DB44S)</v>
          </cell>
          <cell r="F168">
            <v>1</v>
          </cell>
        </row>
        <row r="169">
          <cell r="C169" t="str">
            <v>Salão de Festas</v>
          </cell>
          <cell r="E169" t="str">
            <v>Cooktop 5 Bocas Electrolux à Gás Experience Inox Semi Profissional (KE9DX) - Bivolt</v>
          </cell>
          <cell r="F169">
            <v>1</v>
          </cell>
        </row>
        <row r="170">
          <cell r="C170" t="str">
            <v>Salão de Festas</v>
          </cell>
          <cell r="E170" t="str">
            <v>save energy Spot Embutir Par20 Duplo Branco Recuado</v>
          </cell>
          <cell r="F170">
            <v>10</v>
          </cell>
        </row>
        <row r="171">
          <cell r="C171" t="str">
            <v>Salão de Festas</v>
          </cell>
          <cell r="E171" t="str">
            <v>Cortina Blackout Bege Jacquard - 10m x 2,50 - Valeriana | Dona Cortina</v>
          </cell>
          <cell r="F171">
            <v>4</v>
          </cell>
        </row>
        <row r="172">
          <cell r="C172" t="str">
            <v>Salão de Festas</v>
          </cell>
          <cell r="E172" t="str">
            <v>SOFÁ curvo amorfo branco</v>
          </cell>
          <cell r="F172">
            <v>1</v>
          </cell>
        </row>
        <row r="173">
          <cell r="C173" t="str">
            <v>Salão de Festas</v>
          </cell>
          <cell r="E173" t="str">
            <v>Tapete Sala Orgânico Mixture Riot</v>
          </cell>
          <cell r="F173">
            <v>2</v>
          </cell>
        </row>
        <row r="174">
          <cell r="C174" t="str">
            <v>Salão de Festas</v>
          </cell>
          <cell r="E174" t="str">
            <v>Almofada 40x40</v>
          </cell>
          <cell r="F174">
            <v>2</v>
          </cell>
        </row>
        <row r="175">
          <cell r="C175" t="str">
            <v>Salão de Festas</v>
          </cell>
          <cell r="E175" t="str">
            <v>Led - 10 metros</v>
          </cell>
          <cell r="F175">
            <v>2</v>
          </cell>
        </row>
        <row r="176">
          <cell r="C176" t="str">
            <v>Salão de Festas</v>
          </cell>
          <cell r="E176" t="str">
            <v>Lixeira de Aço Inox 5 Litros com Pedal Antiderrapante Balde Removível Alça para Transporte</v>
          </cell>
          <cell r="F176">
            <v>1</v>
          </cell>
        </row>
        <row r="177">
          <cell r="C177" t="str">
            <v>Salão de Festas</v>
          </cell>
          <cell r="E177" t="str">
            <v>Kit Promocional: Linha Taças em Cristal Bohemia Sommelier para Vinho Tinto, Branco e Espumante (18 Taças)</v>
          </cell>
          <cell r="F177">
            <v>2</v>
          </cell>
        </row>
        <row r="178">
          <cell r="C178" t="str">
            <v>Salão de Festas</v>
          </cell>
          <cell r="E178" t="str">
            <v xml:space="preserve">Kit de Coquetel Profissional com 26 Peças, Coqueteleira de 750 ml, </v>
          </cell>
          <cell r="F178">
            <v>1</v>
          </cell>
        </row>
        <row r="179">
          <cell r="B179" t="str">
            <v>Lazer</v>
          </cell>
          <cell r="C179" t="str">
            <v>Brinquedoteca</v>
          </cell>
          <cell r="E179" t="str">
            <v xml:space="preserve">Área: </v>
          </cell>
          <cell r="F179">
            <v>37.53</v>
          </cell>
        </row>
        <row r="180">
          <cell r="C180" t="str">
            <v>Brinquedoteca</v>
          </cell>
          <cell r="E180" t="str">
            <v>TATEYAMA Sofá curvo de tecido By Secolo | design Artefatto</v>
          </cell>
          <cell r="F180">
            <v>1</v>
          </cell>
        </row>
        <row r="181">
          <cell r="C181" t="str">
            <v>Brinquedoteca</v>
          </cell>
          <cell r="E181" t="str">
            <v>Samsung Smart TV 43" QLED 4K The Frame 43LS03D</v>
          </cell>
          <cell r="F181">
            <v>1</v>
          </cell>
        </row>
        <row r="182">
          <cell r="C182" t="str">
            <v>Brinquedoteca</v>
          </cell>
          <cell r="E182" t="str">
            <v>Cortina Blackout Bege Jacquard - 10m x 2,50 - Valeriana | Dona Cortina</v>
          </cell>
          <cell r="F182">
            <v>2</v>
          </cell>
        </row>
        <row r="183">
          <cell r="C183" t="str">
            <v>Brinquedoteca</v>
          </cell>
          <cell r="E183" t="str">
            <v>Marcenaria</v>
          </cell>
          <cell r="F183">
            <v>14</v>
          </cell>
        </row>
        <row r="184">
          <cell r="C184" t="str">
            <v>Brinquedoteca</v>
          </cell>
          <cell r="E184" t="str">
            <v>Brinquedos</v>
          </cell>
          <cell r="F184">
            <v>4</v>
          </cell>
        </row>
        <row r="185">
          <cell r="C185" t="str">
            <v>Brinquedoteca</v>
          </cell>
          <cell r="E185" t="str">
            <v>Decoração</v>
          </cell>
          <cell r="F185">
            <v>6</v>
          </cell>
        </row>
        <row r="186">
          <cell r="C186" t="str">
            <v>Brinquedoteca</v>
          </cell>
          <cell r="E186" t="str">
            <v>Mesa Infantil Espacial - Lua com 4 Cadeiras Foguete</v>
          </cell>
          <cell r="F186">
            <v>1</v>
          </cell>
        </row>
        <row r="187">
          <cell r="C187" t="str">
            <v>Brinquedoteca</v>
          </cell>
          <cell r="E187" t="str">
            <v>Iluminação</v>
          </cell>
          <cell r="F187">
            <v>7</v>
          </cell>
        </row>
        <row r="188">
          <cell r="C188" t="str">
            <v>Brinquedoteca</v>
          </cell>
          <cell r="E188" t="str">
            <v>Almofada 40x40</v>
          </cell>
          <cell r="F188">
            <v>2</v>
          </cell>
        </row>
        <row r="189">
          <cell r="C189" t="str">
            <v>Brinquedoteca</v>
          </cell>
          <cell r="E189" t="str">
            <v>Tapete Puffy Lily - Lorena Canals</v>
          </cell>
          <cell r="F189">
            <v>1</v>
          </cell>
        </row>
        <row r="190">
          <cell r="C190" t="str">
            <v>Brinquedoteca</v>
          </cell>
          <cell r="E190" t="str">
            <v>Cadeira de Borboleta com Palha Indiana Mod 3 |</v>
          </cell>
          <cell r="F190">
            <v>4</v>
          </cell>
        </row>
        <row r="191">
          <cell r="C191" t="str">
            <v>Brinquedoteca</v>
          </cell>
          <cell r="E191" t="str">
            <v>Mesa infantil</v>
          </cell>
          <cell r="F191">
            <v>1</v>
          </cell>
        </row>
        <row r="192">
          <cell r="B192" t="str">
            <v>Lazer</v>
          </cell>
          <cell r="C192" t="str">
            <v>Deck Elevado</v>
          </cell>
          <cell r="E192" t="str">
            <v xml:space="preserve">Área: </v>
          </cell>
          <cell r="F192">
            <v>58.02</v>
          </cell>
        </row>
        <row r="193">
          <cell r="C193" t="str">
            <v>Deck Elevado</v>
          </cell>
          <cell r="E193" t="str">
            <v>Sofá Pucon</v>
          </cell>
          <cell r="F193">
            <v>1</v>
          </cell>
        </row>
        <row r="194">
          <cell r="C194" t="str">
            <v>Deck Elevado</v>
          </cell>
          <cell r="E194" t="str">
            <v>Sofá Living Decorativo Salinas</v>
          </cell>
          <cell r="F194">
            <v>1</v>
          </cell>
        </row>
        <row r="195">
          <cell r="C195" t="str">
            <v>Deck Elevado</v>
          </cell>
          <cell r="E195" t="str">
            <v>Decoração</v>
          </cell>
          <cell r="F195">
            <v>1</v>
          </cell>
        </row>
        <row r="196">
          <cell r="C196" t="str">
            <v>Deck Elevado</v>
          </cell>
          <cell r="E196" t="str">
            <v>Plantas</v>
          </cell>
          <cell r="F196">
            <v>4</v>
          </cell>
        </row>
        <row r="197">
          <cell r="C197" t="str">
            <v>Deck Elevado</v>
          </cell>
          <cell r="E197" t="str">
            <v>Ombrelone Lateral com LED 3X3</v>
          </cell>
          <cell r="F197">
            <v>2</v>
          </cell>
        </row>
        <row r="198">
          <cell r="C198" t="str">
            <v>Deck Elevado</v>
          </cell>
          <cell r="E198" t="str">
            <v>Iluminação</v>
          </cell>
          <cell r="F198">
            <v>1</v>
          </cell>
        </row>
        <row r="199">
          <cell r="C199" t="str">
            <v>Deck Elevado</v>
          </cell>
          <cell r="E199" t="str">
            <v>Almofada 40x40</v>
          </cell>
          <cell r="F199">
            <v>2</v>
          </cell>
        </row>
        <row r="200">
          <cell r="C200" t="str">
            <v>Deck Elevado</v>
          </cell>
          <cell r="E200" t="str">
            <v>Lareira externa (mesa de centro com lenha)</v>
          </cell>
          <cell r="F200">
            <v>1</v>
          </cell>
        </row>
        <row r="201">
          <cell r="B201" t="str">
            <v>Lazer</v>
          </cell>
          <cell r="C201" t="str">
            <v>MINI QUADRA ESPORTIVA</v>
          </cell>
          <cell r="E201" t="str">
            <v xml:space="preserve">Área: </v>
          </cell>
          <cell r="F201">
            <v>40.11</v>
          </cell>
        </row>
        <row r="202">
          <cell r="C202" t="str">
            <v>MINI QUADRA ESPORTIVA</v>
          </cell>
          <cell r="E202" t="str">
            <v>ÁREA DE ESPORTES (MULTIUSO)</v>
          </cell>
          <cell r="F202">
            <v>1</v>
          </cell>
        </row>
        <row r="203">
          <cell r="B203" t="str">
            <v>Lazer</v>
          </cell>
          <cell r="C203" t="str">
            <v>Playground</v>
          </cell>
          <cell r="E203" t="str">
            <v xml:space="preserve">Área: </v>
          </cell>
          <cell r="F203">
            <v>35.6</v>
          </cell>
        </row>
        <row r="204">
          <cell r="C204" t="str">
            <v>Playground</v>
          </cell>
          <cell r="E204" t="str">
            <v>Playground + brinquedos</v>
          </cell>
          <cell r="F204">
            <v>1</v>
          </cell>
        </row>
        <row r="205">
          <cell r="B205" t="str">
            <v>Lazer</v>
          </cell>
          <cell r="C205" t="str">
            <v>Pet place</v>
          </cell>
          <cell r="E205" t="str">
            <v xml:space="preserve">Área: </v>
          </cell>
          <cell r="F205">
            <v>8.39</v>
          </cell>
        </row>
        <row r="206">
          <cell r="C206" t="str">
            <v>Pet place</v>
          </cell>
          <cell r="E206" t="str">
            <v>Cercamento em madeira</v>
          </cell>
          <cell r="F206">
            <v>1</v>
          </cell>
        </row>
        <row r="207">
          <cell r="C207" t="str">
            <v>Pet place</v>
          </cell>
          <cell r="E207" t="str">
            <v>Equipamentos agility pet (rampa, túnel, obstáculos)</v>
          </cell>
          <cell r="F207">
            <v>1</v>
          </cell>
        </row>
        <row r="208">
          <cell r="C208" t="str">
            <v>Pet place</v>
          </cell>
          <cell r="E208" t="str">
            <v>Banco urbano para área pet</v>
          </cell>
          <cell r="F208">
            <v>1</v>
          </cell>
        </row>
        <row r="209">
          <cell r="C209" t="str">
            <v>Pet place</v>
          </cell>
          <cell r="E209" t="str">
            <v>Lixeira de Aço Inox 5 Litros com Pedal Antiderrapante Balde Removível Alça para Transporte</v>
          </cell>
          <cell r="F209">
            <v>1</v>
          </cell>
        </row>
        <row r="210">
          <cell r="B210" t="str">
            <v>Lazer</v>
          </cell>
          <cell r="C210" t="str">
            <v>Salão de Festas Externo</v>
          </cell>
          <cell r="E210" t="str">
            <v xml:space="preserve">Área: </v>
          </cell>
          <cell r="F210">
            <v>59.22</v>
          </cell>
        </row>
        <row r="211">
          <cell r="C211" t="str">
            <v>Salão de Festas Externo</v>
          </cell>
          <cell r="E211" t="str">
            <v>Plantas</v>
          </cell>
          <cell r="F211">
            <v>2</v>
          </cell>
        </row>
        <row r="212">
          <cell r="C212" t="str">
            <v>Salão de Festas Externo</v>
          </cell>
          <cell r="E212" t="str">
            <v>save energy Spot Embutir Par20 Duplo Branco Recuado</v>
          </cell>
          <cell r="F212">
            <v>5</v>
          </cell>
        </row>
        <row r="213">
          <cell r="C213" t="str">
            <v>Salão de Festas Externo</v>
          </cell>
          <cell r="E213" t="str">
            <v>Decoração</v>
          </cell>
          <cell r="F213">
            <v>1</v>
          </cell>
        </row>
        <row r="214">
          <cell r="C214" t="str">
            <v>Salão de Festas Externo</v>
          </cell>
          <cell r="E214" t="str">
            <v>Lixeira de Aço Inox 5 Litros com Pedal Antiderrapante Balde Removível Alça para Transporte</v>
          </cell>
          <cell r="F214">
            <v>1</v>
          </cell>
        </row>
        <row r="215">
          <cell r="C215" t="str">
            <v>Salão de Festas Externo</v>
          </cell>
          <cell r="E215" t="str">
            <v>SOFÁ curvo amorfo branco</v>
          </cell>
          <cell r="F215">
            <v>4</v>
          </cell>
        </row>
        <row r="216">
          <cell r="C216" t="str">
            <v>Salão de Festas Externo</v>
          </cell>
          <cell r="E216" t="str">
            <v xml:space="preserve">MESA LATERAL RED. 18 CM PINGO DOURO </v>
          </cell>
          <cell r="F216">
            <v>10</v>
          </cell>
        </row>
        <row r="217">
          <cell r="C217" t="str">
            <v>Salão de Festas Externo</v>
          </cell>
          <cell r="E217" t="str">
            <v>Almofada 40x40</v>
          </cell>
          <cell r="F217">
            <v>20</v>
          </cell>
        </row>
        <row r="218">
          <cell r="C218" t="str">
            <v>Salão de Festas Externo</v>
          </cell>
        </row>
        <row r="219">
          <cell r="C219" t="str">
            <v>Salão de Festas Externo</v>
          </cell>
        </row>
        <row r="220">
          <cell r="C220" t="str">
            <v>Salão de Festas Externo</v>
          </cell>
        </row>
        <row r="221">
          <cell r="C221" t="str">
            <v>Salão de Festas Externo</v>
          </cell>
        </row>
        <row r="222">
          <cell r="C222" t="str">
            <v>Salão de Festas Externo</v>
          </cell>
        </row>
        <row r="223">
          <cell r="C223" t="str">
            <v>Salão de Festas Externo</v>
          </cell>
        </row>
        <row r="225">
          <cell r="B225" t="str">
            <v>Rooftop</v>
          </cell>
          <cell r="C225" t="str">
            <v>Lavabo - Rooftop</v>
          </cell>
          <cell r="E225" t="str">
            <v xml:space="preserve">Área: </v>
          </cell>
          <cell r="F225">
            <v>2.29</v>
          </cell>
        </row>
        <row r="226">
          <cell r="C226" t="str">
            <v>Lavabo - Rooftop</v>
          </cell>
          <cell r="E226" t="str">
            <v>save energy Spot Embutir Par20 Duplo Branco Recuado</v>
          </cell>
          <cell r="F226">
            <v>2</v>
          </cell>
        </row>
        <row r="227">
          <cell r="C227" t="str">
            <v>Lavabo - Rooftop</v>
          </cell>
          <cell r="E227" t="str">
            <v>Lixeira de Aço Inox 5 Litros com Pedal Antiderrapante Balde Removível Alça para Transporte</v>
          </cell>
          <cell r="F227">
            <v>1</v>
          </cell>
        </row>
        <row r="228">
          <cell r="C228" t="str">
            <v>Lavabo - Rooftop</v>
          </cell>
          <cell r="E228" t="str">
            <v>Espelho Orgânico Piedra 68 cm x 79 cm Preto</v>
          </cell>
          <cell r="F228">
            <v>1</v>
          </cell>
        </row>
        <row r="229">
          <cell r="C229" t="str">
            <v>Lavabo - Rooftop</v>
          </cell>
          <cell r="E229" t="str">
            <v>Marcenaria</v>
          </cell>
          <cell r="F229">
            <v>0.5</v>
          </cell>
        </row>
        <row r="230">
          <cell r="B230" t="str">
            <v>Rooftop</v>
          </cell>
          <cell r="C230" t="str">
            <v>Lavabo PNE - Rooftop</v>
          </cell>
          <cell r="E230" t="str">
            <v xml:space="preserve">Área: </v>
          </cell>
          <cell r="F230">
            <v>3.06</v>
          </cell>
        </row>
        <row r="231">
          <cell r="C231" t="str">
            <v>Lavabo PNE - Rooftop</v>
          </cell>
          <cell r="E231" t="str">
            <v>save energy Spot Embutir Par20 Duplo Branco Recuado</v>
          </cell>
          <cell r="F231">
            <v>2</v>
          </cell>
        </row>
        <row r="232">
          <cell r="C232" t="str">
            <v>Lavabo PNE - Rooftop</v>
          </cell>
          <cell r="E232" t="str">
            <v>Lixeira de Aço Inox 5 Litros com Pedal Antiderrapante Balde Removível Alça para Transporte</v>
          </cell>
          <cell r="F232">
            <v>1</v>
          </cell>
        </row>
        <row r="233">
          <cell r="C233" t="str">
            <v>Lavabo PNE - Rooftop</v>
          </cell>
          <cell r="E233" t="str">
            <v>Espelho Orgânico Piedra 68 cm x 79 cm Preto</v>
          </cell>
          <cell r="F233">
            <v>1</v>
          </cell>
        </row>
        <row r="234">
          <cell r="C234" t="str">
            <v>Lavabo PNE - Rooftop</v>
          </cell>
          <cell r="E234" t="str">
            <v>Marcenaria</v>
          </cell>
          <cell r="F234">
            <v>0.5</v>
          </cell>
        </row>
        <row r="235">
          <cell r="B235" t="str">
            <v>Rooftop</v>
          </cell>
          <cell r="C235" t="str">
            <v>Circulação elevadores - Rooftop</v>
          </cell>
          <cell r="E235" t="str">
            <v xml:space="preserve">Área: </v>
          </cell>
          <cell r="F235">
            <v>17.11</v>
          </cell>
        </row>
        <row r="236">
          <cell r="C236" t="str">
            <v>Circulação elevadores - Rooftop</v>
          </cell>
          <cell r="E236" t="str">
            <v>Plantas</v>
          </cell>
          <cell r="F236">
            <v>3</v>
          </cell>
        </row>
        <row r="237">
          <cell r="C237" t="str">
            <v>Circulação elevadores - Rooftop</v>
          </cell>
          <cell r="E237" t="str">
            <v>Lixeira de Aço Inox 5 Litros com Pedal Antiderrapante Balde Removível Alça para Transporte</v>
          </cell>
          <cell r="F237">
            <v>1</v>
          </cell>
        </row>
        <row r="238">
          <cell r="C238" t="str">
            <v>Circulação elevadores - Rooftop</v>
          </cell>
          <cell r="E238" t="str">
            <v>Led - 10 metros</v>
          </cell>
          <cell r="F238">
            <v>1</v>
          </cell>
        </row>
        <row r="239">
          <cell r="C239" t="str">
            <v>Circulação elevadores - Rooftop</v>
          </cell>
          <cell r="E239" t="str">
            <v>save energy Spot Embutir Par20 Duplo Branco Recuado</v>
          </cell>
          <cell r="F239">
            <v>10</v>
          </cell>
        </row>
        <row r="240">
          <cell r="C240" t="str">
            <v>Circulação elevadores - Rooftop</v>
          </cell>
          <cell r="E240" t="str">
            <v>Decoração</v>
          </cell>
          <cell r="F240">
            <v>1</v>
          </cell>
        </row>
        <row r="241">
          <cell r="C241" t="str">
            <v>Circulação elevadores - Rooftop</v>
          </cell>
          <cell r="E241" t="str">
            <v>Quadro Decorativo Off White Abstrato 1,00x1,50m</v>
          </cell>
          <cell r="F241">
            <v>2</v>
          </cell>
        </row>
        <row r="242">
          <cell r="B242" t="str">
            <v>Rooftop</v>
          </cell>
          <cell r="C242" t="str">
            <v>Salão de Festas - Rooftop</v>
          </cell>
          <cell r="E242" t="str">
            <v xml:space="preserve">Área: </v>
          </cell>
          <cell r="F242">
            <v>52.24</v>
          </cell>
        </row>
        <row r="243">
          <cell r="C243" t="str">
            <v>Salão de Festas - Rooftop</v>
          </cell>
          <cell r="E243" t="str">
            <v>Mesa de Jantar Redonda com Tampo  Marmore</v>
          </cell>
          <cell r="F243">
            <v>6</v>
          </cell>
        </row>
        <row r="244">
          <cell r="C244" t="str">
            <v>Salão de Festas - Rooftop</v>
          </cell>
          <cell r="E244" t="str">
            <v>Cadeira Zurique Sarja Argila e Terracota</v>
          </cell>
          <cell r="F244">
            <v>42</v>
          </cell>
        </row>
        <row r="245">
          <cell r="C245" t="str">
            <v>Salão de Festas - Rooftop</v>
          </cell>
          <cell r="E245" t="str">
            <v xml:space="preserve">Lustre Pendente Redondo Arco 16 Bolas Globo Branco </v>
          </cell>
          <cell r="F245">
            <v>1</v>
          </cell>
        </row>
        <row r="246">
          <cell r="C246" t="str">
            <v>Salão de Festas - Rooftop</v>
          </cell>
          <cell r="E246" t="str">
            <v>Marmore bancada cozinha + a da ilha embutida</v>
          </cell>
          <cell r="F246">
            <v>4.5</v>
          </cell>
        </row>
        <row r="247">
          <cell r="C247" t="str">
            <v>Salão de Festas - Rooftop</v>
          </cell>
          <cell r="E247" t="str">
            <v>Marcenaria</v>
          </cell>
          <cell r="F247">
            <v>21</v>
          </cell>
        </row>
        <row r="248">
          <cell r="C248" t="str">
            <v>Salão de Festas - Rooftop</v>
          </cell>
          <cell r="E248" t="str">
            <v>Plantas</v>
          </cell>
          <cell r="F248">
            <v>10</v>
          </cell>
        </row>
        <row r="249">
          <cell r="C249" t="str">
            <v>Salão de Festas - Rooftop</v>
          </cell>
          <cell r="E249" t="str">
            <v>Decoração</v>
          </cell>
          <cell r="F249">
            <v>10</v>
          </cell>
        </row>
        <row r="250">
          <cell r="C250" t="str">
            <v>Salão de Festas - Rooftop</v>
          </cell>
          <cell r="E250" t="str">
            <v>Samsung Smart TV 43" QLED 4K The Frame 43LS03D</v>
          </cell>
          <cell r="F250">
            <v>1</v>
          </cell>
        </row>
        <row r="251">
          <cell r="C251" t="str">
            <v>Salão de Festas - Rooftop</v>
          </cell>
          <cell r="E251" t="str">
            <v>Quadro Decorativo Off White Abstrato 1,00x1,50m</v>
          </cell>
          <cell r="F251">
            <v>3</v>
          </cell>
        </row>
        <row r="252">
          <cell r="C252" t="str">
            <v>Salão de Festas - Rooftop</v>
          </cell>
          <cell r="E252" t="str">
            <v>Coifa de Ilha Oster Inox Touch Control, 90cm, 220v, OCFA590</v>
          </cell>
          <cell r="F252">
            <v>1</v>
          </cell>
        </row>
        <row r="253">
          <cell r="C253" t="str">
            <v>Salão de Festas - Rooftop</v>
          </cell>
          <cell r="E253" t="str">
            <v>Forno de Embutir Elétrico Fischer Fit Line 48L</v>
          </cell>
          <cell r="F253">
            <v>1</v>
          </cell>
        </row>
        <row r="254">
          <cell r="C254" t="str">
            <v>Salão de Festas - Rooftop</v>
          </cell>
          <cell r="E254" t="str">
            <v>Micro-ondas Electrolux 31L cor Inox Espelhado com Painel</v>
          </cell>
          <cell r="F254">
            <v>1</v>
          </cell>
        </row>
        <row r="255">
          <cell r="C255" t="str">
            <v>Salão de Festas - Rooftop</v>
          </cell>
          <cell r="E255" t="str">
            <v>Faqueiro, Jogo de Talheres 84PCS, 410 Faqueiro Inox, Conjunto de Talheres de Aço Inoxidáve</v>
          </cell>
          <cell r="F255">
            <v>1</v>
          </cell>
        </row>
        <row r="256">
          <cell r="C256" t="str">
            <v>Salão de Festas - Rooftop</v>
          </cell>
          <cell r="E256" t="str">
            <v>Oxford Aparelho De Jantar 20 Peças Ryo Maresia</v>
          </cell>
          <cell r="F256">
            <v>1</v>
          </cell>
        </row>
        <row r="257">
          <cell r="C257" t="str">
            <v>Salão de Festas - Rooftop</v>
          </cell>
          <cell r="E257" t="str">
            <v>riva Jogo Xícaras Cafe Riviera Com Colheres</v>
          </cell>
          <cell r="F257">
            <v>1</v>
          </cell>
        </row>
        <row r="258">
          <cell r="C258" t="str">
            <v>Salão de Festas - Rooftop</v>
          </cell>
          <cell r="E258" t="str">
            <v>Geladeira Electrolux Frost Free 400L Efficient AutoSense Inverse cor Inox Look (DB44S)</v>
          </cell>
          <cell r="F258">
            <v>1</v>
          </cell>
        </row>
        <row r="259">
          <cell r="C259" t="str">
            <v>Salão de Festas - Rooftop</v>
          </cell>
          <cell r="E259" t="str">
            <v>Cooktop 5 Bocas Electrolux à Gás Experience Inox Semi Profissional (KE9DX) - Bivolt</v>
          </cell>
          <cell r="F259">
            <v>1</v>
          </cell>
        </row>
        <row r="260">
          <cell r="C260" t="str">
            <v>Salão de Festas - Rooftop</v>
          </cell>
          <cell r="E260" t="str">
            <v>save energy Spot Embutir Par20 Duplo Branco Recuado</v>
          </cell>
          <cell r="F260">
            <v>10</v>
          </cell>
        </row>
        <row r="261">
          <cell r="C261" t="str">
            <v>Salão de Festas - Rooftop</v>
          </cell>
          <cell r="E261" t="str">
            <v>Cortina Blackout Bege Jacquard - 10m x 2,50 - Valeriana | Dona Cortina</v>
          </cell>
          <cell r="F261">
            <v>4</v>
          </cell>
        </row>
        <row r="262">
          <cell r="C262" t="str">
            <v>Salão de Festas - Rooftop</v>
          </cell>
          <cell r="E262" t="str">
            <v>SOFÁ curvo amorfo branco</v>
          </cell>
          <cell r="F262">
            <v>1</v>
          </cell>
        </row>
        <row r="263">
          <cell r="C263" t="str">
            <v>Salão de Festas - Rooftop</v>
          </cell>
          <cell r="E263" t="str">
            <v>Tapete Sala Orgânico Mixture Riot</v>
          </cell>
          <cell r="F263">
            <v>2</v>
          </cell>
        </row>
        <row r="264">
          <cell r="C264" t="str">
            <v>Salão de Festas - Rooftop</v>
          </cell>
          <cell r="E264" t="str">
            <v>Almofada 40x40</v>
          </cell>
          <cell r="F264">
            <v>2</v>
          </cell>
        </row>
        <row r="265">
          <cell r="C265" t="str">
            <v>Salão de Festas - Rooftop</v>
          </cell>
          <cell r="E265" t="str">
            <v>Led - 10 metros</v>
          </cell>
          <cell r="F265">
            <v>2</v>
          </cell>
        </row>
        <row r="266">
          <cell r="C266" t="str">
            <v>Salão de Festas - Rooftop</v>
          </cell>
          <cell r="E266" t="str">
            <v>Lixeira de Aço Inox 5 Litros com Pedal Antiderrapante Balde Removível Alça para Transporte</v>
          </cell>
          <cell r="F266">
            <v>1</v>
          </cell>
        </row>
        <row r="267">
          <cell r="C267" t="str">
            <v>Salão de Festas - Rooftop</v>
          </cell>
          <cell r="E267" t="str">
            <v>Kit Promocional: Linha Taças em Cristal Bohemia Sommelier para Vinho Tinto, Branco e Espumante (18 Taças)</v>
          </cell>
          <cell r="F267">
            <v>2</v>
          </cell>
        </row>
        <row r="268">
          <cell r="C268" t="str">
            <v>Salão de Festas - Rooftop</v>
          </cell>
          <cell r="E268" t="str">
            <v xml:space="preserve">Kit de Coquetel Profissional com 26 Peças, Coqueteleira de 750 ml, </v>
          </cell>
          <cell r="F268">
            <v>1</v>
          </cell>
        </row>
        <row r="269">
          <cell r="B269" t="str">
            <v>Rooftop</v>
          </cell>
          <cell r="C269" t="str">
            <v>Hidromassagem</v>
          </cell>
          <cell r="E269" t="str">
            <v xml:space="preserve">Área: </v>
          </cell>
          <cell r="F269">
            <v>13.6</v>
          </cell>
        </row>
        <row r="270">
          <cell r="C270" t="str">
            <v>Hidromassagem</v>
          </cell>
          <cell r="E270" t="str">
            <v>Plantas</v>
          </cell>
          <cell r="F270">
            <v>4</v>
          </cell>
        </row>
        <row r="271">
          <cell r="C271" t="str">
            <v>Hidromassagem</v>
          </cell>
          <cell r="E271" t="str">
            <v>Muxarabi</v>
          </cell>
          <cell r="F271">
            <v>4</v>
          </cell>
        </row>
        <row r="272">
          <cell r="C272" t="str">
            <v>Hidromassagem</v>
          </cell>
          <cell r="E272" t="str">
            <v>Spa Confort Advantage 4 Pessoas 2,02 x 2,05 Axell - SPA 2X2 |</v>
          </cell>
          <cell r="F272">
            <v>2</v>
          </cell>
        </row>
        <row r="273">
          <cell r="C273" t="str">
            <v>Hidromassagem</v>
          </cell>
          <cell r="E273" t="str">
            <v>Lixeira de Aço Inox 5 Litros com Pedal Antiderrapante Balde Removível Alça para Transporte</v>
          </cell>
          <cell r="F273">
            <v>1</v>
          </cell>
        </row>
        <row r="274">
          <cell r="C274" t="str">
            <v>Hidromassagem</v>
          </cell>
          <cell r="E274" t="str">
            <v>Led - 10 metros</v>
          </cell>
          <cell r="F274">
            <v>1</v>
          </cell>
        </row>
        <row r="275">
          <cell r="C275" t="str">
            <v>Hidromassagem</v>
          </cell>
          <cell r="E275" t="str">
            <v>save energy Spot Embutir Par20 Duplo Branco Recuado</v>
          </cell>
          <cell r="F275">
            <v>4</v>
          </cell>
        </row>
        <row r="276">
          <cell r="B276" t="str">
            <v>Rooftop</v>
          </cell>
          <cell r="C276" t="str">
            <v>Fireplace</v>
          </cell>
          <cell r="E276" t="str">
            <v xml:space="preserve">Área: </v>
          </cell>
          <cell r="F276">
            <v>16.8</v>
          </cell>
        </row>
        <row r="277">
          <cell r="C277" t="str">
            <v>Fireplace</v>
          </cell>
          <cell r="E277" t="str">
            <v>Plantas</v>
          </cell>
          <cell r="F277">
            <v>4</v>
          </cell>
        </row>
        <row r="278">
          <cell r="C278" t="str">
            <v>Fireplace</v>
          </cell>
          <cell r="E278" t="str">
            <v>Lareira a Gás Externa - Fire Pit Quadrado</v>
          </cell>
          <cell r="F278">
            <v>1</v>
          </cell>
        </row>
        <row r="279">
          <cell r="C279" t="str">
            <v>Fireplace</v>
          </cell>
          <cell r="E279" t="str">
            <v>Lixeira de Aço Inox 5 Litros com Pedal Antiderrapante Balde Removível Alça para Transporte</v>
          </cell>
          <cell r="F279">
            <v>1</v>
          </cell>
        </row>
        <row r="280">
          <cell r="C280" t="str">
            <v>Fireplace</v>
          </cell>
          <cell r="E280" t="str">
            <v>Led - 10 metros</v>
          </cell>
          <cell r="F280">
            <v>1</v>
          </cell>
        </row>
        <row r="281">
          <cell r="C281" t="str">
            <v>Fireplace</v>
          </cell>
          <cell r="E281" t="str">
            <v>save energy Spot Embutir Par20 Duplo Branco Recuado</v>
          </cell>
          <cell r="F281">
            <v>4</v>
          </cell>
        </row>
        <row r="282">
          <cell r="B282" t="str">
            <v>Rooftop</v>
          </cell>
          <cell r="C282" t="str">
            <v>Salão de Jogos</v>
          </cell>
          <cell r="E282" t="str">
            <v xml:space="preserve">Área: </v>
          </cell>
          <cell r="F282">
            <v>49.34</v>
          </cell>
        </row>
        <row r="283">
          <cell r="C283" t="str">
            <v>Salão de Jogos</v>
          </cell>
          <cell r="E283" t="str">
            <v xml:space="preserve">Banquetas de bar 90cm nórdico luxo alto banquinho moderno </v>
          </cell>
          <cell r="F283">
            <v>4</v>
          </cell>
        </row>
        <row r="284">
          <cell r="C284" t="str">
            <v>Salão de Jogos</v>
          </cell>
          <cell r="E284" t="str">
            <v>Cadeira Emma com Braço Dourado</v>
          </cell>
          <cell r="F284">
            <v>8</v>
          </cell>
        </row>
        <row r="285">
          <cell r="C285" t="str">
            <v>Salão de Jogos</v>
          </cell>
          <cell r="E285" t="str">
            <v xml:space="preserve">Lustre Pendente </v>
          </cell>
          <cell r="F285">
            <v>1</v>
          </cell>
        </row>
        <row r="286">
          <cell r="C286" t="str">
            <v>Salão de Jogos</v>
          </cell>
          <cell r="E286" t="str">
            <v>Marmore bancada cozinha + a da ilha embutida</v>
          </cell>
          <cell r="F286">
            <v>7</v>
          </cell>
        </row>
        <row r="287">
          <cell r="C287" t="str">
            <v>Salão de Jogos</v>
          </cell>
          <cell r="E287" t="str">
            <v>Marcenaria</v>
          </cell>
          <cell r="F287">
            <v>18</v>
          </cell>
        </row>
        <row r="288">
          <cell r="C288" t="str">
            <v>Salão de Jogos</v>
          </cell>
          <cell r="E288" t="str">
            <v>Plantas</v>
          </cell>
          <cell r="F288">
            <v>2</v>
          </cell>
        </row>
        <row r="289">
          <cell r="C289" t="str">
            <v>Salão de Jogos</v>
          </cell>
          <cell r="E289" t="str">
            <v>Decoração</v>
          </cell>
          <cell r="F289">
            <v>3</v>
          </cell>
        </row>
        <row r="290">
          <cell r="C290" t="str">
            <v>Salão de Jogos</v>
          </cell>
          <cell r="E290" t="str">
            <v>Samsung Smart TV 43" QLED 4K The Frame 43LS03D</v>
          </cell>
          <cell r="F290">
            <v>1</v>
          </cell>
        </row>
        <row r="291">
          <cell r="C291" t="str">
            <v>Salão de Jogos</v>
          </cell>
          <cell r="E291" t="str">
            <v>Quadro Decorativo Off White Abstrato 1,00x1,50m</v>
          </cell>
          <cell r="F291">
            <v>3</v>
          </cell>
        </row>
        <row r="292">
          <cell r="C292" t="str">
            <v>Salão de Jogos</v>
          </cell>
          <cell r="E292" t="str">
            <v>Coifa de Ilha Oster Inox Touch Control, 90cm, 220v, OCFA590</v>
          </cell>
          <cell r="F292">
            <v>1</v>
          </cell>
        </row>
        <row r="293">
          <cell r="C293" t="str">
            <v>Salão de Jogos</v>
          </cell>
          <cell r="E293" t="str">
            <v>Forno de Embutir Elétrico Fischer Fit Line 48L</v>
          </cell>
          <cell r="F293">
            <v>1</v>
          </cell>
        </row>
        <row r="294">
          <cell r="C294" t="str">
            <v>Salão de Jogos</v>
          </cell>
          <cell r="E294" t="str">
            <v>Micro-ondas Electrolux 31L cor Inox Espelhado com Painel</v>
          </cell>
          <cell r="F294">
            <v>1</v>
          </cell>
        </row>
        <row r="295">
          <cell r="C295" t="str">
            <v>Salão de Jogos</v>
          </cell>
          <cell r="E295" t="str">
            <v>Faqueiro, Jogo de Talheres 84PCS, 410 Faqueiro Inox, Conjunto de Talheres de Aço Inoxidáve</v>
          </cell>
          <cell r="F295">
            <v>1</v>
          </cell>
        </row>
        <row r="296">
          <cell r="C296" t="str">
            <v>Salão de Jogos</v>
          </cell>
          <cell r="E296" t="str">
            <v>Oxford Aparelho De Jantar 20 Peças Ryo Maresia</v>
          </cell>
          <cell r="F296">
            <v>1</v>
          </cell>
        </row>
        <row r="297">
          <cell r="C297" t="str">
            <v>Salão de Jogos</v>
          </cell>
          <cell r="E297" t="str">
            <v>riva Jogo Xícaras Cafe Riviera Com Colheres</v>
          </cell>
          <cell r="F297">
            <v>1</v>
          </cell>
        </row>
        <row r="298">
          <cell r="C298" t="str">
            <v>Salão de Jogos</v>
          </cell>
          <cell r="E298" t="str">
            <v>Geladeira Electrolux Frost Free 400L Efficient AutoSense Inverse cor Inox Look (DB44S)</v>
          </cell>
          <cell r="F298">
            <v>1</v>
          </cell>
        </row>
        <row r="299">
          <cell r="C299" t="str">
            <v>Salão de Jogos</v>
          </cell>
          <cell r="E299" t="str">
            <v>Cooktop 5 Bocas Electrolux à Gás Experience Inox Semi Profissional (KE9DX) - Bivolt</v>
          </cell>
          <cell r="F299">
            <v>1</v>
          </cell>
        </row>
        <row r="300">
          <cell r="C300" t="str">
            <v>Salão de Jogos</v>
          </cell>
          <cell r="E300" t="str">
            <v>save energy Spot Embutir Par20 Duplo Branco Recuado</v>
          </cell>
          <cell r="F300">
            <v>10</v>
          </cell>
        </row>
        <row r="301">
          <cell r="C301" t="str">
            <v>Salão de Jogos</v>
          </cell>
          <cell r="E301" t="str">
            <v>Cortina Blackout Bege Jacquard - 10m x 2,50 - Valeriana | Dona Cortina</v>
          </cell>
          <cell r="F301">
            <v>4</v>
          </cell>
        </row>
        <row r="302">
          <cell r="C302" t="str">
            <v>Salão de Jogos</v>
          </cell>
          <cell r="E302" t="str">
            <v>Mesa de Jantar Redonda de Madeira e Aço Biena</v>
          </cell>
          <cell r="F302">
            <v>1</v>
          </cell>
        </row>
        <row r="303">
          <cell r="C303" t="str">
            <v>Salão de Jogos</v>
          </cell>
          <cell r="E303" t="str">
            <v>Tapete Sala Orgânico Mixture Riot</v>
          </cell>
          <cell r="F303">
            <v>2</v>
          </cell>
        </row>
        <row r="304">
          <cell r="C304" t="str">
            <v>Salão de Jogos</v>
          </cell>
          <cell r="E304" t="str">
            <v>Almofada 40x40</v>
          </cell>
          <cell r="F304">
            <v>2</v>
          </cell>
        </row>
        <row r="305">
          <cell r="C305" t="str">
            <v>Salão de Jogos</v>
          </cell>
          <cell r="E305" t="str">
            <v>Led - 10 metros</v>
          </cell>
          <cell r="F305">
            <v>2</v>
          </cell>
        </row>
        <row r="306">
          <cell r="C306" t="str">
            <v>Salão de Jogos</v>
          </cell>
          <cell r="E306" t="str">
            <v>Lixeira de Aço Inox 5 Litros com Pedal Antiderrapante Balde Removível Alça para Transporte</v>
          </cell>
          <cell r="F306">
            <v>1</v>
          </cell>
        </row>
        <row r="307">
          <cell r="C307" t="str">
            <v>Salão de Jogos</v>
          </cell>
          <cell r="E307" t="str">
            <v>Kit Promocional: Linha Taças em Cristal Bohemia Sommelier para Vinho Tinto, Branco e Espumante (18 Taças)</v>
          </cell>
          <cell r="F307">
            <v>2</v>
          </cell>
        </row>
        <row r="308">
          <cell r="C308" t="str">
            <v>Salão de Jogos</v>
          </cell>
          <cell r="E308" t="str">
            <v xml:space="preserve">Kit de Coquetel Profissional com 26 Peças, Coqueteleira de 750 ml, </v>
          </cell>
          <cell r="F308">
            <v>1</v>
          </cell>
        </row>
        <row r="309">
          <cell r="C309" t="str">
            <v>Salão de Jogos</v>
          </cell>
          <cell r="E309" t="str">
            <v>Mesa de Poker</v>
          </cell>
          <cell r="F309">
            <v>1</v>
          </cell>
        </row>
        <row r="310">
          <cell r="C310" t="str">
            <v>Salão de Jogos</v>
          </cell>
          <cell r="E310" t="str">
            <v>Mesa de Bilhar Versátil 2P cor Ébano</v>
          </cell>
          <cell r="F310">
            <v>1</v>
          </cell>
        </row>
        <row r="311">
          <cell r="C311" t="str">
            <v>Salão de Jogos</v>
          </cell>
          <cell r="E311" t="str">
            <v xml:space="preserve">Taqueira de Parede/Porta tacos cor Vintage Amadeirado </v>
          </cell>
          <cell r="F311">
            <v>1</v>
          </cell>
        </row>
        <row r="312">
          <cell r="B312" t="str">
            <v>Rooftop</v>
          </cell>
          <cell r="C312" t="str">
            <v>Academia</v>
          </cell>
          <cell r="E312" t="str">
            <v xml:space="preserve">Área: </v>
          </cell>
          <cell r="F312">
            <v>48.07</v>
          </cell>
        </row>
        <row r="313">
          <cell r="C313" t="str">
            <v>Academia</v>
          </cell>
          <cell r="E313" t="str">
            <v>Esteira Profissional Movement RT 2500 LED (linha comercial)</v>
          </cell>
          <cell r="F313">
            <v>1</v>
          </cell>
        </row>
        <row r="314">
          <cell r="C314" t="str">
            <v>Academia</v>
          </cell>
          <cell r="E314" t="str">
            <v>Bicicleta Ergométrica Vertical Movement VX1000</v>
          </cell>
          <cell r="F314">
            <v>1</v>
          </cell>
        </row>
        <row r="315">
          <cell r="C315" t="str">
            <v>Academia</v>
          </cell>
          <cell r="E315" t="str">
            <v>Estação de Musculação Athletic Multi Funcional Dinamic</v>
          </cell>
          <cell r="F315">
            <v>1</v>
          </cell>
        </row>
        <row r="316">
          <cell r="C316" t="str">
            <v>Academia</v>
          </cell>
          <cell r="E316" t="str">
            <v xml:space="preserve">Lustre Pendente </v>
          </cell>
          <cell r="F316">
            <v>3</v>
          </cell>
        </row>
        <row r="317">
          <cell r="C317" t="str">
            <v>Academia</v>
          </cell>
          <cell r="E317" t="str">
            <v>rino force Kit de Kettlebells</v>
          </cell>
          <cell r="F317">
            <v>4</v>
          </cell>
        </row>
        <row r="318">
          <cell r="C318" t="str">
            <v>Academia</v>
          </cell>
          <cell r="E318" t="str">
            <v>Banco Regulável Movement Adjustable Bench Pro</v>
          </cell>
          <cell r="F318">
            <v>2</v>
          </cell>
        </row>
        <row r="319">
          <cell r="C319" t="str">
            <v>Academia</v>
          </cell>
          <cell r="E319" t="str">
            <v>Halteres Sextavados (2kg a 30kg) Nees Fitness / Reebok (jogo completo)</v>
          </cell>
          <cell r="F319">
            <v>1</v>
          </cell>
        </row>
        <row r="320">
          <cell r="C320" t="str">
            <v>Academia</v>
          </cell>
          <cell r="E320" t="str">
            <v>Suporte para Halteres 2 Andares Movement Rack 2T</v>
          </cell>
          <cell r="F320">
            <v>1</v>
          </cell>
        </row>
        <row r="321">
          <cell r="C321" t="str">
            <v>Academia</v>
          </cell>
          <cell r="E321" t="str">
            <v>Colchonetes Premium Vollo Pro EVA 120x60cm</v>
          </cell>
          <cell r="F321">
            <v>4</v>
          </cell>
        </row>
        <row r="322">
          <cell r="C322" t="str">
            <v>Academia</v>
          </cell>
          <cell r="E322" t="str">
            <v>Suporte vertical para anilhas (com rodízios) Modelo: Movement Rack Vertical 10 Discos Pro ou Nees Fitness Vertical Plate Tree</v>
          </cell>
          <cell r="F322">
            <v>2</v>
          </cell>
        </row>
        <row r="323">
          <cell r="C323" t="str">
            <v>Academia</v>
          </cell>
          <cell r="E323" t="str">
            <v>Kit Anilhas e Barras para Musculação (157,5 kg)</v>
          </cell>
          <cell r="F323">
            <v>2</v>
          </cell>
        </row>
        <row r="324">
          <cell r="C324" t="str">
            <v>Academia</v>
          </cell>
          <cell r="E324" t="str">
            <v>Decoração</v>
          </cell>
          <cell r="F324">
            <v>3</v>
          </cell>
        </row>
        <row r="325">
          <cell r="C325" t="str">
            <v>Academia</v>
          </cell>
          <cell r="E325" t="str">
            <v>Marcenaria</v>
          </cell>
          <cell r="F325">
            <v>2</v>
          </cell>
        </row>
        <row r="326">
          <cell r="C326" t="str">
            <v>Academia</v>
          </cell>
          <cell r="E326" t="str">
            <v>Espelhos 2,20m x 1,80m</v>
          </cell>
          <cell r="F326">
            <v>10</v>
          </cell>
        </row>
        <row r="327">
          <cell r="C327" t="str">
            <v>Academia</v>
          </cell>
          <cell r="E327" t="str">
            <v>Plafon Lisse 56x85mm Par 16 50W - ELETROMIG</v>
          </cell>
          <cell r="F327">
            <v>10</v>
          </cell>
        </row>
        <row r="328">
          <cell r="C328" t="str">
            <v>Academia</v>
          </cell>
          <cell r="E328" t="str">
            <v xml:space="preserve">Painel LED decorativo </v>
          </cell>
          <cell r="F328">
            <v>1</v>
          </cell>
        </row>
        <row r="329">
          <cell r="C329" t="str">
            <v>Academia</v>
          </cell>
          <cell r="E329" t="str">
            <v>Plantas</v>
          </cell>
          <cell r="F329">
            <v>2</v>
          </cell>
        </row>
        <row r="330">
          <cell r="C330" t="str">
            <v>Academia</v>
          </cell>
          <cell r="E330" t="str">
            <v>Led - 10 metros</v>
          </cell>
          <cell r="F330">
            <v>2</v>
          </cell>
        </row>
        <row r="331">
          <cell r="C331" t="str">
            <v>Academia</v>
          </cell>
          <cell r="E331" t="str">
            <v>Espaldar Funcional | Equipamentos Line Fitness</v>
          </cell>
          <cell r="F331">
            <v>1</v>
          </cell>
        </row>
        <row r="332">
          <cell r="C332" t="str">
            <v>Academia</v>
          </cell>
          <cell r="E332" t="str">
            <v>Purificador de Água Consul CPB34AS</v>
          </cell>
          <cell r="F332">
            <v>1</v>
          </cell>
        </row>
        <row r="333">
          <cell r="C333" t="str">
            <v>Academia</v>
          </cell>
          <cell r="E333" t="str">
            <v>Jogo 6 Copos 200ml para Suco Água e Refrigerante Nadir Figueiredo em Vidro Transparente</v>
          </cell>
          <cell r="F333">
            <v>1</v>
          </cell>
        </row>
        <row r="334">
          <cell r="C334" t="str">
            <v>Coworking</v>
          </cell>
          <cell r="E334" t="str">
            <v xml:space="preserve">Área: </v>
          </cell>
          <cell r="F334">
            <v>9.4600000000000009</v>
          </cell>
        </row>
        <row r="335">
          <cell r="B335" t="str">
            <v>Rooftop</v>
          </cell>
          <cell r="C335" t="str">
            <v>Coworking</v>
          </cell>
          <cell r="E335" t="str">
            <v xml:space="preserve">Cadeira Presidente Eames - Hosanah </v>
          </cell>
          <cell r="F335">
            <v>3</v>
          </cell>
        </row>
        <row r="336">
          <cell r="C336" t="str">
            <v>Coworking</v>
          </cell>
          <cell r="E336" t="str">
            <v>save energy Spot Embutir Par20 Duplo Branco Recuado</v>
          </cell>
          <cell r="F336">
            <v>5</v>
          </cell>
        </row>
        <row r="337">
          <cell r="C337" t="str">
            <v>Coworking</v>
          </cell>
          <cell r="E337" t="str">
            <v>Quadro branco liso de vidro</v>
          </cell>
          <cell r="F337">
            <v>1</v>
          </cell>
        </row>
        <row r="338">
          <cell r="C338" t="str">
            <v>Coworking</v>
          </cell>
          <cell r="E338" t="str">
            <v>Mesa de escritório plataforma</v>
          </cell>
          <cell r="F338">
            <v>1</v>
          </cell>
        </row>
        <row r="339">
          <cell r="C339" t="str">
            <v>Coworking</v>
          </cell>
          <cell r="E339" t="str">
            <v>Placa motivacional</v>
          </cell>
          <cell r="F339">
            <v>1</v>
          </cell>
        </row>
        <row r="340">
          <cell r="C340" t="str">
            <v>Coworking</v>
          </cell>
          <cell r="E340" t="str">
            <v>Lixeira de Aço Inox 5 Litros com Pedal Antiderrapante Balde Removível Alça para Transporte</v>
          </cell>
          <cell r="F340">
            <v>1</v>
          </cell>
        </row>
        <row r="341">
          <cell r="C341" t="str">
            <v>Coworking</v>
          </cell>
          <cell r="E341" t="str">
            <v>Plantas</v>
          </cell>
          <cell r="F341">
            <v>1</v>
          </cell>
        </row>
        <row r="342">
          <cell r="C342" t="str">
            <v>Coworking</v>
          </cell>
          <cell r="E342" t="str">
            <v>Purificador de Água Consul CPB34AS</v>
          </cell>
          <cell r="F342">
            <v>1</v>
          </cell>
        </row>
        <row r="343">
          <cell r="C343" t="str">
            <v>Coworking</v>
          </cell>
          <cell r="E343" t="str">
            <v>Nespresso - Cafeteira elétrica Essenza Mini Branca 220V</v>
          </cell>
          <cell r="F343">
            <v>1</v>
          </cell>
        </row>
        <row r="344">
          <cell r="C344" t="str">
            <v>Coworking</v>
          </cell>
          <cell r="E344" t="str">
            <v>riva Jogo Xícaras Cafe Riviera Com Colheres</v>
          </cell>
          <cell r="F344">
            <v>1</v>
          </cell>
        </row>
        <row r="345">
          <cell r="B345" t="str">
            <v>Rooftop</v>
          </cell>
          <cell r="C345" t="str">
            <v>Sala de reuniões</v>
          </cell>
          <cell r="E345" t="str">
            <v xml:space="preserve">Área: </v>
          </cell>
          <cell r="F345">
            <v>6.87</v>
          </cell>
        </row>
        <row r="346">
          <cell r="C346" t="str">
            <v>Sala de reuniões</v>
          </cell>
          <cell r="E346" t="str">
            <v xml:space="preserve">Cadeira Presidente Eames - Hosanah </v>
          </cell>
          <cell r="F346">
            <v>3</v>
          </cell>
        </row>
        <row r="347">
          <cell r="C347" t="str">
            <v>Sala de reuniões</v>
          </cell>
          <cell r="E347" t="str">
            <v>save energy Spot Embutir Par20 Duplo Branco Recuado</v>
          </cell>
          <cell r="F347">
            <v>5</v>
          </cell>
        </row>
        <row r="348">
          <cell r="C348" t="str">
            <v>Sala de reuniões</v>
          </cell>
          <cell r="E348" t="str">
            <v>Mesa de Reunião Escritório 4 Lugares Sintra Preto</v>
          </cell>
          <cell r="F348">
            <v>1</v>
          </cell>
        </row>
        <row r="349">
          <cell r="C349" t="str">
            <v>Sala de reuniões</v>
          </cell>
          <cell r="E349" t="str">
            <v>Quadro Decorativo Off White Abstrato 1,00x1,50m</v>
          </cell>
          <cell r="F349">
            <v>1</v>
          </cell>
        </row>
        <row r="350">
          <cell r="C350" t="str">
            <v>Sala de reuniões</v>
          </cell>
          <cell r="E350" t="str">
            <v>Samsung Smart TV 43" QLED 4K The Frame 43LS03D</v>
          </cell>
          <cell r="F350">
            <v>1</v>
          </cell>
        </row>
        <row r="351">
          <cell r="C351" t="str">
            <v>Sala de reuniões</v>
          </cell>
          <cell r="E351" t="str">
            <v>Lixeira de Aço Inox 5 Litros com Pedal Antiderrapante Balde Removível Alça para Transporte</v>
          </cell>
          <cell r="F351">
            <v>1</v>
          </cell>
        </row>
        <row r="352">
          <cell r="C352" t="str">
            <v>Sala de reuniões</v>
          </cell>
          <cell r="E352" t="str">
            <v>Plantas</v>
          </cell>
          <cell r="F352">
            <v>1</v>
          </cell>
        </row>
      </sheetData>
      <sheetData sheetId="16"/>
      <sheetData sheetId="17"/>
      <sheetData sheetId="18"/>
      <sheetData sheetId="19">
        <row r="5">
          <cell r="M5">
            <v>126.01</v>
          </cell>
          <cell r="N5">
            <v>3.6</v>
          </cell>
        </row>
        <row r="6">
          <cell r="M6">
            <v>131.834</v>
          </cell>
          <cell r="N6">
            <v>3.24</v>
          </cell>
        </row>
        <row r="7">
          <cell r="M7">
            <v>131.834</v>
          </cell>
          <cell r="N7">
            <v>2.88</v>
          </cell>
        </row>
        <row r="8">
          <cell r="M8">
            <v>131.834</v>
          </cell>
          <cell r="N8">
            <v>4.8600000000000003</v>
          </cell>
        </row>
        <row r="9">
          <cell r="M9">
            <v>85.37</v>
          </cell>
          <cell r="N9">
            <v>3.6</v>
          </cell>
        </row>
        <row r="10">
          <cell r="M10">
            <v>81.91</v>
          </cell>
          <cell r="N10">
            <v>3.24</v>
          </cell>
        </row>
        <row r="11">
          <cell r="M11">
            <v>81.91</v>
          </cell>
          <cell r="N11">
            <v>3.24</v>
          </cell>
        </row>
        <row r="12">
          <cell r="M12">
            <v>81.91</v>
          </cell>
          <cell r="N12">
            <v>3.24</v>
          </cell>
        </row>
        <row r="13">
          <cell r="M13">
            <v>81.91</v>
          </cell>
          <cell r="N13">
            <v>3.24</v>
          </cell>
        </row>
        <row r="14">
          <cell r="M14">
            <v>81.91</v>
          </cell>
          <cell r="N14">
            <v>3.24</v>
          </cell>
        </row>
        <row r="15">
          <cell r="M15">
            <v>81.91</v>
          </cell>
          <cell r="N15">
            <v>3.24</v>
          </cell>
        </row>
        <row r="16">
          <cell r="M16">
            <v>81.91</v>
          </cell>
          <cell r="N16">
            <v>3.24</v>
          </cell>
        </row>
        <row r="17">
          <cell r="M17">
            <v>81.91</v>
          </cell>
          <cell r="N17">
            <v>3.24</v>
          </cell>
        </row>
        <row r="18">
          <cell r="M18">
            <v>81.91</v>
          </cell>
          <cell r="N18">
            <v>3.24</v>
          </cell>
        </row>
        <row r="19">
          <cell r="M19">
            <v>81.91</v>
          </cell>
          <cell r="N19">
            <v>3.24</v>
          </cell>
        </row>
        <row r="20">
          <cell r="M20">
            <v>81.91</v>
          </cell>
          <cell r="N20">
            <v>3.24</v>
          </cell>
        </row>
        <row r="21">
          <cell r="M21">
            <v>81.91</v>
          </cell>
          <cell r="N21">
            <v>3.24</v>
          </cell>
        </row>
        <row r="22">
          <cell r="M22">
            <v>81.91</v>
          </cell>
          <cell r="N22">
            <v>3.24</v>
          </cell>
        </row>
        <row r="23">
          <cell r="M23">
            <v>81.91</v>
          </cell>
          <cell r="N23">
            <v>3.24</v>
          </cell>
        </row>
        <row r="24">
          <cell r="M24">
            <v>81.91</v>
          </cell>
          <cell r="N24">
            <v>3.24</v>
          </cell>
        </row>
        <row r="25">
          <cell r="M25">
            <v>81.91</v>
          </cell>
          <cell r="N25">
            <v>3.24</v>
          </cell>
        </row>
        <row r="26">
          <cell r="M26">
            <v>81.91</v>
          </cell>
          <cell r="N26">
            <v>3.24</v>
          </cell>
        </row>
        <row r="27">
          <cell r="M27">
            <v>81.91</v>
          </cell>
          <cell r="N27">
            <v>3.24</v>
          </cell>
        </row>
        <row r="28">
          <cell r="M28">
            <v>81.91</v>
          </cell>
          <cell r="N28">
            <v>3.24</v>
          </cell>
        </row>
        <row r="29">
          <cell r="M29">
            <v>81.91</v>
          </cell>
          <cell r="N29">
            <v>3.24</v>
          </cell>
        </row>
        <row r="30">
          <cell r="M30">
            <v>81.91</v>
          </cell>
          <cell r="N30">
            <v>3.24</v>
          </cell>
        </row>
        <row r="31">
          <cell r="M31">
            <v>81.91</v>
          </cell>
          <cell r="N31">
            <v>3.24</v>
          </cell>
        </row>
        <row r="32">
          <cell r="M32">
            <v>77.48</v>
          </cell>
          <cell r="N32">
            <v>3.4</v>
          </cell>
        </row>
        <row r="33">
          <cell r="M33">
            <v>43.22</v>
          </cell>
          <cell r="N33">
            <v>3</v>
          </cell>
        </row>
        <row r="34">
          <cell r="M34">
            <v>31.64</v>
          </cell>
          <cell r="N34">
            <v>4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Pad_Edif_Anal�tico"/>
      <sheetName val="Orc_Compl_Anal�tic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PQP"/>
      <sheetName val="Preco"/>
      <sheetName val="Orc_Compl_Aberto"/>
      <sheetName val="2"/>
      <sheetName val="EVCO-set-04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Bomb"/>
      <sheetName val="9-Cron Financeiro"/>
      <sheetName val="8-Cron Fisico"/>
      <sheetName val="MP+Insumos"/>
      <sheetName val="CONSIDERAÇÕES"/>
      <sheetName val="MDO"/>
      <sheetName val="curva"/>
      <sheetName val="Planilha1"/>
      <sheetName val="CPU"/>
      <sheetName val="Insumos"/>
      <sheetName val="Resumo"/>
      <sheetName val="Planilha Orçamentária Modelo"/>
      <sheetName val="Fechamento"/>
      <sheetName val="Planilha2"/>
      <sheetName val="Fec. reengenharia"/>
      <sheetName val="Cpu's"/>
      <sheetName val="Curva de serviços"/>
      <sheetName val="0.Resumo"/>
      <sheetName val="Serviços indiretos"/>
      <sheetName val="PQU - Fundação e estrutura"/>
      <sheetName val="Pavilhao de Apoio"/>
      <sheetName val="SUBESTAÇÃO"/>
      <sheetName val="RESERVATORIO CASA DE BOMBA"/>
      <sheetName val="Baldrame"/>
      <sheetName val="Paredes"/>
      <sheetName val="Sapata isolada"/>
      <sheetName val="Acabamentos"/>
      <sheetName val="Resumo concreto"/>
      <sheetName val="Estrutura"/>
      <sheetName val="PLANILHA PADRÃO"/>
      <sheetName val="Alv e fec"/>
      <sheetName val="MDO-MOI"/>
      <sheetName val="EQUIPAMENTOS"/>
      <sheetName val="CANTEIRO"/>
      <sheetName val="EPI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Cronograma"/>
      <sheetName val="Memória de Cálculo - Fundação"/>
      <sheetName val="Memória de Cálculo - Estrutura"/>
      <sheetName val="DATAS"/>
      <sheetName val="VALIDAÇÃO"/>
      <sheetName val="MO"/>
      <sheetName val="Planilha1 (2)"/>
      <sheetName val="RESUMO GERAL"/>
      <sheetName val="Jefferson Reunião"/>
      <sheetName val="17.01"/>
      <sheetName val="Planilha6"/>
      <sheetName val="Resultado"/>
      <sheetName val="Adicionais "/>
      <sheetName val="0 - (BDados total)"/>
      <sheetName val="1 - REORÇAMENTO A+B+C"/>
      <sheetName val="Planilha8"/>
      <sheetName val="Planilha7"/>
      <sheetName val="YMM05 -17.01 - BDados (A)"/>
      <sheetName val="ADIANTAMENTOS (BDados A)"/>
      <sheetName val="2 - PLEITOS (BDados B)"/>
      <sheetName val="3- Adicionais (BDados B)"/>
      <sheetName val="4 - A Contratar (BDados C)"/>
      <sheetName val="5- Conti+Expect (BDados BC)"/>
      <sheetName val="6- Reajuste Fornec (BD A)."/>
      <sheetName val="7- Adicional Cliente"/>
      <sheetName val="FERRO"/>
      <sheetName val="Orc_Pad_Edif_Anal tico"/>
      <sheetName val="Orc_Compl_Anal tico"/>
      <sheetName val="Sapatas TORRE 1"/>
      <sheetName val="Sapatas TORRE 2"/>
      <sheetName val="Sapatas TORRE 3"/>
      <sheetName val="Blocos"/>
      <sheetName val="Armação Sapata-Torre 1 "/>
      <sheetName val="Armação Sapata-Torre 2"/>
      <sheetName val="Armação Sapata-Torre 3"/>
      <sheetName val="Baldrames Torre 1"/>
      <sheetName val="Baldrames Torre 2"/>
      <sheetName val="Baldrames Torre 3"/>
      <sheetName val="Armação Baldrame  Torre 1"/>
      <sheetName val="Armação Baldrame  Torre 2"/>
      <sheetName val="Armação Baldrame  Torre 3"/>
      <sheetName val="Lajes Fundo Ele Torre 1 e 2"/>
      <sheetName val="Lajes Fundo Ele Torre 3"/>
      <sheetName val="Piso Armado Térreo Torre 1 e 2"/>
      <sheetName val="Piso Armado Térreo Torre3"/>
      <sheetName val="Armação Piso Armado Torre 1"/>
      <sheetName val="Armação Piso Armado Torre 2"/>
      <sheetName val="Armação Piso Armado Torre 3"/>
      <sheetName val="Pilar retangular"/>
      <sheetName val="Vigas TORRE 1 e 2"/>
      <sheetName val="Vigas TORRE 3"/>
      <sheetName val="Armação Vigas Torre 1 e 2"/>
      <sheetName val="Armação Vigas Torre 3"/>
      <sheetName val="Lajes Torres  1 e 2"/>
      <sheetName val="Lajes Torre 3"/>
      <sheetName val="Armação Lajes Torre 1 e 2"/>
      <sheetName val="Armação Lajes Torre 3"/>
      <sheetName val="Escada - Torre 1 e 2"/>
      <sheetName val="Escada - Torre 3"/>
      <sheetName val="Armação Escada Torres 1 e 2"/>
      <sheetName val="Armação Escada Torre 3 "/>
      <sheetName val="Telhado Torres 1 e 2"/>
      <sheetName val="Telhado Torres 3"/>
      <sheetName val="Fachada Torres 1 e 2"/>
      <sheetName val="Fachada Torre 3"/>
      <sheetName val="Alvenaria Estrutural ok"/>
      <sheetName val="Alvenaria Vedação"/>
      <sheetName val="Louças e Metais ok"/>
      <sheetName val="Impermeabilização Torres 1 e 2"/>
      <sheetName val="Impermeabilização Torre 3"/>
      <sheetName val="Bases Rev Interno1"/>
      <sheetName val="Revest. Interno 1"/>
      <sheetName val="Armação Vigas Cobertura"/>
      <sheetName val="Armação Alv vert ok"/>
      <sheetName val="Armação Cintas Horizontais"/>
      <sheetName val="Resumo Esquadria e Peitoril ok"/>
      <sheetName val="Armação Estrutura"/>
      <sheetName val="Armação Pilares"/>
      <sheetName val="Alvenaria Estrutural Embasament"/>
      <sheetName val="Esquadria"/>
      <sheetName val="Diversos"/>
      <sheetName val="Esquadrias ok"/>
      <sheetName val="Armação Lajes Fundo Ele ok"/>
      <sheetName val="Graute vert ok"/>
      <sheetName val="Armação Alv Embasamento hor ok"/>
      <sheetName val="DADOS"/>
      <sheetName val="Composição00"/>
      <sheetName val="Composição"/>
      <sheetName val="insumosR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-CTN_ORC_Tabela de parede ger"/>
      <sheetName val="02-CTN_ORC_Levantamento do mate"/>
      <sheetName val="09-CTN_ORC_Tabela de piso e tet"/>
      <sheetName val="03-CTN_ORC_FACHADA_Tabela de pa"/>
      <sheetName val="08-CTN_ORC_Tabela de telhado"/>
      <sheetName val="10-CTN_ORC_RODAPÉ_Tabela de mol"/>
      <sheetName val="11-CTN_ORC_FAIXA GARAGEM_Tabela"/>
      <sheetName val="12-CTN_ORC_Tabela de forro"/>
      <sheetName val="07-CTN_ORC_Tabela de guarda-cor"/>
      <sheetName val="04-CTN_ORC_Tabela de janela"/>
      <sheetName val="05-CTN_ORC_Tabela de porta"/>
      <sheetName val="06-CTN_ORC_Tabela de escada"/>
      <sheetName val="Instructions"/>
      <sheetName val="Param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10º Tipo (x24) 3</v>
          </cell>
        </row>
        <row r="2">
          <cell r="A2" t="str">
            <v>11º Tipo (24x) 4</v>
          </cell>
        </row>
        <row r="3">
          <cell r="A3" t="str">
            <v>12º Tipo (24x) 5</v>
          </cell>
        </row>
        <row r="4">
          <cell r="A4" t="str">
            <v>13º Tipo (24x) 6</v>
          </cell>
        </row>
        <row r="5">
          <cell r="A5" t="str">
            <v>14º Tipo (24x) 7</v>
          </cell>
        </row>
        <row r="6">
          <cell r="A6" t="str">
            <v>15º Tipo (24x) 8</v>
          </cell>
        </row>
        <row r="7">
          <cell r="A7" t="str">
            <v>16º Tipo (24x) 9</v>
          </cell>
        </row>
        <row r="8">
          <cell r="A8" t="str">
            <v>17º Tipo (24x) 10</v>
          </cell>
        </row>
        <row r="9">
          <cell r="A9" t="str">
            <v>18º Tipo (24x) 11</v>
          </cell>
        </row>
        <row r="10">
          <cell r="A10" t="str">
            <v>19º Tipo (24x) 12</v>
          </cell>
        </row>
        <row r="11">
          <cell r="A11" t="str">
            <v>20º Tipo (24x) 13</v>
          </cell>
        </row>
        <row r="12">
          <cell r="A12" t="str">
            <v>21º Tipo (24x) 14</v>
          </cell>
        </row>
        <row r="13">
          <cell r="A13" t="str">
            <v>22º Tipo (24x) 15</v>
          </cell>
        </row>
        <row r="14">
          <cell r="A14" t="str">
            <v>23º Tipo (24x) 16</v>
          </cell>
        </row>
        <row r="15">
          <cell r="A15" t="str">
            <v>24º Tipo (24x) 17</v>
          </cell>
        </row>
        <row r="16">
          <cell r="A16" t="str">
            <v>25º Tipo (24x) 18</v>
          </cell>
        </row>
        <row r="17">
          <cell r="A17" t="str">
            <v>26º Tipo (24x) 19</v>
          </cell>
        </row>
        <row r="18">
          <cell r="A18" t="str">
            <v>27º Tipo (24x) 20</v>
          </cell>
        </row>
        <row r="19">
          <cell r="A19" t="str">
            <v>28º Tipo (24x) 21</v>
          </cell>
        </row>
        <row r="20">
          <cell r="A20" t="str">
            <v>29º Tipo (24x) 22</v>
          </cell>
        </row>
        <row r="21">
          <cell r="A21" t="str">
            <v>2º Mezanino - G1</v>
          </cell>
        </row>
        <row r="22">
          <cell r="A22" t="str">
            <v>30º Tipo (24x) 23</v>
          </cell>
        </row>
        <row r="23">
          <cell r="A23" t="str">
            <v>31º Tipo (24x) 24</v>
          </cell>
        </row>
        <row r="24">
          <cell r="A24" t="str">
            <v>32º Duplex Inf.</v>
          </cell>
        </row>
        <row r="25">
          <cell r="A25" t="str">
            <v>33º Duplex Sup.</v>
          </cell>
        </row>
        <row r="26">
          <cell r="A26" t="str">
            <v>3º G2</v>
          </cell>
        </row>
        <row r="27">
          <cell r="A27" t="str">
            <v>4º G3</v>
          </cell>
        </row>
        <row r="28">
          <cell r="A28" t="str">
            <v>5º Tipo Dif 01/Lazer</v>
          </cell>
        </row>
        <row r="29">
          <cell r="A29" t="str">
            <v>6º Tipo Dif. 02</v>
          </cell>
        </row>
        <row r="30">
          <cell r="A30" t="str">
            <v>7º Tipo Dif. 03</v>
          </cell>
        </row>
        <row r="31">
          <cell r="A31" t="str">
            <v>8º Tipo (x24) 1</v>
          </cell>
        </row>
        <row r="32">
          <cell r="A32" t="str">
            <v>9º Tipo (x24) 2</v>
          </cell>
        </row>
        <row r="33">
          <cell r="A33" t="str">
            <v>Barrilete</v>
          </cell>
        </row>
        <row r="34">
          <cell r="A34" t="str">
            <v>Cobertura Casa Máq.</v>
          </cell>
        </row>
        <row r="35">
          <cell r="A35" t="str">
            <v>PAVIMENTO TÉRREO</v>
          </cell>
        </row>
        <row r="36">
          <cell r="A36" t="str">
            <v>PC Maq</v>
          </cell>
        </row>
        <row r="37">
          <cell r="A37" t="str">
            <v>Reservatório</v>
          </cell>
        </row>
        <row r="38">
          <cell r="A38" t="str">
            <v>Tampa Reserv.</v>
          </cell>
        </row>
        <row r="39">
          <cell r="A39" t="str">
            <v>Terreno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arissa Oliveira" id="{91DD6562-7E13-4DD6-A5FD-CD2F4735BAA6}" userId="39320191f0955c21" providerId="Windows Liv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6" dT="2025-12-01T18:05:34.53" personId="{91DD6562-7E13-4DD6-A5FD-CD2F4735BAA6}" id="{F9550D45-C799-4A8D-BEB0-50AE1B1018CC}">
    <text>CONFORME TEMPO DE EQUIPE EM FORMULÁRIO DE INDIRETOS</text>
  </threadedComment>
  <threadedComment ref="C6" dT="2025-12-01T18:05:42.89" personId="{91DD6562-7E13-4DD6-A5FD-CD2F4735BAA6}" id="{11D1C25C-E89C-439E-BFC1-4B37018D317D}" parentId="{F9550D45-C799-4A8D-BEB0-50AE1B1018CC}">
    <text>41 MESES ESTA NO PRELIMINAR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0A654-5FB4-471F-A1EE-F1234795B7AA}">
  <sheetPr>
    <tabColor theme="1"/>
    <pageSetUpPr fitToPage="1"/>
  </sheetPr>
  <dimension ref="A1:O130"/>
  <sheetViews>
    <sheetView showGridLines="0" tabSelected="1" zoomScaleNormal="100" zoomScaleSheetLayoutView="90" workbookViewId="0">
      <pane ySplit="4" topLeftCell="A45" activePane="bottomLeft" state="frozen"/>
      <selection pane="bottomLeft" activeCell="J52" sqref="J52"/>
    </sheetView>
  </sheetViews>
  <sheetFormatPr defaultColWidth="9.140625" defaultRowHeight="13.5" x14ac:dyDescent="0.25"/>
  <cols>
    <col min="1" max="1" width="1.85546875" style="29" customWidth="1"/>
    <col min="2" max="2" width="15.28515625" style="29" customWidth="1"/>
    <col min="3" max="3" width="15.85546875" style="29" customWidth="1"/>
    <col min="4" max="4" width="22.85546875" style="29" customWidth="1"/>
    <col min="5" max="5" width="18.140625" style="29" customWidth="1"/>
    <col min="6" max="6" width="12.42578125" style="29" customWidth="1"/>
    <col min="7" max="7" width="12" style="29" bestFit="1" customWidth="1"/>
    <col min="8" max="8" width="2.5703125" style="29" customWidth="1"/>
    <col min="9" max="9" width="43" style="29" customWidth="1"/>
    <col min="10" max="12" width="13.85546875" style="29" customWidth="1"/>
    <col min="13" max="13" width="1.85546875" style="29" customWidth="1"/>
    <col min="14" max="16384" width="9.140625" style="29"/>
  </cols>
  <sheetData>
    <row r="1" spans="1:15" s="5" customFormat="1" ht="26.25" x14ac:dyDescent="0.2">
      <c r="A1" s="1"/>
      <c r="B1" s="2"/>
      <c r="C1" s="3" t="s">
        <v>0</v>
      </c>
      <c r="D1" s="3"/>
      <c r="E1" s="3"/>
      <c r="F1" s="3"/>
      <c r="G1" s="3"/>
      <c r="H1" s="3"/>
      <c r="I1" s="3"/>
      <c r="J1" s="3"/>
      <c r="K1" s="3"/>
      <c r="L1" s="3"/>
      <c r="M1" s="4"/>
    </row>
    <row r="2" spans="1:15" s="13" customFormat="1" ht="15" customHeight="1" x14ac:dyDescent="0.25">
      <c r="A2" s="6"/>
      <c r="B2" s="7" t="s">
        <v>1</v>
      </c>
      <c r="C2" s="8" t="s">
        <v>2</v>
      </c>
      <c r="D2" s="9"/>
      <c r="E2" s="7" t="s">
        <v>3</v>
      </c>
      <c r="F2" s="10" t="s">
        <v>4</v>
      </c>
      <c r="G2" s="8"/>
      <c r="H2" s="10"/>
      <c r="I2" s="8"/>
      <c r="J2" s="8"/>
      <c r="K2" s="8"/>
      <c r="L2" s="8"/>
      <c r="M2" s="11"/>
      <c r="N2" s="12"/>
      <c r="O2" s="12"/>
    </row>
    <row r="3" spans="1:15" s="21" customFormat="1" ht="15" customHeight="1" x14ac:dyDescent="0.25">
      <c r="A3" s="14"/>
      <c r="B3" s="15" t="s">
        <v>5</v>
      </c>
      <c r="C3" s="16" t="s">
        <v>6</v>
      </c>
      <c r="D3" s="17"/>
      <c r="E3" s="15" t="s">
        <v>7</v>
      </c>
      <c r="F3" s="18" t="s">
        <v>8</v>
      </c>
      <c r="G3" s="19"/>
      <c r="H3" s="18"/>
      <c r="I3" s="16"/>
      <c r="J3" s="16"/>
      <c r="K3" s="16"/>
      <c r="L3" s="16"/>
      <c r="M3" s="20"/>
    </row>
    <row r="4" spans="1:15" s="21" customFormat="1" ht="15" customHeight="1" thickBot="1" x14ac:dyDescent="0.3">
      <c r="A4" s="22"/>
      <c r="B4" s="23" t="s">
        <v>9</v>
      </c>
      <c r="C4" s="24" t="s">
        <v>10</v>
      </c>
      <c r="D4" s="25"/>
      <c r="E4" s="23" t="s">
        <v>11</v>
      </c>
      <c r="F4" s="26" t="s">
        <v>12</v>
      </c>
      <c r="G4" s="24"/>
      <c r="H4" s="26"/>
      <c r="I4" s="24"/>
      <c r="J4" s="24"/>
      <c r="K4" s="24"/>
      <c r="L4" s="24"/>
      <c r="M4" s="27"/>
    </row>
    <row r="5" spans="1:15" s="28" customFormat="1" ht="6" thickBot="1" x14ac:dyDescent="0.2"/>
    <row r="6" spans="1:15" ht="14.25" customHeight="1" x14ac:dyDescent="0.25">
      <c r="B6" s="30" t="s">
        <v>13</v>
      </c>
      <c r="C6" s="31">
        <v>48</v>
      </c>
      <c r="E6" s="32" t="s">
        <v>14</v>
      </c>
      <c r="F6" s="33">
        <f>E96</f>
        <v>43</v>
      </c>
      <c r="I6" s="34" t="s">
        <v>15</v>
      </c>
      <c r="J6" s="35"/>
      <c r="K6" s="35"/>
      <c r="L6" s="36"/>
    </row>
    <row r="7" spans="1:15" ht="14.25" customHeight="1" x14ac:dyDescent="0.25">
      <c r="B7" s="37"/>
      <c r="E7" s="37"/>
      <c r="I7" s="38"/>
      <c r="L7" s="39"/>
      <c r="M7" s="40"/>
    </row>
    <row r="8" spans="1:15" ht="14.25" customHeight="1" x14ac:dyDescent="0.25">
      <c r="B8" s="30" t="s">
        <v>16</v>
      </c>
      <c r="C8" s="41">
        <v>1029.3900000000001</v>
      </c>
      <c r="E8" s="32" t="s">
        <v>17</v>
      </c>
      <c r="F8" s="33">
        <v>5</v>
      </c>
      <c r="I8" s="38"/>
      <c r="L8" s="39"/>
    </row>
    <row r="9" spans="1:15" ht="14.25" customHeight="1" x14ac:dyDescent="0.25">
      <c r="B9" s="37"/>
      <c r="E9" s="37"/>
      <c r="I9" s="38"/>
      <c r="L9" s="39"/>
    </row>
    <row r="10" spans="1:15" ht="14.25" customHeight="1" x14ac:dyDescent="0.25">
      <c r="B10" s="30" t="s">
        <v>18</v>
      </c>
      <c r="C10" s="41">
        <f>SUM($D$19:$D$48)</f>
        <v>12033.959999999997</v>
      </c>
      <c r="E10" s="32" t="s">
        <v>19</v>
      </c>
      <c r="F10" s="33">
        <v>29</v>
      </c>
      <c r="I10" s="38"/>
      <c r="L10" s="39"/>
    </row>
    <row r="11" spans="1:15" ht="14.25" customHeight="1" x14ac:dyDescent="0.25">
      <c r="B11" s="37"/>
      <c r="E11" s="37"/>
      <c r="I11" s="38"/>
      <c r="L11" s="39"/>
    </row>
    <row r="12" spans="1:15" ht="14.25" customHeight="1" x14ac:dyDescent="0.25">
      <c r="B12" s="30" t="s">
        <v>20</v>
      </c>
      <c r="C12" s="41">
        <f>SUM($E$19:$E$76)</f>
        <v>6188.34</v>
      </c>
      <c r="E12" s="32" t="s">
        <v>21</v>
      </c>
      <c r="F12" s="33">
        <f>G96</f>
        <v>130</v>
      </c>
      <c r="I12" s="38"/>
      <c r="L12" s="39"/>
    </row>
    <row r="13" spans="1:15" ht="14.25" customHeight="1" x14ac:dyDescent="0.25">
      <c r="B13" s="37"/>
      <c r="E13" s="37"/>
      <c r="I13" s="38"/>
      <c r="L13" s="39"/>
    </row>
    <row r="14" spans="1:15" ht="14.25" customHeight="1" x14ac:dyDescent="0.25">
      <c r="B14" s="30" t="s">
        <v>22</v>
      </c>
      <c r="C14" s="41">
        <f>SUM(D51:D84)</f>
        <v>919.12180000000012</v>
      </c>
      <c r="E14" s="32" t="s">
        <v>23</v>
      </c>
      <c r="F14" s="33">
        <v>0</v>
      </c>
      <c r="I14" s="38"/>
      <c r="L14" s="39"/>
    </row>
    <row r="15" spans="1:15" x14ac:dyDescent="0.25">
      <c r="I15" s="38"/>
      <c r="L15" s="39"/>
    </row>
    <row r="16" spans="1:15" ht="14.25" customHeight="1" x14ac:dyDescent="0.25">
      <c r="B16" s="30" t="s">
        <v>24</v>
      </c>
      <c r="C16" s="41">
        <f>D105</f>
        <v>488.34000000000003</v>
      </c>
      <c r="E16" s="32" t="s">
        <v>25</v>
      </c>
      <c r="F16" s="33">
        <f>F96</f>
        <v>48</v>
      </c>
      <c r="I16" s="38"/>
      <c r="L16" s="39"/>
    </row>
    <row r="17" spans="2:12" ht="14.25" thickBot="1" x14ac:dyDescent="0.3">
      <c r="I17" s="38"/>
      <c r="L17" s="39"/>
    </row>
    <row r="18" spans="2:12" ht="18" customHeight="1" x14ac:dyDescent="0.25">
      <c r="B18" s="42" t="s">
        <v>26</v>
      </c>
      <c r="C18" s="43" t="s">
        <v>27</v>
      </c>
      <c r="D18" s="43" t="s">
        <v>28</v>
      </c>
      <c r="E18" s="43" t="s">
        <v>29</v>
      </c>
      <c r="F18" s="43" t="s">
        <v>30</v>
      </c>
      <c r="G18" s="44" t="s">
        <v>31</v>
      </c>
      <c r="I18" s="38"/>
      <c r="L18" s="39"/>
    </row>
    <row r="19" spans="2:12" x14ac:dyDescent="0.25">
      <c r="B19" s="45" t="s">
        <v>32</v>
      </c>
      <c r="C19" s="46" t="s">
        <v>33</v>
      </c>
      <c r="D19" s="47">
        <v>935.13</v>
      </c>
      <c r="E19" s="47"/>
      <c r="F19" s="47">
        <f>[1]EPCs!M5</f>
        <v>126.01</v>
      </c>
      <c r="G19" s="48">
        <f>[1]EPCs!N5</f>
        <v>3.6</v>
      </c>
      <c r="I19" s="38"/>
      <c r="L19" s="39"/>
    </row>
    <row r="20" spans="2:12" x14ac:dyDescent="0.25">
      <c r="B20" s="45" t="s">
        <v>32</v>
      </c>
      <c r="C20" s="46" t="s">
        <v>34</v>
      </c>
      <c r="D20" s="47">
        <v>906.99</v>
      </c>
      <c r="E20" s="47"/>
      <c r="F20" s="47">
        <f>[1]EPCs!M6</f>
        <v>131.834</v>
      </c>
      <c r="G20" s="48">
        <f>[1]EPCs!N6</f>
        <v>3.24</v>
      </c>
      <c r="I20" s="38"/>
      <c r="L20" s="39"/>
    </row>
    <row r="21" spans="2:12" x14ac:dyDescent="0.25">
      <c r="B21" s="45" t="s">
        <v>32</v>
      </c>
      <c r="C21" s="46" t="s">
        <v>35</v>
      </c>
      <c r="D21" s="47">
        <v>906.99</v>
      </c>
      <c r="E21" s="47"/>
      <c r="F21" s="47">
        <f>[1]EPCs!M7</f>
        <v>131.834</v>
      </c>
      <c r="G21" s="48">
        <f>[1]EPCs!N7</f>
        <v>2.88</v>
      </c>
      <c r="I21" s="38"/>
      <c r="L21" s="39"/>
    </row>
    <row r="22" spans="2:12" x14ac:dyDescent="0.25">
      <c r="B22" s="45" t="s">
        <v>32</v>
      </c>
      <c r="C22" s="46" t="s">
        <v>36</v>
      </c>
      <c r="D22" s="47">
        <v>906.99</v>
      </c>
      <c r="E22" s="47"/>
      <c r="F22" s="47">
        <f>[1]EPCs!M8</f>
        <v>131.834</v>
      </c>
      <c r="G22" s="48">
        <f>[1]EPCs!N8</f>
        <v>4.8600000000000003</v>
      </c>
      <c r="I22" s="38"/>
      <c r="L22" s="39"/>
    </row>
    <row r="23" spans="2:12" x14ac:dyDescent="0.25">
      <c r="B23" s="45" t="s">
        <v>32</v>
      </c>
      <c r="C23" s="46" t="s">
        <v>37</v>
      </c>
      <c r="D23" s="47">
        <v>906.99</v>
      </c>
      <c r="E23" s="47"/>
      <c r="F23" s="47">
        <f>[1]EPCs!M9</f>
        <v>85.37</v>
      </c>
      <c r="G23" s="48">
        <f>[1]EPCs!N9</f>
        <v>3.6</v>
      </c>
      <c r="I23" s="38"/>
      <c r="L23" s="39"/>
    </row>
    <row r="24" spans="2:12" x14ac:dyDescent="0.25">
      <c r="B24" s="45" t="s">
        <v>32</v>
      </c>
      <c r="C24" s="46" t="s">
        <v>38</v>
      </c>
      <c r="D24" s="47">
        <v>320.81</v>
      </c>
      <c r="E24" s="47">
        <f>5906.88/21</f>
        <v>281.28000000000003</v>
      </c>
      <c r="F24" s="47">
        <f>[1]EPCs!M10</f>
        <v>81.91</v>
      </c>
      <c r="G24" s="48">
        <f>[1]EPCs!N10</f>
        <v>3.24</v>
      </c>
      <c r="I24" s="38"/>
      <c r="L24" s="39"/>
    </row>
    <row r="25" spans="2:12" x14ac:dyDescent="0.25">
      <c r="B25" s="45" t="s">
        <v>32</v>
      </c>
      <c r="C25" s="46" t="s">
        <v>39</v>
      </c>
      <c r="D25" s="47">
        <v>320.81</v>
      </c>
      <c r="E25" s="47">
        <f t="shared" ref="E25:E44" si="0">5906.88/21</f>
        <v>281.28000000000003</v>
      </c>
      <c r="F25" s="47">
        <f>[1]EPCs!M11</f>
        <v>81.91</v>
      </c>
      <c r="G25" s="48">
        <f>[1]EPCs!N11</f>
        <v>3.24</v>
      </c>
      <c r="I25" s="38"/>
      <c r="L25" s="39"/>
    </row>
    <row r="26" spans="2:12" x14ac:dyDescent="0.25">
      <c r="B26" s="45" t="s">
        <v>32</v>
      </c>
      <c r="C26" s="46" t="s">
        <v>40</v>
      </c>
      <c r="D26" s="47">
        <v>320.81</v>
      </c>
      <c r="E26" s="47">
        <f t="shared" si="0"/>
        <v>281.28000000000003</v>
      </c>
      <c r="F26" s="47">
        <f>[1]EPCs!M12</f>
        <v>81.91</v>
      </c>
      <c r="G26" s="48">
        <f>[1]EPCs!N12</f>
        <v>3.24</v>
      </c>
      <c r="I26" s="38"/>
      <c r="L26" s="39"/>
    </row>
    <row r="27" spans="2:12" x14ac:dyDescent="0.25">
      <c r="B27" s="45" t="s">
        <v>32</v>
      </c>
      <c r="C27" s="46" t="s">
        <v>41</v>
      </c>
      <c r="D27" s="47">
        <v>320.81</v>
      </c>
      <c r="E27" s="47">
        <f t="shared" si="0"/>
        <v>281.28000000000003</v>
      </c>
      <c r="F27" s="47">
        <f>[1]EPCs!M13</f>
        <v>81.91</v>
      </c>
      <c r="G27" s="48">
        <f>[1]EPCs!N13</f>
        <v>3.24</v>
      </c>
      <c r="I27" s="38"/>
      <c r="L27" s="39"/>
    </row>
    <row r="28" spans="2:12" x14ac:dyDescent="0.25">
      <c r="B28" s="45" t="s">
        <v>32</v>
      </c>
      <c r="C28" s="46" t="s">
        <v>42</v>
      </c>
      <c r="D28" s="47">
        <v>320.81</v>
      </c>
      <c r="E28" s="47">
        <f t="shared" si="0"/>
        <v>281.28000000000003</v>
      </c>
      <c r="F28" s="47">
        <f>[1]EPCs!M14</f>
        <v>81.91</v>
      </c>
      <c r="G28" s="48">
        <f>[1]EPCs!N14</f>
        <v>3.24</v>
      </c>
      <c r="I28" s="38"/>
      <c r="L28" s="39"/>
    </row>
    <row r="29" spans="2:12" x14ac:dyDescent="0.25">
      <c r="B29" s="45" t="s">
        <v>32</v>
      </c>
      <c r="C29" s="46" t="s">
        <v>43</v>
      </c>
      <c r="D29" s="47">
        <v>320.81</v>
      </c>
      <c r="E29" s="47">
        <f t="shared" si="0"/>
        <v>281.28000000000003</v>
      </c>
      <c r="F29" s="47">
        <f>[1]EPCs!M15</f>
        <v>81.91</v>
      </c>
      <c r="G29" s="48">
        <f>[1]EPCs!N15</f>
        <v>3.24</v>
      </c>
      <c r="I29" s="38"/>
      <c r="L29" s="39"/>
    </row>
    <row r="30" spans="2:12" x14ac:dyDescent="0.25">
      <c r="B30" s="45" t="s">
        <v>32</v>
      </c>
      <c r="C30" s="46" t="s">
        <v>44</v>
      </c>
      <c r="D30" s="47">
        <v>320.81</v>
      </c>
      <c r="E30" s="47">
        <f t="shared" si="0"/>
        <v>281.28000000000003</v>
      </c>
      <c r="F30" s="47">
        <f>[1]EPCs!M16</f>
        <v>81.91</v>
      </c>
      <c r="G30" s="48">
        <f>[1]EPCs!N16</f>
        <v>3.24</v>
      </c>
      <c r="I30" s="38"/>
      <c r="L30" s="39"/>
    </row>
    <row r="31" spans="2:12" x14ac:dyDescent="0.25">
      <c r="B31" s="45" t="s">
        <v>32</v>
      </c>
      <c r="C31" s="46" t="s">
        <v>45</v>
      </c>
      <c r="D31" s="47">
        <v>320.81</v>
      </c>
      <c r="E31" s="47">
        <f t="shared" si="0"/>
        <v>281.28000000000003</v>
      </c>
      <c r="F31" s="47">
        <f>[1]EPCs!M17</f>
        <v>81.91</v>
      </c>
      <c r="G31" s="48">
        <f>[1]EPCs!N17</f>
        <v>3.24</v>
      </c>
      <c r="I31" s="38"/>
      <c r="L31" s="39"/>
    </row>
    <row r="32" spans="2:12" x14ac:dyDescent="0.25">
      <c r="B32" s="45" t="s">
        <v>32</v>
      </c>
      <c r="C32" s="46" t="s">
        <v>46</v>
      </c>
      <c r="D32" s="47">
        <v>320.81</v>
      </c>
      <c r="E32" s="47">
        <f t="shared" si="0"/>
        <v>281.28000000000003</v>
      </c>
      <c r="F32" s="47">
        <f>[1]EPCs!M18</f>
        <v>81.91</v>
      </c>
      <c r="G32" s="48">
        <f>[1]EPCs!N18</f>
        <v>3.24</v>
      </c>
      <c r="I32" s="38"/>
      <c r="L32" s="39"/>
    </row>
    <row r="33" spans="2:12" x14ac:dyDescent="0.25">
      <c r="B33" s="45" t="s">
        <v>32</v>
      </c>
      <c r="C33" s="46" t="s">
        <v>47</v>
      </c>
      <c r="D33" s="47">
        <v>320.81</v>
      </c>
      <c r="E33" s="47">
        <f t="shared" si="0"/>
        <v>281.28000000000003</v>
      </c>
      <c r="F33" s="47">
        <f>[1]EPCs!M19</f>
        <v>81.91</v>
      </c>
      <c r="G33" s="48">
        <f>[1]EPCs!N19</f>
        <v>3.24</v>
      </c>
      <c r="I33" s="38"/>
      <c r="L33" s="39"/>
    </row>
    <row r="34" spans="2:12" x14ac:dyDescent="0.25">
      <c r="B34" s="45" t="s">
        <v>32</v>
      </c>
      <c r="C34" s="46" t="s">
        <v>48</v>
      </c>
      <c r="D34" s="47">
        <v>320.81</v>
      </c>
      <c r="E34" s="47">
        <f t="shared" si="0"/>
        <v>281.28000000000003</v>
      </c>
      <c r="F34" s="47">
        <f>[1]EPCs!M20</f>
        <v>81.91</v>
      </c>
      <c r="G34" s="48">
        <f>[1]EPCs!N20</f>
        <v>3.24</v>
      </c>
      <c r="I34" s="38"/>
      <c r="L34" s="39"/>
    </row>
    <row r="35" spans="2:12" x14ac:dyDescent="0.25">
      <c r="B35" s="45" t="s">
        <v>32</v>
      </c>
      <c r="C35" s="46" t="s">
        <v>49</v>
      </c>
      <c r="D35" s="47">
        <v>320.81</v>
      </c>
      <c r="E35" s="47">
        <f t="shared" si="0"/>
        <v>281.28000000000003</v>
      </c>
      <c r="F35" s="47">
        <f>[1]EPCs!M21</f>
        <v>81.91</v>
      </c>
      <c r="G35" s="48">
        <f>[1]EPCs!N21</f>
        <v>3.24</v>
      </c>
      <c r="I35" s="38"/>
      <c r="L35" s="39"/>
    </row>
    <row r="36" spans="2:12" x14ac:dyDescent="0.25">
      <c r="B36" s="45" t="s">
        <v>32</v>
      </c>
      <c r="C36" s="46" t="s">
        <v>50</v>
      </c>
      <c r="D36" s="47">
        <v>320.81</v>
      </c>
      <c r="E36" s="47">
        <f t="shared" si="0"/>
        <v>281.28000000000003</v>
      </c>
      <c r="F36" s="47">
        <f>[1]EPCs!M22</f>
        <v>81.91</v>
      </c>
      <c r="G36" s="48">
        <f>[1]EPCs!N22</f>
        <v>3.24</v>
      </c>
      <c r="I36" s="38"/>
      <c r="L36" s="39"/>
    </row>
    <row r="37" spans="2:12" x14ac:dyDescent="0.25">
      <c r="B37" s="45" t="s">
        <v>32</v>
      </c>
      <c r="C37" s="46" t="s">
        <v>51</v>
      </c>
      <c r="D37" s="47">
        <v>320.81</v>
      </c>
      <c r="E37" s="47">
        <f t="shared" si="0"/>
        <v>281.28000000000003</v>
      </c>
      <c r="F37" s="47">
        <f>[1]EPCs!M23</f>
        <v>81.91</v>
      </c>
      <c r="G37" s="48">
        <f>[1]EPCs!N23</f>
        <v>3.24</v>
      </c>
      <c r="I37" s="38"/>
      <c r="L37" s="39"/>
    </row>
    <row r="38" spans="2:12" x14ac:dyDescent="0.25">
      <c r="B38" s="45" t="s">
        <v>32</v>
      </c>
      <c r="C38" s="46" t="s">
        <v>52</v>
      </c>
      <c r="D38" s="47">
        <v>320.81</v>
      </c>
      <c r="E38" s="47">
        <f t="shared" si="0"/>
        <v>281.28000000000003</v>
      </c>
      <c r="F38" s="47">
        <f>[1]EPCs!M24</f>
        <v>81.91</v>
      </c>
      <c r="G38" s="48">
        <f>[1]EPCs!N24</f>
        <v>3.24</v>
      </c>
      <c r="I38" s="38"/>
      <c r="L38" s="39"/>
    </row>
    <row r="39" spans="2:12" x14ac:dyDescent="0.25">
      <c r="B39" s="45" t="s">
        <v>32</v>
      </c>
      <c r="C39" s="46" t="s">
        <v>53</v>
      </c>
      <c r="D39" s="47">
        <v>320.81</v>
      </c>
      <c r="E39" s="47">
        <f t="shared" si="0"/>
        <v>281.28000000000003</v>
      </c>
      <c r="F39" s="47">
        <f>[1]EPCs!M25</f>
        <v>81.91</v>
      </c>
      <c r="G39" s="48">
        <f>[1]EPCs!N25</f>
        <v>3.24</v>
      </c>
      <c r="I39" s="38"/>
      <c r="L39" s="39"/>
    </row>
    <row r="40" spans="2:12" x14ac:dyDescent="0.25">
      <c r="B40" s="45" t="s">
        <v>32</v>
      </c>
      <c r="C40" s="46" t="s">
        <v>54</v>
      </c>
      <c r="D40" s="47">
        <v>320.81</v>
      </c>
      <c r="E40" s="47">
        <f t="shared" si="0"/>
        <v>281.28000000000003</v>
      </c>
      <c r="F40" s="47">
        <f>[1]EPCs!M26</f>
        <v>81.91</v>
      </c>
      <c r="G40" s="48">
        <f>[1]EPCs!N26</f>
        <v>3.24</v>
      </c>
      <c r="I40" s="38"/>
      <c r="L40" s="39"/>
    </row>
    <row r="41" spans="2:12" x14ac:dyDescent="0.25">
      <c r="B41" s="45" t="s">
        <v>32</v>
      </c>
      <c r="C41" s="46" t="s">
        <v>55</v>
      </c>
      <c r="D41" s="47">
        <v>320.81</v>
      </c>
      <c r="E41" s="47">
        <f t="shared" si="0"/>
        <v>281.28000000000003</v>
      </c>
      <c r="F41" s="47">
        <f>[1]EPCs!M27</f>
        <v>81.91</v>
      </c>
      <c r="G41" s="48">
        <f>[1]EPCs!N27</f>
        <v>3.24</v>
      </c>
      <c r="I41" s="38"/>
      <c r="L41" s="39"/>
    </row>
    <row r="42" spans="2:12" x14ac:dyDescent="0.25">
      <c r="B42" s="45" t="s">
        <v>32</v>
      </c>
      <c r="C42" s="46" t="s">
        <v>56</v>
      </c>
      <c r="D42" s="47">
        <v>320.81</v>
      </c>
      <c r="E42" s="47">
        <f t="shared" si="0"/>
        <v>281.28000000000003</v>
      </c>
      <c r="F42" s="47">
        <f>[1]EPCs!M28</f>
        <v>81.91</v>
      </c>
      <c r="G42" s="48">
        <f>[1]EPCs!N28</f>
        <v>3.24</v>
      </c>
      <c r="I42" s="38"/>
      <c r="L42" s="39"/>
    </row>
    <row r="43" spans="2:12" x14ac:dyDescent="0.25">
      <c r="B43" s="45" t="s">
        <v>32</v>
      </c>
      <c r="C43" s="46" t="s">
        <v>57</v>
      </c>
      <c r="D43" s="47">
        <v>320.81</v>
      </c>
      <c r="E43" s="47">
        <f t="shared" si="0"/>
        <v>281.28000000000003</v>
      </c>
      <c r="F43" s="47">
        <f>[1]EPCs!M29</f>
        <v>81.91</v>
      </c>
      <c r="G43" s="48">
        <f>[1]EPCs!N29</f>
        <v>3.24</v>
      </c>
      <c r="I43" s="38"/>
      <c r="L43" s="39"/>
    </row>
    <row r="44" spans="2:12" x14ac:dyDescent="0.25">
      <c r="B44" s="45" t="s">
        <v>32</v>
      </c>
      <c r="C44" s="46" t="s">
        <v>58</v>
      </c>
      <c r="D44" s="47">
        <v>320.81</v>
      </c>
      <c r="E44" s="47">
        <f t="shared" si="0"/>
        <v>281.28000000000003</v>
      </c>
      <c r="F44" s="47">
        <f>[1]EPCs!M30</f>
        <v>81.91</v>
      </c>
      <c r="G44" s="48">
        <f>[1]EPCs!N30</f>
        <v>3.24</v>
      </c>
      <c r="I44" s="38"/>
      <c r="L44" s="39"/>
    </row>
    <row r="45" spans="2:12" x14ac:dyDescent="0.25">
      <c r="B45" s="45" t="s">
        <v>32</v>
      </c>
      <c r="C45" s="46" t="s">
        <v>59</v>
      </c>
      <c r="D45" s="47">
        <v>320.99</v>
      </c>
      <c r="E45" s="47">
        <v>281.45999999999998</v>
      </c>
      <c r="F45" s="47">
        <f>[1]EPCs!M31</f>
        <v>81.91</v>
      </c>
      <c r="G45" s="48">
        <f>[1]EPCs!N31</f>
        <v>3.24</v>
      </c>
      <c r="I45" s="38"/>
      <c r="L45" s="39"/>
    </row>
    <row r="46" spans="2:12" x14ac:dyDescent="0.25">
      <c r="B46" s="45" t="s">
        <v>32</v>
      </c>
      <c r="C46" s="46" t="s">
        <v>60</v>
      </c>
      <c r="D46" s="47">
        <v>295.17</v>
      </c>
      <c r="E46" s="47"/>
      <c r="F46" s="47">
        <f>[1]EPCs!M32</f>
        <v>77.48</v>
      </c>
      <c r="G46" s="48">
        <f>[1]EPCs!N32</f>
        <v>3.4</v>
      </c>
      <c r="I46" s="38"/>
      <c r="L46" s="39"/>
    </row>
    <row r="47" spans="2:12" x14ac:dyDescent="0.25">
      <c r="B47" s="45" t="s">
        <v>32</v>
      </c>
      <c r="C47" s="46" t="s">
        <v>61</v>
      </c>
      <c r="D47" s="47">
        <v>60.38</v>
      </c>
      <c r="E47" s="47"/>
      <c r="F47" s="47">
        <f>[1]EPCs!M33</f>
        <v>43.22</v>
      </c>
      <c r="G47" s="48">
        <f>[1]EPCs!N33</f>
        <v>3</v>
      </c>
      <c r="I47" s="38"/>
      <c r="L47" s="39"/>
    </row>
    <row r="48" spans="2:12" ht="14.25" thickBot="1" x14ac:dyDescent="0.3">
      <c r="B48" s="49" t="s">
        <v>32</v>
      </c>
      <c r="C48" s="50" t="s">
        <v>62</v>
      </c>
      <c r="D48" s="51">
        <v>57.32</v>
      </c>
      <c r="E48" s="51"/>
      <c r="F48" s="51">
        <f>[1]EPCs!M34</f>
        <v>31.64</v>
      </c>
      <c r="G48" s="52">
        <f>[1]EPCs!N34</f>
        <v>4</v>
      </c>
      <c r="I48" s="53"/>
      <c r="J48" s="54"/>
      <c r="K48" s="54"/>
      <c r="L48" s="55"/>
    </row>
    <row r="49" spans="2:12" ht="14.25" thickBot="1" x14ac:dyDescent="0.3"/>
    <row r="50" spans="2:12" ht="14.25" thickBot="1" x14ac:dyDescent="0.3">
      <c r="B50" s="42" t="s">
        <v>27</v>
      </c>
      <c r="C50" s="43" t="s">
        <v>63</v>
      </c>
      <c r="D50" s="44" t="s">
        <v>64</v>
      </c>
      <c r="J50" s="56"/>
      <c r="K50" s="56"/>
      <c r="L50" s="57"/>
    </row>
    <row r="51" spans="2:12" x14ac:dyDescent="0.25">
      <c r="B51" s="58" t="str">
        <f>[1]MOBILIÁRIO!B7</f>
        <v>Térreo</v>
      </c>
      <c r="C51" s="46" t="str">
        <f>[1]MOBILIÁRIO!C7</f>
        <v>Hall de acesso</v>
      </c>
      <c r="D51" s="48">
        <f>SUMIFS([1]MOBILIÁRIO!F:F,[1]MOBILIÁRIO!C:C,CAPA!C51,[1]MOBILIÁRIO!E:E,[1]MOBILIÁRIO!$E$7)</f>
        <v>56.53</v>
      </c>
      <c r="I51" s="59" t="s">
        <v>65</v>
      </c>
      <c r="J51" s="43" t="s">
        <v>66</v>
      </c>
      <c r="K51" s="43" t="s">
        <v>67</v>
      </c>
      <c r="L51" s="44" t="s">
        <v>68</v>
      </c>
    </row>
    <row r="52" spans="2:12" x14ac:dyDescent="0.25">
      <c r="B52" s="58" t="str">
        <f>[1]MOBILIÁRIO!B21</f>
        <v>Térreo</v>
      </c>
      <c r="C52" s="46" t="str">
        <f>[1]MOBILIÁRIO!C21</f>
        <v>Lavabo - Lobby</v>
      </c>
      <c r="D52" s="48">
        <f>SUMIFS([1]MOBILIÁRIO!F:F,[1]MOBILIÁRIO!C:C,CAPA!C52,[1]MOBILIÁRIO!E:E,[1]MOBILIÁRIO!$E$7)</f>
        <v>2.3199999999999998</v>
      </c>
      <c r="I52" s="60" t="s">
        <v>69</v>
      </c>
      <c r="J52" s="61">
        <f ca="1">[1]Terreno!$N$25</f>
        <v>12463690</v>
      </c>
      <c r="K52" s="62">
        <f t="shared" ref="K52:K74" ca="1" si="1">J52/J$75</f>
        <v>0.19022110364825642</v>
      </c>
      <c r="L52" s="63">
        <f ca="1">J52/$C$10</f>
        <v>1035.7097746710147</v>
      </c>
    </row>
    <row r="53" spans="2:12" x14ac:dyDescent="0.25">
      <c r="B53" s="58" t="str">
        <f>[1]MOBILIÁRIO!B26</f>
        <v>Térreo</v>
      </c>
      <c r="C53" s="46" t="str">
        <f>[1]MOBILIÁRIO!C26</f>
        <v>Hall Praia</v>
      </c>
      <c r="D53" s="48">
        <f>SUMIFS([1]MOBILIÁRIO!F:F,[1]MOBILIÁRIO!C:C,CAPA!C53,[1]MOBILIÁRIO!E:E,[1]MOBILIÁRIO!$E$7)</f>
        <v>44.83</v>
      </c>
      <c r="I53" s="64" t="s">
        <v>70</v>
      </c>
      <c r="J53" s="65">
        <f ca="1">'[1]Ger_Tec e Adm'!$N$171</f>
        <v>7647984.8958626492</v>
      </c>
      <c r="K53" s="66">
        <f t="shared" ca="1" si="1"/>
        <v>0.11672370923668582</v>
      </c>
      <c r="L53" s="67">
        <f t="shared" ref="L53:L74" ca="1" si="2">J53/$C$10</f>
        <v>635.53351480831338</v>
      </c>
    </row>
    <row r="54" spans="2:12" x14ac:dyDescent="0.25">
      <c r="B54" s="58" t="str">
        <f>[1]MOBILIÁRIO!B34</f>
        <v>Térreo</v>
      </c>
      <c r="C54" s="46" t="str">
        <f>[1]MOBILIÁRIO!C34</f>
        <v>Zelador</v>
      </c>
      <c r="D54" s="48">
        <f>SUMIFS([1]MOBILIÁRIO!F:F,[1]MOBILIÁRIO!C:C,CAPA!C54,[1]MOBILIÁRIO!E:E,[1]MOBILIÁRIO!$E$7)</f>
        <v>3.89</v>
      </c>
      <c r="I54" s="60" t="str">
        <f>[1]Ger_Executivo!$J$8</f>
        <v>MOVIMENTAÇÃO DE TERRA</v>
      </c>
      <c r="J54" s="61">
        <f ca="1">[1]Ger_Executivo!$N$8</f>
        <v>399006.27218558872</v>
      </c>
      <c r="K54" s="62">
        <f t="shared" ca="1" si="1"/>
        <v>6.0896422694819343E-3</v>
      </c>
      <c r="L54" s="63">
        <f t="shared" ca="1" si="2"/>
        <v>33.15668925155051</v>
      </c>
    </row>
    <row r="55" spans="2:12" x14ac:dyDescent="0.25">
      <c r="B55" s="58" t="str">
        <f>[1]MOBILIÁRIO!B41</f>
        <v>Lazer</v>
      </c>
      <c r="C55" s="46" t="str">
        <f>[1]MOBILIÁRIO!C41</f>
        <v>Deck + Prainha</v>
      </c>
      <c r="D55" s="48">
        <f>SUMIFS([1]MOBILIÁRIO!F:F,[1]MOBILIÁRIO!C:C,CAPA!C55,[1]MOBILIÁRIO!E:E,[1]MOBILIÁRIO!$E$7)</f>
        <v>44.82</v>
      </c>
      <c r="I55" s="64" t="str">
        <f>[1]Ger_Executivo!$J$23</f>
        <v>INFRAESTRUTURA</v>
      </c>
      <c r="J55" s="65">
        <f ca="1">[1]Ger_Executivo!$N$23</f>
        <v>3161953.28242788</v>
      </c>
      <c r="K55" s="66">
        <f t="shared" ca="1" si="1"/>
        <v>4.8257798699073741E-2</v>
      </c>
      <c r="L55" s="67">
        <f t="shared" ca="1" si="2"/>
        <v>262.7525172451862</v>
      </c>
    </row>
    <row r="56" spans="2:12" x14ac:dyDescent="0.25">
      <c r="B56" s="58" t="str">
        <f>[1]MOBILIÁRIO!B46</f>
        <v>Lazer</v>
      </c>
      <c r="C56" s="46" t="str">
        <f>[1]MOBILIÁRIO!C46</f>
        <v>WC Deck 1</v>
      </c>
      <c r="D56" s="48">
        <f>SUMIFS([1]MOBILIÁRIO!F:F,[1]MOBILIÁRIO!C:C,CAPA!C56,[1]MOBILIÁRIO!E:E,[1]MOBILIÁRIO!$E$7)</f>
        <v>3.77</v>
      </c>
      <c r="I56" s="60" t="str">
        <f>[1]Ger_Executivo!$J$55</f>
        <v>SUPRAESTRUTURA</v>
      </c>
      <c r="J56" s="61">
        <f ca="1">[1]Ger_Executivo!$N$55</f>
        <v>10108557.30664587</v>
      </c>
      <c r="K56" s="62">
        <f t="shared" ca="1" si="1"/>
        <v>0.15427701805499205</v>
      </c>
      <c r="L56" s="63">
        <f t="shared" ca="1" si="2"/>
        <v>840.00256828557451</v>
      </c>
    </row>
    <row r="57" spans="2:12" x14ac:dyDescent="0.25">
      <c r="B57" s="58" t="str">
        <f>[1]MOBILIÁRIO!B51</f>
        <v>Lazer</v>
      </c>
      <c r="C57" s="46" t="str">
        <f>[1]MOBILIÁRIO!C51</f>
        <v>WC Deck 2</v>
      </c>
      <c r="D57" s="48">
        <f>SUMIFS([1]MOBILIÁRIO!F:F,[1]MOBILIÁRIO!C:C,CAPA!C57,[1]MOBILIÁRIO!E:E,[1]MOBILIÁRIO!$E$7)</f>
        <v>3.77</v>
      </c>
      <c r="I57" s="64" t="str">
        <f>[1]Ger_Executivo!$J$774</f>
        <v>PAREDES E PAINÉIS</v>
      </c>
      <c r="J57" s="65">
        <f ca="1">[1]Ger_Executivo!$N$774</f>
        <v>1651661.2666405858</v>
      </c>
      <c r="K57" s="66">
        <f t="shared" ca="1" si="1"/>
        <v>2.5207689616273302E-2</v>
      </c>
      <c r="L57" s="67">
        <f t="shared" ca="1" si="2"/>
        <v>137.25002132636192</v>
      </c>
    </row>
    <row r="58" spans="2:12" x14ac:dyDescent="0.25">
      <c r="B58" s="58" t="str">
        <f>[1]MOBILIÁRIO!B56</f>
        <v>Lazer</v>
      </c>
      <c r="C58" s="46" t="str">
        <f>[1]MOBILIÁRIO!C56</f>
        <v>Circulação elevadores - Lazer</v>
      </c>
      <c r="D58" s="48">
        <f>SUMIFS([1]MOBILIÁRIO!F:F,[1]MOBILIÁRIO!C:C,CAPA!C58,[1]MOBILIÁRIO!E:E,[1]MOBILIÁRIO!$E$7)</f>
        <v>13.91</v>
      </c>
      <c r="I58" s="60" t="str">
        <f>[1]Ger_Executivo!$J$803</f>
        <v>IMPERMEABILIZAÇÃO E TRATAMENTOS</v>
      </c>
      <c r="J58" s="61">
        <f ca="1">[1]Ger_Executivo!$N$803</f>
        <v>0</v>
      </c>
      <c r="K58" s="62">
        <f t="shared" ca="1" si="1"/>
        <v>0</v>
      </c>
      <c r="L58" s="63">
        <f t="shared" ca="1" si="2"/>
        <v>0</v>
      </c>
    </row>
    <row r="59" spans="2:12" x14ac:dyDescent="0.25">
      <c r="B59" s="58" t="str">
        <f>[1]MOBILIÁRIO!B63</f>
        <v>Lazer</v>
      </c>
      <c r="C59" s="46" t="str">
        <f>[1]MOBILIÁRIO!C63</f>
        <v>Gourmet 1</v>
      </c>
      <c r="D59" s="48">
        <f>SUMIFS([1]MOBILIÁRIO!F:F,[1]MOBILIÁRIO!C:C,CAPA!C59,[1]MOBILIÁRIO!E:E,[1]MOBILIÁRIO!$E$7)</f>
        <v>63.65</v>
      </c>
      <c r="I59" s="64" t="str">
        <f>[1]Ger_Executivo!$J$845</f>
        <v>SISTEMAS E INSTALAÇÕES ELÉTRICAS</v>
      </c>
      <c r="J59" s="65">
        <f ca="1">[1]Ger_Executivo!$N$845</f>
        <v>1766253.5109273663</v>
      </c>
      <c r="K59" s="66">
        <f t="shared" ca="1" si="1"/>
        <v>2.6956598902187986E-2</v>
      </c>
      <c r="L59" s="67">
        <f t="shared" ca="1" si="2"/>
        <v>146.77242660997433</v>
      </c>
    </row>
    <row r="60" spans="2:12" x14ac:dyDescent="0.25">
      <c r="B60" s="58" t="str">
        <f>[1]MOBILIÁRIO!B79</f>
        <v>Lazer</v>
      </c>
      <c r="C60" s="46" t="str">
        <f>[1]MOBILIÁRIO!C79</f>
        <v>Gourmet 2</v>
      </c>
      <c r="D60" s="48">
        <f>SUMIFS([1]MOBILIÁRIO!F:F,[1]MOBILIÁRIO!C:C,CAPA!C60,[1]MOBILIÁRIO!E:E,[1]MOBILIÁRIO!$E$7)</f>
        <v>58.95</v>
      </c>
      <c r="I60" s="60" t="str">
        <f>[1]Ger_Executivo!$J$861</f>
        <v>SISTEMAS E INSTALAÇÕES HIDROSSANITÁRIAS E DRENAGEM</v>
      </c>
      <c r="J60" s="61">
        <f ca="1">[1]Ger_Executivo!$N$861</f>
        <v>1498051.7425000002</v>
      </c>
      <c r="K60" s="62">
        <f t="shared" ca="1" si="1"/>
        <v>2.2863297769805224E-2</v>
      </c>
      <c r="L60" s="63">
        <f t="shared" ca="1" si="2"/>
        <v>124.48535166312672</v>
      </c>
    </row>
    <row r="61" spans="2:12" x14ac:dyDescent="0.25">
      <c r="B61" s="58" t="str">
        <f>[1]MOBILIÁRIO!B93</f>
        <v>Lazer</v>
      </c>
      <c r="C61" s="46" t="str">
        <f>[1]MOBILIÁRIO!C93</f>
        <v>Área entre Gourmets</v>
      </c>
      <c r="D61" s="48">
        <f>SUMIFS([1]MOBILIÁRIO!F:F,[1]MOBILIÁRIO!C:C,CAPA!C61,[1]MOBILIÁRIO!E:E,[1]MOBILIÁRIO!$E$7)</f>
        <v>27.2118</v>
      </c>
      <c r="I61" s="64" t="str">
        <f>[1]Ger_Executivo!$J$875</f>
        <v>INSTALAÇÕES PREVENTIVAS</v>
      </c>
      <c r="J61" s="65">
        <f ca="1">[1]Ger_Executivo!$N$875</f>
        <v>240707.54899999994</v>
      </c>
      <c r="K61" s="66">
        <f t="shared" ca="1" si="1"/>
        <v>3.6736837667854984E-3</v>
      </c>
      <c r="L61" s="67">
        <f t="shared" ca="1" si="2"/>
        <v>20.002355749894466</v>
      </c>
    </row>
    <row r="62" spans="2:12" x14ac:dyDescent="0.25">
      <c r="B62" s="58" t="str">
        <f>[1]MOBILIÁRIO!B100</f>
        <v>Lazer</v>
      </c>
      <c r="C62" s="46" t="str">
        <f>[1]MOBILIÁRIO!C100</f>
        <v>Bar Molhado</v>
      </c>
      <c r="D62" s="48">
        <f>SUMIFS([1]MOBILIÁRIO!F:F,[1]MOBILIÁRIO!C:C,CAPA!C62,[1]MOBILIÁRIO!E:E,[1]MOBILIÁRIO!$E$7)</f>
        <v>9.18</v>
      </c>
      <c r="I62" s="60" t="str">
        <f>[1]Ger_Executivo!$J$883</f>
        <v>INSTALAÇÕES DE GÁS</v>
      </c>
      <c r="J62" s="61">
        <f ca="1">[1]Ger_Executivo!$N$883</f>
        <v>132388.42126859503</v>
      </c>
      <c r="K62" s="62">
        <f t="shared" ca="1" si="1"/>
        <v>2.020514920056777E-3</v>
      </c>
      <c r="L62" s="63">
        <f t="shared" ca="1" si="2"/>
        <v>11.001234944157623</v>
      </c>
    </row>
    <row r="63" spans="2:12" x14ac:dyDescent="0.25">
      <c r="B63" s="58" t="str">
        <f>[1]MOBILIÁRIO!B107</f>
        <v>Lazer</v>
      </c>
      <c r="C63" s="46" t="str">
        <f>[1]MOBILIÁRIO!C107</f>
        <v>Massagem</v>
      </c>
      <c r="D63" s="48">
        <f>SUMIFS([1]MOBILIÁRIO!F:F,[1]MOBILIÁRIO!C:C,CAPA!C63,[1]MOBILIÁRIO!E:E,[1]MOBILIÁRIO!$E$7)</f>
        <v>6.88</v>
      </c>
      <c r="I63" s="64" t="str">
        <f>[1]Ger_Executivo!$J$889</f>
        <v>EQUIPAMENTOS E SISTEMAS ESPECIAIS</v>
      </c>
      <c r="J63" s="65">
        <f ca="1">[1]Ger_Executivo!$N$889</f>
        <v>1907483.1440000001</v>
      </c>
      <c r="K63" s="66">
        <f t="shared" ca="1" si="1"/>
        <v>2.9112048586102997E-2</v>
      </c>
      <c r="L63" s="67">
        <f t="shared" ca="1" si="2"/>
        <v>158.50835003606466</v>
      </c>
    </row>
    <row r="64" spans="2:12" x14ac:dyDescent="0.25">
      <c r="B64" s="58" t="str">
        <f>[1]MOBILIÁRIO!B118</f>
        <v>Lazer</v>
      </c>
      <c r="C64" s="46" t="str">
        <f>[1]MOBILIÁRIO!C118</f>
        <v>Personl Care</v>
      </c>
      <c r="D64" s="48">
        <f>SUMIFS([1]MOBILIÁRIO!F:F,[1]MOBILIÁRIO!C:C,CAPA!C64,[1]MOBILIÁRIO!E:E,[1]MOBILIÁRIO!$E$7)</f>
        <v>9.3000000000000007</v>
      </c>
      <c r="I64" s="60" t="str">
        <f>[1]Ger_Executivo!$J$901</f>
        <v>CLIMATIZAÇÃO, EXAUSTÃO MECÂNICA</v>
      </c>
      <c r="J64" s="61">
        <f ca="1">[1]Ger_Executivo!$N$901</f>
        <v>735215.63</v>
      </c>
      <c r="K64" s="62">
        <f t="shared" ca="1" si="1"/>
        <v>1.1220876687244962E-2</v>
      </c>
      <c r="L64" s="63">
        <f t="shared" ca="1" si="2"/>
        <v>61.095070118232087</v>
      </c>
    </row>
    <row r="65" spans="2:13" x14ac:dyDescent="0.25">
      <c r="B65" s="58" t="str">
        <f>[1]MOBILIÁRIO!B126</f>
        <v>Lazer</v>
      </c>
      <c r="C65" s="46" t="str">
        <f>[1]MOBILIÁRIO!C126</f>
        <v>Lavabo PNE - lazer</v>
      </c>
      <c r="D65" s="48">
        <f>SUMIFS([1]MOBILIÁRIO!F:F,[1]MOBILIÁRIO!C:C,CAPA!C65,[1]MOBILIÁRIO!E:E,[1]MOBILIÁRIO!$E$7)</f>
        <v>3.32</v>
      </c>
      <c r="I65" s="64" t="str">
        <f>[1]Ger_Executivo!$J$912</f>
        <v>INSTALAÇÕES ESPECIAIS</v>
      </c>
      <c r="J65" s="65">
        <f ca="1">[1]Ger_Executivo!$N$912</f>
        <v>232513.04399999999</v>
      </c>
      <c r="K65" s="66">
        <f t="shared" ca="1" si="1"/>
        <v>3.5486190560175684E-3</v>
      </c>
      <c r="L65" s="67">
        <f t="shared" ca="1" si="2"/>
        <v>19.321407417009866</v>
      </c>
    </row>
    <row r="66" spans="2:13" x14ac:dyDescent="0.25">
      <c r="B66" s="58" t="str">
        <f>[1]MOBILIÁRIO!B131</f>
        <v>Lazer</v>
      </c>
      <c r="C66" s="46" t="str">
        <f>[1]MOBILIÁRIO!C131</f>
        <v>Lavabo - lazer</v>
      </c>
      <c r="D66" s="48">
        <f>SUMIFS([1]MOBILIÁRIO!F:F,[1]MOBILIÁRIO!C:C,CAPA!C66,[1]MOBILIÁRIO!E:E,[1]MOBILIÁRIO!$E$7)</f>
        <v>2.88</v>
      </c>
      <c r="I66" s="60" t="str">
        <f>[1]Ger_Executivo!$J$927</f>
        <v>REVESTIMENTOS INTERNOS DE PAREDE</v>
      </c>
      <c r="J66" s="61">
        <f ca="1">[1]Ger_Executivo!$N$927</f>
        <v>2666343.7245932668</v>
      </c>
      <c r="K66" s="62">
        <f t="shared" ca="1" si="1"/>
        <v>4.0693795015579966E-2</v>
      </c>
      <c r="L66" s="63">
        <f t="shared" ca="1" si="2"/>
        <v>221.56827217252405</v>
      </c>
    </row>
    <row r="67" spans="2:13" x14ac:dyDescent="0.25">
      <c r="B67" s="58" t="str">
        <f>[1]MOBILIÁRIO!B136</f>
        <v>Lazer</v>
      </c>
      <c r="C67" s="46" t="str">
        <f>[1]MOBILIÁRIO!C136</f>
        <v>Lounge</v>
      </c>
      <c r="D67" s="48">
        <f>SUMIFS([1]MOBILIÁRIO!F:F,[1]MOBILIÁRIO!C:C,CAPA!C67,[1]MOBILIÁRIO!E:E,[1]MOBILIÁRIO!$E$7)</f>
        <v>35.21</v>
      </c>
      <c r="I67" s="64" t="str">
        <f>[1]Ger_Executivo!$J$950</f>
        <v>REVESTIMENTOS E ACABAMENTOS INTERNOS EM TETO</v>
      </c>
      <c r="J67" s="65">
        <f ca="1">[1]Ger_Executivo!$N$950</f>
        <v>1571485.1675125007</v>
      </c>
      <c r="K67" s="66">
        <f t="shared" ca="1" si="1"/>
        <v>2.3984040274677324E-2</v>
      </c>
      <c r="L67" s="67">
        <f t="shared" ca="1" si="2"/>
        <v>130.58753456987566</v>
      </c>
    </row>
    <row r="68" spans="2:13" x14ac:dyDescent="0.25">
      <c r="B68" s="58" t="str">
        <f>[1]MOBILIÁRIO!B149</f>
        <v>Lazer</v>
      </c>
      <c r="C68" s="46" t="str">
        <f>[1]MOBILIÁRIO!C149</f>
        <v>Salão de Festas</v>
      </c>
      <c r="D68" s="48">
        <f>SUMIFS([1]MOBILIÁRIO!F:F,[1]MOBILIÁRIO!C:C,CAPA!C68,[1]MOBILIÁRIO!E:E,[1]MOBILIÁRIO!$E$7)</f>
        <v>70.989999999999995</v>
      </c>
      <c r="I68" s="60" t="str">
        <f>[1]Ger_Executivo!$J$963</f>
        <v>PISOS E PAVIMENTAÇÕES</v>
      </c>
      <c r="J68" s="61">
        <f ca="1">[1]Ger_Executivo!$N$963</f>
        <v>3564772.2926656231</v>
      </c>
      <c r="K68" s="62">
        <f t="shared" ca="1" si="1"/>
        <v>5.4405631058344693E-2</v>
      </c>
      <c r="L68" s="63">
        <f t="shared" ca="1" si="2"/>
        <v>296.22603803449772</v>
      </c>
    </row>
    <row r="69" spans="2:13" x14ac:dyDescent="0.25">
      <c r="B69" s="58" t="str">
        <f>[1]MOBILIÁRIO!B179</f>
        <v>Lazer</v>
      </c>
      <c r="C69" s="46" t="str">
        <f>[1]MOBILIÁRIO!C179</f>
        <v>Brinquedoteca</v>
      </c>
      <c r="D69" s="48">
        <f>SUMIFS([1]MOBILIÁRIO!F:F,[1]MOBILIÁRIO!C:C,CAPA!C69,[1]MOBILIÁRIO!E:E,[1]MOBILIÁRIO!$E$7)</f>
        <v>37.53</v>
      </c>
      <c r="I69" s="64" t="str">
        <f>[1]Ger_Executivo!$J$1004</f>
        <v>SISTEMAS DE PINTURA INTERNA</v>
      </c>
      <c r="J69" s="65">
        <f ca="1">[1]Ger_Executivo!$N$1004</f>
        <v>3328946.1267937268</v>
      </c>
      <c r="K69" s="66">
        <f t="shared" ca="1" si="1"/>
        <v>5.0806447065378818E-2</v>
      </c>
      <c r="L69" s="67">
        <f t="shared" ca="1" si="2"/>
        <v>276.62931626777282</v>
      </c>
    </row>
    <row r="70" spans="2:13" x14ac:dyDescent="0.25">
      <c r="B70" s="58" t="str">
        <f>[1]MOBILIÁRIO!B192</f>
        <v>Lazer</v>
      </c>
      <c r="C70" s="46" t="str">
        <f>[1]MOBILIÁRIO!C192</f>
        <v>Deck Elevado</v>
      </c>
      <c r="D70" s="48">
        <f>SUMIFS([1]MOBILIÁRIO!F:F,[1]MOBILIÁRIO!C:C,CAPA!C70,[1]MOBILIÁRIO!E:E,[1]MOBILIÁRIO!$E$7)</f>
        <v>58.02</v>
      </c>
      <c r="I70" s="60" t="str">
        <f>[1]Ger_Executivo!$J$1026</f>
        <v>ESQUADRIAS, VIDROS E FERRAGENS</v>
      </c>
      <c r="J70" s="61">
        <f ca="1">[1]Ger_Executivo!$N$1026</f>
        <v>4338372.2198832277</v>
      </c>
      <c r="K70" s="62">
        <f t="shared" ca="1" si="1"/>
        <v>6.6212329711596143E-2</v>
      </c>
      <c r="L70" s="63">
        <f t="shared" ca="1" si="2"/>
        <v>360.51077283647516</v>
      </c>
    </row>
    <row r="71" spans="2:13" x14ac:dyDescent="0.25">
      <c r="B71" s="58" t="str">
        <f>[1]MOBILIÁRIO!B201</f>
        <v>Lazer</v>
      </c>
      <c r="C71" s="46" t="str">
        <f>[1]MOBILIÁRIO!C201</f>
        <v>MINI QUADRA ESPORTIVA</v>
      </c>
      <c r="D71" s="48">
        <f>SUMIFS([1]MOBILIÁRIO!F:F,[1]MOBILIÁRIO!C:C,CAPA!C71,[1]MOBILIÁRIO!E:E,[1]MOBILIÁRIO!$E$7)</f>
        <v>40.11</v>
      </c>
      <c r="I71" s="64" t="str">
        <f>[1]Ger_Executivo!$J$1065</f>
        <v>LOUÇAS E METAIS</v>
      </c>
      <c r="J71" s="65">
        <f ca="1">[1]Ger_Executivo!$N$1065</f>
        <v>375768.76439999999</v>
      </c>
      <c r="K71" s="66">
        <f t="shared" ca="1" si="1"/>
        <v>5.7349909281047299E-3</v>
      </c>
      <c r="L71" s="67">
        <f t="shared" ca="1" si="2"/>
        <v>31.225694983197556</v>
      </c>
    </row>
    <row r="72" spans="2:13" x14ac:dyDescent="0.25">
      <c r="B72" s="58" t="str">
        <f>[1]MOBILIÁRIO!B203</f>
        <v>Lazer</v>
      </c>
      <c r="C72" s="46" t="str">
        <f>[1]MOBILIÁRIO!C203</f>
        <v>Playground</v>
      </c>
      <c r="D72" s="48">
        <f>SUMIFS([1]MOBILIÁRIO!F:F,[1]MOBILIÁRIO!C:C,CAPA!C72,[1]MOBILIÁRIO!E:E,[1]MOBILIÁRIO!$E$7)</f>
        <v>35.6</v>
      </c>
      <c r="I72" s="60" t="str">
        <f>[1]Ger_Executivo!$J$1075</f>
        <v>REVESTIMENTOS E ACABAMENTOS EM FACHADA</v>
      </c>
      <c r="J72" s="61">
        <f ca="1">[1]Ger_Executivo!$N$1075</f>
        <v>3683706.8691224391</v>
      </c>
      <c r="K72" s="62">
        <f t="shared" ca="1" si="1"/>
        <v>5.6220813110814991E-2</v>
      </c>
      <c r="L72" s="63">
        <f t="shared" ca="1" si="2"/>
        <v>306.1092831555398</v>
      </c>
    </row>
    <row r="73" spans="2:13" x14ac:dyDescent="0.25">
      <c r="B73" s="58" t="str">
        <f>[1]MOBILIÁRIO!B205</f>
        <v>Lazer</v>
      </c>
      <c r="C73" s="46" t="str">
        <f>[1]MOBILIÁRIO!C205</f>
        <v>Pet place</v>
      </c>
      <c r="D73" s="48">
        <f>SUMIFS([1]MOBILIÁRIO!F:F,[1]MOBILIÁRIO!C:C,CAPA!C73,[1]MOBILIÁRIO!E:E,[1]MOBILIÁRIO!$E$7)</f>
        <v>8.39</v>
      </c>
      <c r="I73" s="64" t="str">
        <f>[1]Ger_Executivo!$J$1156</f>
        <v>SERVIÇOS COMPLEMENTARES E FINAIS</v>
      </c>
      <c r="J73" s="65">
        <f ca="1">[1]Ger_Executivo!$N$1156</f>
        <v>2722446.4411619934</v>
      </c>
      <c r="K73" s="66">
        <f t="shared" ca="1" si="1"/>
        <v>4.1550035877104E-2</v>
      </c>
      <c r="L73" s="67">
        <f t="shared" ca="1" si="2"/>
        <v>226.23030500034852</v>
      </c>
    </row>
    <row r="74" spans="2:13" x14ac:dyDescent="0.25">
      <c r="B74" s="58" t="str">
        <f>[1]MOBILIÁRIO!B210</f>
        <v>Lazer</v>
      </c>
      <c r="C74" s="46" t="str">
        <f>[1]MOBILIÁRIO!C210</f>
        <v>Salão de Festas Externo</v>
      </c>
      <c r="D74" s="48">
        <f>SUMIFS([1]MOBILIÁRIO!F:F,[1]MOBILIÁRIO!C:C,CAPA!C74,[1]MOBILIÁRIO!E:E,[1]MOBILIÁRIO!$E$7)</f>
        <v>59.22</v>
      </c>
      <c r="I74" s="60" t="str">
        <f>[1]Ger_Executivo!$J$1175</f>
        <v>IMPREVISTOS E CONTINGÊNCIAS</v>
      </c>
      <c r="J74" s="61">
        <f ca="1">[1]Ger_Executivo!$N$1175</f>
        <v>1324812.4347402323</v>
      </c>
      <c r="K74" s="62">
        <f t="shared" ca="1" si="1"/>
        <v>2.0219315745434993E-2</v>
      </c>
      <c r="L74" s="63">
        <f t="shared" ca="1" si="2"/>
        <v>110.0894829914868</v>
      </c>
      <c r="M74" s="68"/>
    </row>
    <row r="75" spans="2:13" x14ac:dyDescent="0.25">
      <c r="B75" s="58" t="str">
        <f>[1]MOBILIÁRIO!B225</f>
        <v>Rooftop</v>
      </c>
      <c r="C75" s="46" t="str">
        <f>[1]MOBILIÁRIO!C225</f>
        <v>Lavabo - Rooftop</v>
      </c>
      <c r="D75" s="48">
        <f>SUMIFS([1]MOBILIÁRIO!F:F,[1]MOBILIÁRIO!C:C,CAPA!C75,[1]MOBILIÁRIO!E:E,[1]MOBILIÁRIO!$E$7)</f>
        <v>2.29</v>
      </c>
      <c r="I75" s="69" t="s">
        <v>71</v>
      </c>
      <c r="J75" s="70">
        <f ca="1">SUM(J52:J74)</f>
        <v>65522120.10633155</v>
      </c>
      <c r="K75" s="71">
        <f ca="1">SUM(K52:K74)</f>
        <v>0.99999999999999989</v>
      </c>
      <c r="L75" s="72">
        <f ca="1">SUM(L52:L74)</f>
        <v>5444.7679821381789</v>
      </c>
    </row>
    <row r="76" spans="2:13" ht="14.25" thickBot="1" x14ac:dyDescent="0.3">
      <c r="B76" s="58" t="str">
        <f>[1]MOBILIÁRIO!B230</f>
        <v>Rooftop</v>
      </c>
      <c r="C76" s="46" t="str">
        <f>[1]MOBILIÁRIO!C230</f>
        <v>Lavabo PNE - Rooftop</v>
      </c>
      <c r="D76" s="48">
        <f>SUMIFS([1]MOBILIÁRIO!F:F,[1]MOBILIÁRIO!C:C,CAPA!C76,[1]MOBILIÁRIO!E:E,[1]MOBILIÁRIO!$E$7)</f>
        <v>3.06</v>
      </c>
      <c r="I76" s="73" t="s">
        <v>72</v>
      </c>
      <c r="J76" s="74">
        <v>3012.64</v>
      </c>
      <c r="K76" s="75">
        <v>46023</v>
      </c>
      <c r="L76" s="76" t="str">
        <f ca="1">ROUNDUP(+L75/J76,2)&amp;" CUB"</f>
        <v>1,81 CUB</v>
      </c>
    </row>
    <row r="77" spans="2:13" ht="14.25" thickBot="1" x14ac:dyDescent="0.3">
      <c r="B77" s="58" t="str">
        <f>[1]MOBILIÁRIO!B235</f>
        <v>Rooftop</v>
      </c>
      <c r="C77" s="46" t="str">
        <f>[1]MOBILIÁRIO!C235</f>
        <v>Circulação elevadores - Rooftop</v>
      </c>
      <c r="D77" s="48">
        <f>SUMIFS([1]MOBILIÁRIO!F:F,[1]MOBILIÁRIO!C:C,CAPA!C77,[1]MOBILIÁRIO!E:E,[1]MOBILIÁRIO!$E$7)</f>
        <v>17.11</v>
      </c>
    </row>
    <row r="78" spans="2:13" x14ac:dyDescent="0.25">
      <c r="B78" s="58" t="str">
        <f>[1]MOBILIÁRIO!B242</f>
        <v>Rooftop</v>
      </c>
      <c r="C78" s="46" t="str">
        <f>[1]MOBILIÁRIO!C242</f>
        <v>Salão de Festas - Rooftop</v>
      </c>
      <c r="D78" s="48">
        <f>SUMIFS([1]MOBILIÁRIO!F:F,[1]MOBILIÁRIO!C:C,CAPA!C78,[1]MOBILIÁRIO!E:E,[1]MOBILIÁRIO!$E$7)</f>
        <v>52.24</v>
      </c>
      <c r="I78" s="77" t="s">
        <v>73</v>
      </c>
      <c r="J78" s="78" t="s">
        <v>74</v>
      </c>
      <c r="K78" s="78" t="s">
        <v>75</v>
      </c>
      <c r="L78" s="79" t="s">
        <v>76</v>
      </c>
    </row>
    <row r="79" spans="2:13" x14ac:dyDescent="0.25">
      <c r="B79" s="58" t="str">
        <f>[1]MOBILIÁRIO!B269</f>
        <v>Rooftop</v>
      </c>
      <c r="C79" s="46" t="str">
        <f>[1]MOBILIÁRIO!C269</f>
        <v>Hidromassagem</v>
      </c>
      <c r="D79" s="48">
        <f>SUMIFS([1]MOBILIÁRIO!F:F,[1]MOBILIÁRIO!C:C,CAPA!C79,[1]MOBILIÁRIO!E:E,[1]MOBILIÁRIO!$E$7)</f>
        <v>13.6</v>
      </c>
      <c r="I79" s="80" t="s">
        <v>77</v>
      </c>
      <c r="J79" s="81">
        <f>C12</f>
        <v>6188.34</v>
      </c>
      <c r="K79" s="82">
        <f ca="1">J75/J79</f>
        <v>10587.996151848727</v>
      </c>
      <c r="L79" s="83">
        <f ca="1">K79</f>
        <v>10587.996151848727</v>
      </c>
    </row>
    <row r="80" spans="2:13" x14ac:dyDescent="0.25">
      <c r="B80" s="58" t="str">
        <f>[1]MOBILIÁRIO!B276</f>
        <v>Rooftop</v>
      </c>
      <c r="C80" s="46" t="str">
        <f>[1]MOBILIÁRIO!C276</f>
        <v>Fireplace</v>
      </c>
      <c r="D80" s="48">
        <f>SUMIFS([1]MOBILIÁRIO!F:F,[1]MOBILIÁRIO!C:C,CAPA!C80,[1]MOBILIÁRIO!E:E,[1]MOBILIÁRIO!$E$7)</f>
        <v>16.8</v>
      </c>
      <c r="I80" s="80" t="s">
        <v>78</v>
      </c>
      <c r="J80" s="84">
        <f>D89</f>
        <v>140.76</v>
      </c>
      <c r="K80" s="82">
        <f ca="1">$K$79*J80</f>
        <v>1490366.3383342267</v>
      </c>
      <c r="L80" s="83">
        <f ca="1">K80*21</f>
        <v>31297693.105018761</v>
      </c>
    </row>
    <row r="81" spans="2:12" x14ac:dyDescent="0.25">
      <c r="B81" s="58" t="str">
        <f>[1]MOBILIÁRIO!B282</f>
        <v>Rooftop</v>
      </c>
      <c r="C81" s="46" t="str">
        <f>[1]MOBILIÁRIO!C282</f>
        <v>Salão de Jogos</v>
      </c>
      <c r="D81" s="48">
        <f>SUMIFS([1]MOBILIÁRIO!F:F,[1]MOBILIÁRIO!C:C,CAPA!C81,[1]MOBILIÁRIO!E:E,[1]MOBILIÁRIO!$E$7)</f>
        <v>49.34</v>
      </c>
      <c r="I81" s="80" t="s">
        <v>79</v>
      </c>
      <c r="J81" s="84">
        <f>D90</f>
        <v>140.52000000000001</v>
      </c>
      <c r="K81" s="82">
        <f t="shared" ref="K81" ca="1" si="3">$K$79*J81</f>
        <v>1487825.2192577831</v>
      </c>
      <c r="L81" s="83">
        <f ca="1">K81*21</f>
        <v>31244329.604413446</v>
      </c>
    </row>
    <row r="82" spans="2:12" ht="14.25" thickBot="1" x14ac:dyDescent="0.3">
      <c r="B82" s="58" t="str">
        <f>[1]MOBILIÁRIO!B312</f>
        <v>Rooftop</v>
      </c>
      <c r="C82" s="46" t="str">
        <f>[1]MOBILIÁRIO!C312</f>
        <v>Academia</v>
      </c>
      <c r="D82" s="48">
        <f>SUMIFS([1]MOBILIÁRIO!F:F,[1]MOBILIÁRIO!C:C,CAPA!C82,[1]MOBILIÁRIO!E:E,[1]MOBILIÁRIO!$E$7)</f>
        <v>48.07</v>
      </c>
      <c r="I82" s="85" t="s">
        <v>80</v>
      </c>
      <c r="J82" s="86">
        <f>D95</f>
        <v>281.45999999999998</v>
      </c>
      <c r="K82" s="87">
        <f ca="1">$K$79*J82</f>
        <v>2980097.3968993425</v>
      </c>
      <c r="L82" s="88">
        <f ca="1">K82*1</f>
        <v>2980097.3968993425</v>
      </c>
    </row>
    <row r="83" spans="2:12" x14ac:dyDescent="0.25">
      <c r="B83" s="58" t="str">
        <f>[1]MOBILIÁRIO!B335</f>
        <v>Rooftop</v>
      </c>
      <c r="C83" s="46" t="str">
        <f>[1]MOBILIÁRIO!C335</f>
        <v>Coworking</v>
      </c>
      <c r="D83" s="48">
        <f>SUMIFS([1]MOBILIÁRIO!F:F,[1]MOBILIÁRIO!C:C,CAPA!C83,[1]MOBILIÁRIO!E:E,[1]MOBILIÁRIO!$E$7)</f>
        <v>9.4600000000000009</v>
      </c>
    </row>
    <row r="84" spans="2:12" ht="14.25" thickBot="1" x14ac:dyDescent="0.3">
      <c r="B84" s="89" t="str">
        <f>[1]MOBILIÁRIO!B345</f>
        <v>Rooftop</v>
      </c>
      <c r="C84" s="50" t="str">
        <f>[1]MOBILIÁRIO!C345</f>
        <v>Sala de reuniões</v>
      </c>
      <c r="D84" s="52">
        <f>SUMIFS([1]MOBILIÁRIO!F:F,[1]MOBILIÁRIO!C:C,CAPA!C84,[1]MOBILIÁRIO!E:E,[1]MOBILIÁRIO!$E$7)</f>
        <v>6.87</v>
      </c>
    </row>
    <row r="87" spans="2:12" ht="14.25" thickBot="1" x14ac:dyDescent="0.3"/>
    <row r="88" spans="2:12" ht="24.75" customHeight="1" x14ac:dyDescent="0.25">
      <c r="B88" s="90" t="s">
        <v>27</v>
      </c>
      <c r="C88" s="91" t="s">
        <v>81</v>
      </c>
      <c r="D88" s="91" t="s">
        <v>28</v>
      </c>
      <c r="E88" s="91" t="s">
        <v>82</v>
      </c>
      <c r="F88" s="91" t="s">
        <v>83</v>
      </c>
      <c r="G88" s="92" t="s">
        <v>84</v>
      </c>
      <c r="I88" s="93" t="s">
        <v>85</v>
      </c>
      <c r="J88" s="94"/>
      <c r="K88" s="94"/>
      <c r="L88" s="95"/>
    </row>
    <row r="89" spans="2:12" ht="22.5" x14ac:dyDescent="0.25">
      <c r="B89" s="96" t="s">
        <v>86</v>
      </c>
      <c r="C89" s="97" t="s">
        <v>87</v>
      </c>
      <c r="D89" s="98">
        <v>140.76</v>
      </c>
      <c r="E89" s="97">
        <v>19</v>
      </c>
      <c r="F89" s="97">
        <v>19</v>
      </c>
      <c r="G89" s="99">
        <f>3*E89</f>
        <v>57</v>
      </c>
      <c r="I89" s="38"/>
      <c r="L89" s="39"/>
    </row>
    <row r="90" spans="2:12" ht="22.5" x14ac:dyDescent="0.25">
      <c r="B90" s="100" t="s">
        <v>86</v>
      </c>
      <c r="C90" s="101" t="s">
        <v>88</v>
      </c>
      <c r="D90" s="102">
        <v>140.52000000000001</v>
      </c>
      <c r="E90" s="101">
        <v>19</v>
      </c>
      <c r="F90" s="101">
        <v>18</v>
      </c>
      <c r="G90" s="103">
        <f>3*E90</f>
        <v>57</v>
      </c>
      <c r="I90" s="38"/>
      <c r="L90" s="39"/>
    </row>
    <row r="91" spans="2:12" ht="15" x14ac:dyDescent="0.25">
      <c r="B91" s="96" t="s">
        <v>57</v>
      </c>
      <c r="C91" s="97" t="s">
        <v>87</v>
      </c>
      <c r="D91" s="98">
        <v>140.76</v>
      </c>
      <c r="E91" s="97">
        <v>1</v>
      </c>
      <c r="F91" s="97">
        <v>2</v>
      </c>
      <c r="G91" s="99">
        <f t="shared" ref="G91:G94" si="4">3*E91</f>
        <v>3</v>
      </c>
      <c r="I91" s="38"/>
      <c r="L91" s="39"/>
    </row>
    <row r="92" spans="2:12" ht="15" x14ac:dyDescent="0.25">
      <c r="B92" s="100" t="s">
        <v>57</v>
      </c>
      <c r="C92" s="101" t="s">
        <v>88</v>
      </c>
      <c r="D92" s="102">
        <v>140.52000000000001</v>
      </c>
      <c r="E92" s="101">
        <v>1</v>
      </c>
      <c r="F92" s="101">
        <v>2</v>
      </c>
      <c r="G92" s="103">
        <f t="shared" si="4"/>
        <v>3</v>
      </c>
      <c r="I92" s="38"/>
      <c r="L92" s="39"/>
    </row>
    <row r="93" spans="2:12" ht="15" x14ac:dyDescent="0.25">
      <c r="B93" s="96" t="s">
        <v>58</v>
      </c>
      <c r="C93" s="97" t="s">
        <v>87</v>
      </c>
      <c r="D93" s="98">
        <v>140.76</v>
      </c>
      <c r="E93" s="97">
        <v>1</v>
      </c>
      <c r="F93" s="97">
        <v>2</v>
      </c>
      <c r="G93" s="99">
        <f t="shared" si="4"/>
        <v>3</v>
      </c>
      <c r="I93" s="38"/>
      <c r="L93" s="39"/>
    </row>
    <row r="94" spans="2:12" ht="15" x14ac:dyDescent="0.25">
      <c r="B94" s="100" t="s">
        <v>58</v>
      </c>
      <c r="C94" s="101" t="s">
        <v>88</v>
      </c>
      <c r="D94" s="102">
        <v>140.52000000000001</v>
      </c>
      <c r="E94" s="101">
        <v>1</v>
      </c>
      <c r="F94" s="101">
        <v>2</v>
      </c>
      <c r="G94" s="103">
        <f t="shared" si="4"/>
        <v>3</v>
      </c>
      <c r="I94" s="38"/>
      <c r="L94" s="39"/>
    </row>
    <row r="95" spans="2:12" ht="23.25" thickBot="1" x14ac:dyDescent="0.3">
      <c r="B95" s="104" t="s">
        <v>59</v>
      </c>
      <c r="C95" s="105" t="s">
        <v>89</v>
      </c>
      <c r="D95" s="106">
        <v>281.45999999999998</v>
      </c>
      <c r="E95" s="105">
        <v>1</v>
      </c>
      <c r="F95" s="105">
        <v>3</v>
      </c>
      <c r="G95" s="107">
        <v>4</v>
      </c>
      <c r="I95" s="38"/>
      <c r="L95" s="39"/>
    </row>
    <row r="96" spans="2:12" ht="15.75" thickBot="1" x14ac:dyDescent="0.3">
      <c r="D96" s="108">
        <f>SUMPRODUCT(D89:D95,E89:E95)</f>
        <v>6188.3400000000011</v>
      </c>
      <c r="E96" s="109">
        <f>SUM(E89:E95)</f>
        <v>43</v>
      </c>
      <c r="F96" s="109">
        <f>SUM(F89:F95)</f>
        <v>48</v>
      </c>
      <c r="G96" s="109">
        <f>SUM(G89:G95)</f>
        <v>130</v>
      </c>
      <c r="I96" s="38"/>
      <c r="L96" s="39"/>
    </row>
    <row r="97" spans="2:12" x14ac:dyDescent="0.25">
      <c r="I97" s="38"/>
      <c r="L97" s="39"/>
    </row>
    <row r="98" spans="2:12" ht="14.25" thickBot="1" x14ac:dyDescent="0.3">
      <c r="I98" s="38"/>
      <c r="L98" s="39"/>
    </row>
    <row r="99" spans="2:12" x14ac:dyDescent="0.25">
      <c r="B99" s="77" t="s">
        <v>26</v>
      </c>
      <c r="C99" s="78" t="s">
        <v>90</v>
      </c>
      <c r="D99" s="78" t="s">
        <v>28</v>
      </c>
      <c r="E99" s="78" t="s">
        <v>83</v>
      </c>
      <c r="F99" s="79" t="s">
        <v>91</v>
      </c>
      <c r="I99" s="38"/>
      <c r="L99" s="39"/>
    </row>
    <row r="100" spans="2:12" x14ac:dyDescent="0.25">
      <c r="B100" s="110" t="s">
        <v>32</v>
      </c>
      <c r="C100" s="111" t="s">
        <v>92</v>
      </c>
      <c r="D100" s="112">
        <v>54.15</v>
      </c>
      <c r="E100" s="112">
        <v>1</v>
      </c>
      <c r="F100" s="113">
        <v>1</v>
      </c>
      <c r="I100" s="38"/>
      <c r="L100" s="39"/>
    </row>
    <row r="101" spans="2:12" x14ac:dyDescent="0.25">
      <c r="B101" s="110" t="s">
        <v>32</v>
      </c>
      <c r="C101" s="111" t="s">
        <v>93</v>
      </c>
      <c r="D101" s="112">
        <v>102.29</v>
      </c>
      <c r="E101" s="112">
        <v>1</v>
      </c>
      <c r="F101" s="113">
        <v>1</v>
      </c>
      <c r="I101" s="38"/>
      <c r="L101" s="39"/>
    </row>
    <row r="102" spans="2:12" x14ac:dyDescent="0.25">
      <c r="B102" s="110" t="s">
        <v>32</v>
      </c>
      <c r="C102" s="111" t="s">
        <v>94</v>
      </c>
      <c r="D102" s="112">
        <v>104.23</v>
      </c>
      <c r="E102" s="112">
        <v>1</v>
      </c>
      <c r="F102" s="113">
        <v>1</v>
      </c>
      <c r="I102" s="38"/>
      <c r="L102" s="39"/>
    </row>
    <row r="103" spans="2:12" x14ac:dyDescent="0.25">
      <c r="B103" s="110" t="s">
        <v>32</v>
      </c>
      <c r="C103" s="111" t="s">
        <v>95</v>
      </c>
      <c r="D103" s="112">
        <v>173.67</v>
      </c>
      <c r="E103" s="112">
        <v>1</v>
      </c>
      <c r="F103" s="113">
        <v>1</v>
      </c>
      <c r="I103" s="38"/>
      <c r="L103" s="39"/>
    </row>
    <row r="104" spans="2:12" ht="14.25" thickBot="1" x14ac:dyDescent="0.3">
      <c r="B104" s="114" t="s">
        <v>32</v>
      </c>
      <c r="C104" s="115" t="s">
        <v>96</v>
      </c>
      <c r="D104" s="116">
        <v>54</v>
      </c>
      <c r="E104" s="116">
        <v>1</v>
      </c>
      <c r="F104" s="117">
        <v>1</v>
      </c>
      <c r="I104" s="38"/>
      <c r="L104" s="39"/>
    </row>
    <row r="105" spans="2:12" x14ac:dyDescent="0.25">
      <c r="D105" s="109">
        <f>SUM(D100:D104)</f>
        <v>488.34000000000003</v>
      </c>
      <c r="E105" s="109">
        <f>SUM(E100:E104)</f>
        <v>5</v>
      </c>
      <c r="F105" s="109">
        <f>SUM(F100:F104)</f>
        <v>5</v>
      </c>
      <c r="I105" s="38"/>
      <c r="L105" s="39"/>
    </row>
    <row r="106" spans="2:12" x14ac:dyDescent="0.25">
      <c r="I106" s="38"/>
      <c r="L106" s="39"/>
    </row>
    <row r="107" spans="2:12" x14ac:dyDescent="0.25">
      <c r="I107" s="38"/>
      <c r="L107" s="39"/>
    </row>
    <row r="108" spans="2:12" x14ac:dyDescent="0.25">
      <c r="I108" s="38"/>
      <c r="L108" s="39"/>
    </row>
    <row r="109" spans="2:12" x14ac:dyDescent="0.25">
      <c r="I109" s="38"/>
      <c r="L109" s="39"/>
    </row>
    <row r="110" spans="2:12" x14ac:dyDescent="0.25">
      <c r="I110" s="38"/>
      <c r="L110" s="39"/>
    </row>
    <row r="111" spans="2:12" x14ac:dyDescent="0.25">
      <c r="I111" s="38"/>
      <c r="L111" s="39"/>
    </row>
    <row r="112" spans="2:12" x14ac:dyDescent="0.25">
      <c r="I112" s="38"/>
      <c r="L112" s="39"/>
    </row>
    <row r="113" spans="9:12" x14ac:dyDescent="0.25">
      <c r="I113" s="38"/>
      <c r="L113" s="39"/>
    </row>
    <row r="114" spans="9:12" x14ac:dyDescent="0.25">
      <c r="I114" s="38"/>
      <c r="L114" s="39"/>
    </row>
    <row r="115" spans="9:12" x14ac:dyDescent="0.25">
      <c r="I115" s="38"/>
      <c r="L115" s="39"/>
    </row>
    <row r="116" spans="9:12" x14ac:dyDescent="0.25">
      <c r="I116" s="38"/>
      <c r="L116" s="39"/>
    </row>
    <row r="117" spans="9:12" x14ac:dyDescent="0.25">
      <c r="I117" s="38"/>
      <c r="L117" s="39"/>
    </row>
    <row r="118" spans="9:12" x14ac:dyDescent="0.25">
      <c r="I118" s="38"/>
      <c r="L118" s="39"/>
    </row>
    <row r="119" spans="9:12" x14ac:dyDescent="0.25">
      <c r="I119" s="38"/>
      <c r="L119" s="39"/>
    </row>
    <row r="120" spans="9:12" x14ac:dyDescent="0.25">
      <c r="I120" s="38"/>
      <c r="L120" s="39"/>
    </row>
    <row r="121" spans="9:12" x14ac:dyDescent="0.25">
      <c r="I121" s="38"/>
      <c r="L121" s="39"/>
    </row>
    <row r="122" spans="9:12" x14ac:dyDescent="0.25">
      <c r="I122" s="38"/>
      <c r="L122" s="39"/>
    </row>
    <row r="123" spans="9:12" x14ac:dyDescent="0.25">
      <c r="I123" s="38"/>
      <c r="L123" s="39"/>
    </row>
    <row r="124" spans="9:12" x14ac:dyDescent="0.25">
      <c r="I124" s="38"/>
      <c r="L124" s="39"/>
    </row>
    <row r="125" spans="9:12" x14ac:dyDescent="0.25">
      <c r="I125" s="38"/>
      <c r="L125" s="39"/>
    </row>
    <row r="126" spans="9:12" x14ac:dyDescent="0.25">
      <c r="I126" s="38"/>
      <c r="L126" s="39"/>
    </row>
    <row r="127" spans="9:12" x14ac:dyDescent="0.25">
      <c r="I127" s="38"/>
      <c r="L127" s="39"/>
    </row>
    <row r="128" spans="9:12" x14ac:dyDescent="0.25">
      <c r="I128" s="38"/>
      <c r="L128" s="39"/>
    </row>
    <row r="129" spans="9:12" x14ac:dyDescent="0.25">
      <c r="I129" s="38"/>
      <c r="L129" s="39"/>
    </row>
    <row r="130" spans="9:12" ht="14.25" thickBot="1" x14ac:dyDescent="0.3">
      <c r="I130" s="53"/>
      <c r="J130" s="54"/>
      <c r="K130" s="54"/>
      <c r="L130" s="55"/>
    </row>
  </sheetData>
  <mergeCells count="2">
    <mergeCell ref="C1:M1"/>
    <mergeCell ref="I6:L6"/>
  </mergeCells>
  <pageMargins left="0.511811024" right="0.511811024" top="0.78740157499999996" bottom="0.78740157499999996" header="0.31496062000000002" footer="0.31496062000000002"/>
  <pageSetup paperSize="9" scale="49" fitToHeight="0" orientation="portrait" r:id="rId1"/>
  <colBreaks count="1" manualBreakCount="1">
    <brk id="13" max="1048575" man="1"/>
  </col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CAPA</vt:lpstr>
      <vt:lpstr>CAPA!Area_de_impressao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Bragatto</dc:creator>
  <cp:lastModifiedBy>Patricia Bragatto</cp:lastModifiedBy>
  <dcterms:created xsi:type="dcterms:W3CDTF">2026-03-25T11:56:59Z</dcterms:created>
  <dcterms:modified xsi:type="dcterms:W3CDTF">2026-03-25T11:57:34Z</dcterms:modified>
</cp:coreProperties>
</file>