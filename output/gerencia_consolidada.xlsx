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ência Consolid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dd/mm/yy;@"/>
    <numFmt numFmtId="165" formatCode="0#"/>
    <numFmt numFmtId="166" formatCode="00#"/>
    <numFmt numFmtId="167" formatCode="_-&quot;R$&quot;\ * #,##0.00_-;\-&quot;R$&quot;\ * #,##0.00_-;_-&quot;R$&quot;\ * &quot;-&quot;??_-;_-@_-"/>
    <numFmt numFmtId="168" formatCode="_-* #,##0.00_-;\-* #,##0.00_-;_-* &quot;-&quot;??_-;_-@_-"/>
    <numFmt numFmtId="169" formatCode="dd/mm/yy"/>
    <numFmt numFmtId="170" formatCode="#,##0.000000"/>
    <numFmt numFmtId="171" formatCode="_-* #,##0.00_-;\-* #,##0.00_-;_-* &quot;-&quot;??_-;_-@"/>
  </numFmts>
  <fonts count="39">
    <font>
      <name val="Calibri"/>
      <family val="2"/>
      <color theme="1"/>
      <sz val="11"/>
      <scheme val="minor"/>
    </font>
    <font>
      <name val="Arial"/>
      <color rgb="FF000000"/>
      <sz val="10"/>
    </font>
    <font>
      <name val="Arial"/>
      <sz val="10"/>
    </font>
    <font>
      <name val="Arial"/>
      <b val="1"/>
      <sz val="14"/>
    </font>
    <font>
      <name val="Arial"/>
      <sz val="14"/>
    </font>
    <font>
      <name val="Arial"/>
      <b val="1"/>
      <sz val="9"/>
    </font>
    <font>
      <name val="Arial"/>
      <sz val="9"/>
    </font>
    <font>
      <name val="Arial"/>
      <b val="1"/>
      <sz val="9.5"/>
    </font>
    <font>
      <name val="Arial"/>
      <sz val="9.5"/>
    </font>
    <font>
      <name val="Arial"/>
      <color theme="0" tint="-0.499984740745262"/>
      <sz val="8"/>
    </font>
    <font>
      <name val="Arial"/>
      <b val="1"/>
      <color theme="0"/>
      <sz val="10"/>
    </font>
    <font>
      <name val="Arial"/>
      <b val="1"/>
      <color theme="0"/>
      <sz val="8"/>
    </font>
    <font>
      <name val="Arial"/>
      <b val="1"/>
      <color theme="0"/>
      <sz val="9"/>
    </font>
    <font>
      <name val="Arial"/>
      <sz val="8"/>
    </font>
    <font>
      <name val="Arial"/>
      <color theme="10"/>
      <sz val="8"/>
    </font>
    <font>
      <name val="Arial"/>
      <color rgb="FFFF0000"/>
      <sz val="8"/>
    </font>
    <font>
      <name val="Arial"/>
      <b val="1"/>
      <sz val="8"/>
    </font>
    <font>
      <name val="Arial"/>
      <color theme="1"/>
      <sz val="10"/>
    </font>
    <font>
      <name val="Arial"/>
      <b val="1"/>
      <color theme="1"/>
      <sz val="14"/>
    </font>
    <font>
      <name val="Arial"/>
      <color theme="1"/>
      <sz val="14"/>
    </font>
    <font>
      <name val="Arial"/>
      <color rgb="FFBFBFBF"/>
      <sz val="10"/>
    </font>
    <font>
      <name val="Calibri"/>
      <color theme="1"/>
      <sz val="9"/>
    </font>
    <font>
      <name val="Calibri"/>
      <b val="1"/>
      <color theme="1"/>
      <sz val="9"/>
    </font>
    <font>
      <name val="Calibri"/>
      <color rgb="FFBFBFBF"/>
      <sz val="10"/>
    </font>
    <font>
      <name val="Calibri"/>
      <color rgb="FF7F7F7F"/>
      <sz val="8"/>
    </font>
    <font>
      <name val="Calibri"/>
      <b val="1"/>
      <color theme="0"/>
      <sz val="10"/>
    </font>
    <font>
      <name val="Calibri"/>
      <color theme="1"/>
      <sz val="10"/>
    </font>
    <font>
      <name val="Arial"/>
      <color rgb="FF7F7F7F"/>
      <sz val="8"/>
    </font>
    <font>
      <name val="Calibri"/>
      <b val="1"/>
      <color theme="0"/>
      <sz val="8"/>
    </font>
    <font>
      <name val="Calibri"/>
      <b val="1"/>
      <color theme="0"/>
      <sz val="9"/>
    </font>
    <font>
      <name val="Arial"/>
      <sz val="2"/>
    </font>
    <font>
      <name val="Calibri"/>
      <color theme="1"/>
      <sz val="8"/>
    </font>
    <font>
      <name val="Arial"/>
      <color theme="1"/>
      <sz val="8"/>
    </font>
    <font>
      <name val="Arial"/>
      <color theme="6" tint="-0.499984740745262"/>
      <sz val="8"/>
    </font>
    <font>
      <name val="Arial"/>
      <color rgb="FF1851D6"/>
      <sz val="8"/>
    </font>
    <font>
      <name val="Calibri"/>
      <sz val="8"/>
    </font>
    <font>
      <name val="Arial"/>
      <color rgb="FF000000"/>
      <sz val="8"/>
    </font>
    <font>
      <name val="Arial"/>
      <b val="1"/>
      <color rgb="FFFF0000"/>
      <sz val="8"/>
    </font>
    <font>
      <name val="Arial"/>
      <b val="1"/>
      <color theme="1"/>
      <sz val="8"/>
    </font>
  </fonts>
  <fills count="12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rgb="FF29292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1851D6"/>
        <bgColor rgb="FF1851D6"/>
      </patternFill>
    </fill>
    <fill>
      <patternFill patternType="solid">
        <fgColor rgb="FF29292F"/>
        <bgColor rgb="FF29292F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</border>
    <border>
      <left/>
      <right/>
      <top style="medium">
        <color auto="1"/>
      </top>
      <bottom/>
    </border>
    <border>
      <left style="thin">
        <color indexed="64"/>
      </left>
      <right/>
      <top style="thin">
        <color indexed="64"/>
      </top>
      <bottom/>
    </border>
    <border>
      <left/>
      <right/>
      <top style="thin">
        <color indexed="64"/>
      </top>
      <bottom/>
    </border>
    <border>
      <left style="thin">
        <color indexed="64"/>
      </left>
      <right/>
      <top/>
      <bottom style="thin">
        <color indexed="64"/>
      </bottom>
    </border>
    <border>
      <left/>
      <right/>
      <top/>
      <bottom style="thin">
        <color indexed="64"/>
      </bottom>
    </border>
    <border>
      <left style="thin">
        <color indexed="64"/>
      </left>
      <right/>
      <top/>
      <bottom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/>
      <right/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</border>
    <border>
      <left/>
      <right/>
      <top style="thin">
        <color theme="1" tint="0.499984740745262"/>
      </top>
      <bottom style="thin">
        <color theme="1" tint="0.499984740745262"/>
      </bottom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1" fillId="0" borderId="1" pivotButton="0" quotePrefix="0" xfId="0"/>
    <xf numFmtId="49" fontId="2" fillId="0" borderId="2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2" applyAlignment="1" pivotButton="0" quotePrefix="0" xfId="0">
      <alignment horizontal="right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vertical="center"/>
    </xf>
    <xf numFmtId="0" fontId="3" fillId="0" borderId="4" applyAlignment="1" pivotButton="0" quotePrefix="0" xfId="0">
      <alignment horizontal="right" vertical="center"/>
    </xf>
    <xf numFmtId="0" fontId="4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6" applyAlignment="1" pivotButton="0" quotePrefix="0" xfId="0">
      <alignment horizontal="right" vertical="center"/>
    </xf>
    <xf numFmtId="0" fontId="4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right"/>
    </xf>
    <xf numFmtId="164" fontId="5" fillId="0" borderId="7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 vertical="center"/>
    </xf>
    <xf numFmtId="17" fontId="6" fillId="0" borderId="1" applyAlignment="1" pivotButton="0" quotePrefix="0" xfId="0">
      <alignment horizontal="left" vertical="center"/>
    </xf>
    <xf numFmtId="17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right" vertical="center"/>
    </xf>
    <xf numFmtId="17" fontId="6" fillId="0" borderId="1" applyAlignment="1" pivotButton="0" quotePrefix="0" xfId="0">
      <alignment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/>
    </xf>
    <xf numFmtId="49" fontId="10" fillId="2" borderId="8" applyAlignment="1" pivotButton="0" quotePrefix="0" xfId="0">
      <alignment horizontal="center" vertical="center" wrapText="1"/>
    </xf>
    <xf numFmtId="0" fontId="1" fillId="0" borderId="9" pivotButton="0" quotePrefix="0" xfId="0"/>
    <xf numFmtId="165" fontId="9" fillId="0" borderId="1" applyAlignment="1" pivotButton="0" quotePrefix="0" xfId="0">
      <alignment horizontal="left" vertical="center"/>
    </xf>
    <xf numFmtId="166" fontId="9" fillId="0" borderId="1" applyAlignment="1" pivotButton="0" quotePrefix="0" xfId="0">
      <alignment horizontal="left" vertical="center"/>
    </xf>
    <xf numFmtId="49" fontId="11" fillId="3" borderId="10" applyAlignment="1" pivotButton="0" quotePrefix="0" xfId="0">
      <alignment horizontal="center" vertical="center" wrapText="1"/>
    </xf>
    <xf numFmtId="49" fontId="11" fillId="3" borderId="10" applyAlignment="1" pivotButton="0" quotePrefix="0" xfId="0">
      <alignment horizontal="center" vertical="center"/>
    </xf>
    <xf numFmtId="49" fontId="12" fillId="3" borderId="10" applyAlignment="1" pivotButton="0" quotePrefix="0" xfId="0">
      <alignment horizontal="center" vertical="center" wrapText="1"/>
    </xf>
    <xf numFmtId="2" fontId="12" fillId="3" borderId="3" applyAlignment="1" pivotButton="0" quotePrefix="0" xfId="0">
      <alignment horizontal="center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3" borderId="11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49" fontId="13" fillId="0" borderId="12" applyAlignment="1" pivotButton="0" quotePrefix="0" xfId="0">
      <alignment horizontal="left" vertical="center" wrapText="1"/>
    </xf>
    <xf numFmtId="49" fontId="13" fillId="0" borderId="13" applyAlignment="1" pivotButton="0" quotePrefix="0" xfId="0">
      <alignment horizontal="left" vertical="center"/>
    </xf>
    <xf numFmtId="49" fontId="13" fillId="0" borderId="13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/>
    </xf>
    <xf numFmtId="0" fontId="13" fillId="0" borderId="13" applyAlignment="1" pivotButton="0" quotePrefix="0" xfId="0">
      <alignment horizontal="center" vertical="center" wrapText="1"/>
    </xf>
    <xf numFmtId="4" fontId="13" fillId="0" borderId="13" applyAlignment="1" pivotButton="0" quotePrefix="0" xfId="0">
      <alignment horizontal="center" vertical="center" wrapText="1"/>
    </xf>
    <xf numFmtId="4" fontId="13" fillId="0" borderId="13" applyAlignment="1" pivotButton="0" quotePrefix="0" xfId="0">
      <alignment horizontal="right" vertical="center" wrapText="1"/>
    </xf>
    <xf numFmtId="4" fontId="13" fillId="0" borderId="13" applyAlignment="1" pivotButton="0" quotePrefix="0" xfId="0">
      <alignment horizontal="left" vertical="center"/>
    </xf>
    <xf numFmtId="0" fontId="13" fillId="0" borderId="13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0" fontId="13" fillId="0" borderId="13" applyAlignment="1" pivotButton="0" quotePrefix="0" xfId="0">
      <alignment horizontal="left" vertical="center" wrapText="1"/>
    </xf>
    <xf numFmtId="4" fontId="14" fillId="0" borderId="13" applyAlignment="1" pivotButton="0" quotePrefix="0" xfId="0">
      <alignment horizontal="center" vertical="center"/>
    </xf>
    <xf numFmtId="4" fontId="13" fillId="4" borderId="13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center"/>
    </xf>
    <xf numFmtId="4" fontId="15" fillId="0" borderId="13" applyAlignment="1" pivotButton="0" quotePrefix="0" xfId="0">
      <alignment horizontal="center" vertical="center" wrapText="1"/>
    </xf>
    <xf numFmtId="0" fontId="16" fillId="0" borderId="1" applyAlignment="1" pivotButton="0" quotePrefix="0" xfId="0">
      <alignment vertical="center"/>
    </xf>
    <xf numFmtId="49" fontId="11" fillId="5" borderId="1" applyAlignment="1" pivotButton="0" quotePrefix="0" xfId="0">
      <alignment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vertical="center"/>
    </xf>
    <xf numFmtId="167" fontId="11" fillId="5" borderId="1" applyAlignment="1" pivotButton="0" quotePrefix="0" xfId="0">
      <alignment vertical="center"/>
    </xf>
    <xf numFmtId="0" fontId="13" fillId="0" borderId="1" applyAlignment="1" pivotButton="0" quotePrefix="0" xfId="0">
      <alignment horizontal="left" vertical="center"/>
    </xf>
    <xf numFmtId="43" fontId="16" fillId="0" borderId="1" applyAlignment="1" pivotButton="0" quotePrefix="0" xfId="0">
      <alignment vertical="center"/>
    </xf>
    <xf numFmtId="0" fontId="16" fillId="0" borderId="1" applyAlignment="1" pivotButton="0" quotePrefix="0" xfId="0">
      <alignment horizontal="left" vertical="center"/>
    </xf>
    <xf numFmtId="168" fontId="13" fillId="0" borderId="1" applyAlignment="1" pivotButton="0" quotePrefix="0" xfId="0">
      <alignment horizontal="left" vertical="center"/>
    </xf>
    <xf numFmtId="2" fontId="13" fillId="0" borderId="1" applyAlignment="1" pivotButton="0" quotePrefix="0" xfId="0">
      <alignment horizontal="left" vertical="center"/>
    </xf>
    <xf numFmtId="167" fontId="16" fillId="0" borderId="1" applyAlignment="1" pivotButton="0" quotePrefix="0" xfId="0">
      <alignment vertical="center"/>
    </xf>
    <xf numFmtId="0" fontId="16" fillId="0" borderId="1" applyAlignment="1" pivotButton="0" quotePrefix="0" xfId="0">
      <alignment horizontal="right" vertical="center"/>
    </xf>
    <xf numFmtId="0" fontId="17" fillId="0" borderId="1" pivotButton="0" quotePrefix="0" xfId="0"/>
    <xf numFmtId="49" fontId="17" fillId="0" borderId="14" pivotButton="0" quotePrefix="0" xfId="0"/>
    <xf numFmtId="0" fontId="17" fillId="0" borderId="14" pivotButton="0" quotePrefix="0" xfId="0"/>
    <xf numFmtId="0" fontId="17" fillId="0" borderId="14" applyAlignment="1" pivotButton="0" quotePrefix="0" xfId="0">
      <alignment horizontal="center" vertical="center"/>
    </xf>
    <xf numFmtId="0" fontId="17" fillId="0" borderId="14" applyAlignment="1" pivotButton="0" quotePrefix="0" xfId="0">
      <alignment horizontal="right"/>
    </xf>
    <xf numFmtId="0" fontId="17" fillId="0" borderId="1" applyAlignment="1" pivotButton="0" quotePrefix="0" xfId="0">
      <alignment horizontal="center"/>
    </xf>
    <xf numFmtId="0" fontId="17" fillId="0" borderId="1" applyAlignment="1" pivotButton="0" quotePrefix="0" xfId="0">
      <alignment vertical="center"/>
    </xf>
    <xf numFmtId="0" fontId="17" fillId="0" borderId="15" applyAlignment="1" pivotButton="0" quotePrefix="0" xfId="0">
      <alignment vertical="center"/>
    </xf>
    <xf numFmtId="0" fontId="17" fillId="0" borderId="16" applyAlignment="1" pivotButton="0" quotePrefix="0" xfId="0">
      <alignment vertical="center"/>
    </xf>
    <xf numFmtId="0" fontId="18" fillId="0" borderId="16" applyAlignment="1" pivotButton="0" quotePrefix="0" xfId="0">
      <alignment vertical="center"/>
    </xf>
    <xf numFmtId="0" fontId="18" fillId="0" borderId="16" applyAlignment="1" pivotButton="0" quotePrefix="0" xfId="0">
      <alignment horizontal="right" vertical="center"/>
    </xf>
    <xf numFmtId="0" fontId="19" fillId="0" borderId="16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0" borderId="17" applyAlignment="1" pivotButton="0" quotePrefix="0" xfId="0">
      <alignment vertical="center"/>
    </xf>
    <xf numFmtId="0" fontId="17" fillId="0" borderId="18" applyAlignment="1" pivotButton="0" quotePrefix="0" xfId="0">
      <alignment vertical="center"/>
    </xf>
    <xf numFmtId="0" fontId="18" fillId="0" borderId="18" applyAlignment="1" pivotButton="0" quotePrefix="0" xfId="0">
      <alignment vertical="center"/>
    </xf>
    <xf numFmtId="0" fontId="18" fillId="0" borderId="18" applyAlignment="1" pivotButton="0" quotePrefix="0" xfId="0">
      <alignment horizontal="right" vertical="center"/>
    </xf>
    <xf numFmtId="0" fontId="19" fillId="0" borderId="18" applyAlignment="1" pivotButton="0" quotePrefix="0" xfId="0">
      <alignment horizontal="center" vertical="center"/>
    </xf>
    <xf numFmtId="0" fontId="21" fillId="0" borderId="1" pivotButton="0" quotePrefix="0" xfId="0"/>
    <xf numFmtId="0" fontId="22" fillId="0" borderId="19" applyAlignment="1" pivotButton="0" quotePrefix="0" xfId="0">
      <alignment vertical="center"/>
    </xf>
    <xf numFmtId="0" fontId="22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4" fontId="21" fillId="0" borderId="1" pivotButton="0" quotePrefix="0" xfId="0"/>
    <xf numFmtId="168" fontId="21" fillId="0" borderId="1" pivotButton="0" quotePrefix="0" xfId="0"/>
    <xf numFmtId="0" fontId="21" fillId="0" borderId="1" applyAlignment="1" pivotButton="0" quotePrefix="0" xfId="0">
      <alignment horizontal="right"/>
    </xf>
    <xf numFmtId="0" fontId="23" fillId="0" borderId="1" applyAlignment="1" pivotButton="0" quotePrefix="0" xfId="0">
      <alignment horizontal="center" vertical="center"/>
    </xf>
    <xf numFmtId="169" fontId="22" fillId="0" borderId="19" applyAlignment="1" pivotButton="0" quotePrefix="0" xfId="0">
      <alignment horizontal="left" vertical="center"/>
    </xf>
    <xf numFmtId="169" fontId="22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right" vertical="center"/>
    </xf>
    <xf numFmtId="17" fontId="21" fillId="0" borderId="1" applyAlignment="1" pivotButton="0" quotePrefix="0" xfId="0">
      <alignment vertical="center"/>
    </xf>
    <xf numFmtId="0" fontId="24" fillId="0" borderId="1" pivotButton="0" quotePrefix="0" xfId="0"/>
    <xf numFmtId="49" fontId="25" fillId="6" borderId="20" applyAlignment="1" pivotButton="0" quotePrefix="0" xfId="0">
      <alignment horizontal="center" vertical="center" wrapText="1"/>
    </xf>
    <xf numFmtId="0" fontId="1" fillId="0" borderId="21" pivotButton="0" quotePrefix="0" xfId="0"/>
    <xf numFmtId="0" fontId="26" fillId="0" borderId="1" applyAlignment="1" pivotButton="0" quotePrefix="0" xfId="0">
      <alignment horizontal="center" vertical="center"/>
    </xf>
    <xf numFmtId="165" fontId="27" fillId="0" borderId="1" applyAlignment="1" pivotButton="0" quotePrefix="0" xfId="0">
      <alignment horizontal="left" vertical="center"/>
    </xf>
    <xf numFmtId="166" fontId="27" fillId="0" borderId="1" applyAlignment="1" pivotButton="0" quotePrefix="0" xfId="0">
      <alignment horizontal="left" vertical="center"/>
    </xf>
    <xf numFmtId="49" fontId="28" fillId="7" borderId="22" applyAlignment="1" pivotButton="0" quotePrefix="0" xfId="0">
      <alignment horizontal="center" vertical="center"/>
    </xf>
    <xf numFmtId="49" fontId="29" fillId="7" borderId="22" applyAlignment="1" pivotButton="0" quotePrefix="0" xfId="0">
      <alignment horizontal="center" vertical="center" wrapText="1"/>
    </xf>
    <xf numFmtId="2" fontId="29" fillId="7" borderId="15" applyAlignment="1" pivotButton="0" quotePrefix="0" xfId="0">
      <alignment horizontal="center" vertical="center" wrapText="1"/>
    </xf>
    <xf numFmtId="0" fontId="29" fillId="7" borderId="20" applyAlignment="1" pivotButton="0" quotePrefix="0" xfId="0">
      <alignment horizontal="center" vertical="center" wrapText="1"/>
    </xf>
    <xf numFmtId="0" fontId="29" fillId="7" borderId="23" applyAlignment="1" pivotButton="0" quotePrefix="0" xfId="0">
      <alignment horizontal="center" vertical="center" wrapText="1"/>
    </xf>
    <xf numFmtId="0" fontId="29" fillId="7" borderId="16" applyAlignment="1" pivotButton="0" quotePrefix="0" xfId="0">
      <alignment horizontal="center" vertical="center" wrapText="1"/>
    </xf>
    <xf numFmtId="0" fontId="13" fillId="8" borderId="1" applyAlignment="1" pivotButton="0" quotePrefix="0" xfId="0">
      <alignment vertical="center"/>
    </xf>
    <xf numFmtId="0" fontId="30" fillId="0" borderId="1" applyAlignment="1" pivotButton="0" quotePrefix="0" xfId="0">
      <alignment horizontal="center" vertical="center"/>
    </xf>
    <xf numFmtId="168" fontId="13" fillId="0" borderId="1" applyAlignment="1" pivotButton="0" quotePrefix="0" xfId="0">
      <alignment horizontal="center" vertical="center"/>
    </xf>
    <xf numFmtId="49" fontId="31" fillId="0" borderId="24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" fontId="32" fillId="0" borderId="13" applyAlignment="1" pivotButton="0" quotePrefix="0" xfId="0">
      <alignment horizontal="left" vertical="center"/>
    </xf>
    <xf numFmtId="0" fontId="13" fillId="0" borderId="13" applyAlignment="1" pivotButton="0" quotePrefix="0" xfId="0">
      <alignment horizontal="center" vertical="center"/>
    </xf>
    <xf numFmtId="4" fontId="13" fillId="0" borderId="13" applyAlignment="1" pivotButton="0" quotePrefix="0" xfId="0">
      <alignment horizontal="center" vertical="center"/>
    </xf>
    <xf numFmtId="165" fontId="9" fillId="9" borderId="1" applyAlignment="1" pivotButton="0" quotePrefix="0" xfId="0">
      <alignment horizontal="left" vertical="center"/>
    </xf>
    <xf numFmtId="166" fontId="9" fillId="9" borderId="1" applyAlignment="1" pivotButton="0" quotePrefix="0" xfId="0">
      <alignment horizontal="left" vertical="center"/>
    </xf>
    <xf numFmtId="0" fontId="13" fillId="9" borderId="1" applyAlignment="1" pivotButton="0" quotePrefix="0" xfId="0">
      <alignment vertical="center"/>
    </xf>
    <xf numFmtId="170" fontId="15" fillId="0" borderId="13" applyAlignment="1" pivotButton="0" quotePrefix="0" xfId="0">
      <alignment horizontal="center" vertical="center" wrapText="1"/>
    </xf>
    <xf numFmtId="4" fontId="33" fillId="0" borderId="13" applyAlignment="1" pivotButton="0" quotePrefix="0" xfId="0">
      <alignment horizontal="left" vertical="center"/>
    </xf>
    <xf numFmtId="0" fontId="32" fillId="0" borderId="13" applyAlignment="1" pivotButton="0" quotePrefix="0" xfId="0">
      <alignment vertical="center"/>
    </xf>
    <xf numFmtId="4" fontId="34" fillId="0" borderId="13" applyAlignment="1" pivotButton="0" quotePrefix="0" xfId="0">
      <alignment horizontal="left" vertical="center"/>
    </xf>
    <xf numFmtId="0" fontId="15" fillId="0" borderId="13" applyAlignment="1" pivotButton="0" quotePrefix="0" xfId="0">
      <alignment vertical="center"/>
    </xf>
    <xf numFmtId="4" fontId="13" fillId="0" borderId="1" applyAlignment="1" pivotButton="0" quotePrefix="0" xfId="0">
      <alignment horizontal="center" vertical="center"/>
    </xf>
    <xf numFmtId="4" fontId="13" fillId="0" borderId="13" applyAlignment="1" pivotButton="0" quotePrefix="0" xfId="0">
      <alignment horizontal="left" vertical="center" wrapText="1"/>
    </xf>
    <xf numFmtId="0" fontId="15" fillId="9" borderId="1" applyAlignment="1" pivotButton="0" quotePrefix="0" xfId="0">
      <alignment vertical="center"/>
    </xf>
    <xf numFmtId="0" fontId="13" fillId="0" borderId="12" applyAlignment="1" pivotButton="0" quotePrefix="0" xfId="0">
      <alignment horizontal="left" vertical="center"/>
    </xf>
    <xf numFmtId="0" fontId="13" fillId="9" borderId="13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49" fontId="13" fillId="0" borderId="12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  <xf numFmtId="49" fontId="31" fillId="0" borderId="25" applyAlignment="1" pivotButton="0" quotePrefix="0" xfId="0">
      <alignment horizontal="left" vertical="center"/>
    </xf>
    <xf numFmtId="49" fontId="31" fillId="0" borderId="25" applyAlignment="1" pivotButton="0" quotePrefix="0" xfId="0">
      <alignment horizontal="left" vertical="center" wrapText="1"/>
    </xf>
    <xf numFmtId="0" fontId="31" fillId="0" borderId="25" applyAlignment="1" pivotButton="0" quotePrefix="0" xfId="0">
      <alignment vertical="center"/>
    </xf>
    <xf numFmtId="0" fontId="31" fillId="0" borderId="25" applyAlignment="1" pivotButton="0" quotePrefix="0" xfId="0">
      <alignment horizontal="center" vertical="center" wrapText="1"/>
    </xf>
    <xf numFmtId="4" fontId="31" fillId="0" borderId="25" applyAlignment="1" pivotButton="0" quotePrefix="0" xfId="0">
      <alignment horizontal="center" vertical="center" wrapText="1"/>
    </xf>
    <xf numFmtId="4" fontId="31" fillId="0" borderId="25" applyAlignment="1" pivotButton="0" quotePrefix="0" xfId="0">
      <alignment horizontal="right" vertical="center" wrapText="1"/>
    </xf>
    <xf numFmtId="4" fontId="31" fillId="0" borderId="25" applyAlignment="1" pivotButton="0" quotePrefix="0" xfId="0">
      <alignment horizontal="left" vertical="center"/>
    </xf>
    <xf numFmtId="0" fontId="31" fillId="0" borderId="1" applyAlignment="1" pivotButton="0" quotePrefix="0" xfId="0">
      <alignment horizontal="center" vertical="center"/>
    </xf>
    <xf numFmtId="4" fontId="32" fillId="0" borderId="13" applyAlignment="1" pivotButton="0" quotePrefix="0" xfId="0">
      <alignment horizontal="left" vertical="center" wrapText="1"/>
    </xf>
    <xf numFmtId="0" fontId="13" fillId="0" borderId="13" applyAlignment="1" pivotButton="0" quotePrefix="0" xfId="0">
      <alignment vertical="center" wrapText="1"/>
    </xf>
    <xf numFmtId="0" fontId="26" fillId="9" borderId="1" applyAlignment="1" pivotButton="0" quotePrefix="0" xfId="0">
      <alignment vertical="center"/>
    </xf>
    <xf numFmtId="165" fontId="27" fillId="9" borderId="1" applyAlignment="1" pivotButton="0" quotePrefix="0" xfId="0">
      <alignment horizontal="left" vertical="center"/>
    </xf>
    <xf numFmtId="166" fontId="27" fillId="9" borderId="1" applyAlignment="1" pivotButton="0" quotePrefix="0" xfId="0">
      <alignment horizontal="left" vertical="center"/>
    </xf>
    <xf numFmtId="0" fontId="31" fillId="9" borderId="1" applyAlignment="1" pivotButton="0" quotePrefix="0" xfId="0">
      <alignment vertical="center"/>
    </xf>
    <xf numFmtId="49" fontId="31" fillId="0" borderId="24" applyAlignment="1" pivotButton="0" quotePrefix="0" xfId="0">
      <alignment horizontal="left" vertical="center" wrapText="1"/>
    </xf>
    <xf numFmtId="0" fontId="31" fillId="0" borderId="1" applyAlignment="1" pivotButton="0" quotePrefix="0" xfId="0">
      <alignment vertical="center"/>
    </xf>
    <xf numFmtId="4" fontId="31" fillId="0" borderId="1" applyAlignment="1" pivotButton="0" quotePrefix="0" xfId="0">
      <alignment horizontal="center" vertical="center"/>
    </xf>
    <xf numFmtId="0" fontId="31" fillId="0" borderId="24" applyAlignment="1" pivotButton="0" quotePrefix="0" xfId="0">
      <alignment horizontal="left" vertical="center"/>
    </xf>
    <xf numFmtId="171" fontId="31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17" fontId="31" fillId="0" borderId="1" applyAlignment="1" pivotButton="0" quotePrefix="0" xfId="0">
      <alignment horizontal="center" vertical="center"/>
    </xf>
    <xf numFmtId="4" fontId="35" fillId="0" borderId="25" applyAlignment="1" pivotButton="0" quotePrefix="0" xfId="0">
      <alignment horizontal="center" vertical="center" wrapText="1"/>
    </xf>
    <xf numFmtId="0" fontId="31" fillId="10" borderId="25" applyAlignment="1" pivotButton="0" quotePrefix="0" xfId="0">
      <alignment vertical="center"/>
    </xf>
    <xf numFmtId="0" fontId="13" fillId="11" borderId="13" applyAlignment="1" pivotButton="0" quotePrefix="0" xfId="0">
      <alignment vertical="center"/>
    </xf>
    <xf numFmtId="2" fontId="13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left" vertical="center"/>
    </xf>
    <xf numFmtId="0" fontId="36" fillId="11" borderId="13" applyAlignment="1" pivotButton="0" quotePrefix="0" xfId="0">
      <alignment vertical="center"/>
    </xf>
    <xf numFmtId="4" fontId="13" fillId="11" borderId="13" applyAlignment="1" pivotButton="0" quotePrefix="0" xfId="0">
      <alignment horizontal="center" vertical="center" wrapText="1"/>
    </xf>
    <xf numFmtId="4" fontId="37" fillId="0" borderId="13" applyAlignment="1" pivotButton="0" quotePrefix="0" xfId="0">
      <alignment horizontal="left" vertical="center"/>
    </xf>
    <xf numFmtId="49" fontId="32" fillId="0" borderId="1" applyAlignment="1" pivotButton="0" quotePrefix="0" xfId="0">
      <alignment vertical="center"/>
    </xf>
    <xf numFmtId="0" fontId="32" fillId="0" borderId="1" applyAlignment="1" pivotButton="0" quotePrefix="0" xfId="0">
      <alignment vertical="center"/>
    </xf>
    <xf numFmtId="0" fontId="32" fillId="0" borderId="1" applyAlignment="1" pivotButton="0" quotePrefix="0" xfId="0">
      <alignment horizontal="center" vertical="center"/>
    </xf>
    <xf numFmtId="171" fontId="38" fillId="0" borderId="1" applyAlignment="1" pivotButton="0" quotePrefix="0" xfId="0">
      <alignment vertical="center"/>
    </xf>
    <xf numFmtId="0" fontId="38" fillId="0" borderId="1" applyAlignment="1" pivotButton="0" quotePrefix="0" xfId="0">
      <alignment horizontal="left" vertical="center"/>
    </xf>
    <xf numFmtId="0" fontId="38" fillId="0" borderId="1" applyAlignment="1" pivotButton="0" quotePrefix="0" xfId="0">
      <alignment vertical="center"/>
    </xf>
    <xf numFmtId="0" fontId="17" fillId="0" borderId="1" applyAlignment="1" pivotButton="0" quotePrefix="0" xfId="0">
      <alignment horizontal="center" vertical="center"/>
    </xf>
    <xf numFmtId="168" fontId="32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right" vertical="center"/>
    </xf>
    <xf numFmtId="168" fontId="38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7"/>
  <sheetViews>
    <sheetView workbookViewId="0">
      <selection activeCell="A1" sqref="A1"/>
    </sheetView>
  </sheetViews>
  <sheetFormatPr baseColWidth="8" defaultRowHeight="15"/>
  <cols>
    <col width="4" customWidth="1" min="1" max="1"/>
    <col width="3.109375" customWidth="1" min="6" max="6"/>
    <col width="7.33203125" customWidth="1" min="7" max="7"/>
    <col width="8.5546875" customWidth="1" min="8" max="8"/>
    <col width="12.33203125" customWidth="1" min="9" max="9"/>
    <col width="52.88671875" customWidth="1" min="10" max="10"/>
    <col width="6.88671875" customWidth="1" min="11" max="11"/>
    <col width="11.109375" customWidth="1" min="12" max="12"/>
    <col width="13.5546875" customWidth="1" min="13" max="13"/>
    <col width="18.88671875" customWidth="1" min="14" max="14"/>
    <col width="61" customWidth="1" min="15" max="15"/>
    <col width="9.109375" customWidth="1" min="16" max="16"/>
  </cols>
  <sheetData>
    <row r="1">
      <c r="A1" s="1" t="n"/>
      <c r="B1" s="1" t="n"/>
      <c r="C1" s="1" t="n"/>
      <c r="D1" s="1" t="n"/>
      <c r="E1" s="1" t="n"/>
      <c r="F1" s="1" t="n"/>
      <c r="G1" s="2" t="n"/>
      <c r="H1" s="2" t="n"/>
      <c r="I1" s="2" t="n"/>
      <c r="J1" s="3" t="n"/>
      <c r="K1" s="4" t="n"/>
      <c r="L1" s="5" t="n"/>
      <c r="M1" s="5" t="n"/>
      <c r="N1" s="6" t="n"/>
      <c r="O1" s="5" t="n"/>
      <c r="P1" s="1" t="n"/>
      <c r="Q1" s="1" t="n"/>
    </row>
    <row r="2">
      <c r="A2" s="1" t="n"/>
      <c r="B2" s="1" t="n"/>
      <c r="C2" s="1" t="n"/>
      <c r="D2" s="1" t="n"/>
      <c r="E2" s="1" t="n"/>
      <c r="F2" s="1" t="n"/>
      <c r="G2" s="7" t="n"/>
      <c r="H2" s="8" t="n"/>
      <c r="I2" s="8" t="n"/>
      <c r="J2" s="9" t="n"/>
      <c r="K2" s="10" t="n"/>
      <c r="L2" s="10" t="n"/>
      <c r="M2" s="10" t="n"/>
      <c r="N2" s="11" t="n"/>
      <c r="O2" s="12" t="n"/>
      <c r="P2" s="1" t="n"/>
      <c r="Q2" s="1" t="n"/>
    </row>
    <row r="3">
      <c r="A3" s="1" t="n"/>
      <c r="B3" s="1" t="n"/>
      <c r="C3" s="1" t="n"/>
      <c r="D3" s="1" t="n"/>
      <c r="E3" s="1" t="n"/>
      <c r="F3" s="1" t="n"/>
      <c r="G3" s="13" t="n"/>
      <c r="H3" s="14" t="n"/>
      <c r="I3" s="14" t="n"/>
      <c r="J3" s="15" t="n"/>
      <c r="K3" s="16" t="n"/>
      <c r="L3" s="16" t="n"/>
      <c r="M3" s="16" t="n"/>
      <c r="N3" s="17" t="n"/>
      <c r="O3" s="18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9" t="inlineStr">
        <is>
          <t>PROJETO:</t>
        </is>
      </c>
      <c r="H4" s="20" t="n"/>
      <c r="I4" s="21">
        <f>[4]CAPA!C2</f>
        <v/>
      </c>
      <c r="J4" s="22" t="n"/>
      <c r="K4" s="1" t="n"/>
      <c r="L4" s="1" t="n"/>
      <c r="M4" s="1" t="n"/>
      <c r="N4" s="23" t="n"/>
      <c r="O4" s="20" t="inlineStr">
        <is>
          <t>REVISÃO:</t>
        </is>
      </c>
      <c r="P4" s="1" t="n"/>
      <c r="Q4" s="1" t="n"/>
    </row>
    <row r="5">
      <c r="A5" s="1" t="n"/>
      <c r="B5" s="1" t="n"/>
      <c r="C5" s="1" t="n"/>
      <c r="D5" s="1" t="n"/>
      <c r="E5" s="1" t="n"/>
      <c r="F5" s="1" t="n"/>
      <c r="G5" s="24" t="inlineStr">
        <is>
          <t>EMPRESA:</t>
        </is>
      </c>
      <c r="H5" s="25" t="n"/>
      <c r="I5" s="26">
        <f>[4]CAPA!C3</f>
        <v/>
      </c>
      <c r="J5" s="27" t="n"/>
      <c r="K5" s="1" t="n"/>
      <c r="L5" s="1" t="n"/>
      <c r="M5" s="1" t="n"/>
      <c r="N5" s="28" t="n"/>
      <c r="O5" s="29">
        <f>[4]CAPA!C4</f>
        <v/>
      </c>
      <c r="P5" s="1" t="n"/>
      <c r="Q5" s="1" t="n"/>
    </row>
    <row r="6">
      <c r="A6" s="30" t="inlineStr">
        <is>
          <t>Unidade Construtiva</t>
        </is>
      </c>
      <c r="B6" s="30" t="inlineStr">
        <is>
          <t>Célula Construtiva</t>
        </is>
      </c>
      <c r="C6" s="30" t="inlineStr">
        <is>
          <t>Etapa</t>
        </is>
      </c>
      <c r="D6" s="30" t="inlineStr">
        <is>
          <t>Subetapa</t>
        </is>
      </c>
      <c r="E6" s="30" t="inlineStr">
        <is>
          <t>Serviço</t>
        </is>
      </c>
      <c r="F6" s="31" t="n"/>
      <c r="G6" s="32" t="inlineStr">
        <is>
          <t>GERENCIAMENTO TÉCNICO E ADMINISTRATIVO</t>
        </is>
      </c>
      <c r="H6" s="33" t="n"/>
      <c r="I6" s="33" t="n"/>
      <c r="J6" s="33" t="n"/>
      <c r="K6" s="33" t="n"/>
      <c r="L6" s="33" t="n"/>
      <c r="M6" s="33" t="n"/>
      <c r="N6" s="33" t="n"/>
      <c r="O6" s="33" t="n"/>
      <c r="P6" s="1" t="n"/>
      <c r="Q6" s="1" t="n"/>
    </row>
    <row r="7">
      <c r="A7" s="34" t="n">
        <v>0</v>
      </c>
      <c r="B7" s="34" t="n">
        <v>0</v>
      </c>
      <c r="C7" s="34" t="n">
        <v>0</v>
      </c>
      <c r="D7" s="35" t="n">
        <v>0</v>
      </c>
      <c r="E7" s="35" t="n">
        <v>0</v>
      </c>
      <c r="F7" s="1" t="n"/>
      <c r="G7" s="36" t="inlineStr">
        <is>
          <t>Atalho</t>
        </is>
      </c>
      <c r="H7" s="37" t="inlineStr">
        <is>
          <t>NIVEL</t>
        </is>
      </c>
      <c r="I7" s="38" t="inlineStr">
        <is>
          <t>Item</t>
        </is>
      </c>
      <c r="J7" s="39" t="inlineStr">
        <is>
          <t>Descrição</t>
        </is>
      </c>
      <c r="K7" s="40" t="inlineStr">
        <is>
          <t>Unidade</t>
        </is>
      </c>
      <c r="L7" s="41" t="inlineStr">
        <is>
          <t xml:space="preserve">Quant. </t>
        </is>
      </c>
      <c r="M7" s="41" t="inlineStr">
        <is>
          <t>Preço un</t>
        </is>
      </c>
      <c r="N7" s="41" t="inlineStr">
        <is>
          <t>Total</t>
        </is>
      </c>
      <c r="O7" s="42" t="inlineStr">
        <is>
          <t>Considerações</t>
        </is>
      </c>
      <c r="P7" s="1" t="n"/>
      <c r="Q7" s="1" t="n"/>
    </row>
    <row r="8">
      <c r="A8" s="34">
        <f>IF($H8="UNIDADE CONSTRUTIVA",OFFSET(A8,-1,0)+1,LARGE(A$3:A7,1))</f>
        <v/>
      </c>
      <c r="B8" s="34">
        <f>IF(H8="UNIDADE CONSTRUTIVA",0,IF(H8="CÉLULA CONSTRUTIVA",OFFSET(B8,-1,0)+1,OFFSET(B8,-1,0)))</f>
        <v/>
      </c>
      <c r="C8" s="34">
        <f>IF(H8="CÉLULA CONSTRUTIVA",0,IF(H8="ETAPA",OFFSET(C8,-1,0)+1,OFFSET(C8,-1,0)))</f>
        <v/>
      </c>
      <c r="D8" s="35">
        <f>IF(H8="ETAPA",0,IF(H8="SUBETAPA",OFFSET(D8,-1,0)+1,OFFSET(D8,-1,0)))</f>
        <v/>
      </c>
      <c r="E8" s="35">
        <f>IF(H8="Subetapa",0,IF(H8="serviço",OFFSET(E8,-1,0)+1,OFFSET(E8,-1,0)))</f>
        <v/>
      </c>
      <c r="F8" s="1" t="n"/>
      <c r="G8" s="43" t="n"/>
      <c r="H8" s="44" t="inlineStr">
        <is>
          <t>CÉLULA CONSTRUTIVA</t>
        </is>
      </c>
      <c r="I8" s="45">
        <f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/>
      </c>
      <c r="J8" s="46" t="inlineStr">
        <is>
          <t xml:space="preserve">SERVIÇOS TÉCNICOS </t>
        </is>
      </c>
      <c r="K8" s="47" t="n"/>
      <c r="L8" s="48" t="n"/>
      <c r="M8" s="48" t="n"/>
      <c r="N8" s="49">
        <f>IF(H8="Serviço",M8*L8,IF(H8="CÉLULA CONSTRUTIVA",SUMIFS($N$8:$N$442,$B$8:$B$442,B8,$H$8:$H$442,"Serviço"),IF(H8="ETAPA",SUMIFS($N$8:$N$442,$B$8:$B$442,B8,$C$8:$C$442,C8,$H$8:$H$442,"Serviço"),IF(H8="SUBETAPA",SUMIFS($N$8:$N$442,$B$8:$B$442,B8,$C$8:$C$442,C8,$D$8:$D$442,D8,$H$8:$H$442,"Serviço"),0))))</f>
        <v/>
      </c>
      <c r="O8" s="50" t="n"/>
      <c r="P8" s="1" t="n"/>
      <c r="Q8" s="1" t="n"/>
    </row>
    <row r="9">
      <c r="A9" s="34">
        <f>IF($H9="UNIDADE CONSTRUTIVA",OFFSET(A9,-1,0)+1,LARGE(A$3:A8,1))</f>
        <v/>
      </c>
      <c r="B9" s="34">
        <f>IF(H9="UNIDADE CONSTRUTIVA",0,IF(H9="CÉLULA CONSTRUTIVA",OFFSET(B9,-1,0)+1,OFFSET(B9,-1,0)))</f>
        <v/>
      </c>
      <c r="C9" s="34">
        <f>IF(H9="CÉLULA CONSTRUTIVA",0,IF(H9="ETAPA",OFFSET(C9,-1,0)+1,OFFSET(C9,-1,0)))</f>
        <v/>
      </c>
      <c r="D9" s="35">
        <f>IF(H9="ETAPA",0,IF(H9="SUBETAPA",OFFSET(D9,-1,0)+1,OFFSET(D9,-1,0)))</f>
        <v/>
      </c>
      <c r="E9" s="35">
        <f>IF(H9="Subetapa",0,IF(H9="serviço",OFFSET(E9,-1,0)+1,OFFSET(E9,-1,0)))</f>
        <v/>
      </c>
      <c r="F9" s="1" t="n"/>
      <c r="G9" s="43" t="n"/>
      <c r="H9" s="44" t="inlineStr">
        <is>
          <t>ETAPA</t>
        </is>
      </c>
      <c r="I9" s="45">
        <f>IF(H9="Unidade Construtiva",TEXT(A9,"00"),IF(H9="Célula Construtiva",TEXT(B9,"00"),IF(H9="Etapa",CONCATENATE(TEXT(B9,"00"),".",TEXT(C9,"000")),IF(H9="Subetapa",CONCATENATE(TEXT(B9,"00"),".",TEXT(C9,"000"),".",TEXT(D9,"000")),IF(H9="Serviço",CONCATENATE(TEXT(B9,"00"),".",TEXT(C9,"000"),".",TEXT(D9,"000"),".",TEXT(E9,"000")),"")))))</f>
        <v/>
      </c>
      <c r="J9" s="46" t="inlineStr">
        <is>
          <t>ESTUDOS, PROJETOS, CONSULTORIA E ENSAIOS</t>
        </is>
      </c>
      <c r="K9" s="47" t="n"/>
      <c r="L9" s="48" t="n"/>
      <c r="M9" s="48" t="n"/>
      <c r="N9" s="49">
        <f>IF(H9="Serviço",M9*L9,IF(H9="CÉLULA CONSTRUTIVA",SUMIFS($N$8:$N$442,$B$8:$B$442,B9,$H$8:$H$442,"Serviço"),IF(H9="ETAPA",SUMIFS($N$8:$N$442,$B$8:$B$442,B9,$C$8:$C$442,C9,$H$8:$H$442,"Serviço"),IF(H9="SUBETAPA",SUMIFS($N$8:$N$442,$B$8:$B$442,B9,$C$8:$C$442,C9,$D$8:$D$442,D9,$H$8:$H$442,"Serviço"),0))))</f>
        <v/>
      </c>
      <c r="O9" s="50" t="n"/>
      <c r="P9" s="1" t="n"/>
      <c r="Q9" s="1" t="n"/>
    </row>
    <row r="10">
      <c r="A10" s="34">
        <f>IF($H10="UNIDADE CONSTRUTIVA",OFFSET(A10,-1,0)+1,LARGE(A$3:A9,1))</f>
        <v/>
      </c>
      <c r="B10" s="34">
        <f>IF(H10="UNIDADE CONSTRUTIVA",0,IF(H10="CÉLULA CONSTRUTIVA",OFFSET(B10,-1,0)+1,OFFSET(B10,-1,0)))</f>
        <v/>
      </c>
      <c r="C10" s="34">
        <f>IF(H10="CÉLULA CONSTRUTIVA",0,IF(H10="ETAPA",OFFSET(C10,-1,0)+1,OFFSET(C10,-1,0)))</f>
        <v/>
      </c>
      <c r="D10" s="35">
        <f>IF(H10="ETAPA",0,IF(H10="SUBETAPA",OFFSET(D10,-1,0)+1,OFFSET(D10,-1,0)))</f>
        <v/>
      </c>
      <c r="E10" s="35">
        <f>IF(H10="Subetapa",0,IF(H10="serviço",OFFSET(E10,-1,0)+1,OFFSET(E10,-1,0)))</f>
        <v/>
      </c>
      <c r="F10" s="1" t="n"/>
      <c r="G10" s="43" t="n"/>
      <c r="H10" s="44" t="inlineStr">
        <is>
          <t>SUBETAPA</t>
        </is>
      </c>
      <c r="I10" s="45">
        <f>IF(H10="Unidade Construtiva",TEXT(A10,"00"),IF(H10="Célula Construtiva",TEXT(B10,"00"),IF(H10="Etapa",CONCATENATE(TEXT(B10,"00"),".",TEXT(C10,"000")),IF(H10="Subetapa",CONCATENATE(TEXT(B10,"00"),".",TEXT(C10,"000"),".",TEXT(D10,"000")),IF(H10="Serviço",CONCATENATE(TEXT(B10,"00"),".",TEXT(C10,"000"),".",TEXT(D10,"000"),".",TEXT(E10,"000")),"")))))</f>
        <v/>
      </c>
      <c r="J10" s="46" t="inlineStr">
        <is>
          <t>Estudos</t>
        </is>
      </c>
      <c r="K10" s="47" t="n"/>
      <c r="L10" s="48" t="n"/>
      <c r="M10" s="48" t="n"/>
      <c r="N10" s="49">
        <f>IF(H10="Serviço",M10*L10,IF(H10="CÉLULA CONSTRUTIVA",SUMIFS($N$8:$N$442,$B$8:$B$442,B10,$H$8:$H$442,"Serviço"),IF(H10="ETAPA",SUMIFS($N$8:$N$442,$B$8:$B$442,B10,$C$8:$C$442,C10,$H$8:$H$442,"Serviço"),IF(H10="SUBETAPA",SUMIFS($N$8:$N$442,$B$8:$B$442,B10,$C$8:$C$442,C10,$D$8:$D$442,D10,$H$8:$H$442,"Serviço"),0))))</f>
        <v/>
      </c>
      <c r="O10" s="50" t="n"/>
      <c r="P10" s="1" t="n"/>
      <c r="Q10" s="1" t="n"/>
    </row>
    <row r="11">
      <c r="A11" s="34">
        <f>IF($H11="UNIDADE CONSTRUTIVA",OFFSET(A11,-1,0)+1,LARGE(A$3:A10,1))</f>
        <v/>
      </c>
      <c r="B11" s="34">
        <f>IF(H11="UNIDADE CONSTRUTIVA",0,IF(H11="CÉLULA CONSTRUTIVA",OFFSET(B11,-1,0)+1,OFFSET(B11,-1,0)))</f>
        <v/>
      </c>
      <c r="C11" s="34">
        <f>IF(H11="CÉLULA CONSTRUTIVA",0,IF(H11="ETAPA",OFFSET(C11,-1,0)+1,OFFSET(C11,-1,0)))</f>
        <v/>
      </c>
      <c r="D11" s="35">
        <f>IF(H11="ETAPA",0,IF(H11="SUBETAPA",OFFSET(D11,-1,0)+1,OFFSET(D11,-1,0)))</f>
        <v/>
      </c>
      <c r="E11" s="35">
        <f>IF(H11="Subetapa",0,IF(H11="serviço",OFFSET(E11,-1,0)+1,OFFSET(E11,-1,0)))</f>
        <v/>
      </c>
      <c r="F11" s="1" t="n"/>
      <c r="G11" s="43" t="n"/>
      <c r="H11" s="44" t="inlineStr">
        <is>
          <t>SERVIÇO</t>
        </is>
      </c>
      <c r="I11" s="45">
        <f>IF(H11="Unidade Construtiva",TEXT(A11,"00"),IF(H11="Célula Construtiva",TEXT(B11,"00"),IF(H11="Etapa",CONCATENATE(TEXT(B11,"00"),".",TEXT(C11,"000")),IF(H11="Subetapa",CONCATENATE(TEXT(B11,"00"),".",TEXT(C11,"000"),".",TEXT(D11,"000")),IF(H11="Serviço",CONCATENATE(TEXT(B11,"00"),".",TEXT(C11,"000"),".",TEXT(D11,"000"),".",TEXT(E11,"000")),"")))))</f>
        <v/>
      </c>
      <c r="J11" s="46" t="inlineStr">
        <is>
          <t>Levantamento topográfico</t>
        </is>
      </c>
      <c r="K11" s="48">
        <f>_xlfn.XLOOKUP($J11,BASES!$A$12:$A$392,BASES!$C$12:$C$392)</f>
        <v/>
      </c>
      <c r="L11" s="48">
        <f>_xlfn.XLOOKUP($J11,BASES!$A$12:$A$392,BASES!$D$12:$D$392)</f>
        <v/>
      </c>
      <c r="M11" s="48">
        <f>_xlfn.XLOOKUP($J11,BASES!$A$1:$A$2289,BASES!$E$1:$E$2289)</f>
        <v/>
      </c>
      <c r="N11" s="49">
        <f>IF(H11="Serviço",M11*L11,IF(H11="CÉLULA CONSTRUTIVA",SUMIFS($N$8:$N$442,$B$8:$B$442,B11,$H$8:$H$442,"Serviço"),IF(H11="ETAPA",SUMIFS($N$8:$N$442,$B$8:$B$442,B11,$C$8:$C$442,C11,$H$8:$H$442,"Serviço"),IF(H11="SUBETAPA",SUMIFS($N$8:$N$442,$B$8:$B$442,B11,$C$8:$C$442,C11,$D$8:$D$442,D11,$H$8:$H$442,"Serviço"),0))))</f>
        <v/>
      </c>
      <c r="O11" s="48">
        <f>_xlfn.XLOOKUP($J11,BASES!$A$12:$A$392,BASES!$F$12:$F$392)</f>
        <v/>
      </c>
      <c r="P11" s="1" t="n"/>
      <c r="Q11" s="1" t="n"/>
    </row>
    <row r="12">
      <c r="A12" s="34">
        <f>IF($H12="UNIDADE CONSTRUTIVA",OFFSET(A12,-1,0)+1,LARGE(A$3:A11,1))</f>
        <v/>
      </c>
      <c r="B12" s="34">
        <f>IF(H12="UNIDADE CONSTRUTIVA",0,IF(H12="CÉLULA CONSTRUTIVA",OFFSET(B12,-1,0)+1,OFFSET(B12,-1,0)))</f>
        <v/>
      </c>
      <c r="C12" s="34">
        <f>IF(H12="CÉLULA CONSTRUTIVA",0,IF(H12="ETAPA",OFFSET(C12,-1,0)+1,OFFSET(C12,-1,0)))</f>
        <v/>
      </c>
      <c r="D12" s="35">
        <f>IF(H12="ETAPA",0,IF(H12="SUBETAPA",OFFSET(D12,-1,0)+1,OFFSET(D12,-1,0)))</f>
        <v/>
      </c>
      <c r="E12" s="35">
        <f>IF(H12="Subetapa",0,IF(H12="serviço",OFFSET(E12,-1,0)+1,OFFSET(E12,-1,0)))</f>
        <v/>
      </c>
      <c r="F12" s="1" t="n"/>
      <c r="G12" s="43" t="n"/>
      <c r="H12" s="44" t="inlineStr">
        <is>
          <t>SERVIÇO</t>
        </is>
      </c>
      <c r="I12" s="45">
        <f>IF(H12="Unidade Construtiva",TEXT(A12,"00"),IF(H12="Célula Construtiva",TEXT(B12,"00"),IF(H12="Etapa",CONCATENATE(TEXT(B12,"00"),".",TEXT(C12,"000")),IF(H12="Subetapa",CONCATENATE(TEXT(B12,"00"),".",TEXT(C12,"000"),".",TEXT(D12,"000")),IF(H12="Serviço",CONCATENATE(TEXT(B12,"00"),".",TEXT(C12,"000"),".",TEXT(D12,"000"),".",TEXT(E12,"000")),"")))))</f>
        <v/>
      </c>
      <c r="J12" s="46" t="inlineStr">
        <is>
          <t>Estudo ambiental</t>
        </is>
      </c>
      <c r="K12" s="48">
        <f>_xlfn.XLOOKUP($J12,BASES!$A$12:$A$392,BASES!$C$12:$C$392)</f>
        <v/>
      </c>
      <c r="L12" s="48">
        <f>_xlfn.XLOOKUP($J12,BASES!$A$12:$A$392,BASES!$D$12:$D$392)</f>
        <v/>
      </c>
      <c r="M12" s="48">
        <f>_xlfn.XLOOKUP($J12,BASES!$A$1:$A$2289,BASES!$E$1:$E$2289)</f>
        <v/>
      </c>
      <c r="N12" s="49">
        <f>IF(H12="Serviço",M12*L12,IF(H12="CÉLULA CONSTRUTIVA",SUMIFS($N$8:$N$442,$B$8:$B$442,B12,$H$8:$H$442,"Serviço"),IF(H12="ETAPA",SUMIFS($N$8:$N$442,$B$8:$B$442,B12,$C$8:$C$442,C12,$H$8:$H$442,"Serviço"),IF(H12="SUBETAPA",SUMIFS($N$8:$N$442,$B$8:$B$442,B12,$C$8:$C$442,C12,$D$8:$D$442,D12,$H$8:$H$442,"Serviço"),0))))</f>
        <v/>
      </c>
      <c r="O12" s="48">
        <f>_xlfn.XLOOKUP($J12,BASES!$A$12:$A$392,BASES!$F$12:$F$392)</f>
        <v/>
      </c>
      <c r="P12" s="1" t="n"/>
      <c r="Q12" s="1" t="n"/>
    </row>
    <row r="13">
      <c r="A13" s="34">
        <f>IF($H13="UNIDADE CONSTRUTIVA",OFFSET(A13,-1,0)+1,LARGE(A$3:A12,1))</f>
        <v/>
      </c>
      <c r="B13" s="34">
        <f>IF(H13="UNIDADE CONSTRUTIVA",0,IF(H13="CÉLULA CONSTRUTIVA",OFFSET(B13,-1,0)+1,OFFSET(B13,-1,0)))</f>
        <v/>
      </c>
      <c r="C13" s="34">
        <f>IF(H13="CÉLULA CONSTRUTIVA",0,IF(H13="ETAPA",OFFSET(C13,-1,0)+1,OFFSET(C13,-1,0)))</f>
        <v/>
      </c>
      <c r="D13" s="35">
        <f>IF(H13="ETAPA",0,IF(H13="SUBETAPA",OFFSET(D13,-1,0)+1,OFFSET(D13,-1,0)))</f>
        <v/>
      </c>
      <c r="E13" s="35">
        <f>IF(H13="Subetapa",0,IF(H13="serviço",OFFSET(E13,-1,0)+1,OFFSET(E13,-1,0)))</f>
        <v/>
      </c>
      <c r="F13" s="1" t="n"/>
      <c r="G13" s="43" t="n"/>
      <c r="H13" s="44" t="inlineStr">
        <is>
          <t>SERVIÇO</t>
        </is>
      </c>
      <c r="I13" s="45">
        <f>IF(H13="Unidade Construtiva",TEXT(A13,"00"),IF(H13="Célula Construtiva",TEXT(B13,"00"),IF(H13="Etapa",CONCATENATE(TEXT(B13,"00"),".",TEXT(C13,"000")),IF(H13="Subetapa",CONCATENATE(TEXT(B13,"00"),".",TEXT(C13,"000"),".",TEXT(D13,"000")),IF(H13="Serviço",CONCATENATE(TEXT(B13,"00"),".",TEXT(C13,"000"),".",TEXT(D13,"000"),".",TEXT(E13,"000")),"")))))</f>
        <v/>
      </c>
      <c r="J13" s="46" t="inlineStr">
        <is>
          <t>Sondagem do terreno</t>
        </is>
      </c>
      <c r="K13" s="48">
        <f>_xlfn.XLOOKUP($J13,BASES!$A$12:$A$392,BASES!$C$12:$C$392)</f>
        <v/>
      </c>
      <c r="L13" s="48">
        <f>_xlfn.XLOOKUP($J13,BASES!$A$12:$A$392,BASES!$D$12:$D$392)</f>
        <v/>
      </c>
      <c r="M13" s="48">
        <f>_xlfn.XLOOKUP($J13,BASES!$A$1:$A$2289,BASES!$E$1:$E$2289)</f>
        <v/>
      </c>
      <c r="N13" s="49">
        <f>IF(H13="Serviço",M13*L13,IF(H13="CÉLULA CONSTRUTIVA",SUMIFS($N$8:$N$442,$B$8:$B$442,B13,$H$8:$H$442,"Serviço"),IF(H13="ETAPA",SUMIFS($N$8:$N$442,$B$8:$B$442,B13,$C$8:$C$442,C13,$H$8:$H$442,"Serviço"),IF(H13="SUBETAPA",SUMIFS($N$8:$N$442,$B$8:$B$442,B13,$C$8:$C$442,C13,$D$8:$D$442,D13,$H$8:$H$442,"Serviço"),0))))</f>
        <v/>
      </c>
      <c r="O13" s="48">
        <f>_xlfn.XLOOKUP($J13,BASES!$A$12:$A$392,BASES!$F$12:$F$392)</f>
        <v/>
      </c>
      <c r="P13" s="1" t="n"/>
      <c r="Q13" s="1" t="n"/>
    </row>
    <row r="14">
      <c r="A14" s="34">
        <f>IF($H14="UNIDADE CONSTRUTIVA",OFFSET(A14,-1,0)+1,LARGE(A$3:A13,1))</f>
        <v/>
      </c>
      <c r="B14" s="34">
        <f>IF(H14="UNIDADE CONSTRUTIVA",0,IF(H14="CÉLULA CONSTRUTIVA",OFFSET(B14,-1,0)+1,OFFSET(B14,-1,0)))</f>
        <v/>
      </c>
      <c r="C14" s="34">
        <f>IF(H14="CÉLULA CONSTRUTIVA",0,IF(H14="ETAPA",OFFSET(C14,-1,0)+1,OFFSET(C14,-1,0)))</f>
        <v/>
      </c>
      <c r="D14" s="35">
        <f>IF(H14="ETAPA",0,IF(H14="SUBETAPA",OFFSET(D14,-1,0)+1,OFFSET(D14,-1,0)))</f>
        <v/>
      </c>
      <c r="E14" s="35">
        <f>IF(H14="Subetapa",0,IF(H14="serviço",OFFSET(E14,-1,0)+1,OFFSET(E14,-1,0)))</f>
        <v/>
      </c>
      <c r="F14" s="1" t="n"/>
      <c r="G14" s="43" t="n"/>
      <c r="H14" s="44" t="inlineStr">
        <is>
          <t>SUBETAPA</t>
        </is>
      </c>
      <c r="I14" s="45">
        <f>IF(H14="Unidade Construtiva",TEXT(A14,"00"),IF(H14="Célula Construtiva",TEXT(B14,"00"),IF(H14="Etapa",CONCATENATE(TEXT(B14,"00"),".",TEXT(C14,"000")),IF(H14="Subetapa",CONCATENATE(TEXT(B14,"00"),".",TEXT(C14,"000"),".",TEXT(D14,"000")),IF(H14="Serviço",CONCATENATE(TEXT(B14,"00"),".",TEXT(C14,"000"),".",TEXT(D14,"000"),".",TEXT(E14,"000")),"")))))</f>
        <v/>
      </c>
      <c r="J14" s="46" t="inlineStr">
        <is>
          <t>Projetos</t>
        </is>
      </c>
      <c r="K14" s="48" t="n"/>
      <c r="L14" s="48" t="n"/>
      <c r="M14" s="48" t="n"/>
      <c r="N14" s="49">
        <f>IF(H14="Serviço",M14*L14,IF(H14="CÉLULA CONSTRUTIVA",SUMIFS($N$8:$N$442,$B$8:$B$442,B14,$H$8:$H$442,"Serviço"),IF(H14="ETAPA",SUMIFS($N$8:$N$442,$B$8:$B$442,B14,$C$8:$C$442,C14,$H$8:$H$442,"Serviço"),IF(H14="SUBETAPA",SUMIFS($N$8:$N$442,$B$8:$B$442,B14,$C$8:$C$442,C14,$D$8:$D$442,D14,$H$8:$H$442,"Serviço"),0))))</f>
        <v/>
      </c>
      <c r="O14" s="48" t="n"/>
      <c r="P14" s="1" t="n"/>
      <c r="Q14" s="1" t="n"/>
    </row>
    <row r="15">
      <c r="A15" s="34">
        <f>IF($H15="UNIDADE CONSTRUTIVA",OFFSET(A15,-1,0)+1,LARGE(A$3:A14,1))</f>
        <v/>
      </c>
      <c r="B15" s="34">
        <f>IF(H15="UNIDADE CONSTRUTIVA",0,IF(H15="CÉLULA CONSTRUTIVA",OFFSET(B15,-1,0)+1,OFFSET(B15,-1,0)))</f>
        <v/>
      </c>
      <c r="C15" s="34">
        <f>IF(H15="CÉLULA CONSTRUTIVA",0,IF(H15="ETAPA",OFFSET(C15,-1,0)+1,OFFSET(C15,-1,0)))</f>
        <v/>
      </c>
      <c r="D15" s="35">
        <f>IF(H15="ETAPA",0,IF(H15="SUBETAPA",OFFSET(D15,-1,0)+1,OFFSET(D15,-1,0)))</f>
        <v/>
      </c>
      <c r="E15" s="35">
        <f>IF(H15="Subetapa",0,IF(H15="serviço",OFFSET(E15,-1,0)+1,OFFSET(E15,-1,0)))</f>
        <v/>
      </c>
      <c r="F15" s="1" t="n"/>
      <c r="G15" s="43" t="n"/>
      <c r="H15" s="44" t="inlineStr">
        <is>
          <t>SERVIÇO</t>
        </is>
      </c>
      <c r="I15" s="45">
        <f>IF(H15="Unidade Construtiva",TEXT(A15,"00"),IF(H15="Célula Construtiva",TEXT(B15,"00"),IF(H15="Etapa",CONCATENATE(TEXT(B15,"00"),".",TEXT(C15,"000")),IF(H15="Subetapa",CONCATENATE(TEXT(B15,"00"),".",TEXT(C15,"000"),".",TEXT(D15,"000")),IF(H15="Serviço",CONCATENATE(TEXT(B15,"00"),".",TEXT(C15,"000"),".",TEXT(D15,"000"),".",TEXT(E15,"000")),"")))))</f>
        <v/>
      </c>
      <c r="J15" s="46" t="inlineStr">
        <is>
          <t>Legalização de incorporação</t>
        </is>
      </c>
      <c r="K15" s="48">
        <f>_xlfn.XLOOKUP($J15,BASES!$A$12:$A$392,BASES!$C$12:$C$392)</f>
        <v/>
      </c>
      <c r="L15" s="48">
        <f>_xlfn.XLOOKUP($J15,BASES!$A$12:$A$392,BASES!$D$12:$D$392)</f>
        <v/>
      </c>
      <c r="M15" s="48">
        <f>_xlfn.XLOOKUP($J15,BASES!$A$1:$A$2289,BASES!$E$1:$E$2289)</f>
        <v/>
      </c>
      <c r="N15" s="49">
        <f>IF(H15="Serviço",M15*L15,IF(H15="CÉLULA CONSTRUTIVA",SUMIFS($N$8:$N$442,$B$8:$B$442,B15,$H$8:$H$442,"Serviço"),IF(H15="ETAPA",SUMIFS($N$8:$N$442,$B$8:$B$442,B15,$C$8:$C$442,C15,$H$8:$H$442,"Serviço"),IF(H15="SUBETAPA",SUMIFS($N$8:$N$442,$B$8:$B$442,B15,$C$8:$C$442,C15,$D$8:$D$442,D15,$H$8:$H$442,"Serviço"),0))))</f>
        <v/>
      </c>
      <c r="O15" s="48">
        <f>_xlfn.XLOOKUP($J15,BASES!$A$12:$A$392,BASES!$F$12:$F$392)</f>
        <v/>
      </c>
      <c r="P15" s="1" t="n"/>
      <c r="Q15" s="1" t="n"/>
    </row>
    <row r="16">
      <c r="A16" s="34">
        <f>IF($H16="UNIDADE CONSTRUTIVA",OFFSET(A16,-1,0)+1,LARGE(A$3:A15,1))</f>
        <v/>
      </c>
      <c r="B16" s="34">
        <f>IF(H16="UNIDADE CONSTRUTIVA",0,IF(H16="CÉLULA CONSTRUTIVA",OFFSET(B16,-1,0)+1,OFFSET(B16,-1,0)))</f>
        <v/>
      </c>
      <c r="C16" s="34">
        <f>IF(H16="CÉLULA CONSTRUTIVA",0,IF(H16="ETAPA",OFFSET(C16,-1,0)+1,OFFSET(C16,-1,0)))</f>
        <v/>
      </c>
      <c r="D16" s="35">
        <f>IF(H16="ETAPA",0,IF(H16="SUBETAPA",OFFSET(D16,-1,0)+1,OFFSET(D16,-1,0)))</f>
        <v/>
      </c>
      <c r="E16" s="35">
        <f>IF(H16="Subetapa",0,IF(H16="serviço",OFFSET(E16,-1,0)+1,OFFSET(E16,-1,0)))</f>
        <v/>
      </c>
      <c r="F16" s="1" t="n"/>
      <c r="G16" s="43" t="n"/>
      <c r="H16" s="44" t="inlineStr">
        <is>
          <t>SERVIÇO</t>
        </is>
      </c>
      <c r="I16" s="45">
        <f>IF(H16="Unidade Construtiva",TEXT(A16,"00"),IF(H16="Célula Construtiva",TEXT(B16,"00"),IF(H16="Etapa",CONCATENATE(TEXT(B16,"00"),".",TEXT(C16,"000")),IF(H16="Subetapa",CONCATENATE(TEXT(B16,"00"),".",TEXT(C16,"000"),".",TEXT(D16,"000")),IF(H16="Serviço",CONCATENATE(TEXT(B16,"00"),".",TEXT(C16,"000"),".",TEXT(D16,"000"),".",TEXT(E16,"000")),"")))))</f>
        <v/>
      </c>
      <c r="J16" s="46" t="inlineStr">
        <is>
          <t>Projeto Arquitetônico Legal</t>
        </is>
      </c>
      <c r="K16" s="48">
        <f>_xlfn.XLOOKUP($J16,BASES!$A$12:$A$392,BASES!$C$12:$C$392)</f>
        <v/>
      </c>
      <c r="L16" s="48">
        <f>_xlfn.XLOOKUP($J16,BASES!$A$12:$A$392,BASES!$D$12:$D$392)</f>
        <v/>
      </c>
      <c r="M16" s="48">
        <f>_xlfn.XLOOKUP($J16,BASES!$A$1:$A$2289,BASES!$E$1:$E$2289)</f>
        <v/>
      </c>
      <c r="N16" s="49">
        <f>IF(H16="Serviço",M16*L16,IF(H16="CÉLULA CONSTRUTIVA",SUMIFS($N$8:$N$442,$B$8:$B$442,B16,$H$8:$H$442,"Serviço"),IF(H16="ETAPA",SUMIFS($N$8:$N$442,$B$8:$B$442,B16,$C$8:$C$442,C16,$H$8:$H$442,"Serviço"),IF(H16="SUBETAPA",SUMIFS($N$8:$N$442,$B$8:$B$442,B16,$C$8:$C$442,C16,$D$8:$D$442,D16,$H$8:$H$442,"Serviço"),0))))</f>
        <v/>
      </c>
      <c r="O16" s="48">
        <f>_xlfn.XLOOKUP($J16,BASES!$A$12:$A$392,BASES!$F$12:$F$392)</f>
        <v/>
      </c>
      <c r="P16" s="1" t="n"/>
      <c r="Q16" s="1" t="n"/>
    </row>
    <row r="17">
      <c r="A17" s="34">
        <f>IF($H17="UNIDADE CONSTRUTIVA",OFFSET(A17,-1,0)+1,LARGE(A$3:A16,1))</f>
        <v/>
      </c>
      <c r="B17" s="34">
        <f>IF(H17="UNIDADE CONSTRUTIVA",0,IF(H17="CÉLULA CONSTRUTIVA",OFFSET(B17,-1,0)+1,OFFSET(B17,-1,0)))</f>
        <v/>
      </c>
      <c r="C17" s="34">
        <f>IF(H17="CÉLULA CONSTRUTIVA",0,IF(H17="ETAPA",OFFSET(C17,-1,0)+1,OFFSET(C17,-1,0)))</f>
        <v/>
      </c>
      <c r="D17" s="35">
        <f>IF(H17="ETAPA",0,IF(H17="SUBETAPA",OFFSET(D17,-1,0)+1,OFFSET(D17,-1,0)))</f>
        <v/>
      </c>
      <c r="E17" s="35">
        <f>IF(H17="Subetapa",0,IF(H17="serviço",OFFSET(E17,-1,0)+1,OFFSET(E17,-1,0)))</f>
        <v/>
      </c>
      <c r="F17" s="1" t="n"/>
      <c r="G17" s="43" t="n"/>
      <c r="H17" s="44" t="inlineStr">
        <is>
          <t>SERVIÇO</t>
        </is>
      </c>
      <c r="I17" s="45">
        <f>IF(H17="Unidade Construtiva",TEXT(A17,"00"),IF(H17="Célula Construtiva",TEXT(B17,"00"),IF(H17="Etapa",CONCATENATE(TEXT(B17,"00"),".",TEXT(C17,"000")),IF(H17="Subetapa",CONCATENATE(TEXT(B17,"00"),".",TEXT(C17,"000"),".",TEXT(D17,"000")),IF(H17="Serviço",CONCATENATE(TEXT(B17,"00"),".",TEXT(C17,"000"),".",TEXT(D17,"000"),".",TEXT(E17,"000")),"")))))</f>
        <v/>
      </c>
      <c r="J17" s="46" t="inlineStr">
        <is>
          <t>Projeto Arquitetônico Executivo</t>
        </is>
      </c>
      <c r="K17" s="48">
        <f>_xlfn.XLOOKUP($J17,BASES!$A$12:$A$392,BASES!$C$12:$C$392)</f>
        <v/>
      </c>
      <c r="L17" s="48">
        <f>_xlfn.XLOOKUP($J17,BASES!$A$12:$A$392,BASES!$D$12:$D$392)</f>
        <v/>
      </c>
      <c r="M17" s="48">
        <f>_xlfn.XLOOKUP($J17,BASES!$A$1:$A$2289,BASES!$E$1:$E$2289)</f>
        <v/>
      </c>
      <c r="N17" s="49">
        <f>IF(H17="Serviço",M17*L17,IF(H17="CÉLULA CONSTRUTIVA",SUMIFS($N$8:$N$442,$B$8:$B$442,B17,$H$8:$H$442,"Serviço"),IF(H17="ETAPA",SUMIFS($N$8:$N$442,$B$8:$B$442,B17,$C$8:$C$442,C17,$H$8:$H$442,"Serviço"),IF(H17="SUBETAPA",SUMIFS($N$8:$N$442,$B$8:$B$442,B17,$C$8:$C$442,C17,$D$8:$D$442,D17,$H$8:$H$442,"Serviço"),0))))</f>
        <v/>
      </c>
      <c r="O17" s="48">
        <f>_xlfn.XLOOKUP($J17,BASES!$A$12:$A$392,BASES!$F$12:$F$392)</f>
        <v/>
      </c>
      <c r="P17" s="1" t="n"/>
      <c r="Q17" s="1" t="n"/>
    </row>
    <row r="18">
      <c r="A18" s="34">
        <f>IF($H18="UNIDADE CONSTRUTIVA",OFFSET(A18,-1,0)+1,LARGE(A$3:A17,1))</f>
        <v/>
      </c>
      <c r="B18" s="34">
        <f>IF(H18="UNIDADE CONSTRUTIVA",0,IF(H18="CÉLULA CONSTRUTIVA",OFFSET(B18,-1,0)+1,OFFSET(B18,-1,0)))</f>
        <v/>
      </c>
      <c r="C18" s="34">
        <f>IF(H18="CÉLULA CONSTRUTIVA",0,IF(H18="ETAPA",OFFSET(C18,-1,0)+1,OFFSET(C18,-1,0)))</f>
        <v/>
      </c>
      <c r="D18" s="35">
        <f>IF(H18="ETAPA",0,IF(H18="SUBETAPA",OFFSET(D18,-1,0)+1,OFFSET(D18,-1,0)))</f>
        <v/>
      </c>
      <c r="E18" s="35">
        <f>IF(H18="Subetapa",0,IF(H18="serviço",OFFSET(E18,-1,0)+1,OFFSET(E18,-1,0)))</f>
        <v/>
      </c>
      <c r="F18" s="1" t="n"/>
      <c r="G18" s="43" t="n"/>
      <c r="H18" s="44" t="inlineStr">
        <is>
          <t>SERVIÇO</t>
        </is>
      </c>
      <c r="I18" s="45">
        <f>IF(H18="Unidade Construtiva",TEXT(A18,"00"),IF(H18="Célula Construtiva",TEXT(B18,"00"),IF(H18="Etapa",CONCATENATE(TEXT(B18,"00"),".",TEXT(C18,"000")),IF(H18="Subetapa",CONCATENATE(TEXT(B18,"00"),".",TEXT(C18,"000"),".",TEXT(D18,"000")),IF(H18="Serviço",CONCATENATE(TEXT(B18,"00"),".",TEXT(C18,"000"),".",TEXT(D18,"000"),".",TEXT(E18,"000")),"")))))</f>
        <v/>
      </c>
      <c r="J18" s="46" t="inlineStr">
        <is>
          <t>Projeto arquitetônico de fachada</t>
        </is>
      </c>
      <c r="K18" s="48">
        <f>_xlfn.XLOOKUP($J18,BASES!$A$12:$A$392,BASES!$C$12:$C$392)</f>
        <v/>
      </c>
      <c r="L18" s="48">
        <f>_xlfn.XLOOKUP($J18,BASES!$A$12:$A$392,BASES!$D$12:$D$392)</f>
        <v/>
      </c>
      <c r="M18" s="48">
        <f>_xlfn.XLOOKUP($J18,BASES!$A$1:$A$2289,BASES!$E$1:$E$2289)</f>
        <v/>
      </c>
      <c r="N18" s="49">
        <f>IF(H18="Serviço",M18*L18,IF(H18="CÉLULA CONSTRUTIVA",SUMIFS($N$8:$N$442,$B$8:$B$442,B18,$H$8:$H$442,"Serviço"),IF(H18="ETAPA",SUMIFS($N$8:$N$442,$B$8:$B$442,B18,$C$8:$C$442,C18,$H$8:$H$442,"Serviço"),IF(H18="SUBETAPA",SUMIFS($N$8:$N$442,$B$8:$B$442,B18,$C$8:$C$442,C18,$D$8:$D$442,D18,$H$8:$H$442,"Serviço"),0))))</f>
        <v/>
      </c>
      <c r="O18" s="48">
        <f>_xlfn.XLOOKUP($J18,BASES!$A$12:$A$392,BASES!$F$12:$F$392)</f>
        <v/>
      </c>
      <c r="P18" s="1" t="n"/>
      <c r="Q18" s="1" t="n"/>
    </row>
    <row r="19">
      <c r="A19" s="34">
        <f>IF($H19="UNIDADE CONSTRUTIVA",OFFSET(A19,-1,0)+1,LARGE(A$3:A18,1))</f>
        <v/>
      </c>
      <c r="B19" s="34">
        <f>IF(H19="UNIDADE CONSTRUTIVA",0,IF(H19="CÉLULA CONSTRUTIVA",OFFSET(B19,-1,0)+1,OFFSET(B19,-1,0)))</f>
        <v/>
      </c>
      <c r="C19" s="34">
        <f>IF(H19="CÉLULA CONSTRUTIVA",0,IF(H19="ETAPA",OFFSET(C19,-1,0)+1,OFFSET(C19,-1,0)))</f>
        <v/>
      </c>
      <c r="D19" s="35">
        <f>IF(H19="ETAPA",0,IF(H19="SUBETAPA",OFFSET(D19,-1,0)+1,OFFSET(D19,-1,0)))</f>
        <v/>
      </c>
      <c r="E19" s="35">
        <f>IF(H19="Subetapa",0,IF(H19="serviço",OFFSET(E19,-1,0)+1,OFFSET(E19,-1,0)))</f>
        <v/>
      </c>
      <c r="F19" s="1" t="n"/>
      <c r="G19" s="43" t="n"/>
      <c r="H19" s="44" t="inlineStr">
        <is>
          <t>SERVIÇO</t>
        </is>
      </c>
      <c r="I19" s="45">
        <f>IF(H19="Unidade Construtiva",TEXT(A19,"00"),IF(H19="Célula Construtiva",TEXT(B19,"00"),IF(H19="Etapa",CONCATENATE(TEXT(B19,"00"),".",TEXT(C19,"000")),IF(H19="Subetapa",CONCATENATE(TEXT(B19,"00"),".",TEXT(C19,"000"),".",TEXT(D19,"000")),IF(H19="Serviço",CONCATENATE(TEXT(B19,"00"),".",TEXT(C19,"000"),".",TEXT(D19,"000"),".",TEXT(E19,"000")),"")))))</f>
        <v/>
      </c>
      <c r="J19" s="46" t="inlineStr">
        <is>
          <t>Projeto estrutural</t>
        </is>
      </c>
      <c r="K19" s="48">
        <f>_xlfn.XLOOKUP($J19,BASES!$A$12:$A$392,BASES!$C$12:$C$392)</f>
        <v/>
      </c>
      <c r="L19" s="48">
        <f>_xlfn.XLOOKUP($J19,BASES!$A$12:$A$392,BASES!$D$12:$D$392)</f>
        <v/>
      </c>
      <c r="M19" s="48">
        <f>_xlfn.XLOOKUP($J19,BASES!$A$1:$A$2289,BASES!$E$1:$E$2289)</f>
        <v/>
      </c>
      <c r="N19" s="49">
        <f>IF(H19="Serviço",M19*L19,IF(H19="CÉLULA CONSTRUTIVA",SUMIFS($N$8:$N$442,$B$8:$B$442,B19,$H$8:$H$442,"Serviço"),IF(H19="ETAPA",SUMIFS($N$8:$N$442,$B$8:$B$442,B19,$C$8:$C$442,C19,$H$8:$H$442,"Serviço"),IF(H19="SUBETAPA",SUMIFS($N$8:$N$442,$B$8:$B$442,B19,$C$8:$C$442,C19,$D$8:$D$442,D19,$H$8:$H$442,"Serviço"),0))))</f>
        <v/>
      </c>
      <c r="O19" s="48">
        <f>_xlfn.XLOOKUP($J19,BASES!$A$12:$A$392,BASES!$F$12:$F$392)</f>
        <v/>
      </c>
      <c r="P19" s="1" t="n"/>
      <c r="Q19" s="1" t="n"/>
    </row>
    <row r="20">
      <c r="A20" s="34">
        <f>IF($H20="UNIDADE CONSTRUTIVA",OFFSET(A20,-1,0)+1,LARGE(A$3:A19,1))</f>
        <v/>
      </c>
      <c r="B20" s="34">
        <f>IF(H20="UNIDADE CONSTRUTIVA",0,IF(H20="CÉLULA CONSTRUTIVA",OFFSET(B20,-1,0)+1,OFFSET(B20,-1,0)))</f>
        <v/>
      </c>
      <c r="C20" s="34">
        <f>IF(H20="CÉLULA CONSTRUTIVA",0,IF(H20="ETAPA",OFFSET(C20,-1,0)+1,OFFSET(C20,-1,0)))</f>
        <v/>
      </c>
      <c r="D20" s="35">
        <f>IF(H20="ETAPA",0,IF(H20="SUBETAPA",OFFSET(D20,-1,0)+1,OFFSET(D20,-1,0)))</f>
        <v/>
      </c>
      <c r="E20" s="35">
        <f>IF(H20="Subetapa",0,IF(H20="serviço",OFFSET(E20,-1,0)+1,OFFSET(E20,-1,0)))</f>
        <v/>
      </c>
      <c r="F20" s="1" t="n"/>
      <c r="G20" s="43" t="n"/>
      <c r="H20" s="44" t="inlineStr">
        <is>
          <t>SERVIÇO</t>
        </is>
      </c>
      <c r="I20" s="45">
        <f>IF(H20="Unidade Construtiva",TEXT(A20,"00"),IF(H20="Célula Construtiva",TEXT(B20,"00"),IF(H20="Etapa",CONCATENATE(TEXT(B20,"00"),".",TEXT(C20,"000")),IF(H20="Subetapa",CONCATENATE(TEXT(B20,"00"),".",TEXT(C20,"000"),".",TEXT(D20,"000")),IF(H20="Serviço",CONCATENATE(TEXT(B20,"00"),".",TEXT(C20,"000"),".",TEXT(D20,"000"),".",TEXT(E20,"000")),"")))))</f>
        <v/>
      </c>
      <c r="J20" s="46" t="inlineStr">
        <is>
          <t>Projeto elétrico/comunicação/telefonia/luminotécnico</t>
        </is>
      </c>
      <c r="K20" s="48">
        <f>_xlfn.XLOOKUP($J20,BASES!$A$12:$A$392,BASES!$C$12:$C$392)</f>
        <v/>
      </c>
      <c r="L20" s="48">
        <f>_xlfn.XLOOKUP($J20,BASES!$A$12:$A$392,BASES!$D$12:$D$392)</f>
        <v/>
      </c>
      <c r="M20" s="48">
        <f>_xlfn.XLOOKUP($J20,BASES!$A$1:$A$2289,BASES!$E$1:$E$2289)</f>
        <v/>
      </c>
      <c r="N20" s="49">
        <f>IF(H20="Serviço",M20*L20,IF(H20="CÉLULA CONSTRUTIVA",SUMIFS($N$8:$N$442,$B$8:$B$442,B20,$H$8:$H$442,"Serviço"),IF(H20="ETAPA",SUMIFS($N$8:$N$442,$B$8:$B$442,B20,$C$8:$C$442,C20,$H$8:$H$442,"Serviço"),IF(H20="SUBETAPA",SUMIFS($N$8:$N$442,$B$8:$B$442,B20,$C$8:$C$442,C20,$D$8:$D$442,D20,$H$8:$H$442,"Serviço"),0))))</f>
        <v/>
      </c>
      <c r="O20" s="48">
        <f>_xlfn.XLOOKUP($J20,BASES!$A$12:$A$392,BASES!$F$12:$F$392)</f>
        <v/>
      </c>
      <c r="P20" s="1" t="n"/>
      <c r="Q20" s="1" t="n"/>
    </row>
    <row r="21">
      <c r="A21" s="34">
        <f>IF($H21="UNIDADE CONSTRUTIVA",OFFSET(A21,-1,0)+1,LARGE(A$3:A20,1))</f>
        <v/>
      </c>
      <c r="B21" s="34">
        <f>IF(H21="UNIDADE CONSTRUTIVA",0,IF(H21="CÉLULA CONSTRUTIVA",OFFSET(B21,-1,0)+1,OFFSET(B21,-1,0)))</f>
        <v/>
      </c>
      <c r="C21" s="34">
        <f>IF(H21="CÉLULA CONSTRUTIVA",0,IF(H21="ETAPA",OFFSET(C21,-1,0)+1,OFFSET(C21,-1,0)))</f>
        <v/>
      </c>
      <c r="D21" s="35">
        <f>IF(H21="ETAPA",0,IF(H21="SUBETAPA",OFFSET(D21,-1,0)+1,OFFSET(D21,-1,0)))</f>
        <v/>
      </c>
      <c r="E21" s="35">
        <f>IF(H21="Subetapa",0,IF(H21="serviço",OFFSET(E21,-1,0)+1,OFFSET(E21,-1,0)))</f>
        <v/>
      </c>
      <c r="F21" s="1" t="n"/>
      <c r="G21" s="43" t="n"/>
      <c r="H21" s="44" t="inlineStr">
        <is>
          <t>SERVIÇO</t>
        </is>
      </c>
      <c r="I21" s="45">
        <f>IF(H21="Unidade Construtiva",TEXT(A21,"00"),IF(H21="Célula Construtiva",TEXT(B21,"00"),IF(H21="Etapa",CONCATENATE(TEXT(B21,"00"),".",TEXT(C21,"000")),IF(H21="Subetapa",CONCATENATE(TEXT(B21,"00"),".",TEXT(C21,"000"),".",TEXT(D21,"000")),IF(H21="Serviço",CONCATENATE(TEXT(B21,"00"),".",TEXT(C21,"000"),".",TEXT(D21,"000"),".",TEXT(E21,"000")),"")))))</f>
        <v/>
      </c>
      <c r="J21" s="46" t="inlineStr">
        <is>
          <t>Projeto de Paisagismo</t>
        </is>
      </c>
      <c r="K21" s="48">
        <f>_xlfn.XLOOKUP($J21,BASES!$A$12:$A$392,BASES!$C$12:$C$392)</f>
        <v/>
      </c>
      <c r="L21" s="48">
        <f>_xlfn.XLOOKUP($J21,BASES!$A$12:$A$392,BASES!$D$12:$D$392)</f>
        <v/>
      </c>
      <c r="M21" s="48">
        <f>_xlfn.XLOOKUP($J21,BASES!$A$1:$A$2289,BASES!$E$1:$E$2289)</f>
        <v/>
      </c>
      <c r="N21" s="49">
        <f>IF(H21="Serviço",M21*L21,IF(H21="CÉLULA CONSTRUTIVA",SUMIFS($N$8:$N$442,$B$8:$B$442,B21,$H$8:$H$442,"Serviço"),IF(H21="ETAPA",SUMIFS($N$8:$N$442,$B$8:$B$442,B21,$C$8:$C$442,C21,$H$8:$H$442,"Serviço"),IF(H21="SUBETAPA",SUMIFS($N$8:$N$442,$B$8:$B$442,B21,$C$8:$C$442,C21,$D$8:$D$442,D21,$H$8:$H$442,"Serviço"),0))))</f>
        <v/>
      </c>
      <c r="O21" s="48">
        <f>_xlfn.XLOOKUP($J21,BASES!$A$12:$A$392,BASES!$F$12:$F$392)</f>
        <v/>
      </c>
      <c r="P21" s="1" t="n"/>
      <c r="Q21" s="1" t="n"/>
    </row>
    <row r="22">
      <c r="A22" s="34">
        <f>IF($H22="UNIDADE CONSTRUTIVA",OFFSET(A22,-1,0)+1,LARGE(A$3:A21,1))</f>
        <v/>
      </c>
      <c r="B22" s="34">
        <f>IF(H22="UNIDADE CONSTRUTIVA",0,IF(H22="CÉLULA CONSTRUTIVA",OFFSET(B22,-1,0)+1,OFFSET(B22,-1,0)))</f>
        <v/>
      </c>
      <c r="C22" s="34">
        <f>IF(H22="CÉLULA CONSTRUTIVA",0,IF(H22="ETAPA",OFFSET(C22,-1,0)+1,OFFSET(C22,-1,0)))</f>
        <v/>
      </c>
      <c r="D22" s="35">
        <f>IF(H22="ETAPA",0,IF(H22="SUBETAPA",OFFSET(D22,-1,0)+1,OFFSET(D22,-1,0)))</f>
        <v/>
      </c>
      <c r="E22" s="35">
        <f>IF(H22="Subetapa",0,IF(H22="serviço",OFFSET(E22,-1,0)+1,OFFSET(E22,-1,0)))</f>
        <v/>
      </c>
      <c r="F22" s="1" t="n"/>
      <c r="G22" s="43" t="n"/>
      <c r="H22" s="44" t="inlineStr">
        <is>
          <t>SUBETAPA</t>
        </is>
      </c>
      <c r="I22" s="45">
        <f>IF(H22="Unidade Construtiva",TEXT(A22,"00"),IF(H22="Célula Construtiva",TEXT(B22,"00"),IF(H22="Etapa",CONCATENATE(TEXT(B22,"00"),".",TEXT(C22,"000")),IF(H22="Subetapa",CONCATENATE(TEXT(B22,"00"),".",TEXT(C22,"000"),".",TEXT(D22,"000")),IF(H22="Serviço",CONCATENATE(TEXT(B22,"00"),".",TEXT(C22,"000"),".",TEXT(D22,"000"),".",TEXT(E22,"000")),"")))))</f>
        <v/>
      </c>
      <c r="J22" s="46" t="inlineStr">
        <is>
          <t>Consultorias</t>
        </is>
      </c>
      <c r="K22" s="48" t="n"/>
      <c r="L22" s="48" t="n"/>
      <c r="M22" s="48" t="n"/>
      <c r="N22" s="49">
        <f>IF(H22="Serviço",M22*L22,IF(H22="CÉLULA CONSTRUTIVA",SUMIFS($N$8:$N$442,$B$8:$B$442,B22,$H$8:$H$442,"Serviço"),IF(H22="ETAPA",SUMIFS($N$8:$N$442,$B$8:$B$442,B22,$C$8:$C$442,C22,$H$8:$H$442,"Serviço"),IF(H22="SUBETAPA",SUMIFS($N$8:$N$442,$B$8:$B$442,B22,$C$8:$C$442,C22,$D$8:$D$442,D22,$H$8:$H$442,"Serviço"),0))))</f>
        <v/>
      </c>
      <c r="O22" s="48" t="n"/>
      <c r="P22" s="1" t="n"/>
      <c r="Q22" s="1" t="n"/>
    </row>
    <row r="23">
      <c r="A23" s="34">
        <f>IF($H23="UNIDADE CONSTRUTIVA",OFFSET(A23,-1,0)+1,LARGE(A$3:A22,1))</f>
        <v/>
      </c>
      <c r="B23" s="34">
        <f>IF(H23="UNIDADE CONSTRUTIVA",0,IF(H23="CÉLULA CONSTRUTIVA",OFFSET(B23,-1,0)+1,OFFSET(B23,-1,0)))</f>
        <v/>
      </c>
      <c r="C23" s="34">
        <f>IF(H23="CÉLULA CONSTRUTIVA",0,IF(H23="ETAPA",OFFSET(C23,-1,0)+1,OFFSET(C23,-1,0)))</f>
        <v/>
      </c>
      <c r="D23" s="35">
        <f>IF(H23="ETAPA",0,IF(H23="SUBETAPA",OFFSET(D23,-1,0)+1,OFFSET(D23,-1,0)))</f>
        <v/>
      </c>
      <c r="E23" s="35">
        <f>IF(H23="Subetapa",0,IF(H23="serviço",OFFSET(E23,-1,0)+1,OFFSET(E23,-1,0)))</f>
        <v/>
      </c>
      <c r="F23" s="1" t="n"/>
      <c r="G23" s="43" t="n"/>
      <c r="H23" s="44" t="inlineStr">
        <is>
          <t>SERVIÇO</t>
        </is>
      </c>
      <c r="I23" s="45">
        <f>IF(H23="Unidade Construtiva",TEXT(A23,"00"),IF(H23="Célula Construtiva",TEXT(B23,"00"),IF(H23="Etapa",CONCATENATE(TEXT(B23,"00"),".",TEXT(C23,"000")),IF(H23="Subetapa",CONCATENATE(TEXT(B23,"00"),".",TEXT(C23,"000"),".",TEXT(D23,"000")),IF(H23="Serviço",CONCATENATE(TEXT(B23,"00"),".",TEXT(C23,"000"),".",TEXT(D23,"000"),".",TEXT(E23,"000")),"")))))</f>
        <v/>
      </c>
      <c r="J23" s="46" t="inlineStr">
        <is>
          <t>Consultorias Técnicas de esquadrias</t>
        </is>
      </c>
      <c r="K23" s="48">
        <f>_xlfn.XLOOKUP($J23,BASES!$A$12:$A$392,BASES!$C$12:$C$392)</f>
        <v/>
      </c>
      <c r="L23" s="48">
        <f>_xlfn.XLOOKUP($J23,BASES!$A$12:$A$392,BASES!$D$12:$D$392)</f>
        <v/>
      </c>
      <c r="M23" s="48">
        <f>_xlfn.XLOOKUP($J23,BASES!$A$1:$A$2289,BASES!$E$1:$E$2289)</f>
        <v/>
      </c>
      <c r="N23" s="49">
        <f>IF(H23="Serviço",M23*L23,IF(H23="CÉLULA CONSTRUTIVA",SUMIFS($N$8:$N$442,$B$8:$B$442,B23,$H$8:$H$442,"Serviço"),IF(H23="ETAPA",SUMIFS($N$8:$N$442,$B$8:$B$442,B23,$C$8:$C$442,C23,$H$8:$H$442,"Serviço"),IF(H23="SUBETAPA",SUMIFS($N$8:$N$442,$B$8:$B$442,B23,$C$8:$C$442,C23,$D$8:$D$442,D23,$H$8:$H$442,"Serviço"),0))))</f>
        <v/>
      </c>
      <c r="O23" s="48">
        <f>_xlfn.XLOOKUP($J23,BASES!$A$12:$A$392,BASES!$F$12:$F$392)</f>
        <v/>
      </c>
      <c r="P23" s="1" t="n"/>
      <c r="Q23" s="1" t="n"/>
    </row>
    <row r="24">
      <c r="A24" s="34">
        <f>IF($H24="UNIDADE CONSTRUTIVA",OFFSET(A24,-1,0)+1,LARGE(A$3:A23,1))</f>
        <v/>
      </c>
      <c r="B24" s="34">
        <f>IF(H24="UNIDADE CONSTRUTIVA",0,IF(H24="CÉLULA CONSTRUTIVA",OFFSET(B24,-1,0)+1,OFFSET(B24,-1,0)))</f>
        <v/>
      </c>
      <c r="C24" s="34">
        <f>IF(H24="CÉLULA CONSTRUTIVA",0,IF(H24="ETAPA",OFFSET(C24,-1,0)+1,OFFSET(C24,-1,0)))</f>
        <v/>
      </c>
      <c r="D24" s="35">
        <f>IF(H24="ETAPA",0,IF(H24="SUBETAPA",OFFSET(D24,-1,0)+1,OFFSET(D24,-1,0)))</f>
        <v/>
      </c>
      <c r="E24" s="35">
        <f>IF(H24="Subetapa",0,IF(H24="serviço",OFFSET(E24,-1,0)+1,OFFSET(E24,-1,0)))</f>
        <v/>
      </c>
      <c r="F24" s="1" t="n"/>
      <c r="G24" s="43" t="n"/>
      <c r="H24" s="44" t="inlineStr">
        <is>
          <t>SERVIÇO</t>
        </is>
      </c>
      <c r="I24" s="45">
        <f>IF(H24="Unidade Construtiva",TEXT(A24,"00"),IF(H24="Célula Construtiva",TEXT(B24,"00"),IF(H24="Etapa",CONCATENATE(TEXT(B24,"00"),".",TEXT(C24,"000")),IF(H24="Subetapa",CONCATENATE(TEXT(B24,"00"),".",TEXT(C24,"000"),".",TEXT(D24,"000")),IF(H24="Serviço",CONCATENATE(TEXT(B24,"00"),".",TEXT(C24,"000"),".",TEXT(D24,"000"),".",TEXT(E24,"000")),"")))))</f>
        <v/>
      </c>
      <c r="J24" s="46" t="inlineStr">
        <is>
          <t>Consultoria técnica de legalização</t>
        </is>
      </c>
      <c r="K24" s="48">
        <f>_xlfn.XLOOKUP($J24,BASES!$A$12:$A$392,BASES!$C$12:$C$392)</f>
        <v/>
      </c>
      <c r="L24" s="48">
        <f>_xlfn.XLOOKUP($J24,BASES!$A$12:$A$392,BASES!$D$12:$D$392)</f>
        <v/>
      </c>
      <c r="M24" s="48">
        <f>_xlfn.XLOOKUP($J24,BASES!$A$1:$A$2289,BASES!$E$1:$E$2289)</f>
        <v/>
      </c>
      <c r="N24" s="49">
        <f>IF(H24="Serviço",M24*L24,IF(H24="CÉLULA CONSTRUTIVA",SUMIFS($N$8:$N$442,$B$8:$B$442,B24,$H$8:$H$442,"Serviço"),IF(H24="ETAPA",SUMIFS($N$8:$N$442,$B$8:$B$442,B24,$C$8:$C$442,C24,$H$8:$H$442,"Serviço"),IF(H24="SUBETAPA",SUMIFS($N$8:$N$442,$B$8:$B$442,B24,$C$8:$C$442,C24,$D$8:$D$442,D24,$H$8:$H$442,"Serviço"),0))))</f>
        <v/>
      </c>
      <c r="O24" s="48">
        <f>_xlfn.XLOOKUP($J24,BASES!$A$12:$A$392,BASES!$F$12:$F$392)</f>
        <v/>
      </c>
      <c r="P24" s="1" t="n"/>
      <c r="Q24" s="1" t="n"/>
    </row>
    <row r="25">
      <c r="A25" s="34">
        <f>IF($H25="UNIDADE CONSTRUTIVA",OFFSET(A25,-1,0)+1,LARGE(A$3:A24,1))</f>
        <v/>
      </c>
      <c r="B25" s="34">
        <f>IF(H25="UNIDADE CONSTRUTIVA",0,IF(H25="CÉLULA CONSTRUTIVA",OFFSET(B25,-1,0)+1,OFFSET(B25,-1,0)))</f>
        <v/>
      </c>
      <c r="C25" s="34">
        <f>IF(H25="CÉLULA CONSTRUTIVA",0,IF(H25="ETAPA",OFFSET(C25,-1,0)+1,OFFSET(C25,-1,0)))</f>
        <v/>
      </c>
      <c r="D25" s="35">
        <f>IF(H25="ETAPA",0,IF(H25="SUBETAPA",OFFSET(D25,-1,0)+1,OFFSET(D25,-1,0)))</f>
        <v/>
      </c>
      <c r="E25" s="35">
        <f>IF(H25="Subetapa",0,IF(H25="serviço",OFFSET(E25,-1,0)+1,OFFSET(E25,-1,0)))</f>
        <v/>
      </c>
      <c r="F25" s="1" t="n"/>
      <c r="G25" s="43" t="n"/>
      <c r="H25" s="44" t="inlineStr">
        <is>
          <t>SERVIÇO</t>
        </is>
      </c>
      <c r="I25" s="45">
        <f>IF(H25="Unidade Construtiva",TEXT(A25,"00"),IF(H25="Célula Construtiva",TEXT(B25,"00"),IF(H25="Etapa",CONCATENATE(TEXT(B25,"00"),".",TEXT(C25,"000")),IF(H25="Subetapa",CONCATENATE(TEXT(B25,"00"),".",TEXT(C25,"000"),".",TEXT(D25,"000")),IF(H25="Serviço",CONCATENATE(TEXT(B25,"00"),".",TEXT(C25,"000"),".",TEXT(D25,"000"),".",TEXT(E25,"000")),"")))))</f>
        <v/>
      </c>
      <c r="J25" s="46" t="inlineStr">
        <is>
          <t>Orçamento e planejamento</t>
        </is>
      </c>
      <c r="K25" s="48">
        <f>_xlfn.XLOOKUP($J25,BASES!$A$12:$A$392,BASES!$C$12:$C$392)</f>
        <v/>
      </c>
      <c r="L25" s="48">
        <f>_xlfn.XLOOKUP($J25,BASES!$A$12:$A$392,BASES!$D$12:$D$392)</f>
        <v/>
      </c>
      <c r="M25" s="48">
        <f>_xlfn.XLOOKUP($J25,BASES!$A$1:$A$2289,BASES!$E$1:$E$2289)</f>
        <v/>
      </c>
      <c r="N25" s="49">
        <f>IF(H25="Serviço",M25*L25,IF(H25="CÉLULA CONSTRUTIVA",SUMIFS($N$8:$N$442,$B$8:$B$442,B25,$H$8:$H$442,"Serviço"),IF(H25="ETAPA",SUMIFS($N$8:$N$442,$B$8:$B$442,B25,$C$8:$C$442,C25,$H$8:$H$442,"Serviço"),IF(H25="SUBETAPA",SUMIFS($N$8:$N$442,$B$8:$B$442,B25,$C$8:$C$442,C25,$D$8:$D$442,D25,$H$8:$H$442,"Serviço"),0))))</f>
        <v/>
      </c>
      <c r="O25" s="48">
        <f>_xlfn.XLOOKUP($J25,BASES!$A$12:$A$392,BASES!$F$12:$F$392)</f>
        <v/>
      </c>
      <c r="P25" s="1" t="n"/>
      <c r="Q25" s="1" t="n"/>
    </row>
    <row r="26">
      <c r="A26" s="34">
        <f>IF($H26="UNIDADE CONSTRUTIVA",OFFSET(A26,-1,0)+1,LARGE(A$3:A25,1))</f>
        <v/>
      </c>
      <c r="B26" s="34">
        <f>IF(H26="UNIDADE CONSTRUTIVA",0,IF(H26="CÉLULA CONSTRUTIVA",OFFSET(B26,-1,0)+1,OFFSET(B26,-1,0)))</f>
        <v/>
      </c>
      <c r="C26" s="34">
        <f>IF(H26="CÉLULA CONSTRUTIVA",0,IF(H26="ETAPA",OFFSET(C26,-1,0)+1,OFFSET(C26,-1,0)))</f>
        <v/>
      </c>
      <c r="D26" s="35">
        <f>IF(H26="ETAPA",0,IF(H26="SUBETAPA",OFFSET(D26,-1,0)+1,OFFSET(D26,-1,0)))</f>
        <v/>
      </c>
      <c r="E26" s="35">
        <f>IF(H26="Subetapa",0,IF(H26="serviço",OFFSET(E26,-1,0)+1,OFFSET(E26,-1,0)))</f>
        <v/>
      </c>
      <c r="F26" s="1" t="n"/>
      <c r="G26" s="43" t="n"/>
      <c r="H26" s="44" t="inlineStr">
        <is>
          <t>SERVIÇO</t>
        </is>
      </c>
      <c r="I26" s="45">
        <f>IF(H26="Unidade Construtiva",TEXT(A26,"00"),IF(H26="Célula Construtiva",TEXT(B26,"00"),IF(H26="Etapa",CONCATENATE(TEXT(B26,"00"),".",TEXT(C26,"000")),IF(H26="Subetapa",CONCATENATE(TEXT(B26,"00"),".",TEXT(C26,"000"),".",TEXT(D26,"000")),IF(H26="Serviço",CONCATENATE(TEXT(B26,"00"),".",TEXT(C26,"000"),".",TEXT(D26,"000"),".",TEXT(E26,"000")),"")))))</f>
        <v/>
      </c>
      <c r="J26" s="46" t="inlineStr">
        <is>
          <t>Consultoria em Licenciamento Ambiental</t>
        </is>
      </c>
      <c r="K26" s="48">
        <f>_xlfn.XLOOKUP($J26,BASES!$A$12:$A$392,BASES!$C$12:$C$392)</f>
        <v/>
      </c>
      <c r="L26" s="48">
        <f>_xlfn.XLOOKUP($J26,BASES!$A$12:$A$392,BASES!$D$12:$D$392)</f>
        <v/>
      </c>
      <c r="M26" s="48">
        <f>_xlfn.XLOOKUP($J26,BASES!$A$1:$A$2289,BASES!$E$1:$E$2289)</f>
        <v/>
      </c>
      <c r="N26" s="49">
        <f>IF(H26="Serviço",M26*L26,IF(H26="CÉLULA CONSTRUTIVA",SUMIFS($N$8:$N$442,$B$8:$B$442,B26,$H$8:$H$442,"Serviço"),IF(H26="ETAPA",SUMIFS($N$8:$N$442,$B$8:$B$442,B26,$C$8:$C$442,C26,$H$8:$H$442,"Serviço"),IF(H26="SUBETAPA",SUMIFS($N$8:$N$442,$B$8:$B$442,B26,$C$8:$C$442,C26,$D$8:$D$442,D26,$H$8:$H$442,"Serviço"),0))))</f>
        <v/>
      </c>
      <c r="O26" s="48">
        <f>_xlfn.XLOOKUP($J26,BASES!$A$12:$A$392,BASES!$F$12:$F$392)</f>
        <v/>
      </c>
      <c r="P26" s="1" t="n"/>
      <c r="Q26" s="1" t="n"/>
    </row>
    <row r="27">
      <c r="A27" s="34">
        <f>IF($H27="UNIDADE CONSTRUTIVA",OFFSET(A27,-1,0)+1,LARGE(A$3:A26,1))</f>
        <v/>
      </c>
      <c r="B27" s="34">
        <f>IF(H27="UNIDADE CONSTRUTIVA",0,IF(H27="CÉLULA CONSTRUTIVA",OFFSET(B27,-1,0)+1,OFFSET(B27,-1,0)))</f>
        <v/>
      </c>
      <c r="C27" s="34">
        <f>IF(H27="CÉLULA CONSTRUTIVA",0,IF(H27="ETAPA",OFFSET(C27,-1,0)+1,OFFSET(C27,-1,0)))</f>
        <v/>
      </c>
      <c r="D27" s="35">
        <f>IF(H27="ETAPA",0,IF(H27="SUBETAPA",OFFSET(D27,-1,0)+1,OFFSET(D27,-1,0)))</f>
        <v/>
      </c>
      <c r="E27" s="35">
        <f>IF(H27="Subetapa",0,IF(H27="serviço",OFFSET(E27,-1,0)+1,OFFSET(E27,-1,0)))</f>
        <v/>
      </c>
      <c r="F27" s="1" t="n"/>
      <c r="G27" s="43" t="n"/>
      <c r="H27" s="44" t="inlineStr">
        <is>
          <t>SUBETAPA</t>
        </is>
      </c>
      <c r="I27" s="45">
        <f>IF(H27="Unidade Construtiva",TEXT(A27,"00"),IF(H27="Célula Construtiva",TEXT(B27,"00"),IF(H27="Etapa",CONCATENATE(TEXT(B27,"00"),".",TEXT(C27,"000")),IF(H27="Subetapa",CONCATENATE(TEXT(B27,"00"),".",TEXT(C27,"000"),".",TEXT(D27,"000")),IF(H27="Serviço",CONCATENATE(TEXT(B27,"00"),".",TEXT(C27,"000"),".",TEXT(D27,"000"),".",TEXT(E27,"000")),"")))))</f>
        <v/>
      </c>
      <c r="J27" s="46" t="inlineStr">
        <is>
          <t>Ensaios</t>
        </is>
      </c>
      <c r="K27" s="48" t="n"/>
      <c r="L27" s="48" t="n"/>
      <c r="M27" s="48" t="n"/>
      <c r="N27" s="49">
        <f>IF(H27="Serviço",M27*L27,IF(H27="CÉLULA CONSTRUTIVA",SUMIFS($N$8:$N$442,$B$8:$B$442,B27,$H$8:$H$442,"Serviço"),IF(H27="ETAPA",SUMIFS($N$8:$N$442,$B$8:$B$442,B27,$C$8:$C$442,C27,$H$8:$H$442,"Serviço"),IF(H27="SUBETAPA",SUMIFS($N$8:$N$442,$B$8:$B$442,B27,$C$8:$C$442,C27,$D$8:$D$442,D27,$H$8:$H$442,"Serviço"),0))))</f>
        <v/>
      </c>
      <c r="O27" s="48" t="n"/>
      <c r="P27" s="1" t="n"/>
      <c r="Q27" s="1" t="n"/>
    </row>
    <row r="28">
      <c r="A28" s="34">
        <f>IF($H28="UNIDADE CONSTRUTIVA",OFFSET(A28,-1,0)+1,LARGE(A$3:A27,1))</f>
        <v/>
      </c>
      <c r="B28" s="34">
        <f>IF(H28="UNIDADE CONSTRUTIVA",0,IF(H28="CÉLULA CONSTRUTIVA",OFFSET(B28,-1,0)+1,OFFSET(B28,-1,0)))</f>
        <v/>
      </c>
      <c r="C28" s="34">
        <f>IF(H28="CÉLULA CONSTRUTIVA",0,IF(H28="ETAPA",OFFSET(C28,-1,0)+1,OFFSET(C28,-1,0)))</f>
        <v/>
      </c>
      <c r="D28" s="35">
        <f>IF(H28="ETAPA",0,IF(H28="SUBETAPA",OFFSET(D28,-1,0)+1,OFFSET(D28,-1,0)))</f>
        <v/>
      </c>
      <c r="E28" s="35">
        <f>IF(H28="Subetapa",0,IF(H28="serviço",OFFSET(E28,-1,0)+1,OFFSET(E28,-1,0)))</f>
        <v/>
      </c>
      <c r="F28" s="1" t="n"/>
      <c r="G28" s="43" t="n"/>
      <c r="H28" s="44" t="inlineStr">
        <is>
          <t>SERVIÇO</t>
        </is>
      </c>
      <c r="I28" s="45">
        <f>IF(H28="Unidade Construtiva",TEXT(A28,"00"),IF(H28="Célula Construtiva",TEXT(B28,"00"),IF(H28="Etapa",CONCATENATE(TEXT(B28,"00"),".",TEXT(C28,"000")),IF(H28="Subetapa",CONCATENATE(TEXT(B28,"00"),".",TEXT(C28,"000"),".",TEXT(D28,"000")),IF(H28="Serviço",CONCATENATE(TEXT(B28,"00"),".",TEXT(C28,"000"),".",TEXT(D28,"000"),".",TEXT(E28,"000")),"")))))</f>
        <v/>
      </c>
      <c r="J28" s="46" t="inlineStr">
        <is>
          <t>Controle tecnológico do concreto</t>
        </is>
      </c>
      <c r="K28" s="48">
        <f>_xlfn.XLOOKUP($J28,BASES!$A$12:$A$392,BASES!$C$12:$C$392)</f>
        <v/>
      </c>
      <c r="L28" s="48">
        <f>_xlfn.XLOOKUP($J28,BASES!$A$12:$A$392,BASES!$D$12:$D$392)</f>
        <v/>
      </c>
      <c r="M28" s="48">
        <f>'Cont.Tecnol.'!F6+'Cont.Tecnol.'!F11+'Cont.Tecnol.'!F16+'Cont.Tecnol.'!F21+'Cont.Tecnol.'!F26</f>
        <v/>
      </c>
      <c r="N28" s="49">
        <f>IF(H28="Serviço",M28*L28,IF(H28="CÉLULA CONSTRUTIVA",SUMIFS($N$8:$N$442,$B$8:$B$442,B28,$H$8:$H$442,"Serviço"),IF(H28="ETAPA",SUMIFS($N$8:$N$442,$B$8:$B$442,B28,$C$8:$C$442,C28,$H$8:$H$442,"Serviço"),IF(H28="SUBETAPA",SUMIFS($N$8:$N$442,$B$8:$B$442,B28,$C$8:$C$442,C28,$D$8:$D$442,D28,$H$8:$H$442,"Serviço"),0))))</f>
        <v/>
      </c>
      <c r="O28" s="48" t="inlineStr">
        <is>
          <t>Estimado conrfome aba "Cont. Tecnol."</t>
        </is>
      </c>
      <c r="P28" s="1" t="n"/>
      <c r="Q28" s="1" t="n"/>
    </row>
    <row r="29">
      <c r="A29" s="34">
        <f>IF($H29="UNIDADE CONSTRUTIVA",OFFSET(A29,-1,0)+1,LARGE(A$3:A28,1))</f>
        <v/>
      </c>
      <c r="B29" s="34">
        <f>IF(H29="UNIDADE CONSTRUTIVA",0,IF(H29="CÉLULA CONSTRUTIVA",OFFSET(B29,-1,0)+1,OFFSET(B29,-1,0)))</f>
        <v/>
      </c>
      <c r="C29" s="34">
        <f>IF(H29="CÉLULA CONSTRUTIVA",0,IF(H29="ETAPA",OFFSET(C29,-1,0)+1,OFFSET(C29,-1,0)))</f>
        <v/>
      </c>
      <c r="D29" s="35">
        <f>IF(H29="ETAPA",0,IF(H29="SUBETAPA",OFFSET(D29,-1,0)+1,OFFSET(D29,-1,0)))</f>
        <v/>
      </c>
      <c r="E29" s="35">
        <f>IF(H29="Subetapa",0,IF(H29="serviço",OFFSET(E29,-1,0)+1,OFFSET(E29,-1,0)))</f>
        <v/>
      </c>
      <c r="F29" s="1" t="n"/>
      <c r="G29" s="43" t="n"/>
      <c r="H29" s="44" t="inlineStr">
        <is>
          <t>SERVIÇO</t>
        </is>
      </c>
      <c r="I29" s="45">
        <f>IF(H29="Unidade Construtiva",TEXT(A29,"00"),IF(H29="Célula Construtiva",TEXT(B29,"00"),IF(H29="Etapa",CONCATENATE(TEXT(B29,"00"),".",TEXT(C29,"000")),IF(H29="Subetapa",CONCATENATE(TEXT(B29,"00"),".",TEXT(C29,"000"),".",TEXT(D29,"000")),IF(H29="Serviço",CONCATENATE(TEXT(B29,"00"),".",TEXT(C29,"000"),".",TEXT(D29,"000"),".",TEXT(E29,"000")),"")))))</f>
        <v/>
      </c>
      <c r="J29" s="46" t="inlineStr">
        <is>
          <t>Prova de carga</t>
        </is>
      </c>
      <c r="K29" s="48">
        <f>_xlfn.XLOOKUP($J29,BASES!$A$12:$A$392,BASES!$C$12:$C$392)</f>
        <v/>
      </c>
      <c r="L29" s="48">
        <f>_xlfn.XLOOKUP($J29,BASES!$A$12:$A$392,BASES!$D$12:$D$392)</f>
        <v/>
      </c>
      <c r="M29" s="48">
        <f>_xlfn.XLOOKUP($J29,BASES!$A$1:$A$2289,BASES!$E$1:$E$2289)</f>
        <v/>
      </c>
      <c r="N29" s="49">
        <f>IF(H29="Serviço",M29*L29,IF(H29="CÉLULA CONSTRUTIVA",SUMIFS($N$8:$N$442,$B$8:$B$442,B29,$H$8:$H$442,"Serviço"),IF(H29="ETAPA",SUMIFS($N$8:$N$442,$B$8:$B$442,B29,$C$8:$C$442,C29,$H$8:$H$442,"Serviço"),IF(H29="SUBETAPA",SUMIFS($N$8:$N$442,$B$8:$B$442,B29,$C$8:$C$442,C29,$D$8:$D$442,D29,$H$8:$H$442,"Serviço"),0))))</f>
        <v/>
      </c>
      <c r="O29" s="48">
        <f>_xlfn.XLOOKUP($J29,BASES!$A$12:$A$392,BASES!$F$12:$F$392)</f>
        <v/>
      </c>
      <c r="P29" s="1" t="n"/>
      <c r="Q29" s="1" t="n"/>
    </row>
    <row r="30">
      <c r="A30" s="34">
        <f>IF($H30="UNIDADE CONSTRUTIVA",OFFSET(A30,-1,0)+1,LARGE(A$3:A29,1))</f>
        <v/>
      </c>
      <c r="B30" s="34">
        <f>IF(H30="UNIDADE CONSTRUTIVA",0,IF(H30="CÉLULA CONSTRUTIVA",OFFSET(B30,-1,0)+1,OFFSET(B30,-1,0)))</f>
        <v/>
      </c>
      <c r="C30" s="34">
        <f>IF(H30="CÉLULA CONSTRUTIVA",0,IF(H30="ETAPA",OFFSET(C30,-1,0)+1,OFFSET(C30,-1,0)))</f>
        <v/>
      </c>
      <c r="D30" s="35">
        <f>IF(H30="ETAPA",0,IF(H30="SUBETAPA",OFFSET(D30,-1,0)+1,OFFSET(D30,-1,0)))</f>
        <v/>
      </c>
      <c r="E30" s="35">
        <f>IF(H30="Subetapa",0,IF(H30="serviço",OFFSET(E30,-1,0)+1,OFFSET(E30,-1,0)))</f>
        <v/>
      </c>
      <c r="F30" s="1" t="n"/>
      <c r="G30" s="43" t="n"/>
      <c r="H30" s="44" t="inlineStr">
        <is>
          <t>SERVIÇO</t>
        </is>
      </c>
      <c r="I30" s="45">
        <f>IF(H30="Unidade Construtiva",TEXT(A30,"00"),IF(H30="Célula Construtiva",TEXT(B30,"00"),IF(H30="Etapa",CONCATENATE(TEXT(B30,"00"),".",TEXT(C30,"000")),IF(H30="Subetapa",CONCATENATE(TEXT(B30,"00"),".",TEXT(C30,"000"),".",TEXT(D30,"000")),IF(H30="Serviço",CONCATENATE(TEXT(B30,"00"),".",TEXT(C30,"000"),".",TEXT(D30,"000"),".",TEXT(E30,"000")),"")))))</f>
        <v/>
      </c>
      <c r="J30" s="46" t="inlineStr">
        <is>
          <t>Ensaio de arrancamento de reboco</t>
        </is>
      </c>
      <c r="K30" s="48">
        <f>_xlfn.XLOOKUP($J30,BASES!$A$12:$A$392,BASES!$C$12:$C$392)</f>
        <v/>
      </c>
      <c r="L30" s="48">
        <f>_xlfn.XLOOKUP($J30,BASES!$A$12:$A$392,BASES!$D$12:$D$392)</f>
        <v/>
      </c>
      <c r="M30" s="48">
        <f>_xlfn.XLOOKUP($J30,BASES!$A$1:$A$2289,BASES!$E$1:$E$2289)</f>
        <v/>
      </c>
      <c r="N30" s="49">
        <f>IF(H30="Serviço",M30*L30,IF(H30="CÉLULA CONSTRUTIVA",SUMIFS($N$8:$N$442,$B$8:$B$442,B30,$H$8:$H$442,"Serviço"),IF(H30="ETAPA",SUMIFS($N$8:$N$442,$B$8:$B$442,B30,$C$8:$C$442,C30,$H$8:$H$442,"Serviço"),IF(H30="SUBETAPA",SUMIFS($N$8:$N$442,$B$8:$B$442,B30,$C$8:$C$442,C30,$D$8:$D$442,D30,$H$8:$H$442,"Serviço"),0))))</f>
        <v/>
      </c>
      <c r="O30" s="48">
        <f>_xlfn.XLOOKUP($J30,BASES!$A$12:$A$392,BASES!$F$12:$F$392)</f>
        <v/>
      </c>
      <c r="P30" s="1" t="n"/>
      <c r="Q30" s="1" t="n"/>
    </row>
    <row r="31">
      <c r="A31" s="34">
        <f>IF($H31="UNIDADE CONSTRUTIVA",OFFSET(A31,-1,0)+1,LARGE(A$3:A30,1))</f>
        <v/>
      </c>
      <c r="B31" s="34">
        <f>IF(H31="UNIDADE CONSTRUTIVA",0,IF(H31="CÉLULA CONSTRUTIVA",OFFSET(B31,-1,0)+1,OFFSET(B31,-1,0)))</f>
        <v/>
      </c>
      <c r="C31" s="34">
        <f>IF(H31="CÉLULA CONSTRUTIVA",0,IF(H31="ETAPA",OFFSET(C31,-1,0)+1,OFFSET(C31,-1,0)))</f>
        <v/>
      </c>
      <c r="D31" s="35">
        <f>IF(H31="ETAPA",0,IF(H31="SUBETAPA",OFFSET(D31,-1,0)+1,OFFSET(D31,-1,0)))</f>
        <v/>
      </c>
      <c r="E31" s="35">
        <f>IF(H31="Subetapa",0,IF(H31="serviço",OFFSET(E31,-1,0)+1,OFFSET(E31,-1,0)))</f>
        <v/>
      </c>
      <c r="F31" s="1" t="n"/>
      <c r="G31" s="43" t="n"/>
      <c r="H31" s="44" t="inlineStr">
        <is>
          <t>SERVIÇO</t>
        </is>
      </c>
      <c r="I31" s="45">
        <f>IF(H31="Unidade Construtiva",TEXT(A31,"00"),IF(H31="Célula Construtiva",TEXT(B31,"00"),IF(H31="Etapa",CONCATENATE(TEXT(B31,"00"),".",TEXT(C31,"000")),IF(H31="Subetapa",CONCATENATE(TEXT(B31,"00"),".",TEXT(C31,"000"),".",TEXT(D31,"000")),IF(H31="Serviço",CONCATENATE(TEXT(B31,"00"),".",TEXT(C31,"000"),".",TEXT(D31,"000"),".",TEXT(E31,"000")),"")))))</f>
        <v/>
      </c>
      <c r="J31" s="46" t="inlineStr">
        <is>
          <t>Laudo de Vizinhança</t>
        </is>
      </c>
      <c r="K31" s="48">
        <f>_xlfn.XLOOKUP($J31,BASES!$A$12:$A$392,BASES!$C$12:$C$392)</f>
        <v/>
      </c>
      <c r="L31" s="48">
        <f>_xlfn.XLOOKUP($J31,BASES!$A$12:$A$392,BASES!$D$12:$D$392)</f>
        <v/>
      </c>
      <c r="M31" s="48">
        <f>_xlfn.XLOOKUP($J31,BASES!$A$1:$A$2289,BASES!$E$1:$E$2289)</f>
        <v/>
      </c>
      <c r="N31" s="49">
        <f>IF(H31="Serviço",M31*L31,IF(H31="CÉLULA CONSTRUTIVA",SUMIFS($N$8:$N$442,$B$8:$B$442,B31,$H$8:$H$442,"Serviço"),IF(H31="ETAPA",SUMIFS($N$8:$N$442,$B$8:$B$442,B31,$C$8:$C$442,C31,$H$8:$H$442,"Serviço"),IF(H31="SUBETAPA",SUMIFS($N$8:$N$442,$B$8:$B$442,B31,$C$8:$C$442,C31,$D$8:$D$442,D31,$H$8:$H$442,"Serviço"),0))))</f>
        <v/>
      </c>
      <c r="O31" s="48">
        <f>_xlfn.XLOOKUP($J31,BASES!$A$12:$A$392,BASES!$F$12:$F$392)</f>
        <v/>
      </c>
      <c r="P31" s="1" t="n"/>
      <c r="Q31" s="1" t="n"/>
    </row>
    <row r="32">
      <c r="A32" s="34">
        <f>IF($H32="UNIDADE CONSTRUTIVA",OFFSET(A32,-1,0)+1,LARGE(A$3:A31,1))</f>
        <v/>
      </c>
      <c r="B32" s="34">
        <f>IF(H32="UNIDADE CONSTRUTIVA",0,IF(H32="CÉLULA CONSTRUTIVA",OFFSET(B32,-1,0)+1,OFFSET(B32,-1,0)))</f>
        <v/>
      </c>
      <c r="C32" s="34">
        <f>IF(H32="CÉLULA CONSTRUTIVA",0,IF(H32="ETAPA",OFFSET(C32,-1,0)+1,OFFSET(C32,-1,0)))</f>
        <v/>
      </c>
      <c r="D32" s="35">
        <f>IF(H32="ETAPA",0,IF(H32="SUBETAPA",OFFSET(D32,-1,0)+1,OFFSET(D32,-1,0)))</f>
        <v/>
      </c>
      <c r="E32" s="35">
        <f>IF(H32="Subetapa",0,IF(H32="serviço",OFFSET(E32,-1,0)+1,OFFSET(E32,-1,0)))</f>
        <v/>
      </c>
      <c r="F32" s="1" t="n"/>
      <c r="G32" s="43" t="n"/>
      <c r="H32" s="44" t="inlineStr">
        <is>
          <t>ETAPA</t>
        </is>
      </c>
      <c r="I32" s="45">
        <f>IF(H32="Unidade Construtiva",TEXT(A32,"00"),IF(H32="Célula Construtiva",TEXT(B32,"00"),IF(H32="Etapa",CONCATENATE(TEXT(B32,"00"),".",TEXT(C32,"000")),IF(H32="Subetapa",CONCATENATE(TEXT(B32,"00"),".",TEXT(C32,"000"),".",TEXT(D32,"000")),IF(H32="Serviço",CONCATENATE(TEXT(B32,"00"),".",TEXT(C32,"000"),".",TEXT(D32,"000"),".",TEXT(E32,"000")),"")))))</f>
        <v/>
      </c>
      <c r="J32" s="46" t="inlineStr">
        <is>
          <t xml:space="preserve">CONSUMOS, TAXAS E DOCUMENTOS </t>
        </is>
      </c>
      <c r="K32" s="48" t="n"/>
      <c r="L32" s="48" t="n"/>
      <c r="M32" s="48" t="n"/>
      <c r="N32" s="49">
        <f>IF(H32="Serviço",M32*L32,IF(H32="CÉLULA CONSTRUTIVA",SUMIFS($N$8:$N$442,$B$8:$B$442,B32,$H$8:$H$442,"Serviço"),IF(H32="ETAPA",SUMIFS($N$8:$N$442,$B$8:$B$442,B32,$C$8:$C$442,C32,$H$8:$H$442,"Serviço"),IF(H32="SUBETAPA",SUMIFS($N$8:$N$442,$B$8:$B$442,B32,$C$8:$C$442,C32,$D$8:$D$442,D32,$H$8:$H$442,"Serviço"),0))))</f>
        <v/>
      </c>
      <c r="O32" s="50" t="n"/>
      <c r="P32" s="1" t="n"/>
      <c r="Q32" s="1" t="n"/>
    </row>
    <row r="33">
      <c r="A33" s="34">
        <f>IF($H33="UNIDADE CONSTRUTIVA",OFFSET(A33,-1,0)+1,LARGE(A$3:A32,1))</f>
        <v/>
      </c>
      <c r="B33" s="34">
        <f>IF(H33="UNIDADE CONSTRUTIVA",0,IF(H33="CÉLULA CONSTRUTIVA",OFFSET(B33,-1,0)+1,OFFSET(B33,-1,0)))</f>
        <v/>
      </c>
      <c r="C33" s="34">
        <f>IF(H33="CÉLULA CONSTRUTIVA",0,IF(H33="ETAPA",OFFSET(C33,-1,0)+1,OFFSET(C33,-1,0)))</f>
        <v/>
      </c>
      <c r="D33" s="35">
        <f>IF(H33="ETAPA",0,IF(H33="SUBETAPA",OFFSET(D33,-1,0)+1,OFFSET(D33,-1,0)))</f>
        <v/>
      </c>
      <c r="E33" s="35">
        <f>IF(H33="Subetapa",0,IF(H33="serviço",OFFSET(E33,-1,0)+1,OFFSET(E33,-1,0)))</f>
        <v/>
      </c>
      <c r="F33" s="1" t="n"/>
      <c r="G33" s="43" t="n"/>
      <c r="H33" s="44" t="inlineStr">
        <is>
          <t>SUBETAPA</t>
        </is>
      </c>
      <c r="I33" s="45">
        <f>IF(H33="Unidade Construtiva",TEXT(A33,"00"),IF(H33="Célula Construtiva",TEXT(B33,"00"),IF(H33="Etapa",CONCATENATE(TEXT(B33,"00"),".",TEXT(C33,"000")),IF(H33="Subetapa",CONCATENATE(TEXT(B33,"00"),".",TEXT(C33,"000"),".",TEXT(D33,"000")),IF(H33="Serviço",CONCATENATE(TEXT(B33,"00"),".",TEXT(C33,"000"),".",TEXT(D33,"000"),".",TEXT(E33,"000")),"")))))</f>
        <v/>
      </c>
      <c r="J33" s="51" t="inlineStr">
        <is>
          <t>Licenciamentos, Taxas, Impostos, Aprovações e Seguros</t>
        </is>
      </c>
      <c r="K33" s="48" t="n"/>
      <c r="L33" s="48" t="n"/>
      <c r="M33" s="48" t="n"/>
      <c r="N33" s="49">
        <f>IF(H33="Serviço",M33*L33,IF(H33="CÉLULA CONSTRUTIVA",SUMIFS($N$8:$N$467,$B$8:$B$467,B33,$H$8:$H$467,"Serviço"),IF(H33="ETAPA",SUMIFS($N$8:$N$467,$B$8:$B$467,B33,$C$8:$C$467,C33,$H$8:$H$467,"Serviço"),IF(H33="SUBETAPA",SUMIFS($N$8:$N$467,$B$8:$B$467,B33,$C$8:$C$467,C33,$D$8:$D$467,D33,$H$8:$H$467,"Serviço"),0))))</f>
        <v/>
      </c>
      <c r="O33" s="50" t="n"/>
      <c r="P33" s="52" t="n"/>
      <c r="Q33" s="52" t="n"/>
    </row>
    <row r="34">
      <c r="A34" s="34">
        <f>IF($H34="UNIDADE CONSTRUTIVA",OFFSET(A34,-1,0)+1,LARGE(A$3:A33,1))</f>
        <v/>
      </c>
      <c r="B34" s="34">
        <f>IF(H34="UNIDADE CONSTRUTIVA",0,IF(H34="CÉLULA CONSTRUTIVA",OFFSET(B34,-1,0)+1,OFFSET(B34,-1,0)))</f>
        <v/>
      </c>
      <c r="C34" s="34">
        <f>IF(H34="CÉLULA CONSTRUTIVA",0,IF(H34="ETAPA",OFFSET(C34,-1,0)+1,OFFSET(C34,-1,0)))</f>
        <v/>
      </c>
      <c r="D34" s="35">
        <f>IF(H34="ETAPA",0,IF(H34="SUBETAPA",OFFSET(D34,-1,0)+1,OFFSET(D34,-1,0)))</f>
        <v/>
      </c>
      <c r="E34" s="35">
        <f>IF(H34="Subetapa",0,IF(H34="serviço",OFFSET(E34,-1,0)+1,OFFSET(E34,-1,0)))</f>
        <v/>
      </c>
      <c r="F34" s="1" t="n"/>
      <c r="G34" s="43" t="n"/>
      <c r="H34" s="44" t="inlineStr">
        <is>
          <t>SERVIÇO</t>
        </is>
      </c>
      <c r="I34" s="45">
        <f>IF(H34="Unidade Construtiva",TEXT(A34,"00"),IF(H34="Célula Construtiva",TEXT(B34,"00"),IF(H34="Etapa",CONCATENATE(TEXT(B34,"00"),".",TEXT(C34,"000")),IF(H34="Subetapa",CONCATENATE(TEXT(B34,"00"),".",TEXT(C34,"000"),".",TEXT(D34,"000")),IF(H34="Serviço",CONCATENATE(TEXT(B34,"00"),".",TEXT(C34,"000"),".",TEXT(D34,"000"),".",TEXT(E34,"000")),"")))))</f>
        <v/>
      </c>
      <c r="J34" s="51" t="inlineStr">
        <is>
          <t>Despesas de Seguros</t>
        </is>
      </c>
      <c r="K34" s="48">
        <f>_xlfn.XLOOKUP($J34,BASES!$A$12:$A$392,BASES!$C$12:$C$392)</f>
        <v/>
      </c>
      <c r="L34" s="48">
        <f>_xlfn.XLOOKUP($J34,BASES!$A$12:$A$392,BASES!$D$12:$D$392)</f>
        <v/>
      </c>
      <c r="M34" s="48">
        <f>_xlfn.XLOOKUP($J34,BASES!$A$1:$A$2289,BASES!$E$1:$E$2289)</f>
        <v/>
      </c>
      <c r="N34" s="49">
        <f>IF(H34="Serviço",M34*L34,IF(H34="CÉLULA CONSTRUTIVA",SUMIFS($N$8:$N$467,$B$8:$B$467,B34,$H$8:$H$467,"Serviço"),IF(H34="ETAPA",SUMIFS($N$8:$N$467,$B$8:$B$467,B34,$C$8:$C$467,C34,$H$8:$H$467,"Serviço"),IF(H34="SUBETAPA",SUMIFS($N$8:$N$467,$B$8:$B$467,B34,$C$8:$C$467,C34,$D$8:$D$467,D34,$H$8:$H$467,"Serviço"),0))))</f>
        <v/>
      </c>
      <c r="O34" s="48">
        <f>_xlfn.XLOOKUP($J34,BASES!$A$12:$A$392,BASES!$F$12:$F$392)</f>
        <v/>
      </c>
      <c r="P34" s="52" t="n"/>
      <c r="Q34" s="52" t="n"/>
    </row>
    <row r="35">
      <c r="A35" s="34">
        <f>IF($H35="UNIDADE CONSTRUTIVA",OFFSET(A35,-1,0)+1,LARGE(A$3:A34,1))</f>
        <v/>
      </c>
      <c r="B35" s="34">
        <f>IF(H35="UNIDADE CONSTRUTIVA",0,IF(H35="CÉLULA CONSTRUTIVA",OFFSET(B35,-1,0)+1,OFFSET(B35,-1,0)))</f>
        <v/>
      </c>
      <c r="C35" s="34">
        <f>IF(H35="CÉLULA CONSTRUTIVA",0,IF(H35="ETAPA",OFFSET(C35,-1,0)+1,OFFSET(C35,-1,0)))</f>
        <v/>
      </c>
      <c r="D35" s="35">
        <f>IF(H35="ETAPA",0,IF(H35="SUBETAPA",OFFSET(D35,-1,0)+1,OFFSET(D35,-1,0)))</f>
        <v/>
      </c>
      <c r="E35" s="35">
        <f>IF(H35="Subetapa",0,IF(H35="serviço",OFFSET(E35,-1,0)+1,OFFSET(E35,-1,0)))</f>
        <v/>
      </c>
      <c r="F35" s="1" t="n"/>
      <c r="G35" s="43" t="n"/>
      <c r="H35" s="44" t="inlineStr">
        <is>
          <t>SERVIÇO</t>
        </is>
      </c>
      <c r="I35" s="45">
        <f>IF(H35="Unidade Construtiva",TEXT(A35,"00"),IF(H35="Célula Construtiva",TEXT(B35,"00"),IF(H35="Etapa",CONCATENATE(TEXT(B35,"00"),".",TEXT(C35,"000")),IF(H35="Subetapa",CONCATENATE(TEXT(B35,"00"),".",TEXT(C35,"000"),".",TEXT(D35,"000")),IF(H35="Serviço",CONCATENATE(TEXT(B35,"00"),".",TEXT(C35,"000"),".",TEXT(D35,"000"),".",TEXT(E35,"000")),"")))))</f>
        <v/>
      </c>
      <c r="J35" s="51" t="inlineStr">
        <is>
          <t>Taxas de consulta de viabilidade</t>
        </is>
      </c>
      <c r="K35" s="48">
        <f>_xlfn.XLOOKUP($J35,BASES!$A$12:$A$392,BASES!$C$12:$C$392)</f>
        <v/>
      </c>
      <c r="L35" s="48">
        <f>_xlfn.XLOOKUP($J35,BASES!$A$12:$A$392,BASES!$D$12:$D$392)</f>
        <v/>
      </c>
      <c r="M35" s="48">
        <f>_xlfn.XLOOKUP($J35,BASES!$A$1:$A$2289,BASES!$E$1:$E$2289)</f>
        <v/>
      </c>
      <c r="N35" s="49">
        <f>IF(H35="Serviço",M35*L35,IF(H35="CÉLULA CONSTRUTIVA",SUMIFS($N$8:$N$467,$B$8:$B$467,B35,$H$8:$H$467,"Serviço"),IF(H35="ETAPA",SUMIFS($N$8:$N$467,$B$8:$B$467,B35,$C$8:$C$467,C35,$H$8:$H$467,"Serviço"),IF(H35="SUBETAPA",SUMIFS($N$8:$N$467,$B$8:$B$467,B35,$C$8:$C$467,C35,$D$8:$D$467,D35,$H$8:$H$467,"Serviço"),0))))</f>
        <v/>
      </c>
      <c r="O35" s="48">
        <f>_xlfn.XLOOKUP($J35,BASES!$A$12:$A$392,BASES!$F$12:$F$392)</f>
        <v/>
      </c>
      <c r="P35" s="52" t="n"/>
      <c r="Q35" s="52" t="n"/>
    </row>
    <row r="36">
      <c r="A36" s="34">
        <f>IF($H36="UNIDADE CONSTRUTIVA",OFFSET(A36,-1,0)+1,LARGE(A$3:A35,1))</f>
        <v/>
      </c>
      <c r="B36" s="34">
        <f>IF(H36="UNIDADE CONSTRUTIVA",0,IF(H36="CÉLULA CONSTRUTIVA",OFFSET(B36,-1,0)+1,OFFSET(B36,-1,0)))</f>
        <v/>
      </c>
      <c r="C36" s="34">
        <f>IF(H36="CÉLULA CONSTRUTIVA",0,IF(H36="ETAPA",OFFSET(C36,-1,0)+1,OFFSET(C36,-1,0)))</f>
        <v/>
      </c>
      <c r="D36" s="35">
        <f>IF(H36="ETAPA",0,IF(H36="SUBETAPA",OFFSET(D36,-1,0)+1,OFFSET(D36,-1,0)))</f>
        <v/>
      </c>
      <c r="E36" s="35">
        <f>IF(H36="Subetapa",0,IF(H36="serviço",OFFSET(E36,-1,0)+1,OFFSET(E36,-1,0)))</f>
        <v/>
      </c>
      <c r="F36" s="1" t="n"/>
      <c r="G36" s="43" t="n"/>
      <c r="H36" s="44" t="inlineStr">
        <is>
          <t>SERVIÇO</t>
        </is>
      </c>
      <c r="I36" s="45">
        <f>IF(H36="Unidade Construtiva",TEXT(A36,"00"),IF(H36="Célula Construtiva",TEXT(B36,"00"),IF(H36="Etapa",CONCATENATE(TEXT(B36,"00"),".",TEXT(C36,"000")),IF(H36="Subetapa",CONCATENATE(TEXT(B36,"00"),".",TEXT(C36,"000"),".",TEXT(D36,"000")),IF(H36="Serviço",CONCATENATE(TEXT(B36,"00"),".",TEXT(C36,"000"),".",TEXT(D36,"000"),".",TEXT(E36,"000")),"")))))</f>
        <v/>
      </c>
      <c r="J36" s="51" t="inlineStr">
        <is>
          <t>Avaliação e Legalização ambiental</t>
        </is>
      </c>
      <c r="K36" s="48">
        <f>_xlfn.XLOOKUP($J36,BASES!$A$12:$A$392,BASES!$C$12:$C$392)</f>
        <v/>
      </c>
      <c r="L36" s="48">
        <f>_xlfn.XLOOKUP($J36,BASES!$A$12:$A$392,BASES!$D$12:$D$392)</f>
        <v/>
      </c>
      <c r="M36" s="48">
        <f>_xlfn.XLOOKUP($J36,BASES!$A$1:$A$2289,BASES!$E$1:$E$2289)</f>
        <v/>
      </c>
      <c r="N36" s="49">
        <f>IF(H36="Serviço",M36*L36,IF(H36="CÉLULA CONSTRUTIVA",SUMIFS($N$8:$N$467,$B$8:$B$467,B36,$H$8:$H$467,"Serviço"),IF(H36="ETAPA",SUMIFS($N$8:$N$467,$B$8:$B$467,B36,$C$8:$C$467,C36,$H$8:$H$467,"Serviço"),IF(H36="SUBETAPA",SUMIFS($N$8:$N$467,$B$8:$B$467,B36,$C$8:$C$467,C36,$D$8:$D$467,D36,$H$8:$H$467,"Serviço"),0))))</f>
        <v/>
      </c>
      <c r="O36" s="48">
        <f>_xlfn.XLOOKUP($J36,BASES!$A$12:$A$392,BASES!$F$12:$F$392)</f>
        <v/>
      </c>
      <c r="P36" s="52" t="n"/>
      <c r="Q36" s="52" t="n"/>
    </row>
    <row r="37">
      <c r="A37" s="34">
        <f>IF($H37="UNIDADE CONSTRUTIVA",OFFSET(A37,-1,0)+1,LARGE(A$3:A36,1))</f>
        <v/>
      </c>
      <c r="B37" s="34">
        <f>IF(H37="UNIDADE CONSTRUTIVA",0,IF(H37="CÉLULA CONSTRUTIVA",OFFSET(B37,-1,0)+1,OFFSET(B37,-1,0)))</f>
        <v/>
      </c>
      <c r="C37" s="34">
        <f>IF(H37="CÉLULA CONSTRUTIVA",0,IF(H37="ETAPA",OFFSET(C37,-1,0)+1,OFFSET(C37,-1,0)))</f>
        <v/>
      </c>
      <c r="D37" s="35">
        <f>IF(H37="ETAPA",0,IF(H37="SUBETAPA",OFFSET(D37,-1,0)+1,OFFSET(D37,-1,0)))</f>
        <v/>
      </c>
      <c r="E37" s="35">
        <f>IF(H37="Subetapa",0,IF(H37="serviço",OFFSET(E37,-1,0)+1,OFFSET(E37,-1,0)))</f>
        <v/>
      </c>
      <c r="F37" s="1" t="n"/>
      <c r="G37" s="43" t="n"/>
      <c r="H37" s="44" t="inlineStr">
        <is>
          <t>SERVIÇO</t>
        </is>
      </c>
      <c r="I37" s="45">
        <f>IF(H37="Unidade Construtiva",TEXT(A37,"00"),IF(H37="Célula Construtiva",TEXT(B37,"00"),IF(H37="Etapa",CONCATENATE(TEXT(B37,"00"),".",TEXT(C37,"000")),IF(H37="Subetapa",CONCATENATE(TEXT(B37,"00"),".",TEXT(C37,"000"),".",TEXT(D37,"000")),IF(H37="Serviço",CONCATENATE(TEXT(B37,"00"),".",TEXT(C37,"000"),".",TEXT(D37,"000"),".",TEXT(E37,"000")),"")))))</f>
        <v/>
      </c>
      <c r="J37" s="51" t="inlineStr">
        <is>
          <t>Aprovação e legalização prefeitura</t>
        </is>
      </c>
      <c r="K37" s="48">
        <f>_xlfn.XLOOKUP($J37,BASES!$A$12:$A$392,BASES!$C$12:$C$392)</f>
        <v/>
      </c>
      <c r="L37" s="48">
        <f>_xlfn.XLOOKUP($J37,BASES!$A$12:$A$392,BASES!$D$12:$D$392)</f>
        <v/>
      </c>
      <c r="M37" s="48">
        <f>_xlfn.XLOOKUP($J37,BASES!$A$1:$A$2289,BASES!$E$1:$E$2289)</f>
        <v/>
      </c>
      <c r="N37" s="49">
        <f>IF(H37="Serviço",M37*L37,IF(H37="CÉLULA CONSTRUTIVA",SUMIFS($N$8:$N$467,$B$8:$B$467,B37,$H$8:$H$467,"Serviço"),IF(H37="ETAPA",SUMIFS($N$8:$N$467,$B$8:$B$467,B37,$C$8:$C$467,C37,$H$8:$H$467,"Serviço"),IF(H37="SUBETAPA",SUMIFS($N$8:$N$467,$B$8:$B$467,B37,$C$8:$C$467,C37,$D$8:$D$467,D37,$H$8:$H$467,"Serviço"),0))))</f>
        <v/>
      </c>
      <c r="O37" s="48">
        <f>_xlfn.XLOOKUP($J37,BASES!$A$12:$A$392,BASES!$F$12:$F$392)</f>
        <v/>
      </c>
      <c r="P37" s="52" t="n"/>
      <c r="Q37" s="52" t="n"/>
    </row>
    <row r="38">
      <c r="A38" s="34">
        <f>IF($H38="UNIDADE CONSTRUTIVA",OFFSET(A38,-1,0)+1,LARGE(A$3:A37,1))</f>
        <v/>
      </c>
      <c r="B38" s="34">
        <f>IF(H38="UNIDADE CONSTRUTIVA",0,IF(H38="CÉLULA CONSTRUTIVA",OFFSET(B38,-1,0)+1,OFFSET(B38,-1,0)))</f>
        <v/>
      </c>
      <c r="C38" s="34">
        <f>IF(H38="CÉLULA CONSTRUTIVA",0,IF(H38="ETAPA",OFFSET(C38,-1,0)+1,OFFSET(C38,-1,0)))</f>
        <v/>
      </c>
      <c r="D38" s="35">
        <f>IF(H38="ETAPA",0,IF(H38="SUBETAPA",OFFSET(D38,-1,0)+1,OFFSET(D38,-1,0)))</f>
        <v/>
      </c>
      <c r="E38" s="35">
        <f>IF(H38="Subetapa",0,IF(H38="serviço",OFFSET(E38,-1,0)+1,OFFSET(E38,-1,0)))</f>
        <v/>
      </c>
      <c r="F38" s="1" t="n"/>
      <c r="G38" s="43" t="n"/>
      <c r="H38" s="44" t="inlineStr">
        <is>
          <t>SERVIÇO</t>
        </is>
      </c>
      <c r="I38" s="45">
        <f>IF(H38="Unidade Construtiva",TEXT(A38,"00"),IF(H38="Célula Construtiva",TEXT(B38,"00"),IF(H38="Etapa",CONCATENATE(TEXT(B38,"00"),".",TEXT(C38,"000")),IF(H38="Subetapa",CONCATENATE(TEXT(B38,"00"),".",TEXT(C38,"000"),".",TEXT(D38,"000")),IF(H38="Serviço",CONCATENATE(TEXT(B38,"00"),".",TEXT(C38,"000"),".",TEXT(D38,"000"),".",TEXT(E38,"000")),"")))))</f>
        <v/>
      </c>
      <c r="J38" s="51" t="inlineStr">
        <is>
          <t>Aprovação e legalização água e esgoto</t>
        </is>
      </c>
      <c r="K38" s="48">
        <f>_xlfn.XLOOKUP($J38,BASES!$A$12:$A$392,BASES!$C$12:$C$392)</f>
        <v/>
      </c>
      <c r="L38" s="48">
        <f>_xlfn.XLOOKUP($J38,BASES!$A$12:$A$392,BASES!$D$12:$D$392)</f>
        <v/>
      </c>
      <c r="M38" s="48">
        <f>_xlfn.XLOOKUP($J38,BASES!$A$1:$A$2289,BASES!$E$1:$E$2289)</f>
        <v/>
      </c>
      <c r="N38" s="49">
        <f>IF(H38="Serviço",M38*L38,IF(H38="CÉLULA CONSTRUTIVA",SUMIFS($N$8:$N$467,$B$8:$B$467,B38,$H$8:$H$467,"Serviço"),IF(H38="ETAPA",SUMIFS($N$8:$N$467,$B$8:$B$467,B38,$C$8:$C$467,C38,$H$8:$H$467,"Serviço"),IF(H38="SUBETAPA",SUMIFS($N$8:$N$467,$B$8:$B$467,B38,$C$8:$C$467,C38,$D$8:$D$467,D38,$H$8:$H$467,"Serviço"),0))))</f>
        <v/>
      </c>
      <c r="O38" s="48">
        <f>_xlfn.XLOOKUP($J38,BASES!$A$12:$A$392,BASES!$F$12:$F$392)</f>
        <v/>
      </c>
      <c r="P38" s="52" t="n"/>
      <c r="Q38" s="52" t="n"/>
    </row>
    <row r="39">
      <c r="A39" s="34">
        <f>IF($H39="UNIDADE CONSTRUTIVA",OFFSET(A39,-1,0)+1,LARGE(A$3:A38,1))</f>
        <v/>
      </c>
      <c r="B39" s="34">
        <f>IF(H39="UNIDADE CONSTRUTIVA",0,IF(H39="CÉLULA CONSTRUTIVA",OFFSET(B39,-1,0)+1,OFFSET(B39,-1,0)))</f>
        <v/>
      </c>
      <c r="C39" s="34">
        <f>IF(H39="CÉLULA CONSTRUTIVA",0,IF(H39="ETAPA",OFFSET(C39,-1,0)+1,OFFSET(C39,-1,0)))</f>
        <v/>
      </c>
      <c r="D39" s="35">
        <f>IF(H39="ETAPA",0,IF(H39="SUBETAPA",OFFSET(D39,-1,0)+1,OFFSET(D39,-1,0)))</f>
        <v/>
      </c>
      <c r="E39" s="35">
        <f>IF(H39="Subetapa",0,IF(H39="serviço",OFFSET(E39,-1,0)+1,OFFSET(E39,-1,0)))</f>
        <v/>
      </c>
      <c r="F39" s="1" t="n"/>
      <c r="G39" s="43" t="n"/>
      <c r="H39" s="44" t="inlineStr">
        <is>
          <t>SERVIÇO</t>
        </is>
      </c>
      <c r="I39" s="45">
        <f>IF(H39="Unidade Construtiva",TEXT(A39,"00"),IF(H39="Célula Construtiva",TEXT(B39,"00"),IF(H39="Etapa",CONCATENATE(TEXT(B39,"00"),".",TEXT(C39,"000")),IF(H39="Subetapa",CONCATENATE(TEXT(B39,"00"),".",TEXT(C39,"000"),".",TEXT(D39,"000")),IF(H39="Serviço",CONCATENATE(TEXT(B39,"00"),".",TEXT(C39,"000"),".",TEXT(D39,"000"),".",TEXT(E39,"000")),"")))))</f>
        <v/>
      </c>
      <c r="J39" s="51" t="inlineStr">
        <is>
          <t>Aprovação e legalização elétrico</t>
        </is>
      </c>
      <c r="K39" s="48">
        <f>_xlfn.XLOOKUP($J39,BASES!$A$12:$A$392,BASES!$C$12:$C$392)</f>
        <v/>
      </c>
      <c r="L39" s="48">
        <f>_xlfn.XLOOKUP($J39,BASES!$A$12:$A$392,BASES!$D$12:$D$392)</f>
        <v/>
      </c>
      <c r="M39" s="48">
        <f>_xlfn.XLOOKUP($J39,BASES!$A$1:$A$2289,BASES!$E$1:$E$2289)</f>
        <v/>
      </c>
      <c r="N39" s="49">
        <f>IF(H39="Serviço",M39*L39,IF(H39="CÉLULA CONSTRUTIVA",SUMIFS($N$8:$N$467,$B$8:$B$467,B39,$H$8:$H$467,"Serviço"),IF(H39="ETAPA",SUMIFS($N$8:$N$467,$B$8:$B$467,B39,$C$8:$C$467,C39,$H$8:$H$467,"Serviço"),IF(H39="SUBETAPA",SUMIFS($N$8:$N$467,$B$8:$B$467,B39,$C$8:$C$467,C39,$D$8:$D$467,D39,$H$8:$H$467,"Serviço"),0))))</f>
        <v/>
      </c>
      <c r="O39" s="48">
        <f>_xlfn.XLOOKUP($J39,BASES!$A$12:$A$392,BASES!$F$12:$F$392)</f>
        <v/>
      </c>
      <c r="P39" s="52" t="n"/>
      <c r="Q39" s="52" t="n"/>
    </row>
    <row r="40">
      <c r="A40" s="34">
        <f>IF($H40="UNIDADE CONSTRUTIVA",OFFSET(A40,-1,0)+1,LARGE(A$3:A39,1))</f>
        <v/>
      </c>
      <c r="B40" s="34">
        <f>IF(H40="UNIDADE CONSTRUTIVA",0,IF(H40="CÉLULA CONSTRUTIVA",OFFSET(B40,-1,0)+1,OFFSET(B40,-1,0)))</f>
        <v/>
      </c>
      <c r="C40" s="34">
        <f>IF(H40="CÉLULA CONSTRUTIVA",0,IF(H40="ETAPA",OFFSET(C40,-1,0)+1,OFFSET(C40,-1,0)))</f>
        <v/>
      </c>
      <c r="D40" s="35">
        <f>IF(H40="ETAPA",0,IF(H40="SUBETAPA",OFFSET(D40,-1,0)+1,OFFSET(D40,-1,0)))</f>
        <v/>
      </c>
      <c r="E40" s="35">
        <f>IF(H40="Subetapa",0,IF(H40="serviço",OFFSET(E40,-1,0)+1,OFFSET(E40,-1,0)))</f>
        <v/>
      </c>
      <c r="F40" s="1" t="n"/>
      <c r="G40" s="43" t="n"/>
      <c r="H40" s="44" t="inlineStr">
        <is>
          <t>SERVIÇO</t>
        </is>
      </c>
      <c r="I40" s="45">
        <f>IF(H40="Unidade Construtiva",TEXT(A40,"00"),IF(H40="Célula Construtiva",TEXT(B40,"00"),IF(H40="Etapa",CONCATENATE(TEXT(B40,"00"),".",TEXT(C40,"000")),IF(H40="Subetapa",CONCATENATE(TEXT(B40,"00"),".",TEXT(C40,"000"),".",TEXT(D40,"000")),IF(H40="Serviço",CONCATENATE(TEXT(B40,"00"),".",TEXT(C40,"000"),".",TEXT(D40,"000"),".",TEXT(E40,"000")),"")))))</f>
        <v/>
      </c>
      <c r="J40" s="51" t="inlineStr">
        <is>
          <t>Aprovação e legalização bombeiros</t>
        </is>
      </c>
      <c r="K40" s="48">
        <f>_xlfn.XLOOKUP($J40,BASES!$A$12:$A$392,BASES!$C$12:$C$392)</f>
        <v/>
      </c>
      <c r="L40" s="48">
        <f>_xlfn.XLOOKUP($J40,BASES!$A$12:$A$392,BASES!$D$12:$D$392)</f>
        <v/>
      </c>
      <c r="M40" s="48">
        <f>_xlfn.XLOOKUP($J40,BASES!$A$1:$A$2289,BASES!$E$1:$E$2289)</f>
        <v/>
      </c>
      <c r="N40" s="49">
        <f>IF(H40="Serviço",M40*L40,IF(H40="CÉLULA CONSTRUTIVA",SUMIFS($N$8:$N$467,$B$8:$B$467,B40,$H$8:$H$467,"Serviço"),IF(H40="ETAPA",SUMIFS($N$8:$N$467,$B$8:$B$467,B40,$C$8:$C$467,C40,$H$8:$H$467,"Serviço"),IF(H40="SUBETAPA",SUMIFS($N$8:$N$467,$B$8:$B$467,B40,$C$8:$C$467,C40,$D$8:$D$467,D40,$H$8:$H$467,"Serviço"),0))))</f>
        <v/>
      </c>
      <c r="O40" s="48">
        <f>_xlfn.XLOOKUP($J40,BASES!$A$12:$A$392,BASES!$F$12:$F$392)</f>
        <v/>
      </c>
      <c r="P40" s="52" t="n"/>
      <c r="Q40" s="52" t="n"/>
    </row>
    <row r="41">
      <c r="A41" s="34">
        <f>IF($H41="UNIDADE CONSTRUTIVA",OFFSET(A41,-1,0)+1,LARGE(A$3:A40,1))</f>
        <v/>
      </c>
      <c r="B41" s="34">
        <f>IF(H41="UNIDADE CONSTRUTIVA",0,IF(H41="CÉLULA CONSTRUTIVA",OFFSET(B41,-1,0)+1,OFFSET(B41,-1,0)))</f>
        <v/>
      </c>
      <c r="C41" s="34">
        <f>IF(H41="CÉLULA CONSTRUTIVA",0,IF(H41="ETAPA",OFFSET(C41,-1,0)+1,OFFSET(C41,-1,0)))</f>
        <v/>
      </c>
      <c r="D41" s="35">
        <f>IF(H41="ETAPA",0,IF(H41="SUBETAPA",OFFSET(D41,-1,0)+1,OFFSET(D41,-1,0)))</f>
        <v/>
      </c>
      <c r="E41" s="35">
        <f>IF(H41="Subetapa",0,IF(H41="serviço",OFFSET(E41,-1,0)+1,OFFSET(E41,-1,0)))</f>
        <v/>
      </c>
      <c r="F41" s="1" t="n"/>
      <c r="G41" s="43" t="n"/>
      <c r="H41" s="44" t="inlineStr">
        <is>
          <t>SERVIÇO</t>
        </is>
      </c>
      <c r="I41" s="45">
        <f>IF(H41="Unidade Construtiva",TEXT(A41,"00"),IF(H41="Célula Construtiva",TEXT(B41,"00"),IF(H41="Etapa",CONCATENATE(TEXT(B41,"00"),".",TEXT(C41,"000")),IF(H41="Subetapa",CONCATENATE(TEXT(B41,"00"),".",TEXT(C41,"000"),".",TEXT(D41,"000")),IF(H41="Serviço",CONCATENATE(TEXT(B41,"00"),".",TEXT(C41,"000"),".",TEXT(D41,"000"),".",TEXT(E41,"000")),"")))))</f>
        <v/>
      </c>
      <c r="J41" s="51" t="inlineStr">
        <is>
          <t>Taxas ART</t>
        </is>
      </c>
      <c r="K41" s="48">
        <f>_xlfn.XLOOKUP($J41,BASES!$A$12:$A$392,BASES!$C$12:$C$392)</f>
        <v/>
      </c>
      <c r="L41" s="48">
        <f>_xlfn.XLOOKUP($J41,BASES!$A$12:$A$392,BASES!$D$12:$D$392)</f>
        <v/>
      </c>
      <c r="M41" s="48">
        <f>_xlfn.XLOOKUP($J41,BASES!$A$1:$A$2289,BASES!$E$1:$E$2289)</f>
        <v/>
      </c>
      <c r="N41" s="49">
        <f>IF(H41="Serviço",M41*L41,IF(H41="CÉLULA CONSTRUTIVA",SUMIFS($N$8:$N$467,$B$8:$B$467,B41,$H$8:$H$467,"Serviço"),IF(H41="ETAPA",SUMIFS($N$8:$N$467,$B$8:$B$467,B41,$C$8:$C$467,C41,$H$8:$H$467,"Serviço"),IF(H41="SUBETAPA",SUMIFS($N$8:$N$467,$B$8:$B$467,B41,$C$8:$C$467,C41,$D$8:$D$467,D41,$H$8:$H$467,"Serviço"),0))))</f>
        <v/>
      </c>
      <c r="O41" s="48">
        <f>_xlfn.XLOOKUP($J41,BASES!$A$12:$A$392,BASES!$F$12:$F$392)</f>
        <v/>
      </c>
      <c r="P41" s="52" t="n"/>
      <c r="Q41" s="52" t="n"/>
    </row>
    <row r="42">
      <c r="A42" s="34">
        <f>IF($H42="UNIDADE CONSTRUTIVA",OFFSET(A42,-1,0)+1,LARGE(A$3:A41,1))</f>
        <v/>
      </c>
      <c r="B42" s="34">
        <f>IF(H42="UNIDADE CONSTRUTIVA",0,IF(H42="CÉLULA CONSTRUTIVA",OFFSET(B42,-1,0)+1,OFFSET(B42,-1,0)))</f>
        <v/>
      </c>
      <c r="C42" s="34">
        <f>IF(H42="CÉLULA CONSTRUTIVA",0,IF(H42="ETAPA",OFFSET(C42,-1,0)+1,OFFSET(C42,-1,0)))</f>
        <v/>
      </c>
      <c r="D42" s="35">
        <f>IF(H42="ETAPA",0,IF(H42="SUBETAPA",OFFSET(D42,-1,0)+1,OFFSET(D42,-1,0)))</f>
        <v/>
      </c>
      <c r="E42" s="35">
        <f>IF(H42="Subetapa",0,IF(H42="serviço",OFFSET(E42,-1,0)+1,OFFSET(E42,-1,0)))</f>
        <v/>
      </c>
      <c r="F42" s="1" t="n"/>
      <c r="G42" s="43" t="n"/>
      <c r="H42" s="44" t="inlineStr">
        <is>
          <t>SERVIÇO</t>
        </is>
      </c>
      <c r="I42" s="45">
        <f>IF(H42="Unidade Construtiva",TEXT(A42,"00"),IF(H42="Célula Construtiva",TEXT(B42,"00"),IF(H42="Etapa",CONCATENATE(TEXT(B42,"00"),".",TEXT(C42,"000")),IF(H42="Subetapa",CONCATENATE(TEXT(B42,"00"),".",TEXT(C42,"000"),".",TEXT(D42,"000")),IF(H42="Serviço",CONCATENATE(TEXT(B42,"00"),".",TEXT(C42,"000"),".",TEXT(D42,"000"),".",TEXT(E42,"000")),"")))))</f>
        <v/>
      </c>
      <c r="J42" s="51" t="inlineStr">
        <is>
          <t>Taxas alvará</t>
        </is>
      </c>
      <c r="K42" s="48">
        <f>_xlfn.XLOOKUP($J42,BASES!$A$12:$A$392,BASES!$C$12:$C$392)</f>
        <v/>
      </c>
      <c r="L42" s="48">
        <f>_xlfn.XLOOKUP($J42,BASES!$A$12:$A$392,BASES!$D$12:$D$392)</f>
        <v/>
      </c>
      <c r="M42" s="48">
        <f>_xlfn.XLOOKUP($J42,BASES!$A$1:$A$2289,BASES!$E$1:$E$2289)</f>
        <v/>
      </c>
      <c r="N42" s="49">
        <f>IF(H42="Serviço",M42*L42,IF(H42="CÉLULA CONSTRUTIVA",SUMIFS($N$8:$N$467,$B$8:$B$467,B42,$H$8:$H$467,"Serviço"),IF(H42="ETAPA",SUMIFS($N$8:$N$467,$B$8:$B$467,B42,$C$8:$C$467,C42,$H$8:$H$467,"Serviço"),IF(H42="SUBETAPA",SUMIFS($N$8:$N$467,$B$8:$B$467,B42,$C$8:$C$467,C42,$D$8:$D$467,D42,$H$8:$H$467,"Serviço"),0))))</f>
        <v/>
      </c>
      <c r="O42" s="48">
        <f>_xlfn.XLOOKUP($J42,BASES!$A$12:$A$392,BASES!$F$12:$F$392)</f>
        <v/>
      </c>
      <c r="P42" s="52" t="n"/>
      <c r="Q42" s="52" t="n"/>
    </row>
    <row r="43">
      <c r="A43" s="34">
        <f>IF($H43="UNIDADE CONSTRUTIVA",OFFSET(A43,-1,0)+1,LARGE(A$3:A42,1))</f>
        <v/>
      </c>
      <c r="B43" s="34">
        <f>IF(H43="UNIDADE CONSTRUTIVA",0,IF(H43="CÉLULA CONSTRUTIVA",OFFSET(B43,-1,0)+1,OFFSET(B43,-1,0)))</f>
        <v/>
      </c>
      <c r="C43" s="34">
        <f>IF(H43="CÉLULA CONSTRUTIVA",0,IF(H43="ETAPA",OFFSET(C43,-1,0)+1,OFFSET(C43,-1,0)))</f>
        <v/>
      </c>
      <c r="D43" s="35">
        <f>IF(H43="ETAPA",0,IF(H43="SUBETAPA",OFFSET(D43,-1,0)+1,OFFSET(D43,-1,0)))</f>
        <v/>
      </c>
      <c r="E43" s="35">
        <f>IF(H43="Subetapa",0,IF(H43="serviço",OFFSET(E43,-1,0)+1,OFFSET(E43,-1,0)))</f>
        <v/>
      </c>
      <c r="F43" s="1" t="n"/>
      <c r="G43" s="43" t="n"/>
      <c r="H43" s="44" t="inlineStr">
        <is>
          <t>SERVIÇO</t>
        </is>
      </c>
      <c r="I43" s="45">
        <f>IF(H43="Unidade Construtiva",TEXT(A43,"00"),IF(H43="Célula Construtiva",TEXT(B43,"00"),IF(H43="Etapa",CONCATENATE(TEXT(B43,"00"),".",TEXT(C43,"000")),IF(H43="Subetapa",CONCATENATE(TEXT(B43,"00"),".",TEXT(C43,"000"),".",TEXT(D43,"000")),IF(H43="Serviço",CONCATENATE(TEXT(B43,"00"),".",TEXT(C43,"000"),".",TEXT(D43,"000"),".",TEXT(E43,"000")),"")))))</f>
        <v/>
      </c>
      <c r="J43" s="51" t="inlineStr">
        <is>
          <t>Taxa Renovação Alvará de Construção</t>
        </is>
      </c>
      <c r="K43" s="48">
        <f>_xlfn.XLOOKUP($J43,BASES!$A$12:$A$392,BASES!$C$12:$C$392)</f>
        <v/>
      </c>
      <c r="L43" s="48">
        <f>_xlfn.XLOOKUP($J43,BASES!$A$12:$A$392,BASES!$D$12:$D$392)</f>
        <v/>
      </c>
      <c r="M43" s="48">
        <f>_xlfn.XLOOKUP($J43,BASES!$A$1:$A$2289,BASES!$E$1:$E$2289)</f>
        <v/>
      </c>
      <c r="N43" s="49">
        <f>IF(H43="Serviço",M43*L43,IF(H43="CÉLULA CONSTRUTIVA",SUMIFS($N$8:$N$467,$B$8:$B$467,B43,$H$8:$H$467,"Serviço"),IF(H43="ETAPA",SUMIFS($N$8:$N$467,$B$8:$B$467,B43,$C$8:$C$467,C43,$H$8:$H$467,"Serviço"),IF(H43="SUBETAPA",SUMIFS($N$8:$N$467,$B$8:$B$467,B43,$C$8:$C$467,C43,$D$8:$D$467,D43,$H$8:$H$467,"Serviço"),0))))</f>
        <v/>
      </c>
      <c r="O43" s="48">
        <f>_xlfn.XLOOKUP($J43,BASES!$A$12:$A$392,BASES!$F$12:$F$392)</f>
        <v/>
      </c>
      <c r="P43" s="52" t="n"/>
      <c r="Q43" s="52" t="n"/>
    </row>
    <row r="44">
      <c r="A44" s="34">
        <f>IF($H44="UNIDADE CONSTRUTIVA",OFFSET(A44,-1,0)+1,LARGE(A$3:A43,1))</f>
        <v/>
      </c>
      <c r="B44" s="34">
        <f>IF(H44="UNIDADE CONSTRUTIVA",0,IF(H44="CÉLULA CONSTRUTIVA",OFFSET(B44,-1,0)+1,OFFSET(B44,-1,0)))</f>
        <v/>
      </c>
      <c r="C44" s="34">
        <f>IF(H44="CÉLULA CONSTRUTIVA",0,IF(H44="ETAPA",OFFSET(C44,-1,0)+1,OFFSET(C44,-1,0)))</f>
        <v/>
      </c>
      <c r="D44" s="35">
        <f>IF(H44="ETAPA",0,IF(H44="SUBETAPA",OFFSET(D44,-1,0)+1,OFFSET(D44,-1,0)))</f>
        <v/>
      </c>
      <c r="E44" s="35">
        <f>IF(H44="Subetapa",0,IF(H44="serviço",OFFSET(E44,-1,0)+1,OFFSET(E44,-1,0)))</f>
        <v/>
      </c>
      <c r="F44" s="1" t="n"/>
      <c r="G44" s="43" t="n"/>
      <c r="H44" s="44" t="inlineStr">
        <is>
          <t>SERVIÇO</t>
        </is>
      </c>
      <c r="I44" s="45">
        <f>IF(H44="Unidade Construtiva",TEXT(A44,"00"),IF(H44="Célula Construtiva",TEXT(B44,"00"),IF(H44="Etapa",CONCATENATE(TEXT(B44,"00"),".",TEXT(C44,"000")),IF(H44="Subetapa",CONCATENATE(TEXT(B44,"00"),".",TEXT(C44,"000"),".",TEXT(D44,"000")),IF(H44="Serviço",CONCATENATE(TEXT(B44,"00"),".",TEXT(C44,"000"),".",TEXT(D44,"000"),".",TEXT(E44,"000")),"")))))</f>
        <v/>
      </c>
      <c r="J44" s="51" t="inlineStr">
        <is>
          <t>Taxas de Alvará de Demolição</t>
        </is>
      </c>
      <c r="K44" s="48">
        <f>_xlfn.XLOOKUP($J44,BASES!$A$12:$A$392,BASES!$C$12:$C$392)</f>
        <v/>
      </c>
      <c r="L44" s="48">
        <f>_xlfn.XLOOKUP($J44,BASES!$A$12:$A$392,BASES!$D$12:$D$392)</f>
        <v/>
      </c>
      <c r="M44" s="48">
        <f>_xlfn.XLOOKUP($J44,BASES!$A$1:$A$2289,BASES!$E$1:$E$2289)</f>
        <v/>
      </c>
      <c r="N44" s="49">
        <f>IF(H44="Serviço",M44*L44,IF(H44="CÉLULA CONSTRUTIVA",SUMIFS($N$8:$N$467,$B$8:$B$467,B44,$H$8:$H$467,"Serviço"),IF(H44="ETAPA",SUMIFS($N$8:$N$467,$B$8:$B$467,B44,$C$8:$C$467,C44,$H$8:$H$467,"Serviço"),IF(H44="SUBETAPA",SUMIFS($N$8:$N$467,$B$8:$B$467,B44,$C$8:$C$467,C44,$D$8:$D$467,D44,$H$8:$H$467,"Serviço"),0))))</f>
        <v/>
      </c>
      <c r="O44" s="48">
        <f>_xlfn.XLOOKUP($J44,BASES!$A$12:$A$392,BASES!$F$12:$F$392)</f>
        <v/>
      </c>
      <c r="P44" s="52" t="n"/>
      <c r="Q44" s="52" t="n"/>
    </row>
    <row r="45">
      <c r="A45" s="34">
        <f>IF($H45="UNIDADE CONSTRUTIVA",OFFSET(A45,-1,0)+1,LARGE(A$3:A44,1))</f>
        <v/>
      </c>
      <c r="B45" s="34">
        <f>IF(H45="UNIDADE CONSTRUTIVA",0,IF(H45="CÉLULA CONSTRUTIVA",OFFSET(B45,-1,0)+1,OFFSET(B45,-1,0)))</f>
        <v/>
      </c>
      <c r="C45" s="34">
        <f>IF(H45="CÉLULA CONSTRUTIVA",0,IF(H45="ETAPA",OFFSET(C45,-1,0)+1,OFFSET(C45,-1,0)))</f>
        <v/>
      </c>
      <c r="D45" s="35">
        <f>IF(H45="ETAPA",0,IF(H45="SUBETAPA",OFFSET(D45,-1,0)+1,OFFSET(D45,-1,0)))</f>
        <v/>
      </c>
      <c r="E45" s="35">
        <f>IF(H45="Subetapa",0,IF(H45="serviço",OFFSET(E45,-1,0)+1,OFFSET(E45,-1,0)))</f>
        <v/>
      </c>
      <c r="F45" s="1" t="n"/>
      <c r="G45" s="43" t="n"/>
      <c r="H45" s="44" t="inlineStr">
        <is>
          <t>SERVIÇO</t>
        </is>
      </c>
      <c r="I45" s="45">
        <f>IF(H45="Unidade Construtiva",TEXT(A45,"00"),IF(H45="Célula Construtiva",TEXT(B45,"00"),IF(H45="Etapa",CONCATENATE(TEXT(B45,"00"),".",TEXT(C45,"000")),IF(H45="Subetapa",CONCATENATE(TEXT(B45,"00"),".",TEXT(C45,"000"),".",TEXT(D45,"000")),IF(H45="Serviço",CONCATENATE(TEXT(B45,"00"),".",TEXT(C45,"000"),".",TEXT(D45,"000"),".",TEXT(E45,"000")),"")))))</f>
        <v/>
      </c>
      <c r="J45" s="51" t="inlineStr">
        <is>
          <t>Despesas cartório, licenças, certidões e jurídicas</t>
        </is>
      </c>
      <c r="K45" s="48">
        <f>_xlfn.XLOOKUP($J45,BASES!$A$12:$A$392,BASES!$C$12:$C$392)</f>
        <v/>
      </c>
      <c r="L45" s="48">
        <f>_xlfn.XLOOKUP($J45,BASES!$A$12:$A$392,BASES!$D$12:$D$392)</f>
        <v/>
      </c>
      <c r="M45" s="48">
        <f>_xlfn.XLOOKUP($J45,BASES!$A$1:$A$2289,BASES!$E$1:$E$2289)</f>
        <v/>
      </c>
      <c r="N45" s="49">
        <f>IF(H45="Serviço",M45*L45,IF(H45="CÉLULA CONSTRUTIVA",SUMIFS($N$8:$N$467,$B$8:$B$467,B45,$H$8:$H$467,"Serviço"),IF(H45="ETAPA",SUMIFS($N$8:$N$467,$B$8:$B$467,B45,$C$8:$C$467,C45,$H$8:$H$467,"Serviço"),IF(H45="SUBETAPA",SUMIFS($N$8:$N$467,$B$8:$B$467,B45,$C$8:$C$467,C45,$D$8:$D$467,D45,$H$8:$H$467,"Serviço"),0))))</f>
        <v/>
      </c>
      <c r="O45" s="48">
        <f>_xlfn.XLOOKUP($J45,BASES!$A$12:$A$392,BASES!$F$12:$F$392)</f>
        <v/>
      </c>
      <c r="P45" s="52" t="n"/>
      <c r="Q45" s="52" t="n"/>
    </row>
    <row r="46">
      <c r="A46" s="34">
        <f>IF($H46="UNIDADE CONSTRUTIVA",OFFSET(A46,-1,0)+1,LARGE(A$3:A45,1))</f>
        <v/>
      </c>
      <c r="B46" s="34">
        <f>IF(H46="UNIDADE CONSTRUTIVA",0,IF(H46="CÉLULA CONSTRUTIVA",OFFSET(B46,-1,0)+1,OFFSET(B46,-1,0)))</f>
        <v/>
      </c>
      <c r="C46" s="34">
        <f>IF(H46="CÉLULA CONSTRUTIVA",0,IF(H46="ETAPA",OFFSET(C46,-1,0)+1,OFFSET(C46,-1,0)))</f>
        <v/>
      </c>
      <c r="D46" s="35">
        <f>IF(H46="ETAPA",0,IF(H46="SUBETAPA",OFFSET(D46,-1,0)+1,OFFSET(D46,-1,0)))</f>
        <v/>
      </c>
      <c r="E46" s="35">
        <f>IF(H46="Subetapa",0,IF(H46="serviço",OFFSET(E46,-1,0)+1,OFFSET(E46,-1,0)))</f>
        <v/>
      </c>
      <c r="F46" s="1" t="n"/>
      <c r="G46" s="43" t="n"/>
      <c r="H46" s="44" t="inlineStr">
        <is>
          <t>SERVIÇO</t>
        </is>
      </c>
      <c r="I46" s="45">
        <f>IF(H46="Unidade Construtiva",TEXT(A46,"00"),IF(H46="Célula Construtiva",TEXT(B46,"00"),IF(H46="Etapa",CONCATENATE(TEXT(B46,"00"),".",TEXT(C46,"000")),IF(H46="Subetapa",CONCATENATE(TEXT(B46,"00"),".",TEXT(C46,"000"),".",TEXT(D46,"000")),IF(H46="Serviço",CONCATENATE(TEXT(B46,"00"),".",TEXT(C46,"000"),".",TEXT(D46,"000"),".",TEXT(E46,"000")),"")))))</f>
        <v/>
      </c>
      <c r="J46" s="51" t="inlineStr">
        <is>
          <t>Incorporação</t>
        </is>
      </c>
      <c r="K46" s="48">
        <f>_xlfn.XLOOKUP($J46,BASES!$A$12:$A$392,BASES!$C$12:$C$392)</f>
        <v/>
      </c>
      <c r="L46" s="48">
        <f>_xlfn.XLOOKUP($J46,BASES!$A$12:$A$392,BASES!$D$12:$D$392)</f>
        <v/>
      </c>
      <c r="M46" s="48">
        <f>_xlfn.XLOOKUP($J46,BASES!$A$1:$A$2289,BASES!$E$1:$E$2289)</f>
        <v/>
      </c>
      <c r="N46" s="49">
        <f>IF(H46="Serviço",M46*L46,IF(H46="CÉLULA CONSTRUTIVA",SUMIFS($N$8:$N$467,$B$8:$B$467,B46,$H$8:$H$467,"Serviço"),IF(H46="ETAPA",SUMIFS($N$8:$N$467,$B$8:$B$467,B46,$C$8:$C$467,C46,$H$8:$H$467,"Serviço"),IF(H46="SUBETAPA",SUMIFS($N$8:$N$467,$B$8:$B$467,B46,$C$8:$C$467,C46,$D$8:$D$467,D46,$H$8:$H$467,"Serviço"),0))))</f>
        <v/>
      </c>
      <c r="O46" s="48">
        <f>_xlfn.XLOOKUP($J46,BASES!$A$12:$A$392,BASES!$F$12:$F$392)</f>
        <v/>
      </c>
      <c r="P46" s="52" t="n"/>
      <c r="Q46" s="52" t="n"/>
    </row>
    <row r="47">
      <c r="A47" s="34">
        <f>IF($H47="UNIDADE CONSTRUTIVA",OFFSET(A47,-1,0)+1,LARGE(A$3:A46,1))</f>
        <v/>
      </c>
      <c r="B47" s="34">
        <f>IF(H47="UNIDADE CONSTRUTIVA",0,IF(H47="CÉLULA CONSTRUTIVA",OFFSET(B47,-1,0)+1,OFFSET(B47,-1,0)))</f>
        <v/>
      </c>
      <c r="C47" s="34">
        <f>IF(H47="CÉLULA CONSTRUTIVA",0,IF(H47="ETAPA",OFFSET(C47,-1,0)+1,OFFSET(C47,-1,0)))</f>
        <v/>
      </c>
      <c r="D47" s="35">
        <f>IF(H47="ETAPA",0,IF(H47="SUBETAPA",OFFSET(D47,-1,0)+1,OFFSET(D47,-1,0)))</f>
        <v/>
      </c>
      <c r="E47" s="35">
        <f>IF(H47="Subetapa",0,IF(H47="serviço",OFFSET(E47,-1,0)+1,OFFSET(E47,-1,0)))</f>
        <v/>
      </c>
      <c r="F47" s="1" t="n"/>
      <c r="G47" s="43" t="n"/>
      <c r="H47" s="44" t="inlineStr">
        <is>
          <t>SERVIÇO</t>
        </is>
      </c>
      <c r="I47" s="45">
        <f>IF(H47="Unidade Construtiva",TEXT(A47,"00"),IF(H47="Célula Construtiva",TEXT(B47,"00"),IF(H47="Etapa",CONCATENATE(TEXT(B47,"00"),".",TEXT(C47,"000")),IF(H47="Subetapa",CONCATENATE(TEXT(B47,"00"),".",TEXT(C47,"000"),".",TEXT(D47,"000")),IF(H47="Serviço",CONCATENATE(TEXT(B47,"00"),".",TEXT(C47,"000"),".",TEXT(D47,"000"),".",TEXT(E47,"000")),"")))))</f>
        <v/>
      </c>
      <c r="J47" s="51" t="inlineStr">
        <is>
          <t>IPTU</t>
        </is>
      </c>
      <c r="K47" s="48">
        <f>_xlfn.XLOOKUP($J47,BASES!$A$12:$A$392,BASES!$C$12:$C$392)</f>
        <v/>
      </c>
      <c r="L47" s="48">
        <f>_xlfn.XLOOKUP($J47,BASES!$A$12:$A$392,BASES!$D$12:$D$392)</f>
        <v/>
      </c>
      <c r="M47" s="48">
        <f>_xlfn.XLOOKUP($J47,BASES!$A$1:$A$2289,BASES!$E$1:$E$2289)</f>
        <v/>
      </c>
      <c r="N47" s="49">
        <f>IF(H47="Serviço",M47*L47,IF(H47="CÉLULA CONSTRUTIVA",SUMIFS($N$8:$N$467,$B$8:$B$467,B47,$H$8:$H$467,"Serviço"),IF(H47="ETAPA",SUMIFS($N$8:$N$467,$B$8:$B$467,B47,$C$8:$C$467,C47,$H$8:$H$467,"Serviço"),IF(H47="SUBETAPA",SUMIFS($N$8:$N$467,$B$8:$B$467,B47,$C$8:$C$467,C47,$D$8:$D$467,D47,$H$8:$H$467,"Serviço"),0))))</f>
        <v/>
      </c>
      <c r="O47" s="48">
        <f>_xlfn.XLOOKUP($J47,BASES!$A$12:$A$392,BASES!$F$12:$F$392)</f>
        <v/>
      </c>
      <c r="P47" s="52" t="n"/>
      <c r="Q47" s="52" t="n"/>
    </row>
    <row r="48">
      <c r="A48" s="34">
        <f>IF($H48="UNIDADE CONSTRUTIVA",OFFSET(A48,-1,0)+1,LARGE(A$3:A47,1))</f>
        <v/>
      </c>
      <c r="B48" s="34">
        <f>IF(H48="UNIDADE CONSTRUTIVA",0,IF(H48="CÉLULA CONSTRUTIVA",OFFSET(B48,-1,0)+1,OFFSET(B48,-1,0)))</f>
        <v/>
      </c>
      <c r="C48" s="34">
        <f>IF(H48="CÉLULA CONSTRUTIVA",0,IF(H48="ETAPA",OFFSET(C48,-1,0)+1,OFFSET(C48,-1,0)))</f>
        <v/>
      </c>
      <c r="D48" s="35">
        <f>IF(H48="ETAPA",0,IF(H48="SUBETAPA",OFFSET(D48,-1,0)+1,OFFSET(D48,-1,0)))</f>
        <v/>
      </c>
      <c r="E48" s="35">
        <f>IF(H48="Subetapa",0,IF(H48="serviço",OFFSET(E48,-1,0)+1,OFFSET(E48,-1,0)))</f>
        <v/>
      </c>
      <c r="F48" s="1" t="n"/>
      <c r="G48" s="43" t="n"/>
      <c r="H48" s="44" t="inlineStr">
        <is>
          <t>SERVIÇO</t>
        </is>
      </c>
      <c r="I48" s="45">
        <f>IF(H48="Unidade Construtiva",TEXT(A48,"00"),IF(H48="Célula Construtiva",TEXT(B48,"00"),IF(H48="Etapa",CONCATENATE(TEXT(B48,"00"),".",TEXT(C48,"000")),IF(H48="Subetapa",CONCATENATE(TEXT(B48,"00"),".",TEXT(C48,"000"),".",TEXT(D48,"000")),IF(H48="Serviço",CONCATENATE(TEXT(B48,"00"),".",TEXT(C48,"000"),".",TEXT(D48,"000"),".",TEXT(E48,"000")),"")))))</f>
        <v/>
      </c>
      <c r="J48" s="51" t="inlineStr">
        <is>
          <t>Taxa Habite-se</t>
        </is>
      </c>
      <c r="K48" s="48">
        <f>_xlfn.XLOOKUP($J48,BASES!$A$12:$A$392,BASES!$C$12:$C$392)</f>
        <v/>
      </c>
      <c r="L48" s="48">
        <f>_xlfn.XLOOKUP($J48,BASES!$A$12:$A$392,BASES!$D$12:$D$392)</f>
        <v/>
      </c>
      <c r="M48" s="48">
        <f>_xlfn.XLOOKUP($J48,BASES!$A$1:$A$2289,BASES!$E$1:$E$2289)</f>
        <v/>
      </c>
      <c r="N48" s="49">
        <f>IF(H48="Serviço",M48*L48,IF(H48="CÉLULA CONSTRUTIVA",SUMIFS($N$8:$N$467,$B$8:$B$467,B48,$H$8:$H$467,"Serviço"),IF(H48="ETAPA",SUMIFS($N$8:$N$467,$B$8:$B$467,B48,$C$8:$C$467,C48,$H$8:$H$467,"Serviço"),IF(H48="SUBETAPA",SUMIFS($N$8:$N$467,$B$8:$B$467,B48,$C$8:$C$467,C48,$D$8:$D$467,D48,$H$8:$H$467,"Serviço"),0))))</f>
        <v/>
      </c>
      <c r="O48" s="48">
        <f>_xlfn.XLOOKUP($J48,BASES!$A$12:$A$392,BASES!$F$12:$F$392)</f>
        <v/>
      </c>
      <c r="P48" s="52" t="n"/>
      <c r="Q48" s="52" t="n"/>
    </row>
    <row r="49">
      <c r="A49" s="34">
        <f>IF($H49="UNIDADE CONSTRUTIVA",OFFSET(A49,-1,0)+1,LARGE(A$3:A48,1))</f>
        <v/>
      </c>
      <c r="B49" s="34">
        <f>IF(H49="UNIDADE CONSTRUTIVA",0,IF(H49="CÉLULA CONSTRUTIVA",OFFSET(B49,-1,0)+1,OFFSET(B49,-1,0)))</f>
        <v/>
      </c>
      <c r="C49" s="34">
        <f>IF(H49="CÉLULA CONSTRUTIVA",0,IF(H49="ETAPA",OFFSET(C49,-1,0)+1,OFFSET(C49,-1,0)))</f>
        <v/>
      </c>
      <c r="D49" s="35">
        <f>IF(H49="ETAPA",0,IF(H49="SUBETAPA",OFFSET(D49,-1,0)+1,OFFSET(D49,-1,0)))</f>
        <v/>
      </c>
      <c r="E49" s="35">
        <f>IF(H49="Subetapa",0,IF(H49="serviço",OFFSET(E49,-1,0)+1,OFFSET(E49,-1,0)))</f>
        <v/>
      </c>
      <c r="F49" s="1" t="n"/>
      <c r="G49" s="43" t="n"/>
      <c r="H49" s="44" t="inlineStr">
        <is>
          <t>SUBETAPA</t>
        </is>
      </c>
      <c r="I49" s="45">
        <f>IF(H49="Unidade Construtiva",TEXT(A49,"00"),IF(H49="Célula Construtiva",TEXT(B49,"00"),IF(H49="Etapa",CONCATENATE(TEXT(B49,"00"),".",TEXT(C49,"000")),IF(H49="Subetapa",CONCATENATE(TEXT(B49,"00"),".",TEXT(C49,"000"),".",TEXT(D49,"000")),IF(H49="Serviço",CONCATENATE(TEXT(B49,"00"),".",TEXT(C49,"000"),".",TEXT(D49,"000"),".",TEXT(E49,"000")),"")))))</f>
        <v/>
      </c>
      <c r="J49" s="51" t="inlineStr">
        <is>
          <t>Documentos</t>
        </is>
      </c>
      <c r="K49" s="48" t="n"/>
      <c r="L49" s="48" t="n"/>
      <c r="M49" s="48" t="n"/>
      <c r="N49" s="49">
        <f>IF(H49="Serviço",M49*L49,IF(H49="CÉLULA CONSTRUTIVA",SUMIFS($N$8:$N$467,$B$8:$B$467,B49,$H$8:$H$467,"Serviço"),IF(H49="ETAPA",SUMIFS($N$8:$N$467,$B$8:$B$467,B49,$C$8:$C$467,C49,$H$8:$H$467,"Serviço"),IF(H49="SUBETAPA",SUMIFS($N$8:$N$467,$B$8:$B$467,B49,$C$8:$C$467,C49,$D$8:$D$467,D49,$H$8:$H$467,"Serviço"),0))))</f>
        <v/>
      </c>
      <c r="O49" s="50" t="n"/>
      <c r="P49" s="52" t="n"/>
      <c r="Q49" s="52" t="n"/>
    </row>
    <row r="50">
      <c r="A50" s="34">
        <f>IF($H50="UNIDADE CONSTRUTIVA",OFFSET(A50,-1,0)+1,LARGE(A$3:A49,1))</f>
        <v/>
      </c>
      <c r="B50" s="34">
        <f>IF(H50="UNIDADE CONSTRUTIVA",0,IF(H50="CÉLULA CONSTRUTIVA",OFFSET(B50,-1,0)+1,OFFSET(B50,-1,0)))</f>
        <v/>
      </c>
      <c r="C50" s="34">
        <f>IF(H50="CÉLULA CONSTRUTIVA",0,IF(H50="ETAPA",OFFSET(C50,-1,0)+1,OFFSET(C50,-1,0)))</f>
        <v/>
      </c>
      <c r="D50" s="35">
        <f>IF(H50="ETAPA",0,IF(H50="SUBETAPA",OFFSET(D50,-1,0)+1,OFFSET(D50,-1,0)))</f>
        <v/>
      </c>
      <c r="E50" s="35">
        <f>IF(H50="Subetapa",0,IF(H50="serviço",OFFSET(E50,-1,0)+1,OFFSET(E50,-1,0)))</f>
        <v/>
      </c>
      <c r="F50" s="1" t="n"/>
      <c r="G50" s="43" t="n"/>
      <c r="H50" s="44" t="inlineStr">
        <is>
          <t>SERVIÇO</t>
        </is>
      </c>
      <c r="I50" s="45">
        <f>IF(H50="Unidade Construtiva",TEXT(A50,"00"),IF(H50="Célula Construtiva",TEXT(B50,"00"),IF(H50="Etapa",CONCATENATE(TEXT(B50,"00"),".",TEXT(C50,"000")),IF(H50="Subetapa",CONCATENATE(TEXT(B50,"00"),".",TEXT(C50,"000"),".",TEXT(D50,"000")),IF(H50="Serviço",CONCATENATE(TEXT(B50,"00"),".",TEXT(C50,"000"),".",TEXT(D50,"000"),".",TEXT(E50,"000")),"")))))</f>
        <v/>
      </c>
      <c r="J50" s="51" t="inlineStr">
        <is>
          <t>As Built</t>
        </is>
      </c>
      <c r="K50" s="48">
        <f>_xlfn.XLOOKUP($J50,BASES!$A$12:$A$392,BASES!$C$12:$C$392)</f>
        <v/>
      </c>
      <c r="L50" s="48">
        <f>_xlfn.XLOOKUP($J50,BASES!$A$12:$A$392,BASES!$D$12:$D$392)</f>
        <v/>
      </c>
      <c r="M50" s="48">
        <f>_xlfn.XLOOKUP($J50,BASES!$A$1:$A$2289,BASES!$E$1:$E$2289)</f>
        <v/>
      </c>
      <c r="N50" s="49">
        <f>IF(H50="Serviço",M50*L50,IF(H50="CÉLULA CONSTRUTIVA",SUMIFS($N$8:$N$467,$B$8:$B$467,B50,$H$8:$H$467,"Serviço"),IF(H50="ETAPA",SUMIFS($N$8:$N$467,$B$8:$B$467,B50,$C$8:$C$467,C50,$H$8:$H$467,"Serviço"),IF(H50="SUBETAPA",SUMIFS($N$8:$N$467,$B$8:$B$467,B50,$C$8:$C$467,C50,$D$8:$D$467,D50,$H$8:$H$467,"Serviço"),0))))</f>
        <v/>
      </c>
      <c r="O50" s="48">
        <f>_xlfn.XLOOKUP($J50,BASES!$A$12:$A$392,BASES!$F$12:$F$392)</f>
        <v/>
      </c>
      <c r="P50" s="52" t="n"/>
      <c r="Q50" s="52" t="n"/>
    </row>
    <row r="51">
      <c r="A51" s="34">
        <f>IF($H51="UNIDADE CONSTRUTIVA",OFFSET(A51,-1,0)+1,LARGE(A$3:A50,1))</f>
        <v/>
      </c>
      <c r="B51" s="34">
        <f>IF(H51="UNIDADE CONSTRUTIVA",0,IF(H51="CÉLULA CONSTRUTIVA",OFFSET(B51,-1,0)+1,OFFSET(B51,-1,0)))</f>
        <v/>
      </c>
      <c r="C51" s="34">
        <f>IF(H51="CÉLULA CONSTRUTIVA",0,IF(H51="ETAPA",OFFSET(C51,-1,0)+1,OFFSET(C51,-1,0)))</f>
        <v/>
      </c>
      <c r="D51" s="35">
        <f>IF(H51="ETAPA",0,IF(H51="SUBETAPA",OFFSET(D51,-1,0)+1,OFFSET(D51,-1,0)))</f>
        <v/>
      </c>
      <c r="E51" s="35">
        <f>IF(H51="Subetapa",0,IF(H51="serviço",OFFSET(E51,-1,0)+1,OFFSET(E51,-1,0)))</f>
        <v/>
      </c>
      <c r="F51" s="1" t="n"/>
      <c r="G51" s="43" t="n"/>
      <c r="H51" s="44" t="inlineStr">
        <is>
          <t>SERVIÇO</t>
        </is>
      </c>
      <c r="I51" s="45">
        <f>IF(H51="Unidade Construtiva",TEXT(A51,"00"),IF(H51="Célula Construtiva",TEXT(B51,"00"),IF(H51="Etapa",CONCATENATE(TEXT(B51,"00"),".",TEXT(C51,"000")),IF(H51="Subetapa",CONCATENATE(TEXT(B51,"00"),".",TEXT(C51,"000"),".",TEXT(D51,"000")),IF(H51="Serviço",CONCATENATE(TEXT(B51,"00"),".",TEXT(C51,"000"),".",TEXT(D51,"000"),".",TEXT(E51,"000")),"")))))</f>
        <v/>
      </c>
      <c r="J51" s="51" t="inlineStr">
        <is>
          <t>Laudo técnico de vistoria de entrega</t>
        </is>
      </c>
      <c r="K51" s="48">
        <f>_xlfn.XLOOKUP($J51,BASES!$A$12:$A$392,BASES!$C$12:$C$392)</f>
        <v/>
      </c>
      <c r="L51" s="48">
        <f>_xlfn.XLOOKUP($J51,BASES!$A$12:$A$392,BASES!$D$12:$D$392)</f>
        <v/>
      </c>
      <c r="M51" s="48">
        <f>_xlfn.XLOOKUP($J51,BASES!$A$1:$A$2289,BASES!$E$1:$E$2289)</f>
        <v/>
      </c>
      <c r="N51" s="49">
        <f>IF(H51="Serviço",M51*L51,IF(H51="CÉLULA CONSTRUTIVA",SUMIFS($N$8:$N$467,$B$8:$B$467,B51,$H$8:$H$467,"Serviço"),IF(H51="ETAPA",SUMIFS($N$8:$N$467,$B$8:$B$467,B51,$C$8:$C$467,C51,$H$8:$H$467,"Serviço"),IF(H51="SUBETAPA",SUMIFS($N$8:$N$467,$B$8:$B$467,B51,$C$8:$C$467,C51,$D$8:$D$467,D51,$H$8:$H$467,"Serviço"),0))))</f>
        <v/>
      </c>
      <c r="O51" s="48">
        <f>_xlfn.XLOOKUP($J51,BASES!$A$12:$A$392,BASES!$F$12:$F$392)</f>
        <v/>
      </c>
      <c r="P51" s="52" t="n"/>
      <c r="Q51" s="52" t="n"/>
    </row>
    <row r="52">
      <c r="A52" s="34">
        <f>IF($H52="UNIDADE CONSTRUTIVA",OFFSET(A52,-1,0)+1,LARGE(A$3:A51,1))</f>
        <v/>
      </c>
      <c r="B52" s="34">
        <f>IF(H52="UNIDADE CONSTRUTIVA",0,IF(H52="CÉLULA CONSTRUTIVA",OFFSET(B52,-1,0)+1,OFFSET(B52,-1,0)))</f>
        <v/>
      </c>
      <c r="C52" s="34">
        <f>IF(H52="CÉLULA CONSTRUTIVA",0,IF(H52="ETAPA",OFFSET(C52,-1,0)+1,OFFSET(C52,-1,0)))</f>
        <v/>
      </c>
      <c r="D52" s="35">
        <f>IF(H52="ETAPA",0,IF(H52="SUBETAPA",OFFSET(D52,-1,0)+1,OFFSET(D52,-1,0)))</f>
        <v/>
      </c>
      <c r="E52" s="35">
        <f>IF(H52="Subetapa",0,IF(H52="serviço",OFFSET(E52,-1,0)+1,OFFSET(E52,-1,0)))</f>
        <v/>
      </c>
      <c r="F52" s="1" t="n"/>
      <c r="G52" s="43" t="n"/>
      <c r="H52" s="44" t="inlineStr">
        <is>
          <t>SERVIÇO</t>
        </is>
      </c>
      <c r="I52" s="45">
        <f>IF(H52="Unidade Construtiva",TEXT(A52,"00"),IF(H52="Célula Construtiva",TEXT(B52,"00"),IF(H52="Etapa",CONCATENATE(TEXT(B52,"00"),".",TEXT(C52,"000")),IF(H52="Subetapa",CONCATENATE(TEXT(B52,"00"),".",TEXT(C52,"000"),".",TEXT(D52,"000")),IF(H52="Serviço",CONCATENATE(TEXT(B52,"00"),".",TEXT(C52,"000"),".",TEXT(D52,"000"),".",TEXT(E52,"000")),"")))))</f>
        <v/>
      </c>
      <c r="J52" s="51" t="inlineStr">
        <is>
          <t>Manuais técnicos condomínio/proprietários</t>
        </is>
      </c>
      <c r="K52" s="48">
        <f>_xlfn.XLOOKUP($J52,BASES!$A$12:$A$392,BASES!$C$12:$C$392)</f>
        <v/>
      </c>
      <c r="L52" s="48">
        <f>_xlfn.XLOOKUP($J52,BASES!$A$12:$A$392,BASES!$D$12:$D$392)</f>
        <v/>
      </c>
      <c r="M52" s="48">
        <f>_xlfn.XLOOKUP($J52,BASES!$A$1:$A$2289,BASES!$E$1:$E$2289)</f>
        <v/>
      </c>
      <c r="N52" s="49">
        <f>IF(H52="Serviço",M52*L52,IF(H52="CÉLULA CONSTRUTIVA",SUMIFS($N$8:$N$467,$B$8:$B$467,B52,$H$8:$H$467,"Serviço"),IF(H52="ETAPA",SUMIFS($N$8:$N$467,$B$8:$B$467,B52,$C$8:$C$467,C52,$H$8:$H$467,"Serviço"),IF(H52="SUBETAPA",SUMIFS($N$8:$N$467,$B$8:$B$467,B52,$C$8:$C$467,C52,$D$8:$D$467,D52,$H$8:$H$467,"Serviço"),0))))</f>
        <v/>
      </c>
      <c r="O52" s="48">
        <f>_xlfn.XLOOKUP($J52,BASES!$A$12:$A$392,BASES!$F$12:$F$392)</f>
        <v/>
      </c>
      <c r="P52" s="52" t="n"/>
      <c r="Q52" s="52" t="n"/>
    </row>
    <row r="53">
      <c r="A53" s="34">
        <f>IF($H53="UNIDADE CONSTRUTIVA",OFFSET(A53,-1,0)+1,LARGE(A$3:A52,1))</f>
        <v/>
      </c>
      <c r="B53" s="34">
        <f>IF(H53="UNIDADE CONSTRUTIVA",0,IF(H53="CÉLULA CONSTRUTIVA",OFFSET(B53,-1,0)+1,OFFSET(B53,-1,0)))</f>
        <v/>
      </c>
      <c r="C53" s="34">
        <f>IF(H53="CÉLULA CONSTRUTIVA",0,IF(H53="ETAPA",OFFSET(C53,-1,0)+1,OFFSET(C53,-1,0)))</f>
        <v/>
      </c>
      <c r="D53" s="35">
        <f>IF(H53="ETAPA",0,IF(H53="SUBETAPA",OFFSET(D53,-1,0)+1,OFFSET(D53,-1,0)))</f>
        <v/>
      </c>
      <c r="E53" s="35">
        <f>IF(H53="Subetapa",0,IF(H53="serviço",OFFSET(E53,-1,0)+1,OFFSET(E53,-1,0)))</f>
        <v/>
      </c>
      <c r="F53" s="1" t="n"/>
      <c r="G53" s="43" t="n"/>
      <c r="H53" s="44" t="inlineStr">
        <is>
          <t>SERVIÇO</t>
        </is>
      </c>
      <c r="I53" s="45">
        <f>IF(H53="Unidade Construtiva",TEXT(A53,"00"),IF(H53="Célula Construtiva",TEXT(B53,"00"),IF(H53="Etapa",CONCATENATE(TEXT(B53,"00"),".",TEXT(C53,"000")),IF(H53="Subetapa",CONCATENATE(TEXT(B53,"00"),".",TEXT(C53,"000"),".",TEXT(D53,"000")),IF(H53="Serviço",CONCATENATE(TEXT(B53,"00"),".",TEXT(C53,"000"),".",TEXT(D53,"000"),".",TEXT(E53,"000")),"")))))</f>
        <v/>
      </c>
      <c r="J53" s="51" t="inlineStr">
        <is>
          <t>Certidão INSS</t>
        </is>
      </c>
      <c r="K53" s="48">
        <f>_xlfn.XLOOKUP($J53,BASES!$A$12:$A$392,BASES!$C$12:$C$392)</f>
        <v/>
      </c>
      <c r="L53" s="48">
        <f>_xlfn.XLOOKUP($J53,BASES!$A$12:$A$392,BASES!$D$12:$D$392)</f>
        <v/>
      </c>
      <c r="M53" s="48">
        <f>_xlfn.XLOOKUP($J53,BASES!$A$1:$A$2289,BASES!$E$1:$E$2289)</f>
        <v/>
      </c>
      <c r="N53" s="49">
        <f>IF(H53="Serviço",M53*L53,IF(H53="CÉLULA CONSTRUTIVA",SUMIFS($N$8:$N$467,$B$8:$B$467,B53,$H$8:$H$467,"Serviço"),IF(H53="ETAPA",SUMIFS($N$8:$N$467,$B$8:$B$467,B53,$C$8:$C$467,C53,$H$8:$H$467,"Serviço"),IF(H53="SUBETAPA",SUMIFS($N$8:$N$467,$B$8:$B$467,B53,$C$8:$C$467,C53,$D$8:$D$467,D53,$H$8:$H$467,"Serviço"),0))))</f>
        <v/>
      </c>
      <c r="O53" s="48">
        <f>_xlfn.XLOOKUP($J53,BASES!$A$12:$A$392,BASES!$F$12:$F$392)</f>
        <v/>
      </c>
      <c r="P53" s="52" t="n"/>
      <c r="Q53" s="52" t="n"/>
    </row>
    <row r="54">
      <c r="A54" s="34">
        <f>IF($H54="UNIDADE CONSTRUTIVA",OFFSET(A54,-1,0)+1,LARGE(A$3:A53,1))</f>
        <v/>
      </c>
      <c r="B54" s="34">
        <f>IF(H54="UNIDADE CONSTRUTIVA",0,IF(H54="CÉLULA CONSTRUTIVA",OFFSET(B54,-1,0)+1,OFFSET(B54,-1,0)))</f>
        <v/>
      </c>
      <c r="C54" s="34">
        <f>IF(H54="CÉLULA CONSTRUTIVA",0,IF(H54="ETAPA",OFFSET(C54,-1,0)+1,OFFSET(C54,-1,0)))</f>
        <v/>
      </c>
      <c r="D54" s="35">
        <f>IF(H54="ETAPA",0,IF(H54="SUBETAPA",OFFSET(D54,-1,0)+1,OFFSET(D54,-1,0)))</f>
        <v/>
      </c>
      <c r="E54" s="35">
        <f>IF(H54="Subetapa",0,IF(H54="serviço",OFFSET(E54,-1,0)+1,OFFSET(E54,-1,0)))</f>
        <v/>
      </c>
      <c r="F54" s="1" t="n"/>
      <c r="G54" s="43" t="n"/>
      <c r="H54" s="44" t="inlineStr">
        <is>
          <t>CÉLULA CONSTRUTIVA</t>
        </is>
      </c>
      <c r="I54" s="53">
        <f>IF(H54="Unidade Construtiva",TEXT(A54,"00"),IF(H54="Célula Construtiva",TEXT(B54,"00"),IF(H54="Etapa",CONCATENATE(TEXT(B54,"00"),".",TEXT(C54,"000")),IF(H54="Subetapa",CONCATENATE(TEXT(B54,"00"),".",TEXT(C54,"000"),".",TEXT(D54,"000")),IF(H54="Serviço",CONCATENATE(TEXT(B54,"00"),".",TEXT(C54,"000"),".",TEXT(D54,"000"),".",TEXT(E54,"000")),"")))))</f>
        <v/>
      </c>
      <c r="J54" s="46" t="inlineStr">
        <is>
          <t>SERVIÇOS INICIAIS</t>
        </is>
      </c>
      <c r="K54" s="48" t="n"/>
      <c r="L54" s="48" t="n"/>
      <c r="M54" s="48" t="n"/>
      <c r="N54" s="49">
        <f>IF(H54="Serviço",M54*L54,IF(H54="CÉLULA CONSTRUTIVA",SUMIFS($N$8:$N$442,$B$8:$B$442,B54,$H$8:$H$442,"Serviço"),IF(H54="ETAPA",SUMIFS($N$8:$N$442,$B$8:$B$442,B54,$C$8:$C$442,C54,$H$8:$H$442,"Serviço"),IF(H54="SUBETAPA",SUMIFS($N$8:$N$442,$B$8:$B$442,B54,$C$8:$C$442,C54,$D$8:$D$442,D54,$H$8:$H$442,"Serviço"),0))))</f>
        <v/>
      </c>
      <c r="O54" s="50" t="n"/>
      <c r="P54" s="1" t="n"/>
      <c r="Q54" s="1" t="n"/>
    </row>
    <row r="55">
      <c r="A55" s="34">
        <f>IF($H55="UNIDADE CONSTRUTIVA",OFFSET(A55,-1,0)+1,LARGE(A$3:A54,1))</f>
        <v/>
      </c>
      <c r="B55" s="34">
        <f>IF(H55="UNIDADE CONSTRUTIVA",0,IF(H55="CÉLULA CONSTRUTIVA",OFFSET(B55,-1,0)+1,OFFSET(B55,-1,0)))</f>
        <v/>
      </c>
      <c r="C55" s="34">
        <f>IF(H55="CÉLULA CONSTRUTIVA",0,IF(H55="ETAPA",OFFSET(C55,-1,0)+1,OFFSET(C55,-1,0)))</f>
        <v/>
      </c>
      <c r="D55" s="35">
        <f>IF(H55="ETAPA",0,IF(H55="SUBETAPA",OFFSET(D55,-1,0)+1,OFFSET(D55,-1,0)))</f>
        <v/>
      </c>
      <c r="E55" s="35">
        <f>IF(H55="Subetapa",0,IF(H55="serviço",OFFSET(E55,-1,0)+1,OFFSET(E55,-1,0)))</f>
        <v/>
      </c>
      <c r="F55" s="1" t="n"/>
      <c r="G55" s="43" t="n"/>
      <c r="H55" s="44" t="inlineStr">
        <is>
          <t>ETAPA</t>
        </is>
      </c>
      <c r="I55" s="45">
        <f>IF(H55="Unidade Construtiva",TEXT(A55,"00"),IF(H55="Célula Construtiva",TEXT(B55,"00"),IF(H55="Etapa",CONCATENATE(TEXT(B55,"00"),".",TEXT(C55,"000")),IF(H55="Subetapa",CONCATENATE(TEXT(B55,"00"),".",TEXT(C55,"000"),".",TEXT(D55,"000")),IF(H55="Serviço",CONCATENATE(TEXT(B55,"00"),".",TEXT(C55,"000"),".",TEXT(D55,"000"),".",TEXT(E55,"000")),"")))))</f>
        <v/>
      </c>
      <c r="J55" s="46" t="inlineStr">
        <is>
          <t>SEGURANÇA, MEIO AMBIENTE E SAÚDE</t>
        </is>
      </c>
      <c r="K55" s="48" t="n"/>
      <c r="L55" s="48" t="n"/>
      <c r="M55" s="48" t="n"/>
      <c r="N55" s="49">
        <f>IF(H55="Serviço",M55*L55,IF(H55="CÉLULA CONSTRUTIVA",SUMIFS($N$8:$N$442,$B$8:$B$442,B55,$H$8:$H$442,"Serviço"),IF(H55="ETAPA",SUMIFS($N$8:$N$442,$B$8:$B$442,B55,$C$8:$C$442,C55,$H$8:$H$442,"Serviço"),IF(H55="SUBETAPA",SUMIFS($N$8:$N$442,$B$8:$B$442,B55,$C$8:$C$442,C55,$D$8:$D$442,D55,$H$8:$H$442,"Serviço"),0))))</f>
        <v/>
      </c>
      <c r="O55" s="50" t="n"/>
      <c r="P55" s="1" t="n"/>
      <c r="Q55" s="1" t="n"/>
    </row>
    <row r="56">
      <c r="A56" s="34">
        <f>IF($H56="UNIDADE CONSTRUTIVA",OFFSET(A56,-1,0)+1,LARGE(A$3:A55,1))</f>
        <v/>
      </c>
      <c r="B56" s="34">
        <f>IF(H56="UNIDADE CONSTRUTIVA",0,IF(H56="CÉLULA CONSTRUTIVA",OFFSET(B56,-1,0)+1,OFFSET(B56,-1,0)))</f>
        <v/>
      </c>
      <c r="C56" s="34">
        <f>IF(H56="CÉLULA CONSTRUTIVA",0,IF(H56="ETAPA",OFFSET(C56,-1,0)+1,OFFSET(C56,-1,0)))</f>
        <v/>
      </c>
      <c r="D56" s="35">
        <f>IF(H56="ETAPA",0,IF(H56="SUBETAPA",OFFSET(D56,-1,0)+1,OFFSET(D56,-1,0)))</f>
        <v/>
      </c>
      <c r="E56" s="35">
        <f>IF(H56="Subetapa",0,IF(H56="serviço",OFFSET(E56,-1,0)+1,OFFSET(E56,-1,0)))</f>
        <v/>
      </c>
      <c r="F56" s="1" t="n"/>
      <c r="G56" s="43" t="n"/>
      <c r="H56" s="44" t="inlineStr">
        <is>
          <t>SUBETAPA</t>
        </is>
      </c>
      <c r="I56" s="45">
        <f>IF(H56="Unidade Construtiva",TEXT(A56,"00"),IF(H56="Célula Construtiva",TEXT(B56,"00"),IF(H56="Etapa",CONCATENATE(TEXT(B56,"00"),".",TEXT(C56,"000")),IF(H56="Subetapa",CONCATENATE(TEXT(B56,"00"),".",TEXT(C56,"000"),".",TEXT(D56,"000")),IF(H56="Serviço",CONCATENATE(TEXT(B56,"00"),".",TEXT(C56,"000"),".",TEXT(D56,"000"),".",TEXT(E56,"000")),"")))))</f>
        <v/>
      </c>
      <c r="J56" s="51" t="inlineStr">
        <is>
          <t>Segurança do Trabalho</t>
        </is>
      </c>
      <c r="K56" s="48" t="n"/>
      <c r="L56" s="48" t="n"/>
      <c r="M56" s="48" t="n"/>
      <c r="N56" s="49">
        <f>IF(H56="Serviço",M56*L56,IF(H56="CÉLULA CONSTRUTIVA",SUMIFS($N$8:$N$487,$B$8:$B$487,B56,$H$8:$H$487,"Serviço"),IF(H56="ETAPA",SUMIFS($N$8:$N$487,$B$8:$B$487,B56,$C$8:$C$487,C56,$H$8:$H$487,"Serviço"),IF(H56="SUBETAPA",SUMIFS($N$8:$N$487,$B$8:$B$487,B56,$C$8:$C$487,C56,$D$8:$D$487,D56,$H$8:$H$487,"Serviço"),0))))</f>
        <v/>
      </c>
      <c r="O56" s="50" t="n"/>
      <c r="P56" s="52" t="n"/>
      <c r="Q56" s="52" t="n"/>
    </row>
    <row r="57">
      <c r="A57" s="34">
        <f>IF($H57="UNIDADE CONSTRUTIVA",OFFSET(A57,-1,0)+1,LARGE(A$3:A56,1))</f>
        <v/>
      </c>
      <c r="B57" s="34">
        <f>IF(H57="UNIDADE CONSTRUTIVA",0,IF(H57="CÉLULA CONSTRUTIVA",OFFSET(B57,-1,0)+1,OFFSET(B57,-1,0)))</f>
        <v/>
      </c>
      <c r="C57" s="34">
        <f>IF(H57="CÉLULA CONSTRUTIVA",0,IF(H57="ETAPA",OFFSET(C57,-1,0)+1,OFFSET(C57,-1,0)))</f>
        <v/>
      </c>
      <c r="D57" s="35">
        <f>IF(H57="ETAPA",0,IF(H57="SUBETAPA",OFFSET(D57,-1,0)+1,OFFSET(D57,-1,0)))</f>
        <v/>
      </c>
      <c r="E57" s="35">
        <f>IF(H57="Subetapa",0,IF(H57="serviço",OFFSET(E57,-1,0)+1,OFFSET(E57,-1,0)))</f>
        <v/>
      </c>
      <c r="F57" s="1" t="n"/>
      <c r="G57" s="43" t="n"/>
      <c r="H57" s="44" t="inlineStr">
        <is>
          <t>SERVIÇO</t>
        </is>
      </c>
      <c r="I57" s="45">
        <f>IF(H57="Unidade Construtiva",TEXT(A57,"00"),IF(H57="Célula Construtiva",TEXT(B57,"00"),IF(H57="Etapa",CONCATENATE(TEXT(B57,"00"),".",TEXT(C57,"000")),IF(H57="Subetapa",CONCATENATE(TEXT(B57,"00"),".",TEXT(C57,"000"),".",TEXT(D57,"000")),IF(H57="Serviço",CONCATENATE(TEXT(B57,"00"),".",TEXT(C57,"000"),".",TEXT(D57,"000"),".",TEXT(E57,"000")),"")))))</f>
        <v/>
      </c>
      <c r="J57" s="51" t="inlineStr">
        <is>
          <t>Serviço terceirizado de segurança do trabalho - Valor/mês (R$)</t>
        </is>
      </c>
      <c r="K57" s="48">
        <f>_xlfn.XLOOKUP($J57,BASES!$A$12:$A$392,BASES!$C$12:$C$392)</f>
        <v/>
      </c>
      <c r="L57" s="48">
        <f>_xlfn.XLOOKUP($J57,BASES!$A$12:$A$392,BASES!$D$12:$D$392)</f>
        <v/>
      </c>
      <c r="M57" s="48">
        <f>_xlfn.XLOOKUP($J57,BASES!$A$1:$A$2289,BASES!$E$1:$E$2289)</f>
        <v/>
      </c>
      <c r="N57" s="49">
        <f>IF(H57="Serviço",M57*L57,IF(H57="CÉLULA CONSTRUTIVA",SUMIFS($N$8:$N$487,$B$8:$B$487,B57,$H$8:$H$487,"Serviço"),IF(H57="ETAPA",SUMIFS($N$8:$N$487,$B$8:$B$487,B57,$C$8:$C$487,C57,$H$8:$H$487,"Serviço"),IF(H57="SUBETAPA",SUMIFS($N$8:$N$487,$B$8:$B$487,B57,$C$8:$C$487,C57,$D$8:$D$487,D57,$H$8:$H$487,"Serviço"),0))))</f>
        <v/>
      </c>
      <c r="O57" s="48">
        <f>_xlfn.XLOOKUP($J57,BASES!$A$12:$A$392,BASES!$F$12:$F$392)</f>
        <v/>
      </c>
      <c r="P57" s="52" t="n"/>
      <c r="Q57" s="52" t="n"/>
    </row>
    <row r="58">
      <c r="A58" s="34">
        <f>IF($H58="UNIDADE CONSTRUTIVA",OFFSET(A58,-1,0)+1,LARGE(A$3:A57,1))</f>
        <v/>
      </c>
      <c r="B58" s="34">
        <f>IF(H58="UNIDADE CONSTRUTIVA",0,IF(H58="CÉLULA CONSTRUTIVA",OFFSET(B58,-1,0)+1,OFFSET(B58,-1,0)))</f>
        <v/>
      </c>
      <c r="C58" s="34">
        <f>IF(H58="CÉLULA CONSTRUTIVA",0,IF(H58="ETAPA",OFFSET(C58,-1,0)+1,OFFSET(C58,-1,0)))</f>
        <v/>
      </c>
      <c r="D58" s="35">
        <f>IF(H58="ETAPA",0,IF(H58="SUBETAPA",OFFSET(D58,-1,0)+1,OFFSET(D58,-1,0)))</f>
        <v/>
      </c>
      <c r="E58" s="35">
        <f>IF(H58="Subetapa",0,IF(H58="serviço",OFFSET(E58,-1,0)+1,OFFSET(E58,-1,0)))</f>
        <v/>
      </c>
      <c r="F58" s="1" t="n"/>
      <c r="G58" s="43" t="n"/>
      <c r="H58" s="44" t="inlineStr">
        <is>
          <t>SERVIÇO</t>
        </is>
      </c>
      <c r="I58" s="45">
        <f>IF(H58="Unidade Construtiva",TEXT(A58,"00"),IF(H58="Célula Construtiva",TEXT(B58,"00"),IF(H58="Etapa",CONCATENATE(TEXT(B58,"00"),".",TEXT(C58,"000")),IF(H58="Subetapa",CONCATENATE(TEXT(B58,"00"),".",TEXT(C58,"000"),".",TEXT(D58,"000")),IF(H58="Serviço",CONCATENATE(TEXT(B58,"00"),".",TEXT(C58,"000"),".",TEXT(D58,"000"),".",TEXT(E58,"000")),"")))))</f>
        <v/>
      </c>
      <c r="J58" s="51" t="inlineStr">
        <is>
          <t>Treinamento por funcionário (R$)</t>
        </is>
      </c>
      <c r="K58" s="48">
        <f>_xlfn.XLOOKUP($J58,BASES!$A$12:$A$392,BASES!$C$12:$C$392)</f>
        <v/>
      </c>
      <c r="L58" s="48">
        <f>_xlfn.XLOOKUP($J58,BASES!$A$12:$A$392,BASES!$D$12:$D$392)</f>
        <v/>
      </c>
      <c r="M58" s="48">
        <f>_xlfn.XLOOKUP($J58,BASES!$A$1:$A$2289,BASES!$E$1:$E$2289)</f>
        <v/>
      </c>
      <c r="N58" s="49">
        <f>IF(H58="Serviço",M58*L58,IF(H58="CÉLULA CONSTRUTIVA",SUMIFS($N$8:$N$422,$B$8:$B$422,B58,$H$8:$H$422,"Serviço"),IF(H58="ETAPA",SUMIFS($N$8:$N$422,$B$8:$B$422,B58,$C$8:$C$422,C58,$H$8:$H$422,"Serviço"),IF(H58="SUBETAPA",SUMIFS($N$8:$N$422,$B$8:$B$422,B58,$C$8:$C$422,C58,$D$8:$D$422,D58,$H$8:$H$422,"Serviço"),0))))</f>
        <v/>
      </c>
      <c r="O58" s="48">
        <f>_xlfn.XLOOKUP($J58,BASES!$A$12:$A$392,BASES!$F$12:$F$392)</f>
        <v/>
      </c>
      <c r="P58" s="1" t="n"/>
      <c r="Q58" s="1" t="n"/>
    </row>
    <row r="59">
      <c r="A59" s="34">
        <f>IF($H59="UNIDADE CONSTRUTIVA",OFFSET(A59,-1,0)+1,LARGE(A$3:A58,1))</f>
        <v/>
      </c>
      <c r="B59" s="34">
        <f>IF(H59="UNIDADE CONSTRUTIVA",0,IF(H59="CÉLULA CONSTRUTIVA",OFFSET(B59,-1,0)+1,OFFSET(B59,-1,0)))</f>
        <v/>
      </c>
      <c r="C59" s="34">
        <f>IF(H59="CÉLULA CONSTRUTIVA",0,IF(H59="ETAPA",OFFSET(C59,-1,0)+1,OFFSET(C59,-1,0)))</f>
        <v/>
      </c>
      <c r="D59" s="35">
        <f>IF(H59="ETAPA",0,IF(H59="SUBETAPA",OFFSET(D59,-1,0)+1,OFFSET(D59,-1,0)))</f>
        <v/>
      </c>
      <c r="E59" s="35">
        <f>IF(H59="Subetapa",0,IF(H59="serviço",OFFSET(E59,-1,0)+1,OFFSET(E59,-1,0)))</f>
        <v/>
      </c>
      <c r="F59" s="1" t="n"/>
      <c r="G59" s="43" t="n"/>
      <c r="H59" s="44" t="inlineStr">
        <is>
          <t>SERVIÇO</t>
        </is>
      </c>
      <c r="I59" s="45">
        <f>IF(H59="Unidade Construtiva",TEXT(A59,"00"),IF(H59="Célula Construtiva",TEXT(B59,"00"),IF(H59="Etapa",CONCATENATE(TEXT(B59,"00"),".",TEXT(C59,"000")),IF(H59="Subetapa",CONCATENATE(TEXT(B59,"00"),".",TEXT(C59,"000"),".",TEXT(D59,"000")),IF(H59="Serviço",CONCATENATE(TEXT(B59,"00"),".",TEXT(C59,"000"),".",TEXT(D59,"000"),".",TEXT(E59,"000")),"")))))</f>
        <v/>
      </c>
      <c r="J59" s="51" t="inlineStr">
        <is>
          <t>Projetos de segurança do trabalho</t>
        </is>
      </c>
      <c r="K59" s="48">
        <f>_xlfn.XLOOKUP($J59,BASES!$A$12:$A$392,BASES!$C$12:$C$392)</f>
        <v/>
      </c>
      <c r="L59" s="48">
        <f>_xlfn.XLOOKUP($J59,BASES!$A$12:$A$392,BASES!$D$12:$D$392)</f>
        <v/>
      </c>
      <c r="M59" s="48">
        <f>_xlfn.XLOOKUP($J59,BASES!$A$1:$A$2289,BASES!$E$1:$E$2289)</f>
        <v/>
      </c>
      <c r="N59" s="49">
        <f>IF(H59="Serviço",M59*L59,IF(H59="CÉLULA CONSTRUTIVA",SUMIFS($N$8:$N$422,$B$8:$B$422,B59,$H$8:$H$422,"Serviço"),IF(H59="ETAPA",SUMIFS($N$8:$N$422,$B$8:$B$422,B59,$C$8:$C$422,C59,$H$8:$H$422,"Serviço"),IF(H59="SUBETAPA",SUMIFS($N$8:$N$422,$B$8:$B$422,B59,$C$8:$C$422,C59,$D$8:$D$422,D59,$H$8:$H$422,"Serviço"),0))))</f>
        <v/>
      </c>
      <c r="O59" s="48">
        <f>_xlfn.XLOOKUP($J59,BASES!$A$12:$A$392,BASES!$F$12:$F$392)</f>
        <v/>
      </c>
      <c r="P59" s="1" t="n"/>
      <c r="Q59" s="1" t="n"/>
    </row>
    <row r="60">
      <c r="A60" s="34">
        <f>IF($H60="UNIDADE CONSTRUTIVA",OFFSET(A60,-1,0)+1,LARGE(A$3:A59,1))</f>
        <v/>
      </c>
      <c r="B60" s="34">
        <f>IF(H60="UNIDADE CONSTRUTIVA",0,IF(H60="CÉLULA CONSTRUTIVA",OFFSET(B60,-1,0)+1,OFFSET(B60,-1,0)))</f>
        <v/>
      </c>
      <c r="C60" s="34">
        <f>IF(H60="CÉLULA CONSTRUTIVA",0,IF(H60="ETAPA",OFFSET(C60,-1,0)+1,OFFSET(C60,-1,0)))</f>
        <v/>
      </c>
      <c r="D60" s="35">
        <f>IF(H60="ETAPA",0,IF(H60="SUBETAPA",OFFSET(D60,-1,0)+1,OFFSET(D60,-1,0)))</f>
        <v/>
      </c>
      <c r="E60" s="35">
        <f>IF(H60="Subetapa",0,IF(H60="serviço",OFFSET(E60,-1,0)+1,OFFSET(E60,-1,0)))</f>
        <v/>
      </c>
      <c r="F60" s="1" t="n"/>
      <c r="G60" s="43" t="n"/>
      <c r="H60" s="44" t="inlineStr">
        <is>
          <t>SUBETAPA</t>
        </is>
      </c>
      <c r="I60" s="45">
        <f>IF(H60="Unidade Construtiva",TEXT(A60,"00"),IF(H60="Célula Construtiva",TEXT(B60,"00"),IF(H60="Etapa",CONCATENATE(TEXT(B60,"00"),".",TEXT(C60,"000")),IF(H60="Subetapa",CONCATENATE(TEXT(B60,"00"),".",TEXT(C60,"000"),".",TEXT(D60,"000")),IF(H60="Serviço",CONCATENATE(TEXT(B60,"00"),".",TEXT(C60,"000"),".",TEXT(D60,"000"),".",TEXT(E60,"000")),"")))))</f>
        <v/>
      </c>
      <c r="J60" s="46" t="inlineStr">
        <is>
          <t>Equipamentos de proteção</t>
        </is>
      </c>
      <c r="K60" s="48" t="n"/>
      <c r="L60" s="48" t="n"/>
      <c r="M60" s="48" t="n"/>
      <c r="N60" s="49">
        <f>IF(H60="Serviço",M60*L60,IF(H60="CÉLULA CONSTRUTIVA",SUMIFS($N$8:$N$442,$B$8:$B$442,B60,$H$8:$H$442,"Serviço"),IF(H60="ETAPA",SUMIFS($N$8:$N$442,$B$8:$B$442,B60,$C$8:$C$442,C60,$H$8:$H$442,"Serviço"),IF(H60="SUBETAPA",SUMIFS($N$8:$N$442,$B$8:$B$442,B60,$C$8:$C$442,C60,$D$8:$D$442,D60,$H$8:$H$442,"Serviço"),0))))</f>
        <v/>
      </c>
      <c r="O60" s="50" t="n"/>
      <c r="P60" s="1" t="n"/>
      <c r="Q60" s="1" t="n"/>
    </row>
    <row r="61">
      <c r="A61" s="34">
        <f>IF($H61="UNIDADE CONSTRUTIVA",OFFSET(A61,-1,0)+1,LARGE(A$3:A60,1))</f>
        <v/>
      </c>
      <c r="B61" s="34">
        <f>IF(H61="UNIDADE CONSTRUTIVA",0,IF(H61="CÉLULA CONSTRUTIVA",OFFSET(B61,-1,0)+1,OFFSET(B61,-1,0)))</f>
        <v/>
      </c>
      <c r="C61" s="34">
        <f>IF(H61="CÉLULA CONSTRUTIVA",0,IF(H61="ETAPA",OFFSET(C61,-1,0)+1,OFFSET(C61,-1,0)))</f>
        <v/>
      </c>
      <c r="D61" s="35">
        <f>IF(H61="ETAPA",0,IF(H61="SUBETAPA",OFFSET(D61,-1,0)+1,OFFSET(D61,-1,0)))</f>
        <v/>
      </c>
      <c r="E61" s="35">
        <f>IF(H61="Subetapa",0,IF(H61="serviço",OFFSET(E61,-1,0)+1,OFFSET(E61,-1,0)))</f>
        <v/>
      </c>
      <c r="F61" s="1" t="n"/>
      <c r="G61" s="43" t="n"/>
      <c r="H61" s="44" t="inlineStr">
        <is>
          <t>SERVIÇO</t>
        </is>
      </c>
      <c r="I61" s="45">
        <f>IF(H61="Unidade Construtiva",TEXT(A61,"00"),IF(H61="Célula Construtiva",TEXT(B61,"00"),IF(H61="Etapa",CONCATENATE(TEXT(B61,"00"),".",TEXT(C61,"000")),IF(H61="Subetapa",CONCATENATE(TEXT(B61,"00"),".",TEXT(C61,"000"),".",TEXT(D61,"000")),IF(H61="Serviço",CONCATENATE(TEXT(B61,"00"),".",TEXT(C61,"000"),".",TEXT(D61,"000"),".",TEXT(E61,"000")),"")))))</f>
        <v/>
      </c>
      <c r="J61" s="46" t="inlineStr">
        <is>
          <t>Equipamentos de proteção individual - EPI</t>
        </is>
      </c>
      <c r="K61" s="48">
        <f>_xlfn.XLOOKUP($J61,BASES!$A$12:$A$392,BASES!$C$12:$C$392)</f>
        <v/>
      </c>
      <c r="L61" s="48">
        <f>_xlfn.XLOOKUP($J61,BASES!$A$12:$A$392,BASES!$D$12:$D$392)</f>
        <v/>
      </c>
      <c r="M61" s="48">
        <f>_xlfn.XLOOKUP($J61,BASES!$A$1:$A$2289,BASES!$E$1:$E$2289)</f>
        <v/>
      </c>
      <c r="N61" s="49">
        <f>IF(H61="Serviço",M61*L61,IF(H61="CÉLULA CONSTRUTIVA",SUMIFS($N$8:$N$442,$B$8:$B$442,B61,$H$8:$H$442,"Serviço"),IF(H61="ETAPA",SUMIFS($N$8:$N$442,$B$8:$B$442,B61,$C$8:$C$442,C61,$H$8:$H$442,"Serviço"),IF(H61="SUBETAPA",SUMIFS($N$8:$N$442,$B$8:$B$442,B61,$C$8:$C$442,C61,$D$8:$D$442,D61,$H$8:$H$442,"Serviço"),0))))</f>
        <v/>
      </c>
      <c r="O61" s="48">
        <f>_xlfn.XLOOKUP($J61,BASES!$A$12:$A$392,BASES!$F$12:$F$392)</f>
        <v/>
      </c>
      <c r="P61" s="1" t="n"/>
      <c r="Q61" s="1" t="n"/>
    </row>
    <row r="62">
      <c r="A62" s="34">
        <f>IF($H62="UNIDADE CONSTRUTIVA",OFFSET(A62,-1,0)+1,LARGE(A$3:A61,1))</f>
        <v/>
      </c>
      <c r="B62" s="34">
        <f>IF(H62="UNIDADE CONSTRUTIVA",0,IF(H62="CÉLULA CONSTRUTIVA",OFFSET(B62,-1,0)+1,OFFSET(B62,-1,0)))</f>
        <v/>
      </c>
      <c r="C62" s="34">
        <f>IF(H62="CÉLULA CONSTRUTIVA",0,IF(H62="ETAPA",OFFSET(C62,-1,0)+1,OFFSET(C62,-1,0)))</f>
        <v/>
      </c>
      <c r="D62" s="35">
        <f>IF(H62="ETAPA",0,IF(H62="SUBETAPA",OFFSET(D62,-1,0)+1,OFFSET(D62,-1,0)))</f>
        <v/>
      </c>
      <c r="E62" s="35">
        <f>IF(H62="Subetapa",0,IF(H62="serviço",OFFSET(E62,-1,0)+1,OFFSET(E62,-1,0)))</f>
        <v/>
      </c>
      <c r="F62" s="1" t="n"/>
      <c r="G62" s="43" t="n"/>
      <c r="H62" s="44" t="inlineStr">
        <is>
          <t>SERVIÇO</t>
        </is>
      </c>
      <c r="I62" s="45">
        <f>IF(H62="Unidade Construtiva",TEXT(A62,"00"),IF(H62="Célula Construtiva",TEXT(B62,"00"),IF(H62="Etapa",CONCATENATE(TEXT(B62,"00"),".",TEXT(C62,"000")),IF(H62="Subetapa",CONCATENATE(TEXT(B62,"00"),".",TEXT(C62,"000"),".",TEXT(D62,"000")),IF(H62="Serviço",CONCATENATE(TEXT(B62,"00"),".",TEXT(C62,"000"),".",TEXT(D62,"000"),".",TEXT(E62,"000")),"")))))</f>
        <v/>
      </c>
      <c r="J62" s="46" t="inlineStr">
        <is>
          <t>Bandeja de proteção primária</t>
        </is>
      </c>
      <c r="K62" s="48">
        <f>_xlfn.XLOOKUP($J62,BASES!$A$12:$A$392,BASES!$C$12:$C$392)</f>
        <v/>
      </c>
      <c r="L62" s="48">
        <f>EPCs!D11</f>
        <v/>
      </c>
      <c r="M62" s="48">
        <f>_xlfn.XLOOKUP($J62,[4]CPU!$D$1:$D$3132,[4]CPU!$H$1:$H$3132)</f>
        <v/>
      </c>
      <c r="N62" s="49">
        <f>IF(H62="Serviço",M62*L62,IF(H62="CÉLULA CONSTRUTIVA",SUMIFS($N$8:$N$442,$B$8:$B$442,B62,$H$8:$H$442,"Serviço"),IF(H62="ETAPA",SUMIFS($N$8:$N$442,$B$8:$B$442,B62,$C$8:$C$442,C62,$H$8:$H$442,"Serviço"),IF(H62="SUBETAPA",SUMIFS($N$8:$N$442,$B$8:$B$442,B62,$C$8:$C$442,C62,$D$8:$D$442,D62,$H$8:$H$442,"Serviço"),0))))</f>
        <v/>
      </c>
      <c r="O62" s="54" t="inlineStr">
        <is>
          <t>EPC'S</t>
        </is>
      </c>
      <c r="P62" s="1" t="n"/>
      <c r="Q62" s="1" t="n"/>
    </row>
    <row r="63">
      <c r="A63" s="34">
        <f>IF($H63="UNIDADE CONSTRUTIVA",OFFSET(A63,-1,0)+1,LARGE(A$3:A62,1))</f>
        <v/>
      </c>
      <c r="B63" s="34">
        <f>IF(H63="UNIDADE CONSTRUTIVA",0,IF(H63="CÉLULA CONSTRUTIVA",OFFSET(B63,-1,0)+1,OFFSET(B63,-1,0)))</f>
        <v/>
      </c>
      <c r="C63" s="34">
        <f>IF(H63="CÉLULA CONSTRUTIVA",0,IF(H63="ETAPA",OFFSET(C63,-1,0)+1,OFFSET(C63,-1,0)))</f>
        <v/>
      </c>
      <c r="D63" s="35">
        <f>IF(H63="ETAPA",0,IF(H63="SUBETAPA",OFFSET(D63,-1,0)+1,OFFSET(D63,-1,0)))</f>
        <v/>
      </c>
      <c r="E63" s="35">
        <f>IF(H63="Subetapa",0,IF(H63="serviço",OFFSET(E63,-1,0)+1,OFFSET(E63,-1,0)))</f>
        <v/>
      </c>
      <c r="F63" s="1" t="n"/>
      <c r="G63" s="43" t="n"/>
      <c r="H63" s="44" t="inlineStr">
        <is>
          <t>SERVIÇO</t>
        </is>
      </c>
      <c r="I63" s="45">
        <f>IF(H63="Unidade Construtiva",TEXT(A63,"00"),IF(H63="Célula Construtiva",TEXT(B63,"00"),IF(H63="Etapa",CONCATENATE(TEXT(B63,"00"),".",TEXT(C63,"000")),IF(H63="Subetapa",CONCATENATE(TEXT(B63,"00"),".",TEXT(C63,"000"),".",TEXT(D63,"000")),IF(H63="Serviço",CONCATENATE(TEXT(B63,"00"),".",TEXT(C63,"000"),".",TEXT(D63,"000"),".",TEXT(E63,"000")),"")))))</f>
        <v/>
      </c>
      <c r="J63" s="46" t="inlineStr">
        <is>
          <t>Guarda-corpo de vãos, fixado em fôrma de madeira, em trama de madeira com tela de polipropileno</t>
        </is>
      </c>
      <c r="K63" s="48">
        <f>_xlfn.XLOOKUP($J63,BASES!$A$12:$A$392,BASES!$C$12:$C$392)</f>
        <v/>
      </c>
      <c r="L63" s="55">
        <f>EPCs!D18</f>
        <v/>
      </c>
      <c r="M63" s="48">
        <f>_xlfn.XLOOKUP($J63,[4]CPU!$D$1:$D$3132,[4]CPU!$H$1:$H$3132)</f>
        <v/>
      </c>
      <c r="N63" s="49">
        <f>IF(H63="Serviço",M63*L63,IF(H63="CÉLULA CONSTRUTIVA",SUMIFS($N$8:$N$442,$B$8:$B$442,B63,$H$8:$H$442,"Serviço"),IF(H63="ETAPA",SUMIFS($N$8:$N$442,$B$8:$B$442,B63,$C$8:$C$442,C63,$H$8:$H$442,"Serviço"),IF(H63="SUBETAPA",SUMIFS($N$8:$N$442,$B$8:$B$442,B63,$C$8:$C$442,C63,$D$8:$D$442,D63,$H$8:$H$442,"Serviço"),0))))</f>
        <v/>
      </c>
      <c r="O63" s="54" t="inlineStr">
        <is>
          <t>EPC'S</t>
        </is>
      </c>
      <c r="P63" s="56" t="inlineStr">
        <is>
          <t>A ser defido em momento final</t>
        </is>
      </c>
      <c r="Q63" s="1" t="n"/>
    </row>
    <row r="64">
      <c r="A64" s="34">
        <f>IF($H64="UNIDADE CONSTRUTIVA",OFFSET(A64,-1,0)+1,LARGE(A$3:A63,1))</f>
        <v/>
      </c>
      <c r="B64" s="34">
        <f>IF(H64="UNIDADE CONSTRUTIVA",0,IF(H64="CÉLULA CONSTRUTIVA",OFFSET(B64,-1,0)+1,OFFSET(B64,-1,0)))</f>
        <v/>
      </c>
      <c r="C64" s="34">
        <f>IF(H64="CÉLULA CONSTRUTIVA",0,IF(H64="ETAPA",OFFSET(C64,-1,0)+1,OFFSET(C64,-1,0)))</f>
        <v/>
      </c>
      <c r="D64" s="35">
        <f>IF(H64="ETAPA",0,IF(H64="SUBETAPA",OFFSET(D64,-1,0)+1,OFFSET(D64,-1,0)))</f>
        <v/>
      </c>
      <c r="E64" s="35">
        <f>IF(H64="Subetapa",0,IF(H64="serviço",OFFSET(E64,-1,0)+1,OFFSET(E64,-1,0)))</f>
        <v/>
      </c>
      <c r="F64" s="1" t="n"/>
      <c r="G64" s="43" t="n"/>
      <c r="H64" s="44" t="inlineStr">
        <is>
          <t>SERVIÇO</t>
        </is>
      </c>
      <c r="I64" s="45">
        <f>IF(H64="Unidade Construtiva",TEXT(A64,"00"),IF(H64="Célula Construtiva",TEXT(B64,"00"),IF(H64="Etapa",CONCATENATE(TEXT(B64,"00"),".",TEXT(C64,"000")),IF(H64="Subetapa",CONCATENATE(TEXT(B64,"00"),".",TEXT(C64,"000"),".",TEXT(D64,"000")),IF(H64="Serviço",CONCATENATE(TEXT(B64,"00"),".",TEXT(C64,"000"),".",TEXT(D64,"000"),".",TEXT(E64,"000")),"")))))</f>
        <v/>
      </c>
      <c r="J64" s="46" t="inlineStr">
        <is>
          <t>Tela fachadeira</t>
        </is>
      </c>
      <c r="K64" s="48">
        <f>_xlfn.XLOOKUP($J64,BASES!$A$12:$A$392,BASES!$C$12:$C$392)</f>
        <v/>
      </c>
      <c r="L64" s="48">
        <f>EPCs!D47</f>
        <v/>
      </c>
      <c r="M64" s="48">
        <f>_xlfn.XLOOKUP($J64,[4]CPU!$D$1:$D$3132,[4]CPU!$H$1:$H$3132)</f>
        <v/>
      </c>
      <c r="N64" s="49">
        <f>IF(H64="Serviço",M64*L64,IF(H64="CÉLULA CONSTRUTIVA",SUMIFS($N$8:$N$442,$B$8:$B$442,B64,$H$8:$H$442,"Serviço"),IF(H64="ETAPA",SUMIFS($N$8:$N$442,$B$8:$B$442,B64,$C$8:$C$442,C64,$H$8:$H$442,"Serviço"),IF(H64="SUBETAPA",SUMIFS($N$8:$N$442,$B$8:$B$442,B64,$C$8:$C$442,C64,$D$8:$D$442,D64,$H$8:$H$442,"Serviço"),0))))</f>
        <v/>
      </c>
      <c r="O64" s="54" t="inlineStr">
        <is>
          <t>EPC'S</t>
        </is>
      </c>
      <c r="P64" s="1" t="n"/>
      <c r="Q64" s="1" t="n"/>
    </row>
    <row r="65">
      <c r="A65" s="34">
        <f>IF($H65="UNIDADE CONSTRUTIVA",OFFSET(A65,-1,0)+1,LARGE(A$3:A64,1))</f>
        <v/>
      </c>
      <c r="B65" s="34">
        <f>IF(H65="UNIDADE CONSTRUTIVA",0,IF(H65="CÉLULA CONSTRUTIVA",OFFSET(B65,-1,0)+1,OFFSET(B65,-1,0)))</f>
        <v/>
      </c>
      <c r="C65" s="34">
        <f>IF(H65="CÉLULA CONSTRUTIVA",0,IF(H65="ETAPA",OFFSET(C65,-1,0)+1,OFFSET(C65,-1,0)))</f>
        <v/>
      </c>
      <c r="D65" s="35">
        <f>IF(H65="ETAPA",0,IF(H65="SUBETAPA",OFFSET(D65,-1,0)+1,OFFSET(D65,-1,0)))</f>
        <v/>
      </c>
      <c r="E65" s="35">
        <f>IF(H65="Subetapa",0,IF(H65="serviço",OFFSET(E65,-1,0)+1,OFFSET(E65,-1,0)))</f>
        <v/>
      </c>
      <c r="F65" s="1" t="n"/>
      <c r="G65" s="43" t="n"/>
      <c r="H65" s="44" t="inlineStr">
        <is>
          <t>SERVIÇO</t>
        </is>
      </c>
      <c r="I65" s="45">
        <f>IF(H65="Unidade Construtiva",TEXT(A65,"00"),IF(H65="Célula Construtiva",TEXT(B65,"00"),IF(H65="Etapa",CONCATENATE(TEXT(B65,"00"),".",TEXT(C65,"000")),IF(H65="Subetapa",CONCATENATE(TEXT(B65,"00"),".",TEXT(C65,"000"),".",TEXT(D65,"000")),IF(H65="Serviço",CONCATENATE(TEXT(B65,"00"),".",TEXT(C65,"000"),".",TEXT(D65,"000"),".",TEXT(E65,"000")),"")))))</f>
        <v/>
      </c>
      <c r="J65" s="46" t="inlineStr">
        <is>
          <t>Fechamento removível de vãos de porta de elevador em madeira</t>
        </is>
      </c>
      <c r="K65" s="48">
        <f>_xlfn.XLOOKUP($J65,BASES!$A$12:$A$392,BASES!$C$12:$C$392)</f>
        <v/>
      </c>
      <c r="L65" s="48">
        <f>EPCs!D34</f>
        <v/>
      </c>
      <c r="M65" s="48">
        <f>_xlfn.XLOOKUP($J65,[4]CPU!$D$1:$D$3132,[4]CPU!$H$1:$H$3132)</f>
        <v/>
      </c>
      <c r="N65" s="49">
        <f>IF(H65="Serviço",M65*L65,IF(H65="CÉLULA CONSTRUTIVA",SUMIFS($N$8:$N$442,$B$8:$B$442,B65,$H$8:$H$442,"Serviço"),IF(H65="ETAPA",SUMIFS($N$8:$N$442,$B$8:$B$442,B65,$C$8:$C$442,C65,$H$8:$H$442,"Serviço"),IF(H65="SUBETAPA",SUMIFS($N$8:$N$442,$B$8:$B$442,B65,$C$8:$C$442,C65,$D$8:$D$442,D65,$H$8:$H$442,"Serviço"),0))))</f>
        <v/>
      </c>
      <c r="O65" s="54" t="inlineStr">
        <is>
          <t>EPC'S</t>
        </is>
      </c>
      <c r="P65" s="1" t="n"/>
      <c r="Q65" s="1" t="n"/>
    </row>
    <row r="66">
      <c r="A66" s="34">
        <f>IF($H66="UNIDADE CONSTRUTIVA",OFFSET(A66,-1,0)+1,LARGE(A$3:A65,1))</f>
        <v/>
      </c>
      <c r="B66" s="34">
        <f>IF(H66="UNIDADE CONSTRUTIVA",0,IF(H66="CÉLULA CONSTRUTIVA",OFFSET(B66,-1,0)+1,OFFSET(B66,-1,0)))</f>
        <v/>
      </c>
      <c r="C66" s="34">
        <f>IF(H66="CÉLULA CONSTRUTIVA",0,IF(H66="ETAPA",OFFSET(C66,-1,0)+1,OFFSET(C66,-1,0)))</f>
        <v/>
      </c>
      <c r="D66" s="35">
        <f>IF(H66="ETAPA",0,IF(H66="SUBETAPA",OFFSET(D66,-1,0)+1,OFFSET(D66,-1,0)))</f>
        <v/>
      </c>
      <c r="E66" s="35">
        <f>IF(H66="Subetapa",0,IF(H66="serviço",OFFSET(E66,-1,0)+1,OFFSET(E66,-1,0)))</f>
        <v/>
      </c>
      <c r="F66" s="1" t="n"/>
      <c r="G66" s="43" t="n"/>
      <c r="H66" s="44" t="inlineStr">
        <is>
          <t>SERVIÇO</t>
        </is>
      </c>
      <c r="I66" s="45">
        <f>IF(H66="Unidade Construtiva",TEXT(A66,"00"),IF(H66="Célula Construtiva",TEXT(B66,"00"),IF(H66="Etapa",CONCATENATE(TEXT(B66,"00"),".",TEXT(C66,"000")),IF(H66="Subetapa",CONCATENATE(TEXT(B66,"00"),".",TEXT(C66,"000"),".",TEXT(D66,"000")),IF(H66="Serviço",CONCATENATE(TEXT(B66,"00"),".",TEXT(C66,"000"),".",TEXT(D66,"000"),".",TEXT(E66,"000")),"")))))</f>
        <v/>
      </c>
      <c r="J66" s="46" t="inlineStr">
        <is>
          <t>Fechamento removível de vãos de porta de entrada dos aptos. em madeira</t>
        </is>
      </c>
      <c r="K66" s="48">
        <f>_xlfn.XLOOKUP($J66,BASES!$A$12:$A$392,BASES!$C$12:$C$392)</f>
        <v/>
      </c>
      <c r="L66" s="48">
        <f>EPCs!D37</f>
        <v/>
      </c>
      <c r="M66" s="48">
        <f>_xlfn.XLOOKUP($J66,[4]CPU!$D$1:$D$3132,[4]CPU!$H$1:$H$3132)</f>
        <v/>
      </c>
      <c r="N66" s="49">
        <f>IF(H66="Serviço",M66*L66,IF(H66="CÉLULA CONSTRUTIVA",SUMIFS($N$8:$N$442,$B$8:$B$442,B66,$H$8:$H$442,"Serviço"),IF(H66="ETAPA",SUMIFS($N$8:$N$442,$B$8:$B$442,B66,$C$8:$C$442,C66,$H$8:$H$442,"Serviço"),IF(H66="SUBETAPA",SUMIFS($N$8:$N$442,$B$8:$B$442,B66,$C$8:$C$442,C66,$D$8:$D$442,D66,$H$8:$H$442,"Serviço"),0))))</f>
        <v/>
      </c>
      <c r="O66" s="54" t="inlineStr">
        <is>
          <t>EPC'S</t>
        </is>
      </c>
      <c r="P66" s="1" t="n"/>
      <c r="Q66" s="1" t="n"/>
    </row>
    <row r="67">
      <c r="A67" s="34">
        <f>IF($H67="UNIDADE CONSTRUTIVA",OFFSET(A67,-1,0)+1,LARGE(A$3:A66,1))</f>
        <v/>
      </c>
      <c r="B67" s="34">
        <f>IF(H67="UNIDADE CONSTRUTIVA",0,IF(H67="CÉLULA CONSTRUTIVA",OFFSET(B67,-1,0)+1,OFFSET(B67,-1,0)))</f>
        <v/>
      </c>
      <c r="C67" s="34">
        <f>IF(H67="CÉLULA CONSTRUTIVA",0,IF(H67="ETAPA",OFFSET(C67,-1,0)+1,OFFSET(C67,-1,0)))</f>
        <v/>
      </c>
      <c r="D67" s="35">
        <f>IF(H67="ETAPA",0,IF(H67="SUBETAPA",OFFSET(D67,-1,0)+1,OFFSET(D67,-1,0)))</f>
        <v/>
      </c>
      <c r="E67" s="35">
        <f>IF(H67="Subetapa",0,IF(H67="serviço",OFFSET(E67,-1,0)+1,OFFSET(E67,-1,0)))</f>
        <v/>
      </c>
      <c r="F67" s="1" t="n"/>
      <c r="G67" s="43" t="n"/>
      <c r="H67" s="44" t="inlineStr">
        <is>
          <t>SERVIÇO</t>
        </is>
      </c>
      <c r="I67" s="45">
        <f>IF(H67="Unidade Construtiva",TEXT(A67,"00"),IF(H67="Célula Construtiva",TEXT(B67,"00"),IF(H67="Etapa",CONCATENATE(TEXT(B67,"00"),".",TEXT(C67,"000")),IF(H67="Subetapa",CONCATENATE(TEXT(B67,"00"),".",TEXT(C67,"000"),".",TEXT(D67,"000")),IF(H67="Serviço",CONCATENATE(TEXT(B67,"00"),".",TEXT(C67,"000"),".",TEXT(D67,"000"),".",TEXT(E67,"000")),"")))))</f>
        <v/>
      </c>
      <c r="J67" s="46" t="inlineStr">
        <is>
          <t>Cobertura para Proteção de Pedestres</t>
        </is>
      </c>
      <c r="K67" s="48">
        <f>_xlfn.XLOOKUP($J67,BASES!$A$12:$A$392,BASES!$C$12:$C$392)</f>
        <v/>
      </c>
      <c r="L67" s="48">
        <f>_xlfn.XLOOKUP($J67,BASES!$A$12:$A$392,BASES!$D$12:$D$392)</f>
        <v/>
      </c>
      <c r="M67" s="48" t="n">
        <v>247.08</v>
      </c>
      <c r="N67" s="49">
        <f>IF(H67="Serviço",M67*L67,IF(H67="CÉLULA CONSTRUTIVA",SUMIFS($N$8:$N$442,$B$8:$B$442,B67,$H$8:$H$442,"Serviço"),IF(H67="ETAPA",SUMIFS($N$8:$N$442,$B$8:$B$442,B67,$C$8:$C$442,C67,$H$8:$H$442,"Serviço"),IF(H67="SUBETAPA",SUMIFS($N$8:$N$442,$B$8:$B$442,B67,$C$8:$C$442,C67,$D$8:$D$442,D67,$H$8:$H$442,"Serviço"),0))))</f>
        <v/>
      </c>
      <c r="O67" s="54" t="inlineStr">
        <is>
          <t>EPC'S</t>
        </is>
      </c>
      <c r="P67" s="1" t="n"/>
      <c r="Q67" s="1" t="n"/>
    </row>
    <row r="68">
      <c r="A68" s="34">
        <f>IF($H68="UNIDADE CONSTRUTIVA",OFFSET(A68,-1,0)+1,LARGE(A$3:A67,1))</f>
        <v/>
      </c>
      <c r="B68" s="34">
        <f>IF(H68="UNIDADE CONSTRUTIVA",0,IF(H68="CÉLULA CONSTRUTIVA",OFFSET(B68,-1,0)+1,OFFSET(B68,-1,0)))</f>
        <v/>
      </c>
      <c r="C68" s="34">
        <f>IF(H68="CÉLULA CONSTRUTIVA",0,IF(H68="ETAPA",OFFSET(C68,-1,0)+1,OFFSET(C68,-1,0)))</f>
        <v/>
      </c>
      <c r="D68" s="35">
        <f>IF(H68="ETAPA",0,IF(H68="SUBETAPA",OFFSET(D68,-1,0)+1,OFFSET(D68,-1,0)))</f>
        <v/>
      </c>
      <c r="E68" s="35">
        <f>IF(H68="Subetapa",0,IF(H68="serviço",OFFSET(E68,-1,0)+1,OFFSET(E68,-1,0)))</f>
        <v/>
      </c>
      <c r="F68" s="1" t="n"/>
      <c r="G68" s="43" t="n"/>
      <c r="H68" s="44" t="inlineStr">
        <is>
          <t>SERVIÇO</t>
        </is>
      </c>
      <c r="I68" s="45">
        <f>IF(H68="Unidade Construtiva",TEXT(A68,"00"),IF(H68="Célula Construtiva",TEXT(B68,"00"),IF(H68="Etapa",CONCATENATE(TEXT(B68,"00"),".",TEXT(C68,"000")),IF(H68="Subetapa",CONCATENATE(TEXT(B68,"00"),".",TEXT(C68,"000"),".",TEXT(D68,"000")),IF(H68="Serviço",CONCATENATE(TEXT(B68,"00"),".",TEXT(C68,"000"),".",TEXT(D68,"000"),".",TEXT(E68,"000")),"")))))</f>
        <v/>
      </c>
      <c r="J68" s="46" t="inlineStr">
        <is>
          <t>Varal de segurança com cabo de aço (linha de vida)</t>
        </is>
      </c>
      <c r="K68" s="48">
        <f>_xlfn.XLOOKUP($J68,BASES!$A$12:$A$392,BASES!$C$12:$C$392)</f>
        <v/>
      </c>
      <c r="L68" s="48">
        <f>EPCs!D67</f>
        <v/>
      </c>
      <c r="M68" s="48">
        <f>_xlfn.XLOOKUP($J68,[4]CPU!$D$1:$D$3132,[4]CPU!$H$1:$H$3132)</f>
        <v/>
      </c>
      <c r="N68" s="49">
        <f>IF(H68="Serviço",M68*L68,IF(H68="CÉLULA CONSTRUTIVA",SUMIFS($N$8:$N$442,$B$8:$B$442,B68,$H$8:$H$442,"Serviço"),IF(H68="ETAPA",SUMIFS($N$8:$N$442,$B$8:$B$442,B68,$C$8:$C$442,C68,$H$8:$H$442,"Serviço"),IF(H68="SUBETAPA",SUMIFS($N$8:$N$442,$B$8:$B$442,B68,$C$8:$C$442,C68,$D$8:$D$442,D68,$H$8:$H$442,"Serviço"),0))))</f>
        <v/>
      </c>
      <c r="O68" s="54" t="inlineStr">
        <is>
          <t>EPC'S</t>
        </is>
      </c>
      <c r="P68" s="1" t="n"/>
      <c r="Q68" s="1" t="n"/>
    </row>
    <row r="69">
      <c r="A69" s="34">
        <f>IF($H69="UNIDADE CONSTRUTIVA",OFFSET(A69,-1,0)+1,LARGE(A$3:A68,1))</f>
        <v/>
      </c>
      <c r="B69" s="34">
        <f>IF(H69="UNIDADE CONSTRUTIVA",0,IF(H69="CÉLULA CONSTRUTIVA",OFFSET(B69,-1,0)+1,OFFSET(B69,-1,0)))</f>
        <v/>
      </c>
      <c r="C69" s="34">
        <f>IF(H69="CÉLULA CONSTRUTIVA",0,IF(H69="ETAPA",OFFSET(C69,-1,0)+1,OFFSET(C69,-1,0)))</f>
        <v/>
      </c>
      <c r="D69" s="35">
        <f>IF(H69="ETAPA",0,IF(H69="SUBETAPA",OFFSET(D69,-1,0)+1,OFFSET(D69,-1,0)))</f>
        <v/>
      </c>
      <c r="E69" s="35">
        <f>IF(H69="Subetapa",0,IF(H69="serviço",OFFSET(E69,-1,0)+1,OFFSET(E69,-1,0)))</f>
        <v/>
      </c>
      <c r="F69" s="1" t="n"/>
      <c r="G69" s="43" t="n"/>
      <c r="H69" s="44" t="inlineStr">
        <is>
          <t>SERVIÇO</t>
        </is>
      </c>
      <c r="I69" s="45">
        <f>IF(H69="Unidade Construtiva",TEXT(A69,"00"),IF(H69="Célula Construtiva",TEXT(B69,"00"),IF(H69="Etapa",CONCATENATE(TEXT(B69,"00"),".",TEXT(C69,"000")),IF(H69="Subetapa",CONCATENATE(TEXT(B69,"00"),".",TEXT(C69,"000"),".",TEXT(D69,"000")),IF(H69="Serviço",CONCATENATE(TEXT(B69,"00"),".",TEXT(C69,"000"),".",TEXT(D69,"000"),".",TEXT(E69,"000")),"")))))</f>
        <v/>
      </c>
      <c r="J69" s="46" t="inlineStr">
        <is>
          <t>Tela SLQA</t>
        </is>
      </c>
      <c r="K69" s="48">
        <f>_xlfn.XLOOKUP($J69,BASES!$A$12:$A$392,BASES!$C$12:$C$392)</f>
        <v/>
      </c>
      <c r="L69" s="48">
        <f>EPCs!D53</f>
        <v/>
      </c>
      <c r="M69" s="48">
        <f>_xlfn.XLOOKUP($J69,[4]CPU!$D$1:$D$3132,[4]CPU!$H$1:$H$3132)</f>
        <v/>
      </c>
      <c r="N69" s="49">
        <f>IF(H69="Serviço",M69*L69,IF(H69="CÉLULA CONSTRUTIVA",SUMIFS($N$8:$N$442,$B$8:$B$442,B69,$H$8:$H$442,"Serviço"),IF(H69="ETAPA",SUMIFS($N$8:$N$442,$B$8:$B$442,B69,$C$8:$C$442,C69,$H$8:$H$442,"Serviço"),IF(H69="SUBETAPA",SUMIFS($N$8:$N$442,$B$8:$B$442,B69,$C$8:$C$442,C69,$D$8:$D$442,D69,$H$8:$H$442,"Serviço"),0))))</f>
        <v/>
      </c>
      <c r="O69" s="54" t="inlineStr">
        <is>
          <t>EPC'S</t>
        </is>
      </c>
      <c r="P69" s="1" t="n"/>
      <c r="Q69" s="1" t="n"/>
    </row>
    <row r="70">
      <c r="A70" s="34">
        <f>IF($H70="UNIDADE CONSTRUTIVA",OFFSET(A70,-1,0)+1,LARGE(A$3:A69,1))</f>
        <v/>
      </c>
      <c r="B70" s="34">
        <f>IF(H70="UNIDADE CONSTRUTIVA",0,IF(H70="CÉLULA CONSTRUTIVA",OFFSET(B70,-1,0)+1,OFFSET(B70,-1,0)))</f>
        <v/>
      </c>
      <c r="C70" s="34">
        <f>IF(H70="CÉLULA CONSTRUTIVA",0,IF(H70="ETAPA",OFFSET(C70,-1,0)+1,OFFSET(C70,-1,0)))</f>
        <v/>
      </c>
      <c r="D70" s="35">
        <f>IF(H70="ETAPA",0,IF(H70="SUBETAPA",OFFSET(D70,-1,0)+1,OFFSET(D70,-1,0)))</f>
        <v/>
      </c>
      <c r="E70" s="35">
        <f>IF(H70="Subetapa",0,IF(H70="serviço",OFFSET(E70,-1,0)+1,OFFSET(E70,-1,0)))</f>
        <v/>
      </c>
      <c r="F70" s="1" t="n"/>
      <c r="G70" s="43" t="n"/>
      <c r="H70" s="44" t="inlineStr">
        <is>
          <t>SUBETAPA</t>
        </is>
      </c>
      <c r="I70" s="45">
        <f>IF(H70="Unidade Construtiva",TEXT(A70,"00"),IF(H70="Célula Construtiva",TEXT(B70,"00"),IF(H70="Etapa",CONCATENATE(TEXT(B70,"00"),".",TEXT(C70,"000")),IF(H70="Subetapa",CONCATENATE(TEXT(B70,"00"),".",TEXT(C70,"000"),".",TEXT(D70,"000")),IF(H70="Serviço",CONCATENATE(TEXT(B70,"00"),".",TEXT(C70,"000"),".",TEXT(D70,"000"),".",TEXT(E70,"000")),"")))))</f>
        <v/>
      </c>
      <c r="J70" s="51" t="inlineStr">
        <is>
          <t>Meio Ambiente</t>
        </is>
      </c>
      <c r="K70" s="48" t="n"/>
      <c r="L70" s="48" t="n"/>
      <c r="M70" s="57" t="n"/>
      <c r="N70" s="49">
        <f>IF(H70="Serviço",M70*L70,IF(H70="CÉLULA CONSTRUTIVA",SUMIFS($N$8:$N$422,$B$8:$B$422,B70,$H$8:$H$422,"Serviço"),IF(H70="ETAPA",SUMIFS($N$8:$N$422,$B$8:$B$422,B70,$C$8:$C$422,C70,$H$8:$H$422,"Serviço"),IF(H70="SUBETAPA",SUMIFS($N$8:$N$422,$B$8:$B$422,B70,$C$8:$C$422,C70,$D$8:$D$422,D70,$H$8:$H$422,"Serviço"),0))))</f>
        <v/>
      </c>
      <c r="O70" s="50" t="n"/>
      <c r="P70" s="1" t="n"/>
      <c r="Q70" s="1" t="n"/>
    </row>
    <row r="71">
      <c r="A71" s="34">
        <f>IF($H71="UNIDADE CONSTRUTIVA",OFFSET(A71,-1,0)+1,LARGE(A$3:A70,1))</f>
        <v/>
      </c>
      <c r="B71" s="34">
        <f>IF(H71="UNIDADE CONSTRUTIVA",0,IF(H71="CÉLULA CONSTRUTIVA",OFFSET(B71,-1,0)+1,OFFSET(B71,-1,0)))</f>
        <v/>
      </c>
      <c r="C71" s="34">
        <f>IF(H71="CÉLULA CONSTRUTIVA",0,IF(H71="ETAPA",OFFSET(C71,-1,0)+1,OFFSET(C71,-1,0)))</f>
        <v/>
      </c>
      <c r="D71" s="35">
        <f>IF(H71="ETAPA",0,IF(H71="SUBETAPA",OFFSET(D71,-1,0)+1,OFFSET(D71,-1,0)))</f>
        <v/>
      </c>
      <c r="E71" s="35">
        <f>IF(H71="Subetapa",0,IF(H71="serviço",OFFSET(E71,-1,0)+1,OFFSET(E71,-1,0)))</f>
        <v/>
      </c>
      <c r="F71" s="1" t="n"/>
      <c r="G71" s="43" t="n"/>
      <c r="H71" s="44" t="inlineStr">
        <is>
          <t>SERVIÇO</t>
        </is>
      </c>
      <c r="I71" s="45">
        <f>IF(H71="Unidade Construtiva",TEXT(A71,"00"),IF(H71="Célula Construtiva",TEXT(B71,"00"),IF(H71="Etapa",CONCATENATE(TEXT(B71,"00"),".",TEXT(C71,"000")),IF(H71="Subetapa",CONCATENATE(TEXT(B71,"00"),".",TEXT(C71,"000"),".",TEXT(D71,"000")),IF(H71="Serviço",CONCATENATE(TEXT(B71,"00"),".",TEXT(C71,"000"),".",TEXT(D71,"000"),".",TEXT(E71,"000")),"")))))</f>
        <v/>
      </c>
      <c r="J71" s="51" t="inlineStr">
        <is>
          <t>Elaboração do Programa de Controle Médico de Saúde Ocupacional (PCMSO)</t>
        </is>
      </c>
      <c r="K71" s="48">
        <f>_xlfn.XLOOKUP($J71,BASES!$A$12:$A$392,BASES!$C$12:$C$392)</f>
        <v/>
      </c>
      <c r="L71" s="48">
        <f>_xlfn.XLOOKUP($J71,BASES!$A$12:$A$392,BASES!$D$12:$D$392)</f>
        <v/>
      </c>
      <c r="M71" s="48">
        <f>_xlfn.XLOOKUP($J71,BASES!$A$1:$A$2289,BASES!$E$1:$E$2289)</f>
        <v/>
      </c>
      <c r="N71" s="49">
        <f>IF(H71="Serviço",M71*L71,IF(H71="CÉLULA CONSTRUTIVA",SUMIFS($N$8:$N$422,$B$8:$B$422,B71,$H$8:$H$422,"Serviço"),IF(H71="ETAPA",SUMIFS($N$8:$N$422,$B$8:$B$422,B71,$C$8:$C$422,C71,$H$8:$H$422,"Serviço"),IF(H71="SUBETAPA",SUMIFS($N$8:$N$422,$B$8:$B$422,B71,$C$8:$C$422,C71,$D$8:$D$422,D71,$H$8:$H$422,"Serviço"),0))))</f>
        <v/>
      </c>
      <c r="O71" s="48">
        <f>_xlfn.XLOOKUP($J71,BASES!$A$12:$A$392,BASES!$F$12:$F$392)</f>
        <v/>
      </c>
      <c r="P71" s="1" t="n"/>
      <c r="Q71" s="1" t="n"/>
    </row>
    <row r="72">
      <c r="A72" s="34">
        <f>IF($H72="UNIDADE CONSTRUTIVA",OFFSET(A72,-1,0)+1,LARGE(A$3:A71,1))</f>
        <v/>
      </c>
      <c r="B72" s="34">
        <f>IF(H72="UNIDADE CONSTRUTIVA",0,IF(H72="CÉLULA CONSTRUTIVA",OFFSET(B72,-1,0)+1,OFFSET(B72,-1,0)))</f>
        <v/>
      </c>
      <c r="C72" s="34">
        <f>IF(H72="CÉLULA CONSTRUTIVA",0,IF(H72="ETAPA",OFFSET(C72,-1,0)+1,OFFSET(C72,-1,0)))</f>
        <v/>
      </c>
      <c r="D72" s="35">
        <f>IF(H72="ETAPA",0,IF(H72="SUBETAPA",OFFSET(D72,-1,0)+1,OFFSET(D72,-1,0)))</f>
        <v/>
      </c>
      <c r="E72" s="35">
        <f>IF(H72="Subetapa",0,IF(H72="serviço",OFFSET(E72,-1,0)+1,OFFSET(E72,-1,0)))</f>
        <v/>
      </c>
      <c r="F72" s="1" t="n"/>
      <c r="G72" s="43" t="n"/>
      <c r="H72" s="44" t="inlineStr">
        <is>
          <t>SERVIÇO</t>
        </is>
      </c>
      <c r="I72" s="45">
        <f>IF(H72="Unidade Construtiva",TEXT(A72,"00"),IF(H72="Célula Construtiva",TEXT(B72,"00"),IF(H72="Etapa",CONCATENATE(TEXT(B72,"00"),".",TEXT(C72,"000")),IF(H72="Subetapa",CONCATENATE(TEXT(B72,"00"),".",TEXT(C72,"000"),".",TEXT(D72,"000")),IF(H72="Serviço",CONCATENATE(TEXT(B72,"00"),".",TEXT(C72,"000"),".",TEXT(D72,"000"),".",TEXT(E72,"000")),"")))))</f>
        <v/>
      </c>
      <c r="J72" s="51" t="inlineStr">
        <is>
          <t>Elaboração do programa de gerenciamento de riscos (PGR)</t>
        </is>
      </c>
      <c r="K72" s="48">
        <f>_xlfn.XLOOKUP($J72,BASES!$A$12:$A$392,BASES!$C$12:$C$392)</f>
        <v/>
      </c>
      <c r="L72" s="48">
        <f>_xlfn.XLOOKUP($J72,BASES!$A$12:$A$392,BASES!$D$12:$D$392)</f>
        <v/>
      </c>
      <c r="M72" s="48">
        <f>_xlfn.XLOOKUP($J72,BASES!$A$1:$A$2289,BASES!$E$1:$E$2289)</f>
        <v/>
      </c>
      <c r="N72" s="49">
        <f>IF(H72="Serviço",M72*L72,IF(H72="CÉLULA CONSTRUTIVA",SUMIFS($N$8:$N$422,$B$8:$B$422,B72,$H$8:$H$422,"Serviço"),IF(H72="ETAPA",SUMIFS($N$8:$N$422,$B$8:$B$422,B72,$C$8:$C$422,C72,$H$8:$H$422,"Serviço"),IF(H72="SUBETAPA",SUMIFS($N$8:$N$422,$B$8:$B$422,B72,$C$8:$C$422,C72,$D$8:$D$422,D72,$H$8:$H$422,"Serviço"),0))))</f>
        <v/>
      </c>
      <c r="O72" s="48">
        <f>_xlfn.XLOOKUP($J72,BASES!$A$12:$A$392,BASES!$F$12:$F$392)</f>
        <v/>
      </c>
      <c r="P72" s="1" t="n"/>
      <c r="Q72" s="1" t="n"/>
    </row>
    <row r="73">
      <c r="A73" s="34">
        <f>IF($H73="UNIDADE CONSTRUTIVA",OFFSET(A73,-1,0)+1,LARGE(A$3:A72,1))</f>
        <v/>
      </c>
      <c r="B73" s="34">
        <f>IF(H73="UNIDADE CONSTRUTIVA",0,IF(H73="CÉLULA CONSTRUTIVA",OFFSET(B73,-1,0)+1,OFFSET(B73,-1,0)))</f>
        <v/>
      </c>
      <c r="C73" s="34">
        <f>IF(H73="CÉLULA CONSTRUTIVA",0,IF(H73="ETAPA",OFFSET(C73,-1,0)+1,OFFSET(C73,-1,0)))</f>
        <v/>
      </c>
      <c r="D73" s="35">
        <f>IF(H73="ETAPA",0,IF(H73="SUBETAPA",OFFSET(D73,-1,0)+1,OFFSET(D73,-1,0)))</f>
        <v/>
      </c>
      <c r="E73" s="35">
        <f>IF(H73="Subetapa",0,IF(H73="serviço",OFFSET(E73,-1,0)+1,OFFSET(E73,-1,0)))</f>
        <v/>
      </c>
      <c r="F73" s="1" t="n"/>
      <c r="G73" s="43" t="n"/>
      <c r="H73" s="44" t="inlineStr">
        <is>
          <t>SERVIÇO</t>
        </is>
      </c>
      <c r="I73" s="45">
        <f>IF(H73="Unidade Construtiva",TEXT(A73,"00"),IF(H73="Célula Construtiva",TEXT(B73,"00"),IF(H73="Etapa",CONCATENATE(TEXT(B73,"00"),".",TEXT(C73,"000")),IF(H73="Subetapa",CONCATENATE(TEXT(B73,"00"),".",TEXT(C73,"000"),".",TEXT(D73,"000")),IF(H73="Serviço",CONCATENATE(TEXT(B73,"00"),".",TEXT(C73,"000"),".",TEXT(D73,"000"),".",TEXT(E73,"000")),"")))))</f>
        <v/>
      </c>
      <c r="J73" s="51" t="inlineStr">
        <is>
          <t>Remoção de entulhos e resíduos</t>
        </is>
      </c>
      <c r="K73" s="48">
        <f>_xlfn.XLOOKUP($J73,BASES!$A$12:$A$392,BASES!$C$12:$C$392)</f>
        <v/>
      </c>
      <c r="L73" s="48">
        <f>_xlfn.XLOOKUP($J73,BASES!$A$12:$A$392,BASES!$D$12:$D$392)</f>
        <v/>
      </c>
      <c r="M73" s="48">
        <f>_xlfn.XLOOKUP($J73,BASES!$A$1:$A$2289,BASES!$E$1:$E$2289)</f>
        <v/>
      </c>
      <c r="N73" s="49">
        <f>IF(H73="Serviço",M73*L73,IF(H73="CÉLULA CONSTRUTIVA",SUMIFS($N$8:$N$422,$B$8:$B$422,B73,$H$8:$H$422,"Serviço"),IF(H73="ETAPA",SUMIFS($N$8:$N$422,$B$8:$B$422,B73,$C$8:$C$422,C73,$H$8:$H$422,"Serviço"),IF(H73="SUBETAPA",SUMIFS($N$8:$N$422,$B$8:$B$422,B73,$C$8:$C$422,C73,$D$8:$D$422,D73,$H$8:$H$422,"Serviço"),0))))</f>
        <v/>
      </c>
      <c r="O73" s="48" t="inlineStr">
        <is>
          <t>Considerado 4 caçambas de entulho ao mês</t>
        </is>
      </c>
      <c r="P73" s="1" t="n"/>
      <c r="Q73" s="1" t="n"/>
    </row>
    <row r="74">
      <c r="A74" s="34">
        <f>IF($H74="UNIDADE CONSTRUTIVA",OFFSET(A74,-1,0)+1,LARGE(A$3:A73,1))</f>
        <v/>
      </c>
      <c r="B74" s="34">
        <f>IF(H74="UNIDADE CONSTRUTIVA",0,IF(H74="CÉLULA CONSTRUTIVA",OFFSET(B74,-1,0)+1,OFFSET(B74,-1,0)))</f>
        <v/>
      </c>
      <c r="C74" s="34">
        <f>IF(H74="CÉLULA CONSTRUTIVA",0,IF(H74="ETAPA",OFFSET(C74,-1,0)+1,OFFSET(C74,-1,0)))</f>
        <v/>
      </c>
      <c r="D74" s="35">
        <f>IF(H74="ETAPA",0,IF(H74="SUBETAPA",OFFSET(D74,-1,0)+1,OFFSET(D74,-1,0)))</f>
        <v/>
      </c>
      <c r="E74" s="35">
        <f>IF(H74="Subetapa",0,IF(H74="serviço",OFFSET(E74,-1,0)+1,OFFSET(E74,-1,0)))</f>
        <v/>
      </c>
      <c r="F74" s="1" t="n"/>
      <c r="G74" s="43" t="n"/>
      <c r="H74" s="44" t="inlineStr">
        <is>
          <t>SUBETAPA</t>
        </is>
      </c>
      <c r="I74" s="45">
        <f>IF(H74="Unidade Construtiva",TEXT(A74,"00"),IF(H74="Célula Construtiva",TEXT(B74,"00"),IF(H74="Etapa",CONCATENATE(TEXT(B74,"00"),".",TEXT(C74,"000")),IF(H74="Subetapa",CONCATENATE(TEXT(B74,"00"),".",TEXT(C74,"000"),".",TEXT(D74,"000")),IF(H74="Serviço",CONCATENATE(TEXT(B74,"00"),".",TEXT(C74,"000"),".",TEXT(D74,"000"),".",TEXT(E74,"000")),"")))))</f>
        <v/>
      </c>
      <c r="J74" s="51" t="inlineStr">
        <is>
          <t>Saúde Ocupacional</t>
        </is>
      </c>
      <c r="K74" s="48" t="n"/>
      <c r="L74" s="48" t="n"/>
      <c r="M74" s="57" t="n"/>
      <c r="N74" s="49">
        <f>IF(H74="Serviço",M74*L74,IF(H74="CÉLULA CONSTRUTIVA",SUMIFS($N$8:$N$422,$B$8:$B$422,B74,$H$8:$H$422,"Serviço"),IF(H74="ETAPA",SUMIFS($N$8:$N$422,$B$8:$B$422,B74,$C$8:$C$422,C74,$H$8:$H$422,"Serviço"),IF(H74="SUBETAPA",SUMIFS($N$8:$N$422,$B$8:$B$422,B74,$C$8:$C$422,C74,$D$8:$D$422,D74,$H$8:$H$422,"Serviço"),0))))</f>
        <v/>
      </c>
      <c r="O74" s="50" t="n"/>
      <c r="P74" s="1" t="n"/>
      <c r="Q74" s="1" t="n"/>
    </row>
    <row r="75">
      <c r="A75" s="34">
        <f>IF($H75="UNIDADE CONSTRUTIVA",OFFSET(A75,-1,0)+1,LARGE(A$3:A74,1))</f>
        <v/>
      </c>
      <c r="B75" s="34">
        <f>IF(H75="UNIDADE CONSTRUTIVA",0,IF(H75="CÉLULA CONSTRUTIVA",OFFSET(B75,-1,0)+1,OFFSET(B75,-1,0)))</f>
        <v/>
      </c>
      <c r="C75" s="34">
        <f>IF(H75="CÉLULA CONSTRUTIVA",0,IF(H75="ETAPA",OFFSET(C75,-1,0)+1,OFFSET(C75,-1,0)))</f>
        <v/>
      </c>
      <c r="D75" s="35">
        <f>IF(H75="ETAPA",0,IF(H75="SUBETAPA",OFFSET(D75,-1,0)+1,OFFSET(D75,-1,0)))</f>
        <v/>
      </c>
      <c r="E75" s="35">
        <f>IF(H75="Subetapa",0,IF(H75="serviço",OFFSET(E75,-1,0)+1,OFFSET(E75,-1,0)))</f>
        <v/>
      </c>
      <c r="F75" s="1" t="n"/>
      <c r="G75" s="43" t="n"/>
      <c r="H75" s="44" t="inlineStr">
        <is>
          <t>SERVIÇO</t>
        </is>
      </c>
      <c r="I75" s="45">
        <f>IF(H75="Unidade Construtiva",TEXT(A75,"00"),IF(H75="Célula Construtiva",TEXT(B75,"00"),IF(H75="Etapa",CONCATENATE(TEXT(B75,"00"),".",TEXT(C75,"000")),IF(H75="Subetapa",CONCATENATE(TEXT(B75,"00"),".",TEXT(C75,"000"),".",TEXT(D75,"000")),IF(H75="Serviço",CONCATENATE(TEXT(B75,"00"),".",TEXT(C75,"000"),".",TEXT(D75,"000"),".",TEXT(E75,"000")),"")))))</f>
        <v/>
      </c>
      <c r="J75" s="51" t="inlineStr">
        <is>
          <t>Medicamentos preventivos e de emergência</t>
        </is>
      </c>
      <c r="K75" s="48">
        <f>_xlfn.XLOOKUP($J75,BASES!$A$12:$A$392,BASES!$C$12:$C$392)</f>
        <v/>
      </c>
      <c r="L75" s="48">
        <f>_xlfn.XLOOKUP($J75,BASES!$A$12:$A$392,BASES!$D$12:$D$392)</f>
        <v/>
      </c>
      <c r="M75" s="48">
        <f>_xlfn.XLOOKUP($J75,BASES!$A$1:$A$2289,BASES!$E$1:$E$2289)</f>
        <v/>
      </c>
      <c r="N75" s="49">
        <f>IF(H75="Serviço",M75*L75,IF(H75="CÉLULA CONSTRUTIVA",SUMIFS($N$8:$N$422,$B$8:$B$422,B75,$H$8:$H$422,"Serviço"),IF(H75="ETAPA",SUMIFS($N$8:$N$422,$B$8:$B$422,B75,$C$8:$C$422,C75,$H$8:$H$422,"Serviço"),IF(H75="SUBETAPA",SUMIFS($N$8:$N$422,$B$8:$B$422,B75,$C$8:$C$422,C75,$D$8:$D$422,D75,$H$8:$H$422,"Serviço"),0))))</f>
        <v/>
      </c>
      <c r="O75" s="48">
        <f>_xlfn.XLOOKUP($J75,BASES!$A$12:$A$392,BASES!$F$12:$F$392)</f>
        <v/>
      </c>
      <c r="P75" s="1" t="n"/>
      <c r="Q75" s="1" t="n"/>
    </row>
    <row r="76">
      <c r="A76" s="34">
        <f>IF($H76="UNIDADE CONSTRUTIVA",OFFSET(A76,-1,0)+1,LARGE(A$3:A75,1))</f>
        <v/>
      </c>
      <c r="B76" s="34">
        <f>IF(H76="UNIDADE CONSTRUTIVA",0,IF(H76="CÉLULA CONSTRUTIVA",OFFSET(B76,-1,0)+1,OFFSET(B76,-1,0)))</f>
        <v/>
      </c>
      <c r="C76" s="34">
        <f>IF(H76="CÉLULA CONSTRUTIVA",0,IF(H76="ETAPA",OFFSET(C76,-1,0)+1,OFFSET(C76,-1,0)))</f>
        <v/>
      </c>
      <c r="D76" s="35">
        <f>IF(H76="ETAPA",0,IF(H76="SUBETAPA",OFFSET(D76,-1,0)+1,OFFSET(D76,-1,0)))</f>
        <v/>
      </c>
      <c r="E76" s="35">
        <f>IF(H76="Subetapa",0,IF(H76="serviço",OFFSET(E76,-1,0)+1,OFFSET(E76,-1,0)))</f>
        <v/>
      </c>
      <c r="F76" s="1" t="n"/>
      <c r="G76" s="43" t="n"/>
      <c r="H76" s="44" t="inlineStr">
        <is>
          <t>SERVIÇO</t>
        </is>
      </c>
      <c r="I76" s="45">
        <f>IF(H76="Unidade Construtiva",TEXT(A76,"00"),IF(H76="Célula Construtiva",TEXT(B76,"00"),IF(H76="Etapa",CONCATENATE(TEXT(B76,"00"),".",TEXT(C76,"000")),IF(H76="Subetapa",CONCATENATE(TEXT(B76,"00"),".",TEXT(C76,"000"),".",TEXT(D76,"000")),IF(H76="Serviço",CONCATENATE(TEXT(B76,"00"),".",TEXT(C76,"000"),".",TEXT(D76,"000"),".",TEXT(E76,"000")),"")))))</f>
        <v/>
      </c>
      <c r="J76" s="51" t="inlineStr">
        <is>
          <t>Kit socorrista</t>
        </is>
      </c>
      <c r="K76" s="48">
        <f>_xlfn.XLOOKUP($J76,BASES!$A$12:$A$392,BASES!$C$12:$C$392)</f>
        <v/>
      </c>
      <c r="L76" s="48">
        <f>_xlfn.XLOOKUP($J76,BASES!$A$12:$A$392,BASES!$D$12:$D$392)</f>
        <v/>
      </c>
      <c r="M76" s="48">
        <f>_xlfn.XLOOKUP($J76,BASES!$A$1:$A$2289,BASES!$E$1:$E$2289)</f>
        <v/>
      </c>
      <c r="N76" s="49">
        <f>IF(H76="Serviço",M76*L76,IF(H76="CÉLULA CONSTRUTIVA",SUMIFS($N$8:$N$422,$B$8:$B$422,B76,$H$8:$H$422,"Serviço"),IF(H76="ETAPA",SUMIFS($N$8:$N$422,$B$8:$B$422,B76,$C$8:$C$422,C76,$H$8:$H$422,"Serviço"),IF(H76="SUBETAPA",SUMIFS($N$8:$N$422,$B$8:$B$422,B76,$C$8:$C$422,C76,$D$8:$D$422,D76,$H$8:$H$422,"Serviço"),0))))</f>
        <v/>
      </c>
      <c r="O76" s="48">
        <f>_xlfn.XLOOKUP($J76,BASES!$A$12:$A$392,BASES!$F$12:$F$392)</f>
        <v/>
      </c>
      <c r="P76" s="1" t="n"/>
      <c r="Q76" s="1" t="n"/>
    </row>
    <row r="77">
      <c r="A77" s="34">
        <f>IF($H77="UNIDADE CONSTRUTIVA",OFFSET(A77,-1,0)+1,LARGE(A$3:A76,1))</f>
        <v/>
      </c>
      <c r="B77" s="34">
        <f>IF(H77="UNIDADE CONSTRUTIVA",0,IF(H77="CÉLULA CONSTRUTIVA",OFFSET(B77,-1,0)+1,OFFSET(B77,-1,0)))</f>
        <v/>
      </c>
      <c r="C77" s="34">
        <f>IF(H77="CÉLULA CONSTRUTIVA",0,IF(H77="ETAPA",OFFSET(C77,-1,0)+1,OFFSET(C77,-1,0)))</f>
        <v/>
      </c>
      <c r="D77" s="35">
        <f>IF(H77="ETAPA",0,IF(H77="SUBETAPA",OFFSET(D77,-1,0)+1,OFFSET(D77,-1,0)))</f>
        <v/>
      </c>
      <c r="E77" s="35">
        <f>IF(H77="Subetapa",0,IF(H77="serviço",OFFSET(E77,-1,0)+1,OFFSET(E77,-1,0)))</f>
        <v/>
      </c>
      <c r="F77" s="1" t="n"/>
      <c r="G77" s="43" t="n"/>
      <c r="H77" s="44" t="inlineStr">
        <is>
          <t>SERVIÇO</t>
        </is>
      </c>
      <c r="I77" s="45">
        <f>IF(H77="Unidade Construtiva",TEXT(A77,"00"),IF(H77="Célula Construtiva",TEXT(B77,"00"),IF(H77="Etapa",CONCATENATE(TEXT(B77,"00"),".",TEXT(C77,"000")),IF(H77="Subetapa",CONCATENATE(TEXT(B77,"00"),".",TEXT(C77,"000"),".",TEXT(D77,"000")),IF(H77="Serviço",CONCATENATE(TEXT(B77,"00"),".",TEXT(C77,"000"),".",TEXT(D77,"000"),".",TEXT(E77,"000")),"")))))</f>
        <v/>
      </c>
      <c r="J77" s="51" t="inlineStr">
        <is>
          <t>Dedetização, desratização e sanitização dos ambientes</t>
        </is>
      </c>
      <c r="K77" s="48">
        <f>_xlfn.XLOOKUP($J77,BASES!$A$12:$A$392,BASES!$C$12:$C$392)</f>
        <v/>
      </c>
      <c r="L77" s="48">
        <f>_xlfn.XLOOKUP($J77,BASES!$A$12:$A$392,BASES!$D$12:$D$392)</f>
        <v/>
      </c>
      <c r="M77" s="48">
        <f>_xlfn.XLOOKUP($J77,BASES!$A$1:$A$2289,BASES!$E$1:$E$2289)</f>
        <v/>
      </c>
      <c r="N77" s="49">
        <f>IF(H77="Serviço",M77*L77,IF(H77="CÉLULA CONSTRUTIVA",SUMIFS($N$8:$N$422,$B$8:$B$422,B77,$H$8:$H$422,"Serviço"),IF(H77="ETAPA",SUMIFS($N$8:$N$422,$B$8:$B$422,B77,$C$8:$C$422,C77,$H$8:$H$422,"Serviço"),IF(H77="SUBETAPA",SUMIFS($N$8:$N$422,$B$8:$B$422,B77,$C$8:$C$422,C77,$D$8:$D$422,D77,$H$8:$H$422,"Serviço"),0))))</f>
        <v/>
      </c>
      <c r="O77" s="48">
        <f>_xlfn.XLOOKUP($J77,BASES!$A$12:$A$392,BASES!$F$12:$F$392)</f>
        <v/>
      </c>
      <c r="P77" s="1" t="n"/>
      <c r="Q77" s="1" t="n"/>
    </row>
    <row r="78">
      <c r="A78" s="34">
        <f>IF($H78="UNIDADE CONSTRUTIVA",OFFSET(A78,-1,0)+1,LARGE(A$3:A77,1))</f>
        <v/>
      </c>
      <c r="B78" s="34">
        <f>IF(H78="UNIDADE CONSTRUTIVA",0,IF(H78="CÉLULA CONSTRUTIVA",OFFSET(B78,-1,0)+1,OFFSET(B78,-1,0)))</f>
        <v/>
      </c>
      <c r="C78" s="34">
        <f>IF(H78="CÉLULA CONSTRUTIVA",0,IF(H78="ETAPA",OFFSET(C78,-1,0)+1,OFFSET(C78,-1,0)))</f>
        <v/>
      </c>
      <c r="D78" s="35">
        <f>IF(H78="ETAPA",0,IF(H78="SUBETAPA",OFFSET(D78,-1,0)+1,OFFSET(D78,-1,0)))</f>
        <v/>
      </c>
      <c r="E78" s="35">
        <f>IF(H78="Subetapa",0,IF(H78="serviço",OFFSET(E78,-1,0)+1,OFFSET(E78,-1,0)))</f>
        <v/>
      </c>
      <c r="F78" s="1" t="n"/>
      <c r="G78" s="43" t="n"/>
      <c r="H78" s="44" t="inlineStr">
        <is>
          <t>ETAPA</t>
        </is>
      </c>
      <c r="I78" s="45">
        <f>IF(H78="Unidade Construtiva",TEXT(A78,"00"),IF(H78="Célula Construtiva",TEXT(B78,"00"),IF(H78="Etapa",CONCATENATE(TEXT(B78,"00"),".",TEXT(C78,"000")),IF(H78="Subetapa",CONCATENATE(TEXT(B78,"00"),".",TEXT(C78,"000"),".",TEXT(D78,"000")),IF(H78="Serviço",CONCATENATE(TEXT(B78,"00"),".",TEXT(C78,"000"),".",TEXT(D78,"000"),".",TEXT(E78,"000")),"")))))</f>
        <v/>
      </c>
      <c r="J78" s="51" t="inlineStr">
        <is>
          <t>ADMINISTRAÇÃO E CANTEIRO DE OBRA</t>
        </is>
      </c>
      <c r="K78" s="48" t="n"/>
      <c r="L78" s="48" t="n"/>
      <c r="M78" s="48" t="n"/>
      <c r="N78" s="49">
        <f>IF(H78="Serviço",M78*L78,IF(H78="CÉLULA CONSTRUTIVA",SUMIFS($N$8:$N$422,$B$8:$B$422,B78,$H$8:$H$422,"Serviço"),IF(H78="ETAPA",SUMIFS($N$8:$N$422,$B$8:$B$422,B78,$C$8:$C$422,C78,$H$8:$H$422,"Serviço"),IF(H78="SUBETAPA",SUMIFS($N$8:$N$422,$B$8:$B$422,B78,$C$8:$C$422,C78,$D$8:$D$422,D78,$H$8:$H$422,"Serviço"),0))))</f>
        <v/>
      </c>
      <c r="O78" s="50" t="n"/>
      <c r="P78" s="52" t="n"/>
      <c r="Q78" s="52" t="n"/>
    </row>
    <row r="79">
      <c r="A79" s="34">
        <f>IF($H79="UNIDADE CONSTRUTIVA",OFFSET(A79,-1,0)+1,LARGE(A$3:A78,1))</f>
        <v/>
      </c>
      <c r="B79" s="34">
        <f>IF(H79="UNIDADE CONSTRUTIVA",0,IF(H79="CÉLULA CONSTRUTIVA",OFFSET(B79,-1,0)+1,OFFSET(B79,-1,0)))</f>
        <v/>
      </c>
      <c r="C79" s="34">
        <f>IF(H79="CÉLULA CONSTRUTIVA",0,IF(H79="ETAPA",OFFSET(C79,-1,0)+1,OFFSET(C79,-1,0)))</f>
        <v/>
      </c>
      <c r="D79" s="35">
        <f>IF(H79="ETAPA",0,IF(H79="SUBETAPA",OFFSET(D79,-1,0)+1,OFFSET(D79,-1,0)))</f>
        <v/>
      </c>
      <c r="E79" s="35">
        <f>IF(H79="Subetapa",0,IF(H79="serviço",OFFSET(E79,-1,0)+1,OFFSET(E79,-1,0)))</f>
        <v/>
      </c>
      <c r="F79" s="1" t="n"/>
      <c r="G79" s="43" t="n"/>
      <c r="H79" s="44" t="inlineStr">
        <is>
          <t>SUBETAPA</t>
        </is>
      </c>
      <c r="I79" s="45">
        <f>IF(H79="Unidade Construtiva",TEXT(A79,"00"),IF(H79="Célula Construtiva",TEXT(B79,"00"),IF(H79="Etapa",CONCATENATE(TEXT(B79,"00"),".",TEXT(C79,"000")),IF(H79="Subetapa",CONCATENATE(TEXT(B79,"00"),".",TEXT(C79,"000"),".",TEXT(D79,"000")),IF(H79="Serviço",CONCATENATE(TEXT(B79,"00"),".",TEXT(C79,"000"),".",TEXT(D79,"000"),".",TEXT(E79,"000")),"")))))</f>
        <v/>
      </c>
      <c r="J79" s="51" t="inlineStr">
        <is>
          <t>Equipe de Gestão e Apoio</t>
        </is>
      </c>
      <c r="K79" s="48" t="n"/>
      <c r="L79" s="48" t="n"/>
      <c r="M79" s="48" t="n"/>
      <c r="N79" s="49">
        <f>IF(H79="Serviço",M79*L79,IF(H79="CÉLULA CONSTRUTIVA",SUMIFS($N$8:$N$422,$B$8:$B$422,B79,$H$8:$H$422,"Serviço"),IF(H79="ETAPA",SUMIFS($N$8:$N$422,$B$8:$B$422,B79,$C$8:$C$422,C79,$H$8:$H$422,"Serviço"),IF(H79="SUBETAPA",SUMIFS($N$8:$N$422,$B$8:$B$422,B79,$C$8:$C$422,C79,$D$8:$D$422,D79,$H$8:$H$422,"Serviço"),0))))</f>
        <v/>
      </c>
      <c r="O79" s="50" t="n"/>
      <c r="P79" s="52" t="n"/>
      <c r="Q79" s="52" t="n"/>
    </row>
    <row r="80">
      <c r="A80" s="34">
        <f>IF($H80="UNIDADE CONSTRUTIVA",OFFSET(A80,-1,0)+1,LARGE(A$3:A79,1))</f>
        <v/>
      </c>
      <c r="B80" s="34">
        <f>IF(H80="UNIDADE CONSTRUTIVA",0,IF(H80="CÉLULA CONSTRUTIVA",OFFSET(B80,-1,0)+1,OFFSET(B80,-1,0)))</f>
        <v/>
      </c>
      <c r="C80" s="34">
        <f>IF(H80="CÉLULA CONSTRUTIVA",0,IF(H80="ETAPA",OFFSET(C80,-1,0)+1,OFFSET(C80,-1,0)))</f>
        <v/>
      </c>
      <c r="D80" s="35">
        <f>IF(H80="ETAPA",0,IF(H80="SUBETAPA",OFFSET(D80,-1,0)+1,OFFSET(D80,-1,0)))</f>
        <v/>
      </c>
      <c r="E80" s="35">
        <f>IF(H80="Subetapa",0,IF(H80="serviço",OFFSET(E80,-1,0)+1,OFFSET(E80,-1,0)))</f>
        <v/>
      </c>
      <c r="F80" s="1" t="n"/>
      <c r="G80" s="43" t="n"/>
      <c r="H80" s="44" t="inlineStr">
        <is>
          <t>SERVIÇO</t>
        </is>
      </c>
      <c r="I80" s="45">
        <f>IF(H80="Unidade Construtiva",TEXT(A80,"00"),IF(H80="Célula Construtiva",TEXT(B80,"00"),IF(H80="Etapa",CONCATENATE(TEXT(B80,"00"),".",TEXT(C80,"000")),IF(H80="Subetapa",CONCATENATE(TEXT(B80,"00"),".",TEXT(C80,"000"),".",TEXT(D80,"000")),IF(H80="Serviço",CONCATENATE(TEXT(B80,"00"),".",TEXT(C80,"000"),".",TEXT(D80,"000"),".",TEXT(E80,"000")),"")))))</f>
        <v/>
      </c>
      <c r="J80" s="51" t="inlineStr">
        <is>
          <t>Engenheiro Civil</t>
        </is>
      </c>
      <c r="K80" s="48">
        <f>_xlfn.XLOOKUP($J80,BASES!$A$12:$A$392,BASES!$C$12:$C$392)</f>
        <v/>
      </c>
      <c r="L80" s="48">
        <f>_xlfn.XLOOKUP($J80,BASES!$A$12:$A$392,BASES!$D$12:$D$392)</f>
        <v/>
      </c>
      <c r="M80" s="48">
        <f>_xlfn.XLOOKUP($J80,BASES!$A$1:$A$2289,BASES!$E$1:$E$2289)</f>
        <v/>
      </c>
      <c r="N80" s="49">
        <f>IF(H80="Serviço",M80*L80,IF(H80="CÉLULA CONSTRUTIVA",SUMIFS($N$8:$N$422,$B$8:$B$422,B80,$H$8:$H$422,"Serviço"),IF(H80="ETAPA",SUMIFS($N$8:$N$422,$B$8:$B$422,B80,$C$8:$C$422,C80,$H$8:$H$422,"Serviço"),IF(H80="SUBETAPA",SUMIFS($N$8:$N$422,$B$8:$B$422,B80,$C$8:$C$422,C80,$D$8:$D$422,D80,$H$8:$H$422,"Serviço"),0))))</f>
        <v/>
      </c>
      <c r="O80" s="48">
        <f>_xlfn.XLOOKUP($J80,BASES!$A$12:$A$392,BASES!$F$12:$F$392)</f>
        <v/>
      </c>
      <c r="P80" s="52" t="n"/>
      <c r="Q80" s="52" t="n"/>
    </row>
    <row r="81">
      <c r="A81" s="34">
        <f>IF($H81="UNIDADE CONSTRUTIVA",OFFSET(A81,-1,0)+1,LARGE(A$3:A80,1))</f>
        <v/>
      </c>
      <c r="B81" s="34">
        <f>IF(H81="UNIDADE CONSTRUTIVA",0,IF(H81="CÉLULA CONSTRUTIVA",OFFSET(B81,-1,0)+1,OFFSET(B81,-1,0)))</f>
        <v/>
      </c>
      <c r="C81" s="34">
        <f>IF(H81="CÉLULA CONSTRUTIVA",0,IF(H81="ETAPA",OFFSET(C81,-1,0)+1,OFFSET(C81,-1,0)))</f>
        <v/>
      </c>
      <c r="D81" s="35">
        <f>IF(H81="ETAPA",0,IF(H81="SUBETAPA",OFFSET(D81,-1,0)+1,OFFSET(D81,-1,0)))</f>
        <v/>
      </c>
      <c r="E81" s="35">
        <f>IF(H81="Subetapa",0,IF(H81="serviço",OFFSET(E81,-1,0)+1,OFFSET(E81,-1,0)))</f>
        <v/>
      </c>
      <c r="F81" s="1" t="n"/>
      <c r="G81" s="43" t="n"/>
      <c r="H81" s="44" t="inlineStr">
        <is>
          <t>SERVIÇO</t>
        </is>
      </c>
      <c r="I81" s="45">
        <f>IF(H81="Unidade Construtiva",TEXT(A81,"00"),IF(H81="Célula Construtiva",TEXT(B81,"00"),IF(H81="Etapa",CONCATENATE(TEXT(B81,"00"),".",TEXT(C81,"000")),IF(H81="Subetapa",CONCATENATE(TEXT(B81,"00"),".",TEXT(C81,"000"),".",TEXT(D81,"000")),IF(H81="Serviço",CONCATENATE(TEXT(B81,"00"),".",TEXT(C81,"000"),".",TEXT(D81,"000"),".",TEXT(E81,"000")),"")))))</f>
        <v/>
      </c>
      <c r="J81" s="51" t="inlineStr">
        <is>
          <t>Mestre De Obras</t>
        </is>
      </c>
      <c r="K81" s="48">
        <f>_xlfn.XLOOKUP($J81,BASES!$A$12:$A$392,BASES!$C$12:$C$392)</f>
        <v/>
      </c>
      <c r="L81" s="48">
        <f>_xlfn.XLOOKUP($J81,BASES!$A$12:$A$392,BASES!$D$12:$D$392)</f>
        <v/>
      </c>
      <c r="M81" s="48">
        <f>_xlfn.XLOOKUP($J81,BASES!$A$1:$A$2289,BASES!$E$1:$E$2289)</f>
        <v/>
      </c>
      <c r="N81" s="49">
        <f>IF(H81="Serviço",M81*L81,IF(H81="CÉLULA CONSTRUTIVA",SUMIFS($N$8:$N$422,$B$8:$B$422,B81,$H$8:$H$422,"Serviço"),IF(H81="ETAPA",SUMIFS($N$8:$N$422,$B$8:$B$422,B81,$C$8:$C$422,C81,$H$8:$H$422,"Serviço"),IF(H81="SUBETAPA",SUMIFS($N$8:$N$422,$B$8:$B$422,B81,$C$8:$C$422,C81,$D$8:$D$422,D81,$H$8:$H$422,"Serviço"),0))))</f>
        <v/>
      </c>
      <c r="O81" s="48">
        <f>_xlfn.XLOOKUP($J81,BASES!$A$12:$A$392,BASES!$F$12:$F$392)</f>
        <v/>
      </c>
      <c r="P81" s="52" t="n"/>
      <c r="Q81" s="52" t="n"/>
    </row>
    <row r="82">
      <c r="A82" s="34">
        <f>IF($H82="UNIDADE CONSTRUTIVA",OFFSET(A82,-1,0)+1,LARGE(A$3:A81,1))</f>
        <v/>
      </c>
      <c r="B82" s="34">
        <f>IF(H82="UNIDADE CONSTRUTIVA",0,IF(H82="CÉLULA CONSTRUTIVA",OFFSET(B82,-1,0)+1,OFFSET(B82,-1,0)))</f>
        <v/>
      </c>
      <c r="C82" s="34">
        <f>IF(H82="CÉLULA CONSTRUTIVA",0,IF(H82="ETAPA",OFFSET(C82,-1,0)+1,OFFSET(C82,-1,0)))</f>
        <v/>
      </c>
      <c r="D82" s="35">
        <f>IF(H82="ETAPA",0,IF(H82="SUBETAPA",OFFSET(D82,-1,0)+1,OFFSET(D82,-1,0)))</f>
        <v/>
      </c>
      <c r="E82" s="35">
        <f>IF(H82="Subetapa",0,IF(H82="serviço",OFFSET(E82,-1,0)+1,OFFSET(E82,-1,0)))</f>
        <v/>
      </c>
      <c r="F82" s="1" t="n"/>
      <c r="G82" s="43" t="n"/>
      <c r="H82" s="44" t="inlineStr">
        <is>
          <t>SERVIÇO</t>
        </is>
      </c>
      <c r="I82" s="45">
        <f>IF(H82="Unidade Construtiva",TEXT(A82,"00"),IF(H82="Célula Construtiva",TEXT(B82,"00"),IF(H82="Etapa",CONCATENATE(TEXT(B82,"00"),".",TEXT(C82,"000")),IF(H82="Subetapa",CONCATENATE(TEXT(B82,"00"),".",TEXT(C82,"000"),".",TEXT(D82,"000")),IF(H82="Serviço",CONCATENATE(TEXT(B82,"00"),".",TEXT(C82,"000"),".",TEXT(D82,"000"),".",TEXT(E82,"000")),"")))))</f>
        <v/>
      </c>
      <c r="J82" s="51" t="inlineStr">
        <is>
          <t>Auxiliar de engenharia</t>
        </is>
      </c>
      <c r="K82" s="48">
        <f>_xlfn.XLOOKUP($J82,BASES!$A$12:$A$392,BASES!$C$12:$C$392)</f>
        <v/>
      </c>
      <c r="L82" s="48">
        <f>_xlfn.XLOOKUP($J82,BASES!$A$12:$A$392,BASES!$D$12:$D$392)</f>
        <v/>
      </c>
      <c r="M82" s="48">
        <f>_xlfn.XLOOKUP($J82,BASES!$A$1:$A$2289,BASES!$E$1:$E$2289)</f>
        <v/>
      </c>
      <c r="N82" s="49">
        <f>IF(H82="Serviço",M82*L82,IF(H82="CÉLULA CONSTRUTIVA",SUMIFS($N$8:$N$422,$B$8:$B$422,B82,$H$8:$H$422,"Serviço"),IF(H82="ETAPA",SUMIFS($N$8:$N$422,$B$8:$B$422,B82,$C$8:$C$422,C82,$H$8:$H$422,"Serviço"),IF(H82="SUBETAPA",SUMIFS($N$8:$N$422,$B$8:$B$422,B82,$C$8:$C$422,C82,$D$8:$D$422,D82,$H$8:$H$422,"Serviço"),0))))</f>
        <v/>
      </c>
      <c r="O82" s="48">
        <f>_xlfn.XLOOKUP($J82,BASES!$A$12:$A$392,BASES!$F$12:$F$392)</f>
        <v/>
      </c>
      <c r="P82" s="52" t="n"/>
      <c r="Q82" s="52" t="n"/>
    </row>
    <row r="83">
      <c r="A83" s="34">
        <f>IF($H83="UNIDADE CONSTRUTIVA",OFFSET(A83,-1,0)+1,LARGE(A$3:A82,1))</f>
        <v/>
      </c>
      <c r="B83" s="34">
        <f>IF(H83="UNIDADE CONSTRUTIVA",0,IF(H83="CÉLULA CONSTRUTIVA",OFFSET(B83,-1,0)+1,OFFSET(B83,-1,0)))</f>
        <v/>
      </c>
      <c r="C83" s="34">
        <f>IF(H83="CÉLULA CONSTRUTIVA",0,IF(H83="ETAPA",OFFSET(C83,-1,0)+1,OFFSET(C83,-1,0)))</f>
        <v/>
      </c>
      <c r="D83" s="35">
        <f>IF(H83="ETAPA",0,IF(H83="SUBETAPA",OFFSET(D83,-1,0)+1,OFFSET(D83,-1,0)))</f>
        <v/>
      </c>
      <c r="E83" s="35">
        <f>IF(H83="Subetapa",0,IF(H83="serviço",OFFSET(E83,-1,0)+1,OFFSET(E83,-1,0)))</f>
        <v/>
      </c>
      <c r="F83" s="1" t="n"/>
      <c r="G83" s="43" t="n"/>
      <c r="H83" s="44" t="inlineStr">
        <is>
          <t>SERVIÇO</t>
        </is>
      </c>
      <c r="I83" s="45">
        <f>IF(H83="Unidade Construtiva",TEXT(A83,"00"),IF(H83="Célula Construtiva",TEXT(B83,"00"),IF(H83="Etapa",CONCATENATE(TEXT(B83,"00"),".",TEXT(C83,"000")),IF(H83="Subetapa",CONCATENATE(TEXT(B83,"00"),".",TEXT(C83,"000"),".",TEXT(D83,"000")),IF(H83="Serviço",CONCATENATE(TEXT(B83,"00"),".",TEXT(C83,"000"),".",TEXT(D83,"000"),".",TEXT(E83,"000")),"")))))</f>
        <v/>
      </c>
      <c r="J83" s="51" t="inlineStr">
        <is>
          <t>Estagiário</t>
        </is>
      </c>
      <c r="K83" s="48">
        <f>_xlfn.XLOOKUP($J83,BASES!$A$12:$A$392,BASES!$C$12:$C$392)</f>
        <v/>
      </c>
      <c r="L83" s="48">
        <f>_xlfn.XLOOKUP($J83,BASES!$A$12:$A$392,BASES!$D$12:$D$392)</f>
        <v/>
      </c>
      <c r="M83" s="48">
        <f>_xlfn.XLOOKUP($J83,BASES!$A$1:$A$2289,BASES!$E$1:$E$2289)</f>
        <v/>
      </c>
      <c r="N83" s="49">
        <f>IF(H83="Serviço",M83*L83,IF(H83="CÉLULA CONSTRUTIVA",SUMIFS($N$8:$N$422,$B$8:$B$422,B83,$H$8:$H$422,"Serviço"),IF(H83="ETAPA",SUMIFS($N$8:$N$422,$B$8:$B$422,B83,$C$8:$C$422,C83,$H$8:$H$422,"Serviço"),IF(H83="SUBETAPA",SUMIFS($N$8:$N$422,$B$8:$B$422,B83,$C$8:$C$422,C83,$D$8:$D$422,D83,$H$8:$H$422,"Serviço"),0))))</f>
        <v/>
      </c>
      <c r="O83" s="48">
        <f>_xlfn.XLOOKUP($J83,BASES!$A$12:$A$392,BASES!$F$12:$F$392)</f>
        <v/>
      </c>
      <c r="P83" s="52" t="n"/>
      <c r="Q83" s="52" t="n"/>
    </row>
    <row r="84">
      <c r="A84" s="34">
        <f>IF($H84="UNIDADE CONSTRUTIVA",OFFSET(A84,-1,0)+1,LARGE(A$3:A83,1))</f>
        <v/>
      </c>
      <c r="B84" s="34">
        <f>IF(H84="UNIDADE CONSTRUTIVA",0,IF(H84="CÉLULA CONSTRUTIVA",OFFSET(B84,-1,0)+1,OFFSET(B84,-1,0)))</f>
        <v/>
      </c>
      <c r="C84" s="34">
        <f>IF(H84="CÉLULA CONSTRUTIVA",0,IF(H84="ETAPA",OFFSET(C84,-1,0)+1,OFFSET(C84,-1,0)))</f>
        <v/>
      </c>
      <c r="D84" s="35">
        <f>IF(H84="ETAPA",0,IF(H84="SUBETAPA",OFFSET(D84,-1,0)+1,OFFSET(D84,-1,0)))</f>
        <v/>
      </c>
      <c r="E84" s="35">
        <f>IF(H84="Subetapa",0,IF(H84="serviço",OFFSET(E84,-1,0)+1,OFFSET(E84,-1,0)))</f>
        <v/>
      </c>
      <c r="F84" s="1" t="n"/>
      <c r="G84" s="43" t="n"/>
      <c r="H84" s="44" t="inlineStr">
        <is>
          <t>SERVIÇO</t>
        </is>
      </c>
      <c r="I84" s="45">
        <f>IF(H84="Unidade Construtiva",TEXT(A84,"00"),IF(H84="Célula Construtiva",TEXT(B84,"00"),IF(H84="Etapa",CONCATENATE(TEXT(B84,"00"),".",TEXT(C84,"000")),IF(H84="Subetapa",CONCATENATE(TEXT(B84,"00"),".",TEXT(C84,"000"),".",TEXT(D84,"000")),IF(H84="Serviço",CONCATENATE(TEXT(B84,"00"),".",TEXT(C84,"000"),".",TEXT(D84,"000"),".",TEXT(E84,"000")),"")))))</f>
        <v/>
      </c>
      <c r="J84" s="51" t="inlineStr">
        <is>
          <t>Guincheiro</t>
        </is>
      </c>
      <c r="K84" s="48">
        <f>_xlfn.XLOOKUP($J84,BASES!$A$12:$A$392,BASES!$C$12:$C$392)</f>
        <v/>
      </c>
      <c r="L84" s="48">
        <f>_xlfn.XLOOKUP($J84,BASES!$A$12:$A$392,BASES!$D$12:$D$392)</f>
        <v/>
      </c>
      <c r="M84" s="48">
        <f>_xlfn.XLOOKUP($J84,BASES!$A$1:$A$2289,BASES!$E$1:$E$2289)</f>
        <v/>
      </c>
      <c r="N84" s="49">
        <f>IF(H84="Serviço",M84*L84,IF(H84="CÉLULA CONSTRUTIVA",SUMIFS($N$8:$N$422,$B$8:$B$422,B84,$H$8:$H$422,"Serviço"),IF(H84="ETAPA",SUMIFS($N$8:$N$422,$B$8:$B$422,B84,$C$8:$C$422,C84,$H$8:$H$422,"Serviço"),IF(H84="SUBETAPA",SUMIFS($N$8:$N$422,$B$8:$B$422,B84,$C$8:$C$422,C84,$D$8:$D$422,D84,$H$8:$H$422,"Serviço"),0))))</f>
        <v/>
      </c>
      <c r="O84" s="48">
        <f>_xlfn.XLOOKUP($J84,BASES!$A$12:$A$392,BASES!$F$12:$F$392)</f>
        <v/>
      </c>
      <c r="P84" s="52" t="n"/>
      <c r="Q84" s="52" t="n"/>
    </row>
    <row r="85">
      <c r="A85" s="34">
        <f>IF($H85="UNIDADE CONSTRUTIVA",OFFSET(A85,-1,0)+1,LARGE(A$3:A84,1))</f>
        <v/>
      </c>
      <c r="B85" s="34">
        <f>IF(H85="UNIDADE CONSTRUTIVA",0,IF(H85="CÉLULA CONSTRUTIVA",OFFSET(B85,-1,0)+1,OFFSET(B85,-1,0)))</f>
        <v/>
      </c>
      <c r="C85" s="34">
        <f>IF(H85="CÉLULA CONSTRUTIVA",0,IF(H85="ETAPA",OFFSET(C85,-1,0)+1,OFFSET(C85,-1,0)))</f>
        <v/>
      </c>
      <c r="D85" s="35">
        <f>IF(H85="ETAPA",0,IF(H85="SUBETAPA",OFFSET(D85,-1,0)+1,OFFSET(D85,-1,0)))</f>
        <v/>
      </c>
      <c r="E85" s="35">
        <f>IF(H85="Subetapa",0,IF(H85="serviço",OFFSET(E85,-1,0)+1,OFFSET(E85,-1,0)))</f>
        <v/>
      </c>
      <c r="F85" s="1" t="n"/>
      <c r="G85" s="43" t="n"/>
      <c r="H85" s="44" t="inlineStr">
        <is>
          <t>SERVIÇO</t>
        </is>
      </c>
      <c r="I85" s="45">
        <f>IF(H85="Unidade Construtiva",TEXT(A85,"00"),IF(H85="Célula Construtiva",TEXT(B85,"00"),IF(H85="Etapa",CONCATENATE(TEXT(B85,"00"),".",TEXT(C85,"000")),IF(H85="Subetapa",CONCATENATE(TEXT(B85,"00"),".",TEXT(C85,"000"),".",TEXT(D85,"000")),IF(H85="Serviço",CONCATENATE(TEXT(B85,"00"),".",TEXT(C85,"000"),".",TEXT(D85,"000"),".",TEXT(E85,"000")),"")))))</f>
        <v/>
      </c>
      <c r="J85" s="51" t="inlineStr">
        <is>
          <t>Equipe de apoio</t>
        </is>
      </c>
      <c r="K85" s="48">
        <f>_xlfn.XLOOKUP($J85,BASES!$A$12:$A$392,BASES!$C$12:$C$392)</f>
        <v/>
      </c>
      <c r="L85" s="48">
        <f>_xlfn.XLOOKUP($J85,BASES!$A$12:$A$392,BASES!$D$12:$D$392)</f>
        <v/>
      </c>
      <c r="M85" s="48">
        <f>_xlfn.XLOOKUP($J85,BASES!$A$1:$A$2289,BASES!$E$1:$E$2289)</f>
        <v/>
      </c>
      <c r="N85" s="49">
        <f>IF(H85="Serviço",M85*L85,IF(H85="CÉLULA CONSTRUTIVA",SUMIFS($N$8:$N$422,$B$8:$B$422,B85,$H$8:$H$422,"Serviço"),IF(H85="ETAPA",SUMIFS($N$8:$N$422,$B$8:$B$422,B85,$C$8:$C$422,C85,$H$8:$H$422,"Serviço"),IF(H85="SUBETAPA",SUMIFS($N$8:$N$422,$B$8:$B$422,B85,$C$8:$C$422,C85,$D$8:$D$422,D85,$H$8:$H$422,"Serviço"),0))))</f>
        <v/>
      </c>
      <c r="O85" s="48" t="inlineStr">
        <is>
          <t>Estimado - Montagem e desmontagem de proteção coletiva 
4 funcionários/carpinteiros.</t>
        </is>
      </c>
      <c r="P85" s="52" t="n"/>
      <c r="Q85" s="52" t="n"/>
    </row>
    <row r="86">
      <c r="A86" s="34">
        <f>IF($H86="UNIDADE CONSTRUTIVA",OFFSET(A86,-1,0)+1,LARGE(A$3:A85,1))</f>
        <v/>
      </c>
      <c r="B86" s="34">
        <f>IF(H86="UNIDADE CONSTRUTIVA",0,IF(H86="CÉLULA CONSTRUTIVA",OFFSET(B86,-1,0)+1,OFFSET(B86,-1,0)))</f>
        <v/>
      </c>
      <c r="C86" s="34">
        <f>IF(H86="CÉLULA CONSTRUTIVA",0,IF(H86="ETAPA",OFFSET(C86,-1,0)+1,OFFSET(C86,-1,0)))</f>
        <v/>
      </c>
      <c r="D86" s="35">
        <f>IF(H86="ETAPA",0,IF(H86="SUBETAPA",OFFSET(D86,-1,0)+1,OFFSET(D86,-1,0)))</f>
        <v/>
      </c>
      <c r="E86" s="35">
        <f>IF(H86="Subetapa",0,IF(H86="serviço",OFFSET(E86,-1,0)+1,OFFSET(E86,-1,0)))</f>
        <v/>
      </c>
      <c r="F86" s="1" t="n"/>
      <c r="G86" s="43" t="n"/>
      <c r="H86" s="44" t="inlineStr">
        <is>
          <t>SUBETAPA</t>
        </is>
      </c>
      <c r="I86" s="45">
        <f>IF(H86="Unidade Construtiva",TEXT(A86,"00"),IF(H86="Célula Construtiva",TEXT(B86,"00"),IF(H86="Etapa",CONCATENATE(TEXT(B86,"00"),".",TEXT(C86,"000")),IF(H86="Subetapa",CONCATENATE(TEXT(B86,"00"),".",TEXT(C86,"000"),".",TEXT(D86,"000")),IF(H86="Serviço",CONCATENATE(TEXT(B86,"00"),".",TEXT(C86,"000"),".",TEXT(D86,"000"),".",TEXT(E86,"000")),"")))))</f>
        <v/>
      </c>
      <c r="J86" s="51" t="inlineStr">
        <is>
          <t>Despesas de Consumo e Manutenção</t>
        </is>
      </c>
      <c r="K86" s="48" t="n"/>
      <c r="L86" s="48" t="n"/>
      <c r="M86" s="48" t="n"/>
      <c r="N86" s="49">
        <f>IF(H86="Serviço",M86*L86,IF(H86="CÉLULA CONSTRUTIVA",SUMIFS($N$8:$N$422,$B$8:$B$422,B86,$H$8:$H$422,"Serviço"),IF(H86="ETAPA",SUMIFS($N$8:$N$422,$B$8:$B$422,B86,$C$8:$C$422,C86,$H$8:$H$422,"Serviço"),IF(H86="SUBETAPA",SUMIFS($N$8:$N$422,$B$8:$B$422,B86,$C$8:$C$422,C86,$D$8:$D$422,D86,$H$8:$H$422,"Serviço"),0))))</f>
        <v/>
      </c>
      <c r="O86" s="50" t="n"/>
      <c r="P86" s="52" t="n"/>
      <c r="Q86" s="52" t="n"/>
    </row>
    <row r="87">
      <c r="A87" s="34">
        <f>IF($H87="UNIDADE CONSTRUTIVA",OFFSET(A87,-1,0)+1,LARGE(A$3:A86,1))</f>
        <v/>
      </c>
      <c r="B87" s="34">
        <f>IF(H87="UNIDADE CONSTRUTIVA",0,IF(H87="CÉLULA CONSTRUTIVA",OFFSET(B87,-1,0)+1,OFFSET(B87,-1,0)))</f>
        <v/>
      </c>
      <c r="C87" s="34">
        <f>IF(H87="CÉLULA CONSTRUTIVA",0,IF(H87="ETAPA",OFFSET(C87,-1,0)+1,OFFSET(C87,-1,0)))</f>
        <v/>
      </c>
      <c r="D87" s="35">
        <f>IF(H87="ETAPA",0,IF(H87="SUBETAPA",OFFSET(D87,-1,0)+1,OFFSET(D87,-1,0)))</f>
        <v/>
      </c>
      <c r="E87" s="35">
        <f>IF(H87="Subetapa",0,IF(H87="serviço",OFFSET(E87,-1,0)+1,OFFSET(E87,-1,0)))</f>
        <v/>
      </c>
      <c r="F87" s="1" t="n"/>
      <c r="G87" s="43" t="n"/>
      <c r="H87" s="44" t="inlineStr">
        <is>
          <t>SERVIÇO</t>
        </is>
      </c>
      <c r="I87" s="45">
        <f>IF(H87="Unidade Construtiva",TEXT(A87,"00"),IF(H87="Célula Construtiva",TEXT(B87,"00"),IF(H87="Etapa",CONCATENATE(TEXT(B87,"00"),".",TEXT(C87,"000")),IF(H87="Subetapa",CONCATENATE(TEXT(B87,"00"),".",TEXT(C87,"000"),".",TEXT(D87,"000")),IF(H87="Serviço",CONCATENATE(TEXT(B87,"00"),".",TEXT(C87,"000"),".",TEXT(D87,"000"),".",TEXT(E87,"000")),"")))))</f>
        <v/>
      </c>
      <c r="J87" s="51" t="inlineStr">
        <is>
          <t>Consumos Mensais: Água e Esgoto</t>
        </is>
      </c>
      <c r="K87" s="48">
        <f>_xlfn.XLOOKUP($J87,BASES!$A$12:$A$392,BASES!$C$12:$C$392)</f>
        <v/>
      </c>
      <c r="L87" s="48">
        <f>_xlfn.XLOOKUP($J87,BASES!$A$12:$A$392,BASES!$D$12:$D$392)</f>
        <v/>
      </c>
      <c r="M87" s="48">
        <f>_xlfn.XLOOKUP($J87,BASES!$A$1:$A$2289,BASES!$E$1:$E$2289)</f>
        <v/>
      </c>
      <c r="N87" s="49">
        <f>IF(H87="Serviço",M87*L87,IF(H87="CÉLULA CONSTRUTIVA",SUMIFS($N$8:$N$422,$B$8:$B$422,B87,$H$8:$H$422,"Serviço"),IF(H87="ETAPA",SUMIFS($N$8:$N$422,$B$8:$B$422,B87,$C$8:$C$422,C87,$H$8:$H$422,"Serviço"),IF(H87="SUBETAPA",SUMIFS($N$8:$N$422,$B$8:$B$422,B87,$C$8:$C$422,C87,$D$8:$D$422,D87,$H$8:$H$422,"Serviço"),0))))</f>
        <v/>
      </c>
      <c r="O87" s="48">
        <f>_xlfn.XLOOKUP($J87,BASES!$A$12:$A$392,BASES!$F$12:$F$392)</f>
        <v/>
      </c>
      <c r="P87" s="52" t="n"/>
      <c r="Q87" s="52" t="n"/>
    </row>
    <row r="88">
      <c r="A88" s="34">
        <f>IF($H88="UNIDADE CONSTRUTIVA",OFFSET(A88,-1,0)+1,LARGE(A$3:A87,1))</f>
        <v/>
      </c>
      <c r="B88" s="34">
        <f>IF(H88="UNIDADE CONSTRUTIVA",0,IF(H88="CÉLULA CONSTRUTIVA",OFFSET(B88,-1,0)+1,OFFSET(B88,-1,0)))</f>
        <v/>
      </c>
      <c r="C88" s="34">
        <f>IF(H88="CÉLULA CONSTRUTIVA",0,IF(H88="ETAPA",OFFSET(C88,-1,0)+1,OFFSET(C88,-1,0)))</f>
        <v/>
      </c>
      <c r="D88" s="35">
        <f>IF(H88="ETAPA",0,IF(H88="SUBETAPA",OFFSET(D88,-1,0)+1,OFFSET(D88,-1,0)))</f>
        <v/>
      </c>
      <c r="E88" s="35">
        <f>IF(H88="Subetapa",0,IF(H88="serviço",OFFSET(E88,-1,0)+1,OFFSET(E88,-1,0)))</f>
        <v/>
      </c>
      <c r="F88" s="1" t="n"/>
      <c r="G88" s="43" t="n"/>
      <c r="H88" s="44" t="inlineStr">
        <is>
          <t>SERVIÇO</t>
        </is>
      </c>
      <c r="I88" s="45">
        <f>IF(H88="Unidade Construtiva",TEXT(A88,"00"),IF(H88="Célula Construtiva",TEXT(B88,"00"),IF(H88="Etapa",CONCATENATE(TEXT(B88,"00"),".",TEXT(C88,"000")),IF(H88="Subetapa",CONCATENATE(TEXT(B88,"00"),".",TEXT(C88,"000"),".",TEXT(D88,"000")),IF(H88="Serviço",CONCATENATE(TEXT(B88,"00"),".",TEXT(C88,"000"),".",TEXT(D88,"000"),".",TEXT(E88,"000")),"")))))</f>
        <v/>
      </c>
      <c r="J88" s="51" t="inlineStr">
        <is>
          <t>Consumos Mensais: Luz/energia</t>
        </is>
      </c>
      <c r="K88" s="48">
        <f>_xlfn.XLOOKUP($J88,BASES!$A$12:$A$392,BASES!$C$12:$C$392)</f>
        <v/>
      </c>
      <c r="L88" s="48">
        <f>_xlfn.XLOOKUP($J88,BASES!$A$12:$A$392,BASES!$D$12:$D$392)</f>
        <v/>
      </c>
      <c r="M88" s="48">
        <f>_xlfn.XLOOKUP($J88,BASES!$A$1:$A$2289,BASES!$E$1:$E$2289)</f>
        <v/>
      </c>
      <c r="N88" s="49">
        <f>IF(H88="Serviço",M88*L88,IF(H88="CÉLULA CONSTRUTIVA",SUMIFS($N$8:$N$422,$B$8:$B$422,B88,$H$8:$H$422,"Serviço"),IF(H88="ETAPA",SUMIFS($N$8:$N$422,$B$8:$B$422,B88,$C$8:$C$422,C88,$H$8:$H$422,"Serviço"),IF(H88="SUBETAPA",SUMIFS($N$8:$N$422,$B$8:$B$422,B88,$C$8:$C$422,C88,$D$8:$D$422,D88,$H$8:$H$422,"Serviço"),0))))</f>
        <v/>
      </c>
      <c r="O88" s="48">
        <f>_xlfn.XLOOKUP($J88,BASES!$A$12:$A$392,BASES!$F$12:$F$392)</f>
        <v/>
      </c>
      <c r="P88" s="52" t="n"/>
      <c r="Q88" s="52" t="n"/>
    </row>
    <row r="89">
      <c r="A89" s="34">
        <f>IF($H89="UNIDADE CONSTRUTIVA",OFFSET(A89,-1,0)+1,LARGE(A$3:A88,1))</f>
        <v/>
      </c>
      <c r="B89" s="34">
        <f>IF(H89="UNIDADE CONSTRUTIVA",0,IF(H89="CÉLULA CONSTRUTIVA",OFFSET(B89,-1,0)+1,OFFSET(B89,-1,0)))</f>
        <v/>
      </c>
      <c r="C89" s="34">
        <f>IF(H89="CÉLULA CONSTRUTIVA",0,IF(H89="ETAPA",OFFSET(C89,-1,0)+1,OFFSET(C89,-1,0)))</f>
        <v/>
      </c>
      <c r="D89" s="35">
        <f>IF(H89="ETAPA",0,IF(H89="SUBETAPA",OFFSET(D89,-1,0)+1,OFFSET(D89,-1,0)))</f>
        <v/>
      </c>
      <c r="E89" s="35">
        <f>IF(H89="Subetapa",0,IF(H89="serviço",OFFSET(E89,-1,0)+1,OFFSET(E89,-1,0)))</f>
        <v/>
      </c>
      <c r="F89" s="1" t="n"/>
      <c r="G89" s="43" t="n"/>
      <c r="H89" s="44" t="inlineStr">
        <is>
          <t>SERVIÇO</t>
        </is>
      </c>
      <c r="I89" s="45">
        <f>IF(H89="Unidade Construtiva",TEXT(A89,"00"),IF(H89="Célula Construtiva",TEXT(B89,"00"),IF(H89="Etapa",CONCATENATE(TEXT(B89,"00"),".",TEXT(C89,"000")),IF(H89="Subetapa",CONCATENATE(TEXT(B89,"00"),".",TEXT(C89,"000"),".",TEXT(D89,"000")),IF(H89="Serviço",CONCATENATE(TEXT(B89,"00"),".",TEXT(C89,"000"),".",TEXT(D89,"000"),".",TEXT(E89,"000")),"")))))</f>
        <v/>
      </c>
      <c r="J89" s="51" t="inlineStr">
        <is>
          <t>Consumos Mensais: Telefone</t>
        </is>
      </c>
      <c r="K89" s="48">
        <f>_xlfn.XLOOKUP($J89,BASES!$A$12:$A$392,BASES!$C$12:$C$392)</f>
        <v/>
      </c>
      <c r="L89" s="48">
        <f>_xlfn.XLOOKUP($J89,BASES!$A$12:$A$392,BASES!$D$12:$D$392)</f>
        <v/>
      </c>
      <c r="M89" s="48">
        <f>_xlfn.XLOOKUP($J89,BASES!$A$1:$A$2289,BASES!$E$1:$E$2289)</f>
        <v/>
      </c>
      <c r="N89" s="49">
        <f>IF(H89="Serviço",M89*L89,IF(H89="CÉLULA CONSTRUTIVA",SUMIFS($N$8:$N$422,$B$8:$B$422,B89,$H$8:$H$422,"Serviço"),IF(H89="ETAPA",SUMIFS($N$8:$N$422,$B$8:$B$422,B89,$C$8:$C$422,C89,$H$8:$H$422,"Serviço"),IF(H89="SUBETAPA",SUMIFS($N$8:$N$422,$B$8:$B$422,B89,$C$8:$C$422,C89,$D$8:$D$422,D89,$H$8:$H$422,"Serviço"),0))))</f>
        <v/>
      </c>
      <c r="O89" s="48">
        <f>_xlfn.XLOOKUP($J89,BASES!$A$12:$A$392,BASES!$F$12:$F$392)</f>
        <v/>
      </c>
      <c r="P89" s="52" t="n"/>
      <c r="Q89" s="52" t="n"/>
    </row>
    <row r="90">
      <c r="A90" s="34">
        <f>IF($H90="UNIDADE CONSTRUTIVA",OFFSET(A90,-1,0)+1,LARGE(A$3:A89,1))</f>
        <v/>
      </c>
      <c r="B90" s="34">
        <f>IF(H90="UNIDADE CONSTRUTIVA",0,IF(H90="CÉLULA CONSTRUTIVA",OFFSET(B90,-1,0)+1,OFFSET(B90,-1,0)))</f>
        <v/>
      </c>
      <c r="C90" s="34">
        <f>IF(H90="CÉLULA CONSTRUTIVA",0,IF(H90="ETAPA",OFFSET(C90,-1,0)+1,OFFSET(C90,-1,0)))</f>
        <v/>
      </c>
      <c r="D90" s="35">
        <f>IF(H90="ETAPA",0,IF(H90="SUBETAPA",OFFSET(D90,-1,0)+1,OFFSET(D90,-1,0)))</f>
        <v/>
      </c>
      <c r="E90" s="35">
        <f>IF(H90="Subetapa",0,IF(H90="serviço",OFFSET(E90,-1,0)+1,OFFSET(E90,-1,0)))</f>
        <v/>
      </c>
      <c r="F90" s="1" t="n"/>
      <c r="G90" s="43" t="n"/>
      <c r="H90" s="44" t="inlineStr">
        <is>
          <t>SERVIÇO</t>
        </is>
      </c>
      <c r="I90" s="45">
        <f>IF(H90="Unidade Construtiva",TEXT(A90,"00"),IF(H90="Célula Construtiva",TEXT(B90,"00"),IF(H90="Etapa",CONCATENATE(TEXT(B90,"00"),".",TEXT(C90,"000")),IF(H90="Subetapa",CONCATENATE(TEXT(B90,"00"),".",TEXT(C90,"000"),".",TEXT(D90,"000")),IF(H90="Serviço",CONCATENATE(TEXT(B90,"00"),".",TEXT(C90,"000"),".",TEXT(D90,"000"),".",TEXT(E90,"000")),"")))))</f>
        <v/>
      </c>
      <c r="J90" s="51" t="inlineStr">
        <is>
          <t>Consumos Mensais: Coleta de Lixo</t>
        </is>
      </c>
      <c r="K90" s="48">
        <f>_xlfn.XLOOKUP($J90,BASES!$A$12:$A$392,BASES!$C$12:$C$392)</f>
        <v/>
      </c>
      <c r="L90" s="48">
        <f>_xlfn.XLOOKUP($J90,BASES!$A$12:$A$392,BASES!$D$12:$D$392)</f>
        <v/>
      </c>
      <c r="M90" s="48">
        <f>_xlfn.XLOOKUP($J90,BASES!$A$1:$A$2289,BASES!$E$1:$E$2289)</f>
        <v/>
      </c>
      <c r="N90" s="49">
        <f>IF(H90="Serviço",M90*L90,IF(H90="CÉLULA CONSTRUTIVA",SUMIFS($N$8:$N$422,$B$8:$B$422,B90,$H$8:$H$422,"Serviço"),IF(H90="ETAPA",SUMIFS($N$8:$N$422,$B$8:$B$422,B90,$C$8:$C$422,C90,$H$8:$H$422,"Serviço"),IF(H90="SUBETAPA",SUMIFS($N$8:$N$422,$B$8:$B$422,B90,$C$8:$C$422,C90,$D$8:$D$422,D90,$H$8:$H$422,"Serviço"),0))))</f>
        <v/>
      </c>
      <c r="O90" s="48">
        <f>_xlfn.XLOOKUP($J90,BASES!$A$12:$A$392,BASES!$F$12:$F$392)</f>
        <v/>
      </c>
      <c r="P90" s="52" t="n"/>
      <c r="Q90" s="52" t="n"/>
    </row>
    <row r="91">
      <c r="A91" s="34">
        <f>IF($H91="UNIDADE CONSTRUTIVA",OFFSET(A91,-1,0)+1,LARGE(A$3:A90,1))</f>
        <v/>
      </c>
      <c r="B91" s="34">
        <f>IF(H91="UNIDADE CONSTRUTIVA",0,IF(H91="CÉLULA CONSTRUTIVA",OFFSET(B91,-1,0)+1,OFFSET(B91,-1,0)))</f>
        <v/>
      </c>
      <c r="C91" s="34">
        <f>IF(H91="CÉLULA CONSTRUTIVA",0,IF(H91="ETAPA",OFFSET(C91,-1,0)+1,OFFSET(C91,-1,0)))</f>
        <v/>
      </c>
      <c r="D91" s="35">
        <f>IF(H91="ETAPA",0,IF(H91="SUBETAPA",OFFSET(D91,-1,0)+1,OFFSET(D91,-1,0)))</f>
        <v/>
      </c>
      <c r="E91" s="35">
        <f>IF(H91="Subetapa",0,IF(H91="serviço",OFFSET(E91,-1,0)+1,OFFSET(E91,-1,0)))</f>
        <v/>
      </c>
      <c r="F91" s="1" t="n"/>
      <c r="G91" s="43" t="n"/>
      <c r="H91" s="44" t="inlineStr">
        <is>
          <t>SERVIÇO</t>
        </is>
      </c>
      <c r="I91" s="45">
        <f>IF(H91="Unidade Construtiva",TEXT(A91,"00"),IF(H91="Célula Construtiva",TEXT(B91,"00"),IF(H91="Etapa",CONCATENATE(TEXT(B91,"00"),".",TEXT(C91,"000")),IF(H91="Subetapa",CONCATENATE(TEXT(B91,"00"),".",TEXT(C91,"000"),".",TEXT(D91,"000")),IF(H91="Serviço",CONCATENATE(TEXT(B91,"00"),".",TEXT(C91,"000"),".",TEXT(D91,"000"),".",TEXT(E91,"000")),"")))))</f>
        <v/>
      </c>
      <c r="J91" s="51" t="inlineStr">
        <is>
          <t>Consumos Mensais: Alimentação</t>
        </is>
      </c>
      <c r="K91" s="48">
        <f>_xlfn.XLOOKUP($J91,BASES!$A$12:$A$392,BASES!$C$12:$C$392)</f>
        <v/>
      </c>
      <c r="L91" s="48">
        <f>_xlfn.XLOOKUP($J91,BASES!$A$12:$A$392,BASES!$D$12:$D$392)</f>
        <v/>
      </c>
      <c r="M91" s="48">
        <f>_xlfn.XLOOKUP($J91,BASES!$A$1:$A$2289,BASES!$E$1:$E$2289)</f>
        <v/>
      </c>
      <c r="N91" s="49">
        <f>IF(H91="Serviço",M91*L91,IF(H91="CÉLULA CONSTRUTIVA",SUMIFS($N$8:$N$422,$B$8:$B$422,B91,$H$8:$H$422,"Serviço"),IF(H91="ETAPA",SUMIFS($N$8:$N$422,$B$8:$B$422,B91,$C$8:$C$422,C91,$H$8:$H$422,"Serviço"),IF(H91="SUBETAPA",SUMIFS($N$8:$N$422,$B$8:$B$422,B91,$C$8:$C$422,C91,$D$8:$D$422,D91,$H$8:$H$422,"Serviço"),0))))</f>
        <v/>
      </c>
      <c r="O91" s="48">
        <f>_xlfn.XLOOKUP($J91,BASES!$A$12:$A$392,BASES!$F$12:$F$392)</f>
        <v/>
      </c>
      <c r="P91" s="52" t="n"/>
      <c r="Q91" s="52" t="n"/>
    </row>
    <row r="92">
      <c r="A92" s="34">
        <f>IF($H92="UNIDADE CONSTRUTIVA",OFFSET(A92,-1,0)+1,LARGE(A$3:A91,1))</f>
        <v/>
      </c>
      <c r="B92" s="34">
        <f>IF(H92="UNIDADE CONSTRUTIVA",0,IF(H92="CÉLULA CONSTRUTIVA",OFFSET(B92,-1,0)+1,OFFSET(B92,-1,0)))</f>
        <v/>
      </c>
      <c r="C92" s="34">
        <f>IF(H92="CÉLULA CONSTRUTIVA",0,IF(H92="ETAPA",OFFSET(C92,-1,0)+1,OFFSET(C92,-1,0)))</f>
        <v/>
      </c>
      <c r="D92" s="35">
        <f>IF(H92="ETAPA",0,IF(H92="SUBETAPA",OFFSET(D92,-1,0)+1,OFFSET(D92,-1,0)))</f>
        <v/>
      </c>
      <c r="E92" s="35">
        <f>IF(H92="Subetapa",0,IF(H92="serviço",OFFSET(E92,-1,0)+1,OFFSET(E92,-1,0)))</f>
        <v/>
      </c>
      <c r="F92" s="1" t="n"/>
      <c r="G92" s="43" t="n"/>
      <c r="H92" s="44" t="inlineStr">
        <is>
          <t>SERVIÇO</t>
        </is>
      </c>
      <c r="I92" s="45">
        <f>IF(H92="Unidade Construtiva",TEXT(A92,"00"),IF(H92="Célula Construtiva",TEXT(B92,"00"),IF(H92="Etapa",CONCATENATE(TEXT(B92,"00"),".",TEXT(C92,"000")),IF(H92="Subetapa",CONCATENATE(TEXT(B92,"00"),".",TEXT(C92,"000"),".",TEXT(D92,"000")),IF(H92="Serviço",CONCATENATE(TEXT(B92,"00"),".",TEXT(C92,"000"),".",TEXT(D92,"000"),".",TEXT(E92,"000")),"")))))</f>
        <v/>
      </c>
      <c r="J92" s="51" t="inlineStr">
        <is>
          <t>Consumos Mensais: Mateirial de expediênte/escritório</t>
        </is>
      </c>
      <c r="K92" s="48">
        <f>_xlfn.XLOOKUP($J92,BASES!$A$12:$A$392,BASES!$C$12:$C$392)</f>
        <v/>
      </c>
      <c r="L92" s="48">
        <f>_xlfn.XLOOKUP($J92,BASES!$A$12:$A$392,BASES!$D$12:$D$392)</f>
        <v/>
      </c>
      <c r="M92" s="48">
        <f>_xlfn.XLOOKUP($J92,BASES!$A$1:$A$2289,BASES!$E$1:$E$2289)</f>
        <v/>
      </c>
      <c r="N92" s="49">
        <f>IF(H92="Serviço",M92*L92,IF(H92="CÉLULA CONSTRUTIVA",SUMIFS($N$8:$N$422,$B$8:$B$422,B92,$H$8:$H$422,"Serviço"),IF(H92="ETAPA",SUMIFS($N$8:$N$422,$B$8:$B$422,B92,$C$8:$C$422,C92,$H$8:$H$422,"Serviço"),IF(H92="SUBETAPA",SUMIFS($N$8:$N$422,$B$8:$B$422,B92,$C$8:$C$422,C92,$D$8:$D$422,D92,$H$8:$H$422,"Serviço"),0))))</f>
        <v/>
      </c>
      <c r="O92" s="48">
        <f>_xlfn.XLOOKUP($J92,BASES!$A$12:$A$392,BASES!$F$12:$F$392)</f>
        <v/>
      </c>
      <c r="P92" s="52" t="n"/>
      <c r="Q92" s="52" t="n"/>
    </row>
    <row r="93">
      <c r="A93" s="34">
        <f>IF($H93="UNIDADE CONSTRUTIVA",OFFSET(A93,-1,0)+1,LARGE(A$3:A92,1))</f>
        <v/>
      </c>
      <c r="B93" s="34">
        <f>IF(H93="UNIDADE CONSTRUTIVA",0,IF(H93="CÉLULA CONSTRUTIVA",OFFSET(B93,-1,0)+1,OFFSET(B93,-1,0)))</f>
        <v/>
      </c>
      <c r="C93" s="34">
        <f>IF(H93="CÉLULA CONSTRUTIVA",0,IF(H93="ETAPA",OFFSET(C93,-1,0)+1,OFFSET(C93,-1,0)))</f>
        <v/>
      </c>
      <c r="D93" s="35">
        <f>IF(H93="ETAPA",0,IF(H93="SUBETAPA",OFFSET(D93,-1,0)+1,OFFSET(D93,-1,0)))</f>
        <v/>
      </c>
      <c r="E93" s="35">
        <f>IF(H93="Subetapa",0,IF(H93="serviço",OFFSET(E93,-1,0)+1,OFFSET(E93,-1,0)))</f>
        <v/>
      </c>
      <c r="F93" s="1" t="n"/>
      <c r="G93" s="43" t="n"/>
      <c r="H93" s="44" t="inlineStr">
        <is>
          <t>SERVIÇO</t>
        </is>
      </c>
      <c r="I93" s="45">
        <f>IF(H93="Unidade Construtiva",TEXT(A93,"00"),IF(H93="Célula Construtiva",TEXT(B93,"00"),IF(H93="Etapa",CONCATENATE(TEXT(B93,"00"),".",TEXT(C93,"000")),IF(H93="Subetapa",CONCATENATE(TEXT(B93,"00"),".",TEXT(C93,"000"),".",TEXT(D93,"000")),IF(H93="Serviço",CONCATENATE(TEXT(B93,"00"),".",TEXT(C93,"000"),".",TEXT(D93,"000"),".",TEXT(E93,"000")),"")))))</f>
        <v/>
      </c>
      <c r="J93" s="51" t="inlineStr">
        <is>
          <t>Consumos Mensais: Material de higiêne e limpeza</t>
        </is>
      </c>
      <c r="K93" s="48">
        <f>_xlfn.XLOOKUP($J93,BASES!$A$12:$A$392,BASES!$C$12:$C$392)</f>
        <v/>
      </c>
      <c r="L93" s="48">
        <f>_xlfn.XLOOKUP($J93,BASES!$A$12:$A$392,BASES!$D$12:$D$392)</f>
        <v/>
      </c>
      <c r="M93" s="48">
        <f>_xlfn.XLOOKUP($J93,BASES!$A$1:$A$2289,BASES!$E$1:$E$2289)</f>
        <v/>
      </c>
      <c r="N93" s="49">
        <f>IF(H93="Serviço",M93*L93,IF(H93="CÉLULA CONSTRUTIVA",SUMIFS($N$8:$N$422,$B$8:$B$422,B93,$H$8:$H$422,"Serviço"),IF(H93="ETAPA",SUMIFS($N$8:$N$422,$B$8:$B$422,B93,$C$8:$C$422,C93,$H$8:$H$422,"Serviço"),IF(H93="SUBETAPA",SUMIFS($N$8:$N$422,$B$8:$B$422,B93,$C$8:$C$422,C93,$D$8:$D$422,D93,$H$8:$H$422,"Serviço"),0))))</f>
        <v/>
      </c>
      <c r="O93" s="48">
        <f>_xlfn.XLOOKUP($J93,BASES!$A$12:$A$392,BASES!$F$12:$F$392)</f>
        <v/>
      </c>
      <c r="P93" s="52" t="n"/>
      <c r="Q93" s="52" t="n"/>
    </row>
    <row r="94">
      <c r="A94" s="34">
        <f>IF($H94="UNIDADE CONSTRUTIVA",OFFSET(A94,-1,0)+1,LARGE(A$3:A93,1))</f>
        <v/>
      </c>
      <c r="B94" s="34">
        <f>IF(H94="UNIDADE CONSTRUTIVA",0,IF(H94="CÉLULA CONSTRUTIVA",OFFSET(B94,-1,0)+1,OFFSET(B94,-1,0)))</f>
        <v/>
      </c>
      <c r="C94" s="34">
        <f>IF(H94="CÉLULA CONSTRUTIVA",0,IF(H94="ETAPA",OFFSET(C94,-1,0)+1,OFFSET(C94,-1,0)))</f>
        <v/>
      </c>
      <c r="D94" s="35">
        <f>IF(H94="ETAPA",0,IF(H94="SUBETAPA",OFFSET(D94,-1,0)+1,OFFSET(D94,-1,0)))</f>
        <v/>
      </c>
      <c r="E94" s="35">
        <f>IF(H94="Subetapa",0,IF(H94="serviço",OFFSET(E94,-1,0)+1,OFFSET(E94,-1,0)))</f>
        <v/>
      </c>
      <c r="F94" s="1" t="n"/>
      <c r="G94" s="43" t="n"/>
      <c r="H94" s="44" t="inlineStr">
        <is>
          <t>SERVIÇO</t>
        </is>
      </c>
      <c r="I94" s="45">
        <f>IF(H94="Unidade Construtiva",TEXT(A94,"00"),IF(H94="Célula Construtiva",TEXT(B94,"00"),IF(H94="Etapa",CONCATENATE(TEXT(B94,"00"),".",TEXT(C94,"000")),IF(H94="Subetapa",CONCATENATE(TEXT(B94,"00"),".",TEXT(C94,"000"),".",TEXT(D94,"000")),IF(H94="Serviço",CONCATENATE(TEXT(B94,"00"),".",TEXT(C94,"000"),".",TEXT(D94,"000"),".",TEXT(E94,"000")),"")))))</f>
        <v/>
      </c>
      <c r="J94" s="51" t="inlineStr">
        <is>
          <t>Consumos gerais: Fretes</t>
        </is>
      </c>
      <c r="K94" s="48">
        <f>_xlfn.XLOOKUP($J94,BASES!$A$12:$A$392,BASES!$C$12:$C$392)</f>
        <v/>
      </c>
      <c r="L94" s="48">
        <f>_xlfn.XLOOKUP($J94,BASES!$A$12:$A$392,BASES!$D$12:$D$392)</f>
        <v/>
      </c>
      <c r="M94" s="48">
        <f>_xlfn.XLOOKUP($J94,BASES!$A$1:$A$2289,BASES!$E$1:$E$2289)</f>
        <v/>
      </c>
      <c r="N94" s="49">
        <f>IF(H94="Serviço",M94*L94,IF(H94="CÉLULA CONSTRUTIVA",SUMIFS($N$8:$N$422,$B$8:$B$422,B94,$H$8:$H$422,"Serviço"),IF(H94="ETAPA",SUMIFS($N$8:$N$422,$B$8:$B$422,B94,$C$8:$C$422,C94,$H$8:$H$422,"Serviço"),IF(H94="SUBETAPA",SUMIFS($N$8:$N$422,$B$8:$B$422,B94,$C$8:$C$422,C94,$D$8:$D$422,D94,$H$8:$H$422,"Serviço"),0))))</f>
        <v/>
      </c>
      <c r="O94" s="48">
        <f>_xlfn.XLOOKUP($J94,BASES!$A$12:$A$392,BASES!$F$12:$F$392)</f>
        <v/>
      </c>
      <c r="P94" s="52" t="n"/>
      <c r="Q94" s="52" t="n"/>
    </row>
    <row r="95">
      <c r="A95" s="34">
        <f>IF($H95="UNIDADE CONSTRUTIVA",OFFSET(A95,-1,0)+1,LARGE(A$3:A94,1))</f>
        <v/>
      </c>
      <c r="B95" s="34">
        <f>IF(H95="UNIDADE CONSTRUTIVA",0,IF(H95="CÉLULA CONSTRUTIVA",OFFSET(B95,-1,0)+1,OFFSET(B95,-1,0)))</f>
        <v/>
      </c>
      <c r="C95" s="34">
        <f>IF(H95="CÉLULA CONSTRUTIVA",0,IF(H95="ETAPA",OFFSET(C95,-1,0)+1,OFFSET(C95,-1,0)))</f>
        <v/>
      </c>
      <c r="D95" s="35">
        <f>IF(H95="ETAPA",0,IF(H95="SUBETAPA",OFFSET(D95,-1,0)+1,OFFSET(D95,-1,0)))</f>
        <v/>
      </c>
      <c r="E95" s="35">
        <f>IF(H95="Subetapa",0,IF(H95="serviço",OFFSET(E95,-1,0)+1,OFFSET(E95,-1,0)))</f>
        <v/>
      </c>
      <c r="F95" s="1" t="n"/>
      <c r="G95" s="43" t="n"/>
      <c r="H95" s="44" t="inlineStr">
        <is>
          <t>SERVIÇO</t>
        </is>
      </c>
      <c r="I95" s="45">
        <f>IF(H95="Unidade Construtiva",TEXT(A95,"00"),IF(H95="Célula Construtiva",TEXT(B95,"00"),IF(H95="Etapa",CONCATENATE(TEXT(B95,"00"),".",TEXT(C95,"000")),IF(H95="Subetapa",CONCATENATE(TEXT(B95,"00"),".",TEXT(C95,"000"),".",TEXT(D95,"000")),IF(H95="Serviço",CONCATENATE(TEXT(B95,"00"),".",TEXT(C95,"000"),".",TEXT(D95,"000"),".",TEXT(E95,"000")),"")))))</f>
        <v/>
      </c>
      <c r="J95" s="51" t="inlineStr">
        <is>
          <t>Consumos gerais: Consumo de cópias</t>
        </is>
      </c>
      <c r="K95" s="48">
        <f>_xlfn.XLOOKUP($J95,BASES!$A$12:$A$392,BASES!$C$12:$C$392)</f>
        <v/>
      </c>
      <c r="L95" s="48">
        <f>_xlfn.XLOOKUP($J95,BASES!$A$12:$A$392,BASES!$D$12:$D$392)</f>
        <v/>
      </c>
      <c r="M95" s="48">
        <f>_xlfn.XLOOKUP($J95,BASES!$A$1:$A$2289,BASES!$E$1:$E$2289)</f>
        <v/>
      </c>
      <c r="N95" s="49">
        <f>IF(H95="Serviço",M95*L95,IF(H95="CÉLULA CONSTRUTIVA",SUMIFS($N$8:$N$422,$B$8:$B$422,B95,$H$8:$H$422,"Serviço"),IF(H95="ETAPA",SUMIFS($N$8:$N$422,$B$8:$B$422,B95,$C$8:$C$422,C95,$H$8:$H$422,"Serviço"),IF(H95="SUBETAPA",SUMIFS($N$8:$N$422,$B$8:$B$422,B95,$C$8:$C$422,C95,$D$8:$D$422,D95,$H$8:$H$422,"Serviço"),0))))</f>
        <v/>
      </c>
      <c r="O95" s="48">
        <f>_xlfn.XLOOKUP($J95,BASES!$A$12:$A$392,BASES!$F$12:$F$392)</f>
        <v/>
      </c>
      <c r="P95" s="52" t="n"/>
      <c r="Q95" s="52" t="n"/>
    </row>
    <row r="96">
      <c r="A96" s="34">
        <f>IF($H96="UNIDADE CONSTRUTIVA",OFFSET(A96,-1,0)+1,LARGE(A$3:A95,1))</f>
        <v/>
      </c>
      <c r="B96" s="34">
        <f>IF(H96="UNIDADE CONSTRUTIVA",0,IF(H96="CÉLULA CONSTRUTIVA",OFFSET(B96,-1,0)+1,OFFSET(B96,-1,0)))</f>
        <v/>
      </c>
      <c r="C96" s="34">
        <f>IF(H96="CÉLULA CONSTRUTIVA",0,IF(H96="ETAPA",OFFSET(C96,-1,0)+1,OFFSET(C96,-1,0)))</f>
        <v/>
      </c>
      <c r="D96" s="35">
        <f>IF(H96="ETAPA",0,IF(H96="SUBETAPA",OFFSET(D96,-1,0)+1,OFFSET(D96,-1,0)))</f>
        <v/>
      </c>
      <c r="E96" s="35">
        <f>IF(H96="Subetapa",0,IF(H96="serviço",OFFSET(E96,-1,0)+1,OFFSET(E96,-1,0)))</f>
        <v/>
      </c>
      <c r="F96" s="1" t="n"/>
      <c r="G96" s="43" t="n"/>
      <c r="H96" s="44" t="inlineStr">
        <is>
          <t>SERVIÇO</t>
        </is>
      </c>
      <c r="I96" s="45">
        <f>IF(H96="Unidade Construtiva",TEXT(A96,"00"),IF(H96="Célula Construtiva",TEXT(B96,"00"),IF(H96="Etapa",CONCATENATE(TEXT(B96,"00"),".",TEXT(C96,"000")),IF(H96="Subetapa",CONCATENATE(TEXT(B96,"00"),".",TEXT(C96,"000"),".",TEXT(D96,"000")),IF(H96="Serviço",CONCATENATE(TEXT(B96,"00"),".",TEXT(C96,"000"),".",TEXT(D96,"000"),".",TEXT(E96,"000")),"")))))</f>
        <v/>
      </c>
      <c r="J96" s="51" t="inlineStr">
        <is>
          <t>Consumos gerais: Gerenciamento Eletrônico</t>
        </is>
      </c>
      <c r="K96" s="48">
        <f>_xlfn.XLOOKUP($J96,BASES!$A$12:$A$392,BASES!$C$12:$C$392)</f>
        <v/>
      </c>
      <c r="L96" s="48">
        <f>_xlfn.XLOOKUP($J96,BASES!$A$12:$A$392,BASES!$D$12:$D$392)</f>
        <v/>
      </c>
      <c r="M96" s="48">
        <f>_xlfn.XLOOKUP($J96,BASES!$A$1:$A$2289,BASES!$E$1:$E$2289)</f>
        <v/>
      </c>
      <c r="N96" s="49">
        <f>IF(H96="Serviço",M96*L96,IF(H96="CÉLULA CONSTRUTIVA",SUMIFS($N$8:$N$422,$B$8:$B$422,B96,$H$8:$H$422,"Serviço"),IF(H96="ETAPA",SUMIFS($N$8:$N$422,$B$8:$B$422,B96,$C$8:$C$422,C96,$H$8:$H$422,"Serviço"),IF(H96="SUBETAPA",SUMIFS($N$8:$N$422,$B$8:$B$422,B96,$C$8:$C$422,C96,$D$8:$D$422,D96,$H$8:$H$422,"Serviço"),0))))</f>
        <v/>
      </c>
      <c r="O96" s="48">
        <f>_xlfn.XLOOKUP($J96,BASES!$A$12:$A$392,BASES!$F$12:$F$392)</f>
        <v/>
      </c>
      <c r="P96" s="52" t="n"/>
      <c r="Q96" s="52" t="n"/>
    </row>
    <row r="97">
      <c r="A97" s="34">
        <f>IF($H97="UNIDADE CONSTRUTIVA",OFFSET(A97,-1,0)+1,LARGE(A$3:A96,1))</f>
        <v/>
      </c>
      <c r="B97" s="34">
        <f>IF(H97="UNIDADE CONSTRUTIVA",0,IF(H97="CÉLULA CONSTRUTIVA",OFFSET(B97,-1,0)+1,OFFSET(B97,-1,0)))</f>
        <v/>
      </c>
      <c r="C97" s="34">
        <f>IF(H97="CÉLULA CONSTRUTIVA",0,IF(H97="ETAPA",OFFSET(C97,-1,0)+1,OFFSET(C97,-1,0)))</f>
        <v/>
      </c>
      <c r="D97" s="35">
        <f>IF(H97="ETAPA",0,IF(H97="SUBETAPA",OFFSET(D97,-1,0)+1,OFFSET(D97,-1,0)))</f>
        <v/>
      </c>
      <c r="E97" s="35">
        <f>IF(H97="Subetapa",0,IF(H97="serviço",OFFSET(E97,-1,0)+1,OFFSET(E97,-1,0)))</f>
        <v/>
      </c>
      <c r="F97" s="1" t="n"/>
      <c r="G97" s="43" t="n"/>
      <c r="H97" s="44" t="inlineStr">
        <is>
          <t>SERVIÇO</t>
        </is>
      </c>
      <c r="I97" s="45">
        <f>IF(H97="Unidade Construtiva",TEXT(A97,"00"),IF(H97="Célula Construtiva",TEXT(B97,"00"),IF(H97="Etapa",CONCATENATE(TEXT(B97,"00"),".",TEXT(C97,"000")),IF(H97="Subetapa",CONCATENATE(TEXT(B97,"00"),".",TEXT(C97,"000"),".",TEXT(D97,"000")),IF(H97="Serviço",CONCATENATE(TEXT(B97,"00"),".",TEXT(C97,"000"),".",TEXT(D97,"000"),".",TEXT(E97,"000")),"")))))</f>
        <v/>
      </c>
      <c r="J97" s="51" t="inlineStr">
        <is>
          <t>Consumos gerais: Despesas com vizinhos</t>
        </is>
      </c>
      <c r="K97" s="48">
        <f>_xlfn.XLOOKUP($J97,BASES!$A$12:$A$392,BASES!$C$12:$C$392)</f>
        <v/>
      </c>
      <c r="L97" s="48">
        <f>_xlfn.XLOOKUP($J97,BASES!$A$12:$A$392,BASES!$D$12:$D$392)</f>
        <v/>
      </c>
      <c r="M97" s="48">
        <f>_xlfn.XLOOKUP($J97,BASES!$A$1:$A$2289,BASES!$E$1:$E$2289)</f>
        <v/>
      </c>
      <c r="N97" s="49">
        <f>IF(H97="Serviço",M97*L97,IF(H97="CÉLULA CONSTRUTIVA",SUMIFS($N$8:$N$422,$B$8:$B$422,B97,$H$8:$H$422,"Serviço"),IF(H97="ETAPA",SUMIFS($N$8:$N$422,$B$8:$B$422,B97,$C$8:$C$422,C97,$H$8:$H$422,"Serviço"),IF(H97="SUBETAPA",SUMIFS($N$8:$N$422,$B$8:$B$422,B97,$C$8:$C$422,C97,$D$8:$D$422,D97,$H$8:$H$422,"Serviço"),0))))</f>
        <v/>
      </c>
      <c r="O97" s="48">
        <f>_xlfn.XLOOKUP($J97,BASES!$A$12:$A$392,BASES!$F$12:$F$392)</f>
        <v/>
      </c>
      <c r="P97" s="52" t="n"/>
      <c r="Q97" s="52" t="n"/>
    </row>
    <row r="98">
      <c r="A98" s="34">
        <f>IF($H98="UNIDADE CONSTRUTIVA",OFFSET(A98,-1,0)+1,LARGE(A$3:A97,1))</f>
        <v/>
      </c>
      <c r="B98" s="34">
        <f>IF(H98="UNIDADE CONSTRUTIVA",0,IF(H98="CÉLULA CONSTRUTIVA",OFFSET(B98,-1,0)+1,OFFSET(B98,-1,0)))</f>
        <v/>
      </c>
      <c r="C98" s="34">
        <f>IF(H98="CÉLULA CONSTRUTIVA",0,IF(H98="ETAPA",OFFSET(C98,-1,0)+1,OFFSET(C98,-1,0)))</f>
        <v/>
      </c>
      <c r="D98" s="35">
        <f>IF(H98="ETAPA",0,IF(H98="SUBETAPA",OFFSET(D98,-1,0)+1,OFFSET(D98,-1,0)))</f>
        <v/>
      </c>
      <c r="E98" s="35">
        <f>IF(H98="Subetapa",0,IF(H98="serviço",OFFSET(E98,-1,0)+1,OFFSET(E98,-1,0)))</f>
        <v/>
      </c>
      <c r="F98" s="1" t="n"/>
      <c r="G98" s="43" t="n"/>
      <c r="H98" s="44" t="inlineStr">
        <is>
          <t>SERVIÇO</t>
        </is>
      </c>
      <c r="I98" s="45">
        <f>IF(H98="Unidade Construtiva",TEXT(A98,"00"),IF(H98="Célula Construtiva",TEXT(B98,"00"),IF(H98="Etapa",CONCATENATE(TEXT(B98,"00"),".",TEXT(C98,"000")),IF(H98="Subetapa",CONCATENATE(TEXT(B98,"00"),".",TEXT(C98,"000"),".",TEXT(D98,"000")),IF(H98="Serviço",CONCATENATE(TEXT(B98,"00"),".",TEXT(C98,"000"),".",TEXT(D98,"000"),".",TEXT(E98,"000")),"")))))</f>
        <v/>
      </c>
      <c r="J98" s="51" t="inlineStr">
        <is>
          <t>Consumos gerais: Esgotamento de sistema sanitário temporário</t>
        </is>
      </c>
      <c r="K98" s="48">
        <f>_xlfn.XLOOKUP($J98,BASES!$A$12:$A$392,BASES!$C$12:$C$392)</f>
        <v/>
      </c>
      <c r="L98" s="48">
        <f>_xlfn.XLOOKUP($J98,BASES!$A$12:$A$392,BASES!$D$12:$D$392)</f>
        <v/>
      </c>
      <c r="M98" s="48">
        <f>_xlfn.XLOOKUP($J98,BASES!$A$1:$A$2289,BASES!$E$1:$E$2289)</f>
        <v/>
      </c>
      <c r="N98" s="49">
        <f>IF(H98="Serviço",M98*L98,IF(H98="CÉLULA CONSTRUTIVA",SUMIFS($N$8:$N$422,$B$8:$B$422,B98,$H$8:$H$422,"Serviço"),IF(H98="ETAPA",SUMIFS($N$8:$N$422,$B$8:$B$422,B98,$C$8:$C$422,C98,$H$8:$H$422,"Serviço"),IF(H98="SUBETAPA",SUMIFS($N$8:$N$422,$B$8:$B$422,B98,$C$8:$C$422,C98,$D$8:$D$422,D98,$H$8:$H$422,"Serviço"),0))))</f>
        <v/>
      </c>
      <c r="O98" s="48">
        <f>_xlfn.XLOOKUP($J98,BASES!$A$12:$A$392,BASES!$F$12:$F$392)</f>
        <v/>
      </c>
      <c r="P98" s="52" t="n"/>
      <c r="Q98" s="52" t="n"/>
    </row>
    <row r="99">
      <c r="A99" s="34">
        <f>IF($H99="UNIDADE CONSTRUTIVA",OFFSET(A99,-1,0)+1,LARGE(A$3:A98,1))</f>
        <v/>
      </c>
      <c r="B99" s="34">
        <f>IF(H99="UNIDADE CONSTRUTIVA",0,IF(H99="CÉLULA CONSTRUTIVA",OFFSET(B99,-1,0)+1,OFFSET(B99,-1,0)))</f>
        <v/>
      </c>
      <c r="C99" s="34">
        <f>IF(H99="CÉLULA CONSTRUTIVA",0,IF(H99="ETAPA",OFFSET(C99,-1,0)+1,OFFSET(C99,-1,0)))</f>
        <v/>
      </c>
      <c r="D99" s="35">
        <f>IF(H99="ETAPA",0,IF(H99="SUBETAPA",OFFSET(D99,-1,0)+1,OFFSET(D99,-1,0)))</f>
        <v/>
      </c>
      <c r="E99" s="35">
        <f>IF(H99="Subetapa",0,IF(H99="serviço",OFFSET(E99,-1,0)+1,OFFSET(E99,-1,0)))</f>
        <v/>
      </c>
      <c r="F99" s="1" t="n"/>
      <c r="G99" s="43" t="n"/>
      <c r="H99" s="44" t="inlineStr">
        <is>
          <t>SERVIÇO</t>
        </is>
      </c>
      <c r="I99" s="45">
        <f>IF(H99="Unidade Construtiva",TEXT(A99,"00"),IF(H99="Célula Construtiva",TEXT(B99,"00"),IF(H99="Etapa",CONCATENATE(TEXT(B99,"00"),".",TEXT(C99,"000")),IF(H99="Subetapa",CONCATENATE(TEXT(B99,"00"),".",TEXT(C99,"000"),".",TEXT(D99,"000")),IF(H99="Serviço",CONCATENATE(TEXT(B99,"00"),".",TEXT(C99,"000"),".",TEXT(D99,"000"),".",TEXT(E99,"000")),"")))))</f>
        <v/>
      </c>
      <c r="J99" s="51" t="inlineStr">
        <is>
          <t>Mobiliario de apoio a obra</t>
        </is>
      </c>
      <c r="K99" s="48">
        <f>_xlfn.XLOOKUP($J99,BASES!$A$12:$A$392,BASES!$C$12:$C$392)</f>
        <v/>
      </c>
      <c r="L99" s="48">
        <f>_xlfn.XLOOKUP($J99,BASES!$A$12:$A$392,BASES!$D$12:$D$392)</f>
        <v/>
      </c>
      <c r="M99" s="48">
        <f>_xlfn.XLOOKUP($J99,BASES!$A$1:$A$2289,BASES!$E$1:$E$2289)</f>
        <v/>
      </c>
      <c r="N99" s="49">
        <f>IF(H99="Serviço",M99*L99,IF(H99="CÉLULA CONSTRUTIVA",SUMIFS($N$8:$N$422,$B$8:$B$422,B99,$H$8:$H$422,"Serviço"),IF(H99="ETAPA",SUMIFS($N$8:$N$422,$B$8:$B$422,B99,$C$8:$C$422,C99,$H$8:$H$422,"Serviço"),IF(H99="SUBETAPA",SUMIFS($N$8:$N$422,$B$8:$B$422,B99,$C$8:$C$422,C99,$D$8:$D$422,D99,$H$8:$H$422,"Serviço"),0))))</f>
        <v/>
      </c>
      <c r="O99" s="48">
        <f>_xlfn.XLOOKUP($J99,BASES!$A$12:$A$392,BASES!$F$12:$F$392)</f>
        <v/>
      </c>
      <c r="P99" s="52" t="n"/>
      <c r="Q99" s="52" t="n"/>
    </row>
    <row r="100">
      <c r="A100" s="34">
        <f>IF($H100="UNIDADE CONSTRUTIVA",OFFSET(A100,-1,0)+1,LARGE(A$3:A99,1))</f>
        <v/>
      </c>
      <c r="B100" s="34">
        <f>IF(H100="UNIDADE CONSTRUTIVA",0,IF(H100="CÉLULA CONSTRUTIVA",OFFSET(B100,-1,0)+1,OFFSET(B100,-1,0)))</f>
        <v/>
      </c>
      <c r="C100" s="34">
        <f>IF(H100="CÉLULA CONSTRUTIVA",0,IF(H100="ETAPA",OFFSET(C100,-1,0)+1,OFFSET(C100,-1,0)))</f>
        <v/>
      </c>
      <c r="D100" s="35">
        <f>IF(H100="ETAPA",0,IF(H100="SUBETAPA",OFFSET(D100,-1,0)+1,OFFSET(D100,-1,0)))</f>
        <v/>
      </c>
      <c r="E100" s="35">
        <f>IF(H100="Subetapa",0,IF(H100="serviço",OFFSET(E100,-1,0)+1,OFFSET(E100,-1,0)))</f>
        <v/>
      </c>
      <c r="F100" s="1" t="n"/>
      <c r="G100" s="43" t="n"/>
      <c r="H100" s="44" t="inlineStr">
        <is>
          <t>SERVIÇO</t>
        </is>
      </c>
      <c r="I100" s="45">
        <f>IF(H100="Unidade Construtiva",TEXT(A100,"00"),IF(H100="Célula Construtiva",TEXT(B100,"00"),IF(H100="Etapa",CONCATENATE(TEXT(B100,"00"),".",TEXT(C100,"000")),IF(H100="Subetapa",CONCATENATE(TEXT(B100,"00"),".",TEXT(C100,"000"),".",TEXT(D100,"000")),IF(H100="Serviço",CONCATENATE(TEXT(B100,"00"),".",TEXT(C100,"000"),".",TEXT(D100,"000"),".",TEXT(E100,"000")),"")))))</f>
        <v/>
      </c>
      <c r="J100" s="51" t="inlineStr">
        <is>
          <t>Equipamentos de escritorio</t>
        </is>
      </c>
      <c r="K100" s="48">
        <f>_xlfn.XLOOKUP($J100,BASES!$A$12:$A$392,BASES!$C$12:$C$392)</f>
        <v/>
      </c>
      <c r="L100" s="48">
        <f>_xlfn.XLOOKUP($J100,BASES!$A$12:$A$392,BASES!$D$12:$D$392)</f>
        <v/>
      </c>
      <c r="M100" s="48">
        <f>_xlfn.XLOOKUP($J100,BASES!$A$1:$A$2289,BASES!$E$1:$E$2289)</f>
        <v/>
      </c>
      <c r="N100" s="49">
        <f>IF(H100="Serviço",M100*L100,IF(H100="CÉLULA CONSTRUTIVA",SUMIFS($N$8:$N$422,$B$8:$B$422,B100,$H$8:$H$422,"Serviço"),IF(H100="ETAPA",SUMIFS($N$8:$N$422,$B$8:$B$422,B100,$C$8:$C$422,C100,$H$8:$H$422,"Serviço"),IF(H100="SUBETAPA",SUMIFS($N$8:$N$422,$B$8:$B$422,B100,$C$8:$C$422,C100,$D$8:$D$422,D100,$H$8:$H$422,"Serviço"),0))))</f>
        <v/>
      </c>
      <c r="O100" s="48">
        <f>_xlfn.XLOOKUP($J100,BASES!$A$12:$A$392,BASES!$F$12:$F$392)</f>
        <v/>
      </c>
      <c r="P100" s="52" t="n"/>
      <c r="Q100" s="52" t="n"/>
    </row>
    <row r="101">
      <c r="A101" s="34">
        <f>IF($H101="UNIDADE CONSTRUTIVA",OFFSET(A101,-1,0)+1,LARGE(A$3:A100,1))</f>
        <v/>
      </c>
      <c r="B101" s="34">
        <f>IF(H101="UNIDADE CONSTRUTIVA",0,IF(H101="CÉLULA CONSTRUTIVA",OFFSET(B101,-1,0)+1,OFFSET(B101,-1,0)))</f>
        <v/>
      </c>
      <c r="C101" s="34">
        <f>IF(H101="CÉLULA CONSTRUTIVA",0,IF(H101="ETAPA",OFFSET(C101,-1,0)+1,OFFSET(C101,-1,0)))</f>
        <v/>
      </c>
      <c r="D101" s="35">
        <f>IF(H101="ETAPA",0,IF(H101="SUBETAPA",OFFSET(D101,-1,0)+1,OFFSET(D101,-1,0)))</f>
        <v/>
      </c>
      <c r="E101" s="35">
        <f>IF(H101="Subetapa",0,IF(H101="serviço",OFFSET(E101,-1,0)+1,OFFSET(E101,-1,0)))</f>
        <v/>
      </c>
      <c r="F101" s="1" t="n"/>
      <c r="G101" s="43" t="n"/>
      <c r="H101" s="44" t="inlineStr">
        <is>
          <t>SERVIÇO</t>
        </is>
      </c>
      <c r="I101" s="45">
        <f>IF(H101="Unidade Construtiva",TEXT(A101,"00"),IF(H101="Célula Construtiva",TEXT(B101,"00"),IF(H101="Etapa",CONCATENATE(TEXT(B101,"00"),".",TEXT(C101,"000")),IF(H101="Subetapa",CONCATENATE(TEXT(B101,"00"),".",TEXT(C101,"000"),".",TEXT(D101,"000")),IF(H101="Serviço",CONCATENATE(TEXT(B101,"00"),".",TEXT(C101,"000"),".",TEXT(D101,"000"),".",TEXT(E101,"000")),"")))))</f>
        <v/>
      </c>
      <c r="J101" s="51" t="inlineStr">
        <is>
          <t>Sinalizacao Plaqueiro</t>
        </is>
      </c>
      <c r="K101" s="48">
        <f>_xlfn.XLOOKUP($J101,BASES!$A$12:$A$392,BASES!$C$12:$C$392)</f>
        <v/>
      </c>
      <c r="L101" s="48">
        <f>_xlfn.XLOOKUP($J101,BASES!$A$12:$A$392,BASES!$D$12:$D$392)</f>
        <v/>
      </c>
      <c r="M101" s="48">
        <f>_xlfn.XLOOKUP($J101,BASES!$A$1:$A$2289,BASES!$E$1:$E$2289)</f>
        <v/>
      </c>
      <c r="N101" s="49">
        <f>IF(H101="Serviço",M101*L101,IF(H101="CÉLULA CONSTRUTIVA",SUMIFS($N$8:$N$422,$B$8:$B$422,B101,$H$8:$H$422,"Serviço"),IF(H101="ETAPA",SUMIFS($N$8:$N$422,$B$8:$B$422,B101,$C$8:$C$422,C101,$H$8:$H$422,"Serviço"),IF(H101="SUBETAPA",SUMIFS($N$8:$N$422,$B$8:$B$422,B101,$C$8:$C$422,C101,$D$8:$D$422,D101,$H$8:$H$422,"Serviço"),0))))</f>
        <v/>
      </c>
      <c r="O101" s="48" t="inlineStr">
        <is>
          <t>Estimado - Placa indicativa fixada na estrutura por pregos + Sinalização com fita fixada em cone</t>
        </is>
      </c>
      <c r="P101" s="52" t="n"/>
      <c r="Q101" s="52" t="n"/>
    </row>
    <row r="102">
      <c r="A102" s="34">
        <f>IF($H102="UNIDADE CONSTRUTIVA",OFFSET(A102,-1,0)+1,LARGE(A$3:A101,1))</f>
        <v/>
      </c>
      <c r="B102" s="34">
        <f>IF(H102="UNIDADE CONSTRUTIVA",0,IF(H102="CÉLULA CONSTRUTIVA",OFFSET(B102,-1,0)+1,OFFSET(B102,-1,0)))</f>
        <v/>
      </c>
      <c r="C102" s="34">
        <f>IF(H102="CÉLULA CONSTRUTIVA",0,IF(H102="ETAPA",OFFSET(C102,-1,0)+1,OFFSET(C102,-1,0)))</f>
        <v/>
      </c>
      <c r="D102" s="35">
        <f>IF(H102="ETAPA",0,IF(H102="SUBETAPA",OFFSET(D102,-1,0)+1,OFFSET(D102,-1,0)))</f>
        <v/>
      </c>
      <c r="E102" s="35">
        <f>IF(H102="Subetapa",0,IF(H102="serviço",OFFSET(E102,-1,0)+1,OFFSET(E102,-1,0)))</f>
        <v/>
      </c>
      <c r="F102" s="1" t="n"/>
      <c r="G102" s="43" t="n"/>
      <c r="H102" s="44" t="inlineStr">
        <is>
          <t>SUBETAPA</t>
        </is>
      </c>
      <c r="I102" s="45">
        <f>IF(H102="Unidade Construtiva",TEXT(A102,"00"),IF(H102="Célula Construtiva",TEXT(B102,"00"),IF(H102="Etapa",CONCATENATE(TEXT(B102,"00"),".",TEXT(C102,"000")),IF(H102="Subetapa",CONCATENATE(TEXT(B102,"00"),".",TEXT(C102,"000"),".",TEXT(D102,"000")),IF(H102="Serviço",CONCATENATE(TEXT(B102,"00"),".",TEXT(C102,"000"),".",TEXT(D102,"000"),".",TEXT(E102,"000")),"")))))</f>
        <v/>
      </c>
      <c r="J102" s="51" t="inlineStr">
        <is>
          <t>Manutenção de Canteiro de Obra</t>
        </is>
      </c>
      <c r="K102" s="48" t="n"/>
      <c r="L102" s="48" t="n"/>
      <c r="M102" s="48" t="n"/>
      <c r="N102" s="49">
        <f>IF(H102="Serviço",M102*L102,IF(H102="CÉLULA CONSTRUTIVA",SUMIFS($N$8:$N$422,$B$8:$B$422,B102,$H$8:$H$422,"Serviço"),IF(H102="ETAPA",SUMIFS($N$8:$N$422,$B$8:$B$422,B102,$C$8:$C$422,C102,$H$8:$H$422,"Serviço"),IF(H102="SUBETAPA",SUMIFS($N$8:$N$422,$B$8:$B$422,B102,$C$8:$C$422,C102,$D$8:$D$422,D102,$H$8:$H$422,"Serviço"),0))))</f>
        <v/>
      </c>
      <c r="O102" s="50" t="n"/>
      <c r="P102" s="52" t="n"/>
      <c r="Q102" s="52" t="n"/>
    </row>
    <row r="103">
      <c r="A103" s="34">
        <f>IF($H103="UNIDADE CONSTRUTIVA",OFFSET(A103,-1,0)+1,LARGE(A$3:A102,1))</f>
        <v/>
      </c>
      <c r="B103" s="34">
        <f>IF(H103="UNIDADE CONSTRUTIVA",0,IF(H103="CÉLULA CONSTRUTIVA",OFFSET(B103,-1,0)+1,OFFSET(B103,-1,0)))</f>
        <v/>
      </c>
      <c r="C103" s="34">
        <f>IF(H103="CÉLULA CONSTRUTIVA",0,IF(H103="ETAPA",OFFSET(C103,-1,0)+1,OFFSET(C103,-1,0)))</f>
        <v/>
      </c>
      <c r="D103" s="35">
        <f>IF(H103="ETAPA",0,IF(H103="SUBETAPA",OFFSET(D103,-1,0)+1,OFFSET(D103,-1,0)))</f>
        <v/>
      </c>
      <c r="E103" s="35">
        <f>IF(H103="Subetapa",0,IF(H103="serviço",OFFSET(E103,-1,0)+1,OFFSET(E103,-1,0)))</f>
        <v/>
      </c>
      <c r="F103" s="1" t="n"/>
      <c r="G103" s="43" t="n"/>
      <c r="H103" s="44" t="inlineStr">
        <is>
          <t>SERVIÇO</t>
        </is>
      </c>
      <c r="I103" s="45">
        <f>IF(H103="Unidade Construtiva",TEXT(A103,"00"),IF(H103="Célula Construtiva",TEXT(B103,"00"),IF(H103="Etapa",CONCATENATE(TEXT(B103,"00"),".",TEXT(C103,"000")),IF(H103="Subetapa",CONCATENATE(TEXT(B103,"00"),".",TEXT(C103,"000"),".",TEXT(D103,"000")),IF(H103="Serviço",CONCATENATE(TEXT(B103,"00"),".",TEXT(C103,"000"),".",TEXT(D103,"000"),".",TEXT(E103,"000")),"")))))</f>
        <v/>
      </c>
      <c r="J103" s="51" t="inlineStr">
        <is>
          <t>Despesas de manutenção: Manutenção provisória do canteiro</t>
        </is>
      </c>
      <c r="K103" s="48">
        <f>_xlfn.XLOOKUP($J103,BASES!$A$12:$A$392,BASES!$C$12:$C$392)</f>
        <v/>
      </c>
      <c r="L103" s="48">
        <f>_xlfn.XLOOKUP($J103,BASES!$A$12:$A$392,BASES!$D$12:$D$392)</f>
        <v/>
      </c>
      <c r="M103" s="48">
        <f>_xlfn.XLOOKUP($J103,BASES!$A$1:$A$2289,BASES!$E$1:$E$2289)</f>
        <v/>
      </c>
      <c r="N103" s="49">
        <f>IF(H103="Serviço",M103*L103,IF(H103="CÉLULA CONSTRUTIVA",SUMIFS($N$8:$N$422,$B$8:$B$422,B103,$H$8:$H$422,"Serviço"),IF(H103="ETAPA",SUMIFS($N$8:$N$422,$B$8:$B$422,B103,$C$8:$C$422,C103,$H$8:$H$422,"Serviço"),IF(H103="SUBETAPA",SUMIFS($N$8:$N$422,$B$8:$B$422,B103,$C$8:$C$422,C103,$D$8:$D$422,D103,$H$8:$H$422,"Serviço"),0))))</f>
        <v/>
      </c>
      <c r="O103" s="48">
        <f>_xlfn.XLOOKUP($J103,BASES!$A$12:$A$392,BASES!$F$12:$F$392)</f>
        <v/>
      </c>
      <c r="P103" s="52" t="n"/>
      <c r="Q103" s="52" t="n"/>
    </row>
    <row r="104">
      <c r="A104" s="34">
        <f>IF($H104="UNIDADE CONSTRUTIVA",OFFSET(A104,-1,0)+1,LARGE(A$3:A103,1))</f>
        <v/>
      </c>
      <c r="B104" s="34">
        <f>IF(H104="UNIDADE CONSTRUTIVA",0,IF(H104="CÉLULA CONSTRUTIVA",OFFSET(B104,-1,0)+1,OFFSET(B104,-1,0)))</f>
        <v/>
      </c>
      <c r="C104" s="34">
        <f>IF(H104="CÉLULA CONSTRUTIVA",0,IF(H104="ETAPA",OFFSET(C104,-1,0)+1,OFFSET(C104,-1,0)))</f>
        <v/>
      </c>
      <c r="D104" s="35">
        <f>IF(H104="ETAPA",0,IF(H104="SUBETAPA",OFFSET(D104,-1,0)+1,OFFSET(D104,-1,0)))</f>
        <v/>
      </c>
      <c r="E104" s="35">
        <f>IF(H104="Subetapa",0,IF(H104="serviço",OFFSET(E104,-1,0)+1,OFFSET(E104,-1,0)))</f>
        <v/>
      </c>
      <c r="F104" s="1" t="n"/>
      <c r="G104" s="43" t="n"/>
      <c r="H104" s="44" t="inlineStr">
        <is>
          <t>SERVIÇO</t>
        </is>
      </c>
      <c r="I104" s="45">
        <f>IF(H104="Unidade Construtiva",TEXT(A104,"00"),IF(H104="Célula Construtiva",TEXT(B104,"00"),IF(H104="Etapa",CONCATENATE(TEXT(B104,"00"),".",TEXT(C104,"000")),IF(H104="Subetapa",CONCATENATE(TEXT(B104,"00"),".",TEXT(C104,"000"),".",TEXT(D104,"000")),IF(H104="Serviço",CONCATENATE(TEXT(B104,"00"),".",TEXT(C104,"000"),".",TEXT(D104,"000"),".",TEXT(E104,"000")),"")))))</f>
        <v/>
      </c>
      <c r="J104" s="51" t="inlineStr">
        <is>
          <t>Despesas de manutenção: Manutenção provisória elétrica</t>
        </is>
      </c>
      <c r="K104" s="48">
        <f>_xlfn.XLOOKUP($J104,BASES!$A$12:$A$392,BASES!$C$12:$C$392)</f>
        <v/>
      </c>
      <c r="L104" s="48">
        <f>_xlfn.XLOOKUP($J104,BASES!$A$12:$A$392,BASES!$D$12:$D$392)</f>
        <v/>
      </c>
      <c r="M104" s="48">
        <f>_xlfn.XLOOKUP($J104,BASES!$A$1:$A$2289,BASES!$E$1:$E$2289)</f>
        <v/>
      </c>
      <c r="N104" s="49">
        <f>IF(H104="Serviço",M104*L104,IF(H104="CÉLULA CONSTRUTIVA",SUMIFS($N$8:$N$422,$B$8:$B$422,B104,$H$8:$H$422,"Serviço"),IF(H104="ETAPA",SUMIFS($N$8:$N$422,$B$8:$B$422,B104,$C$8:$C$422,C104,$H$8:$H$422,"Serviço"),IF(H104="SUBETAPA",SUMIFS($N$8:$N$422,$B$8:$B$422,B104,$C$8:$C$422,C104,$D$8:$D$422,D104,$H$8:$H$422,"Serviço"),0))))</f>
        <v/>
      </c>
      <c r="O104" s="48">
        <f>_xlfn.XLOOKUP($J104,BASES!$A$12:$A$392,BASES!$F$12:$F$392)</f>
        <v/>
      </c>
      <c r="P104" s="52" t="n"/>
      <c r="Q104" s="52" t="n"/>
    </row>
    <row r="105">
      <c r="A105" s="34">
        <f>IF($H105="UNIDADE CONSTRUTIVA",OFFSET(A105,-1,0)+1,LARGE(A$3:A104,1))</f>
        <v/>
      </c>
      <c r="B105" s="34">
        <f>IF(H105="UNIDADE CONSTRUTIVA",0,IF(H105="CÉLULA CONSTRUTIVA",OFFSET(B105,-1,0)+1,OFFSET(B105,-1,0)))</f>
        <v/>
      </c>
      <c r="C105" s="34">
        <f>IF(H105="CÉLULA CONSTRUTIVA",0,IF(H105="ETAPA",OFFSET(C105,-1,0)+1,OFFSET(C105,-1,0)))</f>
        <v/>
      </c>
      <c r="D105" s="35">
        <f>IF(H105="ETAPA",0,IF(H105="SUBETAPA",OFFSET(D105,-1,0)+1,OFFSET(D105,-1,0)))</f>
        <v/>
      </c>
      <c r="E105" s="35">
        <f>IF(H105="Subetapa",0,IF(H105="serviço",OFFSET(E105,-1,0)+1,OFFSET(E105,-1,0)))</f>
        <v/>
      </c>
      <c r="F105" s="1" t="n"/>
      <c r="G105" s="43" t="n"/>
      <c r="H105" s="44" t="inlineStr">
        <is>
          <t>SERVIÇO</t>
        </is>
      </c>
      <c r="I105" s="45">
        <f>IF(H105="Unidade Construtiva",TEXT(A105,"00"),IF(H105="Célula Construtiva",TEXT(B105,"00"),IF(H105="Etapa",CONCATENATE(TEXT(B105,"00"),".",TEXT(C105,"000")),IF(H105="Subetapa",CONCATENATE(TEXT(B105,"00"),".",TEXT(C105,"000"),".",TEXT(D105,"000")),IF(H105="Serviço",CONCATENATE(TEXT(B105,"00"),".",TEXT(C105,"000"),".",TEXT(D105,"000"),".",TEXT(E105,"000")),"")))))</f>
        <v/>
      </c>
      <c r="J105" s="51" t="inlineStr">
        <is>
          <t>Despesas de manutenção: Manutenção provisória hidrossanitária</t>
        </is>
      </c>
      <c r="K105" s="48">
        <f>_xlfn.XLOOKUP($J105,BASES!$A$12:$A$392,BASES!$C$12:$C$392)</f>
        <v/>
      </c>
      <c r="L105" s="48">
        <f>_xlfn.XLOOKUP($J105,BASES!$A$12:$A$392,BASES!$D$12:$D$392)</f>
        <v/>
      </c>
      <c r="M105" s="48">
        <f>_xlfn.XLOOKUP($J105,BASES!$A$1:$A$2289,BASES!$E$1:$E$2289)</f>
        <v/>
      </c>
      <c r="N105" s="49">
        <f>IF(H105="Serviço",M105*L105,IF(H105="CÉLULA CONSTRUTIVA",SUMIFS($N$8:$N$422,$B$8:$B$422,B105,$H$8:$H$422,"Serviço"),IF(H105="ETAPA",SUMIFS($N$8:$N$422,$B$8:$B$422,B105,$C$8:$C$422,C105,$H$8:$H$422,"Serviço"),IF(H105="SUBETAPA",SUMIFS($N$8:$N$422,$B$8:$B$422,B105,$C$8:$C$422,C105,$D$8:$D$422,D105,$H$8:$H$422,"Serviço"),0))))</f>
        <v/>
      </c>
      <c r="O105" s="48">
        <f>_xlfn.XLOOKUP($J105,BASES!$A$12:$A$392,BASES!$F$12:$F$392)</f>
        <v/>
      </c>
      <c r="P105" s="52" t="n"/>
      <c r="Q105" s="52" t="n"/>
    </row>
    <row r="106">
      <c r="A106" s="34">
        <f>IF($H106="UNIDADE CONSTRUTIVA",OFFSET(A106,-1,0)+1,LARGE(A$3:A105,1))</f>
        <v/>
      </c>
      <c r="B106" s="34">
        <f>IF(H106="UNIDADE CONSTRUTIVA",0,IF(H106="CÉLULA CONSTRUTIVA",OFFSET(B106,-1,0)+1,OFFSET(B106,-1,0)))</f>
        <v/>
      </c>
      <c r="C106" s="34">
        <f>IF(H106="CÉLULA CONSTRUTIVA",0,IF(H106="ETAPA",OFFSET(C106,-1,0)+1,OFFSET(C106,-1,0)))</f>
        <v/>
      </c>
      <c r="D106" s="35">
        <f>IF(H106="ETAPA",0,IF(H106="SUBETAPA",OFFSET(D106,-1,0)+1,OFFSET(D106,-1,0)))</f>
        <v/>
      </c>
      <c r="E106" s="35">
        <f>IF(H106="Subetapa",0,IF(H106="serviço",OFFSET(E106,-1,0)+1,OFFSET(E106,-1,0)))</f>
        <v/>
      </c>
      <c r="F106" s="1" t="n"/>
      <c r="G106" s="43" t="n"/>
      <c r="H106" s="44" t="inlineStr">
        <is>
          <t>SERVIÇO</t>
        </is>
      </c>
      <c r="I106" s="45">
        <f>IF(H106="Unidade Construtiva",TEXT(A106,"00"),IF(H106="Célula Construtiva",TEXT(B106,"00"),IF(H106="Etapa",CONCATENATE(TEXT(B106,"00"),".",TEXT(C106,"000")),IF(H106="Subetapa",CONCATENATE(TEXT(B106,"00"),".",TEXT(C106,"000"),".",TEXT(D106,"000")),IF(H106="Serviço",CONCATENATE(TEXT(B106,"00"),".",TEXT(C106,"000"),".",TEXT(D106,"000"),".",TEXT(E106,"000")),"")))))</f>
        <v/>
      </c>
      <c r="J106" s="51" t="inlineStr">
        <is>
          <t>Despesas de manutenção: Manutenção provisória vigilância e acessos</t>
        </is>
      </c>
      <c r="K106" s="48">
        <f>_xlfn.XLOOKUP($J106,BASES!$A$12:$A$392,BASES!$C$12:$C$392)</f>
        <v/>
      </c>
      <c r="L106" s="48">
        <f>_xlfn.XLOOKUP($J106,BASES!$A$12:$A$392,BASES!$D$12:$D$392)</f>
        <v/>
      </c>
      <c r="M106" s="48">
        <f>_xlfn.XLOOKUP($J106,BASES!$A$1:$A$2289,BASES!$E$1:$E$2289)</f>
        <v/>
      </c>
      <c r="N106" s="49">
        <f>IF(H106="Serviço",M106*L106,IF(H106="CÉLULA CONSTRUTIVA",SUMIFS($N$8:$N$422,$B$8:$B$422,B106,$H$8:$H$422,"Serviço"),IF(H106="ETAPA",SUMIFS($N$8:$N$422,$B$8:$B$422,B106,$C$8:$C$422,C106,$H$8:$H$422,"Serviço"),IF(H106="SUBETAPA",SUMIFS($N$8:$N$422,$B$8:$B$422,B106,$C$8:$C$422,C106,$D$8:$D$422,D106,$H$8:$H$422,"Serviço"),0))))</f>
        <v/>
      </c>
      <c r="O106" s="48">
        <f>_xlfn.XLOOKUP($J106,BASES!$A$12:$A$392,BASES!$F$12:$F$392)</f>
        <v/>
      </c>
      <c r="P106" s="52" t="n"/>
      <c r="Q106" s="52" t="n"/>
    </row>
    <row r="107">
      <c r="A107" s="34">
        <f>IF($H107="UNIDADE CONSTRUTIVA",OFFSET(A107,-1,0)+1,LARGE(A$3:A106,1))</f>
        <v/>
      </c>
      <c r="B107" s="34">
        <f>IF(H107="UNIDADE CONSTRUTIVA",0,IF(H107="CÉLULA CONSTRUTIVA",OFFSET(B107,-1,0)+1,OFFSET(B107,-1,0)))</f>
        <v/>
      </c>
      <c r="C107" s="34">
        <f>IF(H107="CÉLULA CONSTRUTIVA",0,IF(H107="ETAPA",OFFSET(C107,-1,0)+1,OFFSET(C107,-1,0)))</f>
        <v/>
      </c>
      <c r="D107" s="35">
        <f>IF(H107="ETAPA",0,IF(H107="SUBETAPA",OFFSET(D107,-1,0)+1,OFFSET(D107,-1,0)))</f>
        <v/>
      </c>
      <c r="E107" s="35">
        <f>IF(H107="Subetapa",0,IF(H107="serviço",OFFSET(E107,-1,0)+1,OFFSET(E107,-1,0)))</f>
        <v/>
      </c>
      <c r="F107" s="1" t="n"/>
      <c r="G107" s="43" t="n"/>
      <c r="H107" s="44" t="inlineStr">
        <is>
          <t>SUBETAPA</t>
        </is>
      </c>
      <c r="I107" s="45">
        <f>IF(H107="Unidade Construtiva",TEXT(A107,"00"),IF(H107="Célula Construtiva",TEXT(B107,"00"),IF(H107="Etapa",CONCATENATE(TEXT(B107,"00"),".",TEXT(C107,"000")),IF(H107="Subetapa",CONCATENATE(TEXT(B107,"00"),".",TEXT(C107,"000"),".",TEXT(D107,"000")),IF(H107="Serviço",CONCATENATE(TEXT(B107,"00"),".",TEXT(C107,"000"),".",TEXT(D107,"000"),".",TEXT(E107,"000")),"")))))</f>
        <v/>
      </c>
      <c r="J107" s="51" t="inlineStr">
        <is>
          <t>Instalações e Ligações Provisórias</t>
        </is>
      </c>
      <c r="K107" s="48" t="n"/>
      <c r="L107" s="48" t="n"/>
      <c r="M107" s="48" t="n"/>
      <c r="N107" s="49">
        <f>IF(H107="Serviço",M107*L107,IF(H107="CÉLULA CONSTRUTIVA",SUMIFS($N$8:$N$422,$B$8:$B$422,B107,$H$8:$H$422,"Serviço"),IF(H107="ETAPA",SUMIFS($N$8:$N$422,$B$8:$B$422,B107,$C$8:$C$422,C107,$H$8:$H$422,"Serviço"),IF(H107="SUBETAPA",SUMIFS($N$8:$N$422,$B$8:$B$422,B107,$C$8:$C$422,C107,$D$8:$D$422,D107,$H$8:$H$422,"Serviço"),0))))</f>
        <v/>
      </c>
      <c r="O107" s="50" t="n"/>
      <c r="P107" s="52" t="n"/>
      <c r="Q107" s="52" t="n"/>
    </row>
    <row r="108">
      <c r="A108" s="34">
        <f>IF($H108="UNIDADE CONSTRUTIVA",OFFSET(A108,-1,0)+1,LARGE(A$3:A107,1))</f>
        <v/>
      </c>
      <c r="B108" s="34">
        <f>IF(H108="UNIDADE CONSTRUTIVA",0,IF(H108="CÉLULA CONSTRUTIVA",OFFSET(B108,-1,0)+1,OFFSET(B108,-1,0)))</f>
        <v/>
      </c>
      <c r="C108" s="34">
        <f>IF(H108="CÉLULA CONSTRUTIVA",0,IF(H108="ETAPA",OFFSET(C108,-1,0)+1,OFFSET(C108,-1,0)))</f>
        <v/>
      </c>
      <c r="D108" s="35">
        <f>IF(H108="ETAPA",0,IF(H108="SUBETAPA",OFFSET(D108,-1,0)+1,OFFSET(D108,-1,0)))</f>
        <v/>
      </c>
      <c r="E108" s="35">
        <f>IF(H108="Subetapa",0,IF(H108="serviço",OFFSET(E108,-1,0)+1,OFFSET(E108,-1,0)))</f>
        <v/>
      </c>
      <c r="F108" s="1" t="n"/>
      <c r="G108" s="43" t="n"/>
      <c r="H108" s="44" t="inlineStr">
        <is>
          <t>SERVIÇO</t>
        </is>
      </c>
      <c r="I108" s="45">
        <f>IF(H108="Unidade Construtiva",TEXT(A108,"00"),IF(H108="Célula Construtiva",TEXT(B108,"00"),IF(H108="Etapa",CONCATENATE(TEXT(B108,"00"),".",TEXT(C108,"000")),IF(H108="Subetapa",CONCATENATE(TEXT(B108,"00"),".",TEXT(C108,"000"),".",TEXT(D108,"000")),IF(H108="Serviço",CONCATENATE(TEXT(B108,"00"),".",TEXT(C108,"000"),".",TEXT(D108,"000"),".",TEXT(E108,"000")),"")))))</f>
        <v/>
      </c>
      <c r="J108" s="51" t="inlineStr">
        <is>
          <t>Instalações Provisórias (central de aço, formas, argamassa, almoxarifado geral, construções temporárias)</t>
        </is>
      </c>
      <c r="K108" s="48">
        <f>_xlfn.XLOOKUP($J108,BASES!$A$12:$A$392,BASES!$C$12:$C$392)</f>
        <v/>
      </c>
      <c r="L108" s="48">
        <f>_xlfn.XLOOKUP($J108,BASES!$A$12:$A$392,BASES!$D$12:$D$392)</f>
        <v/>
      </c>
      <c r="M108" s="48">
        <f>_xlfn.XLOOKUP($J108,BASES!$A$1:$A$2289,BASES!$E$1:$E$2289)</f>
        <v/>
      </c>
      <c r="N108" s="49">
        <f>IF(H108="Serviço",M108*L108,IF(H108="CÉLULA CONSTRUTIVA",SUMIFS($N$8:$N$422,$B$8:$B$422,B108,$H$8:$H$422,"Serviço"),IF(H108="ETAPA",SUMIFS($N$8:$N$422,$B$8:$B$422,B108,$C$8:$C$422,C108,$H$8:$H$422,"Serviço"),IF(H108="SUBETAPA",SUMIFS($N$8:$N$422,$B$8:$B$422,B108,$C$8:$C$422,C108,$D$8:$D$422,D108,$H$8:$H$422,"Serviço"),0))))</f>
        <v/>
      </c>
      <c r="O108" s="48">
        <f>_xlfn.XLOOKUP($J108,BASES!$A$12:$A$392,BASES!$F$12:$F$392)</f>
        <v/>
      </c>
      <c r="P108" s="52" t="n"/>
      <c r="Q108" s="52" t="n"/>
    </row>
    <row r="109">
      <c r="A109" s="34">
        <f>IF($H109="UNIDADE CONSTRUTIVA",OFFSET(A109,-1,0)+1,LARGE(A$3:A108,1))</f>
        <v/>
      </c>
      <c r="B109" s="34">
        <f>IF(H109="UNIDADE CONSTRUTIVA",0,IF(H109="CÉLULA CONSTRUTIVA",OFFSET(B109,-1,0)+1,OFFSET(B109,-1,0)))</f>
        <v/>
      </c>
      <c r="C109" s="34">
        <f>IF(H109="CÉLULA CONSTRUTIVA",0,IF(H109="ETAPA",OFFSET(C109,-1,0)+1,OFFSET(C109,-1,0)))</f>
        <v/>
      </c>
      <c r="D109" s="35">
        <f>IF(H109="ETAPA",0,IF(H109="SUBETAPA",OFFSET(D109,-1,0)+1,OFFSET(D109,-1,0)))</f>
        <v/>
      </c>
      <c r="E109" s="35">
        <f>IF(H109="Subetapa",0,IF(H109="serviço",OFFSET(E109,-1,0)+1,OFFSET(E109,-1,0)))</f>
        <v/>
      </c>
      <c r="F109" s="1" t="n"/>
      <c r="G109" s="43" t="n"/>
      <c r="H109" s="44" t="inlineStr">
        <is>
          <t>SERVIÇO</t>
        </is>
      </c>
      <c r="I109" s="45">
        <f>IF(H109="Unidade Construtiva",TEXT(A109,"00"),IF(H109="Célula Construtiva",TEXT(B109,"00"),IF(H109="Etapa",CONCATENATE(TEXT(B109,"00"),".",TEXT(C109,"000")),IF(H109="Subetapa",CONCATENATE(TEXT(B109,"00"),".",TEXT(C109,"000"),".",TEXT(D109,"000")),IF(H109="Serviço",CONCATENATE(TEXT(B109,"00"),".",TEXT(C109,"000"),".",TEXT(D109,"000"),".",TEXT(E109,"000")),"")))))</f>
        <v/>
      </c>
      <c r="J109" s="51" t="inlineStr">
        <is>
          <t>Alugueis Terrenos Apoio</t>
        </is>
      </c>
      <c r="K109" s="48">
        <f>_xlfn.XLOOKUP($J109,BASES!$A$12:$A$392,BASES!$C$12:$C$392)</f>
        <v/>
      </c>
      <c r="L109" s="48">
        <f>_xlfn.XLOOKUP($J109,BASES!$A$12:$A$392,BASES!$D$12:$D$392)</f>
        <v/>
      </c>
      <c r="M109" s="48">
        <f>_xlfn.XLOOKUP($J109,BASES!$A$1:$A$2289,BASES!$E$1:$E$2289)</f>
        <v/>
      </c>
      <c r="N109" s="49">
        <f>IF(H109="Serviço",M109*L109,IF(H109="CÉLULA CONSTRUTIVA",SUMIFS($N$8:$N$422,$B$8:$B$422,B109,$H$8:$H$422,"Serviço"),IF(H109="ETAPA",SUMIFS($N$8:$N$422,$B$8:$B$422,B109,$C$8:$C$422,C109,$H$8:$H$422,"Serviço"),IF(H109="SUBETAPA",SUMIFS($N$8:$N$422,$B$8:$B$422,B109,$C$8:$C$422,C109,$D$8:$D$422,D109,$H$8:$H$422,"Serviço"),0))))</f>
        <v/>
      </c>
      <c r="O109" s="48">
        <f>_xlfn.XLOOKUP($J109,BASES!$A$12:$A$392,BASES!$F$12:$F$392)</f>
        <v/>
      </c>
      <c r="P109" s="52" t="n"/>
      <c r="Q109" s="52" t="n"/>
    </row>
    <row r="110">
      <c r="A110" s="34">
        <f>IF($H110="UNIDADE CONSTRUTIVA",OFFSET(A110,-1,0)+1,LARGE(A$3:A109,1))</f>
        <v/>
      </c>
      <c r="B110" s="34">
        <f>IF(H110="UNIDADE CONSTRUTIVA",0,IF(H110="CÉLULA CONSTRUTIVA",OFFSET(B110,-1,0)+1,OFFSET(B110,-1,0)))</f>
        <v/>
      </c>
      <c r="C110" s="34">
        <f>IF(H110="CÉLULA CONSTRUTIVA",0,IF(H110="ETAPA",OFFSET(C110,-1,0)+1,OFFSET(C110,-1,0)))</f>
        <v/>
      </c>
      <c r="D110" s="35">
        <f>IF(H110="ETAPA",0,IF(H110="SUBETAPA",OFFSET(D110,-1,0)+1,OFFSET(D110,-1,0)))</f>
        <v/>
      </c>
      <c r="E110" s="35">
        <f>IF(H110="Subetapa",0,IF(H110="serviço",OFFSET(E110,-1,0)+1,OFFSET(E110,-1,0)))</f>
        <v/>
      </c>
      <c r="F110" s="1" t="n"/>
      <c r="G110" s="43" t="n"/>
      <c r="H110" s="44" t="inlineStr">
        <is>
          <t>SERVIÇO</t>
        </is>
      </c>
      <c r="I110" s="45">
        <f>IF(H110="Unidade Construtiva",TEXT(A110,"00"),IF(H110="Célula Construtiva",TEXT(B110,"00"),IF(H110="Etapa",CONCATENATE(TEXT(B110,"00"),".",TEXT(C110,"000")),IF(H110="Subetapa",CONCATENATE(TEXT(B110,"00"),".",TEXT(C110,"000"),".",TEXT(D110,"000")),IF(H110="Serviço",CONCATENATE(TEXT(B110,"00"),".",TEXT(C110,"000"),".",TEXT(D110,"000"),".",TEXT(E110,"000")),"")))))</f>
        <v/>
      </c>
      <c r="J110" s="51" t="inlineStr">
        <is>
          <t>Redes Provisórias: Rede de água fria, esgoto e drenagem</t>
        </is>
      </c>
      <c r="K110" s="48">
        <f>_xlfn.XLOOKUP($J110,BASES!$A$12:$A$392,BASES!$C$12:$C$392)</f>
        <v/>
      </c>
      <c r="L110" s="48">
        <f>_xlfn.XLOOKUP($J110,BASES!$A$12:$A$392,BASES!$D$12:$D$392)</f>
        <v/>
      </c>
      <c r="M110" s="48">
        <f>_xlfn.XLOOKUP($J110,BASES!$A$1:$A$2289,BASES!$E$1:$E$2289)</f>
        <v/>
      </c>
      <c r="N110" s="49">
        <f>IF(H110="Serviço",M110*L110,IF(H110="CÉLULA CONSTRUTIVA",SUMIFS($N$8:$N$422,$B$8:$B$422,B110,$H$8:$H$422,"Serviço"),IF(H110="ETAPA",SUMIFS($N$8:$N$422,$B$8:$B$422,B110,$C$8:$C$422,C110,$H$8:$H$422,"Serviço"),IF(H110="SUBETAPA",SUMIFS($N$8:$N$422,$B$8:$B$422,B110,$C$8:$C$422,C110,$D$8:$D$422,D110,$H$8:$H$422,"Serviço"),0))))</f>
        <v/>
      </c>
      <c r="O110" s="48">
        <f>_xlfn.XLOOKUP($J110,BASES!$A$12:$A$392,BASES!$F$12:$F$392)</f>
        <v/>
      </c>
      <c r="P110" s="52" t="n"/>
      <c r="Q110" s="52" t="n"/>
    </row>
    <row r="111">
      <c r="A111" s="34">
        <f>IF($H111="UNIDADE CONSTRUTIVA",OFFSET(A111,-1,0)+1,LARGE(A$3:A110,1))</f>
        <v/>
      </c>
      <c r="B111" s="34">
        <f>IF(H111="UNIDADE CONSTRUTIVA",0,IF(H111="CÉLULA CONSTRUTIVA",OFFSET(B111,-1,0)+1,OFFSET(B111,-1,0)))</f>
        <v/>
      </c>
      <c r="C111" s="34">
        <f>IF(H111="CÉLULA CONSTRUTIVA",0,IF(H111="ETAPA",OFFSET(C111,-1,0)+1,OFFSET(C111,-1,0)))</f>
        <v/>
      </c>
      <c r="D111" s="35">
        <f>IF(H111="ETAPA",0,IF(H111="SUBETAPA",OFFSET(D111,-1,0)+1,OFFSET(D111,-1,0)))</f>
        <v/>
      </c>
      <c r="E111" s="35">
        <f>IF(H111="Subetapa",0,IF(H111="serviço",OFFSET(E111,-1,0)+1,OFFSET(E111,-1,0)))</f>
        <v/>
      </c>
      <c r="F111" s="1" t="n"/>
      <c r="G111" s="43" t="n"/>
      <c r="H111" s="44" t="inlineStr">
        <is>
          <t>SERVIÇO</t>
        </is>
      </c>
      <c r="I111" s="45">
        <f>IF(H111="Unidade Construtiva",TEXT(A111,"00"),IF(H111="Célula Construtiva",TEXT(B111,"00"),IF(H111="Etapa",CONCATENATE(TEXT(B111,"00"),".",TEXT(C111,"000")),IF(H111="Subetapa",CONCATENATE(TEXT(B111,"00"),".",TEXT(C111,"000"),".",TEXT(D111,"000")),IF(H111="Serviço",CONCATENATE(TEXT(B111,"00"),".",TEXT(C111,"000"),".",TEXT(D111,"000"),".",TEXT(E111,"000")),"")))))</f>
        <v/>
      </c>
      <c r="J111" s="51" t="inlineStr">
        <is>
          <t>Redes Provisórias: Redes elétricas, comunicação e dados</t>
        </is>
      </c>
      <c r="K111" s="48">
        <f>_xlfn.XLOOKUP($J111,BASES!$A$12:$A$392,BASES!$C$12:$C$392)</f>
        <v/>
      </c>
      <c r="L111" s="48">
        <f>_xlfn.XLOOKUP($J111,BASES!$A$12:$A$392,BASES!$D$12:$D$392)</f>
        <v/>
      </c>
      <c r="M111" s="48">
        <f>_xlfn.XLOOKUP($J111,BASES!$A$1:$A$2289,BASES!$E$1:$E$2289)</f>
        <v/>
      </c>
      <c r="N111" s="49">
        <f>IF(H111="Serviço",M111*L111,IF(H111="CÉLULA CONSTRUTIVA",SUMIFS($N$8:$N$422,$B$8:$B$422,B111,$H$8:$H$422,"Serviço"),IF(H111="ETAPA",SUMIFS($N$8:$N$422,$B$8:$B$422,B111,$C$8:$C$422,C111,$H$8:$H$422,"Serviço"),IF(H111="SUBETAPA",SUMIFS($N$8:$N$422,$B$8:$B$422,B111,$C$8:$C$422,C111,$D$8:$D$422,D111,$H$8:$H$422,"Serviço"),0))))</f>
        <v/>
      </c>
      <c r="O111" s="48">
        <f>_xlfn.XLOOKUP($J111,BASES!$A$12:$A$392,BASES!$F$12:$F$392)</f>
        <v/>
      </c>
      <c r="P111" s="52" t="n"/>
      <c r="Q111" s="52" t="n"/>
    </row>
    <row r="112">
      <c r="A112" s="34">
        <f>IF($H112="UNIDADE CONSTRUTIVA",OFFSET(A112,-1,0)+1,LARGE(A$3:A111,1))</f>
        <v/>
      </c>
      <c r="B112" s="34">
        <f>IF(H112="UNIDADE CONSTRUTIVA",0,IF(H112="CÉLULA CONSTRUTIVA",OFFSET(B112,-1,0)+1,OFFSET(B112,-1,0)))</f>
        <v/>
      </c>
      <c r="C112" s="34">
        <f>IF(H112="CÉLULA CONSTRUTIVA",0,IF(H112="ETAPA",OFFSET(C112,-1,0)+1,OFFSET(C112,-1,0)))</f>
        <v/>
      </c>
      <c r="D112" s="35">
        <f>IF(H112="ETAPA",0,IF(H112="SUBETAPA",OFFSET(D112,-1,0)+1,OFFSET(D112,-1,0)))</f>
        <v/>
      </c>
      <c r="E112" s="35">
        <f>IF(H112="Subetapa",0,IF(H112="serviço",OFFSET(E112,-1,0)+1,OFFSET(E112,-1,0)))</f>
        <v/>
      </c>
      <c r="F112" s="1" t="n"/>
      <c r="G112" s="43" t="n"/>
      <c r="H112" s="44" t="inlineStr">
        <is>
          <t>SERVIÇO</t>
        </is>
      </c>
      <c r="I112" s="45">
        <f>IF(H112="Unidade Construtiva",TEXT(A112,"00"),IF(H112="Célula Construtiva",TEXT(B112,"00"),IF(H112="Etapa",CONCATENATE(TEXT(B112,"00"),".",TEXT(C112,"000")),IF(H112="Subetapa",CONCATENATE(TEXT(B112,"00"),".",TEXT(C112,"000"),".",TEXT(D112,"000")),IF(H112="Serviço",CONCATENATE(TEXT(B112,"00"),".",TEXT(C112,"000"),".",TEXT(D112,"000"),".",TEXT(E112,"000")),"")))))</f>
        <v/>
      </c>
      <c r="J112" s="51" t="inlineStr">
        <is>
          <t>Tapume em telha metálica trapezoidal</t>
        </is>
      </c>
      <c r="K112" s="48">
        <f>_xlfn.XLOOKUP($J112,BASES!$A$12:$A$392,BASES!$C$12:$C$392)</f>
        <v/>
      </c>
      <c r="L112" s="48">
        <f>_xlfn.XLOOKUP($J112,BASES!$A$12:$A$392,BASES!$D$12:$D$392)</f>
        <v/>
      </c>
      <c r="M112" s="48">
        <f>_xlfn.XLOOKUP($J112,BASES!$A$1:$A$2289,BASES!$E$1:$E$2289)</f>
        <v/>
      </c>
      <c r="N112" s="49">
        <f>IF(H112="Serviço",M112*L112,IF(H112="CÉLULA CONSTRUTIVA",SUMIFS($N$8:$N$422,$B$8:$B$422,B112,$H$8:$H$422,"Serviço"),IF(H112="ETAPA",SUMIFS($N$8:$N$422,$B$8:$B$422,B112,$C$8:$C$422,C112,$H$8:$H$422,"Serviço"),IF(H112="SUBETAPA",SUMIFS($N$8:$N$422,$B$8:$B$422,B112,$C$8:$C$422,C112,$D$8:$D$422,D112,$H$8:$H$422,"Serviço"),0))))</f>
        <v/>
      </c>
      <c r="O112" s="48">
        <f>_xlfn.XLOOKUP($J112,BASES!$A$12:$A$392,BASES!$F$12:$F$392)</f>
        <v/>
      </c>
      <c r="P112" s="52" t="n"/>
      <c r="Q112" s="52" t="n"/>
    </row>
    <row r="113">
      <c r="A113" s="34">
        <f>IF($H113="UNIDADE CONSTRUTIVA",OFFSET(A113,-1,0)+1,LARGE(A$3:A112,1))</f>
        <v/>
      </c>
      <c r="B113" s="34">
        <f>IF(H113="UNIDADE CONSTRUTIVA",0,IF(H113="CÉLULA CONSTRUTIVA",OFFSET(B113,-1,0)+1,OFFSET(B113,-1,0)))</f>
        <v/>
      </c>
      <c r="C113" s="34">
        <f>IF(H113="CÉLULA CONSTRUTIVA",0,IF(H113="ETAPA",OFFSET(C113,-1,0)+1,OFFSET(C113,-1,0)))</f>
        <v/>
      </c>
      <c r="D113" s="35">
        <f>IF(H113="ETAPA",0,IF(H113="SUBETAPA",OFFSET(D113,-1,0)+1,OFFSET(D113,-1,0)))</f>
        <v/>
      </c>
      <c r="E113" s="35">
        <f>IF(H113="Subetapa",0,IF(H113="serviço",OFFSET(E113,-1,0)+1,OFFSET(E113,-1,0)))</f>
        <v/>
      </c>
      <c r="F113" s="1" t="n"/>
      <c r="G113" s="43" t="n"/>
      <c r="H113" s="44" t="inlineStr">
        <is>
          <t>ETAPA</t>
        </is>
      </c>
      <c r="I113" s="45">
        <f>IF(H113="Unidade Construtiva",TEXT(A113,"00"),IF(H113="Célula Construtiva",TEXT(B113,"00"),IF(H113="Etapa",CONCATENATE(TEXT(B113,"00"),".",TEXT(C113,"000")),IF(H113="Subetapa",CONCATENATE(TEXT(B113,"00"),".",TEXT(C113,"000"),".",TEXT(D113,"000")),IF(H113="Serviço",CONCATENATE(TEXT(B113,"00"),".",TEXT(C113,"000"),".",TEXT(D113,"000"),".",TEXT(E113,"000")),"")))))</f>
        <v/>
      </c>
      <c r="J113" s="51" t="inlineStr">
        <is>
          <t>SERVIÇOS PRELIMINARES</t>
        </is>
      </c>
      <c r="K113" s="48" t="n"/>
      <c r="L113" s="48" t="n"/>
      <c r="M113" s="48" t="n"/>
      <c r="N113" s="49">
        <f>IF(H113="Serviço",M113*L113,IF(H113="CÉLULA CONSTRUTIVA",SUMIFS($N$8:$N$422,$B$8:$B$422,B113,$H$8:$H$422,"Serviço"),IF(H113="ETAPA",SUMIFS($N$8:$N$422,$B$8:$B$422,B113,$C$8:$C$422,C113,$H$8:$H$422,"Serviço"),IF(H113="SUBETAPA",SUMIFS($N$8:$N$422,$B$8:$B$422,B113,$C$8:$C$422,C113,$D$8:$D$422,D113,$H$8:$H$422,"Serviço"),0))))</f>
        <v/>
      </c>
      <c r="O113" s="50" t="n"/>
      <c r="P113" s="52" t="n"/>
      <c r="Q113" s="52" t="n"/>
    </row>
    <row r="114">
      <c r="A114" s="34">
        <f>IF($H114="UNIDADE CONSTRUTIVA",OFFSET(A114,-1,0)+1,LARGE(A$3:A113,1))</f>
        <v/>
      </c>
      <c r="B114" s="34">
        <f>IF(H114="UNIDADE CONSTRUTIVA",0,IF(H114="CÉLULA CONSTRUTIVA",OFFSET(B114,-1,0)+1,OFFSET(B114,-1,0)))</f>
        <v/>
      </c>
      <c r="C114" s="34">
        <f>IF(H114="CÉLULA CONSTRUTIVA",0,IF(H114="ETAPA",OFFSET(C114,-1,0)+1,OFFSET(C114,-1,0)))</f>
        <v/>
      </c>
      <c r="D114" s="35">
        <f>IF(H114="ETAPA",0,IF(H114="SUBETAPA",OFFSET(D114,-1,0)+1,OFFSET(D114,-1,0)))</f>
        <v/>
      </c>
      <c r="E114" s="35">
        <f>IF(H114="Subetapa",0,IF(H114="serviço",OFFSET(E114,-1,0)+1,OFFSET(E114,-1,0)))</f>
        <v/>
      </c>
      <c r="F114" s="1" t="n"/>
      <c r="G114" s="43" t="n"/>
      <c r="H114" s="44" t="inlineStr">
        <is>
          <t>SUBETAPA</t>
        </is>
      </c>
      <c r="I114" s="45">
        <f>IF(H114="Unidade Construtiva",TEXT(A114,"00"),IF(H114="Célula Construtiva",TEXT(B114,"00"),IF(H114="Etapa",CONCATENATE(TEXT(B114,"00"),".",TEXT(C114,"000")),IF(H114="Subetapa",CONCATENATE(TEXT(B114,"00"),".",TEXT(C114,"000"),".",TEXT(D114,"000")),IF(H114="Serviço",CONCATENATE(TEXT(B114,"00"),".",TEXT(C114,"000"),".",TEXT(D114,"000"),".",TEXT(E114,"000")),"")))))</f>
        <v/>
      </c>
      <c r="J114" s="51" t="inlineStr">
        <is>
          <t xml:space="preserve">Demolições </t>
        </is>
      </c>
      <c r="K114" s="48" t="n"/>
      <c r="L114" s="48" t="n"/>
      <c r="M114" s="48" t="n"/>
      <c r="N114" s="49">
        <f>IF(H114="Serviço",M114*L114,IF(H114="CÉLULA CONSTRUTIVA",SUMIFS($N$8:$N$422,$B$8:$B$422,B114,$H$8:$H$422,"Serviço"),IF(H114="ETAPA",SUMIFS($N$8:$N$422,$B$8:$B$422,B114,$C$8:$C$422,C114,$H$8:$H$422,"Serviço"),IF(H114="SUBETAPA",SUMIFS($N$8:$N$422,$B$8:$B$422,B114,$C$8:$C$422,C114,$D$8:$D$422,D114,$H$8:$H$422,"Serviço"),0))))</f>
        <v/>
      </c>
      <c r="O114" s="50" t="n"/>
      <c r="P114" s="52" t="n"/>
      <c r="Q114" s="52" t="n"/>
    </row>
    <row r="115">
      <c r="A115" s="34">
        <f>IF($H115="UNIDADE CONSTRUTIVA",OFFSET(A115,-1,0)+1,LARGE(A$3:A114,1))</f>
        <v/>
      </c>
      <c r="B115" s="34">
        <f>IF(H115="UNIDADE CONSTRUTIVA",0,IF(H115="CÉLULA CONSTRUTIVA",OFFSET(B115,-1,0)+1,OFFSET(B115,-1,0)))</f>
        <v/>
      </c>
      <c r="C115" s="34">
        <f>IF(H115="CÉLULA CONSTRUTIVA",0,IF(H115="ETAPA",OFFSET(C115,-1,0)+1,OFFSET(C115,-1,0)))</f>
        <v/>
      </c>
      <c r="D115" s="35">
        <f>IF(H115="ETAPA",0,IF(H115="SUBETAPA",OFFSET(D115,-1,0)+1,OFFSET(D115,-1,0)))</f>
        <v/>
      </c>
      <c r="E115" s="35">
        <f>IF(H115="Subetapa",0,IF(H115="serviço",OFFSET(E115,-1,0)+1,OFFSET(E115,-1,0)))</f>
        <v/>
      </c>
      <c r="F115" s="1" t="n"/>
      <c r="G115" s="43" t="n"/>
      <c r="H115" s="44" t="inlineStr">
        <is>
          <t>SERVIÇO</t>
        </is>
      </c>
      <c r="I115" s="45">
        <f>IF(H115="Unidade Construtiva",TEXT(A115,"00"),IF(H115="Célula Construtiva",TEXT(B115,"00"),IF(H115="Etapa",CONCATENATE(TEXT(B115,"00"),".",TEXT(C115,"000")),IF(H115="Subetapa",CONCATENATE(TEXT(B115,"00"),".",TEXT(C115,"000"),".",TEXT(D115,"000")),IF(H115="Serviço",CONCATENATE(TEXT(B115,"00"),".",TEXT(C115,"000"),".",TEXT(D115,"000"),".",TEXT(E115,"000")),"")))))</f>
        <v/>
      </c>
      <c r="J115" s="51" t="inlineStr">
        <is>
          <t>Demolições</t>
        </is>
      </c>
      <c r="K115" s="48">
        <f>_xlfn.XLOOKUP($J115,BASES!$A$12:$A$392,BASES!$C$12:$C$392)</f>
        <v/>
      </c>
      <c r="L115" s="48">
        <f>_xlfn.XLOOKUP($J115,BASES!$A$12:$A$392,BASES!$D$12:$D$392)</f>
        <v/>
      </c>
      <c r="M115" s="48">
        <f>_xlfn.XLOOKUP($J115,BASES!$A$1:$A$2289,BASES!$E$1:$E$2289)</f>
        <v/>
      </c>
      <c r="N115" s="49">
        <f>IF(H115="Serviço",M115*L115,IF(H115="CÉLULA CONSTRUTIVA",SUMIFS($N$8:$N$422,$B$8:$B$422,B115,$H$8:$H$422,"Serviço"),IF(H115="ETAPA",SUMIFS($N$8:$N$422,$B$8:$B$422,B115,$C$8:$C$422,C115,$H$8:$H$422,"Serviço"),IF(H115="SUBETAPA",SUMIFS($N$8:$N$422,$B$8:$B$422,B115,$C$8:$C$422,C115,$D$8:$D$422,D115,$H$8:$H$422,"Serviço"),0))))</f>
        <v/>
      </c>
      <c r="O115" s="48" t="inlineStr">
        <is>
          <t>Estimado - Previsto 60% de área do terreno</t>
        </is>
      </c>
      <c r="P115" s="52" t="n"/>
      <c r="Q115" s="52" t="n"/>
    </row>
    <row r="116">
      <c r="A116" s="34">
        <f>IF($H116="UNIDADE CONSTRUTIVA",OFFSET(A116,-1,0)+1,LARGE(A$3:A115,1))</f>
        <v/>
      </c>
      <c r="B116" s="34">
        <f>IF(H116="UNIDADE CONSTRUTIVA",0,IF(H116="CÉLULA CONSTRUTIVA",OFFSET(B116,-1,0)+1,OFFSET(B116,-1,0)))</f>
        <v/>
      </c>
      <c r="C116" s="34">
        <f>IF(H116="CÉLULA CONSTRUTIVA",0,IF(H116="ETAPA",OFFSET(C116,-1,0)+1,OFFSET(C116,-1,0)))</f>
        <v/>
      </c>
      <c r="D116" s="35">
        <f>IF(H116="ETAPA",0,IF(H116="SUBETAPA",OFFSET(D116,-1,0)+1,OFFSET(D116,-1,0)))</f>
        <v/>
      </c>
      <c r="E116" s="35">
        <f>IF(H116="Subetapa",0,IF(H116="serviço",OFFSET(E116,-1,0)+1,OFFSET(E116,-1,0)))</f>
        <v/>
      </c>
      <c r="F116" s="1" t="n"/>
      <c r="G116" s="43" t="n"/>
      <c r="H116" s="44" t="inlineStr">
        <is>
          <t>SERVIÇO</t>
        </is>
      </c>
      <c r="I116" s="45">
        <f>IF(H116="Unidade Construtiva",TEXT(A116,"00"),IF(H116="Célula Construtiva",TEXT(B116,"00"),IF(H116="Etapa",CONCATENATE(TEXT(B116,"00"),".",TEXT(C116,"000")),IF(H116="Subetapa",CONCATENATE(TEXT(B116,"00"),".",TEXT(C116,"000"),".",TEXT(D116,"000")),IF(H116="Serviço",CONCATENATE(TEXT(B116,"00"),".",TEXT(C116,"000"),".",TEXT(D116,"000"),".",TEXT(E116,"000")),"")))))</f>
        <v/>
      </c>
      <c r="J116" s="51" t="inlineStr">
        <is>
          <t>Limpeza da camada vegetal</t>
        </is>
      </c>
      <c r="K116" s="48">
        <f>_xlfn.XLOOKUP($J116,BASES!$A$12:$A$392,BASES!$C$12:$C$392)</f>
        <v/>
      </c>
      <c r="L116" s="48">
        <f>_xlfn.XLOOKUP($J116,BASES!$A$12:$A$392,BASES!$D$12:$D$392)</f>
        <v/>
      </c>
      <c r="M116" s="48">
        <f>_xlfn.XLOOKUP($J116,BASES!$A$1:$A$2289,BASES!$E$1:$E$2289)</f>
        <v/>
      </c>
      <c r="N116" s="49">
        <f>IF(H116="Serviço",M116*L116,IF(H116="CÉLULA CONSTRUTIVA",SUMIFS($N$8:$N$422,$B$8:$B$422,B116,$H$8:$H$422,"Serviço"),IF(H116="ETAPA",SUMIFS($N$8:$N$422,$B$8:$B$422,B116,$C$8:$C$422,C116,$H$8:$H$422,"Serviço"),IF(H116="SUBETAPA",SUMIFS($N$8:$N$422,$B$8:$B$422,B116,$C$8:$C$422,C116,$D$8:$D$422,D116,$H$8:$H$422,"Serviço"),0))))</f>
        <v/>
      </c>
      <c r="O116" s="48">
        <f>_xlfn.XLOOKUP($J116,BASES!$A$12:$A$392,BASES!$F$12:$F$392)</f>
        <v/>
      </c>
      <c r="P116" s="52" t="n"/>
      <c r="Q116" s="52" t="n"/>
    </row>
    <row r="117">
      <c r="A117" s="34">
        <f>IF($H117="UNIDADE CONSTRUTIVA",OFFSET(A117,-1,0)+1,LARGE(A$3:A116,1))</f>
        <v/>
      </c>
      <c r="B117" s="34">
        <f>IF(H117="UNIDADE CONSTRUTIVA",0,IF(H117="CÉLULA CONSTRUTIVA",OFFSET(B117,-1,0)+1,OFFSET(B117,-1,0)))</f>
        <v/>
      </c>
      <c r="C117" s="34">
        <f>IF(H117="CÉLULA CONSTRUTIVA",0,IF(H117="ETAPA",OFFSET(C117,-1,0)+1,OFFSET(C117,-1,0)))</f>
        <v/>
      </c>
      <c r="D117" s="35">
        <f>IF(H117="ETAPA",0,IF(H117="SUBETAPA",OFFSET(D117,-1,0)+1,OFFSET(D117,-1,0)))</f>
        <v/>
      </c>
      <c r="E117" s="35">
        <f>IF(H117="Subetapa",0,IF(H117="serviço",OFFSET(E117,-1,0)+1,OFFSET(E117,-1,0)))</f>
        <v/>
      </c>
      <c r="F117" s="1" t="n"/>
      <c r="G117" s="43" t="n"/>
      <c r="H117" s="44" t="inlineStr">
        <is>
          <t>CÉLULA CONSTRUTIVA</t>
        </is>
      </c>
      <c r="I117" s="45">
        <f>IF(H117="Unidade Construtiva",TEXT(A117,"00"),IF(H117="Célula Construtiva",TEXT(B117,"00"),IF(H117="Etapa",CONCATENATE(TEXT(B117,"00"),".",TEXT(C117,"000")),IF(H117="Subetapa",CONCATENATE(TEXT(B117,"00"),".",TEXT(C117,"000"),".",TEXT(D117,"000")),IF(H117="Serviço",CONCATENATE(TEXT(B117,"00"),".",TEXT(C117,"000"),".",TEXT(D117,"000"),".",TEXT(E117,"000")),"")))))</f>
        <v/>
      </c>
      <c r="J117" s="46" t="inlineStr">
        <is>
          <t>EQUIPAMENTOS</t>
        </is>
      </c>
      <c r="K117" s="48" t="n"/>
      <c r="L117" s="48" t="n"/>
      <c r="M117" s="48" t="n"/>
      <c r="N117" s="49">
        <f>IF(H117="Serviço",M117*L117,IF(H117="CÉLULA CONSTRUTIVA",SUMIFS($N$8:$N$442,$B$8:$B$442,B117,$H$8:$H$442,"Serviço"),IF(H117="ETAPA",SUMIFS($N$8:$N$442,$B$8:$B$442,B117,$C$8:$C$442,C117,$H$8:$H$442,"Serviço"),IF(H117="SUBETAPA",SUMIFS($N$8:$N$442,$B$8:$B$442,B117,$C$8:$C$442,C117,$D$8:$D$442,D117,$H$8:$H$442,"Serviço"),0))))</f>
        <v/>
      </c>
      <c r="O117" s="50" t="n"/>
      <c r="P117" s="1" t="n"/>
      <c r="Q117" s="1" t="n"/>
    </row>
    <row r="118">
      <c r="A118" s="34">
        <f>IF($H118="UNIDADE CONSTRUTIVA",OFFSET(A118,-1,0)+1,LARGE(A$3:A117,1))</f>
        <v/>
      </c>
      <c r="B118" s="34">
        <f>IF(H118="UNIDADE CONSTRUTIVA",0,IF(H118="CÉLULA CONSTRUTIVA",OFFSET(B118,-1,0)+1,OFFSET(B118,-1,0)))</f>
        <v/>
      </c>
      <c r="C118" s="34">
        <f>IF(H118="CÉLULA CONSTRUTIVA",0,IF(H118="ETAPA",OFFSET(C118,-1,0)+1,OFFSET(C118,-1,0)))</f>
        <v/>
      </c>
      <c r="D118" s="35">
        <f>IF(H118="ETAPA",0,IF(H118="SUBETAPA",OFFSET(D118,-1,0)+1,OFFSET(D118,-1,0)))</f>
        <v/>
      </c>
      <c r="E118" s="35">
        <f>IF(H118="Subetapa",0,IF(H118="serviço",OFFSET(E118,-1,0)+1,OFFSET(E118,-1,0)))</f>
        <v/>
      </c>
      <c r="F118" s="1" t="n"/>
      <c r="G118" s="43" t="n"/>
      <c r="H118" s="44" t="inlineStr">
        <is>
          <t>ETAPA</t>
        </is>
      </c>
      <c r="I118" s="45">
        <f>IF(H118="Unidade Construtiva",TEXT(A118,"00"),IF(H118="Célula Construtiva",TEXT(B118,"00"),IF(H118="Etapa",CONCATENATE(TEXT(B118,"00"),".",TEXT(C118,"000")),IF(H118="Subetapa",CONCATENATE(TEXT(B118,"00"),".",TEXT(C118,"000"),".",TEXT(D118,"000")),IF(H118="Serviço",CONCATENATE(TEXT(B118,"00"),".",TEXT(C118,"000"),".",TEXT(D118,"000"),".",TEXT(E118,"000")),"")))))</f>
        <v/>
      </c>
      <c r="J118" s="46" t="inlineStr">
        <is>
          <t>EQUIPAMENTOS</t>
        </is>
      </c>
      <c r="K118" s="48" t="n"/>
      <c r="L118" s="48" t="n"/>
      <c r="M118" s="48" t="n"/>
      <c r="N118" s="49">
        <f>IF(H118="Serviço",M118*L118,IF(H118="CÉLULA CONSTRUTIVA",SUMIFS($N$8:$N$442,$B$8:$B$442,B118,$H$8:$H$442,"Serviço"),IF(H118="ETAPA",SUMIFS($N$8:$N$442,$B$8:$B$442,B118,$C$8:$C$442,C118,$H$8:$H$442,"Serviço"),IF(H118="SUBETAPA",SUMIFS($N$8:$N$442,$B$8:$B$442,B118,$C$8:$C$442,C118,$D$8:$D$442,D118,$H$8:$H$442,"Serviço"),0))))</f>
        <v/>
      </c>
      <c r="O118" s="50" t="n"/>
      <c r="P118" s="1" t="n"/>
      <c r="Q118" s="1" t="n"/>
    </row>
    <row r="119">
      <c r="A119" s="34">
        <f>IF($H119="UNIDADE CONSTRUTIVA",OFFSET(A119,-1,0)+1,LARGE(A$3:A118,1))</f>
        <v/>
      </c>
      <c r="B119" s="34">
        <f>IF(H119="UNIDADE CONSTRUTIVA",0,IF(H119="CÉLULA CONSTRUTIVA",OFFSET(B119,-1,0)+1,OFFSET(B119,-1,0)))</f>
        <v/>
      </c>
      <c r="C119" s="34">
        <f>IF(H119="CÉLULA CONSTRUTIVA",0,IF(H119="ETAPA",OFFSET(C119,-1,0)+1,OFFSET(C119,-1,0)))</f>
        <v/>
      </c>
      <c r="D119" s="35">
        <f>IF(H119="ETAPA",0,IF(H119="SUBETAPA",OFFSET(D119,-1,0)+1,OFFSET(D119,-1,0)))</f>
        <v/>
      </c>
      <c r="E119" s="35">
        <f>IF(H119="Subetapa",0,IF(H119="serviço",OFFSET(E119,-1,0)+1,OFFSET(E119,-1,0)))</f>
        <v/>
      </c>
      <c r="F119" s="1" t="n"/>
      <c r="G119" s="43" t="n"/>
      <c r="H119" s="44" t="inlineStr">
        <is>
          <t>SUBETAPA</t>
        </is>
      </c>
      <c r="I119" s="45">
        <f>IF(H119="Unidade Construtiva",TEXT(A119,"00"),IF(H119="Célula Construtiva",TEXT(B119,"00"),IF(H119="Etapa",CONCATENATE(TEXT(B119,"00"),".",TEXT(C119,"000")),IF(H119="Subetapa",CONCATENATE(TEXT(B119,"00"),".",TEXT(C119,"000"),".",TEXT(D119,"000")),IF(H119="Serviço",CONCATENATE(TEXT(B119,"00"),".",TEXT(C119,"000"),".",TEXT(D119,"000"),".",TEXT(E119,"000")),"")))))</f>
        <v/>
      </c>
      <c r="J119" s="46" t="inlineStr">
        <is>
          <t>Equipamentos de carga e transporte</t>
        </is>
      </c>
      <c r="K119" s="48" t="n"/>
      <c r="L119" s="48" t="n"/>
      <c r="M119" s="48" t="n"/>
      <c r="N119" s="49">
        <f>IF(H119="Serviço",M119*L119,IF(H119="CÉLULA CONSTRUTIVA",SUMIFS($N$8:$N$442,$B$8:$B$442,B119,$H$8:$H$442,"Serviço"),IF(H119="ETAPA",SUMIFS($N$8:$N$442,$B$8:$B$442,B119,$C$8:$C$442,C119,$H$8:$H$442,"Serviço"),IF(H119="SUBETAPA",SUMIFS($N$8:$N$442,$B$8:$B$442,B119,$C$8:$C$442,C119,$D$8:$D$442,D119,$H$8:$H$442,"Serviço"),0))))</f>
        <v/>
      </c>
      <c r="O119" s="50" t="n"/>
      <c r="P119" s="1" t="n"/>
      <c r="Q119" s="1" t="n"/>
    </row>
    <row r="120">
      <c r="A120" s="34">
        <f>IF($H120="UNIDADE CONSTRUTIVA",OFFSET(A120,-1,0)+1,LARGE(A$3:A119,1))</f>
        <v/>
      </c>
      <c r="B120" s="34">
        <f>IF(H120="UNIDADE CONSTRUTIVA",0,IF(H120="CÉLULA CONSTRUTIVA",OFFSET(B120,-1,0)+1,OFFSET(B120,-1,0)))</f>
        <v/>
      </c>
      <c r="C120" s="34">
        <f>IF(H120="CÉLULA CONSTRUTIVA",0,IF(H120="ETAPA",OFFSET(C120,-1,0)+1,OFFSET(C120,-1,0)))</f>
        <v/>
      </c>
      <c r="D120" s="35">
        <f>IF(H120="ETAPA",0,IF(H120="SUBETAPA",OFFSET(D120,-1,0)+1,OFFSET(D120,-1,0)))</f>
        <v/>
      </c>
      <c r="E120" s="35">
        <f>IF(H120="Subetapa",0,IF(H120="serviço",OFFSET(E120,-1,0)+1,OFFSET(E120,-1,0)))</f>
        <v/>
      </c>
      <c r="F120" s="1" t="n"/>
      <c r="G120" s="43" t="n"/>
      <c r="H120" s="44" t="inlineStr">
        <is>
          <t>SERVIÇO</t>
        </is>
      </c>
      <c r="I120" s="45">
        <f>IF(H120="Unidade Construtiva",TEXT(A120,"00"),IF(H120="Célula Construtiva",TEXT(B120,"00"),IF(H120="Etapa",CONCATENATE(TEXT(B120,"00"),".",TEXT(C120,"000")),IF(H120="Subetapa",CONCATENATE(TEXT(B120,"00"),".",TEXT(C120,"000"),".",TEXT(D120,"000")),IF(H120="Serviço",CONCATENATE(TEXT(B120,"00"),".",TEXT(C120,"000"),".",TEXT(D120,"000"),".",TEXT(E120,"000")),"")))))</f>
        <v/>
      </c>
      <c r="J120" s="46" t="inlineStr">
        <is>
          <t>Manutenção Inicial Elevador cremalheira</t>
        </is>
      </c>
      <c r="K120" s="48">
        <f>_xlfn.XLOOKUP($J120,BASES!$A$12:$A$392,BASES!$C$12:$C$392)</f>
        <v/>
      </c>
      <c r="L120" s="48">
        <f>_xlfn.XLOOKUP($J120,BASES!$A$12:$A$392,BASES!$D$12:$D$392)</f>
        <v/>
      </c>
      <c r="M120" s="48" t="n">
        <v>75000</v>
      </c>
      <c r="N120" s="49">
        <f>IF(H120="Serviço",M120*L120,IF(H120="CÉLULA CONSTRUTIVA",SUMIFS($N$8:$N$422,$B$8:$B$422,B120,$H$8:$H$422,"Serviço"),IF(H120="ETAPA",SUMIFS($N$8:$N$422,$B$8:$B$422,B120,$C$8:$C$422,C120,$H$8:$H$422,"Serviço"),IF(H120="SUBETAPA",SUMIFS($N$8:$N$422,$B$8:$B$422,B120,$C$8:$C$422,C120,$D$8:$D$422,D120,$H$8:$H$422,"Serviço"),0))))</f>
        <v/>
      </c>
      <c r="O120" s="48">
        <f>_xlfn.XLOOKUP($J120,BASES!$A$12:$A$392,BASES!$F$12:$F$392)</f>
        <v/>
      </c>
      <c r="P120" s="1" t="n"/>
      <c r="Q120" s="1" t="n"/>
    </row>
    <row r="121">
      <c r="A121" s="34">
        <f>IF($H121="UNIDADE CONSTRUTIVA",OFFSET(A121,-1,0)+1,LARGE(A$3:A120,1))</f>
        <v/>
      </c>
      <c r="B121" s="34">
        <f>IF(H121="UNIDADE CONSTRUTIVA",0,IF(H121="CÉLULA CONSTRUTIVA",OFFSET(B121,-1,0)+1,OFFSET(B121,-1,0)))</f>
        <v/>
      </c>
      <c r="C121" s="34">
        <f>IF(H121="CÉLULA CONSTRUTIVA",0,IF(H121="ETAPA",OFFSET(C121,-1,0)+1,OFFSET(C121,-1,0)))</f>
        <v/>
      </c>
      <c r="D121" s="35">
        <f>IF(H121="ETAPA",0,IF(H121="SUBETAPA",OFFSET(D121,-1,0)+1,OFFSET(D121,-1,0)))</f>
        <v/>
      </c>
      <c r="E121" s="35">
        <f>IF(H121="Subetapa",0,IF(H121="serviço",OFFSET(E121,-1,0)+1,OFFSET(E121,-1,0)))</f>
        <v/>
      </c>
      <c r="F121" s="1" t="n"/>
      <c r="G121" s="43" t="n"/>
      <c r="H121" s="44" t="inlineStr">
        <is>
          <t>SERVIÇO</t>
        </is>
      </c>
      <c r="I121" s="45">
        <f>IF(H121="Unidade Construtiva",TEXT(A121,"00"),IF(H121="Célula Construtiva",TEXT(B121,"00"),IF(H121="Etapa",CONCATENATE(TEXT(B121,"00"),".",TEXT(C121,"000")),IF(H121="Subetapa",CONCATENATE(TEXT(B121,"00"),".",TEXT(C121,"000"),".",TEXT(D121,"000")),IF(H121="Serviço",CONCATENATE(TEXT(B121,"00"),".",TEXT(C121,"000"),".",TEXT(D121,"000"),".",TEXT(E121,"000")),"")))))</f>
        <v/>
      </c>
      <c r="J121" s="46" t="inlineStr">
        <is>
          <t>Manutenção Periódica Elevador cremalheira</t>
        </is>
      </c>
      <c r="K121" s="48">
        <f>_xlfn.XLOOKUP($J121,BASES!$A$12:$A$392,BASES!$C$12:$C$392)</f>
        <v/>
      </c>
      <c r="L121" s="48" t="n">
        <v>20</v>
      </c>
      <c r="M121" s="48" t="n">
        <v>860</v>
      </c>
      <c r="N121" s="49">
        <f>IF(H121="Serviço",M121*L121,IF(H121="CÉLULA CONSTRUTIVA",SUMIFS($N$8:$N$422,$B$8:$B$422,B121,$H$8:$H$422,"Serviço"),IF(H121="ETAPA",SUMIFS($N$8:$N$422,$B$8:$B$422,B121,$C$8:$C$422,C121,$H$8:$H$422,"Serviço"),IF(H121="SUBETAPA",SUMIFS($N$8:$N$422,$B$8:$B$422,B121,$C$8:$C$422,C121,$D$8:$D$422,D121,$H$8:$H$422,"Serviço"),0))))</f>
        <v/>
      </c>
      <c r="O121" s="48">
        <f>_xlfn.XLOOKUP($J121,BASES!$A$12:$A$392,BASES!$F$12:$F$392)</f>
        <v/>
      </c>
      <c r="P121" s="1" t="n"/>
      <c r="Q121" s="1" t="n"/>
    </row>
    <row r="122">
      <c r="A122" s="34">
        <f>IF($H122="UNIDADE CONSTRUTIVA",OFFSET(A122,-1,0)+1,LARGE(A$3:A121,1))</f>
        <v/>
      </c>
      <c r="B122" s="34">
        <f>IF(H122="UNIDADE CONSTRUTIVA",0,IF(H122="CÉLULA CONSTRUTIVA",OFFSET(B122,-1,0)+1,OFFSET(B122,-1,0)))</f>
        <v/>
      </c>
      <c r="C122" s="34">
        <f>IF(H122="CÉLULA CONSTRUTIVA",0,IF(H122="ETAPA",OFFSET(C122,-1,0)+1,OFFSET(C122,-1,0)))</f>
        <v/>
      </c>
      <c r="D122" s="35">
        <f>IF(H122="ETAPA",0,IF(H122="SUBETAPA",OFFSET(D122,-1,0)+1,OFFSET(D122,-1,0)))</f>
        <v/>
      </c>
      <c r="E122" s="35">
        <f>IF(H122="Subetapa",0,IF(H122="serviço",OFFSET(E122,-1,0)+1,OFFSET(E122,-1,0)))</f>
        <v/>
      </c>
      <c r="F122" s="1" t="n"/>
      <c r="G122" s="43" t="n"/>
      <c r="H122" s="44" t="inlineStr">
        <is>
          <t>SERVIÇO</t>
        </is>
      </c>
      <c r="I122" s="45">
        <f>IF(H122="Unidade Construtiva",TEXT(A122,"00"),IF(H122="Célula Construtiva",TEXT(B122,"00"),IF(H122="Etapa",CONCATENATE(TEXT(B122,"00"),".",TEXT(C122,"000")),IF(H122="Subetapa",CONCATENATE(TEXT(B122,"00"),".",TEXT(C122,"000"),".",TEXT(D122,"000")),IF(H122="Serviço",CONCATENATE(TEXT(B122,"00"),".",TEXT(C122,"000"),".",TEXT(D122,"000"),".",TEXT(E122,"000")),"")))))</f>
        <v/>
      </c>
      <c r="J122" s="46" t="inlineStr">
        <is>
          <t>Montagem e Desmontagem Elevador cremalheira</t>
        </is>
      </c>
      <c r="K122" s="48">
        <f>_xlfn.XLOOKUP($J122,BASES!$A$12:$A$392,BASES!$C$12:$C$392)</f>
        <v/>
      </c>
      <c r="L122" s="48">
        <f>_xlfn.XLOOKUP($J122,BASES!$A$12:$A$392,BASES!$D$12:$D$392)</f>
        <v/>
      </c>
      <c r="M122" s="48" t="n">
        <v>32200</v>
      </c>
      <c r="N122" s="49">
        <f>IF(H122="Serviço",M122*L122,IF(H122="CÉLULA CONSTRUTIVA",SUMIFS($N$8:$N$422,$B$8:$B$422,B122,$H$8:$H$422,"Serviço"),IF(H122="ETAPA",SUMIFS($N$8:$N$422,$B$8:$B$422,B122,$C$8:$C$422,C122,$H$8:$H$422,"Serviço"),IF(H122="SUBETAPA",SUMIFS($N$8:$N$422,$B$8:$B$422,B122,$C$8:$C$422,C122,$D$8:$D$422,D122,$H$8:$H$422,"Serviço"),0))))</f>
        <v/>
      </c>
      <c r="O122" s="48">
        <f>_xlfn.XLOOKUP($J122,BASES!$A$12:$A$392,BASES!$F$12:$F$392)</f>
        <v/>
      </c>
      <c r="P122" s="1" t="n"/>
      <c r="Q122" s="1" t="n"/>
    </row>
    <row r="123">
      <c r="A123" s="34">
        <f>IF($H123="UNIDADE CONSTRUTIVA",OFFSET(A123,-1,0)+1,LARGE(A$3:A122,1))</f>
        <v/>
      </c>
      <c r="B123" s="34">
        <f>IF(H123="UNIDADE CONSTRUTIVA",0,IF(H123="CÉLULA CONSTRUTIVA",OFFSET(B123,-1,0)+1,OFFSET(B123,-1,0)))</f>
        <v/>
      </c>
      <c r="C123" s="34">
        <f>IF(H123="CÉLULA CONSTRUTIVA",0,IF(H123="ETAPA",OFFSET(C123,-1,0)+1,OFFSET(C123,-1,0)))</f>
        <v/>
      </c>
      <c r="D123" s="35">
        <f>IF(H123="ETAPA",0,IF(H123="SUBETAPA",OFFSET(D123,-1,0)+1,OFFSET(D123,-1,0)))</f>
        <v/>
      </c>
      <c r="E123" s="35">
        <f>IF(H123="Subetapa",0,IF(H123="serviço",OFFSET(E123,-1,0)+1,OFFSET(E123,-1,0)))</f>
        <v/>
      </c>
      <c r="F123" s="1" t="n"/>
      <c r="G123" s="43" t="n"/>
      <c r="H123" s="44" t="inlineStr">
        <is>
          <t>SERVIÇO</t>
        </is>
      </c>
      <c r="I123" s="45">
        <f>IF(H123="Unidade Construtiva",TEXT(A123,"00"),IF(H123="Célula Construtiva",TEXT(B123,"00"),IF(H123="Etapa",CONCATENATE(TEXT(B123,"00"),".",TEXT(C123,"000")),IF(H123="Subetapa",CONCATENATE(TEXT(B123,"00"),".",TEXT(C123,"000"),".",TEXT(D123,"000")),IF(H123="Serviço",CONCATENATE(TEXT(B123,"00"),".",TEXT(C123,"000"),".",TEXT(D123,"000"),".",TEXT(E123,"000")),"")))))</f>
        <v/>
      </c>
      <c r="J123" s="46" t="inlineStr">
        <is>
          <t>Mobilização e Desmobilização Elevador cremalheira</t>
        </is>
      </c>
      <c r="K123" s="48">
        <f>_xlfn.XLOOKUP($J123,BASES!$A$12:$A$392,BASES!$C$12:$C$392)</f>
        <v/>
      </c>
      <c r="L123" s="48">
        <f>_xlfn.XLOOKUP($J123,BASES!$A$12:$A$392,BASES!$D$12:$D$392)</f>
        <v/>
      </c>
      <c r="M123" s="48" t="n">
        <v>9500</v>
      </c>
      <c r="N123" s="49">
        <f>IF(H123="Serviço",M123*L123,IF(H123="CÉLULA CONSTRUTIVA",SUMIFS($N$8:$N$422,$B$8:$B$422,B123,$H$8:$H$422,"Serviço"),IF(H123="ETAPA",SUMIFS($N$8:$N$422,$B$8:$B$422,B123,$C$8:$C$422,C123,$H$8:$H$422,"Serviço"),IF(H123="SUBETAPA",SUMIFS($N$8:$N$422,$B$8:$B$422,B123,$C$8:$C$422,C123,$D$8:$D$422,D123,$H$8:$H$422,"Serviço"),0))))</f>
        <v/>
      </c>
      <c r="O123" s="48">
        <f>_xlfn.XLOOKUP($J123,BASES!$A$12:$A$392,BASES!$F$12:$F$392)</f>
        <v/>
      </c>
      <c r="P123" s="1" t="n"/>
      <c r="Q123" s="1" t="n"/>
    </row>
    <row r="124">
      <c r="A124" s="34">
        <f>IF($H124="UNIDADE CONSTRUTIVA",OFFSET(A124,-1,0)+1,LARGE(A$3:A123,1))</f>
        <v/>
      </c>
      <c r="B124" s="34">
        <f>IF(H124="UNIDADE CONSTRUTIVA",0,IF(H124="CÉLULA CONSTRUTIVA",OFFSET(B124,-1,0)+1,OFFSET(B124,-1,0)))</f>
        <v/>
      </c>
      <c r="C124" s="34">
        <f>IF(H124="CÉLULA CONSTRUTIVA",0,IF(H124="ETAPA",OFFSET(C124,-1,0)+1,OFFSET(C124,-1,0)))</f>
        <v/>
      </c>
      <c r="D124" s="35">
        <f>IF(H124="ETAPA",0,IF(H124="SUBETAPA",OFFSET(D124,-1,0)+1,OFFSET(D124,-1,0)))</f>
        <v/>
      </c>
      <c r="E124" s="35">
        <f>IF(H124="Subetapa",0,IF(H124="serviço",OFFSET(E124,-1,0)+1,OFFSET(E124,-1,0)))</f>
        <v/>
      </c>
      <c r="F124" s="1" t="n"/>
      <c r="G124" s="43" t="n"/>
      <c r="H124" s="44" t="inlineStr">
        <is>
          <t>SERVIÇO</t>
        </is>
      </c>
      <c r="I124" s="45">
        <f>IF(H124="Unidade Construtiva",TEXT(A124,"00"),IF(H124="Célula Construtiva",TEXT(B124,"00"),IF(H124="Etapa",CONCATENATE(TEXT(B124,"00"),".",TEXT(C124,"000")),IF(H124="Subetapa",CONCATENATE(TEXT(B124,"00"),".",TEXT(C124,"000"),".",TEXT(D124,"000")),IF(H124="Serviço",CONCATENATE(TEXT(B124,"00"),".",TEXT(C124,"000"),".",TEXT(D124,"000"),".",TEXT(E124,"000")),"")))))</f>
        <v/>
      </c>
      <c r="J124" s="46" t="inlineStr">
        <is>
          <t>Manutenção Inicial Mini Grua</t>
        </is>
      </c>
      <c r="K124" s="48">
        <f>_xlfn.XLOOKUP($J124,BASES!$A$12:$A$392,BASES!$C$12:$C$392)</f>
        <v/>
      </c>
      <c r="L124" s="48">
        <f>_xlfn.XLOOKUP($J124,BASES!$A$12:$A$392,BASES!$D$12:$D$392)</f>
        <v/>
      </c>
      <c r="M124" s="48" t="n">
        <v>52000</v>
      </c>
      <c r="N124" s="49">
        <f>IF(H124="Serviço",M124*L124,IF(H124="CÉLULA CONSTRUTIVA",SUMIFS($N$8:$N$422,$B$8:$B$422,B124,$H$8:$H$422,"Serviço"),IF(H124="ETAPA",SUMIFS($N$8:$N$422,$B$8:$B$422,B124,$C$8:$C$422,C124,$H$8:$H$422,"Serviço"),IF(H124="SUBETAPA",SUMIFS($N$8:$N$422,$B$8:$B$422,B124,$C$8:$C$422,C124,$D$8:$D$422,D124,$H$8:$H$422,"Serviço"),0))))</f>
        <v/>
      </c>
      <c r="O124" s="48">
        <f>_xlfn.XLOOKUP($J124,BASES!$A$12:$A$392,BASES!$F$12:$F$392)</f>
        <v/>
      </c>
      <c r="P124" s="1" t="n"/>
      <c r="Q124" s="1" t="n"/>
    </row>
    <row r="125">
      <c r="A125" s="34">
        <f>IF($H125="UNIDADE CONSTRUTIVA",OFFSET(A125,-1,0)+1,LARGE(A$3:A124,1))</f>
        <v/>
      </c>
      <c r="B125" s="34">
        <f>IF(H125="UNIDADE CONSTRUTIVA",0,IF(H125="CÉLULA CONSTRUTIVA",OFFSET(B125,-1,0)+1,OFFSET(B125,-1,0)))</f>
        <v/>
      </c>
      <c r="C125" s="34">
        <f>IF(H125="CÉLULA CONSTRUTIVA",0,IF(H125="ETAPA",OFFSET(C125,-1,0)+1,OFFSET(C125,-1,0)))</f>
        <v/>
      </c>
      <c r="D125" s="35">
        <f>IF(H125="ETAPA",0,IF(H125="SUBETAPA",OFFSET(D125,-1,0)+1,OFFSET(D125,-1,0)))</f>
        <v/>
      </c>
      <c r="E125" s="35">
        <f>IF(H125="Subetapa",0,IF(H125="serviço",OFFSET(E125,-1,0)+1,OFFSET(E125,-1,0)))</f>
        <v/>
      </c>
      <c r="F125" s="1" t="n"/>
      <c r="G125" s="43" t="n"/>
      <c r="H125" s="44" t="inlineStr">
        <is>
          <t>SERVIÇO</t>
        </is>
      </c>
      <c r="I125" s="45">
        <f>IF(H125="Unidade Construtiva",TEXT(A125,"00"),IF(H125="Célula Construtiva",TEXT(B125,"00"),IF(H125="Etapa",CONCATENATE(TEXT(B125,"00"),".",TEXT(C125,"000")),IF(H125="Subetapa",CONCATENATE(TEXT(B125,"00"),".",TEXT(C125,"000"),".",TEXT(D125,"000")),IF(H125="Serviço",CONCATENATE(TEXT(B125,"00"),".",TEXT(C125,"000"),".",TEXT(D125,"000"),".",TEXT(E125,"000")),"")))))</f>
        <v/>
      </c>
      <c r="J125" s="46" t="inlineStr">
        <is>
          <t>Manutenção Periódica Mini Grua</t>
        </is>
      </c>
      <c r="K125" s="48">
        <f>_xlfn.XLOOKUP($J125,BASES!$A$12:$A$392,BASES!$C$12:$C$392)</f>
        <v/>
      </c>
      <c r="L125" s="48" t="n">
        <v>17</v>
      </c>
      <c r="M125" s="48" t="n">
        <v>800</v>
      </c>
      <c r="N125" s="49">
        <f>IF(H125="Serviço",M125*L125,IF(H125="CÉLULA CONSTRUTIVA",SUMIFS($N$8:$N$422,$B$8:$B$422,B125,$H$8:$H$422,"Serviço"),IF(H125="ETAPA",SUMIFS($N$8:$N$422,$B$8:$B$422,B125,$C$8:$C$422,C125,$H$8:$H$422,"Serviço"),IF(H125="SUBETAPA",SUMIFS($N$8:$N$422,$B$8:$B$422,B125,$C$8:$C$422,C125,$D$8:$D$422,D125,$H$8:$H$422,"Serviço"),0))))</f>
        <v/>
      </c>
      <c r="O125" s="48">
        <f>_xlfn.XLOOKUP($J125,BASES!$A$12:$A$392,BASES!$F$12:$F$392)</f>
        <v/>
      </c>
      <c r="P125" s="1" t="n"/>
      <c r="Q125" s="1" t="n"/>
    </row>
    <row r="126">
      <c r="A126" s="34">
        <f>IF($H126="UNIDADE CONSTRUTIVA",OFFSET(A126,-1,0)+1,LARGE(A$3:A125,1))</f>
        <v/>
      </c>
      <c r="B126" s="34">
        <f>IF(H126="UNIDADE CONSTRUTIVA",0,IF(H126="CÉLULA CONSTRUTIVA",OFFSET(B126,-1,0)+1,OFFSET(B126,-1,0)))</f>
        <v/>
      </c>
      <c r="C126" s="34">
        <f>IF(H126="CÉLULA CONSTRUTIVA",0,IF(H126="ETAPA",OFFSET(C126,-1,0)+1,OFFSET(C126,-1,0)))</f>
        <v/>
      </c>
      <c r="D126" s="35">
        <f>IF(H126="ETAPA",0,IF(H126="SUBETAPA",OFFSET(D126,-1,0)+1,OFFSET(D126,-1,0)))</f>
        <v/>
      </c>
      <c r="E126" s="35">
        <f>IF(H126="Subetapa",0,IF(H126="serviço",OFFSET(E126,-1,0)+1,OFFSET(E126,-1,0)))</f>
        <v/>
      </c>
      <c r="F126" s="1" t="n"/>
      <c r="G126" s="43" t="n"/>
      <c r="H126" s="44" t="inlineStr">
        <is>
          <t>SERVIÇO</t>
        </is>
      </c>
      <c r="I126" s="45">
        <f>IF(H126="Unidade Construtiva",TEXT(A126,"00"),IF(H126="Célula Construtiva",TEXT(B126,"00"),IF(H126="Etapa",CONCATENATE(TEXT(B126,"00"),".",TEXT(C126,"000")),IF(H126="Subetapa",CONCATENATE(TEXT(B126,"00"),".",TEXT(C126,"000"),".",TEXT(D126,"000")),IF(H126="Serviço",CONCATENATE(TEXT(B126,"00"),".",TEXT(C126,"000"),".",TEXT(D126,"000"),".",TEXT(E126,"000")),"")))))</f>
        <v/>
      </c>
      <c r="J126" s="46" t="inlineStr">
        <is>
          <t>Montagem e Desmontagem Mini Grua</t>
        </is>
      </c>
      <c r="K126" s="48">
        <f>_xlfn.XLOOKUP($J126,BASES!$A$12:$A$392,BASES!$C$12:$C$392)</f>
        <v/>
      </c>
      <c r="L126" s="48">
        <f>_xlfn.XLOOKUP($J126,BASES!$A$12:$A$392,BASES!$D$12:$D$392)</f>
        <v/>
      </c>
      <c r="M126" s="48" t="n">
        <v>2800</v>
      </c>
      <c r="N126" s="49">
        <f>IF(H126="Serviço",M126*L126,IF(H126="CÉLULA CONSTRUTIVA",SUMIFS($N$8:$N$422,$B$8:$B$422,B126,$H$8:$H$422,"Serviço"),IF(H126="ETAPA",SUMIFS($N$8:$N$422,$B$8:$B$422,B126,$C$8:$C$422,C126,$H$8:$H$422,"Serviço"),IF(H126="SUBETAPA",SUMIFS($N$8:$N$422,$B$8:$B$422,B126,$C$8:$C$422,C126,$D$8:$D$422,D126,$H$8:$H$422,"Serviço"),0))))</f>
        <v/>
      </c>
      <c r="O126" s="48">
        <f>_xlfn.XLOOKUP($J126,BASES!$A$12:$A$392,BASES!$F$12:$F$392)</f>
        <v/>
      </c>
      <c r="P126" s="1" t="n"/>
      <c r="Q126" s="1" t="n"/>
    </row>
    <row r="127">
      <c r="A127" s="34">
        <f>IF($H127="UNIDADE CONSTRUTIVA",OFFSET(A127,-1,0)+1,LARGE(A$3:A126,1))</f>
        <v/>
      </c>
      <c r="B127" s="34">
        <f>IF(H127="UNIDADE CONSTRUTIVA",0,IF(H127="CÉLULA CONSTRUTIVA",OFFSET(B127,-1,0)+1,OFFSET(B127,-1,0)))</f>
        <v/>
      </c>
      <c r="C127" s="34">
        <f>IF(H127="CÉLULA CONSTRUTIVA",0,IF(H127="ETAPA",OFFSET(C127,-1,0)+1,OFFSET(C127,-1,0)))</f>
        <v/>
      </c>
      <c r="D127" s="35">
        <f>IF(H127="ETAPA",0,IF(H127="SUBETAPA",OFFSET(D127,-1,0)+1,OFFSET(D127,-1,0)))</f>
        <v/>
      </c>
      <c r="E127" s="35">
        <f>IF(H127="Subetapa",0,IF(H127="serviço",OFFSET(E127,-1,0)+1,OFFSET(E127,-1,0)))</f>
        <v/>
      </c>
      <c r="F127" s="1" t="n"/>
      <c r="G127" s="43" t="n"/>
      <c r="H127" s="44" t="inlineStr">
        <is>
          <t>SERVIÇO</t>
        </is>
      </c>
      <c r="I127" s="45">
        <f>IF(H127="Unidade Construtiva",TEXT(A127,"00"),IF(H127="Célula Construtiva",TEXT(B127,"00"),IF(H127="Etapa",CONCATENATE(TEXT(B127,"00"),".",TEXT(C127,"000")),IF(H127="Subetapa",CONCATENATE(TEXT(B127,"00"),".",TEXT(C127,"000"),".",TEXT(D127,"000")),IF(H127="Serviço",CONCATENATE(TEXT(B127,"00"),".",TEXT(C127,"000"),".",TEXT(D127,"000"),".",TEXT(E127,"000")),"")))))</f>
        <v/>
      </c>
      <c r="J127" s="46" t="inlineStr">
        <is>
          <t>Mobilização e Desmobilização Mini Grua</t>
        </is>
      </c>
      <c r="K127" s="48">
        <f>_xlfn.XLOOKUP($J127,BASES!$A$12:$A$392,BASES!$C$12:$C$392)</f>
        <v/>
      </c>
      <c r="L127" s="48">
        <f>_xlfn.XLOOKUP($J127,BASES!$A$12:$A$392,BASES!$D$12:$D$392)</f>
        <v/>
      </c>
      <c r="M127" s="48" t="n">
        <v>32800</v>
      </c>
      <c r="N127" s="49">
        <f>IF(H127="Serviço",M127*L127,IF(H127="CÉLULA CONSTRUTIVA",SUMIFS($N$8:$N$422,$B$8:$B$422,B127,$H$8:$H$422,"Serviço"),IF(H127="ETAPA",SUMIFS($N$8:$N$422,$B$8:$B$422,B127,$C$8:$C$422,C127,$H$8:$H$422,"Serviço"),IF(H127="SUBETAPA",SUMIFS($N$8:$N$422,$B$8:$B$422,B127,$C$8:$C$422,C127,$D$8:$D$422,D127,$H$8:$H$422,"Serviço"),0))))</f>
        <v/>
      </c>
      <c r="O127" s="48">
        <f>_xlfn.XLOOKUP($J127,BASES!$A$12:$A$392,BASES!$F$12:$F$392)</f>
        <v/>
      </c>
      <c r="P127" s="1" t="n"/>
      <c r="Q127" s="1" t="n"/>
    </row>
    <row r="128">
      <c r="A128" s="34">
        <f>IF($H128="UNIDADE CONSTRUTIVA",OFFSET(A128,-1,0)+1,LARGE(A$3:A127,1))</f>
        <v/>
      </c>
      <c r="B128" s="34">
        <f>IF(H128="UNIDADE CONSTRUTIVA",0,IF(H128="CÉLULA CONSTRUTIVA",OFFSET(B128,-1,0)+1,OFFSET(B128,-1,0)))</f>
        <v/>
      </c>
      <c r="C128" s="34">
        <f>IF(H128="CÉLULA CONSTRUTIVA",0,IF(H128="ETAPA",OFFSET(C128,-1,0)+1,OFFSET(C128,-1,0)))</f>
        <v/>
      </c>
      <c r="D128" s="35">
        <f>IF(H128="ETAPA",0,IF(H128="SUBETAPA",OFFSET(D128,-1,0)+1,OFFSET(D128,-1,0)))</f>
        <v/>
      </c>
      <c r="E128" s="35">
        <f>IF(H128="Subetapa",0,IF(H128="serviço",OFFSET(E128,-1,0)+1,OFFSET(E128,-1,0)))</f>
        <v/>
      </c>
      <c r="F128" s="1" t="n"/>
      <c r="G128" s="43" t="n"/>
      <c r="H128" s="44" t="inlineStr">
        <is>
          <t>SERVIÇO</t>
        </is>
      </c>
      <c r="I128" s="45">
        <f>IF(H128="Unidade Construtiva",TEXT(A128,"00"),IF(H128="Célula Construtiva",TEXT(B128,"00"),IF(H128="Etapa",CONCATENATE(TEXT(B128,"00"),".",TEXT(C128,"000")),IF(H128="Subetapa",CONCATENATE(TEXT(B128,"00"),".",TEXT(C128,"000"),".",TEXT(D128,"000")),IF(H128="Serviço",CONCATENATE(TEXT(B128,"00"),".",TEXT(C128,"000"),".",TEXT(D128,"000"),".",TEXT(E128,"000")),"")))))</f>
        <v/>
      </c>
      <c r="J128" s="46" t="inlineStr">
        <is>
          <t>Aquisição Guincho de coluna</t>
        </is>
      </c>
      <c r="K128" s="48">
        <f>_xlfn.XLOOKUP($J128,BASES!$A$12:$A$392,BASES!$C$12:$C$392)</f>
        <v/>
      </c>
      <c r="L128" s="48">
        <f>_xlfn.XLOOKUP($J128,BASES!$A$12:$A$392,BASES!$D$12:$D$392)</f>
        <v/>
      </c>
      <c r="M128" s="48" t="n">
        <v>1600</v>
      </c>
      <c r="N128" s="49">
        <f>IF(H128="Serviço",M128*L128,IF(H128="CÉLULA CONSTRUTIVA",SUMIFS($N$8:$N$422,$B$8:$B$422,B128,$H$8:$H$422,"Serviço"),IF(H128="ETAPA",SUMIFS($N$8:$N$422,$B$8:$B$422,B128,$C$8:$C$422,C128,$H$8:$H$422,"Serviço"),IF(H128="SUBETAPA",SUMIFS($N$8:$N$422,$B$8:$B$422,B128,$C$8:$C$422,C128,$D$8:$D$422,D128,$H$8:$H$422,"Serviço"),0))))</f>
        <v/>
      </c>
      <c r="O128" s="48">
        <f>_xlfn.XLOOKUP($J128,BASES!$A$12:$A$392,BASES!$F$12:$F$392)</f>
        <v/>
      </c>
      <c r="P128" s="1" t="n"/>
      <c r="Q128" s="1" t="n"/>
    </row>
    <row r="129">
      <c r="A129" s="34">
        <f>IF($H129="UNIDADE CONSTRUTIVA",OFFSET(A129,-1,0)+1,LARGE(A$3:A128,1))</f>
        <v/>
      </c>
      <c r="B129" s="34">
        <f>IF(H129="UNIDADE CONSTRUTIVA",0,IF(H129="CÉLULA CONSTRUTIVA",OFFSET(B129,-1,0)+1,OFFSET(B129,-1,0)))</f>
        <v/>
      </c>
      <c r="C129" s="34">
        <f>IF(H129="CÉLULA CONSTRUTIVA",0,IF(H129="ETAPA",OFFSET(C129,-1,0)+1,OFFSET(C129,-1,0)))</f>
        <v/>
      </c>
      <c r="D129" s="35">
        <f>IF(H129="ETAPA",0,IF(H129="SUBETAPA",OFFSET(D129,-1,0)+1,OFFSET(D129,-1,0)))</f>
        <v/>
      </c>
      <c r="E129" s="35">
        <f>IF(H129="Subetapa",0,IF(H129="serviço",OFFSET(E129,-1,0)+1,OFFSET(E129,-1,0)))</f>
        <v/>
      </c>
      <c r="F129" s="1" t="n"/>
      <c r="G129" s="43" t="n"/>
      <c r="H129" s="44" t="inlineStr">
        <is>
          <t>SERVIÇO</t>
        </is>
      </c>
      <c r="I129" s="45">
        <f>IF(H129="Unidade Construtiva",TEXT(A129,"00"),IF(H129="Célula Construtiva",TEXT(B129,"00"),IF(H129="Etapa",CONCATENATE(TEXT(B129,"00"),".",TEXT(C129,"000")),IF(H129="Subetapa",CONCATENATE(TEXT(B129,"00"),".",TEXT(C129,"000"),".",TEXT(D129,"000")),IF(H129="Serviço",CONCATENATE(TEXT(B129,"00"),".",TEXT(C129,"000"),".",TEXT(D129,"000"),".",TEXT(E129,"000")),"")))))</f>
        <v/>
      </c>
      <c r="J129" s="46" t="inlineStr">
        <is>
          <t>Manutenção Periódica Guincho de coluna</t>
        </is>
      </c>
      <c r="K129" s="48">
        <f>_xlfn.XLOOKUP($J129,BASES!$A$12:$A$392,BASES!$C$12:$C$392)</f>
        <v/>
      </c>
      <c r="L129" s="48" t="n">
        <v>17</v>
      </c>
      <c r="M129" s="48" t="n">
        <v>350</v>
      </c>
      <c r="N129" s="49">
        <f>IF(H129="Serviço",M129*L129,IF(H129="CÉLULA CONSTRUTIVA",SUMIFS($N$8:$N$422,$B$8:$B$422,B129,$H$8:$H$422,"Serviço"),IF(H129="ETAPA",SUMIFS($N$8:$N$422,$B$8:$B$422,B129,$C$8:$C$422,C129,$H$8:$H$422,"Serviço"),IF(H129="SUBETAPA",SUMIFS($N$8:$N$422,$B$8:$B$422,B129,$C$8:$C$422,C129,$D$8:$D$422,D129,$H$8:$H$422,"Serviço"),0))))</f>
        <v/>
      </c>
      <c r="O129" s="48">
        <f>_xlfn.XLOOKUP($J129,BASES!$A$12:$A$392,BASES!$F$12:$F$392)</f>
        <v/>
      </c>
      <c r="P129" s="1" t="n"/>
      <c r="Q129" s="1" t="n"/>
    </row>
    <row r="130">
      <c r="A130" s="34">
        <f>IF($H130="UNIDADE CONSTRUTIVA",OFFSET(A130,-1,0)+1,LARGE(A$3:A129,1))</f>
        <v/>
      </c>
      <c r="B130" s="34">
        <f>IF(H130="UNIDADE CONSTRUTIVA",0,IF(H130="CÉLULA CONSTRUTIVA",OFFSET(B130,-1,0)+1,OFFSET(B130,-1,0)))</f>
        <v/>
      </c>
      <c r="C130" s="34">
        <f>IF(H130="CÉLULA CONSTRUTIVA",0,IF(H130="ETAPA",OFFSET(C130,-1,0)+1,OFFSET(C130,-1,0)))</f>
        <v/>
      </c>
      <c r="D130" s="35">
        <f>IF(H130="ETAPA",0,IF(H130="SUBETAPA",OFFSET(D130,-1,0)+1,OFFSET(D130,-1,0)))</f>
        <v/>
      </c>
      <c r="E130" s="35">
        <f>IF(H130="Subetapa",0,IF(H130="serviço",OFFSET(E130,-1,0)+1,OFFSET(E130,-1,0)))</f>
        <v/>
      </c>
      <c r="F130" s="1" t="n"/>
      <c r="G130" s="43" t="n"/>
      <c r="H130" s="44" t="inlineStr">
        <is>
          <t>SERVIÇO</t>
        </is>
      </c>
      <c r="I130" s="45">
        <f>IF(H130="Unidade Construtiva",TEXT(A130,"00"),IF(H130="Célula Construtiva",TEXT(B130,"00"),IF(H130="Etapa",CONCATENATE(TEXT(B130,"00"),".",TEXT(C130,"000")),IF(H130="Subetapa",CONCATENATE(TEXT(B130,"00"),".",TEXT(C130,"000"),".",TEXT(D130,"000")),IF(H130="Serviço",CONCATENATE(TEXT(B130,"00"),".",TEXT(C130,"000"),".",TEXT(D130,"000"),".",TEXT(E130,"000")),"")))))</f>
        <v/>
      </c>
      <c r="J130" s="46" t="inlineStr">
        <is>
          <t>Montagem e Desmontagem Guincho de coluna</t>
        </is>
      </c>
      <c r="K130" s="48">
        <f>_xlfn.XLOOKUP($J130,BASES!$A$12:$A$392,BASES!$C$12:$C$392)</f>
        <v/>
      </c>
      <c r="L130" s="48">
        <f>_xlfn.XLOOKUP($J130,BASES!$A$12:$A$392,BASES!$D$12:$D$392)</f>
        <v/>
      </c>
      <c r="M130" s="48" t="n">
        <v>950</v>
      </c>
      <c r="N130" s="49">
        <f>IF(H130="Serviço",M130*L130,IF(H130="CÉLULA CONSTRUTIVA",SUMIFS($N$8:$N$422,$B$8:$B$422,B130,$H$8:$H$422,"Serviço"),IF(H130="ETAPA",SUMIFS($N$8:$N$422,$B$8:$B$422,B130,$C$8:$C$422,C130,$H$8:$H$422,"Serviço"),IF(H130="SUBETAPA",SUMIFS($N$8:$N$422,$B$8:$B$422,B130,$C$8:$C$422,C130,$D$8:$D$422,D130,$H$8:$H$422,"Serviço"),0))))</f>
        <v/>
      </c>
      <c r="O130" s="48">
        <f>_xlfn.XLOOKUP($J130,BASES!$A$12:$A$392,BASES!$F$12:$F$392)</f>
        <v/>
      </c>
      <c r="P130" s="1" t="n"/>
      <c r="Q130" s="1" t="n"/>
    </row>
    <row r="131">
      <c r="A131" s="34">
        <f>IF($H131="UNIDADE CONSTRUTIVA",OFFSET(A131,-1,0)+1,LARGE(A$3:A130,1))</f>
        <v/>
      </c>
      <c r="B131" s="34">
        <f>IF(H131="UNIDADE CONSTRUTIVA",0,IF(H131="CÉLULA CONSTRUTIVA",OFFSET(B131,-1,0)+1,OFFSET(B131,-1,0)))</f>
        <v/>
      </c>
      <c r="C131" s="34">
        <f>IF(H131="CÉLULA CONSTRUTIVA",0,IF(H131="ETAPA",OFFSET(C131,-1,0)+1,OFFSET(C131,-1,0)))</f>
        <v/>
      </c>
      <c r="D131" s="35">
        <f>IF(H131="ETAPA",0,IF(H131="SUBETAPA",OFFSET(D131,-1,0)+1,OFFSET(D131,-1,0)))</f>
        <v/>
      </c>
      <c r="E131" s="35">
        <f>IF(H131="Subetapa",0,IF(H131="serviço",OFFSET(E131,-1,0)+1,OFFSET(E131,-1,0)))</f>
        <v/>
      </c>
      <c r="F131" s="1" t="n"/>
      <c r="G131" s="43" t="n"/>
      <c r="H131" s="44" t="inlineStr">
        <is>
          <t>SUBETAPA</t>
        </is>
      </c>
      <c r="I131" s="45">
        <f>IF(H131="Unidade Construtiva",TEXT(A131,"00"),IF(H131="Célula Construtiva",TEXT(B131,"00"),IF(H131="Etapa",CONCATENATE(TEXT(B131,"00"),".",TEXT(C131,"000")),IF(H131="Subetapa",CONCATENATE(TEXT(B131,"00"),".",TEXT(C131,"000"),".",TEXT(D131,"000")),IF(H131="Serviço",CONCATENATE(TEXT(B131,"00"),".",TEXT(C131,"000"),".",TEXT(D131,"000"),".",TEXT(E131,"000")),"")))))</f>
        <v/>
      </c>
      <c r="J131" s="46" t="inlineStr">
        <is>
          <t>Equipamentos de obra</t>
        </is>
      </c>
      <c r="K131" s="48" t="n"/>
      <c r="L131" s="48" t="n"/>
      <c r="M131" s="48" t="n"/>
      <c r="N131" s="49">
        <f>IF(H131="Serviço",M131*L131,IF(H131="CÉLULA CONSTRUTIVA",SUMIFS($N$8:$N$422,$B$8:$B$422,B131,$H$8:$H$422,"Serviço"),IF(H131="ETAPA",SUMIFS($N$8:$N$422,$B$8:$B$422,B131,$C$8:$C$422,C131,$H$8:$H$422,"Serviço"),IF(H131="SUBETAPA",SUMIFS($N$8:$N$422,$B$8:$B$422,B131,$C$8:$C$422,C131,$D$8:$D$422,D131,$H$8:$H$422,"Serviço"),0))))</f>
        <v/>
      </c>
      <c r="O131" s="48" t="n"/>
      <c r="P131" s="1" t="n"/>
      <c r="Q131" s="1" t="n"/>
    </row>
    <row r="132">
      <c r="A132" s="34">
        <f>IF($H132="UNIDADE CONSTRUTIVA",OFFSET(A132,-1,0)+1,LARGE(A$3:A131,1))</f>
        <v/>
      </c>
      <c r="B132" s="34">
        <f>IF(H132="UNIDADE CONSTRUTIVA",0,IF(H132="CÉLULA CONSTRUTIVA",OFFSET(B132,-1,0)+1,OFFSET(B132,-1,0)))</f>
        <v/>
      </c>
      <c r="C132" s="34">
        <f>IF(H132="CÉLULA CONSTRUTIVA",0,IF(H132="ETAPA",OFFSET(C132,-1,0)+1,OFFSET(C132,-1,0)))</f>
        <v/>
      </c>
      <c r="D132" s="35">
        <f>IF(H132="ETAPA",0,IF(H132="SUBETAPA",OFFSET(D132,-1,0)+1,OFFSET(D132,-1,0)))</f>
        <v/>
      </c>
      <c r="E132" s="35">
        <f>IF(H132="Subetapa",0,IF(H132="serviço",OFFSET(E132,-1,0)+1,OFFSET(E132,-1,0)))</f>
        <v/>
      </c>
      <c r="F132" s="1" t="n"/>
      <c r="G132" s="43" t="n"/>
      <c r="H132" s="44" t="inlineStr">
        <is>
          <t>SERVIÇO</t>
        </is>
      </c>
      <c r="I132" s="45">
        <f>IF(H132="Unidade Construtiva",TEXT(A132,"00"),IF(H132="Célula Construtiva",TEXT(B132,"00"),IF(H132="Etapa",CONCATENATE(TEXT(B132,"00"),".",TEXT(C132,"000")),IF(H132="Subetapa",CONCATENATE(TEXT(B132,"00"),".",TEXT(C132,"000"),".",TEXT(D132,"000")),IF(H132="Serviço",CONCATENATE(TEXT(B132,"00"),".",TEXT(C132,"000"),".",TEXT(D132,"000"),".",TEXT(E132,"000")),"")))))</f>
        <v/>
      </c>
      <c r="J132" s="46" t="inlineStr">
        <is>
          <t>Aquisição Carrinho de mão</t>
        </is>
      </c>
      <c r="K132" s="48">
        <f>_xlfn.XLOOKUP($J132,BASES!$A$12:$A$392,BASES!$C$12:$C$392)</f>
        <v/>
      </c>
      <c r="L132" s="48">
        <f>_xlfn.XLOOKUP($J132,BASES!$A$12:$A$392,BASES!$D$12:$D$392)</f>
        <v/>
      </c>
      <c r="M132" s="48">
        <f>_xlfn.XLOOKUP($J132,BASES!$A$1:$A$2289,BASES!$E$1:$E$2289)</f>
        <v/>
      </c>
      <c r="N132" s="49">
        <f>IF(H132="Serviço",M132*L132,IF(H132="CÉLULA CONSTRUTIVA",SUMIFS($N$8:$N$422,$B$8:$B$422,B132,$H$8:$H$422,"Serviço"),IF(H132="ETAPA",SUMIFS($N$8:$N$422,$B$8:$B$422,B132,$C$8:$C$422,C132,$H$8:$H$422,"Serviço"),IF(H132="SUBETAPA",SUMIFS($N$8:$N$422,$B$8:$B$422,B132,$C$8:$C$422,C132,$D$8:$D$422,D132,$H$8:$H$422,"Serviço"),0))))</f>
        <v/>
      </c>
      <c r="O132" s="48">
        <f>_xlfn.XLOOKUP($J132,BASES!$A$12:$A$392,BASES!$F$12:$F$392)</f>
        <v/>
      </c>
      <c r="P132" s="1" t="n"/>
      <c r="Q132" s="1" t="n"/>
    </row>
    <row r="133">
      <c r="A133" s="34">
        <f>IF($H133="UNIDADE CONSTRUTIVA",OFFSET(A133,-1,0)+1,LARGE(A$3:A132,1))</f>
        <v/>
      </c>
      <c r="B133" s="34">
        <f>IF(H133="UNIDADE CONSTRUTIVA",0,IF(H133="CÉLULA CONSTRUTIVA",OFFSET(B133,-1,0)+1,OFFSET(B133,-1,0)))</f>
        <v/>
      </c>
      <c r="C133" s="34">
        <f>IF(H133="CÉLULA CONSTRUTIVA",0,IF(H133="ETAPA",OFFSET(C133,-1,0)+1,OFFSET(C133,-1,0)))</f>
        <v/>
      </c>
      <c r="D133" s="35">
        <f>IF(H133="ETAPA",0,IF(H133="SUBETAPA",OFFSET(D133,-1,0)+1,OFFSET(D133,-1,0)))</f>
        <v/>
      </c>
      <c r="E133" s="35">
        <f>IF(H133="Subetapa",0,IF(H133="serviço",OFFSET(E133,-1,0)+1,OFFSET(E133,-1,0)))</f>
        <v/>
      </c>
      <c r="F133" s="1" t="n"/>
      <c r="G133" s="43" t="n"/>
      <c r="H133" s="44" t="inlineStr">
        <is>
          <t>SERVIÇO</t>
        </is>
      </c>
      <c r="I133" s="45">
        <f>IF(H133="Unidade Construtiva",TEXT(A133,"00"),IF(H133="Célula Construtiva",TEXT(B133,"00"),IF(H133="Etapa",CONCATENATE(TEXT(B133,"00"),".",TEXT(C133,"000")),IF(H133="Subetapa",CONCATENATE(TEXT(B133,"00"),".",TEXT(C133,"000"),".",TEXT(D133,"000")),IF(H133="Serviço",CONCATENATE(TEXT(B133,"00"),".",TEXT(C133,"000"),".",TEXT(D133,"000"),".",TEXT(E133,"000")),"")))))</f>
        <v/>
      </c>
      <c r="J133" s="46" t="inlineStr">
        <is>
          <t>Aquisição Girica 60L</t>
        </is>
      </c>
      <c r="K133" s="48">
        <f>_xlfn.XLOOKUP($J133,BASES!$A$12:$A$392,BASES!$C$12:$C$392)</f>
        <v/>
      </c>
      <c r="L133" s="48">
        <f>_xlfn.XLOOKUP($J133,BASES!$A$12:$A$392,BASES!$D$12:$D$392)</f>
        <v/>
      </c>
      <c r="M133" s="48">
        <f>_xlfn.XLOOKUP($J133,BASES!$A$1:$A$2289,BASES!$E$1:$E$2289)</f>
        <v/>
      </c>
      <c r="N133" s="49">
        <f>IF(H133="Serviço",M133*L133,IF(H133="CÉLULA CONSTRUTIVA",SUMIFS($N$8:$N$422,$B$8:$B$422,B133,$H$8:$H$422,"Serviço"),IF(H133="ETAPA",SUMIFS($N$8:$N$422,$B$8:$B$422,B133,$C$8:$C$422,C133,$H$8:$H$422,"Serviço"),IF(H133="SUBETAPA",SUMIFS($N$8:$N$422,$B$8:$B$422,B133,$C$8:$C$422,C133,$D$8:$D$422,D133,$H$8:$H$422,"Serviço"),0))))</f>
        <v/>
      </c>
      <c r="O133" s="48">
        <f>_xlfn.XLOOKUP($J133,BASES!$A$12:$A$392,BASES!$F$12:$F$392)</f>
        <v/>
      </c>
      <c r="P133" s="1" t="n"/>
      <c r="Q133" s="1" t="n"/>
    </row>
    <row r="134">
      <c r="A134" s="34">
        <f>IF($H134="UNIDADE CONSTRUTIVA",OFFSET(A134,-1,0)+1,LARGE(A$3:A133,1))</f>
        <v/>
      </c>
      <c r="B134" s="34">
        <f>IF(H134="UNIDADE CONSTRUTIVA",0,IF(H134="CÉLULA CONSTRUTIVA",OFFSET(B134,-1,0)+1,OFFSET(B134,-1,0)))</f>
        <v/>
      </c>
      <c r="C134" s="34">
        <f>IF(H134="CÉLULA CONSTRUTIVA",0,IF(H134="ETAPA",OFFSET(C134,-1,0)+1,OFFSET(C134,-1,0)))</f>
        <v/>
      </c>
      <c r="D134" s="35">
        <f>IF(H134="ETAPA",0,IF(H134="SUBETAPA",OFFSET(D134,-1,0)+1,OFFSET(D134,-1,0)))</f>
        <v/>
      </c>
      <c r="E134" s="35">
        <f>IF(H134="Subetapa",0,IF(H134="serviço",OFFSET(E134,-1,0)+1,OFFSET(E134,-1,0)))</f>
        <v/>
      </c>
      <c r="F134" s="1" t="n"/>
      <c r="G134" s="43" t="n"/>
      <c r="H134" s="44" t="inlineStr">
        <is>
          <t>SERVIÇO</t>
        </is>
      </c>
      <c r="I134" s="45">
        <f>IF(H134="Unidade Construtiva",TEXT(A134,"00"),IF(H134="Célula Construtiva",TEXT(B134,"00"),IF(H134="Etapa",CONCATENATE(TEXT(B134,"00"),".",TEXT(C134,"000")),IF(H134="Subetapa",CONCATENATE(TEXT(B134,"00"),".",TEXT(C134,"000"),".",TEXT(D134,"000")),IF(H134="Serviço",CONCATENATE(TEXT(B134,"00"),".",TEXT(C134,"000"),".",TEXT(D134,"000"),".",TEXT(E134,"000")),"")))))</f>
        <v/>
      </c>
      <c r="J134" s="46" t="inlineStr">
        <is>
          <t>Aquisição Girica 90L</t>
        </is>
      </c>
      <c r="K134" s="48">
        <f>_xlfn.XLOOKUP($J134,BASES!$A$12:$A$392,BASES!$C$12:$C$392)</f>
        <v/>
      </c>
      <c r="L134" s="48">
        <f>_xlfn.XLOOKUP($J134,BASES!$A$12:$A$392,BASES!$D$12:$D$392)</f>
        <v/>
      </c>
      <c r="M134" s="48">
        <f>_xlfn.XLOOKUP($J134,BASES!$A$1:$A$2289,BASES!$E$1:$E$2289)</f>
        <v/>
      </c>
      <c r="N134" s="49">
        <f>IF(H134="Serviço",M134*L134,IF(H134="CÉLULA CONSTRUTIVA",SUMIFS($N$8:$N$422,$B$8:$B$422,B134,$H$8:$H$422,"Serviço"),IF(H134="ETAPA",SUMIFS($N$8:$N$422,$B$8:$B$422,B134,$C$8:$C$422,C134,$H$8:$H$422,"Serviço"),IF(H134="SUBETAPA",SUMIFS($N$8:$N$422,$B$8:$B$422,B134,$C$8:$C$422,C134,$D$8:$D$422,D134,$H$8:$H$422,"Serviço"),0))))</f>
        <v/>
      </c>
      <c r="O134" s="48">
        <f>_xlfn.XLOOKUP($J134,BASES!$A$12:$A$392,BASES!$F$12:$F$392)</f>
        <v/>
      </c>
      <c r="P134" s="1" t="n"/>
      <c r="Q134" s="1" t="n"/>
    </row>
    <row r="135">
      <c r="A135" s="34">
        <f>IF($H135="UNIDADE CONSTRUTIVA",OFFSET(A135,-1,0)+1,LARGE(A$3:A134,1))</f>
        <v/>
      </c>
      <c r="B135" s="34">
        <f>IF(H135="UNIDADE CONSTRUTIVA",0,IF(H135="CÉLULA CONSTRUTIVA",OFFSET(B135,-1,0)+1,OFFSET(B135,-1,0)))</f>
        <v/>
      </c>
      <c r="C135" s="34">
        <f>IF(H135="CÉLULA CONSTRUTIVA",0,IF(H135="ETAPA",OFFSET(C135,-1,0)+1,OFFSET(C135,-1,0)))</f>
        <v/>
      </c>
      <c r="D135" s="35">
        <f>IF(H135="ETAPA",0,IF(H135="SUBETAPA",OFFSET(D135,-1,0)+1,OFFSET(D135,-1,0)))</f>
        <v/>
      </c>
      <c r="E135" s="35">
        <f>IF(H135="Subetapa",0,IF(H135="serviço",OFFSET(E135,-1,0)+1,OFFSET(E135,-1,0)))</f>
        <v/>
      </c>
      <c r="F135" s="1" t="n"/>
      <c r="G135" s="43" t="n"/>
      <c r="H135" s="44" t="inlineStr">
        <is>
          <t>SERVIÇO</t>
        </is>
      </c>
      <c r="I135" s="45">
        <f>IF(H135="Unidade Construtiva",TEXT(A135,"00"),IF(H135="Célula Construtiva",TEXT(B135,"00"),IF(H135="Etapa",CONCATENATE(TEXT(B135,"00"),".",TEXT(C135,"000")),IF(H135="Subetapa",CONCATENATE(TEXT(B135,"00"),".",TEXT(C135,"000"),".",TEXT(D135,"000")),IF(H135="Serviço",CONCATENATE(TEXT(B135,"00"),".",TEXT(C135,"000"),".",TEXT(D135,"000"),".",TEXT(E135,"000")),"")))))</f>
        <v/>
      </c>
      <c r="J135" s="46" t="inlineStr">
        <is>
          <t>Aquisição Condutor de entulho vertical</t>
        </is>
      </c>
      <c r="K135" s="48">
        <f>_xlfn.XLOOKUP($J135,BASES!$A$12:$A$392,BASES!$C$12:$C$392)</f>
        <v/>
      </c>
      <c r="L135" s="48">
        <f>_xlfn.XLOOKUP($J135,BASES!$A$12:$A$392,BASES!$D$12:$D$392)</f>
        <v/>
      </c>
      <c r="M135" s="48">
        <f>_xlfn.XLOOKUP($J135,BASES!$A$1:$A$2289,BASES!$E$1:$E$2289)</f>
        <v/>
      </c>
      <c r="N135" s="49">
        <f>IF(H135="Serviço",M135*L135,IF(H135="CÉLULA CONSTRUTIVA",SUMIFS($N$8:$N$422,$B$8:$B$422,B135,$H$8:$H$422,"Serviço"),IF(H135="ETAPA",SUMIFS($N$8:$N$422,$B$8:$B$422,B135,$C$8:$C$422,C135,$H$8:$H$422,"Serviço"),IF(H135="SUBETAPA",SUMIFS($N$8:$N$422,$B$8:$B$422,B135,$C$8:$C$422,C135,$D$8:$D$422,D135,$H$8:$H$422,"Serviço"),0))))</f>
        <v/>
      </c>
      <c r="O135" s="48">
        <f>_xlfn.XLOOKUP($J135,BASES!$A$12:$A$392,BASES!$F$12:$F$392)</f>
        <v/>
      </c>
      <c r="P135" s="1" t="n"/>
      <c r="Q135" s="1" t="n"/>
    </row>
    <row r="136">
      <c r="A136" s="34">
        <f>IF($H136="UNIDADE CONSTRUTIVA",OFFSET(A136,-1,0)+1,LARGE(A$3:A135,1))</f>
        <v/>
      </c>
      <c r="B136" s="34">
        <f>IF(H136="UNIDADE CONSTRUTIVA",0,IF(H136="CÉLULA CONSTRUTIVA",OFFSET(B136,-1,0)+1,OFFSET(B136,-1,0)))</f>
        <v/>
      </c>
      <c r="C136" s="34">
        <f>IF(H136="CÉLULA CONSTRUTIVA",0,IF(H136="ETAPA",OFFSET(C136,-1,0)+1,OFFSET(C136,-1,0)))</f>
        <v/>
      </c>
      <c r="D136" s="35">
        <f>IF(H136="ETAPA",0,IF(H136="SUBETAPA",OFFSET(D136,-1,0)+1,OFFSET(D136,-1,0)))</f>
        <v/>
      </c>
      <c r="E136" s="35">
        <f>IF(H136="Subetapa",0,IF(H136="serviço",OFFSET(E136,-1,0)+1,OFFSET(E136,-1,0)))</f>
        <v/>
      </c>
      <c r="F136" s="1" t="n"/>
      <c r="G136" s="43" t="n"/>
      <c r="H136" s="44" t="inlineStr">
        <is>
          <t>SERVIÇO</t>
        </is>
      </c>
      <c r="I136" s="45">
        <f>IF(H136="Unidade Construtiva",TEXT(A136,"00"),IF(H136="Célula Construtiva",TEXT(B136,"00"),IF(H136="Etapa",CONCATENATE(TEXT(B136,"00"),".",TEXT(C136,"000")),IF(H136="Subetapa",CONCATENATE(TEXT(B136,"00"),".",TEXT(C136,"000"),".",TEXT(D136,"000")),IF(H136="Serviço",CONCATENATE(TEXT(B136,"00"),".",TEXT(C136,"000"),".",TEXT(D136,"000"),".",TEXT(E136,"000")),"")))))</f>
        <v/>
      </c>
      <c r="J136" s="46" t="inlineStr">
        <is>
          <t>Locação Betoneira</t>
        </is>
      </c>
      <c r="K136" s="48">
        <f>_xlfn.XLOOKUP($J136,BASES!$A$12:$A$392,BASES!$C$12:$C$392)</f>
        <v/>
      </c>
      <c r="L136" s="48">
        <f>_xlfn.XLOOKUP($J136,BASES!$A$12:$A$392,BASES!$D$12:$D$392)</f>
        <v/>
      </c>
      <c r="M136" s="48">
        <f>_xlfn.XLOOKUP($J136,BASES!$A$1:$A$2289,BASES!$E$1:$E$2289)</f>
        <v/>
      </c>
      <c r="N136" s="49">
        <f>IF(H136="Serviço",M136*L136,IF(H136="CÉLULA CONSTRUTIVA",SUMIFS($N$8:$N$422,$B$8:$B$422,B136,$H$8:$H$422,"Serviço"),IF(H136="ETAPA",SUMIFS($N$8:$N$422,$B$8:$B$422,B136,$C$8:$C$422,C136,$H$8:$H$422,"Serviço"),IF(H136="SUBETAPA",SUMIFS($N$8:$N$422,$B$8:$B$422,B136,$C$8:$C$422,C136,$D$8:$D$422,D136,$H$8:$H$422,"Serviço"),0))))</f>
        <v/>
      </c>
      <c r="O136" s="48" t="inlineStr">
        <is>
          <t>Estimado</t>
        </is>
      </c>
      <c r="P136" s="1" t="n"/>
      <c r="Q136" s="1" t="n"/>
    </row>
    <row r="137">
      <c r="A137" s="34">
        <f>IF($H137="UNIDADE CONSTRUTIVA",OFFSET(A137,-1,0)+1,LARGE(A$3:A136,1))</f>
        <v/>
      </c>
      <c r="B137" s="34">
        <f>IF(H137="UNIDADE CONSTRUTIVA",0,IF(H137="CÉLULA CONSTRUTIVA",OFFSET(B137,-1,0)+1,OFFSET(B137,-1,0)))</f>
        <v/>
      </c>
      <c r="C137" s="34">
        <f>IF(H137="CÉLULA CONSTRUTIVA",0,IF(H137="ETAPA",OFFSET(C137,-1,0)+1,OFFSET(C137,-1,0)))</f>
        <v/>
      </c>
      <c r="D137" s="35">
        <f>IF(H137="ETAPA",0,IF(H137="SUBETAPA",OFFSET(D137,-1,0)+1,OFFSET(D137,-1,0)))</f>
        <v/>
      </c>
      <c r="E137" s="35">
        <f>IF(H137="Subetapa",0,IF(H137="serviço",OFFSET(E137,-1,0)+1,OFFSET(E137,-1,0)))</f>
        <v/>
      </c>
      <c r="F137" s="1" t="n"/>
      <c r="G137" s="43" t="n"/>
      <c r="H137" s="44" t="inlineStr">
        <is>
          <t>SERVIÇO</t>
        </is>
      </c>
      <c r="I137" s="45">
        <f>IF(H137="Unidade Construtiva",TEXT(A137,"00"),IF(H137="Célula Construtiva",TEXT(B137,"00"),IF(H137="Etapa",CONCATENATE(TEXT(B137,"00"),".",TEXT(C137,"000")),IF(H137="Subetapa",CONCATENATE(TEXT(B137,"00"),".",TEXT(C137,"000"),".",TEXT(D137,"000")),IF(H137="Serviço",CONCATENATE(TEXT(B137,"00"),".",TEXT(C137,"000"),".",TEXT(D137,"000"),".",TEXT(E137,"000")),"")))))</f>
        <v/>
      </c>
      <c r="J137" s="46" t="inlineStr">
        <is>
          <t>Locação Rompedor</t>
        </is>
      </c>
      <c r="K137" s="48">
        <f>_xlfn.XLOOKUP($J137,BASES!$A$12:$A$392,BASES!$C$12:$C$392)</f>
        <v/>
      </c>
      <c r="L137" s="48">
        <f>_xlfn.XLOOKUP($J137,BASES!$A$12:$A$392,BASES!$D$12:$D$392)</f>
        <v/>
      </c>
      <c r="M137" s="48">
        <f>_xlfn.XLOOKUP($J137,BASES!$A$1:$A$2289,BASES!$E$1:$E$2289)</f>
        <v/>
      </c>
      <c r="N137" s="49">
        <f>IF(H137="Serviço",M137*L137,IF(H137="CÉLULA CONSTRUTIVA",SUMIFS($N$8:$N$422,$B$8:$B$422,B137,$H$8:$H$422,"Serviço"),IF(H137="ETAPA",SUMIFS($N$8:$N$422,$B$8:$B$422,B137,$C$8:$C$422,C137,$H$8:$H$422,"Serviço"),IF(H137="SUBETAPA",SUMIFS($N$8:$N$422,$B$8:$B$422,B137,$C$8:$C$422,C137,$D$8:$D$422,D137,$H$8:$H$422,"Serviço"),0))))</f>
        <v/>
      </c>
      <c r="O137" s="48" t="inlineStr">
        <is>
          <t>Estimado</t>
        </is>
      </c>
      <c r="P137" s="1" t="n"/>
      <c r="Q137" s="1" t="n"/>
    </row>
    <row r="138">
      <c r="A138" s="34">
        <f>IF($H138="UNIDADE CONSTRUTIVA",OFFSET(A138,-1,0)+1,LARGE(A$3:A137,1))</f>
        <v/>
      </c>
      <c r="B138" s="34">
        <f>IF(H138="UNIDADE CONSTRUTIVA",0,IF(H138="CÉLULA CONSTRUTIVA",OFFSET(B138,-1,0)+1,OFFSET(B138,-1,0)))</f>
        <v/>
      </c>
      <c r="C138" s="34">
        <f>IF(H138="CÉLULA CONSTRUTIVA",0,IF(H138="ETAPA",OFFSET(C138,-1,0)+1,OFFSET(C138,-1,0)))</f>
        <v/>
      </c>
      <c r="D138" s="35">
        <f>IF(H138="ETAPA",0,IF(H138="SUBETAPA",OFFSET(D138,-1,0)+1,OFFSET(D138,-1,0)))</f>
        <v/>
      </c>
      <c r="E138" s="35">
        <f>IF(H138="Subetapa",0,IF(H138="serviço",OFFSET(E138,-1,0)+1,OFFSET(E138,-1,0)))</f>
        <v/>
      </c>
      <c r="F138" s="1" t="n"/>
      <c r="G138" s="43" t="n"/>
      <c r="H138" s="44" t="inlineStr">
        <is>
          <t>SERVIÇO</t>
        </is>
      </c>
      <c r="I138" s="45">
        <f>IF(H138="Unidade Construtiva",TEXT(A138,"00"),IF(H138="Célula Construtiva",TEXT(B138,"00"),IF(H138="Etapa",CONCATENATE(TEXT(B138,"00"),".",TEXT(C138,"000")),IF(H138="Subetapa",CONCATENATE(TEXT(B138,"00"),".",TEXT(C138,"000"),".",TEXT(D138,"000")),IF(H138="Serviço",CONCATENATE(TEXT(B138,"00"),".",TEXT(C138,"000"),".",TEXT(D138,"000"),".",TEXT(E138,"000")),"")))))</f>
        <v/>
      </c>
      <c r="J138" s="46" t="inlineStr">
        <is>
          <t>Locação Martelete</t>
        </is>
      </c>
      <c r="K138" s="48">
        <f>_xlfn.XLOOKUP($J138,BASES!$A$12:$A$392,BASES!$C$12:$C$392)</f>
        <v/>
      </c>
      <c r="L138" s="48">
        <f>_xlfn.XLOOKUP($J138,BASES!$A$12:$A$392,BASES!$D$12:$D$392)</f>
        <v/>
      </c>
      <c r="M138" s="48">
        <f>_xlfn.XLOOKUP($J138,BASES!$A$1:$A$2289,BASES!$E$1:$E$2289)</f>
        <v/>
      </c>
      <c r="N138" s="49">
        <f>IF(H138="Serviço",M138*L138,IF(H138="CÉLULA CONSTRUTIVA",SUMIFS($N$8:$N$422,$B$8:$B$422,B138,$H$8:$H$422,"Serviço"),IF(H138="ETAPA",SUMIFS($N$8:$N$422,$B$8:$B$422,B138,$C$8:$C$422,C138,$H$8:$H$422,"Serviço"),IF(H138="SUBETAPA",SUMIFS($N$8:$N$422,$B$8:$B$422,B138,$C$8:$C$422,C138,$D$8:$D$422,D138,$H$8:$H$422,"Serviço"),0))))</f>
        <v/>
      </c>
      <c r="O138" s="48" t="inlineStr">
        <is>
          <t>Estimado</t>
        </is>
      </c>
      <c r="P138" s="1" t="n"/>
      <c r="Q138" s="1" t="n"/>
    </row>
    <row r="139">
      <c r="A139" s="34">
        <f>IF($H139="UNIDADE CONSTRUTIVA",OFFSET(A139,-1,0)+1,LARGE(A$3:A138,1))</f>
        <v/>
      </c>
      <c r="B139" s="34">
        <f>IF(H139="UNIDADE CONSTRUTIVA",0,IF(H139="CÉLULA CONSTRUTIVA",OFFSET(B139,-1,0)+1,OFFSET(B139,-1,0)))</f>
        <v/>
      </c>
      <c r="C139" s="34">
        <f>IF(H139="CÉLULA CONSTRUTIVA",0,IF(H139="ETAPA",OFFSET(C139,-1,0)+1,OFFSET(C139,-1,0)))</f>
        <v/>
      </c>
      <c r="D139" s="35">
        <f>IF(H139="ETAPA",0,IF(H139="SUBETAPA",OFFSET(D139,-1,0)+1,OFFSET(D139,-1,0)))</f>
        <v/>
      </c>
      <c r="E139" s="35">
        <f>IF(H139="Subetapa",0,IF(H139="serviço",OFFSET(E139,-1,0)+1,OFFSET(E139,-1,0)))</f>
        <v/>
      </c>
      <c r="F139" s="1" t="n"/>
      <c r="G139" s="43" t="n"/>
      <c r="H139" s="44" t="inlineStr">
        <is>
          <t>SERVIÇO</t>
        </is>
      </c>
      <c r="I139" s="45">
        <f>IF(H139="Unidade Construtiva",TEXT(A139,"00"),IF(H139="Célula Construtiva",TEXT(B139,"00"),IF(H139="Etapa",CONCATENATE(TEXT(B139,"00"),".",TEXT(C139,"000")),IF(H139="Subetapa",CONCATENATE(TEXT(B139,"00"),".",TEXT(C139,"000"),".",TEXT(D139,"000")),IF(H139="Serviço",CONCATENATE(TEXT(B139,"00"),".",TEXT(C139,"000"),".",TEXT(D139,"000"),".",TEXT(E139,"000")),"")))))</f>
        <v/>
      </c>
      <c r="J139" s="46" t="inlineStr">
        <is>
          <t>Manutenção Veículo de apoio: Carro com caçamba</t>
        </is>
      </c>
      <c r="K139" s="48">
        <f>_xlfn.XLOOKUP($J139,BASES!$A$12:$A$392,BASES!$C$12:$C$392)</f>
        <v/>
      </c>
      <c r="L139" s="48">
        <f>_xlfn.XLOOKUP($J139,BASES!$A$12:$A$392,BASES!$D$12:$D$392)</f>
        <v/>
      </c>
      <c r="M139" s="48">
        <f>_xlfn.XLOOKUP($J139,BASES!$A$1:$A$2289,BASES!$E$1:$E$2289)</f>
        <v/>
      </c>
      <c r="N139" s="49">
        <f>IF(H139="Serviço",M139*L139,IF(H139="CÉLULA CONSTRUTIVA",SUMIFS($N$8:$N$422,$B$8:$B$422,B139,$H$8:$H$422,"Serviço"),IF(H139="ETAPA",SUMIFS($N$8:$N$422,$B$8:$B$422,B139,$C$8:$C$422,C139,$H$8:$H$422,"Serviço"),IF(H139="SUBETAPA",SUMIFS($N$8:$N$422,$B$8:$B$422,B139,$C$8:$C$422,C139,$D$8:$D$422,D139,$H$8:$H$422,"Serviço"),0))))</f>
        <v/>
      </c>
      <c r="O139" s="48">
        <f>_xlfn.XLOOKUP($J139,BASES!$A$12:$A$392,BASES!$F$12:$F$392)</f>
        <v/>
      </c>
      <c r="P139" s="1" t="n"/>
      <c r="Q139" s="1" t="n"/>
    </row>
    <row r="140">
      <c r="A140" s="34">
        <f>IF($H140="UNIDADE CONSTRUTIVA",OFFSET(A140,-1,0)+1,LARGE(A$3:A139,1))</f>
        <v/>
      </c>
      <c r="B140" s="34">
        <f>IF(H140="UNIDADE CONSTRUTIVA",0,IF(H140="CÉLULA CONSTRUTIVA",OFFSET(B140,-1,0)+1,OFFSET(B140,-1,0)))</f>
        <v/>
      </c>
      <c r="C140" s="34">
        <f>IF(H140="CÉLULA CONSTRUTIVA",0,IF(H140="ETAPA",OFFSET(C140,-1,0)+1,OFFSET(C140,-1,0)))</f>
        <v/>
      </c>
      <c r="D140" s="35">
        <f>IF(H140="ETAPA",0,IF(H140="SUBETAPA",OFFSET(D140,-1,0)+1,OFFSET(D140,-1,0)))</f>
        <v/>
      </c>
      <c r="E140" s="35">
        <f>IF(H140="Subetapa",0,IF(H140="serviço",OFFSET(E140,-1,0)+1,OFFSET(E140,-1,0)))</f>
        <v/>
      </c>
      <c r="F140" s="1" t="n"/>
      <c r="G140" s="43" t="n"/>
      <c r="H140" s="44" t="inlineStr">
        <is>
          <t>SUBETAPA</t>
        </is>
      </c>
      <c r="I140" s="45">
        <f>IF(H140="Unidade Construtiva",TEXT(A140,"00"),IF(H140="Célula Construtiva",TEXT(B140,"00"),IF(H140="Etapa",CONCATENATE(TEXT(B140,"00"),".",TEXT(C140,"000")),IF(H140="Subetapa",CONCATENATE(TEXT(B140,"00"),".",TEXT(C140,"000"),".",TEXT(D140,"000")),IF(H140="Serviço",CONCATENATE(TEXT(B140,"00"),".",TEXT(C140,"000"),".",TEXT(D140,"000"),".",TEXT(E140,"000")),"")))))</f>
        <v/>
      </c>
      <c r="J140" s="46" t="inlineStr">
        <is>
          <t>Balancins e Andaimes</t>
        </is>
      </c>
      <c r="K140" s="48" t="n"/>
      <c r="L140" s="48" t="n"/>
      <c r="M140" s="48" t="n"/>
      <c r="N140" s="49">
        <f>IF(H140="Serviço",M140*L140,IF(H140="CÉLULA CONSTRUTIVA",SUMIFS($N$8:$N$422,$B$8:$B$422,B140,$H$8:$H$422,"Serviço"),IF(H140="ETAPA",SUMIFS($N$8:$N$422,$B$8:$B$422,B140,$C$8:$C$422,C140,$H$8:$H$422,"Serviço"),IF(H140="SUBETAPA",SUMIFS($N$8:$N$422,$B$8:$B$422,B140,$C$8:$C$422,C140,$D$8:$D$422,D140,$H$8:$H$422,"Serviço"),0))))</f>
        <v/>
      </c>
      <c r="O140" s="48" t="n"/>
      <c r="P140" s="1" t="n"/>
      <c r="Q140" s="1" t="n"/>
    </row>
    <row r="141">
      <c r="A141" s="34">
        <f>IF($H141="UNIDADE CONSTRUTIVA",OFFSET(A141,-1,0)+1,LARGE(A$3:A140,1))</f>
        <v/>
      </c>
      <c r="B141" s="34">
        <f>IF(H141="UNIDADE CONSTRUTIVA",0,IF(H141="CÉLULA CONSTRUTIVA",OFFSET(B141,-1,0)+1,OFFSET(B141,-1,0)))</f>
        <v/>
      </c>
      <c r="C141" s="34">
        <f>IF(H141="CÉLULA CONSTRUTIVA",0,IF(H141="ETAPA",OFFSET(C141,-1,0)+1,OFFSET(C141,-1,0)))</f>
        <v/>
      </c>
      <c r="D141" s="35">
        <f>IF(H141="ETAPA",0,IF(H141="SUBETAPA",OFFSET(D141,-1,0)+1,OFFSET(D141,-1,0)))</f>
        <v/>
      </c>
      <c r="E141" s="35">
        <f>IF(H141="Subetapa",0,IF(H141="serviço",OFFSET(E141,-1,0)+1,OFFSET(E141,-1,0)))</f>
        <v/>
      </c>
      <c r="F141" s="1" t="n"/>
      <c r="G141" s="43" t="n"/>
      <c r="H141" s="44" t="inlineStr">
        <is>
          <t>SERVIÇO</t>
        </is>
      </c>
      <c r="I141" s="45">
        <f>IF(H141="Unidade Construtiva",TEXT(A141,"00"),IF(H141="Célula Construtiva",TEXT(B141,"00"),IF(H141="Etapa",CONCATENATE(TEXT(B141,"00"),".",TEXT(C141,"000")),IF(H141="Subetapa",CONCATENATE(TEXT(B141,"00"),".",TEXT(C141,"000"),".",TEXT(D141,"000")),IF(H141="Serviço",CONCATENATE(TEXT(B141,"00"),".",TEXT(C141,"000"),".",TEXT(D141,"000"),".",TEXT(E141,"000")),"")))))</f>
        <v/>
      </c>
      <c r="J141" s="46" t="inlineStr">
        <is>
          <t>Locação de Andaime modular fachadeiro</t>
        </is>
      </c>
      <c r="K141" s="48">
        <f>_xlfn.XLOOKUP($J141,BASES!$A$12:$A$392,BASES!$C$12:$C$392)</f>
        <v/>
      </c>
      <c r="L141" s="48" t="n">
        <v>6</v>
      </c>
      <c r="M141" s="48">
        <f>3772</f>
        <v/>
      </c>
      <c r="N141" s="49">
        <f>IF(H141="Serviço",M141*L141,IF(H141="CÉLULA CONSTRUTIVA",SUMIFS($N$8:$N$422,$B$8:$B$422,B141,$H$8:$H$422,"Serviço"),IF(H141="ETAPA",SUMIFS($N$8:$N$422,$B$8:$B$422,B141,$C$8:$C$422,C141,$H$8:$H$422,"Serviço"),IF(H141="SUBETAPA",SUMIFS($N$8:$N$422,$B$8:$B$422,B141,$C$8:$C$422,C141,$D$8:$D$422,D141,$H$8:$H$422,"Serviço"),0))))</f>
        <v/>
      </c>
      <c r="O141" s="48" t="inlineStr">
        <is>
          <t>Locação de 1 lateral do embasamento</t>
        </is>
      </c>
      <c r="P141" s="1" t="n"/>
      <c r="Q141" s="1" t="n"/>
    </row>
    <row r="142">
      <c r="A142" s="34">
        <f>IF($H142="UNIDADE CONSTRUTIVA",OFFSET(A142,-1,0)+1,LARGE(A$3:A141,1))</f>
        <v/>
      </c>
      <c r="B142" s="34">
        <f>IF(H142="UNIDADE CONSTRUTIVA",0,IF(H142="CÉLULA CONSTRUTIVA",OFFSET(B142,-1,0)+1,OFFSET(B142,-1,0)))</f>
        <v/>
      </c>
      <c r="C142" s="34">
        <f>IF(H142="CÉLULA CONSTRUTIVA",0,IF(H142="ETAPA",OFFSET(C142,-1,0)+1,OFFSET(C142,-1,0)))</f>
        <v/>
      </c>
      <c r="D142" s="35">
        <f>IF(H142="ETAPA",0,IF(H142="SUBETAPA",OFFSET(D142,-1,0)+1,OFFSET(D142,-1,0)))</f>
        <v/>
      </c>
      <c r="E142" s="35">
        <f>IF(H142="Subetapa",0,IF(H142="serviço",OFFSET(E142,-1,0)+1,OFFSET(E142,-1,0)))</f>
        <v/>
      </c>
      <c r="F142" s="1" t="n"/>
      <c r="G142" s="43" t="n"/>
      <c r="H142" s="44" t="inlineStr">
        <is>
          <t>SERVIÇO</t>
        </is>
      </c>
      <c r="I142" s="45">
        <f>IF(H142="Unidade Construtiva",TEXT(A142,"00"),IF(H142="Célula Construtiva",TEXT(B142,"00"),IF(H142="Etapa",CONCATENATE(TEXT(B142,"00"),".",TEXT(C142,"000")),IF(H142="Subetapa",CONCATENATE(TEXT(B142,"00"),".",TEXT(C142,"000"),".",TEXT(D142,"000")),IF(H142="Serviço",CONCATENATE(TEXT(B142,"00"),".",TEXT(C142,"000"),".",TEXT(D142,"000"),".",TEXT(E142,"000")),"")))))</f>
        <v/>
      </c>
      <c r="J142" s="46" t="inlineStr">
        <is>
          <t>Montagem e desmontagem de andaime modular fachadeiro</t>
        </is>
      </c>
      <c r="K142" s="48">
        <f>_xlfn.XLOOKUP($J142,BASES!$A$12:$A$392,BASES!$C$12:$C$392)</f>
        <v/>
      </c>
      <c r="L142" s="48">
        <f>(28+13.32)*12*2</f>
        <v/>
      </c>
      <c r="M142" s="48">
        <f>_xlfn.XLOOKUP($J142,BASES!$A$1:$A$2289,BASES!$E$1:$E$2289)</f>
        <v/>
      </c>
      <c r="N142" s="49">
        <f>IF(H142="Serviço",M142*L142,IF(H142="CÉLULA CONSTRUTIVA",SUMIFS($N$8:$N$422,$B$8:$B$422,B142,$H$8:$H$422,"Serviço"),IF(H142="ETAPA",SUMIFS($N$8:$N$422,$B$8:$B$422,B142,$C$8:$C$422,C142,$H$8:$H$422,"Serviço"),IF(H142="SUBETAPA",SUMIFS($N$8:$N$422,$B$8:$B$422,B142,$C$8:$C$422,C142,$D$8:$D$422,D142,$H$8:$H$422,"Serviço"),0))))</f>
        <v/>
      </c>
      <c r="O142" s="48" t="inlineStr">
        <is>
          <t>Previsto 2 laterais simultaneas do embasamento</t>
        </is>
      </c>
      <c r="P142" s="1" t="n"/>
      <c r="Q142" s="1" t="n"/>
    </row>
    <row r="143">
      <c r="A143" s="34">
        <f>IF($H143="UNIDADE CONSTRUTIVA",OFFSET(A143,-1,0)+1,LARGE(A$3:A142,1))</f>
        <v/>
      </c>
      <c r="B143" s="34">
        <f>IF(H143="UNIDADE CONSTRUTIVA",0,IF(H143="CÉLULA CONSTRUTIVA",OFFSET(B143,-1,0)+1,OFFSET(B143,-1,0)))</f>
        <v/>
      </c>
      <c r="C143" s="34">
        <f>IF(H143="CÉLULA CONSTRUTIVA",0,IF(H143="ETAPA",OFFSET(C143,-1,0)+1,OFFSET(C143,-1,0)))</f>
        <v/>
      </c>
      <c r="D143" s="35">
        <f>IF(H143="ETAPA",0,IF(H143="SUBETAPA",OFFSET(D143,-1,0)+1,OFFSET(D143,-1,0)))</f>
        <v/>
      </c>
      <c r="E143" s="35">
        <f>IF(H143="Subetapa",0,IF(H143="serviço",OFFSET(E143,-1,0)+1,OFFSET(E143,-1,0)))</f>
        <v/>
      </c>
      <c r="F143" s="1" t="n"/>
      <c r="G143" s="43" t="n"/>
      <c r="H143" s="44" t="inlineStr">
        <is>
          <t>SERVIÇO</t>
        </is>
      </c>
      <c r="I143" s="45">
        <f>IF(H143="Unidade Construtiva",TEXT(A143,"00"),IF(H143="Célula Construtiva",TEXT(B143,"00"),IF(H143="Etapa",CONCATENATE(TEXT(B143,"00"),".",TEXT(C143,"000")),IF(H143="Subetapa",CONCATENATE(TEXT(B143,"00"),".",TEXT(C143,"000"),".",TEXT(D143,"000")),IF(H143="Serviço",CONCATENATE(TEXT(B143,"00"),".",TEXT(C143,"000"),".",TEXT(D143,"000"),".",TEXT(E143,"000")),"")))))</f>
        <v/>
      </c>
      <c r="J143" s="46" t="inlineStr">
        <is>
          <t>Locação Andaime suspenso motorizado</t>
        </is>
      </c>
      <c r="K143" s="48">
        <f>_xlfn.XLOOKUP($J143,BASES!$A$12:$A$392,BASES!$C$12:$C$392)</f>
        <v/>
      </c>
      <c r="L143" s="48" t="n">
        <v>9</v>
      </c>
      <c r="M143" s="48">
        <f>1850*2</f>
        <v/>
      </c>
      <c r="N143" s="49">
        <f>IF(H143="Serviço",M143*L143,IF(H143="CÉLULA CONSTRUTIVA",SUMIFS($N$8:$N$422,$B$8:$B$422,B143,$H$8:$H$422,"Serviço"),IF(H143="ETAPA",SUMIFS($N$8:$N$422,$B$8:$B$422,B143,$C$8:$C$422,C143,$H$8:$H$422,"Serviço"),IF(H143="SUBETAPA",SUMIFS($N$8:$N$422,$B$8:$B$422,B143,$C$8:$C$422,C143,$D$8:$D$422,D143,$H$8:$H$422,"Serviço"),0))))</f>
        <v/>
      </c>
      <c r="O143" s="48" t="inlineStr">
        <is>
          <t>Previsto 2 balancins simultaneos</t>
        </is>
      </c>
      <c r="P143" s="1" t="n"/>
      <c r="Q143" s="1" t="n"/>
    </row>
    <row r="144">
      <c r="A144" s="34">
        <f>IF($H144="UNIDADE CONSTRUTIVA",OFFSET(A144,-1,0)+1,LARGE(A$3:A143,1))</f>
        <v/>
      </c>
      <c r="B144" s="34">
        <f>IF(H144="UNIDADE CONSTRUTIVA",0,IF(H144="CÉLULA CONSTRUTIVA",OFFSET(B144,-1,0)+1,OFFSET(B144,-1,0)))</f>
        <v/>
      </c>
      <c r="C144" s="34">
        <f>IF(H144="CÉLULA CONSTRUTIVA",0,IF(H144="ETAPA",OFFSET(C144,-1,0)+1,OFFSET(C144,-1,0)))</f>
        <v/>
      </c>
      <c r="D144" s="35">
        <f>IF(H144="ETAPA",0,IF(H144="SUBETAPA",OFFSET(D144,-1,0)+1,OFFSET(D144,-1,0)))</f>
        <v/>
      </c>
      <c r="E144" s="35">
        <f>IF(H144="Subetapa",0,IF(H144="serviço",OFFSET(E144,-1,0)+1,OFFSET(E144,-1,0)))</f>
        <v/>
      </c>
      <c r="F144" s="1" t="n"/>
      <c r="G144" s="43" t="n"/>
      <c r="H144" s="44" t="inlineStr">
        <is>
          <t>SERVIÇO</t>
        </is>
      </c>
      <c r="I144" s="45">
        <f>IF(H144="Unidade Construtiva",TEXT(A144,"00"),IF(H144="Célula Construtiva",TEXT(B144,"00"),IF(H144="Etapa",CONCATENATE(TEXT(B144,"00"),".",TEXT(C144,"000")),IF(H144="Subetapa",CONCATENATE(TEXT(B144,"00"),".",TEXT(C144,"000"),".",TEXT(D144,"000")),IF(H144="Serviço",CONCATENATE(TEXT(B144,"00"),".",TEXT(C144,"000"),".",TEXT(D144,"000"),".",TEXT(E144,"000")),"")))))</f>
        <v/>
      </c>
      <c r="J144" s="46" t="inlineStr">
        <is>
          <t>Montagem e Desmontagem Andaime suspenso motorizado</t>
        </is>
      </c>
      <c r="K144" s="48">
        <f>_xlfn.XLOOKUP($J144,BASES!$A$12:$A$392,BASES!$C$12:$C$392)</f>
        <v/>
      </c>
      <c r="L144" s="48">
        <f>ROUNDUP(((EPCs!D10/5)*2),0)</f>
        <v/>
      </c>
      <c r="M144" s="48">
        <f>_xlfn.XLOOKUP($J144,BASES!$A$1:$A$2289,BASES!$E$1:$E$2289)</f>
        <v/>
      </c>
      <c r="N144" s="49">
        <f>IF(H144="Serviço",M144*L144,IF(H144="CÉLULA CONSTRUTIVA",SUMIFS($N$8:$N$422,$B$8:$B$422,B144,$H$8:$H$422,"Serviço"),IF(H144="ETAPA",SUMIFS($N$8:$N$422,$B$8:$B$422,B144,$C$8:$C$422,C144,$H$8:$H$422,"Serviço"),IF(H144="SUBETAPA",SUMIFS($N$8:$N$422,$B$8:$B$422,B144,$C$8:$C$422,C144,$D$8:$D$422,D144,$H$8:$H$422,"Serviço"),0))))</f>
        <v/>
      </c>
      <c r="O144" s="48" t="inlineStr">
        <is>
          <t>2 montagens na torre</t>
        </is>
      </c>
      <c r="P144" s="1" t="n"/>
      <c r="Q144" s="1" t="n"/>
    </row>
    <row r="145">
      <c r="A145" s="34">
        <f>IF($H145="UNIDADE CONSTRUTIVA",OFFSET(A145,-1,0)+1,LARGE(A$3:A144,1))</f>
        <v/>
      </c>
      <c r="B145" s="34">
        <f>IF(H145="UNIDADE CONSTRUTIVA",0,IF(H145="CÉLULA CONSTRUTIVA",OFFSET(B145,-1,0)+1,OFFSET(B145,-1,0)))</f>
        <v/>
      </c>
      <c r="C145" s="34">
        <f>IF(H145="CÉLULA CONSTRUTIVA",0,IF(H145="ETAPA",OFFSET(C145,-1,0)+1,OFFSET(C145,-1,0)))</f>
        <v/>
      </c>
      <c r="D145" s="35">
        <f>IF(H145="ETAPA",0,IF(H145="SUBETAPA",OFFSET(D145,-1,0)+1,OFFSET(D145,-1,0)))</f>
        <v/>
      </c>
      <c r="E145" s="35">
        <f>IF(H145="Subetapa",0,IF(H145="serviço",OFFSET(E145,-1,0)+1,OFFSET(E145,-1,0)))</f>
        <v/>
      </c>
      <c r="F145" s="58" t="n"/>
      <c r="G145" s="59" t="n"/>
      <c r="H145" s="59" t="n"/>
      <c r="I145" s="59" t="n"/>
      <c r="J145" s="60" t="inlineStr">
        <is>
          <t>TOTAL</t>
        </is>
      </c>
      <c r="K145" s="61" t="n"/>
      <c r="L145" s="62" t="n"/>
      <c r="M145" s="62" t="n"/>
      <c r="N145" s="63">
        <f>SUM(N7:N144)/4</f>
        <v/>
      </c>
      <c r="O145" s="63">
        <f>N145/[4]CAPA!$C$10</f>
        <v/>
      </c>
      <c r="P145" s="1" t="n"/>
      <c r="Q145" s="1" t="n"/>
    </row>
    <row r="146">
      <c r="A146" s="34">
        <f>IF($H146="UNIDADE CONSTRUTIVA",OFFSET(A146,-1,0)+1,LARGE(A$3:A145,1))</f>
        <v/>
      </c>
      <c r="B146" s="34">
        <f>IF(H146="UNIDADE CONSTRUTIVA",0,IF(H146="CÉLULA CONSTRUTIVA",OFFSET(B146,-1,0)+1,OFFSET(B146,-1,0)))</f>
        <v/>
      </c>
      <c r="C146" s="34">
        <f>IF(H146="CÉLULA CONSTRUTIVA",0,IF(H146="ETAPA",OFFSET(C146,-1,0)+1,OFFSET(C146,-1,0)))</f>
        <v/>
      </c>
      <c r="D146" s="35">
        <f>IF(H146="ETAPA",0,IF(H146="SUBETAPA",OFFSET(D146,-1,0)+1,OFFSET(D146,-1,0)))</f>
        <v/>
      </c>
      <c r="E146" s="35">
        <f>IF(H146="Subetapa",0,IF(H146="serviço",OFFSET(E146,-1,0)+1,OFFSET(E146,-1,0)))</f>
        <v/>
      </c>
      <c r="F146" s="56" t="n"/>
      <c r="G146" s="1" t="n"/>
      <c r="H146" s="1" t="n"/>
      <c r="I146" s="1" t="n"/>
      <c r="J146" s="64" t="n"/>
      <c r="K146" s="52" t="n"/>
      <c r="L146" s="58" t="n"/>
      <c r="M146" s="65">
        <f>SUMIFS($N$7:$N$437,$H$7:$H$437,N146)</f>
        <v/>
      </c>
      <c r="N146" s="66" t="inlineStr">
        <is>
          <t>CÉLULA CONSTRUTIVA</t>
        </is>
      </c>
      <c r="O146" s="56" t="n"/>
      <c r="P146" s="1" t="n"/>
      <c r="Q146" s="1" t="n"/>
    </row>
    <row r="147">
      <c r="A147" s="34">
        <f>IF($H147="UNIDADE CONSTRUTIVA",OFFSET(A147,-1,0)+1,LARGE(A$3:A146,1))</f>
        <v/>
      </c>
      <c r="B147" s="34">
        <f>IF(H147="UNIDADE CONSTRUTIVA",0,IF(H147="CÉLULA CONSTRUTIVA",OFFSET(B147,-1,0)+1,OFFSET(B147,-1,0)))</f>
        <v/>
      </c>
      <c r="C147" s="34">
        <f>IF(H147="CÉLULA CONSTRUTIVA",0,IF(H147="ETAPA",OFFSET(C147,-1,0)+1,OFFSET(C147,-1,0)))</f>
        <v/>
      </c>
      <c r="D147" s="35">
        <f>IF(H147="ETAPA",0,IF(H147="SUBETAPA",OFFSET(D147,-1,0)+1,OFFSET(D147,-1,0)))</f>
        <v/>
      </c>
      <c r="E147" s="35">
        <f>IF(H147="Subetapa",0,IF(H147="serviço",OFFSET(E147,-1,0)+1,OFFSET(E147,-1,0)))</f>
        <v/>
      </c>
      <c r="F147" s="56" t="n"/>
      <c r="G147" s="1" t="n"/>
      <c r="H147" s="1" t="n"/>
      <c r="I147" s="1" t="n"/>
      <c r="J147" s="64" t="n"/>
      <c r="K147" s="52" t="n"/>
      <c r="L147" s="58" t="n"/>
      <c r="M147" s="65">
        <f>SUMIFS($N$7:$N$437,$H$7:$H$437,N147)</f>
        <v/>
      </c>
      <c r="N147" s="66" t="inlineStr">
        <is>
          <t>ETAPA</t>
        </is>
      </c>
      <c r="O147" s="56" t="n"/>
      <c r="P147" s="1" t="n"/>
      <c r="Q147" s="1" t="n"/>
    </row>
    <row r="148">
      <c r="A148" s="34">
        <f>IF($H148="UNIDADE CONSTRUTIVA",OFFSET(A148,-1,0)+1,LARGE(A$3:A147,1))</f>
        <v/>
      </c>
      <c r="B148" s="34">
        <f>IF(H148="UNIDADE CONSTRUTIVA",0,IF(H148="CÉLULA CONSTRUTIVA",OFFSET(B148,-1,0)+1,OFFSET(B148,-1,0)))</f>
        <v/>
      </c>
      <c r="C148" s="34">
        <f>IF(H148="CÉLULA CONSTRUTIVA",0,IF(H148="ETAPA",OFFSET(C148,-1,0)+1,OFFSET(C148,-1,0)))</f>
        <v/>
      </c>
      <c r="D148" s="35">
        <f>IF(H148="ETAPA",0,IF(H148="SUBETAPA",OFFSET(D148,-1,0)+1,OFFSET(D148,-1,0)))</f>
        <v/>
      </c>
      <c r="E148" s="35">
        <f>IF(H148="Subetapa",0,IF(H148="serviço",OFFSET(E148,-1,0)+1,OFFSET(E148,-1,0)))</f>
        <v/>
      </c>
      <c r="F148" s="56" t="n"/>
      <c r="G148" s="1" t="n"/>
      <c r="H148" s="1" t="n"/>
      <c r="I148" s="1" t="n"/>
      <c r="J148" s="64" t="n"/>
      <c r="K148" s="52" t="n"/>
      <c r="L148" s="58" t="n"/>
      <c r="M148" s="65">
        <f>SUMIFS($N$7:$N$437,$H$7:$H$437,N148)</f>
        <v/>
      </c>
      <c r="N148" s="66" t="inlineStr">
        <is>
          <t>SUBETAPA</t>
        </is>
      </c>
      <c r="O148" s="56" t="n"/>
      <c r="P148" s="1" t="n"/>
      <c r="Q148" s="1" t="n"/>
    </row>
    <row r="149">
      <c r="A149" s="34">
        <f>IF($H149="UNIDADE CONSTRUTIVA",OFFSET(A149,-1,0)+1,LARGE(A$3:A148,1))</f>
        <v/>
      </c>
      <c r="B149" s="34">
        <f>IF(H149="UNIDADE CONSTRUTIVA",0,IF(H149="CÉLULA CONSTRUTIVA",OFFSET(B149,-1,0)+1,OFFSET(B149,-1,0)))</f>
        <v/>
      </c>
      <c r="C149" s="34">
        <f>IF(H149="CÉLULA CONSTRUTIVA",0,IF(H149="ETAPA",OFFSET(C149,-1,0)+1,OFFSET(C149,-1,0)))</f>
        <v/>
      </c>
      <c r="D149" s="35">
        <f>IF(H149="ETAPA",0,IF(H149="SUBETAPA",OFFSET(D149,-1,0)+1,OFFSET(D149,-1,0)))</f>
        <v/>
      </c>
      <c r="E149" s="35">
        <f>IF(H149="Subetapa",0,IF(H149="serviço",OFFSET(E149,-1,0)+1,OFFSET(E149,-1,0)))</f>
        <v/>
      </c>
      <c r="F149" s="56" t="n"/>
      <c r="G149" s="1" t="n"/>
      <c r="H149" s="1" t="n"/>
      <c r="I149" s="1" t="n"/>
      <c r="J149" s="67" t="n"/>
      <c r="K149" s="52" t="n"/>
      <c r="L149" s="58" t="n"/>
      <c r="M149" s="65">
        <f>SUMIFS($N$7:$N$437,$H$7:$H$437,N149)</f>
        <v/>
      </c>
      <c r="N149" s="66" t="inlineStr">
        <is>
          <t>SERVIÇO</t>
        </is>
      </c>
      <c r="O149" s="56" t="n"/>
      <c r="P149" s="1" t="n"/>
      <c r="Q149" s="1" t="n"/>
    </row>
    <row r="150">
      <c r="A150" s="34">
        <f>IF($H150="UNIDADE CONSTRUTIVA",OFFSET(A150,-1,0)+1,LARGE(A$3:A149,1))</f>
        <v/>
      </c>
      <c r="B150" s="34">
        <f>IF(H150="UNIDADE CONSTRUTIVA",0,IF(H150="CÉLULA CONSTRUTIVA",OFFSET(B150,-1,0)+1,OFFSET(B150,-1,0)))</f>
        <v/>
      </c>
      <c r="C150" s="34">
        <f>IF(H150="CÉLULA CONSTRUTIVA",0,IF(H150="ETAPA",OFFSET(C150,-1,0)+1,OFFSET(C150,-1,0)))</f>
        <v/>
      </c>
      <c r="D150" s="35">
        <f>IF(H150="ETAPA",0,IF(H150="SUBETAPA",OFFSET(D150,-1,0)+1,OFFSET(D150,-1,0)))</f>
        <v/>
      </c>
      <c r="E150" s="35">
        <f>IF(H150="Subetapa",0,IF(H150="serviço",OFFSET(E150,-1,0)+1,OFFSET(E150,-1,0)))</f>
        <v/>
      </c>
      <c r="F150" s="56" t="n"/>
      <c r="G150" s="1" t="n"/>
      <c r="H150" s="1" t="n"/>
      <c r="I150" s="1" t="n"/>
      <c r="J150" s="67" t="n"/>
      <c r="K150" s="67" t="n"/>
      <c r="L150" s="1" t="n"/>
      <c r="M150" s="65" t="n"/>
      <c r="N150" s="66" t="n"/>
      <c r="O150" s="68" t="n"/>
      <c r="P150" s="1" t="n"/>
      <c r="Q150" s="1" t="n"/>
    </row>
    <row r="151">
      <c r="A151" s="34">
        <f>IF($H151="UNIDADE CONSTRUTIVA",OFFSET(A151,-1,0)+1,LARGE(A$3:A150,1))</f>
        <v/>
      </c>
      <c r="B151" s="34">
        <f>IF(H151="UNIDADE CONSTRUTIVA",0,IF(H151="CÉLULA CONSTRUTIVA",OFFSET(B151,-1,0)+1,OFFSET(B151,-1,0)))</f>
        <v/>
      </c>
      <c r="C151" s="34">
        <f>IF(H151="CÉLULA CONSTRUTIVA",0,IF(H151="ETAPA",OFFSET(C151,-1,0)+1,OFFSET(C151,-1,0)))</f>
        <v/>
      </c>
      <c r="D151" s="35">
        <f>IF(H151="ETAPA",0,IF(H151="SUBETAPA",OFFSET(D151,-1,0)+1,OFFSET(D151,-1,0)))</f>
        <v/>
      </c>
      <c r="E151" s="35">
        <f>IF(H151="Subetapa",0,IF(H151="serviço",OFFSET(E151,-1,0)+1,OFFSET(E151,-1,0)))</f>
        <v/>
      </c>
      <c r="F151" s="56" t="n"/>
      <c r="G151" s="1" t="n"/>
      <c r="H151" s="1" t="n"/>
      <c r="I151" s="1" t="n"/>
      <c r="J151" s="64" t="n"/>
      <c r="K151" s="52" t="n"/>
      <c r="L151" s="58" t="n"/>
      <c r="M151" s="69" t="n"/>
      <c r="N151" s="66" t="n"/>
      <c r="O151" s="56" t="n"/>
      <c r="P151" s="1" t="n"/>
      <c r="Q151" s="1" t="n"/>
    </row>
    <row r="152">
      <c r="A152" s="34">
        <f>IF($H152="UNIDADE CONSTRUTIVA",OFFSET(A152,-1,0)+1,LARGE(A$3:A151,1))</f>
        <v/>
      </c>
      <c r="B152" s="34">
        <f>IF(H152="UNIDADE CONSTRUTIVA",0,IF(H152="CÉLULA CONSTRUTIVA",OFFSET(B152,-1,0)+1,OFFSET(B152,-1,0)))</f>
        <v/>
      </c>
      <c r="C152" s="34">
        <f>IF(H152="CÉLULA CONSTRUTIVA",0,IF(H152="ETAPA",OFFSET(C152,-1,0)+1,OFFSET(C152,-1,0)))</f>
        <v/>
      </c>
      <c r="D152" s="35">
        <f>IF(H152="ETAPA",0,IF(H152="SUBETAPA",OFFSET(D152,-1,0)+1,OFFSET(D152,-1,0)))</f>
        <v/>
      </c>
      <c r="E152" s="35">
        <f>IF(H152="Subetapa",0,IF(H152="serviço",OFFSET(E152,-1,0)+1,OFFSET(E152,-1,0)))</f>
        <v/>
      </c>
      <c r="F152" s="56" t="n"/>
      <c r="G152" s="1" t="n"/>
      <c r="H152" s="1" t="n"/>
      <c r="I152" s="1" t="n"/>
      <c r="J152" s="64" t="n"/>
      <c r="K152" s="52" t="n"/>
      <c r="L152" s="58" t="n"/>
      <c r="M152" s="58" t="n"/>
      <c r="N152" s="70" t="n"/>
      <c r="O152" s="56" t="n"/>
      <c r="P152" s="1" t="n"/>
      <c r="Q152" s="1" t="n"/>
    </row>
    <row r="153">
      <c r="A153" s="34">
        <f>IF($H153="UNIDADE CONSTRUTIVA",OFFSET(A153,-1,0)+1,LARGE(A$3:A152,1))</f>
        <v/>
      </c>
      <c r="B153" s="34">
        <f>IF(H153="UNIDADE CONSTRUTIVA",0,IF(H153="CÉLULA CONSTRUTIVA",OFFSET(B153,-1,0)+1,OFFSET(B153,-1,0)))</f>
        <v/>
      </c>
      <c r="C153" s="34">
        <f>IF(H153="CÉLULA CONSTRUTIVA",0,IF(H153="ETAPA",OFFSET(C153,-1,0)+1,OFFSET(C153,-1,0)))</f>
        <v/>
      </c>
      <c r="D153" s="35">
        <f>IF(H153="ETAPA",0,IF(H153="SUBETAPA",OFFSET(D153,-1,0)+1,OFFSET(D153,-1,0)))</f>
        <v/>
      </c>
      <c r="E153" s="35">
        <f>IF(H153="Subetapa",0,IF(H153="serviço",OFFSET(E153,-1,0)+1,OFFSET(E153,-1,0)))</f>
        <v/>
      </c>
      <c r="F153" s="56" t="n"/>
      <c r="G153" s="1" t="n"/>
      <c r="H153" s="1" t="n"/>
      <c r="I153" s="1" t="n"/>
      <c r="J153" s="64" t="n"/>
      <c r="K153" s="52" t="n"/>
      <c r="L153" s="58" t="n"/>
      <c r="M153" s="58" t="n"/>
      <c r="N153" s="70" t="n"/>
      <c r="O153" s="56" t="n"/>
      <c r="P153" s="1" t="n"/>
      <c r="Q153" s="1" t="n"/>
    </row>
    <row r="154">
      <c r="A154" s="34">
        <f>IF($H154="UNIDADE CONSTRUTIVA",OFFSET(A154,-1,0)+1,LARGE(A$3:A153,1))</f>
        <v/>
      </c>
      <c r="B154" s="34">
        <f>IF(H154="UNIDADE CONSTRUTIVA",0,IF(H154="CÉLULA CONSTRUTIVA",OFFSET(B154,-1,0)+1,OFFSET(B154,-1,0)))</f>
        <v/>
      </c>
      <c r="C154" s="34">
        <f>IF(H154="CÉLULA CONSTRUTIVA",0,IF(H154="ETAPA",OFFSET(C154,-1,0)+1,OFFSET(C154,-1,0)))</f>
        <v/>
      </c>
      <c r="D154" s="35">
        <f>IF(H154="ETAPA",0,IF(H154="SUBETAPA",OFFSET(D154,-1,0)+1,OFFSET(D154,-1,0)))</f>
        <v/>
      </c>
      <c r="E154" s="35">
        <f>IF(H154="Subetapa",0,IF(H154="serviço",OFFSET(E154,-1,0)+1,OFFSET(E154,-1,0)))</f>
        <v/>
      </c>
      <c r="F154" s="56" t="n"/>
      <c r="G154" s="1" t="n"/>
      <c r="H154" s="1" t="n"/>
      <c r="I154" s="1" t="n"/>
      <c r="J154" s="64" t="n"/>
      <c r="K154" s="52" t="n"/>
      <c r="L154" s="58" t="n"/>
      <c r="M154" s="58" t="n"/>
      <c r="N154" s="70" t="n"/>
      <c r="O154" s="56" t="n"/>
      <c r="P154" s="1" t="n"/>
      <c r="Q154" s="1" t="n"/>
    </row>
    <row r="155">
      <c r="A155" s="34">
        <f>IF($H155="UNIDADE CONSTRUTIVA",OFFSET(A155,-1,0)+1,LARGE(A$3:A154,1))</f>
        <v/>
      </c>
      <c r="B155" s="34">
        <f>IF(H155="UNIDADE CONSTRUTIVA",0,IF(H155="CÉLULA CONSTRUTIVA",OFFSET(B155,-1,0)+1,OFFSET(B155,-1,0)))</f>
        <v/>
      </c>
      <c r="C155" s="34">
        <f>IF(H155="CÉLULA CONSTRUTIVA",0,IF(H155="ETAPA",OFFSET(C155,-1,0)+1,OFFSET(C155,-1,0)))</f>
        <v/>
      </c>
      <c r="D155" s="35">
        <f>IF(H155="ETAPA",0,IF(H155="SUBETAPA",OFFSET(D155,-1,0)+1,OFFSET(D155,-1,0)))</f>
        <v/>
      </c>
      <c r="E155" s="35">
        <f>IF(H155="Subetapa",0,IF(H155="serviço",OFFSET(E155,-1,0)+1,OFFSET(E155,-1,0)))</f>
        <v/>
      </c>
      <c r="F155" s="56" t="n"/>
      <c r="G155" s="1" t="n"/>
      <c r="H155" s="1" t="n"/>
      <c r="I155" s="1" t="n"/>
      <c r="J155" s="64" t="n"/>
      <c r="K155" s="52" t="n"/>
      <c r="L155" s="58" t="n"/>
      <c r="M155" s="58" t="n"/>
      <c r="N155" s="70" t="n"/>
      <c r="O155" s="56" t="n"/>
      <c r="P155" s="1" t="n"/>
      <c r="Q155" s="1" t="n"/>
    </row>
    <row r="156">
      <c r="A156" s="34">
        <f>IF($H156="UNIDADE CONSTRUTIVA",OFFSET(A156,-1,0)+1,LARGE(A$3:A155,1))</f>
        <v/>
      </c>
      <c r="B156" s="34">
        <f>IF(H156="UNIDADE CONSTRUTIVA",0,IF(H156="CÉLULA CONSTRUTIVA",OFFSET(B156,-1,0)+1,OFFSET(B156,-1,0)))</f>
        <v/>
      </c>
      <c r="C156" s="34">
        <f>IF(H156="CÉLULA CONSTRUTIVA",0,IF(H156="ETAPA",OFFSET(C156,-1,0)+1,OFFSET(C156,-1,0)))</f>
        <v/>
      </c>
      <c r="D156" s="35">
        <f>IF(H156="ETAPA",0,IF(H156="SUBETAPA",OFFSET(D156,-1,0)+1,OFFSET(D156,-1,0)))</f>
        <v/>
      </c>
      <c r="E156" s="35">
        <f>IF(H156="Subetapa",0,IF(H156="serviço",OFFSET(E156,-1,0)+1,OFFSET(E156,-1,0)))</f>
        <v/>
      </c>
      <c r="F156" s="56" t="n"/>
      <c r="G156" s="1" t="n"/>
      <c r="H156" s="1" t="n"/>
      <c r="I156" s="1" t="n"/>
      <c r="J156" s="64" t="n"/>
      <c r="K156" s="52" t="n"/>
      <c r="L156" s="58" t="n"/>
      <c r="M156" s="58" t="n"/>
      <c r="N156" s="70" t="n"/>
      <c r="O156" s="56" t="n"/>
      <c r="P156" s="1" t="n"/>
      <c r="Q156" s="1" t="n"/>
    </row>
    <row r="157">
      <c r="A157" s="34">
        <f>IF($H157="UNIDADE CONSTRUTIVA",OFFSET(A157,-1,0)+1,LARGE(A$3:A156,1))</f>
        <v/>
      </c>
      <c r="B157" s="34">
        <f>IF(H157="UNIDADE CONSTRUTIVA",0,IF(H157="CÉLULA CONSTRUTIVA",OFFSET(B157,-1,0)+1,OFFSET(B157,-1,0)))</f>
        <v/>
      </c>
      <c r="C157" s="34">
        <f>IF(H157="CÉLULA CONSTRUTIVA",0,IF(H157="ETAPA",OFFSET(C157,-1,0)+1,OFFSET(C157,-1,0)))</f>
        <v/>
      </c>
      <c r="D157" s="35">
        <f>IF(H157="ETAPA",0,IF(H157="SUBETAPA",OFFSET(D157,-1,0)+1,OFFSET(D157,-1,0)))</f>
        <v/>
      </c>
      <c r="E157" s="35">
        <f>IF(H157="Subetapa",0,IF(H157="serviço",OFFSET(E157,-1,0)+1,OFFSET(E157,-1,0)))</f>
        <v/>
      </c>
      <c r="F157" s="56" t="n"/>
      <c r="G157" s="1" t="n"/>
      <c r="H157" s="1" t="n"/>
      <c r="I157" s="1" t="n"/>
      <c r="J157" s="64" t="n"/>
      <c r="K157" s="52" t="n"/>
      <c r="L157" s="58" t="n"/>
      <c r="M157" s="58" t="n"/>
      <c r="N157" s="70" t="n"/>
      <c r="O157" s="56" t="n"/>
      <c r="P157" s="1" t="n"/>
      <c r="Q157" s="1" t="n"/>
    </row>
    <row r="158">
      <c r="A158" s="34">
        <f>IF($H158="UNIDADE CONSTRUTIVA",OFFSET(A158,-1,0)+1,LARGE(A$3:A157,1))</f>
        <v/>
      </c>
      <c r="B158" s="34">
        <f>IF(H158="UNIDADE CONSTRUTIVA",0,IF(H158="CÉLULA CONSTRUTIVA",OFFSET(B158,-1,0)+1,OFFSET(B158,-1,0)))</f>
        <v/>
      </c>
      <c r="C158" s="34">
        <f>IF(H158="CÉLULA CONSTRUTIVA",0,IF(H158="ETAPA",OFFSET(C158,-1,0)+1,OFFSET(C158,-1,0)))</f>
        <v/>
      </c>
      <c r="D158" s="35">
        <f>IF(H158="ETAPA",0,IF(H158="SUBETAPA",OFFSET(D158,-1,0)+1,OFFSET(D158,-1,0)))</f>
        <v/>
      </c>
      <c r="E158" s="35">
        <f>IF(H158="Subetapa",0,IF(H158="serviço",OFFSET(E158,-1,0)+1,OFFSET(E158,-1,0)))</f>
        <v/>
      </c>
      <c r="F158" s="56" t="n"/>
      <c r="G158" s="1" t="n"/>
      <c r="H158" s="1" t="n"/>
      <c r="I158" s="1" t="n"/>
      <c r="J158" s="64" t="n"/>
      <c r="K158" s="52" t="n"/>
      <c r="L158" s="58" t="n"/>
      <c r="M158" s="58" t="n"/>
      <c r="N158" s="70" t="n"/>
      <c r="O158" s="56" t="n"/>
      <c r="P158" s="1" t="n"/>
      <c r="Q158" s="1" t="n"/>
    </row>
    <row r="159">
      <c r="A159" s="34">
        <f>IF($H159="UNIDADE CONSTRUTIVA",OFFSET(A159,-1,0)+1,LARGE(A$3:A158,1))</f>
        <v/>
      </c>
      <c r="B159" s="34">
        <f>IF(H159="UNIDADE CONSTRUTIVA",0,IF(H159="CÉLULA CONSTRUTIVA",OFFSET(B159,-1,0)+1,OFFSET(B159,-1,0)))</f>
        <v/>
      </c>
      <c r="C159" s="34">
        <f>IF(H159="CÉLULA CONSTRUTIVA",0,IF(H159="ETAPA",OFFSET(C159,-1,0)+1,OFFSET(C159,-1,0)))</f>
        <v/>
      </c>
      <c r="D159" s="35">
        <f>IF(H159="ETAPA",0,IF(H159="SUBETAPA",OFFSET(D159,-1,0)+1,OFFSET(D159,-1,0)))</f>
        <v/>
      </c>
      <c r="E159" s="35">
        <f>IF(H159="Subetapa",0,IF(H159="serviço",OFFSET(E159,-1,0)+1,OFFSET(E159,-1,0)))</f>
        <v/>
      </c>
      <c r="F159" s="56" t="n"/>
      <c r="G159" s="1" t="n"/>
      <c r="H159" s="1" t="n"/>
      <c r="I159" s="1" t="n"/>
      <c r="J159" s="64" t="n"/>
      <c r="K159" s="52" t="n"/>
      <c r="L159" s="58" t="n"/>
      <c r="M159" s="58" t="n"/>
      <c r="N159" s="70" t="n"/>
      <c r="O159" s="56" t="n"/>
      <c r="P159" s="1" t="n"/>
      <c r="Q159" s="1" t="n"/>
    </row>
    <row r="160">
      <c r="A160" s="34">
        <f>IF($H160="UNIDADE CONSTRUTIVA",OFFSET(A160,-1,0)+1,LARGE(A$3:A159,1))</f>
        <v/>
      </c>
      <c r="B160" s="34">
        <f>IF(H160="UNIDADE CONSTRUTIVA",0,IF(H160="CÉLULA CONSTRUTIVA",OFFSET(B160,-1,0)+1,OFFSET(B160,-1,0)))</f>
        <v/>
      </c>
      <c r="C160" s="34">
        <f>IF(H160="CÉLULA CONSTRUTIVA",0,IF(H160="ETAPA",OFFSET(C160,-1,0)+1,OFFSET(C160,-1,0)))</f>
        <v/>
      </c>
      <c r="D160" s="35">
        <f>IF(H160="ETAPA",0,IF(H160="SUBETAPA",OFFSET(D160,-1,0)+1,OFFSET(D160,-1,0)))</f>
        <v/>
      </c>
      <c r="E160" s="35">
        <f>IF(H160="Subetapa",0,IF(H160="serviço",OFFSET(E160,-1,0)+1,OFFSET(E160,-1,0)))</f>
        <v/>
      </c>
      <c r="F160" s="56" t="n"/>
      <c r="G160" s="1" t="n"/>
      <c r="H160" s="1" t="n"/>
      <c r="I160" s="1" t="n"/>
      <c r="J160" s="64" t="n"/>
      <c r="K160" s="52" t="n"/>
      <c r="L160" s="58" t="n"/>
      <c r="M160" s="58" t="n"/>
      <c r="N160" s="70" t="n"/>
      <c r="O160" s="56" t="n"/>
      <c r="P160" s="1" t="n"/>
      <c r="Q160" s="1" t="n"/>
    </row>
    <row r="161">
      <c r="A161" s="34">
        <f>IF($H161="UNIDADE CONSTRUTIVA",OFFSET(A161,-1,0)+1,LARGE(A$3:A160,1))</f>
        <v/>
      </c>
      <c r="B161" s="34">
        <f>IF(H161="UNIDADE CONSTRUTIVA",0,IF(H161="CÉLULA CONSTRUTIVA",OFFSET(B161,-1,0)+1,OFFSET(B161,-1,0)))</f>
        <v/>
      </c>
      <c r="C161" s="34">
        <f>IF(H161="CÉLULA CONSTRUTIVA",0,IF(H161="ETAPA",OFFSET(C161,-1,0)+1,OFFSET(C161,-1,0)))</f>
        <v/>
      </c>
      <c r="D161" s="35">
        <f>IF(H161="ETAPA",0,IF(H161="SUBETAPA",OFFSET(D161,-1,0)+1,OFFSET(D161,-1,0)))</f>
        <v/>
      </c>
      <c r="E161" s="35">
        <f>IF(H161="Subetapa",0,IF(H161="serviço",OFFSET(E161,-1,0)+1,OFFSET(E161,-1,0)))</f>
        <v/>
      </c>
      <c r="F161" s="56" t="n"/>
      <c r="G161" s="1" t="n"/>
      <c r="H161" s="1" t="n"/>
      <c r="I161" s="1" t="n"/>
      <c r="J161" s="64" t="n"/>
      <c r="K161" s="52" t="n"/>
      <c r="L161" s="58" t="n"/>
      <c r="M161" s="58" t="n"/>
      <c r="N161" s="70" t="n"/>
      <c r="O161" s="56" t="n"/>
      <c r="P161" s="1" t="n"/>
      <c r="Q161" s="1" t="n"/>
    </row>
    <row r="162">
      <c r="A162" s="34">
        <f>IF($H162="UNIDADE CONSTRUTIVA",OFFSET(A162,-1,0)+1,LARGE(A$3:A161,1))</f>
        <v/>
      </c>
      <c r="B162" s="34">
        <f>IF(H162="UNIDADE CONSTRUTIVA",0,IF(H162="CÉLULA CONSTRUTIVA",OFFSET(B162,-1,0)+1,OFFSET(B162,-1,0)))</f>
        <v/>
      </c>
      <c r="C162" s="34">
        <f>IF(H162="CÉLULA CONSTRUTIVA",0,IF(H162="ETAPA",OFFSET(C162,-1,0)+1,OFFSET(C162,-1,0)))</f>
        <v/>
      </c>
      <c r="D162" s="35">
        <f>IF(H162="ETAPA",0,IF(H162="SUBETAPA",OFFSET(D162,-1,0)+1,OFFSET(D162,-1,0)))</f>
        <v/>
      </c>
      <c r="E162" s="35">
        <f>IF(H162="Subetapa",0,IF(H162="serviço",OFFSET(E162,-1,0)+1,OFFSET(E162,-1,0)))</f>
        <v/>
      </c>
      <c r="F162" s="56" t="n"/>
      <c r="G162" s="1" t="n"/>
      <c r="H162" s="1" t="n"/>
      <c r="I162" s="1" t="n"/>
      <c r="J162" s="64" t="n"/>
      <c r="K162" s="52" t="n"/>
      <c r="L162" s="58" t="n"/>
      <c r="M162" s="58" t="n"/>
      <c r="N162" s="70" t="n"/>
      <c r="O162" s="56" t="n"/>
      <c r="P162" s="1" t="n"/>
      <c r="Q162" s="1" t="n"/>
    </row>
    <row r="163">
      <c r="A163" s="34">
        <f>IF($H163="UNIDADE CONSTRUTIVA",OFFSET(A163,-1,0)+1,LARGE(A$3:A162,1))</f>
        <v/>
      </c>
      <c r="B163" s="34">
        <f>IF(H163="UNIDADE CONSTRUTIVA",0,IF(H163="CÉLULA CONSTRUTIVA",OFFSET(B163,-1,0)+1,OFFSET(B163,-1,0)))</f>
        <v/>
      </c>
      <c r="C163" s="34">
        <f>IF(H163="CÉLULA CONSTRUTIVA",0,IF(H163="ETAPA",OFFSET(C163,-1,0)+1,OFFSET(C163,-1,0)))</f>
        <v/>
      </c>
      <c r="D163" s="35">
        <f>IF(H163="ETAPA",0,IF(H163="SUBETAPA",OFFSET(D163,-1,0)+1,OFFSET(D163,-1,0)))</f>
        <v/>
      </c>
      <c r="E163" s="35">
        <f>IF(H163="Subetapa",0,IF(H163="serviço",OFFSET(E163,-1,0)+1,OFFSET(E163,-1,0)))</f>
        <v/>
      </c>
      <c r="F163" s="56" t="n"/>
      <c r="G163" s="1" t="n"/>
      <c r="H163" s="1" t="n"/>
      <c r="I163" s="1" t="n"/>
      <c r="J163" s="64" t="n"/>
      <c r="K163" s="52" t="n"/>
      <c r="L163" s="58" t="n"/>
      <c r="M163" s="58" t="n"/>
      <c r="N163" s="70" t="n"/>
      <c r="O163" s="56" t="n"/>
      <c r="P163" s="1" t="n"/>
      <c r="Q163" s="1" t="n"/>
    </row>
    <row r="164">
      <c r="A164" s="34">
        <f>IF($H164="UNIDADE CONSTRUTIVA",OFFSET(A164,-1,0)+1,LARGE(A$3:A163,1))</f>
        <v/>
      </c>
      <c r="B164" s="34">
        <f>IF(H164="UNIDADE CONSTRUTIVA",0,IF(H164="CÉLULA CONSTRUTIVA",OFFSET(B164,-1,0)+1,OFFSET(B164,-1,0)))</f>
        <v/>
      </c>
      <c r="C164" s="34">
        <f>IF(H164="CÉLULA CONSTRUTIVA",0,IF(H164="ETAPA",OFFSET(C164,-1,0)+1,OFFSET(C164,-1,0)))</f>
        <v/>
      </c>
      <c r="D164" s="35">
        <f>IF(H164="ETAPA",0,IF(H164="SUBETAPA",OFFSET(D164,-1,0)+1,OFFSET(D164,-1,0)))</f>
        <v/>
      </c>
      <c r="E164" s="35">
        <f>IF(H164="Subetapa",0,IF(H164="serviço",OFFSET(E164,-1,0)+1,OFFSET(E164,-1,0)))</f>
        <v/>
      </c>
      <c r="F164" s="56" t="n"/>
      <c r="G164" s="1" t="n"/>
      <c r="H164" s="1" t="n"/>
      <c r="I164" s="1" t="n"/>
      <c r="J164" s="64" t="n"/>
      <c r="K164" s="52" t="n"/>
      <c r="L164" s="58" t="n"/>
      <c r="M164" s="58" t="n"/>
      <c r="N164" s="70" t="n"/>
      <c r="O164" s="56" t="n"/>
      <c r="P164" s="1" t="n"/>
      <c r="Q164" s="1" t="n"/>
    </row>
    <row r="165">
      <c r="A165" s="34">
        <f>IF($H165="UNIDADE CONSTRUTIVA",OFFSET(A165,-1,0)+1,LARGE(A$3:A164,1))</f>
        <v/>
      </c>
      <c r="B165" s="34">
        <f>IF(H165="UNIDADE CONSTRUTIVA",0,IF(H165="CÉLULA CONSTRUTIVA",OFFSET(B165,-1,0)+1,OFFSET(B165,-1,0)))</f>
        <v/>
      </c>
      <c r="C165" s="34">
        <f>IF(H165="CÉLULA CONSTRUTIVA",0,IF(H165="ETAPA",OFFSET(C165,-1,0)+1,OFFSET(C165,-1,0)))</f>
        <v/>
      </c>
      <c r="D165" s="35">
        <f>IF(H165="ETAPA",0,IF(H165="SUBETAPA",OFFSET(D165,-1,0)+1,OFFSET(D165,-1,0)))</f>
        <v/>
      </c>
      <c r="E165" s="35">
        <f>IF(H165="Subetapa",0,IF(H165="serviço",OFFSET(E165,-1,0)+1,OFFSET(E165,-1,0)))</f>
        <v/>
      </c>
      <c r="F165" s="56" t="n"/>
      <c r="G165" s="1" t="n"/>
      <c r="H165" s="1" t="n"/>
      <c r="I165" s="1" t="n"/>
      <c r="J165" s="64" t="n"/>
      <c r="K165" s="52" t="n"/>
      <c r="L165" s="58" t="n"/>
      <c r="M165" s="58" t="n"/>
      <c r="N165" s="70" t="n"/>
      <c r="O165" s="56" t="n"/>
      <c r="P165" s="1" t="n"/>
      <c r="Q165" s="1" t="n"/>
    </row>
    <row r="166">
      <c r="A166" s="34">
        <f>IF($H166="UNIDADE CONSTRUTIVA",OFFSET(A166,-1,0)+1,LARGE(A$3:A165,1))</f>
        <v/>
      </c>
      <c r="B166" s="34">
        <f>IF(H166="UNIDADE CONSTRUTIVA",0,IF(H166="CÉLULA CONSTRUTIVA",OFFSET(B166,-1,0)+1,OFFSET(B166,-1,0)))</f>
        <v/>
      </c>
      <c r="C166" s="34">
        <f>IF(H166="CÉLULA CONSTRUTIVA",0,IF(H166="ETAPA",OFFSET(C166,-1,0)+1,OFFSET(C166,-1,0)))</f>
        <v/>
      </c>
      <c r="D166" s="35">
        <f>IF(H166="ETAPA",0,IF(H166="SUBETAPA",OFFSET(D166,-1,0)+1,OFFSET(D166,-1,0)))</f>
        <v/>
      </c>
      <c r="E166" s="35">
        <f>IF(H166="Subetapa",0,IF(H166="serviço",OFFSET(E166,-1,0)+1,OFFSET(E166,-1,0)))</f>
        <v/>
      </c>
      <c r="F166" s="56" t="n"/>
      <c r="G166" s="1" t="n"/>
      <c r="H166" s="1" t="n"/>
      <c r="I166" s="1" t="n"/>
      <c r="J166" s="64" t="n"/>
      <c r="K166" s="52" t="n"/>
      <c r="L166" s="58" t="n"/>
      <c r="M166" s="58" t="n"/>
      <c r="N166" s="70" t="n"/>
      <c r="O166" s="56" t="n"/>
      <c r="P166" s="1" t="n"/>
      <c r="Q166" s="1" t="n"/>
    </row>
    <row r="167">
      <c r="A167" s="34">
        <f>IF($H167="UNIDADE CONSTRUTIVA",OFFSET(A167,-1,0)+1,LARGE(A$3:A166,1))</f>
        <v/>
      </c>
      <c r="B167" s="34">
        <f>IF(H167="UNIDADE CONSTRUTIVA",0,IF(H167="CÉLULA CONSTRUTIVA",OFFSET(B167,-1,0)+1,OFFSET(B167,-1,0)))</f>
        <v/>
      </c>
      <c r="C167" s="34">
        <f>IF(H167="CÉLULA CONSTRUTIVA",0,IF(H167="ETAPA",OFFSET(C167,-1,0)+1,OFFSET(C167,-1,0)))</f>
        <v/>
      </c>
      <c r="D167" s="35">
        <f>IF(H167="ETAPA",0,IF(H167="SUBETAPA",OFFSET(D167,-1,0)+1,OFFSET(D167,-1,0)))</f>
        <v/>
      </c>
      <c r="E167" s="35">
        <f>IF(H167="Subetapa",0,IF(H167="serviço",OFFSET(E167,-1,0)+1,OFFSET(E167,-1,0)))</f>
        <v/>
      </c>
      <c r="F167" s="56" t="n"/>
      <c r="G167" s="1" t="n"/>
      <c r="H167" s="1" t="n"/>
      <c r="I167" s="1" t="n"/>
      <c r="J167" s="64" t="n"/>
      <c r="K167" s="52" t="n"/>
      <c r="L167" s="58" t="n"/>
      <c r="M167" s="58" t="n"/>
      <c r="N167" s="70" t="n"/>
      <c r="O167" s="56" t="n"/>
      <c r="P167" s="1" t="n"/>
      <c r="Q167" s="1" t="n"/>
    </row>
    <row r="168">
      <c r="A168" s="34">
        <f>IF($H168="UNIDADE CONSTRUTIVA",OFFSET(A168,-1,0)+1,LARGE(A$3:A167,1))</f>
        <v/>
      </c>
      <c r="B168" s="34">
        <f>IF(H168="UNIDADE CONSTRUTIVA",0,IF(H168="CÉLULA CONSTRUTIVA",OFFSET(B168,-1,0)+1,OFFSET(B168,-1,0)))</f>
        <v/>
      </c>
      <c r="C168" s="34">
        <f>IF(H168="CÉLULA CONSTRUTIVA",0,IF(H168="ETAPA",OFFSET(C168,-1,0)+1,OFFSET(C168,-1,0)))</f>
        <v/>
      </c>
      <c r="D168" s="35">
        <f>IF(H168="ETAPA",0,IF(H168="SUBETAPA",OFFSET(D168,-1,0)+1,OFFSET(D168,-1,0)))</f>
        <v/>
      </c>
      <c r="E168" s="35">
        <f>IF(H168="Subetapa",0,IF(H168="serviço",OFFSET(E168,-1,0)+1,OFFSET(E168,-1,0)))</f>
        <v/>
      </c>
      <c r="F168" s="56" t="n"/>
      <c r="G168" s="1" t="n"/>
      <c r="H168" s="1" t="n"/>
      <c r="I168" s="1" t="n"/>
      <c r="J168" s="64" t="n"/>
      <c r="K168" s="52" t="n"/>
      <c r="L168" s="58" t="n"/>
      <c r="M168" s="58" t="n"/>
      <c r="N168" s="70" t="n"/>
      <c r="O168" s="56" t="n"/>
      <c r="P168" s="1" t="n"/>
      <c r="Q168" s="1" t="n"/>
    </row>
    <row r="169">
      <c r="A169" s="34">
        <f>IF($H169="UNIDADE CONSTRUTIVA",OFFSET(A169,-1,0)+1,LARGE(A$3:A168,1))</f>
        <v/>
      </c>
      <c r="B169" s="34">
        <f>IF(H169="UNIDADE CONSTRUTIVA",0,IF(H169="CÉLULA CONSTRUTIVA",OFFSET(B169,-1,0)+1,OFFSET(B169,-1,0)))</f>
        <v/>
      </c>
      <c r="C169" s="34">
        <f>IF(H169="CÉLULA CONSTRUTIVA",0,IF(H169="ETAPA",OFFSET(C169,-1,0)+1,OFFSET(C169,-1,0)))</f>
        <v/>
      </c>
      <c r="D169" s="35">
        <f>IF(H169="ETAPA",0,IF(H169="SUBETAPA",OFFSET(D169,-1,0)+1,OFFSET(D169,-1,0)))</f>
        <v/>
      </c>
      <c r="E169" s="35">
        <f>IF(H169="Subetapa",0,IF(H169="serviço",OFFSET(E169,-1,0)+1,OFFSET(E169,-1,0)))</f>
        <v/>
      </c>
      <c r="F169" s="56" t="n"/>
      <c r="G169" s="1" t="n"/>
      <c r="H169" s="1" t="n"/>
      <c r="I169" s="1" t="n"/>
      <c r="J169" s="64" t="n"/>
      <c r="K169" s="52" t="n"/>
      <c r="L169" s="58" t="n"/>
      <c r="M169" s="58" t="n"/>
      <c r="N169" s="70" t="n"/>
      <c r="O169" s="56" t="n"/>
      <c r="P169" s="1" t="n"/>
      <c r="Q169" s="1" t="n"/>
    </row>
    <row r="170">
      <c r="A170" s="34">
        <f>IF($H170="UNIDADE CONSTRUTIVA",OFFSET(A170,-1,0)+1,LARGE(A$3:A169,1))</f>
        <v/>
      </c>
      <c r="B170" s="34">
        <f>IF(H170="UNIDADE CONSTRUTIVA",0,IF(H170="CÉLULA CONSTRUTIVA",OFFSET(B170,-1,0)+1,OFFSET(B170,-1,0)))</f>
        <v/>
      </c>
      <c r="C170" s="34">
        <f>IF(H170="CÉLULA CONSTRUTIVA",0,IF(H170="ETAPA",OFFSET(C170,-1,0)+1,OFFSET(C170,-1,0)))</f>
        <v/>
      </c>
      <c r="D170" s="35">
        <f>IF(H170="ETAPA",0,IF(H170="SUBETAPA",OFFSET(D170,-1,0)+1,OFFSET(D170,-1,0)))</f>
        <v/>
      </c>
      <c r="E170" s="35">
        <f>IF(H170="Subetapa",0,IF(H170="serviço",OFFSET(E170,-1,0)+1,OFFSET(E170,-1,0)))</f>
        <v/>
      </c>
      <c r="F170" s="56" t="n"/>
      <c r="G170" s="1" t="n"/>
      <c r="H170" s="1" t="n"/>
      <c r="I170" s="1" t="n"/>
      <c r="J170" s="64" t="n"/>
      <c r="K170" s="52" t="n"/>
      <c r="L170" s="58" t="n"/>
      <c r="M170" s="58" t="n"/>
      <c r="N170" s="70" t="n"/>
      <c r="O170" s="56" t="n"/>
      <c r="P170" s="1" t="n"/>
      <c r="Q170" s="1" t="n"/>
    </row>
    <row r="171">
      <c r="A171" s="34">
        <f>IF($H171="UNIDADE CONSTRUTIVA",OFFSET(A171,-1,0)+1,LARGE(A$3:A170,1))</f>
        <v/>
      </c>
      <c r="B171" s="34">
        <f>IF(H171="UNIDADE CONSTRUTIVA",0,IF(H171="CÉLULA CONSTRUTIVA",OFFSET(B171,-1,0)+1,OFFSET(B171,-1,0)))</f>
        <v/>
      </c>
      <c r="C171" s="34">
        <f>IF(H171="CÉLULA CONSTRUTIVA",0,IF(H171="ETAPA",OFFSET(C171,-1,0)+1,OFFSET(C171,-1,0)))</f>
        <v/>
      </c>
      <c r="D171" s="35">
        <f>IF(H171="ETAPA",0,IF(H171="SUBETAPA",OFFSET(D171,-1,0)+1,OFFSET(D171,-1,0)))</f>
        <v/>
      </c>
      <c r="E171" s="35">
        <f>IF(H171="Subetapa",0,IF(H171="serviço",OFFSET(E171,-1,0)+1,OFFSET(E171,-1,0)))</f>
        <v/>
      </c>
      <c r="F171" s="56" t="n"/>
      <c r="G171" s="1" t="n"/>
      <c r="H171" s="1" t="n"/>
      <c r="I171" s="1" t="n"/>
      <c r="J171" s="64" t="n"/>
      <c r="K171" s="52" t="n"/>
      <c r="L171" s="58" t="n"/>
      <c r="M171" s="58" t="n"/>
      <c r="N171" s="70" t="n"/>
      <c r="O171" s="56" t="n"/>
      <c r="P171" s="1" t="n"/>
      <c r="Q171" s="1" t="n"/>
    </row>
    <row r="172">
      <c r="A172" s="34">
        <f>IF($H172="UNIDADE CONSTRUTIVA",OFFSET(A172,-1,0)+1,LARGE(A$3:A171,1))</f>
        <v/>
      </c>
      <c r="B172" s="34">
        <f>IF(H172="UNIDADE CONSTRUTIVA",0,IF(H172="CÉLULA CONSTRUTIVA",OFFSET(B172,-1,0)+1,OFFSET(B172,-1,0)))</f>
        <v/>
      </c>
      <c r="C172" s="34">
        <f>IF(H172="CÉLULA CONSTRUTIVA",0,IF(H172="ETAPA",OFFSET(C172,-1,0)+1,OFFSET(C172,-1,0)))</f>
        <v/>
      </c>
      <c r="D172" s="35">
        <f>IF(H172="ETAPA",0,IF(H172="SUBETAPA",OFFSET(D172,-1,0)+1,OFFSET(D172,-1,0)))</f>
        <v/>
      </c>
      <c r="E172" s="35">
        <f>IF(H172="Subetapa",0,IF(H172="serviço",OFFSET(E172,-1,0)+1,OFFSET(E172,-1,0)))</f>
        <v/>
      </c>
      <c r="F172" s="56" t="n"/>
      <c r="G172" s="1" t="n"/>
      <c r="H172" s="1" t="n"/>
      <c r="I172" s="1" t="n"/>
      <c r="J172" s="64" t="n"/>
      <c r="K172" s="52" t="n"/>
      <c r="L172" s="58" t="n"/>
      <c r="M172" s="58" t="n"/>
      <c r="N172" s="70" t="n"/>
      <c r="O172" s="56" t="n"/>
      <c r="P172" s="1" t="n"/>
      <c r="Q172" s="1" t="n"/>
    </row>
    <row r="173">
      <c r="A173" s="34">
        <f>IF($H173="UNIDADE CONSTRUTIVA",OFFSET(A173,-1,0)+1,LARGE(A$3:A172,1))</f>
        <v/>
      </c>
      <c r="B173" s="34">
        <f>IF(H173="UNIDADE CONSTRUTIVA",0,IF(H173="CÉLULA CONSTRUTIVA",OFFSET(B173,-1,0)+1,OFFSET(B173,-1,0)))</f>
        <v/>
      </c>
      <c r="C173" s="34">
        <f>IF(H173="CÉLULA CONSTRUTIVA",0,IF(H173="ETAPA",OFFSET(C173,-1,0)+1,OFFSET(C173,-1,0)))</f>
        <v/>
      </c>
      <c r="D173" s="35">
        <f>IF(H173="ETAPA",0,IF(H173="SUBETAPA",OFFSET(D173,-1,0)+1,OFFSET(D173,-1,0)))</f>
        <v/>
      </c>
      <c r="E173" s="35">
        <f>IF(H173="Subetapa",0,IF(H173="serviço",OFFSET(E173,-1,0)+1,OFFSET(E173,-1,0)))</f>
        <v/>
      </c>
      <c r="F173" s="56" t="n"/>
      <c r="G173" s="1" t="n"/>
      <c r="H173" s="1" t="n"/>
      <c r="I173" s="1" t="n"/>
      <c r="J173" s="64" t="n"/>
      <c r="K173" s="52" t="n"/>
      <c r="L173" s="58" t="n"/>
      <c r="M173" s="58" t="n"/>
      <c r="N173" s="70" t="n"/>
      <c r="O173" s="56" t="n"/>
      <c r="P173" s="1" t="n"/>
      <c r="Q173" s="1" t="n"/>
    </row>
    <row r="174">
      <c r="A174" s="34">
        <f>IF($H174="UNIDADE CONSTRUTIVA",OFFSET(A174,-1,0)+1,LARGE(A$3:A173,1))</f>
        <v/>
      </c>
      <c r="B174" s="34">
        <f>IF(H174="UNIDADE CONSTRUTIVA",0,IF(H174="CÉLULA CONSTRUTIVA",OFFSET(B174,-1,0)+1,OFFSET(B174,-1,0)))</f>
        <v/>
      </c>
      <c r="C174" s="34">
        <f>IF(H174="CÉLULA CONSTRUTIVA",0,IF(H174="ETAPA",OFFSET(C174,-1,0)+1,OFFSET(C174,-1,0)))</f>
        <v/>
      </c>
      <c r="D174" s="35">
        <f>IF(H174="ETAPA",0,IF(H174="SUBETAPA",OFFSET(D174,-1,0)+1,OFFSET(D174,-1,0)))</f>
        <v/>
      </c>
      <c r="E174" s="35">
        <f>IF(H174="Subetapa",0,IF(H174="serviço",OFFSET(E174,-1,0)+1,OFFSET(E174,-1,0)))</f>
        <v/>
      </c>
      <c r="F174" s="56" t="n"/>
      <c r="G174" s="1" t="n"/>
      <c r="H174" s="1" t="n"/>
      <c r="I174" s="1" t="n"/>
      <c r="J174" s="64" t="n"/>
      <c r="K174" s="52" t="n"/>
      <c r="L174" s="58" t="n"/>
      <c r="M174" s="58" t="n"/>
      <c r="N174" s="70" t="n"/>
      <c r="O174" s="56" t="n"/>
      <c r="P174" s="1" t="n"/>
      <c r="Q174" s="1" t="n"/>
    </row>
    <row r="175">
      <c r="A175" s="34">
        <f>IF($H175="UNIDADE CONSTRUTIVA",OFFSET(A175,-1,0)+1,LARGE(A$3:A174,1))</f>
        <v/>
      </c>
      <c r="B175" s="34">
        <f>IF(H175="UNIDADE CONSTRUTIVA",0,IF(H175="CÉLULA CONSTRUTIVA",OFFSET(B175,-1,0)+1,OFFSET(B175,-1,0)))</f>
        <v/>
      </c>
      <c r="C175" s="34">
        <f>IF(H175="CÉLULA CONSTRUTIVA",0,IF(H175="ETAPA",OFFSET(C175,-1,0)+1,OFFSET(C175,-1,0)))</f>
        <v/>
      </c>
      <c r="D175" s="35">
        <f>IF(H175="ETAPA",0,IF(H175="SUBETAPA",OFFSET(D175,-1,0)+1,OFFSET(D175,-1,0)))</f>
        <v/>
      </c>
      <c r="E175" s="35">
        <f>IF(H175="Subetapa",0,IF(H175="serviço",OFFSET(E175,-1,0)+1,OFFSET(E175,-1,0)))</f>
        <v/>
      </c>
      <c r="F175" s="56" t="n"/>
      <c r="G175" s="1" t="n"/>
      <c r="H175" s="1" t="n"/>
      <c r="I175" s="1" t="n"/>
      <c r="J175" s="64" t="n"/>
      <c r="K175" s="52" t="n"/>
      <c r="L175" s="58" t="n"/>
      <c r="M175" s="58" t="n"/>
      <c r="N175" s="70" t="n"/>
      <c r="O175" s="56" t="n"/>
      <c r="P175" s="1" t="n"/>
      <c r="Q175" s="1" t="n"/>
    </row>
    <row r="176">
      <c r="A176" s="34">
        <f>IF($H176="UNIDADE CONSTRUTIVA",OFFSET(A176,-1,0)+1,LARGE(A$3:A175,1))</f>
        <v/>
      </c>
      <c r="B176" s="34">
        <f>IF(H176="UNIDADE CONSTRUTIVA",0,IF(H176="CÉLULA CONSTRUTIVA",OFFSET(B176,-1,0)+1,OFFSET(B176,-1,0)))</f>
        <v/>
      </c>
      <c r="C176" s="34">
        <f>IF(H176="CÉLULA CONSTRUTIVA",0,IF(H176="ETAPA",OFFSET(C176,-1,0)+1,OFFSET(C176,-1,0)))</f>
        <v/>
      </c>
      <c r="D176" s="35">
        <f>IF(H176="ETAPA",0,IF(H176="SUBETAPA",OFFSET(D176,-1,0)+1,OFFSET(D176,-1,0)))</f>
        <v/>
      </c>
      <c r="E176" s="35">
        <f>IF(H176="Subetapa",0,IF(H176="serviço",OFFSET(E176,-1,0)+1,OFFSET(E176,-1,0)))</f>
        <v/>
      </c>
      <c r="F176" s="56" t="n"/>
      <c r="G176" s="1" t="n"/>
      <c r="H176" s="1" t="n"/>
      <c r="I176" s="1" t="n"/>
      <c r="J176" s="64" t="n"/>
      <c r="K176" s="52" t="n"/>
      <c r="L176" s="58" t="n"/>
      <c r="M176" s="58" t="n"/>
      <c r="N176" s="70" t="n"/>
      <c r="O176" s="56" t="n"/>
      <c r="P176" s="1" t="n"/>
      <c r="Q176" s="1" t="n"/>
    </row>
    <row r="177">
      <c r="A177" s="34">
        <f>IF($H177="UNIDADE CONSTRUTIVA",OFFSET(A177,-1,0)+1,LARGE(A$3:A176,1))</f>
        <v/>
      </c>
      <c r="B177" s="34">
        <f>IF(H177="UNIDADE CONSTRUTIVA",0,IF(H177="CÉLULA CONSTRUTIVA",OFFSET(B177,-1,0)+1,OFFSET(B177,-1,0)))</f>
        <v/>
      </c>
      <c r="C177" s="34">
        <f>IF(H177="CÉLULA CONSTRUTIVA",0,IF(H177="ETAPA",OFFSET(C177,-1,0)+1,OFFSET(C177,-1,0)))</f>
        <v/>
      </c>
      <c r="D177" s="35">
        <f>IF(H177="ETAPA",0,IF(H177="SUBETAPA",OFFSET(D177,-1,0)+1,OFFSET(D177,-1,0)))</f>
        <v/>
      </c>
      <c r="E177" s="35">
        <f>IF(H177="Subetapa",0,IF(H177="serviço",OFFSET(E177,-1,0)+1,OFFSET(E177,-1,0)))</f>
        <v/>
      </c>
      <c r="F177" s="56" t="n"/>
      <c r="G177" s="1" t="n"/>
      <c r="H177" s="1" t="n"/>
      <c r="I177" s="1" t="n"/>
      <c r="J177" s="64" t="n"/>
      <c r="K177" s="52" t="n"/>
      <c r="L177" s="58" t="n"/>
      <c r="M177" s="58" t="n"/>
      <c r="N177" s="70" t="n"/>
      <c r="O177" s="56" t="n"/>
      <c r="P177" s="1" t="n"/>
      <c r="Q177" s="1" t="n"/>
    </row>
    <row r="178">
      <c r="A178" s="34">
        <f>IF($H178="UNIDADE CONSTRUTIVA",OFFSET(A178,-1,0)+1,LARGE(A$3:A177,1))</f>
        <v/>
      </c>
      <c r="B178" s="34">
        <f>IF(H178="UNIDADE CONSTRUTIVA",0,IF(H178="CÉLULA CONSTRUTIVA",OFFSET(B178,-1,0)+1,OFFSET(B178,-1,0)))</f>
        <v/>
      </c>
      <c r="C178" s="34">
        <f>IF(H178="CÉLULA CONSTRUTIVA",0,IF(H178="ETAPA",OFFSET(C178,-1,0)+1,OFFSET(C178,-1,0)))</f>
        <v/>
      </c>
      <c r="D178" s="35">
        <f>IF(H178="ETAPA",0,IF(H178="SUBETAPA",OFFSET(D178,-1,0)+1,OFFSET(D178,-1,0)))</f>
        <v/>
      </c>
      <c r="E178" s="35">
        <f>IF(H178="Subetapa",0,IF(H178="serviço",OFFSET(E178,-1,0)+1,OFFSET(E178,-1,0)))</f>
        <v/>
      </c>
      <c r="F178" s="56" t="n"/>
      <c r="G178" s="1" t="n"/>
      <c r="H178" s="1" t="n"/>
      <c r="I178" s="1" t="n"/>
      <c r="J178" s="64" t="n"/>
      <c r="K178" s="52" t="n"/>
      <c r="L178" s="58" t="n"/>
      <c r="M178" s="58" t="n"/>
      <c r="N178" s="70" t="n"/>
      <c r="O178" s="56" t="n"/>
      <c r="P178" s="1" t="n"/>
      <c r="Q178" s="1" t="n"/>
    </row>
    <row r="179">
      <c r="A179" s="34">
        <f>IF($H179="UNIDADE CONSTRUTIVA",OFFSET(A179,-1,0)+1,LARGE(A$3:A178,1))</f>
        <v/>
      </c>
      <c r="B179" s="34">
        <f>IF(H179="UNIDADE CONSTRUTIVA",0,IF(H179="CÉLULA CONSTRUTIVA",OFFSET(B179,-1,0)+1,OFFSET(B179,-1,0)))</f>
        <v/>
      </c>
      <c r="C179" s="34">
        <f>IF(H179="CÉLULA CONSTRUTIVA",0,IF(H179="ETAPA",OFFSET(C179,-1,0)+1,OFFSET(C179,-1,0)))</f>
        <v/>
      </c>
      <c r="D179" s="35">
        <f>IF(H179="ETAPA",0,IF(H179="SUBETAPA",OFFSET(D179,-1,0)+1,OFFSET(D179,-1,0)))</f>
        <v/>
      </c>
      <c r="E179" s="35">
        <f>IF(H179="Subetapa",0,IF(H179="serviço",OFFSET(E179,-1,0)+1,OFFSET(E179,-1,0)))</f>
        <v/>
      </c>
      <c r="F179" s="56" t="n"/>
      <c r="G179" s="1" t="n"/>
      <c r="H179" s="1" t="n"/>
      <c r="I179" s="1" t="n"/>
      <c r="J179" s="64" t="n"/>
      <c r="K179" s="52" t="n"/>
      <c r="L179" s="58" t="n"/>
      <c r="M179" s="58" t="n"/>
      <c r="N179" s="70" t="n"/>
      <c r="O179" s="56" t="n"/>
      <c r="P179" s="1" t="n"/>
      <c r="Q179" s="1" t="n"/>
    </row>
    <row r="180">
      <c r="A180" s="34">
        <f>IF($H180="UNIDADE CONSTRUTIVA",OFFSET(A180,-1,0)+1,LARGE(A$3:A179,1))</f>
        <v/>
      </c>
      <c r="B180" s="34">
        <f>IF(H180="UNIDADE CONSTRUTIVA",0,IF(H180="CÉLULA CONSTRUTIVA",OFFSET(B180,-1,0)+1,OFFSET(B180,-1,0)))</f>
        <v/>
      </c>
      <c r="C180" s="34">
        <f>IF(H180="CÉLULA CONSTRUTIVA",0,IF(H180="ETAPA",OFFSET(C180,-1,0)+1,OFFSET(C180,-1,0)))</f>
        <v/>
      </c>
      <c r="D180" s="35">
        <f>IF(H180="ETAPA",0,IF(H180="SUBETAPA",OFFSET(D180,-1,0)+1,OFFSET(D180,-1,0)))</f>
        <v/>
      </c>
      <c r="E180" s="35">
        <f>IF(H180="Subetapa",0,IF(H180="serviço",OFFSET(E180,-1,0)+1,OFFSET(E180,-1,0)))</f>
        <v/>
      </c>
      <c r="F180" s="56" t="n"/>
      <c r="G180" s="1" t="n"/>
      <c r="H180" s="1" t="n"/>
      <c r="I180" s="1" t="n"/>
      <c r="J180" s="64" t="n"/>
      <c r="K180" s="52" t="n"/>
      <c r="L180" s="58" t="n"/>
      <c r="M180" s="58" t="n"/>
      <c r="N180" s="70" t="n"/>
      <c r="O180" s="56" t="n"/>
      <c r="P180" s="1" t="n"/>
      <c r="Q180" s="1" t="n"/>
    </row>
    <row r="181">
      <c r="A181" s="34">
        <f>IF($H181="UNIDADE CONSTRUTIVA",OFFSET(A181,-1,0)+1,LARGE(A$3:A180,1))</f>
        <v/>
      </c>
      <c r="B181" s="34">
        <f>IF(H181="UNIDADE CONSTRUTIVA",0,IF(H181="CÉLULA CONSTRUTIVA",OFFSET(B181,-1,0)+1,OFFSET(B181,-1,0)))</f>
        <v/>
      </c>
      <c r="C181" s="34">
        <f>IF(H181="CÉLULA CONSTRUTIVA",0,IF(H181="ETAPA",OFFSET(C181,-1,0)+1,OFFSET(C181,-1,0)))</f>
        <v/>
      </c>
      <c r="D181" s="35">
        <f>IF(H181="ETAPA",0,IF(H181="SUBETAPA",OFFSET(D181,-1,0)+1,OFFSET(D181,-1,0)))</f>
        <v/>
      </c>
      <c r="E181" s="35">
        <f>IF(H181="Subetapa",0,IF(H181="serviço",OFFSET(E181,-1,0)+1,OFFSET(E181,-1,0)))</f>
        <v/>
      </c>
      <c r="F181" s="56" t="n"/>
      <c r="G181" s="1" t="n"/>
      <c r="H181" s="1" t="n"/>
      <c r="I181" s="1" t="n"/>
      <c r="J181" s="64" t="n"/>
      <c r="K181" s="52" t="n"/>
      <c r="L181" s="58" t="n"/>
      <c r="M181" s="58" t="n"/>
      <c r="N181" s="70" t="n"/>
      <c r="O181" s="56" t="n"/>
      <c r="P181" s="1" t="n"/>
      <c r="Q181" s="1" t="n"/>
    </row>
    <row r="182">
      <c r="A182" s="34">
        <f>IF($H182="UNIDADE CONSTRUTIVA",OFFSET(A182,-1,0)+1,LARGE(A$3:A181,1))</f>
        <v/>
      </c>
      <c r="B182" s="34">
        <f>IF(H182="UNIDADE CONSTRUTIVA",0,IF(H182="CÉLULA CONSTRUTIVA",OFFSET(B182,-1,0)+1,OFFSET(B182,-1,0)))</f>
        <v/>
      </c>
      <c r="C182" s="34">
        <f>IF(H182="CÉLULA CONSTRUTIVA",0,IF(H182="ETAPA",OFFSET(C182,-1,0)+1,OFFSET(C182,-1,0)))</f>
        <v/>
      </c>
      <c r="D182" s="35">
        <f>IF(H182="ETAPA",0,IF(H182="SUBETAPA",OFFSET(D182,-1,0)+1,OFFSET(D182,-1,0)))</f>
        <v/>
      </c>
      <c r="E182" s="35">
        <f>IF(H182="Subetapa",0,IF(H182="serviço",OFFSET(E182,-1,0)+1,OFFSET(E182,-1,0)))</f>
        <v/>
      </c>
      <c r="F182" s="56" t="n"/>
      <c r="G182" s="1" t="n"/>
      <c r="H182" s="1" t="n"/>
      <c r="I182" s="1" t="n"/>
      <c r="J182" s="64" t="n"/>
      <c r="K182" s="52" t="n"/>
      <c r="L182" s="58" t="n"/>
      <c r="M182" s="58" t="n"/>
      <c r="N182" s="70" t="n"/>
      <c r="O182" s="56" t="n"/>
      <c r="P182" s="1" t="n"/>
      <c r="Q182" s="1" t="n"/>
    </row>
    <row r="183">
      <c r="A183" s="34">
        <f>IF($H183="UNIDADE CONSTRUTIVA",OFFSET(A183,-1,0)+1,LARGE(A$3:A182,1))</f>
        <v/>
      </c>
      <c r="B183" s="34">
        <f>IF(H183="UNIDADE CONSTRUTIVA",0,IF(H183="CÉLULA CONSTRUTIVA",OFFSET(B183,-1,0)+1,OFFSET(B183,-1,0)))</f>
        <v/>
      </c>
      <c r="C183" s="34">
        <f>IF(H183="CÉLULA CONSTRUTIVA",0,IF(H183="ETAPA",OFFSET(C183,-1,0)+1,OFFSET(C183,-1,0)))</f>
        <v/>
      </c>
      <c r="D183" s="35">
        <f>IF(H183="ETAPA",0,IF(H183="SUBETAPA",OFFSET(D183,-1,0)+1,OFFSET(D183,-1,0)))</f>
        <v/>
      </c>
      <c r="E183" s="35">
        <f>IF(H183="Subetapa",0,IF(H183="serviço",OFFSET(E183,-1,0)+1,OFFSET(E183,-1,0)))</f>
        <v/>
      </c>
      <c r="F183" s="56" t="n"/>
      <c r="G183" s="1" t="n"/>
      <c r="H183" s="1" t="n"/>
      <c r="I183" s="1" t="n"/>
      <c r="J183" s="64" t="n"/>
      <c r="K183" s="52" t="n"/>
      <c r="L183" s="58" t="n"/>
      <c r="M183" s="58" t="n"/>
      <c r="N183" s="70" t="n"/>
      <c r="O183" s="56" t="n"/>
      <c r="P183" s="1" t="n"/>
      <c r="Q183" s="1" t="n"/>
    </row>
    <row r="184">
      <c r="A184" s="34">
        <f>IF($H184="UNIDADE CONSTRUTIVA",OFFSET(A184,-1,0)+1,LARGE(A$3:A183,1))</f>
        <v/>
      </c>
      <c r="B184" s="34">
        <f>IF(H184="UNIDADE CONSTRUTIVA",0,IF(H184="CÉLULA CONSTRUTIVA",OFFSET(B184,-1,0)+1,OFFSET(B184,-1,0)))</f>
        <v/>
      </c>
      <c r="C184" s="34">
        <f>IF(H184="CÉLULA CONSTRUTIVA",0,IF(H184="ETAPA",OFFSET(C184,-1,0)+1,OFFSET(C184,-1,0)))</f>
        <v/>
      </c>
      <c r="D184" s="35">
        <f>IF(H184="ETAPA",0,IF(H184="SUBETAPA",OFFSET(D184,-1,0)+1,OFFSET(D184,-1,0)))</f>
        <v/>
      </c>
      <c r="E184" s="35">
        <f>IF(H184="Subetapa",0,IF(H184="serviço",OFFSET(E184,-1,0)+1,OFFSET(E184,-1,0)))</f>
        <v/>
      </c>
      <c r="F184" s="56" t="n"/>
      <c r="G184" s="1" t="n"/>
      <c r="H184" s="1" t="n"/>
      <c r="I184" s="1" t="n"/>
      <c r="J184" s="64" t="n"/>
      <c r="K184" s="52" t="n"/>
      <c r="L184" s="58" t="n"/>
      <c r="M184" s="58" t="n"/>
      <c r="N184" s="70" t="n"/>
      <c r="O184" s="56" t="n"/>
      <c r="P184" s="1" t="n"/>
      <c r="Q184" s="1" t="n"/>
    </row>
    <row r="185">
      <c r="A185" s="34">
        <f>IF($H185="UNIDADE CONSTRUTIVA",OFFSET(A185,-1,0)+1,LARGE(A$3:A184,1))</f>
        <v/>
      </c>
      <c r="B185" s="34">
        <f>IF(H185="UNIDADE CONSTRUTIVA",0,IF(H185="CÉLULA CONSTRUTIVA",OFFSET(B185,-1,0)+1,OFFSET(B185,-1,0)))</f>
        <v/>
      </c>
      <c r="C185" s="34">
        <f>IF(H185="CÉLULA CONSTRUTIVA",0,IF(H185="ETAPA",OFFSET(C185,-1,0)+1,OFFSET(C185,-1,0)))</f>
        <v/>
      </c>
      <c r="D185" s="35">
        <f>IF(H185="ETAPA",0,IF(H185="SUBETAPA",OFFSET(D185,-1,0)+1,OFFSET(D185,-1,0)))</f>
        <v/>
      </c>
      <c r="E185" s="35">
        <f>IF(H185="Subetapa",0,IF(H185="serviço",OFFSET(E185,-1,0)+1,OFFSET(E185,-1,0)))</f>
        <v/>
      </c>
      <c r="F185" s="56" t="n"/>
      <c r="G185" s="1" t="n"/>
      <c r="H185" s="1" t="n"/>
      <c r="I185" s="1" t="n"/>
      <c r="J185" s="64" t="n"/>
      <c r="K185" s="52" t="n"/>
      <c r="L185" s="58" t="n"/>
      <c r="M185" s="58" t="n"/>
      <c r="N185" s="70" t="n"/>
      <c r="O185" s="56" t="n"/>
      <c r="P185" s="1" t="n"/>
      <c r="Q185" s="1" t="n"/>
    </row>
    <row r="186">
      <c r="A186" s="34">
        <f>IF($H186="UNIDADE CONSTRUTIVA",OFFSET(A186,-1,0)+1,LARGE(A$3:A185,1))</f>
        <v/>
      </c>
      <c r="B186" s="34">
        <f>IF(H186="UNIDADE CONSTRUTIVA",0,IF(H186="CÉLULA CONSTRUTIVA",OFFSET(B186,-1,0)+1,OFFSET(B186,-1,0)))</f>
        <v/>
      </c>
      <c r="C186" s="34">
        <f>IF(H186="CÉLULA CONSTRUTIVA",0,IF(H186="ETAPA",OFFSET(C186,-1,0)+1,OFFSET(C186,-1,0)))</f>
        <v/>
      </c>
      <c r="D186" s="35">
        <f>IF(H186="ETAPA",0,IF(H186="SUBETAPA",OFFSET(D186,-1,0)+1,OFFSET(D186,-1,0)))</f>
        <v/>
      </c>
      <c r="E186" s="35">
        <f>IF(H186="Subetapa",0,IF(H186="serviço",OFFSET(E186,-1,0)+1,OFFSET(E186,-1,0)))</f>
        <v/>
      </c>
      <c r="F186" s="56" t="n"/>
      <c r="G186" s="1" t="n"/>
      <c r="H186" s="1" t="n"/>
      <c r="I186" s="1" t="n"/>
      <c r="J186" s="64" t="n"/>
      <c r="K186" s="52" t="n"/>
      <c r="L186" s="58" t="n"/>
      <c r="M186" s="58" t="n"/>
      <c r="N186" s="70" t="n"/>
      <c r="O186" s="56" t="n"/>
      <c r="P186" s="1" t="n"/>
      <c r="Q186" s="1" t="n"/>
    </row>
    <row r="187">
      <c r="A187" s="34">
        <f>IF($H187="UNIDADE CONSTRUTIVA",OFFSET(A187,-1,0)+1,LARGE(A$3:A186,1))</f>
        <v/>
      </c>
      <c r="B187" s="34">
        <f>IF(H187="UNIDADE CONSTRUTIVA",0,IF(H187="CÉLULA CONSTRUTIVA",OFFSET(B187,-1,0)+1,OFFSET(B187,-1,0)))</f>
        <v/>
      </c>
      <c r="C187" s="34">
        <f>IF(H187="CÉLULA CONSTRUTIVA",0,IF(H187="ETAPA",OFFSET(C187,-1,0)+1,OFFSET(C187,-1,0)))</f>
        <v/>
      </c>
      <c r="D187" s="35">
        <f>IF(H187="ETAPA",0,IF(H187="SUBETAPA",OFFSET(D187,-1,0)+1,OFFSET(D187,-1,0)))</f>
        <v/>
      </c>
      <c r="E187" s="35">
        <f>IF(H187="Subetapa",0,IF(H187="serviço",OFFSET(E187,-1,0)+1,OFFSET(E187,-1,0)))</f>
        <v/>
      </c>
      <c r="F187" s="56" t="n"/>
      <c r="G187" s="1" t="n"/>
      <c r="H187" s="1" t="n"/>
      <c r="I187" s="1" t="n"/>
      <c r="J187" s="64" t="n"/>
      <c r="K187" s="52" t="n"/>
      <c r="L187" s="58" t="n"/>
      <c r="M187" s="58" t="n"/>
      <c r="N187" s="70" t="n"/>
      <c r="O187" s="56" t="n"/>
      <c r="P187" s="1" t="n"/>
      <c r="Q187" s="1" t="n"/>
    </row>
    <row r="188">
      <c r="A188" s="34">
        <f>IF($H188="UNIDADE CONSTRUTIVA",OFFSET(A188,-1,0)+1,LARGE(A$3:A187,1))</f>
        <v/>
      </c>
      <c r="B188" s="34">
        <f>IF(H188="UNIDADE CONSTRUTIVA",0,IF(H188="CÉLULA CONSTRUTIVA",OFFSET(B188,-1,0)+1,OFFSET(B188,-1,0)))</f>
        <v/>
      </c>
      <c r="C188" s="34">
        <f>IF(H188="CÉLULA CONSTRUTIVA",0,IF(H188="ETAPA",OFFSET(C188,-1,0)+1,OFFSET(C188,-1,0)))</f>
        <v/>
      </c>
      <c r="D188" s="35">
        <f>IF(H188="ETAPA",0,IF(H188="SUBETAPA",OFFSET(D188,-1,0)+1,OFFSET(D188,-1,0)))</f>
        <v/>
      </c>
      <c r="E188" s="35">
        <f>IF(H188="Subetapa",0,IF(H188="serviço",OFFSET(E188,-1,0)+1,OFFSET(E188,-1,0)))</f>
        <v/>
      </c>
      <c r="F188" s="56" t="n"/>
      <c r="G188" s="1" t="n"/>
      <c r="H188" s="1" t="n"/>
      <c r="I188" s="1" t="n"/>
      <c r="J188" s="64" t="n"/>
      <c r="K188" s="52" t="n"/>
      <c r="L188" s="58" t="n"/>
      <c r="M188" s="58" t="n"/>
      <c r="N188" s="70" t="n"/>
      <c r="O188" s="56" t="n"/>
      <c r="P188" s="1" t="n"/>
      <c r="Q188" s="1" t="n"/>
    </row>
    <row r="189">
      <c r="A189" s="34">
        <f>IF($H189="UNIDADE CONSTRUTIVA",OFFSET(A189,-1,0)+1,LARGE(A$3:A188,1))</f>
        <v/>
      </c>
      <c r="B189" s="34">
        <f>IF(H189="UNIDADE CONSTRUTIVA",0,IF(H189="CÉLULA CONSTRUTIVA",OFFSET(B189,-1,0)+1,OFFSET(B189,-1,0)))</f>
        <v/>
      </c>
      <c r="C189" s="34">
        <f>IF(H189="CÉLULA CONSTRUTIVA",0,IF(H189="ETAPA",OFFSET(C189,-1,0)+1,OFFSET(C189,-1,0)))</f>
        <v/>
      </c>
      <c r="D189" s="35">
        <f>IF(H189="ETAPA",0,IF(H189="SUBETAPA",OFFSET(D189,-1,0)+1,OFFSET(D189,-1,0)))</f>
        <v/>
      </c>
      <c r="E189" s="35">
        <f>IF(H189="Subetapa",0,IF(H189="serviço",OFFSET(E189,-1,0)+1,OFFSET(E189,-1,0)))</f>
        <v/>
      </c>
      <c r="F189" s="56" t="n"/>
      <c r="G189" s="1" t="n"/>
      <c r="H189" s="1" t="n"/>
      <c r="I189" s="1" t="n"/>
      <c r="J189" s="64" t="n"/>
      <c r="K189" s="52" t="n"/>
      <c r="L189" s="58" t="n"/>
      <c r="M189" s="58" t="n"/>
      <c r="N189" s="70" t="n"/>
      <c r="O189" s="56" t="n"/>
      <c r="P189" s="1" t="n"/>
      <c r="Q189" s="1" t="n"/>
    </row>
    <row r="190">
      <c r="A190" s="34">
        <f>IF($H190="UNIDADE CONSTRUTIVA",OFFSET(A190,-1,0)+1,LARGE(A$3:A189,1))</f>
        <v/>
      </c>
      <c r="B190" s="34">
        <f>IF(H190="UNIDADE CONSTRUTIVA",0,IF(H190="CÉLULA CONSTRUTIVA",OFFSET(B190,-1,0)+1,OFFSET(B190,-1,0)))</f>
        <v/>
      </c>
      <c r="C190" s="34">
        <f>IF(H190="CÉLULA CONSTRUTIVA",0,IF(H190="ETAPA",OFFSET(C190,-1,0)+1,OFFSET(C190,-1,0)))</f>
        <v/>
      </c>
      <c r="D190" s="35">
        <f>IF(H190="ETAPA",0,IF(H190="SUBETAPA",OFFSET(D190,-1,0)+1,OFFSET(D190,-1,0)))</f>
        <v/>
      </c>
      <c r="E190" s="35">
        <f>IF(H190="Subetapa",0,IF(H190="serviço",OFFSET(E190,-1,0)+1,OFFSET(E190,-1,0)))</f>
        <v/>
      </c>
      <c r="F190" s="56" t="n"/>
      <c r="G190" s="1" t="n"/>
      <c r="H190" s="1" t="n"/>
      <c r="I190" s="1" t="n"/>
      <c r="J190" s="64" t="n"/>
      <c r="K190" s="52" t="n"/>
      <c r="L190" s="58" t="n"/>
      <c r="M190" s="58" t="n"/>
      <c r="N190" s="70" t="n"/>
      <c r="O190" s="56" t="n"/>
      <c r="P190" s="1" t="n"/>
      <c r="Q190" s="1" t="n"/>
    </row>
    <row r="191">
      <c r="A191" s="34">
        <f>IF($H191="UNIDADE CONSTRUTIVA",OFFSET(A191,-1,0)+1,LARGE(A$3:A190,1))</f>
        <v/>
      </c>
      <c r="B191" s="34">
        <f>IF(H191="UNIDADE CONSTRUTIVA",0,IF(H191="CÉLULA CONSTRUTIVA",OFFSET(B191,-1,0)+1,OFFSET(B191,-1,0)))</f>
        <v/>
      </c>
      <c r="C191" s="34">
        <f>IF(H191="CÉLULA CONSTRUTIVA",0,IF(H191="ETAPA",OFFSET(C191,-1,0)+1,OFFSET(C191,-1,0)))</f>
        <v/>
      </c>
      <c r="D191" s="35">
        <f>IF(H191="ETAPA",0,IF(H191="SUBETAPA",OFFSET(D191,-1,0)+1,OFFSET(D191,-1,0)))</f>
        <v/>
      </c>
      <c r="E191" s="35">
        <f>IF(H191="Subetapa",0,IF(H191="serviço",OFFSET(E191,-1,0)+1,OFFSET(E191,-1,0)))</f>
        <v/>
      </c>
      <c r="F191" s="56" t="n"/>
      <c r="G191" s="1" t="n"/>
      <c r="H191" s="1" t="n"/>
      <c r="I191" s="1" t="n"/>
      <c r="J191" s="64" t="n"/>
      <c r="K191" s="52" t="n"/>
      <c r="L191" s="58" t="n"/>
      <c r="M191" s="58" t="n"/>
      <c r="N191" s="70" t="n"/>
      <c r="O191" s="56" t="n"/>
      <c r="P191" s="1" t="n"/>
      <c r="Q191" s="1" t="n"/>
    </row>
    <row r="192">
      <c r="A192" s="34">
        <f>IF($H192="UNIDADE CONSTRUTIVA",OFFSET(A192,-1,0)+1,LARGE(A$3:A191,1))</f>
        <v/>
      </c>
      <c r="B192" s="34">
        <f>IF(H192="UNIDADE CONSTRUTIVA",0,IF(H192="CÉLULA CONSTRUTIVA",OFFSET(B192,-1,0)+1,OFFSET(B192,-1,0)))</f>
        <v/>
      </c>
      <c r="C192" s="34">
        <f>IF(H192="CÉLULA CONSTRUTIVA",0,IF(H192="ETAPA",OFFSET(C192,-1,0)+1,OFFSET(C192,-1,0)))</f>
        <v/>
      </c>
      <c r="D192" s="35">
        <f>IF(H192="ETAPA",0,IF(H192="SUBETAPA",OFFSET(D192,-1,0)+1,OFFSET(D192,-1,0)))</f>
        <v/>
      </c>
      <c r="E192" s="35">
        <f>IF(H192="Subetapa",0,IF(H192="serviço",OFFSET(E192,-1,0)+1,OFFSET(E192,-1,0)))</f>
        <v/>
      </c>
      <c r="F192" s="56" t="n"/>
      <c r="G192" s="1" t="n"/>
      <c r="H192" s="1" t="n"/>
      <c r="I192" s="1" t="n"/>
      <c r="J192" s="64" t="n"/>
      <c r="K192" s="52" t="n"/>
      <c r="L192" s="58" t="n"/>
      <c r="M192" s="58" t="n"/>
      <c r="N192" s="70" t="n"/>
      <c r="O192" s="56" t="n"/>
      <c r="P192" s="1" t="n"/>
      <c r="Q192" s="1" t="n"/>
    </row>
    <row r="193">
      <c r="A193" s="34">
        <f>IF($H193="UNIDADE CONSTRUTIVA",OFFSET(A193,-1,0)+1,LARGE(A$3:A192,1))</f>
        <v/>
      </c>
      <c r="B193" s="34">
        <f>IF(H193="UNIDADE CONSTRUTIVA",0,IF(H193="CÉLULA CONSTRUTIVA",OFFSET(B193,-1,0)+1,OFFSET(B193,-1,0)))</f>
        <v/>
      </c>
      <c r="C193" s="34">
        <f>IF(H193="CÉLULA CONSTRUTIVA",0,IF(H193="ETAPA",OFFSET(C193,-1,0)+1,OFFSET(C193,-1,0)))</f>
        <v/>
      </c>
      <c r="D193" s="35">
        <f>IF(H193="ETAPA",0,IF(H193="SUBETAPA",OFFSET(D193,-1,0)+1,OFFSET(D193,-1,0)))</f>
        <v/>
      </c>
      <c r="E193" s="35">
        <f>IF(H193="Subetapa",0,IF(H193="serviço",OFFSET(E193,-1,0)+1,OFFSET(E193,-1,0)))</f>
        <v/>
      </c>
      <c r="F193" s="56" t="n"/>
      <c r="G193" s="1" t="n"/>
      <c r="H193" s="1" t="n"/>
      <c r="I193" s="1" t="n"/>
      <c r="J193" s="64" t="n"/>
      <c r="K193" s="52" t="n"/>
      <c r="L193" s="58" t="n"/>
      <c r="M193" s="58" t="n"/>
      <c r="N193" s="70" t="n"/>
      <c r="O193" s="56" t="n"/>
      <c r="P193" s="1" t="n"/>
      <c r="Q193" s="1" t="n"/>
    </row>
    <row r="194">
      <c r="A194" s="34">
        <f>IF($H194="UNIDADE CONSTRUTIVA",OFFSET(A194,-1,0)+1,LARGE(A$3:A193,1))</f>
        <v/>
      </c>
      <c r="B194" s="34">
        <f>IF(H194="UNIDADE CONSTRUTIVA",0,IF(H194="CÉLULA CONSTRUTIVA",OFFSET(B194,-1,0)+1,OFFSET(B194,-1,0)))</f>
        <v/>
      </c>
      <c r="C194" s="34">
        <f>IF(H194="CÉLULA CONSTRUTIVA",0,IF(H194="ETAPA",OFFSET(C194,-1,0)+1,OFFSET(C194,-1,0)))</f>
        <v/>
      </c>
      <c r="D194" s="35">
        <f>IF(H194="ETAPA",0,IF(H194="SUBETAPA",OFFSET(D194,-1,0)+1,OFFSET(D194,-1,0)))</f>
        <v/>
      </c>
      <c r="E194" s="35">
        <f>IF(H194="Subetapa",0,IF(H194="serviço",OFFSET(E194,-1,0)+1,OFFSET(E194,-1,0)))</f>
        <v/>
      </c>
      <c r="F194" s="56" t="n"/>
      <c r="G194" s="1" t="n"/>
      <c r="H194" s="1" t="n"/>
      <c r="I194" s="1" t="n"/>
      <c r="J194" s="64" t="n"/>
      <c r="K194" s="52" t="n"/>
      <c r="L194" s="58" t="n"/>
      <c r="M194" s="58" t="n"/>
      <c r="N194" s="70" t="n"/>
      <c r="O194" s="56" t="n"/>
      <c r="P194" s="1" t="n"/>
      <c r="Q194" s="1" t="n"/>
    </row>
    <row r="195">
      <c r="A195" s="34">
        <f>IF($H195="UNIDADE CONSTRUTIVA",OFFSET(A195,-1,0)+1,LARGE(A$3:A194,1))</f>
        <v/>
      </c>
      <c r="B195" s="34">
        <f>IF(H195="UNIDADE CONSTRUTIVA",0,IF(H195="CÉLULA CONSTRUTIVA",OFFSET(B195,-1,0)+1,OFFSET(B195,-1,0)))</f>
        <v/>
      </c>
      <c r="C195" s="34">
        <f>IF(H195="CÉLULA CONSTRUTIVA",0,IF(H195="ETAPA",OFFSET(C195,-1,0)+1,OFFSET(C195,-1,0)))</f>
        <v/>
      </c>
      <c r="D195" s="35">
        <f>IF(H195="ETAPA",0,IF(H195="SUBETAPA",OFFSET(D195,-1,0)+1,OFFSET(D195,-1,0)))</f>
        <v/>
      </c>
      <c r="E195" s="35">
        <f>IF(H195="Subetapa",0,IF(H195="serviço",OFFSET(E195,-1,0)+1,OFFSET(E195,-1,0)))</f>
        <v/>
      </c>
      <c r="F195" s="56" t="n"/>
      <c r="G195" s="1" t="n"/>
      <c r="H195" s="1" t="n"/>
      <c r="I195" s="1" t="n"/>
      <c r="J195" s="64" t="n"/>
      <c r="K195" s="52" t="n"/>
      <c r="L195" s="58" t="n"/>
      <c r="M195" s="58" t="n"/>
      <c r="N195" s="70" t="n"/>
      <c r="O195" s="56" t="n"/>
      <c r="P195" s="1" t="n"/>
      <c r="Q195" s="1" t="n"/>
    </row>
    <row r="196">
      <c r="A196" s="34">
        <f>IF($H196="UNIDADE CONSTRUTIVA",OFFSET(A196,-1,0)+1,LARGE(A$3:A195,1))</f>
        <v/>
      </c>
      <c r="B196" s="34">
        <f>IF(H196="UNIDADE CONSTRUTIVA",0,IF(H196="CÉLULA CONSTRUTIVA",OFFSET(B196,-1,0)+1,OFFSET(B196,-1,0)))</f>
        <v/>
      </c>
      <c r="C196" s="34">
        <f>IF(H196="CÉLULA CONSTRUTIVA",0,IF(H196="ETAPA",OFFSET(C196,-1,0)+1,OFFSET(C196,-1,0)))</f>
        <v/>
      </c>
      <c r="D196" s="35">
        <f>IF(H196="ETAPA",0,IF(H196="SUBETAPA",OFFSET(D196,-1,0)+1,OFFSET(D196,-1,0)))</f>
        <v/>
      </c>
      <c r="E196" s="35">
        <f>IF(H196="Subetapa",0,IF(H196="serviço",OFFSET(E196,-1,0)+1,OFFSET(E196,-1,0)))</f>
        <v/>
      </c>
      <c r="F196" s="56" t="n"/>
      <c r="G196" s="1" t="n"/>
      <c r="H196" s="1" t="n"/>
      <c r="I196" s="1" t="n"/>
      <c r="J196" s="64" t="n"/>
      <c r="K196" s="52" t="n"/>
      <c r="L196" s="58" t="n"/>
      <c r="M196" s="58" t="n"/>
      <c r="N196" s="70" t="n"/>
      <c r="O196" s="56" t="n"/>
      <c r="P196" s="1" t="n"/>
      <c r="Q196" s="1" t="n"/>
    </row>
    <row r="197">
      <c r="A197" s="34">
        <f>IF($H197="UNIDADE CONSTRUTIVA",OFFSET(A197,-1,0)+1,LARGE(A$3:A196,1))</f>
        <v/>
      </c>
      <c r="B197" s="34">
        <f>IF(H197="UNIDADE CONSTRUTIVA",0,IF(H197="CÉLULA CONSTRUTIVA",OFFSET(B197,-1,0)+1,OFFSET(B197,-1,0)))</f>
        <v/>
      </c>
      <c r="C197" s="34">
        <f>IF(H197="CÉLULA CONSTRUTIVA",0,IF(H197="ETAPA",OFFSET(C197,-1,0)+1,OFFSET(C197,-1,0)))</f>
        <v/>
      </c>
      <c r="D197" s="35">
        <f>IF(H197="ETAPA",0,IF(H197="SUBETAPA",OFFSET(D197,-1,0)+1,OFFSET(D197,-1,0)))</f>
        <v/>
      </c>
      <c r="E197" s="35">
        <f>IF(H197="Subetapa",0,IF(H197="serviço",OFFSET(E197,-1,0)+1,OFFSET(E197,-1,0)))</f>
        <v/>
      </c>
      <c r="F197" s="56" t="n"/>
      <c r="G197" s="1" t="n"/>
      <c r="H197" s="1" t="n"/>
      <c r="I197" s="1" t="n"/>
      <c r="J197" s="64" t="n"/>
      <c r="K197" s="52" t="n"/>
      <c r="L197" s="58" t="n"/>
      <c r="M197" s="58" t="n"/>
      <c r="N197" s="70" t="n"/>
      <c r="O197" s="56" t="n"/>
      <c r="P197" s="1" t="n"/>
      <c r="Q197" s="1" t="n"/>
    </row>
    <row r="198">
      <c r="A198" s="34">
        <f>IF($H198="UNIDADE CONSTRUTIVA",OFFSET(A198,-1,0)+1,LARGE(A$3:A197,1))</f>
        <v/>
      </c>
      <c r="B198" s="34">
        <f>IF(H198="UNIDADE CONSTRUTIVA",0,IF(H198="CÉLULA CONSTRUTIVA",OFFSET(B198,-1,0)+1,OFFSET(B198,-1,0)))</f>
        <v/>
      </c>
      <c r="C198" s="34">
        <f>IF(H198="CÉLULA CONSTRUTIVA",0,IF(H198="ETAPA",OFFSET(C198,-1,0)+1,OFFSET(C198,-1,0)))</f>
        <v/>
      </c>
      <c r="D198" s="35">
        <f>IF(H198="ETAPA",0,IF(H198="SUBETAPA",OFFSET(D198,-1,0)+1,OFFSET(D198,-1,0)))</f>
        <v/>
      </c>
      <c r="E198" s="35">
        <f>IF(H198="Subetapa",0,IF(H198="serviço",OFFSET(E198,-1,0)+1,OFFSET(E198,-1,0)))</f>
        <v/>
      </c>
      <c r="F198" s="56" t="n"/>
      <c r="G198" s="1" t="n"/>
      <c r="H198" s="1" t="n"/>
      <c r="I198" s="1" t="n"/>
      <c r="J198" s="64" t="n"/>
      <c r="K198" s="52" t="n"/>
      <c r="L198" s="58" t="n"/>
      <c r="M198" s="58" t="n"/>
      <c r="N198" s="70" t="n"/>
      <c r="O198" s="56" t="n"/>
      <c r="P198" s="1" t="n"/>
      <c r="Q198" s="1" t="n"/>
    </row>
    <row r="199">
      <c r="A199" s="34">
        <f>IF($H199="UNIDADE CONSTRUTIVA",OFFSET(A199,-1,0)+1,LARGE(A$3:A198,1))</f>
        <v/>
      </c>
      <c r="B199" s="34">
        <f>IF(H199="UNIDADE CONSTRUTIVA",0,IF(H199="CÉLULA CONSTRUTIVA",OFFSET(B199,-1,0)+1,OFFSET(B199,-1,0)))</f>
        <v/>
      </c>
      <c r="C199" s="34">
        <f>IF(H199="CÉLULA CONSTRUTIVA",0,IF(H199="ETAPA",OFFSET(C199,-1,0)+1,OFFSET(C199,-1,0)))</f>
        <v/>
      </c>
      <c r="D199" s="35">
        <f>IF(H199="ETAPA",0,IF(H199="SUBETAPA",OFFSET(D199,-1,0)+1,OFFSET(D199,-1,0)))</f>
        <v/>
      </c>
      <c r="E199" s="35">
        <f>IF(H199="Subetapa",0,IF(H199="serviço",OFFSET(E199,-1,0)+1,OFFSET(E199,-1,0)))</f>
        <v/>
      </c>
      <c r="F199" s="56" t="n"/>
      <c r="G199" s="1" t="n"/>
      <c r="H199" s="1" t="n"/>
      <c r="I199" s="1" t="n"/>
      <c r="J199" s="64" t="n"/>
      <c r="K199" s="52" t="n"/>
      <c r="L199" s="58" t="n"/>
      <c r="M199" s="58" t="n"/>
      <c r="N199" s="70" t="n"/>
      <c r="O199" s="56" t="n"/>
      <c r="P199" s="1" t="n"/>
      <c r="Q199" s="1" t="n"/>
    </row>
    <row r="200">
      <c r="A200" s="34">
        <f>IF($H200="UNIDADE CONSTRUTIVA",OFFSET(A200,-1,0)+1,LARGE(A$3:A199,1))</f>
        <v/>
      </c>
      <c r="B200" s="34">
        <f>IF(H200="UNIDADE CONSTRUTIVA",0,IF(H200="CÉLULA CONSTRUTIVA",OFFSET(B200,-1,0)+1,OFFSET(B200,-1,0)))</f>
        <v/>
      </c>
      <c r="C200" s="34">
        <f>IF(H200="CÉLULA CONSTRUTIVA",0,IF(H200="ETAPA",OFFSET(C200,-1,0)+1,OFFSET(C200,-1,0)))</f>
        <v/>
      </c>
      <c r="D200" s="35">
        <f>IF(H200="ETAPA",0,IF(H200="SUBETAPA",OFFSET(D200,-1,0)+1,OFFSET(D200,-1,0)))</f>
        <v/>
      </c>
      <c r="E200" s="35">
        <f>IF(H200="Subetapa",0,IF(H200="serviço",OFFSET(E200,-1,0)+1,OFFSET(E200,-1,0)))</f>
        <v/>
      </c>
      <c r="F200" s="56" t="n"/>
      <c r="G200" s="1" t="n"/>
      <c r="H200" s="1" t="n"/>
      <c r="I200" s="1" t="n"/>
      <c r="J200" s="64" t="n"/>
      <c r="K200" s="52" t="n"/>
      <c r="L200" s="58" t="n"/>
      <c r="M200" s="58" t="n"/>
      <c r="N200" s="70" t="n"/>
      <c r="O200" s="56" t="n"/>
      <c r="P200" s="1" t="n"/>
      <c r="Q200" s="1" t="n"/>
    </row>
    <row r="201">
      <c r="A201" s="34">
        <f>IF($H201="UNIDADE CONSTRUTIVA",OFFSET(A201,-1,0)+1,LARGE(A$3:A200,1))</f>
        <v/>
      </c>
      <c r="B201" s="34">
        <f>IF(H201="UNIDADE CONSTRUTIVA",0,IF(H201="CÉLULA CONSTRUTIVA",OFFSET(B201,-1,0)+1,OFFSET(B201,-1,0)))</f>
        <v/>
      </c>
      <c r="C201" s="34">
        <f>IF(H201="CÉLULA CONSTRUTIVA",0,IF(H201="ETAPA",OFFSET(C201,-1,0)+1,OFFSET(C201,-1,0)))</f>
        <v/>
      </c>
      <c r="D201" s="35">
        <f>IF(H201="ETAPA",0,IF(H201="SUBETAPA",OFFSET(D201,-1,0)+1,OFFSET(D201,-1,0)))</f>
        <v/>
      </c>
      <c r="E201" s="35">
        <f>IF(H201="Subetapa",0,IF(H201="serviço",OFFSET(E201,-1,0)+1,OFFSET(E201,-1,0)))</f>
        <v/>
      </c>
      <c r="F201" s="56" t="n"/>
      <c r="G201" s="1" t="n"/>
      <c r="H201" s="1" t="n"/>
      <c r="I201" s="1" t="n"/>
      <c r="J201" s="64" t="n"/>
      <c r="K201" s="52" t="n"/>
      <c r="L201" s="58" t="n"/>
      <c r="M201" s="58" t="n"/>
      <c r="N201" s="70" t="n"/>
      <c r="O201" s="56" t="n"/>
      <c r="P201" s="1" t="n"/>
      <c r="Q201" s="1" t="n"/>
    </row>
    <row r="202">
      <c r="A202" s="34">
        <f>IF($H202="UNIDADE CONSTRUTIVA",OFFSET(A202,-1,0)+1,LARGE(A$3:A201,1))</f>
        <v/>
      </c>
      <c r="B202" s="34">
        <f>IF(H202="UNIDADE CONSTRUTIVA",0,IF(H202="CÉLULA CONSTRUTIVA",OFFSET(B202,-1,0)+1,OFFSET(B202,-1,0)))</f>
        <v/>
      </c>
      <c r="C202" s="34">
        <f>IF(H202="CÉLULA CONSTRUTIVA",0,IF(H202="ETAPA",OFFSET(C202,-1,0)+1,OFFSET(C202,-1,0)))</f>
        <v/>
      </c>
      <c r="D202" s="35">
        <f>IF(H202="ETAPA",0,IF(H202="SUBETAPA",OFFSET(D202,-1,0)+1,OFFSET(D202,-1,0)))</f>
        <v/>
      </c>
      <c r="E202" s="35">
        <f>IF(H202="Subetapa",0,IF(H202="serviço",OFFSET(E202,-1,0)+1,OFFSET(E202,-1,0)))</f>
        <v/>
      </c>
      <c r="F202" s="56" t="n"/>
      <c r="G202" s="1" t="n"/>
      <c r="H202" s="1" t="n"/>
      <c r="I202" s="1" t="n"/>
      <c r="J202" s="64" t="n"/>
      <c r="K202" s="52" t="n"/>
      <c r="L202" s="58" t="n"/>
      <c r="M202" s="58" t="n"/>
      <c r="N202" s="70" t="n"/>
      <c r="O202" s="56" t="n"/>
      <c r="P202" s="1" t="n"/>
      <c r="Q202" s="1" t="n"/>
    </row>
    <row r="203">
      <c r="A203" s="34">
        <f>IF($H203="UNIDADE CONSTRUTIVA",OFFSET(A203,-1,0)+1,LARGE(A$3:A202,1))</f>
        <v/>
      </c>
      <c r="B203" s="34">
        <f>IF(H203="UNIDADE CONSTRUTIVA",0,IF(H203="CÉLULA CONSTRUTIVA",OFFSET(B203,-1,0)+1,OFFSET(B203,-1,0)))</f>
        <v/>
      </c>
      <c r="C203" s="34">
        <f>IF(H203="CÉLULA CONSTRUTIVA",0,IF(H203="ETAPA",OFFSET(C203,-1,0)+1,OFFSET(C203,-1,0)))</f>
        <v/>
      </c>
      <c r="D203" s="35">
        <f>IF(H203="ETAPA",0,IF(H203="SUBETAPA",OFFSET(D203,-1,0)+1,OFFSET(D203,-1,0)))</f>
        <v/>
      </c>
      <c r="E203" s="35">
        <f>IF(H203="Subetapa",0,IF(H203="serviço",OFFSET(E203,-1,0)+1,OFFSET(E203,-1,0)))</f>
        <v/>
      </c>
      <c r="F203" s="56" t="n"/>
      <c r="G203" s="1" t="n"/>
      <c r="H203" s="1" t="n"/>
      <c r="I203" s="1" t="n"/>
      <c r="J203" s="64" t="n"/>
      <c r="K203" s="52" t="n"/>
      <c r="L203" s="58" t="n"/>
      <c r="M203" s="58" t="n"/>
      <c r="N203" s="70" t="n"/>
      <c r="O203" s="56" t="n"/>
      <c r="P203" s="1" t="n"/>
      <c r="Q203" s="1" t="n"/>
    </row>
    <row r="204">
      <c r="A204" s="34">
        <f>IF($H204="UNIDADE CONSTRUTIVA",OFFSET(A204,-1,0)+1,LARGE(A$3:A203,1))</f>
        <v/>
      </c>
      <c r="B204" s="34">
        <f>IF(H204="UNIDADE CONSTRUTIVA",0,IF(H204="CÉLULA CONSTRUTIVA",OFFSET(B204,-1,0)+1,OFFSET(B204,-1,0)))</f>
        <v/>
      </c>
      <c r="C204" s="34">
        <f>IF(H204="CÉLULA CONSTRUTIVA",0,IF(H204="ETAPA",OFFSET(C204,-1,0)+1,OFFSET(C204,-1,0)))</f>
        <v/>
      </c>
      <c r="D204" s="35">
        <f>IF(H204="ETAPA",0,IF(H204="SUBETAPA",OFFSET(D204,-1,0)+1,OFFSET(D204,-1,0)))</f>
        <v/>
      </c>
      <c r="E204" s="35">
        <f>IF(H204="Subetapa",0,IF(H204="serviço",OFFSET(E204,-1,0)+1,OFFSET(E204,-1,0)))</f>
        <v/>
      </c>
      <c r="F204" s="56" t="n"/>
      <c r="G204" s="1" t="n"/>
      <c r="H204" s="1" t="n"/>
      <c r="I204" s="1" t="n"/>
      <c r="J204" s="64" t="n"/>
      <c r="K204" s="52" t="n"/>
      <c r="L204" s="58" t="n"/>
      <c r="M204" s="58" t="n"/>
      <c r="N204" s="70" t="n"/>
      <c r="O204" s="56" t="n"/>
      <c r="P204" s="1" t="n"/>
      <c r="Q204" s="1" t="n"/>
    </row>
    <row r="205">
      <c r="A205" s="34">
        <f>IF($H205="UNIDADE CONSTRUTIVA",OFFSET(A205,-1,0)+1,LARGE(A$3:A204,1))</f>
        <v/>
      </c>
      <c r="B205" s="34">
        <f>IF(H205="UNIDADE CONSTRUTIVA",0,IF(H205="CÉLULA CONSTRUTIVA",OFFSET(B205,-1,0)+1,OFFSET(B205,-1,0)))</f>
        <v/>
      </c>
      <c r="C205" s="34">
        <f>IF(H205="CÉLULA CONSTRUTIVA",0,IF(H205="ETAPA",OFFSET(C205,-1,0)+1,OFFSET(C205,-1,0)))</f>
        <v/>
      </c>
      <c r="D205" s="35">
        <f>IF(H205="ETAPA",0,IF(H205="SUBETAPA",OFFSET(D205,-1,0)+1,OFFSET(D205,-1,0)))</f>
        <v/>
      </c>
      <c r="E205" s="35">
        <f>IF(H205="Subetapa",0,IF(H205="serviço",OFFSET(E205,-1,0)+1,OFFSET(E205,-1,0)))</f>
        <v/>
      </c>
      <c r="F205" s="56" t="n"/>
      <c r="G205" s="1" t="n"/>
      <c r="H205" s="1" t="n"/>
      <c r="I205" s="1" t="n"/>
      <c r="J205" s="64" t="n"/>
      <c r="K205" s="52" t="n"/>
      <c r="L205" s="58" t="n"/>
      <c r="M205" s="58" t="n"/>
      <c r="N205" s="70" t="n"/>
      <c r="O205" s="56" t="n"/>
      <c r="P205" s="1" t="n"/>
      <c r="Q205" s="1" t="n"/>
    </row>
    <row r="206">
      <c r="A206" s="34">
        <f>IF($H206="UNIDADE CONSTRUTIVA",OFFSET(A206,-1,0)+1,LARGE(A$3:A205,1))</f>
        <v/>
      </c>
      <c r="B206" s="34">
        <f>IF(H206="UNIDADE CONSTRUTIVA",0,IF(H206="CÉLULA CONSTRUTIVA",OFFSET(B206,-1,0)+1,OFFSET(B206,-1,0)))</f>
        <v/>
      </c>
      <c r="C206" s="34">
        <f>IF(H206="CÉLULA CONSTRUTIVA",0,IF(H206="ETAPA",OFFSET(C206,-1,0)+1,OFFSET(C206,-1,0)))</f>
        <v/>
      </c>
      <c r="D206" s="35">
        <f>IF(H206="ETAPA",0,IF(H206="SUBETAPA",OFFSET(D206,-1,0)+1,OFFSET(D206,-1,0)))</f>
        <v/>
      </c>
      <c r="E206" s="35">
        <f>IF(H206="Subetapa",0,IF(H206="serviço",OFFSET(E206,-1,0)+1,OFFSET(E206,-1,0)))</f>
        <v/>
      </c>
      <c r="F206" s="56" t="n"/>
      <c r="G206" s="1" t="n"/>
      <c r="H206" s="1" t="n"/>
      <c r="I206" s="1" t="n"/>
      <c r="J206" s="64" t="n"/>
      <c r="K206" s="52" t="n"/>
      <c r="L206" s="58" t="n"/>
      <c r="M206" s="58" t="n"/>
      <c r="N206" s="70" t="n"/>
      <c r="O206" s="56" t="n"/>
      <c r="P206" s="1" t="n"/>
      <c r="Q206" s="1" t="n"/>
    </row>
    <row r="207">
      <c r="A207" s="34">
        <f>IF($H207="UNIDADE CONSTRUTIVA",OFFSET(A207,-1,0)+1,LARGE(A$3:A206,1))</f>
        <v/>
      </c>
      <c r="B207" s="34">
        <f>IF(H207="UNIDADE CONSTRUTIVA",0,IF(H207="CÉLULA CONSTRUTIVA",OFFSET(B207,-1,0)+1,OFFSET(B207,-1,0)))</f>
        <v/>
      </c>
      <c r="C207" s="34">
        <f>IF(H207="CÉLULA CONSTRUTIVA",0,IF(H207="ETAPA",OFFSET(C207,-1,0)+1,OFFSET(C207,-1,0)))</f>
        <v/>
      </c>
      <c r="D207" s="35">
        <f>IF(H207="ETAPA",0,IF(H207="SUBETAPA",OFFSET(D207,-1,0)+1,OFFSET(D207,-1,0)))</f>
        <v/>
      </c>
      <c r="E207" s="35">
        <f>IF(H207="Subetapa",0,IF(H207="serviço",OFFSET(E207,-1,0)+1,OFFSET(E207,-1,0)))</f>
        <v/>
      </c>
      <c r="F207" s="56" t="n"/>
      <c r="G207" s="1" t="n"/>
      <c r="H207" s="1" t="n"/>
      <c r="I207" s="1" t="n"/>
      <c r="J207" s="64" t="n"/>
      <c r="K207" s="52" t="n"/>
      <c r="L207" s="58" t="n"/>
      <c r="M207" s="58" t="n"/>
      <c r="N207" s="70" t="n"/>
      <c r="O207" s="56" t="n"/>
      <c r="P207" s="1" t="n"/>
      <c r="Q207" s="1" t="n"/>
    </row>
    <row r="208">
      <c r="A208" s="34">
        <f>IF($H208="UNIDADE CONSTRUTIVA",OFFSET(A208,-1,0)+1,LARGE(A$3:A207,1))</f>
        <v/>
      </c>
      <c r="B208" s="34">
        <f>IF(H208="UNIDADE CONSTRUTIVA",0,IF(H208="CÉLULA CONSTRUTIVA",OFFSET(B208,-1,0)+1,OFFSET(B208,-1,0)))</f>
        <v/>
      </c>
      <c r="C208" s="34">
        <f>IF(H208="CÉLULA CONSTRUTIVA",0,IF(H208="ETAPA",OFFSET(C208,-1,0)+1,OFFSET(C208,-1,0)))</f>
        <v/>
      </c>
      <c r="D208" s="35">
        <f>IF(H208="ETAPA",0,IF(H208="SUBETAPA",OFFSET(D208,-1,0)+1,OFFSET(D208,-1,0)))</f>
        <v/>
      </c>
      <c r="E208" s="35">
        <f>IF(H208="Subetapa",0,IF(H208="serviço",OFFSET(E208,-1,0)+1,OFFSET(E208,-1,0)))</f>
        <v/>
      </c>
      <c r="F208" s="56" t="n"/>
      <c r="G208" s="1" t="n"/>
      <c r="H208" s="1" t="n"/>
      <c r="I208" s="1" t="n"/>
      <c r="J208" s="64" t="n"/>
      <c r="K208" s="52" t="n"/>
      <c r="L208" s="58" t="n"/>
      <c r="M208" s="58" t="n"/>
      <c r="N208" s="70" t="n"/>
      <c r="O208" s="56" t="n"/>
      <c r="P208" s="1" t="n"/>
      <c r="Q208" s="1" t="n"/>
    </row>
    <row r="209">
      <c r="A209" s="34">
        <f>IF($H209="UNIDADE CONSTRUTIVA",OFFSET(A209,-1,0)+1,LARGE(A$3:A208,1))</f>
        <v/>
      </c>
      <c r="B209" s="34">
        <f>IF(H209="UNIDADE CONSTRUTIVA",0,IF(H209="CÉLULA CONSTRUTIVA",OFFSET(B209,-1,0)+1,OFFSET(B209,-1,0)))</f>
        <v/>
      </c>
      <c r="C209" s="34">
        <f>IF(H209="CÉLULA CONSTRUTIVA",0,IF(H209="ETAPA",OFFSET(C209,-1,0)+1,OFFSET(C209,-1,0)))</f>
        <v/>
      </c>
      <c r="D209" s="35">
        <f>IF(H209="ETAPA",0,IF(H209="SUBETAPA",OFFSET(D209,-1,0)+1,OFFSET(D209,-1,0)))</f>
        <v/>
      </c>
      <c r="E209" s="35">
        <f>IF(H209="Subetapa",0,IF(H209="serviço",OFFSET(E209,-1,0)+1,OFFSET(E209,-1,0)))</f>
        <v/>
      </c>
      <c r="F209" s="56" t="n"/>
      <c r="G209" s="1" t="n"/>
      <c r="H209" s="1" t="n"/>
      <c r="I209" s="1" t="n"/>
      <c r="J209" s="64" t="n"/>
      <c r="K209" s="52" t="n"/>
      <c r="L209" s="58" t="n"/>
      <c r="M209" s="58" t="n"/>
      <c r="N209" s="70" t="n"/>
      <c r="O209" s="56" t="n"/>
      <c r="P209" s="1" t="n"/>
      <c r="Q209" s="1" t="n"/>
    </row>
    <row r="210">
      <c r="A210" s="34">
        <f>IF($H210="UNIDADE CONSTRUTIVA",OFFSET(A210,-1,0)+1,LARGE(A$3:A209,1))</f>
        <v/>
      </c>
      <c r="B210" s="34">
        <f>IF(H210="UNIDADE CONSTRUTIVA",0,IF(H210="CÉLULA CONSTRUTIVA",OFFSET(B210,-1,0)+1,OFFSET(B210,-1,0)))</f>
        <v/>
      </c>
      <c r="C210" s="34">
        <f>IF(H210="CÉLULA CONSTRUTIVA",0,IF(H210="ETAPA",OFFSET(C210,-1,0)+1,OFFSET(C210,-1,0)))</f>
        <v/>
      </c>
      <c r="D210" s="35">
        <f>IF(H210="ETAPA",0,IF(H210="SUBETAPA",OFFSET(D210,-1,0)+1,OFFSET(D210,-1,0)))</f>
        <v/>
      </c>
      <c r="E210" s="35">
        <f>IF(H210="Subetapa",0,IF(H210="serviço",OFFSET(E210,-1,0)+1,OFFSET(E210,-1,0)))</f>
        <v/>
      </c>
      <c r="F210" s="56" t="n"/>
      <c r="G210" s="1" t="n"/>
      <c r="H210" s="1" t="n"/>
      <c r="I210" s="1" t="n"/>
      <c r="J210" s="64" t="n"/>
      <c r="K210" s="52" t="n"/>
      <c r="L210" s="58" t="n"/>
      <c r="M210" s="58" t="n"/>
      <c r="N210" s="70" t="n"/>
      <c r="O210" s="56" t="n"/>
      <c r="P210" s="1" t="n"/>
      <c r="Q210" s="1" t="n"/>
    </row>
    <row r="211">
      <c r="A211" s="34">
        <f>IF($H211="UNIDADE CONSTRUTIVA",OFFSET(A211,-1,0)+1,LARGE(A$3:A210,1))</f>
        <v/>
      </c>
      <c r="B211" s="34">
        <f>IF(H211="UNIDADE CONSTRUTIVA",0,IF(H211="CÉLULA CONSTRUTIVA",OFFSET(B211,-1,0)+1,OFFSET(B211,-1,0)))</f>
        <v/>
      </c>
      <c r="C211" s="34">
        <f>IF(H211="CÉLULA CONSTRUTIVA",0,IF(H211="ETAPA",OFFSET(C211,-1,0)+1,OFFSET(C211,-1,0)))</f>
        <v/>
      </c>
      <c r="D211" s="35">
        <f>IF(H211="ETAPA",0,IF(H211="SUBETAPA",OFFSET(D211,-1,0)+1,OFFSET(D211,-1,0)))</f>
        <v/>
      </c>
      <c r="E211" s="35">
        <f>IF(H211="Subetapa",0,IF(H211="serviço",OFFSET(E211,-1,0)+1,OFFSET(E211,-1,0)))</f>
        <v/>
      </c>
      <c r="F211" s="56" t="n"/>
      <c r="G211" s="1" t="n"/>
      <c r="H211" s="1" t="n"/>
      <c r="I211" s="1" t="n"/>
      <c r="J211" s="64" t="n"/>
      <c r="K211" s="52" t="n"/>
      <c r="L211" s="58" t="n"/>
      <c r="M211" s="58" t="n"/>
      <c r="N211" s="70" t="n"/>
      <c r="O211" s="56" t="n"/>
      <c r="P211" s="1" t="n"/>
      <c r="Q211" s="1" t="n"/>
    </row>
    <row r="212">
      <c r="A212" s="34">
        <f>IF($H212="UNIDADE CONSTRUTIVA",OFFSET(A212,-1,0)+1,LARGE(A$3:A211,1))</f>
        <v/>
      </c>
      <c r="B212" s="34">
        <f>IF(H212="UNIDADE CONSTRUTIVA",0,IF(H212="CÉLULA CONSTRUTIVA",OFFSET(B212,-1,0)+1,OFFSET(B212,-1,0)))</f>
        <v/>
      </c>
      <c r="C212" s="34">
        <f>IF(H212="CÉLULA CONSTRUTIVA",0,IF(H212="ETAPA",OFFSET(C212,-1,0)+1,OFFSET(C212,-1,0)))</f>
        <v/>
      </c>
      <c r="D212" s="35">
        <f>IF(H212="ETAPA",0,IF(H212="SUBETAPA",OFFSET(D212,-1,0)+1,OFFSET(D212,-1,0)))</f>
        <v/>
      </c>
      <c r="E212" s="35">
        <f>IF(H212="Subetapa",0,IF(H212="serviço",OFFSET(E212,-1,0)+1,OFFSET(E212,-1,0)))</f>
        <v/>
      </c>
      <c r="F212" s="56" t="n"/>
      <c r="G212" s="1" t="n"/>
      <c r="H212" s="1" t="n"/>
      <c r="I212" s="1" t="n"/>
      <c r="J212" s="64" t="n"/>
      <c r="K212" s="52" t="n"/>
      <c r="L212" s="58" t="n"/>
      <c r="M212" s="58" t="n"/>
      <c r="N212" s="70" t="n"/>
      <c r="O212" s="56" t="n"/>
      <c r="P212" s="1" t="n"/>
      <c r="Q212" s="1" t="n"/>
    </row>
    <row r="213">
      <c r="A213" s="34">
        <f>IF($H213="UNIDADE CONSTRUTIVA",OFFSET(A213,-1,0)+1,LARGE(A$3:A212,1))</f>
        <v/>
      </c>
      <c r="B213" s="34">
        <f>IF(H213="UNIDADE CONSTRUTIVA",0,IF(H213="CÉLULA CONSTRUTIVA",OFFSET(B213,-1,0)+1,OFFSET(B213,-1,0)))</f>
        <v/>
      </c>
      <c r="C213" s="34">
        <f>IF(H213="CÉLULA CONSTRUTIVA",0,IF(H213="ETAPA",OFFSET(C213,-1,0)+1,OFFSET(C213,-1,0)))</f>
        <v/>
      </c>
      <c r="D213" s="35">
        <f>IF(H213="ETAPA",0,IF(H213="SUBETAPA",OFFSET(D213,-1,0)+1,OFFSET(D213,-1,0)))</f>
        <v/>
      </c>
      <c r="E213" s="35">
        <f>IF(H213="Subetapa",0,IF(H213="serviço",OFFSET(E213,-1,0)+1,OFFSET(E213,-1,0)))</f>
        <v/>
      </c>
      <c r="F213" s="56" t="n"/>
      <c r="G213" s="1" t="n"/>
      <c r="H213" s="1" t="n"/>
      <c r="I213" s="1" t="n"/>
      <c r="J213" s="64" t="n"/>
      <c r="K213" s="52" t="n"/>
      <c r="L213" s="58" t="n"/>
      <c r="M213" s="58" t="n"/>
      <c r="N213" s="70" t="n"/>
      <c r="O213" s="56" t="n"/>
      <c r="P213" s="1" t="n"/>
      <c r="Q213" s="1" t="n"/>
    </row>
    <row r="214">
      <c r="A214" s="34">
        <f>IF($H214="UNIDADE CONSTRUTIVA",OFFSET(A214,-1,0)+1,LARGE(A$3:A213,1))</f>
        <v/>
      </c>
      <c r="B214" s="34">
        <f>IF(H214="UNIDADE CONSTRUTIVA",0,IF(H214="CÉLULA CONSTRUTIVA",OFFSET(B214,-1,0)+1,OFFSET(B214,-1,0)))</f>
        <v/>
      </c>
      <c r="C214" s="34">
        <f>IF(H214="CÉLULA CONSTRUTIVA",0,IF(H214="ETAPA",OFFSET(C214,-1,0)+1,OFFSET(C214,-1,0)))</f>
        <v/>
      </c>
      <c r="D214" s="35">
        <f>IF(H214="ETAPA",0,IF(H214="SUBETAPA",OFFSET(D214,-1,0)+1,OFFSET(D214,-1,0)))</f>
        <v/>
      </c>
      <c r="E214" s="35">
        <f>IF(H214="Subetapa",0,IF(H214="serviço",OFFSET(E214,-1,0)+1,OFFSET(E214,-1,0)))</f>
        <v/>
      </c>
      <c r="F214" s="56" t="n"/>
      <c r="G214" s="1" t="n"/>
      <c r="H214" s="1" t="n"/>
      <c r="I214" s="1" t="n"/>
      <c r="J214" s="64" t="n"/>
      <c r="K214" s="52" t="n"/>
      <c r="L214" s="58" t="n"/>
      <c r="M214" s="58" t="n"/>
      <c r="N214" s="70" t="n"/>
      <c r="O214" s="56" t="n"/>
      <c r="P214" s="1" t="n"/>
      <c r="Q214" s="1" t="n"/>
    </row>
    <row r="215">
      <c r="A215" s="34">
        <f>IF($H215="UNIDADE CONSTRUTIVA",OFFSET(A215,-1,0)+1,LARGE(A$3:A214,1))</f>
        <v/>
      </c>
      <c r="B215" s="34">
        <f>IF(H215="UNIDADE CONSTRUTIVA",0,IF(H215="CÉLULA CONSTRUTIVA",OFFSET(B215,-1,0)+1,OFFSET(B215,-1,0)))</f>
        <v/>
      </c>
      <c r="C215" s="34">
        <f>IF(H215="CÉLULA CONSTRUTIVA",0,IF(H215="ETAPA",OFFSET(C215,-1,0)+1,OFFSET(C215,-1,0)))</f>
        <v/>
      </c>
      <c r="D215" s="35">
        <f>IF(H215="ETAPA",0,IF(H215="SUBETAPA",OFFSET(D215,-1,0)+1,OFFSET(D215,-1,0)))</f>
        <v/>
      </c>
      <c r="E215" s="35">
        <f>IF(H215="Subetapa",0,IF(H215="serviço",OFFSET(E215,-1,0)+1,OFFSET(E215,-1,0)))</f>
        <v/>
      </c>
      <c r="F215" s="56" t="n"/>
      <c r="G215" s="1" t="n"/>
      <c r="H215" s="1" t="n"/>
      <c r="I215" s="1" t="n"/>
      <c r="J215" s="64" t="n"/>
      <c r="K215" s="52" t="n"/>
      <c r="L215" s="58" t="n"/>
      <c r="M215" s="58" t="n"/>
      <c r="N215" s="70" t="n"/>
      <c r="O215" s="56" t="n"/>
      <c r="P215" s="1" t="n"/>
      <c r="Q215" s="1" t="n"/>
    </row>
    <row r="216">
      <c r="A216" s="34">
        <f>IF($H216="UNIDADE CONSTRUTIVA",OFFSET(A216,-1,0)+1,LARGE(A$3:A215,1))</f>
        <v/>
      </c>
      <c r="B216" s="34">
        <f>IF(H216="UNIDADE CONSTRUTIVA",0,IF(H216="CÉLULA CONSTRUTIVA",OFFSET(B216,-1,0)+1,OFFSET(B216,-1,0)))</f>
        <v/>
      </c>
      <c r="C216" s="34">
        <f>IF(H216="CÉLULA CONSTRUTIVA",0,IF(H216="ETAPA",OFFSET(C216,-1,0)+1,OFFSET(C216,-1,0)))</f>
        <v/>
      </c>
      <c r="D216" s="35">
        <f>IF(H216="ETAPA",0,IF(H216="SUBETAPA",OFFSET(D216,-1,0)+1,OFFSET(D216,-1,0)))</f>
        <v/>
      </c>
      <c r="E216" s="35">
        <f>IF(H216="Subetapa",0,IF(H216="serviço",OFFSET(E216,-1,0)+1,OFFSET(E216,-1,0)))</f>
        <v/>
      </c>
      <c r="F216" s="56" t="n"/>
      <c r="G216" s="1" t="n"/>
      <c r="H216" s="1" t="n"/>
      <c r="I216" s="1" t="n"/>
      <c r="J216" s="64" t="n"/>
      <c r="K216" s="52" t="n"/>
      <c r="L216" s="58" t="n"/>
      <c r="M216" s="58" t="n"/>
      <c r="N216" s="70" t="n"/>
      <c r="O216" s="56" t="n"/>
      <c r="P216" s="1" t="n"/>
      <c r="Q216" s="1" t="n"/>
    </row>
    <row r="217">
      <c r="A217" s="34">
        <f>IF($H217="UNIDADE CONSTRUTIVA",OFFSET(A217,-1,0)+1,LARGE(A$3:A216,1))</f>
        <v/>
      </c>
      <c r="B217" s="34">
        <f>IF(H217="UNIDADE CONSTRUTIVA",0,IF(H217="CÉLULA CONSTRUTIVA",OFFSET(B217,-1,0)+1,OFFSET(B217,-1,0)))</f>
        <v/>
      </c>
      <c r="C217" s="34">
        <f>IF(H217="CÉLULA CONSTRUTIVA",0,IF(H217="ETAPA",OFFSET(C217,-1,0)+1,OFFSET(C217,-1,0)))</f>
        <v/>
      </c>
      <c r="D217" s="35">
        <f>IF(H217="ETAPA",0,IF(H217="SUBETAPA",OFFSET(D217,-1,0)+1,OFFSET(D217,-1,0)))</f>
        <v/>
      </c>
      <c r="E217" s="35">
        <f>IF(H217="Subetapa",0,IF(H217="serviço",OFFSET(E217,-1,0)+1,OFFSET(E217,-1,0)))</f>
        <v/>
      </c>
      <c r="F217" s="56" t="n"/>
      <c r="G217" s="1" t="n"/>
      <c r="H217" s="1" t="n"/>
      <c r="I217" s="1" t="n"/>
      <c r="J217" s="64" t="n"/>
      <c r="K217" s="52" t="n"/>
      <c r="L217" s="58" t="n"/>
      <c r="M217" s="58" t="n"/>
      <c r="N217" s="70" t="n"/>
      <c r="O217" s="56" t="n"/>
      <c r="P217" s="1" t="n"/>
      <c r="Q217" s="1" t="n"/>
    </row>
    <row r="218">
      <c r="A218" s="34">
        <f>IF($H218="UNIDADE CONSTRUTIVA",OFFSET(A218,-1,0)+1,LARGE(A$3:A217,1))</f>
        <v/>
      </c>
      <c r="B218" s="34">
        <f>IF(H218="UNIDADE CONSTRUTIVA",0,IF(H218="CÉLULA CONSTRUTIVA",OFFSET(B218,-1,0)+1,OFFSET(B218,-1,0)))</f>
        <v/>
      </c>
      <c r="C218" s="34">
        <f>IF(H218="CÉLULA CONSTRUTIVA",0,IF(H218="ETAPA",OFFSET(C218,-1,0)+1,OFFSET(C218,-1,0)))</f>
        <v/>
      </c>
      <c r="D218" s="35">
        <f>IF(H218="ETAPA",0,IF(H218="SUBETAPA",OFFSET(D218,-1,0)+1,OFFSET(D218,-1,0)))</f>
        <v/>
      </c>
      <c r="E218" s="35">
        <f>IF(H218="Subetapa",0,IF(H218="serviço",OFFSET(E218,-1,0)+1,OFFSET(E218,-1,0)))</f>
        <v/>
      </c>
      <c r="F218" s="56" t="n"/>
      <c r="G218" s="1" t="n"/>
      <c r="H218" s="1" t="n"/>
      <c r="I218" s="1" t="n"/>
      <c r="J218" s="64" t="n"/>
      <c r="K218" s="52" t="n"/>
      <c r="L218" s="58" t="n"/>
      <c r="M218" s="58" t="n"/>
      <c r="N218" s="70" t="n"/>
      <c r="O218" s="56" t="n"/>
      <c r="P218" s="1" t="n"/>
      <c r="Q218" s="1" t="n"/>
    </row>
    <row r="219">
      <c r="A219" s="34">
        <f>IF($H219="UNIDADE CONSTRUTIVA",OFFSET(A219,-1,0)+1,LARGE(A$3:A218,1))</f>
        <v/>
      </c>
      <c r="B219" s="34">
        <f>IF(H219="UNIDADE CONSTRUTIVA",0,IF(H219="CÉLULA CONSTRUTIVA",OFFSET(B219,-1,0)+1,OFFSET(B219,-1,0)))</f>
        <v/>
      </c>
      <c r="C219" s="34">
        <f>IF(H219="CÉLULA CONSTRUTIVA",0,IF(H219="ETAPA",OFFSET(C219,-1,0)+1,OFFSET(C219,-1,0)))</f>
        <v/>
      </c>
      <c r="D219" s="35">
        <f>IF(H219="ETAPA",0,IF(H219="SUBETAPA",OFFSET(D219,-1,0)+1,OFFSET(D219,-1,0)))</f>
        <v/>
      </c>
      <c r="E219" s="35">
        <f>IF(H219="Subetapa",0,IF(H219="serviço",OFFSET(E219,-1,0)+1,OFFSET(E219,-1,0)))</f>
        <v/>
      </c>
      <c r="F219" s="56" t="n"/>
      <c r="G219" s="1" t="n"/>
      <c r="H219" s="1" t="n"/>
      <c r="I219" s="1" t="n"/>
      <c r="J219" s="64" t="n"/>
      <c r="K219" s="52" t="n"/>
      <c r="L219" s="58" t="n"/>
      <c r="M219" s="58" t="n"/>
      <c r="N219" s="70" t="n"/>
      <c r="O219" s="56" t="n"/>
      <c r="P219" s="1" t="n"/>
      <c r="Q219" s="1" t="n"/>
    </row>
    <row r="220">
      <c r="A220" s="34">
        <f>IF($H220="UNIDADE CONSTRUTIVA",OFFSET(A220,-1,0)+1,LARGE(A$3:A219,1))</f>
        <v/>
      </c>
      <c r="B220" s="34">
        <f>IF(H220="UNIDADE CONSTRUTIVA",0,IF(H220="CÉLULA CONSTRUTIVA",OFFSET(B220,-1,0)+1,OFFSET(B220,-1,0)))</f>
        <v/>
      </c>
      <c r="C220" s="34">
        <f>IF(H220="CÉLULA CONSTRUTIVA",0,IF(H220="ETAPA",OFFSET(C220,-1,0)+1,OFFSET(C220,-1,0)))</f>
        <v/>
      </c>
      <c r="D220" s="35">
        <f>IF(H220="ETAPA",0,IF(H220="SUBETAPA",OFFSET(D220,-1,0)+1,OFFSET(D220,-1,0)))</f>
        <v/>
      </c>
      <c r="E220" s="35">
        <f>IF(H220="Subetapa",0,IF(H220="serviço",OFFSET(E220,-1,0)+1,OFFSET(E220,-1,0)))</f>
        <v/>
      </c>
      <c r="F220" s="56" t="n"/>
      <c r="G220" s="1" t="n"/>
      <c r="H220" s="1" t="n"/>
      <c r="I220" s="1" t="n"/>
      <c r="J220" s="64" t="n"/>
      <c r="K220" s="52" t="n"/>
      <c r="L220" s="58" t="n"/>
      <c r="M220" s="58" t="n"/>
      <c r="N220" s="70" t="n"/>
      <c r="O220" s="56" t="n"/>
      <c r="P220" s="1" t="n"/>
      <c r="Q220" s="1" t="n"/>
    </row>
    <row r="221">
      <c r="A221" s="34">
        <f>IF($H221="UNIDADE CONSTRUTIVA",OFFSET(A221,-1,0)+1,LARGE(A$3:A220,1))</f>
        <v/>
      </c>
      <c r="B221" s="34">
        <f>IF(H221="UNIDADE CONSTRUTIVA",0,IF(H221="CÉLULA CONSTRUTIVA",OFFSET(B221,-1,0)+1,OFFSET(B221,-1,0)))</f>
        <v/>
      </c>
      <c r="C221" s="34">
        <f>IF(H221="CÉLULA CONSTRUTIVA",0,IF(H221="ETAPA",OFFSET(C221,-1,0)+1,OFFSET(C221,-1,0)))</f>
        <v/>
      </c>
      <c r="D221" s="35">
        <f>IF(H221="ETAPA",0,IF(H221="SUBETAPA",OFFSET(D221,-1,0)+1,OFFSET(D221,-1,0)))</f>
        <v/>
      </c>
      <c r="E221" s="35">
        <f>IF(H221="Subetapa",0,IF(H221="serviço",OFFSET(E221,-1,0)+1,OFFSET(E221,-1,0)))</f>
        <v/>
      </c>
      <c r="F221" s="56" t="n"/>
      <c r="G221" s="1" t="n"/>
      <c r="H221" s="1" t="n"/>
      <c r="I221" s="1" t="n"/>
      <c r="J221" s="64" t="n"/>
      <c r="K221" s="52" t="n"/>
      <c r="L221" s="58" t="n"/>
      <c r="M221" s="58" t="n"/>
      <c r="N221" s="70" t="n"/>
      <c r="O221" s="56" t="n"/>
      <c r="P221" s="1" t="n"/>
      <c r="Q221" s="1" t="n"/>
    </row>
    <row r="222">
      <c r="A222" s="34">
        <f>IF($H222="UNIDADE CONSTRUTIVA",OFFSET(A222,-1,0)+1,LARGE(A$3:A221,1))</f>
        <v/>
      </c>
      <c r="B222" s="34">
        <f>IF(H222="UNIDADE CONSTRUTIVA",0,IF(H222="CÉLULA CONSTRUTIVA",OFFSET(B222,-1,0)+1,OFFSET(B222,-1,0)))</f>
        <v/>
      </c>
      <c r="C222" s="34">
        <f>IF(H222="CÉLULA CONSTRUTIVA",0,IF(H222="ETAPA",OFFSET(C222,-1,0)+1,OFFSET(C222,-1,0)))</f>
        <v/>
      </c>
      <c r="D222" s="35">
        <f>IF(H222="ETAPA",0,IF(H222="SUBETAPA",OFFSET(D222,-1,0)+1,OFFSET(D222,-1,0)))</f>
        <v/>
      </c>
      <c r="E222" s="35">
        <f>IF(H222="Subetapa",0,IF(H222="serviço",OFFSET(E222,-1,0)+1,OFFSET(E222,-1,0)))</f>
        <v/>
      </c>
      <c r="F222" s="56" t="n"/>
      <c r="G222" s="1" t="n"/>
      <c r="H222" s="1" t="n"/>
      <c r="I222" s="1" t="n"/>
      <c r="J222" s="64" t="n"/>
      <c r="K222" s="52" t="n"/>
      <c r="L222" s="58" t="n"/>
      <c r="M222" s="58" t="n"/>
      <c r="N222" s="70" t="n"/>
      <c r="O222" s="56" t="n"/>
      <c r="P222" s="1" t="n"/>
      <c r="Q222" s="1" t="n"/>
    </row>
    <row r="223">
      <c r="A223" s="34">
        <f>IF($H223="UNIDADE CONSTRUTIVA",OFFSET(A223,-1,0)+1,LARGE(A$3:A222,1))</f>
        <v/>
      </c>
      <c r="B223" s="34">
        <f>IF(H223="UNIDADE CONSTRUTIVA",0,IF(H223="CÉLULA CONSTRUTIVA",OFFSET(B223,-1,0)+1,OFFSET(B223,-1,0)))</f>
        <v/>
      </c>
      <c r="C223" s="34">
        <f>IF(H223="CÉLULA CONSTRUTIVA",0,IF(H223="ETAPA",OFFSET(C223,-1,0)+1,OFFSET(C223,-1,0)))</f>
        <v/>
      </c>
      <c r="D223" s="35">
        <f>IF(H223="ETAPA",0,IF(H223="SUBETAPA",OFFSET(D223,-1,0)+1,OFFSET(D223,-1,0)))</f>
        <v/>
      </c>
      <c r="E223" s="35">
        <f>IF(H223="Subetapa",0,IF(H223="serviço",OFFSET(E223,-1,0)+1,OFFSET(E223,-1,0)))</f>
        <v/>
      </c>
      <c r="F223" s="56" t="n"/>
      <c r="G223" s="1" t="n"/>
      <c r="H223" s="1" t="n"/>
      <c r="I223" s="1" t="n"/>
      <c r="J223" s="64" t="n"/>
      <c r="K223" s="52" t="n"/>
      <c r="L223" s="58" t="n"/>
      <c r="M223" s="58" t="n"/>
      <c r="N223" s="70" t="n"/>
      <c r="O223" s="56" t="n"/>
      <c r="P223" s="1" t="n"/>
      <c r="Q223" s="1" t="n"/>
    </row>
    <row r="224">
      <c r="A224" s="34">
        <f>IF($H224="UNIDADE CONSTRUTIVA",OFFSET(A224,-1,0)+1,LARGE(A$3:A223,1))</f>
        <v/>
      </c>
      <c r="B224" s="34">
        <f>IF(H224="UNIDADE CONSTRUTIVA",0,IF(H224="CÉLULA CONSTRUTIVA",OFFSET(B224,-1,0)+1,OFFSET(B224,-1,0)))</f>
        <v/>
      </c>
      <c r="C224" s="34">
        <f>IF(H224="CÉLULA CONSTRUTIVA",0,IF(H224="ETAPA",OFFSET(C224,-1,0)+1,OFFSET(C224,-1,0)))</f>
        <v/>
      </c>
      <c r="D224" s="35">
        <f>IF(H224="ETAPA",0,IF(H224="SUBETAPA",OFFSET(D224,-1,0)+1,OFFSET(D224,-1,0)))</f>
        <v/>
      </c>
      <c r="E224" s="35">
        <f>IF(H224="Subetapa",0,IF(H224="serviço",OFFSET(E224,-1,0)+1,OFFSET(E224,-1,0)))</f>
        <v/>
      </c>
      <c r="F224" s="56" t="n"/>
      <c r="G224" s="1" t="n"/>
      <c r="H224" s="1" t="n"/>
      <c r="I224" s="1" t="n"/>
      <c r="J224" s="64" t="n"/>
      <c r="K224" s="52" t="n"/>
      <c r="L224" s="58" t="n"/>
      <c r="M224" s="58" t="n"/>
      <c r="N224" s="70" t="n"/>
      <c r="O224" s="56" t="n"/>
      <c r="P224" s="1" t="n"/>
      <c r="Q224" s="1" t="n"/>
    </row>
    <row r="225">
      <c r="A225" s="34">
        <f>IF($H225="UNIDADE CONSTRUTIVA",OFFSET(A225,-1,0)+1,LARGE(A$3:A224,1))</f>
        <v/>
      </c>
      <c r="B225" s="34">
        <f>IF(H225="UNIDADE CONSTRUTIVA",0,IF(H225="CÉLULA CONSTRUTIVA",OFFSET(B225,-1,0)+1,OFFSET(B225,-1,0)))</f>
        <v/>
      </c>
      <c r="C225" s="34">
        <f>IF(H225="CÉLULA CONSTRUTIVA",0,IF(H225="ETAPA",OFFSET(C225,-1,0)+1,OFFSET(C225,-1,0)))</f>
        <v/>
      </c>
      <c r="D225" s="35">
        <f>IF(H225="ETAPA",0,IF(H225="SUBETAPA",OFFSET(D225,-1,0)+1,OFFSET(D225,-1,0)))</f>
        <v/>
      </c>
      <c r="E225" s="35">
        <f>IF(H225="Subetapa",0,IF(H225="serviço",OFFSET(E225,-1,0)+1,OFFSET(E225,-1,0)))</f>
        <v/>
      </c>
      <c r="F225" s="56" t="n"/>
      <c r="G225" s="1" t="n"/>
      <c r="H225" s="1" t="n"/>
      <c r="I225" s="1" t="n"/>
      <c r="J225" s="64" t="n"/>
      <c r="K225" s="52" t="n"/>
      <c r="L225" s="58" t="n"/>
      <c r="M225" s="58" t="n"/>
      <c r="N225" s="70" t="n"/>
      <c r="O225" s="56" t="n"/>
      <c r="P225" s="1" t="n"/>
      <c r="Q225" s="1" t="n"/>
    </row>
    <row r="226">
      <c r="A226" s="34">
        <f>IF($H226="UNIDADE CONSTRUTIVA",OFFSET(A226,-1,0)+1,LARGE(A$3:A225,1))</f>
        <v/>
      </c>
      <c r="B226" s="34">
        <f>IF(H226="UNIDADE CONSTRUTIVA",0,IF(H226="CÉLULA CONSTRUTIVA",OFFSET(B226,-1,0)+1,OFFSET(B226,-1,0)))</f>
        <v/>
      </c>
      <c r="C226" s="34">
        <f>IF(H226="CÉLULA CONSTRUTIVA",0,IF(H226="ETAPA",OFFSET(C226,-1,0)+1,OFFSET(C226,-1,0)))</f>
        <v/>
      </c>
      <c r="D226" s="35">
        <f>IF(H226="ETAPA",0,IF(H226="SUBETAPA",OFFSET(D226,-1,0)+1,OFFSET(D226,-1,0)))</f>
        <v/>
      </c>
      <c r="E226" s="35">
        <f>IF(H226="Subetapa",0,IF(H226="serviço",OFFSET(E226,-1,0)+1,OFFSET(E226,-1,0)))</f>
        <v/>
      </c>
      <c r="F226" s="56" t="n"/>
      <c r="G226" s="1" t="n"/>
      <c r="H226" s="1" t="n"/>
      <c r="I226" s="1" t="n"/>
      <c r="J226" s="64" t="n"/>
      <c r="K226" s="52" t="n"/>
      <c r="L226" s="58" t="n"/>
      <c r="M226" s="58" t="n"/>
      <c r="N226" s="70" t="n"/>
      <c r="O226" s="56" t="n"/>
      <c r="P226" s="1" t="n"/>
      <c r="Q226" s="1" t="n"/>
    </row>
    <row r="227">
      <c r="A227" s="34">
        <f>IF($H227="UNIDADE CONSTRUTIVA",OFFSET(A227,-1,0)+1,LARGE(A$3:A226,1))</f>
        <v/>
      </c>
      <c r="B227" s="34">
        <f>IF(H227="UNIDADE CONSTRUTIVA",0,IF(H227="CÉLULA CONSTRUTIVA",OFFSET(B227,-1,0)+1,OFFSET(B227,-1,0)))</f>
        <v/>
      </c>
      <c r="C227" s="34">
        <f>IF(H227="CÉLULA CONSTRUTIVA",0,IF(H227="ETAPA",OFFSET(C227,-1,0)+1,OFFSET(C227,-1,0)))</f>
        <v/>
      </c>
      <c r="D227" s="35">
        <f>IF(H227="ETAPA",0,IF(H227="SUBETAPA",OFFSET(D227,-1,0)+1,OFFSET(D227,-1,0)))</f>
        <v/>
      </c>
      <c r="E227" s="35">
        <f>IF(H227="Subetapa",0,IF(H227="serviço",OFFSET(E227,-1,0)+1,OFFSET(E227,-1,0)))</f>
        <v/>
      </c>
      <c r="F227" s="56" t="n"/>
      <c r="G227" s="1" t="n"/>
      <c r="H227" s="1" t="n"/>
      <c r="I227" s="1" t="n"/>
      <c r="J227" s="64" t="n"/>
      <c r="K227" s="52" t="n"/>
      <c r="L227" s="58" t="n"/>
      <c r="M227" s="58" t="n"/>
      <c r="N227" s="70" t="n"/>
      <c r="O227" s="56" t="n"/>
      <c r="P227" s="1" t="n"/>
      <c r="Q227" s="1" t="n"/>
    </row>
    <row r="228">
      <c r="A228" s="34">
        <f>IF($H228="UNIDADE CONSTRUTIVA",OFFSET(A228,-1,0)+1,LARGE(A$3:A227,1))</f>
        <v/>
      </c>
      <c r="B228" s="34">
        <f>IF(H228="UNIDADE CONSTRUTIVA",0,IF(H228="CÉLULA CONSTRUTIVA",OFFSET(B228,-1,0)+1,OFFSET(B228,-1,0)))</f>
        <v/>
      </c>
      <c r="C228" s="34">
        <f>IF(H228="CÉLULA CONSTRUTIVA",0,IF(H228="ETAPA",OFFSET(C228,-1,0)+1,OFFSET(C228,-1,0)))</f>
        <v/>
      </c>
      <c r="D228" s="35">
        <f>IF(H228="ETAPA",0,IF(H228="SUBETAPA",OFFSET(D228,-1,0)+1,OFFSET(D228,-1,0)))</f>
        <v/>
      </c>
      <c r="E228" s="35">
        <f>IF(H228="Subetapa",0,IF(H228="serviço",OFFSET(E228,-1,0)+1,OFFSET(E228,-1,0)))</f>
        <v/>
      </c>
      <c r="F228" s="56" t="n"/>
      <c r="G228" s="1" t="n"/>
      <c r="H228" s="1" t="n"/>
      <c r="I228" s="1" t="n"/>
      <c r="J228" s="64" t="n"/>
      <c r="K228" s="52" t="n"/>
      <c r="L228" s="58" t="n"/>
      <c r="M228" s="58" t="n"/>
      <c r="N228" s="70" t="n"/>
      <c r="O228" s="56" t="n"/>
      <c r="P228" s="1" t="n"/>
      <c r="Q228" s="1" t="n"/>
    </row>
    <row r="229">
      <c r="A229" s="34">
        <f>IF($H229="UNIDADE CONSTRUTIVA",OFFSET(A229,-1,0)+1,LARGE(A$3:A228,1))</f>
        <v/>
      </c>
      <c r="B229" s="34">
        <f>IF(H229="UNIDADE CONSTRUTIVA",0,IF(H229="CÉLULA CONSTRUTIVA",OFFSET(B229,-1,0)+1,OFFSET(B229,-1,0)))</f>
        <v/>
      </c>
      <c r="C229" s="34">
        <f>IF(H229="CÉLULA CONSTRUTIVA",0,IF(H229="ETAPA",OFFSET(C229,-1,0)+1,OFFSET(C229,-1,0)))</f>
        <v/>
      </c>
      <c r="D229" s="35">
        <f>IF(H229="ETAPA",0,IF(H229="SUBETAPA",OFFSET(D229,-1,0)+1,OFFSET(D229,-1,0)))</f>
        <v/>
      </c>
      <c r="E229" s="35">
        <f>IF(H229="Subetapa",0,IF(H229="serviço",OFFSET(E229,-1,0)+1,OFFSET(E229,-1,0)))</f>
        <v/>
      </c>
      <c r="F229" s="56" t="n"/>
      <c r="G229" s="1" t="n"/>
      <c r="H229" s="1" t="n"/>
      <c r="I229" s="1" t="n"/>
      <c r="J229" s="64" t="n"/>
      <c r="K229" s="52" t="n"/>
      <c r="L229" s="58" t="n"/>
      <c r="M229" s="58" t="n"/>
      <c r="N229" s="70" t="n"/>
      <c r="O229" s="56" t="n"/>
      <c r="P229" s="1" t="n"/>
      <c r="Q229" s="1" t="n"/>
    </row>
    <row r="230">
      <c r="A230" s="34">
        <f>IF($H230="UNIDADE CONSTRUTIVA",OFFSET(A230,-1,0)+1,LARGE(A$3:A229,1))</f>
        <v/>
      </c>
      <c r="B230" s="34">
        <f>IF(H230="UNIDADE CONSTRUTIVA",0,IF(H230="CÉLULA CONSTRUTIVA",OFFSET(B230,-1,0)+1,OFFSET(B230,-1,0)))</f>
        <v/>
      </c>
      <c r="C230" s="34">
        <f>IF(H230="CÉLULA CONSTRUTIVA",0,IF(H230="ETAPA",OFFSET(C230,-1,0)+1,OFFSET(C230,-1,0)))</f>
        <v/>
      </c>
      <c r="D230" s="35">
        <f>IF(H230="ETAPA",0,IF(H230="SUBETAPA",OFFSET(D230,-1,0)+1,OFFSET(D230,-1,0)))</f>
        <v/>
      </c>
      <c r="E230" s="35">
        <f>IF(H230="Subetapa",0,IF(H230="serviço",OFFSET(E230,-1,0)+1,OFFSET(E230,-1,0)))</f>
        <v/>
      </c>
      <c r="F230" s="56" t="n"/>
      <c r="G230" s="1" t="n"/>
      <c r="H230" s="1" t="n"/>
      <c r="I230" s="1" t="n"/>
      <c r="J230" s="64" t="n"/>
      <c r="K230" s="52" t="n"/>
      <c r="L230" s="58" t="n"/>
      <c r="M230" s="58" t="n"/>
      <c r="N230" s="70" t="n"/>
      <c r="O230" s="56" t="n"/>
      <c r="P230" s="1" t="n"/>
      <c r="Q230" s="1" t="n"/>
    </row>
    <row r="231">
      <c r="A231" s="34">
        <f>IF($H231="UNIDADE CONSTRUTIVA",OFFSET(A231,-1,0)+1,LARGE(A$3:A230,1))</f>
        <v/>
      </c>
      <c r="B231" s="34">
        <f>IF(H231="UNIDADE CONSTRUTIVA",0,IF(H231="CÉLULA CONSTRUTIVA",OFFSET(B231,-1,0)+1,OFFSET(B231,-1,0)))</f>
        <v/>
      </c>
      <c r="C231" s="34">
        <f>IF(H231="CÉLULA CONSTRUTIVA",0,IF(H231="ETAPA",OFFSET(C231,-1,0)+1,OFFSET(C231,-1,0)))</f>
        <v/>
      </c>
      <c r="D231" s="35">
        <f>IF(H231="ETAPA",0,IF(H231="SUBETAPA",OFFSET(D231,-1,0)+1,OFFSET(D231,-1,0)))</f>
        <v/>
      </c>
      <c r="E231" s="35">
        <f>IF(H231="Subetapa",0,IF(H231="serviço",OFFSET(E231,-1,0)+1,OFFSET(E231,-1,0)))</f>
        <v/>
      </c>
      <c r="F231" s="56" t="n"/>
      <c r="G231" s="1" t="n"/>
      <c r="H231" s="1" t="n"/>
      <c r="I231" s="1" t="n"/>
      <c r="J231" s="64" t="n"/>
      <c r="K231" s="52" t="n"/>
      <c r="L231" s="58" t="n"/>
      <c r="M231" s="58" t="n"/>
      <c r="N231" s="70" t="n"/>
      <c r="O231" s="56" t="n"/>
      <c r="P231" s="1" t="n"/>
      <c r="Q231" s="1" t="n"/>
    </row>
    <row r="232">
      <c r="A232" s="34">
        <f>IF($H232="UNIDADE CONSTRUTIVA",OFFSET(A232,-1,0)+1,LARGE(A$3:A231,1))</f>
        <v/>
      </c>
      <c r="B232" s="34">
        <f>IF(H232="UNIDADE CONSTRUTIVA",0,IF(H232="CÉLULA CONSTRUTIVA",OFFSET(B232,-1,0)+1,OFFSET(B232,-1,0)))</f>
        <v/>
      </c>
      <c r="C232" s="34">
        <f>IF(H232="CÉLULA CONSTRUTIVA",0,IF(H232="ETAPA",OFFSET(C232,-1,0)+1,OFFSET(C232,-1,0)))</f>
        <v/>
      </c>
      <c r="D232" s="35">
        <f>IF(H232="ETAPA",0,IF(H232="SUBETAPA",OFFSET(D232,-1,0)+1,OFFSET(D232,-1,0)))</f>
        <v/>
      </c>
      <c r="E232" s="35">
        <f>IF(H232="Subetapa",0,IF(H232="serviço",OFFSET(E232,-1,0)+1,OFFSET(E232,-1,0)))</f>
        <v/>
      </c>
      <c r="F232" s="56" t="n"/>
      <c r="G232" s="1" t="n"/>
      <c r="H232" s="1" t="n"/>
      <c r="I232" s="1" t="n"/>
      <c r="J232" s="64" t="n"/>
      <c r="K232" s="52" t="n"/>
      <c r="L232" s="58" t="n"/>
      <c r="M232" s="58" t="n"/>
      <c r="N232" s="70" t="n"/>
      <c r="O232" s="56" t="n"/>
      <c r="P232" s="1" t="n"/>
      <c r="Q232" s="1" t="n"/>
    </row>
    <row r="233">
      <c r="A233" s="34">
        <f>IF($H233="UNIDADE CONSTRUTIVA",OFFSET(A233,-1,0)+1,LARGE(A$3:A232,1))</f>
        <v/>
      </c>
      <c r="B233" s="34">
        <f>IF(H233="UNIDADE CONSTRUTIVA",0,IF(H233="CÉLULA CONSTRUTIVA",OFFSET(B233,-1,0)+1,OFFSET(B233,-1,0)))</f>
        <v/>
      </c>
      <c r="C233" s="34">
        <f>IF(H233="CÉLULA CONSTRUTIVA",0,IF(H233="ETAPA",OFFSET(C233,-1,0)+1,OFFSET(C233,-1,0)))</f>
        <v/>
      </c>
      <c r="D233" s="35">
        <f>IF(H233="ETAPA",0,IF(H233="SUBETAPA",OFFSET(D233,-1,0)+1,OFFSET(D233,-1,0)))</f>
        <v/>
      </c>
      <c r="E233" s="35">
        <f>IF(H233="Subetapa",0,IF(H233="serviço",OFFSET(E233,-1,0)+1,OFFSET(E233,-1,0)))</f>
        <v/>
      </c>
      <c r="F233" s="56" t="n"/>
      <c r="G233" s="1" t="n"/>
      <c r="H233" s="1" t="n"/>
      <c r="I233" s="1" t="n"/>
      <c r="J233" s="64" t="n"/>
      <c r="K233" s="52" t="n"/>
      <c r="L233" s="58" t="n"/>
      <c r="M233" s="58" t="n"/>
      <c r="N233" s="70" t="n"/>
      <c r="O233" s="56" t="n"/>
      <c r="P233" s="1" t="n"/>
      <c r="Q233" s="1" t="n"/>
    </row>
    <row r="234">
      <c r="A234" s="34">
        <f>IF($H234="UNIDADE CONSTRUTIVA",OFFSET(A234,-1,0)+1,LARGE(A$3:A233,1))</f>
        <v/>
      </c>
      <c r="B234" s="34">
        <f>IF(H234="UNIDADE CONSTRUTIVA",0,IF(H234="CÉLULA CONSTRUTIVA",OFFSET(B234,-1,0)+1,OFFSET(B234,-1,0)))</f>
        <v/>
      </c>
      <c r="C234" s="34">
        <f>IF(H234="CÉLULA CONSTRUTIVA",0,IF(H234="ETAPA",OFFSET(C234,-1,0)+1,OFFSET(C234,-1,0)))</f>
        <v/>
      </c>
      <c r="D234" s="35">
        <f>IF(H234="ETAPA",0,IF(H234="SUBETAPA",OFFSET(D234,-1,0)+1,OFFSET(D234,-1,0)))</f>
        <v/>
      </c>
      <c r="E234" s="35">
        <f>IF(H234="Subetapa",0,IF(H234="serviço",OFFSET(E234,-1,0)+1,OFFSET(E234,-1,0)))</f>
        <v/>
      </c>
      <c r="F234" s="56" t="n"/>
      <c r="G234" s="1" t="n"/>
      <c r="H234" s="1" t="n"/>
      <c r="I234" s="1" t="n"/>
      <c r="J234" s="64" t="n"/>
      <c r="K234" s="52" t="n"/>
      <c r="L234" s="58" t="n"/>
      <c r="M234" s="58" t="n"/>
      <c r="N234" s="70" t="n"/>
      <c r="O234" s="56" t="n"/>
      <c r="P234" s="1" t="n"/>
      <c r="Q234" s="1" t="n"/>
    </row>
    <row r="235">
      <c r="A235" s="34">
        <f>IF($H235="UNIDADE CONSTRUTIVA",OFFSET(A235,-1,0)+1,LARGE(A$3:A234,1))</f>
        <v/>
      </c>
      <c r="B235" s="34">
        <f>IF(H235="UNIDADE CONSTRUTIVA",0,IF(H235="CÉLULA CONSTRUTIVA",OFFSET(B235,-1,0)+1,OFFSET(B235,-1,0)))</f>
        <v/>
      </c>
      <c r="C235" s="34">
        <f>IF(H235="CÉLULA CONSTRUTIVA",0,IF(H235="ETAPA",OFFSET(C235,-1,0)+1,OFFSET(C235,-1,0)))</f>
        <v/>
      </c>
      <c r="D235" s="35">
        <f>IF(H235="ETAPA",0,IF(H235="SUBETAPA",OFFSET(D235,-1,0)+1,OFFSET(D235,-1,0)))</f>
        <v/>
      </c>
      <c r="E235" s="35">
        <f>IF(H235="Subetapa",0,IF(H235="serviço",OFFSET(E235,-1,0)+1,OFFSET(E235,-1,0)))</f>
        <v/>
      </c>
      <c r="F235" s="56" t="n"/>
      <c r="G235" s="1" t="n"/>
      <c r="H235" s="1" t="n"/>
      <c r="I235" s="1" t="n"/>
      <c r="J235" s="64" t="n"/>
      <c r="K235" s="52" t="n"/>
      <c r="L235" s="58" t="n"/>
      <c r="M235" s="58" t="n"/>
      <c r="N235" s="70" t="n"/>
      <c r="O235" s="56" t="n"/>
      <c r="P235" s="1" t="n"/>
      <c r="Q235" s="1" t="n"/>
    </row>
    <row r="236">
      <c r="A236" s="34">
        <f>IF($H236="UNIDADE CONSTRUTIVA",OFFSET(A236,-1,0)+1,LARGE(A$3:A235,1))</f>
        <v/>
      </c>
      <c r="B236" s="34">
        <f>IF(H236="UNIDADE CONSTRUTIVA",0,IF(H236="CÉLULA CONSTRUTIVA",OFFSET(B236,-1,0)+1,OFFSET(B236,-1,0)))</f>
        <v/>
      </c>
      <c r="C236" s="34">
        <f>IF(H236="CÉLULA CONSTRUTIVA",0,IF(H236="ETAPA",OFFSET(C236,-1,0)+1,OFFSET(C236,-1,0)))</f>
        <v/>
      </c>
      <c r="D236" s="35">
        <f>IF(H236="ETAPA",0,IF(H236="SUBETAPA",OFFSET(D236,-1,0)+1,OFFSET(D236,-1,0)))</f>
        <v/>
      </c>
      <c r="E236" s="35">
        <f>IF(H236="Subetapa",0,IF(H236="serviço",OFFSET(E236,-1,0)+1,OFFSET(E236,-1,0)))</f>
        <v/>
      </c>
      <c r="F236" s="56" t="n"/>
      <c r="G236" s="1" t="n"/>
      <c r="H236" s="1" t="n"/>
      <c r="I236" s="1" t="n"/>
      <c r="J236" s="64" t="n"/>
      <c r="K236" s="52" t="n"/>
      <c r="L236" s="58" t="n"/>
      <c r="M236" s="58" t="n"/>
      <c r="N236" s="70" t="n"/>
      <c r="O236" s="56" t="n"/>
      <c r="P236" s="1" t="n"/>
      <c r="Q236" s="1" t="n"/>
    </row>
    <row r="237">
      <c r="A237" s="34">
        <f>IF($H237="UNIDADE CONSTRUTIVA",OFFSET(A237,-1,0)+1,LARGE(A$3:A236,1))</f>
        <v/>
      </c>
      <c r="B237" s="34">
        <f>IF(H237="UNIDADE CONSTRUTIVA",0,IF(H237="CÉLULA CONSTRUTIVA",OFFSET(B237,-1,0)+1,OFFSET(B237,-1,0)))</f>
        <v/>
      </c>
      <c r="C237" s="34">
        <f>IF(H237="CÉLULA CONSTRUTIVA",0,IF(H237="ETAPA",OFFSET(C237,-1,0)+1,OFFSET(C237,-1,0)))</f>
        <v/>
      </c>
      <c r="D237" s="35">
        <f>IF(H237="ETAPA",0,IF(H237="SUBETAPA",OFFSET(D237,-1,0)+1,OFFSET(D237,-1,0)))</f>
        <v/>
      </c>
      <c r="E237" s="35">
        <f>IF(H237="Subetapa",0,IF(H237="serviço",OFFSET(E237,-1,0)+1,OFFSET(E237,-1,0)))</f>
        <v/>
      </c>
      <c r="F237" s="56" t="n"/>
      <c r="G237" s="1" t="n"/>
      <c r="H237" s="1" t="n"/>
      <c r="I237" s="1" t="n"/>
      <c r="J237" s="64" t="n"/>
      <c r="K237" s="52" t="n"/>
      <c r="L237" s="58" t="n"/>
      <c r="M237" s="58" t="n"/>
      <c r="N237" s="70" t="n"/>
      <c r="O237" s="56" t="n"/>
      <c r="P237" s="1" t="n"/>
      <c r="Q237" s="1" t="n"/>
    </row>
    <row r="238">
      <c r="A238" s="34">
        <f>IF($H238="UNIDADE CONSTRUTIVA",OFFSET(A238,-1,0)+1,LARGE(A$3:A237,1))</f>
        <v/>
      </c>
      <c r="B238" s="34">
        <f>IF(H238="UNIDADE CONSTRUTIVA",0,IF(H238="CÉLULA CONSTRUTIVA",OFFSET(B238,-1,0)+1,OFFSET(B238,-1,0)))</f>
        <v/>
      </c>
      <c r="C238" s="34">
        <f>IF(H238="CÉLULA CONSTRUTIVA",0,IF(H238="ETAPA",OFFSET(C238,-1,0)+1,OFFSET(C238,-1,0)))</f>
        <v/>
      </c>
      <c r="D238" s="35">
        <f>IF(H238="ETAPA",0,IF(H238="SUBETAPA",OFFSET(D238,-1,0)+1,OFFSET(D238,-1,0)))</f>
        <v/>
      </c>
      <c r="E238" s="35">
        <f>IF(H238="Subetapa",0,IF(H238="serviço",OFFSET(E238,-1,0)+1,OFFSET(E238,-1,0)))</f>
        <v/>
      </c>
      <c r="F238" s="56" t="n"/>
      <c r="G238" s="1" t="n"/>
      <c r="H238" s="1" t="n"/>
      <c r="I238" s="1" t="n"/>
      <c r="J238" s="64" t="n"/>
      <c r="K238" s="52" t="n"/>
      <c r="L238" s="58" t="n"/>
      <c r="M238" s="58" t="n"/>
      <c r="N238" s="70" t="n"/>
      <c r="O238" s="56" t="n"/>
      <c r="P238" s="1" t="n"/>
      <c r="Q238" s="1" t="n"/>
    </row>
    <row r="239">
      <c r="A239" s="34">
        <f>IF($H239="UNIDADE CONSTRUTIVA",OFFSET(A239,-1,0)+1,LARGE(A$3:A238,1))</f>
        <v/>
      </c>
      <c r="B239" s="34">
        <f>IF(H239="UNIDADE CONSTRUTIVA",0,IF(H239="CÉLULA CONSTRUTIVA",OFFSET(B239,-1,0)+1,OFFSET(B239,-1,0)))</f>
        <v/>
      </c>
      <c r="C239" s="34">
        <f>IF(H239="CÉLULA CONSTRUTIVA",0,IF(H239="ETAPA",OFFSET(C239,-1,0)+1,OFFSET(C239,-1,0)))</f>
        <v/>
      </c>
      <c r="D239" s="35">
        <f>IF(H239="ETAPA",0,IF(H239="SUBETAPA",OFFSET(D239,-1,0)+1,OFFSET(D239,-1,0)))</f>
        <v/>
      </c>
      <c r="E239" s="35">
        <f>IF(H239="Subetapa",0,IF(H239="serviço",OFFSET(E239,-1,0)+1,OFFSET(E239,-1,0)))</f>
        <v/>
      </c>
      <c r="F239" s="56" t="n"/>
      <c r="G239" s="1" t="n"/>
      <c r="H239" s="1" t="n"/>
      <c r="I239" s="1" t="n"/>
      <c r="J239" s="64" t="n"/>
      <c r="K239" s="52" t="n"/>
      <c r="L239" s="58" t="n"/>
      <c r="M239" s="58" t="n"/>
      <c r="N239" s="70" t="n"/>
      <c r="O239" s="56" t="n"/>
      <c r="P239" s="1" t="n"/>
      <c r="Q239" s="1" t="n"/>
    </row>
    <row r="240">
      <c r="A240" s="34">
        <f>IF($H240="UNIDADE CONSTRUTIVA",OFFSET(A240,-1,0)+1,LARGE(A$3:A239,1))</f>
        <v/>
      </c>
      <c r="B240" s="34">
        <f>IF(H240="UNIDADE CONSTRUTIVA",0,IF(H240="CÉLULA CONSTRUTIVA",OFFSET(B240,-1,0)+1,OFFSET(B240,-1,0)))</f>
        <v/>
      </c>
      <c r="C240" s="34">
        <f>IF(H240="CÉLULA CONSTRUTIVA",0,IF(H240="ETAPA",OFFSET(C240,-1,0)+1,OFFSET(C240,-1,0)))</f>
        <v/>
      </c>
      <c r="D240" s="35">
        <f>IF(H240="ETAPA",0,IF(H240="SUBETAPA",OFFSET(D240,-1,0)+1,OFFSET(D240,-1,0)))</f>
        <v/>
      </c>
      <c r="E240" s="35">
        <f>IF(H240="Subetapa",0,IF(H240="serviço",OFFSET(E240,-1,0)+1,OFFSET(E240,-1,0)))</f>
        <v/>
      </c>
      <c r="F240" s="56" t="n"/>
      <c r="G240" s="1" t="n"/>
      <c r="H240" s="1" t="n"/>
      <c r="I240" s="1" t="n"/>
      <c r="J240" s="64" t="n"/>
      <c r="K240" s="52" t="n"/>
      <c r="L240" s="58" t="n"/>
      <c r="M240" s="58" t="n"/>
      <c r="N240" s="70" t="n"/>
      <c r="O240" s="56" t="n"/>
      <c r="P240" s="1" t="n"/>
      <c r="Q240" s="1" t="n"/>
    </row>
    <row r="241">
      <c r="A241" s="34">
        <f>IF($H241="UNIDADE CONSTRUTIVA",OFFSET(A241,-1,0)+1,LARGE(A$3:A240,1))</f>
        <v/>
      </c>
      <c r="B241" s="34">
        <f>IF(H241="UNIDADE CONSTRUTIVA",0,IF(H241="CÉLULA CONSTRUTIVA",OFFSET(B241,-1,0)+1,OFFSET(B241,-1,0)))</f>
        <v/>
      </c>
      <c r="C241" s="34">
        <f>IF(H241="CÉLULA CONSTRUTIVA",0,IF(H241="ETAPA",OFFSET(C241,-1,0)+1,OFFSET(C241,-1,0)))</f>
        <v/>
      </c>
      <c r="D241" s="35">
        <f>IF(H241="ETAPA",0,IF(H241="SUBETAPA",OFFSET(D241,-1,0)+1,OFFSET(D241,-1,0)))</f>
        <v/>
      </c>
      <c r="E241" s="35">
        <f>IF(H241="Subetapa",0,IF(H241="serviço",OFFSET(E241,-1,0)+1,OFFSET(E241,-1,0)))</f>
        <v/>
      </c>
      <c r="F241" s="56" t="n"/>
      <c r="G241" s="1" t="n"/>
      <c r="H241" s="1" t="n"/>
      <c r="I241" s="1" t="n"/>
      <c r="J241" s="64" t="n"/>
      <c r="K241" s="52" t="n"/>
      <c r="L241" s="58" t="n"/>
      <c r="M241" s="58" t="n"/>
      <c r="N241" s="70" t="n"/>
      <c r="O241" s="56" t="n"/>
      <c r="P241" s="1" t="n"/>
      <c r="Q241" s="1" t="n"/>
    </row>
    <row r="242">
      <c r="A242" s="34">
        <f>IF($H242="UNIDADE CONSTRUTIVA",OFFSET(A242,-1,0)+1,LARGE(A$3:A241,1))</f>
        <v/>
      </c>
      <c r="B242" s="34">
        <f>IF(H242="UNIDADE CONSTRUTIVA",0,IF(H242="CÉLULA CONSTRUTIVA",OFFSET(B242,-1,0)+1,OFFSET(B242,-1,0)))</f>
        <v/>
      </c>
      <c r="C242" s="34">
        <f>IF(H242="CÉLULA CONSTRUTIVA",0,IF(H242="ETAPA",OFFSET(C242,-1,0)+1,OFFSET(C242,-1,0)))</f>
        <v/>
      </c>
      <c r="D242" s="35">
        <f>IF(H242="ETAPA",0,IF(H242="SUBETAPA",OFFSET(D242,-1,0)+1,OFFSET(D242,-1,0)))</f>
        <v/>
      </c>
      <c r="E242" s="35">
        <f>IF(H242="Subetapa",0,IF(H242="serviço",OFFSET(E242,-1,0)+1,OFFSET(E242,-1,0)))</f>
        <v/>
      </c>
      <c r="F242" s="56" t="n"/>
      <c r="G242" s="1" t="n"/>
      <c r="H242" s="1" t="n"/>
      <c r="I242" s="1" t="n"/>
      <c r="J242" s="64" t="n"/>
      <c r="K242" s="52" t="n"/>
      <c r="L242" s="58" t="n"/>
      <c r="M242" s="58" t="n"/>
      <c r="N242" s="70" t="n"/>
      <c r="O242" s="56" t="n"/>
      <c r="P242" s="1" t="n"/>
      <c r="Q242" s="1" t="n"/>
    </row>
    <row r="243">
      <c r="A243" s="34">
        <f>IF($H243="UNIDADE CONSTRUTIVA",OFFSET(A243,-1,0)+1,LARGE(A$3:A242,1))</f>
        <v/>
      </c>
      <c r="B243" s="34">
        <f>IF(H243="UNIDADE CONSTRUTIVA",0,IF(H243="CÉLULA CONSTRUTIVA",OFFSET(B243,-1,0)+1,OFFSET(B243,-1,0)))</f>
        <v/>
      </c>
      <c r="C243" s="34">
        <f>IF(H243="CÉLULA CONSTRUTIVA",0,IF(H243="ETAPA",OFFSET(C243,-1,0)+1,OFFSET(C243,-1,0)))</f>
        <v/>
      </c>
      <c r="D243" s="35">
        <f>IF(H243="ETAPA",0,IF(H243="SUBETAPA",OFFSET(D243,-1,0)+1,OFFSET(D243,-1,0)))</f>
        <v/>
      </c>
      <c r="E243" s="35">
        <f>IF(H243="Subetapa",0,IF(H243="serviço",OFFSET(E243,-1,0)+1,OFFSET(E243,-1,0)))</f>
        <v/>
      </c>
      <c r="F243" s="56" t="n"/>
      <c r="G243" s="1" t="n"/>
      <c r="H243" s="1" t="n"/>
      <c r="I243" s="1" t="n"/>
      <c r="J243" s="64" t="n"/>
      <c r="K243" s="52" t="n"/>
      <c r="L243" s="58" t="n"/>
      <c r="M243" s="58" t="n"/>
      <c r="N243" s="70" t="n"/>
      <c r="O243" s="56" t="n"/>
      <c r="P243" s="1" t="n"/>
      <c r="Q243" s="1" t="n"/>
    </row>
    <row r="244">
      <c r="A244" s="34">
        <f>IF($H244="UNIDADE CONSTRUTIVA",OFFSET(A244,-1,0)+1,LARGE(A$3:A243,1))</f>
        <v/>
      </c>
      <c r="B244" s="34">
        <f>IF(H244="UNIDADE CONSTRUTIVA",0,IF(H244="CÉLULA CONSTRUTIVA",OFFSET(B244,-1,0)+1,OFFSET(B244,-1,0)))</f>
        <v/>
      </c>
      <c r="C244" s="34">
        <f>IF(H244="CÉLULA CONSTRUTIVA",0,IF(H244="ETAPA",OFFSET(C244,-1,0)+1,OFFSET(C244,-1,0)))</f>
        <v/>
      </c>
      <c r="D244" s="35">
        <f>IF(H244="ETAPA",0,IF(H244="SUBETAPA",OFFSET(D244,-1,0)+1,OFFSET(D244,-1,0)))</f>
        <v/>
      </c>
      <c r="E244" s="35">
        <f>IF(H244="Subetapa",0,IF(H244="serviço",OFFSET(E244,-1,0)+1,OFFSET(E244,-1,0)))</f>
        <v/>
      </c>
      <c r="F244" s="56" t="n"/>
      <c r="G244" s="1" t="n"/>
      <c r="H244" s="1" t="n"/>
      <c r="I244" s="1" t="n"/>
      <c r="J244" s="64" t="n"/>
      <c r="K244" s="52" t="n"/>
      <c r="L244" s="58" t="n"/>
      <c r="M244" s="58" t="n"/>
      <c r="N244" s="70" t="n"/>
      <c r="O244" s="56" t="n"/>
      <c r="P244" s="1" t="n"/>
      <c r="Q244" s="1" t="n"/>
    </row>
    <row r="245">
      <c r="A245" s="34">
        <f>IF($H245="UNIDADE CONSTRUTIVA",OFFSET(A245,-1,0)+1,LARGE(A$3:A244,1))</f>
        <v/>
      </c>
      <c r="B245" s="34">
        <f>IF(H245="UNIDADE CONSTRUTIVA",0,IF(H245="CÉLULA CONSTRUTIVA",OFFSET(B245,-1,0)+1,OFFSET(B245,-1,0)))</f>
        <v/>
      </c>
      <c r="C245" s="34">
        <f>IF(H245="CÉLULA CONSTRUTIVA",0,IF(H245="ETAPA",OFFSET(C245,-1,0)+1,OFFSET(C245,-1,0)))</f>
        <v/>
      </c>
      <c r="D245" s="35">
        <f>IF(H245="ETAPA",0,IF(H245="SUBETAPA",OFFSET(D245,-1,0)+1,OFFSET(D245,-1,0)))</f>
        <v/>
      </c>
      <c r="E245" s="35">
        <f>IF(H245="Subetapa",0,IF(H245="serviço",OFFSET(E245,-1,0)+1,OFFSET(E245,-1,0)))</f>
        <v/>
      </c>
      <c r="F245" s="56" t="n"/>
      <c r="G245" s="1" t="n"/>
      <c r="H245" s="1" t="n"/>
      <c r="I245" s="1" t="n"/>
      <c r="J245" s="64" t="n"/>
      <c r="K245" s="52" t="n"/>
      <c r="L245" s="58" t="n"/>
      <c r="M245" s="58" t="n"/>
      <c r="N245" s="70" t="n"/>
      <c r="O245" s="56" t="n"/>
      <c r="P245" s="1" t="n"/>
      <c r="Q245" s="1" t="n"/>
    </row>
    <row r="246">
      <c r="A246" s="34">
        <f>IF($H246="UNIDADE CONSTRUTIVA",OFFSET(A246,-1,0)+1,LARGE(A$3:A245,1))</f>
        <v/>
      </c>
      <c r="B246" s="34">
        <f>IF(H246="UNIDADE CONSTRUTIVA",0,IF(H246="CÉLULA CONSTRUTIVA",OFFSET(B246,-1,0)+1,OFFSET(B246,-1,0)))</f>
        <v/>
      </c>
      <c r="C246" s="34">
        <f>IF(H246="CÉLULA CONSTRUTIVA",0,IF(H246="ETAPA",OFFSET(C246,-1,0)+1,OFFSET(C246,-1,0)))</f>
        <v/>
      </c>
      <c r="D246" s="35">
        <f>IF(H246="ETAPA",0,IF(H246="SUBETAPA",OFFSET(D246,-1,0)+1,OFFSET(D246,-1,0)))</f>
        <v/>
      </c>
      <c r="E246" s="35">
        <f>IF(H246="Subetapa",0,IF(H246="serviço",OFFSET(E246,-1,0)+1,OFFSET(E246,-1,0)))</f>
        <v/>
      </c>
      <c r="F246" s="56" t="n"/>
      <c r="G246" s="1" t="n"/>
      <c r="H246" s="1" t="n"/>
      <c r="I246" s="1" t="n"/>
      <c r="J246" s="64" t="n"/>
      <c r="K246" s="52" t="n"/>
      <c r="L246" s="58" t="n"/>
      <c r="M246" s="58" t="n"/>
      <c r="N246" s="70" t="n"/>
      <c r="O246" s="56" t="n"/>
      <c r="P246" s="1" t="n"/>
      <c r="Q246" s="1" t="n"/>
    </row>
    <row r="247">
      <c r="A247" s="34">
        <f>IF($H247="UNIDADE CONSTRUTIVA",OFFSET(A247,-1,0)+1,LARGE(A$3:A246,1))</f>
        <v/>
      </c>
      <c r="B247" s="34">
        <f>IF(H247="UNIDADE CONSTRUTIVA",0,IF(H247="CÉLULA CONSTRUTIVA",OFFSET(B247,-1,0)+1,OFFSET(B247,-1,0)))</f>
        <v/>
      </c>
      <c r="C247" s="34">
        <f>IF(H247="CÉLULA CONSTRUTIVA",0,IF(H247="ETAPA",OFFSET(C247,-1,0)+1,OFFSET(C247,-1,0)))</f>
        <v/>
      </c>
      <c r="D247" s="35">
        <f>IF(H247="ETAPA",0,IF(H247="SUBETAPA",OFFSET(D247,-1,0)+1,OFFSET(D247,-1,0)))</f>
        <v/>
      </c>
      <c r="E247" s="35">
        <f>IF(H247="Subetapa",0,IF(H247="serviço",OFFSET(E247,-1,0)+1,OFFSET(E247,-1,0)))</f>
        <v/>
      </c>
      <c r="F247" s="56" t="n"/>
      <c r="G247" s="1" t="n"/>
      <c r="H247" s="1" t="n"/>
      <c r="I247" s="1" t="n"/>
      <c r="J247" s="64" t="n"/>
      <c r="K247" s="52" t="n"/>
      <c r="L247" s="58" t="n"/>
      <c r="M247" s="58" t="n"/>
      <c r="N247" s="70" t="n"/>
      <c r="O247" s="56" t="n"/>
      <c r="P247" s="1" t="n"/>
      <c r="Q247" s="1" t="n"/>
    </row>
    <row r="248">
      <c r="A248" s="34">
        <f>IF($H248="UNIDADE CONSTRUTIVA",OFFSET(A248,-1,0)+1,LARGE(A$3:A247,1))</f>
        <v/>
      </c>
      <c r="B248" s="34">
        <f>IF(H248="UNIDADE CONSTRUTIVA",0,IF(H248="CÉLULA CONSTRUTIVA",OFFSET(B248,-1,0)+1,OFFSET(B248,-1,0)))</f>
        <v/>
      </c>
      <c r="C248" s="34">
        <f>IF(H248="CÉLULA CONSTRUTIVA",0,IF(H248="ETAPA",OFFSET(C248,-1,0)+1,OFFSET(C248,-1,0)))</f>
        <v/>
      </c>
      <c r="D248" s="35">
        <f>IF(H248="ETAPA",0,IF(H248="SUBETAPA",OFFSET(D248,-1,0)+1,OFFSET(D248,-1,0)))</f>
        <v/>
      </c>
      <c r="E248" s="35">
        <f>IF(H248="Subetapa",0,IF(H248="serviço",OFFSET(E248,-1,0)+1,OFFSET(E248,-1,0)))</f>
        <v/>
      </c>
      <c r="F248" s="56" t="n"/>
      <c r="G248" s="1" t="n"/>
      <c r="H248" s="1" t="n"/>
      <c r="I248" s="1" t="n"/>
      <c r="J248" s="64" t="n"/>
      <c r="K248" s="52" t="n"/>
      <c r="L248" s="58" t="n"/>
      <c r="M248" s="58" t="n"/>
      <c r="N248" s="70" t="n"/>
      <c r="O248" s="56" t="n"/>
      <c r="P248" s="1" t="n"/>
      <c r="Q248" s="1" t="n"/>
    </row>
    <row r="249">
      <c r="A249" s="34">
        <f>IF($H249="UNIDADE CONSTRUTIVA",OFFSET(A249,-1,0)+1,LARGE(A$3:A248,1))</f>
        <v/>
      </c>
      <c r="B249" s="34">
        <f>IF(H249="UNIDADE CONSTRUTIVA",0,IF(H249="CÉLULA CONSTRUTIVA",OFFSET(B249,-1,0)+1,OFFSET(B249,-1,0)))</f>
        <v/>
      </c>
      <c r="C249" s="34">
        <f>IF(H249="CÉLULA CONSTRUTIVA",0,IF(H249="ETAPA",OFFSET(C249,-1,0)+1,OFFSET(C249,-1,0)))</f>
        <v/>
      </c>
      <c r="D249" s="35">
        <f>IF(H249="ETAPA",0,IF(H249="SUBETAPA",OFFSET(D249,-1,0)+1,OFFSET(D249,-1,0)))</f>
        <v/>
      </c>
      <c r="E249" s="35">
        <f>IF(H249="Subetapa",0,IF(H249="serviço",OFFSET(E249,-1,0)+1,OFFSET(E249,-1,0)))</f>
        <v/>
      </c>
      <c r="F249" s="56" t="n"/>
      <c r="G249" s="1" t="n"/>
      <c r="H249" s="1" t="n"/>
      <c r="I249" s="1" t="n"/>
      <c r="J249" s="64" t="n"/>
      <c r="K249" s="52" t="n"/>
      <c r="L249" s="58" t="n"/>
      <c r="M249" s="58" t="n"/>
      <c r="N249" s="70" t="n"/>
      <c r="O249" s="56" t="n"/>
      <c r="P249" s="1" t="n"/>
      <c r="Q249" s="1" t="n"/>
    </row>
    <row r="250">
      <c r="A250" s="34">
        <f>IF($H250="UNIDADE CONSTRUTIVA",OFFSET(A250,-1,0)+1,LARGE(A$3:A249,1))</f>
        <v/>
      </c>
      <c r="B250" s="34">
        <f>IF(H250="UNIDADE CONSTRUTIVA",0,IF(H250="CÉLULA CONSTRUTIVA",OFFSET(B250,-1,0)+1,OFFSET(B250,-1,0)))</f>
        <v/>
      </c>
      <c r="C250" s="34">
        <f>IF(H250="CÉLULA CONSTRUTIVA",0,IF(H250="ETAPA",OFFSET(C250,-1,0)+1,OFFSET(C250,-1,0)))</f>
        <v/>
      </c>
      <c r="D250" s="35">
        <f>IF(H250="ETAPA",0,IF(H250="SUBETAPA",OFFSET(D250,-1,0)+1,OFFSET(D250,-1,0)))</f>
        <v/>
      </c>
      <c r="E250" s="35">
        <f>IF(H250="Subetapa",0,IF(H250="serviço",OFFSET(E250,-1,0)+1,OFFSET(E250,-1,0)))</f>
        <v/>
      </c>
      <c r="F250" s="56" t="n"/>
      <c r="G250" s="1" t="n"/>
      <c r="H250" s="1" t="n"/>
      <c r="I250" s="1" t="n"/>
      <c r="J250" s="64" t="n"/>
      <c r="K250" s="52" t="n"/>
      <c r="L250" s="58" t="n"/>
      <c r="M250" s="58" t="n"/>
      <c r="N250" s="70" t="n"/>
      <c r="O250" s="56" t="n"/>
      <c r="P250" s="1" t="n"/>
      <c r="Q250" s="1" t="n"/>
    </row>
    <row r="251">
      <c r="A251" s="34">
        <f>IF($H251="UNIDADE CONSTRUTIVA",OFFSET(A251,-1,0)+1,LARGE(A$3:A250,1))</f>
        <v/>
      </c>
      <c r="B251" s="34">
        <f>IF(H251="UNIDADE CONSTRUTIVA",0,IF(H251="CÉLULA CONSTRUTIVA",OFFSET(B251,-1,0)+1,OFFSET(B251,-1,0)))</f>
        <v/>
      </c>
      <c r="C251" s="34">
        <f>IF(H251="CÉLULA CONSTRUTIVA",0,IF(H251="ETAPA",OFFSET(C251,-1,0)+1,OFFSET(C251,-1,0)))</f>
        <v/>
      </c>
      <c r="D251" s="35">
        <f>IF(H251="ETAPA",0,IF(H251="SUBETAPA",OFFSET(D251,-1,0)+1,OFFSET(D251,-1,0)))</f>
        <v/>
      </c>
      <c r="E251" s="35">
        <f>IF(H251="Subetapa",0,IF(H251="serviço",OFFSET(E251,-1,0)+1,OFFSET(E251,-1,0)))</f>
        <v/>
      </c>
      <c r="F251" s="56" t="n"/>
      <c r="G251" s="1" t="n"/>
      <c r="H251" s="1" t="n"/>
      <c r="I251" s="1" t="n"/>
      <c r="J251" s="64" t="n"/>
      <c r="K251" s="52" t="n"/>
      <c r="L251" s="58" t="n"/>
      <c r="M251" s="58" t="n"/>
      <c r="N251" s="70" t="n"/>
      <c r="O251" s="56" t="n"/>
      <c r="P251" s="1" t="n"/>
      <c r="Q251" s="1" t="n"/>
    </row>
    <row r="252">
      <c r="A252" s="34">
        <f>IF($H252="UNIDADE CONSTRUTIVA",OFFSET(A252,-1,0)+1,LARGE(A$3:A251,1))</f>
        <v/>
      </c>
      <c r="B252" s="34">
        <f>IF(H252="UNIDADE CONSTRUTIVA",0,IF(H252="CÉLULA CONSTRUTIVA",OFFSET(B252,-1,0)+1,OFFSET(B252,-1,0)))</f>
        <v/>
      </c>
      <c r="C252" s="34">
        <f>IF(H252="CÉLULA CONSTRUTIVA",0,IF(H252="ETAPA",OFFSET(C252,-1,0)+1,OFFSET(C252,-1,0)))</f>
        <v/>
      </c>
      <c r="D252" s="35">
        <f>IF(H252="ETAPA",0,IF(H252="SUBETAPA",OFFSET(D252,-1,0)+1,OFFSET(D252,-1,0)))</f>
        <v/>
      </c>
      <c r="E252" s="35">
        <f>IF(H252="Subetapa",0,IF(H252="serviço",OFFSET(E252,-1,0)+1,OFFSET(E252,-1,0)))</f>
        <v/>
      </c>
      <c r="F252" s="56" t="n"/>
      <c r="G252" s="1" t="n"/>
      <c r="H252" s="1" t="n"/>
      <c r="I252" s="1" t="n"/>
      <c r="J252" s="64" t="n"/>
      <c r="K252" s="52" t="n"/>
      <c r="L252" s="58" t="n"/>
      <c r="M252" s="58" t="n"/>
      <c r="N252" s="70" t="n"/>
      <c r="O252" s="56" t="n"/>
      <c r="P252" s="1" t="n"/>
      <c r="Q252" s="1" t="n"/>
    </row>
    <row r="253">
      <c r="A253" s="34">
        <f>IF($H253="UNIDADE CONSTRUTIVA",OFFSET(A253,-1,0)+1,LARGE(A$3:A252,1))</f>
        <v/>
      </c>
      <c r="B253" s="34">
        <f>IF(H253="UNIDADE CONSTRUTIVA",0,IF(H253="CÉLULA CONSTRUTIVA",OFFSET(B253,-1,0)+1,OFFSET(B253,-1,0)))</f>
        <v/>
      </c>
      <c r="C253" s="34">
        <f>IF(H253="CÉLULA CONSTRUTIVA",0,IF(H253="ETAPA",OFFSET(C253,-1,0)+1,OFFSET(C253,-1,0)))</f>
        <v/>
      </c>
      <c r="D253" s="35">
        <f>IF(H253="ETAPA",0,IF(H253="SUBETAPA",OFFSET(D253,-1,0)+1,OFFSET(D253,-1,0)))</f>
        <v/>
      </c>
      <c r="E253" s="35">
        <f>IF(H253="Subetapa",0,IF(H253="serviço",OFFSET(E253,-1,0)+1,OFFSET(E253,-1,0)))</f>
        <v/>
      </c>
      <c r="F253" s="56" t="n"/>
      <c r="G253" s="1" t="n"/>
      <c r="H253" s="1" t="n"/>
      <c r="I253" s="1" t="n"/>
      <c r="J253" s="64" t="n"/>
      <c r="K253" s="52" t="n"/>
      <c r="L253" s="58" t="n"/>
      <c r="M253" s="58" t="n"/>
      <c r="N253" s="70" t="n"/>
      <c r="O253" s="56" t="n"/>
      <c r="P253" s="1" t="n"/>
      <c r="Q253" s="1" t="n"/>
    </row>
    <row r="254">
      <c r="A254" s="34">
        <f>IF($H254="UNIDADE CONSTRUTIVA",OFFSET(A254,-1,0)+1,LARGE(A$3:A253,1))</f>
        <v/>
      </c>
      <c r="B254" s="34">
        <f>IF(H254="UNIDADE CONSTRUTIVA",0,IF(H254="CÉLULA CONSTRUTIVA",OFFSET(B254,-1,0)+1,OFFSET(B254,-1,0)))</f>
        <v/>
      </c>
      <c r="C254" s="34">
        <f>IF(H254="CÉLULA CONSTRUTIVA",0,IF(H254="ETAPA",OFFSET(C254,-1,0)+1,OFFSET(C254,-1,0)))</f>
        <v/>
      </c>
      <c r="D254" s="35">
        <f>IF(H254="ETAPA",0,IF(H254="SUBETAPA",OFFSET(D254,-1,0)+1,OFFSET(D254,-1,0)))</f>
        <v/>
      </c>
      <c r="E254" s="35">
        <f>IF(H254="Subetapa",0,IF(H254="serviço",OFFSET(E254,-1,0)+1,OFFSET(E254,-1,0)))</f>
        <v/>
      </c>
      <c r="F254" s="56" t="n"/>
      <c r="G254" s="1" t="n"/>
      <c r="H254" s="1" t="n"/>
      <c r="I254" s="1" t="n"/>
      <c r="J254" s="64" t="n"/>
      <c r="K254" s="52" t="n"/>
      <c r="L254" s="58" t="n"/>
      <c r="M254" s="58" t="n"/>
      <c r="N254" s="70" t="n"/>
      <c r="O254" s="56" t="n"/>
      <c r="P254" s="1" t="n"/>
      <c r="Q254" s="1" t="n"/>
    </row>
    <row r="255">
      <c r="A255" s="34">
        <f>IF($H255="UNIDADE CONSTRUTIVA",OFFSET(A255,-1,0)+1,LARGE(A$3:A254,1))</f>
        <v/>
      </c>
      <c r="B255" s="34">
        <f>IF(H255="UNIDADE CONSTRUTIVA",0,IF(H255="CÉLULA CONSTRUTIVA",OFFSET(B255,-1,0)+1,OFFSET(B255,-1,0)))</f>
        <v/>
      </c>
      <c r="C255" s="34">
        <f>IF(H255="CÉLULA CONSTRUTIVA",0,IF(H255="ETAPA",OFFSET(C255,-1,0)+1,OFFSET(C255,-1,0)))</f>
        <v/>
      </c>
      <c r="D255" s="35">
        <f>IF(H255="ETAPA",0,IF(H255="SUBETAPA",OFFSET(D255,-1,0)+1,OFFSET(D255,-1,0)))</f>
        <v/>
      </c>
      <c r="E255" s="35">
        <f>IF(H255="Subetapa",0,IF(H255="serviço",OFFSET(E255,-1,0)+1,OFFSET(E255,-1,0)))</f>
        <v/>
      </c>
      <c r="F255" s="56" t="n"/>
      <c r="G255" s="1" t="n"/>
      <c r="H255" s="1" t="n"/>
      <c r="I255" s="1" t="n"/>
      <c r="J255" s="64" t="n"/>
      <c r="K255" s="52" t="n"/>
      <c r="L255" s="58" t="n"/>
      <c r="M255" s="58" t="n"/>
      <c r="N255" s="70" t="n"/>
      <c r="O255" s="56" t="n"/>
      <c r="P255" s="1" t="n"/>
      <c r="Q255" s="1" t="n"/>
    </row>
    <row r="256">
      <c r="A256" s="34">
        <f>IF($H256="UNIDADE CONSTRUTIVA",OFFSET(A256,-1,0)+1,LARGE(A$3:A255,1))</f>
        <v/>
      </c>
      <c r="B256" s="34">
        <f>IF(H256="UNIDADE CONSTRUTIVA",0,IF(H256="CÉLULA CONSTRUTIVA",OFFSET(B256,-1,0)+1,OFFSET(B256,-1,0)))</f>
        <v/>
      </c>
      <c r="C256" s="34">
        <f>IF(H256="CÉLULA CONSTRUTIVA",0,IF(H256="ETAPA",OFFSET(C256,-1,0)+1,OFFSET(C256,-1,0)))</f>
        <v/>
      </c>
      <c r="D256" s="35">
        <f>IF(H256="ETAPA",0,IF(H256="SUBETAPA",OFFSET(D256,-1,0)+1,OFFSET(D256,-1,0)))</f>
        <v/>
      </c>
      <c r="E256" s="35">
        <f>IF(H256="Subetapa",0,IF(H256="serviço",OFFSET(E256,-1,0)+1,OFFSET(E256,-1,0)))</f>
        <v/>
      </c>
      <c r="F256" s="56" t="n"/>
      <c r="G256" s="1" t="n"/>
      <c r="H256" s="1" t="n"/>
      <c r="I256" s="1" t="n"/>
      <c r="J256" s="64" t="n"/>
      <c r="K256" s="52" t="n"/>
      <c r="L256" s="58" t="n"/>
      <c r="M256" s="58" t="n"/>
      <c r="N256" s="70" t="n"/>
      <c r="O256" s="56" t="n"/>
      <c r="P256" s="1" t="n"/>
      <c r="Q256" s="1" t="n"/>
    </row>
    <row r="257">
      <c r="A257" s="34">
        <f>IF($H257="UNIDADE CONSTRUTIVA",OFFSET(A257,-1,0)+1,LARGE(A$3:A256,1))</f>
        <v/>
      </c>
      <c r="B257" s="34">
        <f>IF(H257="UNIDADE CONSTRUTIVA",0,IF(H257="CÉLULA CONSTRUTIVA",OFFSET(B257,-1,0)+1,OFFSET(B257,-1,0)))</f>
        <v/>
      </c>
      <c r="C257" s="34">
        <f>IF(H257="CÉLULA CONSTRUTIVA",0,IF(H257="ETAPA",OFFSET(C257,-1,0)+1,OFFSET(C257,-1,0)))</f>
        <v/>
      </c>
      <c r="D257" s="35">
        <f>IF(H257="ETAPA",0,IF(H257="SUBETAPA",OFFSET(D257,-1,0)+1,OFFSET(D257,-1,0)))</f>
        <v/>
      </c>
      <c r="E257" s="35">
        <f>IF(H257="Subetapa",0,IF(H257="serviço",OFFSET(E257,-1,0)+1,OFFSET(E257,-1,0)))</f>
        <v/>
      </c>
      <c r="F257" s="56" t="n"/>
      <c r="G257" s="1" t="n"/>
      <c r="H257" s="1" t="n"/>
      <c r="I257" s="1" t="n"/>
      <c r="J257" s="64" t="n"/>
      <c r="K257" s="52" t="n"/>
      <c r="L257" s="58" t="n"/>
      <c r="M257" s="58" t="n"/>
      <c r="N257" s="70" t="n"/>
      <c r="O257" s="56" t="n"/>
      <c r="P257" s="1" t="n"/>
      <c r="Q257" s="1" t="n"/>
    </row>
    <row r="258">
      <c r="A258" s="34">
        <f>IF($H258="UNIDADE CONSTRUTIVA",OFFSET(A258,-1,0)+1,LARGE(A$3:A257,1))</f>
        <v/>
      </c>
      <c r="B258" s="34">
        <f>IF(H258="UNIDADE CONSTRUTIVA",0,IF(H258="CÉLULA CONSTRUTIVA",OFFSET(B258,-1,0)+1,OFFSET(B258,-1,0)))</f>
        <v/>
      </c>
      <c r="C258" s="34">
        <f>IF(H258="CÉLULA CONSTRUTIVA",0,IF(H258="ETAPA",OFFSET(C258,-1,0)+1,OFFSET(C258,-1,0)))</f>
        <v/>
      </c>
      <c r="D258" s="35">
        <f>IF(H258="ETAPA",0,IF(H258="SUBETAPA",OFFSET(D258,-1,0)+1,OFFSET(D258,-1,0)))</f>
        <v/>
      </c>
      <c r="E258" s="35">
        <f>IF(H258="Subetapa",0,IF(H258="serviço",OFFSET(E258,-1,0)+1,OFFSET(E258,-1,0)))</f>
        <v/>
      </c>
      <c r="F258" s="56" t="n"/>
      <c r="G258" s="1" t="n"/>
      <c r="H258" s="1" t="n"/>
      <c r="I258" s="1" t="n"/>
      <c r="J258" s="64" t="n"/>
      <c r="K258" s="52" t="n"/>
      <c r="L258" s="58" t="n"/>
      <c r="M258" s="58" t="n"/>
      <c r="N258" s="70" t="n"/>
      <c r="O258" s="56" t="n"/>
      <c r="P258" s="1" t="n"/>
      <c r="Q258" s="1" t="n"/>
    </row>
    <row r="259">
      <c r="A259" s="34">
        <f>IF($H259="UNIDADE CONSTRUTIVA",OFFSET(A259,-1,0)+1,LARGE(A$3:A258,1))</f>
        <v/>
      </c>
      <c r="B259" s="34">
        <f>IF(H259="UNIDADE CONSTRUTIVA",0,IF(H259="CÉLULA CONSTRUTIVA",OFFSET(B259,-1,0)+1,OFFSET(B259,-1,0)))</f>
        <v/>
      </c>
      <c r="C259" s="34">
        <f>IF(H259="CÉLULA CONSTRUTIVA",0,IF(H259="ETAPA",OFFSET(C259,-1,0)+1,OFFSET(C259,-1,0)))</f>
        <v/>
      </c>
      <c r="D259" s="35">
        <f>IF(H259="ETAPA",0,IF(H259="SUBETAPA",OFFSET(D259,-1,0)+1,OFFSET(D259,-1,0)))</f>
        <v/>
      </c>
      <c r="E259" s="35">
        <f>IF(H259="Subetapa",0,IF(H259="serviço",OFFSET(E259,-1,0)+1,OFFSET(E259,-1,0)))</f>
        <v/>
      </c>
      <c r="F259" s="56" t="n"/>
      <c r="G259" s="1" t="n"/>
      <c r="H259" s="1" t="n"/>
      <c r="I259" s="1" t="n"/>
      <c r="J259" s="64" t="n"/>
      <c r="K259" s="52" t="n"/>
      <c r="L259" s="58" t="n"/>
      <c r="M259" s="58" t="n"/>
      <c r="N259" s="70" t="n"/>
      <c r="O259" s="56" t="n"/>
      <c r="P259" s="1" t="n"/>
      <c r="Q259" s="1" t="n"/>
    </row>
    <row r="260">
      <c r="A260" s="34">
        <f>IF($H260="UNIDADE CONSTRUTIVA",OFFSET(A260,-1,0)+1,LARGE(A$3:A259,1))</f>
        <v/>
      </c>
      <c r="B260" s="34">
        <f>IF(H260="UNIDADE CONSTRUTIVA",0,IF(H260="CÉLULA CONSTRUTIVA",OFFSET(B260,-1,0)+1,OFFSET(B260,-1,0)))</f>
        <v/>
      </c>
      <c r="C260" s="34">
        <f>IF(H260="CÉLULA CONSTRUTIVA",0,IF(H260="ETAPA",OFFSET(C260,-1,0)+1,OFFSET(C260,-1,0)))</f>
        <v/>
      </c>
      <c r="D260" s="35">
        <f>IF(H260="ETAPA",0,IF(H260="SUBETAPA",OFFSET(D260,-1,0)+1,OFFSET(D260,-1,0)))</f>
        <v/>
      </c>
      <c r="E260" s="35">
        <f>IF(H260="Subetapa",0,IF(H260="serviço",OFFSET(E260,-1,0)+1,OFFSET(E260,-1,0)))</f>
        <v/>
      </c>
      <c r="F260" s="56" t="n"/>
      <c r="G260" s="1" t="n"/>
      <c r="H260" s="1" t="n"/>
      <c r="I260" s="1" t="n"/>
      <c r="J260" s="64" t="n"/>
      <c r="K260" s="52" t="n"/>
      <c r="L260" s="58" t="n"/>
      <c r="M260" s="58" t="n"/>
      <c r="N260" s="70" t="n"/>
      <c r="O260" s="56" t="n"/>
      <c r="P260" s="1" t="n"/>
      <c r="Q260" s="1" t="n"/>
    </row>
    <row r="261">
      <c r="A261" s="34">
        <f>IF($H261="UNIDADE CONSTRUTIVA",OFFSET(A261,-1,0)+1,LARGE(A$3:A260,1))</f>
        <v/>
      </c>
      <c r="B261" s="34">
        <f>IF(H261="UNIDADE CONSTRUTIVA",0,IF(H261="CÉLULA CONSTRUTIVA",OFFSET(B261,-1,0)+1,OFFSET(B261,-1,0)))</f>
        <v/>
      </c>
      <c r="C261" s="34">
        <f>IF(H261="CÉLULA CONSTRUTIVA",0,IF(H261="ETAPA",OFFSET(C261,-1,0)+1,OFFSET(C261,-1,0)))</f>
        <v/>
      </c>
      <c r="D261" s="35">
        <f>IF(H261="ETAPA",0,IF(H261="SUBETAPA",OFFSET(D261,-1,0)+1,OFFSET(D261,-1,0)))</f>
        <v/>
      </c>
      <c r="E261" s="35">
        <f>IF(H261="Subetapa",0,IF(H261="serviço",OFFSET(E261,-1,0)+1,OFFSET(E261,-1,0)))</f>
        <v/>
      </c>
      <c r="F261" s="56" t="n"/>
      <c r="G261" s="1" t="n"/>
      <c r="H261" s="1" t="n"/>
      <c r="I261" s="1" t="n"/>
      <c r="J261" s="64" t="n"/>
      <c r="K261" s="52" t="n"/>
      <c r="L261" s="58" t="n"/>
      <c r="M261" s="58" t="n"/>
      <c r="N261" s="70" t="n"/>
      <c r="O261" s="56" t="n"/>
      <c r="P261" s="1" t="n"/>
      <c r="Q261" s="1" t="n"/>
    </row>
    <row r="262">
      <c r="A262" s="34">
        <f>IF($H262="UNIDADE CONSTRUTIVA",OFFSET(A262,-1,0)+1,LARGE(A$3:A261,1))</f>
        <v/>
      </c>
      <c r="B262" s="34">
        <f>IF(H262="UNIDADE CONSTRUTIVA",0,IF(H262="CÉLULA CONSTRUTIVA",OFFSET(B262,-1,0)+1,OFFSET(B262,-1,0)))</f>
        <v/>
      </c>
      <c r="C262" s="34">
        <f>IF(H262="CÉLULA CONSTRUTIVA",0,IF(H262="ETAPA",OFFSET(C262,-1,0)+1,OFFSET(C262,-1,0)))</f>
        <v/>
      </c>
      <c r="D262" s="35">
        <f>IF(H262="ETAPA",0,IF(H262="SUBETAPA",OFFSET(D262,-1,0)+1,OFFSET(D262,-1,0)))</f>
        <v/>
      </c>
      <c r="E262" s="35">
        <f>IF(H262="Subetapa",0,IF(H262="serviço",OFFSET(E262,-1,0)+1,OFFSET(E262,-1,0)))</f>
        <v/>
      </c>
      <c r="F262" s="56" t="n"/>
      <c r="G262" s="1" t="n"/>
      <c r="H262" s="1" t="n"/>
      <c r="I262" s="1" t="n"/>
      <c r="J262" s="64" t="n"/>
      <c r="K262" s="52" t="n"/>
      <c r="L262" s="58" t="n"/>
      <c r="M262" s="58" t="n"/>
      <c r="N262" s="70" t="n"/>
      <c r="O262" s="56" t="n"/>
      <c r="P262" s="1" t="n"/>
      <c r="Q262" s="1" t="n"/>
    </row>
    <row r="263">
      <c r="A263" s="34">
        <f>IF($H263="UNIDADE CONSTRUTIVA",OFFSET(A263,-1,0)+1,LARGE(A$3:A262,1))</f>
        <v/>
      </c>
      <c r="B263" s="34">
        <f>IF(H263="UNIDADE CONSTRUTIVA",0,IF(H263="CÉLULA CONSTRUTIVA",OFFSET(B263,-1,0)+1,OFFSET(B263,-1,0)))</f>
        <v/>
      </c>
      <c r="C263" s="34">
        <f>IF(H263="CÉLULA CONSTRUTIVA",0,IF(H263="ETAPA",OFFSET(C263,-1,0)+1,OFFSET(C263,-1,0)))</f>
        <v/>
      </c>
      <c r="D263" s="35">
        <f>IF(H263="ETAPA",0,IF(H263="SUBETAPA",OFFSET(D263,-1,0)+1,OFFSET(D263,-1,0)))</f>
        <v/>
      </c>
      <c r="E263" s="35">
        <f>IF(H263="Subetapa",0,IF(H263="serviço",OFFSET(E263,-1,0)+1,OFFSET(E263,-1,0)))</f>
        <v/>
      </c>
      <c r="F263" s="56" t="n"/>
      <c r="G263" s="1" t="n"/>
      <c r="H263" s="1" t="n"/>
      <c r="I263" s="1" t="n"/>
      <c r="J263" s="64" t="n"/>
      <c r="K263" s="52" t="n"/>
      <c r="L263" s="58" t="n"/>
      <c r="M263" s="58" t="n"/>
      <c r="N263" s="70" t="n"/>
      <c r="O263" s="56" t="n"/>
      <c r="P263" s="1" t="n"/>
      <c r="Q263" s="1" t="n"/>
    </row>
    <row r="264">
      <c r="A264" s="34">
        <f>IF($H264="UNIDADE CONSTRUTIVA",OFFSET(A264,-1,0)+1,LARGE(A$3:A263,1))</f>
        <v/>
      </c>
      <c r="B264" s="34">
        <f>IF(H264="UNIDADE CONSTRUTIVA",0,IF(H264="CÉLULA CONSTRUTIVA",OFFSET(B264,-1,0)+1,OFFSET(B264,-1,0)))</f>
        <v/>
      </c>
      <c r="C264" s="34">
        <f>IF(H264="CÉLULA CONSTRUTIVA",0,IF(H264="ETAPA",OFFSET(C264,-1,0)+1,OFFSET(C264,-1,0)))</f>
        <v/>
      </c>
      <c r="D264" s="35">
        <f>IF(H264="ETAPA",0,IF(H264="SUBETAPA",OFFSET(D264,-1,0)+1,OFFSET(D264,-1,0)))</f>
        <v/>
      </c>
      <c r="E264" s="35">
        <f>IF(H264="Subetapa",0,IF(H264="serviço",OFFSET(E264,-1,0)+1,OFFSET(E264,-1,0)))</f>
        <v/>
      </c>
      <c r="F264" s="56" t="n"/>
      <c r="G264" s="1" t="n"/>
      <c r="H264" s="1" t="n"/>
      <c r="I264" s="1" t="n"/>
      <c r="J264" s="64" t="n"/>
      <c r="K264" s="52" t="n"/>
      <c r="L264" s="58" t="n"/>
      <c r="M264" s="58" t="n"/>
      <c r="N264" s="70" t="n"/>
      <c r="O264" s="56" t="n"/>
      <c r="P264" s="1" t="n"/>
      <c r="Q264" s="1" t="n"/>
    </row>
    <row r="265">
      <c r="A265" s="34">
        <f>IF($H265="UNIDADE CONSTRUTIVA",OFFSET(A265,-1,0)+1,LARGE(A$3:A264,1))</f>
        <v/>
      </c>
      <c r="B265" s="34">
        <f>IF(H265="UNIDADE CONSTRUTIVA",0,IF(H265="CÉLULA CONSTRUTIVA",OFFSET(B265,-1,0)+1,OFFSET(B265,-1,0)))</f>
        <v/>
      </c>
      <c r="C265" s="34">
        <f>IF(H265="CÉLULA CONSTRUTIVA",0,IF(H265="ETAPA",OFFSET(C265,-1,0)+1,OFFSET(C265,-1,0)))</f>
        <v/>
      </c>
      <c r="D265" s="35">
        <f>IF(H265="ETAPA",0,IF(H265="SUBETAPA",OFFSET(D265,-1,0)+1,OFFSET(D265,-1,0)))</f>
        <v/>
      </c>
      <c r="E265" s="35">
        <f>IF(H265="Subetapa",0,IF(H265="serviço",OFFSET(E265,-1,0)+1,OFFSET(E265,-1,0)))</f>
        <v/>
      </c>
      <c r="F265" s="56" t="n"/>
      <c r="G265" s="1" t="n"/>
      <c r="H265" s="1" t="n"/>
      <c r="I265" s="1" t="n"/>
      <c r="J265" s="64" t="n"/>
      <c r="K265" s="52" t="n"/>
      <c r="L265" s="58" t="n"/>
      <c r="M265" s="58" t="n"/>
      <c r="N265" s="70" t="n"/>
      <c r="O265" s="56" t="n"/>
      <c r="P265" s="1" t="n"/>
      <c r="Q265" s="1" t="n"/>
    </row>
    <row r="266">
      <c r="A266" s="34">
        <f>IF($H266="UNIDADE CONSTRUTIVA",OFFSET(A266,-1,0)+1,LARGE(A$3:A265,1))</f>
        <v/>
      </c>
      <c r="B266" s="34">
        <f>IF(H266="UNIDADE CONSTRUTIVA",0,IF(H266="CÉLULA CONSTRUTIVA",OFFSET(B266,-1,0)+1,OFFSET(B266,-1,0)))</f>
        <v/>
      </c>
      <c r="C266" s="34">
        <f>IF(H266="CÉLULA CONSTRUTIVA",0,IF(H266="ETAPA",OFFSET(C266,-1,0)+1,OFFSET(C266,-1,0)))</f>
        <v/>
      </c>
      <c r="D266" s="35">
        <f>IF(H266="ETAPA",0,IF(H266="SUBETAPA",OFFSET(D266,-1,0)+1,OFFSET(D266,-1,0)))</f>
        <v/>
      </c>
      <c r="E266" s="35">
        <f>IF(H266="Subetapa",0,IF(H266="serviço",OFFSET(E266,-1,0)+1,OFFSET(E266,-1,0)))</f>
        <v/>
      </c>
      <c r="F266" s="56" t="n"/>
      <c r="G266" s="1" t="n"/>
      <c r="H266" s="1" t="n"/>
      <c r="I266" s="1" t="n"/>
      <c r="J266" s="64" t="n"/>
      <c r="K266" s="52" t="n"/>
      <c r="L266" s="58" t="n"/>
      <c r="M266" s="58" t="n"/>
      <c r="N266" s="70" t="n"/>
      <c r="O266" s="56" t="n"/>
      <c r="P266" s="1" t="n"/>
      <c r="Q266" s="1" t="n"/>
    </row>
    <row r="267">
      <c r="A267" s="34">
        <f>IF($H267="UNIDADE CONSTRUTIVA",OFFSET(A267,-1,0)+1,LARGE(A$3:A266,1))</f>
        <v/>
      </c>
      <c r="B267" s="34">
        <f>IF(H267="UNIDADE CONSTRUTIVA",0,IF(H267="CÉLULA CONSTRUTIVA",OFFSET(B267,-1,0)+1,OFFSET(B267,-1,0)))</f>
        <v/>
      </c>
      <c r="C267" s="34">
        <f>IF(H267="CÉLULA CONSTRUTIVA",0,IF(H267="ETAPA",OFFSET(C267,-1,0)+1,OFFSET(C267,-1,0)))</f>
        <v/>
      </c>
      <c r="D267" s="35">
        <f>IF(H267="ETAPA",0,IF(H267="SUBETAPA",OFFSET(D267,-1,0)+1,OFFSET(D267,-1,0)))</f>
        <v/>
      </c>
      <c r="E267" s="35">
        <f>IF(H267="Subetapa",0,IF(H267="serviço",OFFSET(E267,-1,0)+1,OFFSET(E267,-1,0)))</f>
        <v/>
      </c>
      <c r="F267" s="56" t="n"/>
      <c r="G267" s="1" t="n"/>
      <c r="H267" s="1" t="n"/>
      <c r="I267" s="1" t="n"/>
      <c r="J267" s="64" t="n"/>
      <c r="K267" s="52" t="n"/>
      <c r="L267" s="58" t="n"/>
      <c r="M267" s="58" t="n"/>
      <c r="N267" s="70" t="n"/>
      <c r="O267" s="56" t="n"/>
      <c r="P267" s="1" t="n"/>
      <c r="Q267" s="1" t="n"/>
    </row>
    <row r="268">
      <c r="A268" s="34">
        <f>IF($H268="UNIDADE CONSTRUTIVA",OFFSET(A268,-1,0)+1,LARGE(A$3:A267,1))</f>
        <v/>
      </c>
      <c r="B268" s="34">
        <f>IF(H268="UNIDADE CONSTRUTIVA",0,IF(H268="CÉLULA CONSTRUTIVA",OFFSET(B268,-1,0)+1,OFFSET(B268,-1,0)))</f>
        <v/>
      </c>
      <c r="C268" s="34">
        <f>IF(H268="CÉLULA CONSTRUTIVA",0,IF(H268="ETAPA",OFFSET(C268,-1,0)+1,OFFSET(C268,-1,0)))</f>
        <v/>
      </c>
      <c r="D268" s="35">
        <f>IF(H268="ETAPA",0,IF(H268="SUBETAPA",OFFSET(D268,-1,0)+1,OFFSET(D268,-1,0)))</f>
        <v/>
      </c>
      <c r="E268" s="35">
        <f>IF(H268="Subetapa",0,IF(H268="serviço",OFFSET(E268,-1,0)+1,OFFSET(E268,-1,0)))</f>
        <v/>
      </c>
      <c r="F268" s="56" t="n"/>
      <c r="G268" s="1" t="n"/>
      <c r="H268" s="1" t="n"/>
      <c r="I268" s="1" t="n"/>
      <c r="J268" s="64" t="n"/>
      <c r="K268" s="52" t="n"/>
      <c r="L268" s="58" t="n"/>
      <c r="M268" s="58" t="n"/>
      <c r="N268" s="70" t="n"/>
      <c r="O268" s="56" t="n"/>
      <c r="P268" s="1" t="n"/>
      <c r="Q268" s="1" t="n"/>
    </row>
    <row r="269">
      <c r="A269" s="34">
        <f>IF($H269="UNIDADE CONSTRUTIVA",OFFSET(A269,-1,0)+1,LARGE(A$3:A268,1))</f>
        <v/>
      </c>
      <c r="B269" s="34">
        <f>IF(H269="UNIDADE CONSTRUTIVA",0,IF(H269="CÉLULA CONSTRUTIVA",OFFSET(B269,-1,0)+1,OFFSET(B269,-1,0)))</f>
        <v/>
      </c>
      <c r="C269" s="34">
        <f>IF(H269="CÉLULA CONSTRUTIVA",0,IF(H269="ETAPA",OFFSET(C269,-1,0)+1,OFFSET(C269,-1,0)))</f>
        <v/>
      </c>
      <c r="D269" s="35">
        <f>IF(H269="ETAPA",0,IF(H269="SUBETAPA",OFFSET(D269,-1,0)+1,OFFSET(D269,-1,0)))</f>
        <v/>
      </c>
      <c r="E269" s="35">
        <f>IF(H269="Subetapa",0,IF(H269="serviço",OFFSET(E269,-1,0)+1,OFFSET(E269,-1,0)))</f>
        <v/>
      </c>
      <c r="F269" s="56" t="n"/>
      <c r="G269" s="1" t="n"/>
      <c r="H269" s="1" t="n"/>
      <c r="I269" s="1" t="n"/>
      <c r="J269" s="64" t="n"/>
      <c r="K269" s="52" t="n"/>
      <c r="L269" s="58" t="n"/>
      <c r="M269" s="58" t="n"/>
      <c r="N269" s="70" t="n"/>
      <c r="O269" s="56" t="n"/>
      <c r="P269" s="1" t="n"/>
      <c r="Q269" s="1" t="n"/>
    </row>
    <row r="270">
      <c r="A270" s="34">
        <f>IF($H270="UNIDADE CONSTRUTIVA",OFFSET(A270,-1,0)+1,LARGE(A$3:A269,1))</f>
        <v/>
      </c>
      <c r="B270" s="34">
        <f>IF(H270="UNIDADE CONSTRUTIVA",0,IF(H270="CÉLULA CONSTRUTIVA",OFFSET(B270,-1,0)+1,OFFSET(B270,-1,0)))</f>
        <v/>
      </c>
      <c r="C270" s="34">
        <f>IF(H270="CÉLULA CONSTRUTIVA",0,IF(H270="ETAPA",OFFSET(C270,-1,0)+1,OFFSET(C270,-1,0)))</f>
        <v/>
      </c>
      <c r="D270" s="35">
        <f>IF(H270="ETAPA",0,IF(H270="SUBETAPA",OFFSET(D270,-1,0)+1,OFFSET(D270,-1,0)))</f>
        <v/>
      </c>
      <c r="E270" s="35">
        <f>IF(H270="Subetapa",0,IF(H270="serviço",OFFSET(E270,-1,0)+1,OFFSET(E270,-1,0)))</f>
        <v/>
      </c>
      <c r="F270" s="56" t="n"/>
      <c r="G270" s="1" t="n"/>
      <c r="H270" s="1" t="n"/>
      <c r="I270" s="1" t="n"/>
      <c r="J270" s="64" t="n"/>
      <c r="K270" s="52" t="n"/>
      <c r="L270" s="58" t="n"/>
      <c r="M270" s="58" t="n"/>
      <c r="N270" s="70" t="n"/>
      <c r="O270" s="56" t="n"/>
      <c r="P270" s="1" t="n"/>
      <c r="Q270" s="1" t="n"/>
    </row>
    <row r="271">
      <c r="A271" s="34">
        <f>IF($H271="UNIDADE CONSTRUTIVA",OFFSET(A271,-1,0)+1,LARGE(A$3:A270,1))</f>
        <v/>
      </c>
      <c r="B271" s="34">
        <f>IF(H271="UNIDADE CONSTRUTIVA",0,IF(H271="CÉLULA CONSTRUTIVA",OFFSET(B271,-1,0)+1,OFFSET(B271,-1,0)))</f>
        <v/>
      </c>
      <c r="C271" s="34">
        <f>IF(H271="CÉLULA CONSTRUTIVA",0,IF(H271="ETAPA",OFFSET(C271,-1,0)+1,OFFSET(C271,-1,0)))</f>
        <v/>
      </c>
      <c r="D271" s="35">
        <f>IF(H271="ETAPA",0,IF(H271="SUBETAPA",OFFSET(D271,-1,0)+1,OFFSET(D271,-1,0)))</f>
        <v/>
      </c>
      <c r="E271" s="35">
        <f>IF(H271="Subetapa",0,IF(H271="serviço",OFFSET(E271,-1,0)+1,OFFSET(E271,-1,0)))</f>
        <v/>
      </c>
      <c r="F271" s="56" t="n"/>
      <c r="G271" s="1" t="n"/>
      <c r="H271" s="1" t="n"/>
      <c r="I271" s="1" t="n"/>
      <c r="J271" s="64" t="n"/>
      <c r="K271" s="52" t="n"/>
      <c r="L271" s="58" t="n"/>
      <c r="M271" s="58" t="n"/>
      <c r="N271" s="70" t="n"/>
      <c r="O271" s="56" t="n"/>
      <c r="P271" s="1" t="n"/>
      <c r="Q271" s="1" t="n"/>
    </row>
    <row r="272">
      <c r="A272" s="34">
        <f>IF($H272="UNIDADE CONSTRUTIVA",OFFSET(A272,-1,0)+1,LARGE(A$3:A271,1))</f>
        <v/>
      </c>
      <c r="B272" s="34">
        <f>IF(H272="UNIDADE CONSTRUTIVA",0,IF(H272="CÉLULA CONSTRUTIVA",OFFSET(B272,-1,0)+1,OFFSET(B272,-1,0)))</f>
        <v/>
      </c>
      <c r="C272" s="34">
        <f>IF(H272="CÉLULA CONSTRUTIVA",0,IF(H272="ETAPA",OFFSET(C272,-1,0)+1,OFFSET(C272,-1,0)))</f>
        <v/>
      </c>
      <c r="D272" s="35">
        <f>IF(H272="ETAPA",0,IF(H272="SUBETAPA",OFFSET(D272,-1,0)+1,OFFSET(D272,-1,0)))</f>
        <v/>
      </c>
      <c r="E272" s="35">
        <f>IF(H272="Subetapa",0,IF(H272="serviço",OFFSET(E272,-1,0)+1,OFFSET(E272,-1,0)))</f>
        <v/>
      </c>
      <c r="F272" s="56" t="n"/>
      <c r="G272" s="1" t="n"/>
      <c r="H272" s="1" t="n"/>
      <c r="I272" s="1" t="n"/>
      <c r="J272" s="64" t="n"/>
      <c r="K272" s="52" t="n"/>
      <c r="L272" s="58" t="n"/>
      <c r="M272" s="58" t="n"/>
      <c r="N272" s="70" t="n"/>
      <c r="O272" s="56" t="n"/>
      <c r="P272" s="1" t="n"/>
      <c r="Q272" s="1" t="n"/>
    </row>
    <row r="273">
      <c r="A273" s="34">
        <f>IF($H273="UNIDADE CONSTRUTIVA",OFFSET(A273,-1,0)+1,LARGE(A$3:A272,1))</f>
        <v/>
      </c>
      <c r="B273" s="34">
        <f>IF(H273="UNIDADE CONSTRUTIVA",0,IF(H273="CÉLULA CONSTRUTIVA",OFFSET(B273,-1,0)+1,OFFSET(B273,-1,0)))</f>
        <v/>
      </c>
      <c r="C273" s="34">
        <f>IF(H273="CÉLULA CONSTRUTIVA",0,IF(H273="ETAPA",OFFSET(C273,-1,0)+1,OFFSET(C273,-1,0)))</f>
        <v/>
      </c>
      <c r="D273" s="35">
        <f>IF(H273="ETAPA",0,IF(H273="SUBETAPA",OFFSET(D273,-1,0)+1,OFFSET(D273,-1,0)))</f>
        <v/>
      </c>
      <c r="E273" s="35">
        <f>IF(H273="Subetapa",0,IF(H273="serviço",OFFSET(E273,-1,0)+1,OFFSET(E273,-1,0)))</f>
        <v/>
      </c>
      <c r="F273" s="56" t="n"/>
      <c r="G273" s="1" t="n"/>
      <c r="H273" s="1" t="n"/>
      <c r="I273" s="1" t="n"/>
      <c r="J273" s="64" t="n"/>
      <c r="K273" s="52" t="n"/>
      <c r="L273" s="58" t="n"/>
      <c r="M273" s="58" t="n"/>
      <c r="N273" s="70" t="n"/>
      <c r="O273" s="56" t="n"/>
      <c r="P273" s="1" t="n"/>
      <c r="Q273" s="1" t="n"/>
    </row>
    <row r="274">
      <c r="A274" s="34">
        <f>IF($H274="UNIDADE CONSTRUTIVA",OFFSET(A274,-1,0)+1,LARGE(A$3:A273,1))</f>
        <v/>
      </c>
      <c r="B274" s="34">
        <f>IF(H274="UNIDADE CONSTRUTIVA",0,IF(H274="CÉLULA CONSTRUTIVA",OFFSET(B274,-1,0)+1,OFFSET(B274,-1,0)))</f>
        <v/>
      </c>
      <c r="C274" s="34">
        <f>IF(H274="CÉLULA CONSTRUTIVA",0,IF(H274="ETAPA",OFFSET(C274,-1,0)+1,OFFSET(C274,-1,0)))</f>
        <v/>
      </c>
      <c r="D274" s="35">
        <f>IF(H274="ETAPA",0,IF(H274="SUBETAPA",OFFSET(D274,-1,0)+1,OFFSET(D274,-1,0)))</f>
        <v/>
      </c>
      <c r="E274" s="35">
        <f>IF(H274="Subetapa",0,IF(H274="serviço",OFFSET(E274,-1,0)+1,OFFSET(E274,-1,0)))</f>
        <v/>
      </c>
      <c r="F274" s="56" t="n"/>
      <c r="G274" s="1" t="n"/>
      <c r="H274" s="1" t="n"/>
      <c r="I274" s="1" t="n"/>
      <c r="J274" s="64" t="n"/>
      <c r="K274" s="52" t="n"/>
      <c r="L274" s="58" t="n"/>
      <c r="M274" s="58" t="n"/>
      <c r="N274" s="70" t="n"/>
      <c r="O274" s="56" t="n"/>
      <c r="P274" s="1" t="n"/>
      <c r="Q274" s="1" t="n"/>
    </row>
    <row r="275">
      <c r="A275" s="34">
        <f>IF($H275="UNIDADE CONSTRUTIVA",OFFSET(A275,-1,0)+1,LARGE(A$3:A274,1))</f>
        <v/>
      </c>
      <c r="B275" s="34">
        <f>IF(H275="UNIDADE CONSTRUTIVA",0,IF(H275="CÉLULA CONSTRUTIVA",OFFSET(B275,-1,0)+1,OFFSET(B275,-1,0)))</f>
        <v/>
      </c>
      <c r="C275" s="34">
        <f>IF(H275="CÉLULA CONSTRUTIVA",0,IF(H275="ETAPA",OFFSET(C275,-1,0)+1,OFFSET(C275,-1,0)))</f>
        <v/>
      </c>
      <c r="D275" s="35">
        <f>IF(H275="ETAPA",0,IF(H275="SUBETAPA",OFFSET(D275,-1,0)+1,OFFSET(D275,-1,0)))</f>
        <v/>
      </c>
      <c r="E275" s="35">
        <f>IF(H275="Subetapa",0,IF(H275="serviço",OFFSET(E275,-1,0)+1,OFFSET(E275,-1,0)))</f>
        <v/>
      </c>
      <c r="F275" s="56" t="n"/>
      <c r="G275" s="1" t="n"/>
      <c r="H275" s="1" t="n"/>
      <c r="I275" s="1" t="n"/>
      <c r="J275" s="64" t="n"/>
      <c r="K275" s="52" t="n"/>
      <c r="L275" s="58" t="n"/>
      <c r="M275" s="58" t="n"/>
      <c r="N275" s="70" t="n"/>
      <c r="O275" s="56" t="n"/>
      <c r="P275" s="1" t="n"/>
      <c r="Q275" s="1" t="n"/>
    </row>
    <row r="276">
      <c r="A276" s="34">
        <f>IF($H276="UNIDADE CONSTRUTIVA",OFFSET(A276,-1,0)+1,LARGE(A$3:A275,1))</f>
        <v/>
      </c>
      <c r="B276" s="34">
        <f>IF(H276="UNIDADE CONSTRUTIVA",0,IF(H276="CÉLULA CONSTRUTIVA",OFFSET(B276,-1,0)+1,OFFSET(B276,-1,0)))</f>
        <v/>
      </c>
      <c r="C276" s="34">
        <f>IF(H276="CÉLULA CONSTRUTIVA",0,IF(H276="ETAPA",OFFSET(C276,-1,0)+1,OFFSET(C276,-1,0)))</f>
        <v/>
      </c>
      <c r="D276" s="35">
        <f>IF(H276="ETAPA",0,IF(H276="SUBETAPA",OFFSET(D276,-1,0)+1,OFFSET(D276,-1,0)))</f>
        <v/>
      </c>
      <c r="E276" s="35">
        <f>IF(H276="Subetapa",0,IF(H276="serviço",OFFSET(E276,-1,0)+1,OFFSET(E276,-1,0)))</f>
        <v/>
      </c>
      <c r="F276" s="56" t="n"/>
      <c r="G276" s="1" t="n"/>
      <c r="H276" s="1" t="n"/>
      <c r="I276" s="1" t="n"/>
      <c r="J276" s="64" t="n"/>
      <c r="K276" s="52" t="n"/>
      <c r="L276" s="58" t="n"/>
      <c r="M276" s="58" t="n"/>
      <c r="N276" s="70" t="n"/>
      <c r="O276" s="56" t="n"/>
      <c r="P276" s="1" t="n"/>
      <c r="Q276" s="1" t="n"/>
    </row>
    <row r="277">
      <c r="A277" s="34">
        <f>IF($H277="UNIDADE CONSTRUTIVA",OFFSET(A277,-1,0)+1,LARGE(A$3:A276,1))</f>
        <v/>
      </c>
      <c r="B277" s="34">
        <f>IF(H277="UNIDADE CONSTRUTIVA",0,IF(H277="CÉLULA CONSTRUTIVA",OFFSET(B277,-1,0)+1,OFFSET(B277,-1,0)))</f>
        <v/>
      </c>
      <c r="C277" s="34">
        <f>IF(H277="CÉLULA CONSTRUTIVA",0,IF(H277="ETAPA",OFFSET(C277,-1,0)+1,OFFSET(C277,-1,0)))</f>
        <v/>
      </c>
      <c r="D277" s="35">
        <f>IF(H277="ETAPA",0,IF(H277="SUBETAPA",OFFSET(D277,-1,0)+1,OFFSET(D277,-1,0)))</f>
        <v/>
      </c>
      <c r="E277" s="35">
        <f>IF(H277="Subetapa",0,IF(H277="serviço",OFFSET(E277,-1,0)+1,OFFSET(E277,-1,0)))</f>
        <v/>
      </c>
      <c r="F277" s="56" t="n"/>
      <c r="G277" s="1" t="n"/>
      <c r="H277" s="1" t="n"/>
      <c r="I277" s="1" t="n"/>
      <c r="J277" s="64" t="n"/>
      <c r="K277" s="52" t="n"/>
      <c r="L277" s="58" t="n"/>
      <c r="M277" s="58" t="n"/>
      <c r="N277" s="70" t="n"/>
      <c r="O277" s="56" t="n"/>
      <c r="P277" s="1" t="n"/>
      <c r="Q277" s="1" t="n"/>
    </row>
    <row r="278">
      <c r="A278" s="34">
        <f>IF($H278="UNIDADE CONSTRUTIVA",OFFSET(A278,-1,0)+1,LARGE(A$3:A277,1))</f>
        <v/>
      </c>
      <c r="B278" s="34">
        <f>IF(H278="UNIDADE CONSTRUTIVA",0,IF(H278="CÉLULA CONSTRUTIVA",OFFSET(B278,-1,0)+1,OFFSET(B278,-1,0)))</f>
        <v/>
      </c>
      <c r="C278" s="34">
        <f>IF(H278="CÉLULA CONSTRUTIVA",0,IF(H278="ETAPA",OFFSET(C278,-1,0)+1,OFFSET(C278,-1,0)))</f>
        <v/>
      </c>
      <c r="D278" s="35">
        <f>IF(H278="ETAPA",0,IF(H278="SUBETAPA",OFFSET(D278,-1,0)+1,OFFSET(D278,-1,0)))</f>
        <v/>
      </c>
      <c r="E278" s="35">
        <f>IF(H278="Subetapa",0,IF(H278="serviço",OFFSET(E278,-1,0)+1,OFFSET(E278,-1,0)))</f>
        <v/>
      </c>
      <c r="F278" s="56" t="n"/>
      <c r="G278" s="1" t="n"/>
      <c r="H278" s="1" t="n"/>
      <c r="I278" s="1" t="n"/>
      <c r="J278" s="64" t="n"/>
      <c r="K278" s="52" t="n"/>
      <c r="L278" s="58" t="n"/>
      <c r="M278" s="58" t="n"/>
      <c r="N278" s="70" t="n"/>
      <c r="O278" s="56" t="n"/>
      <c r="P278" s="1" t="n"/>
      <c r="Q278" s="1" t="n"/>
    </row>
    <row r="279">
      <c r="A279" s="34">
        <f>IF($H279="UNIDADE CONSTRUTIVA",OFFSET(A279,-1,0)+1,LARGE(A$3:A278,1))</f>
        <v/>
      </c>
      <c r="B279" s="34">
        <f>IF(H279="UNIDADE CONSTRUTIVA",0,IF(H279="CÉLULA CONSTRUTIVA",OFFSET(B279,-1,0)+1,OFFSET(B279,-1,0)))</f>
        <v/>
      </c>
      <c r="C279" s="34">
        <f>IF(H279="CÉLULA CONSTRUTIVA",0,IF(H279="ETAPA",OFFSET(C279,-1,0)+1,OFFSET(C279,-1,0)))</f>
        <v/>
      </c>
      <c r="D279" s="35">
        <f>IF(H279="ETAPA",0,IF(H279="SUBETAPA",OFFSET(D279,-1,0)+1,OFFSET(D279,-1,0)))</f>
        <v/>
      </c>
      <c r="E279" s="35">
        <f>IF(H279="Subetapa",0,IF(H279="serviço",OFFSET(E279,-1,0)+1,OFFSET(E279,-1,0)))</f>
        <v/>
      </c>
      <c r="F279" s="56" t="n"/>
      <c r="G279" s="1" t="n"/>
      <c r="H279" s="1" t="n"/>
      <c r="I279" s="1" t="n"/>
      <c r="J279" s="64" t="n"/>
      <c r="K279" s="52" t="n"/>
      <c r="L279" s="58" t="n"/>
      <c r="M279" s="58" t="n"/>
      <c r="N279" s="70" t="n"/>
      <c r="O279" s="56" t="n"/>
      <c r="P279" s="1" t="n"/>
      <c r="Q279" s="1" t="n"/>
    </row>
    <row r="280">
      <c r="A280" s="34">
        <f>IF($H280="UNIDADE CONSTRUTIVA",OFFSET(A280,-1,0)+1,LARGE(A$3:A279,1))</f>
        <v/>
      </c>
      <c r="B280" s="34">
        <f>IF(H280="UNIDADE CONSTRUTIVA",0,IF(H280="CÉLULA CONSTRUTIVA",OFFSET(B280,-1,0)+1,OFFSET(B280,-1,0)))</f>
        <v/>
      </c>
      <c r="C280" s="34">
        <f>IF(H280="CÉLULA CONSTRUTIVA",0,IF(H280="ETAPA",OFFSET(C280,-1,0)+1,OFFSET(C280,-1,0)))</f>
        <v/>
      </c>
      <c r="D280" s="35">
        <f>IF(H280="ETAPA",0,IF(H280="SUBETAPA",OFFSET(D280,-1,0)+1,OFFSET(D280,-1,0)))</f>
        <v/>
      </c>
      <c r="E280" s="35">
        <f>IF(H280="Subetapa",0,IF(H280="serviço",OFFSET(E280,-1,0)+1,OFFSET(E280,-1,0)))</f>
        <v/>
      </c>
      <c r="F280" s="56" t="n"/>
      <c r="G280" s="1" t="n"/>
      <c r="H280" s="1" t="n"/>
      <c r="I280" s="1" t="n"/>
      <c r="J280" s="64" t="n"/>
      <c r="K280" s="52" t="n"/>
      <c r="L280" s="58" t="n"/>
      <c r="M280" s="58" t="n"/>
      <c r="N280" s="70" t="n"/>
      <c r="O280" s="56" t="n"/>
      <c r="P280" s="1" t="n"/>
      <c r="Q280" s="1" t="n"/>
    </row>
    <row r="281">
      <c r="A281" s="34">
        <f>IF($H281="UNIDADE CONSTRUTIVA",OFFSET(A281,-1,0)+1,LARGE(A$3:A280,1))</f>
        <v/>
      </c>
      <c r="B281" s="34">
        <f>IF(H281="UNIDADE CONSTRUTIVA",0,IF(H281="CÉLULA CONSTRUTIVA",OFFSET(B281,-1,0)+1,OFFSET(B281,-1,0)))</f>
        <v/>
      </c>
      <c r="C281" s="34">
        <f>IF(H281="CÉLULA CONSTRUTIVA",0,IF(H281="ETAPA",OFFSET(C281,-1,0)+1,OFFSET(C281,-1,0)))</f>
        <v/>
      </c>
      <c r="D281" s="35">
        <f>IF(H281="ETAPA",0,IF(H281="SUBETAPA",OFFSET(D281,-1,0)+1,OFFSET(D281,-1,0)))</f>
        <v/>
      </c>
      <c r="E281" s="35">
        <f>IF(H281="Subetapa",0,IF(H281="serviço",OFFSET(E281,-1,0)+1,OFFSET(E281,-1,0)))</f>
        <v/>
      </c>
      <c r="F281" s="56" t="n"/>
      <c r="G281" s="1" t="n"/>
      <c r="H281" s="1" t="n"/>
      <c r="I281" s="1" t="n"/>
      <c r="J281" s="64" t="n"/>
      <c r="K281" s="52" t="n"/>
      <c r="L281" s="58" t="n"/>
      <c r="M281" s="58" t="n"/>
      <c r="N281" s="70" t="n"/>
      <c r="O281" s="56" t="n"/>
      <c r="P281" s="1" t="n"/>
      <c r="Q281" s="1" t="n"/>
    </row>
    <row r="282">
      <c r="A282" s="34">
        <f>IF($H282="UNIDADE CONSTRUTIVA",OFFSET(A282,-1,0)+1,LARGE(A$3:A281,1))</f>
        <v/>
      </c>
      <c r="B282" s="34">
        <f>IF(H282="UNIDADE CONSTRUTIVA",0,IF(H282="CÉLULA CONSTRUTIVA",OFFSET(B282,-1,0)+1,OFFSET(B282,-1,0)))</f>
        <v/>
      </c>
      <c r="C282" s="34">
        <f>IF(H282="CÉLULA CONSTRUTIVA",0,IF(H282="ETAPA",OFFSET(C282,-1,0)+1,OFFSET(C282,-1,0)))</f>
        <v/>
      </c>
      <c r="D282" s="35">
        <f>IF(H282="ETAPA",0,IF(H282="SUBETAPA",OFFSET(D282,-1,0)+1,OFFSET(D282,-1,0)))</f>
        <v/>
      </c>
      <c r="E282" s="35">
        <f>IF(H282="Subetapa",0,IF(H282="serviço",OFFSET(E282,-1,0)+1,OFFSET(E282,-1,0)))</f>
        <v/>
      </c>
      <c r="F282" s="56" t="n"/>
      <c r="G282" s="1" t="n"/>
      <c r="H282" s="1" t="n"/>
      <c r="I282" s="1" t="n"/>
      <c r="J282" s="64" t="n"/>
      <c r="K282" s="52" t="n"/>
      <c r="L282" s="58" t="n"/>
      <c r="M282" s="58" t="n"/>
      <c r="N282" s="70" t="n"/>
      <c r="O282" s="56" t="n"/>
      <c r="P282" s="1" t="n"/>
      <c r="Q282" s="1" t="n"/>
    </row>
    <row r="283">
      <c r="A283" s="34">
        <f>IF($H283="UNIDADE CONSTRUTIVA",OFFSET(A283,-1,0)+1,LARGE(A$3:A282,1))</f>
        <v/>
      </c>
      <c r="B283" s="34">
        <f>IF(H283="UNIDADE CONSTRUTIVA",0,IF(H283="CÉLULA CONSTRUTIVA",OFFSET(B283,-1,0)+1,OFFSET(B283,-1,0)))</f>
        <v/>
      </c>
      <c r="C283" s="34">
        <f>IF(H283="CÉLULA CONSTRUTIVA",0,IF(H283="ETAPA",OFFSET(C283,-1,0)+1,OFFSET(C283,-1,0)))</f>
        <v/>
      </c>
      <c r="D283" s="35">
        <f>IF(H283="ETAPA",0,IF(H283="SUBETAPA",OFFSET(D283,-1,0)+1,OFFSET(D283,-1,0)))</f>
        <v/>
      </c>
      <c r="E283" s="35">
        <f>IF(H283="Subetapa",0,IF(H283="serviço",OFFSET(E283,-1,0)+1,OFFSET(E283,-1,0)))</f>
        <v/>
      </c>
      <c r="F283" s="56" t="n"/>
      <c r="G283" s="1" t="n"/>
      <c r="H283" s="1" t="n"/>
      <c r="I283" s="1" t="n"/>
      <c r="J283" s="64" t="n"/>
      <c r="K283" s="52" t="n"/>
      <c r="L283" s="58" t="n"/>
      <c r="M283" s="58" t="n"/>
      <c r="N283" s="70" t="n"/>
      <c r="O283" s="56" t="n"/>
      <c r="P283" s="1" t="n"/>
      <c r="Q283" s="1" t="n"/>
    </row>
    <row r="284">
      <c r="A284" s="34">
        <f>IF($H284="UNIDADE CONSTRUTIVA",OFFSET(A284,-1,0)+1,LARGE(A$3:A283,1))</f>
        <v/>
      </c>
      <c r="B284" s="34">
        <f>IF(H284="UNIDADE CONSTRUTIVA",0,IF(H284="CÉLULA CONSTRUTIVA",OFFSET(B284,-1,0)+1,OFFSET(B284,-1,0)))</f>
        <v/>
      </c>
      <c r="C284" s="34">
        <f>IF(H284="CÉLULA CONSTRUTIVA",0,IF(H284="ETAPA",OFFSET(C284,-1,0)+1,OFFSET(C284,-1,0)))</f>
        <v/>
      </c>
      <c r="D284" s="35">
        <f>IF(H284="ETAPA",0,IF(H284="SUBETAPA",OFFSET(D284,-1,0)+1,OFFSET(D284,-1,0)))</f>
        <v/>
      </c>
      <c r="E284" s="35">
        <f>IF(H284="Subetapa",0,IF(H284="serviço",OFFSET(E284,-1,0)+1,OFFSET(E284,-1,0)))</f>
        <v/>
      </c>
      <c r="F284" s="56" t="n"/>
      <c r="G284" s="1" t="n"/>
      <c r="H284" s="1" t="n"/>
      <c r="I284" s="1" t="n"/>
      <c r="J284" s="64" t="n"/>
      <c r="K284" s="52" t="n"/>
      <c r="L284" s="58" t="n"/>
      <c r="M284" s="58" t="n"/>
      <c r="N284" s="70" t="n"/>
      <c r="O284" s="56" t="n"/>
      <c r="P284" s="1" t="n"/>
      <c r="Q284" s="1" t="n"/>
    </row>
    <row r="285">
      <c r="A285" s="34">
        <f>IF($H285="UNIDADE CONSTRUTIVA",OFFSET(A285,-1,0)+1,LARGE(A$3:A284,1))</f>
        <v/>
      </c>
      <c r="B285" s="34">
        <f>IF(H285="UNIDADE CONSTRUTIVA",0,IF(H285="CÉLULA CONSTRUTIVA",OFFSET(B285,-1,0)+1,OFFSET(B285,-1,0)))</f>
        <v/>
      </c>
      <c r="C285" s="34">
        <f>IF(H285="CÉLULA CONSTRUTIVA",0,IF(H285="ETAPA",OFFSET(C285,-1,0)+1,OFFSET(C285,-1,0)))</f>
        <v/>
      </c>
      <c r="D285" s="35">
        <f>IF(H285="ETAPA",0,IF(H285="SUBETAPA",OFFSET(D285,-1,0)+1,OFFSET(D285,-1,0)))</f>
        <v/>
      </c>
      <c r="E285" s="35">
        <f>IF(H285="Subetapa",0,IF(H285="serviço",OFFSET(E285,-1,0)+1,OFFSET(E285,-1,0)))</f>
        <v/>
      </c>
      <c r="F285" s="56" t="n"/>
      <c r="G285" s="1" t="n"/>
      <c r="H285" s="1" t="n"/>
      <c r="I285" s="1" t="n"/>
      <c r="J285" s="64" t="n"/>
      <c r="K285" s="52" t="n"/>
      <c r="L285" s="58" t="n"/>
      <c r="M285" s="58" t="n"/>
      <c r="N285" s="70" t="n"/>
      <c r="O285" s="56" t="n"/>
      <c r="P285" s="1" t="n"/>
      <c r="Q285" s="1" t="n"/>
    </row>
    <row r="286">
      <c r="A286" s="34">
        <f>IF($H286="UNIDADE CONSTRUTIVA",OFFSET(A286,-1,0)+1,LARGE(A$3:A285,1))</f>
        <v/>
      </c>
      <c r="B286" s="34">
        <f>IF(H286="UNIDADE CONSTRUTIVA",0,IF(H286="CÉLULA CONSTRUTIVA",OFFSET(B286,-1,0)+1,OFFSET(B286,-1,0)))</f>
        <v/>
      </c>
      <c r="C286" s="34">
        <f>IF(H286="CÉLULA CONSTRUTIVA",0,IF(H286="ETAPA",OFFSET(C286,-1,0)+1,OFFSET(C286,-1,0)))</f>
        <v/>
      </c>
      <c r="D286" s="35">
        <f>IF(H286="ETAPA",0,IF(H286="SUBETAPA",OFFSET(D286,-1,0)+1,OFFSET(D286,-1,0)))</f>
        <v/>
      </c>
      <c r="E286" s="35">
        <f>IF(H286="Subetapa",0,IF(H286="serviço",OFFSET(E286,-1,0)+1,OFFSET(E286,-1,0)))</f>
        <v/>
      </c>
      <c r="F286" s="56" t="n"/>
      <c r="G286" s="1" t="n"/>
      <c r="H286" s="1" t="n"/>
      <c r="I286" s="1" t="n"/>
      <c r="J286" s="64" t="n"/>
      <c r="K286" s="52" t="n"/>
      <c r="L286" s="58" t="n"/>
      <c r="M286" s="58" t="n"/>
      <c r="N286" s="70" t="n"/>
      <c r="O286" s="56" t="n"/>
      <c r="P286" s="1" t="n"/>
      <c r="Q286" s="1" t="n"/>
    </row>
    <row r="287">
      <c r="A287" s="34">
        <f>IF($H287="UNIDADE CONSTRUTIVA",OFFSET(A287,-1,0)+1,LARGE(A$3:A286,1))</f>
        <v/>
      </c>
      <c r="B287" s="34">
        <f>IF(H287="UNIDADE CONSTRUTIVA",0,IF(H287="CÉLULA CONSTRUTIVA",OFFSET(B287,-1,0)+1,OFFSET(B287,-1,0)))</f>
        <v/>
      </c>
      <c r="C287" s="34">
        <f>IF(H287="CÉLULA CONSTRUTIVA",0,IF(H287="ETAPA",OFFSET(C287,-1,0)+1,OFFSET(C287,-1,0)))</f>
        <v/>
      </c>
      <c r="D287" s="35">
        <f>IF(H287="ETAPA",0,IF(H287="SUBETAPA",OFFSET(D287,-1,0)+1,OFFSET(D287,-1,0)))</f>
        <v/>
      </c>
      <c r="E287" s="35">
        <f>IF(H287="Subetapa",0,IF(H287="serviço",OFFSET(E287,-1,0)+1,OFFSET(E287,-1,0)))</f>
        <v/>
      </c>
      <c r="F287" s="56" t="n"/>
      <c r="G287" s="1" t="n"/>
      <c r="H287" s="1" t="n"/>
      <c r="I287" s="1" t="n"/>
      <c r="J287" s="64" t="n"/>
      <c r="K287" s="52" t="n"/>
      <c r="L287" s="58" t="n"/>
      <c r="M287" s="58" t="n"/>
      <c r="N287" s="70" t="n"/>
      <c r="O287" s="56" t="n"/>
      <c r="P287" s="1" t="n"/>
      <c r="Q287" s="1" t="n"/>
    </row>
    <row r="288">
      <c r="A288" s="34">
        <f>IF($H288="UNIDADE CONSTRUTIVA",OFFSET(A288,-1,0)+1,LARGE(A$3:A287,1))</f>
        <v/>
      </c>
      <c r="B288" s="34">
        <f>IF(H288="UNIDADE CONSTRUTIVA",0,IF(H288="CÉLULA CONSTRUTIVA",OFFSET(B288,-1,0)+1,OFFSET(B288,-1,0)))</f>
        <v/>
      </c>
      <c r="C288" s="34">
        <f>IF(H288="CÉLULA CONSTRUTIVA",0,IF(H288="ETAPA",OFFSET(C288,-1,0)+1,OFFSET(C288,-1,0)))</f>
        <v/>
      </c>
      <c r="D288" s="35">
        <f>IF(H288="ETAPA",0,IF(H288="SUBETAPA",OFFSET(D288,-1,0)+1,OFFSET(D288,-1,0)))</f>
        <v/>
      </c>
      <c r="E288" s="35">
        <f>IF(H288="Subetapa",0,IF(H288="serviço",OFFSET(E288,-1,0)+1,OFFSET(E288,-1,0)))</f>
        <v/>
      </c>
      <c r="F288" s="56" t="n"/>
      <c r="G288" s="1" t="n"/>
      <c r="H288" s="1" t="n"/>
      <c r="I288" s="1" t="n"/>
      <c r="J288" s="64" t="n"/>
      <c r="K288" s="52" t="n"/>
      <c r="L288" s="58" t="n"/>
      <c r="M288" s="58" t="n"/>
      <c r="N288" s="70" t="n"/>
      <c r="O288" s="56" t="n"/>
      <c r="P288" s="1" t="n"/>
      <c r="Q288" s="1" t="n"/>
    </row>
    <row r="289">
      <c r="A289" s="34">
        <f>IF($H289="UNIDADE CONSTRUTIVA",OFFSET(A289,-1,0)+1,LARGE(A$3:A288,1))</f>
        <v/>
      </c>
      <c r="B289" s="34">
        <f>IF(H289="UNIDADE CONSTRUTIVA",0,IF(H289="CÉLULA CONSTRUTIVA",OFFSET(B289,-1,0)+1,OFFSET(B289,-1,0)))</f>
        <v/>
      </c>
      <c r="C289" s="34">
        <f>IF(H289="CÉLULA CONSTRUTIVA",0,IF(H289="ETAPA",OFFSET(C289,-1,0)+1,OFFSET(C289,-1,0)))</f>
        <v/>
      </c>
      <c r="D289" s="35">
        <f>IF(H289="ETAPA",0,IF(H289="SUBETAPA",OFFSET(D289,-1,0)+1,OFFSET(D289,-1,0)))</f>
        <v/>
      </c>
      <c r="E289" s="35">
        <f>IF(H289="Subetapa",0,IF(H289="serviço",OFFSET(E289,-1,0)+1,OFFSET(E289,-1,0)))</f>
        <v/>
      </c>
      <c r="F289" s="56" t="n"/>
      <c r="G289" s="1" t="n"/>
      <c r="H289" s="1" t="n"/>
      <c r="I289" s="1" t="n"/>
      <c r="J289" s="64" t="n"/>
      <c r="K289" s="52" t="n"/>
      <c r="L289" s="58" t="n"/>
      <c r="M289" s="58" t="n"/>
      <c r="N289" s="70" t="n"/>
      <c r="O289" s="56" t="n"/>
      <c r="P289" s="1" t="n"/>
      <c r="Q289" s="1" t="n"/>
    </row>
    <row r="290">
      <c r="A290" s="34">
        <f>IF($H290="UNIDADE CONSTRUTIVA",OFFSET(A290,-1,0)+1,LARGE(A$3:A289,1))</f>
        <v/>
      </c>
      <c r="B290" s="34">
        <f>IF(H290="UNIDADE CONSTRUTIVA",0,IF(H290="CÉLULA CONSTRUTIVA",OFFSET(B290,-1,0)+1,OFFSET(B290,-1,0)))</f>
        <v/>
      </c>
      <c r="C290" s="34">
        <f>IF(H290="CÉLULA CONSTRUTIVA",0,IF(H290="ETAPA",OFFSET(C290,-1,0)+1,OFFSET(C290,-1,0)))</f>
        <v/>
      </c>
      <c r="D290" s="35">
        <f>IF(H290="ETAPA",0,IF(H290="SUBETAPA",OFFSET(D290,-1,0)+1,OFFSET(D290,-1,0)))</f>
        <v/>
      </c>
      <c r="E290" s="35">
        <f>IF(H290="Subetapa",0,IF(H290="serviço",OFFSET(E290,-1,0)+1,OFFSET(E290,-1,0)))</f>
        <v/>
      </c>
      <c r="F290" s="56" t="n"/>
      <c r="G290" s="1" t="n"/>
      <c r="H290" s="1" t="n"/>
      <c r="I290" s="1" t="n"/>
      <c r="J290" s="64" t="n"/>
      <c r="K290" s="52" t="n"/>
      <c r="L290" s="58" t="n"/>
      <c r="M290" s="58" t="n"/>
      <c r="N290" s="70" t="n"/>
      <c r="O290" s="56" t="n"/>
      <c r="P290" s="1" t="n"/>
      <c r="Q290" s="1" t="n"/>
    </row>
    <row r="291">
      <c r="A291" s="34">
        <f>IF($H291="UNIDADE CONSTRUTIVA",OFFSET(A291,-1,0)+1,LARGE(A$3:A290,1))</f>
        <v/>
      </c>
      <c r="B291" s="34">
        <f>IF(H291="UNIDADE CONSTRUTIVA",0,IF(H291="CÉLULA CONSTRUTIVA",OFFSET(B291,-1,0)+1,OFFSET(B291,-1,0)))</f>
        <v/>
      </c>
      <c r="C291" s="34">
        <f>IF(H291="CÉLULA CONSTRUTIVA",0,IF(H291="ETAPA",OFFSET(C291,-1,0)+1,OFFSET(C291,-1,0)))</f>
        <v/>
      </c>
      <c r="D291" s="35">
        <f>IF(H291="ETAPA",0,IF(H291="SUBETAPA",OFFSET(D291,-1,0)+1,OFFSET(D291,-1,0)))</f>
        <v/>
      </c>
      <c r="E291" s="35">
        <f>IF(H291="Subetapa",0,IF(H291="serviço",OFFSET(E291,-1,0)+1,OFFSET(E291,-1,0)))</f>
        <v/>
      </c>
      <c r="F291" s="56" t="n"/>
      <c r="G291" s="1" t="n"/>
      <c r="H291" s="1" t="n"/>
      <c r="I291" s="1" t="n"/>
      <c r="J291" s="64" t="n"/>
      <c r="K291" s="52" t="n"/>
      <c r="L291" s="58" t="n"/>
      <c r="M291" s="58" t="n"/>
      <c r="N291" s="70" t="n"/>
      <c r="O291" s="56" t="n"/>
      <c r="P291" s="1" t="n"/>
      <c r="Q291" s="1" t="n"/>
    </row>
    <row r="292">
      <c r="A292" s="34">
        <f>IF($H292="UNIDADE CONSTRUTIVA",OFFSET(A292,-1,0)+1,LARGE(A$3:A291,1))</f>
        <v/>
      </c>
      <c r="B292" s="34">
        <f>IF(H292="UNIDADE CONSTRUTIVA",0,IF(H292="CÉLULA CONSTRUTIVA",OFFSET(B292,-1,0)+1,OFFSET(B292,-1,0)))</f>
        <v/>
      </c>
      <c r="C292" s="34">
        <f>IF(H292="CÉLULA CONSTRUTIVA",0,IF(H292="ETAPA",OFFSET(C292,-1,0)+1,OFFSET(C292,-1,0)))</f>
        <v/>
      </c>
      <c r="D292" s="35">
        <f>IF(H292="ETAPA",0,IF(H292="SUBETAPA",OFFSET(D292,-1,0)+1,OFFSET(D292,-1,0)))</f>
        <v/>
      </c>
      <c r="E292" s="35">
        <f>IF(H292="Subetapa",0,IF(H292="serviço",OFFSET(E292,-1,0)+1,OFFSET(E292,-1,0)))</f>
        <v/>
      </c>
      <c r="F292" s="56" t="n"/>
      <c r="G292" s="1" t="n"/>
      <c r="H292" s="1" t="n"/>
      <c r="I292" s="1" t="n"/>
      <c r="J292" s="64" t="n"/>
      <c r="K292" s="52" t="n"/>
      <c r="L292" s="58" t="n"/>
      <c r="M292" s="58" t="n"/>
      <c r="N292" s="70" t="n"/>
      <c r="O292" s="56" t="n"/>
      <c r="P292" s="1" t="n"/>
      <c r="Q292" s="1" t="n"/>
    </row>
    <row r="293">
      <c r="A293" s="34">
        <f>IF($H293="UNIDADE CONSTRUTIVA",OFFSET(A293,-1,0)+1,LARGE(A$3:A292,1))</f>
        <v/>
      </c>
      <c r="B293" s="34">
        <f>IF(H293="UNIDADE CONSTRUTIVA",0,IF(H293="CÉLULA CONSTRUTIVA",OFFSET(B293,-1,0)+1,OFFSET(B293,-1,0)))</f>
        <v/>
      </c>
      <c r="C293" s="34">
        <f>IF(H293="CÉLULA CONSTRUTIVA",0,IF(H293="ETAPA",OFFSET(C293,-1,0)+1,OFFSET(C293,-1,0)))</f>
        <v/>
      </c>
      <c r="D293" s="35">
        <f>IF(H293="ETAPA",0,IF(H293="SUBETAPA",OFFSET(D293,-1,0)+1,OFFSET(D293,-1,0)))</f>
        <v/>
      </c>
      <c r="E293" s="35">
        <f>IF(H293="Subetapa",0,IF(H293="serviço",OFFSET(E293,-1,0)+1,OFFSET(E293,-1,0)))</f>
        <v/>
      </c>
      <c r="F293" s="56" t="n"/>
      <c r="G293" s="1" t="n"/>
      <c r="H293" s="1" t="n"/>
      <c r="I293" s="1" t="n"/>
      <c r="J293" s="64" t="n"/>
      <c r="K293" s="52" t="n"/>
      <c r="L293" s="58" t="n"/>
      <c r="M293" s="58" t="n"/>
      <c r="N293" s="70" t="n"/>
      <c r="O293" s="56" t="n"/>
      <c r="P293" s="1" t="n"/>
      <c r="Q293" s="1" t="n"/>
    </row>
    <row r="294">
      <c r="A294" s="34">
        <f>IF($H294="UNIDADE CONSTRUTIVA",OFFSET(A294,-1,0)+1,LARGE(A$3:A293,1))</f>
        <v/>
      </c>
      <c r="B294" s="34">
        <f>IF(H294="UNIDADE CONSTRUTIVA",0,IF(H294="CÉLULA CONSTRUTIVA",OFFSET(B294,-1,0)+1,OFFSET(B294,-1,0)))</f>
        <v/>
      </c>
      <c r="C294" s="34">
        <f>IF(H294="CÉLULA CONSTRUTIVA",0,IF(H294="ETAPA",OFFSET(C294,-1,0)+1,OFFSET(C294,-1,0)))</f>
        <v/>
      </c>
      <c r="D294" s="35">
        <f>IF(H294="ETAPA",0,IF(H294="SUBETAPA",OFFSET(D294,-1,0)+1,OFFSET(D294,-1,0)))</f>
        <v/>
      </c>
      <c r="E294" s="35">
        <f>IF(H294="Subetapa",0,IF(H294="serviço",OFFSET(E294,-1,0)+1,OFFSET(E294,-1,0)))</f>
        <v/>
      </c>
      <c r="F294" s="56" t="n"/>
      <c r="G294" s="1" t="n"/>
      <c r="H294" s="1" t="n"/>
      <c r="I294" s="1" t="n"/>
      <c r="J294" s="64" t="n"/>
      <c r="K294" s="52" t="n"/>
      <c r="L294" s="58" t="n"/>
      <c r="M294" s="58" t="n"/>
      <c r="N294" s="70" t="n"/>
      <c r="O294" s="56" t="n"/>
      <c r="P294" s="1" t="n"/>
      <c r="Q294" s="1" t="n"/>
    </row>
    <row r="295">
      <c r="A295" s="34">
        <f>IF($H295="UNIDADE CONSTRUTIVA",OFFSET(A295,-1,0)+1,LARGE(A$3:A294,1))</f>
        <v/>
      </c>
      <c r="B295" s="34">
        <f>IF(H295="UNIDADE CONSTRUTIVA",0,IF(H295="CÉLULA CONSTRUTIVA",OFFSET(B295,-1,0)+1,OFFSET(B295,-1,0)))</f>
        <v/>
      </c>
      <c r="C295" s="34">
        <f>IF(H295="CÉLULA CONSTRUTIVA",0,IF(H295="ETAPA",OFFSET(C295,-1,0)+1,OFFSET(C295,-1,0)))</f>
        <v/>
      </c>
      <c r="D295" s="35">
        <f>IF(H295="ETAPA",0,IF(H295="SUBETAPA",OFFSET(D295,-1,0)+1,OFFSET(D295,-1,0)))</f>
        <v/>
      </c>
      <c r="E295" s="35">
        <f>IF(H295="Subetapa",0,IF(H295="serviço",OFFSET(E295,-1,0)+1,OFFSET(E295,-1,0)))</f>
        <v/>
      </c>
      <c r="F295" s="56" t="n"/>
      <c r="G295" s="1" t="n"/>
      <c r="H295" s="1" t="n"/>
      <c r="I295" s="1" t="n"/>
      <c r="J295" s="64" t="n"/>
      <c r="K295" s="52" t="n"/>
      <c r="L295" s="58" t="n"/>
      <c r="M295" s="58" t="n"/>
      <c r="N295" s="70" t="n"/>
      <c r="O295" s="56" t="n"/>
      <c r="P295" s="1" t="n"/>
      <c r="Q295" s="1" t="n"/>
    </row>
    <row r="296">
      <c r="A296" s="34">
        <f>IF($H296="UNIDADE CONSTRUTIVA",OFFSET(A296,-1,0)+1,LARGE(A$3:A295,1))</f>
        <v/>
      </c>
      <c r="B296" s="34">
        <f>IF(H296="UNIDADE CONSTRUTIVA",0,IF(H296="CÉLULA CONSTRUTIVA",OFFSET(B296,-1,0)+1,OFFSET(B296,-1,0)))</f>
        <v/>
      </c>
      <c r="C296" s="34">
        <f>IF(H296="CÉLULA CONSTRUTIVA",0,IF(H296="ETAPA",OFFSET(C296,-1,0)+1,OFFSET(C296,-1,0)))</f>
        <v/>
      </c>
      <c r="D296" s="35">
        <f>IF(H296="ETAPA",0,IF(H296="SUBETAPA",OFFSET(D296,-1,0)+1,OFFSET(D296,-1,0)))</f>
        <v/>
      </c>
      <c r="E296" s="35">
        <f>IF(H296="Subetapa",0,IF(H296="serviço",OFFSET(E296,-1,0)+1,OFFSET(E296,-1,0)))</f>
        <v/>
      </c>
      <c r="F296" s="56" t="n"/>
      <c r="G296" s="1" t="n"/>
      <c r="H296" s="1" t="n"/>
      <c r="I296" s="1" t="n"/>
      <c r="J296" s="64" t="n"/>
      <c r="K296" s="52" t="n"/>
      <c r="L296" s="58" t="n"/>
      <c r="M296" s="58" t="n"/>
      <c r="N296" s="70" t="n"/>
      <c r="O296" s="56" t="n"/>
      <c r="P296" s="1" t="n"/>
      <c r="Q296" s="1" t="n"/>
    </row>
    <row r="297">
      <c r="A297" s="34">
        <f>IF($H297="UNIDADE CONSTRUTIVA",OFFSET(A297,-1,0)+1,LARGE(A$3:A296,1))</f>
        <v/>
      </c>
      <c r="B297" s="34">
        <f>IF(H297="UNIDADE CONSTRUTIVA",0,IF(H297="CÉLULA CONSTRUTIVA",OFFSET(B297,-1,0)+1,OFFSET(B297,-1,0)))</f>
        <v/>
      </c>
      <c r="C297" s="34">
        <f>IF(H297="CÉLULA CONSTRUTIVA",0,IF(H297="ETAPA",OFFSET(C297,-1,0)+1,OFFSET(C297,-1,0)))</f>
        <v/>
      </c>
      <c r="D297" s="35">
        <f>IF(H297="ETAPA",0,IF(H297="SUBETAPA",OFFSET(D297,-1,0)+1,OFFSET(D297,-1,0)))</f>
        <v/>
      </c>
      <c r="E297" s="35">
        <f>IF(H297="Subetapa",0,IF(H297="serviço",OFFSET(E297,-1,0)+1,OFFSET(E297,-1,0)))</f>
        <v/>
      </c>
      <c r="F297" s="56" t="n"/>
      <c r="G297" s="1" t="n"/>
      <c r="H297" s="1" t="n"/>
      <c r="I297" s="1" t="n"/>
      <c r="J297" s="64" t="n"/>
      <c r="K297" s="52" t="n"/>
      <c r="L297" s="58" t="n"/>
      <c r="M297" s="58" t="n"/>
      <c r="N297" s="70" t="n"/>
      <c r="O297" s="56" t="n"/>
      <c r="P297" s="1" t="n"/>
      <c r="Q297" s="1" t="n"/>
    </row>
    <row r="298">
      <c r="A298" s="34">
        <f>IF($H298="UNIDADE CONSTRUTIVA",OFFSET(A298,-1,0)+1,LARGE(A$3:A297,1))</f>
        <v/>
      </c>
      <c r="B298" s="34">
        <f>IF(H298="UNIDADE CONSTRUTIVA",0,IF(H298="CÉLULA CONSTRUTIVA",OFFSET(B298,-1,0)+1,OFFSET(B298,-1,0)))</f>
        <v/>
      </c>
      <c r="C298" s="34">
        <f>IF(H298="CÉLULA CONSTRUTIVA",0,IF(H298="ETAPA",OFFSET(C298,-1,0)+1,OFFSET(C298,-1,0)))</f>
        <v/>
      </c>
      <c r="D298" s="35">
        <f>IF(H298="ETAPA",0,IF(H298="SUBETAPA",OFFSET(D298,-1,0)+1,OFFSET(D298,-1,0)))</f>
        <v/>
      </c>
      <c r="E298" s="35">
        <f>IF(H298="Subetapa",0,IF(H298="serviço",OFFSET(E298,-1,0)+1,OFFSET(E298,-1,0)))</f>
        <v/>
      </c>
      <c r="F298" s="56" t="n"/>
      <c r="G298" s="1" t="n"/>
      <c r="H298" s="1" t="n"/>
      <c r="I298" s="1" t="n"/>
      <c r="J298" s="64" t="n"/>
      <c r="K298" s="52" t="n"/>
      <c r="L298" s="58" t="n"/>
      <c r="M298" s="58" t="n"/>
      <c r="N298" s="70" t="n"/>
      <c r="O298" s="56" t="n"/>
      <c r="P298" s="1" t="n"/>
      <c r="Q298" s="1" t="n"/>
    </row>
    <row r="299">
      <c r="A299" s="34">
        <f>IF($H299="UNIDADE CONSTRUTIVA",OFFSET(A299,-1,0)+1,LARGE(A$3:A298,1))</f>
        <v/>
      </c>
      <c r="B299" s="34">
        <f>IF(H299="UNIDADE CONSTRUTIVA",0,IF(H299="CÉLULA CONSTRUTIVA",OFFSET(B299,-1,0)+1,OFFSET(B299,-1,0)))</f>
        <v/>
      </c>
      <c r="C299" s="34">
        <f>IF(H299="CÉLULA CONSTRUTIVA",0,IF(H299="ETAPA",OFFSET(C299,-1,0)+1,OFFSET(C299,-1,0)))</f>
        <v/>
      </c>
      <c r="D299" s="35">
        <f>IF(H299="ETAPA",0,IF(H299="SUBETAPA",OFFSET(D299,-1,0)+1,OFFSET(D299,-1,0)))</f>
        <v/>
      </c>
      <c r="E299" s="35">
        <f>IF(H299="Subetapa",0,IF(H299="serviço",OFFSET(E299,-1,0)+1,OFFSET(E299,-1,0)))</f>
        <v/>
      </c>
      <c r="F299" s="56" t="n"/>
      <c r="G299" s="1" t="n"/>
      <c r="H299" s="1" t="n"/>
      <c r="I299" s="1" t="n"/>
      <c r="J299" s="64" t="n"/>
      <c r="K299" s="52" t="n"/>
      <c r="L299" s="58" t="n"/>
      <c r="M299" s="58" t="n"/>
      <c r="N299" s="70" t="n"/>
      <c r="O299" s="56" t="n"/>
      <c r="P299" s="1" t="n"/>
      <c r="Q299" s="1" t="n"/>
    </row>
    <row r="300">
      <c r="A300" s="34">
        <f>IF($H300="UNIDADE CONSTRUTIVA",OFFSET(A300,-1,0)+1,LARGE(A$3:A299,1))</f>
        <v/>
      </c>
      <c r="B300" s="34">
        <f>IF(H300="UNIDADE CONSTRUTIVA",0,IF(H300="CÉLULA CONSTRUTIVA",OFFSET(B300,-1,0)+1,OFFSET(B300,-1,0)))</f>
        <v/>
      </c>
      <c r="C300" s="34">
        <f>IF(H300="CÉLULA CONSTRUTIVA",0,IF(H300="ETAPA",OFFSET(C300,-1,0)+1,OFFSET(C300,-1,0)))</f>
        <v/>
      </c>
      <c r="D300" s="35">
        <f>IF(H300="ETAPA",0,IF(H300="SUBETAPA",OFFSET(D300,-1,0)+1,OFFSET(D300,-1,0)))</f>
        <v/>
      </c>
      <c r="E300" s="35">
        <f>IF(H300="Subetapa",0,IF(H300="serviço",OFFSET(E300,-1,0)+1,OFFSET(E300,-1,0)))</f>
        <v/>
      </c>
      <c r="F300" s="56" t="n"/>
      <c r="G300" s="1" t="n"/>
      <c r="H300" s="1" t="n"/>
      <c r="I300" s="1" t="n"/>
      <c r="J300" s="64" t="n"/>
      <c r="K300" s="52" t="n"/>
      <c r="L300" s="58" t="n"/>
      <c r="M300" s="58" t="n"/>
      <c r="N300" s="70" t="n"/>
      <c r="O300" s="56" t="n"/>
      <c r="P300" s="1" t="n"/>
      <c r="Q300" s="1" t="n"/>
    </row>
    <row r="301">
      <c r="A301" s="34">
        <f>IF($H301="UNIDADE CONSTRUTIVA",OFFSET(A301,-1,0)+1,LARGE(A$3:A300,1))</f>
        <v/>
      </c>
      <c r="B301" s="34">
        <f>IF(H301="UNIDADE CONSTRUTIVA",0,IF(H301="CÉLULA CONSTRUTIVA",OFFSET(B301,-1,0)+1,OFFSET(B301,-1,0)))</f>
        <v/>
      </c>
      <c r="C301" s="34">
        <f>IF(H301="CÉLULA CONSTRUTIVA",0,IF(H301="ETAPA",OFFSET(C301,-1,0)+1,OFFSET(C301,-1,0)))</f>
        <v/>
      </c>
      <c r="D301" s="35">
        <f>IF(H301="ETAPA",0,IF(H301="SUBETAPA",OFFSET(D301,-1,0)+1,OFFSET(D301,-1,0)))</f>
        <v/>
      </c>
      <c r="E301" s="35">
        <f>IF(H301="Subetapa",0,IF(H301="serviço",OFFSET(E301,-1,0)+1,OFFSET(E301,-1,0)))</f>
        <v/>
      </c>
      <c r="F301" s="56" t="n"/>
      <c r="G301" s="1" t="n"/>
      <c r="H301" s="1" t="n"/>
      <c r="I301" s="1" t="n"/>
      <c r="J301" s="64" t="n"/>
      <c r="K301" s="52" t="n"/>
      <c r="L301" s="58" t="n"/>
      <c r="M301" s="58" t="n"/>
      <c r="N301" s="70" t="n"/>
      <c r="O301" s="56" t="n"/>
      <c r="P301" s="1" t="n"/>
      <c r="Q301" s="1" t="n"/>
    </row>
    <row r="302">
      <c r="A302" s="34">
        <f>IF($H302="UNIDADE CONSTRUTIVA",OFFSET(A302,-1,0)+1,LARGE(A$3:A301,1))</f>
        <v/>
      </c>
      <c r="B302" s="34">
        <f>IF(H302="UNIDADE CONSTRUTIVA",0,IF(H302="CÉLULA CONSTRUTIVA",OFFSET(B302,-1,0)+1,OFFSET(B302,-1,0)))</f>
        <v/>
      </c>
      <c r="C302" s="34">
        <f>IF(H302="CÉLULA CONSTRUTIVA",0,IF(H302="ETAPA",OFFSET(C302,-1,0)+1,OFFSET(C302,-1,0)))</f>
        <v/>
      </c>
      <c r="D302" s="35">
        <f>IF(H302="ETAPA",0,IF(H302="SUBETAPA",OFFSET(D302,-1,0)+1,OFFSET(D302,-1,0)))</f>
        <v/>
      </c>
      <c r="E302" s="35">
        <f>IF(H302="Subetapa",0,IF(H302="serviço",OFFSET(E302,-1,0)+1,OFFSET(E302,-1,0)))</f>
        <v/>
      </c>
      <c r="F302" s="56" t="n"/>
      <c r="G302" s="1" t="n"/>
      <c r="H302" s="1" t="n"/>
      <c r="I302" s="1" t="n"/>
      <c r="J302" s="64" t="n"/>
      <c r="K302" s="52" t="n"/>
      <c r="L302" s="58" t="n"/>
      <c r="M302" s="58" t="n"/>
      <c r="N302" s="70" t="n"/>
      <c r="O302" s="56" t="n"/>
      <c r="P302" s="1" t="n"/>
      <c r="Q302" s="1" t="n"/>
    </row>
    <row r="303">
      <c r="A303" s="34">
        <f>IF($H303="UNIDADE CONSTRUTIVA",OFFSET(A303,-1,0)+1,LARGE(A$3:A302,1))</f>
        <v/>
      </c>
      <c r="B303" s="34">
        <f>IF(H303="UNIDADE CONSTRUTIVA",0,IF(H303="CÉLULA CONSTRUTIVA",OFFSET(B303,-1,0)+1,OFFSET(B303,-1,0)))</f>
        <v/>
      </c>
      <c r="C303" s="34">
        <f>IF(H303="CÉLULA CONSTRUTIVA",0,IF(H303="ETAPA",OFFSET(C303,-1,0)+1,OFFSET(C303,-1,0)))</f>
        <v/>
      </c>
      <c r="D303" s="35">
        <f>IF(H303="ETAPA",0,IF(H303="SUBETAPA",OFFSET(D303,-1,0)+1,OFFSET(D303,-1,0)))</f>
        <v/>
      </c>
      <c r="E303" s="35">
        <f>IF(H303="Subetapa",0,IF(H303="serviço",OFFSET(E303,-1,0)+1,OFFSET(E303,-1,0)))</f>
        <v/>
      </c>
      <c r="F303" s="56" t="n"/>
      <c r="G303" s="1" t="n"/>
      <c r="H303" s="1" t="n"/>
      <c r="I303" s="1" t="n"/>
      <c r="J303" s="64" t="n"/>
      <c r="K303" s="52" t="n"/>
      <c r="L303" s="58" t="n"/>
      <c r="M303" s="58" t="n"/>
      <c r="N303" s="70" t="n"/>
      <c r="O303" s="56" t="n"/>
      <c r="P303" s="1" t="n"/>
      <c r="Q303" s="1" t="n"/>
    </row>
    <row r="304">
      <c r="A304" s="34">
        <f>IF($H304="UNIDADE CONSTRUTIVA",OFFSET(A304,-1,0)+1,LARGE(A$3:A303,1))</f>
        <v/>
      </c>
      <c r="B304" s="34">
        <f>IF(H304="UNIDADE CONSTRUTIVA",0,IF(H304="CÉLULA CONSTRUTIVA",OFFSET(B304,-1,0)+1,OFFSET(B304,-1,0)))</f>
        <v/>
      </c>
      <c r="C304" s="34">
        <f>IF(H304="CÉLULA CONSTRUTIVA",0,IF(H304="ETAPA",OFFSET(C304,-1,0)+1,OFFSET(C304,-1,0)))</f>
        <v/>
      </c>
      <c r="D304" s="35">
        <f>IF(H304="ETAPA",0,IF(H304="SUBETAPA",OFFSET(D304,-1,0)+1,OFFSET(D304,-1,0)))</f>
        <v/>
      </c>
      <c r="E304" s="35">
        <f>IF(H304="Subetapa",0,IF(H304="serviço",OFFSET(E304,-1,0)+1,OFFSET(E304,-1,0)))</f>
        <v/>
      </c>
      <c r="F304" s="56" t="n"/>
      <c r="G304" s="1" t="n"/>
      <c r="H304" s="1" t="n"/>
      <c r="I304" s="1" t="n"/>
      <c r="J304" s="64" t="n"/>
      <c r="K304" s="52" t="n"/>
      <c r="L304" s="58" t="n"/>
      <c r="M304" s="58" t="n"/>
      <c r="N304" s="70" t="n"/>
      <c r="O304" s="56" t="n"/>
      <c r="P304" s="1" t="n"/>
      <c r="Q304" s="1" t="n"/>
    </row>
    <row r="305">
      <c r="A305" s="34">
        <f>IF($H305="UNIDADE CONSTRUTIVA",OFFSET(A305,-1,0)+1,LARGE(A$3:A304,1))</f>
        <v/>
      </c>
      <c r="B305" s="34">
        <f>IF(H305="UNIDADE CONSTRUTIVA",0,IF(H305="CÉLULA CONSTRUTIVA",OFFSET(B305,-1,0)+1,OFFSET(B305,-1,0)))</f>
        <v/>
      </c>
      <c r="C305" s="34">
        <f>IF(H305="CÉLULA CONSTRUTIVA",0,IF(H305="ETAPA",OFFSET(C305,-1,0)+1,OFFSET(C305,-1,0)))</f>
        <v/>
      </c>
      <c r="D305" s="35">
        <f>IF(H305="ETAPA",0,IF(H305="SUBETAPA",OFFSET(D305,-1,0)+1,OFFSET(D305,-1,0)))</f>
        <v/>
      </c>
      <c r="E305" s="35">
        <f>IF(H305="Subetapa",0,IF(H305="serviço",OFFSET(E305,-1,0)+1,OFFSET(E305,-1,0)))</f>
        <v/>
      </c>
      <c r="F305" s="56" t="n"/>
      <c r="G305" s="1" t="n"/>
      <c r="H305" s="1" t="n"/>
      <c r="I305" s="1" t="n"/>
      <c r="J305" s="64" t="n"/>
      <c r="K305" s="52" t="n"/>
      <c r="L305" s="58" t="n"/>
      <c r="M305" s="58" t="n"/>
      <c r="N305" s="70" t="n"/>
      <c r="O305" s="56" t="n"/>
      <c r="P305" s="1" t="n"/>
      <c r="Q305" s="1" t="n"/>
    </row>
    <row r="306">
      <c r="A306" s="34">
        <f>IF($H306="UNIDADE CONSTRUTIVA",OFFSET(A306,-1,0)+1,LARGE(A$3:A305,1))</f>
        <v/>
      </c>
      <c r="B306" s="34">
        <f>IF(H306="UNIDADE CONSTRUTIVA",0,IF(H306="CÉLULA CONSTRUTIVA",OFFSET(B306,-1,0)+1,OFFSET(B306,-1,0)))</f>
        <v/>
      </c>
      <c r="C306" s="34">
        <f>IF(H306="CÉLULA CONSTRUTIVA",0,IF(H306="ETAPA",OFFSET(C306,-1,0)+1,OFFSET(C306,-1,0)))</f>
        <v/>
      </c>
      <c r="D306" s="35">
        <f>IF(H306="ETAPA",0,IF(H306="SUBETAPA",OFFSET(D306,-1,0)+1,OFFSET(D306,-1,0)))</f>
        <v/>
      </c>
      <c r="E306" s="35">
        <f>IF(H306="Subetapa",0,IF(H306="serviço",OFFSET(E306,-1,0)+1,OFFSET(E306,-1,0)))</f>
        <v/>
      </c>
      <c r="F306" s="56" t="n"/>
      <c r="G306" s="1" t="n"/>
      <c r="H306" s="1" t="n"/>
      <c r="I306" s="1" t="n"/>
      <c r="J306" s="64" t="n"/>
      <c r="K306" s="52" t="n"/>
      <c r="L306" s="58" t="n"/>
      <c r="M306" s="58" t="n"/>
      <c r="N306" s="70" t="n"/>
      <c r="O306" s="56" t="n"/>
      <c r="P306" s="1" t="n"/>
      <c r="Q306" s="1" t="n"/>
    </row>
    <row r="307">
      <c r="A307" s="34">
        <f>IF($H307="UNIDADE CONSTRUTIVA",OFFSET(A307,-1,0)+1,LARGE(A$3:A306,1))</f>
        <v/>
      </c>
      <c r="B307" s="34">
        <f>IF(H307="UNIDADE CONSTRUTIVA",0,IF(H307="CÉLULA CONSTRUTIVA",OFFSET(B307,-1,0)+1,OFFSET(B307,-1,0)))</f>
        <v/>
      </c>
      <c r="C307" s="34">
        <f>IF(H307="CÉLULA CONSTRUTIVA",0,IF(H307="ETAPA",OFFSET(C307,-1,0)+1,OFFSET(C307,-1,0)))</f>
        <v/>
      </c>
      <c r="D307" s="35">
        <f>IF(H307="ETAPA",0,IF(H307="SUBETAPA",OFFSET(D307,-1,0)+1,OFFSET(D307,-1,0)))</f>
        <v/>
      </c>
      <c r="E307" s="35">
        <f>IF(H307="Subetapa",0,IF(H307="serviço",OFFSET(E307,-1,0)+1,OFFSET(E307,-1,0)))</f>
        <v/>
      </c>
      <c r="F307" s="56" t="n"/>
      <c r="G307" s="1" t="n"/>
      <c r="H307" s="1" t="n"/>
      <c r="I307" s="1" t="n"/>
      <c r="J307" s="64" t="n"/>
      <c r="K307" s="52" t="n"/>
      <c r="L307" s="58" t="n"/>
      <c r="M307" s="58" t="n"/>
      <c r="N307" s="70" t="n"/>
      <c r="O307" s="56" t="n"/>
      <c r="P307" s="1" t="n"/>
      <c r="Q307" s="1" t="n"/>
    </row>
    <row r="308">
      <c r="A308" s="34">
        <f>IF($H308="UNIDADE CONSTRUTIVA",OFFSET(A308,-1,0)+1,LARGE(A$3:A307,1))</f>
        <v/>
      </c>
      <c r="B308" s="34">
        <f>IF(H308="UNIDADE CONSTRUTIVA",0,IF(H308="CÉLULA CONSTRUTIVA",OFFSET(B308,-1,0)+1,OFFSET(B308,-1,0)))</f>
        <v/>
      </c>
      <c r="C308" s="34">
        <f>IF(H308="CÉLULA CONSTRUTIVA",0,IF(H308="ETAPA",OFFSET(C308,-1,0)+1,OFFSET(C308,-1,0)))</f>
        <v/>
      </c>
      <c r="D308" s="35">
        <f>IF(H308="ETAPA",0,IF(H308="SUBETAPA",OFFSET(D308,-1,0)+1,OFFSET(D308,-1,0)))</f>
        <v/>
      </c>
      <c r="E308" s="35">
        <f>IF(H308="Subetapa",0,IF(H308="serviço",OFFSET(E308,-1,0)+1,OFFSET(E308,-1,0)))</f>
        <v/>
      </c>
      <c r="F308" s="56" t="n"/>
      <c r="G308" s="1" t="n"/>
      <c r="H308" s="1" t="n"/>
      <c r="I308" s="1" t="n"/>
      <c r="J308" s="64" t="n"/>
      <c r="K308" s="52" t="n"/>
      <c r="L308" s="58" t="n"/>
      <c r="M308" s="58" t="n"/>
      <c r="N308" s="70" t="n"/>
      <c r="O308" s="56" t="n"/>
      <c r="P308" s="1" t="n"/>
      <c r="Q308" s="1" t="n"/>
    </row>
    <row r="309">
      <c r="A309" s="34">
        <f>IF($H309="UNIDADE CONSTRUTIVA",OFFSET(A309,-1,0)+1,LARGE(A$3:A308,1))</f>
        <v/>
      </c>
      <c r="B309" s="34">
        <f>IF(H309="UNIDADE CONSTRUTIVA",0,IF(H309="CÉLULA CONSTRUTIVA",OFFSET(B309,-1,0)+1,OFFSET(B309,-1,0)))</f>
        <v/>
      </c>
      <c r="C309" s="34">
        <f>IF(H309="CÉLULA CONSTRUTIVA",0,IF(H309="ETAPA",OFFSET(C309,-1,0)+1,OFFSET(C309,-1,0)))</f>
        <v/>
      </c>
      <c r="D309" s="35">
        <f>IF(H309="ETAPA",0,IF(H309="SUBETAPA",OFFSET(D309,-1,0)+1,OFFSET(D309,-1,0)))</f>
        <v/>
      </c>
      <c r="E309" s="35">
        <f>IF(H309="Subetapa",0,IF(H309="serviço",OFFSET(E309,-1,0)+1,OFFSET(E309,-1,0)))</f>
        <v/>
      </c>
      <c r="F309" s="56" t="n"/>
      <c r="G309" s="1" t="n"/>
      <c r="H309" s="1" t="n"/>
      <c r="I309" s="1" t="n"/>
      <c r="J309" s="64" t="n"/>
      <c r="K309" s="52" t="n"/>
      <c r="L309" s="58" t="n"/>
      <c r="M309" s="58" t="n"/>
      <c r="N309" s="70" t="n"/>
      <c r="O309" s="56" t="n"/>
      <c r="P309" s="1" t="n"/>
      <c r="Q309" s="1" t="n"/>
    </row>
    <row r="310">
      <c r="A310" s="34">
        <f>IF($H310="UNIDADE CONSTRUTIVA",OFFSET(A310,-1,0)+1,LARGE(A$3:A309,1))</f>
        <v/>
      </c>
      <c r="B310" s="34">
        <f>IF(H310="UNIDADE CONSTRUTIVA",0,IF(H310="CÉLULA CONSTRUTIVA",OFFSET(B310,-1,0)+1,OFFSET(B310,-1,0)))</f>
        <v/>
      </c>
      <c r="C310" s="34">
        <f>IF(H310="CÉLULA CONSTRUTIVA",0,IF(H310="ETAPA",OFFSET(C310,-1,0)+1,OFFSET(C310,-1,0)))</f>
        <v/>
      </c>
      <c r="D310" s="35">
        <f>IF(H310="ETAPA",0,IF(H310="SUBETAPA",OFFSET(D310,-1,0)+1,OFFSET(D310,-1,0)))</f>
        <v/>
      </c>
      <c r="E310" s="35">
        <f>IF(H310="Subetapa",0,IF(H310="serviço",OFFSET(E310,-1,0)+1,OFFSET(E310,-1,0)))</f>
        <v/>
      </c>
      <c r="F310" s="56" t="n"/>
      <c r="G310" s="1" t="n"/>
      <c r="H310" s="1" t="n"/>
      <c r="I310" s="1" t="n"/>
      <c r="J310" s="64" t="n"/>
      <c r="K310" s="52" t="n"/>
      <c r="L310" s="58" t="n"/>
      <c r="M310" s="58" t="n"/>
      <c r="N310" s="70" t="n"/>
      <c r="O310" s="56" t="n"/>
      <c r="P310" s="1" t="n"/>
      <c r="Q310" s="1" t="n"/>
    </row>
    <row r="311">
      <c r="A311" s="34">
        <f>IF($H311="UNIDADE CONSTRUTIVA",OFFSET(A311,-1,0)+1,LARGE(A$3:A310,1))</f>
        <v/>
      </c>
      <c r="B311" s="34">
        <f>IF(H311="UNIDADE CONSTRUTIVA",0,IF(H311="CÉLULA CONSTRUTIVA",OFFSET(B311,-1,0)+1,OFFSET(B311,-1,0)))</f>
        <v/>
      </c>
      <c r="C311" s="34">
        <f>IF(H311="CÉLULA CONSTRUTIVA",0,IF(H311="ETAPA",OFFSET(C311,-1,0)+1,OFFSET(C311,-1,0)))</f>
        <v/>
      </c>
      <c r="D311" s="35">
        <f>IF(H311="ETAPA",0,IF(H311="SUBETAPA",OFFSET(D311,-1,0)+1,OFFSET(D311,-1,0)))</f>
        <v/>
      </c>
      <c r="E311" s="35">
        <f>IF(H311="Subetapa",0,IF(H311="serviço",OFFSET(E311,-1,0)+1,OFFSET(E311,-1,0)))</f>
        <v/>
      </c>
      <c r="F311" s="56" t="n"/>
      <c r="G311" s="1" t="n"/>
      <c r="H311" s="1" t="n"/>
      <c r="I311" s="1" t="n"/>
      <c r="J311" s="64" t="n"/>
      <c r="K311" s="52" t="n"/>
      <c r="L311" s="58" t="n"/>
      <c r="M311" s="58" t="n"/>
      <c r="N311" s="70" t="n"/>
      <c r="O311" s="56" t="n"/>
      <c r="P311" s="1" t="n"/>
      <c r="Q311" s="1" t="n"/>
    </row>
    <row r="312">
      <c r="A312" s="34">
        <f>IF($H312="UNIDADE CONSTRUTIVA",OFFSET(A312,-1,0)+1,LARGE(A$3:A311,1))</f>
        <v/>
      </c>
      <c r="B312" s="34">
        <f>IF(H312="UNIDADE CONSTRUTIVA",0,IF(H312="CÉLULA CONSTRUTIVA",OFFSET(B312,-1,0)+1,OFFSET(B312,-1,0)))</f>
        <v/>
      </c>
      <c r="C312" s="34">
        <f>IF(H312="CÉLULA CONSTRUTIVA",0,IF(H312="ETAPA",OFFSET(C312,-1,0)+1,OFFSET(C312,-1,0)))</f>
        <v/>
      </c>
      <c r="D312" s="35">
        <f>IF(H312="ETAPA",0,IF(H312="SUBETAPA",OFFSET(D312,-1,0)+1,OFFSET(D312,-1,0)))</f>
        <v/>
      </c>
      <c r="E312" s="35">
        <f>IF(H312="Subetapa",0,IF(H312="serviço",OFFSET(E312,-1,0)+1,OFFSET(E312,-1,0)))</f>
        <v/>
      </c>
      <c r="F312" s="56" t="n"/>
      <c r="G312" s="1" t="n"/>
      <c r="H312" s="1" t="n"/>
      <c r="I312" s="1" t="n"/>
      <c r="J312" s="64" t="n"/>
      <c r="K312" s="52" t="n"/>
      <c r="L312" s="58" t="n"/>
      <c r="M312" s="58" t="n"/>
      <c r="N312" s="70" t="n"/>
      <c r="O312" s="56" t="n"/>
      <c r="P312" s="1" t="n"/>
      <c r="Q312" s="1" t="n"/>
    </row>
    <row r="313">
      <c r="A313" s="34">
        <f>IF($H313="UNIDADE CONSTRUTIVA",OFFSET(A313,-1,0)+1,LARGE(A$3:A312,1))</f>
        <v/>
      </c>
      <c r="B313" s="34">
        <f>IF(H313="UNIDADE CONSTRUTIVA",0,IF(H313="CÉLULA CONSTRUTIVA",OFFSET(B313,-1,0)+1,OFFSET(B313,-1,0)))</f>
        <v/>
      </c>
      <c r="C313" s="34">
        <f>IF(H313="CÉLULA CONSTRUTIVA",0,IF(H313="ETAPA",OFFSET(C313,-1,0)+1,OFFSET(C313,-1,0)))</f>
        <v/>
      </c>
      <c r="D313" s="35">
        <f>IF(H313="ETAPA",0,IF(H313="SUBETAPA",OFFSET(D313,-1,0)+1,OFFSET(D313,-1,0)))</f>
        <v/>
      </c>
      <c r="E313" s="35">
        <f>IF(H313="Subetapa",0,IF(H313="serviço",OFFSET(E313,-1,0)+1,OFFSET(E313,-1,0)))</f>
        <v/>
      </c>
      <c r="F313" s="56" t="n"/>
      <c r="G313" s="1" t="n"/>
      <c r="H313" s="1" t="n"/>
      <c r="I313" s="1" t="n"/>
      <c r="J313" s="64" t="n"/>
      <c r="K313" s="52" t="n"/>
      <c r="L313" s="58" t="n"/>
      <c r="M313" s="58" t="n"/>
      <c r="N313" s="70" t="n"/>
      <c r="O313" s="56" t="n"/>
      <c r="P313" s="1" t="n"/>
      <c r="Q313" s="1" t="n"/>
    </row>
    <row r="314">
      <c r="A314" s="34">
        <f>IF($H314="UNIDADE CONSTRUTIVA",OFFSET(A314,-1,0)+1,LARGE(A$3:A313,1))</f>
        <v/>
      </c>
      <c r="B314" s="34">
        <f>IF(H314="UNIDADE CONSTRUTIVA",0,IF(H314="CÉLULA CONSTRUTIVA",OFFSET(B314,-1,0)+1,OFFSET(B314,-1,0)))</f>
        <v/>
      </c>
      <c r="C314" s="34">
        <f>IF(H314="CÉLULA CONSTRUTIVA",0,IF(H314="ETAPA",OFFSET(C314,-1,0)+1,OFFSET(C314,-1,0)))</f>
        <v/>
      </c>
      <c r="D314" s="35">
        <f>IF(H314="ETAPA",0,IF(H314="SUBETAPA",OFFSET(D314,-1,0)+1,OFFSET(D314,-1,0)))</f>
        <v/>
      </c>
      <c r="E314" s="35">
        <f>IF(H314="Subetapa",0,IF(H314="serviço",OFFSET(E314,-1,0)+1,OFFSET(E314,-1,0)))</f>
        <v/>
      </c>
      <c r="F314" s="56" t="n"/>
      <c r="G314" s="1" t="n"/>
      <c r="H314" s="1" t="n"/>
      <c r="I314" s="1" t="n"/>
      <c r="J314" s="64" t="n"/>
      <c r="K314" s="52" t="n"/>
      <c r="L314" s="58" t="n"/>
      <c r="M314" s="58" t="n"/>
      <c r="N314" s="70" t="n"/>
      <c r="O314" s="56" t="n"/>
      <c r="P314" s="1" t="n"/>
      <c r="Q314" s="1" t="n"/>
    </row>
    <row r="315">
      <c r="A315" s="34">
        <f>IF($H315="UNIDADE CONSTRUTIVA",OFFSET(A315,-1,0)+1,LARGE(A$3:A314,1))</f>
        <v/>
      </c>
      <c r="B315" s="34">
        <f>IF(H315="UNIDADE CONSTRUTIVA",0,IF(H315="CÉLULA CONSTRUTIVA",OFFSET(B315,-1,0)+1,OFFSET(B315,-1,0)))</f>
        <v/>
      </c>
      <c r="C315" s="34">
        <f>IF(H315="CÉLULA CONSTRUTIVA",0,IF(H315="ETAPA",OFFSET(C315,-1,0)+1,OFFSET(C315,-1,0)))</f>
        <v/>
      </c>
      <c r="D315" s="35">
        <f>IF(H315="ETAPA",0,IF(H315="SUBETAPA",OFFSET(D315,-1,0)+1,OFFSET(D315,-1,0)))</f>
        <v/>
      </c>
      <c r="E315" s="35">
        <f>IF(H315="Subetapa",0,IF(H315="serviço",OFFSET(E315,-1,0)+1,OFFSET(E315,-1,0)))</f>
        <v/>
      </c>
      <c r="F315" s="56" t="n"/>
      <c r="G315" s="1" t="n"/>
      <c r="H315" s="1" t="n"/>
      <c r="I315" s="1" t="n"/>
      <c r="J315" s="64" t="n"/>
      <c r="K315" s="52" t="n"/>
      <c r="L315" s="58" t="n"/>
      <c r="M315" s="58" t="n"/>
      <c r="N315" s="70" t="n"/>
      <c r="O315" s="56" t="n"/>
      <c r="P315" s="1" t="n"/>
      <c r="Q315" s="1" t="n"/>
    </row>
    <row r="316">
      <c r="A316" s="34">
        <f>IF($H316="UNIDADE CONSTRUTIVA",OFFSET(A316,-1,0)+1,LARGE(A$3:A315,1))</f>
        <v/>
      </c>
      <c r="B316" s="34">
        <f>IF(H316="UNIDADE CONSTRUTIVA",0,IF(H316="CÉLULA CONSTRUTIVA",OFFSET(B316,-1,0)+1,OFFSET(B316,-1,0)))</f>
        <v/>
      </c>
      <c r="C316" s="34">
        <f>IF(H316="CÉLULA CONSTRUTIVA",0,IF(H316="ETAPA",OFFSET(C316,-1,0)+1,OFFSET(C316,-1,0)))</f>
        <v/>
      </c>
      <c r="D316" s="35">
        <f>IF(H316="ETAPA",0,IF(H316="SUBETAPA",OFFSET(D316,-1,0)+1,OFFSET(D316,-1,0)))</f>
        <v/>
      </c>
      <c r="E316" s="35">
        <f>IF(H316="Subetapa",0,IF(H316="serviço",OFFSET(E316,-1,0)+1,OFFSET(E316,-1,0)))</f>
        <v/>
      </c>
      <c r="F316" s="56" t="n"/>
      <c r="G316" s="1" t="n"/>
      <c r="H316" s="1" t="n"/>
      <c r="I316" s="1" t="n"/>
      <c r="J316" s="64" t="n"/>
      <c r="K316" s="52" t="n"/>
      <c r="L316" s="58" t="n"/>
      <c r="M316" s="58" t="n"/>
      <c r="N316" s="70" t="n"/>
      <c r="O316" s="56" t="n"/>
      <c r="P316" s="1" t="n"/>
      <c r="Q316" s="1" t="n"/>
    </row>
    <row r="317">
      <c r="A317" s="34">
        <f>IF($H317="UNIDADE CONSTRUTIVA",OFFSET(A317,-1,0)+1,LARGE(A$3:A316,1))</f>
        <v/>
      </c>
      <c r="B317" s="34">
        <f>IF(H317="UNIDADE CONSTRUTIVA",0,IF(H317="CÉLULA CONSTRUTIVA",OFFSET(B317,-1,0)+1,OFFSET(B317,-1,0)))</f>
        <v/>
      </c>
      <c r="C317" s="34">
        <f>IF(H317="CÉLULA CONSTRUTIVA",0,IF(H317="ETAPA",OFFSET(C317,-1,0)+1,OFFSET(C317,-1,0)))</f>
        <v/>
      </c>
      <c r="D317" s="35">
        <f>IF(H317="ETAPA",0,IF(H317="SUBETAPA",OFFSET(D317,-1,0)+1,OFFSET(D317,-1,0)))</f>
        <v/>
      </c>
      <c r="E317" s="35">
        <f>IF(H317="Subetapa",0,IF(H317="serviço",OFFSET(E317,-1,0)+1,OFFSET(E317,-1,0)))</f>
        <v/>
      </c>
      <c r="F317" s="56" t="n"/>
      <c r="G317" s="1" t="n"/>
      <c r="H317" s="1" t="n"/>
      <c r="I317" s="1" t="n"/>
      <c r="J317" s="64" t="n"/>
      <c r="K317" s="52" t="n"/>
      <c r="L317" s="58" t="n"/>
      <c r="M317" s="58" t="n"/>
      <c r="N317" s="70" t="n"/>
      <c r="O317" s="56" t="n"/>
      <c r="P317" s="1" t="n"/>
      <c r="Q317" s="1" t="n"/>
    </row>
    <row r="318">
      <c r="A318" s="34">
        <f>IF($H318="UNIDADE CONSTRUTIVA",OFFSET(A318,-1,0)+1,LARGE(A$3:A317,1))</f>
        <v/>
      </c>
      <c r="B318" s="34">
        <f>IF(H318="UNIDADE CONSTRUTIVA",0,IF(H318="CÉLULA CONSTRUTIVA",OFFSET(B318,-1,0)+1,OFFSET(B318,-1,0)))</f>
        <v/>
      </c>
      <c r="C318" s="34">
        <f>IF(H318="CÉLULA CONSTRUTIVA",0,IF(H318="ETAPA",OFFSET(C318,-1,0)+1,OFFSET(C318,-1,0)))</f>
        <v/>
      </c>
      <c r="D318" s="35">
        <f>IF(H318="ETAPA",0,IF(H318="SUBETAPA",OFFSET(D318,-1,0)+1,OFFSET(D318,-1,0)))</f>
        <v/>
      </c>
      <c r="E318" s="35">
        <f>IF(H318="Subetapa",0,IF(H318="serviço",OFFSET(E318,-1,0)+1,OFFSET(E318,-1,0)))</f>
        <v/>
      </c>
      <c r="F318" s="56" t="n"/>
      <c r="G318" s="1" t="n"/>
      <c r="H318" s="1" t="n"/>
      <c r="I318" s="1" t="n"/>
      <c r="J318" s="64" t="n"/>
      <c r="K318" s="52" t="n"/>
      <c r="L318" s="58" t="n"/>
      <c r="M318" s="58" t="n"/>
      <c r="N318" s="70" t="n"/>
      <c r="O318" s="56" t="n"/>
      <c r="P318" s="1" t="n"/>
      <c r="Q318" s="1" t="n"/>
    </row>
    <row r="319">
      <c r="A319" s="34">
        <f>IF($H319="UNIDADE CONSTRUTIVA",OFFSET(A319,-1,0)+1,LARGE(A$3:A318,1))</f>
        <v/>
      </c>
      <c r="B319" s="34">
        <f>IF(H319="UNIDADE CONSTRUTIVA",0,IF(H319="CÉLULA CONSTRUTIVA",OFFSET(B319,-1,0)+1,OFFSET(B319,-1,0)))</f>
        <v/>
      </c>
      <c r="C319" s="34">
        <f>IF(H319="CÉLULA CONSTRUTIVA",0,IF(H319="ETAPA",OFFSET(C319,-1,0)+1,OFFSET(C319,-1,0)))</f>
        <v/>
      </c>
      <c r="D319" s="35">
        <f>IF(H319="ETAPA",0,IF(H319="SUBETAPA",OFFSET(D319,-1,0)+1,OFFSET(D319,-1,0)))</f>
        <v/>
      </c>
      <c r="E319" s="35">
        <f>IF(H319="Subetapa",0,IF(H319="serviço",OFFSET(E319,-1,0)+1,OFFSET(E319,-1,0)))</f>
        <v/>
      </c>
      <c r="F319" s="56" t="n"/>
      <c r="G319" s="1" t="n"/>
      <c r="H319" s="1" t="n"/>
      <c r="I319" s="1" t="n"/>
      <c r="J319" s="64" t="n"/>
      <c r="K319" s="52" t="n"/>
      <c r="L319" s="58" t="n"/>
      <c r="M319" s="58" t="n"/>
      <c r="N319" s="70" t="n"/>
      <c r="O319" s="56" t="n"/>
      <c r="P319" s="1" t="n"/>
      <c r="Q319" s="1" t="n"/>
    </row>
    <row r="320">
      <c r="A320" s="34">
        <f>IF($H320="UNIDADE CONSTRUTIVA",OFFSET(A320,-1,0)+1,LARGE(A$3:A319,1))</f>
        <v/>
      </c>
      <c r="B320" s="34">
        <f>IF(H320="UNIDADE CONSTRUTIVA",0,IF(H320="CÉLULA CONSTRUTIVA",OFFSET(B320,-1,0)+1,OFFSET(B320,-1,0)))</f>
        <v/>
      </c>
      <c r="C320" s="34">
        <f>IF(H320="CÉLULA CONSTRUTIVA",0,IF(H320="ETAPA",OFFSET(C320,-1,0)+1,OFFSET(C320,-1,0)))</f>
        <v/>
      </c>
      <c r="D320" s="35">
        <f>IF(H320="ETAPA",0,IF(H320="SUBETAPA",OFFSET(D320,-1,0)+1,OFFSET(D320,-1,0)))</f>
        <v/>
      </c>
      <c r="E320" s="35">
        <f>IF(H320="Subetapa",0,IF(H320="serviço",OFFSET(E320,-1,0)+1,OFFSET(E320,-1,0)))</f>
        <v/>
      </c>
      <c r="F320" s="56" t="n"/>
      <c r="G320" s="1" t="n"/>
      <c r="H320" s="1" t="n"/>
      <c r="I320" s="1" t="n"/>
      <c r="J320" s="64" t="n"/>
      <c r="K320" s="52" t="n"/>
      <c r="L320" s="58" t="n"/>
      <c r="M320" s="58" t="n"/>
      <c r="N320" s="70" t="n"/>
      <c r="O320" s="56" t="n"/>
      <c r="P320" s="1" t="n"/>
      <c r="Q320" s="1" t="n"/>
    </row>
    <row r="321">
      <c r="A321" s="34">
        <f>IF($H321="UNIDADE CONSTRUTIVA",OFFSET(A321,-1,0)+1,LARGE(A$3:A320,1))</f>
        <v/>
      </c>
      <c r="B321" s="34">
        <f>IF(H321="UNIDADE CONSTRUTIVA",0,IF(H321="CÉLULA CONSTRUTIVA",OFFSET(B321,-1,0)+1,OFFSET(B321,-1,0)))</f>
        <v/>
      </c>
      <c r="C321" s="34">
        <f>IF(H321="CÉLULA CONSTRUTIVA",0,IF(H321="ETAPA",OFFSET(C321,-1,0)+1,OFFSET(C321,-1,0)))</f>
        <v/>
      </c>
      <c r="D321" s="35">
        <f>IF(H321="ETAPA",0,IF(H321="SUBETAPA",OFFSET(D321,-1,0)+1,OFFSET(D321,-1,0)))</f>
        <v/>
      </c>
      <c r="E321" s="35">
        <f>IF(H321="Subetapa",0,IF(H321="serviço",OFFSET(E321,-1,0)+1,OFFSET(E321,-1,0)))</f>
        <v/>
      </c>
      <c r="F321" s="56" t="n"/>
      <c r="G321" s="1" t="n"/>
      <c r="H321" s="1" t="n"/>
      <c r="I321" s="1" t="n"/>
      <c r="J321" s="64" t="n"/>
      <c r="K321" s="52" t="n"/>
      <c r="L321" s="58" t="n"/>
      <c r="M321" s="58" t="n"/>
      <c r="N321" s="70" t="n"/>
      <c r="O321" s="56" t="n"/>
      <c r="P321" s="1" t="n"/>
      <c r="Q321" s="1" t="n"/>
    </row>
    <row r="322">
      <c r="A322" s="34">
        <f>IF($H322="UNIDADE CONSTRUTIVA",OFFSET(A322,-1,0)+1,LARGE(A$3:A321,1))</f>
        <v/>
      </c>
      <c r="B322" s="34">
        <f>IF(H322="UNIDADE CONSTRUTIVA",0,IF(H322="CÉLULA CONSTRUTIVA",OFFSET(B322,-1,0)+1,OFFSET(B322,-1,0)))</f>
        <v/>
      </c>
      <c r="C322" s="34">
        <f>IF(H322="CÉLULA CONSTRUTIVA",0,IF(H322="ETAPA",OFFSET(C322,-1,0)+1,OFFSET(C322,-1,0)))</f>
        <v/>
      </c>
      <c r="D322" s="35">
        <f>IF(H322="ETAPA",0,IF(H322="SUBETAPA",OFFSET(D322,-1,0)+1,OFFSET(D322,-1,0)))</f>
        <v/>
      </c>
      <c r="E322" s="35">
        <f>IF(H322="Subetapa",0,IF(H322="serviço",OFFSET(E322,-1,0)+1,OFFSET(E322,-1,0)))</f>
        <v/>
      </c>
      <c r="F322" s="56" t="n"/>
      <c r="G322" s="1" t="n"/>
      <c r="H322" s="1" t="n"/>
      <c r="I322" s="1" t="n"/>
      <c r="J322" s="64" t="n"/>
      <c r="K322" s="52" t="n"/>
      <c r="L322" s="58" t="n"/>
      <c r="M322" s="58" t="n"/>
      <c r="N322" s="70" t="n"/>
      <c r="O322" s="56" t="n"/>
      <c r="P322" s="1" t="n"/>
      <c r="Q322" s="1" t="n"/>
    </row>
    <row r="323">
      <c r="A323" s="34">
        <f>IF($H323="UNIDADE CONSTRUTIVA",OFFSET(A323,-1,0)+1,LARGE(A$3:A322,1))</f>
        <v/>
      </c>
      <c r="B323" s="34">
        <f>IF(H323="UNIDADE CONSTRUTIVA",0,IF(H323="CÉLULA CONSTRUTIVA",OFFSET(B323,-1,0)+1,OFFSET(B323,-1,0)))</f>
        <v/>
      </c>
      <c r="C323" s="34">
        <f>IF(H323="CÉLULA CONSTRUTIVA",0,IF(H323="ETAPA",OFFSET(C323,-1,0)+1,OFFSET(C323,-1,0)))</f>
        <v/>
      </c>
      <c r="D323" s="35">
        <f>IF(H323="ETAPA",0,IF(H323="SUBETAPA",OFFSET(D323,-1,0)+1,OFFSET(D323,-1,0)))</f>
        <v/>
      </c>
      <c r="E323" s="35">
        <f>IF(H323="Subetapa",0,IF(H323="serviço",OFFSET(E323,-1,0)+1,OFFSET(E323,-1,0)))</f>
        <v/>
      </c>
      <c r="F323" s="56" t="n"/>
      <c r="G323" s="1" t="n"/>
      <c r="H323" s="1" t="n"/>
      <c r="I323" s="1" t="n"/>
      <c r="J323" s="64" t="n"/>
      <c r="K323" s="52" t="n"/>
      <c r="L323" s="58" t="n"/>
      <c r="M323" s="58" t="n"/>
      <c r="N323" s="70" t="n"/>
      <c r="O323" s="56" t="n"/>
      <c r="P323" s="1" t="n"/>
      <c r="Q323" s="1" t="n"/>
    </row>
    <row r="324">
      <c r="A324" s="34">
        <f>IF($H324="UNIDADE CONSTRUTIVA",OFFSET(A324,-1,0)+1,LARGE(A$3:A323,1))</f>
        <v/>
      </c>
      <c r="B324" s="34">
        <f>IF(H324="UNIDADE CONSTRUTIVA",0,IF(H324="CÉLULA CONSTRUTIVA",OFFSET(B324,-1,0)+1,OFFSET(B324,-1,0)))</f>
        <v/>
      </c>
      <c r="C324" s="34">
        <f>IF(H324="CÉLULA CONSTRUTIVA",0,IF(H324="ETAPA",OFFSET(C324,-1,0)+1,OFFSET(C324,-1,0)))</f>
        <v/>
      </c>
      <c r="D324" s="35">
        <f>IF(H324="ETAPA",0,IF(H324="SUBETAPA",OFFSET(D324,-1,0)+1,OFFSET(D324,-1,0)))</f>
        <v/>
      </c>
      <c r="E324" s="35">
        <f>IF(H324="Subetapa",0,IF(H324="serviço",OFFSET(E324,-1,0)+1,OFFSET(E324,-1,0)))</f>
        <v/>
      </c>
      <c r="F324" s="56" t="n"/>
      <c r="G324" s="1" t="n"/>
      <c r="H324" s="1" t="n"/>
      <c r="I324" s="1" t="n"/>
      <c r="J324" s="64" t="n"/>
      <c r="K324" s="52" t="n"/>
      <c r="L324" s="58" t="n"/>
      <c r="M324" s="58" t="n"/>
      <c r="N324" s="70" t="n"/>
      <c r="O324" s="56" t="n"/>
      <c r="P324" s="1" t="n"/>
      <c r="Q324" s="1" t="n"/>
    </row>
    <row r="325">
      <c r="A325" s="34">
        <f>IF($H325="UNIDADE CONSTRUTIVA",OFFSET(A325,-1,0)+1,LARGE(A$3:A324,1))</f>
        <v/>
      </c>
      <c r="B325" s="34">
        <f>IF(H325="UNIDADE CONSTRUTIVA",0,IF(H325="CÉLULA CONSTRUTIVA",OFFSET(B325,-1,0)+1,OFFSET(B325,-1,0)))</f>
        <v/>
      </c>
      <c r="C325" s="34">
        <f>IF(H325="CÉLULA CONSTRUTIVA",0,IF(H325="ETAPA",OFFSET(C325,-1,0)+1,OFFSET(C325,-1,0)))</f>
        <v/>
      </c>
      <c r="D325" s="35">
        <f>IF(H325="ETAPA",0,IF(H325="SUBETAPA",OFFSET(D325,-1,0)+1,OFFSET(D325,-1,0)))</f>
        <v/>
      </c>
      <c r="E325" s="35">
        <f>IF(H325="Subetapa",0,IF(H325="serviço",OFFSET(E325,-1,0)+1,OFFSET(E325,-1,0)))</f>
        <v/>
      </c>
      <c r="F325" s="56" t="n"/>
      <c r="G325" s="1" t="n"/>
      <c r="H325" s="1" t="n"/>
      <c r="I325" s="1" t="n"/>
      <c r="J325" s="64" t="n"/>
      <c r="K325" s="52" t="n"/>
      <c r="L325" s="58" t="n"/>
      <c r="M325" s="58" t="n"/>
      <c r="N325" s="70" t="n"/>
      <c r="O325" s="56" t="n"/>
      <c r="P325" s="1" t="n"/>
      <c r="Q325" s="1" t="n"/>
    </row>
    <row r="326">
      <c r="A326" s="34">
        <f>IF($H326="UNIDADE CONSTRUTIVA",OFFSET(A326,-1,0)+1,LARGE(A$3:A325,1))</f>
        <v/>
      </c>
      <c r="B326" s="34">
        <f>IF(H326="UNIDADE CONSTRUTIVA",0,IF(H326="CÉLULA CONSTRUTIVA",OFFSET(B326,-1,0)+1,OFFSET(B326,-1,0)))</f>
        <v/>
      </c>
      <c r="C326" s="34">
        <f>IF(H326="CÉLULA CONSTRUTIVA",0,IF(H326="ETAPA",OFFSET(C326,-1,0)+1,OFFSET(C326,-1,0)))</f>
        <v/>
      </c>
      <c r="D326" s="35">
        <f>IF(H326="ETAPA",0,IF(H326="SUBETAPA",OFFSET(D326,-1,0)+1,OFFSET(D326,-1,0)))</f>
        <v/>
      </c>
      <c r="E326" s="35">
        <f>IF(H326="Subetapa",0,IF(H326="serviço",OFFSET(E326,-1,0)+1,OFFSET(E326,-1,0)))</f>
        <v/>
      </c>
      <c r="F326" s="56" t="n"/>
      <c r="G326" s="1" t="n"/>
      <c r="H326" s="1" t="n"/>
      <c r="I326" s="1" t="n"/>
      <c r="J326" s="64" t="n"/>
      <c r="K326" s="52" t="n"/>
      <c r="L326" s="58" t="n"/>
      <c r="M326" s="58" t="n"/>
      <c r="N326" s="70" t="n"/>
      <c r="O326" s="56" t="n"/>
      <c r="P326" s="1" t="n"/>
      <c r="Q326" s="1" t="n"/>
    </row>
    <row r="327">
      <c r="A327" s="34">
        <f>IF($H327="UNIDADE CONSTRUTIVA",OFFSET(A327,-1,0)+1,LARGE(A$3:A326,1))</f>
        <v/>
      </c>
      <c r="B327" s="34">
        <f>IF(H327="UNIDADE CONSTRUTIVA",0,IF(H327="CÉLULA CONSTRUTIVA",OFFSET(B327,-1,0)+1,OFFSET(B327,-1,0)))</f>
        <v/>
      </c>
      <c r="C327" s="34">
        <f>IF(H327="CÉLULA CONSTRUTIVA",0,IF(H327="ETAPA",OFFSET(C327,-1,0)+1,OFFSET(C327,-1,0)))</f>
        <v/>
      </c>
      <c r="D327" s="35">
        <f>IF(H327="ETAPA",0,IF(H327="SUBETAPA",OFFSET(D327,-1,0)+1,OFFSET(D327,-1,0)))</f>
        <v/>
      </c>
      <c r="E327" s="35">
        <f>IF(H327="Subetapa",0,IF(H327="serviço",OFFSET(E327,-1,0)+1,OFFSET(E327,-1,0)))</f>
        <v/>
      </c>
      <c r="F327" s="56" t="n"/>
      <c r="G327" s="1" t="n"/>
      <c r="H327" s="1" t="n"/>
      <c r="I327" s="1" t="n"/>
      <c r="J327" s="64" t="n"/>
      <c r="K327" s="52" t="n"/>
      <c r="L327" s="58" t="n"/>
      <c r="M327" s="58" t="n"/>
      <c r="N327" s="70" t="n"/>
      <c r="O327" s="56" t="n"/>
      <c r="P327" s="1" t="n"/>
      <c r="Q327" s="1" t="n"/>
    </row>
    <row r="328">
      <c r="A328" s="34">
        <f>IF($H328="UNIDADE CONSTRUTIVA",OFFSET(A328,-1,0)+1,LARGE(A$3:A327,1))</f>
        <v/>
      </c>
      <c r="B328" s="34">
        <f>IF(H328="UNIDADE CONSTRUTIVA",0,IF(H328="CÉLULA CONSTRUTIVA",OFFSET(B328,-1,0)+1,OFFSET(B328,-1,0)))</f>
        <v/>
      </c>
      <c r="C328" s="34">
        <f>IF(H328="CÉLULA CONSTRUTIVA",0,IF(H328="ETAPA",OFFSET(C328,-1,0)+1,OFFSET(C328,-1,0)))</f>
        <v/>
      </c>
      <c r="D328" s="35">
        <f>IF(H328="ETAPA",0,IF(H328="SUBETAPA",OFFSET(D328,-1,0)+1,OFFSET(D328,-1,0)))</f>
        <v/>
      </c>
      <c r="E328" s="35">
        <f>IF(H328="Subetapa",0,IF(H328="serviço",OFFSET(E328,-1,0)+1,OFFSET(E328,-1,0)))</f>
        <v/>
      </c>
      <c r="F328" s="56" t="n"/>
      <c r="G328" s="1" t="n"/>
      <c r="H328" s="1" t="n"/>
      <c r="I328" s="1" t="n"/>
      <c r="J328" s="64" t="n"/>
      <c r="K328" s="52" t="n"/>
      <c r="L328" s="58" t="n"/>
      <c r="M328" s="58" t="n"/>
      <c r="N328" s="70" t="n"/>
      <c r="O328" s="56" t="n"/>
      <c r="P328" s="1" t="n"/>
      <c r="Q328" s="1" t="n"/>
    </row>
    <row r="329">
      <c r="A329" s="34">
        <f>IF($H329="UNIDADE CONSTRUTIVA",OFFSET(A329,-1,0)+1,LARGE(A$3:A328,1))</f>
        <v/>
      </c>
      <c r="B329" s="34">
        <f>IF(H329="UNIDADE CONSTRUTIVA",0,IF(H329="CÉLULA CONSTRUTIVA",OFFSET(B329,-1,0)+1,OFFSET(B329,-1,0)))</f>
        <v/>
      </c>
      <c r="C329" s="34">
        <f>IF(H329="CÉLULA CONSTRUTIVA",0,IF(H329="ETAPA",OFFSET(C329,-1,0)+1,OFFSET(C329,-1,0)))</f>
        <v/>
      </c>
      <c r="D329" s="35">
        <f>IF(H329="ETAPA",0,IF(H329="SUBETAPA",OFFSET(D329,-1,0)+1,OFFSET(D329,-1,0)))</f>
        <v/>
      </c>
      <c r="E329" s="35">
        <f>IF(H329="Subetapa",0,IF(H329="serviço",OFFSET(E329,-1,0)+1,OFFSET(E329,-1,0)))</f>
        <v/>
      </c>
      <c r="F329" s="56" t="n"/>
      <c r="G329" s="1" t="n"/>
      <c r="H329" s="1" t="n"/>
      <c r="I329" s="1" t="n"/>
      <c r="J329" s="64" t="n"/>
      <c r="K329" s="52" t="n"/>
      <c r="L329" s="58" t="n"/>
      <c r="M329" s="58" t="n"/>
      <c r="N329" s="70" t="n"/>
      <c r="O329" s="56" t="n"/>
      <c r="P329" s="1" t="n"/>
      <c r="Q329" s="1" t="n"/>
    </row>
    <row r="330">
      <c r="A330" s="34">
        <f>IF($H330="UNIDADE CONSTRUTIVA",OFFSET(A330,-1,0)+1,LARGE(A$3:A329,1))</f>
        <v/>
      </c>
      <c r="B330" s="34">
        <f>IF(H330="UNIDADE CONSTRUTIVA",0,IF(H330="CÉLULA CONSTRUTIVA",OFFSET(B330,-1,0)+1,OFFSET(B330,-1,0)))</f>
        <v/>
      </c>
      <c r="C330" s="34">
        <f>IF(H330="CÉLULA CONSTRUTIVA",0,IF(H330="ETAPA",OFFSET(C330,-1,0)+1,OFFSET(C330,-1,0)))</f>
        <v/>
      </c>
      <c r="D330" s="35">
        <f>IF(H330="ETAPA",0,IF(H330="SUBETAPA",OFFSET(D330,-1,0)+1,OFFSET(D330,-1,0)))</f>
        <v/>
      </c>
      <c r="E330" s="35">
        <f>IF(H330="Subetapa",0,IF(H330="serviço",OFFSET(E330,-1,0)+1,OFFSET(E330,-1,0)))</f>
        <v/>
      </c>
      <c r="F330" s="56" t="n"/>
      <c r="G330" s="1" t="n"/>
      <c r="H330" s="1" t="n"/>
      <c r="I330" s="1" t="n"/>
      <c r="J330" s="64" t="n"/>
      <c r="K330" s="52" t="n"/>
      <c r="L330" s="58" t="n"/>
      <c r="M330" s="58" t="n"/>
      <c r="N330" s="70" t="n"/>
      <c r="O330" s="56" t="n"/>
      <c r="P330" s="1" t="n"/>
      <c r="Q330" s="1" t="n"/>
    </row>
    <row r="331">
      <c r="A331" s="34">
        <f>IF($H331="UNIDADE CONSTRUTIVA",OFFSET(A331,-1,0)+1,LARGE(A$3:A330,1))</f>
        <v/>
      </c>
      <c r="B331" s="34">
        <f>IF(H331="UNIDADE CONSTRUTIVA",0,IF(H331="CÉLULA CONSTRUTIVA",OFFSET(B331,-1,0)+1,OFFSET(B331,-1,0)))</f>
        <v/>
      </c>
      <c r="C331" s="34">
        <f>IF(H331="CÉLULA CONSTRUTIVA",0,IF(H331="ETAPA",OFFSET(C331,-1,0)+1,OFFSET(C331,-1,0)))</f>
        <v/>
      </c>
      <c r="D331" s="35">
        <f>IF(H331="ETAPA",0,IF(H331="SUBETAPA",OFFSET(D331,-1,0)+1,OFFSET(D331,-1,0)))</f>
        <v/>
      </c>
      <c r="E331" s="35">
        <f>IF(H331="Subetapa",0,IF(H331="serviço",OFFSET(E331,-1,0)+1,OFFSET(E331,-1,0)))</f>
        <v/>
      </c>
      <c r="F331" s="56" t="n"/>
      <c r="G331" s="1" t="n"/>
      <c r="H331" s="1" t="n"/>
      <c r="I331" s="1" t="n"/>
      <c r="J331" s="64" t="n"/>
      <c r="K331" s="52" t="n"/>
      <c r="L331" s="58" t="n"/>
      <c r="M331" s="58" t="n"/>
      <c r="N331" s="70" t="n"/>
      <c r="O331" s="56" t="n"/>
      <c r="P331" s="1" t="n"/>
      <c r="Q331" s="1" t="n"/>
    </row>
    <row r="332">
      <c r="A332" s="34">
        <f>IF($H332="UNIDADE CONSTRUTIVA",OFFSET(A332,-1,0)+1,LARGE(A$3:A331,1))</f>
        <v/>
      </c>
      <c r="B332" s="34">
        <f>IF(H332="UNIDADE CONSTRUTIVA",0,IF(H332="CÉLULA CONSTRUTIVA",OFFSET(B332,-1,0)+1,OFFSET(B332,-1,0)))</f>
        <v/>
      </c>
      <c r="C332" s="34">
        <f>IF(H332="CÉLULA CONSTRUTIVA",0,IF(H332="ETAPA",OFFSET(C332,-1,0)+1,OFFSET(C332,-1,0)))</f>
        <v/>
      </c>
      <c r="D332" s="35">
        <f>IF(H332="ETAPA",0,IF(H332="SUBETAPA",OFFSET(D332,-1,0)+1,OFFSET(D332,-1,0)))</f>
        <v/>
      </c>
      <c r="E332" s="35">
        <f>IF(H332="Subetapa",0,IF(H332="serviço",OFFSET(E332,-1,0)+1,OFFSET(E332,-1,0)))</f>
        <v/>
      </c>
      <c r="F332" s="56" t="n"/>
      <c r="G332" s="1" t="n"/>
      <c r="H332" s="1" t="n"/>
      <c r="I332" s="1" t="n"/>
      <c r="J332" s="64" t="n"/>
      <c r="K332" s="52" t="n"/>
      <c r="L332" s="58" t="n"/>
      <c r="M332" s="58" t="n"/>
      <c r="N332" s="70" t="n"/>
      <c r="O332" s="56" t="n"/>
      <c r="P332" s="1" t="n"/>
      <c r="Q332" s="1" t="n"/>
    </row>
    <row r="333">
      <c r="A333" s="34">
        <f>IF($H333="UNIDADE CONSTRUTIVA",OFFSET(A333,-1,0)+1,LARGE(A$3:A332,1))</f>
        <v/>
      </c>
      <c r="B333" s="34">
        <f>IF(H333="UNIDADE CONSTRUTIVA",0,IF(H333="CÉLULA CONSTRUTIVA",OFFSET(B333,-1,0)+1,OFFSET(B333,-1,0)))</f>
        <v/>
      </c>
      <c r="C333" s="34">
        <f>IF(H333="CÉLULA CONSTRUTIVA",0,IF(H333="ETAPA",OFFSET(C333,-1,0)+1,OFFSET(C333,-1,0)))</f>
        <v/>
      </c>
      <c r="D333" s="35">
        <f>IF(H333="ETAPA",0,IF(H333="SUBETAPA",OFFSET(D333,-1,0)+1,OFFSET(D333,-1,0)))</f>
        <v/>
      </c>
      <c r="E333" s="35">
        <f>IF(H333="Subetapa",0,IF(H333="serviço",OFFSET(E333,-1,0)+1,OFFSET(E333,-1,0)))</f>
        <v/>
      </c>
      <c r="F333" s="56" t="n"/>
      <c r="G333" s="1" t="n"/>
      <c r="H333" s="1" t="n"/>
      <c r="I333" s="1" t="n"/>
      <c r="J333" s="64" t="n"/>
      <c r="K333" s="52" t="n"/>
      <c r="L333" s="58" t="n"/>
      <c r="M333" s="58" t="n"/>
      <c r="N333" s="70" t="n"/>
      <c r="O333" s="56" t="n"/>
      <c r="P333" s="1" t="n"/>
      <c r="Q333" s="1" t="n"/>
    </row>
    <row r="334">
      <c r="A334" s="34">
        <f>IF($H334="UNIDADE CONSTRUTIVA",OFFSET(A334,-1,0)+1,LARGE(A$3:A333,1))</f>
        <v/>
      </c>
      <c r="B334" s="34">
        <f>IF(H334="UNIDADE CONSTRUTIVA",0,IF(H334="CÉLULA CONSTRUTIVA",OFFSET(B334,-1,0)+1,OFFSET(B334,-1,0)))</f>
        <v/>
      </c>
      <c r="C334" s="34">
        <f>IF(H334="CÉLULA CONSTRUTIVA",0,IF(H334="ETAPA",OFFSET(C334,-1,0)+1,OFFSET(C334,-1,0)))</f>
        <v/>
      </c>
      <c r="D334" s="35">
        <f>IF(H334="ETAPA",0,IF(H334="SUBETAPA",OFFSET(D334,-1,0)+1,OFFSET(D334,-1,0)))</f>
        <v/>
      </c>
      <c r="E334" s="35">
        <f>IF(H334="Subetapa",0,IF(H334="serviço",OFFSET(E334,-1,0)+1,OFFSET(E334,-1,0)))</f>
        <v/>
      </c>
      <c r="F334" s="56" t="n"/>
      <c r="G334" s="1" t="n"/>
      <c r="H334" s="1" t="n"/>
      <c r="I334" s="1" t="n"/>
      <c r="J334" s="64" t="n"/>
      <c r="K334" s="52" t="n"/>
      <c r="L334" s="58" t="n"/>
      <c r="M334" s="58" t="n"/>
      <c r="N334" s="70" t="n"/>
      <c r="O334" s="56" t="n"/>
      <c r="P334" s="1" t="n"/>
      <c r="Q334" s="1" t="n"/>
    </row>
    <row r="335">
      <c r="A335" s="34">
        <f>IF($H335="UNIDADE CONSTRUTIVA",OFFSET(A335,-1,0)+1,LARGE(A$3:A334,1))</f>
        <v/>
      </c>
      <c r="B335" s="34">
        <f>IF(H335="UNIDADE CONSTRUTIVA",0,IF(H335="CÉLULA CONSTRUTIVA",OFFSET(B335,-1,0)+1,OFFSET(B335,-1,0)))</f>
        <v/>
      </c>
      <c r="C335" s="34">
        <f>IF(H335="CÉLULA CONSTRUTIVA",0,IF(H335="ETAPA",OFFSET(C335,-1,0)+1,OFFSET(C335,-1,0)))</f>
        <v/>
      </c>
      <c r="D335" s="35">
        <f>IF(H335="ETAPA",0,IF(H335="SUBETAPA",OFFSET(D335,-1,0)+1,OFFSET(D335,-1,0)))</f>
        <v/>
      </c>
      <c r="E335" s="35">
        <f>IF(H335="Subetapa",0,IF(H335="serviço",OFFSET(E335,-1,0)+1,OFFSET(E335,-1,0)))</f>
        <v/>
      </c>
      <c r="F335" s="56" t="n"/>
      <c r="G335" s="1" t="n"/>
      <c r="H335" s="1" t="n"/>
      <c r="I335" s="1" t="n"/>
      <c r="J335" s="64" t="n"/>
      <c r="K335" s="52" t="n"/>
      <c r="L335" s="58" t="n"/>
      <c r="M335" s="58" t="n"/>
      <c r="N335" s="70" t="n"/>
      <c r="O335" s="56" t="n"/>
      <c r="P335" s="1" t="n"/>
      <c r="Q335" s="1" t="n"/>
    </row>
    <row r="336">
      <c r="A336" s="34">
        <f>IF($H336="UNIDADE CONSTRUTIVA",OFFSET(A336,-1,0)+1,LARGE(A$3:A335,1))</f>
        <v/>
      </c>
      <c r="B336" s="34">
        <f>IF(H336="UNIDADE CONSTRUTIVA",0,IF(H336="CÉLULA CONSTRUTIVA",OFFSET(B336,-1,0)+1,OFFSET(B336,-1,0)))</f>
        <v/>
      </c>
      <c r="C336" s="34">
        <f>IF(H336="CÉLULA CONSTRUTIVA",0,IF(H336="ETAPA",OFFSET(C336,-1,0)+1,OFFSET(C336,-1,0)))</f>
        <v/>
      </c>
      <c r="D336" s="35">
        <f>IF(H336="ETAPA",0,IF(H336="SUBETAPA",OFFSET(D336,-1,0)+1,OFFSET(D336,-1,0)))</f>
        <v/>
      </c>
      <c r="E336" s="35">
        <f>IF(H336="Subetapa",0,IF(H336="serviço",OFFSET(E336,-1,0)+1,OFFSET(E336,-1,0)))</f>
        <v/>
      </c>
      <c r="F336" s="56" t="n"/>
      <c r="G336" s="1" t="n"/>
      <c r="H336" s="1" t="n"/>
      <c r="I336" s="1" t="n"/>
      <c r="J336" s="64" t="n"/>
      <c r="K336" s="52" t="n"/>
      <c r="L336" s="58" t="n"/>
      <c r="M336" s="58" t="n"/>
      <c r="N336" s="70" t="n"/>
      <c r="O336" s="56" t="n"/>
      <c r="P336" s="1" t="n"/>
      <c r="Q336" s="1" t="n"/>
    </row>
    <row r="337">
      <c r="A337" s="34">
        <f>IF($H337="UNIDADE CONSTRUTIVA",OFFSET(A337,-1,0)+1,LARGE(A$3:A336,1))</f>
        <v/>
      </c>
      <c r="B337" s="34">
        <f>IF(H337="UNIDADE CONSTRUTIVA",0,IF(H337="CÉLULA CONSTRUTIVA",OFFSET(B337,-1,0)+1,OFFSET(B337,-1,0)))</f>
        <v/>
      </c>
      <c r="C337" s="34">
        <f>IF(H337="CÉLULA CONSTRUTIVA",0,IF(H337="ETAPA",OFFSET(C337,-1,0)+1,OFFSET(C337,-1,0)))</f>
        <v/>
      </c>
      <c r="D337" s="35">
        <f>IF(H337="ETAPA",0,IF(H337="SUBETAPA",OFFSET(D337,-1,0)+1,OFFSET(D337,-1,0)))</f>
        <v/>
      </c>
      <c r="E337" s="35">
        <f>IF(H337="Subetapa",0,IF(H337="serviço",OFFSET(E337,-1,0)+1,OFFSET(E337,-1,0)))</f>
        <v/>
      </c>
      <c r="F337" s="56" t="n"/>
      <c r="G337" s="1" t="n"/>
      <c r="H337" s="1" t="n"/>
      <c r="I337" s="1" t="n"/>
      <c r="J337" s="64" t="n"/>
      <c r="K337" s="52" t="n"/>
      <c r="L337" s="58" t="n"/>
      <c r="M337" s="58" t="n"/>
      <c r="N337" s="70" t="n"/>
      <c r="O337" s="56" t="n"/>
      <c r="P337" s="1" t="n"/>
      <c r="Q337" s="1" t="n"/>
    </row>
    <row r="338">
      <c r="A338" s="34">
        <f>IF($H338="UNIDADE CONSTRUTIVA",OFFSET(A338,-1,0)+1,LARGE(A$3:A337,1))</f>
        <v/>
      </c>
      <c r="B338" s="34">
        <f>IF(H338="UNIDADE CONSTRUTIVA",0,IF(H338="CÉLULA CONSTRUTIVA",OFFSET(B338,-1,0)+1,OFFSET(B338,-1,0)))</f>
        <v/>
      </c>
      <c r="C338" s="34">
        <f>IF(H338="CÉLULA CONSTRUTIVA",0,IF(H338="ETAPA",OFFSET(C338,-1,0)+1,OFFSET(C338,-1,0)))</f>
        <v/>
      </c>
      <c r="D338" s="35">
        <f>IF(H338="ETAPA",0,IF(H338="SUBETAPA",OFFSET(D338,-1,0)+1,OFFSET(D338,-1,0)))</f>
        <v/>
      </c>
      <c r="E338" s="35">
        <f>IF(H338="Subetapa",0,IF(H338="serviço",OFFSET(E338,-1,0)+1,OFFSET(E338,-1,0)))</f>
        <v/>
      </c>
      <c r="F338" s="56" t="n"/>
      <c r="G338" s="1" t="n"/>
      <c r="H338" s="1" t="n"/>
      <c r="I338" s="1" t="n"/>
      <c r="J338" s="64" t="n"/>
      <c r="K338" s="52" t="n"/>
      <c r="L338" s="58" t="n"/>
      <c r="M338" s="58" t="n"/>
      <c r="N338" s="70" t="n"/>
      <c r="O338" s="56" t="n"/>
      <c r="P338" s="1" t="n"/>
      <c r="Q338" s="1" t="n"/>
    </row>
    <row r="339">
      <c r="A339" s="34">
        <f>IF($H339="UNIDADE CONSTRUTIVA",OFFSET(A339,-1,0)+1,LARGE(A$3:A338,1))</f>
        <v/>
      </c>
      <c r="B339" s="34">
        <f>IF(H339="UNIDADE CONSTRUTIVA",0,IF(H339="CÉLULA CONSTRUTIVA",OFFSET(B339,-1,0)+1,OFFSET(B339,-1,0)))</f>
        <v/>
      </c>
      <c r="C339" s="34">
        <f>IF(H339="CÉLULA CONSTRUTIVA",0,IF(H339="ETAPA",OFFSET(C339,-1,0)+1,OFFSET(C339,-1,0)))</f>
        <v/>
      </c>
      <c r="D339" s="35">
        <f>IF(H339="ETAPA",0,IF(H339="SUBETAPA",OFFSET(D339,-1,0)+1,OFFSET(D339,-1,0)))</f>
        <v/>
      </c>
      <c r="E339" s="35">
        <f>IF(H339="Subetapa",0,IF(H339="serviço",OFFSET(E339,-1,0)+1,OFFSET(E339,-1,0)))</f>
        <v/>
      </c>
      <c r="F339" s="56" t="n"/>
      <c r="G339" s="1" t="n"/>
      <c r="H339" s="1" t="n"/>
      <c r="I339" s="1" t="n"/>
      <c r="J339" s="64" t="n"/>
      <c r="K339" s="52" t="n"/>
      <c r="L339" s="58" t="n"/>
      <c r="M339" s="58" t="n"/>
      <c r="N339" s="70" t="n"/>
      <c r="O339" s="56" t="n"/>
      <c r="P339" s="1" t="n"/>
      <c r="Q339" s="1" t="n"/>
    </row>
    <row r="340">
      <c r="A340" s="34">
        <f>IF($H340="UNIDADE CONSTRUTIVA",OFFSET(A340,-1,0)+1,LARGE(A$3:A339,1))</f>
        <v/>
      </c>
      <c r="B340" s="34">
        <f>IF(H340="UNIDADE CONSTRUTIVA",0,IF(H340="CÉLULA CONSTRUTIVA",OFFSET(B340,-1,0)+1,OFFSET(B340,-1,0)))</f>
        <v/>
      </c>
      <c r="C340" s="34">
        <f>IF(H340="CÉLULA CONSTRUTIVA",0,IF(H340="ETAPA",OFFSET(C340,-1,0)+1,OFFSET(C340,-1,0)))</f>
        <v/>
      </c>
      <c r="D340" s="35">
        <f>IF(H340="ETAPA",0,IF(H340="SUBETAPA",OFFSET(D340,-1,0)+1,OFFSET(D340,-1,0)))</f>
        <v/>
      </c>
      <c r="E340" s="35">
        <f>IF(H340="Subetapa",0,IF(H340="serviço",OFFSET(E340,-1,0)+1,OFFSET(E340,-1,0)))</f>
        <v/>
      </c>
      <c r="F340" s="56" t="n"/>
      <c r="G340" s="1" t="n"/>
      <c r="H340" s="1" t="n"/>
      <c r="I340" s="1" t="n"/>
      <c r="J340" s="64" t="n"/>
      <c r="K340" s="52" t="n"/>
      <c r="L340" s="58" t="n"/>
      <c r="M340" s="58" t="n"/>
      <c r="N340" s="70" t="n"/>
      <c r="O340" s="56" t="n"/>
      <c r="P340" s="1" t="n"/>
      <c r="Q340" s="1" t="n"/>
    </row>
    <row r="341">
      <c r="A341" s="34">
        <f>IF($H341="UNIDADE CONSTRUTIVA",OFFSET(A341,-1,0)+1,LARGE(A$3:A340,1))</f>
        <v/>
      </c>
      <c r="B341" s="34">
        <f>IF(H341="UNIDADE CONSTRUTIVA",0,IF(H341="CÉLULA CONSTRUTIVA",OFFSET(B341,-1,0)+1,OFFSET(B341,-1,0)))</f>
        <v/>
      </c>
      <c r="C341" s="34">
        <f>IF(H341="CÉLULA CONSTRUTIVA",0,IF(H341="ETAPA",OFFSET(C341,-1,0)+1,OFFSET(C341,-1,0)))</f>
        <v/>
      </c>
      <c r="D341" s="35">
        <f>IF(H341="ETAPA",0,IF(H341="SUBETAPA",OFFSET(D341,-1,0)+1,OFFSET(D341,-1,0)))</f>
        <v/>
      </c>
      <c r="E341" s="35">
        <f>IF(H341="Subetapa",0,IF(H341="serviço",OFFSET(E341,-1,0)+1,OFFSET(E341,-1,0)))</f>
        <v/>
      </c>
      <c r="F341" s="56" t="n"/>
      <c r="G341" s="1" t="n"/>
      <c r="H341" s="1" t="n"/>
      <c r="I341" s="1" t="n"/>
      <c r="J341" s="64" t="n"/>
      <c r="K341" s="52" t="n"/>
      <c r="L341" s="58" t="n"/>
      <c r="M341" s="58" t="n"/>
      <c r="N341" s="70" t="n"/>
      <c r="O341" s="56" t="n"/>
      <c r="P341" s="1" t="n"/>
      <c r="Q341" s="1" t="n"/>
    </row>
    <row r="342">
      <c r="A342" s="34">
        <f>IF($H342="UNIDADE CONSTRUTIVA",OFFSET(A342,-1,0)+1,LARGE(A$3:A341,1))</f>
        <v/>
      </c>
      <c r="B342" s="34">
        <f>IF(H342="UNIDADE CONSTRUTIVA",0,IF(H342="CÉLULA CONSTRUTIVA",OFFSET(B342,-1,0)+1,OFFSET(B342,-1,0)))</f>
        <v/>
      </c>
      <c r="C342" s="34">
        <f>IF(H342="CÉLULA CONSTRUTIVA",0,IF(H342="ETAPA",OFFSET(C342,-1,0)+1,OFFSET(C342,-1,0)))</f>
        <v/>
      </c>
      <c r="D342" s="35">
        <f>IF(H342="ETAPA",0,IF(H342="SUBETAPA",OFFSET(D342,-1,0)+1,OFFSET(D342,-1,0)))</f>
        <v/>
      </c>
      <c r="E342" s="35">
        <f>IF(H342="Subetapa",0,IF(H342="serviço",OFFSET(E342,-1,0)+1,OFFSET(E342,-1,0)))</f>
        <v/>
      </c>
      <c r="F342" s="56" t="n"/>
      <c r="G342" s="1" t="n"/>
      <c r="H342" s="1" t="n"/>
      <c r="I342" s="1" t="n"/>
      <c r="J342" s="64" t="n"/>
      <c r="K342" s="52" t="n"/>
      <c r="L342" s="58" t="n"/>
      <c r="M342" s="58" t="n"/>
      <c r="N342" s="70" t="n"/>
      <c r="O342" s="56" t="n"/>
      <c r="P342" s="1" t="n"/>
      <c r="Q342" s="1" t="n"/>
    </row>
    <row r="343">
      <c r="A343" s="34">
        <f>IF($H343="UNIDADE CONSTRUTIVA",OFFSET(A343,-1,0)+1,LARGE(A$3:A342,1))</f>
        <v/>
      </c>
      <c r="B343" s="34">
        <f>IF(H343="UNIDADE CONSTRUTIVA",0,IF(H343="CÉLULA CONSTRUTIVA",OFFSET(B343,-1,0)+1,OFFSET(B343,-1,0)))</f>
        <v/>
      </c>
      <c r="C343" s="34">
        <f>IF(H343="CÉLULA CONSTRUTIVA",0,IF(H343="ETAPA",OFFSET(C343,-1,0)+1,OFFSET(C343,-1,0)))</f>
        <v/>
      </c>
      <c r="D343" s="35">
        <f>IF(H343="ETAPA",0,IF(H343="SUBETAPA",OFFSET(D343,-1,0)+1,OFFSET(D343,-1,0)))</f>
        <v/>
      </c>
      <c r="E343" s="35">
        <f>IF(H343="Subetapa",0,IF(H343="serviço",OFFSET(E343,-1,0)+1,OFFSET(E343,-1,0)))</f>
        <v/>
      </c>
      <c r="F343" s="56" t="n"/>
      <c r="G343" s="1" t="n"/>
      <c r="H343" s="1" t="n"/>
      <c r="I343" s="1" t="n"/>
      <c r="J343" s="64" t="n"/>
      <c r="K343" s="52" t="n"/>
      <c r="L343" s="58" t="n"/>
      <c r="M343" s="58" t="n"/>
      <c r="N343" s="70" t="n"/>
      <c r="O343" s="56" t="n"/>
      <c r="P343" s="1" t="n"/>
      <c r="Q343" s="1" t="n"/>
    </row>
    <row r="344">
      <c r="A344" s="34">
        <f>IF($H344="UNIDADE CONSTRUTIVA",OFFSET(A344,-1,0)+1,LARGE(A$3:A343,1))</f>
        <v/>
      </c>
      <c r="B344" s="34">
        <f>IF(H344="UNIDADE CONSTRUTIVA",0,IF(H344="CÉLULA CONSTRUTIVA",OFFSET(B344,-1,0)+1,OFFSET(B344,-1,0)))</f>
        <v/>
      </c>
      <c r="C344" s="34">
        <f>IF(H344="CÉLULA CONSTRUTIVA",0,IF(H344="ETAPA",OFFSET(C344,-1,0)+1,OFFSET(C344,-1,0)))</f>
        <v/>
      </c>
      <c r="D344" s="35">
        <f>IF(H344="ETAPA",0,IF(H344="SUBETAPA",OFFSET(D344,-1,0)+1,OFFSET(D344,-1,0)))</f>
        <v/>
      </c>
      <c r="E344" s="35">
        <f>IF(H344="Subetapa",0,IF(H344="serviço",OFFSET(E344,-1,0)+1,OFFSET(E344,-1,0)))</f>
        <v/>
      </c>
      <c r="F344" s="56" t="n"/>
      <c r="G344" s="1" t="n"/>
      <c r="H344" s="1" t="n"/>
      <c r="I344" s="1" t="n"/>
      <c r="J344" s="64" t="n"/>
      <c r="K344" s="52" t="n"/>
      <c r="L344" s="58" t="n"/>
      <c r="M344" s="58" t="n"/>
      <c r="N344" s="70" t="n"/>
      <c r="O344" s="56" t="n"/>
      <c r="P344" s="1" t="n"/>
      <c r="Q344" s="1" t="n"/>
    </row>
    <row r="345">
      <c r="A345" s="34">
        <f>IF($H345="UNIDADE CONSTRUTIVA",OFFSET(A345,-1,0)+1,LARGE(A$3:A344,1))</f>
        <v/>
      </c>
      <c r="B345" s="34">
        <f>IF(H345="UNIDADE CONSTRUTIVA",0,IF(H345="CÉLULA CONSTRUTIVA",OFFSET(B345,-1,0)+1,OFFSET(B345,-1,0)))</f>
        <v/>
      </c>
      <c r="C345" s="34">
        <f>IF(H345="CÉLULA CONSTRUTIVA",0,IF(H345="ETAPA",OFFSET(C345,-1,0)+1,OFFSET(C345,-1,0)))</f>
        <v/>
      </c>
      <c r="D345" s="35">
        <f>IF(H345="ETAPA",0,IF(H345="SUBETAPA",OFFSET(D345,-1,0)+1,OFFSET(D345,-1,0)))</f>
        <v/>
      </c>
      <c r="E345" s="35">
        <f>IF(H345="Subetapa",0,IF(H345="serviço",OFFSET(E345,-1,0)+1,OFFSET(E345,-1,0)))</f>
        <v/>
      </c>
      <c r="F345" s="56" t="n"/>
      <c r="G345" s="1" t="n"/>
      <c r="H345" s="1" t="n"/>
      <c r="I345" s="1" t="n"/>
      <c r="J345" s="64" t="n"/>
      <c r="K345" s="52" t="n"/>
      <c r="L345" s="58" t="n"/>
      <c r="M345" s="58" t="n"/>
      <c r="N345" s="70" t="n"/>
      <c r="O345" s="56" t="n"/>
      <c r="P345" s="1" t="n"/>
      <c r="Q345" s="1" t="n"/>
    </row>
    <row r="346">
      <c r="A346" s="34">
        <f>IF($H346="UNIDADE CONSTRUTIVA",OFFSET(A346,-1,0)+1,LARGE(A$3:A345,1))</f>
        <v/>
      </c>
      <c r="B346" s="34">
        <f>IF(H346="UNIDADE CONSTRUTIVA",0,IF(H346="CÉLULA CONSTRUTIVA",OFFSET(B346,-1,0)+1,OFFSET(B346,-1,0)))</f>
        <v/>
      </c>
      <c r="C346" s="34">
        <f>IF(H346="CÉLULA CONSTRUTIVA",0,IF(H346="ETAPA",OFFSET(C346,-1,0)+1,OFFSET(C346,-1,0)))</f>
        <v/>
      </c>
      <c r="D346" s="35">
        <f>IF(H346="ETAPA",0,IF(H346="SUBETAPA",OFFSET(D346,-1,0)+1,OFFSET(D346,-1,0)))</f>
        <v/>
      </c>
      <c r="E346" s="35">
        <f>IF(H346="Subetapa",0,IF(H346="serviço",OFFSET(E346,-1,0)+1,OFFSET(E346,-1,0)))</f>
        <v/>
      </c>
      <c r="F346" s="56" t="n"/>
      <c r="G346" s="1" t="n"/>
      <c r="H346" s="1" t="n"/>
      <c r="I346" s="1" t="n"/>
      <c r="J346" s="64" t="n"/>
      <c r="K346" s="52" t="n"/>
      <c r="L346" s="58" t="n"/>
      <c r="M346" s="58" t="n"/>
      <c r="N346" s="70" t="n"/>
      <c r="O346" s="56" t="n"/>
      <c r="P346" s="1" t="n"/>
      <c r="Q346" s="1" t="n"/>
    </row>
    <row r="347">
      <c r="A347" s="34">
        <f>IF($H347="UNIDADE CONSTRUTIVA",OFFSET(A347,-1,0)+1,LARGE(A$3:A346,1))</f>
        <v/>
      </c>
      <c r="B347" s="34">
        <f>IF(H347="UNIDADE CONSTRUTIVA",0,IF(H347="CÉLULA CONSTRUTIVA",OFFSET(B347,-1,0)+1,OFFSET(B347,-1,0)))</f>
        <v/>
      </c>
      <c r="C347" s="34">
        <f>IF(H347="CÉLULA CONSTRUTIVA",0,IF(H347="ETAPA",OFFSET(C347,-1,0)+1,OFFSET(C347,-1,0)))</f>
        <v/>
      </c>
      <c r="D347" s="35">
        <f>IF(H347="ETAPA",0,IF(H347="SUBETAPA",OFFSET(D347,-1,0)+1,OFFSET(D347,-1,0)))</f>
        <v/>
      </c>
      <c r="E347" s="35">
        <f>IF(H347="Subetapa",0,IF(H347="serviço",OFFSET(E347,-1,0)+1,OFFSET(E347,-1,0)))</f>
        <v/>
      </c>
      <c r="F347" s="56" t="n"/>
      <c r="G347" s="1" t="n"/>
      <c r="H347" s="1" t="n"/>
      <c r="I347" s="1" t="n"/>
      <c r="J347" s="64" t="n"/>
      <c r="K347" s="52" t="n"/>
      <c r="L347" s="58" t="n"/>
      <c r="M347" s="58" t="n"/>
      <c r="N347" s="70" t="n"/>
      <c r="O347" s="56" t="n"/>
      <c r="P347" s="1" t="n"/>
      <c r="Q347" s="1" t="n"/>
    </row>
    <row r="348">
      <c r="A348" s="34">
        <f>IF($H348="UNIDADE CONSTRUTIVA",OFFSET(A348,-1,0)+1,LARGE(A$3:A347,1))</f>
        <v/>
      </c>
      <c r="B348" s="34">
        <f>IF(H348="UNIDADE CONSTRUTIVA",0,IF(H348="CÉLULA CONSTRUTIVA",OFFSET(B348,-1,0)+1,OFFSET(B348,-1,0)))</f>
        <v/>
      </c>
      <c r="C348" s="34">
        <f>IF(H348="CÉLULA CONSTRUTIVA",0,IF(H348="ETAPA",OFFSET(C348,-1,0)+1,OFFSET(C348,-1,0)))</f>
        <v/>
      </c>
      <c r="D348" s="35">
        <f>IF(H348="ETAPA",0,IF(H348="SUBETAPA",OFFSET(D348,-1,0)+1,OFFSET(D348,-1,0)))</f>
        <v/>
      </c>
      <c r="E348" s="35">
        <f>IF(H348="Subetapa",0,IF(H348="serviço",OFFSET(E348,-1,0)+1,OFFSET(E348,-1,0)))</f>
        <v/>
      </c>
      <c r="F348" s="56" t="n"/>
      <c r="G348" s="1" t="n"/>
      <c r="H348" s="1" t="n"/>
      <c r="I348" s="1" t="n"/>
      <c r="J348" s="64" t="n"/>
      <c r="K348" s="52" t="n"/>
      <c r="L348" s="58" t="n"/>
      <c r="M348" s="58" t="n"/>
      <c r="N348" s="70" t="n"/>
      <c r="O348" s="56" t="n"/>
      <c r="P348" s="1" t="n"/>
      <c r="Q348" s="1" t="n"/>
    </row>
    <row r="349">
      <c r="A349" s="34">
        <f>IF($H349="UNIDADE CONSTRUTIVA",OFFSET(A349,-1,0)+1,LARGE(A$3:A348,1))</f>
        <v/>
      </c>
      <c r="B349" s="34">
        <f>IF(H349="UNIDADE CONSTRUTIVA",0,IF(H349="CÉLULA CONSTRUTIVA",OFFSET(B349,-1,0)+1,OFFSET(B349,-1,0)))</f>
        <v/>
      </c>
      <c r="C349" s="34">
        <f>IF(H349="CÉLULA CONSTRUTIVA",0,IF(H349="ETAPA",OFFSET(C349,-1,0)+1,OFFSET(C349,-1,0)))</f>
        <v/>
      </c>
      <c r="D349" s="35">
        <f>IF(H349="ETAPA",0,IF(H349="SUBETAPA",OFFSET(D349,-1,0)+1,OFFSET(D349,-1,0)))</f>
        <v/>
      </c>
      <c r="E349" s="35">
        <f>IF(H349="Subetapa",0,IF(H349="serviço",OFFSET(E349,-1,0)+1,OFFSET(E349,-1,0)))</f>
        <v/>
      </c>
      <c r="F349" s="56" t="n"/>
      <c r="G349" s="1" t="n"/>
      <c r="H349" s="1" t="n"/>
      <c r="I349" s="1" t="n"/>
      <c r="J349" s="64" t="n"/>
      <c r="K349" s="52" t="n"/>
      <c r="L349" s="58" t="n"/>
      <c r="M349" s="58" t="n"/>
      <c r="N349" s="70" t="n"/>
      <c r="O349" s="56" t="n"/>
      <c r="P349" s="1" t="n"/>
      <c r="Q349" s="1" t="n"/>
    </row>
    <row r="350">
      <c r="A350" s="34">
        <f>IF($H350="UNIDADE CONSTRUTIVA",OFFSET(A350,-1,0)+1,LARGE(A$3:A349,1))</f>
        <v/>
      </c>
      <c r="B350" s="34">
        <f>IF(H350="UNIDADE CONSTRUTIVA",0,IF(H350="CÉLULA CONSTRUTIVA",OFFSET(B350,-1,0)+1,OFFSET(B350,-1,0)))</f>
        <v/>
      </c>
      <c r="C350" s="34">
        <f>IF(H350="CÉLULA CONSTRUTIVA",0,IF(H350="ETAPA",OFFSET(C350,-1,0)+1,OFFSET(C350,-1,0)))</f>
        <v/>
      </c>
      <c r="D350" s="35">
        <f>IF(H350="ETAPA",0,IF(H350="SUBETAPA",OFFSET(D350,-1,0)+1,OFFSET(D350,-1,0)))</f>
        <v/>
      </c>
      <c r="E350" s="35">
        <f>IF(H350="Subetapa",0,IF(H350="serviço",OFFSET(E350,-1,0)+1,OFFSET(E350,-1,0)))</f>
        <v/>
      </c>
      <c r="F350" s="56" t="n"/>
      <c r="G350" s="1" t="n"/>
      <c r="H350" s="1" t="n"/>
      <c r="I350" s="1" t="n"/>
      <c r="J350" s="64" t="n"/>
      <c r="K350" s="52" t="n"/>
      <c r="L350" s="58" t="n"/>
      <c r="M350" s="58" t="n"/>
      <c r="N350" s="70" t="n"/>
      <c r="O350" s="56" t="n"/>
      <c r="P350" s="1" t="n"/>
      <c r="Q350" s="1" t="n"/>
    </row>
    <row r="351">
      <c r="A351" s="34">
        <f>IF($H351="UNIDADE CONSTRUTIVA",OFFSET(A351,-1,0)+1,LARGE(A$3:A350,1))</f>
        <v/>
      </c>
      <c r="B351" s="34">
        <f>IF(H351="UNIDADE CONSTRUTIVA",0,IF(H351="CÉLULA CONSTRUTIVA",OFFSET(B351,-1,0)+1,OFFSET(B351,-1,0)))</f>
        <v/>
      </c>
      <c r="C351" s="34">
        <f>IF(H351="CÉLULA CONSTRUTIVA",0,IF(H351="ETAPA",OFFSET(C351,-1,0)+1,OFFSET(C351,-1,0)))</f>
        <v/>
      </c>
      <c r="D351" s="35">
        <f>IF(H351="ETAPA",0,IF(H351="SUBETAPA",OFFSET(D351,-1,0)+1,OFFSET(D351,-1,0)))</f>
        <v/>
      </c>
      <c r="E351" s="35">
        <f>IF(H351="Subetapa",0,IF(H351="serviço",OFFSET(E351,-1,0)+1,OFFSET(E351,-1,0)))</f>
        <v/>
      </c>
      <c r="F351" s="56" t="n"/>
      <c r="G351" s="1" t="n"/>
      <c r="H351" s="1" t="n"/>
      <c r="I351" s="1" t="n"/>
      <c r="J351" s="64" t="n"/>
      <c r="K351" s="52" t="n"/>
      <c r="L351" s="58" t="n"/>
      <c r="M351" s="58" t="n"/>
      <c r="N351" s="70" t="n"/>
      <c r="O351" s="56" t="n"/>
      <c r="P351" s="1" t="n"/>
      <c r="Q351" s="1" t="n"/>
    </row>
    <row r="352">
      <c r="A352" s="34">
        <f>IF($H352="UNIDADE CONSTRUTIVA",OFFSET(A352,-1,0)+1,LARGE(A$3:A351,1))</f>
        <v/>
      </c>
      <c r="B352" s="34">
        <f>IF(H352="UNIDADE CONSTRUTIVA",0,IF(H352="CÉLULA CONSTRUTIVA",OFFSET(B352,-1,0)+1,OFFSET(B352,-1,0)))</f>
        <v/>
      </c>
      <c r="C352" s="34">
        <f>IF(H352="CÉLULA CONSTRUTIVA",0,IF(H352="ETAPA",OFFSET(C352,-1,0)+1,OFFSET(C352,-1,0)))</f>
        <v/>
      </c>
      <c r="D352" s="35">
        <f>IF(H352="ETAPA",0,IF(H352="SUBETAPA",OFFSET(D352,-1,0)+1,OFFSET(D352,-1,0)))</f>
        <v/>
      </c>
      <c r="E352" s="35">
        <f>IF(H352="Subetapa",0,IF(H352="serviço",OFFSET(E352,-1,0)+1,OFFSET(E352,-1,0)))</f>
        <v/>
      </c>
      <c r="F352" s="56" t="n"/>
      <c r="G352" s="1" t="n"/>
      <c r="H352" s="1" t="n"/>
      <c r="I352" s="1" t="n"/>
      <c r="J352" s="64" t="n"/>
      <c r="K352" s="52" t="n"/>
      <c r="L352" s="58" t="n"/>
      <c r="M352" s="58" t="n"/>
      <c r="N352" s="70" t="n"/>
      <c r="O352" s="56" t="n"/>
      <c r="P352" s="1" t="n"/>
      <c r="Q352" s="1" t="n"/>
    </row>
    <row r="353">
      <c r="A353" s="34">
        <f>IF($H353="UNIDADE CONSTRUTIVA",OFFSET(A353,-1,0)+1,LARGE(A$3:A352,1))</f>
        <v/>
      </c>
      <c r="B353" s="34">
        <f>IF(H353="UNIDADE CONSTRUTIVA",0,IF(H353="CÉLULA CONSTRUTIVA",OFFSET(B353,-1,0)+1,OFFSET(B353,-1,0)))</f>
        <v/>
      </c>
      <c r="C353" s="34">
        <f>IF(H353="CÉLULA CONSTRUTIVA",0,IF(H353="ETAPA",OFFSET(C353,-1,0)+1,OFFSET(C353,-1,0)))</f>
        <v/>
      </c>
      <c r="D353" s="35">
        <f>IF(H353="ETAPA",0,IF(H353="SUBETAPA",OFFSET(D353,-1,0)+1,OFFSET(D353,-1,0)))</f>
        <v/>
      </c>
      <c r="E353" s="35">
        <f>IF(H353="Subetapa",0,IF(H353="serviço",OFFSET(E353,-1,0)+1,OFFSET(E353,-1,0)))</f>
        <v/>
      </c>
      <c r="F353" s="56" t="n"/>
      <c r="G353" s="1" t="n"/>
      <c r="H353" s="1" t="n"/>
      <c r="I353" s="1" t="n"/>
      <c r="J353" s="64" t="n"/>
      <c r="K353" s="52" t="n"/>
      <c r="L353" s="58" t="n"/>
      <c r="M353" s="58" t="n"/>
      <c r="N353" s="70" t="n"/>
      <c r="O353" s="56" t="n"/>
      <c r="P353" s="1" t="n"/>
      <c r="Q353" s="1" t="n"/>
    </row>
    <row r="354">
      <c r="A354" s="34">
        <f>IF($H354="UNIDADE CONSTRUTIVA",OFFSET(A354,-1,0)+1,LARGE(A$3:A353,1))</f>
        <v/>
      </c>
      <c r="B354" s="34">
        <f>IF(H354="UNIDADE CONSTRUTIVA",0,IF(H354="CÉLULA CONSTRUTIVA",OFFSET(B354,-1,0)+1,OFFSET(B354,-1,0)))</f>
        <v/>
      </c>
      <c r="C354" s="34">
        <f>IF(H354="CÉLULA CONSTRUTIVA",0,IF(H354="ETAPA",OFFSET(C354,-1,0)+1,OFFSET(C354,-1,0)))</f>
        <v/>
      </c>
      <c r="D354" s="35">
        <f>IF(H354="ETAPA",0,IF(H354="SUBETAPA",OFFSET(D354,-1,0)+1,OFFSET(D354,-1,0)))</f>
        <v/>
      </c>
      <c r="E354" s="35">
        <f>IF(H354="Subetapa",0,IF(H354="serviço",OFFSET(E354,-1,0)+1,OFFSET(E354,-1,0)))</f>
        <v/>
      </c>
      <c r="F354" s="56" t="n"/>
      <c r="G354" s="1" t="n"/>
      <c r="H354" s="1" t="n"/>
      <c r="I354" s="1" t="n"/>
      <c r="J354" s="64" t="n"/>
      <c r="K354" s="52" t="n"/>
      <c r="L354" s="58" t="n"/>
      <c r="M354" s="58" t="n"/>
      <c r="N354" s="70" t="n"/>
      <c r="O354" s="56" t="n"/>
      <c r="P354" s="1" t="n"/>
      <c r="Q354" s="1" t="n"/>
    </row>
    <row r="355">
      <c r="A355" s="34">
        <f>IF($H355="UNIDADE CONSTRUTIVA",OFFSET(A355,-1,0)+1,LARGE(A$3:A354,1))</f>
        <v/>
      </c>
      <c r="B355" s="34">
        <f>IF(H355="UNIDADE CONSTRUTIVA",0,IF(H355="CÉLULA CONSTRUTIVA",OFFSET(B355,-1,0)+1,OFFSET(B355,-1,0)))</f>
        <v/>
      </c>
      <c r="C355" s="34">
        <f>IF(H355="CÉLULA CONSTRUTIVA",0,IF(H355="ETAPA",OFFSET(C355,-1,0)+1,OFFSET(C355,-1,0)))</f>
        <v/>
      </c>
      <c r="D355" s="35">
        <f>IF(H355="ETAPA",0,IF(H355="SUBETAPA",OFFSET(D355,-1,0)+1,OFFSET(D355,-1,0)))</f>
        <v/>
      </c>
      <c r="E355" s="35">
        <f>IF(H355="Subetapa",0,IF(H355="serviço",OFFSET(E355,-1,0)+1,OFFSET(E355,-1,0)))</f>
        <v/>
      </c>
      <c r="F355" s="56" t="n"/>
      <c r="G355" s="1" t="n"/>
      <c r="H355" s="1" t="n"/>
      <c r="I355" s="1" t="n"/>
      <c r="J355" s="64" t="n"/>
      <c r="K355" s="52" t="n"/>
      <c r="L355" s="58" t="n"/>
      <c r="M355" s="58" t="n"/>
      <c r="N355" s="70" t="n"/>
      <c r="O355" s="56" t="n"/>
      <c r="P355" s="1" t="n"/>
      <c r="Q355" s="1" t="n"/>
    </row>
    <row r="356">
      <c r="A356" s="34">
        <f>IF($H356="UNIDADE CONSTRUTIVA",OFFSET(A356,-1,0)+1,LARGE(A$3:A355,1))</f>
        <v/>
      </c>
      <c r="B356" s="34">
        <f>IF(H356="UNIDADE CONSTRUTIVA",0,IF(H356="CÉLULA CONSTRUTIVA",OFFSET(B356,-1,0)+1,OFFSET(B356,-1,0)))</f>
        <v/>
      </c>
      <c r="C356" s="34">
        <f>IF(H356="CÉLULA CONSTRUTIVA",0,IF(H356="ETAPA",OFFSET(C356,-1,0)+1,OFFSET(C356,-1,0)))</f>
        <v/>
      </c>
      <c r="D356" s="35">
        <f>IF(H356="ETAPA",0,IF(H356="SUBETAPA",OFFSET(D356,-1,0)+1,OFFSET(D356,-1,0)))</f>
        <v/>
      </c>
      <c r="E356" s="35">
        <f>IF(H356="Subetapa",0,IF(H356="serviço",OFFSET(E356,-1,0)+1,OFFSET(E356,-1,0)))</f>
        <v/>
      </c>
      <c r="F356" s="56" t="n"/>
      <c r="G356" s="1" t="n"/>
      <c r="H356" s="1" t="n"/>
      <c r="I356" s="1" t="n"/>
      <c r="J356" s="64" t="n"/>
      <c r="K356" s="52" t="n"/>
      <c r="L356" s="58" t="n"/>
      <c r="M356" s="58" t="n"/>
      <c r="N356" s="70" t="n"/>
      <c r="O356" s="56" t="n"/>
      <c r="P356" s="1" t="n"/>
      <c r="Q356" s="1" t="n"/>
    </row>
    <row r="357">
      <c r="A357" s="34">
        <f>IF($H357="UNIDADE CONSTRUTIVA",OFFSET(A357,-1,0)+1,LARGE(A$3:A356,1))</f>
        <v/>
      </c>
      <c r="B357" s="34">
        <f>IF(H357="UNIDADE CONSTRUTIVA",0,IF(H357="CÉLULA CONSTRUTIVA",OFFSET(B357,-1,0)+1,OFFSET(B357,-1,0)))</f>
        <v/>
      </c>
      <c r="C357" s="34">
        <f>IF(H357="CÉLULA CONSTRUTIVA",0,IF(H357="ETAPA",OFFSET(C357,-1,0)+1,OFFSET(C357,-1,0)))</f>
        <v/>
      </c>
      <c r="D357" s="35">
        <f>IF(H357="ETAPA",0,IF(H357="SUBETAPA",OFFSET(D357,-1,0)+1,OFFSET(D357,-1,0)))</f>
        <v/>
      </c>
      <c r="E357" s="35">
        <f>IF(H357="Subetapa",0,IF(H357="serviço",OFFSET(E357,-1,0)+1,OFFSET(E357,-1,0)))</f>
        <v/>
      </c>
      <c r="F357" s="56" t="n"/>
      <c r="G357" s="1" t="n"/>
      <c r="H357" s="1" t="n"/>
      <c r="I357" s="1" t="n"/>
      <c r="J357" s="64" t="n"/>
      <c r="K357" s="52" t="n"/>
      <c r="L357" s="58" t="n"/>
      <c r="M357" s="58" t="n"/>
      <c r="N357" s="70" t="n"/>
      <c r="O357" s="56" t="n"/>
      <c r="P357" s="1" t="n"/>
      <c r="Q357" s="1" t="n"/>
    </row>
    <row r="358">
      <c r="A358" s="34">
        <f>IF($H358="UNIDADE CONSTRUTIVA",OFFSET(A358,-1,0)+1,LARGE(A$3:A357,1))</f>
        <v/>
      </c>
      <c r="B358" s="34">
        <f>IF(H358="UNIDADE CONSTRUTIVA",0,IF(H358="CÉLULA CONSTRUTIVA",OFFSET(B358,-1,0)+1,OFFSET(B358,-1,0)))</f>
        <v/>
      </c>
      <c r="C358" s="34">
        <f>IF(H358="CÉLULA CONSTRUTIVA",0,IF(H358="ETAPA",OFFSET(C358,-1,0)+1,OFFSET(C358,-1,0)))</f>
        <v/>
      </c>
      <c r="D358" s="35">
        <f>IF(H358="ETAPA",0,IF(H358="SUBETAPA",OFFSET(D358,-1,0)+1,OFFSET(D358,-1,0)))</f>
        <v/>
      </c>
      <c r="E358" s="35">
        <f>IF(H358="Subetapa",0,IF(H358="serviço",OFFSET(E358,-1,0)+1,OFFSET(E358,-1,0)))</f>
        <v/>
      </c>
      <c r="F358" s="56" t="n"/>
      <c r="G358" s="1" t="n"/>
      <c r="H358" s="1" t="n"/>
      <c r="I358" s="1" t="n"/>
      <c r="J358" s="64" t="n"/>
      <c r="K358" s="52" t="n"/>
      <c r="L358" s="58" t="n"/>
      <c r="M358" s="58" t="n"/>
      <c r="N358" s="70" t="n"/>
      <c r="O358" s="56" t="n"/>
      <c r="P358" s="1" t="n"/>
      <c r="Q358" s="1" t="n"/>
    </row>
    <row r="359">
      <c r="A359" s="34">
        <f>IF($H359="UNIDADE CONSTRUTIVA",OFFSET(A359,-1,0)+1,LARGE(A$3:A358,1))</f>
        <v/>
      </c>
      <c r="B359" s="34">
        <f>IF(H359="UNIDADE CONSTRUTIVA",0,IF(H359="CÉLULA CONSTRUTIVA",OFFSET(B359,-1,0)+1,OFFSET(B359,-1,0)))</f>
        <v/>
      </c>
      <c r="C359" s="34">
        <f>IF(H359="CÉLULA CONSTRUTIVA",0,IF(H359="ETAPA",OFFSET(C359,-1,0)+1,OFFSET(C359,-1,0)))</f>
        <v/>
      </c>
      <c r="D359" s="35">
        <f>IF(H359="ETAPA",0,IF(H359="SUBETAPA",OFFSET(D359,-1,0)+1,OFFSET(D359,-1,0)))</f>
        <v/>
      </c>
      <c r="E359" s="35">
        <f>IF(H359="Subetapa",0,IF(H359="serviço",OFFSET(E359,-1,0)+1,OFFSET(E359,-1,0)))</f>
        <v/>
      </c>
      <c r="F359" s="56" t="n"/>
      <c r="G359" s="1" t="n"/>
      <c r="H359" s="1" t="n"/>
      <c r="I359" s="1" t="n"/>
      <c r="J359" s="64" t="n"/>
      <c r="K359" s="52" t="n"/>
      <c r="L359" s="58" t="n"/>
      <c r="M359" s="58" t="n"/>
      <c r="N359" s="70" t="n"/>
      <c r="O359" s="56" t="n"/>
      <c r="P359" s="1" t="n"/>
      <c r="Q359" s="1" t="n"/>
    </row>
    <row r="360">
      <c r="A360" s="34">
        <f>IF($H360="UNIDADE CONSTRUTIVA",OFFSET(A360,-1,0)+1,LARGE(A$3:A359,1))</f>
        <v/>
      </c>
      <c r="B360" s="34">
        <f>IF(H360="UNIDADE CONSTRUTIVA",0,IF(H360="CÉLULA CONSTRUTIVA",OFFSET(B360,-1,0)+1,OFFSET(B360,-1,0)))</f>
        <v/>
      </c>
      <c r="C360" s="34">
        <f>IF(H360="CÉLULA CONSTRUTIVA",0,IF(H360="ETAPA",OFFSET(C360,-1,0)+1,OFFSET(C360,-1,0)))</f>
        <v/>
      </c>
      <c r="D360" s="35">
        <f>IF(H360="ETAPA",0,IF(H360="SUBETAPA",OFFSET(D360,-1,0)+1,OFFSET(D360,-1,0)))</f>
        <v/>
      </c>
      <c r="E360" s="35">
        <f>IF(H360="Subetapa",0,IF(H360="serviço",OFFSET(E360,-1,0)+1,OFFSET(E360,-1,0)))</f>
        <v/>
      </c>
      <c r="F360" s="56" t="n"/>
      <c r="G360" s="1" t="n"/>
      <c r="H360" s="1" t="n"/>
      <c r="I360" s="1" t="n"/>
      <c r="J360" s="64" t="n"/>
      <c r="K360" s="52" t="n"/>
      <c r="L360" s="58" t="n"/>
      <c r="M360" s="58" t="n"/>
      <c r="N360" s="70" t="n"/>
      <c r="O360" s="56" t="n"/>
      <c r="P360" s="1" t="n"/>
      <c r="Q360" s="1" t="n"/>
    </row>
    <row r="361">
      <c r="A361" s="34">
        <f>IF($H361="UNIDADE CONSTRUTIVA",OFFSET(A361,-1,0)+1,LARGE(A$3:A360,1))</f>
        <v/>
      </c>
      <c r="B361" s="34">
        <f>IF(H361="UNIDADE CONSTRUTIVA",0,IF(H361="CÉLULA CONSTRUTIVA",OFFSET(B361,-1,0)+1,OFFSET(B361,-1,0)))</f>
        <v/>
      </c>
      <c r="C361" s="34">
        <f>IF(H361="CÉLULA CONSTRUTIVA",0,IF(H361="ETAPA",OFFSET(C361,-1,0)+1,OFFSET(C361,-1,0)))</f>
        <v/>
      </c>
      <c r="D361" s="35">
        <f>IF(H361="ETAPA",0,IF(H361="SUBETAPA",OFFSET(D361,-1,0)+1,OFFSET(D361,-1,0)))</f>
        <v/>
      </c>
      <c r="E361" s="35">
        <f>IF(H361="Subetapa",0,IF(H361="serviço",OFFSET(E361,-1,0)+1,OFFSET(E361,-1,0)))</f>
        <v/>
      </c>
      <c r="F361" s="56" t="n"/>
      <c r="G361" s="1" t="n"/>
      <c r="H361" s="1" t="n"/>
      <c r="I361" s="1" t="n"/>
      <c r="J361" s="64" t="n"/>
      <c r="K361" s="52" t="n"/>
      <c r="L361" s="58" t="n"/>
      <c r="M361" s="58" t="n"/>
      <c r="N361" s="70" t="n"/>
      <c r="O361" s="56" t="n"/>
      <c r="P361" s="1" t="n"/>
      <c r="Q361" s="1" t="n"/>
    </row>
    <row r="362">
      <c r="A362" s="34">
        <f>IF($H362="UNIDADE CONSTRUTIVA",OFFSET(A362,-1,0)+1,LARGE(A$3:A361,1))</f>
        <v/>
      </c>
      <c r="B362" s="34">
        <f>IF(H362="UNIDADE CONSTRUTIVA",0,IF(H362="CÉLULA CONSTRUTIVA",OFFSET(B362,-1,0)+1,OFFSET(B362,-1,0)))</f>
        <v/>
      </c>
      <c r="C362" s="34">
        <f>IF(H362="CÉLULA CONSTRUTIVA",0,IF(H362="ETAPA",OFFSET(C362,-1,0)+1,OFFSET(C362,-1,0)))</f>
        <v/>
      </c>
      <c r="D362" s="35">
        <f>IF(H362="ETAPA",0,IF(H362="SUBETAPA",OFFSET(D362,-1,0)+1,OFFSET(D362,-1,0)))</f>
        <v/>
      </c>
      <c r="E362" s="35">
        <f>IF(H362="Subetapa",0,IF(H362="serviço",OFFSET(E362,-1,0)+1,OFFSET(E362,-1,0)))</f>
        <v/>
      </c>
      <c r="F362" s="56" t="n"/>
      <c r="G362" s="1" t="n"/>
      <c r="H362" s="1" t="n"/>
      <c r="I362" s="1" t="n"/>
      <c r="J362" s="64" t="n"/>
      <c r="K362" s="52" t="n"/>
      <c r="L362" s="58" t="n"/>
      <c r="M362" s="58" t="n"/>
      <c r="N362" s="70" t="n"/>
      <c r="O362" s="56" t="n"/>
      <c r="P362" s="1" t="n"/>
      <c r="Q362" s="1" t="n"/>
    </row>
    <row r="363">
      <c r="A363" s="34">
        <f>IF($H363="UNIDADE CONSTRUTIVA",OFFSET(A363,-1,0)+1,LARGE(A$3:A362,1))</f>
        <v/>
      </c>
      <c r="B363" s="34">
        <f>IF(H363="UNIDADE CONSTRUTIVA",0,IF(H363="CÉLULA CONSTRUTIVA",OFFSET(B363,-1,0)+1,OFFSET(B363,-1,0)))</f>
        <v/>
      </c>
      <c r="C363" s="34">
        <f>IF(H363="CÉLULA CONSTRUTIVA",0,IF(H363="ETAPA",OFFSET(C363,-1,0)+1,OFFSET(C363,-1,0)))</f>
        <v/>
      </c>
      <c r="D363" s="35">
        <f>IF(H363="ETAPA",0,IF(H363="SUBETAPA",OFFSET(D363,-1,0)+1,OFFSET(D363,-1,0)))</f>
        <v/>
      </c>
      <c r="E363" s="35">
        <f>IF(H363="Subetapa",0,IF(H363="serviço",OFFSET(E363,-1,0)+1,OFFSET(E363,-1,0)))</f>
        <v/>
      </c>
      <c r="F363" s="56" t="n"/>
      <c r="G363" s="1" t="n"/>
      <c r="H363" s="1" t="n"/>
      <c r="I363" s="1" t="n"/>
      <c r="J363" s="64" t="n"/>
      <c r="K363" s="52" t="n"/>
      <c r="L363" s="58" t="n"/>
      <c r="M363" s="58" t="n"/>
      <c r="N363" s="70" t="n"/>
      <c r="O363" s="56" t="n"/>
      <c r="P363" s="1" t="n"/>
      <c r="Q363" s="1" t="n"/>
    </row>
    <row r="364">
      <c r="A364" s="34">
        <f>IF($H364="UNIDADE CONSTRUTIVA",OFFSET(A364,-1,0)+1,LARGE(A$3:A363,1))</f>
        <v/>
      </c>
      <c r="B364" s="34">
        <f>IF(H364="UNIDADE CONSTRUTIVA",0,IF(H364="CÉLULA CONSTRUTIVA",OFFSET(B364,-1,0)+1,OFFSET(B364,-1,0)))</f>
        <v/>
      </c>
      <c r="C364" s="34">
        <f>IF(H364="CÉLULA CONSTRUTIVA",0,IF(H364="ETAPA",OFFSET(C364,-1,0)+1,OFFSET(C364,-1,0)))</f>
        <v/>
      </c>
      <c r="D364" s="35">
        <f>IF(H364="ETAPA",0,IF(H364="SUBETAPA",OFFSET(D364,-1,0)+1,OFFSET(D364,-1,0)))</f>
        <v/>
      </c>
      <c r="E364" s="35">
        <f>IF(H364="Subetapa",0,IF(H364="serviço",OFFSET(E364,-1,0)+1,OFFSET(E364,-1,0)))</f>
        <v/>
      </c>
      <c r="F364" s="56" t="n"/>
      <c r="G364" s="1" t="n"/>
      <c r="H364" s="1" t="n"/>
      <c r="I364" s="1" t="n"/>
      <c r="J364" s="64" t="n"/>
      <c r="K364" s="52" t="n"/>
      <c r="L364" s="58" t="n"/>
      <c r="M364" s="58" t="n"/>
      <c r="N364" s="70" t="n"/>
      <c r="O364" s="56" t="n"/>
      <c r="P364" s="1" t="n"/>
      <c r="Q364" s="1" t="n"/>
    </row>
    <row r="365">
      <c r="A365" s="34">
        <f>IF($H365="UNIDADE CONSTRUTIVA",OFFSET(A365,-1,0)+1,LARGE(A$3:A364,1))</f>
        <v/>
      </c>
      <c r="B365" s="34">
        <f>IF(H365="UNIDADE CONSTRUTIVA",0,IF(H365="CÉLULA CONSTRUTIVA",OFFSET(B365,-1,0)+1,OFFSET(B365,-1,0)))</f>
        <v/>
      </c>
      <c r="C365" s="34">
        <f>IF(H365="CÉLULA CONSTRUTIVA",0,IF(H365="ETAPA",OFFSET(C365,-1,0)+1,OFFSET(C365,-1,0)))</f>
        <v/>
      </c>
      <c r="D365" s="35">
        <f>IF(H365="ETAPA",0,IF(H365="SUBETAPA",OFFSET(D365,-1,0)+1,OFFSET(D365,-1,0)))</f>
        <v/>
      </c>
      <c r="E365" s="35">
        <f>IF(H365="Subetapa",0,IF(H365="serviço",OFFSET(E365,-1,0)+1,OFFSET(E365,-1,0)))</f>
        <v/>
      </c>
      <c r="F365" s="56" t="n"/>
      <c r="G365" s="1" t="n"/>
      <c r="H365" s="1" t="n"/>
      <c r="I365" s="1" t="n"/>
      <c r="J365" s="64" t="n"/>
      <c r="K365" s="52" t="n"/>
      <c r="L365" s="58" t="n"/>
      <c r="M365" s="58" t="n"/>
      <c r="N365" s="70" t="n"/>
      <c r="O365" s="56" t="n"/>
      <c r="P365" s="1" t="n"/>
      <c r="Q365" s="1" t="n"/>
    </row>
    <row r="366">
      <c r="A366" s="34">
        <f>IF($H366="UNIDADE CONSTRUTIVA",OFFSET(A366,-1,0)+1,LARGE(A$3:A365,1))</f>
        <v/>
      </c>
      <c r="B366" s="34">
        <f>IF(H366="UNIDADE CONSTRUTIVA",0,IF(H366="CÉLULA CONSTRUTIVA",OFFSET(B366,-1,0)+1,OFFSET(B366,-1,0)))</f>
        <v/>
      </c>
      <c r="C366" s="34">
        <f>IF(H366="CÉLULA CONSTRUTIVA",0,IF(H366="ETAPA",OFFSET(C366,-1,0)+1,OFFSET(C366,-1,0)))</f>
        <v/>
      </c>
      <c r="D366" s="35">
        <f>IF(H366="ETAPA",0,IF(H366="SUBETAPA",OFFSET(D366,-1,0)+1,OFFSET(D366,-1,0)))</f>
        <v/>
      </c>
      <c r="E366" s="35">
        <f>IF(H366="Subetapa",0,IF(H366="serviço",OFFSET(E366,-1,0)+1,OFFSET(E366,-1,0)))</f>
        <v/>
      </c>
      <c r="F366" s="56" t="n"/>
      <c r="G366" s="1" t="n"/>
      <c r="H366" s="1" t="n"/>
      <c r="I366" s="1" t="n"/>
      <c r="J366" s="64" t="n"/>
      <c r="K366" s="52" t="n"/>
      <c r="L366" s="58" t="n"/>
      <c r="M366" s="58" t="n"/>
      <c r="N366" s="70" t="n"/>
      <c r="O366" s="56" t="n"/>
      <c r="P366" s="1" t="n"/>
      <c r="Q366" s="1" t="n"/>
    </row>
    <row r="367">
      <c r="A367" s="34">
        <f>IF($H367="UNIDADE CONSTRUTIVA",OFFSET(A367,-1,0)+1,LARGE(A$3:A366,1))</f>
        <v/>
      </c>
      <c r="B367" s="34">
        <f>IF(H367="UNIDADE CONSTRUTIVA",0,IF(H367="CÉLULA CONSTRUTIVA",OFFSET(B367,-1,0)+1,OFFSET(B367,-1,0)))</f>
        <v/>
      </c>
      <c r="C367" s="34">
        <f>IF(H367="CÉLULA CONSTRUTIVA",0,IF(H367="ETAPA",OFFSET(C367,-1,0)+1,OFFSET(C367,-1,0)))</f>
        <v/>
      </c>
      <c r="D367" s="35">
        <f>IF(H367="ETAPA",0,IF(H367="SUBETAPA",OFFSET(D367,-1,0)+1,OFFSET(D367,-1,0)))</f>
        <v/>
      </c>
      <c r="E367" s="35">
        <f>IF(H367="Subetapa",0,IF(H367="serviço",OFFSET(E367,-1,0)+1,OFFSET(E367,-1,0)))</f>
        <v/>
      </c>
      <c r="F367" s="56" t="n"/>
      <c r="G367" s="1" t="n"/>
      <c r="H367" s="1" t="n"/>
      <c r="I367" s="1" t="n"/>
      <c r="J367" s="64" t="n"/>
      <c r="K367" s="52" t="n"/>
      <c r="L367" s="58" t="n"/>
      <c r="M367" s="58" t="n"/>
      <c r="N367" s="70" t="n"/>
      <c r="O367" s="56" t="n"/>
      <c r="P367" s="1" t="n"/>
      <c r="Q367" s="1" t="n"/>
    </row>
    <row r="368">
      <c r="A368" s="34">
        <f>IF($H368="UNIDADE CONSTRUTIVA",OFFSET(A368,-1,0)+1,LARGE(A$3:A367,1))</f>
        <v/>
      </c>
      <c r="B368" s="34">
        <f>IF(H368="UNIDADE CONSTRUTIVA",0,IF(H368="CÉLULA CONSTRUTIVA",OFFSET(B368,-1,0)+1,OFFSET(B368,-1,0)))</f>
        <v/>
      </c>
      <c r="C368" s="34">
        <f>IF(H368="CÉLULA CONSTRUTIVA",0,IF(H368="ETAPA",OFFSET(C368,-1,0)+1,OFFSET(C368,-1,0)))</f>
        <v/>
      </c>
      <c r="D368" s="35">
        <f>IF(H368="ETAPA",0,IF(H368="SUBETAPA",OFFSET(D368,-1,0)+1,OFFSET(D368,-1,0)))</f>
        <v/>
      </c>
      <c r="E368" s="35">
        <f>IF(H368="Subetapa",0,IF(H368="serviço",OFFSET(E368,-1,0)+1,OFFSET(E368,-1,0)))</f>
        <v/>
      </c>
      <c r="F368" s="56" t="n"/>
      <c r="G368" s="1" t="n"/>
      <c r="H368" s="1" t="n"/>
      <c r="I368" s="1" t="n"/>
      <c r="J368" s="64" t="n"/>
      <c r="K368" s="52" t="n"/>
      <c r="L368" s="58" t="n"/>
      <c r="M368" s="58" t="n"/>
      <c r="N368" s="70" t="n"/>
      <c r="O368" s="56" t="n"/>
      <c r="P368" s="1" t="n"/>
      <c r="Q368" s="1" t="n"/>
    </row>
    <row r="369">
      <c r="A369" s="34">
        <f>IF($H369="UNIDADE CONSTRUTIVA",OFFSET(A369,-1,0)+1,LARGE(A$3:A368,1))</f>
        <v/>
      </c>
      <c r="B369" s="34">
        <f>IF(H369="UNIDADE CONSTRUTIVA",0,IF(H369="CÉLULA CONSTRUTIVA",OFFSET(B369,-1,0)+1,OFFSET(B369,-1,0)))</f>
        <v/>
      </c>
      <c r="C369" s="34">
        <f>IF(H369="CÉLULA CONSTRUTIVA",0,IF(H369="ETAPA",OFFSET(C369,-1,0)+1,OFFSET(C369,-1,0)))</f>
        <v/>
      </c>
      <c r="D369" s="35">
        <f>IF(H369="ETAPA",0,IF(H369="SUBETAPA",OFFSET(D369,-1,0)+1,OFFSET(D369,-1,0)))</f>
        <v/>
      </c>
      <c r="E369" s="35">
        <f>IF(H369="Subetapa",0,IF(H369="serviço",OFFSET(E369,-1,0)+1,OFFSET(E369,-1,0)))</f>
        <v/>
      </c>
      <c r="F369" s="56" t="n"/>
      <c r="G369" s="1" t="n"/>
      <c r="H369" s="1" t="n"/>
      <c r="I369" s="1" t="n"/>
      <c r="J369" s="64" t="n"/>
      <c r="K369" s="52" t="n"/>
      <c r="L369" s="58" t="n"/>
      <c r="M369" s="58" t="n"/>
      <c r="N369" s="70" t="n"/>
      <c r="O369" s="56" t="n"/>
      <c r="P369" s="1" t="n"/>
      <c r="Q369" s="1" t="n"/>
    </row>
    <row r="370">
      <c r="A370" s="34">
        <f>IF($H370="UNIDADE CONSTRUTIVA",OFFSET(A370,-1,0)+1,LARGE(A$3:A369,1))</f>
        <v/>
      </c>
      <c r="B370" s="34">
        <f>IF(H370="UNIDADE CONSTRUTIVA",0,IF(H370="CÉLULA CONSTRUTIVA",OFFSET(B370,-1,0)+1,OFFSET(B370,-1,0)))</f>
        <v/>
      </c>
      <c r="C370" s="34">
        <f>IF(H370="CÉLULA CONSTRUTIVA",0,IF(H370="ETAPA",OFFSET(C370,-1,0)+1,OFFSET(C370,-1,0)))</f>
        <v/>
      </c>
      <c r="D370" s="35">
        <f>IF(H370="ETAPA",0,IF(H370="SUBETAPA",OFFSET(D370,-1,0)+1,OFFSET(D370,-1,0)))</f>
        <v/>
      </c>
      <c r="E370" s="35">
        <f>IF(H370="Subetapa",0,IF(H370="serviço",OFFSET(E370,-1,0)+1,OFFSET(E370,-1,0)))</f>
        <v/>
      </c>
      <c r="F370" s="56" t="n"/>
      <c r="G370" s="1" t="n"/>
      <c r="H370" s="1" t="n"/>
      <c r="I370" s="1" t="n"/>
      <c r="J370" s="64" t="n"/>
      <c r="K370" s="52" t="n"/>
      <c r="L370" s="58" t="n"/>
      <c r="M370" s="58" t="n"/>
      <c r="N370" s="70" t="n"/>
      <c r="O370" s="56" t="n"/>
      <c r="P370" s="1" t="n"/>
      <c r="Q370" s="1" t="n"/>
    </row>
    <row r="371">
      <c r="A371" s="34">
        <f>IF($H371="UNIDADE CONSTRUTIVA",OFFSET(A371,-1,0)+1,LARGE(A$3:A370,1))</f>
        <v/>
      </c>
      <c r="B371" s="34">
        <f>IF(H371="UNIDADE CONSTRUTIVA",0,IF(H371="CÉLULA CONSTRUTIVA",OFFSET(B371,-1,0)+1,OFFSET(B371,-1,0)))</f>
        <v/>
      </c>
      <c r="C371" s="34">
        <f>IF(H371="CÉLULA CONSTRUTIVA",0,IF(H371="ETAPA",OFFSET(C371,-1,0)+1,OFFSET(C371,-1,0)))</f>
        <v/>
      </c>
      <c r="D371" s="35">
        <f>IF(H371="ETAPA",0,IF(H371="SUBETAPA",OFFSET(D371,-1,0)+1,OFFSET(D371,-1,0)))</f>
        <v/>
      </c>
      <c r="E371" s="35">
        <f>IF(H371="Subetapa",0,IF(H371="serviço",OFFSET(E371,-1,0)+1,OFFSET(E371,-1,0)))</f>
        <v/>
      </c>
      <c r="F371" s="56" t="n"/>
      <c r="G371" s="1" t="n"/>
      <c r="H371" s="1" t="n"/>
      <c r="I371" s="1" t="n"/>
      <c r="J371" s="64" t="n"/>
      <c r="K371" s="52" t="n"/>
      <c r="L371" s="58" t="n"/>
      <c r="M371" s="58" t="n"/>
      <c r="N371" s="70" t="n"/>
      <c r="O371" s="56" t="n"/>
      <c r="P371" s="1" t="n"/>
      <c r="Q371" s="1" t="n"/>
    </row>
    <row r="372">
      <c r="A372" s="34">
        <f>IF($H372="UNIDADE CONSTRUTIVA",OFFSET(A372,-1,0)+1,LARGE(A$3:A371,1))</f>
        <v/>
      </c>
      <c r="B372" s="34">
        <f>IF(H372="UNIDADE CONSTRUTIVA",0,IF(H372="CÉLULA CONSTRUTIVA",OFFSET(B372,-1,0)+1,OFFSET(B372,-1,0)))</f>
        <v/>
      </c>
      <c r="C372" s="34">
        <f>IF(H372="CÉLULA CONSTRUTIVA",0,IF(H372="ETAPA",OFFSET(C372,-1,0)+1,OFFSET(C372,-1,0)))</f>
        <v/>
      </c>
      <c r="D372" s="35">
        <f>IF(H372="ETAPA",0,IF(H372="SUBETAPA",OFFSET(D372,-1,0)+1,OFFSET(D372,-1,0)))</f>
        <v/>
      </c>
      <c r="E372" s="35">
        <f>IF(H372="Subetapa",0,IF(H372="serviço",OFFSET(E372,-1,0)+1,OFFSET(E372,-1,0)))</f>
        <v/>
      </c>
      <c r="F372" s="56" t="n"/>
      <c r="G372" s="1" t="n"/>
      <c r="H372" s="1" t="n"/>
      <c r="I372" s="1" t="n"/>
      <c r="J372" s="64" t="n"/>
      <c r="K372" s="52" t="n"/>
      <c r="L372" s="58" t="n"/>
      <c r="M372" s="58" t="n"/>
      <c r="N372" s="70" t="n"/>
      <c r="O372" s="56" t="n"/>
      <c r="P372" s="1" t="n"/>
      <c r="Q372" s="1" t="n"/>
    </row>
    <row r="373">
      <c r="A373" s="34">
        <f>IF($H373="UNIDADE CONSTRUTIVA",OFFSET(A373,-1,0)+1,LARGE(A$3:A372,1))</f>
        <v/>
      </c>
      <c r="B373" s="34">
        <f>IF(H373="UNIDADE CONSTRUTIVA",0,IF(H373="CÉLULA CONSTRUTIVA",OFFSET(B373,-1,0)+1,OFFSET(B373,-1,0)))</f>
        <v/>
      </c>
      <c r="C373" s="34">
        <f>IF(H373="CÉLULA CONSTRUTIVA",0,IF(H373="ETAPA",OFFSET(C373,-1,0)+1,OFFSET(C373,-1,0)))</f>
        <v/>
      </c>
      <c r="D373" s="35">
        <f>IF(H373="ETAPA",0,IF(H373="SUBETAPA",OFFSET(D373,-1,0)+1,OFFSET(D373,-1,0)))</f>
        <v/>
      </c>
      <c r="E373" s="35">
        <f>IF(H373="Subetapa",0,IF(H373="serviço",OFFSET(E373,-1,0)+1,OFFSET(E373,-1,0)))</f>
        <v/>
      </c>
      <c r="F373" s="56" t="n"/>
      <c r="G373" s="1" t="n"/>
      <c r="H373" s="1" t="n"/>
      <c r="I373" s="1" t="n"/>
      <c r="J373" s="64" t="n"/>
      <c r="K373" s="52" t="n"/>
      <c r="L373" s="58" t="n"/>
      <c r="M373" s="58" t="n"/>
      <c r="N373" s="70" t="n"/>
      <c r="O373" s="56" t="n"/>
      <c r="P373" s="1" t="n"/>
      <c r="Q373" s="1" t="n"/>
    </row>
    <row r="374">
      <c r="A374" s="34">
        <f>IF($H374="UNIDADE CONSTRUTIVA",OFFSET(A374,-1,0)+1,LARGE(A$3:A373,1))</f>
        <v/>
      </c>
      <c r="B374" s="34">
        <f>IF(H374="UNIDADE CONSTRUTIVA",0,IF(H374="CÉLULA CONSTRUTIVA",OFFSET(B374,-1,0)+1,OFFSET(B374,-1,0)))</f>
        <v/>
      </c>
      <c r="C374" s="34">
        <f>IF(H374="CÉLULA CONSTRUTIVA",0,IF(H374="ETAPA",OFFSET(C374,-1,0)+1,OFFSET(C374,-1,0)))</f>
        <v/>
      </c>
      <c r="D374" s="35">
        <f>IF(H374="ETAPA",0,IF(H374="SUBETAPA",OFFSET(D374,-1,0)+1,OFFSET(D374,-1,0)))</f>
        <v/>
      </c>
      <c r="E374" s="35">
        <f>IF(H374="Subetapa",0,IF(H374="serviço",OFFSET(E374,-1,0)+1,OFFSET(E374,-1,0)))</f>
        <v/>
      </c>
      <c r="F374" s="56" t="n"/>
      <c r="G374" s="1" t="n"/>
      <c r="H374" s="1" t="n"/>
      <c r="I374" s="1" t="n"/>
      <c r="J374" s="64" t="n"/>
      <c r="K374" s="52" t="n"/>
      <c r="L374" s="58" t="n"/>
      <c r="M374" s="58" t="n"/>
      <c r="N374" s="70" t="n"/>
      <c r="O374" s="56" t="n"/>
      <c r="P374" s="1" t="n"/>
      <c r="Q374" s="1" t="n"/>
    </row>
    <row r="375">
      <c r="A375" s="34">
        <f>IF($H375="UNIDADE CONSTRUTIVA",OFFSET(A375,-1,0)+1,LARGE(A$3:A374,1))</f>
        <v/>
      </c>
      <c r="B375" s="34">
        <f>IF(H375="UNIDADE CONSTRUTIVA",0,IF(H375="CÉLULA CONSTRUTIVA",OFFSET(B375,-1,0)+1,OFFSET(B375,-1,0)))</f>
        <v/>
      </c>
      <c r="C375" s="34">
        <f>IF(H375="CÉLULA CONSTRUTIVA",0,IF(H375="ETAPA",OFFSET(C375,-1,0)+1,OFFSET(C375,-1,0)))</f>
        <v/>
      </c>
      <c r="D375" s="35">
        <f>IF(H375="ETAPA",0,IF(H375="SUBETAPA",OFFSET(D375,-1,0)+1,OFFSET(D375,-1,0)))</f>
        <v/>
      </c>
      <c r="E375" s="35">
        <f>IF(H375="Subetapa",0,IF(H375="serviço",OFFSET(E375,-1,0)+1,OFFSET(E375,-1,0)))</f>
        <v/>
      </c>
      <c r="F375" s="56" t="n"/>
      <c r="G375" s="1" t="n"/>
      <c r="H375" s="1" t="n"/>
      <c r="I375" s="1" t="n"/>
      <c r="J375" s="64" t="n"/>
      <c r="K375" s="52" t="n"/>
      <c r="L375" s="58" t="n"/>
      <c r="M375" s="58" t="n"/>
      <c r="N375" s="70" t="n"/>
      <c r="O375" s="56" t="n"/>
      <c r="P375" s="1" t="n"/>
      <c r="Q375" s="1" t="n"/>
    </row>
    <row r="376">
      <c r="A376" s="34">
        <f>IF($H376="UNIDADE CONSTRUTIVA",OFFSET(A376,-1,0)+1,LARGE(A$3:A375,1))</f>
        <v/>
      </c>
      <c r="B376" s="34">
        <f>IF(H376="UNIDADE CONSTRUTIVA",0,IF(H376="CÉLULA CONSTRUTIVA",OFFSET(B376,-1,0)+1,OFFSET(B376,-1,0)))</f>
        <v/>
      </c>
      <c r="C376" s="34">
        <f>IF(H376="CÉLULA CONSTRUTIVA",0,IF(H376="ETAPA",OFFSET(C376,-1,0)+1,OFFSET(C376,-1,0)))</f>
        <v/>
      </c>
      <c r="D376" s="35">
        <f>IF(H376="ETAPA",0,IF(H376="SUBETAPA",OFFSET(D376,-1,0)+1,OFFSET(D376,-1,0)))</f>
        <v/>
      </c>
      <c r="E376" s="35">
        <f>IF(H376="Subetapa",0,IF(H376="serviço",OFFSET(E376,-1,0)+1,OFFSET(E376,-1,0)))</f>
        <v/>
      </c>
      <c r="F376" s="56" t="n"/>
      <c r="G376" s="1" t="n"/>
      <c r="H376" s="1" t="n"/>
      <c r="I376" s="1" t="n"/>
      <c r="J376" s="64" t="n"/>
      <c r="K376" s="52" t="n"/>
      <c r="L376" s="58" t="n"/>
      <c r="M376" s="58" t="n"/>
      <c r="N376" s="70" t="n"/>
      <c r="O376" s="56" t="n"/>
      <c r="P376" s="1" t="n"/>
      <c r="Q376" s="1" t="n"/>
    </row>
    <row r="377">
      <c r="A377" s="34">
        <f>IF($H377="UNIDADE CONSTRUTIVA",OFFSET(A377,-1,0)+1,LARGE(A$3:A376,1))</f>
        <v/>
      </c>
      <c r="B377" s="34">
        <f>IF(H377="UNIDADE CONSTRUTIVA",0,IF(H377="CÉLULA CONSTRUTIVA",OFFSET(B377,-1,0)+1,OFFSET(B377,-1,0)))</f>
        <v/>
      </c>
      <c r="C377" s="34">
        <f>IF(H377="CÉLULA CONSTRUTIVA",0,IF(H377="ETAPA",OFFSET(C377,-1,0)+1,OFFSET(C377,-1,0)))</f>
        <v/>
      </c>
      <c r="D377" s="35">
        <f>IF(H377="ETAPA",0,IF(H377="SUBETAPA",OFFSET(D377,-1,0)+1,OFFSET(D377,-1,0)))</f>
        <v/>
      </c>
      <c r="E377" s="35">
        <f>IF(H377="Subetapa",0,IF(H377="serviço",OFFSET(E377,-1,0)+1,OFFSET(E377,-1,0)))</f>
        <v/>
      </c>
      <c r="F377" s="56" t="n"/>
      <c r="G377" s="1" t="n"/>
      <c r="H377" s="1" t="n"/>
      <c r="I377" s="1" t="n"/>
      <c r="J377" s="64" t="n"/>
      <c r="K377" s="52" t="n"/>
      <c r="L377" s="58" t="n"/>
      <c r="M377" s="58" t="n"/>
      <c r="N377" s="70" t="n"/>
      <c r="O377" s="56" t="n"/>
      <c r="P377" s="1" t="n"/>
      <c r="Q377" s="1" t="n"/>
    </row>
    <row r="378">
      <c r="A378" s="34">
        <f>IF($H378="UNIDADE CONSTRUTIVA",OFFSET(A378,-1,0)+1,LARGE(A$3:A377,1))</f>
        <v/>
      </c>
      <c r="B378" s="34">
        <f>IF(H378="UNIDADE CONSTRUTIVA",0,IF(H378="CÉLULA CONSTRUTIVA",OFFSET(B378,-1,0)+1,OFFSET(B378,-1,0)))</f>
        <v/>
      </c>
      <c r="C378" s="34">
        <f>IF(H378="CÉLULA CONSTRUTIVA",0,IF(H378="ETAPA",OFFSET(C378,-1,0)+1,OFFSET(C378,-1,0)))</f>
        <v/>
      </c>
      <c r="D378" s="35">
        <f>IF(H378="ETAPA",0,IF(H378="SUBETAPA",OFFSET(D378,-1,0)+1,OFFSET(D378,-1,0)))</f>
        <v/>
      </c>
      <c r="E378" s="35">
        <f>IF(H378="Subetapa",0,IF(H378="serviço",OFFSET(E378,-1,0)+1,OFFSET(E378,-1,0)))</f>
        <v/>
      </c>
      <c r="F378" s="56" t="n"/>
      <c r="G378" s="1" t="n"/>
      <c r="H378" s="1" t="n"/>
      <c r="I378" s="1" t="n"/>
      <c r="J378" s="64" t="n"/>
      <c r="K378" s="52" t="n"/>
      <c r="L378" s="58" t="n"/>
      <c r="M378" s="58" t="n"/>
      <c r="N378" s="70" t="n"/>
      <c r="O378" s="56" t="n"/>
      <c r="P378" s="1" t="n"/>
      <c r="Q378" s="1" t="n"/>
    </row>
    <row r="379">
      <c r="A379" s="34">
        <f>IF($H379="UNIDADE CONSTRUTIVA",OFFSET(A379,-1,0)+1,LARGE(A$3:A378,1))</f>
        <v/>
      </c>
      <c r="B379" s="34">
        <f>IF(H379="UNIDADE CONSTRUTIVA",0,IF(H379="CÉLULA CONSTRUTIVA",OFFSET(B379,-1,0)+1,OFFSET(B379,-1,0)))</f>
        <v/>
      </c>
      <c r="C379" s="34">
        <f>IF(H379="CÉLULA CONSTRUTIVA",0,IF(H379="ETAPA",OFFSET(C379,-1,0)+1,OFFSET(C379,-1,0)))</f>
        <v/>
      </c>
      <c r="D379" s="35">
        <f>IF(H379="ETAPA",0,IF(H379="SUBETAPA",OFFSET(D379,-1,0)+1,OFFSET(D379,-1,0)))</f>
        <v/>
      </c>
      <c r="E379" s="35">
        <f>IF(H379="Subetapa",0,IF(H379="serviço",OFFSET(E379,-1,0)+1,OFFSET(E379,-1,0)))</f>
        <v/>
      </c>
      <c r="F379" s="56" t="n"/>
      <c r="G379" s="1" t="n"/>
      <c r="H379" s="1" t="n"/>
      <c r="I379" s="1" t="n"/>
      <c r="J379" s="64" t="n"/>
      <c r="K379" s="52" t="n"/>
      <c r="L379" s="58" t="n"/>
      <c r="M379" s="58" t="n"/>
      <c r="N379" s="70" t="n"/>
      <c r="O379" s="56" t="n"/>
      <c r="P379" s="1" t="n"/>
      <c r="Q379" s="1" t="n"/>
    </row>
    <row r="380">
      <c r="A380" s="34">
        <f>IF($H380="UNIDADE CONSTRUTIVA",OFFSET(A380,-1,0)+1,LARGE(A$3:A379,1))</f>
        <v/>
      </c>
      <c r="B380" s="34">
        <f>IF(H380="UNIDADE CONSTRUTIVA",0,IF(H380="CÉLULA CONSTRUTIVA",OFFSET(B380,-1,0)+1,OFFSET(B380,-1,0)))</f>
        <v/>
      </c>
      <c r="C380" s="34">
        <f>IF(H380="CÉLULA CONSTRUTIVA",0,IF(H380="ETAPA",OFFSET(C380,-1,0)+1,OFFSET(C380,-1,0)))</f>
        <v/>
      </c>
      <c r="D380" s="35">
        <f>IF(H380="ETAPA",0,IF(H380="SUBETAPA",OFFSET(D380,-1,0)+1,OFFSET(D380,-1,0)))</f>
        <v/>
      </c>
      <c r="E380" s="35">
        <f>IF(H380="Subetapa",0,IF(H380="serviço",OFFSET(E380,-1,0)+1,OFFSET(E380,-1,0)))</f>
        <v/>
      </c>
      <c r="F380" s="56" t="n"/>
      <c r="G380" s="1" t="n"/>
      <c r="H380" s="1" t="n"/>
      <c r="I380" s="1" t="n"/>
      <c r="J380" s="64" t="n"/>
      <c r="K380" s="52" t="n"/>
      <c r="L380" s="58" t="n"/>
      <c r="M380" s="58" t="n"/>
      <c r="N380" s="70" t="n"/>
      <c r="O380" s="56" t="n"/>
      <c r="P380" s="1" t="n"/>
      <c r="Q380" s="1" t="n"/>
    </row>
    <row r="381">
      <c r="A381" s="34">
        <f>IF($H381="UNIDADE CONSTRUTIVA",OFFSET(A381,-1,0)+1,LARGE(A$3:A380,1))</f>
        <v/>
      </c>
      <c r="B381" s="34">
        <f>IF(H381="UNIDADE CONSTRUTIVA",0,IF(H381="CÉLULA CONSTRUTIVA",OFFSET(B381,-1,0)+1,OFFSET(B381,-1,0)))</f>
        <v/>
      </c>
      <c r="C381" s="34">
        <f>IF(H381="CÉLULA CONSTRUTIVA",0,IF(H381="ETAPA",OFFSET(C381,-1,0)+1,OFFSET(C381,-1,0)))</f>
        <v/>
      </c>
      <c r="D381" s="35">
        <f>IF(H381="ETAPA",0,IF(H381="SUBETAPA",OFFSET(D381,-1,0)+1,OFFSET(D381,-1,0)))</f>
        <v/>
      </c>
      <c r="E381" s="35">
        <f>IF(H381="Subetapa",0,IF(H381="serviço",OFFSET(E381,-1,0)+1,OFFSET(E381,-1,0)))</f>
        <v/>
      </c>
      <c r="F381" s="56" t="n"/>
      <c r="G381" s="1" t="n"/>
      <c r="H381" s="1" t="n"/>
      <c r="I381" s="1" t="n"/>
      <c r="J381" s="64" t="n"/>
      <c r="K381" s="52" t="n"/>
      <c r="L381" s="58" t="n"/>
      <c r="M381" s="58" t="n"/>
      <c r="N381" s="70" t="n"/>
      <c r="O381" s="56" t="n"/>
      <c r="P381" s="1" t="n"/>
      <c r="Q381" s="1" t="n"/>
    </row>
    <row r="382">
      <c r="A382" s="34">
        <f>IF($H382="UNIDADE CONSTRUTIVA",OFFSET(A382,-1,0)+1,LARGE(A$3:A381,1))</f>
        <v/>
      </c>
      <c r="B382" s="34">
        <f>IF(H382="UNIDADE CONSTRUTIVA",0,IF(H382="CÉLULA CONSTRUTIVA",OFFSET(B382,-1,0)+1,OFFSET(B382,-1,0)))</f>
        <v/>
      </c>
      <c r="C382" s="34">
        <f>IF(H382="CÉLULA CONSTRUTIVA",0,IF(H382="ETAPA",OFFSET(C382,-1,0)+1,OFFSET(C382,-1,0)))</f>
        <v/>
      </c>
      <c r="D382" s="35">
        <f>IF(H382="ETAPA",0,IF(H382="SUBETAPA",OFFSET(D382,-1,0)+1,OFFSET(D382,-1,0)))</f>
        <v/>
      </c>
      <c r="E382" s="35">
        <f>IF(H382="Subetapa",0,IF(H382="serviço",OFFSET(E382,-1,0)+1,OFFSET(E382,-1,0)))</f>
        <v/>
      </c>
      <c r="F382" s="56" t="n"/>
      <c r="G382" s="1" t="n"/>
      <c r="H382" s="1" t="n"/>
      <c r="I382" s="1" t="n"/>
      <c r="J382" s="64" t="n"/>
      <c r="K382" s="52" t="n"/>
      <c r="L382" s="58" t="n"/>
      <c r="M382" s="58" t="n"/>
      <c r="N382" s="70" t="n"/>
      <c r="O382" s="56" t="n"/>
      <c r="P382" s="1" t="n"/>
      <c r="Q382" s="1" t="n"/>
    </row>
    <row r="383">
      <c r="A383" s="34">
        <f>IF($H383="UNIDADE CONSTRUTIVA",OFFSET(A383,-1,0)+1,LARGE(A$3:A382,1))</f>
        <v/>
      </c>
      <c r="B383" s="34">
        <f>IF(H383="UNIDADE CONSTRUTIVA",0,IF(H383="CÉLULA CONSTRUTIVA",OFFSET(B383,-1,0)+1,OFFSET(B383,-1,0)))</f>
        <v/>
      </c>
      <c r="C383" s="34">
        <f>IF(H383="CÉLULA CONSTRUTIVA",0,IF(H383="ETAPA",OFFSET(C383,-1,0)+1,OFFSET(C383,-1,0)))</f>
        <v/>
      </c>
      <c r="D383" s="35">
        <f>IF(H383="ETAPA",0,IF(H383="SUBETAPA",OFFSET(D383,-1,0)+1,OFFSET(D383,-1,0)))</f>
        <v/>
      </c>
      <c r="E383" s="35">
        <f>IF(H383="Subetapa",0,IF(H383="serviço",OFFSET(E383,-1,0)+1,OFFSET(E383,-1,0)))</f>
        <v/>
      </c>
      <c r="F383" s="56" t="n"/>
      <c r="G383" s="1" t="n"/>
      <c r="H383" s="1" t="n"/>
      <c r="I383" s="1" t="n"/>
      <c r="J383" s="64" t="n"/>
      <c r="K383" s="52" t="n"/>
      <c r="L383" s="58" t="n"/>
      <c r="M383" s="58" t="n"/>
      <c r="N383" s="70" t="n"/>
      <c r="O383" s="56" t="n"/>
      <c r="P383" s="1" t="n"/>
      <c r="Q383" s="1" t="n"/>
    </row>
    <row r="384">
      <c r="A384" s="34">
        <f>IF($H384="UNIDADE CONSTRUTIVA",OFFSET(A384,-1,0)+1,LARGE(A$3:A383,1))</f>
        <v/>
      </c>
      <c r="B384" s="34">
        <f>IF(H384="UNIDADE CONSTRUTIVA",0,IF(H384="CÉLULA CONSTRUTIVA",OFFSET(B384,-1,0)+1,OFFSET(B384,-1,0)))</f>
        <v/>
      </c>
      <c r="C384" s="34">
        <f>IF(H384="CÉLULA CONSTRUTIVA",0,IF(H384="ETAPA",OFFSET(C384,-1,0)+1,OFFSET(C384,-1,0)))</f>
        <v/>
      </c>
      <c r="D384" s="35">
        <f>IF(H384="ETAPA",0,IF(H384="SUBETAPA",OFFSET(D384,-1,0)+1,OFFSET(D384,-1,0)))</f>
        <v/>
      </c>
      <c r="E384" s="35">
        <f>IF(H384="Subetapa",0,IF(H384="serviço",OFFSET(E384,-1,0)+1,OFFSET(E384,-1,0)))</f>
        <v/>
      </c>
      <c r="F384" s="56" t="n"/>
      <c r="G384" s="1" t="n"/>
      <c r="H384" s="1" t="n"/>
      <c r="I384" s="1" t="n"/>
      <c r="J384" s="64" t="n"/>
      <c r="K384" s="52" t="n"/>
      <c r="L384" s="58" t="n"/>
      <c r="M384" s="58" t="n"/>
      <c r="N384" s="70" t="n"/>
      <c r="O384" s="56" t="n"/>
      <c r="P384" s="1" t="n"/>
      <c r="Q384" s="1" t="n"/>
    </row>
    <row r="385">
      <c r="A385" s="34">
        <f>IF($H385="UNIDADE CONSTRUTIVA",OFFSET(A385,-1,0)+1,LARGE(A$3:A384,1))</f>
        <v/>
      </c>
      <c r="B385" s="34">
        <f>IF(H385="UNIDADE CONSTRUTIVA",0,IF(H385="CÉLULA CONSTRUTIVA",OFFSET(B385,-1,0)+1,OFFSET(B385,-1,0)))</f>
        <v/>
      </c>
      <c r="C385" s="34">
        <f>IF(H385="CÉLULA CONSTRUTIVA",0,IF(H385="ETAPA",OFFSET(C385,-1,0)+1,OFFSET(C385,-1,0)))</f>
        <v/>
      </c>
      <c r="D385" s="35">
        <f>IF(H385="ETAPA",0,IF(H385="SUBETAPA",OFFSET(D385,-1,0)+1,OFFSET(D385,-1,0)))</f>
        <v/>
      </c>
      <c r="E385" s="35">
        <f>IF(H385="Subetapa",0,IF(H385="serviço",OFFSET(E385,-1,0)+1,OFFSET(E385,-1,0)))</f>
        <v/>
      </c>
      <c r="F385" s="56" t="n"/>
      <c r="G385" s="1" t="n"/>
      <c r="H385" s="1" t="n"/>
      <c r="I385" s="1" t="n"/>
      <c r="J385" s="64" t="n"/>
      <c r="K385" s="52" t="n"/>
      <c r="L385" s="58" t="n"/>
      <c r="M385" s="58" t="n"/>
      <c r="N385" s="70" t="n"/>
      <c r="O385" s="56" t="n"/>
      <c r="P385" s="1" t="n"/>
      <c r="Q385" s="1" t="n"/>
    </row>
    <row r="386">
      <c r="A386" s="34">
        <f>IF($H386="UNIDADE CONSTRUTIVA",OFFSET(A386,-1,0)+1,LARGE(A$3:A385,1))</f>
        <v/>
      </c>
      <c r="B386" s="34">
        <f>IF(H386="UNIDADE CONSTRUTIVA",0,IF(H386="CÉLULA CONSTRUTIVA",OFFSET(B386,-1,0)+1,OFFSET(B386,-1,0)))</f>
        <v/>
      </c>
      <c r="C386" s="34">
        <f>IF(H386="CÉLULA CONSTRUTIVA",0,IF(H386="ETAPA",OFFSET(C386,-1,0)+1,OFFSET(C386,-1,0)))</f>
        <v/>
      </c>
      <c r="D386" s="35">
        <f>IF(H386="ETAPA",0,IF(H386="SUBETAPA",OFFSET(D386,-1,0)+1,OFFSET(D386,-1,0)))</f>
        <v/>
      </c>
      <c r="E386" s="35">
        <f>IF(H386="Subetapa",0,IF(H386="serviço",OFFSET(E386,-1,0)+1,OFFSET(E386,-1,0)))</f>
        <v/>
      </c>
      <c r="F386" s="56" t="n"/>
      <c r="G386" s="1" t="n"/>
      <c r="H386" s="1" t="n"/>
      <c r="I386" s="1" t="n"/>
      <c r="J386" s="64" t="n"/>
      <c r="K386" s="52" t="n"/>
      <c r="L386" s="58" t="n"/>
      <c r="M386" s="58" t="n"/>
      <c r="N386" s="70" t="n"/>
      <c r="O386" s="56" t="n"/>
      <c r="P386" s="1" t="n"/>
      <c r="Q386" s="1" t="n"/>
    </row>
    <row r="387">
      <c r="A387" s="34">
        <f>IF($H387="UNIDADE CONSTRUTIVA",OFFSET(A387,-1,0)+1,LARGE(A$3:A386,1))</f>
        <v/>
      </c>
      <c r="B387" s="34">
        <f>IF(H387="UNIDADE CONSTRUTIVA",0,IF(H387="CÉLULA CONSTRUTIVA",OFFSET(B387,-1,0)+1,OFFSET(B387,-1,0)))</f>
        <v/>
      </c>
      <c r="C387" s="34">
        <f>IF(H387="CÉLULA CONSTRUTIVA",0,IF(H387="ETAPA",OFFSET(C387,-1,0)+1,OFFSET(C387,-1,0)))</f>
        <v/>
      </c>
      <c r="D387" s="35">
        <f>IF(H387="ETAPA",0,IF(H387="SUBETAPA",OFFSET(D387,-1,0)+1,OFFSET(D387,-1,0)))</f>
        <v/>
      </c>
      <c r="E387" s="35">
        <f>IF(H387="Subetapa",0,IF(H387="serviço",OFFSET(E387,-1,0)+1,OFFSET(E387,-1,0)))</f>
        <v/>
      </c>
      <c r="F387" s="56" t="n"/>
      <c r="G387" s="1" t="n"/>
      <c r="H387" s="1" t="n"/>
      <c r="I387" s="1" t="n"/>
      <c r="J387" s="64" t="n"/>
      <c r="K387" s="52" t="n"/>
      <c r="L387" s="58" t="n"/>
      <c r="M387" s="58" t="n"/>
      <c r="N387" s="70" t="n"/>
      <c r="O387" s="56" t="n"/>
      <c r="P387" s="1" t="n"/>
      <c r="Q387" s="1" t="n"/>
    </row>
    <row r="388">
      <c r="A388" s="34">
        <f>IF($H388="UNIDADE CONSTRUTIVA",OFFSET(A388,-1,0)+1,LARGE(A$3:A387,1))</f>
        <v/>
      </c>
      <c r="B388" s="34">
        <f>IF(H388="UNIDADE CONSTRUTIVA",0,IF(H388="CÉLULA CONSTRUTIVA",OFFSET(B388,-1,0)+1,OFFSET(B388,-1,0)))</f>
        <v/>
      </c>
      <c r="C388" s="34">
        <f>IF(H388="CÉLULA CONSTRUTIVA",0,IF(H388="ETAPA",OFFSET(C388,-1,0)+1,OFFSET(C388,-1,0)))</f>
        <v/>
      </c>
      <c r="D388" s="35">
        <f>IF(H388="ETAPA",0,IF(H388="SUBETAPA",OFFSET(D388,-1,0)+1,OFFSET(D388,-1,0)))</f>
        <v/>
      </c>
      <c r="E388" s="35">
        <f>IF(H388="Subetapa",0,IF(H388="serviço",OFFSET(E388,-1,0)+1,OFFSET(E388,-1,0)))</f>
        <v/>
      </c>
      <c r="F388" s="56" t="n"/>
      <c r="G388" s="1" t="n"/>
      <c r="H388" s="1" t="n"/>
      <c r="I388" s="1" t="n"/>
      <c r="J388" s="64" t="n"/>
      <c r="K388" s="52" t="n"/>
      <c r="L388" s="58" t="n"/>
      <c r="M388" s="58" t="n"/>
      <c r="N388" s="70" t="n"/>
      <c r="O388" s="56" t="n"/>
      <c r="P388" s="1" t="n"/>
      <c r="Q388" s="1" t="n"/>
    </row>
    <row r="389">
      <c r="A389" s="34">
        <f>IF($H389="UNIDADE CONSTRUTIVA",OFFSET(A389,-1,0)+1,LARGE(A$3:A388,1))</f>
        <v/>
      </c>
      <c r="B389" s="34">
        <f>IF(H389="UNIDADE CONSTRUTIVA",0,IF(H389="CÉLULA CONSTRUTIVA",OFFSET(B389,-1,0)+1,OFFSET(B389,-1,0)))</f>
        <v/>
      </c>
      <c r="C389" s="34">
        <f>IF(H389="CÉLULA CONSTRUTIVA",0,IF(H389="ETAPA",OFFSET(C389,-1,0)+1,OFFSET(C389,-1,0)))</f>
        <v/>
      </c>
      <c r="D389" s="35">
        <f>IF(H389="ETAPA",0,IF(H389="SUBETAPA",OFFSET(D389,-1,0)+1,OFFSET(D389,-1,0)))</f>
        <v/>
      </c>
      <c r="E389" s="35">
        <f>IF(H389="Subetapa",0,IF(H389="serviço",OFFSET(E389,-1,0)+1,OFFSET(E389,-1,0)))</f>
        <v/>
      </c>
      <c r="F389" s="56" t="n"/>
      <c r="G389" s="1" t="n"/>
      <c r="H389" s="1" t="n"/>
      <c r="I389" s="1" t="n"/>
      <c r="J389" s="64" t="n"/>
      <c r="K389" s="52" t="n"/>
      <c r="L389" s="58" t="n"/>
      <c r="M389" s="58" t="n"/>
      <c r="N389" s="70" t="n"/>
      <c r="O389" s="56" t="n"/>
      <c r="P389" s="1" t="n"/>
      <c r="Q389" s="1" t="n"/>
    </row>
    <row r="390">
      <c r="A390" s="34">
        <f>IF($H390="UNIDADE CONSTRUTIVA",OFFSET(A390,-1,0)+1,LARGE(A$3:A389,1))</f>
        <v/>
      </c>
      <c r="B390" s="34">
        <f>IF(H390="UNIDADE CONSTRUTIVA",0,IF(H390="CÉLULA CONSTRUTIVA",OFFSET(B390,-1,0)+1,OFFSET(B390,-1,0)))</f>
        <v/>
      </c>
      <c r="C390" s="34">
        <f>IF(H390="CÉLULA CONSTRUTIVA",0,IF(H390="ETAPA",OFFSET(C390,-1,0)+1,OFFSET(C390,-1,0)))</f>
        <v/>
      </c>
      <c r="D390" s="35">
        <f>IF(H390="ETAPA",0,IF(H390="SUBETAPA",OFFSET(D390,-1,0)+1,OFFSET(D390,-1,0)))</f>
        <v/>
      </c>
      <c r="E390" s="35">
        <f>IF(H390="Subetapa",0,IF(H390="serviço",OFFSET(E390,-1,0)+1,OFFSET(E390,-1,0)))</f>
        <v/>
      </c>
      <c r="F390" s="56" t="n"/>
      <c r="G390" s="1" t="n"/>
      <c r="H390" s="1" t="n"/>
      <c r="I390" s="1" t="n"/>
      <c r="J390" s="64" t="n"/>
      <c r="K390" s="52" t="n"/>
      <c r="L390" s="58" t="n"/>
      <c r="M390" s="58" t="n"/>
      <c r="N390" s="70" t="n"/>
      <c r="O390" s="56" t="n"/>
      <c r="P390" s="1" t="n"/>
      <c r="Q390" s="1" t="n"/>
    </row>
    <row r="391">
      <c r="A391" s="34">
        <f>IF($H391="UNIDADE CONSTRUTIVA",OFFSET(A391,-1,0)+1,LARGE(A$3:A390,1))</f>
        <v/>
      </c>
      <c r="B391" s="34">
        <f>IF(H391="UNIDADE CONSTRUTIVA",0,IF(H391="CÉLULA CONSTRUTIVA",OFFSET(B391,-1,0)+1,OFFSET(B391,-1,0)))</f>
        <v/>
      </c>
      <c r="C391" s="34">
        <f>IF(H391="CÉLULA CONSTRUTIVA",0,IF(H391="ETAPA",OFFSET(C391,-1,0)+1,OFFSET(C391,-1,0)))</f>
        <v/>
      </c>
      <c r="D391" s="35">
        <f>IF(H391="ETAPA",0,IF(H391="SUBETAPA",OFFSET(D391,-1,0)+1,OFFSET(D391,-1,0)))</f>
        <v/>
      </c>
      <c r="E391" s="35">
        <f>IF(H391="Subetapa",0,IF(H391="serviço",OFFSET(E391,-1,0)+1,OFFSET(E391,-1,0)))</f>
        <v/>
      </c>
      <c r="F391" s="56" t="n"/>
      <c r="G391" s="1" t="n"/>
      <c r="H391" s="1" t="n"/>
      <c r="I391" s="1" t="n"/>
      <c r="J391" s="64" t="n"/>
      <c r="K391" s="52" t="n"/>
      <c r="L391" s="58" t="n"/>
      <c r="M391" s="58" t="n"/>
      <c r="N391" s="70" t="n"/>
      <c r="O391" s="56" t="n"/>
      <c r="P391" s="1" t="n"/>
      <c r="Q391" s="1" t="n"/>
    </row>
    <row r="392">
      <c r="A392" s="34">
        <f>IF($H392="UNIDADE CONSTRUTIVA",OFFSET(A392,-1,0)+1,LARGE(A$3:A391,1))</f>
        <v/>
      </c>
      <c r="B392" s="34">
        <f>IF(H392="UNIDADE CONSTRUTIVA",0,IF(H392="CÉLULA CONSTRUTIVA",OFFSET(B392,-1,0)+1,OFFSET(B392,-1,0)))</f>
        <v/>
      </c>
      <c r="C392" s="34">
        <f>IF(H392="CÉLULA CONSTRUTIVA",0,IF(H392="ETAPA",OFFSET(C392,-1,0)+1,OFFSET(C392,-1,0)))</f>
        <v/>
      </c>
      <c r="D392" s="35">
        <f>IF(H392="ETAPA",0,IF(H392="SUBETAPA",OFFSET(D392,-1,0)+1,OFFSET(D392,-1,0)))</f>
        <v/>
      </c>
      <c r="E392" s="35">
        <f>IF(H392="Subetapa",0,IF(H392="serviço",OFFSET(E392,-1,0)+1,OFFSET(E392,-1,0)))</f>
        <v/>
      </c>
      <c r="F392" s="56" t="n"/>
      <c r="G392" s="1" t="n"/>
      <c r="H392" s="1" t="n"/>
      <c r="I392" s="1" t="n"/>
      <c r="J392" s="64" t="n"/>
      <c r="K392" s="52" t="n"/>
      <c r="L392" s="58" t="n"/>
      <c r="M392" s="58" t="n"/>
      <c r="N392" s="70" t="n"/>
      <c r="O392" s="56" t="n"/>
      <c r="P392" s="1" t="n"/>
      <c r="Q392" s="1" t="n"/>
    </row>
    <row r="393">
      <c r="A393" s="34">
        <f>IF($H393="UNIDADE CONSTRUTIVA",OFFSET(A393,-1,0)+1,LARGE(A$3:A392,1))</f>
        <v/>
      </c>
      <c r="B393" s="34">
        <f>IF(H393="UNIDADE CONSTRUTIVA",0,IF(H393="CÉLULA CONSTRUTIVA",OFFSET(B393,-1,0)+1,OFFSET(B393,-1,0)))</f>
        <v/>
      </c>
      <c r="C393" s="34">
        <f>IF(H393="CÉLULA CONSTRUTIVA",0,IF(H393="ETAPA",OFFSET(C393,-1,0)+1,OFFSET(C393,-1,0)))</f>
        <v/>
      </c>
      <c r="D393" s="35">
        <f>IF(H393="ETAPA",0,IF(H393="SUBETAPA",OFFSET(D393,-1,0)+1,OFFSET(D393,-1,0)))</f>
        <v/>
      </c>
      <c r="E393" s="35">
        <f>IF(H393="Subetapa",0,IF(H393="serviço",OFFSET(E393,-1,0)+1,OFFSET(E393,-1,0)))</f>
        <v/>
      </c>
      <c r="F393" s="56" t="n"/>
      <c r="G393" s="1" t="n"/>
      <c r="H393" s="1" t="n"/>
      <c r="I393" s="1" t="n"/>
      <c r="J393" s="64" t="n"/>
      <c r="K393" s="52" t="n"/>
      <c r="L393" s="58" t="n"/>
      <c r="M393" s="58" t="n"/>
      <c r="N393" s="70" t="n"/>
      <c r="O393" s="56" t="n"/>
      <c r="P393" s="1" t="n"/>
      <c r="Q393" s="1" t="n"/>
    </row>
    <row r="394">
      <c r="A394" s="34">
        <f>IF($H394="UNIDADE CONSTRUTIVA",OFFSET(A394,-1,0)+1,LARGE(A$3:A393,1))</f>
        <v/>
      </c>
      <c r="B394" s="34">
        <f>IF(H394="UNIDADE CONSTRUTIVA",0,IF(H394="CÉLULA CONSTRUTIVA",OFFSET(B394,-1,0)+1,OFFSET(B394,-1,0)))</f>
        <v/>
      </c>
      <c r="C394" s="34">
        <f>IF(H394="CÉLULA CONSTRUTIVA",0,IF(H394="ETAPA",OFFSET(C394,-1,0)+1,OFFSET(C394,-1,0)))</f>
        <v/>
      </c>
      <c r="D394" s="35">
        <f>IF(H394="ETAPA",0,IF(H394="SUBETAPA",OFFSET(D394,-1,0)+1,OFFSET(D394,-1,0)))</f>
        <v/>
      </c>
      <c r="E394" s="35">
        <f>IF(H394="Subetapa",0,IF(H394="serviço",OFFSET(E394,-1,0)+1,OFFSET(E394,-1,0)))</f>
        <v/>
      </c>
      <c r="F394" s="56" t="n"/>
      <c r="G394" s="1" t="n"/>
      <c r="H394" s="1" t="n"/>
      <c r="I394" s="1" t="n"/>
      <c r="J394" s="64" t="n"/>
      <c r="K394" s="52" t="n"/>
      <c r="L394" s="58" t="n"/>
      <c r="M394" s="58" t="n"/>
      <c r="N394" s="70" t="n"/>
      <c r="O394" s="56" t="n"/>
      <c r="P394" s="1" t="n"/>
      <c r="Q394" s="1" t="n"/>
    </row>
    <row r="395">
      <c r="A395" s="34">
        <f>IF($H395="UNIDADE CONSTRUTIVA",OFFSET(A395,-1,0)+1,LARGE(A$3:A394,1))</f>
        <v/>
      </c>
      <c r="B395" s="34">
        <f>IF(H395="UNIDADE CONSTRUTIVA",0,IF(H395="CÉLULA CONSTRUTIVA",OFFSET(B395,-1,0)+1,OFFSET(B395,-1,0)))</f>
        <v/>
      </c>
      <c r="C395" s="34">
        <f>IF(H395="CÉLULA CONSTRUTIVA",0,IF(H395="ETAPA",OFFSET(C395,-1,0)+1,OFFSET(C395,-1,0)))</f>
        <v/>
      </c>
      <c r="D395" s="35">
        <f>IF(H395="ETAPA",0,IF(H395="SUBETAPA",OFFSET(D395,-1,0)+1,OFFSET(D395,-1,0)))</f>
        <v/>
      </c>
      <c r="E395" s="35">
        <f>IF(H395="Subetapa",0,IF(H395="serviço",OFFSET(E395,-1,0)+1,OFFSET(E395,-1,0)))</f>
        <v/>
      </c>
      <c r="F395" s="56" t="n"/>
      <c r="G395" s="1" t="n"/>
      <c r="H395" s="1" t="n"/>
      <c r="I395" s="1" t="n"/>
      <c r="J395" s="64" t="n"/>
      <c r="K395" s="52" t="n"/>
      <c r="L395" s="58" t="n"/>
      <c r="M395" s="58" t="n"/>
      <c r="N395" s="70" t="n"/>
      <c r="O395" s="56" t="n"/>
      <c r="P395" s="1" t="n"/>
      <c r="Q395" s="1" t="n"/>
    </row>
    <row r="396">
      <c r="A396" s="34">
        <f>IF($H396="UNIDADE CONSTRUTIVA",OFFSET(A396,-1,0)+1,LARGE(A$3:A395,1))</f>
        <v/>
      </c>
      <c r="B396" s="34">
        <f>IF(H396="UNIDADE CONSTRUTIVA",0,IF(H396="CÉLULA CONSTRUTIVA",OFFSET(B396,-1,0)+1,OFFSET(B396,-1,0)))</f>
        <v/>
      </c>
      <c r="C396" s="34">
        <f>IF(H396="CÉLULA CONSTRUTIVA",0,IF(H396="ETAPA",OFFSET(C396,-1,0)+1,OFFSET(C396,-1,0)))</f>
        <v/>
      </c>
      <c r="D396" s="35">
        <f>IF(H396="ETAPA",0,IF(H396="SUBETAPA",OFFSET(D396,-1,0)+1,OFFSET(D396,-1,0)))</f>
        <v/>
      </c>
      <c r="E396" s="35">
        <f>IF(H396="Subetapa",0,IF(H396="serviço",OFFSET(E396,-1,0)+1,OFFSET(E396,-1,0)))</f>
        <v/>
      </c>
      <c r="F396" s="56" t="n"/>
      <c r="G396" s="1" t="n"/>
      <c r="H396" s="1" t="n"/>
      <c r="I396" s="1" t="n"/>
      <c r="J396" s="64" t="n"/>
      <c r="K396" s="52" t="n"/>
      <c r="L396" s="58" t="n"/>
      <c r="M396" s="58" t="n"/>
      <c r="N396" s="70" t="n"/>
      <c r="O396" s="56" t="n"/>
      <c r="P396" s="1" t="n"/>
      <c r="Q396" s="1" t="n"/>
    </row>
    <row r="397">
      <c r="A397" s="34">
        <f>IF($H397="UNIDADE CONSTRUTIVA",OFFSET(A397,-1,0)+1,LARGE(A$3:A396,1))</f>
        <v/>
      </c>
      <c r="B397" s="34">
        <f>IF(H397="UNIDADE CONSTRUTIVA",0,IF(H397="CÉLULA CONSTRUTIVA",OFFSET(B397,-1,0)+1,OFFSET(B397,-1,0)))</f>
        <v/>
      </c>
      <c r="C397" s="34">
        <f>IF(H397="CÉLULA CONSTRUTIVA",0,IF(H397="ETAPA",OFFSET(C397,-1,0)+1,OFFSET(C397,-1,0)))</f>
        <v/>
      </c>
      <c r="D397" s="35">
        <f>IF(H397="ETAPA",0,IF(H397="SUBETAPA",OFFSET(D397,-1,0)+1,OFFSET(D397,-1,0)))</f>
        <v/>
      </c>
      <c r="E397" s="35">
        <f>IF(H397="Subetapa",0,IF(H397="serviço",OFFSET(E397,-1,0)+1,OFFSET(E397,-1,0)))</f>
        <v/>
      </c>
      <c r="F397" s="56" t="n"/>
      <c r="G397" s="1" t="n"/>
      <c r="H397" s="1" t="n"/>
      <c r="I397" s="1" t="n"/>
      <c r="J397" s="64" t="n"/>
      <c r="K397" s="52" t="n"/>
      <c r="L397" s="58" t="n"/>
      <c r="M397" s="58" t="n"/>
      <c r="N397" s="70" t="n"/>
      <c r="O397" s="56" t="n"/>
      <c r="P397" s="1" t="n"/>
      <c r="Q397" s="1" t="n"/>
    </row>
    <row r="398">
      <c r="A398" s="34">
        <f>IF($H398="UNIDADE CONSTRUTIVA",OFFSET(A398,-1,0)+1,LARGE(A$3:A397,1))</f>
        <v/>
      </c>
      <c r="B398" s="34">
        <f>IF(H398="UNIDADE CONSTRUTIVA",0,IF(H398="CÉLULA CONSTRUTIVA",OFFSET(B398,-1,0)+1,OFFSET(B398,-1,0)))</f>
        <v/>
      </c>
      <c r="C398" s="34">
        <f>IF(H398="CÉLULA CONSTRUTIVA",0,IF(H398="ETAPA",OFFSET(C398,-1,0)+1,OFFSET(C398,-1,0)))</f>
        <v/>
      </c>
      <c r="D398" s="35">
        <f>IF(H398="ETAPA",0,IF(H398="SUBETAPA",OFFSET(D398,-1,0)+1,OFFSET(D398,-1,0)))</f>
        <v/>
      </c>
      <c r="E398" s="35">
        <f>IF(H398="Subetapa",0,IF(H398="serviço",OFFSET(E398,-1,0)+1,OFFSET(E398,-1,0)))</f>
        <v/>
      </c>
      <c r="F398" s="56" t="n"/>
      <c r="G398" s="1" t="n"/>
      <c r="H398" s="1" t="n"/>
      <c r="I398" s="1" t="n"/>
      <c r="J398" s="64" t="n"/>
      <c r="K398" s="52" t="n"/>
      <c r="L398" s="58" t="n"/>
      <c r="M398" s="58" t="n"/>
      <c r="N398" s="70" t="n"/>
      <c r="O398" s="56" t="n"/>
      <c r="P398" s="1" t="n"/>
      <c r="Q398" s="1" t="n"/>
    </row>
    <row r="399">
      <c r="A399" s="34">
        <f>IF($H399="UNIDADE CONSTRUTIVA",OFFSET(A399,-1,0)+1,LARGE(A$3:A398,1))</f>
        <v/>
      </c>
      <c r="B399" s="34">
        <f>IF(H399="UNIDADE CONSTRUTIVA",0,IF(H399="CÉLULA CONSTRUTIVA",OFFSET(B399,-1,0)+1,OFFSET(B399,-1,0)))</f>
        <v/>
      </c>
      <c r="C399" s="34">
        <f>IF(H399="CÉLULA CONSTRUTIVA",0,IF(H399="ETAPA",OFFSET(C399,-1,0)+1,OFFSET(C399,-1,0)))</f>
        <v/>
      </c>
      <c r="D399" s="35">
        <f>IF(H399="ETAPA",0,IF(H399="SUBETAPA",OFFSET(D399,-1,0)+1,OFFSET(D399,-1,0)))</f>
        <v/>
      </c>
      <c r="E399" s="35">
        <f>IF(H399="Subetapa",0,IF(H399="serviço",OFFSET(E399,-1,0)+1,OFFSET(E399,-1,0)))</f>
        <v/>
      </c>
      <c r="F399" s="56" t="n"/>
      <c r="G399" s="1" t="n"/>
      <c r="H399" s="1" t="n"/>
      <c r="I399" s="1" t="n"/>
      <c r="J399" s="64" t="n"/>
      <c r="K399" s="52" t="n"/>
      <c r="L399" s="58" t="n"/>
      <c r="M399" s="58" t="n"/>
      <c r="N399" s="70" t="n"/>
      <c r="O399" s="56" t="n"/>
      <c r="P399" s="1" t="n"/>
      <c r="Q399" s="1" t="n"/>
    </row>
    <row r="400">
      <c r="A400" s="34">
        <f>IF($H400="UNIDADE CONSTRUTIVA",OFFSET(A400,-1,0)+1,LARGE(A$3:A399,1))</f>
        <v/>
      </c>
      <c r="B400" s="34">
        <f>IF(H400="UNIDADE CONSTRUTIVA",0,IF(H400="CÉLULA CONSTRUTIVA",OFFSET(B400,-1,0)+1,OFFSET(B400,-1,0)))</f>
        <v/>
      </c>
      <c r="C400" s="34">
        <f>IF(H400="CÉLULA CONSTRUTIVA",0,IF(H400="ETAPA",OFFSET(C400,-1,0)+1,OFFSET(C400,-1,0)))</f>
        <v/>
      </c>
      <c r="D400" s="35">
        <f>IF(H400="ETAPA",0,IF(H400="SUBETAPA",OFFSET(D400,-1,0)+1,OFFSET(D400,-1,0)))</f>
        <v/>
      </c>
      <c r="E400" s="35">
        <f>IF(H400="Subetapa",0,IF(H400="serviço",OFFSET(E400,-1,0)+1,OFFSET(E400,-1,0)))</f>
        <v/>
      </c>
      <c r="F400" s="56" t="n"/>
      <c r="G400" s="1" t="n"/>
      <c r="H400" s="1" t="n"/>
      <c r="I400" s="1" t="n"/>
      <c r="J400" s="64" t="n"/>
      <c r="K400" s="52" t="n"/>
      <c r="L400" s="58" t="n"/>
      <c r="M400" s="58" t="n"/>
      <c r="N400" s="70" t="n"/>
      <c r="O400" s="56" t="n"/>
      <c r="P400" s="1" t="n"/>
      <c r="Q400" s="1" t="n"/>
    </row>
    <row r="401">
      <c r="A401" s="34">
        <f>IF($H401="UNIDADE CONSTRUTIVA",OFFSET(A401,-1,0)+1,LARGE(A$3:A400,1))</f>
        <v/>
      </c>
      <c r="B401" s="34">
        <f>IF(H401="UNIDADE CONSTRUTIVA",0,IF(H401="CÉLULA CONSTRUTIVA",OFFSET(B401,-1,0)+1,OFFSET(B401,-1,0)))</f>
        <v/>
      </c>
      <c r="C401" s="34">
        <f>IF(H401="CÉLULA CONSTRUTIVA",0,IF(H401="ETAPA",OFFSET(C401,-1,0)+1,OFFSET(C401,-1,0)))</f>
        <v/>
      </c>
      <c r="D401" s="35">
        <f>IF(H401="ETAPA",0,IF(H401="SUBETAPA",OFFSET(D401,-1,0)+1,OFFSET(D401,-1,0)))</f>
        <v/>
      </c>
      <c r="E401" s="35">
        <f>IF(H401="Subetapa",0,IF(H401="serviço",OFFSET(E401,-1,0)+1,OFFSET(E401,-1,0)))</f>
        <v/>
      </c>
      <c r="F401" s="56" t="n"/>
      <c r="G401" s="1" t="n"/>
      <c r="H401" s="1" t="n"/>
      <c r="I401" s="1" t="n"/>
      <c r="J401" s="64" t="n"/>
      <c r="K401" s="52" t="n"/>
      <c r="L401" s="58" t="n"/>
      <c r="M401" s="58" t="n"/>
      <c r="N401" s="70" t="n"/>
      <c r="O401" s="56" t="n"/>
      <c r="P401" s="1" t="n"/>
      <c r="Q401" s="1" t="n"/>
    </row>
    <row r="402">
      <c r="A402" s="34">
        <f>IF($H402="UNIDADE CONSTRUTIVA",OFFSET(A402,-1,0)+1,LARGE(A$3:A401,1))</f>
        <v/>
      </c>
      <c r="B402" s="34">
        <f>IF(H402="UNIDADE CONSTRUTIVA",0,IF(H402="CÉLULA CONSTRUTIVA",OFFSET(B402,-1,0)+1,OFFSET(B402,-1,0)))</f>
        <v/>
      </c>
      <c r="C402" s="34">
        <f>IF(H402="CÉLULA CONSTRUTIVA",0,IF(H402="ETAPA",OFFSET(C402,-1,0)+1,OFFSET(C402,-1,0)))</f>
        <v/>
      </c>
      <c r="D402" s="35">
        <f>IF(H402="ETAPA",0,IF(H402="SUBETAPA",OFFSET(D402,-1,0)+1,OFFSET(D402,-1,0)))</f>
        <v/>
      </c>
      <c r="E402" s="35">
        <f>IF(H402="Subetapa",0,IF(H402="serviço",OFFSET(E402,-1,0)+1,OFFSET(E402,-1,0)))</f>
        <v/>
      </c>
      <c r="F402" s="56" t="n"/>
      <c r="G402" s="1" t="n"/>
      <c r="H402" s="1" t="n"/>
      <c r="I402" s="1" t="n"/>
      <c r="J402" s="64" t="n"/>
      <c r="K402" s="52" t="n"/>
      <c r="L402" s="58" t="n"/>
      <c r="M402" s="58" t="n"/>
      <c r="N402" s="70" t="n"/>
      <c r="O402" s="56" t="n"/>
      <c r="P402" s="1" t="n"/>
      <c r="Q402" s="1" t="n"/>
    </row>
    <row r="403">
      <c r="A403" s="34">
        <f>IF($H403="UNIDADE CONSTRUTIVA",OFFSET(A403,-1,0)+1,LARGE(A$3:A402,1))</f>
        <v/>
      </c>
      <c r="B403" s="34">
        <f>IF(H403="UNIDADE CONSTRUTIVA",0,IF(H403="CÉLULA CONSTRUTIVA",OFFSET(B403,-1,0)+1,OFFSET(B403,-1,0)))</f>
        <v/>
      </c>
      <c r="C403" s="34">
        <f>IF(H403="CÉLULA CONSTRUTIVA",0,IF(H403="ETAPA",OFFSET(C403,-1,0)+1,OFFSET(C403,-1,0)))</f>
        <v/>
      </c>
      <c r="D403" s="35">
        <f>IF(H403="ETAPA",0,IF(H403="SUBETAPA",OFFSET(D403,-1,0)+1,OFFSET(D403,-1,0)))</f>
        <v/>
      </c>
      <c r="E403" s="35">
        <f>IF(H403="Subetapa",0,IF(H403="serviço",OFFSET(E403,-1,0)+1,OFFSET(E403,-1,0)))</f>
        <v/>
      </c>
      <c r="F403" s="56" t="n"/>
      <c r="G403" s="1" t="n"/>
      <c r="H403" s="1" t="n"/>
      <c r="I403" s="1" t="n"/>
      <c r="J403" s="64" t="n"/>
      <c r="K403" s="52" t="n"/>
      <c r="L403" s="58" t="n"/>
      <c r="M403" s="58" t="n"/>
      <c r="N403" s="70" t="n"/>
      <c r="O403" s="56" t="n"/>
      <c r="P403" s="1" t="n"/>
      <c r="Q403" s="1" t="n"/>
    </row>
    <row r="404">
      <c r="A404" s="34">
        <f>IF($H404="UNIDADE CONSTRUTIVA",OFFSET(A404,-1,0)+1,LARGE(A$3:A403,1))</f>
        <v/>
      </c>
      <c r="B404" s="34">
        <f>IF(H404="UNIDADE CONSTRUTIVA",0,IF(H404="CÉLULA CONSTRUTIVA",OFFSET(B404,-1,0)+1,OFFSET(B404,-1,0)))</f>
        <v/>
      </c>
      <c r="C404" s="34">
        <f>IF(H404="CÉLULA CONSTRUTIVA",0,IF(H404="ETAPA",OFFSET(C404,-1,0)+1,OFFSET(C404,-1,0)))</f>
        <v/>
      </c>
      <c r="D404" s="35">
        <f>IF(H404="ETAPA",0,IF(H404="SUBETAPA",OFFSET(D404,-1,0)+1,OFFSET(D404,-1,0)))</f>
        <v/>
      </c>
      <c r="E404" s="35">
        <f>IF(H404="Subetapa",0,IF(H404="serviço",OFFSET(E404,-1,0)+1,OFFSET(E404,-1,0)))</f>
        <v/>
      </c>
      <c r="F404" s="56" t="n"/>
      <c r="G404" s="1" t="n"/>
      <c r="H404" s="1" t="n"/>
      <c r="I404" s="1" t="n"/>
      <c r="J404" s="64" t="n"/>
      <c r="K404" s="52" t="n"/>
      <c r="L404" s="58" t="n"/>
      <c r="M404" s="58" t="n"/>
      <c r="N404" s="70" t="n"/>
      <c r="O404" s="56" t="n"/>
      <c r="P404" s="1" t="n"/>
      <c r="Q404" s="1" t="n"/>
    </row>
    <row r="405">
      <c r="A405" s="34">
        <f>IF($H405="UNIDADE CONSTRUTIVA",OFFSET(A405,-1,0)+1,LARGE(A$3:A404,1))</f>
        <v/>
      </c>
      <c r="B405" s="34">
        <f>IF(H405="UNIDADE CONSTRUTIVA",0,IF(H405="CÉLULA CONSTRUTIVA",OFFSET(B405,-1,0)+1,OFFSET(B405,-1,0)))</f>
        <v/>
      </c>
      <c r="C405" s="34">
        <f>IF(H405="CÉLULA CONSTRUTIVA",0,IF(H405="ETAPA",OFFSET(C405,-1,0)+1,OFFSET(C405,-1,0)))</f>
        <v/>
      </c>
      <c r="D405" s="35">
        <f>IF(H405="ETAPA",0,IF(H405="SUBETAPA",OFFSET(D405,-1,0)+1,OFFSET(D405,-1,0)))</f>
        <v/>
      </c>
      <c r="E405" s="35">
        <f>IF(H405="Subetapa",0,IF(H405="serviço",OFFSET(E405,-1,0)+1,OFFSET(E405,-1,0)))</f>
        <v/>
      </c>
      <c r="F405" s="56" t="n"/>
      <c r="G405" s="1" t="n"/>
      <c r="H405" s="1" t="n"/>
      <c r="I405" s="1" t="n"/>
      <c r="J405" s="64" t="n"/>
      <c r="K405" s="52" t="n"/>
      <c r="L405" s="58" t="n"/>
      <c r="M405" s="58" t="n"/>
      <c r="N405" s="70" t="n"/>
      <c r="O405" s="56" t="n"/>
      <c r="P405" s="1" t="n"/>
      <c r="Q405" s="1" t="n"/>
    </row>
    <row r="406">
      <c r="A406" s="34">
        <f>IF($H406="UNIDADE CONSTRUTIVA",OFFSET(A406,-1,0)+1,LARGE(A$3:A405,1))</f>
        <v/>
      </c>
      <c r="B406" s="34">
        <f>IF(H406="UNIDADE CONSTRUTIVA",0,IF(H406="CÉLULA CONSTRUTIVA",OFFSET(B406,-1,0)+1,OFFSET(B406,-1,0)))</f>
        <v/>
      </c>
      <c r="C406" s="34">
        <f>IF(H406="CÉLULA CONSTRUTIVA",0,IF(H406="ETAPA",OFFSET(C406,-1,0)+1,OFFSET(C406,-1,0)))</f>
        <v/>
      </c>
      <c r="D406" s="35">
        <f>IF(H406="ETAPA",0,IF(H406="SUBETAPA",OFFSET(D406,-1,0)+1,OFFSET(D406,-1,0)))</f>
        <v/>
      </c>
      <c r="E406" s="35">
        <f>IF(H406="Subetapa",0,IF(H406="serviço",OFFSET(E406,-1,0)+1,OFFSET(E406,-1,0)))</f>
        <v/>
      </c>
      <c r="F406" s="56" t="n"/>
      <c r="G406" s="1" t="n"/>
      <c r="H406" s="1" t="n"/>
      <c r="I406" s="1" t="n"/>
      <c r="J406" s="64" t="n"/>
      <c r="K406" s="52" t="n"/>
      <c r="L406" s="58" t="n"/>
      <c r="M406" s="58" t="n"/>
      <c r="N406" s="70" t="n"/>
      <c r="O406" s="56" t="n"/>
      <c r="P406" s="1" t="n"/>
      <c r="Q406" s="1" t="n"/>
    </row>
    <row r="407">
      <c r="A407" s="34">
        <f>IF($H407="UNIDADE CONSTRUTIVA",OFFSET(A407,-1,0)+1,LARGE(A$3:A406,1))</f>
        <v/>
      </c>
      <c r="B407" s="34">
        <f>IF(H407="UNIDADE CONSTRUTIVA",0,IF(H407="CÉLULA CONSTRUTIVA",OFFSET(B407,-1,0)+1,OFFSET(B407,-1,0)))</f>
        <v/>
      </c>
      <c r="C407" s="34">
        <f>IF(H407="CÉLULA CONSTRUTIVA",0,IF(H407="ETAPA",OFFSET(C407,-1,0)+1,OFFSET(C407,-1,0)))</f>
        <v/>
      </c>
      <c r="D407" s="35">
        <f>IF(H407="ETAPA",0,IF(H407="SUBETAPA",OFFSET(D407,-1,0)+1,OFFSET(D407,-1,0)))</f>
        <v/>
      </c>
      <c r="E407" s="35">
        <f>IF(H407="Subetapa",0,IF(H407="serviço",OFFSET(E407,-1,0)+1,OFFSET(E407,-1,0)))</f>
        <v/>
      </c>
      <c r="F407" s="56" t="n"/>
      <c r="G407" s="1" t="n"/>
      <c r="H407" s="1" t="n"/>
      <c r="I407" s="1" t="n"/>
      <c r="J407" s="64" t="n"/>
      <c r="K407" s="52" t="n"/>
      <c r="L407" s="58" t="n"/>
      <c r="M407" s="58" t="n"/>
      <c r="N407" s="70" t="n"/>
      <c r="O407" s="56" t="n"/>
      <c r="P407" s="1" t="n"/>
      <c r="Q407" s="1" t="n"/>
    </row>
    <row r="408">
      <c r="A408" s="34">
        <f>IF($H408="UNIDADE CONSTRUTIVA",OFFSET(A408,-1,0)+1,LARGE(A$3:A407,1))</f>
        <v/>
      </c>
      <c r="B408" s="34">
        <f>IF(H408="UNIDADE CONSTRUTIVA",0,IF(H408="CÉLULA CONSTRUTIVA",OFFSET(B408,-1,0)+1,OFFSET(B408,-1,0)))</f>
        <v/>
      </c>
      <c r="C408" s="34">
        <f>IF(H408="CÉLULA CONSTRUTIVA",0,IF(H408="ETAPA",OFFSET(C408,-1,0)+1,OFFSET(C408,-1,0)))</f>
        <v/>
      </c>
      <c r="D408" s="35">
        <f>IF(H408="ETAPA",0,IF(H408="SUBETAPA",OFFSET(D408,-1,0)+1,OFFSET(D408,-1,0)))</f>
        <v/>
      </c>
      <c r="E408" s="35">
        <f>IF(H408="Subetapa",0,IF(H408="serviço",OFFSET(E408,-1,0)+1,OFFSET(E408,-1,0)))</f>
        <v/>
      </c>
      <c r="F408" s="56" t="n"/>
      <c r="G408" s="1" t="n"/>
      <c r="H408" s="1" t="n"/>
      <c r="I408" s="1" t="n"/>
      <c r="J408" s="64" t="n"/>
      <c r="K408" s="52" t="n"/>
      <c r="L408" s="58" t="n"/>
      <c r="M408" s="58" t="n"/>
      <c r="N408" s="70" t="n"/>
      <c r="O408" s="56" t="n"/>
      <c r="P408" s="1" t="n"/>
      <c r="Q408" s="1" t="n"/>
    </row>
    <row r="409">
      <c r="A409" s="34">
        <f>IF($H409="UNIDADE CONSTRUTIVA",OFFSET(A409,-1,0)+1,LARGE(A$3:A408,1))</f>
        <v/>
      </c>
      <c r="B409" s="34">
        <f>IF(H409="UNIDADE CONSTRUTIVA",0,IF(H409="CÉLULA CONSTRUTIVA",OFFSET(B409,-1,0)+1,OFFSET(B409,-1,0)))</f>
        <v/>
      </c>
      <c r="C409" s="34">
        <f>IF(H409="CÉLULA CONSTRUTIVA",0,IF(H409="ETAPA",OFFSET(C409,-1,0)+1,OFFSET(C409,-1,0)))</f>
        <v/>
      </c>
      <c r="D409" s="35">
        <f>IF(H409="ETAPA",0,IF(H409="SUBETAPA",OFFSET(D409,-1,0)+1,OFFSET(D409,-1,0)))</f>
        <v/>
      </c>
      <c r="E409" s="35">
        <f>IF(H409="Subetapa",0,IF(H409="serviço",OFFSET(E409,-1,0)+1,OFFSET(E409,-1,0)))</f>
        <v/>
      </c>
      <c r="F409" s="56" t="n"/>
      <c r="G409" s="1" t="n"/>
      <c r="H409" s="1" t="n"/>
      <c r="I409" s="1" t="n"/>
      <c r="J409" s="64" t="n"/>
      <c r="K409" s="52" t="n"/>
      <c r="L409" s="58" t="n"/>
      <c r="M409" s="58" t="n"/>
      <c r="N409" s="70" t="n"/>
      <c r="O409" s="56" t="n"/>
      <c r="P409" s="1" t="n"/>
      <c r="Q409" s="1" t="n"/>
    </row>
    <row r="410">
      <c r="A410" s="34">
        <f>IF($H410="UNIDADE CONSTRUTIVA",OFFSET(A410,-1,0)+1,LARGE(A$3:A409,1))</f>
        <v/>
      </c>
      <c r="B410" s="34">
        <f>IF(H410="UNIDADE CONSTRUTIVA",0,IF(H410="CÉLULA CONSTRUTIVA",OFFSET(B410,-1,0)+1,OFFSET(B410,-1,0)))</f>
        <v/>
      </c>
      <c r="C410" s="34">
        <f>IF(H410="CÉLULA CONSTRUTIVA",0,IF(H410="ETAPA",OFFSET(C410,-1,0)+1,OFFSET(C410,-1,0)))</f>
        <v/>
      </c>
      <c r="D410" s="35">
        <f>IF(H410="ETAPA",0,IF(H410="SUBETAPA",OFFSET(D410,-1,0)+1,OFFSET(D410,-1,0)))</f>
        <v/>
      </c>
      <c r="E410" s="35">
        <f>IF(H410="Subetapa",0,IF(H410="serviço",OFFSET(E410,-1,0)+1,OFFSET(E410,-1,0)))</f>
        <v/>
      </c>
      <c r="F410" s="56" t="n"/>
      <c r="G410" s="1" t="n"/>
      <c r="H410" s="1" t="n"/>
      <c r="I410" s="1" t="n"/>
      <c r="J410" s="64" t="n"/>
      <c r="K410" s="52" t="n"/>
      <c r="L410" s="58" t="n"/>
      <c r="M410" s="58" t="n"/>
      <c r="N410" s="70" t="n"/>
      <c r="O410" s="56" t="n"/>
      <c r="P410" s="1" t="n"/>
      <c r="Q410" s="1" t="n"/>
    </row>
    <row r="411">
      <c r="A411" s="34">
        <f>IF($H411="UNIDADE CONSTRUTIVA",OFFSET(A411,-1,0)+1,LARGE(A$3:A410,1))</f>
        <v/>
      </c>
      <c r="B411" s="34">
        <f>IF(H411="UNIDADE CONSTRUTIVA",0,IF(H411="CÉLULA CONSTRUTIVA",OFFSET(B411,-1,0)+1,OFFSET(B411,-1,0)))</f>
        <v/>
      </c>
      <c r="C411" s="34">
        <f>IF(H411="CÉLULA CONSTRUTIVA",0,IF(H411="ETAPA",OFFSET(C411,-1,0)+1,OFFSET(C411,-1,0)))</f>
        <v/>
      </c>
      <c r="D411" s="35">
        <f>IF(H411="ETAPA",0,IF(H411="SUBETAPA",OFFSET(D411,-1,0)+1,OFFSET(D411,-1,0)))</f>
        <v/>
      </c>
      <c r="E411" s="35">
        <f>IF(H411="Subetapa",0,IF(H411="serviço",OFFSET(E411,-1,0)+1,OFFSET(E411,-1,0)))</f>
        <v/>
      </c>
      <c r="F411" s="56" t="n"/>
      <c r="G411" s="1" t="n"/>
      <c r="H411" s="1" t="n"/>
      <c r="I411" s="1" t="n"/>
      <c r="J411" s="64" t="n"/>
      <c r="K411" s="52" t="n"/>
      <c r="L411" s="58" t="n"/>
      <c r="M411" s="58" t="n"/>
      <c r="N411" s="70" t="n"/>
      <c r="O411" s="56" t="n"/>
      <c r="P411" s="1" t="n"/>
      <c r="Q411" s="1" t="n"/>
    </row>
    <row r="412">
      <c r="A412" s="34">
        <f>IF($H412="UNIDADE CONSTRUTIVA",OFFSET(A412,-1,0)+1,LARGE(A$3:A411,1))</f>
        <v/>
      </c>
      <c r="B412" s="34">
        <f>IF(H412="UNIDADE CONSTRUTIVA",0,IF(H412="CÉLULA CONSTRUTIVA",OFFSET(B412,-1,0)+1,OFFSET(B412,-1,0)))</f>
        <v/>
      </c>
      <c r="C412" s="34">
        <f>IF(H412="CÉLULA CONSTRUTIVA",0,IF(H412="ETAPA",OFFSET(C412,-1,0)+1,OFFSET(C412,-1,0)))</f>
        <v/>
      </c>
      <c r="D412" s="35">
        <f>IF(H412="ETAPA",0,IF(H412="SUBETAPA",OFFSET(D412,-1,0)+1,OFFSET(D412,-1,0)))</f>
        <v/>
      </c>
      <c r="E412" s="35">
        <f>IF(H412="Subetapa",0,IF(H412="serviço",OFFSET(E412,-1,0)+1,OFFSET(E412,-1,0)))</f>
        <v/>
      </c>
      <c r="F412" s="56" t="n"/>
      <c r="G412" s="1" t="n"/>
      <c r="H412" s="1" t="n"/>
      <c r="I412" s="1" t="n"/>
      <c r="J412" s="64" t="n"/>
      <c r="K412" s="52" t="n"/>
      <c r="L412" s="58" t="n"/>
      <c r="M412" s="58" t="n"/>
      <c r="N412" s="70" t="n"/>
      <c r="O412" s="56" t="n"/>
      <c r="P412" s="1" t="n"/>
      <c r="Q412" s="1" t="n"/>
    </row>
    <row r="413">
      <c r="A413" s="34">
        <f>IF($H413="UNIDADE CONSTRUTIVA",OFFSET(A413,-1,0)+1,LARGE(A$3:A412,1))</f>
        <v/>
      </c>
      <c r="B413" s="34">
        <f>IF(H413="UNIDADE CONSTRUTIVA",0,IF(H413="CÉLULA CONSTRUTIVA",OFFSET(B413,-1,0)+1,OFFSET(B413,-1,0)))</f>
        <v/>
      </c>
      <c r="C413" s="34">
        <f>IF(H413="CÉLULA CONSTRUTIVA",0,IF(H413="ETAPA",OFFSET(C413,-1,0)+1,OFFSET(C413,-1,0)))</f>
        <v/>
      </c>
      <c r="D413" s="35">
        <f>IF(H413="ETAPA",0,IF(H413="SUBETAPA",OFFSET(D413,-1,0)+1,OFFSET(D413,-1,0)))</f>
        <v/>
      </c>
      <c r="E413" s="35">
        <f>IF(H413="Subetapa",0,IF(H413="serviço",OFFSET(E413,-1,0)+1,OFFSET(E413,-1,0)))</f>
        <v/>
      </c>
      <c r="F413" s="56" t="n"/>
      <c r="G413" s="1" t="n"/>
      <c r="H413" s="1" t="n"/>
      <c r="I413" s="1" t="n"/>
      <c r="J413" s="64" t="n"/>
      <c r="K413" s="52" t="n"/>
      <c r="L413" s="58" t="n"/>
      <c r="M413" s="58" t="n"/>
      <c r="N413" s="70" t="n"/>
      <c r="O413" s="56" t="n"/>
      <c r="P413" s="1" t="n"/>
      <c r="Q413" s="1" t="n"/>
    </row>
    <row r="414">
      <c r="A414" s="34">
        <f>IF($H414="UNIDADE CONSTRUTIVA",OFFSET(A414,-1,0)+1,LARGE(A$3:A413,1))</f>
        <v/>
      </c>
      <c r="B414" s="34">
        <f>IF(H414="UNIDADE CONSTRUTIVA",0,IF(H414="CÉLULA CONSTRUTIVA",OFFSET(B414,-1,0)+1,OFFSET(B414,-1,0)))</f>
        <v/>
      </c>
      <c r="C414" s="34">
        <f>IF(H414="CÉLULA CONSTRUTIVA",0,IF(H414="ETAPA",OFFSET(C414,-1,0)+1,OFFSET(C414,-1,0)))</f>
        <v/>
      </c>
      <c r="D414" s="35">
        <f>IF(H414="ETAPA",0,IF(H414="SUBETAPA",OFFSET(D414,-1,0)+1,OFFSET(D414,-1,0)))</f>
        <v/>
      </c>
      <c r="E414" s="35">
        <f>IF(H414="Subetapa",0,IF(H414="serviço",OFFSET(E414,-1,0)+1,OFFSET(E414,-1,0)))</f>
        <v/>
      </c>
      <c r="F414" s="56" t="n"/>
      <c r="G414" s="1" t="n"/>
      <c r="H414" s="1" t="n"/>
      <c r="I414" s="1" t="n"/>
      <c r="J414" s="64" t="n"/>
      <c r="K414" s="52" t="n"/>
      <c r="L414" s="58" t="n"/>
      <c r="M414" s="58" t="n"/>
      <c r="N414" s="70" t="n"/>
      <c r="O414" s="56" t="n"/>
      <c r="P414" s="1" t="n"/>
      <c r="Q414" s="1" t="n"/>
    </row>
    <row r="415">
      <c r="A415" s="34">
        <f>IF($H415="UNIDADE CONSTRUTIVA",OFFSET(A415,-1,0)+1,LARGE(A$3:A414,1))</f>
        <v/>
      </c>
      <c r="B415" s="34">
        <f>IF(H415="UNIDADE CONSTRUTIVA",0,IF(H415="CÉLULA CONSTRUTIVA",OFFSET(B415,-1,0)+1,OFFSET(B415,-1,0)))</f>
        <v/>
      </c>
      <c r="C415" s="34">
        <f>IF(H415="CÉLULA CONSTRUTIVA",0,IF(H415="ETAPA",OFFSET(C415,-1,0)+1,OFFSET(C415,-1,0)))</f>
        <v/>
      </c>
      <c r="D415" s="35">
        <f>IF(H415="ETAPA",0,IF(H415="SUBETAPA",OFFSET(D415,-1,0)+1,OFFSET(D415,-1,0)))</f>
        <v/>
      </c>
      <c r="E415" s="35">
        <f>IF(H415="Subetapa",0,IF(H415="serviço",OFFSET(E415,-1,0)+1,OFFSET(E415,-1,0)))</f>
        <v/>
      </c>
      <c r="F415" s="56" t="n"/>
      <c r="G415" s="1" t="n"/>
      <c r="H415" s="1" t="n"/>
      <c r="I415" s="1" t="n"/>
      <c r="J415" s="64" t="n"/>
      <c r="K415" s="52" t="n"/>
      <c r="L415" s="58" t="n"/>
      <c r="M415" s="58" t="n"/>
      <c r="N415" s="70" t="n"/>
      <c r="O415" s="56" t="n"/>
      <c r="P415" s="1" t="n"/>
      <c r="Q415" s="1" t="n"/>
    </row>
    <row r="416">
      <c r="A416" s="34">
        <f>IF($H416="UNIDADE CONSTRUTIVA",OFFSET(A416,-1,0)+1,LARGE(A$3:A415,1))</f>
        <v/>
      </c>
      <c r="B416" s="34">
        <f>IF(H416="UNIDADE CONSTRUTIVA",0,IF(H416="CÉLULA CONSTRUTIVA",OFFSET(B416,-1,0)+1,OFFSET(B416,-1,0)))</f>
        <v/>
      </c>
      <c r="C416" s="34">
        <f>IF(H416="CÉLULA CONSTRUTIVA",0,IF(H416="ETAPA",OFFSET(C416,-1,0)+1,OFFSET(C416,-1,0)))</f>
        <v/>
      </c>
      <c r="D416" s="35">
        <f>IF(H416="ETAPA",0,IF(H416="SUBETAPA",OFFSET(D416,-1,0)+1,OFFSET(D416,-1,0)))</f>
        <v/>
      </c>
      <c r="E416" s="35">
        <f>IF(H416="Subetapa",0,IF(H416="serviço",OFFSET(E416,-1,0)+1,OFFSET(E416,-1,0)))</f>
        <v/>
      </c>
      <c r="F416" s="56" t="n"/>
      <c r="G416" s="1" t="n"/>
      <c r="H416" s="1" t="n"/>
      <c r="I416" s="1" t="n"/>
      <c r="J416" s="64" t="n"/>
      <c r="K416" s="52" t="n"/>
      <c r="L416" s="58" t="n"/>
      <c r="M416" s="58" t="n"/>
      <c r="N416" s="70" t="n"/>
      <c r="O416" s="56" t="n"/>
      <c r="P416" s="1" t="n"/>
      <c r="Q416" s="1" t="n"/>
    </row>
    <row r="417">
      <c r="A417" s="34">
        <f>IF($H417="UNIDADE CONSTRUTIVA",OFFSET(A417,-1,0)+1,LARGE(A$3:A416,1))</f>
        <v/>
      </c>
      <c r="B417" s="34">
        <f>IF(H417="UNIDADE CONSTRUTIVA",0,IF(H417="CÉLULA CONSTRUTIVA",OFFSET(B417,-1,0)+1,OFFSET(B417,-1,0)))</f>
        <v/>
      </c>
      <c r="C417" s="34">
        <f>IF(H417="CÉLULA CONSTRUTIVA",0,IF(H417="ETAPA",OFFSET(C417,-1,0)+1,OFFSET(C417,-1,0)))</f>
        <v/>
      </c>
      <c r="D417" s="35">
        <f>IF(H417="ETAPA",0,IF(H417="SUBETAPA",OFFSET(D417,-1,0)+1,OFFSET(D417,-1,0)))</f>
        <v/>
      </c>
      <c r="E417" s="35">
        <f>IF(H417="Subetapa",0,IF(H417="serviço",OFFSET(E417,-1,0)+1,OFFSET(E417,-1,0)))</f>
        <v/>
      </c>
      <c r="F417" s="56" t="n"/>
      <c r="G417" s="1" t="n"/>
      <c r="H417" s="1" t="n"/>
      <c r="I417" s="1" t="n"/>
      <c r="J417" s="64" t="n"/>
      <c r="K417" s="52" t="n"/>
      <c r="L417" s="58" t="n"/>
      <c r="M417" s="58" t="n"/>
      <c r="N417" s="70" t="n"/>
      <c r="O417" s="56" t="n"/>
      <c r="P417" s="1" t="n"/>
      <c r="Q417" s="1" t="n"/>
    </row>
    <row r="418">
      <c r="A418" s="34">
        <f>IF($H418="UNIDADE CONSTRUTIVA",OFFSET(A418,-1,0)+1,LARGE(A$3:A417,1))</f>
        <v/>
      </c>
      <c r="B418" s="34">
        <f>IF(H418="UNIDADE CONSTRUTIVA",0,IF(H418="CÉLULA CONSTRUTIVA",OFFSET(B418,-1,0)+1,OFFSET(B418,-1,0)))</f>
        <v/>
      </c>
      <c r="C418" s="34">
        <f>IF(H418="CÉLULA CONSTRUTIVA",0,IF(H418="ETAPA",OFFSET(C418,-1,0)+1,OFFSET(C418,-1,0)))</f>
        <v/>
      </c>
      <c r="D418" s="35">
        <f>IF(H418="ETAPA",0,IF(H418="SUBETAPA",OFFSET(D418,-1,0)+1,OFFSET(D418,-1,0)))</f>
        <v/>
      </c>
      <c r="E418" s="35">
        <f>IF(H418="Subetapa",0,IF(H418="serviço",OFFSET(E418,-1,0)+1,OFFSET(E418,-1,0)))</f>
        <v/>
      </c>
      <c r="F418" s="56" t="n"/>
      <c r="G418" s="1" t="n"/>
      <c r="H418" s="1" t="n"/>
      <c r="I418" s="1" t="n"/>
      <c r="J418" s="64" t="n"/>
      <c r="K418" s="52" t="n"/>
      <c r="L418" s="58" t="n"/>
      <c r="M418" s="58" t="n"/>
      <c r="N418" s="70" t="n"/>
      <c r="O418" s="56" t="n"/>
      <c r="P418" s="1" t="n"/>
      <c r="Q418" s="1" t="n"/>
    </row>
    <row r="419">
      <c r="A419" s="34">
        <f>IF($H419="UNIDADE CONSTRUTIVA",OFFSET(A419,-1,0)+1,LARGE(A$3:A418,1))</f>
        <v/>
      </c>
      <c r="B419" s="34">
        <f>IF(H419="UNIDADE CONSTRUTIVA",0,IF(H419="CÉLULA CONSTRUTIVA",OFFSET(B419,-1,0)+1,OFFSET(B419,-1,0)))</f>
        <v/>
      </c>
      <c r="C419" s="34">
        <f>IF(H419="CÉLULA CONSTRUTIVA",0,IF(H419="ETAPA",OFFSET(C419,-1,0)+1,OFFSET(C419,-1,0)))</f>
        <v/>
      </c>
      <c r="D419" s="35">
        <f>IF(H419="ETAPA",0,IF(H419="SUBETAPA",OFFSET(D419,-1,0)+1,OFFSET(D419,-1,0)))</f>
        <v/>
      </c>
      <c r="E419" s="35">
        <f>IF(H419="Subetapa",0,IF(H419="serviço",OFFSET(E419,-1,0)+1,OFFSET(E419,-1,0)))</f>
        <v/>
      </c>
      <c r="F419" s="56" t="n"/>
      <c r="G419" s="1" t="n"/>
      <c r="H419" s="1" t="n"/>
      <c r="I419" s="1" t="n"/>
      <c r="J419" s="64" t="n"/>
      <c r="K419" s="52" t="n"/>
      <c r="L419" s="58" t="n"/>
      <c r="M419" s="58" t="n"/>
      <c r="N419" s="70" t="n"/>
      <c r="O419" s="56" t="n"/>
      <c r="P419" s="1" t="n"/>
      <c r="Q419" s="1" t="n"/>
    </row>
    <row r="420">
      <c r="A420" s="34">
        <f>IF($H420="UNIDADE CONSTRUTIVA",OFFSET(A420,-1,0)+1,LARGE(A$3:A419,1))</f>
        <v/>
      </c>
      <c r="B420" s="34">
        <f>IF(H420="UNIDADE CONSTRUTIVA",0,IF(H420="CÉLULA CONSTRUTIVA",OFFSET(B420,-1,0)+1,OFFSET(B420,-1,0)))</f>
        <v/>
      </c>
      <c r="C420" s="34">
        <f>IF(H420="CÉLULA CONSTRUTIVA",0,IF(H420="ETAPA",OFFSET(C420,-1,0)+1,OFFSET(C420,-1,0)))</f>
        <v/>
      </c>
      <c r="D420" s="35">
        <f>IF(H420="ETAPA",0,IF(H420="SUBETAPA",OFFSET(D420,-1,0)+1,OFFSET(D420,-1,0)))</f>
        <v/>
      </c>
      <c r="E420" s="35">
        <f>IF(H420="Subetapa",0,IF(H420="serviço",OFFSET(E420,-1,0)+1,OFFSET(E420,-1,0)))</f>
        <v/>
      </c>
      <c r="F420" s="56" t="n"/>
      <c r="G420" s="1" t="n"/>
      <c r="H420" s="1" t="n"/>
      <c r="I420" s="1" t="n"/>
      <c r="J420" s="64" t="n"/>
      <c r="K420" s="52" t="n"/>
      <c r="L420" s="58" t="n"/>
      <c r="M420" s="58" t="n"/>
      <c r="N420" s="70" t="n"/>
      <c r="O420" s="56" t="n"/>
      <c r="P420" s="1" t="n"/>
      <c r="Q420" s="1" t="n"/>
    </row>
    <row r="421">
      <c r="A421" s="34">
        <f>IF($H421="UNIDADE CONSTRUTIVA",OFFSET(A421,-1,0)+1,LARGE(A$3:A420,1))</f>
        <v/>
      </c>
      <c r="B421" s="34">
        <f>IF(H421="UNIDADE CONSTRUTIVA",0,IF(H421="CÉLULA CONSTRUTIVA",OFFSET(B421,-1,0)+1,OFFSET(B421,-1,0)))</f>
        <v/>
      </c>
      <c r="C421" s="34">
        <f>IF(H421="CÉLULA CONSTRUTIVA",0,IF(H421="ETAPA",OFFSET(C421,-1,0)+1,OFFSET(C421,-1,0)))</f>
        <v/>
      </c>
      <c r="D421" s="35">
        <f>IF(H421="ETAPA",0,IF(H421="SUBETAPA",OFFSET(D421,-1,0)+1,OFFSET(D421,-1,0)))</f>
        <v/>
      </c>
      <c r="E421" s="35">
        <f>IF(H421="Subetapa",0,IF(H421="serviço",OFFSET(E421,-1,0)+1,OFFSET(E421,-1,0)))</f>
        <v/>
      </c>
      <c r="F421" s="56" t="n"/>
      <c r="G421" s="1" t="n"/>
      <c r="H421" s="1" t="n"/>
      <c r="I421" s="1" t="n"/>
      <c r="J421" s="64" t="n"/>
      <c r="K421" s="52" t="n"/>
      <c r="L421" s="58" t="n"/>
      <c r="M421" s="58" t="n"/>
      <c r="N421" s="70" t="n"/>
      <c r="O421" s="56" t="n"/>
      <c r="P421" s="1" t="n"/>
      <c r="Q421" s="1" t="n"/>
    </row>
    <row r="422">
      <c r="A422" s="34">
        <f>IF($H422="UNIDADE CONSTRUTIVA",OFFSET(A422,-1,0)+1,LARGE(A$3:A421,1))</f>
        <v/>
      </c>
      <c r="B422" s="34">
        <f>IF(H422="UNIDADE CONSTRUTIVA",0,IF(H422="CÉLULA CONSTRUTIVA",OFFSET(B422,-1,0)+1,OFFSET(B422,-1,0)))</f>
        <v/>
      </c>
      <c r="C422" s="34">
        <f>IF(H422="CÉLULA CONSTRUTIVA",0,IF(H422="ETAPA",OFFSET(C422,-1,0)+1,OFFSET(C422,-1,0)))</f>
        <v/>
      </c>
      <c r="D422" s="35">
        <f>IF(H422="ETAPA",0,IF(H422="SUBETAPA",OFFSET(D422,-1,0)+1,OFFSET(D422,-1,0)))</f>
        <v/>
      </c>
      <c r="E422" s="35">
        <f>IF(H422="Subetapa",0,IF(H422="serviço",OFFSET(E422,-1,0)+1,OFFSET(E422,-1,0)))</f>
        <v/>
      </c>
      <c r="F422" s="56" t="n"/>
      <c r="G422" s="1" t="n"/>
      <c r="H422" s="1" t="n"/>
      <c r="I422" s="1" t="n"/>
      <c r="J422" s="64" t="n"/>
      <c r="K422" s="52" t="n"/>
      <c r="L422" s="58" t="n"/>
      <c r="M422" s="58" t="n"/>
      <c r="N422" s="70" t="n"/>
      <c r="O422" s="56" t="n"/>
      <c r="P422" s="1" t="n"/>
      <c r="Q422" s="1" t="n"/>
    </row>
    <row r="423">
      <c r="A423" s="34">
        <f>IF($H423="UNIDADE CONSTRUTIVA",OFFSET(A423,-1,0)+1,LARGE(A$3:A422,1))</f>
        <v/>
      </c>
      <c r="B423" s="34">
        <f>IF(H423="UNIDADE CONSTRUTIVA",0,IF(H423="CÉLULA CONSTRUTIVA",OFFSET(B423,-1,0)+1,OFFSET(B423,-1,0)))</f>
        <v/>
      </c>
      <c r="C423" s="34">
        <f>IF(H423="CÉLULA CONSTRUTIVA",0,IF(H423="ETAPA",OFFSET(C423,-1,0)+1,OFFSET(C423,-1,0)))</f>
        <v/>
      </c>
      <c r="D423" s="35">
        <f>IF(H423="ETAPA",0,IF(H423="SUBETAPA",OFFSET(D423,-1,0)+1,OFFSET(D423,-1,0)))</f>
        <v/>
      </c>
      <c r="E423" s="35">
        <f>IF(H423="Subetapa",0,IF(H423="serviço",OFFSET(E423,-1,0)+1,OFFSET(E423,-1,0)))</f>
        <v/>
      </c>
      <c r="F423" s="56" t="n"/>
      <c r="G423" s="1" t="n"/>
      <c r="H423" s="1" t="n"/>
      <c r="I423" s="1" t="n"/>
      <c r="J423" s="64" t="n"/>
      <c r="K423" s="52" t="n"/>
      <c r="L423" s="58" t="n"/>
      <c r="M423" s="58" t="n"/>
      <c r="N423" s="70" t="n"/>
      <c r="O423" s="56" t="n"/>
      <c r="P423" s="1" t="n"/>
      <c r="Q423" s="1" t="n"/>
    </row>
    <row r="424">
      <c r="A424" s="34">
        <f>IF($H424="UNIDADE CONSTRUTIVA",OFFSET(A424,-1,0)+1,LARGE(A$3:A423,1))</f>
        <v/>
      </c>
      <c r="B424" s="34">
        <f>IF(H424="UNIDADE CONSTRUTIVA",0,IF(H424="CÉLULA CONSTRUTIVA",OFFSET(B424,-1,0)+1,OFFSET(B424,-1,0)))</f>
        <v/>
      </c>
      <c r="C424" s="34">
        <f>IF(H424="CÉLULA CONSTRUTIVA",0,IF(H424="ETAPA",OFFSET(C424,-1,0)+1,OFFSET(C424,-1,0)))</f>
        <v/>
      </c>
      <c r="D424" s="35">
        <f>IF(H424="ETAPA",0,IF(H424="SUBETAPA",OFFSET(D424,-1,0)+1,OFFSET(D424,-1,0)))</f>
        <v/>
      </c>
      <c r="E424" s="35">
        <f>IF(H424="Subetapa",0,IF(H424="serviço",OFFSET(E424,-1,0)+1,OFFSET(E424,-1,0)))</f>
        <v/>
      </c>
      <c r="F424" s="56" t="n"/>
      <c r="G424" s="1" t="n"/>
      <c r="H424" s="1" t="n"/>
      <c r="I424" s="1" t="n"/>
      <c r="J424" s="64" t="n"/>
      <c r="K424" s="52" t="n"/>
      <c r="L424" s="58" t="n"/>
      <c r="M424" s="58" t="n"/>
      <c r="N424" s="70" t="n"/>
      <c r="O424" s="56" t="n"/>
      <c r="P424" s="1" t="n"/>
      <c r="Q424" s="1" t="n"/>
    </row>
    <row r="425">
      <c r="A425" s="34">
        <f>IF($H425="UNIDADE CONSTRUTIVA",OFFSET(A425,-1,0)+1,LARGE(A$3:A424,1))</f>
        <v/>
      </c>
      <c r="B425" s="34">
        <f>IF(H425="UNIDADE CONSTRUTIVA",0,IF(H425="CÉLULA CONSTRUTIVA",OFFSET(B425,-1,0)+1,OFFSET(B425,-1,0)))</f>
        <v/>
      </c>
      <c r="C425" s="34">
        <f>IF(H425="CÉLULA CONSTRUTIVA",0,IF(H425="ETAPA",OFFSET(C425,-1,0)+1,OFFSET(C425,-1,0)))</f>
        <v/>
      </c>
      <c r="D425" s="35">
        <f>IF(H425="ETAPA",0,IF(H425="SUBETAPA",OFFSET(D425,-1,0)+1,OFFSET(D425,-1,0)))</f>
        <v/>
      </c>
      <c r="E425" s="35">
        <f>IF(H425="Subetapa",0,IF(H425="serviço",OFFSET(E425,-1,0)+1,OFFSET(E425,-1,0)))</f>
        <v/>
      </c>
      <c r="F425" s="56" t="n"/>
      <c r="G425" s="1" t="n"/>
      <c r="H425" s="1" t="n"/>
      <c r="I425" s="1" t="n"/>
      <c r="J425" s="64" t="n"/>
      <c r="K425" s="52" t="n"/>
      <c r="L425" s="58" t="n"/>
      <c r="M425" s="58" t="n"/>
      <c r="N425" s="70" t="n"/>
      <c r="O425" s="56" t="n"/>
      <c r="P425" s="1" t="n"/>
      <c r="Q425" s="1" t="n"/>
    </row>
    <row r="426">
      <c r="A426" s="34">
        <f>IF($H426="UNIDADE CONSTRUTIVA",OFFSET(A426,-1,0)+1,LARGE(A$3:A425,1))</f>
        <v/>
      </c>
      <c r="B426" s="34">
        <f>IF(H426="UNIDADE CONSTRUTIVA",0,IF(H426="CÉLULA CONSTRUTIVA",OFFSET(B426,-1,0)+1,OFFSET(B426,-1,0)))</f>
        <v/>
      </c>
      <c r="C426" s="34">
        <f>IF(H426="CÉLULA CONSTRUTIVA",0,IF(H426="ETAPA",OFFSET(C426,-1,0)+1,OFFSET(C426,-1,0)))</f>
        <v/>
      </c>
      <c r="D426" s="35">
        <f>IF(H426="ETAPA",0,IF(H426="SUBETAPA",OFFSET(D426,-1,0)+1,OFFSET(D426,-1,0)))</f>
        <v/>
      </c>
      <c r="E426" s="35">
        <f>IF(H426="Subetapa",0,IF(H426="serviço",OFFSET(E426,-1,0)+1,OFFSET(E426,-1,0)))</f>
        <v/>
      </c>
      <c r="F426" s="56" t="n"/>
      <c r="G426" s="1" t="n"/>
      <c r="H426" s="1" t="n"/>
      <c r="I426" s="1" t="n"/>
      <c r="J426" s="64" t="n"/>
      <c r="K426" s="52" t="n"/>
      <c r="L426" s="58" t="n"/>
      <c r="M426" s="58" t="n"/>
      <c r="N426" s="70" t="n"/>
      <c r="O426" s="56" t="n"/>
      <c r="P426" s="1" t="n"/>
      <c r="Q426" s="1" t="n"/>
    </row>
    <row r="427">
      <c r="A427" s="34">
        <f>IF($H427="UNIDADE CONSTRUTIVA",OFFSET(A427,-1,0)+1,LARGE(A$3:A426,1))</f>
        <v/>
      </c>
      <c r="B427" s="34">
        <f>IF(H427="UNIDADE CONSTRUTIVA",0,IF(H427="CÉLULA CONSTRUTIVA",OFFSET(B427,-1,0)+1,OFFSET(B427,-1,0)))</f>
        <v/>
      </c>
      <c r="C427" s="34">
        <f>IF(H427="CÉLULA CONSTRUTIVA",0,IF(H427="ETAPA",OFFSET(C427,-1,0)+1,OFFSET(C427,-1,0)))</f>
        <v/>
      </c>
      <c r="D427" s="35">
        <f>IF(H427="ETAPA",0,IF(H427="SUBETAPA",OFFSET(D427,-1,0)+1,OFFSET(D427,-1,0)))</f>
        <v/>
      </c>
      <c r="E427" s="35">
        <f>IF(H427="Subetapa",0,IF(H427="serviço",OFFSET(E427,-1,0)+1,OFFSET(E427,-1,0)))</f>
        <v/>
      </c>
      <c r="F427" s="56" t="n"/>
      <c r="G427" s="1" t="n"/>
      <c r="H427" s="1" t="n"/>
      <c r="I427" s="1" t="n"/>
      <c r="J427" s="64" t="n"/>
      <c r="K427" s="52" t="n"/>
      <c r="L427" s="58" t="n"/>
      <c r="M427" s="58" t="n"/>
      <c r="N427" s="70" t="n"/>
      <c r="O427" s="56" t="n"/>
      <c r="P427" s="1" t="n"/>
      <c r="Q427" s="1" t="n"/>
    </row>
    <row r="428">
      <c r="A428" s="34">
        <f>IF($H428="UNIDADE CONSTRUTIVA",OFFSET(A428,-1,0)+1,LARGE(A$3:A427,1))</f>
        <v/>
      </c>
      <c r="B428" s="34">
        <f>IF(H428="UNIDADE CONSTRUTIVA",0,IF(H428="CÉLULA CONSTRUTIVA",OFFSET(B428,-1,0)+1,OFFSET(B428,-1,0)))</f>
        <v/>
      </c>
      <c r="C428" s="34">
        <f>IF(H428="CÉLULA CONSTRUTIVA",0,IF(H428="ETAPA",OFFSET(C428,-1,0)+1,OFFSET(C428,-1,0)))</f>
        <v/>
      </c>
      <c r="D428" s="35">
        <f>IF(H428="ETAPA",0,IF(H428="SUBETAPA",OFFSET(D428,-1,0)+1,OFFSET(D428,-1,0)))</f>
        <v/>
      </c>
      <c r="E428" s="35">
        <f>IF(H428="Subetapa",0,IF(H428="serviço",OFFSET(E428,-1,0)+1,OFFSET(E428,-1,0)))</f>
        <v/>
      </c>
      <c r="F428" s="56" t="n"/>
      <c r="G428" s="1" t="n"/>
      <c r="H428" s="1" t="n"/>
      <c r="I428" s="1" t="n"/>
      <c r="J428" s="64" t="n"/>
      <c r="K428" s="52" t="n"/>
      <c r="L428" s="58" t="n"/>
      <c r="M428" s="58" t="n"/>
      <c r="N428" s="70" t="n"/>
      <c r="O428" s="56" t="n"/>
      <c r="P428" s="1" t="n"/>
      <c r="Q428" s="1" t="n"/>
    </row>
    <row r="429">
      <c r="A429" s="34">
        <f>IF($H429="UNIDADE CONSTRUTIVA",OFFSET(A429,-1,0)+1,LARGE(A$3:A428,1))</f>
        <v/>
      </c>
      <c r="B429" s="34">
        <f>IF(H429="UNIDADE CONSTRUTIVA",0,IF(H429="CÉLULA CONSTRUTIVA",OFFSET(B429,-1,0)+1,OFFSET(B429,-1,0)))</f>
        <v/>
      </c>
      <c r="C429" s="34">
        <f>IF(H429="CÉLULA CONSTRUTIVA",0,IF(H429="ETAPA",OFFSET(C429,-1,0)+1,OFFSET(C429,-1,0)))</f>
        <v/>
      </c>
      <c r="D429" s="35">
        <f>IF(H429="ETAPA",0,IF(H429="SUBETAPA",OFFSET(D429,-1,0)+1,OFFSET(D429,-1,0)))</f>
        <v/>
      </c>
      <c r="E429" s="35">
        <f>IF(H429="Subetapa",0,IF(H429="serviço",OFFSET(E429,-1,0)+1,OFFSET(E429,-1,0)))</f>
        <v/>
      </c>
      <c r="F429" s="56" t="n"/>
      <c r="G429" s="1" t="n"/>
      <c r="H429" s="1" t="n"/>
      <c r="I429" s="1" t="n"/>
      <c r="J429" s="64" t="n"/>
      <c r="K429" s="52" t="n"/>
      <c r="L429" s="58" t="n"/>
      <c r="M429" s="58" t="n"/>
      <c r="N429" s="70" t="n"/>
      <c r="O429" s="56" t="n"/>
      <c r="P429" s="1" t="n"/>
      <c r="Q429" s="1" t="n"/>
    </row>
    <row r="430">
      <c r="A430" s="34">
        <f>IF($H430="UNIDADE CONSTRUTIVA",OFFSET(A430,-1,0)+1,LARGE(A$3:A429,1))</f>
        <v/>
      </c>
      <c r="B430" s="34">
        <f>IF(H430="UNIDADE CONSTRUTIVA",0,IF(H430="CÉLULA CONSTRUTIVA",OFFSET(B430,-1,0)+1,OFFSET(B430,-1,0)))</f>
        <v/>
      </c>
      <c r="C430" s="34">
        <f>IF(H430="CÉLULA CONSTRUTIVA",0,IF(H430="ETAPA",OFFSET(C430,-1,0)+1,OFFSET(C430,-1,0)))</f>
        <v/>
      </c>
      <c r="D430" s="35">
        <f>IF(H430="ETAPA",0,IF(H430="SUBETAPA",OFFSET(D430,-1,0)+1,OFFSET(D430,-1,0)))</f>
        <v/>
      </c>
      <c r="E430" s="35">
        <f>IF(H430="Subetapa",0,IF(H430="serviço",OFFSET(E430,-1,0)+1,OFFSET(E430,-1,0)))</f>
        <v/>
      </c>
      <c r="F430" s="56" t="n"/>
      <c r="G430" s="1" t="n"/>
      <c r="H430" s="1" t="n"/>
      <c r="I430" s="1" t="n"/>
      <c r="J430" s="64" t="n"/>
      <c r="K430" s="52" t="n"/>
      <c r="L430" s="58" t="n"/>
      <c r="M430" s="58" t="n"/>
      <c r="N430" s="70" t="n"/>
      <c r="O430" s="56" t="n"/>
      <c r="P430" s="1" t="n"/>
      <c r="Q430" s="1" t="n"/>
    </row>
    <row r="431">
      <c r="A431" s="34">
        <f>IF($H431="UNIDADE CONSTRUTIVA",OFFSET(A431,-1,0)+1,LARGE(A$3:A430,1))</f>
        <v/>
      </c>
      <c r="B431" s="34">
        <f>IF(H431="UNIDADE CONSTRUTIVA",0,IF(H431="CÉLULA CONSTRUTIVA",OFFSET(B431,-1,0)+1,OFFSET(B431,-1,0)))</f>
        <v/>
      </c>
      <c r="C431" s="34">
        <f>IF(H431="CÉLULA CONSTRUTIVA",0,IF(H431="ETAPA",OFFSET(C431,-1,0)+1,OFFSET(C431,-1,0)))</f>
        <v/>
      </c>
      <c r="D431" s="35">
        <f>IF(H431="ETAPA",0,IF(H431="SUBETAPA",OFFSET(D431,-1,0)+1,OFFSET(D431,-1,0)))</f>
        <v/>
      </c>
      <c r="E431" s="35">
        <f>IF(H431="Subetapa",0,IF(H431="serviço",OFFSET(E431,-1,0)+1,OFFSET(E431,-1,0)))</f>
        <v/>
      </c>
      <c r="F431" s="56" t="n"/>
      <c r="G431" s="1" t="n"/>
      <c r="H431" s="1" t="n"/>
      <c r="I431" s="1" t="n"/>
      <c r="J431" s="64" t="n"/>
      <c r="K431" s="52" t="n"/>
      <c r="L431" s="58" t="n"/>
      <c r="M431" s="58" t="n"/>
      <c r="N431" s="70" t="n"/>
      <c r="O431" s="56" t="n"/>
      <c r="P431" s="1" t="n"/>
      <c r="Q431" s="1" t="n"/>
    </row>
    <row r="432">
      <c r="A432" s="34">
        <f>IF($H432="UNIDADE CONSTRUTIVA",OFFSET(A432,-1,0)+1,LARGE(A$3:A431,1))</f>
        <v/>
      </c>
      <c r="B432" s="34">
        <f>IF(H432="UNIDADE CONSTRUTIVA",0,IF(H432="CÉLULA CONSTRUTIVA",OFFSET(B432,-1,0)+1,OFFSET(B432,-1,0)))</f>
        <v/>
      </c>
      <c r="C432" s="34">
        <f>IF(H432="CÉLULA CONSTRUTIVA",0,IF(H432="ETAPA",OFFSET(C432,-1,0)+1,OFFSET(C432,-1,0)))</f>
        <v/>
      </c>
      <c r="D432" s="35">
        <f>IF(H432="ETAPA",0,IF(H432="SUBETAPA",OFFSET(D432,-1,0)+1,OFFSET(D432,-1,0)))</f>
        <v/>
      </c>
      <c r="E432" s="35">
        <f>IF(H432="Subetapa",0,IF(H432="serviço",OFFSET(E432,-1,0)+1,OFFSET(E432,-1,0)))</f>
        <v/>
      </c>
      <c r="F432" s="56" t="n"/>
      <c r="G432" s="1" t="n"/>
      <c r="H432" s="1" t="n"/>
      <c r="I432" s="1" t="n"/>
      <c r="J432" s="64" t="n"/>
      <c r="K432" s="52" t="n"/>
      <c r="L432" s="58" t="n"/>
      <c r="M432" s="58" t="n"/>
      <c r="N432" s="70" t="n"/>
      <c r="O432" s="56" t="n"/>
      <c r="P432" s="1" t="n"/>
      <c r="Q432" s="1" t="n"/>
    </row>
    <row r="433">
      <c r="A433" s="34">
        <f>IF($H433="UNIDADE CONSTRUTIVA",OFFSET(A433,-1,0)+1,LARGE(A$3:A432,1))</f>
        <v/>
      </c>
      <c r="B433" s="34">
        <f>IF(H433="UNIDADE CONSTRUTIVA",0,IF(H433="CÉLULA CONSTRUTIVA",OFFSET(B433,-1,0)+1,OFFSET(B433,-1,0)))</f>
        <v/>
      </c>
      <c r="C433" s="34">
        <f>IF(H433="CÉLULA CONSTRUTIVA",0,IF(H433="ETAPA",OFFSET(C433,-1,0)+1,OFFSET(C433,-1,0)))</f>
        <v/>
      </c>
      <c r="D433" s="35">
        <f>IF(H433="ETAPA",0,IF(H433="SUBETAPA",OFFSET(D433,-1,0)+1,OFFSET(D433,-1,0)))</f>
        <v/>
      </c>
      <c r="E433" s="35">
        <f>IF(H433="Subetapa",0,IF(H433="serviço",OFFSET(E433,-1,0)+1,OFFSET(E433,-1,0)))</f>
        <v/>
      </c>
      <c r="F433" s="56" t="n"/>
      <c r="G433" s="1" t="n"/>
      <c r="H433" s="1" t="n"/>
      <c r="I433" s="1" t="n"/>
      <c r="J433" s="64" t="n"/>
      <c r="K433" s="52" t="n"/>
      <c r="L433" s="58" t="n"/>
      <c r="M433" s="58" t="n"/>
      <c r="N433" s="70" t="n"/>
      <c r="O433" s="56" t="n"/>
      <c r="P433" s="1" t="n"/>
      <c r="Q433" s="1" t="n"/>
    </row>
    <row r="434">
      <c r="A434" s="34">
        <f>IF($H434="UNIDADE CONSTRUTIVA",OFFSET(A434,-1,0)+1,LARGE(A$3:A433,1))</f>
        <v/>
      </c>
      <c r="B434" s="34">
        <f>IF(H434="UNIDADE CONSTRUTIVA",0,IF(H434="CÉLULA CONSTRUTIVA",OFFSET(B434,-1,0)+1,OFFSET(B434,-1,0)))</f>
        <v/>
      </c>
      <c r="C434" s="34">
        <f>IF(H434="CÉLULA CONSTRUTIVA",0,IF(H434="ETAPA",OFFSET(C434,-1,0)+1,OFFSET(C434,-1,0)))</f>
        <v/>
      </c>
      <c r="D434" s="35">
        <f>IF(H434="ETAPA",0,IF(H434="SUBETAPA",OFFSET(D434,-1,0)+1,OFFSET(D434,-1,0)))</f>
        <v/>
      </c>
      <c r="E434" s="35">
        <f>IF(H434="Subetapa",0,IF(H434="serviço",OFFSET(E434,-1,0)+1,OFFSET(E434,-1,0)))</f>
        <v/>
      </c>
      <c r="F434" s="56" t="n"/>
      <c r="G434" s="1" t="n"/>
      <c r="H434" s="1" t="n"/>
      <c r="I434" s="1" t="n"/>
      <c r="J434" s="64" t="n"/>
      <c r="K434" s="52" t="n"/>
      <c r="L434" s="58" t="n"/>
      <c r="M434" s="58" t="n"/>
      <c r="N434" s="70" t="n"/>
      <c r="O434" s="56" t="n"/>
      <c r="P434" s="1" t="n"/>
      <c r="Q434" s="1" t="n"/>
    </row>
    <row r="435">
      <c r="A435" s="34">
        <f>IF($H435="UNIDADE CONSTRUTIVA",OFFSET(A435,-1,0)+1,LARGE(A$3:A434,1))</f>
        <v/>
      </c>
      <c r="B435" s="34">
        <f>IF(H435="UNIDADE CONSTRUTIVA",0,IF(H435="CÉLULA CONSTRUTIVA",OFFSET(B435,-1,0)+1,OFFSET(B435,-1,0)))</f>
        <v/>
      </c>
      <c r="C435" s="34">
        <f>IF(H435="CÉLULA CONSTRUTIVA",0,IF(H435="ETAPA",OFFSET(C435,-1,0)+1,OFFSET(C435,-1,0)))</f>
        <v/>
      </c>
      <c r="D435" s="35">
        <f>IF(H435="ETAPA",0,IF(H435="SUBETAPA",OFFSET(D435,-1,0)+1,OFFSET(D435,-1,0)))</f>
        <v/>
      </c>
      <c r="E435" s="35">
        <f>IF(H435="Subetapa",0,IF(H435="serviço",OFFSET(E435,-1,0)+1,OFFSET(E435,-1,0)))</f>
        <v/>
      </c>
      <c r="F435" s="56" t="n"/>
      <c r="G435" s="1" t="n"/>
      <c r="H435" s="1" t="n"/>
      <c r="I435" s="1" t="n"/>
      <c r="J435" s="64" t="n"/>
      <c r="K435" s="52" t="n"/>
      <c r="L435" s="58" t="n"/>
      <c r="M435" s="58" t="n"/>
      <c r="N435" s="70" t="n"/>
      <c r="O435" s="56" t="n"/>
      <c r="P435" s="1" t="n"/>
      <c r="Q435" s="1" t="n"/>
    </row>
    <row r="436">
      <c r="A436" s="34">
        <f>IF($H436="UNIDADE CONSTRUTIVA",OFFSET(A436,-1,0)+1,LARGE(A$3:A435,1))</f>
        <v/>
      </c>
      <c r="B436" s="34">
        <f>IF(H436="UNIDADE CONSTRUTIVA",0,IF(H436="CÉLULA CONSTRUTIVA",OFFSET(B436,-1,0)+1,OFFSET(B436,-1,0)))</f>
        <v/>
      </c>
      <c r="C436" s="34">
        <f>IF(H436="CÉLULA CONSTRUTIVA",0,IF(H436="ETAPA",OFFSET(C436,-1,0)+1,OFFSET(C436,-1,0)))</f>
        <v/>
      </c>
      <c r="D436" s="35">
        <f>IF(H436="ETAPA",0,IF(H436="SUBETAPA",OFFSET(D436,-1,0)+1,OFFSET(D436,-1,0)))</f>
        <v/>
      </c>
      <c r="E436" s="35">
        <f>IF(H436="Subetapa",0,IF(H436="serviço",OFFSET(E436,-1,0)+1,OFFSET(E436,-1,0)))</f>
        <v/>
      </c>
      <c r="F436" s="56" t="n"/>
      <c r="G436" s="1" t="n"/>
      <c r="H436" s="1" t="n"/>
      <c r="I436" s="1" t="n"/>
      <c r="J436" s="64" t="n"/>
      <c r="K436" s="52" t="n"/>
      <c r="L436" s="58" t="n"/>
      <c r="M436" s="58" t="n"/>
      <c r="N436" s="70" t="n"/>
      <c r="O436" s="56" t="n"/>
      <c r="P436" s="1" t="n"/>
      <c r="Q436" s="1" t="n"/>
    </row>
    <row r="437">
      <c r="A437" s="34">
        <f>IF($H437="UNIDADE CONSTRUTIVA",OFFSET(A437,-1,0)+1,LARGE(A$3:A436,1))</f>
        <v/>
      </c>
      <c r="B437" s="34">
        <f>IF(H437="UNIDADE CONSTRUTIVA",0,IF(H437="CÉLULA CONSTRUTIVA",OFFSET(B437,-1,0)+1,OFFSET(B437,-1,0)))</f>
        <v/>
      </c>
      <c r="C437" s="34">
        <f>IF(H437="CÉLULA CONSTRUTIVA",0,IF(H437="ETAPA",OFFSET(C437,-1,0)+1,OFFSET(C437,-1,0)))</f>
        <v/>
      </c>
      <c r="D437" s="35">
        <f>IF(H437="ETAPA",0,IF(H437="SUBETAPA",OFFSET(D437,-1,0)+1,OFFSET(D437,-1,0)))</f>
        <v/>
      </c>
      <c r="E437" s="35">
        <f>IF(H437="Subetapa",0,IF(H437="serviço",OFFSET(E437,-1,0)+1,OFFSET(E437,-1,0)))</f>
        <v/>
      </c>
      <c r="F437" s="56" t="n"/>
      <c r="G437" s="1" t="n"/>
      <c r="H437" s="1" t="n"/>
      <c r="I437" s="1" t="n"/>
      <c r="J437" s="64" t="n"/>
      <c r="K437" s="52" t="n"/>
      <c r="L437" s="58" t="n"/>
      <c r="M437" s="58" t="n"/>
      <c r="N437" s="70" t="n"/>
      <c r="O437" s="56" t="n"/>
      <c r="P437" s="1" t="n"/>
      <c r="Q437" s="1" t="n"/>
    </row>
    <row r="438">
      <c r="A438" s="34">
        <f>IF($H438="UNIDADE CONSTRUTIVA",OFFSET(A438,-1,0)+1,LARGE(A$3:A437,1))</f>
        <v/>
      </c>
      <c r="B438" s="34">
        <f>IF(H438="UNIDADE CONSTRUTIVA",0,IF(H438="CÉLULA CONSTRUTIVA",OFFSET(B438,-1,0)+1,OFFSET(B438,-1,0)))</f>
        <v/>
      </c>
      <c r="C438" s="34">
        <f>IF(H438="CÉLULA CONSTRUTIVA",0,IF(H438="ETAPA",OFFSET(C438,-1,0)+1,OFFSET(C438,-1,0)))</f>
        <v/>
      </c>
      <c r="D438" s="35">
        <f>IF(H438="ETAPA",0,IF(H438="SUBETAPA",OFFSET(D438,-1,0)+1,OFFSET(D438,-1,0)))</f>
        <v/>
      </c>
      <c r="E438" s="35">
        <f>IF(H438="Subetapa",0,IF(H438="serviço",OFFSET(E438,-1,0)+1,OFFSET(E438,-1,0)))</f>
        <v/>
      </c>
      <c r="F438" s="56" t="n"/>
      <c r="G438" s="1" t="n"/>
      <c r="H438" s="1" t="n"/>
      <c r="I438" s="1" t="n"/>
      <c r="J438" s="64" t="n"/>
      <c r="K438" s="52" t="n"/>
      <c r="L438" s="58" t="n"/>
      <c r="M438" s="58" t="n"/>
      <c r="N438" s="70" t="n"/>
      <c r="O438" s="56" t="n"/>
      <c r="P438" s="1" t="n"/>
      <c r="Q438" s="1" t="n"/>
    </row>
    <row r="439">
      <c r="A439" s="34">
        <f>IF($H439="UNIDADE CONSTRUTIVA",OFFSET(A439,-1,0)+1,LARGE(A$3:A438,1))</f>
        <v/>
      </c>
      <c r="B439" s="34">
        <f>IF(H439="UNIDADE CONSTRUTIVA",0,IF(H439="CÉLULA CONSTRUTIVA",OFFSET(B439,-1,0)+1,OFFSET(B439,-1,0)))</f>
        <v/>
      </c>
      <c r="C439" s="34">
        <f>IF(H439="CÉLULA CONSTRUTIVA",0,IF(H439="ETAPA",OFFSET(C439,-1,0)+1,OFFSET(C439,-1,0)))</f>
        <v/>
      </c>
      <c r="D439" s="35">
        <f>IF(H439="ETAPA",0,IF(H439="SUBETAPA",OFFSET(D439,-1,0)+1,OFFSET(D439,-1,0)))</f>
        <v/>
      </c>
      <c r="E439" s="35">
        <f>IF(H439="Subetapa",0,IF(H439="serviço",OFFSET(E439,-1,0)+1,OFFSET(E439,-1,0)))</f>
        <v/>
      </c>
      <c r="F439" s="56" t="n"/>
      <c r="G439" s="1" t="n"/>
      <c r="H439" s="1" t="n"/>
      <c r="I439" s="1" t="n"/>
      <c r="J439" s="64" t="n"/>
      <c r="K439" s="52" t="n"/>
      <c r="L439" s="58" t="n"/>
      <c r="M439" s="58" t="n"/>
      <c r="N439" s="70" t="n"/>
      <c r="O439" s="56" t="n"/>
      <c r="P439" s="1" t="n"/>
      <c r="Q439" s="1" t="n"/>
    </row>
    <row r="440">
      <c r="A440" s="34">
        <f>IF($H440="UNIDADE CONSTRUTIVA",OFFSET(A440,-1,0)+1,LARGE(A$3:A439,1))</f>
        <v/>
      </c>
      <c r="B440" s="34">
        <f>IF(H440="UNIDADE CONSTRUTIVA",0,IF(H440="CÉLULA CONSTRUTIVA",OFFSET(B440,-1,0)+1,OFFSET(B440,-1,0)))</f>
        <v/>
      </c>
      <c r="C440" s="34">
        <f>IF(H440="CÉLULA CONSTRUTIVA",0,IF(H440="ETAPA",OFFSET(C440,-1,0)+1,OFFSET(C440,-1,0)))</f>
        <v/>
      </c>
      <c r="D440" s="35">
        <f>IF(H440="ETAPA",0,IF(H440="SUBETAPA",OFFSET(D440,-1,0)+1,OFFSET(D440,-1,0)))</f>
        <v/>
      </c>
      <c r="E440" s="35">
        <f>IF(H440="Subetapa",0,IF(H440="serviço",OFFSET(E440,-1,0)+1,OFFSET(E440,-1,0)))</f>
        <v/>
      </c>
      <c r="F440" s="56" t="n"/>
      <c r="G440" s="1" t="n"/>
      <c r="H440" s="1" t="n"/>
      <c r="I440" s="1" t="n"/>
      <c r="J440" s="64" t="n"/>
      <c r="K440" s="52" t="n"/>
      <c r="L440" s="58" t="n"/>
      <c r="M440" s="58" t="n"/>
      <c r="N440" s="70" t="n"/>
      <c r="O440" s="56" t="n"/>
      <c r="P440" s="1" t="n"/>
      <c r="Q440" s="1" t="n"/>
    </row>
    <row r="441">
      <c r="A441" s="34">
        <f>IF($H441="UNIDADE CONSTRUTIVA",OFFSET(A441,-1,0)+1,LARGE(A$3:A440,1))</f>
        <v/>
      </c>
      <c r="B441" s="34">
        <f>IF(H441="UNIDADE CONSTRUTIVA",0,IF(H441="CÉLULA CONSTRUTIVA",OFFSET(B441,-1,0)+1,OFFSET(B441,-1,0)))</f>
        <v/>
      </c>
      <c r="C441" s="34">
        <f>IF(H441="CÉLULA CONSTRUTIVA",0,IF(H441="ETAPA",OFFSET(C441,-1,0)+1,OFFSET(C441,-1,0)))</f>
        <v/>
      </c>
      <c r="D441" s="35">
        <f>IF(H441="ETAPA",0,IF(H441="SUBETAPA",OFFSET(D441,-1,0)+1,OFFSET(D441,-1,0)))</f>
        <v/>
      </c>
      <c r="E441" s="35">
        <f>IF(H441="Subetapa",0,IF(H441="serviço",OFFSET(E441,-1,0)+1,OFFSET(E441,-1,0)))</f>
        <v/>
      </c>
      <c r="F441" s="56" t="n"/>
      <c r="G441" s="1" t="n"/>
      <c r="H441" s="1" t="n"/>
      <c r="I441" s="1" t="n"/>
      <c r="J441" s="64" t="n"/>
      <c r="K441" s="52" t="n"/>
      <c r="L441" s="58" t="n"/>
      <c r="M441" s="58" t="n"/>
      <c r="N441" s="70" t="n"/>
      <c r="O441" s="56" t="n"/>
      <c r="P441" s="1" t="n"/>
      <c r="Q441" s="1" t="n"/>
    </row>
    <row r="442">
      <c r="A442" s="34">
        <f>IF($H442="UNIDADE CONSTRUTIVA",OFFSET(A442,-1,0)+1,LARGE(A$3:A441,1))</f>
        <v/>
      </c>
      <c r="B442" s="34">
        <f>IF(H442="UNIDADE CONSTRUTIVA",0,IF(H442="CÉLULA CONSTRUTIVA",OFFSET(B442,-1,0)+1,OFFSET(B442,-1,0)))</f>
        <v/>
      </c>
      <c r="C442" s="34">
        <f>IF(H442="CÉLULA CONSTRUTIVA",0,IF(H442="ETAPA",OFFSET(C442,-1,0)+1,OFFSET(C442,-1,0)))</f>
        <v/>
      </c>
      <c r="D442" s="35">
        <f>IF(H442="ETAPA",0,IF(H442="SUBETAPA",OFFSET(D442,-1,0)+1,OFFSET(D442,-1,0)))</f>
        <v/>
      </c>
      <c r="E442" s="35">
        <f>IF(H442="Subetapa",0,IF(H442="serviço",OFFSET(E442,-1,0)+1,OFFSET(E442,-1,0)))</f>
        <v/>
      </c>
      <c r="F442" s="56" t="n"/>
      <c r="G442" s="1" t="n"/>
      <c r="H442" s="1" t="n"/>
      <c r="I442" s="1" t="n"/>
      <c r="J442" s="64" t="n"/>
      <c r="K442" s="52" t="n"/>
      <c r="L442" s="58" t="n"/>
      <c r="M442" s="58" t="n"/>
      <c r="N442" s="70" t="n"/>
      <c r="O442" s="56" t="n"/>
      <c r="P442" s="1" t="n"/>
      <c r="Q442" s="1" t="n"/>
    </row>
    <row r="443">
      <c r="A443" s="34">
        <f>IF($H443="UNIDADE CONSTRUTIVA",OFFSET(A443,-1,0)+1,LARGE(A$3:A442,1))</f>
        <v/>
      </c>
      <c r="B443" s="34">
        <f>IF(H443="UNIDADE CONSTRUTIVA",0,IF(H443="CÉLULA CONSTRUTIVA",OFFSET(B443,-1,0)+1,OFFSET(B443,-1,0)))</f>
        <v/>
      </c>
      <c r="C443" s="34">
        <f>IF(H443="CÉLULA CONSTRUTIVA",0,IF(H443="ETAPA",OFFSET(C443,-1,0)+1,OFFSET(C443,-1,0)))</f>
        <v/>
      </c>
      <c r="D443" s="35">
        <f>IF(H443="ETAPA",0,IF(H443="SUBETAPA",OFFSET(D443,-1,0)+1,OFFSET(D443,-1,0)))</f>
        <v/>
      </c>
      <c r="E443" s="35">
        <f>IF(H443="Subetapa",0,IF(H443="serviço",OFFSET(E443,-1,0)+1,OFFSET(E443,-1,0)))</f>
        <v/>
      </c>
      <c r="F443" s="56" t="n"/>
      <c r="G443" s="1" t="n"/>
      <c r="H443" s="1" t="n"/>
      <c r="I443" s="1" t="n"/>
      <c r="J443" s="64" t="n"/>
      <c r="K443" s="52" t="n"/>
      <c r="L443" s="58" t="n"/>
      <c r="M443" s="58" t="n"/>
      <c r="N443" s="70" t="n"/>
      <c r="O443" s="56" t="n"/>
      <c r="P443" s="1" t="n"/>
      <c r="Q443" s="1" t="n"/>
    </row>
    <row r="444">
      <c r="A444" s="34">
        <f>IF($H444="UNIDADE CONSTRUTIVA",OFFSET(A444,-1,0)+1,LARGE(A$3:A443,1))</f>
        <v/>
      </c>
      <c r="B444" s="34">
        <f>IF(H444="UNIDADE CONSTRUTIVA",0,IF(H444="CÉLULA CONSTRUTIVA",OFFSET(B444,-1,0)+1,OFFSET(B444,-1,0)))</f>
        <v/>
      </c>
      <c r="C444" s="34">
        <f>IF(H444="CÉLULA CONSTRUTIVA",0,IF(H444="ETAPA",OFFSET(C444,-1,0)+1,OFFSET(C444,-1,0)))</f>
        <v/>
      </c>
      <c r="D444" s="35">
        <f>IF(H444="ETAPA",0,IF(H444="SUBETAPA",OFFSET(D444,-1,0)+1,OFFSET(D444,-1,0)))</f>
        <v/>
      </c>
      <c r="E444" s="35">
        <f>IF(H444="Subetapa",0,IF(H444="serviço",OFFSET(E444,-1,0)+1,OFFSET(E444,-1,0)))</f>
        <v/>
      </c>
      <c r="F444" s="56" t="n"/>
      <c r="G444" s="1" t="n"/>
      <c r="H444" s="1" t="n"/>
      <c r="I444" s="1" t="n"/>
      <c r="J444" s="64" t="n"/>
      <c r="K444" s="52" t="n"/>
      <c r="L444" s="58" t="n"/>
      <c r="M444" s="58" t="n"/>
      <c r="N444" s="70" t="n"/>
      <c r="O444" s="56" t="n"/>
      <c r="P444" s="1" t="n"/>
      <c r="Q444" s="1" t="n"/>
    </row>
    <row r="445">
      <c r="A445" s="34">
        <f>IF($H445="UNIDADE CONSTRUTIVA",OFFSET(A445,-1,0)+1,LARGE(A$3:A444,1))</f>
        <v/>
      </c>
      <c r="B445" s="34">
        <f>IF(H445="UNIDADE CONSTRUTIVA",0,IF(H445="CÉLULA CONSTRUTIVA",OFFSET(B445,-1,0)+1,OFFSET(B445,-1,0)))</f>
        <v/>
      </c>
      <c r="C445" s="34">
        <f>IF(H445="CÉLULA CONSTRUTIVA",0,IF(H445="ETAPA",OFFSET(C445,-1,0)+1,OFFSET(C445,-1,0)))</f>
        <v/>
      </c>
      <c r="D445" s="35">
        <f>IF(H445="ETAPA",0,IF(H445="SUBETAPA",OFFSET(D445,-1,0)+1,OFFSET(D445,-1,0)))</f>
        <v/>
      </c>
      <c r="E445" s="35">
        <f>IF(H445="Subetapa",0,IF(H445="serviço",OFFSET(E445,-1,0)+1,OFFSET(E445,-1,0)))</f>
        <v/>
      </c>
      <c r="F445" s="56" t="n"/>
      <c r="G445" s="1" t="n"/>
      <c r="H445" s="1" t="n"/>
      <c r="I445" s="1" t="n"/>
      <c r="J445" s="64" t="n"/>
      <c r="K445" s="52" t="n"/>
      <c r="L445" s="58" t="n"/>
      <c r="M445" s="58" t="n"/>
      <c r="N445" s="70" t="n"/>
      <c r="O445" s="56" t="n"/>
      <c r="P445" s="1" t="n"/>
      <c r="Q445" s="1" t="n"/>
    </row>
    <row r="446">
      <c r="A446" s="34">
        <f>IF($H446="UNIDADE CONSTRUTIVA",OFFSET(A446,-1,0)+1,LARGE(A$3:A445,1))</f>
        <v/>
      </c>
      <c r="B446" s="34">
        <f>IF(H446="UNIDADE CONSTRUTIVA",0,IF(H446="CÉLULA CONSTRUTIVA",OFFSET(B446,-1,0)+1,OFFSET(B446,-1,0)))</f>
        <v/>
      </c>
      <c r="C446" s="34">
        <f>IF(H446="CÉLULA CONSTRUTIVA",0,IF(H446="ETAPA",OFFSET(C446,-1,0)+1,OFFSET(C446,-1,0)))</f>
        <v/>
      </c>
      <c r="D446" s="35">
        <f>IF(H446="ETAPA",0,IF(H446="SUBETAPA",OFFSET(D446,-1,0)+1,OFFSET(D446,-1,0)))</f>
        <v/>
      </c>
      <c r="E446" s="35">
        <f>IF(H446="Subetapa",0,IF(H446="serviço",OFFSET(E446,-1,0)+1,OFFSET(E446,-1,0)))</f>
        <v/>
      </c>
      <c r="F446" s="56" t="n"/>
      <c r="G446" s="1" t="n"/>
      <c r="H446" s="1" t="n"/>
      <c r="I446" s="1" t="n"/>
      <c r="J446" s="64" t="n"/>
      <c r="K446" s="52" t="n"/>
      <c r="L446" s="58" t="n"/>
      <c r="M446" s="58" t="n"/>
      <c r="N446" s="70" t="n"/>
      <c r="O446" s="56" t="n"/>
      <c r="P446" s="1" t="n"/>
      <c r="Q446" s="1" t="n"/>
    </row>
    <row r="447">
      <c r="A447" s="34">
        <f>IF($H447="UNIDADE CONSTRUTIVA",OFFSET(A447,-1,0)+1,LARGE(A$3:A446,1))</f>
        <v/>
      </c>
      <c r="B447" s="34">
        <f>IF(H447="UNIDADE CONSTRUTIVA",0,IF(H447="CÉLULA CONSTRUTIVA",OFFSET(B447,-1,0)+1,OFFSET(B447,-1,0)))</f>
        <v/>
      </c>
      <c r="C447" s="34">
        <f>IF(H447="CÉLULA CONSTRUTIVA",0,IF(H447="ETAPA",OFFSET(C447,-1,0)+1,OFFSET(C447,-1,0)))</f>
        <v/>
      </c>
      <c r="D447" s="35">
        <f>IF(H447="ETAPA",0,IF(H447="SUBETAPA",OFFSET(D447,-1,0)+1,OFFSET(D447,-1,0)))</f>
        <v/>
      </c>
      <c r="E447" s="35">
        <f>IF(H447="Subetapa",0,IF(H447="serviço",OFFSET(E447,-1,0)+1,OFFSET(E447,-1,0)))</f>
        <v/>
      </c>
      <c r="F447" s="56" t="n"/>
      <c r="G447" s="1" t="n"/>
      <c r="H447" s="1" t="n"/>
      <c r="I447" s="1" t="n"/>
      <c r="J447" s="64" t="n"/>
      <c r="K447" s="52" t="n"/>
      <c r="L447" s="58" t="n"/>
      <c r="M447" s="58" t="n"/>
      <c r="N447" s="70" t="n"/>
      <c r="O447" s="56" t="n"/>
      <c r="P447" s="1" t="n"/>
      <c r="Q447" s="1" t="n"/>
    </row>
    <row r="448">
      <c r="A448" s="34">
        <f>IF($H448="UNIDADE CONSTRUTIVA",OFFSET(A448,-1,0)+1,LARGE(A$3:A447,1))</f>
        <v/>
      </c>
      <c r="B448" s="34">
        <f>IF(H448="UNIDADE CONSTRUTIVA",0,IF(H448="CÉLULA CONSTRUTIVA",OFFSET(B448,-1,0)+1,OFFSET(B448,-1,0)))</f>
        <v/>
      </c>
      <c r="C448" s="34">
        <f>IF(H448="CÉLULA CONSTRUTIVA",0,IF(H448="ETAPA",OFFSET(C448,-1,0)+1,OFFSET(C448,-1,0)))</f>
        <v/>
      </c>
      <c r="D448" s="35">
        <f>IF(H448="ETAPA",0,IF(H448="SUBETAPA",OFFSET(D448,-1,0)+1,OFFSET(D448,-1,0)))</f>
        <v/>
      </c>
      <c r="E448" s="35">
        <f>IF(H448="Subetapa",0,IF(H448="serviço",OFFSET(E448,-1,0)+1,OFFSET(E448,-1,0)))</f>
        <v/>
      </c>
      <c r="F448" s="56" t="n"/>
      <c r="G448" s="1" t="n"/>
      <c r="H448" s="1" t="n"/>
      <c r="I448" s="1" t="n"/>
      <c r="J448" s="64" t="n"/>
      <c r="K448" s="52" t="n"/>
      <c r="L448" s="58" t="n"/>
      <c r="M448" s="58" t="n"/>
      <c r="N448" s="70" t="n"/>
      <c r="O448" s="56" t="n"/>
      <c r="P448" s="1" t="n"/>
      <c r="Q448" s="1" t="n"/>
    </row>
    <row r="449">
      <c r="A449" s="34">
        <f>IF($H449="UNIDADE CONSTRUTIVA",OFFSET(A449,-1,0)+1,LARGE(A$3:A448,1))</f>
        <v/>
      </c>
      <c r="B449" s="34">
        <f>IF(H449="UNIDADE CONSTRUTIVA",0,IF(H449="CÉLULA CONSTRUTIVA",OFFSET(B449,-1,0)+1,OFFSET(B449,-1,0)))</f>
        <v/>
      </c>
      <c r="C449" s="34">
        <f>IF(H449="CÉLULA CONSTRUTIVA",0,IF(H449="ETAPA",OFFSET(C449,-1,0)+1,OFFSET(C449,-1,0)))</f>
        <v/>
      </c>
      <c r="D449" s="35">
        <f>IF(H449="ETAPA",0,IF(H449="SUBETAPA",OFFSET(D449,-1,0)+1,OFFSET(D449,-1,0)))</f>
        <v/>
      </c>
      <c r="E449" s="35">
        <f>IF(H449="Subetapa",0,IF(H449="serviço",OFFSET(E449,-1,0)+1,OFFSET(E449,-1,0)))</f>
        <v/>
      </c>
      <c r="F449" s="56" t="n"/>
      <c r="G449" s="1" t="n"/>
      <c r="H449" s="1" t="n"/>
      <c r="I449" s="1" t="n"/>
      <c r="J449" s="64" t="n"/>
      <c r="K449" s="52" t="n"/>
      <c r="L449" s="58" t="n"/>
      <c r="M449" s="58" t="n"/>
      <c r="N449" s="70" t="n"/>
      <c r="O449" s="56" t="n"/>
      <c r="P449" s="1" t="n"/>
      <c r="Q449" s="1" t="n"/>
    </row>
    <row r="450">
      <c r="A450" s="34">
        <f>IF($H450="UNIDADE CONSTRUTIVA",OFFSET(A450,-1,0)+1,LARGE(A$3:A449,1))</f>
        <v/>
      </c>
      <c r="B450" s="34">
        <f>IF(H450="UNIDADE CONSTRUTIVA",0,IF(H450="CÉLULA CONSTRUTIVA",OFFSET(B450,-1,0)+1,OFFSET(B450,-1,0)))</f>
        <v/>
      </c>
      <c r="C450" s="34">
        <f>IF(H450="CÉLULA CONSTRUTIVA",0,IF(H450="ETAPA",OFFSET(C450,-1,0)+1,OFFSET(C450,-1,0)))</f>
        <v/>
      </c>
      <c r="D450" s="35">
        <f>IF(H450="ETAPA",0,IF(H450="SUBETAPA",OFFSET(D450,-1,0)+1,OFFSET(D450,-1,0)))</f>
        <v/>
      </c>
      <c r="E450" s="35">
        <f>IF(H450="Subetapa",0,IF(H450="serviço",OFFSET(E450,-1,0)+1,OFFSET(E450,-1,0)))</f>
        <v/>
      </c>
      <c r="F450" s="56" t="n"/>
      <c r="G450" s="1" t="n"/>
      <c r="H450" s="1" t="n"/>
      <c r="I450" s="1" t="n"/>
      <c r="J450" s="64" t="n"/>
      <c r="K450" s="52" t="n"/>
      <c r="L450" s="58" t="n"/>
      <c r="M450" s="58" t="n"/>
      <c r="N450" s="70" t="n"/>
      <c r="O450" s="56" t="n"/>
      <c r="P450" s="1" t="n"/>
      <c r="Q450" s="1" t="n"/>
    </row>
    <row r="451">
      <c r="A451" s="34">
        <f>IF($H451="UNIDADE CONSTRUTIVA",OFFSET(A451,-1,0)+1,LARGE(A$3:A450,1))</f>
        <v/>
      </c>
      <c r="B451" s="34">
        <f>IF(H451="UNIDADE CONSTRUTIVA",0,IF(H451="CÉLULA CONSTRUTIVA",OFFSET(B451,-1,0)+1,OFFSET(B451,-1,0)))</f>
        <v/>
      </c>
      <c r="C451" s="34">
        <f>IF(H451="CÉLULA CONSTRUTIVA",0,IF(H451="ETAPA",OFFSET(C451,-1,0)+1,OFFSET(C451,-1,0)))</f>
        <v/>
      </c>
      <c r="D451" s="35">
        <f>IF(H451="ETAPA",0,IF(H451="SUBETAPA",OFFSET(D451,-1,0)+1,OFFSET(D451,-1,0)))</f>
        <v/>
      </c>
      <c r="E451" s="35">
        <f>IF(H451="Subetapa",0,IF(H451="serviço",OFFSET(E451,-1,0)+1,OFFSET(E451,-1,0)))</f>
        <v/>
      </c>
      <c r="F451" s="56" t="n"/>
      <c r="G451" s="1" t="n"/>
      <c r="H451" s="1" t="n"/>
      <c r="I451" s="1" t="n"/>
      <c r="J451" s="64" t="n"/>
      <c r="K451" s="52" t="n"/>
      <c r="L451" s="58" t="n"/>
      <c r="M451" s="58" t="n"/>
      <c r="N451" s="70" t="n"/>
      <c r="O451" s="56" t="n"/>
      <c r="P451" s="1" t="n"/>
      <c r="Q451" s="1" t="n"/>
    </row>
    <row r="452">
      <c r="A452" s="34">
        <f>IF($H452="UNIDADE CONSTRUTIVA",OFFSET(A452,-1,0)+1,LARGE(A$3:A451,1))</f>
        <v/>
      </c>
      <c r="B452" s="34">
        <f>IF(H452="UNIDADE CONSTRUTIVA",0,IF(H452="CÉLULA CONSTRUTIVA",OFFSET(B452,-1,0)+1,OFFSET(B452,-1,0)))</f>
        <v/>
      </c>
      <c r="C452" s="34">
        <f>IF(H452="CÉLULA CONSTRUTIVA",0,IF(H452="ETAPA",OFFSET(C452,-1,0)+1,OFFSET(C452,-1,0)))</f>
        <v/>
      </c>
      <c r="D452" s="35">
        <f>IF(H452="ETAPA",0,IF(H452="SUBETAPA",OFFSET(D452,-1,0)+1,OFFSET(D452,-1,0)))</f>
        <v/>
      </c>
      <c r="E452" s="35">
        <f>IF(H452="Subetapa",0,IF(H452="serviço",OFFSET(E452,-1,0)+1,OFFSET(E452,-1,0)))</f>
        <v/>
      </c>
      <c r="F452" s="56" t="n"/>
      <c r="G452" s="1" t="n"/>
      <c r="H452" s="1" t="n"/>
      <c r="I452" s="1" t="n"/>
      <c r="J452" s="64" t="n"/>
      <c r="K452" s="52" t="n"/>
      <c r="L452" s="58" t="n"/>
      <c r="M452" s="58" t="n"/>
      <c r="N452" s="70" t="n"/>
      <c r="O452" s="56" t="n"/>
      <c r="P452" s="1" t="n"/>
      <c r="Q452" s="1" t="n"/>
    </row>
    <row r="453">
      <c r="A453" s="34">
        <f>IF($H453="UNIDADE CONSTRUTIVA",OFFSET(A453,-1,0)+1,LARGE(A$3:A452,1))</f>
        <v/>
      </c>
      <c r="B453" s="34">
        <f>IF(H453="UNIDADE CONSTRUTIVA",0,IF(H453="CÉLULA CONSTRUTIVA",OFFSET(B453,-1,0)+1,OFFSET(B453,-1,0)))</f>
        <v/>
      </c>
      <c r="C453" s="34">
        <f>IF(H453="CÉLULA CONSTRUTIVA",0,IF(H453="ETAPA",OFFSET(C453,-1,0)+1,OFFSET(C453,-1,0)))</f>
        <v/>
      </c>
      <c r="D453" s="35">
        <f>IF(H453="ETAPA",0,IF(H453="SUBETAPA",OFFSET(D453,-1,0)+1,OFFSET(D453,-1,0)))</f>
        <v/>
      </c>
      <c r="E453" s="35">
        <f>IF(H453="Subetapa",0,IF(H453="serviço",OFFSET(E453,-1,0)+1,OFFSET(E453,-1,0)))</f>
        <v/>
      </c>
      <c r="F453" s="56" t="n"/>
      <c r="G453" s="1" t="n"/>
      <c r="H453" s="1" t="n"/>
      <c r="I453" s="1" t="n"/>
      <c r="J453" s="64" t="n"/>
      <c r="K453" s="52" t="n"/>
      <c r="L453" s="58" t="n"/>
      <c r="M453" s="58" t="n"/>
      <c r="N453" s="70" t="n"/>
      <c r="O453" s="56" t="n"/>
      <c r="P453" s="1" t="n"/>
      <c r="Q453" s="1" t="n"/>
    </row>
    <row r="454">
      <c r="A454" s="34">
        <f>IF($H454="UNIDADE CONSTRUTIVA",OFFSET(A454,-1,0)+1,LARGE(A$3:A453,1))</f>
        <v/>
      </c>
      <c r="B454" s="34">
        <f>IF(H454="UNIDADE CONSTRUTIVA",0,IF(H454="CÉLULA CONSTRUTIVA",OFFSET(B454,-1,0)+1,OFFSET(B454,-1,0)))</f>
        <v/>
      </c>
      <c r="C454" s="34">
        <f>IF(H454="CÉLULA CONSTRUTIVA",0,IF(H454="ETAPA",OFFSET(C454,-1,0)+1,OFFSET(C454,-1,0)))</f>
        <v/>
      </c>
      <c r="D454" s="35">
        <f>IF(H454="ETAPA",0,IF(H454="SUBETAPA",OFFSET(D454,-1,0)+1,OFFSET(D454,-1,0)))</f>
        <v/>
      </c>
      <c r="E454" s="35">
        <f>IF(H454="Subetapa",0,IF(H454="serviço",OFFSET(E454,-1,0)+1,OFFSET(E454,-1,0)))</f>
        <v/>
      </c>
      <c r="F454" s="56" t="n"/>
      <c r="G454" s="1" t="n"/>
      <c r="H454" s="1" t="n"/>
      <c r="I454" s="1" t="n"/>
      <c r="J454" s="64" t="n"/>
      <c r="K454" s="52" t="n"/>
      <c r="L454" s="58" t="n"/>
      <c r="M454" s="58" t="n"/>
      <c r="N454" s="70" t="n"/>
      <c r="O454" s="56" t="n"/>
      <c r="P454" s="1" t="n"/>
      <c r="Q454" s="1" t="n"/>
    </row>
    <row r="455">
      <c r="A455" s="34">
        <f>IF($H455="UNIDADE CONSTRUTIVA",OFFSET(A455,-1,0)+1,LARGE(A$3:A454,1))</f>
        <v/>
      </c>
      <c r="B455" s="34">
        <f>IF(H455="UNIDADE CONSTRUTIVA",0,IF(H455="CÉLULA CONSTRUTIVA",OFFSET(B455,-1,0)+1,OFFSET(B455,-1,0)))</f>
        <v/>
      </c>
      <c r="C455" s="34">
        <f>IF(H455="CÉLULA CONSTRUTIVA",0,IF(H455="ETAPA",OFFSET(C455,-1,0)+1,OFFSET(C455,-1,0)))</f>
        <v/>
      </c>
      <c r="D455" s="35">
        <f>IF(H455="ETAPA",0,IF(H455="SUBETAPA",OFFSET(D455,-1,0)+1,OFFSET(D455,-1,0)))</f>
        <v/>
      </c>
      <c r="E455" s="35">
        <f>IF(H455="Subetapa",0,IF(H455="serviço",OFFSET(E455,-1,0)+1,OFFSET(E455,-1,0)))</f>
        <v/>
      </c>
      <c r="F455" s="56" t="n"/>
      <c r="G455" s="1" t="n"/>
      <c r="H455" s="1" t="n"/>
      <c r="I455" s="1" t="n"/>
      <c r="J455" s="64" t="n"/>
      <c r="K455" s="52" t="n"/>
      <c r="L455" s="58" t="n"/>
      <c r="M455" s="58" t="n"/>
      <c r="N455" s="70" t="n"/>
      <c r="O455" s="56" t="n"/>
      <c r="P455" s="1" t="n"/>
      <c r="Q455" s="1" t="n"/>
    </row>
    <row r="456">
      <c r="A456" s="34">
        <f>IF($H456="UNIDADE CONSTRUTIVA",OFFSET(A456,-1,0)+1,LARGE(A$3:A455,1))</f>
        <v/>
      </c>
      <c r="B456" s="34">
        <f>IF(H456="UNIDADE CONSTRUTIVA",0,IF(H456="CÉLULA CONSTRUTIVA",OFFSET(B456,-1,0)+1,OFFSET(B456,-1,0)))</f>
        <v/>
      </c>
      <c r="C456" s="34">
        <f>IF(H456="CÉLULA CONSTRUTIVA",0,IF(H456="ETAPA",OFFSET(C456,-1,0)+1,OFFSET(C456,-1,0)))</f>
        <v/>
      </c>
      <c r="D456" s="35">
        <f>IF(H456="ETAPA",0,IF(H456="SUBETAPA",OFFSET(D456,-1,0)+1,OFFSET(D456,-1,0)))</f>
        <v/>
      </c>
      <c r="E456" s="35">
        <f>IF(H456="Subetapa",0,IF(H456="serviço",OFFSET(E456,-1,0)+1,OFFSET(E456,-1,0)))</f>
        <v/>
      </c>
      <c r="F456" s="56" t="n"/>
      <c r="G456" s="1" t="n"/>
      <c r="H456" s="1" t="n"/>
      <c r="I456" s="1" t="n"/>
      <c r="J456" s="64" t="n"/>
      <c r="K456" s="52" t="n"/>
      <c r="L456" s="58" t="n"/>
      <c r="M456" s="58" t="n"/>
      <c r="N456" s="70" t="n"/>
      <c r="O456" s="56" t="n"/>
      <c r="P456" s="1" t="n"/>
      <c r="Q456" s="1" t="n"/>
    </row>
    <row r="457">
      <c r="A457" s="34">
        <f>IF($H457="UNIDADE CONSTRUTIVA",OFFSET(A457,-1,0)+1,LARGE(A$3:A456,1))</f>
        <v/>
      </c>
      <c r="B457" s="34">
        <f>IF(H457="UNIDADE CONSTRUTIVA",0,IF(H457="CÉLULA CONSTRUTIVA",OFFSET(B457,-1,0)+1,OFFSET(B457,-1,0)))</f>
        <v/>
      </c>
      <c r="C457" s="34">
        <f>IF(H457="CÉLULA CONSTRUTIVA",0,IF(H457="ETAPA",OFFSET(C457,-1,0)+1,OFFSET(C457,-1,0)))</f>
        <v/>
      </c>
      <c r="D457" s="35">
        <f>IF(H457="ETAPA",0,IF(H457="SUBETAPA",OFFSET(D457,-1,0)+1,OFFSET(D457,-1,0)))</f>
        <v/>
      </c>
      <c r="E457" s="35">
        <f>IF(H457="Subetapa",0,IF(H457="serviço",OFFSET(E457,-1,0)+1,OFFSET(E457,-1,0)))</f>
        <v/>
      </c>
      <c r="F457" s="56" t="n"/>
      <c r="G457" s="1" t="n"/>
      <c r="H457" s="1" t="n"/>
      <c r="I457" s="1" t="n"/>
      <c r="J457" s="64" t="n"/>
      <c r="K457" s="52" t="n"/>
      <c r="L457" s="58" t="n"/>
      <c r="M457" s="58" t="n"/>
      <c r="N457" s="70" t="n"/>
      <c r="O457" s="56" t="n"/>
      <c r="P457" s="1" t="n"/>
      <c r="Q457" s="1" t="n"/>
    </row>
    <row r="458">
      <c r="A458" s="34">
        <f>IF($H458="UNIDADE CONSTRUTIVA",OFFSET(A458,-1,0)+1,LARGE(A$3:A457,1))</f>
        <v/>
      </c>
      <c r="B458" s="34">
        <f>IF(H458="UNIDADE CONSTRUTIVA",0,IF(H458="CÉLULA CONSTRUTIVA",OFFSET(B458,-1,0)+1,OFFSET(B458,-1,0)))</f>
        <v/>
      </c>
      <c r="C458" s="34">
        <f>IF(H458="CÉLULA CONSTRUTIVA",0,IF(H458="ETAPA",OFFSET(C458,-1,0)+1,OFFSET(C458,-1,0)))</f>
        <v/>
      </c>
      <c r="D458" s="35">
        <f>IF(H458="ETAPA",0,IF(H458="SUBETAPA",OFFSET(D458,-1,0)+1,OFFSET(D458,-1,0)))</f>
        <v/>
      </c>
      <c r="E458" s="35">
        <f>IF(H458="Subetapa",0,IF(H458="serviço",OFFSET(E458,-1,0)+1,OFFSET(E458,-1,0)))</f>
        <v/>
      </c>
      <c r="F458" s="56" t="n"/>
      <c r="G458" s="1" t="n"/>
      <c r="H458" s="1" t="n"/>
      <c r="I458" s="1" t="n"/>
      <c r="J458" s="64" t="n"/>
      <c r="K458" s="52" t="n"/>
      <c r="L458" s="58" t="n"/>
      <c r="M458" s="58" t="n"/>
      <c r="N458" s="70" t="n"/>
      <c r="O458" s="56" t="n"/>
      <c r="P458" s="1" t="n"/>
      <c r="Q458" s="1" t="n"/>
    </row>
    <row r="459">
      <c r="A459" s="34">
        <f>IF($H459="UNIDADE CONSTRUTIVA",OFFSET(A459,-1,0)+1,LARGE(A$3:A458,1))</f>
        <v/>
      </c>
      <c r="B459" s="34">
        <f>IF(H459="UNIDADE CONSTRUTIVA",0,IF(H459="CÉLULA CONSTRUTIVA",OFFSET(B459,-1,0)+1,OFFSET(B459,-1,0)))</f>
        <v/>
      </c>
      <c r="C459" s="34">
        <f>IF(H459="CÉLULA CONSTRUTIVA",0,IF(H459="ETAPA",OFFSET(C459,-1,0)+1,OFFSET(C459,-1,0)))</f>
        <v/>
      </c>
      <c r="D459" s="35">
        <f>IF(H459="ETAPA",0,IF(H459="SUBETAPA",OFFSET(D459,-1,0)+1,OFFSET(D459,-1,0)))</f>
        <v/>
      </c>
      <c r="E459" s="35">
        <f>IF(H459="Subetapa",0,IF(H459="serviço",OFFSET(E459,-1,0)+1,OFFSET(E459,-1,0)))</f>
        <v/>
      </c>
      <c r="F459" s="56" t="n"/>
      <c r="G459" s="1" t="n"/>
      <c r="H459" s="1" t="n"/>
      <c r="I459" s="1" t="n"/>
      <c r="J459" s="64" t="n"/>
      <c r="K459" s="52" t="n"/>
      <c r="L459" s="58" t="n"/>
      <c r="M459" s="58" t="n"/>
      <c r="N459" s="70" t="n"/>
      <c r="O459" s="56" t="n"/>
      <c r="P459" s="1" t="n"/>
      <c r="Q459" s="1" t="n"/>
    </row>
    <row r="460">
      <c r="A460" s="34">
        <f>IF($H460="UNIDADE CONSTRUTIVA",OFFSET(A460,-1,0)+1,LARGE(A$3:A459,1))</f>
        <v/>
      </c>
      <c r="B460" s="34">
        <f>IF(H460="UNIDADE CONSTRUTIVA",0,IF(H460="CÉLULA CONSTRUTIVA",OFFSET(B460,-1,0)+1,OFFSET(B460,-1,0)))</f>
        <v/>
      </c>
      <c r="C460" s="34">
        <f>IF(H460="CÉLULA CONSTRUTIVA",0,IF(H460="ETAPA",OFFSET(C460,-1,0)+1,OFFSET(C460,-1,0)))</f>
        <v/>
      </c>
      <c r="D460" s="35">
        <f>IF(H460="ETAPA",0,IF(H460="SUBETAPA",OFFSET(D460,-1,0)+1,OFFSET(D460,-1,0)))</f>
        <v/>
      </c>
      <c r="E460" s="35">
        <f>IF(H460="Subetapa",0,IF(H460="serviço",OFFSET(E460,-1,0)+1,OFFSET(E460,-1,0)))</f>
        <v/>
      </c>
      <c r="F460" s="56" t="n"/>
      <c r="G460" s="1" t="n"/>
      <c r="H460" s="1" t="n"/>
      <c r="I460" s="1" t="n"/>
      <c r="J460" s="64" t="n"/>
      <c r="K460" s="52" t="n"/>
      <c r="L460" s="58" t="n"/>
      <c r="M460" s="58" t="n"/>
      <c r="N460" s="70" t="n"/>
      <c r="O460" s="56" t="n"/>
      <c r="P460" s="1" t="n"/>
      <c r="Q460" s="1" t="n"/>
    </row>
    <row r="461">
      <c r="A461" s="34">
        <f>IF($H461="UNIDADE CONSTRUTIVA",OFFSET(A461,-1,0)+1,LARGE(A$3:A460,1))</f>
        <v/>
      </c>
      <c r="B461" s="34">
        <f>IF(H461="UNIDADE CONSTRUTIVA",0,IF(H461="CÉLULA CONSTRUTIVA",OFFSET(B461,-1,0)+1,OFFSET(B461,-1,0)))</f>
        <v/>
      </c>
      <c r="C461" s="34">
        <f>IF(H461="CÉLULA CONSTRUTIVA",0,IF(H461="ETAPA",OFFSET(C461,-1,0)+1,OFFSET(C461,-1,0)))</f>
        <v/>
      </c>
      <c r="D461" s="35">
        <f>IF(H461="ETAPA",0,IF(H461="SUBETAPA",OFFSET(D461,-1,0)+1,OFFSET(D461,-1,0)))</f>
        <v/>
      </c>
      <c r="E461" s="35">
        <f>IF(H461="Subetapa",0,IF(H461="serviço",OFFSET(E461,-1,0)+1,OFFSET(E461,-1,0)))</f>
        <v/>
      </c>
      <c r="F461" s="56" t="n"/>
      <c r="G461" s="1" t="n"/>
      <c r="H461" s="1" t="n"/>
      <c r="I461" s="1" t="n"/>
      <c r="J461" s="64" t="n"/>
      <c r="K461" s="52" t="n"/>
      <c r="L461" s="58" t="n"/>
      <c r="M461" s="58" t="n"/>
      <c r="N461" s="70" t="n"/>
      <c r="O461" s="56" t="n"/>
      <c r="P461" s="1" t="n"/>
      <c r="Q461" s="1" t="n"/>
    </row>
    <row r="462">
      <c r="A462" s="34">
        <f>IF($H462="UNIDADE CONSTRUTIVA",OFFSET(A462,-1,0)+1,LARGE(A$3:A461,1))</f>
        <v/>
      </c>
      <c r="B462" s="34">
        <f>IF(H462="UNIDADE CONSTRUTIVA",0,IF(H462="CÉLULA CONSTRUTIVA",OFFSET(B462,-1,0)+1,OFFSET(B462,-1,0)))</f>
        <v/>
      </c>
      <c r="C462" s="34">
        <f>IF(H462="CÉLULA CONSTRUTIVA",0,IF(H462="ETAPA",OFFSET(C462,-1,0)+1,OFFSET(C462,-1,0)))</f>
        <v/>
      </c>
      <c r="D462" s="35">
        <f>IF(H462="ETAPA",0,IF(H462="SUBETAPA",OFFSET(D462,-1,0)+1,OFFSET(D462,-1,0)))</f>
        <v/>
      </c>
      <c r="E462" s="35">
        <f>IF(H462="Subetapa",0,IF(H462="serviço",OFFSET(E462,-1,0)+1,OFFSET(E462,-1,0)))</f>
        <v/>
      </c>
      <c r="F462" s="56" t="n"/>
      <c r="G462" s="1" t="n"/>
      <c r="H462" s="1" t="n"/>
      <c r="I462" s="1" t="n"/>
      <c r="J462" s="64" t="n"/>
      <c r="K462" s="52" t="n"/>
      <c r="L462" s="58" t="n"/>
      <c r="M462" s="58" t="n"/>
      <c r="N462" s="70" t="n"/>
      <c r="O462" s="56" t="n"/>
      <c r="P462" s="1" t="n"/>
      <c r="Q462" s="1" t="n"/>
    </row>
    <row r="463">
      <c r="A463" s="34">
        <f>IF($H463="UNIDADE CONSTRUTIVA",OFFSET(A463,-1,0)+1,LARGE(A$3:A462,1))</f>
        <v/>
      </c>
      <c r="B463" s="34">
        <f>IF(H463="UNIDADE CONSTRUTIVA",0,IF(H463="CÉLULA CONSTRUTIVA",OFFSET(B463,-1,0)+1,OFFSET(B463,-1,0)))</f>
        <v/>
      </c>
      <c r="C463" s="34">
        <f>IF(H463="CÉLULA CONSTRUTIVA",0,IF(H463="ETAPA",OFFSET(C463,-1,0)+1,OFFSET(C463,-1,0)))</f>
        <v/>
      </c>
      <c r="D463" s="35">
        <f>IF(H463="ETAPA",0,IF(H463="SUBETAPA",OFFSET(D463,-1,0)+1,OFFSET(D463,-1,0)))</f>
        <v/>
      </c>
      <c r="E463" s="35">
        <f>IF(H463="Subetapa",0,IF(H463="serviço",OFFSET(E463,-1,0)+1,OFFSET(E463,-1,0)))</f>
        <v/>
      </c>
      <c r="F463" s="56" t="n"/>
      <c r="G463" s="1" t="n"/>
      <c r="H463" s="1" t="n"/>
      <c r="I463" s="1" t="n"/>
      <c r="J463" s="64" t="n"/>
      <c r="K463" s="52" t="n"/>
      <c r="L463" s="58" t="n"/>
      <c r="M463" s="58" t="n"/>
      <c r="N463" s="70" t="n"/>
      <c r="O463" s="56" t="n"/>
      <c r="P463" s="1" t="n"/>
      <c r="Q463" s="1" t="n"/>
    </row>
    <row r="464">
      <c r="A464" s="34">
        <f>IF($H464="UNIDADE CONSTRUTIVA",OFFSET(A464,-1,0)+1,LARGE(A$3:A463,1))</f>
        <v/>
      </c>
      <c r="B464" s="34">
        <f>IF(H464="UNIDADE CONSTRUTIVA",0,IF(H464="CÉLULA CONSTRUTIVA",OFFSET(B464,-1,0)+1,OFFSET(B464,-1,0)))</f>
        <v/>
      </c>
      <c r="C464" s="34">
        <f>IF(H464="CÉLULA CONSTRUTIVA",0,IF(H464="ETAPA",OFFSET(C464,-1,0)+1,OFFSET(C464,-1,0)))</f>
        <v/>
      </c>
      <c r="D464" s="35">
        <f>IF(H464="ETAPA",0,IF(H464="SUBETAPA",OFFSET(D464,-1,0)+1,OFFSET(D464,-1,0)))</f>
        <v/>
      </c>
      <c r="E464" s="35">
        <f>IF(H464="Subetapa",0,IF(H464="serviço",OFFSET(E464,-1,0)+1,OFFSET(E464,-1,0)))</f>
        <v/>
      </c>
      <c r="F464" s="56" t="n"/>
      <c r="G464" s="1" t="n"/>
      <c r="H464" s="1" t="n"/>
      <c r="I464" s="1" t="n"/>
      <c r="J464" s="64" t="n"/>
      <c r="K464" s="52" t="n"/>
      <c r="L464" s="58" t="n"/>
      <c r="M464" s="58" t="n"/>
      <c r="N464" s="70" t="n"/>
      <c r="O464" s="56" t="n"/>
      <c r="P464" s="1" t="n"/>
      <c r="Q464" s="1" t="n"/>
    </row>
    <row r="465">
      <c r="A465" s="34">
        <f>IF($H465="UNIDADE CONSTRUTIVA",OFFSET(A465,-1,0)+1,LARGE(A$3:A464,1))</f>
        <v/>
      </c>
      <c r="B465" s="34">
        <f>IF(H465="UNIDADE CONSTRUTIVA",0,IF(H465="CÉLULA CONSTRUTIVA",OFFSET(B465,-1,0)+1,OFFSET(B465,-1,0)))</f>
        <v/>
      </c>
      <c r="C465" s="34">
        <f>IF(H465="CÉLULA CONSTRUTIVA",0,IF(H465="ETAPA",OFFSET(C465,-1,0)+1,OFFSET(C465,-1,0)))</f>
        <v/>
      </c>
      <c r="D465" s="35">
        <f>IF(H465="ETAPA",0,IF(H465="SUBETAPA",OFFSET(D465,-1,0)+1,OFFSET(D465,-1,0)))</f>
        <v/>
      </c>
      <c r="E465" s="35">
        <f>IF(H465="Subetapa",0,IF(H465="serviço",OFFSET(E465,-1,0)+1,OFFSET(E465,-1,0)))</f>
        <v/>
      </c>
      <c r="F465" s="56" t="n"/>
      <c r="G465" s="1" t="n"/>
      <c r="H465" s="1" t="n"/>
      <c r="I465" s="1" t="n"/>
      <c r="J465" s="64" t="n"/>
      <c r="K465" s="52" t="n"/>
      <c r="L465" s="58" t="n"/>
      <c r="M465" s="58" t="n"/>
      <c r="N465" s="70" t="n"/>
      <c r="O465" s="56" t="n"/>
      <c r="P465" s="1" t="n"/>
      <c r="Q465" s="1" t="n"/>
    </row>
    <row r="466">
      <c r="A466" s="34">
        <f>IF($H466="UNIDADE CONSTRUTIVA",OFFSET(A466,-1,0)+1,LARGE(A$3:A465,1))</f>
        <v/>
      </c>
      <c r="B466" s="34">
        <f>IF(H466="UNIDADE CONSTRUTIVA",0,IF(H466="CÉLULA CONSTRUTIVA",OFFSET(B466,-1,0)+1,OFFSET(B466,-1,0)))</f>
        <v/>
      </c>
      <c r="C466" s="34">
        <f>IF(H466="CÉLULA CONSTRUTIVA",0,IF(H466="ETAPA",OFFSET(C466,-1,0)+1,OFFSET(C466,-1,0)))</f>
        <v/>
      </c>
      <c r="D466" s="35">
        <f>IF(H466="ETAPA",0,IF(H466="SUBETAPA",OFFSET(D466,-1,0)+1,OFFSET(D466,-1,0)))</f>
        <v/>
      </c>
      <c r="E466" s="35">
        <f>IF(H466="Subetapa",0,IF(H466="serviço",OFFSET(E466,-1,0)+1,OFFSET(E466,-1,0)))</f>
        <v/>
      </c>
      <c r="F466" s="56" t="n"/>
      <c r="G466" s="1" t="n"/>
      <c r="H466" s="1" t="n"/>
      <c r="I466" s="1" t="n"/>
      <c r="J466" s="64" t="n"/>
      <c r="K466" s="52" t="n"/>
      <c r="L466" s="58" t="n"/>
      <c r="M466" s="58" t="n"/>
      <c r="N466" s="70" t="n"/>
      <c r="O466" s="56" t="n"/>
      <c r="P466" s="1" t="n"/>
      <c r="Q466" s="1" t="n"/>
    </row>
    <row r="467">
      <c r="A467" s="34">
        <f>IF($H467="UNIDADE CONSTRUTIVA",OFFSET(A467,-1,0)+1,LARGE(A$3:A466,1))</f>
        <v/>
      </c>
      <c r="B467" s="34">
        <f>IF(H467="UNIDADE CONSTRUTIVA",0,IF(H467="CÉLULA CONSTRUTIVA",OFFSET(B467,-1,0)+1,OFFSET(B467,-1,0)))</f>
        <v/>
      </c>
      <c r="C467" s="34">
        <f>IF(H467="CÉLULA CONSTRUTIVA",0,IF(H467="ETAPA",OFFSET(C467,-1,0)+1,OFFSET(C467,-1,0)))</f>
        <v/>
      </c>
      <c r="D467" s="35">
        <f>IF(H467="ETAPA",0,IF(H467="SUBETAPA",OFFSET(D467,-1,0)+1,OFFSET(D467,-1,0)))</f>
        <v/>
      </c>
      <c r="E467" s="35">
        <f>IF(H467="Subetapa",0,IF(H467="serviço",OFFSET(E467,-1,0)+1,OFFSET(E467,-1,0)))</f>
        <v/>
      </c>
      <c r="F467" s="56" t="n"/>
      <c r="G467" s="1" t="n"/>
      <c r="H467" s="1" t="n"/>
      <c r="I467" s="1" t="n"/>
      <c r="J467" s="64" t="n"/>
      <c r="K467" s="52" t="n"/>
      <c r="L467" s="58" t="n"/>
      <c r="M467" s="58" t="n"/>
      <c r="N467" s="70" t="n"/>
      <c r="O467" s="56" t="n"/>
      <c r="P467" s="1" t="n"/>
      <c r="Q467" s="1" t="n"/>
    </row>
    <row r="468">
      <c r="A468" s="34">
        <f>IF($H468="UNIDADE CONSTRUTIVA",OFFSET(A468,-1,0)+1,LARGE(A$3:A467,1))</f>
        <v/>
      </c>
      <c r="B468" s="34">
        <f>IF(H468="UNIDADE CONSTRUTIVA",0,IF(H468="CÉLULA CONSTRUTIVA",OFFSET(B468,-1,0)+1,OFFSET(B468,-1,0)))</f>
        <v/>
      </c>
      <c r="C468" s="34">
        <f>IF(H468="CÉLULA CONSTRUTIVA",0,IF(H468="ETAPA",OFFSET(C468,-1,0)+1,OFFSET(C468,-1,0)))</f>
        <v/>
      </c>
      <c r="D468" s="35">
        <f>IF(H468="ETAPA",0,IF(H468="SUBETAPA",OFFSET(D468,-1,0)+1,OFFSET(D468,-1,0)))</f>
        <v/>
      </c>
      <c r="E468" s="35">
        <f>IF(H468="Subetapa",0,IF(H468="serviço",OFFSET(E468,-1,0)+1,OFFSET(E468,-1,0)))</f>
        <v/>
      </c>
      <c r="F468" s="56" t="n"/>
      <c r="G468" s="1" t="n"/>
      <c r="H468" s="1" t="n"/>
      <c r="I468" s="1" t="n"/>
      <c r="J468" s="64" t="n"/>
      <c r="K468" s="52" t="n"/>
      <c r="L468" s="58" t="n"/>
      <c r="M468" s="58" t="n"/>
      <c r="N468" s="70" t="n"/>
      <c r="O468" s="56" t="n"/>
      <c r="P468" s="1" t="n"/>
      <c r="Q468" s="1" t="n"/>
    </row>
    <row r="469">
      <c r="A469" s="34">
        <f>IF($H469="UNIDADE CONSTRUTIVA",OFFSET(A469,-1,0)+1,LARGE(A$3:A468,1))</f>
        <v/>
      </c>
      <c r="B469" s="34">
        <f>IF(H469="UNIDADE CONSTRUTIVA",0,IF(H469="CÉLULA CONSTRUTIVA",OFFSET(B469,-1,0)+1,OFFSET(B469,-1,0)))</f>
        <v/>
      </c>
      <c r="C469" s="34">
        <f>IF(H469="CÉLULA CONSTRUTIVA",0,IF(H469="ETAPA",OFFSET(C469,-1,0)+1,OFFSET(C469,-1,0)))</f>
        <v/>
      </c>
      <c r="D469" s="35">
        <f>IF(H469="ETAPA",0,IF(H469="SUBETAPA",OFFSET(D469,-1,0)+1,OFFSET(D469,-1,0)))</f>
        <v/>
      </c>
      <c r="E469" s="35">
        <f>IF(H469="Subetapa",0,IF(H469="serviço",OFFSET(E469,-1,0)+1,OFFSET(E469,-1,0)))</f>
        <v/>
      </c>
      <c r="F469" s="56" t="n"/>
      <c r="G469" s="1" t="n"/>
      <c r="H469" s="1" t="n"/>
      <c r="I469" s="1" t="n"/>
      <c r="J469" s="64" t="n"/>
      <c r="K469" s="52" t="n"/>
      <c r="L469" s="58" t="n"/>
      <c r="M469" s="58" t="n"/>
      <c r="N469" s="70" t="n"/>
      <c r="O469" s="56" t="n"/>
      <c r="P469" s="1" t="n"/>
      <c r="Q469" s="1" t="n"/>
    </row>
    <row r="470">
      <c r="A470" s="34">
        <f>IF($H470="UNIDADE CONSTRUTIVA",OFFSET(A470,-1,0)+1,LARGE(A$3:A469,1))</f>
        <v/>
      </c>
      <c r="B470" s="34">
        <f>IF(H470="UNIDADE CONSTRUTIVA",0,IF(H470="CÉLULA CONSTRUTIVA",OFFSET(B470,-1,0)+1,OFFSET(B470,-1,0)))</f>
        <v/>
      </c>
      <c r="C470" s="34">
        <f>IF(H470="CÉLULA CONSTRUTIVA",0,IF(H470="ETAPA",OFFSET(C470,-1,0)+1,OFFSET(C470,-1,0)))</f>
        <v/>
      </c>
      <c r="D470" s="35">
        <f>IF(H470="ETAPA",0,IF(H470="SUBETAPA",OFFSET(D470,-1,0)+1,OFFSET(D470,-1,0)))</f>
        <v/>
      </c>
      <c r="E470" s="35">
        <f>IF(H470="Subetapa",0,IF(H470="serviço",OFFSET(E470,-1,0)+1,OFFSET(E470,-1,0)))</f>
        <v/>
      </c>
      <c r="F470" s="56" t="n"/>
      <c r="G470" s="1" t="n"/>
      <c r="H470" s="1" t="n"/>
      <c r="I470" s="1" t="n"/>
      <c r="J470" s="64" t="n"/>
      <c r="K470" s="52" t="n"/>
      <c r="L470" s="58" t="n"/>
      <c r="M470" s="58" t="n"/>
      <c r="N470" s="70" t="n"/>
      <c r="O470" s="56" t="n"/>
      <c r="P470" s="1" t="n"/>
      <c r="Q470" s="1" t="n"/>
    </row>
    <row r="471">
      <c r="A471" s="34">
        <f>IF($H471="UNIDADE CONSTRUTIVA",OFFSET(A471,-1,0)+1,LARGE(A$3:A470,1))</f>
        <v/>
      </c>
      <c r="B471" s="34">
        <f>IF(H471="UNIDADE CONSTRUTIVA",0,IF(H471="CÉLULA CONSTRUTIVA",OFFSET(B471,-1,0)+1,OFFSET(B471,-1,0)))</f>
        <v/>
      </c>
      <c r="C471" s="34">
        <f>IF(H471="CÉLULA CONSTRUTIVA",0,IF(H471="ETAPA",OFFSET(C471,-1,0)+1,OFFSET(C471,-1,0)))</f>
        <v/>
      </c>
      <c r="D471" s="35">
        <f>IF(H471="ETAPA",0,IF(H471="SUBETAPA",OFFSET(D471,-1,0)+1,OFFSET(D471,-1,0)))</f>
        <v/>
      </c>
      <c r="E471" s="35">
        <f>IF(H471="Subetapa",0,IF(H471="serviço",OFFSET(E471,-1,0)+1,OFFSET(E471,-1,0)))</f>
        <v/>
      </c>
      <c r="F471" s="56" t="n"/>
      <c r="G471" s="1" t="n"/>
      <c r="H471" s="1" t="n"/>
      <c r="I471" s="1" t="n"/>
      <c r="J471" s="64" t="n"/>
      <c r="K471" s="52" t="n"/>
      <c r="L471" s="58" t="n"/>
      <c r="M471" s="58" t="n"/>
      <c r="N471" s="70" t="n"/>
      <c r="O471" s="56" t="n"/>
      <c r="P471" s="1" t="n"/>
      <c r="Q471" s="1" t="n"/>
    </row>
    <row r="472">
      <c r="A472" s="34">
        <f>IF($H472="UNIDADE CONSTRUTIVA",OFFSET(A472,-1,0)+1,LARGE(A$3:A471,1))</f>
        <v/>
      </c>
      <c r="B472" s="34">
        <f>IF(H472="UNIDADE CONSTRUTIVA",0,IF(H472="CÉLULA CONSTRUTIVA",OFFSET(B472,-1,0)+1,OFFSET(B472,-1,0)))</f>
        <v/>
      </c>
      <c r="C472" s="34">
        <f>IF(H472="CÉLULA CONSTRUTIVA",0,IF(H472="ETAPA",OFFSET(C472,-1,0)+1,OFFSET(C472,-1,0)))</f>
        <v/>
      </c>
      <c r="D472" s="35">
        <f>IF(H472="ETAPA",0,IF(H472="SUBETAPA",OFFSET(D472,-1,0)+1,OFFSET(D472,-1,0)))</f>
        <v/>
      </c>
      <c r="E472" s="35">
        <f>IF(H472="Subetapa",0,IF(H472="serviço",OFFSET(E472,-1,0)+1,OFFSET(E472,-1,0)))</f>
        <v/>
      </c>
      <c r="F472" s="56" t="n"/>
      <c r="G472" s="1" t="n"/>
      <c r="H472" s="1" t="n"/>
      <c r="I472" s="1" t="n"/>
      <c r="J472" s="64" t="n"/>
      <c r="K472" s="52" t="n"/>
      <c r="L472" s="58" t="n"/>
      <c r="M472" s="58" t="n"/>
      <c r="N472" s="70" t="n"/>
      <c r="O472" s="56" t="n"/>
      <c r="P472" s="1" t="n"/>
      <c r="Q472" s="1" t="n"/>
    </row>
    <row r="473">
      <c r="A473" s="34">
        <f>IF($H473="UNIDADE CONSTRUTIVA",OFFSET(A473,-1,0)+1,LARGE(A$3:A472,1))</f>
        <v/>
      </c>
      <c r="B473" s="34">
        <f>IF(H473="UNIDADE CONSTRUTIVA",0,IF(H473="CÉLULA CONSTRUTIVA",OFFSET(B473,-1,0)+1,OFFSET(B473,-1,0)))</f>
        <v/>
      </c>
      <c r="C473" s="34">
        <f>IF(H473="CÉLULA CONSTRUTIVA",0,IF(H473="ETAPA",OFFSET(C473,-1,0)+1,OFFSET(C473,-1,0)))</f>
        <v/>
      </c>
      <c r="D473" s="35">
        <f>IF(H473="ETAPA",0,IF(H473="SUBETAPA",OFFSET(D473,-1,0)+1,OFFSET(D473,-1,0)))</f>
        <v/>
      </c>
      <c r="E473" s="35">
        <f>IF(H473="Subetapa",0,IF(H473="serviço",OFFSET(E473,-1,0)+1,OFFSET(E473,-1,0)))</f>
        <v/>
      </c>
      <c r="F473" s="56" t="n"/>
      <c r="G473" s="1" t="n"/>
      <c r="H473" s="1" t="n"/>
      <c r="I473" s="1" t="n"/>
      <c r="J473" s="64" t="n"/>
      <c r="K473" s="52" t="n"/>
      <c r="L473" s="58" t="n"/>
      <c r="M473" s="58" t="n"/>
      <c r="N473" s="70" t="n"/>
      <c r="O473" s="56" t="n"/>
      <c r="P473" s="1" t="n"/>
      <c r="Q473" s="1" t="n"/>
    </row>
    <row r="474">
      <c r="A474" s="34">
        <f>IF($H474="UNIDADE CONSTRUTIVA",OFFSET(A474,-1,0)+1,LARGE(A$3:A473,1))</f>
        <v/>
      </c>
      <c r="B474" s="34">
        <f>IF(H474="UNIDADE CONSTRUTIVA",0,IF(H474="CÉLULA CONSTRUTIVA",OFFSET(B474,-1,0)+1,OFFSET(B474,-1,0)))</f>
        <v/>
      </c>
      <c r="C474" s="34">
        <f>IF(H474="CÉLULA CONSTRUTIVA",0,IF(H474="ETAPA",OFFSET(C474,-1,0)+1,OFFSET(C474,-1,0)))</f>
        <v/>
      </c>
      <c r="D474" s="35">
        <f>IF(H474="ETAPA",0,IF(H474="SUBETAPA",OFFSET(D474,-1,0)+1,OFFSET(D474,-1,0)))</f>
        <v/>
      </c>
      <c r="E474" s="35">
        <f>IF(H474="Subetapa",0,IF(H474="serviço",OFFSET(E474,-1,0)+1,OFFSET(E474,-1,0)))</f>
        <v/>
      </c>
      <c r="F474" s="56" t="n"/>
      <c r="G474" s="1" t="n"/>
      <c r="H474" s="1" t="n"/>
      <c r="I474" s="1" t="n"/>
      <c r="J474" s="64" t="n"/>
      <c r="K474" s="52" t="n"/>
      <c r="L474" s="58" t="n"/>
      <c r="M474" s="58" t="n"/>
      <c r="N474" s="70" t="n"/>
      <c r="O474" s="56" t="n"/>
      <c r="P474" s="1" t="n"/>
      <c r="Q474" s="1" t="n"/>
    </row>
    <row r="475">
      <c r="A475" s="34">
        <f>IF($H475="UNIDADE CONSTRUTIVA",OFFSET(A475,-1,0)+1,LARGE(A$3:A474,1))</f>
        <v/>
      </c>
      <c r="B475" s="34">
        <f>IF(H475="UNIDADE CONSTRUTIVA",0,IF(H475="CÉLULA CONSTRUTIVA",OFFSET(B475,-1,0)+1,OFFSET(B475,-1,0)))</f>
        <v/>
      </c>
      <c r="C475" s="34">
        <f>IF(H475="CÉLULA CONSTRUTIVA",0,IF(H475="ETAPA",OFFSET(C475,-1,0)+1,OFFSET(C475,-1,0)))</f>
        <v/>
      </c>
      <c r="D475" s="35">
        <f>IF(H475="ETAPA",0,IF(H475="SUBETAPA",OFFSET(D475,-1,0)+1,OFFSET(D475,-1,0)))</f>
        <v/>
      </c>
      <c r="E475" s="35">
        <f>IF(H475="Subetapa",0,IF(H475="serviço",OFFSET(E475,-1,0)+1,OFFSET(E475,-1,0)))</f>
        <v/>
      </c>
      <c r="F475" s="56" t="n"/>
      <c r="G475" s="1" t="n"/>
      <c r="H475" s="1" t="n"/>
      <c r="I475" s="1" t="n"/>
      <c r="J475" s="64" t="n"/>
      <c r="K475" s="52" t="n"/>
      <c r="L475" s="58" t="n"/>
      <c r="M475" s="58" t="n"/>
      <c r="N475" s="70" t="n"/>
      <c r="O475" s="56" t="n"/>
      <c r="P475" s="1" t="n"/>
      <c r="Q475" s="1" t="n"/>
    </row>
    <row r="476">
      <c r="A476" s="34">
        <f>IF($H476="UNIDADE CONSTRUTIVA",OFFSET(A476,-1,0)+1,LARGE(A$3:A475,1))</f>
        <v/>
      </c>
      <c r="B476" s="34">
        <f>IF(H476="UNIDADE CONSTRUTIVA",0,IF(H476="CÉLULA CONSTRUTIVA",OFFSET(B476,-1,0)+1,OFFSET(B476,-1,0)))</f>
        <v/>
      </c>
      <c r="C476" s="34">
        <f>IF(H476="CÉLULA CONSTRUTIVA",0,IF(H476="ETAPA",OFFSET(C476,-1,0)+1,OFFSET(C476,-1,0)))</f>
        <v/>
      </c>
      <c r="D476" s="35">
        <f>IF(H476="ETAPA",0,IF(H476="SUBETAPA",OFFSET(D476,-1,0)+1,OFFSET(D476,-1,0)))</f>
        <v/>
      </c>
      <c r="E476" s="35">
        <f>IF(H476="Subetapa",0,IF(H476="serviço",OFFSET(E476,-1,0)+1,OFFSET(E476,-1,0)))</f>
        <v/>
      </c>
      <c r="F476" s="56" t="n"/>
      <c r="G476" s="1" t="n"/>
      <c r="H476" s="1" t="n"/>
      <c r="I476" s="1" t="n"/>
      <c r="J476" s="64" t="n"/>
      <c r="K476" s="52" t="n"/>
      <c r="L476" s="58" t="n"/>
      <c r="M476" s="58" t="n"/>
      <c r="N476" s="70" t="n"/>
      <c r="O476" s="56" t="n"/>
      <c r="P476" s="1" t="n"/>
      <c r="Q476" s="1" t="n"/>
    </row>
    <row r="477">
      <c r="A477" s="34">
        <f>IF($H477="UNIDADE CONSTRUTIVA",OFFSET(A477,-1,0)+1,LARGE(A$3:A476,1))</f>
        <v/>
      </c>
      <c r="B477" s="34">
        <f>IF(H477="UNIDADE CONSTRUTIVA",0,IF(H477="CÉLULA CONSTRUTIVA",OFFSET(B477,-1,0)+1,OFFSET(B477,-1,0)))</f>
        <v/>
      </c>
      <c r="C477" s="34">
        <f>IF(H477="CÉLULA CONSTRUTIVA",0,IF(H477="ETAPA",OFFSET(C477,-1,0)+1,OFFSET(C477,-1,0)))</f>
        <v/>
      </c>
      <c r="D477" s="35">
        <f>IF(H477="ETAPA",0,IF(H477="SUBETAPA",OFFSET(D477,-1,0)+1,OFFSET(D477,-1,0)))</f>
        <v/>
      </c>
      <c r="E477" s="35">
        <f>IF(H477="Subetapa",0,IF(H477="serviço",OFFSET(E477,-1,0)+1,OFFSET(E477,-1,0)))</f>
        <v/>
      </c>
      <c r="F477" s="56" t="n"/>
      <c r="G477" s="1" t="n"/>
      <c r="H477" s="1" t="n"/>
      <c r="I477" s="1" t="n"/>
      <c r="J477" s="64" t="n"/>
      <c r="K477" s="52" t="n"/>
      <c r="L477" s="58" t="n"/>
      <c r="M477" s="58" t="n"/>
      <c r="N477" s="70" t="n"/>
      <c r="O477" s="56" t="n"/>
      <c r="P477" s="1" t="n"/>
      <c r="Q477" s="1" t="n"/>
    </row>
    <row r="478">
      <c r="A478" s="34">
        <f>IF($H478="UNIDADE CONSTRUTIVA",OFFSET(A478,-1,0)+1,LARGE(A$3:A477,1))</f>
        <v/>
      </c>
      <c r="B478" s="34">
        <f>IF(H478="UNIDADE CONSTRUTIVA",0,IF(H478="CÉLULA CONSTRUTIVA",OFFSET(B478,-1,0)+1,OFFSET(B478,-1,0)))</f>
        <v/>
      </c>
      <c r="C478" s="34">
        <f>IF(H478="CÉLULA CONSTRUTIVA",0,IF(H478="ETAPA",OFFSET(C478,-1,0)+1,OFFSET(C478,-1,0)))</f>
        <v/>
      </c>
      <c r="D478" s="35">
        <f>IF(H478="ETAPA",0,IF(H478="SUBETAPA",OFFSET(D478,-1,0)+1,OFFSET(D478,-1,0)))</f>
        <v/>
      </c>
      <c r="E478" s="35">
        <f>IF(H478="Subetapa",0,IF(H478="serviço",OFFSET(E478,-1,0)+1,OFFSET(E478,-1,0)))</f>
        <v/>
      </c>
      <c r="F478" s="56" t="n"/>
      <c r="G478" s="1" t="n"/>
      <c r="H478" s="1" t="n"/>
      <c r="I478" s="1" t="n"/>
      <c r="J478" s="64" t="n"/>
      <c r="K478" s="52" t="n"/>
      <c r="L478" s="58" t="n"/>
      <c r="M478" s="58" t="n"/>
      <c r="N478" s="70" t="n"/>
      <c r="O478" s="56" t="n"/>
      <c r="P478" s="1" t="n"/>
      <c r="Q478" s="1" t="n"/>
    </row>
    <row r="479">
      <c r="A479" s="34">
        <f>IF($H479="UNIDADE CONSTRUTIVA",OFFSET(A479,-1,0)+1,LARGE(A$3:A478,1))</f>
        <v/>
      </c>
      <c r="B479" s="34">
        <f>IF(H479="UNIDADE CONSTRUTIVA",0,IF(H479="CÉLULA CONSTRUTIVA",OFFSET(B479,-1,0)+1,OFFSET(B479,-1,0)))</f>
        <v/>
      </c>
      <c r="C479" s="34">
        <f>IF(H479="CÉLULA CONSTRUTIVA",0,IF(H479="ETAPA",OFFSET(C479,-1,0)+1,OFFSET(C479,-1,0)))</f>
        <v/>
      </c>
      <c r="D479" s="35">
        <f>IF(H479="ETAPA",0,IF(H479="SUBETAPA",OFFSET(D479,-1,0)+1,OFFSET(D479,-1,0)))</f>
        <v/>
      </c>
      <c r="E479" s="35">
        <f>IF(H479="Subetapa",0,IF(H479="serviço",OFFSET(E479,-1,0)+1,OFFSET(E479,-1,0)))</f>
        <v/>
      </c>
      <c r="F479" s="56" t="n"/>
      <c r="G479" s="1" t="n"/>
      <c r="H479" s="1" t="n"/>
      <c r="I479" s="1" t="n"/>
      <c r="J479" s="64" t="n"/>
      <c r="K479" s="52" t="n"/>
      <c r="L479" s="58" t="n"/>
      <c r="M479" s="58" t="n"/>
      <c r="N479" s="70" t="n"/>
      <c r="O479" s="56" t="n"/>
      <c r="P479" s="1" t="n"/>
      <c r="Q479" s="1" t="n"/>
    </row>
    <row r="480">
      <c r="A480" s="34">
        <f>IF($H480="UNIDADE CONSTRUTIVA",OFFSET(A480,-1,0)+1,LARGE(A$3:A479,1))</f>
        <v/>
      </c>
      <c r="B480" s="34">
        <f>IF(H480="UNIDADE CONSTRUTIVA",0,IF(H480="CÉLULA CONSTRUTIVA",OFFSET(B480,-1,0)+1,OFFSET(B480,-1,0)))</f>
        <v/>
      </c>
      <c r="C480" s="34">
        <f>IF(H480="CÉLULA CONSTRUTIVA",0,IF(H480="ETAPA",OFFSET(C480,-1,0)+1,OFFSET(C480,-1,0)))</f>
        <v/>
      </c>
      <c r="D480" s="35">
        <f>IF(H480="ETAPA",0,IF(H480="SUBETAPA",OFFSET(D480,-1,0)+1,OFFSET(D480,-1,0)))</f>
        <v/>
      </c>
      <c r="E480" s="35">
        <f>IF(H480="Subetapa",0,IF(H480="serviço",OFFSET(E480,-1,0)+1,OFFSET(E480,-1,0)))</f>
        <v/>
      </c>
      <c r="F480" s="56" t="n"/>
      <c r="G480" s="1" t="n"/>
      <c r="H480" s="1" t="n"/>
      <c r="I480" s="1" t="n"/>
      <c r="J480" s="64" t="n"/>
      <c r="K480" s="52" t="n"/>
      <c r="L480" s="58" t="n"/>
      <c r="M480" s="58" t="n"/>
      <c r="N480" s="70" t="n"/>
      <c r="O480" s="56" t="n"/>
      <c r="P480" s="1" t="n"/>
      <c r="Q480" s="1" t="n"/>
    </row>
    <row r="481">
      <c r="A481" s="34">
        <f>IF($H481="UNIDADE CONSTRUTIVA",OFFSET(A481,-1,0)+1,LARGE(A$3:A480,1))</f>
        <v/>
      </c>
      <c r="B481" s="34">
        <f>IF(H481="UNIDADE CONSTRUTIVA",0,IF(H481="CÉLULA CONSTRUTIVA",OFFSET(B481,-1,0)+1,OFFSET(B481,-1,0)))</f>
        <v/>
      </c>
      <c r="C481" s="34">
        <f>IF(H481="CÉLULA CONSTRUTIVA",0,IF(H481="ETAPA",OFFSET(C481,-1,0)+1,OFFSET(C481,-1,0)))</f>
        <v/>
      </c>
      <c r="D481" s="35">
        <f>IF(H481="ETAPA",0,IF(H481="SUBETAPA",OFFSET(D481,-1,0)+1,OFFSET(D481,-1,0)))</f>
        <v/>
      </c>
      <c r="E481" s="35">
        <f>IF(H481="Subetapa",0,IF(H481="serviço",OFFSET(E481,-1,0)+1,OFFSET(E481,-1,0)))</f>
        <v/>
      </c>
      <c r="F481" s="56" t="n"/>
      <c r="G481" s="1" t="n"/>
      <c r="H481" s="1" t="n"/>
      <c r="I481" s="1" t="n"/>
      <c r="J481" s="64" t="n"/>
      <c r="K481" s="52" t="n"/>
      <c r="L481" s="58" t="n"/>
      <c r="M481" s="58" t="n"/>
      <c r="N481" s="70" t="n"/>
      <c r="O481" s="56" t="n"/>
      <c r="P481" s="1" t="n"/>
      <c r="Q481" s="1" t="n"/>
    </row>
    <row r="482">
      <c r="A482" s="34">
        <f>IF($H482="UNIDADE CONSTRUTIVA",OFFSET(A482,-1,0)+1,LARGE(A$3:A481,1))</f>
        <v/>
      </c>
      <c r="B482" s="34">
        <f>IF(H482="UNIDADE CONSTRUTIVA",0,IF(H482="CÉLULA CONSTRUTIVA",OFFSET(B482,-1,0)+1,OFFSET(B482,-1,0)))</f>
        <v/>
      </c>
      <c r="C482" s="34">
        <f>IF(H482="CÉLULA CONSTRUTIVA",0,IF(H482="ETAPA",OFFSET(C482,-1,0)+1,OFFSET(C482,-1,0)))</f>
        <v/>
      </c>
      <c r="D482" s="35">
        <f>IF(H482="ETAPA",0,IF(H482="SUBETAPA",OFFSET(D482,-1,0)+1,OFFSET(D482,-1,0)))</f>
        <v/>
      </c>
      <c r="E482" s="35">
        <f>IF(H482="Subetapa",0,IF(H482="serviço",OFFSET(E482,-1,0)+1,OFFSET(E482,-1,0)))</f>
        <v/>
      </c>
      <c r="F482" s="56" t="n"/>
      <c r="G482" s="1" t="n"/>
      <c r="H482" s="1" t="n"/>
      <c r="I482" s="1" t="n"/>
      <c r="J482" s="64" t="n"/>
      <c r="K482" s="52" t="n"/>
      <c r="L482" s="58" t="n"/>
      <c r="M482" s="58" t="n"/>
      <c r="N482" s="70" t="n"/>
      <c r="O482" s="56" t="n"/>
      <c r="P482" s="1" t="n"/>
      <c r="Q482" s="1" t="n"/>
    </row>
    <row r="483">
      <c r="A483" s="34">
        <f>IF($H483="UNIDADE CONSTRUTIVA",OFFSET(A483,-1,0)+1,LARGE(A$3:A482,1))</f>
        <v/>
      </c>
      <c r="B483" s="34">
        <f>IF(H483="UNIDADE CONSTRUTIVA",0,IF(H483="CÉLULA CONSTRUTIVA",OFFSET(B483,-1,0)+1,OFFSET(B483,-1,0)))</f>
        <v/>
      </c>
      <c r="C483" s="34">
        <f>IF(H483="CÉLULA CONSTRUTIVA",0,IF(H483="ETAPA",OFFSET(C483,-1,0)+1,OFFSET(C483,-1,0)))</f>
        <v/>
      </c>
      <c r="D483" s="35">
        <f>IF(H483="ETAPA",0,IF(H483="SUBETAPA",OFFSET(D483,-1,0)+1,OFFSET(D483,-1,0)))</f>
        <v/>
      </c>
      <c r="E483" s="35">
        <f>IF(H483="Subetapa",0,IF(H483="serviço",OFFSET(E483,-1,0)+1,OFFSET(E483,-1,0)))</f>
        <v/>
      </c>
      <c r="F483" s="56" t="n"/>
      <c r="G483" s="1" t="n"/>
      <c r="H483" s="1" t="n"/>
      <c r="I483" s="1" t="n"/>
      <c r="J483" s="64" t="n"/>
      <c r="K483" s="52" t="n"/>
      <c r="L483" s="58" t="n"/>
      <c r="M483" s="58" t="n"/>
      <c r="N483" s="70" t="n"/>
      <c r="O483" s="56" t="n"/>
      <c r="P483" s="1" t="n"/>
      <c r="Q483" s="1" t="n"/>
    </row>
    <row r="484">
      <c r="A484" s="34">
        <f>IF($H484="UNIDADE CONSTRUTIVA",OFFSET(A484,-1,0)+1,LARGE(A$3:A483,1))</f>
        <v/>
      </c>
      <c r="B484" s="34">
        <f>IF(H484="UNIDADE CONSTRUTIVA",0,IF(H484="CÉLULA CONSTRUTIVA",OFFSET(B484,-1,0)+1,OFFSET(B484,-1,0)))</f>
        <v/>
      </c>
      <c r="C484" s="34">
        <f>IF(H484="CÉLULA CONSTRUTIVA",0,IF(H484="ETAPA",OFFSET(C484,-1,0)+1,OFFSET(C484,-1,0)))</f>
        <v/>
      </c>
      <c r="D484" s="35">
        <f>IF(H484="ETAPA",0,IF(H484="SUBETAPA",OFFSET(D484,-1,0)+1,OFFSET(D484,-1,0)))</f>
        <v/>
      </c>
      <c r="E484" s="35">
        <f>IF(H484="Subetapa",0,IF(H484="serviço",OFFSET(E484,-1,0)+1,OFFSET(E484,-1,0)))</f>
        <v/>
      </c>
      <c r="F484" s="56" t="n"/>
      <c r="G484" s="1" t="n"/>
      <c r="H484" s="1" t="n"/>
      <c r="I484" s="1" t="n"/>
      <c r="J484" s="64" t="n"/>
      <c r="K484" s="52" t="n"/>
      <c r="L484" s="58" t="n"/>
      <c r="M484" s="58" t="n"/>
      <c r="N484" s="70" t="n"/>
      <c r="O484" s="56" t="n"/>
      <c r="P484" s="1" t="n"/>
      <c r="Q484" s="1" t="n"/>
    </row>
    <row r="485">
      <c r="A485" s="34">
        <f>IF($H485="UNIDADE CONSTRUTIVA",OFFSET(A485,-1,0)+1,LARGE(A$3:A484,1))</f>
        <v/>
      </c>
      <c r="B485" s="34">
        <f>IF(H485="UNIDADE CONSTRUTIVA",0,IF(H485="CÉLULA CONSTRUTIVA",OFFSET(B485,-1,0)+1,OFFSET(B485,-1,0)))</f>
        <v/>
      </c>
      <c r="C485" s="34">
        <f>IF(H485="CÉLULA CONSTRUTIVA",0,IF(H485="ETAPA",OFFSET(C485,-1,0)+1,OFFSET(C485,-1,0)))</f>
        <v/>
      </c>
      <c r="D485" s="35">
        <f>IF(H485="ETAPA",0,IF(H485="SUBETAPA",OFFSET(D485,-1,0)+1,OFFSET(D485,-1,0)))</f>
        <v/>
      </c>
      <c r="E485" s="35">
        <f>IF(H485="Subetapa",0,IF(H485="serviço",OFFSET(E485,-1,0)+1,OFFSET(E485,-1,0)))</f>
        <v/>
      </c>
      <c r="F485" s="56" t="n"/>
      <c r="G485" s="1" t="n"/>
      <c r="H485" s="1" t="n"/>
      <c r="I485" s="1" t="n"/>
      <c r="J485" s="64" t="n"/>
      <c r="K485" s="52" t="n"/>
      <c r="L485" s="58" t="n"/>
      <c r="M485" s="58" t="n"/>
      <c r="N485" s="70" t="n"/>
      <c r="O485" s="56" t="n"/>
      <c r="P485" s="1" t="n"/>
      <c r="Q485" s="1" t="n"/>
    </row>
    <row r="486">
      <c r="A486" s="34">
        <f>IF($H486="UNIDADE CONSTRUTIVA",OFFSET(A486,-1,0)+1,LARGE(A$3:A485,1))</f>
        <v/>
      </c>
      <c r="B486" s="34">
        <f>IF(H486="UNIDADE CONSTRUTIVA",0,IF(H486="CÉLULA CONSTRUTIVA",OFFSET(B486,-1,0)+1,OFFSET(B486,-1,0)))</f>
        <v/>
      </c>
      <c r="C486" s="34">
        <f>IF(H486="CÉLULA CONSTRUTIVA",0,IF(H486="ETAPA",OFFSET(C486,-1,0)+1,OFFSET(C486,-1,0)))</f>
        <v/>
      </c>
      <c r="D486" s="35">
        <f>IF(H486="ETAPA",0,IF(H486="SUBETAPA",OFFSET(D486,-1,0)+1,OFFSET(D486,-1,0)))</f>
        <v/>
      </c>
      <c r="E486" s="35">
        <f>IF(H486="Subetapa",0,IF(H486="serviço",OFFSET(E486,-1,0)+1,OFFSET(E486,-1,0)))</f>
        <v/>
      </c>
      <c r="F486" s="56" t="n"/>
      <c r="G486" s="1" t="n"/>
      <c r="H486" s="1" t="n"/>
      <c r="I486" s="1" t="n"/>
      <c r="J486" s="64" t="n"/>
      <c r="K486" s="52" t="n"/>
      <c r="L486" s="58" t="n"/>
      <c r="M486" s="58" t="n"/>
      <c r="N486" s="70" t="n"/>
      <c r="O486" s="56" t="n"/>
      <c r="P486" s="1" t="n"/>
      <c r="Q486" s="1" t="n"/>
    </row>
    <row r="487">
      <c r="A487" s="34">
        <f>IF($H487="UNIDADE CONSTRUTIVA",OFFSET(A487,-1,0)+1,LARGE(A$3:A486,1))</f>
        <v/>
      </c>
      <c r="B487" s="34">
        <f>IF(H487="UNIDADE CONSTRUTIVA",0,IF(H487="CÉLULA CONSTRUTIVA",OFFSET(B487,-1,0)+1,OFFSET(B487,-1,0)))</f>
        <v/>
      </c>
      <c r="C487" s="34">
        <f>IF(H487="CÉLULA CONSTRUTIVA",0,IF(H487="ETAPA",OFFSET(C487,-1,0)+1,OFFSET(C487,-1,0)))</f>
        <v/>
      </c>
      <c r="D487" s="35">
        <f>IF(H487="ETAPA",0,IF(H487="SUBETAPA",OFFSET(D487,-1,0)+1,OFFSET(D487,-1,0)))</f>
        <v/>
      </c>
      <c r="E487" s="35">
        <f>IF(H487="Subetapa",0,IF(H487="serviço",OFFSET(E487,-1,0)+1,OFFSET(E487,-1,0)))</f>
        <v/>
      </c>
      <c r="F487" s="56" t="n"/>
      <c r="G487" s="1" t="n"/>
      <c r="H487" s="1" t="n"/>
      <c r="I487" s="1" t="n"/>
      <c r="J487" s="64" t="n"/>
      <c r="K487" s="52" t="n"/>
      <c r="L487" s="58" t="n"/>
      <c r="M487" s="58" t="n"/>
      <c r="N487" s="70" t="n"/>
      <c r="O487" s="56" t="n"/>
      <c r="P487" s="1" t="n"/>
      <c r="Q487" s="1" t="n"/>
    </row>
    <row r="488">
      <c r="A488" s="34">
        <f>IF($H488="UNIDADE CONSTRUTIVA",OFFSET(A488,-1,0)+1,LARGE(A$3:A487,1))</f>
        <v/>
      </c>
      <c r="B488" s="34">
        <f>IF(H488="UNIDADE CONSTRUTIVA",0,IF(H488="CÉLULA CONSTRUTIVA",OFFSET(B488,-1,0)+1,OFFSET(B488,-1,0)))</f>
        <v/>
      </c>
      <c r="C488" s="34">
        <f>IF(H488="CÉLULA CONSTRUTIVA",0,IF(H488="ETAPA",OFFSET(C488,-1,0)+1,OFFSET(C488,-1,0)))</f>
        <v/>
      </c>
      <c r="D488" s="35">
        <f>IF(H488="ETAPA",0,IF(H488="SUBETAPA",OFFSET(D488,-1,0)+1,OFFSET(D488,-1,0)))</f>
        <v/>
      </c>
      <c r="E488" s="35">
        <f>IF(H488="Subetapa",0,IF(H488="serviço",OFFSET(E488,-1,0)+1,OFFSET(E488,-1,0)))</f>
        <v/>
      </c>
      <c r="F488" s="56" t="n"/>
      <c r="G488" s="1" t="n"/>
      <c r="H488" s="1" t="n"/>
      <c r="I488" s="1" t="n"/>
      <c r="J488" s="64" t="n"/>
      <c r="K488" s="52" t="n"/>
      <c r="L488" s="58" t="n"/>
      <c r="M488" s="58" t="n"/>
      <c r="N488" s="70" t="n"/>
      <c r="O488" s="56" t="n"/>
      <c r="P488" s="1" t="n"/>
      <c r="Q488" s="1" t="n"/>
    </row>
    <row r="489">
      <c r="A489" s="34">
        <f>IF($H489="UNIDADE CONSTRUTIVA",OFFSET(A489,-1,0)+1,LARGE(A$3:A488,1))</f>
        <v/>
      </c>
      <c r="B489" s="34">
        <f>IF(H489="UNIDADE CONSTRUTIVA",0,IF(H489="CÉLULA CONSTRUTIVA",OFFSET(B489,-1,0)+1,OFFSET(B489,-1,0)))</f>
        <v/>
      </c>
      <c r="C489" s="34">
        <f>IF(H489="CÉLULA CONSTRUTIVA",0,IF(H489="ETAPA",OFFSET(C489,-1,0)+1,OFFSET(C489,-1,0)))</f>
        <v/>
      </c>
      <c r="D489" s="35">
        <f>IF(H489="ETAPA",0,IF(H489="SUBETAPA",OFFSET(D489,-1,0)+1,OFFSET(D489,-1,0)))</f>
        <v/>
      </c>
      <c r="E489" s="35">
        <f>IF(H489="Subetapa",0,IF(H489="serviço",OFFSET(E489,-1,0)+1,OFFSET(E489,-1,0)))</f>
        <v/>
      </c>
      <c r="F489" s="56" t="n"/>
      <c r="G489" s="1" t="n"/>
      <c r="H489" s="1" t="n"/>
      <c r="I489" s="1" t="n"/>
      <c r="J489" s="64" t="n"/>
      <c r="K489" s="52" t="n"/>
      <c r="L489" s="58" t="n"/>
      <c r="M489" s="58" t="n"/>
      <c r="N489" s="70" t="n"/>
      <c r="O489" s="56" t="n"/>
      <c r="P489" s="1" t="n"/>
      <c r="Q489" s="1" t="n"/>
    </row>
    <row r="490">
      <c r="A490" s="34">
        <f>IF($H490="UNIDADE CONSTRUTIVA",OFFSET(A490,-1,0)+1,LARGE(A$3:A489,1))</f>
        <v/>
      </c>
      <c r="B490" s="34">
        <f>IF(H490="UNIDADE CONSTRUTIVA",0,IF(H490="CÉLULA CONSTRUTIVA",OFFSET(B490,-1,0)+1,OFFSET(B490,-1,0)))</f>
        <v/>
      </c>
      <c r="C490" s="34">
        <f>IF(H490="CÉLULA CONSTRUTIVA",0,IF(H490="ETAPA",OFFSET(C490,-1,0)+1,OFFSET(C490,-1,0)))</f>
        <v/>
      </c>
      <c r="D490" s="35">
        <f>IF(H490="ETAPA",0,IF(H490="SUBETAPA",OFFSET(D490,-1,0)+1,OFFSET(D490,-1,0)))</f>
        <v/>
      </c>
      <c r="E490" s="35">
        <f>IF(H490="Subetapa",0,IF(H490="serviço",OFFSET(E490,-1,0)+1,OFFSET(E490,-1,0)))</f>
        <v/>
      </c>
      <c r="F490" s="56" t="n"/>
      <c r="G490" s="1" t="n"/>
      <c r="H490" s="1" t="n"/>
      <c r="I490" s="1" t="n"/>
      <c r="J490" s="64" t="n"/>
      <c r="K490" s="52" t="n"/>
      <c r="L490" s="58" t="n"/>
      <c r="M490" s="58" t="n"/>
      <c r="N490" s="70" t="n"/>
      <c r="O490" s="56" t="n"/>
      <c r="P490" s="1" t="n"/>
      <c r="Q490" s="1" t="n"/>
    </row>
    <row r="491">
      <c r="A491" s="34">
        <f>IF($H491="UNIDADE CONSTRUTIVA",OFFSET(A491,-1,0)+1,LARGE(A$3:A490,1))</f>
        <v/>
      </c>
      <c r="B491" s="34">
        <f>IF(H491="UNIDADE CONSTRUTIVA",0,IF(H491="CÉLULA CONSTRUTIVA",OFFSET(B491,-1,0)+1,OFFSET(B491,-1,0)))</f>
        <v/>
      </c>
      <c r="C491" s="34">
        <f>IF(H491="CÉLULA CONSTRUTIVA",0,IF(H491="ETAPA",OFFSET(C491,-1,0)+1,OFFSET(C491,-1,0)))</f>
        <v/>
      </c>
      <c r="D491" s="35">
        <f>IF(H491="ETAPA",0,IF(H491="SUBETAPA",OFFSET(D491,-1,0)+1,OFFSET(D491,-1,0)))</f>
        <v/>
      </c>
      <c r="E491" s="35">
        <f>IF(H491="Subetapa",0,IF(H491="serviço",OFFSET(E491,-1,0)+1,OFFSET(E491,-1,0)))</f>
        <v/>
      </c>
      <c r="F491" s="56" t="n"/>
      <c r="G491" s="1" t="n"/>
      <c r="H491" s="1" t="n"/>
      <c r="I491" s="1" t="n"/>
      <c r="J491" s="64" t="n"/>
      <c r="K491" s="52" t="n"/>
      <c r="L491" s="58" t="n"/>
      <c r="M491" s="58" t="n"/>
      <c r="N491" s="70" t="n"/>
      <c r="O491" s="56" t="n"/>
      <c r="P491" s="1" t="n"/>
      <c r="Q491" s="1" t="n"/>
    </row>
    <row r="492">
      <c r="A492" s="34">
        <f>IF($H492="UNIDADE CONSTRUTIVA",OFFSET(A492,-1,0)+1,LARGE(A$3:A491,1))</f>
        <v/>
      </c>
      <c r="B492" s="34">
        <f>IF(H492="UNIDADE CONSTRUTIVA",0,IF(H492="CÉLULA CONSTRUTIVA",OFFSET(B492,-1,0)+1,OFFSET(B492,-1,0)))</f>
        <v/>
      </c>
      <c r="C492" s="34">
        <f>IF(H492="CÉLULA CONSTRUTIVA",0,IF(H492="ETAPA",OFFSET(C492,-1,0)+1,OFFSET(C492,-1,0)))</f>
        <v/>
      </c>
      <c r="D492" s="35">
        <f>IF(H492="ETAPA",0,IF(H492="SUBETAPA",OFFSET(D492,-1,0)+1,OFFSET(D492,-1,0)))</f>
        <v/>
      </c>
      <c r="E492" s="35">
        <f>IF(H492="Subetapa",0,IF(H492="serviço",OFFSET(E492,-1,0)+1,OFFSET(E492,-1,0)))</f>
        <v/>
      </c>
      <c r="F492" s="56" t="n"/>
      <c r="G492" s="1" t="n"/>
      <c r="H492" s="1" t="n"/>
      <c r="I492" s="1" t="n"/>
      <c r="J492" s="64" t="n"/>
      <c r="K492" s="52" t="n"/>
      <c r="L492" s="58" t="n"/>
      <c r="M492" s="58" t="n"/>
      <c r="N492" s="70" t="n"/>
      <c r="O492" s="56" t="n"/>
      <c r="P492" s="1" t="n"/>
      <c r="Q492" s="1" t="n"/>
    </row>
    <row r="493">
      <c r="A493" s="34">
        <f>IF($H493="UNIDADE CONSTRUTIVA",OFFSET(A493,-1,0)+1,LARGE(A$3:A492,1))</f>
        <v/>
      </c>
      <c r="B493" s="34">
        <f>IF(H493="UNIDADE CONSTRUTIVA",0,IF(H493="CÉLULA CONSTRUTIVA",OFFSET(B493,-1,0)+1,OFFSET(B493,-1,0)))</f>
        <v/>
      </c>
      <c r="C493" s="34">
        <f>IF(H493="CÉLULA CONSTRUTIVA",0,IF(H493="ETAPA",OFFSET(C493,-1,0)+1,OFFSET(C493,-1,0)))</f>
        <v/>
      </c>
      <c r="D493" s="35">
        <f>IF(H493="ETAPA",0,IF(H493="SUBETAPA",OFFSET(D493,-1,0)+1,OFFSET(D493,-1,0)))</f>
        <v/>
      </c>
      <c r="E493" s="35">
        <f>IF(H493="Subetapa",0,IF(H493="serviço",OFFSET(E493,-1,0)+1,OFFSET(E493,-1,0)))</f>
        <v/>
      </c>
      <c r="F493" s="56" t="n"/>
      <c r="G493" s="1" t="n"/>
      <c r="H493" s="1" t="n"/>
      <c r="I493" s="1" t="n"/>
      <c r="J493" s="64" t="n"/>
      <c r="K493" s="52" t="n"/>
      <c r="L493" s="58" t="n"/>
      <c r="M493" s="58" t="n"/>
      <c r="N493" s="70" t="n"/>
      <c r="O493" s="56" t="n"/>
      <c r="P493" s="1" t="n"/>
      <c r="Q493" s="1" t="n"/>
    </row>
    <row r="494">
      <c r="A494" s="34">
        <f>IF($H494="UNIDADE CONSTRUTIVA",OFFSET(A494,-1,0)+1,LARGE(A$3:A493,1))</f>
        <v/>
      </c>
      <c r="B494" s="34">
        <f>IF(H494="UNIDADE CONSTRUTIVA",0,IF(H494="CÉLULA CONSTRUTIVA",OFFSET(B494,-1,0)+1,OFFSET(B494,-1,0)))</f>
        <v/>
      </c>
      <c r="C494" s="34">
        <f>IF(H494="CÉLULA CONSTRUTIVA",0,IF(H494="ETAPA",OFFSET(C494,-1,0)+1,OFFSET(C494,-1,0)))</f>
        <v/>
      </c>
      <c r="D494" s="35">
        <f>IF(H494="ETAPA",0,IF(H494="SUBETAPA",OFFSET(D494,-1,0)+1,OFFSET(D494,-1,0)))</f>
        <v/>
      </c>
      <c r="E494" s="35">
        <f>IF(H494="Subetapa",0,IF(H494="serviço",OFFSET(E494,-1,0)+1,OFFSET(E494,-1,0)))</f>
        <v/>
      </c>
      <c r="F494" s="56" t="n"/>
      <c r="G494" s="1" t="n"/>
      <c r="H494" s="1" t="n"/>
      <c r="I494" s="1" t="n"/>
      <c r="J494" s="64" t="n"/>
      <c r="K494" s="52" t="n"/>
      <c r="L494" s="58" t="n"/>
      <c r="M494" s="58" t="n"/>
      <c r="N494" s="70" t="n"/>
      <c r="O494" s="56" t="n"/>
      <c r="P494" s="1" t="n"/>
      <c r="Q494" s="1" t="n"/>
    </row>
    <row r="495">
      <c r="A495" s="34">
        <f>IF($H495="UNIDADE CONSTRUTIVA",OFFSET(A495,-1,0)+1,LARGE(A$3:A494,1))</f>
        <v/>
      </c>
      <c r="B495" s="34">
        <f>IF(H495="UNIDADE CONSTRUTIVA",0,IF(H495="CÉLULA CONSTRUTIVA",OFFSET(B495,-1,0)+1,OFFSET(B495,-1,0)))</f>
        <v/>
      </c>
      <c r="C495" s="34">
        <f>IF(H495="CÉLULA CONSTRUTIVA",0,IF(H495="ETAPA",OFFSET(C495,-1,0)+1,OFFSET(C495,-1,0)))</f>
        <v/>
      </c>
      <c r="D495" s="35">
        <f>IF(H495="ETAPA",0,IF(H495="SUBETAPA",OFFSET(D495,-1,0)+1,OFFSET(D495,-1,0)))</f>
        <v/>
      </c>
      <c r="E495" s="35">
        <f>IF(H495="Subetapa",0,IF(H495="serviço",OFFSET(E495,-1,0)+1,OFFSET(E495,-1,0)))</f>
        <v/>
      </c>
      <c r="F495" s="56" t="n"/>
      <c r="G495" s="1" t="n"/>
      <c r="H495" s="1" t="n"/>
      <c r="I495" s="1" t="n"/>
      <c r="J495" s="64" t="n"/>
      <c r="K495" s="52" t="n"/>
      <c r="L495" s="58" t="n"/>
      <c r="M495" s="58" t="n"/>
      <c r="N495" s="70" t="n"/>
      <c r="O495" s="56" t="n"/>
      <c r="P495" s="1" t="n"/>
      <c r="Q495" s="1" t="n"/>
    </row>
    <row r="496">
      <c r="A496" s="34">
        <f>IF($H496="UNIDADE CONSTRUTIVA",OFFSET(A496,-1,0)+1,LARGE(A$3:A495,1))</f>
        <v/>
      </c>
      <c r="B496" s="34">
        <f>IF(H496="UNIDADE CONSTRUTIVA",0,IF(H496="CÉLULA CONSTRUTIVA",OFFSET(B496,-1,0)+1,OFFSET(B496,-1,0)))</f>
        <v/>
      </c>
      <c r="C496" s="34">
        <f>IF(H496="CÉLULA CONSTRUTIVA",0,IF(H496="ETAPA",OFFSET(C496,-1,0)+1,OFFSET(C496,-1,0)))</f>
        <v/>
      </c>
      <c r="D496" s="35">
        <f>IF(H496="ETAPA",0,IF(H496="SUBETAPA",OFFSET(D496,-1,0)+1,OFFSET(D496,-1,0)))</f>
        <v/>
      </c>
      <c r="E496" s="35">
        <f>IF(H496="Subetapa",0,IF(H496="serviço",OFFSET(E496,-1,0)+1,OFFSET(E496,-1,0)))</f>
        <v/>
      </c>
      <c r="F496" s="56" t="n"/>
      <c r="G496" s="1" t="n"/>
      <c r="H496" s="1" t="n"/>
      <c r="I496" s="1" t="n"/>
      <c r="J496" s="64" t="n"/>
      <c r="K496" s="52" t="n"/>
      <c r="L496" s="58" t="n"/>
      <c r="M496" s="58" t="n"/>
      <c r="N496" s="70" t="n"/>
      <c r="O496" s="56" t="n"/>
      <c r="P496" s="1" t="n"/>
      <c r="Q496" s="1" t="n"/>
    </row>
    <row r="497">
      <c r="A497" s="34">
        <f>IF($H497="UNIDADE CONSTRUTIVA",OFFSET(A497,-1,0)+1,LARGE(A$3:A496,1))</f>
        <v/>
      </c>
      <c r="B497" s="34">
        <f>IF(H497="UNIDADE CONSTRUTIVA",0,IF(H497="CÉLULA CONSTRUTIVA",OFFSET(B497,-1,0)+1,OFFSET(B497,-1,0)))</f>
        <v/>
      </c>
      <c r="C497" s="34">
        <f>IF(H497="CÉLULA CONSTRUTIVA",0,IF(H497="ETAPA",OFFSET(C497,-1,0)+1,OFFSET(C497,-1,0)))</f>
        <v/>
      </c>
      <c r="D497" s="35">
        <f>IF(H497="ETAPA",0,IF(H497="SUBETAPA",OFFSET(D497,-1,0)+1,OFFSET(D497,-1,0)))</f>
        <v/>
      </c>
      <c r="E497" s="35">
        <f>IF(H497="Subetapa",0,IF(H497="serviço",OFFSET(E497,-1,0)+1,OFFSET(E497,-1,0)))</f>
        <v/>
      </c>
      <c r="F497" s="56" t="n"/>
      <c r="G497" s="1" t="n"/>
      <c r="H497" s="1" t="n"/>
      <c r="I497" s="1" t="n"/>
      <c r="J497" s="64" t="n"/>
      <c r="K497" s="52" t="n"/>
      <c r="L497" s="58" t="n"/>
      <c r="M497" s="58" t="n"/>
      <c r="N497" s="70" t="n"/>
      <c r="O497" s="56" t="n"/>
      <c r="P497" s="1" t="n"/>
      <c r="Q497" s="1" t="n"/>
    </row>
    <row r="498">
      <c r="A498" s="34">
        <f>IF($H498="UNIDADE CONSTRUTIVA",OFFSET(A498,-1,0)+1,LARGE(A$3:A497,1))</f>
        <v/>
      </c>
      <c r="B498" s="34">
        <f>IF(H498="UNIDADE CONSTRUTIVA",0,IF(H498="CÉLULA CONSTRUTIVA",OFFSET(B498,-1,0)+1,OFFSET(B498,-1,0)))</f>
        <v/>
      </c>
      <c r="C498" s="34">
        <f>IF(H498="CÉLULA CONSTRUTIVA",0,IF(H498="ETAPA",OFFSET(C498,-1,0)+1,OFFSET(C498,-1,0)))</f>
        <v/>
      </c>
      <c r="D498" s="35">
        <f>IF(H498="ETAPA",0,IF(H498="SUBETAPA",OFFSET(D498,-1,0)+1,OFFSET(D498,-1,0)))</f>
        <v/>
      </c>
      <c r="E498" s="35">
        <f>IF(H498="Subetapa",0,IF(H498="serviço",OFFSET(E498,-1,0)+1,OFFSET(E498,-1,0)))</f>
        <v/>
      </c>
      <c r="F498" s="56" t="n"/>
      <c r="G498" s="1" t="n"/>
      <c r="H498" s="1" t="n"/>
      <c r="I498" s="1" t="n"/>
      <c r="J498" s="64" t="n"/>
      <c r="K498" s="52" t="n"/>
      <c r="L498" s="58" t="n"/>
      <c r="M498" s="58" t="n"/>
      <c r="N498" s="70" t="n"/>
      <c r="O498" s="56" t="n"/>
      <c r="P498" s="1" t="n"/>
      <c r="Q498" s="1" t="n"/>
    </row>
    <row r="499">
      <c r="A499" s="34">
        <f>IF($H499="UNIDADE CONSTRUTIVA",OFFSET(A499,-1,0)+1,LARGE(A$3:A498,1))</f>
        <v/>
      </c>
      <c r="B499" s="34">
        <f>IF(H499="UNIDADE CONSTRUTIVA",0,IF(H499="CÉLULA CONSTRUTIVA",OFFSET(B499,-1,0)+1,OFFSET(B499,-1,0)))</f>
        <v/>
      </c>
      <c r="C499" s="34">
        <f>IF(H499="CÉLULA CONSTRUTIVA",0,IF(H499="ETAPA",OFFSET(C499,-1,0)+1,OFFSET(C499,-1,0)))</f>
        <v/>
      </c>
      <c r="D499" s="35">
        <f>IF(H499="ETAPA",0,IF(H499="SUBETAPA",OFFSET(D499,-1,0)+1,OFFSET(D499,-1,0)))</f>
        <v/>
      </c>
      <c r="E499" s="35">
        <f>IF(H499="Subetapa",0,IF(H499="serviço",OFFSET(E499,-1,0)+1,OFFSET(E499,-1,0)))</f>
        <v/>
      </c>
      <c r="F499" s="56" t="n"/>
      <c r="G499" s="1" t="n"/>
      <c r="H499" s="1" t="n"/>
      <c r="I499" s="1" t="n"/>
      <c r="J499" s="64" t="n"/>
      <c r="K499" s="52" t="n"/>
      <c r="L499" s="58" t="n"/>
      <c r="M499" s="58" t="n"/>
      <c r="N499" s="70" t="n"/>
      <c r="O499" s="56" t="n"/>
      <c r="P499" s="1" t="n"/>
      <c r="Q499" s="1" t="n"/>
    </row>
    <row r="500">
      <c r="A500" s="34">
        <f>IF($H500="UNIDADE CONSTRUTIVA",OFFSET(A500,-1,0)+1,LARGE(A$3:A499,1))</f>
        <v/>
      </c>
      <c r="B500" s="34">
        <f>IF(H500="UNIDADE CONSTRUTIVA",0,IF(H500="CÉLULA CONSTRUTIVA",OFFSET(B500,-1,0)+1,OFFSET(B500,-1,0)))</f>
        <v/>
      </c>
      <c r="C500" s="34">
        <f>IF(H500="CÉLULA CONSTRUTIVA",0,IF(H500="ETAPA",OFFSET(C500,-1,0)+1,OFFSET(C500,-1,0)))</f>
        <v/>
      </c>
      <c r="D500" s="35">
        <f>IF(H500="ETAPA",0,IF(H500="SUBETAPA",OFFSET(D500,-1,0)+1,OFFSET(D500,-1,0)))</f>
        <v/>
      </c>
      <c r="E500" s="35">
        <f>IF(H500="Subetapa",0,IF(H500="serviço",OFFSET(E500,-1,0)+1,OFFSET(E500,-1,0)))</f>
        <v/>
      </c>
      <c r="F500" s="56" t="n"/>
      <c r="G500" s="1" t="n"/>
      <c r="H500" s="1" t="n"/>
      <c r="I500" s="1" t="n"/>
      <c r="J500" s="64" t="n"/>
      <c r="K500" s="52" t="n"/>
      <c r="L500" s="58" t="n"/>
      <c r="M500" s="58" t="n"/>
      <c r="N500" s="70" t="n"/>
      <c r="O500" s="56" t="n"/>
      <c r="P500" s="1" t="n"/>
      <c r="Q500" s="1" t="n"/>
    </row>
    <row r="501">
      <c r="A501" s="34">
        <f>IF($H501="UNIDADE CONSTRUTIVA",OFFSET(A501,-1,0)+1,LARGE(A$3:A500,1))</f>
        <v/>
      </c>
      <c r="B501" s="34">
        <f>IF(H501="UNIDADE CONSTRUTIVA",0,IF(H501="CÉLULA CONSTRUTIVA",OFFSET(B501,-1,0)+1,OFFSET(B501,-1,0)))</f>
        <v/>
      </c>
      <c r="C501" s="34">
        <f>IF(H501="CÉLULA CONSTRUTIVA",0,IF(H501="ETAPA",OFFSET(C501,-1,0)+1,OFFSET(C501,-1,0)))</f>
        <v/>
      </c>
      <c r="D501" s="35">
        <f>IF(H501="ETAPA",0,IF(H501="SUBETAPA",OFFSET(D501,-1,0)+1,OFFSET(D501,-1,0)))</f>
        <v/>
      </c>
      <c r="E501" s="35">
        <f>IF(H501="Subetapa",0,IF(H501="serviço",OFFSET(E501,-1,0)+1,OFFSET(E501,-1,0)))</f>
        <v/>
      </c>
      <c r="F501" s="56" t="n"/>
      <c r="G501" s="1" t="n"/>
      <c r="H501" s="1" t="n"/>
      <c r="I501" s="1" t="n"/>
      <c r="J501" s="64" t="n"/>
      <c r="K501" s="52" t="n"/>
      <c r="L501" s="58" t="n"/>
      <c r="M501" s="58" t="n"/>
      <c r="N501" s="70" t="n"/>
      <c r="O501" s="56" t="n"/>
      <c r="P501" s="1" t="n"/>
      <c r="Q501" s="1" t="n"/>
    </row>
    <row r="502">
      <c r="A502" s="34">
        <f>IF($H502="UNIDADE CONSTRUTIVA",OFFSET(A502,-1,0)+1,LARGE(A$3:A501,1))</f>
        <v/>
      </c>
      <c r="B502" s="34">
        <f>IF(H502="UNIDADE CONSTRUTIVA",0,IF(H502="CÉLULA CONSTRUTIVA",OFFSET(B502,-1,0)+1,OFFSET(B502,-1,0)))</f>
        <v/>
      </c>
      <c r="C502" s="34">
        <f>IF(H502="CÉLULA CONSTRUTIVA",0,IF(H502="ETAPA",OFFSET(C502,-1,0)+1,OFFSET(C502,-1,0)))</f>
        <v/>
      </c>
      <c r="D502" s="35">
        <f>IF(H502="ETAPA",0,IF(H502="SUBETAPA",OFFSET(D502,-1,0)+1,OFFSET(D502,-1,0)))</f>
        <v/>
      </c>
      <c r="E502" s="35">
        <f>IF(H502="Subetapa",0,IF(H502="serviço",OFFSET(E502,-1,0)+1,OFFSET(E502,-1,0)))</f>
        <v/>
      </c>
      <c r="F502" s="56" t="n"/>
      <c r="G502" s="1" t="n"/>
      <c r="H502" s="1" t="n"/>
      <c r="I502" s="1" t="n"/>
      <c r="J502" s="64" t="n"/>
      <c r="K502" s="52" t="n"/>
      <c r="L502" s="58" t="n"/>
      <c r="M502" s="58" t="n"/>
      <c r="N502" s="70" t="n"/>
      <c r="O502" s="56" t="n"/>
      <c r="P502" s="1" t="n"/>
      <c r="Q502" s="1" t="n"/>
    </row>
    <row r="503">
      <c r="A503" s="34">
        <f>IF($H503="UNIDADE CONSTRUTIVA",OFFSET(A503,-1,0)+1,LARGE(A$3:A502,1))</f>
        <v/>
      </c>
      <c r="B503" s="34">
        <f>IF(H503="UNIDADE CONSTRUTIVA",0,IF(H503="CÉLULA CONSTRUTIVA",OFFSET(B503,-1,0)+1,OFFSET(B503,-1,0)))</f>
        <v/>
      </c>
      <c r="C503" s="34">
        <f>IF(H503="CÉLULA CONSTRUTIVA",0,IF(H503="ETAPA",OFFSET(C503,-1,0)+1,OFFSET(C503,-1,0)))</f>
        <v/>
      </c>
      <c r="D503" s="35">
        <f>IF(H503="ETAPA",0,IF(H503="SUBETAPA",OFFSET(D503,-1,0)+1,OFFSET(D503,-1,0)))</f>
        <v/>
      </c>
      <c r="E503" s="35">
        <f>IF(H503="Subetapa",0,IF(H503="serviço",OFFSET(E503,-1,0)+1,OFFSET(E503,-1,0)))</f>
        <v/>
      </c>
      <c r="F503" s="56" t="n"/>
      <c r="G503" s="1" t="n"/>
      <c r="H503" s="1" t="n"/>
      <c r="I503" s="1" t="n"/>
      <c r="J503" s="64" t="n"/>
      <c r="K503" s="52" t="n"/>
      <c r="L503" s="58" t="n"/>
      <c r="M503" s="58" t="n"/>
      <c r="N503" s="70" t="n"/>
      <c r="O503" s="56" t="n"/>
      <c r="P503" s="1" t="n"/>
      <c r="Q503" s="1" t="n"/>
    </row>
    <row r="504">
      <c r="A504" s="34">
        <f>IF($H504="UNIDADE CONSTRUTIVA",OFFSET(A504,-1,0)+1,LARGE(A$3:A503,1))</f>
        <v/>
      </c>
      <c r="B504" s="34">
        <f>IF(H504="UNIDADE CONSTRUTIVA",0,IF(H504="CÉLULA CONSTRUTIVA",OFFSET(B504,-1,0)+1,OFFSET(B504,-1,0)))</f>
        <v/>
      </c>
      <c r="C504" s="34">
        <f>IF(H504="CÉLULA CONSTRUTIVA",0,IF(H504="ETAPA",OFFSET(C504,-1,0)+1,OFFSET(C504,-1,0)))</f>
        <v/>
      </c>
      <c r="D504" s="35">
        <f>IF(H504="ETAPA",0,IF(H504="SUBETAPA",OFFSET(D504,-1,0)+1,OFFSET(D504,-1,0)))</f>
        <v/>
      </c>
      <c r="E504" s="35">
        <f>IF(H504="Subetapa",0,IF(H504="serviço",OFFSET(E504,-1,0)+1,OFFSET(E504,-1,0)))</f>
        <v/>
      </c>
      <c r="F504" s="56" t="n"/>
      <c r="G504" s="1" t="n"/>
      <c r="H504" s="1" t="n"/>
      <c r="I504" s="1" t="n"/>
      <c r="J504" s="64" t="n"/>
      <c r="K504" s="52" t="n"/>
      <c r="L504" s="58" t="n"/>
      <c r="M504" s="58" t="n"/>
      <c r="N504" s="70" t="n"/>
      <c r="O504" s="56" t="n"/>
      <c r="P504" s="1" t="n"/>
      <c r="Q504" s="1" t="n"/>
    </row>
    <row r="505">
      <c r="A505" s="34">
        <f>IF($H505="UNIDADE CONSTRUTIVA",OFFSET(A505,-1,0)+1,LARGE(A$3:A504,1))</f>
        <v/>
      </c>
      <c r="B505" s="34">
        <f>IF(H505="UNIDADE CONSTRUTIVA",0,IF(H505="CÉLULA CONSTRUTIVA",OFFSET(B505,-1,0)+1,OFFSET(B505,-1,0)))</f>
        <v/>
      </c>
      <c r="C505" s="34">
        <f>IF(H505="CÉLULA CONSTRUTIVA",0,IF(H505="ETAPA",OFFSET(C505,-1,0)+1,OFFSET(C505,-1,0)))</f>
        <v/>
      </c>
      <c r="D505" s="35">
        <f>IF(H505="ETAPA",0,IF(H505="SUBETAPA",OFFSET(D505,-1,0)+1,OFFSET(D505,-1,0)))</f>
        <v/>
      </c>
      <c r="E505" s="35">
        <f>IF(H505="Subetapa",0,IF(H505="serviço",OFFSET(E505,-1,0)+1,OFFSET(E505,-1,0)))</f>
        <v/>
      </c>
      <c r="F505" s="56" t="n"/>
      <c r="G505" s="1" t="n"/>
      <c r="H505" s="1" t="n"/>
      <c r="I505" s="1" t="n"/>
      <c r="J505" s="64" t="n"/>
      <c r="K505" s="52" t="n"/>
      <c r="L505" s="58" t="n"/>
      <c r="M505" s="58" t="n"/>
      <c r="N505" s="70" t="n"/>
      <c r="O505" s="56" t="n"/>
      <c r="P505" s="1" t="n"/>
      <c r="Q505" s="1" t="n"/>
    </row>
    <row r="506">
      <c r="A506" s="34">
        <f>IF($H506="UNIDADE CONSTRUTIVA",OFFSET(A506,-1,0)+1,LARGE(A$3:A505,1))</f>
        <v/>
      </c>
      <c r="B506" s="34">
        <f>IF(H506="UNIDADE CONSTRUTIVA",0,IF(H506="CÉLULA CONSTRUTIVA",OFFSET(B506,-1,0)+1,OFFSET(B506,-1,0)))</f>
        <v/>
      </c>
      <c r="C506" s="34">
        <f>IF(H506="CÉLULA CONSTRUTIVA",0,IF(H506="ETAPA",OFFSET(C506,-1,0)+1,OFFSET(C506,-1,0)))</f>
        <v/>
      </c>
      <c r="D506" s="35">
        <f>IF(H506="ETAPA",0,IF(H506="SUBETAPA",OFFSET(D506,-1,0)+1,OFFSET(D506,-1,0)))</f>
        <v/>
      </c>
      <c r="E506" s="35">
        <f>IF(H506="Subetapa",0,IF(H506="serviço",OFFSET(E506,-1,0)+1,OFFSET(E506,-1,0)))</f>
        <v/>
      </c>
      <c r="F506" s="56" t="n"/>
      <c r="G506" s="1" t="n"/>
      <c r="H506" s="1" t="n"/>
      <c r="I506" s="1" t="n"/>
      <c r="J506" s="64" t="n"/>
      <c r="K506" s="52" t="n"/>
      <c r="L506" s="58" t="n"/>
      <c r="M506" s="58" t="n"/>
      <c r="N506" s="70" t="n"/>
      <c r="O506" s="56" t="n"/>
      <c r="P506" s="1" t="n"/>
      <c r="Q506" s="1" t="n"/>
    </row>
    <row r="507">
      <c r="A507" s="34">
        <f>IF($H507="UNIDADE CONSTRUTIVA",OFFSET(A507,-1,0)+1,LARGE(A$3:A506,1))</f>
        <v/>
      </c>
      <c r="B507" s="34">
        <f>IF(H507="UNIDADE CONSTRUTIVA",0,IF(H507="CÉLULA CONSTRUTIVA",OFFSET(B507,-1,0)+1,OFFSET(B507,-1,0)))</f>
        <v/>
      </c>
      <c r="C507" s="34">
        <f>IF(H507="CÉLULA CONSTRUTIVA",0,IF(H507="ETAPA",OFFSET(C507,-1,0)+1,OFFSET(C507,-1,0)))</f>
        <v/>
      </c>
      <c r="D507" s="35">
        <f>IF(H507="ETAPA",0,IF(H507="SUBETAPA",OFFSET(D507,-1,0)+1,OFFSET(D507,-1,0)))</f>
        <v/>
      </c>
      <c r="E507" s="35">
        <f>IF(H507="Subetapa",0,IF(H507="serviço",OFFSET(E507,-1,0)+1,OFFSET(E507,-1,0)))</f>
        <v/>
      </c>
      <c r="F507" s="56" t="n"/>
      <c r="G507" s="1" t="n"/>
      <c r="H507" s="1" t="n"/>
      <c r="I507" s="1" t="n"/>
      <c r="J507" s="64" t="n"/>
      <c r="K507" s="52" t="n"/>
      <c r="L507" s="58" t="n"/>
      <c r="M507" s="58" t="n"/>
      <c r="N507" s="70" t="n"/>
      <c r="O507" s="56" t="n"/>
      <c r="P507" s="1" t="n"/>
      <c r="Q507" s="1" t="n"/>
    </row>
    <row r="508">
      <c r="A508" s="34">
        <f>IF($H508="UNIDADE CONSTRUTIVA",OFFSET(A508,-1,0)+1,LARGE(A$3:A507,1))</f>
        <v/>
      </c>
      <c r="B508" s="34">
        <f>IF(H508="UNIDADE CONSTRUTIVA",0,IF(H508="CÉLULA CONSTRUTIVA",OFFSET(B508,-1,0)+1,OFFSET(B508,-1,0)))</f>
        <v/>
      </c>
      <c r="C508" s="34">
        <f>IF(H508="CÉLULA CONSTRUTIVA",0,IF(H508="ETAPA",OFFSET(C508,-1,0)+1,OFFSET(C508,-1,0)))</f>
        <v/>
      </c>
      <c r="D508" s="35">
        <f>IF(H508="ETAPA",0,IF(H508="SUBETAPA",OFFSET(D508,-1,0)+1,OFFSET(D508,-1,0)))</f>
        <v/>
      </c>
      <c r="E508" s="35">
        <f>IF(H508="Subetapa",0,IF(H508="serviço",OFFSET(E508,-1,0)+1,OFFSET(E508,-1,0)))</f>
        <v/>
      </c>
      <c r="F508" s="56" t="n"/>
      <c r="G508" s="1" t="n"/>
      <c r="H508" s="1" t="n"/>
      <c r="I508" s="1" t="n"/>
      <c r="J508" s="64" t="n"/>
      <c r="K508" s="52" t="n"/>
      <c r="L508" s="58" t="n"/>
      <c r="M508" s="58" t="n"/>
      <c r="N508" s="70" t="n"/>
      <c r="O508" s="56" t="n"/>
      <c r="P508" s="1" t="n"/>
      <c r="Q508" s="1" t="n"/>
    </row>
    <row r="509">
      <c r="A509" s="34">
        <f>IF($H509="UNIDADE CONSTRUTIVA",OFFSET(A509,-1,0)+1,LARGE(A$3:A508,1))</f>
        <v/>
      </c>
      <c r="B509" s="34">
        <f>IF(H509="UNIDADE CONSTRUTIVA",0,IF(H509="CÉLULA CONSTRUTIVA",OFFSET(B509,-1,0)+1,OFFSET(B509,-1,0)))</f>
        <v/>
      </c>
      <c r="C509" s="34">
        <f>IF(H509="CÉLULA CONSTRUTIVA",0,IF(H509="ETAPA",OFFSET(C509,-1,0)+1,OFFSET(C509,-1,0)))</f>
        <v/>
      </c>
      <c r="D509" s="35">
        <f>IF(H509="ETAPA",0,IF(H509="SUBETAPA",OFFSET(D509,-1,0)+1,OFFSET(D509,-1,0)))</f>
        <v/>
      </c>
      <c r="E509" s="35">
        <f>IF(H509="Subetapa",0,IF(H509="serviço",OFFSET(E509,-1,0)+1,OFFSET(E509,-1,0)))</f>
        <v/>
      </c>
      <c r="F509" s="56" t="n"/>
      <c r="G509" s="1" t="n"/>
      <c r="H509" s="1" t="n"/>
      <c r="I509" s="1" t="n"/>
      <c r="J509" s="64" t="n"/>
      <c r="K509" s="52" t="n"/>
      <c r="L509" s="58" t="n"/>
      <c r="M509" s="58" t="n"/>
      <c r="N509" s="70" t="n"/>
      <c r="O509" s="56" t="n"/>
      <c r="P509" s="1" t="n"/>
      <c r="Q509" s="1" t="n"/>
    </row>
    <row r="510">
      <c r="A510" s="34">
        <f>IF($H510="UNIDADE CONSTRUTIVA",OFFSET(A510,-1,0)+1,LARGE(A$3:A509,1))</f>
        <v/>
      </c>
      <c r="B510" s="34">
        <f>IF(H510="UNIDADE CONSTRUTIVA",0,IF(H510="CÉLULA CONSTRUTIVA",OFFSET(B510,-1,0)+1,OFFSET(B510,-1,0)))</f>
        <v/>
      </c>
      <c r="C510" s="34">
        <f>IF(H510="CÉLULA CONSTRUTIVA",0,IF(H510="ETAPA",OFFSET(C510,-1,0)+1,OFFSET(C510,-1,0)))</f>
        <v/>
      </c>
      <c r="D510" s="35">
        <f>IF(H510="ETAPA",0,IF(H510="SUBETAPA",OFFSET(D510,-1,0)+1,OFFSET(D510,-1,0)))</f>
        <v/>
      </c>
      <c r="E510" s="35">
        <f>IF(H510="Subetapa",0,IF(H510="serviço",OFFSET(E510,-1,0)+1,OFFSET(E510,-1,0)))</f>
        <v/>
      </c>
      <c r="F510" s="56" t="n"/>
      <c r="G510" s="1" t="n"/>
      <c r="H510" s="1" t="n"/>
      <c r="I510" s="1" t="n"/>
      <c r="J510" s="64" t="n"/>
      <c r="K510" s="52" t="n"/>
      <c r="L510" s="58" t="n"/>
      <c r="M510" s="58" t="n"/>
      <c r="N510" s="70" t="n"/>
      <c r="O510" s="56" t="n"/>
      <c r="P510" s="1" t="n"/>
      <c r="Q510" s="1" t="n"/>
    </row>
    <row r="511">
      <c r="A511" s="34">
        <f>IF($H511="UNIDADE CONSTRUTIVA",OFFSET(A511,-1,0)+1,LARGE(A$3:A510,1))</f>
        <v/>
      </c>
      <c r="B511" s="34">
        <f>IF(H511="UNIDADE CONSTRUTIVA",0,IF(H511="CÉLULA CONSTRUTIVA",OFFSET(B511,-1,0)+1,OFFSET(B511,-1,0)))</f>
        <v/>
      </c>
      <c r="C511" s="34">
        <f>IF(H511="CÉLULA CONSTRUTIVA",0,IF(H511="ETAPA",OFFSET(C511,-1,0)+1,OFFSET(C511,-1,0)))</f>
        <v/>
      </c>
      <c r="D511" s="35">
        <f>IF(H511="ETAPA",0,IF(H511="SUBETAPA",OFFSET(D511,-1,0)+1,OFFSET(D511,-1,0)))</f>
        <v/>
      </c>
      <c r="E511" s="35">
        <f>IF(H511="Subetapa",0,IF(H511="serviço",OFFSET(E511,-1,0)+1,OFFSET(E511,-1,0)))</f>
        <v/>
      </c>
      <c r="F511" s="56" t="n"/>
      <c r="G511" s="1" t="n"/>
      <c r="H511" s="1" t="n"/>
      <c r="I511" s="1" t="n"/>
      <c r="J511" s="64" t="n"/>
      <c r="K511" s="52" t="n"/>
      <c r="L511" s="58" t="n"/>
      <c r="M511" s="58" t="n"/>
      <c r="N511" s="70" t="n"/>
      <c r="O511" s="56" t="n"/>
      <c r="P511" s="1" t="n"/>
      <c r="Q511" s="1" t="n"/>
    </row>
    <row r="512">
      <c r="A512" s="34">
        <f>IF($H512="UNIDADE CONSTRUTIVA",OFFSET(A512,-1,0)+1,LARGE(A$3:A511,1))</f>
        <v/>
      </c>
      <c r="B512" s="34">
        <f>IF(H512="UNIDADE CONSTRUTIVA",0,IF(H512="CÉLULA CONSTRUTIVA",OFFSET(B512,-1,0)+1,OFFSET(B512,-1,0)))</f>
        <v/>
      </c>
      <c r="C512" s="34">
        <f>IF(H512="CÉLULA CONSTRUTIVA",0,IF(H512="ETAPA",OFFSET(C512,-1,0)+1,OFFSET(C512,-1,0)))</f>
        <v/>
      </c>
      <c r="D512" s="35">
        <f>IF(H512="ETAPA",0,IF(H512="SUBETAPA",OFFSET(D512,-1,0)+1,OFFSET(D512,-1,0)))</f>
        <v/>
      </c>
      <c r="E512" s="35">
        <f>IF(H512="Subetapa",0,IF(H512="serviço",OFFSET(E512,-1,0)+1,OFFSET(E512,-1,0)))</f>
        <v/>
      </c>
      <c r="F512" s="56" t="n"/>
      <c r="G512" s="1" t="n"/>
      <c r="H512" s="1" t="n"/>
      <c r="I512" s="1" t="n"/>
      <c r="J512" s="64" t="n"/>
      <c r="K512" s="52" t="n"/>
      <c r="L512" s="58" t="n"/>
      <c r="M512" s="58" t="n"/>
      <c r="N512" s="70" t="n"/>
      <c r="O512" s="56" t="n"/>
      <c r="P512" s="1" t="n"/>
      <c r="Q512" s="1" t="n"/>
    </row>
    <row r="513">
      <c r="A513" s="34">
        <f>IF($H513="UNIDADE CONSTRUTIVA",OFFSET(A513,-1,0)+1,LARGE(A$3:A512,1))</f>
        <v/>
      </c>
      <c r="B513" s="34">
        <f>IF(H513="UNIDADE CONSTRUTIVA",0,IF(H513="CÉLULA CONSTRUTIVA",OFFSET(B513,-1,0)+1,OFFSET(B513,-1,0)))</f>
        <v/>
      </c>
      <c r="C513" s="34">
        <f>IF(H513="CÉLULA CONSTRUTIVA",0,IF(H513="ETAPA",OFFSET(C513,-1,0)+1,OFFSET(C513,-1,0)))</f>
        <v/>
      </c>
      <c r="D513" s="35">
        <f>IF(H513="ETAPA",0,IF(H513="SUBETAPA",OFFSET(D513,-1,0)+1,OFFSET(D513,-1,0)))</f>
        <v/>
      </c>
      <c r="E513" s="35">
        <f>IF(H513="Subetapa",0,IF(H513="serviço",OFFSET(E513,-1,0)+1,OFFSET(E513,-1,0)))</f>
        <v/>
      </c>
      <c r="F513" s="56" t="n"/>
      <c r="G513" s="1" t="n"/>
      <c r="H513" s="1" t="n"/>
      <c r="I513" s="1" t="n"/>
      <c r="J513" s="64" t="n"/>
      <c r="K513" s="52" t="n"/>
      <c r="L513" s="58" t="n"/>
      <c r="M513" s="58" t="n"/>
      <c r="N513" s="70" t="n"/>
      <c r="O513" s="56" t="n"/>
      <c r="P513" s="1" t="n"/>
      <c r="Q513" s="1" t="n"/>
    </row>
    <row r="514">
      <c r="A514" s="34">
        <f>IF($H514="UNIDADE CONSTRUTIVA",OFFSET(A514,-1,0)+1,LARGE(A$3:A513,1))</f>
        <v/>
      </c>
      <c r="B514" s="34">
        <f>IF(H514="UNIDADE CONSTRUTIVA",0,IF(H514="CÉLULA CONSTRUTIVA",OFFSET(B514,-1,0)+1,OFFSET(B514,-1,0)))</f>
        <v/>
      </c>
      <c r="C514" s="34">
        <f>IF(H514="CÉLULA CONSTRUTIVA",0,IF(H514="ETAPA",OFFSET(C514,-1,0)+1,OFFSET(C514,-1,0)))</f>
        <v/>
      </c>
      <c r="D514" s="35">
        <f>IF(H514="ETAPA",0,IF(H514="SUBETAPA",OFFSET(D514,-1,0)+1,OFFSET(D514,-1,0)))</f>
        <v/>
      </c>
      <c r="E514" s="35">
        <f>IF(H514="Subetapa",0,IF(H514="serviço",OFFSET(E514,-1,0)+1,OFFSET(E514,-1,0)))</f>
        <v/>
      </c>
      <c r="F514" s="56" t="n"/>
      <c r="G514" s="1" t="n"/>
      <c r="H514" s="1" t="n"/>
      <c r="I514" s="1" t="n"/>
      <c r="J514" s="64" t="n"/>
      <c r="K514" s="52" t="n"/>
      <c r="L514" s="58" t="n"/>
      <c r="M514" s="58" t="n"/>
      <c r="N514" s="70" t="n"/>
      <c r="O514" s="56" t="n"/>
      <c r="P514" s="1" t="n"/>
      <c r="Q514" s="1" t="n"/>
    </row>
    <row r="515">
      <c r="A515" s="34">
        <f>IF($H515="UNIDADE CONSTRUTIVA",OFFSET(A515,-1,0)+1,LARGE(A$3:A514,1))</f>
        <v/>
      </c>
      <c r="B515" s="34">
        <f>IF(H515="UNIDADE CONSTRUTIVA",0,IF(H515="CÉLULA CONSTRUTIVA",OFFSET(B515,-1,0)+1,OFFSET(B515,-1,0)))</f>
        <v/>
      </c>
      <c r="C515" s="34">
        <f>IF(H515="CÉLULA CONSTRUTIVA",0,IF(H515="ETAPA",OFFSET(C515,-1,0)+1,OFFSET(C515,-1,0)))</f>
        <v/>
      </c>
      <c r="D515" s="35">
        <f>IF(H515="ETAPA",0,IF(H515="SUBETAPA",OFFSET(D515,-1,0)+1,OFFSET(D515,-1,0)))</f>
        <v/>
      </c>
      <c r="E515" s="35">
        <f>IF(H515="Subetapa",0,IF(H515="serviço",OFFSET(E515,-1,0)+1,OFFSET(E515,-1,0)))</f>
        <v/>
      </c>
      <c r="F515" s="56" t="n"/>
      <c r="G515" s="1" t="n"/>
      <c r="H515" s="1" t="n"/>
      <c r="I515" s="1" t="n"/>
      <c r="J515" s="64" t="n"/>
      <c r="K515" s="52" t="n"/>
      <c r="L515" s="58" t="n"/>
      <c r="M515" s="58" t="n"/>
      <c r="N515" s="70" t="n"/>
      <c r="O515" s="56" t="n"/>
      <c r="P515" s="1" t="n"/>
      <c r="Q515" s="1" t="n"/>
    </row>
    <row r="516">
      <c r="A516" s="34">
        <f>IF($H516="UNIDADE CONSTRUTIVA",OFFSET(A516,-1,0)+1,LARGE(A$3:A515,1))</f>
        <v/>
      </c>
      <c r="B516" s="34">
        <f>IF(H516="UNIDADE CONSTRUTIVA",0,IF(H516="CÉLULA CONSTRUTIVA",OFFSET(B516,-1,0)+1,OFFSET(B516,-1,0)))</f>
        <v/>
      </c>
      <c r="C516" s="34">
        <f>IF(H516="CÉLULA CONSTRUTIVA",0,IF(H516="ETAPA",OFFSET(C516,-1,0)+1,OFFSET(C516,-1,0)))</f>
        <v/>
      </c>
      <c r="D516" s="35">
        <f>IF(H516="ETAPA",0,IF(H516="SUBETAPA",OFFSET(D516,-1,0)+1,OFFSET(D516,-1,0)))</f>
        <v/>
      </c>
      <c r="E516" s="35">
        <f>IF(H516="Subetapa",0,IF(H516="serviço",OFFSET(E516,-1,0)+1,OFFSET(E516,-1,0)))</f>
        <v/>
      </c>
      <c r="F516" s="56" t="n"/>
      <c r="G516" s="1" t="n"/>
      <c r="H516" s="1" t="n"/>
      <c r="I516" s="1" t="n"/>
      <c r="J516" s="64" t="n"/>
      <c r="K516" s="52" t="n"/>
      <c r="L516" s="58" t="n"/>
      <c r="M516" s="58" t="n"/>
      <c r="N516" s="70" t="n"/>
      <c r="O516" s="56" t="n"/>
      <c r="P516" s="1" t="n"/>
      <c r="Q516" s="1" t="n"/>
    </row>
    <row r="517">
      <c r="A517" s="34">
        <f>IF($H517="UNIDADE CONSTRUTIVA",OFFSET(A517,-1,0)+1,LARGE(A$3:A516,1))</f>
        <v/>
      </c>
      <c r="B517" s="34">
        <f>IF(H517="UNIDADE CONSTRUTIVA",0,IF(H517="CÉLULA CONSTRUTIVA",OFFSET(B517,-1,0)+1,OFFSET(B517,-1,0)))</f>
        <v/>
      </c>
      <c r="C517" s="34">
        <f>IF(H517="CÉLULA CONSTRUTIVA",0,IF(H517="ETAPA",OFFSET(C517,-1,0)+1,OFFSET(C517,-1,0)))</f>
        <v/>
      </c>
      <c r="D517" s="35">
        <f>IF(H517="ETAPA",0,IF(H517="SUBETAPA",OFFSET(D517,-1,0)+1,OFFSET(D517,-1,0)))</f>
        <v/>
      </c>
      <c r="E517" s="35">
        <f>IF(H517="Subetapa",0,IF(H517="serviço",OFFSET(E517,-1,0)+1,OFFSET(E517,-1,0)))</f>
        <v/>
      </c>
      <c r="F517" s="56" t="n"/>
      <c r="G517" s="1" t="n"/>
      <c r="H517" s="1" t="n"/>
      <c r="I517" s="1" t="n"/>
      <c r="J517" s="64" t="n"/>
      <c r="K517" s="52" t="n"/>
      <c r="L517" s="58" t="n"/>
      <c r="M517" s="58" t="n"/>
      <c r="N517" s="70" t="n"/>
      <c r="O517" s="56" t="n"/>
      <c r="P517" s="1" t="n"/>
      <c r="Q517" s="1" t="n"/>
    </row>
    <row r="518">
      <c r="A518" s="34">
        <f>IF($H518="UNIDADE CONSTRUTIVA",OFFSET(A518,-1,0)+1,LARGE(A$3:A517,1))</f>
        <v/>
      </c>
      <c r="B518" s="34">
        <f>IF(H518="UNIDADE CONSTRUTIVA",0,IF(H518="CÉLULA CONSTRUTIVA",OFFSET(B518,-1,0)+1,OFFSET(B518,-1,0)))</f>
        <v/>
      </c>
      <c r="C518" s="34">
        <f>IF(H518="CÉLULA CONSTRUTIVA",0,IF(H518="ETAPA",OFFSET(C518,-1,0)+1,OFFSET(C518,-1,0)))</f>
        <v/>
      </c>
      <c r="D518" s="35">
        <f>IF(H518="ETAPA",0,IF(H518="SUBETAPA",OFFSET(D518,-1,0)+1,OFFSET(D518,-1,0)))</f>
        <v/>
      </c>
      <c r="E518" s="35">
        <f>IF(H518="Subetapa",0,IF(H518="serviço",OFFSET(E518,-1,0)+1,OFFSET(E518,-1,0)))</f>
        <v/>
      </c>
      <c r="F518" s="56" t="n"/>
      <c r="G518" s="1" t="n"/>
      <c r="H518" s="1" t="n"/>
      <c r="I518" s="1" t="n"/>
      <c r="J518" s="64" t="n"/>
      <c r="K518" s="52" t="n"/>
      <c r="L518" s="58" t="n"/>
      <c r="M518" s="58" t="n"/>
      <c r="N518" s="70" t="n"/>
      <c r="O518" s="56" t="n"/>
      <c r="P518" s="1" t="n"/>
      <c r="Q518" s="1" t="n"/>
    </row>
    <row r="519">
      <c r="A519" s="34">
        <f>IF($H519="UNIDADE CONSTRUTIVA",OFFSET(A519,-1,0)+1,LARGE(A$3:A518,1))</f>
        <v/>
      </c>
      <c r="B519" s="34">
        <f>IF(H519="UNIDADE CONSTRUTIVA",0,IF(H519="CÉLULA CONSTRUTIVA",OFFSET(B519,-1,0)+1,OFFSET(B519,-1,0)))</f>
        <v/>
      </c>
      <c r="C519" s="34">
        <f>IF(H519="CÉLULA CONSTRUTIVA",0,IF(H519="ETAPA",OFFSET(C519,-1,0)+1,OFFSET(C519,-1,0)))</f>
        <v/>
      </c>
      <c r="D519" s="35">
        <f>IF(H519="ETAPA",0,IF(H519="SUBETAPA",OFFSET(D519,-1,0)+1,OFFSET(D519,-1,0)))</f>
        <v/>
      </c>
      <c r="E519" s="35">
        <f>IF(H519="Subetapa",0,IF(H519="serviço",OFFSET(E519,-1,0)+1,OFFSET(E519,-1,0)))</f>
        <v/>
      </c>
      <c r="F519" s="56" t="n"/>
      <c r="G519" s="1" t="n"/>
      <c r="H519" s="1" t="n"/>
      <c r="I519" s="1" t="n"/>
      <c r="J519" s="64" t="n"/>
      <c r="K519" s="52" t="n"/>
      <c r="L519" s="58" t="n"/>
      <c r="M519" s="58" t="n"/>
      <c r="N519" s="70" t="n"/>
      <c r="O519" s="56" t="n"/>
      <c r="P519" s="1" t="n"/>
      <c r="Q519" s="1" t="n"/>
    </row>
    <row r="520">
      <c r="A520" s="34">
        <f>IF($H520="UNIDADE CONSTRUTIVA",OFFSET(A520,-1,0)+1,LARGE(A$3:A519,1))</f>
        <v/>
      </c>
      <c r="B520" s="34">
        <f>IF(H520="UNIDADE CONSTRUTIVA",0,IF(H520="CÉLULA CONSTRUTIVA",OFFSET(B520,-1,0)+1,OFFSET(B520,-1,0)))</f>
        <v/>
      </c>
      <c r="C520" s="34">
        <f>IF(H520="CÉLULA CONSTRUTIVA",0,IF(H520="ETAPA",OFFSET(C520,-1,0)+1,OFFSET(C520,-1,0)))</f>
        <v/>
      </c>
      <c r="D520" s="35">
        <f>IF(H520="ETAPA",0,IF(H520="SUBETAPA",OFFSET(D520,-1,0)+1,OFFSET(D520,-1,0)))</f>
        <v/>
      </c>
      <c r="E520" s="35">
        <f>IF(H520="Subetapa",0,IF(H520="serviço",OFFSET(E520,-1,0)+1,OFFSET(E520,-1,0)))</f>
        <v/>
      </c>
      <c r="F520" s="56" t="n"/>
      <c r="G520" s="1" t="n"/>
      <c r="H520" s="1" t="n"/>
      <c r="I520" s="1" t="n"/>
      <c r="J520" s="64" t="n"/>
      <c r="K520" s="52" t="n"/>
      <c r="L520" s="58" t="n"/>
      <c r="M520" s="58" t="n"/>
      <c r="N520" s="70" t="n"/>
      <c r="O520" s="56" t="n"/>
      <c r="P520" s="1" t="n"/>
      <c r="Q520" s="1" t="n"/>
    </row>
    <row r="521">
      <c r="A521" s="34">
        <f>IF($H521="UNIDADE CONSTRUTIVA",OFFSET(A521,-1,0)+1,LARGE(A$3:A520,1))</f>
        <v/>
      </c>
      <c r="B521" s="34">
        <f>IF(H521="UNIDADE CONSTRUTIVA",0,IF(H521="CÉLULA CONSTRUTIVA",OFFSET(B521,-1,0)+1,OFFSET(B521,-1,0)))</f>
        <v/>
      </c>
      <c r="C521" s="34">
        <f>IF(H521="CÉLULA CONSTRUTIVA",0,IF(H521="ETAPA",OFFSET(C521,-1,0)+1,OFFSET(C521,-1,0)))</f>
        <v/>
      </c>
      <c r="D521" s="35">
        <f>IF(H521="ETAPA",0,IF(H521="SUBETAPA",OFFSET(D521,-1,0)+1,OFFSET(D521,-1,0)))</f>
        <v/>
      </c>
      <c r="E521" s="35">
        <f>IF(H521="Subetapa",0,IF(H521="serviço",OFFSET(E521,-1,0)+1,OFFSET(E521,-1,0)))</f>
        <v/>
      </c>
      <c r="F521" s="56" t="n"/>
      <c r="G521" s="1" t="n"/>
      <c r="H521" s="1" t="n"/>
      <c r="I521" s="1" t="n"/>
      <c r="J521" s="64" t="n"/>
      <c r="K521" s="52" t="n"/>
      <c r="L521" s="58" t="n"/>
      <c r="M521" s="58" t="n"/>
      <c r="N521" s="70" t="n"/>
      <c r="O521" s="56" t="n"/>
      <c r="P521" s="1" t="n"/>
      <c r="Q521" s="1" t="n"/>
    </row>
    <row r="522">
      <c r="A522" s="34">
        <f>IF($H522="UNIDADE CONSTRUTIVA",OFFSET(A522,-1,0)+1,LARGE(A$3:A521,1))</f>
        <v/>
      </c>
      <c r="B522" s="34">
        <f>IF(H522="UNIDADE CONSTRUTIVA",0,IF(H522="CÉLULA CONSTRUTIVA",OFFSET(B522,-1,0)+1,OFFSET(B522,-1,0)))</f>
        <v/>
      </c>
      <c r="C522" s="34">
        <f>IF(H522="CÉLULA CONSTRUTIVA",0,IF(H522="ETAPA",OFFSET(C522,-1,0)+1,OFFSET(C522,-1,0)))</f>
        <v/>
      </c>
      <c r="D522" s="35">
        <f>IF(H522="ETAPA",0,IF(H522="SUBETAPA",OFFSET(D522,-1,0)+1,OFFSET(D522,-1,0)))</f>
        <v/>
      </c>
      <c r="E522" s="35">
        <f>IF(H522="Subetapa",0,IF(H522="serviço",OFFSET(E522,-1,0)+1,OFFSET(E522,-1,0)))</f>
        <v/>
      </c>
      <c r="F522" s="56" t="n"/>
      <c r="G522" s="1" t="n"/>
      <c r="H522" s="1" t="n"/>
      <c r="I522" s="1" t="n"/>
      <c r="J522" s="64" t="n"/>
      <c r="K522" s="52" t="n"/>
      <c r="L522" s="58" t="n"/>
      <c r="M522" s="58" t="n"/>
      <c r="N522" s="70" t="n"/>
      <c r="O522" s="56" t="n"/>
      <c r="P522" s="1" t="n"/>
      <c r="Q522" s="1" t="n"/>
    </row>
    <row r="523">
      <c r="A523" s="34">
        <f>IF($H523="UNIDADE CONSTRUTIVA",OFFSET(A523,-1,0)+1,LARGE(A$3:A522,1))</f>
        <v/>
      </c>
      <c r="B523" s="34">
        <f>IF(H523="UNIDADE CONSTRUTIVA",0,IF(H523="CÉLULA CONSTRUTIVA",OFFSET(B523,-1,0)+1,OFFSET(B523,-1,0)))</f>
        <v/>
      </c>
      <c r="C523" s="34">
        <f>IF(H523="CÉLULA CONSTRUTIVA",0,IF(H523="ETAPA",OFFSET(C523,-1,0)+1,OFFSET(C523,-1,0)))</f>
        <v/>
      </c>
      <c r="D523" s="35">
        <f>IF(H523="ETAPA",0,IF(H523="SUBETAPA",OFFSET(D523,-1,0)+1,OFFSET(D523,-1,0)))</f>
        <v/>
      </c>
      <c r="E523" s="35">
        <f>IF(H523="Subetapa",0,IF(H523="serviço",OFFSET(E523,-1,0)+1,OFFSET(E523,-1,0)))</f>
        <v/>
      </c>
      <c r="F523" s="56" t="n"/>
      <c r="G523" s="1" t="n"/>
      <c r="H523" s="1" t="n"/>
      <c r="I523" s="1" t="n"/>
      <c r="J523" s="64" t="n"/>
      <c r="K523" s="52" t="n"/>
      <c r="L523" s="58" t="n"/>
      <c r="M523" s="58" t="n"/>
      <c r="N523" s="70" t="n"/>
      <c r="O523" s="56" t="n"/>
      <c r="P523" s="1" t="n"/>
      <c r="Q523" s="1" t="n"/>
    </row>
    <row r="524">
      <c r="A524" s="34">
        <f>IF($H524="UNIDADE CONSTRUTIVA",OFFSET(A524,-1,0)+1,LARGE(A$3:A523,1))</f>
        <v/>
      </c>
      <c r="B524" s="34">
        <f>IF(H524="UNIDADE CONSTRUTIVA",0,IF(H524="CÉLULA CONSTRUTIVA",OFFSET(B524,-1,0)+1,OFFSET(B524,-1,0)))</f>
        <v/>
      </c>
      <c r="C524" s="34">
        <f>IF(H524="CÉLULA CONSTRUTIVA",0,IF(H524="ETAPA",OFFSET(C524,-1,0)+1,OFFSET(C524,-1,0)))</f>
        <v/>
      </c>
      <c r="D524" s="35">
        <f>IF(H524="ETAPA",0,IF(H524="SUBETAPA",OFFSET(D524,-1,0)+1,OFFSET(D524,-1,0)))</f>
        <v/>
      </c>
      <c r="E524" s="35">
        <f>IF(H524="Subetapa",0,IF(H524="serviço",OFFSET(E524,-1,0)+1,OFFSET(E524,-1,0)))</f>
        <v/>
      </c>
      <c r="F524" s="56" t="n"/>
      <c r="G524" s="1" t="n"/>
      <c r="H524" s="1" t="n"/>
      <c r="I524" s="1" t="n"/>
      <c r="J524" s="64" t="n"/>
      <c r="K524" s="52" t="n"/>
      <c r="L524" s="58" t="n"/>
      <c r="M524" s="58" t="n"/>
      <c r="N524" s="70" t="n"/>
      <c r="O524" s="56" t="n"/>
      <c r="P524" s="1" t="n"/>
      <c r="Q524" s="1" t="n"/>
    </row>
    <row r="525">
      <c r="A525" s="34">
        <f>IF($H525="UNIDADE CONSTRUTIVA",OFFSET(A525,-1,0)+1,LARGE(A$3:A524,1))</f>
        <v/>
      </c>
      <c r="B525" s="34">
        <f>IF(H525="UNIDADE CONSTRUTIVA",0,IF(H525="CÉLULA CONSTRUTIVA",OFFSET(B525,-1,0)+1,OFFSET(B525,-1,0)))</f>
        <v/>
      </c>
      <c r="C525" s="34">
        <f>IF(H525="CÉLULA CONSTRUTIVA",0,IF(H525="ETAPA",OFFSET(C525,-1,0)+1,OFFSET(C525,-1,0)))</f>
        <v/>
      </c>
      <c r="D525" s="35">
        <f>IF(H525="ETAPA",0,IF(H525="SUBETAPA",OFFSET(D525,-1,0)+1,OFFSET(D525,-1,0)))</f>
        <v/>
      </c>
      <c r="E525" s="35">
        <f>IF(H525="Subetapa",0,IF(H525="serviço",OFFSET(E525,-1,0)+1,OFFSET(E525,-1,0)))</f>
        <v/>
      </c>
      <c r="F525" s="56" t="n"/>
      <c r="G525" s="1" t="n"/>
      <c r="H525" s="1" t="n"/>
      <c r="I525" s="1" t="n"/>
      <c r="J525" s="64" t="n"/>
      <c r="K525" s="52" t="n"/>
      <c r="L525" s="58" t="n"/>
      <c r="M525" s="58" t="n"/>
      <c r="N525" s="70" t="n"/>
      <c r="O525" s="56" t="n"/>
      <c r="P525" s="1" t="n"/>
      <c r="Q525" s="1" t="n"/>
    </row>
    <row r="526">
      <c r="A526" s="34">
        <f>IF($H526="UNIDADE CONSTRUTIVA",OFFSET(A526,-1,0)+1,LARGE(A$3:A525,1))</f>
        <v/>
      </c>
      <c r="B526" s="34">
        <f>IF(H526="UNIDADE CONSTRUTIVA",0,IF(H526="CÉLULA CONSTRUTIVA",OFFSET(B526,-1,0)+1,OFFSET(B526,-1,0)))</f>
        <v/>
      </c>
      <c r="C526" s="34">
        <f>IF(H526="CÉLULA CONSTRUTIVA",0,IF(H526="ETAPA",OFFSET(C526,-1,0)+1,OFFSET(C526,-1,0)))</f>
        <v/>
      </c>
      <c r="D526" s="35">
        <f>IF(H526="ETAPA",0,IF(H526="SUBETAPA",OFFSET(D526,-1,0)+1,OFFSET(D526,-1,0)))</f>
        <v/>
      </c>
      <c r="E526" s="35">
        <f>IF(H526="Subetapa",0,IF(H526="serviço",OFFSET(E526,-1,0)+1,OFFSET(E526,-1,0)))</f>
        <v/>
      </c>
      <c r="F526" s="56" t="n"/>
      <c r="G526" s="1" t="n"/>
      <c r="H526" s="1" t="n"/>
      <c r="I526" s="1" t="n"/>
      <c r="J526" s="64" t="n"/>
      <c r="K526" s="52" t="n"/>
      <c r="L526" s="58" t="n"/>
      <c r="M526" s="58" t="n"/>
      <c r="N526" s="70" t="n"/>
      <c r="O526" s="56" t="n"/>
      <c r="P526" s="1" t="n"/>
      <c r="Q526" s="1" t="n"/>
    </row>
    <row r="527">
      <c r="A527" s="34">
        <f>IF($H527="UNIDADE CONSTRUTIVA",OFFSET(A527,-1,0)+1,LARGE(A$3:A526,1))</f>
        <v/>
      </c>
      <c r="B527" s="34">
        <f>IF(H527="UNIDADE CONSTRUTIVA",0,IF(H527="CÉLULA CONSTRUTIVA",OFFSET(B527,-1,0)+1,OFFSET(B527,-1,0)))</f>
        <v/>
      </c>
      <c r="C527" s="34">
        <f>IF(H527="CÉLULA CONSTRUTIVA",0,IF(H527="ETAPA",OFFSET(C527,-1,0)+1,OFFSET(C527,-1,0)))</f>
        <v/>
      </c>
      <c r="D527" s="35">
        <f>IF(H527="ETAPA",0,IF(H527="SUBETAPA",OFFSET(D527,-1,0)+1,OFFSET(D527,-1,0)))</f>
        <v/>
      </c>
      <c r="E527" s="35">
        <f>IF(H527="Subetapa",0,IF(H527="serviço",OFFSET(E527,-1,0)+1,OFFSET(E527,-1,0)))</f>
        <v/>
      </c>
      <c r="F527" s="56" t="n"/>
      <c r="G527" s="1" t="n"/>
      <c r="H527" s="1" t="n"/>
      <c r="I527" s="1" t="n"/>
      <c r="J527" s="64" t="n"/>
      <c r="K527" s="52" t="n"/>
      <c r="L527" s="58" t="n"/>
      <c r="M527" s="58" t="n"/>
      <c r="N527" s="70" t="n"/>
      <c r="O527" s="56" t="n"/>
      <c r="P527" s="1" t="n"/>
      <c r="Q527" s="1" t="n"/>
    </row>
    <row r="528">
      <c r="A528" s="34">
        <f>IF($H528="UNIDADE CONSTRUTIVA",OFFSET(A528,-1,0)+1,LARGE(A$3:A527,1))</f>
        <v/>
      </c>
      <c r="B528" s="34">
        <f>IF(H528="UNIDADE CONSTRUTIVA",0,IF(H528="CÉLULA CONSTRUTIVA",OFFSET(B528,-1,0)+1,OFFSET(B528,-1,0)))</f>
        <v/>
      </c>
      <c r="C528" s="34">
        <f>IF(H528="CÉLULA CONSTRUTIVA",0,IF(H528="ETAPA",OFFSET(C528,-1,0)+1,OFFSET(C528,-1,0)))</f>
        <v/>
      </c>
      <c r="D528" s="35">
        <f>IF(H528="ETAPA",0,IF(H528="SUBETAPA",OFFSET(D528,-1,0)+1,OFFSET(D528,-1,0)))</f>
        <v/>
      </c>
      <c r="E528" s="35">
        <f>IF(H528="Subetapa",0,IF(H528="serviço",OFFSET(E528,-1,0)+1,OFFSET(E528,-1,0)))</f>
        <v/>
      </c>
      <c r="F528" s="56" t="n"/>
      <c r="G528" s="1" t="n"/>
      <c r="H528" s="1" t="n"/>
      <c r="I528" s="1" t="n"/>
      <c r="J528" s="64" t="n"/>
      <c r="K528" s="52" t="n"/>
      <c r="L528" s="58" t="n"/>
      <c r="M528" s="58" t="n"/>
      <c r="N528" s="70" t="n"/>
      <c r="O528" s="56" t="n"/>
      <c r="P528" s="1" t="n"/>
      <c r="Q528" s="1" t="n"/>
    </row>
    <row r="529">
      <c r="A529" s="34">
        <f>IF($H529="UNIDADE CONSTRUTIVA",OFFSET(A529,-1,0)+1,LARGE(A$3:A528,1))</f>
        <v/>
      </c>
      <c r="B529" s="34">
        <f>IF(H529="UNIDADE CONSTRUTIVA",0,IF(H529="CÉLULA CONSTRUTIVA",OFFSET(B529,-1,0)+1,OFFSET(B529,-1,0)))</f>
        <v/>
      </c>
      <c r="C529" s="34">
        <f>IF(H529="CÉLULA CONSTRUTIVA",0,IF(H529="ETAPA",OFFSET(C529,-1,0)+1,OFFSET(C529,-1,0)))</f>
        <v/>
      </c>
      <c r="D529" s="35">
        <f>IF(H529="ETAPA",0,IF(H529="SUBETAPA",OFFSET(D529,-1,0)+1,OFFSET(D529,-1,0)))</f>
        <v/>
      </c>
      <c r="E529" s="35">
        <f>IF(H529="Subetapa",0,IF(H529="serviço",OFFSET(E529,-1,0)+1,OFFSET(E529,-1,0)))</f>
        <v/>
      </c>
      <c r="F529" s="56" t="n"/>
      <c r="G529" s="1" t="n"/>
      <c r="H529" s="1" t="n"/>
      <c r="I529" s="1" t="n"/>
      <c r="J529" s="64" t="n"/>
      <c r="K529" s="52" t="n"/>
      <c r="L529" s="58" t="n"/>
      <c r="M529" s="58" t="n"/>
      <c r="N529" s="70" t="n"/>
      <c r="O529" s="56" t="n"/>
      <c r="P529" s="1" t="n"/>
      <c r="Q529" s="1" t="n"/>
    </row>
    <row r="530">
      <c r="A530" s="34">
        <f>IF($H530="UNIDADE CONSTRUTIVA",OFFSET(A530,-1,0)+1,LARGE(A$3:A529,1))</f>
        <v/>
      </c>
      <c r="B530" s="34">
        <f>IF(H530="UNIDADE CONSTRUTIVA",0,IF(H530="CÉLULA CONSTRUTIVA",OFFSET(B530,-1,0)+1,OFFSET(B530,-1,0)))</f>
        <v/>
      </c>
      <c r="C530" s="34">
        <f>IF(H530="CÉLULA CONSTRUTIVA",0,IF(H530="ETAPA",OFFSET(C530,-1,0)+1,OFFSET(C530,-1,0)))</f>
        <v/>
      </c>
      <c r="D530" s="35">
        <f>IF(H530="ETAPA",0,IF(H530="SUBETAPA",OFFSET(D530,-1,0)+1,OFFSET(D530,-1,0)))</f>
        <v/>
      </c>
      <c r="E530" s="35">
        <f>IF(H530="Subetapa",0,IF(H530="serviço",OFFSET(E530,-1,0)+1,OFFSET(E530,-1,0)))</f>
        <v/>
      </c>
      <c r="F530" s="56" t="n"/>
      <c r="G530" s="1" t="n"/>
      <c r="H530" s="1" t="n"/>
      <c r="I530" s="1" t="n"/>
      <c r="J530" s="64" t="n"/>
      <c r="K530" s="52" t="n"/>
      <c r="L530" s="58" t="n"/>
      <c r="M530" s="58" t="n"/>
      <c r="N530" s="70" t="n"/>
      <c r="O530" s="56" t="n"/>
      <c r="P530" s="1" t="n"/>
      <c r="Q530" s="1" t="n"/>
    </row>
    <row r="531">
      <c r="A531" s="34">
        <f>IF($H531="UNIDADE CONSTRUTIVA",OFFSET(A531,-1,0)+1,LARGE(A$3:A530,1))</f>
        <v/>
      </c>
      <c r="B531" s="34">
        <f>IF(H531="UNIDADE CONSTRUTIVA",0,IF(H531="CÉLULA CONSTRUTIVA",OFFSET(B531,-1,0)+1,OFFSET(B531,-1,0)))</f>
        <v/>
      </c>
      <c r="C531" s="34">
        <f>IF(H531="CÉLULA CONSTRUTIVA",0,IF(H531="ETAPA",OFFSET(C531,-1,0)+1,OFFSET(C531,-1,0)))</f>
        <v/>
      </c>
      <c r="D531" s="35">
        <f>IF(H531="ETAPA",0,IF(H531="SUBETAPA",OFFSET(D531,-1,0)+1,OFFSET(D531,-1,0)))</f>
        <v/>
      </c>
      <c r="E531" s="35">
        <f>IF(H531="Subetapa",0,IF(H531="serviço",OFFSET(E531,-1,0)+1,OFFSET(E531,-1,0)))</f>
        <v/>
      </c>
      <c r="F531" s="56" t="n"/>
      <c r="G531" s="1" t="n"/>
      <c r="H531" s="1" t="n"/>
      <c r="I531" s="1" t="n"/>
      <c r="J531" s="64" t="n"/>
      <c r="K531" s="52" t="n"/>
      <c r="L531" s="58" t="n"/>
      <c r="M531" s="58" t="n"/>
      <c r="N531" s="70" t="n"/>
      <c r="O531" s="56" t="n"/>
      <c r="P531" s="1" t="n"/>
      <c r="Q531" s="1" t="n"/>
    </row>
    <row r="532">
      <c r="A532" s="34">
        <f>IF($H532="UNIDADE CONSTRUTIVA",OFFSET(A532,-1,0)+1,LARGE(A$3:A531,1))</f>
        <v/>
      </c>
      <c r="B532" s="34">
        <f>IF(H532="UNIDADE CONSTRUTIVA",0,IF(H532="CÉLULA CONSTRUTIVA",OFFSET(B532,-1,0)+1,OFFSET(B532,-1,0)))</f>
        <v/>
      </c>
      <c r="C532" s="34">
        <f>IF(H532="CÉLULA CONSTRUTIVA",0,IF(H532="ETAPA",OFFSET(C532,-1,0)+1,OFFSET(C532,-1,0)))</f>
        <v/>
      </c>
      <c r="D532" s="35">
        <f>IF(H532="ETAPA",0,IF(H532="SUBETAPA",OFFSET(D532,-1,0)+1,OFFSET(D532,-1,0)))</f>
        <v/>
      </c>
      <c r="E532" s="35">
        <f>IF(H532="Subetapa",0,IF(H532="serviço",OFFSET(E532,-1,0)+1,OFFSET(E532,-1,0)))</f>
        <v/>
      </c>
      <c r="F532" s="56" t="n"/>
      <c r="G532" s="1" t="n"/>
      <c r="H532" s="1" t="n"/>
      <c r="I532" s="1" t="n"/>
      <c r="J532" s="64" t="n"/>
      <c r="K532" s="52" t="n"/>
      <c r="L532" s="58" t="n"/>
      <c r="M532" s="58" t="n"/>
      <c r="N532" s="70" t="n"/>
      <c r="O532" s="56" t="n"/>
      <c r="P532" s="1" t="n"/>
      <c r="Q532" s="1" t="n"/>
    </row>
    <row r="533">
      <c r="A533" s="34">
        <f>IF($H533="UNIDADE CONSTRUTIVA",OFFSET(A533,-1,0)+1,LARGE(A$3:A532,1))</f>
        <v/>
      </c>
      <c r="B533" s="34">
        <f>IF(H533="UNIDADE CONSTRUTIVA",0,IF(H533="CÉLULA CONSTRUTIVA",OFFSET(B533,-1,0)+1,OFFSET(B533,-1,0)))</f>
        <v/>
      </c>
      <c r="C533" s="34">
        <f>IF(H533="CÉLULA CONSTRUTIVA",0,IF(H533="ETAPA",OFFSET(C533,-1,0)+1,OFFSET(C533,-1,0)))</f>
        <v/>
      </c>
      <c r="D533" s="35">
        <f>IF(H533="ETAPA",0,IF(H533="SUBETAPA",OFFSET(D533,-1,0)+1,OFFSET(D533,-1,0)))</f>
        <v/>
      </c>
      <c r="E533" s="35">
        <f>IF(H533="Subetapa",0,IF(H533="serviço",OFFSET(E533,-1,0)+1,OFFSET(E533,-1,0)))</f>
        <v/>
      </c>
      <c r="F533" s="56" t="n"/>
      <c r="G533" s="1" t="n"/>
      <c r="H533" s="1" t="n"/>
      <c r="I533" s="1" t="n"/>
      <c r="J533" s="64" t="n"/>
      <c r="K533" s="52" t="n"/>
      <c r="L533" s="58" t="n"/>
      <c r="M533" s="58" t="n"/>
      <c r="N533" s="70" t="n"/>
      <c r="O533" s="56" t="n"/>
      <c r="P533" s="1" t="n"/>
      <c r="Q533" s="1" t="n"/>
    </row>
    <row r="534">
      <c r="A534" s="34">
        <f>IF($H534="UNIDADE CONSTRUTIVA",OFFSET(A534,-1,0)+1,LARGE(A$3:A533,1))</f>
        <v/>
      </c>
      <c r="B534" s="34">
        <f>IF(H534="UNIDADE CONSTRUTIVA",0,IF(H534="CÉLULA CONSTRUTIVA",OFFSET(B534,-1,0)+1,OFFSET(B534,-1,0)))</f>
        <v/>
      </c>
      <c r="C534" s="34">
        <f>IF(H534="CÉLULA CONSTRUTIVA",0,IF(H534="ETAPA",OFFSET(C534,-1,0)+1,OFFSET(C534,-1,0)))</f>
        <v/>
      </c>
      <c r="D534" s="35">
        <f>IF(H534="ETAPA",0,IF(H534="SUBETAPA",OFFSET(D534,-1,0)+1,OFFSET(D534,-1,0)))</f>
        <v/>
      </c>
      <c r="E534" s="35">
        <f>IF(H534="Subetapa",0,IF(H534="serviço",OFFSET(E534,-1,0)+1,OFFSET(E534,-1,0)))</f>
        <v/>
      </c>
      <c r="F534" s="56" t="n"/>
      <c r="G534" s="1" t="n"/>
      <c r="H534" s="1" t="n"/>
      <c r="I534" s="1" t="n"/>
      <c r="J534" s="64" t="n"/>
      <c r="K534" s="52" t="n"/>
      <c r="L534" s="58" t="n"/>
      <c r="M534" s="58" t="n"/>
      <c r="N534" s="70" t="n"/>
      <c r="O534" s="56" t="n"/>
      <c r="P534" s="1" t="n"/>
      <c r="Q534" s="1" t="n"/>
    </row>
    <row r="535">
      <c r="A535" s="34">
        <f>IF($H535="UNIDADE CONSTRUTIVA",OFFSET(A535,-1,0)+1,LARGE(A$3:A534,1))</f>
        <v/>
      </c>
      <c r="B535" s="34">
        <f>IF(H535="UNIDADE CONSTRUTIVA",0,IF(H535="CÉLULA CONSTRUTIVA",OFFSET(B535,-1,0)+1,OFFSET(B535,-1,0)))</f>
        <v/>
      </c>
      <c r="C535" s="34">
        <f>IF(H535="CÉLULA CONSTRUTIVA",0,IF(H535="ETAPA",OFFSET(C535,-1,0)+1,OFFSET(C535,-1,0)))</f>
        <v/>
      </c>
      <c r="D535" s="35">
        <f>IF(H535="ETAPA",0,IF(H535="SUBETAPA",OFFSET(D535,-1,0)+1,OFFSET(D535,-1,0)))</f>
        <v/>
      </c>
      <c r="E535" s="35">
        <f>IF(H535="Subetapa",0,IF(H535="serviço",OFFSET(E535,-1,0)+1,OFFSET(E535,-1,0)))</f>
        <v/>
      </c>
      <c r="F535" s="56" t="n"/>
      <c r="G535" s="1" t="n"/>
      <c r="H535" s="1" t="n"/>
      <c r="I535" s="1" t="n"/>
      <c r="J535" s="64" t="n"/>
      <c r="K535" s="52" t="n"/>
      <c r="L535" s="58" t="n"/>
      <c r="M535" s="58" t="n"/>
      <c r="N535" s="70" t="n"/>
      <c r="O535" s="56" t="n"/>
      <c r="P535" s="1" t="n"/>
      <c r="Q535" s="1" t="n"/>
    </row>
    <row r="536">
      <c r="A536" s="34">
        <f>IF($H536="UNIDADE CONSTRUTIVA",OFFSET(A536,-1,0)+1,LARGE(A$3:A535,1))</f>
        <v/>
      </c>
      <c r="B536" s="34">
        <f>IF(H536="UNIDADE CONSTRUTIVA",0,IF(H536="CÉLULA CONSTRUTIVA",OFFSET(B536,-1,0)+1,OFFSET(B536,-1,0)))</f>
        <v/>
      </c>
      <c r="C536" s="34">
        <f>IF(H536="CÉLULA CONSTRUTIVA",0,IF(H536="ETAPA",OFFSET(C536,-1,0)+1,OFFSET(C536,-1,0)))</f>
        <v/>
      </c>
      <c r="D536" s="35">
        <f>IF(H536="ETAPA",0,IF(H536="SUBETAPA",OFFSET(D536,-1,0)+1,OFFSET(D536,-1,0)))</f>
        <v/>
      </c>
      <c r="E536" s="35">
        <f>IF(H536="Subetapa",0,IF(H536="serviço",OFFSET(E536,-1,0)+1,OFFSET(E536,-1,0)))</f>
        <v/>
      </c>
      <c r="F536" s="56" t="n"/>
      <c r="G536" s="1" t="n"/>
      <c r="H536" s="1" t="n"/>
      <c r="I536" s="1" t="n"/>
      <c r="J536" s="64" t="n"/>
      <c r="K536" s="52" t="n"/>
      <c r="L536" s="58" t="n"/>
      <c r="M536" s="58" t="n"/>
      <c r="N536" s="70" t="n"/>
      <c r="O536" s="56" t="n"/>
      <c r="P536" s="1" t="n"/>
      <c r="Q536" s="1" t="n"/>
    </row>
    <row r="537">
      <c r="A537" s="34">
        <f>IF($H537="UNIDADE CONSTRUTIVA",OFFSET(A537,-1,0)+1,LARGE(A$3:A536,1))</f>
        <v/>
      </c>
      <c r="B537" s="34">
        <f>IF(H537="UNIDADE CONSTRUTIVA",0,IF(H537="CÉLULA CONSTRUTIVA",OFFSET(B537,-1,0)+1,OFFSET(B537,-1,0)))</f>
        <v/>
      </c>
      <c r="C537" s="34">
        <f>IF(H537="CÉLULA CONSTRUTIVA",0,IF(H537="ETAPA",OFFSET(C537,-1,0)+1,OFFSET(C537,-1,0)))</f>
        <v/>
      </c>
      <c r="D537" s="35">
        <f>IF(H537="ETAPA",0,IF(H537="SUBETAPA",OFFSET(D537,-1,0)+1,OFFSET(D537,-1,0)))</f>
        <v/>
      </c>
      <c r="E537" s="35">
        <f>IF(H537="Subetapa",0,IF(H537="serviço",OFFSET(E537,-1,0)+1,OFFSET(E537,-1,0)))</f>
        <v/>
      </c>
      <c r="F537" s="56" t="n"/>
      <c r="G537" s="1" t="n"/>
      <c r="H537" s="1" t="n"/>
      <c r="I537" s="1" t="n"/>
      <c r="J537" s="64" t="n"/>
      <c r="K537" s="52" t="n"/>
      <c r="L537" s="58" t="n"/>
      <c r="M537" s="58" t="n"/>
      <c r="N537" s="70" t="n"/>
      <c r="O537" s="56" t="n"/>
      <c r="P537" s="1" t="n"/>
      <c r="Q537" s="1" t="n"/>
    </row>
    <row r="538">
      <c r="A538" s="34">
        <f>IF($H538="UNIDADE CONSTRUTIVA",OFFSET(A538,-1,0)+1,LARGE(A$3:A537,1))</f>
        <v/>
      </c>
      <c r="B538" s="34">
        <f>IF(H538="UNIDADE CONSTRUTIVA",0,IF(H538="CÉLULA CONSTRUTIVA",OFFSET(B538,-1,0)+1,OFFSET(B538,-1,0)))</f>
        <v/>
      </c>
      <c r="C538" s="34">
        <f>IF(H538="CÉLULA CONSTRUTIVA",0,IF(H538="ETAPA",OFFSET(C538,-1,0)+1,OFFSET(C538,-1,0)))</f>
        <v/>
      </c>
      <c r="D538" s="35">
        <f>IF(H538="ETAPA",0,IF(H538="SUBETAPA",OFFSET(D538,-1,0)+1,OFFSET(D538,-1,0)))</f>
        <v/>
      </c>
      <c r="E538" s="35">
        <f>IF(H538="Subetapa",0,IF(H538="serviço",OFFSET(E538,-1,0)+1,OFFSET(E538,-1,0)))</f>
        <v/>
      </c>
      <c r="F538" s="56" t="n"/>
      <c r="G538" s="1" t="n"/>
      <c r="H538" s="1" t="n"/>
      <c r="I538" s="1" t="n"/>
      <c r="J538" s="64" t="n"/>
      <c r="K538" s="52" t="n"/>
      <c r="L538" s="58" t="n"/>
      <c r="M538" s="58" t="n"/>
      <c r="N538" s="70" t="n"/>
      <c r="O538" s="56" t="n"/>
      <c r="P538" s="1" t="n"/>
      <c r="Q538" s="1" t="n"/>
    </row>
    <row r="539">
      <c r="A539" s="34">
        <f>IF($H539="UNIDADE CONSTRUTIVA",OFFSET(A539,-1,0)+1,LARGE(A$3:A538,1))</f>
        <v/>
      </c>
      <c r="B539" s="34">
        <f>IF(H539="UNIDADE CONSTRUTIVA",0,IF(H539="CÉLULA CONSTRUTIVA",OFFSET(B539,-1,0)+1,OFFSET(B539,-1,0)))</f>
        <v/>
      </c>
      <c r="C539" s="34">
        <f>IF(H539="CÉLULA CONSTRUTIVA",0,IF(H539="ETAPA",OFFSET(C539,-1,0)+1,OFFSET(C539,-1,0)))</f>
        <v/>
      </c>
      <c r="D539" s="35">
        <f>IF(H539="ETAPA",0,IF(H539="SUBETAPA",OFFSET(D539,-1,0)+1,OFFSET(D539,-1,0)))</f>
        <v/>
      </c>
      <c r="E539" s="35">
        <f>IF(H539="Subetapa",0,IF(H539="serviço",OFFSET(E539,-1,0)+1,OFFSET(E539,-1,0)))</f>
        <v/>
      </c>
      <c r="F539" s="56" t="n"/>
      <c r="G539" s="1" t="n"/>
      <c r="H539" s="1" t="n"/>
      <c r="I539" s="1" t="n"/>
      <c r="J539" s="64" t="n"/>
      <c r="K539" s="52" t="n"/>
      <c r="L539" s="58" t="n"/>
      <c r="M539" s="58" t="n"/>
      <c r="N539" s="70" t="n"/>
      <c r="O539" s="56" t="n"/>
      <c r="P539" s="1" t="n"/>
      <c r="Q539" s="1" t="n"/>
    </row>
    <row r="540">
      <c r="A540" s="34">
        <f>IF($H540="UNIDADE CONSTRUTIVA",OFFSET(A540,-1,0)+1,LARGE(A$3:A539,1))</f>
        <v/>
      </c>
      <c r="B540" s="34">
        <f>IF(H540="UNIDADE CONSTRUTIVA",0,IF(H540="CÉLULA CONSTRUTIVA",OFFSET(B540,-1,0)+1,OFFSET(B540,-1,0)))</f>
        <v/>
      </c>
      <c r="C540" s="34">
        <f>IF(H540="CÉLULA CONSTRUTIVA",0,IF(H540="ETAPA",OFFSET(C540,-1,0)+1,OFFSET(C540,-1,0)))</f>
        <v/>
      </c>
      <c r="D540" s="35">
        <f>IF(H540="ETAPA",0,IF(H540="SUBETAPA",OFFSET(D540,-1,0)+1,OFFSET(D540,-1,0)))</f>
        <v/>
      </c>
      <c r="E540" s="35">
        <f>IF(H540="Subetapa",0,IF(H540="serviço",OFFSET(E540,-1,0)+1,OFFSET(E540,-1,0)))</f>
        <v/>
      </c>
      <c r="F540" s="56" t="n"/>
      <c r="G540" s="1" t="n"/>
      <c r="H540" s="1" t="n"/>
      <c r="I540" s="1" t="n"/>
      <c r="J540" s="64" t="n"/>
      <c r="K540" s="52" t="n"/>
      <c r="L540" s="58" t="n"/>
      <c r="M540" s="58" t="n"/>
      <c r="N540" s="70" t="n"/>
      <c r="O540" s="56" t="n"/>
      <c r="P540" s="1" t="n"/>
      <c r="Q540" s="1" t="n"/>
    </row>
    <row r="541">
      <c r="A541" s="34">
        <f>IF($H541="UNIDADE CONSTRUTIVA",OFFSET(A541,-1,0)+1,LARGE(A$3:A540,1))</f>
        <v/>
      </c>
      <c r="B541" s="34">
        <f>IF(H541="UNIDADE CONSTRUTIVA",0,IF(H541="CÉLULA CONSTRUTIVA",OFFSET(B541,-1,0)+1,OFFSET(B541,-1,0)))</f>
        <v/>
      </c>
      <c r="C541" s="34">
        <f>IF(H541="CÉLULA CONSTRUTIVA",0,IF(H541="ETAPA",OFFSET(C541,-1,0)+1,OFFSET(C541,-1,0)))</f>
        <v/>
      </c>
      <c r="D541" s="35">
        <f>IF(H541="ETAPA",0,IF(H541="SUBETAPA",OFFSET(D541,-1,0)+1,OFFSET(D541,-1,0)))</f>
        <v/>
      </c>
      <c r="E541" s="35">
        <f>IF(H541="Subetapa",0,IF(H541="serviço",OFFSET(E541,-1,0)+1,OFFSET(E541,-1,0)))</f>
        <v/>
      </c>
      <c r="F541" s="56" t="n"/>
      <c r="G541" s="1" t="n"/>
      <c r="H541" s="1" t="n"/>
      <c r="I541" s="1" t="n"/>
      <c r="J541" s="64" t="n"/>
      <c r="K541" s="52" t="n"/>
      <c r="L541" s="58" t="n"/>
      <c r="M541" s="58" t="n"/>
      <c r="N541" s="70" t="n"/>
      <c r="O541" s="56" t="n"/>
      <c r="P541" s="1" t="n"/>
      <c r="Q541" s="1" t="n"/>
    </row>
    <row r="542">
      <c r="A542" s="34">
        <f>IF($H542="UNIDADE CONSTRUTIVA",OFFSET(A542,-1,0)+1,LARGE(A$3:A541,1))</f>
        <v/>
      </c>
      <c r="B542" s="34">
        <f>IF(H542="UNIDADE CONSTRUTIVA",0,IF(H542="CÉLULA CONSTRUTIVA",OFFSET(B542,-1,0)+1,OFFSET(B542,-1,0)))</f>
        <v/>
      </c>
      <c r="C542" s="34">
        <f>IF(H542="CÉLULA CONSTRUTIVA",0,IF(H542="ETAPA",OFFSET(C542,-1,0)+1,OFFSET(C542,-1,0)))</f>
        <v/>
      </c>
      <c r="D542" s="35">
        <f>IF(H542="ETAPA",0,IF(H542="SUBETAPA",OFFSET(D542,-1,0)+1,OFFSET(D542,-1,0)))</f>
        <v/>
      </c>
      <c r="E542" s="35">
        <f>IF(H542="Subetapa",0,IF(H542="serviço",OFFSET(E542,-1,0)+1,OFFSET(E542,-1,0)))</f>
        <v/>
      </c>
      <c r="F542" s="56" t="n"/>
      <c r="G542" s="1" t="n"/>
      <c r="H542" s="1" t="n"/>
      <c r="I542" s="1" t="n"/>
      <c r="J542" s="64" t="n"/>
      <c r="K542" s="52" t="n"/>
      <c r="L542" s="58" t="n"/>
      <c r="M542" s="58" t="n"/>
      <c r="N542" s="70" t="n"/>
      <c r="O542" s="56" t="n"/>
      <c r="P542" s="1" t="n"/>
      <c r="Q542" s="1" t="n"/>
    </row>
    <row r="543">
      <c r="A543" s="34">
        <f>IF($H543="UNIDADE CONSTRUTIVA",OFFSET(A543,-1,0)+1,LARGE(A$3:A542,1))</f>
        <v/>
      </c>
      <c r="B543" s="34">
        <f>IF(H543="UNIDADE CONSTRUTIVA",0,IF(H543="CÉLULA CONSTRUTIVA",OFFSET(B543,-1,0)+1,OFFSET(B543,-1,0)))</f>
        <v/>
      </c>
      <c r="C543" s="34">
        <f>IF(H543="CÉLULA CONSTRUTIVA",0,IF(H543="ETAPA",OFFSET(C543,-1,0)+1,OFFSET(C543,-1,0)))</f>
        <v/>
      </c>
      <c r="D543" s="35">
        <f>IF(H543="ETAPA",0,IF(H543="SUBETAPA",OFFSET(D543,-1,0)+1,OFFSET(D543,-1,0)))</f>
        <v/>
      </c>
      <c r="E543" s="35">
        <f>IF(H543="Subetapa",0,IF(H543="serviço",OFFSET(E543,-1,0)+1,OFFSET(E543,-1,0)))</f>
        <v/>
      </c>
      <c r="F543" s="56" t="n"/>
      <c r="G543" s="1" t="n"/>
      <c r="H543" s="1" t="n"/>
      <c r="I543" s="1" t="n"/>
      <c r="J543" s="64" t="n"/>
      <c r="K543" s="52" t="n"/>
      <c r="L543" s="58" t="n"/>
      <c r="M543" s="58" t="n"/>
      <c r="N543" s="70" t="n"/>
      <c r="O543" s="56" t="n"/>
      <c r="P543" s="1" t="n"/>
      <c r="Q543" s="1" t="n"/>
    </row>
    <row r="544">
      <c r="A544" s="34">
        <f>IF($H544="UNIDADE CONSTRUTIVA",OFFSET(A544,-1,0)+1,LARGE(A$3:A543,1))</f>
        <v/>
      </c>
      <c r="B544" s="34">
        <f>IF(H544="UNIDADE CONSTRUTIVA",0,IF(H544="CÉLULA CONSTRUTIVA",OFFSET(B544,-1,0)+1,OFFSET(B544,-1,0)))</f>
        <v/>
      </c>
      <c r="C544" s="34">
        <f>IF(H544="CÉLULA CONSTRUTIVA",0,IF(H544="ETAPA",OFFSET(C544,-1,0)+1,OFFSET(C544,-1,0)))</f>
        <v/>
      </c>
      <c r="D544" s="35">
        <f>IF(H544="ETAPA",0,IF(H544="SUBETAPA",OFFSET(D544,-1,0)+1,OFFSET(D544,-1,0)))</f>
        <v/>
      </c>
      <c r="E544" s="35">
        <f>IF(H544="Subetapa",0,IF(H544="serviço",OFFSET(E544,-1,0)+1,OFFSET(E544,-1,0)))</f>
        <v/>
      </c>
      <c r="F544" s="56" t="n"/>
      <c r="G544" s="1" t="n"/>
      <c r="H544" s="1" t="n"/>
      <c r="I544" s="1" t="n"/>
      <c r="J544" s="64" t="n"/>
      <c r="K544" s="52" t="n"/>
      <c r="L544" s="58" t="n"/>
      <c r="M544" s="58" t="n"/>
      <c r="N544" s="70" t="n"/>
      <c r="O544" s="56" t="n"/>
      <c r="P544" s="1" t="n"/>
      <c r="Q544" s="1" t="n"/>
    </row>
    <row r="545">
      <c r="A545" s="34">
        <f>IF($H545="UNIDADE CONSTRUTIVA",OFFSET(A545,-1,0)+1,LARGE(A$3:A544,1))</f>
        <v/>
      </c>
      <c r="B545" s="34">
        <f>IF(H545="UNIDADE CONSTRUTIVA",0,IF(H545="CÉLULA CONSTRUTIVA",OFFSET(B545,-1,0)+1,OFFSET(B545,-1,0)))</f>
        <v/>
      </c>
      <c r="C545" s="34">
        <f>IF(H545="CÉLULA CONSTRUTIVA",0,IF(H545="ETAPA",OFFSET(C545,-1,0)+1,OFFSET(C545,-1,0)))</f>
        <v/>
      </c>
      <c r="D545" s="35">
        <f>IF(H545="ETAPA",0,IF(H545="SUBETAPA",OFFSET(D545,-1,0)+1,OFFSET(D545,-1,0)))</f>
        <v/>
      </c>
      <c r="E545" s="35">
        <f>IF(H545="Subetapa",0,IF(H545="serviço",OFFSET(E545,-1,0)+1,OFFSET(E545,-1,0)))</f>
        <v/>
      </c>
      <c r="F545" s="56" t="n"/>
      <c r="G545" s="1" t="n"/>
      <c r="H545" s="1" t="n"/>
      <c r="I545" s="1" t="n"/>
      <c r="J545" s="64" t="n"/>
      <c r="K545" s="52" t="n"/>
      <c r="L545" s="58" t="n"/>
      <c r="M545" s="58" t="n"/>
      <c r="N545" s="70" t="n"/>
      <c r="O545" s="56" t="n"/>
      <c r="P545" s="1" t="n"/>
      <c r="Q545" s="1" t="n"/>
    </row>
    <row r="546">
      <c r="A546" s="34">
        <f>IF($H546="UNIDADE CONSTRUTIVA",OFFSET(A546,-1,0)+1,LARGE(A$3:A545,1))</f>
        <v/>
      </c>
      <c r="B546" s="34">
        <f>IF(H546="UNIDADE CONSTRUTIVA",0,IF(H546="CÉLULA CONSTRUTIVA",OFFSET(B546,-1,0)+1,OFFSET(B546,-1,0)))</f>
        <v/>
      </c>
      <c r="C546" s="34">
        <f>IF(H546="CÉLULA CONSTRUTIVA",0,IF(H546="ETAPA",OFFSET(C546,-1,0)+1,OFFSET(C546,-1,0)))</f>
        <v/>
      </c>
      <c r="D546" s="35">
        <f>IF(H546="ETAPA",0,IF(H546="SUBETAPA",OFFSET(D546,-1,0)+1,OFFSET(D546,-1,0)))</f>
        <v/>
      </c>
      <c r="E546" s="35">
        <f>IF(H546="Subetapa",0,IF(H546="serviço",OFFSET(E546,-1,0)+1,OFFSET(E546,-1,0)))</f>
        <v/>
      </c>
      <c r="F546" s="56" t="n"/>
      <c r="G546" s="1" t="n"/>
      <c r="H546" s="1" t="n"/>
      <c r="I546" s="1" t="n"/>
      <c r="J546" s="64" t="n"/>
      <c r="K546" s="52" t="n"/>
      <c r="L546" s="58" t="n"/>
      <c r="M546" s="58" t="n"/>
      <c r="N546" s="70" t="n"/>
      <c r="O546" s="56" t="n"/>
      <c r="P546" s="1" t="n"/>
      <c r="Q546" s="1" t="n"/>
    </row>
    <row r="547">
      <c r="A547" s="34">
        <f>IF($H547="UNIDADE CONSTRUTIVA",OFFSET(A547,-1,0)+1,LARGE(A$3:A546,1))</f>
        <v/>
      </c>
      <c r="B547" s="34">
        <f>IF(H547="UNIDADE CONSTRUTIVA",0,IF(H547="CÉLULA CONSTRUTIVA",OFFSET(B547,-1,0)+1,OFFSET(B547,-1,0)))</f>
        <v/>
      </c>
      <c r="C547" s="34">
        <f>IF(H547="CÉLULA CONSTRUTIVA",0,IF(H547="ETAPA",OFFSET(C547,-1,0)+1,OFFSET(C547,-1,0)))</f>
        <v/>
      </c>
      <c r="D547" s="35">
        <f>IF(H547="ETAPA",0,IF(H547="SUBETAPA",OFFSET(D547,-1,0)+1,OFFSET(D547,-1,0)))</f>
        <v/>
      </c>
      <c r="E547" s="35">
        <f>IF(H547="Subetapa",0,IF(H547="serviço",OFFSET(E547,-1,0)+1,OFFSET(E547,-1,0)))</f>
        <v/>
      </c>
      <c r="F547" s="56" t="n"/>
      <c r="G547" s="1" t="n"/>
      <c r="H547" s="1" t="n"/>
      <c r="I547" s="1" t="n"/>
      <c r="J547" s="64" t="n"/>
      <c r="K547" s="52" t="n"/>
      <c r="L547" s="58" t="n"/>
      <c r="M547" s="58" t="n"/>
      <c r="N547" s="70" t="n"/>
      <c r="O547" s="56" t="n"/>
      <c r="P547" s="1" t="n"/>
      <c r="Q547" s="1" t="n"/>
    </row>
    <row r="548">
      <c r="A548" s="34">
        <f>IF($H548="UNIDADE CONSTRUTIVA",OFFSET(A548,-1,0)+1,LARGE(A$3:A547,1))</f>
        <v/>
      </c>
      <c r="B548" s="34">
        <f>IF(H548="UNIDADE CONSTRUTIVA",0,IF(H548="CÉLULA CONSTRUTIVA",OFFSET(B548,-1,0)+1,OFFSET(B548,-1,0)))</f>
        <v/>
      </c>
      <c r="C548" s="34">
        <f>IF(H548="CÉLULA CONSTRUTIVA",0,IF(H548="ETAPA",OFFSET(C548,-1,0)+1,OFFSET(C548,-1,0)))</f>
        <v/>
      </c>
      <c r="D548" s="35">
        <f>IF(H548="ETAPA",0,IF(H548="SUBETAPA",OFFSET(D548,-1,0)+1,OFFSET(D548,-1,0)))</f>
        <v/>
      </c>
      <c r="E548" s="35">
        <f>IF(H548="Subetapa",0,IF(H548="serviço",OFFSET(E548,-1,0)+1,OFFSET(E548,-1,0)))</f>
        <v/>
      </c>
      <c r="F548" s="56" t="n"/>
      <c r="G548" s="1" t="n"/>
      <c r="H548" s="1" t="n"/>
      <c r="I548" s="1" t="n"/>
      <c r="J548" s="64" t="n"/>
      <c r="K548" s="52" t="n"/>
      <c r="L548" s="58" t="n"/>
      <c r="M548" s="58" t="n"/>
      <c r="N548" s="70" t="n"/>
      <c r="O548" s="56" t="n"/>
      <c r="P548" s="1" t="n"/>
      <c r="Q548" s="1" t="n"/>
    </row>
    <row r="549">
      <c r="A549" s="34">
        <f>IF($H549="UNIDADE CONSTRUTIVA",OFFSET(A549,-1,0)+1,LARGE(A$3:A548,1))</f>
        <v/>
      </c>
      <c r="B549" s="34">
        <f>IF(H549="UNIDADE CONSTRUTIVA",0,IF(H549="CÉLULA CONSTRUTIVA",OFFSET(B549,-1,0)+1,OFFSET(B549,-1,0)))</f>
        <v/>
      </c>
      <c r="C549" s="34">
        <f>IF(H549="CÉLULA CONSTRUTIVA",0,IF(H549="ETAPA",OFFSET(C549,-1,0)+1,OFFSET(C549,-1,0)))</f>
        <v/>
      </c>
      <c r="D549" s="35">
        <f>IF(H549="ETAPA",0,IF(H549="SUBETAPA",OFFSET(D549,-1,0)+1,OFFSET(D549,-1,0)))</f>
        <v/>
      </c>
      <c r="E549" s="35">
        <f>IF(H549="Subetapa",0,IF(H549="serviço",OFFSET(E549,-1,0)+1,OFFSET(E549,-1,0)))</f>
        <v/>
      </c>
      <c r="F549" s="56" t="n"/>
      <c r="G549" s="1" t="n"/>
      <c r="H549" s="1" t="n"/>
      <c r="I549" s="1" t="n"/>
      <c r="J549" s="64" t="n"/>
      <c r="K549" s="52" t="n"/>
      <c r="L549" s="58" t="n"/>
      <c r="M549" s="58" t="n"/>
      <c r="N549" s="70" t="n"/>
      <c r="O549" s="56" t="n"/>
      <c r="P549" s="1" t="n"/>
      <c r="Q549" s="1" t="n"/>
    </row>
    <row r="550">
      <c r="A550" s="34">
        <f>IF($H550="UNIDADE CONSTRUTIVA",OFFSET(A550,-1,0)+1,LARGE(A$3:A549,1))</f>
        <v/>
      </c>
      <c r="B550" s="34">
        <f>IF(H550="UNIDADE CONSTRUTIVA",0,IF(H550="CÉLULA CONSTRUTIVA",OFFSET(B550,-1,0)+1,OFFSET(B550,-1,0)))</f>
        <v/>
      </c>
      <c r="C550" s="34">
        <f>IF(H550="CÉLULA CONSTRUTIVA",0,IF(H550="ETAPA",OFFSET(C550,-1,0)+1,OFFSET(C550,-1,0)))</f>
        <v/>
      </c>
      <c r="D550" s="35">
        <f>IF(H550="ETAPA",0,IF(H550="SUBETAPA",OFFSET(D550,-1,0)+1,OFFSET(D550,-1,0)))</f>
        <v/>
      </c>
      <c r="E550" s="35">
        <f>IF(H550="Subetapa",0,IF(H550="serviço",OFFSET(E550,-1,0)+1,OFFSET(E550,-1,0)))</f>
        <v/>
      </c>
      <c r="F550" s="56" t="n"/>
      <c r="G550" s="1" t="n"/>
      <c r="H550" s="1" t="n"/>
      <c r="I550" s="1" t="n"/>
      <c r="J550" s="64" t="n"/>
      <c r="K550" s="52" t="n"/>
      <c r="L550" s="58" t="n"/>
      <c r="M550" s="58" t="n"/>
      <c r="N550" s="70" t="n"/>
      <c r="O550" s="56" t="n"/>
      <c r="P550" s="1" t="n"/>
      <c r="Q550" s="1" t="n"/>
    </row>
    <row r="551">
      <c r="A551" s="34">
        <f>IF($H551="UNIDADE CONSTRUTIVA",OFFSET(A551,-1,0)+1,LARGE(A$3:A550,1))</f>
        <v/>
      </c>
      <c r="B551" s="34">
        <f>IF(H551="UNIDADE CONSTRUTIVA",0,IF(H551="CÉLULA CONSTRUTIVA",OFFSET(B551,-1,0)+1,OFFSET(B551,-1,0)))</f>
        <v/>
      </c>
      <c r="C551" s="34">
        <f>IF(H551="CÉLULA CONSTRUTIVA",0,IF(H551="ETAPA",OFFSET(C551,-1,0)+1,OFFSET(C551,-1,0)))</f>
        <v/>
      </c>
      <c r="D551" s="35">
        <f>IF(H551="ETAPA",0,IF(H551="SUBETAPA",OFFSET(D551,-1,0)+1,OFFSET(D551,-1,0)))</f>
        <v/>
      </c>
      <c r="E551" s="35">
        <f>IF(H551="Subetapa",0,IF(H551="serviço",OFFSET(E551,-1,0)+1,OFFSET(E551,-1,0)))</f>
        <v/>
      </c>
      <c r="F551" s="56" t="n"/>
      <c r="G551" s="1" t="n"/>
      <c r="H551" s="1" t="n"/>
      <c r="I551" s="1" t="n"/>
      <c r="J551" s="64" t="n"/>
      <c r="K551" s="52" t="n"/>
      <c r="L551" s="58" t="n"/>
      <c r="M551" s="58" t="n"/>
      <c r="N551" s="70" t="n"/>
      <c r="O551" s="56" t="n"/>
      <c r="P551" s="1" t="n"/>
      <c r="Q551" s="1" t="n"/>
    </row>
    <row r="552">
      <c r="A552" s="34">
        <f>IF($H552="UNIDADE CONSTRUTIVA",OFFSET(A552,-1,0)+1,LARGE(A$3:A551,1))</f>
        <v/>
      </c>
      <c r="B552" s="34">
        <f>IF(H552="UNIDADE CONSTRUTIVA",0,IF(H552="CÉLULA CONSTRUTIVA",OFFSET(B552,-1,0)+1,OFFSET(B552,-1,0)))</f>
        <v/>
      </c>
      <c r="C552" s="34">
        <f>IF(H552="CÉLULA CONSTRUTIVA",0,IF(H552="ETAPA",OFFSET(C552,-1,0)+1,OFFSET(C552,-1,0)))</f>
        <v/>
      </c>
      <c r="D552" s="35">
        <f>IF(H552="ETAPA",0,IF(H552="SUBETAPA",OFFSET(D552,-1,0)+1,OFFSET(D552,-1,0)))</f>
        <v/>
      </c>
      <c r="E552" s="35">
        <f>IF(H552="Subetapa",0,IF(H552="serviço",OFFSET(E552,-1,0)+1,OFFSET(E552,-1,0)))</f>
        <v/>
      </c>
      <c r="F552" s="56" t="n"/>
      <c r="G552" s="1" t="n"/>
      <c r="H552" s="1" t="n"/>
      <c r="I552" s="1" t="n"/>
      <c r="J552" s="64" t="n"/>
      <c r="K552" s="52" t="n"/>
      <c r="L552" s="58" t="n"/>
      <c r="M552" s="58" t="n"/>
      <c r="N552" s="70" t="n"/>
      <c r="O552" s="56" t="n"/>
      <c r="P552" s="1" t="n"/>
      <c r="Q552" s="1" t="n"/>
    </row>
    <row r="553">
      <c r="A553" s="34">
        <f>IF($H553="UNIDADE CONSTRUTIVA",OFFSET(A553,-1,0)+1,LARGE(A$3:A552,1))</f>
        <v/>
      </c>
      <c r="B553" s="34">
        <f>IF(H553="UNIDADE CONSTRUTIVA",0,IF(H553="CÉLULA CONSTRUTIVA",OFFSET(B553,-1,0)+1,OFFSET(B553,-1,0)))</f>
        <v/>
      </c>
      <c r="C553" s="34">
        <f>IF(H553="CÉLULA CONSTRUTIVA",0,IF(H553="ETAPA",OFFSET(C553,-1,0)+1,OFFSET(C553,-1,0)))</f>
        <v/>
      </c>
      <c r="D553" s="35">
        <f>IF(H553="ETAPA",0,IF(H553="SUBETAPA",OFFSET(D553,-1,0)+1,OFFSET(D553,-1,0)))</f>
        <v/>
      </c>
      <c r="E553" s="35">
        <f>IF(H553="Subetapa",0,IF(H553="serviço",OFFSET(E553,-1,0)+1,OFFSET(E553,-1,0)))</f>
        <v/>
      </c>
      <c r="F553" s="56" t="n"/>
      <c r="G553" s="1" t="n"/>
      <c r="H553" s="1" t="n"/>
      <c r="I553" s="1" t="n"/>
      <c r="J553" s="64" t="n"/>
      <c r="K553" s="52" t="n"/>
      <c r="L553" s="58" t="n"/>
      <c r="M553" s="58" t="n"/>
      <c r="N553" s="70" t="n"/>
      <c r="O553" s="56" t="n"/>
      <c r="P553" s="1" t="n"/>
      <c r="Q553" s="1" t="n"/>
    </row>
    <row r="554">
      <c r="A554" s="34">
        <f>IF($H554="UNIDADE CONSTRUTIVA",OFFSET(A554,-1,0)+1,LARGE(A$3:A553,1))</f>
        <v/>
      </c>
      <c r="B554" s="34">
        <f>IF(H554="UNIDADE CONSTRUTIVA",0,IF(H554="CÉLULA CONSTRUTIVA",OFFSET(B554,-1,0)+1,OFFSET(B554,-1,0)))</f>
        <v/>
      </c>
      <c r="C554" s="34">
        <f>IF(H554="CÉLULA CONSTRUTIVA",0,IF(H554="ETAPA",OFFSET(C554,-1,0)+1,OFFSET(C554,-1,0)))</f>
        <v/>
      </c>
      <c r="D554" s="35">
        <f>IF(H554="ETAPA",0,IF(H554="SUBETAPA",OFFSET(D554,-1,0)+1,OFFSET(D554,-1,0)))</f>
        <v/>
      </c>
      <c r="E554" s="35">
        <f>IF(H554="Subetapa",0,IF(H554="serviço",OFFSET(E554,-1,0)+1,OFFSET(E554,-1,0)))</f>
        <v/>
      </c>
      <c r="F554" s="56" t="n"/>
      <c r="G554" s="1" t="n"/>
      <c r="H554" s="1" t="n"/>
      <c r="I554" s="1" t="n"/>
      <c r="J554" s="64" t="n"/>
      <c r="K554" s="52" t="n"/>
      <c r="L554" s="58" t="n"/>
      <c r="M554" s="58" t="n"/>
      <c r="N554" s="70" t="n"/>
      <c r="O554" s="56" t="n"/>
      <c r="P554" s="1" t="n"/>
      <c r="Q554" s="1" t="n"/>
    </row>
    <row r="555">
      <c r="A555" s="34">
        <f>IF($H555="UNIDADE CONSTRUTIVA",OFFSET(A555,-1,0)+1,LARGE(A$3:A554,1))</f>
        <v/>
      </c>
      <c r="B555" s="34">
        <f>IF(H555="UNIDADE CONSTRUTIVA",0,IF(H555="CÉLULA CONSTRUTIVA",OFFSET(B555,-1,0)+1,OFFSET(B555,-1,0)))</f>
        <v/>
      </c>
      <c r="C555" s="34">
        <f>IF(H555="CÉLULA CONSTRUTIVA",0,IF(H555="ETAPA",OFFSET(C555,-1,0)+1,OFFSET(C555,-1,0)))</f>
        <v/>
      </c>
      <c r="D555" s="35">
        <f>IF(H555="ETAPA",0,IF(H555="SUBETAPA",OFFSET(D555,-1,0)+1,OFFSET(D555,-1,0)))</f>
        <v/>
      </c>
      <c r="E555" s="35">
        <f>IF(H555="Subetapa",0,IF(H555="serviço",OFFSET(E555,-1,0)+1,OFFSET(E555,-1,0)))</f>
        <v/>
      </c>
      <c r="F555" s="56" t="n"/>
      <c r="G555" s="1" t="n"/>
      <c r="H555" s="1" t="n"/>
      <c r="I555" s="1" t="n"/>
      <c r="J555" s="64" t="n"/>
      <c r="K555" s="52" t="n"/>
      <c r="L555" s="58" t="n"/>
      <c r="M555" s="58" t="n"/>
      <c r="N555" s="70" t="n"/>
      <c r="O555" s="56" t="n"/>
      <c r="P555" s="1" t="n"/>
      <c r="Q555" s="1" t="n"/>
    </row>
    <row r="556">
      <c r="A556" s="34">
        <f>IF($H556="UNIDADE CONSTRUTIVA",OFFSET(A556,-1,0)+1,LARGE(A$3:A555,1))</f>
        <v/>
      </c>
      <c r="B556" s="34">
        <f>IF(H556="UNIDADE CONSTRUTIVA",0,IF(H556="CÉLULA CONSTRUTIVA",OFFSET(B556,-1,0)+1,OFFSET(B556,-1,0)))</f>
        <v/>
      </c>
      <c r="C556" s="34">
        <f>IF(H556="CÉLULA CONSTRUTIVA",0,IF(H556="ETAPA",OFFSET(C556,-1,0)+1,OFFSET(C556,-1,0)))</f>
        <v/>
      </c>
      <c r="D556" s="35">
        <f>IF(H556="ETAPA",0,IF(H556="SUBETAPA",OFFSET(D556,-1,0)+1,OFFSET(D556,-1,0)))</f>
        <v/>
      </c>
      <c r="E556" s="35">
        <f>IF(H556="Subetapa",0,IF(H556="serviço",OFFSET(E556,-1,0)+1,OFFSET(E556,-1,0)))</f>
        <v/>
      </c>
      <c r="F556" s="56" t="n"/>
      <c r="G556" s="1" t="n"/>
      <c r="H556" s="1" t="n"/>
      <c r="I556" s="1" t="n"/>
      <c r="J556" s="64" t="n"/>
      <c r="K556" s="52" t="n"/>
      <c r="L556" s="58" t="n"/>
      <c r="M556" s="58" t="n"/>
      <c r="N556" s="70" t="n"/>
      <c r="O556" s="56" t="n"/>
      <c r="P556" s="1" t="n"/>
      <c r="Q556" s="1" t="n"/>
    </row>
    <row r="557">
      <c r="A557" s="34">
        <f>IF($H557="UNIDADE CONSTRUTIVA",OFFSET(A557,-1,0)+1,LARGE(A$3:A556,1))</f>
        <v/>
      </c>
      <c r="B557" s="34">
        <f>IF(H557="UNIDADE CONSTRUTIVA",0,IF(H557="CÉLULA CONSTRUTIVA",OFFSET(B557,-1,0)+1,OFFSET(B557,-1,0)))</f>
        <v/>
      </c>
      <c r="C557" s="34">
        <f>IF(H557="CÉLULA CONSTRUTIVA",0,IF(H557="ETAPA",OFFSET(C557,-1,0)+1,OFFSET(C557,-1,0)))</f>
        <v/>
      </c>
      <c r="D557" s="35">
        <f>IF(H557="ETAPA",0,IF(H557="SUBETAPA",OFFSET(D557,-1,0)+1,OFFSET(D557,-1,0)))</f>
        <v/>
      </c>
      <c r="E557" s="35">
        <f>IF(H557="Subetapa",0,IF(H557="serviço",OFFSET(E557,-1,0)+1,OFFSET(E557,-1,0)))</f>
        <v/>
      </c>
      <c r="F557" s="56" t="n"/>
      <c r="G557" s="1" t="n"/>
      <c r="H557" s="1" t="n"/>
      <c r="I557" s="1" t="n"/>
      <c r="J557" s="64" t="n"/>
      <c r="K557" s="52" t="n"/>
      <c r="L557" s="58" t="n"/>
      <c r="M557" s="58" t="n"/>
      <c r="N557" s="70" t="n"/>
      <c r="O557" s="56" t="n"/>
      <c r="P557" s="1" t="n"/>
      <c r="Q557" s="1" t="n"/>
    </row>
    <row r="558">
      <c r="A558" s="34">
        <f>IF($H558="UNIDADE CONSTRUTIVA",OFFSET(A558,-1,0)+1,LARGE(A$3:A557,1))</f>
        <v/>
      </c>
      <c r="B558" s="34">
        <f>IF(H558="UNIDADE CONSTRUTIVA",0,IF(H558="CÉLULA CONSTRUTIVA",OFFSET(B558,-1,0)+1,OFFSET(B558,-1,0)))</f>
        <v/>
      </c>
      <c r="C558" s="34">
        <f>IF(H558="CÉLULA CONSTRUTIVA",0,IF(H558="ETAPA",OFFSET(C558,-1,0)+1,OFFSET(C558,-1,0)))</f>
        <v/>
      </c>
      <c r="D558" s="35">
        <f>IF(H558="ETAPA",0,IF(H558="SUBETAPA",OFFSET(D558,-1,0)+1,OFFSET(D558,-1,0)))</f>
        <v/>
      </c>
      <c r="E558" s="35">
        <f>IF(H558="Subetapa",0,IF(H558="serviço",OFFSET(E558,-1,0)+1,OFFSET(E558,-1,0)))</f>
        <v/>
      </c>
      <c r="F558" s="56" t="n"/>
      <c r="G558" s="1" t="n"/>
      <c r="H558" s="1" t="n"/>
      <c r="I558" s="1" t="n"/>
      <c r="J558" s="64" t="n"/>
      <c r="K558" s="52" t="n"/>
      <c r="L558" s="58" t="n"/>
      <c r="M558" s="58" t="n"/>
      <c r="N558" s="70" t="n"/>
      <c r="O558" s="56" t="n"/>
      <c r="P558" s="1" t="n"/>
      <c r="Q558" s="1" t="n"/>
    </row>
    <row r="559">
      <c r="A559" s="34">
        <f>IF($H559="UNIDADE CONSTRUTIVA",OFFSET(A559,-1,0)+1,LARGE(A$3:A558,1))</f>
        <v/>
      </c>
      <c r="B559" s="34">
        <f>IF(H559="UNIDADE CONSTRUTIVA",0,IF(H559="CÉLULA CONSTRUTIVA",OFFSET(B559,-1,0)+1,OFFSET(B559,-1,0)))</f>
        <v/>
      </c>
      <c r="C559" s="34">
        <f>IF(H559="CÉLULA CONSTRUTIVA",0,IF(H559="ETAPA",OFFSET(C559,-1,0)+1,OFFSET(C559,-1,0)))</f>
        <v/>
      </c>
      <c r="D559" s="35">
        <f>IF(H559="ETAPA",0,IF(H559="SUBETAPA",OFFSET(D559,-1,0)+1,OFFSET(D559,-1,0)))</f>
        <v/>
      </c>
      <c r="E559" s="35">
        <f>IF(H559="Subetapa",0,IF(H559="serviço",OFFSET(E559,-1,0)+1,OFFSET(E559,-1,0)))</f>
        <v/>
      </c>
      <c r="F559" s="56" t="n"/>
      <c r="G559" s="1" t="n"/>
      <c r="H559" s="1" t="n"/>
      <c r="I559" s="1" t="n"/>
      <c r="J559" s="64" t="n"/>
      <c r="K559" s="52" t="n"/>
      <c r="L559" s="58" t="n"/>
      <c r="M559" s="58" t="n"/>
      <c r="N559" s="70" t="n"/>
      <c r="O559" s="56" t="n"/>
      <c r="P559" s="1" t="n"/>
      <c r="Q559" s="1" t="n"/>
    </row>
    <row r="560">
      <c r="A560" s="34">
        <f>IF($H560="UNIDADE CONSTRUTIVA",OFFSET(A560,-1,0)+1,LARGE(A$3:A559,1))</f>
        <v/>
      </c>
      <c r="B560" s="34">
        <f>IF(H560="UNIDADE CONSTRUTIVA",0,IF(H560="CÉLULA CONSTRUTIVA",OFFSET(B560,-1,0)+1,OFFSET(B560,-1,0)))</f>
        <v/>
      </c>
      <c r="C560" s="34">
        <f>IF(H560="CÉLULA CONSTRUTIVA",0,IF(H560="ETAPA",OFFSET(C560,-1,0)+1,OFFSET(C560,-1,0)))</f>
        <v/>
      </c>
      <c r="D560" s="35">
        <f>IF(H560="ETAPA",0,IF(H560="SUBETAPA",OFFSET(D560,-1,0)+1,OFFSET(D560,-1,0)))</f>
        <v/>
      </c>
      <c r="E560" s="35">
        <f>IF(H560="Subetapa",0,IF(H560="serviço",OFFSET(E560,-1,0)+1,OFFSET(E560,-1,0)))</f>
        <v/>
      </c>
      <c r="F560" s="56" t="n"/>
      <c r="G560" s="1" t="n"/>
      <c r="H560" s="1" t="n"/>
      <c r="I560" s="1" t="n"/>
      <c r="J560" s="64" t="n"/>
      <c r="K560" s="52" t="n"/>
      <c r="L560" s="58" t="n"/>
      <c r="M560" s="58" t="n"/>
      <c r="N560" s="70" t="n"/>
      <c r="O560" s="56" t="n"/>
      <c r="P560" s="1" t="n"/>
      <c r="Q560" s="1" t="n"/>
    </row>
    <row r="561">
      <c r="A561" s="34">
        <f>IF($H561="UNIDADE CONSTRUTIVA",OFFSET(A561,-1,0)+1,LARGE(A$3:A560,1))</f>
        <v/>
      </c>
      <c r="B561" s="34">
        <f>IF(H561="UNIDADE CONSTRUTIVA",0,IF(H561="CÉLULA CONSTRUTIVA",OFFSET(B561,-1,0)+1,OFFSET(B561,-1,0)))</f>
        <v/>
      </c>
      <c r="C561" s="34">
        <f>IF(H561="CÉLULA CONSTRUTIVA",0,IF(H561="ETAPA",OFFSET(C561,-1,0)+1,OFFSET(C561,-1,0)))</f>
        <v/>
      </c>
      <c r="D561" s="35">
        <f>IF(H561="ETAPA",0,IF(H561="SUBETAPA",OFFSET(D561,-1,0)+1,OFFSET(D561,-1,0)))</f>
        <v/>
      </c>
      <c r="E561" s="35">
        <f>IF(H561="Subetapa",0,IF(H561="serviço",OFFSET(E561,-1,0)+1,OFFSET(E561,-1,0)))</f>
        <v/>
      </c>
      <c r="F561" s="56" t="n"/>
      <c r="G561" s="1" t="n"/>
      <c r="H561" s="1" t="n"/>
      <c r="I561" s="1" t="n"/>
      <c r="J561" s="64" t="n"/>
      <c r="K561" s="52" t="n"/>
      <c r="L561" s="58" t="n"/>
      <c r="M561" s="58" t="n"/>
      <c r="N561" s="70" t="n"/>
      <c r="O561" s="56" t="n"/>
      <c r="P561" s="1" t="n"/>
      <c r="Q561" s="1" t="n"/>
    </row>
    <row r="562">
      <c r="A562" s="34">
        <f>IF($H562="UNIDADE CONSTRUTIVA",OFFSET(A562,-1,0)+1,LARGE(A$3:A561,1))</f>
        <v/>
      </c>
      <c r="B562" s="34">
        <f>IF(H562="UNIDADE CONSTRUTIVA",0,IF(H562="CÉLULA CONSTRUTIVA",OFFSET(B562,-1,0)+1,OFFSET(B562,-1,0)))</f>
        <v/>
      </c>
      <c r="C562" s="34">
        <f>IF(H562="CÉLULA CONSTRUTIVA",0,IF(H562="ETAPA",OFFSET(C562,-1,0)+1,OFFSET(C562,-1,0)))</f>
        <v/>
      </c>
      <c r="D562" s="35">
        <f>IF(H562="ETAPA",0,IF(H562="SUBETAPA",OFFSET(D562,-1,0)+1,OFFSET(D562,-1,0)))</f>
        <v/>
      </c>
      <c r="E562" s="35">
        <f>IF(H562="Subetapa",0,IF(H562="serviço",OFFSET(E562,-1,0)+1,OFFSET(E562,-1,0)))</f>
        <v/>
      </c>
      <c r="F562" s="56" t="n"/>
      <c r="G562" s="1" t="n"/>
      <c r="H562" s="1" t="n"/>
      <c r="I562" s="1" t="n"/>
      <c r="J562" s="64" t="n"/>
      <c r="K562" s="52" t="n"/>
      <c r="L562" s="58" t="n"/>
      <c r="M562" s="58" t="n"/>
      <c r="N562" s="70" t="n"/>
      <c r="O562" s="56" t="n"/>
      <c r="P562" s="1" t="n"/>
      <c r="Q562" s="1" t="n"/>
    </row>
    <row r="563">
      <c r="A563" s="34">
        <f>IF($H563="UNIDADE CONSTRUTIVA",OFFSET(A563,-1,0)+1,LARGE(A$3:A562,1))</f>
        <v/>
      </c>
      <c r="B563" s="34">
        <f>IF(H563="UNIDADE CONSTRUTIVA",0,IF(H563="CÉLULA CONSTRUTIVA",OFFSET(B563,-1,0)+1,OFFSET(B563,-1,0)))</f>
        <v/>
      </c>
      <c r="C563" s="34">
        <f>IF(H563="CÉLULA CONSTRUTIVA",0,IF(H563="ETAPA",OFFSET(C563,-1,0)+1,OFFSET(C563,-1,0)))</f>
        <v/>
      </c>
      <c r="D563" s="35">
        <f>IF(H563="ETAPA",0,IF(H563="SUBETAPA",OFFSET(D563,-1,0)+1,OFFSET(D563,-1,0)))</f>
        <v/>
      </c>
      <c r="E563" s="35">
        <f>IF(H563="Subetapa",0,IF(H563="serviço",OFFSET(E563,-1,0)+1,OFFSET(E563,-1,0)))</f>
        <v/>
      </c>
      <c r="F563" s="56" t="n"/>
      <c r="G563" s="1" t="n"/>
      <c r="H563" s="1" t="n"/>
      <c r="I563" s="1" t="n"/>
      <c r="J563" s="64" t="n"/>
      <c r="K563" s="52" t="n"/>
      <c r="L563" s="58" t="n"/>
      <c r="M563" s="58" t="n"/>
      <c r="N563" s="70" t="n"/>
      <c r="O563" s="56" t="n"/>
      <c r="P563" s="1" t="n"/>
      <c r="Q563" s="1" t="n"/>
    </row>
    <row r="564">
      <c r="A564" s="34">
        <f>IF($H564="UNIDADE CONSTRUTIVA",OFFSET(A564,-1,0)+1,LARGE(A$3:A563,1))</f>
        <v/>
      </c>
      <c r="B564" s="34">
        <f>IF(H564="UNIDADE CONSTRUTIVA",0,IF(H564="CÉLULA CONSTRUTIVA",OFFSET(B564,-1,0)+1,OFFSET(B564,-1,0)))</f>
        <v/>
      </c>
      <c r="C564" s="34">
        <f>IF(H564="CÉLULA CONSTRUTIVA",0,IF(H564="ETAPA",OFFSET(C564,-1,0)+1,OFFSET(C564,-1,0)))</f>
        <v/>
      </c>
      <c r="D564" s="35">
        <f>IF(H564="ETAPA",0,IF(H564="SUBETAPA",OFFSET(D564,-1,0)+1,OFFSET(D564,-1,0)))</f>
        <v/>
      </c>
      <c r="E564" s="35">
        <f>IF(H564="Subetapa",0,IF(H564="serviço",OFFSET(E564,-1,0)+1,OFFSET(E564,-1,0)))</f>
        <v/>
      </c>
      <c r="F564" s="56" t="n"/>
      <c r="G564" s="1" t="n"/>
      <c r="H564" s="1" t="n"/>
      <c r="I564" s="1" t="n"/>
      <c r="J564" s="64" t="n"/>
      <c r="K564" s="52" t="n"/>
      <c r="L564" s="58" t="n"/>
      <c r="M564" s="58" t="n"/>
      <c r="N564" s="70" t="n"/>
      <c r="O564" s="56" t="n"/>
      <c r="P564" s="1" t="n"/>
      <c r="Q564" s="1" t="n"/>
    </row>
    <row r="565">
      <c r="A565" s="34">
        <f>IF($H565="UNIDADE CONSTRUTIVA",OFFSET(A565,-1,0)+1,LARGE(A$3:A564,1))</f>
        <v/>
      </c>
      <c r="B565" s="34">
        <f>IF(H565="UNIDADE CONSTRUTIVA",0,IF(H565="CÉLULA CONSTRUTIVA",OFFSET(B565,-1,0)+1,OFFSET(B565,-1,0)))</f>
        <v/>
      </c>
      <c r="C565" s="34">
        <f>IF(H565="CÉLULA CONSTRUTIVA",0,IF(H565="ETAPA",OFFSET(C565,-1,0)+1,OFFSET(C565,-1,0)))</f>
        <v/>
      </c>
      <c r="D565" s="35">
        <f>IF(H565="ETAPA",0,IF(H565="SUBETAPA",OFFSET(D565,-1,0)+1,OFFSET(D565,-1,0)))</f>
        <v/>
      </c>
      <c r="E565" s="35">
        <f>IF(H565="Subetapa",0,IF(H565="serviço",OFFSET(E565,-1,0)+1,OFFSET(E565,-1,0)))</f>
        <v/>
      </c>
      <c r="F565" s="56" t="n"/>
      <c r="G565" s="1" t="n"/>
      <c r="H565" s="1" t="n"/>
      <c r="I565" s="1" t="n"/>
      <c r="J565" s="64" t="n"/>
      <c r="K565" s="52" t="n"/>
      <c r="L565" s="58" t="n"/>
      <c r="M565" s="58" t="n"/>
      <c r="N565" s="70" t="n"/>
      <c r="O565" s="56" t="n"/>
      <c r="P565" s="1" t="n"/>
      <c r="Q565" s="1" t="n"/>
    </row>
    <row r="566">
      <c r="A566" s="34">
        <f>IF($H566="UNIDADE CONSTRUTIVA",OFFSET(A566,-1,0)+1,LARGE(A$3:A565,1))</f>
        <v/>
      </c>
      <c r="B566" s="34">
        <f>IF(H566="UNIDADE CONSTRUTIVA",0,IF(H566="CÉLULA CONSTRUTIVA",OFFSET(B566,-1,0)+1,OFFSET(B566,-1,0)))</f>
        <v/>
      </c>
      <c r="C566" s="34">
        <f>IF(H566="CÉLULA CONSTRUTIVA",0,IF(H566="ETAPA",OFFSET(C566,-1,0)+1,OFFSET(C566,-1,0)))</f>
        <v/>
      </c>
      <c r="D566" s="35">
        <f>IF(H566="ETAPA",0,IF(H566="SUBETAPA",OFFSET(D566,-1,0)+1,OFFSET(D566,-1,0)))</f>
        <v/>
      </c>
      <c r="E566" s="35">
        <f>IF(H566="Subetapa",0,IF(H566="serviço",OFFSET(E566,-1,0)+1,OFFSET(E566,-1,0)))</f>
        <v/>
      </c>
      <c r="F566" s="56" t="n"/>
      <c r="G566" s="1" t="n"/>
      <c r="H566" s="1" t="n"/>
      <c r="I566" s="1" t="n"/>
      <c r="J566" s="64" t="n"/>
      <c r="K566" s="52" t="n"/>
      <c r="L566" s="58" t="n"/>
      <c r="M566" s="58" t="n"/>
      <c r="N566" s="70" t="n"/>
      <c r="O566" s="56" t="n"/>
      <c r="P566" s="1" t="n"/>
      <c r="Q566" s="1" t="n"/>
    </row>
    <row r="567">
      <c r="A567" s="34">
        <f>IF($H567="UNIDADE CONSTRUTIVA",OFFSET(A567,-1,0)+1,LARGE(A$3:A566,1))</f>
        <v/>
      </c>
      <c r="B567" s="34">
        <f>IF(H567="UNIDADE CONSTRUTIVA",0,IF(H567="CÉLULA CONSTRUTIVA",OFFSET(B567,-1,0)+1,OFFSET(B567,-1,0)))</f>
        <v/>
      </c>
      <c r="C567" s="34">
        <f>IF(H567="CÉLULA CONSTRUTIVA",0,IF(H567="ETAPA",OFFSET(C567,-1,0)+1,OFFSET(C567,-1,0)))</f>
        <v/>
      </c>
      <c r="D567" s="35">
        <f>IF(H567="ETAPA",0,IF(H567="SUBETAPA",OFFSET(D567,-1,0)+1,OFFSET(D567,-1,0)))</f>
        <v/>
      </c>
      <c r="E567" s="35">
        <f>IF(H567="Subetapa",0,IF(H567="serviço",OFFSET(E567,-1,0)+1,OFFSET(E567,-1,0)))</f>
        <v/>
      </c>
      <c r="F567" s="56" t="n"/>
      <c r="G567" s="1" t="n"/>
      <c r="H567" s="1" t="n"/>
      <c r="I567" s="1" t="n"/>
      <c r="J567" s="64" t="n"/>
      <c r="K567" s="52" t="n"/>
      <c r="L567" s="58" t="n"/>
      <c r="M567" s="58" t="n"/>
      <c r="N567" s="70" t="n"/>
      <c r="O567" s="56" t="n"/>
      <c r="P567" s="1" t="n"/>
      <c r="Q567" s="1" t="n"/>
    </row>
    <row r="568">
      <c r="A568" s="34">
        <f>IF($H568="UNIDADE CONSTRUTIVA",OFFSET(A568,-1,0)+1,LARGE(A$3:A567,1))</f>
        <v/>
      </c>
      <c r="B568" s="34">
        <f>IF(H568="UNIDADE CONSTRUTIVA",0,IF(H568="CÉLULA CONSTRUTIVA",OFFSET(B568,-1,0)+1,OFFSET(B568,-1,0)))</f>
        <v/>
      </c>
      <c r="C568" s="34">
        <f>IF(H568="CÉLULA CONSTRUTIVA",0,IF(H568="ETAPA",OFFSET(C568,-1,0)+1,OFFSET(C568,-1,0)))</f>
        <v/>
      </c>
      <c r="D568" s="35">
        <f>IF(H568="ETAPA",0,IF(H568="SUBETAPA",OFFSET(D568,-1,0)+1,OFFSET(D568,-1,0)))</f>
        <v/>
      </c>
      <c r="E568" s="35">
        <f>IF(H568="Subetapa",0,IF(H568="serviço",OFFSET(E568,-1,0)+1,OFFSET(E568,-1,0)))</f>
        <v/>
      </c>
      <c r="F568" s="56" t="n"/>
      <c r="G568" s="1" t="n"/>
      <c r="H568" s="1" t="n"/>
      <c r="I568" s="1" t="n"/>
      <c r="J568" s="64" t="n"/>
      <c r="K568" s="52" t="n"/>
      <c r="L568" s="58" t="n"/>
      <c r="M568" s="58" t="n"/>
      <c r="N568" s="70" t="n"/>
      <c r="O568" s="56" t="n"/>
      <c r="P568" s="1" t="n"/>
      <c r="Q568" s="1" t="n"/>
    </row>
    <row r="569">
      <c r="A569" s="34">
        <f>IF($H569="UNIDADE CONSTRUTIVA",OFFSET(A569,-1,0)+1,LARGE(A$3:A568,1))</f>
        <v/>
      </c>
      <c r="B569" s="34">
        <f>IF(H569="UNIDADE CONSTRUTIVA",0,IF(H569="CÉLULA CONSTRUTIVA",OFFSET(B569,-1,0)+1,OFFSET(B569,-1,0)))</f>
        <v/>
      </c>
      <c r="C569" s="34">
        <f>IF(H569="CÉLULA CONSTRUTIVA",0,IF(H569="ETAPA",OFFSET(C569,-1,0)+1,OFFSET(C569,-1,0)))</f>
        <v/>
      </c>
      <c r="D569" s="35">
        <f>IF(H569="ETAPA",0,IF(H569="SUBETAPA",OFFSET(D569,-1,0)+1,OFFSET(D569,-1,0)))</f>
        <v/>
      </c>
      <c r="E569" s="35">
        <f>IF(H569="Subetapa",0,IF(H569="serviço",OFFSET(E569,-1,0)+1,OFFSET(E569,-1,0)))</f>
        <v/>
      </c>
      <c r="F569" s="56" t="n"/>
      <c r="G569" s="1" t="n"/>
      <c r="H569" s="1" t="n"/>
      <c r="I569" s="1" t="n"/>
      <c r="J569" s="64" t="n"/>
      <c r="K569" s="52" t="n"/>
      <c r="L569" s="58" t="n"/>
      <c r="M569" s="58" t="n"/>
      <c r="N569" s="70" t="n"/>
      <c r="O569" s="56" t="n"/>
      <c r="P569" s="1" t="n"/>
      <c r="Q569" s="1" t="n"/>
    </row>
    <row r="570">
      <c r="A570" s="34">
        <f>IF($H570="UNIDADE CONSTRUTIVA",OFFSET(A570,-1,0)+1,LARGE(A$3:A569,1))</f>
        <v/>
      </c>
      <c r="B570" s="34">
        <f>IF(H570="UNIDADE CONSTRUTIVA",0,IF(H570="CÉLULA CONSTRUTIVA",OFFSET(B570,-1,0)+1,OFFSET(B570,-1,0)))</f>
        <v/>
      </c>
      <c r="C570" s="34">
        <f>IF(H570="CÉLULA CONSTRUTIVA",0,IF(H570="ETAPA",OFFSET(C570,-1,0)+1,OFFSET(C570,-1,0)))</f>
        <v/>
      </c>
      <c r="D570" s="35">
        <f>IF(H570="ETAPA",0,IF(H570="SUBETAPA",OFFSET(D570,-1,0)+1,OFFSET(D570,-1,0)))</f>
        <v/>
      </c>
      <c r="E570" s="35">
        <f>IF(H570="Subetapa",0,IF(H570="serviço",OFFSET(E570,-1,0)+1,OFFSET(E570,-1,0)))</f>
        <v/>
      </c>
      <c r="F570" s="56" t="n"/>
      <c r="G570" s="1" t="n"/>
      <c r="H570" s="1" t="n"/>
      <c r="I570" s="1" t="n"/>
      <c r="J570" s="64" t="n"/>
      <c r="K570" s="52" t="n"/>
      <c r="L570" s="58" t="n"/>
      <c r="M570" s="58" t="n"/>
      <c r="N570" s="70" t="n"/>
      <c r="O570" s="56" t="n"/>
      <c r="P570" s="1" t="n"/>
      <c r="Q570" s="1" t="n"/>
    </row>
    <row r="571">
      <c r="A571" s="34">
        <f>IF($H571="UNIDADE CONSTRUTIVA",OFFSET(A571,-1,0)+1,LARGE(A$3:A570,1))</f>
        <v/>
      </c>
      <c r="B571" s="34">
        <f>IF(H571="UNIDADE CONSTRUTIVA",0,IF(H571="CÉLULA CONSTRUTIVA",OFFSET(B571,-1,0)+1,OFFSET(B571,-1,0)))</f>
        <v/>
      </c>
      <c r="C571" s="34">
        <f>IF(H571="CÉLULA CONSTRUTIVA",0,IF(H571="ETAPA",OFFSET(C571,-1,0)+1,OFFSET(C571,-1,0)))</f>
        <v/>
      </c>
      <c r="D571" s="35">
        <f>IF(H571="ETAPA",0,IF(H571="SUBETAPA",OFFSET(D571,-1,0)+1,OFFSET(D571,-1,0)))</f>
        <v/>
      </c>
      <c r="E571" s="35">
        <f>IF(H571="Subetapa",0,IF(H571="serviço",OFFSET(E571,-1,0)+1,OFFSET(E571,-1,0)))</f>
        <v/>
      </c>
      <c r="F571" s="56" t="n"/>
      <c r="G571" s="1" t="n"/>
      <c r="H571" s="1" t="n"/>
      <c r="I571" s="1" t="n"/>
      <c r="J571" s="64" t="n"/>
      <c r="K571" s="52" t="n"/>
      <c r="L571" s="58" t="n"/>
      <c r="M571" s="58" t="n"/>
      <c r="N571" s="70" t="n"/>
      <c r="O571" s="56" t="n"/>
      <c r="P571" s="1" t="n"/>
      <c r="Q571" s="1" t="n"/>
    </row>
    <row r="572">
      <c r="A572" s="34">
        <f>IF($H572="UNIDADE CONSTRUTIVA",OFFSET(A572,-1,0)+1,LARGE(A$3:A571,1))</f>
        <v/>
      </c>
      <c r="B572" s="34">
        <f>IF(H572="UNIDADE CONSTRUTIVA",0,IF(H572="CÉLULA CONSTRUTIVA",OFFSET(B572,-1,0)+1,OFFSET(B572,-1,0)))</f>
        <v/>
      </c>
      <c r="C572" s="34">
        <f>IF(H572="CÉLULA CONSTRUTIVA",0,IF(H572="ETAPA",OFFSET(C572,-1,0)+1,OFFSET(C572,-1,0)))</f>
        <v/>
      </c>
      <c r="D572" s="35">
        <f>IF(H572="ETAPA",0,IF(H572="SUBETAPA",OFFSET(D572,-1,0)+1,OFFSET(D572,-1,0)))</f>
        <v/>
      </c>
      <c r="E572" s="35">
        <f>IF(H572="Subetapa",0,IF(H572="serviço",OFFSET(E572,-1,0)+1,OFFSET(E572,-1,0)))</f>
        <v/>
      </c>
      <c r="F572" s="56" t="n"/>
      <c r="G572" s="1" t="n"/>
      <c r="H572" s="1" t="n"/>
      <c r="I572" s="1" t="n"/>
      <c r="J572" s="64" t="n"/>
      <c r="K572" s="52" t="n"/>
      <c r="L572" s="58" t="n"/>
      <c r="M572" s="58" t="n"/>
      <c r="N572" s="70" t="n"/>
      <c r="O572" s="56" t="n"/>
      <c r="P572" s="1" t="n"/>
      <c r="Q572" s="1" t="n"/>
    </row>
    <row r="573">
      <c r="A573" s="34">
        <f>IF($H573="UNIDADE CONSTRUTIVA",OFFSET(A573,-1,0)+1,LARGE(A$3:A572,1))</f>
        <v/>
      </c>
      <c r="B573" s="34">
        <f>IF(H573="UNIDADE CONSTRUTIVA",0,IF(H573="CÉLULA CONSTRUTIVA",OFFSET(B573,-1,0)+1,OFFSET(B573,-1,0)))</f>
        <v/>
      </c>
      <c r="C573" s="34">
        <f>IF(H573="CÉLULA CONSTRUTIVA",0,IF(H573="ETAPA",OFFSET(C573,-1,0)+1,OFFSET(C573,-1,0)))</f>
        <v/>
      </c>
      <c r="D573" s="35">
        <f>IF(H573="ETAPA",0,IF(H573="SUBETAPA",OFFSET(D573,-1,0)+1,OFFSET(D573,-1,0)))</f>
        <v/>
      </c>
      <c r="E573" s="35">
        <f>IF(H573="Subetapa",0,IF(H573="serviço",OFFSET(E573,-1,0)+1,OFFSET(E573,-1,0)))</f>
        <v/>
      </c>
      <c r="F573" s="56" t="n"/>
      <c r="G573" s="1" t="n"/>
      <c r="H573" s="1" t="n"/>
      <c r="I573" s="1" t="n"/>
      <c r="J573" s="64" t="n"/>
      <c r="K573" s="52" t="n"/>
      <c r="L573" s="58" t="n"/>
      <c r="M573" s="58" t="n"/>
      <c r="N573" s="70" t="n"/>
      <c r="O573" s="56" t="n"/>
      <c r="P573" s="1" t="n"/>
      <c r="Q573" s="1" t="n"/>
    </row>
    <row r="574">
      <c r="A574" s="34">
        <f>IF($H574="UNIDADE CONSTRUTIVA",OFFSET(A574,-1,0)+1,LARGE(A$3:A573,1))</f>
        <v/>
      </c>
      <c r="B574" s="34">
        <f>IF(H574="UNIDADE CONSTRUTIVA",0,IF(H574="CÉLULA CONSTRUTIVA",OFFSET(B574,-1,0)+1,OFFSET(B574,-1,0)))</f>
        <v/>
      </c>
      <c r="C574" s="34">
        <f>IF(H574="CÉLULA CONSTRUTIVA",0,IF(H574="ETAPA",OFFSET(C574,-1,0)+1,OFFSET(C574,-1,0)))</f>
        <v/>
      </c>
      <c r="D574" s="35">
        <f>IF(H574="ETAPA",0,IF(H574="SUBETAPA",OFFSET(D574,-1,0)+1,OFFSET(D574,-1,0)))</f>
        <v/>
      </c>
      <c r="E574" s="35">
        <f>IF(H574="Subetapa",0,IF(H574="serviço",OFFSET(E574,-1,0)+1,OFFSET(E574,-1,0)))</f>
        <v/>
      </c>
      <c r="F574" s="56" t="n"/>
      <c r="G574" s="1" t="n"/>
      <c r="H574" s="1" t="n"/>
      <c r="I574" s="1" t="n"/>
      <c r="J574" s="64" t="n"/>
      <c r="K574" s="52" t="n"/>
      <c r="L574" s="58" t="n"/>
      <c r="M574" s="58" t="n"/>
      <c r="N574" s="70" t="n"/>
      <c r="O574" s="56" t="n"/>
      <c r="P574" s="1" t="n"/>
      <c r="Q574" s="1" t="n"/>
    </row>
    <row r="575">
      <c r="A575" s="34">
        <f>IF($H575="UNIDADE CONSTRUTIVA",OFFSET(A575,-1,0)+1,LARGE(A$3:A574,1))</f>
        <v/>
      </c>
      <c r="B575" s="34">
        <f>IF(H575="UNIDADE CONSTRUTIVA",0,IF(H575="CÉLULA CONSTRUTIVA",OFFSET(B575,-1,0)+1,OFFSET(B575,-1,0)))</f>
        <v/>
      </c>
      <c r="C575" s="34">
        <f>IF(H575="CÉLULA CONSTRUTIVA",0,IF(H575="ETAPA",OFFSET(C575,-1,0)+1,OFFSET(C575,-1,0)))</f>
        <v/>
      </c>
      <c r="D575" s="35">
        <f>IF(H575="ETAPA",0,IF(H575="SUBETAPA",OFFSET(D575,-1,0)+1,OFFSET(D575,-1,0)))</f>
        <v/>
      </c>
      <c r="E575" s="35">
        <f>IF(H575="Subetapa",0,IF(H575="serviço",OFFSET(E575,-1,0)+1,OFFSET(E575,-1,0)))</f>
        <v/>
      </c>
      <c r="F575" s="56" t="n"/>
      <c r="G575" s="1" t="n"/>
      <c r="H575" s="1" t="n"/>
      <c r="I575" s="1" t="n"/>
      <c r="J575" s="64" t="n"/>
      <c r="K575" s="52" t="n"/>
      <c r="L575" s="58" t="n"/>
      <c r="M575" s="58" t="n"/>
      <c r="N575" s="70" t="n"/>
      <c r="O575" s="56" t="n"/>
      <c r="P575" s="1" t="n"/>
      <c r="Q575" s="1" t="n"/>
    </row>
    <row r="576">
      <c r="A576" s="34">
        <f>IF($H576="UNIDADE CONSTRUTIVA",OFFSET(A576,-1,0)+1,LARGE(A$3:A575,1))</f>
        <v/>
      </c>
      <c r="B576" s="34">
        <f>IF(H576="UNIDADE CONSTRUTIVA",0,IF(H576="CÉLULA CONSTRUTIVA",OFFSET(B576,-1,0)+1,OFFSET(B576,-1,0)))</f>
        <v/>
      </c>
      <c r="C576" s="34">
        <f>IF(H576="CÉLULA CONSTRUTIVA",0,IF(H576="ETAPA",OFFSET(C576,-1,0)+1,OFFSET(C576,-1,0)))</f>
        <v/>
      </c>
      <c r="D576" s="35">
        <f>IF(H576="ETAPA",0,IF(H576="SUBETAPA",OFFSET(D576,-1,0)+1,OFFSET(D576,-1,0)))</f>
        <v/>
      </c>
      <c r="E576" s="35">
        <f>IF(H576="Subetapa",0,IF(H576="serviço",OFFSET(E576,-1,0)+1,OFFSET(E576,-1,0)))</f>
        <v/>
      </c>
      <c r="F576" s="56" t="n"/>
      <c r="G576" s="1" t="n"/>
      <c r="H576" s="1" t="n"/>
      <c r="I576" s="1" t="n"/>
      <c r="J576" s="64" t="n"/>
      <c r="K576" s="52" t="n"/>
      <c r="L576" s="58" t="n"/>
      <c r="M576" s="58" t="n"/>
      <c r="N576" s="70" t="n"/>
      <c r="O576" s="56" t="n"/>
      <c r="P576" s="1" t="n"/>
      <c r="Q576" s="1" t="n"/>
    </row>
    <row r="577">
      <c r="A577" s="34">
        <f>IF($H577="UNIDADE CONSTRUTIVA",OFFSET(A577,-1,0)+1,LARGE(A$3:A576,1))</f>
        <v/>
      </c>
      <c r="B577" s="34">
        <f>IF(H577="UNIDADE CONSTRUTIVA",0,IF(H577="CÉLULA CONSTRUTIVA",OFFSET(B577,-1,0)+1,OFFSET(B577,-1,0)))</f>
        <v/>
      </c>
      <c r="C577" s="34">
        <f>IF(H577="CÉLULA CONSTRUTIVA",0,IF(H577="ETAPA",OFFSET(C577,-1,0)+1,OFFSET(C577,-1,0)))</f>
        <v/>
      </c>
      <c r="D577" s="35">
        <f>IF(H577="ETAPA",0,IF(H577="SUBETAPA",OFFSET(D577,-1,0)+1,OFFSET(D577,-1,0)))</f>
        <v/>
      </c>
      <c r="E577" s="35">
        <f>IF(H577="Subetapa",0,IF(H577="serviço",OFFSET(E577,-1,0)+1,OFFSET(E577,-1,0)))</f>
        <v/>
      </c>
      <c r="F577" s="56" t="n"/>
      <c r="G577" s="1" t="n"/>
      <c r="H577" s="1" t="n"/>
      <c r="I577" s="1" t="n"/>
      <c r="J577" s="64" t="n"/>
      <c r="K577" s="52" t="n"/>
      <c r="L577" s="58" t="n"/>
      <c r="M577" s="58" t="n"/>
      <c r="N577" s="70" t="n"/>
      <c r="O577" s="56" t="n"/>
      <c r="P577" s="1" t="n"/>
      <c r="Q577" s="1" t="n"/>
    </row>
    <row r="578">
      <c r="A578" s="34">
        <f>IF($H578="UNIDADE CONSTRUTIVA",OFFSET(A578,-1,0)+1,LARGE(A$3:A577,1))</f>
        <v/>
      </c>
      <c r="B578" s="34">
        <f>IF(H578="UNIDADE CONSTRUTIVA",0,IF(H578="CÉLULA CONSTRUTIVA",OFFSET(B578,-1,0)+1,OFFSET(B578,-1,0)))</f>
        <v/>
      </c>
      <c r="C578" s="34">
        <f>IF(H578="CÉLULA CONSTRUTIVA",0,IF(H578="ETAPA",OFFSET(C578,-1,0)+1,OFFSET(C578,-1,0)))</f>
        <v/>
      </c>
      <c r="D578" s="35">
        <f>IF(H578="ETAPA",0,IF(H578="SUBETAPA",OFFSET(D578,-1,0)+1,OFFSET(D578,-1,0)))</f>
        <v/>
      </c>
      <c r="E578" s="35">
        <f>IF(H578="Subetapa",0,IF(H578="serviço",OFFSET(E578,-1,0)+1,OFFSET(E578,-1,0)))</f>
        <v/>
      </c>
      <c r="F578" s="56" t="n"/>
      <c r="G578" s="1" t="n"/>
      <c r="H578" s="1" t="n"/>
      <c r="I578" s="1" t="n"/>
      <c r="J578" s="64" t="n"/>
      <c r="K578" s="52" t="n"/>
      <c r="L578" s="58" t="n"/>
      <c r="M578" s="58" t="n"/>
      <c r="N578" s="70" t="n"/>
      <c r="O578" s="56" t="n"/>
      <c r="P578" s="1" t="n"/>
      <c r="Q578" s="1" t="n"/>
    </row>
    <row r="579">
      <c r="A579" s="34">
        <f>IF($H579="UNIDADE CONSTRUTIVA",OFFSET(A579,-1,0)+1,LARGE(A$3:A578,1))</f>
        <v/>
      </c>
      <c r="B579" s="34">
        <f>IF(H579="UNIDADE CONSTRUTIVA",0,IF(H579="CÉLULA CONSTRUTIVA",OFFSET(B579,-1,0)+1,OFFSET(B579,-1,0)))</f>
        <v/>
      </c>
      <c r="C579" s="34">
        <f>IF(H579="CÉLULA CONSTRUTIVA",0,IF(H579="ETAPA",OFFSET(C579,-1,0)+1,OFFSET(C579,-1,0)))</f>
        <v/>
      </c>
      <c r="D579" s="35">
        <f>IF(H579="ETAPA",0,IF(H579="SUBETAPA",OFFSET(D579,-1,0)+1,OFFSET(D579,-1,0)))</f>
        <v/>
      </c>
      <c r="E579" s="35">
        <f>IF(H579="Subetapa",0,IF(H579="serviço",OFFSET(E579,-1,0)+1,OFFSET(E579,-1,0)))</f>
        <v/>
      </c>
      <c r="F579" s="56" t="n"/>
      <c r="G579" s="1" t="n"/>
      <c r="H579" s="1" t="n"/>
      <c r="I579" s="1" t="n"/>
      <c r="J579" s="64" t="n"/>
      <c r="K579" s="52" t="n"/>
      <c r="L579" s="58" t="n"/>
      <c r="M579" s="58" t="n"/>
      <c r="N579" s="70" t="n"/>
      <c r="O579" s="56" t="n"/>
      <c r="P579" s="1" t="n"/>
      <c r="Q579" s="1" t="n"/>
    </row>
    <row r="580">
      <c r="A580" s="34">
        <f>IF($H580="UNIDADE CONSTRUTIVA",OFFSET(A580,-1,0)+1,LARGE(A$3:A579,1))</f>
        <v/>
      </c>
      <c r="B580" s="34">
        <f>IF(H580="UNIDADE CONSTRUTIVA",0,IF(H580="CÉLULA CONSTRUTIVA",OFFSET(B580,-1,0)+1,OFFSET(B580,-1,0)))</f>
        <v/>
      </c>
      <c r="C580" s="34">
        <f>IF(H580="CÉLULA CONSTRUTIVA",0,IF(H580="ETAPA",OFFSET(C580,-1,0)+1,OFFSET(C580,-1,0)))</f>
        <v/>
      </c>
      <c r="D580" s="35">
        <f>IF(H580="ETAPA",0,IF(H580="SUBETAPA",OFFSET(D580,-1,0)+1,OFFSET(D580,-1,0)))</f>
        <v/>
      </c>
      <c r="E580" s="35">
        <f>IF(H580="Subetapa",0,IF(H580="serviço",OFFSET(E580,-1,0)+1,OFFSET(E580,-1,0)))</f>
        <v/>
      </c>
      <c r="F580" s="56" t="n"/>
      <c r="G580" s="1" t="n"/>
      <c r="H580" s="1" t="n"/>
      <c r="I580" s="1" t="n"/>
      <c r="J580" s="64" t="n"/>
      <c r="K580" s="52" t="n"/>
      <c r="L580" s="58" t="n"/>
      <c r="M580" s="58" t="n"/>
      <c r="N580" s="70" t="n"/>
      <c r="O580" s="56" t="n"/>
      <c r="P580" s="1" t="n"/>
      <c r="Q580" s="1" t="n"/>
    </row>
    <row r="581">
      <c r="A581" s="34">
        <f>IF($H581="UNIDADE CONSTRUTIVA",OFFSET(A581,-1,0)+1,LARGE(A$3:A580,1))</f>
        <v/>
      </c>
      <c r="B581" s="34">
        <f>IF(H581="UNIDADE CONSTRUTIVA",0,IF(H581="CÉLULA CONSTRUTIVA",OFFSET(B581,-1,0)+1,OFFSET(B581,-1,0)))</f>
        <v/>
      </c>
      <c r="C581" s="34">
        <f>IF(H581="CÉLULA CONSTRUTIVA",0,IF(H581="ETAPA",OFFSET(C581,-1,0)+1,OFFSET(C581,-1,0)))</f>
        <v/>
      </c>
      <c r="D581" s="35">
        <f>IF(H581="ETAPA",0,IF(H581="SUBETAPA",OFFSET(D581,-1,0)+1,OFFSET(D581,-1,0)))</f>
        <v/>
      </c>
      <c r="E581" s="35">
        <f>IF(H581="Subetapa",0,IF(H581="serviço",OFFSET(E581,-1,0)+1,OFFSET(E581,-1,0)))</f>
        <v/>
      </c>
      <c r="F581" s="56" t="n"/>
      <c r="G581" s="1" t="n"/>
      <c r="H581" s="1" t="n"/>
      <c r="I581" s="1" t="n"/>
      <c r="J581" s="64" t="n"/>
      <c r="K581" s="52" t="n"/>
      <c r="L581" s="58" t="n"/>
      <c r="M581" s="58" t="n"/>
      <c r="N581" s="70" t="n"/>
      <c r="O581" s="56" t="n"/>
      <c r="P581" s="1" t="n"/>
      <c r="Q581" s="1" t="n"/>
    </row>
    <row r="582">
      <c r="A582" s="34">
        <f>IF($H582="UNIDADE CONSTRUTIVA",OFFSET(A582,-1,0)+1,LARGE(A$3:A581,1))</f>
        <v/>
      </c>
      <c r="B582" s="34">
        <f>IF(H582="UNIDADE CONSTRUTIVA",0,IF(H582="CÉLULA CONSTRUTIVA",OFFSET(B582,-1,0)+1,OFFSET(B582,-1,0)))</f>
        <v/>
      </c>
      <c r="C582" s="34">
        <f>IF(H582="CÉLULA CONSTRUTIVA",0,IF(H582="ETAPA",OFFSET(C582,-1,0)+1,OFFSET(C582,-1,0)))</f>
        <v/>
      </c>
      <c r="D582" s="35">
        <f>IF(H582="ETAPA",0,IF(H582="SUBETAPA",OFFSET(D582,-1,0)+1,OFFSET(D582,-1,0)))</f>
        <v/>
      </c>
      <c r="E582" s="35">
        <f>IF(H582="Subetapa",0,IF(H582="serviço",OFFSET(E582,-1,0)+1,OFFSET(E582,-1,0)))</f>
        <v/>
      </c>
      <c r="F582" s="56" t="n"/>
      <c r="G582" s="1" t="n"/>
      <c r="H582" s="1" t="n"/>
      <c r="I582" s="1" t="n"/>
      <c r="J582" s="64" t="n"/>
      <c r="K582" s="52" t="n"/>
      <c r="L582" s="58" t="n"/>
      <c r="M582" s="58" t="n"/>
      <c r="N582" s="70" t="n"/>
      <c r="O582" s="56" t="n"/>
      <c r="P582" s="1" t="n"/>
      <c r="Q582" s="1" t="n"/>
    </row>
    <row r="583">
      <c r="A583" s="34">
        <f>IF($H583="UNIDADE CONSTRUTIVA",OFFSET(A583,-1,0)+1,LARGE(A$3:A582,1))</f>
        <v/>
      </c>
      <c r="B583" s="34">
        <f>IF(H583="UNIDADE CONSTRUTIVA",0,IF(H583="CÉLULA CONSTRUTIVA",OFFSET(B583,-1,0)+1,OFFSET(B583,-1,0)))</f>
        <v/>
      </c>
      <c r="C583" s="34">
        <f>IF(H583="CÉLULA CONSTRUTIVA",0,IF(H583="ETAPA",OFFSET(C583,-1,0)+1,OFFSET(C583,-1,0)))</f>
        <v/>
      </c>
      <c r="D583" s="35">
        <f>IF(H583="ETAPA",0,IF(H583="SUBETAPA",OFFSET(D583,-1,0)+1,OFFSET(D583,-1,0)))</f>
        <v/>
      </c>
      <c r="E583" s="35">
        <f>IF(H583="Subetapa",0,IF(H583="serviço",OFFSET(E583,-1,0)+1,OFFSET(E583,-1,0)))</f>
        <v/>
      </c>
      <c r="F583" s="56" t="n"/>
      <c r="G583" s="1" t="n"/>
      <c r="H583" s="1" t="n"/>
      <c r="I583" s="1" t="n"/>
      <c r="J583" s="64" t="n"/>
      <c r="K583" s="52" t="n"/>
      <c r="L583" s="58" t="n"/>
      <c r="M583" s="58" t="n"/>
      <c r="N583" s="70" t="n"/>
      <c r="O583" s="56" t="n"/>
      <c r="P583" s="1" t="n"/>
      <c r="Q583" s="1" t="n"/>
    </row>
    <row r="584">
      <c r="A584" s="34">
        <f>IF($H584="UNIDADE CONSTRUTIVA",OFFSET(A584,-1,0)+1,LARGE(A$3:A583,1))</f>
        <v/>
      </c>
      <c r="B584" s="34">
        <f>IF(H584="UNIDADE CONSTRUTIVA",0,IF(H584="CÉLULA CONSTRUTIVA",OFFSET(B584,-1,0)+1,OFFSET(B584,-1,0)))</f>
        <v/>
      </c>
      <c r="C584" s="34">
        <f>IF(H584="CÉLULA CONSTRUTIVA",0,IF(H584="ETAPA",OFFSET(C584,-1,0)+1,OFFSET(C584,-1,0)))</f>
        <v/>
      </c>
      <c r="D584" s="35">
        <f>IF(H584="ETAPA",0,IF(H584="SUBETAPA",OFFSET(D584,-1,0)+1,OFFSET(D584,-1,0)))</f>
        <v/>
      </c>
      <c r="E584" s="35">
        <f>IF(H584="Subetapa",0,IF(H584="serviço",OFFSET(E584,-1,0)+1,OFFSET(E584,-1,0)))</f>
        <v/>
      </c>
      <c r="F584" s="56" t="n"/>
      <c r="G584" s="1" t="n"/>
      <c r="H584" s="1" t="n"/>
      <c r="I584" s="1" t="n"/>
      <c r="J584" s="64" t="n"/>
      <c r="K584" s="52" t="n"/>
      <c r="L584" s="58" t="n"/>
      <c r="M584" s="58" t="n"/>
      <c r="N584" s="70" t="n"/>
      <c r="O584" s="56" t="n"/>
      <c r="P584" s="1" t="n"/>
      <c r="Q584" s="1" t="n"/>
    </row>
    <row r="585">
      <c r="A585" s="34">
        <f>IF($H585="UNIDADE CONSTRUTIVA",OFFSET(A585,-1,0)+1,LARGE(A$3:A584,1))</f>
        <v/>
      </c>
      <c r="B585" s="34">
        <f>IF(H585="UNIDADE CONSTRUTIVA",0,IF(H585="CÉLULA CONSTRUTIVA",OFFSET(B585,-1,0)+1,OFFSET(B585,-1,0)))</f>
        <v/>
      </c>
      <c r="C585" s="34">
        <f>IF(H585="CÉLULA CONSTRUTIVA",0,IF(H585="ETAPA",OFFSET(C585,-1,0)+1,OFFSET(C585,-1,0)))</f>
        <v/>
      </c>
      <c r="D585" s="35">
        <f>IF(H585="ETAPA",0,IF(H585="SUBETAPA",OFFSET(D585,-1,0)+1,OFFSET(D585,-1,0)))</f>
        <v/>
      </c>
      <c r="E585" s="35">
        <f>IF(H585="Subetapa",0,IF(H585="serviço",OFFSET(E585,-1,0)+1,OFFSET(E585,-1,0)))</f>
        <v/>
      </c>
      <c r="F585" s="56" t="n"/>
      <c r="G585" s="1" t="n"/>
      <c r="H585" s="1" t="n"/>
      <c r="I585" s="1" t="n"/>
      <c r="J585" s="64" t="n"/>
      <c r="K585" s="52" t="n"/>
      <c r="L585" s="58" t="n"/>
      <c r="M585" s="58" t="n"/>
      <c r="N585" s="70" t="n"/>
      <c r="O585" s="56" t="n"/>
      <c r="P585" s="1" t="n"/>
      <c r="Q585" s="1" t="n"/>
    </row>
    <row r="586">
      <c r="A586" s="34">
        <f>IF($H586="UNIDADE CONSTRUTIVA",OFFSET(A586,-1,0)+1,LARGE(A$3:A585,1))</f>
        <v/>
      </c>
      <c r="B586" s="34">
        <f>IF(H586="UNIDADE CONSTRUTIVA",0,IF(H586="CÉLULA CONSTRUTIVA",OFFSET(B586,-1,0)+1,OFFSET(B586,-1,0)))</f>
        <v/>
      </c>
      <c r="C586" s="34">
        <f>IF(H586="CÉLULA CONSTRUTIVA",0,IF(H586="ETAPA",OFFSET(C586,-1,0)+1,OFFSET(C586,-1,0)))</f>
        <v/>
      </c>
      <c r="D586" s="35">
        <f>IF(H586="ETAPA",0,IF(H586="SUBETAPA",OFFSET(D586,-1,0)+1,OFFSET(D586,-1,0)))</f>
        <v/>
      </c>
      <c r="E586" s="35">
        <f>IF(H586="Subetapa",0,IF(H586="serviço",OFFSET(E586,-1,0)+1,OFFSET(E586,-1,0)))</f>
        <v/>
      </c>
      <c r="F586" s="56" t="n"/>
      <c r="G586" s="1" t="n"/>
      <c r="H586" s="1" t="n"/>
      <c r="I586" s="1" t="n"/>
      <c r="J586" s="64" t="n"/>
      <c r="K586" s="52" t="n"/>
      <c r="L586" s="58" t="n"/>
      <c r="M586" s="58" t="n"/>
      <c r="N586" s="70" t="n"/>
      <c r="O586" s="56" t="n"/>
      <c r="P586" s="1" t="n"/>
      <c r="Q586" s="1" t="n"/>
    </row>
    <row r="587">
      <c r="A587" s="34">
        <f>IF($H587="UNIDADE CONSTRUTIVA",OFFSET(A587,-1,0)+1,LARGE(A$3:A586,1))</f>
        <v/>
      </c>
      <c r="B587" s="34">
        <f>IF(H587="UNIDADE CONSTRUTIVA",0,IF(H587="CÉLULA CONSTRUTIVA",OFFSET(B587,-1,0)+1,OFFSET(B587,-1,0)))</f>
        <v/>
      </c>
      <c r="C587" s="34">
        <f>IF(H587="CÉLULA CONSTRUTIVA",0,IF(H587="ETAPA",OFFSET(C587,-1,0)+1,OFFSET(C587,-1,0)))</f>
        <v/>
      </c>
      <c r="D587" s="35">
        <f>IF(H587="ETAPA",0,IF(H587="SUBETAPA",OFFSET(D587,-1,0)+1,OFFSET(D587,-1,0)))</f>
        <v/>
      </c>
      <c r="E587" s="35">
        <f>IF(H587="Subetapa",0,IF(H587="serviço",OFFSET(E587,-1,0)+1,OFFSET(E587,-1,0)))</f>
        <v/>
      </c>
      <c r="F587" s="56" t="n"/>
      <c r="G587" s="1" t="n"/>
      <c r="H587" s="1" t="n"/>
      <c r="I587" s="1" t="n"/>
      <c r="J587" s="64" t="n"/>
      <c r="K587" s="52" t="n"/>
      <c r="L587" s="58" t="n"/>
      <c r="M587" s="58" t="n"/>
      <c r="N587" s="70" t="n"/>
      <c r="O587" s="56" t="n"/>
      <c r="P587" s="1" t="n"/>
      <c r="Q587" s="1" t="n"/>
    </row>
    <row r="588">
      <c r="A588" s="34">
        <f>IF($H588="UNIDADE CONSTRUTIVA",OFFSET(A588,-1,0)+1,LARGE(A$3:A587,1))</f>
        <v/>
      </c>
      <c r="B588" s="34">
        <f>IF(H588="UNIDADE CONSTRUTIVA",0,IF(H588="CÉLULA CONSTRUTIVA",OFFSET(B588,-1,0)+1,OFFSET(B588,-1,0)))</f>
        <v/>
      </c>
      <c r="C588" s="34">
        <f>IF(H588="CÉLULA CONSTRUTIVA",0,IF(H588="ETAPA",OFFSET(C588,-1,0)+1,OFFSET(C588,-1,0)))</f>
        <v/>
      </c>
      <c r="D588" s="35">
        <f>IF(H588="ETAPA",0,IF(H588="SUBETAPA",OFFSET(D588,-1,0)+1,OFFSET(D588,-1,0)))</f>
        <v/>
      </c>
      <c r="E588" s="35">
        <f>IF(H588="Subetapa",0,IF(H588="serviço",OFFSET(E588,-1,0)+1,OFFSET(E588,-1,0)))</f>
        <v/>
      </c>
      <c r="F588" s="56" t="n"/>
      <c r="G588" s="1" t="n"/>
      <c r="H588" s="1" t="n"/>
      <c r="I588" s="1" t="n"/>
      <c r="J588" s="64" t="n"/>
      <c r="K588" s="52" t="n"/>
      <c r="L588" s="58" t="n"/>
      <c r="M588" s="58" t="n"/>
      <c r="N588" s="70" t="n"/>
      <c r="O588" s="56" t="n"/>
      <c r="P588" s="1" t="n"/>
      <c r="Q588" s="1" t="n"/>
    </row>
    <row r="589">
      <c r="A589" s="34">
        <f>IF($H589="UNIDADE CONSTRUTIVA",OFFSET(A589,-1,0)+1,LARGE(A$3:A588,1))</f>
        <v/>
      </c>
      <c r="B589" s="34">
        <f>IF(H589="UNIDADE CONSTRUTIVA",0,IF(H589="CÉLULA CONSTRUTIVA",OFFSET(B589,-1,0)+1,OFFSET(B589,-1,0)))</f>
        <v/>
      </c>
      <c r="C589" s="34">
        <f>IF(H589="CÉLULA CONSTRUTIVA",0,IF(H589="ETAPA",OFFSET(C589,-1,0)+1,OFFSET(C589,-1,0)))</f>
        <v/>
      </c>
      <c r="D589" s="35">
        <f>IF(H589="ETAPA",0,IF(H589="SUBETAPA",OFFSET(D589,-1,0)+1,OFFSET(D589,-1,0)))</f>
        <v/>
      </c>
      <c r="E589" s="35">
        <f>IF(H589="Subetapa",0,IF(H589="serviço",OFFSET(E589,-1,0)+1,OFFSET(E589,-1,0)))</f>
        <v/>
      </c>
      <c r="F589" s="56" t="n"/>
      <c r="G589" s="1" t="n"/>
      <c r="H589" s="1" t="n"/>
      <c r="I589" s="1" t="n"/>
      <c r="J589" s="64" t="n"/>
      <c r="K589" s="52" t="n"/>
      <c r="L589" s="58" t="n"/>
      <c r="M589" s="58" t="n"/>
      <c r="N589" s="70" t="n"/>
      <c r="O589" s="56" t="n"/>
      <c r="P589" s="1" t="n"/>
      <c r="Q589" s="1" t="n"/>
    </row>
    <row r="590">
      <c r="A590" s="34">
        <f>IF($H590="UNIDADE CONSTRUTIVA",OFFSET(A590,-1,0)+1,LARGE(A$3:A589,1))</f>
        <v/>
      </c>
      <c r="B590" s="34">
        <f>IF(H590="UNIDADE CONSTRUTIVA",0,IF(H590="CÉLULA CONSTRUTIVA",OFFSET(B590,-1,0)+1,OFFSET(B590,-1,0)))</f>
        <v/>
      </c>
      <c r="C590" s="34">
        <f>IF(H590="CÉLULA CONSTRUTIVA",0,IF(H590="ETAPA",OFFSET(C590,-1,0)+1,OFFSET(C590,-1,0)))</f>
        <v/>
      </c>
      <c r="D590" s="35">
        <f>IF(H590="ETAPA",0,IF(H590="SUBETAPA",OFFSET(D590,-1,0)+1,OFFSET(D590,-1,0)))</f>
        <v/>
      </c>
      <c r="E590" s="35">
        <f>IF(H590="Subetapa",0,IF(H590="serviço",OFFSET(E590,-1,0)+1,OFFSET(E590,-1,0)))</f>
        <v/>
      </c>
      <c r="F590" s="56" t="n"/>
      <c r="G590" s="1" t="n"/>
      <c r="H590" s="1" t="n"/>
      <c r="I590" s="1" t="n"/>
      <c r="J590" s="64" t="n"/>
      <c r="K590" s="52" t="n"/>
      <c r="L590" s="58" t="n"/>
      <c r="M590" s="58" t="n"/>
      <c r="N590" s="70" t="n"/>
      <c r="O590" s="56" t="n"/>
      <c r="P590" s="1" t="n"/>
      <c r="Q590" s="1" t="n"/>
    </row>
    <row r="591">
      <c r="A591" s="34">
        <f>IF($H591="UNIDADE CONSTRUTIVA",OFFSET(A591,-1,0)+1,LARGE(A$3:A590,1))</f>
        <v/>
      </c>
      <c r="B591" s="34">
        <f>IF(H591="UNIDADE CONSTRUTIVA",0,IF(H591="CÉLULA CONSTRUTIVA",OFFSET(B591,-1,0)+1,OFFSET(B591,-1,0)))</f>
        <v/>
      </c>
      <c r="C591" s="34">
        <f>IF(H591="CÉLULA CONSTRUTIVA",0,IF(H591="ETAPA",OFFSET(C591,-1,0)+1,OFFSET(C591,-1,0)))</f>
        <v/>
      </c>
      <c r="D591" s="35">
        <f>IF(H591="ETAPA",0,IF(H591="SUBETAPA",OFFSET(D591,-1,0)+1,OFFSET(D591,-1,0)))</f>
        <v/>
      </c>
      <c r="E591" s="35">
        <f>IF(H591="Subetapa",0,IF(H591="serviço",OFFSET(E591,-1,0)+1,OFFSET(E591,-1,0)))</f>
        <v/>
      </c>
      <c r="F591" s="56" t="n"/>
      <c r="G591" s="1" t="n"/>
      <c r="H591" s="1" t="n"/>
      <c r="I591" s="1" t="n"/>
      <c r="J591" s="64" t="n"/>
      <c r="K591" s="52" t="n"/>
      <c r="L591" s="58" t="n"/>
      <c r="M591" s="58" t="n"/>
      <c r="N591" s="70" t="n"/>
      <c r="O591" s="56" t="n"/>
      <c r="P591" s="1" t="n"/>
      <c r="Q591" s="1" t="n"/>
    </row>
    <row r="592">
      <c r="A592" s="34">
        <f>IF($H592="UNIDADE CONSTRUTIVA",OFFSET(A592,-1,0)+1,LARGE(A$3:A591,1))</f>
        <v/>
      </c>
      <c r="B592" s="34">
        <f>IF(H592="UNIDADE CONSTRUTIVA",0,IF(H592="CÉLULA CONSTRUTIVA",OFFSET(B592,-1,0)+1,OFFSET(B592,-1,0)))</f>
        <v/>
      </c>
      <c r="C592" s="34">
        <f>IF(H592="CÉLULA CONSTRUTIVA",0,IF(H592="ETAPA",OFFSET(C592,-1,0)+1,OFFSET(C592,-1,0)))</f>
        <v/>
      </c>
      <c r="D592" s="35">
        <f>IF(H592="ETAPA",0,IF(H592="SUBETAPA",OFFSET(D592,-1,0)+1,OFFSET(D592,-1,0)))</f>
        <v/>
      </c>
      <c r="E592" s="35">
        <f>IF(H592="Subetapa",0,IF(H592="serviço",OFFSET(E592,-1,0)+1,OFFSET(E592,-1,0)))</f>
        <v/>
      </c>
      <c r="F592" s="56" t="n"/>
      <c r="G592" s="1" t="n"/>
      <c r="H592" s="1" t="n"/>
      <c r="I592" s="1" t="n"/>
      <c r="J592" s="64" t="n"/>
      <c r="K592" s="52" t="n"/>
      <c r="L592" s="58" t="n"/>
      <c r="M592" s="58" t="n"/>
      <c r="N592" s="70" t="n"/>
      <c r="O592" s="56" t="n"/>
      <c r="P592" s="1" t="n"/>
      <c r="Q592" s="1" t="n"/>
    </row>
    <row r="593">
      <c r="A593" s="34">
        <f>IF($H593="UNIDADE CONSTRUTIVA",OFFSET(A593,-1,0)+1,LARGE(A$3:A592,1))</f>
        <v/>
      </c>
      <c r="B593" s="34">
        <f>IF(H593="UNIDADE CONSTRUTIVA",0,IF(H593="CÉLULA CONSTRUTIVA",OFFSET(B593,-1,0)+1,OFFSET(B593,-1,0)))</f>
        <v/>
      </c>
      <c r="C593" s="34">
        <f>IF(H593="CÉLULA CONSTRUTIVA",0,IF(H593="ETAPA",OFFSET(C593,-1,0)+1,OFFSET(C593,-1,0)))</f>
        <v/>
      </c>
      <c r="D593" s="35">
        <f>IF(H593="ETAPA",0,IF(H593="SUBETAPA",OFFSET(D593,-1,0)+1,OFFSET(D593,-1,0)))</f>
        <v/>
      </c>
      <c r="E593" s="35">
        <f>IF(H593="Subetapa",0,IF(H593="serviço",OFFSET(E593,-1,0)+1,OFFSET(E593,-1,0)))</f>
        <v/>
      </c>
      <c r="F593" s="56" t="n"/>
      <c r="G593" s="1" t="n"/>
      <c r="H593" s="1" t="n"/>
      <c r="I593" s="1" t="n"/>
      <c r="J593" s="64" t="n"/>
      <c r="K593" s="52" t="n"/>
      <c r="L593" s="58" t="n"/>
      <c r="M593" s="58" t="n"/>
      <c r="N593" s="70" t="n"/>
      <c r="O593" s="56" t="n"/>
      <c r="P593" s="1" t="n"/>
      <c r="Q593" s="1" t="n"/>
    </row>
    <row r="594">
      <c r="A594" s="34">
        <f>IF($H594="UNIDADE CONSTRUTIVA",OFFSET(A594,-1,0)+1,LARGE(A$3:A593,1))</f>
        <v/>
      </c>
      <c r="B594" s="34">
        <f>IF(H594="UNIDADE CONSTRUTIVA",0,IF(H594="CÉLULA CONSTRUTIVA",OFFSET(B594,-1,0)+1,OFFSET(B594,-1,0)))</f>
        <v/>
      </c>
      <c r="C594" s="34">
        <f>IF(H594="CÉLULA CONSTRUTIVA",0,IF(H594="ETAPA",OFFSET(C594,-1,0)+1,OFFSET(C594,-1,0)))</f>
        <v/>
      </c>
      <c r="D594" s="35">
        <f>IF(H594="ETAPA",0,IF(H594="SUBETAPA",OFFSET(D594,-1,0)+1,OFFSET(D594,-1,0)))</f>
        <v/>
      </c>
      <c r="E594" s="35">
        <f>IF(H594="Subetapa",0,IF(H594="serviço",OFFSET(E594,-1,0)+1,OFFSET(E594,-1,0)))</f>
        <v/>
      </c>
      <c r="F594" s="56" t="n"/>
      <c r="G594" s="1" t="n"/>
      <c r="H594" s="1" t="n"/>
      <c r="I594" s="1" t="n"/>
      <c r="J594" s="64" t="n"/>
      <c r="K594" s="52" t="n"/>
      <c r="L594" s="58" t="n"/>
      <c r="M594" s="58" t="n"/>
      <c r="N594" s="70" t="n"/>
      <c r="O594" s="56" t="n"/>
      <c r="P594" s="1" t="n"/>
      <c r="Q594" s="1" t="n"/>
    </row>
    <row r="595">
      <c r="A595" s="34">
        <f>IF($H595="UNIDADE CONSTRUTIVA",OFFSET(A595,-1,0)+1,LARGE(A$3:A594,1))</f>
        <v/>
      </c>
      <c r="B595" s="34">
        <f>IF(H595="UNIDADE CONSTRUTIVA",0,IF(H595="CÉLULA CONSTRUTIVA",OFFSET(B595,-1,0)+1,OFFSET(B595,-1,0)))</f>
        <v/>
      </c>
      <c r="C595" s="34">
        <f>IF(H595="CÉLULA CONSTRUTIVA",0,IF(H595="ETAPA",OFFSET(C595,-1,0)+1,OFFSET(C595,-1,0)))</f>
        <v/>
      </c>
      <c r="D595" s="35">
        <f>IF(H595="ETAPA",0,IF(H595="SUBETAPA",OFFSET(D595,-1,0)+1,OFFSET(D595,-1,0)))</f>
        <v/>
      </c>
      <c r="E595" s="35">
        <f>IF(H595="Subetapa",0,IF(H595="serviço",OFFSET(E595,-1,0)+1,OFFSET(E595,-1,0)))</f>
        <v/>
      </c>
      <c r="F595" s="56" t="n"/>
      <c r="G595" s="1" t="n"/>
      <c r="H595" s="1" t="n"/>
      <c r="I595" s="1" t="n"/>
      <c r="J595" s="64" t="n"/>
      <c r="K595" s="52" t="n"/>
      <c r="L595" s="58" t="n"/>
      <c r="M595" s="58" t="n"/>
      <c r="N595" s="70" t="n"/>
      <c r="O595" s="56" t="n"/>
      <c r="P595" s="1" t="n"/>
      <c r="Q595" s="1" t="n"/>
    </row>
    <row r="596">
      <c r="A596" s="34">
        <f>IF($H596="UNIDADE CONSTRUTIVA",OFFSET(A596,-1,0)+1,LARGE(A$3:A595,1))</f>
        <v/>
      </c>
      <c r="B596" s="34">
        <f>IF(H596="UNIDADE CONSTRUTIVA",0,IF(H596="CÉLULA CONSTRUTIVA",OFFSET(B596,-1,0)+1,OFFSET(B596,-1,0)))</f>
        <v/>
      </c>
      <c r="C596" s="34">
        <f>IF(H596="CÉLULA CONSTRUTIVA",0,IF(H596="ETAPA",OFFSET(C596,-1,0)+1,OFFSET(C596,-1,0)))</f>
        <v/>
      </c>
      <c r="D596" s="35">
        <f>IF(H596="ETAPA",0,IF(H596="SUBETAPA",OFFSET(D596,-1,0)+1,OFFSET(D596,-1,0)))</f>
        <v/>
      </c>
      <c r="E596" s="35">
        <f>IF(H596="Subetapa",0,IF(H596="serviço",OFFSET(E596,-1,0)+1,OFFSET(E596,-1,0)))</f>
        <v/>
      </c>
      <c r="F596" s="56" t="n"/>
      <c r="G596" s="1" t="n"/>
      <c r="H596" s="1" t="n"/>
      <c r="I596" s="1" t="n"/>
      <c r="J596" s="64" t="n"/>
      <c r="K596" s="52" t="n"/>
      <c r="L596" s="58" t="n"/>
      <c r="M596" s="58" t="n"/>
      <c r="N596" s="70" t="n"/>
      <c r="O596" s="56" t="n"/>
      <c r="P596" s="1" t="n"/>
      <c r="Q596" s="1" t="n"/>
    </row>
    <row r="597">
      <c r="A597" s="34">
        <f>IF($H597="UNIDADE CONSTRUTIVA",OFFSET(A597,-1,0)+1,LARGE(A$3:A596,1))</f>
        <v/>
      </c>
      <c r="B597" s="34">
        <f>IF(H597="UNIDADE CONSTRUTIVA",0,IF(H597="CÉLULA CONSTRUTIVA",OFFSET(B597,-1,0)+1,OFFSET(B597,-1,0)))</f>
        <v/>
      </c>
      <c r="C597" s="34">
        <f>IF(H597="CÉLULA CONSTRUTIVA",0,IF(H597="ETAPA",OFFSET(C597,-1,0)+1,OFFSET(C597,-1,0)))</f>
        <v/>
      </c>
      <c r="D597" s="35">
        <f>IF(H597="ETAPA",0,IF(H597="SUBETAPA",OFFSET(D597,-1,0)+1,OFFSET(D597,-1,0)))</f>
        <v/>
      </c>
      <c r="E597" s="35">
        <f>IF(H597="Subetapa",0,IF(H597="serviço",OFFSET(E597,-1,0)+1,OFFSET(E597,-1,0)))</f>
        <v/>
      </c>
      <c r="F597" s="56" t="n"/>
      <c r="G597" s="1" t="n"/>
      <c r="H597" s="1" t="n"/>
      <c r="I597" s="1" t="n"/>
      <c r="J597" s="64" t="n"/>
      <c r="K597" s="52" t="n"/>
      <c r="L597" s="58" t="n"/>
      <c r="M597" s="58" t="n"/>
      <c r="N597" s="70" t="n"/>
      <c r="O597" s="56" t="n"/>
      <c r="P597" s="1" t="n"/>
      <c r="Q597" s="1" t="n"/>
    </row>
    <row r="598">
      <c r="A598" s="34">
        <f>IF($H598="UNIDADE CONSTRUTIVA",OFFSET(A598,-1,0)+1,LARGE(A$3:A597,1))</f>
        <v/>
      </c>
      <c r="B598" s="34">
        <f>IF(H598="UNIDADE CONSTRUTIVA",0,IF(H598="CÉLULA CONSTRUTIVA",OFFSET(B598,-1,0)+1,OFFSET(B598,-1,0)))</f>
        <v/>
      </c>
      <c r="C598" s="34">
        <f>IF(H598="CÉLULA CONSTRUTIVA",0,IF(H598="ETAPA",OFFSET(C598,-1,0)+1,OFFSET(C598,-1,0)))</f>
        <v/>
      </c>
      <c r="D598" s="35">
        <f>IF(H598="ETAPA",0,IF(H598="SUBETAPA",OFFSET(D598,-1,0)+1,OFFSET(D598,-1,0)))</f>
        <v/>
      </c>
      <c r="E598" s="35">
        <f>IF(H598="Subetapa",0,IF(H598="serviço",OFFSET(E598,-1,0)+1,OFFSET(E598,-1,0)))</f>
        <v/>
      </c>
      <c r="F598" s="56" t="n"/>
      <c r="G598" s="1" t="n"/>
      <c r="H598" s="1" t="n"/>
      <c r="I598" s="1" t="n"/>
      <c r="J598" s="64" t="n"/>
      <c r="K598" s="52" t="n"/>
      <c r="L598" s="58" t="n"/>
      <c r="M598" s="58" t="n"/>
      <c r="N598" s="70" t="n"/>
      <c r="O598" s="56" t="n"/>
      <c r="P598" s="1" t="n"/>
      <c r="Q598" s="1" t="n"/>
    </row>
    <row r="599">
      <c r="A599" s="34">
        <f>IF($H599="UNIDADE CONSTRUTIVA",OFFSET(A599,-1,0)+1,LARGE(A$3:A598,1))</f>
        <v/>
      </c>
      <c r="B599" s="34">
        <f>IF(H599="UNIDADE CONSTRUTIVA",0,IF(H599="CÉLULA CONSTRUTIVA",OFFSET(B599,-1,0)+1,OFFSET(B599,-1,0)))</f>
        <v/>
      </c>
      <c r="C599" s="34">
        <f>IF(H599="CÉLULA CONSTRUTIVA",0,IF(H599="ETAPA",OFFSET(C599,-1,0)+1,OFFSET(C599,-1,0)))</f>
        <v/>
      </c>
      <c r="D599" s="35">
        <f>IF(H599="ETAPA",0,IF(H599="SUBETAPA",OFFSET(D599,-1,0)+1,OFFSET(D599,-1,0)))</f>
        <v/>
      </c>
      <c r="E599" s="35">
        <f>IF(H599="Subetapa",0,IF(H599="serviço",OFFSET(E599,-1,0)+1,OFFSET(E599,-1,0)))</f>
        <v/>
      </c>
      <c r="F599" s="56" t="n"/>
      <c r="G599" s="1" t="n"/>
      <c r="H599" s="1" t="n"/>
      <c r="I599" s="1" t="n"/>
      <c r="J599" s="64" t="n"/>
      <c r="K599" s="52" t="n"/>
      <c r="L599" s="58" t="n"/>
      <c r="M599" s="58" t="n"/>
      <c r="N599" s="70" t="n"/>
      <c r="O599" s="56" t="n"/>
      <c r="P599" s="1" t="n"/>
      <c r="Q599" s="1" t="n"/>
    </row>
    <row r="600">
      <c r="A600" s="34">
        <f>IF($H600="UNIDADE CONSTRUTIVA",OFFSET(A600,-1,0)+1,LARGE(A$3:A599,1))</f>
        <v/>
      </c>
      <c r="B600" s="34">
        <f>IF(H600="UNIDADE CONSTRUTIVA",0,IF(H600="CÉLULA CONSTRUTIVA",OFFSET(B600,-1,0)+1,OFFSET(B600,-1,0)))</f>
        <v/>
      </c>
      <c r="C600" s="34">
        <f>IF(H600="CÉLULA CONSTRUTIVA",0,IF(H600="ETAPA",OFFSET(C600,-1,0)+1,OFFSET(C600,-1,0)))</f>
        <v/>
      </c>
      <c r="D600" s="35">
        <f>IF(H600="ETAPA",0,IF(H600="SUBETAPA",OFFSET(D600,-1,0)+1,OFFSET(D600,-1,0)))</f>
        <v/>
      </c>
      <c r="E600" s="35">
        <f>IF(H600="Subetapa",0,IF(H600="serviço",OFFSET(E600,-1,0)+1,OFFSET(E600,-1,0)))</f>
        <v/>
      </c>
      <c r="F600" s="56" t="n"/>
      <c r="G600" s="1" t="n"/>
      <c r="H600" s="1" t="n"/>
      <c r="I600" s="1" t="n"/>
      <c r="J600" s="64" t="n"/>
      <c r="K600" s="52" t="n"/>
      <c r="L600" s="58" t="n"/>
      <c r="M600" s="58" t="n"/>
      <c r="N600" s="70" t="n"/>
      <c r="O600" s="56" t="n"/>
      <c r="P600" s="1" t="n"/>
      <c r="Q600" s="1" t="n"/>
    </row>
    <row r="601">
      <c r="A601" s="34">
        <f>IF($H601="UNIDADE CONSTRUTIVA",OFFSET(A601,-1,0)+1,LARGE(A$3:A600,1))</f>
        <v/>
      </c>
      <c r="B601" s="34">
        <f>IF(H601="UNIDADE CONSTRUTIVA",0,IF(H601="CÉLULA CONSTRUTIVA",OFFSET(B601,-1,0)+1,OFFSET(B601,-1,0)))</f>
        <v/>
      </c>
      <c r="C601" s="34">
        <f>IF(H601="CÉLULA CONSTRUTIVA",0,IF(H601="ETAPA",OFFSET(C601,-1,0)+1,OFFSET(C601,-1,0)))</f>
        <v/>
      </c>
      <c r="D601" s="35">
        <f>IF(H601="ETAPA",0,IF(H601="SUBETAPA",OFFSET(D601,-1,0)+1,OFFSET(D601,-1,0)))</f>
        <v/>
      </c>
      <c r="E601" s="35">
        <f>IF(H601="Subetapa",0,IF(H601="serviço",OFFSET(E601,-1,0)+1,OFFSET(E601,-1,0)))</f>
        <v/>
      </c>
      <c r="F601" s="56" t="n"/>
      <c r="G601" s="1" t="n"/>
      <c r="H601" s="1" t="n"/>
      <c r="I601" s="1" t="n"/>
      <c r="J601" s="64" t="n"/>
      <c r="K601" s="52" t="n"/>
      <c r="L601" s="58" t="n"/>
      <c r="M601" s="58" t="n"/>
      <c r="N601" s="70" t="n"/>
      <c r="O601" s="56" t="n"/>
      <c r="P601" s="1" t="n"/>
      <c r="Q601" s="1" t="n"/>
    </row>
    <row r="602">
      <c r="A602" s="34">
        <f>IF($H602="UNIDADE CONSTRUTIVA",OFFSET(A602,-1,0)+1,LARGE(A$3:A601,1))</f>
        <v/>
      </c>
      <c r="B602" s="34">
        <f>IF(H602="UNIDADE CONSTRUTIVA",0,IF(H602="CÉLULA CONSTRUTIVA",OFFSET(B602,-1,0)+1,OFFSET(B602,-1,0)))</f>
        <v/>
      </c>
      <c r="C602" s="34">
        <f>IF(H602="CÉLULA CONSTRUTIVA",0,IF(H602="ETAPA",OFFSET(C602,-1,0)+1,OFFSET(C602,-1,0)))</f>
        <v/>
      </c>
      <c r="D602" s="35">
        <f>IF(H602="ETAPA",0,IF(H602="SUBETAPA",OFFSET(D602,-1,0)+1,OFFSET(D602,-1,0)))</f>
        <v/>
      </c>
      <c r="E602" s="35">
        <f>IF(H602="Subetapa",0,IF(H602="serviço",OFFSET(E602,-1,0)+1,OFFSET(E602,-1,0)))</f>
        <v/>
      </c>
      <c r="F602" s="56" t="n"/>
      <c r="G602" s="1" t="n"/>
      <c r="H602" s="1" t="n"/>
      <c r="I602" s="1" t="n"/>
      <c r="J602" s="64" t="n"/>
      <c r="K602" s="52" t="n"/>
      <c r="L602" s="58" t="n"/>
      <c r="M602" s="58" t="n"/>
      <c r="N602" s="70" t="n"/>
      <c r="O602" s="56" t="n"/>
      <c r="P602" s="1" t="n"/>
      <c r="Q602" s="1" t="n"/>
    </row>
    <row r="603">
      <c r="A603" s="34">
        <f>IF($H603="UNIDADE CONSTRUTIVA",OFFSET(A603,-1,0)+1,LARGE(A$3:A602,1))</f>
        <v/>
      </c>
      <c r="B603" s="34">
        <f>IF(H603="UNIDADE CONSTRUTIVA",0,IF(H603="CÉLULA CONSTRUTIVA",OFFSET(B603,-1,0)+1,OFFSET(B603,-1,0)))</f>
        <v/>
      </c>
      <c r="C603" s="34">
        <f>IF(H603="CÉLULA CONSTRUTIVA",0,IF(H603="ETAPA",OFFSET(C603,-1,0)+1,OFFSET(C603,-1,0)))</f>
        <v/>
      </c>
      <c r="D603" s="35">
        <f>IF(H603="ETAPA",0,IF(H603="SUBETAPA",OFFSET(D603,-1,0)+1,OFFSET(D603,-1,0)))</f>
        <v/>
      </c>
      <c r="E603" s="35">
        <f>IF(H603="Subetapa",0,IF(H603="serviço",OFFSET(E603,-1,0)+1,OFFSET(E603,-1,0)))</f>
        <v/>
      </c>
      <c r="F603" s="56" t="n"/>
      <c r="G603" s="1" t="n"/>
      <c r="H603" s="1" t="n"/>
      <c r="I603" s="1" t="n"/>
      <c r="J603" s="64" t="n"/>
      <c r="K603" s="52" t="n"/>
      <c r="L603" s="58" t="n"/>
      <c r="M603" s="58" t="n"/>
      <c r="N603" s="70" t="n"/>
      <c r="O603" s="56" t="n"/>
      <c r="P603" s="1" t="n"/>
      <c r="Q603" s="1" t="n"/>
    </row>
    <row r="604">
      <c r="A604" s="34">
        <f>IF($H604="UNIDADE CONSTRUTIVA",OFFSET(A604,-1,0)+1,LARGE(A$3:A603,1))</f>
        <v/>
      </c>
      <c r="B604" s="34">
        <f>IF(H604="UNIDADE CONSTRUTIVA",0,IF(H604="CÉLULA CONSTRUTIVA",OFFSET(B604,-1,0)+1,OFFSET(B604,-1,0)))</f>
        <v/>
      </c>
      <c r="C604" s="34">
        <f>IF(H604="CÉLULA CONSTRUTIVA",0,IF(H604="ETAPA",OFFSET(C604,-1,0)+1,OFFSET(C604,-1,0)))</f>
        <v/>
      </c>
      <c r="D604" s="35">
        <f>IF(H604="ETAPA",0,IF(H604="SUBETAPA",OFFSET(D604,-1,0)+1,OFFSET(D604,-1,0)))</f>
        <v/>
      </c>
      <c r="E604" s="35">
        <f>IF(H604="Subetapa",0,IF(H604="serviço",OFFSET(E604,-1,0)+1,OFFSET(E604,-1,0)))</f>
        <v/>
      </c>
      <c r="F604" s="56" t="n"/>
      <c r="G604" s="1" t="n"/>
      <c r="H604" s="1" t="n"/>
      <c r="I604" s="1" t="n"/>
      <c r="J604" s="64" t="n"/>
      <c r="K604" s="52" t="n"/>
      <c r="L604" s="58" t="n"/>
      <c r="M604" s="58" t="n"/>
      <c r="N604" s="70" t="n"/>
      <c r="O604" s="56" t="n"/>
      <c r="P604" s="1" t="n"/>
      <c r="Q604" s="1" t="n"/>
    </row>
    <row r="605">
      <c r="A605" s="34">
        <f>IF($H605="UNIDADE CONSTRUTIVA",OFFSET(A605,-1,0)+1,LARGE(A$3:A604,1))</f>
        <v/>
      </c>
      <c r="B605" s="34">
        <f>IF(H605="UNIDADE CONSTRUTIVA",0,IF(H605="CÉLULA CONSTRUTIVA",OFFSET(B605,-1,0)+1,OFFSET(B605,-1,0)))</f>
        <v/>
      </c>
      <c r="C605" s="34">
        <f>IF(H605="CÉLULA CONSTRUTIVA",0,IF(H605="ETAPA",OFFSET(C605,-1,0)+1,OFFSET(C605,-1,0)))</f>
        <v/>
      </c>
      <c r="D605" s="35">
        <f>IF(H605="ETAPA",0,IF(H605="SUBETAPA",OFFSET(D605,-1,0)+1,OFFSET(D605,-1,0)))</f>
        <v/>
      </c>
      <c r="E605" s="35">
        <f>IF(H605="Subetapa",0,IF(H605="serviço",OFFSET(E605,-1,0)+1,OFFSET(E605,-1,0)))</f>
        <v/>
      </c>
      <c r="F605" s="56" t="n"/>
      <c r="G605" s="1" t="n"/>
      <c r="H605" s="1" t="n"/>
      <c r="I605" s="1" t="n"/>
      <c r="J605" s="64" t="n"/>
      <c r="K605" s="52" t="n"/>
      <c r="L605" s="58" t="n"/>
      <c r="M605" s="58" t="n"/>
      <c r="N605" s="70" t="n"/>
      <c r="O605" s="56" t="n"/>
      <c r="P605" s="1" t="n"/>
      <c r="Q605" s="1" t="n"/>
    </row>
    <row r="606">
      <c r="A606" s="34">
        <f>IF($H606="UNIDADE CONSTRUTIVA",OFFSET(A606,-1,0)+1,LARGE(A$3:A605,1))</f>
        <v/>
      </c>
      <c r="B606" s="34">
        <f>IF(H606="UNIDADE CONSTRUTIVA",0,IF(H606="CÉLULA CONSTRUTIVA",OFFSET(B606,-1,0)+1,OFFSET(B606,-1,0)))</f>
        <v/>
      </c>
      <c r="C606" s="34">
        <f>IF(H606="CÉLULA CONSTRUTIVA",0,IF(H606="ETAPA",OFFSET(C606,-1,0)+1,OFFSET(C606,-1,0)))</f>
        <v/>
      </c>
      <c r="D606" s="35">
        <f>IF(H606="ETAPA",0,IF(H606="SUBETAPA",OFFSET(D606,-1,0)+1,OFFSET(D606,-1,0)))</f>
        <v/>
      </c>
      <c r="E606" s="35">
        <f>IF(H606="Subetapa",0,IF(H606="serviço",OFFSET(E606,-1,0)+1,OFFSET(E606,-1,0)))</f>
        <v/>
      </c>
      <c r="F606" s="56" t="n"/>
      <c r="G606" s="1" t="n"/>
      <c r="H606" s="1" t="n"/>
      <c r="I606" s="1" t="n"/>
      <c r="J606" s="64" t="n"/>
      <c r="K606" s="52" t="n"/>
      <c r="L606" s="58" t="n"/>
      <c r="M606" s="58" t="n"/>
      <c r="N606" s="70" t="n"/>
      <c r="O606" s="56" t="n"/>
      <c r="P606" s="1" t="n"/>
      <c r="Q606" s="1" t="n"/>
    </row>
    <row r="607">
      <c r="A607" s="34">
        <f>IF($H607="UNIDADE CONSTRUTIVA",OFFSET(A607,-1,0)+1,LARGE(A$3:A606,1))</f>
        <v/>
      </c>
      <c r="B607" s="34">
        <f>IF(H607="UNIDADE CONSTRUTIVA",0,IF(H607="CÉLULA CONSTRUTIVA",OFFSET(B607,-1,0)+1,OFFSET(B607,-1,0)))</f>
        <v/>
      </c>
      <c r="C607" s="34">
        <f>IF(H607="CÉLULA CONSTRUTIVA",0,IF(H607="ETAPA",OFFSET(C607,-1,0)+1,OFFSET(C607,-1,0)))</f>
        <v/>
      </c>
      <c r="D607" s="35">
        <f>IF(H607="ETAPA",0,IF(H607="SUBETAPA",OFFSET(D607,-1,0)+1,OFFSET(D607,-1,0)))</f>
        <v/>
      </c>
      <c r="E607" s="35">
        <f>IF(H607="Subetapa",0,IF(H607="serviço",OFFSET(E607,-1,0)+1,OFFSET(E607,-1,0)))</f>
        <v/>
      </c>
      <c r="F607" s="56" t="n"/>
      <c r="G607" s="1" t="n"/>
      <c r="H607" s="1" t="n"/>
      <c r="I607" s="1" t="n"/>
      <c r="J607" s="64" t="n"/>
      <c r="K607" s="52" t="n"/>
      <c r="L607" s="58" t="n"/>
      <c r="M607" s="58" t="n"/>
      <c r="N607" s="70" t="n"/>
      <c r="O607" s="56" t="n"/>
      <c r="P607" s="1" t="n"/>
      <c r="Q607" s="1" t="n"/>
    </row>
    <row r="608">
      <c r="A608" s="34">
        <f>IF($H608="UNIDADE CONSTRUTIVA",OFFSET(A608,-1,0)+1,LARGE(A$3:A607,1))</f>
        <v/>
      </c>
      <c r="B608" s="34">
        <f>IF(H608="UNIDADE CONSTRUTIVA",0,IF(H608="CÉLULA CONSTRUTIVA",OFFSET(B608,-1,0)+1,OFFSET(B608,-1,0)))</f>
        <v/>
      </c>
      <c r="C608" s="34">
        <f>IF(H608="CÉLULA CONSTRUTIVA",0,IF(H608="ETAPA",OFFSET(C608,-1,0)+1,OFFSET(C608,-1,0)))</f>
        <v/>
      </c>
      <c r="D608" s="35">
        <f>IF(H608="ETAPA",0,IF(H608="SUBETAPA",OFFSET(D608,-1,0)+1,OFFSET(D608,-1,0)))</f>
        <v/>
      </c>
      <c r="E608" s="35">
        <f>IF(H608="Subetapa",0,IF(H608="serviço",OFFSET(E608,-1,0)+1,OFFSET(E608,-1,0)))</f>
        <v/>
      </c>
      <c r="F608" s="56" t="n"/>
      <c r="G608" s="1" t="n"/>
      <c r="H608" s="1" t="n"/>
      <c r="I608" s="1" t="n"/>
      <c r="J608" s="64" t="n"/>
      <c r="K608" s="52" t="n"/>
      <c r="L608" s="58" t="n"/>
      <c r="M608" s="58" t="n"/>
      <c r="N608" s="70" t="n"/>
      <c r="O608" s="56" t="n"/>
      <c r="P608" s="1" t="n"/>
      <c r="Q608" s="1" t="n"/>
    </row>
    <row r="609">
      <c r="A609" s="34">
        <f>IF($H609="UNIDADE CONSTRUTIVA",OFFSET(A609,-1,0)+1,LARGE(A$3:A608,1))</f>
        <v/>
      </c>
      <c r="B609" s="34">
        <f>IF(H609="UNIDADE CONSTRUTIVA",0,IF(H609="CÉLULA CONSTRUTIVA",OFFSET(B609,-1,0)+1,OFFSET(B609,-1,0)))</f>
        <v/>
      </c>
      <c r="C609" s="34">
        <f>IF(H609="CÉLULA CONSTRUTIVA",0,IF(H609="ETAPA",OFFSET(C609,-1,0)+1,OFFSET(C609,-1,0)))</f>
        <v/>
      </c>
      <c r="D609" s="35">
        <f>IF(H609="ETAPA",0,IF(H609="SUBETAPA",OFFSET(D609,-1,0)+1,OFFSET(D609,-1,0)))</f>
        <v/>
      </c>
      <c r="E609" s="35">
        <f>IF(H609="Subetapa",0,IF(H609="serviço",OFFSET(E609,-1,0)+1,OFFSET(E609,-1,0)))</f>
        <v/>
      </c>
      <c r="F609" s="56" t="n"/>
      <c r="G609" s="1" t="n"/>
      <c r="H609" s="1" t="n"/>
      <c r="I609" s="1" t="n"/>
      <c r="J609" s="64" t="n"/>
      <c r="K609" s="52" t="n"/>
      <c r="L609" s="58" t="n"/>
      <c r="M609" s="58" t="n"/>
      <c r="N609" s="70" t="n"/>
      <c r="O609" s="56" t="n"/>
      <c r="P609" s="1" t="n"/>
      <c r="Q609" s="1" t="n"/>
    </row>
    <row r="610">
      <c r="A610" s="34">
        <f>IF($H610="UNIDADE CONSTRUTIVA",OFFSET(A610,-1,0)+1,LARGE(A$3:A609,1))</f>
        <v/>
      </c>
      <c r="B610" s="34">
        <f>IF(H610="UNIDADE CONSTRUTIVA",0,IF(H610="CÉLULA CONSTRUTIVA",OFFSET(B610,-1,0)+1,OFFSET(B610,-1,0)))</f>
        <v/>
      </c>
      <c r="C610" s="34">
        <f>IF(H610="CÉLULA CONSTRUTIVA",0,IF(H610="ETAPA",OFFSET(C610,-1,0)+1,OFFSET(C610,-1,0)))</f>
        <v/>
      </c>
      <c r="D610" s="35">
        <f>IF(H610="ETAPA",0,IF(H610="SUBETAPA",OFFSET(D610,-1,0)+1,OFFSET(D610,-1,0)))</f>
        <v/>
      </c>
      <c r="E610" s="35">
        <f>IF(H610="Subetapa",0,IF(H610="serviço",OFFSET(E610,-1,0)+1,OFFSET(E610,-1,0)))</f>
        <v/>
      </c>
      <c r="F610" s="56" t="n"/>
      <c r="G610" s="1" t="n"/>
      <c r="H610" s="1" t="n"/>
      <c r="I610" s="1" t="n"/>
      <c r="J610" s="64" t="n"/>
      <c r="K610" s="52" t="n"/>
      <c r="L610" s="58" t="n"/>
      <c r="M610" s="58" t="n"/>
      <c r="N610" s="70" t="n"/>
      <c r="O610" s="56" t="n"/>
      <c r="P610" s="1" t="n"/>
      <c r="Q610" s="1" t="n"/>
    </row>
    <row r="611">
      <c r="A611" s="34">
        <f>IF($H611="UNIDADE CONSTRUTIVA",OFFSET(A611,-1,0)+1,LARGE(A$3:A610,1))</f>
        <v/>
      </c>
      <c r="B611" s="34">
        <f>IF(H611="UNIDADE CONSTRUTIVA",0,IF(H611="CÉLULA CONSTRUTIVA",OFFSET(B611,-1,0)+1,OFFSET(B611,-1,0)))</f>
        <v/>
      </c>
      <c r="C611" s="34">
        <f>IF(H611="CÉLULA CONSTRUTIVA",0,IF(H611="ETAPA",OFFSET(C611,-1,0)+1,OFFSET(C611,-1,0)))</f>
        <v/>
      </c>
      <c r="D611" s="35">
        <f>IF(H611="ETAPA",0,IF(H611="SUBETAPA",OFFSET(D611,-1,0)+1,OFFSET(D611,-1,0)))</f>
        <v/>
      </c>
      <c r="E611" s="35">
        <f>IF(H611="Subetapa",0,IF(H611="serviço",OFFSET(E611,-1,0)+1,OFFSET(E611,-1,0)))</f>
        <v/>
      </c>
      <c r="F611" s="56" t="n"/>
      <c r="G611" s="1" t="n"/>
      <c r="H611" s="1" t="n"/>
      <c r="I611" s="1" t="n"/>
      <c r="J611" s="64" t="n"/>
      <c r="K611" s="52" t="n"/>
      <c r="L611" s="58" t="n"/>
      <c r="M611" s="58" t="n"/>
      <c r="N611" s="70" t="n"/>
      <c r="O611" s="56" t="n"/>
      <c r="P611" s="1" t="n"/>
      <c r="Q611" s="1" t="n"/>
    </row>
    <row r="612">
      <c r="A612" s="34">
        <f>IF($H612="UNIDADE CONSTRUTIVA",OFFSET(A612,-1,0)+1,LARGE(A$3:A611,1))</f>
        <v/>
      </c>
      <c r="B612" s="34">
        <f>IF(H612="UNIDADE CONSTRUTIVA",0,IF(H612="CÉLULA CONSTRUTIVA",OFFSET(B612,-1,0)+1,OFFSET(B612,-1,0)))</f>
        <v/>
      </c>
      <c r="C612" s="34">
        <f>IF(H612="CÉLULA CONSTRUTIVA",0,IF(H612="ETAPA",OFFSET(C612,-1,0)+1,OFFSET(C612,-1,0)))</f>
        <v/>
      </c>
      <c r="D612" s="35">
        <f>IF(H612="ETAPA",0,IF(H612="SUBETAPA",OFFSET(D612,-1,0)+1,OFFSET(D612,-1,0)))</f>
        <v/>
      </c>
      <c r="E612" s="35">
        <f>IF(H612="Subetapa",0,IF(H612="serviço",OFFSET(E612,-1,0)+1,OFFSET(E612,-1,0)))</f>
        <v/>
      </c>
      <c r="F612" s="56" t="n"/>
      <c r="G612" s="1" t="n"/>
      <c r="H612" s="1" t="n"/>
      <c r="I612" s="1" t="n"/>
      <c r="J612" s="64" t="n"/>
      <c r="K612" s="52" t="n"/>
      <c r="L612" s="58" t="n"/>
      <c r="M612" s="58" t="n"/>
      <c r="N612" s="70" t="n"/>
      <c r="O612" s="56" t="n"/>
      <c r="P612" s="1" t="n"/>
      <c r="Q612" s="1" t="n"/>
    </row>
    <row r="613">
      <c r="A613" s="34">
        <f>IF($H613="UNIDADE CONSTRUTIVA",OFFSET(A613,-1,0)+1,LARGE(A$3:A612,1))</f>
        <v/>
      </c>
      <c r="B613" s="34">
        <f>IF(H613="UNIDADE CONSTRUTIVA",0,IF(H613="CÉLULA CONSTRUTIVA",OFFSET(B613,-1,0)+1,OFFSET(B613,-1,0)))</f>
        <v/>
      </c>
      <c r="C613" s="34">
        <f>IF(H613="CÉLULA CONSTRUTIVA",0,IF(H613="ETAPA",OFFSET(C613,-1,0)+1,OFFSET(C613,-1,0)))</f>
        <v/>
      </c>
      <c r="D613" s="35">
        <f>IF(H613="ETAPA",0,IF(H613="SUBETAPA",OFFSET(D613,-1,0)+1,OFFSET(D613,-1,0)))</f>
        <v/>
      </c>
      <c r="E613" s="35">
        <f>IF(H613="Subetapa",0,IF(H613="serviço",OFFSET(E613,-1,0)+1,OFFSET(E613,-1,0)))</f>
        <v/>
      </c>
      <c r="F613" s="56" t="n"/>
      <c r="G613" s="1" t="n"/>
      <c r="H613" s="1" t="n"/>
      <c r="I613" s="1" t="n"/>
      <c r="J613" s="64" t="n"/>
      <c r="K613" s="52" t="n"/>
      <c r="L613" s="58" t="n"/>
      <c r="M613" s="58" t="n"/>
      <c r="N613" s="70" t="n"/>
      <c r="O613" s="56" t="n"/>
      <c r="P613" s="1" t="n"/>
      <c r="Q613" s="1" t="n"/>
    </row>
    <row r="614">
      <c r="A614" s="34">
        <f>IF($H614="UNIDADE CONSTRUTIVA",OFFSET(A614,-1,0)+1,LARGE(A$3:A613,1))</f>
        <v/>
      </c>
      <c r="B614" s="34">
        <f>IF(H614="UNIDADE CONSTRUTIVA",0,IF(H614="CÉLULA CONSTRUTIVA",OFFSET(B614,-1,0)+1,OFFSET(B614,-1,0)))</f>
        <v/>
      </c>
      <c r="C614" s="34">
        <f>IF(H614="CÉLULA CONSTRUTIVA",0,IF(H614="ETAPA",OFFSET(C614,-1,0)+1,OFFSET(C614,-1,0)))</f>
        <v/>
      </c>
      <c r="D614" s="35">
        <f>IF(H614="ETAPA",0,IF(H614="SUBETAPA",OFFSET(D614,-1,0)+1,OFFSET(D614,-1,0)))</f>
        <v/>
      </c>
      <c r="E614" s="35">
        <f>IF(H614="Subetapa",0,IF(H614="serviço",OFFSET(E614,-1,0)+1,OFFSET(E614,-1,0)))</f>
        <v/>
      </c>
      <c r="F614" s="56" t="n"/>
      <c r="G614" s="1" t="n"/>
      <c r="H614" s="1" t="n"/>
      <c r="I614" s="1" t="n"/>
      <c r="J614" s="64" t="n"/>
      <c r="K614" s="52" t="n"/>
      <c r="L614" s="58" t="n"/>
      <c r="M614" s="58" t="n"/>
      <c r="N614" s="70" t="n"/>
      <c r="O614" s="56" t="n"/>
      <c r="P614" s="1" t="n"/>
      <c r="Q614" s="1" t="n"/>
    </row>
    <row r="615">
      <c r="A615" s="34">
        <f>IF($H615="UNIDADE CONSTRUTIVA",OFFSET(A615,-1,0)+1,LARGE(A$3:A614,1))</f>
        <v/>
      </c>
      <c r="B615" s="34">
        <f>IF(H615="UNIDADE CONSTRUTIVA",0,IF(H615="CÉLULA CONSTRUTIVA",OFFSET(B615,-1,0)+1,OFFSET(B615,-1,0)))</f>
        <v/>
      </c>
      <c r="C615" s="34">
        <f>IF(H615="CÉLULA CONSTRUTIVA",0,IF(H615="ETAPA",OFFSET(C615,-1,0)+1,OFFSET(C615,-1,0)))</f>
        <v/>
      </c>
      <c r="D615" s="35">
        <f>IF(H615="ETAPA",0,IF(H615="SUBETAPA",OFFSET(D615,-1,0)+1,OFFSET(D615,-1,0)))</f>
        <v/>
      </c>
      <c r="E615" s="35">
        <f>IF(H615="Subetapa",0,IF(H615="serviço",OFFSET(E615,-1,0)+1,OFFSET(E615,-1,0)))</f>
        <v/>
      </c>
      <c r="F615" s="56" t="n"/>
      <c r="G615" s="1" t="n"/>
      <c r="H615" s="1" t="n"/>
      <c r="I615" s="1" t="n"/>
      <c r="J615" s="64" t="n"/>
      <c r="K615" s="52" t="n"/>
      <c r="L615" s="58" t="n"/>
      <c r="M615" s="58" t="n"/>
      <c r="N615" s="70" t="n"/>
      <c r="O615" s="56" t="n"/>
      <c r="P615" s="1" t="n"/>
      <c r="Q615" s="1" t="n"/>
    </row>
    <row r="616">
      <c r="A616" s="34">
        <f>IF($H616="UNIDADE CONSTRUTIVA",OFFSET(A616,-1,0)+1,LARGE(A$3:A615,1))</f>
        <v/>
      </c>
      <c r="B616" s="34">
        <f>IF(H616="UNIDADE CONSTRUTIVA",0,IF(H616="CÉLULA CONSTRUTIVA",OFFSET(B616,-1,0)+1,OFFSET(B616,-1,0)))</f>
        <v/>
      </c>
      <c r="C616" s="34">
        <f>IF(H616="CÉLULA CONSTRUTIVA",0,IF(H616="ETAPA",OFFSET(C616,-1,0)+1,OFFSET(C616,-1,0)))</f>
        <v/>
      </c>
      <c r="D616" s="35">
        <f>IF(H616="ETAPA",0,IF(H616="SUBETAPA",OFFSET(D616,-1,0)+1,OFFSET(D616,-1,0)))</f>
        <v/>
      </c>
      <c r="E616" s="35">
        <f>IF(H616="Subetapa",0,IF(H616="serviço",OFFSET(E616,-1,0)+1,OFFSET(E616,-1,0)))</f>
        <v/>
      </c>
      <c r="F616" s="56" t="n"/>
      <c r="G616" s="1" t="n"/>
      <c r="H616" s="1" t="n"/>
      <c r="I616" s="1" t="n"/>
      <c r="J616" s="64" t="n"/>
      <c r="K616" s="52" t="n"/>
      <c r="L616" s="58" t="n"/>
      <c r="M616" s="58" t="n"/>
      <c r="N616" s="70" t="n"/>
      <c r="O616" s="56" t="n"/>
      <c r="P616" s="1" t="n"/>
      <c r="Q616" s="1" t="n"/>
    </row>
    <row r="617">
      <c r="A617" s="34">
        <f>IF($H617="UNIDADE CONSTRUTIVA",OFFSET(A617,-1,0)+1,LARGE(A$3:A616,1))</f>
        <v/>
      </c>
      <c r="B617" s="34">
        <f>IF(H617="UNIDADE CONSTRUTIVA",0,IF(H617="CÉLULA CONSTRUTIVA",OFFSET(B617,-1,0)+1,OFFSET(B617,-1,0)))</f>
        <v/>
      </c>
      <c r="C617" s="34">
        <f>IF(H617="CÉLULA CONSTRUTIVA",0,IF(H617="ETAPA",OFFSET(C617,-1,0)+1,OFFSET(C617,-1,0)))</f>
        <v/>
      </c>
      <c r="D617" s="35">
        <f>IF(H617="ETAPA",0,IF(H617="SUBETAPA",OFFSET(D617,-1,0)+1,OFFSET(D617,-1,0)))</f>
        <v/>
      </c>
      <c r="E617" s="35">
        <f>IF(H617="Subetapa",0,IF(H617="serviço",OFFSET(E617,-1,0)+1,OFFSET(E617,-1,0)))</f>
        <v/>
      </c>
      <c r="F617" s="56" t="n"/>
      <c r="G617" s="1" t="n"/>
      <c r="H617" s="1" t="n"/>
      <c r="I617" s="1" t="n"/>
      <c r="J617" s="64" t="n"/>
      <c r="K617" s="52" t="n"/>
      <c r="L617" s="58" t="n"/>
      <c r="M617" s="58" t="n"/>
      <c r="N617" s="70" t="n"/>
      <c r="O617" s="56" t="n"/>
      <c r="P617" s="1" t="n"/>
      <c r="Q617" s="1" t="n"/>
    </row>
    <row r="618">
      <c r="A618" s="34">
        <f>IF($H618="UNIDADE CONSTRUTIVA",OFFSET(A618,-1,0)+1,LARGE(A$3:A617,1))</f>
        <v/>
      </c>
      <c r="B618" s="34">
        <f>IF(H618="UNIDADE CONSTRUTIVA",0,IF(H618="CÉLULA CONSTRUTIVA",OFFSET(B618,-1,0)+1,OFFSET(B618,-1,0)))</f>
        <v/>
      </c>
      <c r="C618" s="34">
        <f>IF(H618="CÉLULA CONSTRUTIVA",0,IF(H618="ETAPA",OFFSET(C618,-1,0)+1,OFFSET(C618,-1,0)))</f>
        <v/>
      </c>
      <c r="D618" s="35">
        <f>IF(H618="ETAPA",0,IF(H618="SUBETAPA",OFFSET(D618,-1,0)+1,OFFSET(D618,-1,0)))</f>
        <v/>
      </c>
      <c r="E618" s="35">
        <f>IF(H618="Subetapa",0,IF(H618="serviço",OFFSET(E618,-1,0)+1,OFFSET(E618,-1,0)))</f>
        <v/>
      </c>
      <c r="F618" s="56" t="n"/>
      <c r="G618" s="1" t="n"/>
      <c r="H618" s="1" t="n"/>
      <c r="I618" s="1" t="n"/>
      <c r="J618" s="64" t="n"/>
      <c r="K618" s="52" t="n"/>
      <c r="L618" s="58" t="n"/>
      <c r="M618" s="58" t="n"/>
      <c r="N618" s="70" t="n"/>
      <c r="O618" s="56" t="n"/>
      <c r="P618" s="1" t="n"/>
      <c r="Q618" s="1" t="n"/>
    </row>
    <row r="619">
      <c r="A619" s="34">
        <f>IF($H619="UNIDADE CONSTRUTIVA",OFFSET(A619,-1,0)+1,LARGE(A$3:A618,1))</f>
        <v/>
      </c>
      <c r="B619" s="34">
        <f>IF(H619="UNIDADE CONSTRUTIVA",0,IF(H619="CÉLULA CONSTRUTIVA",OFFSET(B619,-1,0)+1,OFFSET(B619,-1,0)))</f>
        <v/>
      </c>
      <c r="C619" s="34">
        <f>IF(H619="CÉLULA CONSTRUTIVA",0,IF(H619="ETAPA",OFFSET(C619,-1,0)+1,OFFSET(C619,-1,0)))</f>
        <v/>
      </c>
      <c r="D619" s="35">
        <f>IF(H619="ETAPA",0,IF(H619="SUBETAPA",OFFSET(D619,-1,0)+1,OFFSET(D619,-1,0)))</f>
        <v/>
      </c>
      <c r="E619" s="35">
        <f>IF(H619="Subetapa",0,IF(H619="serviço",OFFSET(E619,-1,0)+1,OFFSET(E619,-1,0)))</f>
        <v/>
      </c>
      <c r="F619" s="56" t="n"/>
      <c r="G619" s="1" t="n"/>
      <c r="H619" s="1" t="n"/>
      <c r="I619" s="1" t="n"/>
      <c r="J619" s="64" t="n"/>
      <c r="K619" s="52" t="n"/>
      <c r="L619" s="58" t="n"/>
      <c r="M619" s="58" t="n"/>
      <c r="N619" s="70" t="n"/>
      <c r="O619" s="56" t="n"/>
      <c r="P619" s="1" t="n"/>
      <c r="Q619" s="1" t="n"/>
    </row>
    <row r="620">
      <c r="A620" s="34">
        <f>IF($H620="UNIDADE CONSTRUTIVA",OFFSET(A620,-1,0)+1,LARGE(A$3:A619,1))</f>
        <v/>
      </c>
      <c r="B620" s="34">
        <f>IF(H620="UNIDADE CONSTRUTIVA",0,IF(H620="CÉLULA CONSTRUTIVA",OFFSET(B620,-1,0)+1,OFFSET(B620,-1,0)))</f>
        <v/>
      </c>
      <c r="C620" s="34">
        <f>IF(H620="CÉLULA CONSTRUTIVA",0,IF(H620="ETAPA",OFFSET(C620,-1,0)+1,OFFSET(C620,-1,0)))</f>
        <v/>
      </c>
      <c r="D620" s="35">
        <f>IF(H620="ETAPA",0,IF(H620="SUBETAPA",OFFSET(D620,-1,0)+1,OFFSET(D620,-1,0)))</f>
        <v/>
      </c>
      <c r="E620" s="35">
        <f>IF(H620="Subetapa",0,IF(H620="serviço",OFFSET(E620,-1,0)+1,OFFSET(E620,-1,0)))</f>
        <v/>
      </c>
      <c r="F620" s="56" t="n"/>
      <c r="G620" s="1" t="n"/>
      <c r="H620" s="1" t="n"/>
      <c r="I620" s="1" t="n"/>
      <c r="J620" s="64" t="n"/>
      <c r="K620" s="52" t="n"/>
      <c r="L620" s="58" t="n"/>
      <c r="M620" s="58" t="n"/>
      <c r="N620" s="70" t="n"/>
      <c r="O620" s="56" t="n"/>
      <c r="P620" s="1" t="n"/>
      <c r="Q620" s="1" t="n"/>
    </row>
    <row r="621">
      <c r="A621" s="34">
        <f>IF($H621="UNIDADE CONSTRUTIVA",OFFSET(A621,-1,0)+1,LARGE(A$3:A620,1))</f>
        <v/>
      </c>
      <c r="B621" s="34">
        <f>IF(H621="UNIDADE CONSTRUTIVA",0,IF(H621="CÉLULA CONSTRUTIVA",OFFSET(B621,-1,0)+1,OFFSET(B621,-1,0)))</f>
        <v/>
      </c>
      <c r="C621" s="34">
        <f>IF(H621="CÉLULA CONSTRUTIVA",0,IF(H621="ETAPA",OFFSET(C621,-1,0)+1,OFFSET(C621,-1,0)))</f>
        <v/>
      </c>
      <c r="D621" s="35">
        <f>IF(H621="ETAPA",0,IF(H621="SUBETAPA",OFFSET(D621,-1,0)+1,OFFSET(D621,-1,0)))</f>
        <v/>
      </c>
      <c r="E621" s="35">
        <f>IF(H621="Subetapa",0,IF(H621="serviço",OFFSET(E621,-1,0)+1,OFFSET(E621,-1,0)))</f>
        <v/>
      </c>
      <c r="F621" s="56" t="n"/>
      <c r="G621" s="1" t="n"/>
      <c r="H621" s="1" t="n"/>
      <c r="I621" s="1" t="n"/>
      <c r="J621" s="64" t="n"/>
      <c r="K621" s="52" t="n"/>
      <c r="L621" s="58" t="n"/>
      <c r="M621" s="58" t="n"/>
      <c r="N621" s="70" t="n"/>
      <c r="O621" s="56" t="n"/>
      <c r="P621" s="1" t="n"/>
      <c r="Q621" s="1" t="n"/>
    </row>
    <row r="622">
      <c r="A622" s="34">
        <f>IF($H622="UNIDADE CONSTRUTIVA",OFFSET(A622,-1,0)+1,LARGE(A$3:A621,1))</f>
        <v/>
      </c>
      <c r="B622" s="34">
        <f>IF(H622="UNIDADE CONSTRUTIVA",0,IF(H622="CÉLULA CONSTRUTIVA",OFFSET(B622,-1,0)+1,OFFSET(B622,-1,0)))</f>
        <v/>
      </c>
      <c r="C622" s="34">
        <f>IF(H622="CÉLULA CONSTRUTIVA",0,IF(H622="ETAPA",OFFSET(C622,-1,0)+1,OFFSET(C622,-1,0)))</f>
        <v/>
      </c>
      <c r="D622" s="35">
        <f>IF(H622="ETAPA",0,IF(H622="SUBETAPA",OFFSET(D622,-1,0)+1,OFFSET(D622,-1,0)))</f>
        <v/>
      </c>
      <c r="E622" s="35">
        <f>IF(H622="Subetapa",0,IF(H622="serviço",OFFSET(E622,-1,0)+1,OFFSET(E622,-1,0)))</f>
        <v/>
      </c>
      <c r="F622" s="56" t="n"/>
      <c r="G622" s="1" t="n"/>
      <c r="H622" s="1" t="n"/>
      <c r="I622" s="1" t="n"/>
      <c r="J622" s="64" t="n"/>
      <c r="K622" s="52" t="n"/>
      <c r="L622" s="58" t="n"/>
      <c r="M622" s="58" t="n"/>
      <c r="N622" s="70" t="n"/>
      <c r="O622" s="56" t="n"/>
      <c r="P622" s="1" t="n"/>
      <c r="Q622" s="1" t="n"/>
    </row>
    <row r="623">
      <c r="A623" s="34">
        <f>IF($H623="UNIDADE CONSTRUTIVA",OFFSET(A623,-1,0)+1,LARGE(A$3:A622,1))</f>
        <v/>
      </c>
      <c r="B623" s="34">
        <f>IF(H623="UNIDADE CONSTRUTIVA",0,IF(H623="CÉLULA CONSTRUTIVA",OFFSET(B623,-1,0)+1,OFFSET(B623,-1,0)))</f>
        <v/>
      </c>
      <c r="C623" s="34">
        <f>IF(H623="CÉLULA CONSTRUTIVA",0,IF(H623="ETAPA",OFFSET(C623,-1,0)+1,OFFSET(C623,-1,0)))</f>
        <v/>
      </c>
      <c r="D623" s="35">
        <f>IF(H623="ETAPA",0,IF(H623="SUBETAPA",OFFSET(D623,-1,0)+1,OFFSET(D623,-1,0)))</f>
        <v/>
      </c>
      <c r="E623" s="35">
        <f>IF(H623="Subetapa",0,IF(H623="serviço",OFFSET(E623,-1,0)+1,OFFSET(E623,-1,0)))</f>
        <v/>
      </c>
      <c r="F623" s="56" t="n"/>
      <c r="G623" s="1" t="n"/>
      <c r="H623" s="1" t="n"/>
      <c r="I623" s="1" t="n"/>
      <c r="J623" s="64" t="n"/>
      <c r="K623" s="52" t="n"/>
      <c r="L623" s="58" t="n"/>
      <c r="M623" s="58" t="n"/>
      <c r="N623" s="70" t="n"/>
      <c r="O623" s="56" t="n"/>
      <c r="P623" s="1" t="n"/>
      <c r="Q623" s="1" t="n"/>
    </row>
    <row r="624">
      <c r="A624" s="34">
        <f>IF($H624="UNIDADE CONSTRUTIVA",OFFSET(A624,-1,0)+1,LARGE(A$3:A623,1))</f>
        <v/>
      </c>
      <c r="B624" s="34">
        <f>IF(H624="UNIDADE CONSTRUTIVA",0,IF(H624="CÉLULA CONSTRUTIVA",OFFSET(B624,-1,0)+1,OFFSET(B624,-1,0)))</f>
        <v/>
      </c>
      <c r="C624" s="34">
        <f>IF(H624="CÉLULA CONSTRUTIVA",0,IF(H624="ETAPA",OFFSET(C624,-1,0)+1,OFFSET(C624,-1,0)))</f>
        <v/>
      </c>
      <c r="D624" s="35">
        <f>IF(H624="ETAPA",0,IF(H624="SUBETAPA",OFFSET(D624,-1,0)+1,OFFSET(D624,-1,0)))</f>
        <v/>
      </c>
      <c r="E624" s="35">
        <f>IF(H624="Subetapa",0,IF(H624="serviço",OFFSET(E624,-1,0)+1,OFFSET(E624,-1,0)))</f>
        <v/>
      </c>
      <c r="F624" s="56" t="n"/>
      <c r="G624" s="1" t="n"/>
      <c r="H624" s="1" t="n"/>
      <c r="I624" s="1" t="n"/>
      <c r="J624" s="64" t="n"/>
      <c r="K624" s="52" t="n"/>
      <c r="L624" s="58" t="n"/>
      <c r="M624" s="58" t="n"/>
      <c r="N624" s="70" t="n"/>
      <c r="O624" s="56" t="n"/>
      <c r="P624" s="1" t="n"/>
      <c r="Q624" s="1" t="n"/>
    </row>
    <row r="625">
      <c r="A625" s="34">
        <f>IF($H625="UNIDADE CONSTRUTIVA",OFFSET(A625,-1,0)+1,LARGE(A$3:A624,1))</f>
        <v/>
      </c>
      <c r="B625" s="34">
        <f>IF(H625="UNIDADE CONSTRUTIVA",0,IF(H625="CÉLULA CONSTRUTIVA",OFFSET(B625,-1,0)+1,OFFSET(B625,-1,0)))</f>
        <v/>
      </c>
      <c r="C625" s="34">
        <f>IF(H625="CÉLULA CONSTRUTIVA",0,IF(H625="ETAPA",OFFSET(C625,-1,0)+1,OFFSET(C625,-1,0)))</f>
        <v/>
      </c>
      <c r="D625" s="35">
        <f>IF(H625="ETAPA",0,IF(H625="SUBETAPA",OFFSET(D625,-1,0)+1,OFFSET(D625,-1,0)))</f>
        <v/>
      </c>
      <c r="E625" s="35">
        <f>IF(H625="Subetapa",0,IF(H625="serviço",OFFSET(E625,-1,0)+1,OFFSET(E625,-1,0)))</f>
        <v/>
      </c>
      <c r="F625" s="56" t="n"/>
      <c r="G625" s="1" t="n"/>
      <c r="H625" s="1" t="n"/>
      <c r="I625" s="1" t="n"/>
      <c r="J625" s="64" t="n"/>
      <c r="K625" s="52" t="n"/>
      <c r="L625" s="58" t="n"/>
      <c r="M625" s="58" t="n"/>
      <c r="N625" s="70" t="n"/>
      <c r="O625" s="56" t="n"/>
      <c r="P625" s="1" t="n"/>
      <c r="Q625" s="1" t="n"/>
    </row>
    <row r="626">
      <c r="A626" s="34">
        <f>IF($H626="UNIDADE CONSTRUTIVA",OFFSET(A626,-1,0)+1,LARGE(A$3:A625,1))</f>
        <v/>
      </c>
      <c r="B626" s="34">
        <f>IF(H626="UNIDADE CONSTRUTIVA",0,IF(H626="CÉLULA CONSTRUTIVA",OFFSET(B626,-1,0)+1,OFFSET(B626,-1,0)))</f>
        <v/>
      </c>
      <c r="C626" s="34">
        <f>IF(H626="CÉLULA CONSTRUTIVA",0,IF(H626="ETAPA",OFFSET(C626,-1,0)+1,OFFSET(C626,-1,0)))</f>
        <v/>
      </c>
      <c r="D626" s="35">
        <f>IF(H626="ETAPA",0,IF(H626="SUBETAPA",OFFSET(D626,-1,0)+1,OFFSET(D626,-1,0)))</f>
        <v/>
      </c>
      <c r="E626" s="35">
        <f>IF(H626="Subetapa",0,IF(H626="serviço",OFFSET(E626,-1,0)+1,OFFSET(E626,-1,0)))</f>
        <v/>
      </c>
      <c r="F626" s="56" t="n"/>
      <c r="G626" s="1" t="n"/>
      <c r="H626" s="1" t="n"/>
      <c r="I626" s="1" t="n"/>
      <c r="J626" s="64" t="n"/>
      <c r="K626" s="52" t="n"/>
      <c r="L626" s="58" t="n"/>
      <c r="M626" s="58" t="n"/>
      <c r="N626" s="70" t="n"/>
      <c r="O626" s="56" t="n"/>
      <c r="P626" s="1" t="n"/>
      <c r="Q626" s="1" t="n"/>
    </row>
    <row r="627">
      <c r="A627" s="34">
        <f>IF($H627="UNIDADE CONSTRUTIVA",OFFSET(A627,-1,0)+1,LARGE(A$3:A626,1))</f>
        <v/>
      </c>
      <c r="B627" s="34">
        <f>IF(H627="UNIDADE CONSTRUTIVA",0,IF(H627="CÉLULA CONSTRUTIVA",OFFSET(B627,-1,0)+1,OFFSET(B627,-1,0)))</f>
        <v/>
      </c>
      <c r="C627" s="34">
        <f>IF(H627="CÉLULA CONSTRUTIVA",0,IF(H627="ETAPA",OFFSET(C627,-1,0)+1,OFFSET(C627,-1,0)))</f>
        <v/>
      </c>
      <c r="D627" s="35">
        <f>IF(H627="ETAPA",0,IF(H627="SUBETAPA",OFFSET(D627,-1,0)+1,OFFSET(D627,-1,0)))</f>
        <v/>
      </c>
      <c r="E627" s="35">
        <f>IF(H627="Subetapa",0,IF(H627="serviço",OFFSET(E627,-1,0)+1,OFFSET(E627,-1,0)))</f>
        <v/>
      </c>
      <c r="F627" s="56" t="n"/>
      <c r="G627" s="1" t="n"/>
      <c r="H627" s="1" t="n"/>
      <c r="I627" s="1" t="n"/>
      <c r="J627" s="64" t="n"/>
      <c r="K627" s="52" t="n"/>
      <c r="L627" s="58" t="n"/>
      <c r="M627" s="58" t="n"/>
      <c r="N627" s="70" t="n"/>
      <c r="O627" s="56" t="n"/>
      <c r="P627" s="1" t="n"/>
      <c r="Q627" s="1" t="n"/>
    </row>
    <row r="628">
      <c r="A628" s="34">
        <f>IF($H628="UNIDADE CONSTRUTIVA",OFFSET(A628,-1,0)+1,LARGE(A$3:A627,1))</f>
        <v/>
      </c>
      <c r="B628" s="34">
        <f>IF(H628="UNIDADE CONSTRUTIVA",0,IF(H628="CÉLULA CONSTRUTIVA",OFFSET(B628,-1,0)+1,OFFSET(B628,-1,0)))</f>
        <v/>
      </c>
      <c r="C628" s="34">
        <f>IF(H628="CÉLULA CONSTRUTIVA",0,IF(H628="ETAPA",OFFSET(C628,-1,0)+1,OFFSET(C628,-1,0)))</f>
        <v/>
      </c>
      <c r="D628" s="35">
        <f>IF(H628="ETAPA",0,IF(H628="SUBETAPA",OFFSET(D628,-1,0)+1,OFFSET(D628,-1,0)))</f>
        <v/>
      </c>
      <c r="E628" s="35">
        <f>IF(H628="Subetapa",0,IF(H628="serviço",OFFSET(E628,-1,0)+1,OFFSET(E628,-1,0)))</f>
        <v/>
      </c>
      <c r="F628" s="56" t="n"/>
      <c r="G628" s="1" t="n"/>
      <c r="H628" s="1" t="n"/>
      <c r="I628" s="1" t="n"/>
      <c r="J628" s="64" t="n"/>
      <c r="K628" s="52" t="n"/>
      <c r="L628" s="58" t="n"/>
      <c r="M628" s="58" t="n"/>
      <c r="N628" s="70" t="n"/>
      <c r="O628" s="56" t="n"/>
      <c r="P628" s="1" t="n"/>
      <c r="Q628" s="1" t="n"/>
    </row>
    <row r="629">
      <c r="A629" s="34">
        <f>IF($H629="UNIDADE CONSTRUTIVA",OFFSET(A629,-1,0)+1,LARGE(A$3:A628,1))</f>
        <v/>
      </c>
      <c r="B629" s="34">
        <f>IF(H629="UNIDADE CONSTRUTIVA",0,IF(H629="CÉLULA CONSTRUTIVA",OFFSET(B629,-1,0)+1,OFFSET(B629,-1,0)))</f>
        <v/>
      </c>
      <c r="C629" s="34">
        <f>IF(H629="CÉLULA CONSTRUTIVA",0,IF(H629="ETAPA",OFFSET(C629,-1,0)+1,OFFSET(C629,-1,0)))</f>
        <v/>
      </c>
      <c r="D629" s="35">
        <f>IF(H629="ETAPA",0,IF(H629="SUBETAPA",OFFSET(D629,-1,0)+1,OFFSET(D629,-1,0)))</f>
        <v/>
      </c>
      <c r="E629" s="35">
        <f>IF(H629="Subetapa",0,IF(H629="serviço",OFFSET(E629,-1,0)+1,OFFSET(E629,-1,0)))</f>
        <v/>
      </c>
      <c r="F629" s="56" t="n"/>
      <c r="G629" s="1" t="n"/>
      <c r="H629" s="1" t="n"/>
      <c r="I629" s="1" t="n"/>
      <c r="J629" s="64" t="n"/>
      <c r="K629" s="52" t="n"/>
      <c r="L629" s="58" t="n"/>
      <c r="M629" s="58" t="n"/>
      <c r="N629" s="70" t="n"/>
      <c r="O629" s="56" t="n"/>
      <c r="P629" s="1" t="n"/>
      <c r="Q629" s="1" t="n"/>
    </row>
    <row r="630">
      <c r="A630" s="34">
        <f>IF($H630="UNIDADE CONSTRUTIVA",OFFSET(A630,-1,0)+1,LARGE(A$3:A629,1))</f>
        <v/>
      </c>
      <c r="B630" s="34">
        <f>IF(H630="UNIDADE CONSTRUTIVA",0,IF(H630="CÉLULA CONSTRUTIVA",OFFSET(B630,-1,0)+1,OFFSET(B630,-1,0)))</f>
        <v/>
      </c>
      <c r="C630" s="34">
        <f>IF(H630="CÉLULA CONSTRUTIVA",0,IF(H630="ETAPA",OFFSET(C630,-1,0)+1,OFFSET(C630,-1,0)))</f>
        <v/>
      </c>
      <c r="D630" s="35">
        <f>IF(H630="ETAPA",0,IF(H630="SUBETAPA",OFFSET(D630,-1,0)+1,OFFSET(D630,-1,0)))</f>
        <v/>
      </c>
      <c r="E630" s="35">
        <f>IF(H630="Subetapa",0,IF(H630="serviço",OFFSET(E630,-1,0)+1,OFFSET(E630,-1,0)))</f>
        <v/>
      </c>
      <c r="F630" s="56" t="n"/>
      <c r="G630" s="1" t="n"/>
      <c r="H630" s="1" t="n"/>
      <c r="I630" s="1" t="n"/>
      <c r="J630" s="64" t="n"/>
      <c r="K630" s="52" t="n"/>
      <c r="L630" s="58" t="n"/>
      <c r="M630" s="58" t="n"/>
      <c r="N630" s="70" t="n"/>
      <c r="O630" s="56" t="n"/>
      <c r="P630" s="1" t="n"/>
      <c r="Q630" s="1" t="n"/>
    </row>
    <row r="631">
      <c r="A631" s="34">
        <f>IF($H631="UNIDADE CONSTRUTIVA",OFFSET(A631,-1,0)+1,LARGE(A$3:A630,1))</f>
        <v/>
      </c>
      <c r="B631" s="34">
        <f>IF(H631="UNIDADE CONSTRUTIVA",0,IF(H631="CÉLULA CONSTRUTIVA",OFFSET(B631,-1,0)+1,OFFSET(B631,-1,0)))</f>
        <v/>
      </c>
      <c r="C631" s="34">
        <f>IF(H631="CÉLULA CONSTRUTIVA",0,IF(H631="ETAPA",OFFSET(C631,-1,0)+1,OFFSET(C631,-1,0)))</f>
        <v/>
      </c>
      <c r="D631" s="35">
        <f>IF(H631="ETAPA",0,IF(H631="SUBETAPA",OFFSET(D631,-1,0)+1,OFFSET(D631,-1,0)))</f>
        <v/>
      </c>
      <c r="E631" s="35">
        <f>IF(H631="Subetapa",0,IF(H631="serviço",OFFSET(E631,-1,0)+1,OFFSET(E631,-1,0)))</f>
        <v/>
      </c>
      <c r="F631" s="56" t="n"/>
      <c r="G631" s="1" t="n"/>
      <c r="H631" s="1" t="n"/>
      <c r="I631" s="1" t="n"/>
      <c r="J631" s="64" t="n"/>
      <c r="K631" s="52" t="n"/>
      <c r="L631" s="58" t="n"/>
      <c r="M631" s="58" t="n"/>
      <c r="N631" s="70" t="n"/>
      <c r="O631" s="56" t="n"/>
      <c r="P631" s="1" t="n"/>
      <c r="Q631" s="1" t="n"/>
    </row>
    <row r="632">
      <c r="A632" s="34">
        <f>IF($H632="UNIDADE CONSTRUTIVA",OFFSET(A632,-1,0)+1,LARGE(A$3:A631,1))</f>
        <v/>
      </c>
      <c r="B632" s="34">
        <f>IF(H632="UNIDADE CONSTRUTIVA",0,IF(H632="CÉLULA CONSTRUTIVA",OFFSET(B632,-1,0)+1,OFFSET(B632,-1,0)))</f>
        <v/>
      </c>
      <c r="C632" s="34">
        <f>IF(H632="CÉLULA CONSTRUTIVA",0,IF(H632="ETAPA",OFFSET(C632,-1,0)+1,OFFSET(C632,-1,0)))</f>
        <v/>
      </c>
      <c r="D632" s="35">
        <f>IF(H632="ETAPA",0,IF(H632="SUBETAPA",OFFSET(D632,-1,0)+1,OFFSET(D632,-1,0)))</f>
        <v/>
      </c>
      <c r="E632" s="35">
        <f>IF(H632="Subetapa",0,IF(H632="serviço",OFFSET(E632,-1,0)+1,OFFSET(E632,-1,0)))</f>
        <v/>
      </c>
      <c r="F632" s="56" t="n"/>
      <c r="G632" s="1" t="n"/>
      <c r="H632" s="1" t="n"/>
      <c r="I632" s="1" t="n"/>
      <c r="J632" s="64" t="n"/>
      <c r="K632" s="52" t="n"/>
      <c r="L632" s="58" t="n"/>
      <c r="M632" s="58" t="n"/>
      <c r="N632" s="70" t="n"/>
      <c r="O632" s="56" t="n"/>
      <c r="P632" s="1" t="n"/>
      <c r="Q632" s="1" t="n"/>
    </row>
    <row r="633">
      <c r="A633" s="34">
        <f>IF($H633="UNIDADE CONSTRUTIVA",OFFSET(A633,-1,0)+1,LARGE(A$3:A632,1))</f>
        <v/>
      </c>
      <c r="B633" s="34">
        <f>IF(H633="UNIDADE CONSTRUTIVA",0,IF(H633="CÉLULA CONSTRUTIVA",OFFSET(B633,-1,0)+1,OFFSET(B633,-1,0)))</f>
        <v/>
      </c>
      <c r="C633" s="34">
        <f>IF(H633="CÉLULA CONSTRUTIVA",0,IF(H633="ETAPA",OFFSET(C633,-1,0)+1,OFFSET(C633,-1,0)))</f>
        <v/>
      </c>
      <c r="D633" s="35">
        <f>IF(H633="ETAPA",0,IF(H633="SUBETAPA",OFFSET(D633,-1,0)+1,OFFSET(D633,-1,0)))</f>
        <v/>
      </c>
      <c r="E633" s="35">
        <f>IF(H633="Subetapa",0,IF(H633="serviço",OFFSET(E633,-1,0)+1,OFFSET(E633,-1,0)))</f>
        <v/>
      </c>
      <c r="F633" s="56" t="n"/>
      <c r="G633" s="1" t="n"/>
      <c r="H633" s="1" t="n"/>
      <c r="I633" s="1" t="n"/>
      <c r="J633" s="64" t="n"/>
      <c r="K633" s="52" t="n"/>
      <c r="L633" s="58" t="n"/>
      <c r="M633" s="58" t="n"/>
      <c r="N633" s="70" t="n"/>
      <c r="O633" s="56" t="n"/>
      <c r="P633" s="1" t="n"/>
      <c r="Q633" s="1" t="n"/>
    </row>
    <row r="634">
      <c r="A634" s="34">
        <f>IF($H634="UNIDADE CONSTRUTIVA",OFFSET(A634,-1,0)+1,LARGE(A$3:A633,1))</f>
        <v/>
      </c>
      <c r="B634" s="34">
        <f>IF(H634="UNIDADE CONSTRUTIVA",0,IF(H634="CÉLULA CONSTRUTIVA",OFFSET(B634,-1,0)+1,OFFSET(B634,-1,0)))</f>
        <v/>
      </c>
      <c r="C634" s="34">
        <f>IF(H634="CÉLULA CONSTRUTIVA",0,IF(H634="ETAPA",OFFSET(C634,-1,0)+1,OFFSET(C634,-1,0)))</f>
        <v/>
      </c>
      <c r="D634" s="35">
        <f>IF(H634="ETAPA",0,IF(H634="SUBETAPA",OFFSET(D634,-1,0)+1,OFFSET(D634,-1,0)))</f>
        <v/>
      </c>
      <c r="E634" s="35">
        <f>IF(H634="Subetapa",0,IF(H634="serviço",OFFSET(E634,-1,0)+1,OFFSET(E634,-1,0)))</f>
        <v/>
      </c>
      <c r="F634" s="56" t="n"/>
      <c r="G634" s="1" t="n"/>
      <c r="H634" s="1" t="n"/>
      <c r="I634" s="1" t="n"/>
      <c r="J634" s="64" t="n"/>
      <c r="K634" s="52" t="n"/>
      <c r="L634" s="58" t="n"/>
      <c r="M634" s="58" t="n"/>
      <c r="N634" s="70" t="n"/>
      <c r="O634" s="56" t="n"/>
      <c r="P634" s="1" t="n"/>
      <c r="Q634" s="1" t="n"/>
    </row>
    <row r="635">
      <c r="A635" s="34">
        <f>IF($H635="UNIDADE CONSTRUTIVA",OFFSET(A635,-1,0)+1,LARGE(A$3:A634,1))</f>
        <v/>
      </c>
      <c r="B635" s="34">
        <f>IF(H635="UNIDADE CONSTRUTIVA",0,IF(H635="CÉLULA CONSTRUTIVA",OFFSET(B635,-1,0)+1,OFFSET(B635,-1,0)))</f>
        <v/>
      </c>
      <c r="C635" s="34">
        <f>IF(H635="CÉLULA CONSTRUTIVA",0,IF(H635="ETAPA",OFFSET(C635,-1,0)+1,OFFSET(C635,-1,0)))</f>
        <v/>
      </c>
      <c r="D635" s="35">
        <f>IF(H635="ETAPA",0,IF(H635="SUBETAPA",OFFSET(D635,-1,0)+1,OFFSET(D635,-1,0)))</f>
        <v/>
      </c>
      <c r="E635" s="35">
        <f>IF(H635="Subetapa",0,IF(H635="serviço",OFFSET(E635,-1,0)+1,OFFSET(E635,-1,0)))</f>
        <v/>
      </c>
      <c r="F635" s="56" t="n"/>
      <c r="G635" s="1" t="n"/>
      <c r="H635" s="1" t="n"/>
      <c r="I635" s="1" t="n"/>
      <c r="J635" s="64" t="n"/>
      <c r="K635" s="52" t="n"/>
      <c r="L635" s="58" t="n"/>
      <c r="M635" s="58" t="n"/>
      <c r="N635" s="70" t="n"/>
      <c r="O635" s="56" t="n"/>
      <c r="P635" s="1" t="n"/>
      <c r="Q635" s="1" t="n"/>
    </row>
    <row r="636">
      <c r="A636" s="34">
        <f>IF($H636="UNIDADE CONSTRUTIVA",OFFSET(A636,-1,0)+1,LARGE(A$3:A635,1))</f>
        <v/>
      </c>
      <c r="B636" s="34">
        <f>IF(H636="UNIDADE CONSTRUTIVA",0,IF(H636="CÉLULA CONSTRUTIVA",OFFSET(B636,-1,0)+1,OFFSET(B636,-1,0)))</f>
        <v/>
      </c>
      <c r="C636" s="34">
        <f>IF(H636="CÉLULA CONSTRUTIVA",0,IF(H636="ETAPA",OFFSET(C636,-1,0)+1,OFFSET(C636,-1,0)))</f>
        <v/>
      </c>
      <c r="D636" s="35">
        <f>IF(H636="ETAPA",0,IF(H636="SUBETAPA",OFFSET(D636,-1,0)+1,OFFSET(D636,-1,0)))</f>
        <v/>
      </c>
      <c r="E636" s="35">
        <f>IF(H636="Subetapa",0,IF(H636="serviço",OFFSET(E636,-1,0)+1,OFFSET(E636,-1,0)))</f>
        <v/>
      </c>
      <c r="F636" s="56" t="n"/>
      <c r="G636" s="1" t="n"/>
      <c r="H636" s="1" t="n"/>
      <c r="I636" s="1" t="n"/>
      <c r="J636" s="64" t="n"/>
      <c r="K636" s="52" t="n"/>
      <c r="L636" s="58" t="n"/>
      <c r="M636" s="58" t="n"/>
      <c r="N636" s="70" t="n"/>
      <c r="O636" s="56" t="n"/>
      <c r="P636" s="1" t="n"/>
      <c r="Q636" s="1" t="n"/>
    </row>
    <row r="637">
      <c r="A637" s="34">
        <f>IF($H637="UNIDADE CONSTRUTIVA",OFFSET(A637,-1,0)+1,LARGE(A$3:A636,1))</f>
        <v/>
      </c>
      <c r="B637" s="34">
        <f>IF(H637="UNIDADE CONSTRUTIVA",0,IF(H637="CÉLULA CONSTRUTIVA",OFFSET(B637,-1,0)+1,OFFSET(B637,-1,0)))</f>
        <v/>
      </c>
      <c r="C637" s="34">
        <f>IF(H637="CÉLULA CONSTRUTIVA",0,IF(H637="ETAPA",OFFSET(C637,-1,0)+1,OFFSET(C637,-1,0)))</f>
        <v/>
      </c>
      <c r="D637" s="35">
        <f>IF(H637="ETAPA",0,IF(H637="SUBETAPA",OFFSET(D637,-1,0)+1,OFFSET(D637,-1,0)))</f>
        <v/>
      </c>
      <c r="E637" s="35">
        <f>IF(H637="Subetapa",0,IF(H637="serviço",OFFSET(E637,-1,0)+1,OFFSET(E637,-1,0)))</f>
        <v/>
      </c>
      <c r="F637" s="56" t="n"/>
      <c r="G637" s="1" t="n"/>
      <c r="H637" s="1" t="n"/>
      <c r="I637" s="1" t="n"/>
      <c r="J637" s="64" t="n"/>
      <c r="K637" s="52" t="n"/>
      <c r="L637" s="58" t="n"/>
      <c r="M637" s="58" t="n"/>
      <c r="N637" s="70" t="n"/>
      <c r="O637" s="56" t="n"/>
      <c r="P637" s="1" t="n"/>
      <c r="Q637" s="1" t="n"/>
    </row>
    <row r="638">
      <c r="A638" s="34">
        <f>IF($H638="UNIDADE CONSTRUTIVA",OFFSET(A638,-1,0)+1,LARGE(A$3:A637,1))</f>
        <v/>
      </c>
      <c r="B638" s="34">
        <f>IF(H638="UNIDADE CONSTRUTIVA",0,IF(H638="CÉLULA CONSTRUTIVA",OFFSET(B638,-1,0)+1,OFFSET(B638,-1,0)))</f>
        <v/>
      </c>
      <c r="C638" s="34">
        <f>IF(H638="CÉLULA CONSTRUTIVA",0,IF(H638="ETAPA",OFFSET(C638,-1,0)+1,OFFSET(C638,-1,0)))</f>
        <v/>
      </c>
      <c r="D638" s="35">
        <f>IF(H638="ETAPA",0,IF(H638="SUBETAPA",OFFSET(D638,-1,0)+1,OFFSET(D638,-1,0)))</f>
        <v/>
      </c>
      <c r="E638" s="35">
        <f>IF(H638="Subetapa",0,IF(H638="serviço",OFFSET(E638,-1,0)+1,OFFSET(E638,-1,0)))</f>
        <v/>
      </c>
      <c r="F638" s="56" t="n"/>
      <c r="G638" s="1" t="n"/>
      <c r="H638" s="1" t="n"/>
      <c r="I638" s="1" t="n"/>
      <c r="J638" s="64" t="n"/>
      <c r="K638" s="52" t="n"/>
      <c r="L638" s="58" t="n"/>
      <c r="M638" s="58" t="n"/>
      <c r="N638" s="70" t="n"/>
      <c r="O638" s="56" t="n"/>
      <c r="P638" s="1" t="n"/>
      <c r="Q638" s="1" t="n"/>
    </row>
    <row r="639">
      <c r="A639" s="34">
        <f>IF($H639="UNIDADE CONSTRUTIVA",OFFSET(A639,-1,0)+1,LARGE(A$3:A638,1))</f>
        <v/>
      </c>
      <c r="B639" s="34">
        <f>IF(H639="UNIDADE CONSTRUTIVA",0,IF(H639="CÉLULA CONSTRUTIVA",OFFSET(B639,-1,0)+1,OFFSET(B639,-1,0)))</f>
        <v/>
      </c>
      <c r="C639" s="34">
        <f>IF(H639="CÉLULA CONSTRUTIVA",0,IF(H639="ETAPA",OFFSET(C639,-1,0)+1,OFFSET(C639,-1,0)))</f>
        <v/>
      </c>
      <c r="D639" s="35">
        <f>IF(H639="ETAPA",0,IF(H639="SUBETAPA",OFFSET(D639,-1,0)+1,OFFSET(D639,-1,0)))</f>
        <v/>
      </c>
      <c r="E639" s="35">
        <f>IF(H639="Subetapa",0,IF(H639="serviço",OFFSET(E639,-1,0)+1,OFFSET(E639,-1,0)))</f>
        <v/>
      </c>
      <c r="F639" s="56" t="n"/>
      <c r="G639" s="1" t="n"/>
      <c r="H639" s="1" t="n"/>
      <c r="I639" s="1" t="n"/>
      <c r="J639" s="64" t="n"/>
      <c r="K639" s="52" t="n"/>
      <c r="L639" s="58" t="n"/>
      <c r="M639" s="58" t="n"/>
      <c r="N639" s="70" t="n"/>
      <c r="O639" s="56" t="n"/>
      <c r="P639" s="1" t="n"/>
      <c r="Q639" s="1" t="n"/>
    </row>
    <row r="640">
      <c r="A640" s="34">
        <f>IF($H640="UNIDADE CONSTRUTIVA",OFFSET(A640,-1,0)+1,LARGE(A$3:A639,1))</f>
        <v/>
      </c>
      <c r="B640" s="34">
        <f>IF(H640="UNIDADE CONSTRUTIVA",0,IF(H640="CÉLULA CONSTRUTIVA",OFFSET(B640,-1,0)+1,OFFSET(B640,-1,0)))</f>
        <v/>
      </c>
      <c r="C640" s="34">
        <f>IF(H640="CÉLULA CONSTRUTIVA",0,IF(H640="ETAPA",OFFSET(C640,-1,0)+1,OFFSET(C640,-1,0)))</f>
        <v/>
      </c>
      <c r="D640" s="35">
        <f>IF(H640="ETAPA",0,IF(H640="SUBETAPA",OFFSET(D640,-1,0)+1,OFFSET(D640,-1,0)))</f>
        <v/>
      </c>
      <c r="E640" s="35">
        <f>IF(H640="Subetapa",0,IF(H640="serviço",OFFSET(E640,-1,0)+1,OFFSET(E640,-1,0)))</f>
        <v/>
      </c>
      <c r="F640" s="56" t="n"/>
      <c r="G640" s="1" t="n"/>
      <c r="H640" s="1" t="n"/>
      <c r="I640" s="1" t="n"/>
      <c r="J640" s="64" t="n"/>
      <c r="K640" s="52" t="n"/>
      <c r="L640" s="58" t="n"/>
      <c r="M640" s="58" t="n"/>
      <c r="N640" s="70" t="n"/>
      <c r="O640" s="56" t="n"/>
      <c r="P640" s="1" t="n"/>
      <c r="Q640" s="1" t="n"/>
    </row>
    <row r="641">
      <c r="A641" s="34">
        <f>IF($H641="UNIDADE CONSTRUTIVA",OFFSET(A641,-1,0)+1,LARGE(A$3:A640,1))</f>
        <v/>
      </c>
      <c r="B641" s="34">
        <f>IF(H641="UNIDADE CONSTRUTIVA",0,IF(H641="CÉLULA CONSTRUTIVA",OFFSET(B641,-1,0)+1,OFFSET(B641,-1,0)))</f>
        <v/>
      </c>
      <c r="C641" s="34">
        <f>IF(H641="CÉLULA CONSTRUTIVA",0,IF(H641="ETAPA",OFFSET(C641,-1,0)+1,OFFSET(C641,-1,0)))</f>
        <v/>
      </c>
      <c r="D641" s="35">
        <f>IF(H641="ETAPA",0,IF(H641="SUBETAPA",OFFSET(D641,-1,0)+1,OFFSET(D641,-1,0)))</f>
        <v/>
      </c>
      <c r="E641" s="35">
        <f>IF(H641="Subetapa",0,IF(H641="serviço",OFFSET(E641,-1,0)+1,OFFSET(E641,-1,0)))</f>
        <v/>
      </c>
      <c r="F641" s="56" t="n"/>
      <c r="G641" s="1" t="n"/>
      <c r="H641" s="1" t="n"/>
      <c r="I641" s="1" t="n"/>
      <c r="J641" s="64" t="n"/>
      <c r="K641" s="52" t="n"/>
      <c r="L641" s="58" t="n"/>
      <c r="M641" s="58" t="n"/>
      <c r="N641" s="70" t="n"/>
      <c r="O641" s="56" t="n"/>
      <c r="P641" s="1" t="n"/>
      <c r="Q641" s="1" t="n"/>
    </row>
    <row r="642">
      <c r="A642" s="34">
        <f>IF($H642="UNIDADE CONSTRUTIVA",OFFSET(A642,-1,0)+1,LARGE(A$3:A641,1))</f>
        <v/>
      </c>
      <c r="B642" s="34">
        <f>IF(H642="UNIDADE CONSTRUTIVA",0,IF(H642="CÉLULA CONSTRUTIVA",OFFSET(B642,-1,0)+1,OFFSET(B642,-1,0)))</f>
        <v/>
      </c>
      <c r="C642" s="34">
        <f>IF(H642="CÉLULA CONSTRUTIVA",0,IF(H642="ETAPA",OFFSET(C642,-1,0)+1,OFFSET(C642,-1,0)))</f>
        <v/>
      </c>
      <c r="D642" s="35">
        <f>IF(H642="ETAPA",0,IF(H642="SUBETAPA",OFFSET(D642,-1,0)+1,OFFSET(D642,-1,0)))</f>
        <v/>
      </c>
      <c r="E642" s="35">
        <f>IF(H642="Subetapa",0,IF(H642="serviço",OFFSET(E642,-1,0)+1,OFFSET(E642,-1,0)))</f>
        <v/>
      </c>
      <c r="F642" s="56" t="n"/>
      <c r="G642" s="1" t="n"/>
      <c r="H642" s="1" t="n"/>
      <c r="I642" s="1" t="n"/>
      <c r="J642" s="64" t="n"/>
      <c r="K642" s="52" t="n"/>
      <c r="L642" s="58" t="n"/>
      <c r="M642" s="58" t="n"/>
      <c r="N642" s="70" t="n"/>
      <c r="O642" s="56" t="n"/>
      <c r="P642" s="1" t="n"/>
      <c r="Q642" s="1" t="n"/>
    </row>
    <row r="643">
      <c r="A643" s="34">
        <f>IF($H643="UNIDADE CONSTRUTIVA",OFFSET(A643,-1,0)+1,LARGE(A$3:A642,1))</f>
        <v/>
      </c>
      <c r="B643" s="34">
        <f>IF(H643="UNIDADE CONSTRUTIVA",0,IF(H643="CÉLULA CONSTRUTIVA",OFFSET(B643,-1,0)+1,OFFSET(B643,-1,0)))</f>
        <v/>
      </c>
      <c r="C643" s="34">
        <f>IF(H643="CÉLULA CONSTRUTIVA",0,IF(H643="ETAPA",OFFSET(C643,-1,0)+1,OFFSET(C643,-1,0)))</f>
        <v/>
      </c>
      <c r="D643" s="35">
        <f>IF(H643="ETAPA",0,IF(H643="SUBETAPA",OFFSET(D643,-1,0)+1,OFFSET(D643,-1,0)))</f>
        <v/>
      </c>
      <c r="E643" s="35">
        <f>IF(H643="Subetapa",0,IF(H643="serviço",OFFSET(E643,-1,0)+1,OFFSET(E643,-1,0)))</f>
        <v/>
      </c>
      <c r="F643" s="56" t="n"/>
      <c r="G643" s="1" t="n"/>
      <c r="H643" s="1" t="n"/>
      <c r="I643" s="1" t="n"/>
      <c r="J643" s="64" t="n"/>
      <c r="K643" s="52" t="n"/>
      <c r="L643" s="58" t="n"/>
      <c r="M643" s="58" t="n"/>
      <c r="N643" s="70" t="n"/>
      <c r="O643" s="56" t="n"/>
      <c r="P643" s="1" t="n"/>
      <c r="Q643" s="1" t="n"/>
    </row>
    <row r="644">
      <c r="A644" s="34">
        <f>IF($H644="UNIDADE CONSTRUTIVA",OFFSET(A644,-1,0)+1,LARGE(A$3:A643,1))</f>
        <v/>
      </c>
      <c r="B644" s="34">
        <f>IF(H644="UNIDADE CONSTRUTIVA",0,IF(H644="CÉLULA CONSTRUTIVA",OFFSET(B644,-1,0)+1,OFFSET(B644,-1,0)))</f>
        <v/>
      </c>
      <c r="C644" s="34">
        <f>IF(H644="CÉLULA CONSTRUTIVA",0,IF(H644="ETAPA",OFFSET(C644,-1,0)+1,OFFSET(C644,-1,0)))</f>
        <v/>
      </c>
      <c r="D644" s="35">
        <f>IF(H644="ETAPA",0,IF(H644="SUBETAPA",OFFSET(D644,-1,0)+1,OFFSET(D644,-1,0)))</f>
        <v/>
      </c>
      <c r="E644" s="35">
        <f>IF(H644="Subetapa",0,IF(H644="serviço",OFFSET(E644,-1,0)+1,OFFSET(E644,-1,0)))</f>
        <v/>
      </c>
      <c r="F644" s="56" t="n"/>
      <c r="G644" s="1" t="n"/>
      <c r="H644" s="1" t="n"/>
      <c r="I644" s="1" t="n"/>
      <c r="J644" s="64" t="n"/>
      <c r="K644" s="52" t="n"/>
      <c r="L644" s="58" t="n"/>
      <c r="M644" s="58" t="n"/>
      <c r="N644" s="70" t="n"/>
      <c r="O644" s="56" t="n"/>
      <c r="P644" s="1" t="n"/>
      <c r="Q644" s="1" t="n"/>
    </row>
    <row r="645">
      <c r="A645" s="34">
        <f>IF($H645="UNIDADE CONSTRUTIVA",OFFSET(A645,-1,0)+1,LARGE(A$3:A644,1))</f>
        <v/>
      </c>
      <c r="B645" s="34">
        <f>IF(H645="UNIDADE CONSTRUTIVA",0,IF(H645="CÉLULA CONSTRUTIVA",OFFSET(B645,-1,0)+1,OFFSET(B645,-1,0)))</f>
        <v/>
      </c>
      <c r="C645" s="34">
        <f>IF(H645="CÉLULA CONSTRUTIVA",0,IF(H645="ETAPA",OFFSET(C645,-1,0)+1,OFFSET(C645,-1,0)))</f>
        <v/>
      </c>
      <c r="D645" s="35">
        <f>IF(H645="ETAPA",0,IF(H645="SUBETAPA",OFFSET(D645,-1,0)+1,OFFSET(D645,-1,0)))</f>
        <v/>
      </c>
      <c r="E645" s="35">
        <f>IF(H645="Subetapa",0,IF(H645="serviço",OFFSET(E645,-1,0)+1,OFFSET(E645,-1,0)))</f>
        <v/>
      </c>
      <c r="F645" s="56" t="n"/>
      <c r="G645" s="1" t="n"/>
      <c r="H645" s="1" t="n"/>
      <c r="I645" s="1" t="n"/>
      <c r="J645" s="64" t="n"/>
      <c r="K645" s="52" t="n"/>
      <c r="L645" s="58" t="n"/>
      <c r="M645" s="58" t="n"/>
      <c r="N645" s="70" t="n"/>
      <c r="O645" s="56" t="n"/>
      <c r="P645" s="1" t="n"/>
      <c r="Q645" s="1" t="n"/>
    </row>
    <row r="646">
      <c r="A646" s="34">
        <f>IF($H646="UNIDADE CONSTRUTIVA",OFFSET(A646,-1,0)+1,LARGE(A$3:A645,1))</f>
        <v/>
      </c>
      <c r="B646" s="34">
        <f>IF(H646="UNIDADE CONSTRUTIVA",0,IF(H646="CÉLULA CONSTRUTIVA",OFFSET(B646,-1,0)+1,OFFSET(B646,-1,0)))</f>
        <v/>
      </c>
      <c r="C646" s="34">
        <f>IF(H646="CÉLULA CONSTRUTIVA",0,IF(H646="ETAPA",OFFSET(C646,-1,0)+1,OFFSET(C646,-1,0)))</f>
        <v/>
      </c>
      <c r="D646" s="35">
        <f>IF(H646="ETAPA",0,IF(H646="SUBETAPA",OFFSET(D646,-1,0)+1,OFFSET(D646,-1,0)))</f>
        <v/>
      </c>
      <c r="E646" s="35">
        <f>IF(H646="Subetapa",0,IF(H646="serviço",OFFSET(E646,-1,0)+1,OFFSET(E646,-1,0)))</f>
        <v/>
      </c>
      <c r="F646" s="56" t="n"/>
      <c r="G646" s="1" t="n"/>
      <c r="H646" s="1" t="n"/>
      <c r="I646" s="1" t="n"/>
      <c r="J646" s="64" t="n"/>
      <c r="K646" s="52" t="n"/>
      <c r="L646" s="58" t="n"/>
      <c r="M646" s="58" t="n"/>
      <c r="N646" s="70" t="n"/>
      <c r="O646" s="56" t="n"/>
      <c r="P646" s="1" t="n"/>
      <c r="Q646" s="1" t="n"/>
    </row>
    <row r="647">
      <c r="A647" s="34">
        <f>IF($H647="UNIDADE CONSTRUTIVA",OFFSET(A647,-1,0)+1,LARGE(A$3:A646,1))</f>
        <v/>
      </c>
      <c r="B647" s="34">
        <f>IF(H647="UNIDADE CONSTRUTIVA",0,IF(H647="CÉLULA CONSTRUTIVA",OFFSET(B647,-1,0)+1,OFFSET(B647,-1,0)))</f>
        <v/>
      </c>
      <c r="C647" s="34">
        <f>IF(H647="CÉLULA CONSTRUTIVA",0,IF(H647="ETAPA",OFFSET(C647,-1,0)+1,OFFSET(C647,-1,0)))</f>
        <v/>
      </c>
      <c r="D647" s="35">
        <f>IF(H647="ETAPA",0,IF(H647="SUBETAPA",OFFSET(D647,-1,0)+1,OFFSET(D647,-1,0)))</f>
        <v/>
      </c>
      <c r="E647" s="35">
        <f>IF(H647="Subetapa",0,IF(H647="serviço",OFFSET(E647,-1,0)+1,OFFSET(E647,-1,0)))</f>
        <v/>
      </c>
      <c r="F647" s="56" t="n"/>
      <c r="G647" s="1" t="n"/>
      <c r="H647" s="1" t="n"/>
      <c r="I647" s="1" t="n"/>
      <c r="J647" s="64" t="n"/>
      <c r="K647" s="52" t="n"/>
      <c r="L647" s="58" t="n"/>
      <c r="M647" s="58" t="n"/>
      <c r="N647" s="70" t="n"/>
      <c r="O647" s="56" t="n"/>
      <c r="P647" s="1" t="n"/>
      <c r="Q647" s="1" t="n"/>
    </row>
    <row r="648">
      <c r="A648" s="34">
        <f>IF($H648="UNIDADE CONSTRUTIVA",OFFSET(A648,-1,0)+1,LARGE(A$3:A647,1))</f>
        <v/>
      </c>
      <c r="B648" s="34">
        <f>IF(H648="UNIDADE CONSTRUTIVA",0,IF(H648="CÉLULA CONSTRUTIVA",OFFSET(B648,-1,0)+1,OFFSET(B648,-1,0)))</f>
        <v/>
      </c>
      <c r="C648" s="34">
        <f>IF(H648="CÉLULA CONSTRUTIVA",0,IF(H648="ETAPA",OFFSET(C648,-1,0)+1,OFFSET(C648,-1,0)))</f>
        <v/>
      </c>
      <c r="D648" s="35">
        <f>IF(H648="ETAPA",0,IF(H648="SUBETAPA",OFFSET(D648,-1,0)+1,OFFSET(D648,-1,0)))</f>
        <v/>
      </c>
      <c r="E648" s="35">
        <f>IF(H648="Subetapa",0,IF(H648="serviço",OFFSET(E648,-1,0)+1,OFFSET(E648,-1,0)))</f>
        <v/>
      </c>
      <c r="F648" s="56" t="n"/>
      <c r="G648" s="1" t="n"/>
      <c r="H648" s="1" t="n"/>
      <c r="I648" s="1" t="n"/>
      <c r="J648" s="64" t="n"/>
      <c r="K648" s="52" t="n"/>
      <c r="L648" s="58" t="n"/>
      <c r="M648" s="58" t="n"/>
      <c r="N648" s="70" t="n"/>
      <c r="O648" s="56" t="n"/>
      <c r="P648" s="1" t="n"/>
      <c r="Q648" s="1" t="n"/>
    </row>
    <row r="649">
      <c r="A649" s="34">
        <f>IF($H649="UNIDADE CONSTRUTIVA",OFFSET(A649,-1,0)+1,LARGE(A$3:A648,1))</f>
        <v/>
      </c>
      <c r="B649" s="34">
        <f>IF(H649="UNIDADE CONSTRUTIVA",0,IF(H649="CÉLULA CONSTRUTIVA",OFFSET(B649,-1,0)+1,OFFSET(B649,-1,0)))</f>
        <v/>
      </c>
      <c r="C649" s="34">
        <f>IF(H649="CÉLULA CONSTRUTIVA",0,IF(H649="ETAPA",OFFSET(C649,-1,0)+1,OFFSET(C649,-1,0)))</f>
        <v/>
      </c>
      <c r="D649" s="35">
        <f>IF(H649="ETAPA",0,IF(H649="SUBETAPA",OFFSET(D649,-1,0)+1,OFFSET(D649,-1,0)))</f>
        <v/>
      </c>
      <c r="E649" s="35">
        <f>IF(H649="Subetapa",0,IF(H649="serviço",OFFSET(E649,-1,0)+1,OFFSET(E649,-1,0)))</f>
        <v/>
      </c>
      <c r="F649" s="56" t="n"/>
      <c r="G649" s="1" t="n"/>
      <c r="H649" s="1" t="n"/>
      <c r="I649" s="1" t="n"/>
      <c r="J649" s="64" t="n"/>
      <c r="K649" s="52" t="n"/>
      <c r="L649" s="58" t="n"/>
      <c r="M649" s="58" t="n"/>
      <c r="N649" s="70" t="n"/>
      <c r="O649" s="56" t="n"/>
      <c r="P649" s="1" t="n"/>
      <c r="Q649" s="1" t="n"/>
    </row>
    <row r="650">
      <c r="A650" s="34">
        <f>IF($H650="UNIDADE CONSTRUTIVA",OFFSET(A650,-1,0)+1,LARGE(A$3:A649,1))</f>
        <v/>
      </c>
      <c r="B650" s="34">
        <f>IF(H650="UNIDADE CONSTRUTIVA",0,IF(H650="CÉLULA CONSTRUTIVA",OFFSET(B650,-1,0)+1,OFFSET(B650,-1,0)))</f>
        <v/>
      </c>
      <c r="C650" s="34">
        <f>IF(H650="CÉLULA CONSTRUTIVA",0,IF(H650="ETAPA",OFFSET(C650,-1,0)+1,OFFSET(C650,-1,0)))</f>
        <v/>
      </c>
      <c r="D650" s="35">
        <f>IF(H650="ETAPA",0,IF(H650="SUBETAPA",OFFSET(D650,-1,0)+1,OFFSET(D650,-1,0)))</f>
        <v/>
      </c>
      <c r="E650" s="35">
        <f>IF(H650="Subetapa",0,IF(H650="serviço",OFFSET(E650,-1,0)+1,OFFSET(E650,-1,0)))</f>
        <v/>
      </c>
      <c r="F650" s="56" t="n"/>
      <c r="G650" s="1" t="n"/>
      <c r="H650" s="1" t="n"/>
      <c r="I650" s="1" t="n"/>
      <c r="J650" s="64" t="n"/>
      <c r="K650" s="52" t="n"/>
      <c r="L650" s="58" t="n"/>
      <c r="M650" s="58" t="n"/>
      <c r="N650" s="70" t="n"/>
      <c r="O650" s="56" t="n"/>
      <c r="P650" s="1" t="n"/>
      <c r="Q650" s="1" t="n"/>
    </row>
    <row r="651">
      <c r="A651" s="34">
        <f>IF($H651="UNIDADE CONSTRUTIVA",OFFSET(A651,-1,0)+1,LARGE(A$3:A650,1))</f>
        <v/>
      </c>
      <c r="B651" s="34">
        <f>IF(H651="UNIDADE CONSTRUTIVA",0,IF(H651="CÉLULA CONSTRUTIVA",OFFSET(B651,-1,0)+1,OFFSET(B651,-1,0)))</f>
        <v/>
      </c>
      <c r="C651" s="34">
        <f>IF(H651="CÉLULA CONSTRUTIVA",0,IF(H651="ETAPA",OFFSET(C651,-1,0)+1,OFFSET(C651,-1,0)))</f>
        <v/>
      </c>
      <c r="D651" s="35">
        <f>IF(H651="ETAPA",0,IF(H651="SUBETAPA",OFFSET(D651,-1,0)+1,OFFSET(D651,-1,0)))</f>
        <v/>
      </c>
      <c r="E651" s="35">
        <f>IF(H651="Subetapa",0,IF(H651="serviço",OFFSET(E651,-1,0)+1,OFFSET(E651,-1,0)))</f>
        <v/>
      </c>
      <c r="F651" s="56" t="n"/>
      <c r="G651" s="1" t="n"/>
      <c r="H651" s="1" t="n"/>
      <c r="I651" s="1" t="n"/>
      <c r="J651" s="64" t="n"/>
      <c r="K651" s="52" t="n"/>
      <c r="L651" s="58" t="n"/>
      <c r="M651" s="58" t="n"/>
      <c r="N651" s="70" t="n"/>
      <c r="O651" s="56" t="n"/>
      <c r="P651" s="1" t="n"/>
      <c r="Q651" s="1" t="n"/>
    </row>
    <row r="652">
      <c r="A652" s="34">
        <f>IF($H652="UNIDADE CONSTRUTIVA",OFFSET(A652,-1,0)+1,LARGE(A$3:A651,1))</f>
        <v/>
      </c>
      <c r="B652" s="34">
        <f>IF(H652="UNIDADE CONSTRUTIVA",0,IF(H652="CÉLULA CONSTRUTIVA",OFFSET(B652,-1,0)+1,OFFSET(B652,-1,0)))</f>
        <v/>
      </c>
      <c r="C652" s="34">
        <f>IF(H652="CÉLULA CONSTRUTIVA",0,IF(H652="ETAPA",OFFSET(C652,-1,0)+1,OFFSET(C652,-1,0)))</f>
        <v/>
      </c>
      <c r="D652" s="35">
        <f>IF(H652="ETAPA",0,IF(H652="SUBETAPA",OFFSET(D652,-1,0)+1,OFFSET(D652,-1,0)))</f>
        <v/>
      </c>
      <c r="E652" s="35">
        <f>IF(H652="Subetapa",0,IF(H652="serviço",OFFSET(E652,-1,0)+1,OFFSET(E652,-1,0)))</f>
        <v/>
      </c>
      <c r="F652" s="56" t="n"/>
      <c r="G652" s="1" t="n"/>
      <c r="H652" s="1" t="n"/>
      <c r="I652" s="1" t="n"/>
      <c r="J652" s="64" t="n"/>
      <c r="K652" s="52" t="n"/>
      <c r="L652" s="58" t="n"/>
      <c r="M652" s="58" t="n"/>
      <c r="N652" s="70" t="n"/>
      <c r="O652" s="56" t="n"/>
      <c r="P652" s="1" t="n"/>
      <c r="Q652" s="1" t="n"/>
    </row>
    <row r="653">
      <c r="A653" s="34">
        <f>IF($H653="UNIDADE CONSTRUTIVA",OFFSET(A653,-1,0)+1,LARGE(A$3:A652,1))</f>
        <v/>
      </c>
      <c r="B653" s="34">
        <f>IF(H653="UNIDADE CONSTRUTIVA",0,IF(H653="CÉLULA CONSTRUTIVA",OFFSET(B653,-1,0)+1,OFFSET(B653,-1,0)))</f>
        <v/>
      </c>
      <c r="C653" s="34">
        <f>IF(H653="CÉLULA CONSTRUTIVA",0,IF(H653="ETAPA",OFFSET(C653,-1,0)+1,OFFSET(C653,-1,0)))</f>
        <v/>
      </c>
      <c r="D653" s="35">
        <f>IF(H653="ETAPA",0,IF(H653="SUBETAPA",OFFSET(D653,-1,0)+1,OFFSET(D653,-1,0)))</f>
        <v/>
      </c>
      <c r="E653" s="35">
        <f>IF(H653="Subetapa",0,IF(H653="serviço",OFFSET(E653,-1,0)+1,OFFSET(E653,-1,0)))</f>
        <v/>
      </c>
      <c r="F653" s="56" t="n"/>
      <c r="G653" s="1" t="n"/>
      <c r="H653" s="1" t="n"/>
      <c r="I653" s="1" t="n"/>
      <c r="J653" s="64" t="n"/>
      <c r="K653" s="52" t="n"/>
      <c r="L653" s="58" t="n"/>
      <c r="M653" s="58" t="n"/>
      <c r="N653" s="70" t="n"/>
      <c r="O653" s="56" t="n"/>
      <c r="P653" s="1" t="n"/>
      <c r="Q653" s="1" t="n"/>
    </row>
    <row r="654">
      <c r="A654" s="34">
        <f>IF($H654="UNIDADE CONSTRUTIVA",OFFSET(A654,-1,0)+1,LARGE(A$3:A653,1))</f>
        <v/>
      </c>
      <c r="B654" s="34">
        <f>IF(H654="UNIDADE CONSTRUTIVA",0,IF(H654="CÉLULA CONSTRUTIVA",OFFSET(B654,-1,0)+1,OFFSET(B654,-1,0)))</f>
        <v/>
      </c>
      <c r="C654" s="34">
        <f>IF(H654="CÉLULA CONSTRUTIVA",0,IF(H654="ETAPA",OFFSET(C654,-1,0)+1,OFFSET(C654,-1,0)))</f>
        <v/>
      </c>
      <c r="D654" s="35">
        <f>IF(H654="ETAPA",0,IF(H654="SUBETAPA",OFFSET(D654,-1,0)+1,OFFSET(D654,-1,0)))</f>
        <v/>
      </c>
      <c r="E654" s="35">
        <f>IF(H654="Subetapa",0,IF(H654="serviço",OFFSET(E654,-1,0)+1,OFFSET(E654,-1,0)))</f>
        <v/>
      </c>
      <c r="F654" s="56" t="n"/>
      <c r="G654" s="1" t="n"/>
      <c r="H654" s="1" t="n"/>
      <c r="I654" s="1" t="n"/>
      <c r="J654" s="64" t="n"/>
      <c r="K654" s="52" t="n"/>
      <c r="L654" s="58" t="n"/>
      <c r="M654" s="58" t="n"/>
      <c r="N654" s="70" t="n"/>
      <c r="O654" s="56" t="n"/>
      <c r="P654" s="1" t="n"/>
      <c r="Q654" s="1" t="n"/>
    </row>
    <row r="655">
      <c r="A655" s="34">
        <f>IF($H655="UNIDADE CONSTRUTIVA",OFFSET(A655,-1,0)+1,LARGE(A$3:A654,1))</f>
        <v/>
      </c>
      <c r="B655" s="34">
        <f>IF(H655="UNIDADE CONSTRUTIVA",0,IF(H655="CÉLULA CONSTRUTIVA",OFFSET(B655,-1,0)+1,OFFSET(B655,-1,0)))</f>
        <v/>
      </c>
      <c r="C655" s="34">
        <f>IF(H655="CÉLULA CONSTRUTIVA",0,IF(H655="ETAPA",OFFSET(C655,-1,0)+1,OFFSET(C655,-1,0)))</f>
        <v/>
      </c>
      <c r="D655" s="35">
        <f>IF(H655="ETAPA",0,IF(H655="SUBETAPA",OFFSET(D655,-1,0)+1,OFFSET(D655,-1,0)))</f>
        <v/>
      </c>
      <c r="E655" s="35">
        <f>IF(H655="Subetapa",0,IF(H655="serviço",OFFSET(E655,-1,0)+1,OFFSET(E655,-1,0)))</f>
        <v/>
      </c>
      <c r="F655" s="56" t="n"/>
      <c r="G655" s="1" t="n"/>
      <c r="H655" s="1" t="n"/>
      <c r="I655" s="1" t="n"/>
      <c r="J655" s="64" t="n"/>
      <c r="K655" s="52" t="n"/>
      <c r="L655" s="58" t="n"/>
      <c r="M655" s="58" t="n"/>
      <c r="N655" s="70" t="n"/>
      <c r="O655" s="56" t="n"/>
      <c r="P655" s="1" t="n"/>
      <c r="Q655" s="1" t="n"/>
    </row>
    <row r="656">
      <c r="A656" s="34">
        <f>IF($H656="UNIDADE CONSTRUTIVA",OFFSET(A656,-1,0)+1,LARGE(A$3:A655,1))</f>
        <v/>
      </c>
      <c r="B656" s="34">
        <f>IF(H656="UNIDADE CONSTRUTIVA",0,IF(H656="CÉLULA CONSTRUTIVA",OFFSET(B656,-1,0)+1,OFFSET(B656,-1,0)))</f>
        <v/>
      </c>
      <c r="C656" s="34">
        <f>IF(H656="CÉLULA CONSTRUTIVA",0,IF(H656="ETAPA",OFFSET(C656,-1,0)+1,OFFSET(C656,-1,0)))</f>
        <v/>
      </c>
      <c r="D656" s="35">
        <f>IF(H656="ETAPA",0,IF(H656="SUBETAPA",OFFSET(D656,-1,0)+1,OFFSET(D656,-1,0)))</f>
        <v/>
      </c>
      <c r="E656" s="35">
        <f>IF(H656="Subetapa",0,IF(H656="serviço",OFFSET(E656,-1,0)+1,OFFSET(E656,-1,0)))</f>
        <v/>
      </c>
      <c r="F656" s="56" t="n"/>
      <c r="G656" s="1" t="n"/>
      <c r="H656" s="1" t="n"/>
      <c r="I656" s="1" t="n"/>
      <c r="J656" s="64" t="n"/>
      <c r="K656" s="52" t="n"/>
      <c r="L656" s="58" t="n"/>
      <c r="M656" s="58" t="n"/>
      <c r="N656" s="70" t="n"/>
      <c r="O656" s="56" t="n"/>
      <c r="P656" s="1" t="n"/>
      <c r="Q656" s="1" t="n"/>
    </row>
    <row r="657">
      <c r="A657" s="34">
        <f>IF($H657="UNIDADE CONSTRUTIVA",OFFSET(A657,-1,0)+1,LARGE(A$3:A656,1))</f>
        <v/>
      </c>
      <c r="B657" s="34">
        <f>IF(H657="UNIDADE CONSTRUTIVA",0,IF(H657="CÉLULA CONSTRUTIVA",OFFSET(B657,-1,0)+1,OFFSET(B657,-1,0)))</f>
        <v/>
      </c>
      <c r="C657" s="34">
        <f>IF(H657="CÉLULA CONSTRUTIVA",0,IF(H657="ETAPA",OFFSET(C657,-1,0)+1,OFFSET(C657,-1,0)))</f>
        <v/>
      </c>
      <c r="D657" s="35">
        <f>IF(H657="ETAPA",0,IF(H657="SUBETAPA",OFFSET(D657,-1,0)+1,OFFSET(D657,-1,0)))</f>
        <v/>
      </c>
      <c r="E657" s="35">
        <f>IF(H657="Subetapa",0,IF(H657="serviço",OFFSET(E657,-1,0)+1,OFFSET(E657,-1,0)))</f>
        <v/>
      </c>
      <c r="F657" s="56" t="n"/>
      <c r="G657" s="1" t="n"/>
      <c r="H657" s="1" t="n"/>
      <c r="I657" s="1" t="n"/>
      <c r="J657" s="64" t="n"/>
      <c r="K657" s="52" t="n"/>
      <c r="L657" s="58" t="n"/>
      <c r="M657" s="58" t="n"/>
      <c r="N657" s="70" t="n"/>
      <c r="O657" s="56" t="n"/>
      <c r="P657" s="1" t="n"/>
      <c r="Q657" s="1" t="n"/>
    </row>
    <row r="658">
      <c r="A658" s="34">
        <f>IF($H658="UNIDADE CONSTRUTIVA",OFFSET(A658,-1,0)+1,LARGE(A$3:A657,1))</f>
        <v/>
      </c>
      <c r="B658" s="34">
        <f>IF(H658="UNIDADE CONSTRUTIVA",0,IF(H658="CÉLULA CONSTRUTIVA",OFFSET(B658,-1,0)+1,OFFSET(B658,-1,0)))</f>
        <v/>
      </c>
      <c r="C658" s="34">
        <f>IF(H658="CÉLULA CONSTRUTIVA",0,IF(H658="ETAPA",OFFSET(C658,-1,0)+1,OFFSET(C658,-1,0)))</f>
        <v/>
      </c>
      <c r="D658" s="35">
        <f>IF(H658="ETAPA",0,IF(H658="SUBETAPA",OFFSET(D658,-1,0)+1,OFFSET(D658,-1,0)))</f>
        <v/>
      </c>
      <c r="E658" s="35">
        <f>IF(H658="Subetapa",0,IF(H658="serviço",OFFSET(E658,-1,0)+1,OFFSET(E658,-1,0)))</f>
        <v/>
      </c>
      <c r="F658" s="56" t="n"/>
      <c r="G658" s="1" t="n"/>
      <c r="H658" s="1" t="n"/>
      <c r="I658" s="1" t="n"/>
      <c r="J658" s="64" t="n"/>
      <c r="K658" s="52" t="n"/>
      <c r="L658" s="58" t="n"/>
      <c r="M658" s="58" t="n"/>
      <c r="N658" s="70" t="n"/>
      <c r="O658" s="56" t="n"/>
      <c r="P658" s="1" t="n"/>
      <c r="Q658" s="1" t="n"/>
    </row>
    <row r="659">
      <c r="A659" s="34">
        <f>IF($H659="UNIDADE CONSTRUTIVA",OFFSET(A659,-1,0)+1,LARGE(A$3:A658,1))</f>
        <v/>
      </c>
      <c r="B659" s="34">
        <f>IF(H659="UNIDADE CONSTRUTIVA",0,IF(H659="CÉLULA CONSTRUTIVA",OFFSET(B659,-1,0)+1,OFFSET(B659,-1,0)))</f>
        <v/>
      </c>
      <c r="C659" s="34">
        <f>IF(H659="CÉLULA CONSTRUTIVA",0,IF(H659="ETAPA",OFFSET(C659,-1,0)+1,OFFSET(C659,-1,0)))</f>
        <v/>
      </c>
      <c r="D659" s="35">
        <f>IF(H659="ETAPA",0,IF(H659="SUBETAPA",OFFSET(D659,-1,0)+1,OFFSET(D659,-1,0)))</f>
        <v/>
      </c>
      <c r="E659" s="35">
        <f>IF(H659="Subetapa",0,IF(H659="serviço",OFFSET(E659,-1,0)+1,OFFSET(E659,-1,0)))</f>
        <v/>
      </c>
      <c r="F659" s="56" t="n"/>
      <c r="G659" s="1" t="n"/>
      <c r="H659" s="1" t="n"/>
      <c r="I659" s="1" t="n"/>
      <c r="J659" s="64" t="n"/>
      <c r="K659" s="52" t="n"/>
      <c r="L659" s="58" t="n"/>
      <c r="M659" s="58" t="n"/>
      <c r="N659" s="70" t="n"/>
      <c r="O659" s="56" t="n"/>
      <c r="P659" s="1" t="n"/>
      <c r="Q659" s="1" t="n"/>
    </row>
    <row r="660">
      <c r="A660" s="34">
        <f>IF($H660="UNIDADE CONSTRUTIVA",OFFSET(A660,-1,0)+1,LARGE(A$3:A659,1))</f>
        <v/>
      </c>
      <c r="B660" s="34">
        <f>IF(H660="UNIDADE CONSTRUTIVA",0,IF(H660="CÉLULA CONSTRUTIVA",OFFSET(B660,-1,0)+1,OFFSET(B660,-1,0)))</f>
        <v/>
      </c>
      <c r="C660" s="34">
        <f>IF(H660="CÉLULA CONSTRUTIVA",0,IF(H660="ETAPA",OFFSET(C660,-1,0)+1,OFFSET(C660,-1,0)))</f>
        <v/>
      </c>
      <c r="D660" s="35">
        <f>IF(H660="ETAPA",0,IF(H660="SUBETAPA",OFFSET(D660,-1,0)+1,OFFSET(D660,-1,0)))</f>
        <v/>
      </c>
      <c r="E660" s="35">
        <f>IF(H660="Subetapa",0,IF(H660="serviço",OFFSET(E660,-1,0)+1,OFFSET(E660,-1,0)))</f>
        <v/>
      </c>
      <c r="F660" s="56" t="n"/>
      <c r="G660" s="1" t="n"/>
      <c r="H660" s="1" t="n"/>
      <c r="I660" s="1" t="n"/>
      <c r="J660" s="64" t="n"/>
      <c r="K660" s="52" t="n"/>
      <c r="L660" s="58" t="n"/>
      <c r="M660" s="58" t="n"/>
      <c r="N660" s="70" t="n"/>
      <c r="O660" s="56" t="n"/>
      <c r="P660" s="1" t="n"/>
      <c r="Q660" s="1" t="n"/>
    </row>
    <row r="661">
      <c r="A661" s="34">
        <f>IF($H661="UNIDADE CONSTRUTIVA",OFFSET(A661,-1,0)+1,LARGE(A$3:A660,1))</f>
        <v/>
      </c>
      <c r="B661" s="34">
        <f>IF(H661="UNIDADE CONSTRUTIVA",0,IF(H661="CÉLULA CONSTRUTIVA",OFFSET(B661,-1,0)+1,OFFSET(B661,-1,0)))</f>
        <v/>
      </c>
      <c r="C661" s="34">
        <f>IF(H661="CÉLULA CONSTRUTIVA",0,IF(H661="ETAPA",OFFSET(C661,-1,0)+1,OFFSET(C661,-1,0)))</f>
        <v/>
      </c>
      <c r="D661" s="35">
        <f>IF(H661="ETAPA",0,IF(H661="SUBETAPA",OFFSET(D661,-1,0)+1,OFFSET(D661,-1,0)))</f>
        <v/>
      </c>
      <c r="E661" s="35">
        <f>IF(H661="Subetapa",0,IF(H661="serviço",OFFSET(E661,-1,0)+1,OFFSET(E661,-1,0)))</f>
        <v/>
      </c>
      <c r="F661" s="56" t="n"/>
      <c r="G661" s="1" t="n"/>
      <c r="H661" s="1" t="n"/>
      <c r="I661" s="1" t="n"/>
      <c r="J661" s="64" t="n"/>
      <c r="K661" s="52" t="n"/>
      <c r="L661" s="58" t="n"/>
      <c r="M661" s="58" t="n"/>
      <c r="N661" s="70" t="n"/>
      <c r="O661" s="56" t="n"/>
      <c r="P661" s="1" t="n"/>
      <c r="Q661" s="1" t="n"/>
    </row>
    <row r="662">
      <c r="A662" s="34">
        <f>IF($H662="UNIDADE CONSTRUTIVA",OFFSET(A662,-1,0)+1,LARGE(A$3:A661,1))</f>
        <v/>
      </c>
      <c r="B662" s="34">
        <f>IF(H662="UNIDADE CONSTRUTIVA",0,IF(H662="CÉLULA CONSTRUTIVA",OFFSET(B662,-1,0)+1,OFFSET(B662,-1,0)))</f>
        <v/>
      </c>
      <c r="C662" s="34">
        <f>IF(H662="CÉLULA CONSTRUTIVA",0,IF(H662="ETAPA",OFFSET(C662,-1,0)+1,OFFSET(C662,-1,0)))</f>
        <v/>
      </c>
      <c r="D662" s="35">
        <f>IF(H662="ETAPA",0,IF(H662="SUBETAPA",OFFSET(D662,-1,0)+1,OFFSET(D662,-1,0)))</f>
        <v/>
      </c>
      <c r="E662" s="35">
        <f>IF(H662="Subetapa",0,IF(H662="serviço",OFFSET(E662,-1,0)+1,OFFSET(E662,-1,0)))</f>
        <v/>
      </c>
      <c r="F662" s="56" t="n"/>
      <c r="G662" s="1" t="n"/>
      <c r="H662" s="1" t="n"/>
      <c r="I662" s="1" t="n"/>
      <c r="J662" s="64" t="n"/>
      <c r="K662" s="52" t="n"/>
      <c r="L662" s="58" t="n"/>
      <c r="M662" s="58" t="n"/>
      <c r="N662" s="70" t="n"/>
      <c r="O662" s="56" t="n"/>
      <c r="P662" s="1" t="n"/>
      <c r="Q662" s="1" t="n"/>
    </row>
    <row r="663">
      <c r="A663" s="34">
        <f>IF($H663="UNIDADE CONSTRUTIVA",OFFSET(A663,-1,0)+1,LARGE(A$3:A662,1))</f>
        <v/>
      </c>
      <c r="B663" s="34">
        <f>IF(H663="UNIDADE CONSTRUTIVA",0,IF(H663="CÉLULA CONSTRUTIVA",OFFSET(B663,-1,0)+1,OFFSET(B663,-1,0)))</f>
        <v/>
      </c>
      <c r="C663" s="34">
        <f>IF(H663="CÉLULA CONSTRUTIVA",0,IF(H663="ETAPA",OFFSET(C663,-1,0)+1,OFFSET(C663,-1,0)))</f>
        <v/>
      </c>
      <c r="D663" s="35">
        <f>IF(H663="ETAPA",0,IF(H663="SUBETAPA",OFFSET(D663,-1,0)+1,OFFSET(D663,-1,0)))</f>
        <v/>
      </c>
      <c r="E663" s="35">
        <f>IF(H663="Subetapa",0,IF(H663="serviço",OFFSET(E663,-1,0)+1,OFFSET(E663,-1,0)))</f>
        <v/>
      </c>
      <c r="F663" s="56" t="n"/>
      <c r="G663" s="1" t="n"/>
      <c r="H663" s="1" t="n"/>
      <c r="I663" s="1" t="n"/>
      <c r="J663" s="64" t="n"/>
      <c r="K663" s="52" t="n"/>
      <c r="L663" s="58" t="n"/>
      <c r="M663" s="58" t="n"/>
      <c r="N663" s="70" t="n"/>
      <c r="O663" s="56" t="n"/>
      <c r="P663" s="1" t="n"/>
      <c r="Q663" s="1" t="n"/>
    </row>
    <row r="664">
      <c r="A664" s="34">
        <f>IF($H664="UNIDADE CONSTRUTIVA",OFFSET(A664,-1,0)+1,LARGE(A$3:A663,1))</f>
        <v/>
      </c>
      <c r="B664" s="34">
        <f>IF(H664="UNIDADE CONSTRUTIVA",0,IF(H664="CÉLULA CONSTRUTIVA",OFFSET(B664,-1,0)+1,OFFSET(B664,-1,0)))</f>
        <v/>
      </c>
      <c r="C664" s="34">
        <f>IF(H664="CÉLULA CONSTRUTIVA",0,IF(H664="ETAPA",OFFSET(C664,-1,0)+1,OFFSET(C664,-1,0)))</f>
        <v/>
      </c>
      <c r="D664" s="35">
        <f>IF(H664="ETAPA",0,IF(H664="SUBETAPA",OFFSET(D664,-1,0)+1,OFFSET(D664,-1,0)))</f>
        <v/>
      </c>
      <c r="E664" s="35">
        <f>IF(H664="Subetapa",0,IF(H664="serviço",OFFSET(E664,-1,0)+1,OFFSET(E664,-1,0)))</f>
        <v/>
      </c>
      <c r="F664" s="56" t="n"/>
      <c r="G664" s="1" t="n"/>
      <c r="H664" s="1" t="n"/>
      <c r="I664" s="1" t="n"/>
      <c r="J664" s="64" t="n"/>
      <c r="K664" s="52" t="n"/>
      <c r="L664" s="58" t="n"/>
      <c r="M664" s="58" t="n"/>
      <c r="N664" s="70" t="n"/>
      <c r="O664" s="56" t="n"/>
      <c r="P664" s="1" t="n"/>
      <c r="Q664" s="1" t="n"/>
    </row>
    <row r="665">
      <c r="A665" s="34">
        <f>IF($H665="UNIDADE CONSTRUTIVA",OFFSET(A665,-1,0)+1,LARGE(A$3:A664,1))</f>
        <v/>
      </c>
      <c r="B665" s="34">
        <f>IF(H665="UNIDADE CONSTRUTIVA",0,IF(H665="CÉLULA CONSTRUTIVA",OFFSET(B665,-1,0)+1,OFFSET(B665,-1,0)))</f>
        <v/>
      </c>
      <c r="C665" s="34">
        <f>IF(H665="CÉLULA CONSTRUTIVA",0,IF(H665="ETAPA",OFFSET(C665,-1,0)+1,OFFSET(C665,-1,0)))</f>
        <v/>
      </c>
      <c r="D665" s="35">
        <f>IF(H665="ETAPA",0,IF(H665="SUBETAPA",OFFSET(D665,-1,0)+1,OFFSET(D665,-1,0)))</f>
        <v/>
      </c>
      <c r="E665" s="35">
        <f>IF(H665="Subetapa",0,IF(H665="serviço",OFFSET(E665,-1,0)+1,OFFSET(E665,-1,0)))</f>
        <v/>
      </c>
      <c r="F665" s="56" t="n"/>
      <c r="G665" s="1" t="n"/>
      <c r="H665" s="1" t="n"/>
      <c r="I665" s="1" t="n"/>
      <c r="J665" s="64" t="n"/>
      <c r="K665" s="52" t="n"/>
      <c r="L665" s="58" t="n"/>
      <c r="M665" s="58" t="n"/>
      <c r="N665" s="70" t="n"/>
      <c r="O665" s="56" t="n"/>
      <c r="P665" s="1" t="n"/>
      <c r="Q665" s="1" t="n"/>
    </row>
    <row r="666">
      <c r="A666" s="34">
        <f>IF($H666="UNIDADE CONSTRUTIVA",OFFSET(A666,-1,0)+1,LARGE(A$3:A665,1))</f>
        <v/>
      </c>
      <c r="B666" s="34">
        <f>IF(H666="UNIDADE CONSTRUTIVA",0,IF(H666="CÉLULA CONSTRUTIVA",OFFSET(B666,-1,0)+1,OFFSET(B666,-1,0)))</f>
        <v/>
      </c>
      <c r="C666" s="34">
        <f>IF(H666="CÉLULA CONSTRUTIVA",0,IF(H666="ETAPA",OFFSET(C666,-1,0)+1,OFFSET(C666,-1,0)))</f>
        <v/>
      </c>
      <c r="D666" s="35">
        <f>IF(H666="ETAPA",0,IF(H666="SUBETAPA",OFFSET(D666,-1,0)+1,OFFSET(D666,-1,0)))</f>
        <v/>
      </c>
      <c r="E666" s="35">
        <f>IF(H666="Subetapa",0,IF(H666="serviço",OFFSET(E666,-1,0)+1,OFFSET(E666,-1,0)))</f>
        <v/>
      </c>
      <c r="F666" s="56" t="n"/>
      <c r="G666" s="1" t="n"/>
      <c r="H666" s="1" t="n"/>
      <c r="I666" s="1" t="n"/>
      <c r="J666" s="64" t="n"/>
      <c r="K666" s="52" t="n"/>
      <c r="L666" s="58" t="n"/>
      <c r="M666" s="58" t="n"/>
      <c r="N666" s="70" t="n"/>
      <c r="O666" s="56" t="n"/>
      <c r="P666" s="1" t="n"/>
      <c r="Q666" s="1" t="n"/>
    </row>
    <row r="667">
      <c r="A667" s="34">
        <f>IF($H667="UNIDADE CONSTRUTIVA",OFFSET(A667,-1,0)+1,LARGE(A$3:A666,1))</f>
        <v/>
      </c>
      <c r="B667" s="34">
        <f>IF(H667="UNIDADE CONSTRUTIVA",0,IF(H667="CÉLULA CONSTRUTIVA",OFFSET(B667,-1,0)+1,OFFSET(B667,-1,0)))</f>
        <v/>
      </c>
      <c r="C667" s="34">
        <f>IF(H667="CÉLULA CONSTRUTIVA",0,IF(H667="ETAPA",OFFSET(C667,-1,0)+1,OFFSET(C667,-1,0)))</f>
        <v/>
      </c>
      <c r="D667" s="35">
        <f>IF(H667="ETAPA",0,IF(H667="SUBETAPA",OFFSET(D667,-1,0)+1,OFFSET(D667,-1,0)))</f>
        <v/>
      </c>
      <c r="E667" s="35">
        <f>IF(H667="Subetapa",0,IF(H667="serviço",OFFSET(E667,-1,0)+1,OFFSET(E667,-1,0)))</f>
        <v/>
      </c>
      <c r="F667" s="56" t="n"/>
      <c r="G667" s="1" t="n"/>
      <c r="H667" s="1" t="n"/>
      <c r="I667" s="1" t="n"/>
      <c r="J667" s="64" t="n"/>
      <c r="K667" s="52" t="n"/>
      <c r="L667" s="58" t="n"/>
      <c r="M667" s="58" t="n"/>
      <c r="N667" s="70" t="n"/>
      <c r="O667" s="56" t="n"/>
      <c r="P667" s="1" t="n"/>
      <c r="Q667" s="1" t="n"/>
    </row>
    <row r="668">
      <c r="A668" s="34">
        <f>IF($H668="UNIDADE CONSTRUTIVA",OFFSET(A668,-1,0)+1,LARGE(A$3:A667,1))</f>
        <v/>
      </c>
      <c r="B668" s="34">
        <f>IF(H668="UNIDADE CONSTRUTIVA",0,IF(H668="CÉLULA CONSTRUTIVA",OFFSET(B668,-1,0)+1,OFFSET(B668,-1,0)))</f>
        <v/>
      </c>
      <c r="C668" s="34">
        <f>IF(H668="CÉLULA CONSTRUTIVA",0,IF(H668="ETAPA",OFFSET(C668,-1,0)+1,OFFSET(C668,-1,0)))</f>
        <v/>
      </c>
      <c r="D668" s="35">
        <f>IF(H668="ETAPA",0,IF(H668="SUBETAPA",OFFSET(D668,-1,0)+1,OFFSET(D668,-1,0)))</f>
        <v/>
      </c>
      <c r="E668" s="35">
        <f>IF(H668="Subetapa",0,IF(H668="serviço",OFFSET(E668,-1,0)+1,OFFSET(E668,-1,0)))</f>
        <v/>
      </c>
      <c r="F668" s="56" t="n"/>
      <c r="G668" s="1" t="n"/>
      <c r="H668" s="1" t="n"/>
      <c r="I668" s="1" t="n"/>
      <c r="J668" s="64" t="n"/>
      <c r="K668" s="52" t="n"/>
      <c r="L668" s="58" t="n"/>
      <c r="M668" s="58" t="n"/>
      <c r="N668" s="70" t="n"/>
      <c r="O668" s="56" t="n"/>
      <c r="P668" s="1" t="n"/>
      <c r="Q668" s="1" t="n"/>
    </row>
    <row r="669">
      <c r="A669" s="34">
        <f>IF($H669="UNIDADE CONSTRUTIVA",OFFSET(A669,-1,0)+1,LARGE(A$3:A668,1))</f>
        <v/>
      </c>
      <c r="B669" s="34">
        <f>IF(H669="UNIDADE CONSTRUTIVA",0,IF(H669="CÉLULA CONSTRUTIVA",OFFSET(B669,-1,0)+1,OFFSET(B669,-1,0)))</f>
        <v/>
      </c>
      <c r="C669" s="34">
        <f>IF(H669="CÉLULA CONSTRUTIVA",0,IF(H669="ETAPA",OFFSET(C669,-1,0)+1,OFFSET(C669,-1,0)))</f>
        <v/>
      </c>
      <c r="D669" s="35">
        <f>IF(H669="ETAPA",0,IF(H669="SUBETAPA",OFFSET(D669,-1,0)+1,OFFSET(D669,-1,0)))</f>
        <v/>
      </c>
      <c r="E669" s="35">
        <f>IF(H669="Subetapa",0,IF(H669="serviço",OFFSET(E669,-1,0)+1,OFFSET(E669,-1,0)))</f>
        <v/>
      </c>
      <c r="F669" s="56" t="n"/>
      <c r="G669" s="1" t="n"/>
      <c r="H669" s="1" t="n"/>
      <c r="I669" s="1" t="n"/>
      <c r="J669" s="64" t="n"/>
      <c r="K669" s="52" t="n"/>
      <c r="L669" s="58" t="n"/>
      <c r="M669" s="58" t="n"/>
      <c r="N669" s="70" t="n"/>
      <c r="O669" s="56" t="n"/>
      <c r="P669" s="1" t="n"/>
      <c r="Q669" s="1" t="n"/>
    </row>
    <row r="670">
      <c r="A670" s="34">
        <f>IF($H670="UNIDADE CONSTRUTIVA",OFFSET(A670,-1,0)+1,LARGE(A$3:A669,1))</f>
        <v/>
      </c>
      <c r="B670" s="34">
        <f>IF(H670="UNIDADE CONSTRUTIVA",0,IF(H670="CÉLULA CONSTRUTIVA",OFFSET(B670,-1,0)+1,OFFSET(B670,-1,0)))</f>
        <v/>
      </c>
      <c r="C670" s="34">
        <f>IF(H670="CÉLULA CONSTRUTIVA",0,IF(H670="ETAPA",OFFSET(C670,-1,0)+1,OFFSET(C670,-1,0)))</f>
        <v/>
      </c>
      <c r="D670" s="35">
        <f>IF(H670="ETAPA",0,IF(H670="SUBETAPA",OFFSET(D670,-1,0)+1,OFFSET(D670,-1,0)))</f>
        <v/>
      </c>
      <c r="E670" s="35">
        <f>IF(H670="Subetapa",0,IF(H670="serviço",OFFSET(E670,-1,0)+1,OFFSET(E670,-1,0)))</f>
        <v/>
      </c>
      <c r="F670" s="56" t="n"/>
      <c r="G670" s="1" t="n"/>
      <c r="H670" s="1" t="n"/>
      <c r="I670" s="1" t="n"/>
      <c r="J670" s="64" t="n"/>
      <c r="K670" s="52" t="n"/>
      <c r="L670" s="58" t="n"/>
      <c r="M670" s="58" t="n"/>
      <c r="N670" s="70" t="n"/>
      <c r="O670" s="56" t="n"/>
      <c r="P670" s="1" t="n"/>
      <c r="Q670" s="1" t="n"/>
    </row>
    <row r="671">
      <c r="A671" s="34">
        <f>IF($H671="UNIDADE CONSTRUTIVA",OFFSET(A671,-1,0)+1,LARGE(A$3:A670,1))</f>
        <v/>
      </c>
      <c r="B671" s="34">
        <f>IF(H671="UNIDADE CONSTRUTIVA",0,IF(H671="CÉLULA CONSTRUTIVA",OFFSET(B671,-1,0)+1,OFFSET(B671,-1,0)))</f>
        <v/>
      </c>
      <c r="C671" s="34">
        <f>IF(H671="CÉLULA CONSTRUTIVA",0,IF(H671="ETAPA",OFFSET(C671,-1,0)+1,OFFSET(C671,-1,0)))</f>
        <v/>
      </c>
      <c r="D671" s="35">
        <f>IF(H671="ETAPA",0,IF(H671="SUBETAPA",OFFSET(D671,-1,0)+1,OFFSET(D671,-1,0)))</f>
        <v/>
      </c>
      <c r="E671" s="35">
        <f>IF(H671="Subetapa",0,IF(H671="serviço",OFFSET(E671,-1,0)+1,OFFSET(E671,-1,0)))</f>
        <v/>
      </c>
      <c r="F671" s="56" t="n"/>
      <c r="G671" s="1" t="n"/>
      <c r="H671" s="1" t="n"/>
      <c r="I671" s="1" t="n"/>
      <c r="J671" s="64" t="n"/>
      <c r="K671" s="52" t="n"/>
      <c r="L671" s="58" t="n"/>
      <c r="M671" s="58" t="n"/>
      <c r="N671" s="70" t="n"/>
      <c r="O671" s="56" t="n"/>
      <c r="P671" s="1" t="n"/>
      <c r="Q671" s="1" t="n"/>
    </row>
    <row r="672">
      <c r="A672" s="34">
        <f>IF($H672="UNIDADE CONSTRUTIVA",OFFSET(A672,-1,0)+1,LARGE(A$3:A671,1))</f>
        <v/>
      </c>
      <c r="B672" s="34">
        <f>IF(H672="UNIDADE CONSTRUTIVA",0,IF(H672="CÉLULA CONSTRUTIVA",OFFSET(B672,-1,0)+1,OFFSET(B672,-1,0)))</f>
        <v/>
      </c>
      <c r="C672" s="34">
        <f>IF(H672="CÉLULA CONSTRUTIVA",0,IF(H672="ETAPA",OFFSET(C672,-1,0)+1,OFFSET(C672,-1,0)))</f>
        <v/>
      </c>
      <c r="D672" s="35">
        <f>IF(H672="ETAPA",0,IF(H672="SUBETAPA",OFFSET(D672,-1,0)+1,OFFSET(D672,-1,0)))</f>
        <v/>
      </c>
      <c r="E672" s="35">
        <f>IF(H672="Subetapa",0,IF(H672="serviço",OFFSET(E672,-1,0)+1,OFFSET(E672,-1,0)))</f>
        <v/>
      </c>
      <c r="F672" s="56" t="n"/>
      <c r="G672" s="1" t="n"/>
      <c r="H672" s="1" t="n"/>
      <c r="I672" s="1" t="n"/>
      <c r="J672" s="64" t="n"/>
      <c r="K672" s="52" t="n"/>
      <c r="L672" s="58" t="n"/>
      <c r="M672" s="58" t="n"/>
      <c r="N672" s="70" t="n"/>
      <c r="O672" s="56" t="n"/>
      <c r="P672" s="1" t="n"/>
      <c r="Q672" s="1" t="n"/>
    </row>
    <row r="673">
      <c r="A673" s="34">
        <f>IF($H673="UNIDADE CONSTRUTIVA",OFFSET(A673,-1,0)+1,LARGE(A$3:A672,1))</f>
        <v/>
      </c>
      <c r="B673" s="34">
        <f>IF(H673="UNIDADE CONSTRUTIVA",0,IF(H673="CÉLULA CONSTRUTIVA",OFFSET(B673,-1,0)+1,OFFSET(B673,-1,0)))</f>
        <v/>
      </c>
      <c r="C673" s="34">
        <f>IF(H673="CÉLULA CONSTRUTIVA",0,IF(H673="ETAPA",OFFSET(C673,-1,0)+1,OFFSET(C673,-1,0)))</f>
        <v/>
      </c>
      <c r="D673" s="35">
        <f>IF(H673="ETAPA",0,IF(H673="SUBETAPA",OFFSET(D673,-1,0)+1,OFFSET(D673,-1,0)))</f>
        <v/>
      </c>
      <c r="E673" s="35">
        <f>IF(H673="Subetapa",0,IF(H673="serviço",OFFSET(E673,-1,0)+1,OFFSET(E673,-1,0)))</f>
        <v/>
      </c>
      <c r="F673" s="56" t="n"/>
      <c r="G673" s="1" t="n"/>
      <c r="H673" s="1" t="n"/>
      <c r="I673" s="1" t="n"/>
      <c r="J673" s="64" t="n"/>
      <c r="K673" s="52" t="n"/>
      <c r="L673" s="58" t="n"/>
      <c r="M673" s="58" t="n"/>
      <c r="N673" s="70" t="n"/>
      <c r="O673" s="56" t="n"/>
      <c r="P673" s="1" t="n"/>
      <c r="Q673" s="1" t="n"/>
    </row>
    <row r="674">
      <c r="A674" s="34">
        <f>IF($H674="UNIDADE CONSTRUTIVA",OFFSET(A674,-1,0)+1,LARGE(A$3:A673,1))</f>
        <v/>
      </c>
      <c r="B674" s="34">
        <f>IF(H674="UNIDADE CONSTRUTIVA",0,IF(H674="CÉLULA CONSTRUTIVA",OFFSET(B674,-1,0)+1,OFFSET(B674,-1,0)))</f>
        <v/>
      </c>
      <c r="C674" s="34">
        <f>IF(H674="CÉLULA CONSTRUTIVA",0,IF(H674="ETAPA",OFFSET(C674,-1,0)+1,OFFSET(C674,-1,0)))</f>
        <v/>
      </c>
      <c r="D674" s="35">
        <f>IF(H674="ETAPA",0,IF(H674="SUBETAPA",OFFSET(D674,-1,0)+1,OFFSET(D674,-1,0)))</f>
        <v/>
      </c>
      <c r="E674" s="35">
        <f>IF(H674="Subetapa",0,IF(H674="serviço",OFFSET(E674,-1,0)+1,OFFSET(E674,-1,0)))</f>
        <v/>
      </c>
      <c r="F674" s="56" t="n"/>
      <c r="G674" s="1" t="n"/>
      <c r="H674" s="1" t="n"/>
      <c r="I674" s="1" t="n"/>
      <c r="J674" s="64" t="n"/>
      <c r="K674" s="52" t="n"/>
      <c r="L674" s="58" t="n"/>
      <c r="M674" s="58" t="n"/>
      <c r="N674" s="70" t="n"/>
      <c r="O674" s="56" t="n"/>
      <c r="P674" s="1" t="n"/>
      <c r="Q674" s="1" t="n"/>
    </row>
    <row r="675">
      <c r="A675" s="34">
        <f>IF($H675="UNIDADE CONSTRUTIVA",OFFSET(A675,-1,0)+1,LARGE(A$3:A674,1))</f>
        <v/>
      </c>
      <c r="B675" s="34">
        <f>IF(H675="UNIDADE CONSTRUTIVA",0,IF(H675="CÉLULA CONSTRUTIVA",OFFSET(B675,-1,0)+1,OFFSET(B675,-1,0)))</f>
        <v/>
      </c>
      <c r="C675" s="34">
        <f>IF(H675="CÉLULA CONSTRUTIVA",0,IF(H675="ETAPA",OFFSET(C675,-1,0)+1,OFFSET(C675,-1,0)))</f>
        <v/>
      </c>
      <c r="D675" s="35">
        <f>IF(H675="ETAPA",0,IF(H675="SUBETAPA",OFFSET(D675,-1,0)+1,OFFSET(D675,-1,0)))</f>
        <v/>
      </c>
      <c r="E675" s="35">
        <f>IF(H675="Subetapa",0,IF(H675="serviço",OFFSET(E675,-1,0)+1,OFFSET(E675,-1,0)))</f>
        <v/>
      </c>
      <c r="F675" s="56" t="n"/>
      <c r="G675" s="1" t="n"/>
      <c r="H675" s="1" t="n"/>
      <c r="I675" s="1" t="n"/>
      <c r="J675" s="64" t="n"/>
      <c r="K675" s="52" t="n"/>
      <c r="L675" s="58" t="n"/>
      <c r="M675" s="58" t="n"/>
      <c r="N675" s="70" t="n"/>
      <c r="O675" s="56" t="n"/>
      <c r="P675" s="1" t="n"/>
      <c r="Q675" s="1" t="n"/>
    </row>
    <row r="676">
      <c r="A676" s="34">
        <f>IF($H676="UNIDADE CONSTRUTIVA",OFFSET(A676,-1,0)+1,LARGE(A$3:A675,1))</f>
        <v/>
      </c>
      <c r="B676" s="34">
        <f>IF(H676="UNIDADE CONSTRUTIVA",0,IF(H676="CÉLULA CONSTRUTIVA",OFFSET(B676,-1,0)+1,OFFSET(B676,-1,0)))</f>
        <v/>
      </c>
      <c r="C676" s="34">
        <f>IF(H676="CÉLULA CONSTRUTIVA",0,IF(H676="ETAPA",OFFSET(C676,-1,0)+1,OFFSET(C676,-1,0)))</f>
        <v/>
      </c>
      <c r="D676" s="35">
        <f>IF(H676="ETAPA",0,IF(H676="SUBETAPA",OFFSET(D676,-1,0)+1,OFFSET(D676,-1,0)))</f>
        <v/>
      </c>
      <c r="E676" s="35">
        <f>IF(H676="Subetapa",0,IF(H676="serviço",OFFSET(E676,-1,0)+1,OFFSET(E676,-1,0)))</f>
        <v/>
      </c>
      <c r="F676" s="56" t="n"/>
      <c r="G676" s="1" t="n"/>
      <c r="H676" s="1" t="n"/>
      <c r="I676" s="1" t="n"/>
      <c r="J676" s="64" t="n"/>
      <c r="K676" s="52" t="n"/>
      <c r="L676" s="58" t="n"/>
      <c r="M676" s="58" t="n"/>
      <c r="N676" s="70" t="n"/>
      <c r="O676" s="56" t="n"/>
      <c r="P676" s="1" t="n"/>
      <c r="Q676" s="1" t="n"/>
    </row>
    <row r="677">
      <c r="A677" s="34">
        <f>IF($H677="UNIDADE CONSTRUTIVA",OFFSET(A677,-1,0)+1,LARGE(A$3:A676,1))</f>
        <v/>
      </c>
      <c r="B677" s="34">
        <f>IF(H677="UNIDADE CONSTRUTIVA",0,IF(H677="CÉLULA CONSTRUTIVA",OFFSET(B677,-1,0)+1,OFFSET(B677,-1,0)))</f>
        <v/>
      </c>
      <c r="C677" s="34">
        <f>IF(H677="CÉLULA CONSTRUTIVA",0,IF(H677="ETAPA",OFFSET(C677,-1,0)+1,OFFSET(C677,-1,0)))</f>
        <v/>
      </c>
      <c r="D677" s="35">
        <f>IF(H677="ETAPA",0,IF(H677="SUBETAPA",OFFSET(D677,-1,0)+1,OFFSET(D677,-1,0)))</f>
        <v/>
      </c>
      <c r="E677" s="35">
        <f>IF(H677="Subetapa",0,IF(H677="serviço",OFFSET(E677,-1,0)+1,OFFSET(E677,-1,0)))</f>
        <v/>
      </c>
      <c r="F677" s="56" t="n"/>
      <c r="G677" s="1" t="n"/>
      <c r="H677" s="1" t="n"/>
      <c r="I677" s="1" t="n"/>
      <c r="J677" s="64" t="n"/>
      <c r="K677" s="52" t="n"/>
      <c r="L677" s="58" t="n"/>
      <c r="M677" s="58" t="n"/>
      <c r="N677" s="70" t="n"/>
      <c r="O677" s="56" t="n"/>
      <c r="P677" s="1" t="n"/>
      <c r="Q677" s="1" t="n"/>
    </row>
    <row r="678">
      <c r="A678" s="34">
        <f>IF($H678="UNIDADE CONSTRUTIVA",OFFSET(A678,-1,0)+1,LARGE(A$3:A677,1))</f>
        <v/>
      </c>
      <c r="B678" s="34">
        <f>IF(H678="UNIDADE CONSTRUTIVA",0,IF(H678="CÉLULA CONSTRUTIVA",OFFSET(B678,-1,0)+1,OFFSET(B678,-1,0)))</f>
        <v/>
      </c>
      <c r="C678" s="34">
        <f>IF(H678="CÉLULA CONSTRUTIVA",0,IF(H678="ETAPA",OFFSET(C678,-1,0)+1,OFFSET(C678,-1,0)))</f>
        <v/>
      </c>
      <c r="D678" s="35">
        <f>IF(H678="ETAPA",0,IF(H678="SUBETAPA",OFFSET(D678,-1,0)+1,OFFSET(D678,-1,0)))</f>
        <v/>
      </c>
      <c r="E678" s="35">
        <f>IF(H678="Subetapa",0,IF(H678="serviço",OFFSET(E678,-1,0)+1,OFFSET(E678,-1,0)))</f>
        <v/>
      </c>
      <c r="F678" s="56" t="n"/>
      <c r="G678" s="1" t="n"/>
      <c r="H678" s="1" t="n"/>
      <c r="I678" s="1" t="n"/>
      <c r="J678" s="64" t="n"/>
      <c r="K678" s="52" t="n"/>
      <c r="L678" s="58" t="n"/>
      <c r="M678" s="58" t="n"/>
      <c r="N678" s="70" t="n"/>
      <c r="O678" s="56" t="n"/>
      <c r="P678" s="1" t="n"/>
      <c r="Q678" s="1" t="n"/>
    </row>
    <row r="679">
      <c r="A679" s="34">
        <f>IF($H679="UNIDADE CONSTRUTIVA",OFFSET(A679,-1,0)+1,LARGE(A$3:A678,1))</f>
        <v/>
      </c>
      <c r="B679" s="34">
        <f>IF(H679="UNIDADE CONSTRUTIVA",0,IF(H679="CÉLULA CONSTRUTIVA",OFFSET(B679,-1,0)+1,OFFSET(B679,-1,0)))</f>
        <v/>
      </c>
      <c r="C679" s="34">
        <f>IF(H679="CÉLULA CONSTRUTIVA",0,IF(H679="ETAPA",OFFSET(C679,-1,0)+1,OFFSET(C679,-1,0)))</f>
        <v/>
      </c>
      <c r="D679" s="35">
        <f>IF(H679="ETAPA",0,IF(H679="SUBETAPA",OFFSET(D679,-1,0)+1,OFFSET(D679,-1,0)))</f>
        <v/>
      </c>
      <c r="E679" s="35">
        <f>IF(H679="Subetapa",0,IF(H679="serviço",OFFSET(E679,-1,0)+1,OFFSET(E679,-1,0)))</f>
        <v/>
      </c>
      <c r="F679" s="56" t="n"/>
      <c r="G679" s="1" t="n"/>
      <c r="H679" s="1" t="n"/>
      <c r="I679" s="1" t="n"/>
      <c r="J679" s="64" t="n"/>
      <c r="K679" s="52" t="n"/>
      <c r="L679" s="58" t="n"/>
      <c r="M679" s="58" t="n"/>
      <c r="N679" s="70" t="n"/>
      <c r="O679" s="56" t="n"/>
      <c r="P679" s="1" t="n"/>
      <c r="Q679" s="1" t="n"/>
    </row>
    <row r="680">
      <c r="A680" s="34">
        <f>IF($H680="UNIDADE CONSTRUTIVA",OFFSET(A680,-1,0)+1,LARGE(A$3:A679,1))</f>
        <v/>
      </c>
      <c r="B680" s="34">
        <f>IF(H680="UNIDADE CONSTRUTIVA",0,IF(H680="CÉLULA CONSTRUTIVA",OFFSET(B680,-1,0)+1,OFFSET(B680,-1,0)))</f>
        <v/>
      </c>
      <c r="C680" s="34">
        <f>IF(H680="CÉLULA CONSTRUTIVA",0,IF(H680="ETAPA",OFFSET(C680,-1,0)+1,OFFSET(C680,-1,0)))</f>
        <v/>
      </c>
      <c r="D680" s="35">
        <f>IF(H680="ETAPA",0,IF(H680="SUBETAPA",OFFSET(D680,-1,0)+1,OFFSET(D680,-1,0)))</f>
        <v/>
      </c>
      <c r="E680" s="35">
        <f>IF(H680="Subetapa",0,IF(H680="serviço",OFFSET(E680,-1,0)+1,OFFSET(E680,-1,0)))</f>
        <v/>
      </c>
      <c r="F680" s="56" t="n"/>
      <c r="G680" s="1" t="n"/>
      <c r="H680" s="1" t="n"/>
      <c r="I680" s="1" t="n"/>
      <c r="J680" s="64" t="n"/>
      <c r="K680" s="52" t="n"/>
      <c r="L680" s="58" t="n"/>
      <c r="M680" s="58" t="n"/>
      <c r="N680" s="70" t="n"/>
      <c r="O680" s="56" t="n"/>
      <c r="P680" s="1" t="n"/>
      <c r="Q680" s="1" t="n"/>
    </row>
    <row r="681">
      <c r="A681" s="34">
        <f>IF($H681="UNIDADE CONSTRUTIVA",OFFSET(A681,-1,0)+1,LARGE(A$3:A680,1))</f>
        <v/>
      </c>
      <c r="B681" s="34">
        <f>IF(H681="UNIDADE CONSTRUTIVA",0,IF(H681="CÉLULA CONSTRUTIVA",OFFSET(B681,-1,0)+1,OFFSET(B681,-1,0)))</f>
        <v/>
      </c>
      <c r="C681" s="34">
        <f>IF(H681="CÉLULA CONSTRUTIVA",0,IF(H681="ETAPA",OFFSET(C681,-1,0)+1,OFFSET(C681,-1,0)))</f>
        <v/>
      </c>
      <c r="D681" s="35">
        <f>IF(H681="ETAPA",0,IF(H681="SUBETAPA",OFFSET(D681,-1,0)+1,OFFSET(D681,-1,0)))</f>
        <v/>
      </c>
      <c r="E681" s="35">
        <f>IF(H681="Subetapa",0,IF(H681="serviço",OFFSET(E681,-1,0)+1,OFFSET(E681,-1,0)))</f>
        <v/>
      </c>
      <c r="F681" s="56" t="n"/>
      <c r="G681" s="1" t="n"/>
      <c r="H681" s="1" t="n"/>
      <c r="I681" s="1" t="n"/>
      <c r="J681" s="64" t="n"/>
      <c r="K681" s="52" t="n"/>
      <c r="L681" s="58" t="n"/>
      <c r="M681" s="58" t="n"/>
      <c r="N681" s="70" t="n"/>
      <c r="O681" s="56" t="n"/>
      <c r="P681" s="1" t="n"/>
      <c r="Q681" s="1" t="n"/>
    </row>
    <row r="682">
      <c r="A682" s="34">
        <f>IF($H682="UNIDADE CONSTRUTIVA",OFFSET(A682,-1,0)+1,LARGE(A$3:A681,1))</f>
        <v/>
      </c>
      <c r="B682" s="34">
        <f>IF(H682="UNIDADE CONSTRUTIVA",0,IF(H682="CÉLULA CONSTRUTIVA",OFFSET(B682,-1,0)+1,OFFSET(B682,-1,0)))</f>
        <v/>
      </c>
      <c r="C682" s="34">
        <f>IF(H682="CÉLULA CONSTRUTIVA",0,IF(H682="ETAPA",OFFSET(C682,-1,0)+1,OFFSET(C682,-1,0)))</f>
        <v/>
      </c>
      <c r="D682" s="35">
        <f>IF(H682="ETAPA",0,IF(H682="SUBETAPA",OFFSET(D682,-1,0)+1,OFFSET(D682,-1,0)))</f>
        <v/>
      </c>
      <c r="E682" s="35">
        <f>IF(H682="Subetapa",0,IF(H682="serviço",OFFSET(E682,-1,0)+1,OFFSET(E682,-1,0)))</f>
        <v/>
      </c>
      <c r="F682" s="56" t="n"/>
      <c r="G682" s="1" t="n"/>
      <c r="H682" s="1" t="n"/>
      <c r="I682" s="1" t="n"/>
      <c r="J682" s="64" t="n"/>
      <c r="K682" s="52" t="n"/>
      <c r="L682" s="58" t="n"/>
      <c r="M682" s="58" t="n"/>
      <c r="N682" s="70" t="n"/>
      <c r="O682" s="56" t="n"/>
      <c r="P682" s="1" t="n"/>
      <c r="Q682" s="1" t="n"/>
    </row>
    <row r="683">
      <c r="A683" s="34">
        <f>IF($H683="UNIDADE CONSTRUTIVA",OFFSET(A683,-1,0)+1,LARGE(A$3:A682,1))</f>
        <v/>
      </c>
      <c r="B683" s="34">
        <f>IF(H683="UNIDADE CONSTRUTIVA",0,IF(H683="CÉLULA CONSTRUTIVA",OFFSET(B683,-1,0)+1,OFFSET(B683,-1,0)))</f>
        <v/>
      </c>
      <c r="C683" s="34">
        <f>IF(H683="CÉLULA CONSTRUTIVA",0,IF(H683="ETAPA",OFFSET(C683,-1,0)+1,OFFSET(C683,-1,0)))</f>
        <v/>
      </c>
      <c r="D683" s="35">
        <f>IF(H683="ETAPA",0,IF(H683="SUBETAPA",OFFSET(D683,-1,0)+1,OFFSET(D683,-1,0)))</f>
        <v/>
      </c>
      <c r="E683" s="35">
        <f>IF(H683="Subetapa",0,IF(H683="serviço",OFFSET(E683,-1,0)+1,OFFSET(E683,-1,0)))</f>
        <v/>
      </c>
      <c r="F683" s="56" t="n"/>
      <c r="G683" s="1" t="n"/>
      <c r="H683" s="1" t="n"/>
      <c r="I683" s="1" t="n"/>
      <c r="J683" s="64" t="n"/>
      <c r="K683" s="52" t="n"/>
      <c r="L683" s="58" t="n"/>
      <c r="M683" s="58" t="n"/>
      <c r="N683" s="70" t="n"/>
      <c r="O683" s="56" t="n"/>
      <c r="P683" s="1" t="n"/>
      <c r="Q683" s="1" t="n"/>
    </row>
    <row r="684">
      <c r="A684" s="34">
        <f>IF($H684="UNIDADE CONSTRUTIVA",OFFSET(A684,-1,0)+1,LARGE(A$3:A683,1))</f>
        <v/>
      </c>
      <c r="B684" s="34">
        <f>IF(H684="UNIDADE CONSTRUTIVA",0,IF(H684="CÉLULA CONSTRUTIVA",OFFSET(B684,-1,0)+1,OFFSET(B684,-1,0)))</f>
        <v/>
      </c>
      <c r="C684" s="34">
        <f>IF(H684="CÉLULA CONSTRUTIVA",0,IF(H684="ETAPA",OFFSET(C684,-1,0)+1,OFFSET(C684,-1,0)))</f>
        <v/>
      </c>
      <c r="D684" s="35">
        <f>IF(H684="ETAPA",0,IF(H684="SUBETAPA",OFFSET(D684,-1,0)+1,OFFSET(D684,-1,0)))</f>
        <v/>
      </c>
      <c r="E684" s="35">
        <f>IF(H684="Subetapa",0,IF(H684="serviço",OFFSET(E684,-1,0)+1,OFFSET(E684,-1,0)))</f>
        <v/>
      </c>
      <c r="F684" s="56" t="n"/>
      <c r="G684" s="1" t="n"/>
      <c r="H684" s="1" t="n"/>
      <c r="I684" s="1" t="n"/>
      <c r="J684" s="64" t="n"/>
      <c r="K684" s="52" t="n"/>
      <c r="L684" s="58" t="n"/>
      <c r="M684" s="58" t="n"/>
      <c r="N684" s="70" t="n"/>
      <c r="O684" s="56" t="n"/>
      <c r="P684" s="1" t="n"/>
      <c r="Q684" s="1" t="n"/>
    </row>
    <row r="685">
      <c r="A685" s="34">
        <f>IF($H685="UNIDADE CONSTRUTIVA",OFFSET(A685,-1,0)+1,LARGE(A$3:A684,1))</f>
        <v/>
      </c>
      <c r="B685" s="34">
        <f>IF(H685="UNIDADE CONSTRUTIVA",0,IF(H685="CÉLULA CONSTRUTIVA",OFFSET(B685,-1,0)+1,OFFSET(B685,-1,0)))</f>
        <v/>
      </c>
      <c r="C685" s="34">
        <f>IF(H685="CÉLULA CONSTRUTIVA",0,IF(H685="ETAPA",OFFSET(C685,-1,0)+1,OFFSET(C685,-1,0)))</f>
        <v/>
      </c>
      <c r="D685" s="35">
        <f>IF(H685="ETAPA",0,IF(H685="SUBETAPA",OFFSET(D685,-1,0)+1,OFFSET(D685,-1,0)))</f>
        <v/>
      </c>
      <c r="E685" s="35">
        <f>IF(H685="Subetapa",0,IF(H685="serviço",OFFSET(E685,-1,0)+1,OFFSET(E685,-1,0)))</f>
        <v/>
      </c>
      <c r="F685" s="56" t="n"/>
      <c r="G685" s="1" t="n"/>
      <c r="H685" s="1" t="n"/>
      <c r="I685" s="1" t="n"/>
      <c r="J685" s="64" t="n"/>
      <c r="K685" s="52" t="n"/>
      <c r="L685" s="58" t="n"/>
      <c r="M685" s="58" t="n"/>
      <c r="N685" s="70" t="n"/>
      <c r="O685" s="56" t="n"/>
      <c r="P685" s="1" t="n"/>
      <c r="Q685" s="1" t="n"/>
    </row>
    <row r="686">
      <c r="A686" s="34">
        <f>IF($H686="UNIDADE CONSTRUTIVA",OFFSET(A686,-1,0)+1,LARGE(A$3:A685,1))</f>
        <v/>
      </c>
      <c r="B686" s="34">
        <f>IF(H686="UNIDADE CONSTRUTIVA",0,IF(H686="CÉLULA CONSTRUTIVA",OFFSET(B686,-1,0)+1,OFFSET(B686,-1,0)))</f>
        <v/>
      </c>
      <c r="C686" s="34">
        <f>IF(H686="CÉLULA CONSTRUTIVA",0,IF(H686="ETAPA",OFFSET(C686,-1,0)+1,OFFSET(C686,-1,0)))</f>
        <v/>
      </c>
      <c r="D686" s="35">
        <f>IF(H686="ETAPA",0,IF(H686="SUBETAPA",OFFSET(D686,-1,0)+1,OFFSET(D686,-1,0)))</f>
        <v/>
      </c>
      <c r="E686" s="35">
        <f>IF(H686="Subetapa",0,IF(H686="serviço",OFFSET(E686,-1,0)+1,OFFSET(E686,-1,0)))</f>
        <v/>
      </c>
      <c r="F686" s="56" t="n"/>
      <c r="G686" s="1" t="n"/>
      <c r="H686" s="1" t="n"/>
      <c r="I686" s="1" t="n"/>
      <c r="J686" s="64" t="n"/>
      <c r="K686" s="52" t="n"/>
      <c r="L686" s="58" t="n"/>
      <c r="M686" s="58" t="n"/>
      <c r="N686" s="70" t="n"/>
      <c r="O686" s="56" t="n"/>
      <c r="P686" s="1" t="n"/>
      <c r="Q686" s="1" t="n"/>
    </row>
    <row r="687">
      <c r="A687" s="34">
        <f>IF($H687="UNIDADE CONSTRUTIVA",OFFSET(A687,-1,0)+1,LARGE(A$3:A686,1))</f>
        <v/>
      </c>
      <c r="B687" s="34">
        <f>IF(H687="UNIDADE CONSTRUTIVA",0,IF(H687="CÉLULA CONSTRUTIVA",OFFSET(B687,-1,0)+1,OFFSET(B687,-1,0)))</f>
        <v/>
      </c>
      <c r="C687" s="34">
        <f>IF(H687="CÉLULA CONSTRUTIVA",0,IF(H687="ETAPA",OFFSET(C687,-1,0)+1,OFFSET(C687,-1,0)))</f>
        <v/>
      </c>
      <c r="D687" s="35">
        <f>IF(H687="ETAPA",0,IF(H687="SUBETAPA",OFFSET(D687,-1,0)+1,OFFSET(D687,-1,0)))</f>
        <v/>
      </c>
      <c r="E687" s="35">
        <f>IF(H687="Subetapa",0,IF(H687="serviço",OFFSET(E687,-1,0)+1,OFFSET(E687,-1,0)))</f>
        <v/>
      </c>
      <c r="F687" s="56" t="n"/>
      <c r="G687" s="1" t="n"/>
      <c r="H687" s="1" t="n"/>
      <c r="I687" s="1" t="n"/>
      <c r="J687" s="64" t="n"/>
      <c r="K687" s="52" t="n"/>
      <c r="L687" s="58" t="n"/>
      <c r="M687" s="58" t="n"/>
      <c r="N687" s="70" t="n"/>
      <c r="O687" s="56" t="n"/>
      <c r="P687" s="1" t="n"/>
      <c r="Q687" s="1" t="n"/>
    </row>
    <row r="688">
      <c r="A688" s="34">
        <f>IF($H688="UNIDADE CONSTRUTIVA",OFFSET(A688,-1,0)+1,LARGE(A$3:A687,1))</f>
        <v/>
      </c>
      <c r="B688" s="34">
        <f>IF(H688="UNIDADE CONSTRUTIVA",0,IF(H688="CÉLULA CONSTRUTIVA",OFFSET(B688,-1,0)+1,OFFSET(B688,-1,0)))</f>
        <v/>
      </c>
      <c r="C688" s="34">
        <f>IF(H688="CÉLULA CONSTRUTIVA",0,IF(H688="ETAPA",OFFSET(C688,-1,0)+1,OFFSET(C688,-1,0)))</f>
        <v/>
      </c>
      <c r="D688" s="35">
        <f>IF(H688="ETAPA",0,IF(H688="SUBETAPA",OFFSET(D688,-1,0)+1,OFFSET(D688,-1,0)))</f>
        <v/>
      </c>
      <c r="E688" s="35">
        <f>IF(H688="Subetapa",0,IF(H688="serviço",OFFSET(E688,-1,0)+1,OFFSET(E688,-1,0)))</f>
        <v/>
      </c>
      <c r="F688" s="56" t="n"/>
      <c r="G688" s="1" t="n"/>
      <c r="H688" s="1" t="n"/>
      <c r="I688" s="1" t="n"/>
      <c r="J688" s="64" t="n"/>
      <c r="K688" s="52" t="n"/>
      <c r="L688" s="58" t="n"/>
      <c r="M688" s="58" t="n"/>
      <c r="N688" s="70" t="n"/>
      <c r="O688" s="56" t="n"/>
      <c r="P688" s="1" t="n"/>
      <c r="Q688" s="1" t="n"/>
    </row>
    <row r="689">
      <c r="A689" s="34">
        <f>IF($H689="UNIDADE CONSTRUTIVA",OFFSET(A689,-1,0)+1,LARGE(A$3:A688,1))</f>
        <v/>
      </c>
      <c r="B689" s="34">
        <f>IF(H689="UNIDADE CONSTRUTIVA",0,IF(H689="CÉLULA CONSTRUTIVA",OFFSET(B689,-1,0)+1,OFFSET(B689,-1,0)))</f>
        <v/>
      </c>
      <c r="C689" s="34">
        <f>IF(H689="CÉLULA CONSTRUTIVA",0,IF(H689="ETAPA",OFFSET(C689,-1,0)+1,OFFSET(C689,-1,0)))</f>
        <v/>
      </c>
      <c r="D689" s="35">
        <f>IF(H689="ETAPA",0,IF(H689="SUBETAPA",OFFSET(D689,-1,0)+1,OFFSET(D689,-1,0)))</f>
        <v/>
      </c>
      <c r="E689" s="35">
        <f>IF(H689="Subetapa",0,IF(H689="serviço",OFFSET(E689,-1,0)+1,OFFSET(E689,-1,0)))</f>
        <v/>
      </c>
      <c r="F689" s="56" t="n"/>
      <c r="G689" s="1" t="n"/>
      <c r="H689" s="1" t="n"/>
      <c r="I689" s="1" t="n"/>
      <c r="J689" s="64" t="n"/>
      <c r="K689" s="52" t="n"/>
      <c r="L689" s="58" t="n"/>
      <c r="M689" s="58" t="n"/>
      <c r="N689" s="70" t="n"/>
      <c r="O689" s="56" t="n"/>
      <c r="P689" s="1" t="n"/>
      <c r="Q689" s="1" t="n"/>
    </row>
    <row r="690">
      <c r="A690" s="34">
        <f>IF($H690="UNIDADE CONSTRUTIVA",OFFSET(A690,-1,0)+1,LARGE(A$3:A689,1))</f>
        <v/>
      </c>
      <c r="B690" s="34">
        <f>IF(H690="UNIDADE CONSTRUTIVA",0,IF(H690="CÉLULA CONSTRUTIVA",OFFSET(B690,-1,0)+1,OFFSET(B690,-1,0)))</f>
        <v/>
      </c>
      <c r="C690" s="34">
        <f>IF(H690="CÉLULA CONSTRUTIVA",0,IF(H690="ETAPA",OFFSET(C690,-1,0)+1,OFFSET(C690,-1,0)))</f>
        <v/>
      </c>
      <c r="D690" s="35">
        <f>IF(H690="ETAPA",0,IF(H690="SUBETAPA",OFFSET(D690,-1,0)+1,OFFSET(D690,-1,0)))</f>
        <v/>
      </c>
      <c r="E690" s="35">
        <f>IF(H690="Subetapa",0,IF(H690="serviço",OFFSET(E690,-1,0)+1,OFFSET(E690,-1,0)))</f>
        <v/>
      </c>
      <c r="F690" s="56" t="n"/>
      <c r="G690" s="1" t="n"/>
      <c r="H690" s="1" t="n"/>
      <c r="I690" s="1" t="n"/>
      <c r="J690" s="64" t="n"/>
      <c r="K690" s="52" t="n"/>
      <c r="L690" s="58" t="n"/>
      <c r="M690" s="58" t="n"/>
      <c r="N690" s="70" t="n"/>
      <c r="O690" s="56" t="n"/>
      <c r="P690" s="1" t="n"/>
      <c r="Q690" s="1" t="n"/>
    </row>
    <row r="691">
      <c r="A691" s="34">
        <f>IF($H691="UNIDADE CONSTRUTIVA",OFFSET(A691,-1,0)+1,LARGE(A$3:A690,1))</f>
        <v/>
      </c>
      <c r="B691" s="34">
        <f>IF(H691="UNIDADE CONSTRUTIVA",0,IF(H691="CÉLULA CONSTRUTIVA",OFFSET(B691,-1,0)+1,OFFSET(B691,-1,0)))</f>
        <v/>
      </c>
      <c r="C691" s="34">
        <f>IF(H691="CÉLULA CONSTRUTIVA",0,IF(H691="ETAPA",OFFSET(C691,-1,0)+1,OFFSET(C691,-1,0)))</f>
        <v/>
      </c>
      <c r="D691" s="35">
        <f>IF(H691="ETAPA",0,IF(H691="SUBETAPA",OFFSET(D691,-1,0)+1,OFFSET(D691,-1,0)))</f>
        <v/>
      </c>
      <c r="E691" s="35">
        <f>IF(H691="Subetapa",0,IF(H691="serviço",OFFSET(E691,-1,0)+1,OFFSET(E691,-1,0)))</f>
        <v/>
      </c>
      <c r="F691" s="56" t="n"/>
      <c r="G691" s="1" t="n"/>
      <c r="H691" s="1" t="n"/>
      <c r="I691" s="1" t="n"/>
      <c r="J691" s="64" t="n"/>
      <c r="K691" s="52" t="n"/>
      <c r="L691" s="58" t="n"/>
      <c r="M691" s="58" t="n"/>
      <c r="N691" s="70" t="n"/>
      <c r="O691" s="56" t="n"/>
      <c r="P691" s="1" t="n"/>
      <c r="Q691" s="1" t="n"/>
    </row>
    <row r="692">
      <c r="A692" s="34">
        <f>IF($H692="UNIDADE CONSTRUTIVA",OFFSET(A692,-1,0)+1,LARGE(A$3:A691,1))</f>
        <v/>
      </c>
      <c r="B692" s="34">
        <f>IF(H692="UNIDADE CONSTRUTIVA",0,IF(H692="CÉLULA CONSTRUTIVA",OFFSET(B692,-1,0)+1,OFFSET(B692,-1,0)))</f>
        <v/>
      </c>
      <c r="C692" s="34">
        <f>IF(H692="CÉLULA CONSTRUTIVA",0,IF(H692="ETAPA",OFFSET(C692,-1,0)+1,OFFSET(C692,-1,0)))</f>
        <v/>
      </c>
      <c r="D692" s="35">
        <f>IF(H692="ETAPA",0,IF(H692="SUBETAPA",OFFSET(D692,-1,0)+1,OFFSET(D692,-1,0)))</f>
        <v/>
      </c>
      <c r="E692" s="35">
        <f>IF(H692="Subetapa",0,IF(H692="serviço",OFFSET(E692,-1,0)+1,OFFSET(E692,-1,0)))</f>
        <v/>
      </c>
      <c r="F692" s="56" t="n"/>
      <c r="G692" s="1" t="n"/>
      <c r="H692" s="1" t="n"/>
      <c r="I692" s="1" t="n"/>
      <c r="J692" s="64" t="n"/>
      <c r="K692" s="52" t="n"/>
      <c r="L692" s="58" t="n"/>
      <c r="M692" s="58" t="n"/>
      <c r="N692" s="70" t="n"/>
      <c r="O692" s="56" t="n"/>
      <c r="P692" s="1" t="n"/>
      <c r="Q692" s="1" t="n"/>
    </row>
    <row r="693">
      <c r="A693" s="34">
        <f>IF($H693="UNIDADE CONSTRUTIVA",OFFSET(A693,-1,0)+1,LARGE(A$3:A692,1))</f>
        <v/>
      </c>
      <c r="B693" s="34">
        <f>IF(H693="UNIDADE CONSTRUTIVA",0,IF(H693="CÉLULA CONSTRUTIVA",OFFSET(B693,-1,0)+1,OFFSET(B693,-1,0)))</f>
        <v/>
      </c>
      <c r="C693" s="34">
        <f>IF(H693="CÉLULA CONSTRUTIVA",0,IF(H693="ETAPA",OFFSET(C693,-1,0)+1,OFFSET(C693,-1,0)))</f>
        <v/>
      </c>
      <c r="D693" s="35">
        <f>IF(H693="ETAPA",0,IF(H693="SUBETAPA",OFFSET(D693,-1,0)+1,OFFSET(D693,-1,0)))</f>
        <v/>
      </c>
      <c r="E693" s="35">
        <f>IF(H693="Subetapa",0,IF(H693="serviço",OFFSET(E693,-1,0)+1,OFFSET(E693,-1,0)))</f>
        <v/>
      </c>
      <c r="F693" s="56" t="n"/>
      <c r="G693" s="1" t="n"/>
      <c r="H693" s="1" t="n"/>
      <c r="I693" s="1" t="n"/>
      <c r="J693" s="64" t="n"/>
      <c r="K693" s="52" t="n"/>
      <c r="L693" s="58" t="n"/>
      <c r="M693" s="58" t="n"/>
      <c r="N693" s="70" t="n"/>
      <c r="O693" s="56" t="n"/>
      <c r="P693" s="1" t="n"/>
      <c r="Q693" s="1" t="n"/>
    </row>
    <row r="694">
      <c r="A694" s="34">
        <f>IF($H694="UNIDADE CONSTRUTIVA",OFFSET(A694,-1,0)+1,LARGE(A$3:A693,1))</f>
        <v/>
      </c>
      <c r="B694" s="34">
        <f>IF(H694="UNIDADE CONSTRUTIVA",0,IF(H694="CÉLULA CONSTRUTIVA",OFFSET(B694,-1,0)+1,OFFSET(B694,-1,0)))</f>
        <v/>
      </c>
      <c r="C694" s="34">
        <f>IF(H694="CÉLULA CONSTRUTIVA",0,IF(H694="ETAPA",OFFSET(C694,-1,0)+1,OFFSET(C694,-1,0)))</f>
        <v/>
      </c>
      <c r="D694" s="35">
        <f>IF(H694="ETAPA",0,IF(H694="SUBETAPA",OFFSET(D694,-1,0)+1,OFFSET(D694,-1,0)))</f>
        <v/>
      </c>
      <c r="E694" s="35">
        <f>IF(H694="Subetapa",0,IF(H694="serviço",OFFSET(E694,-1,0)+1,OFFSET(E694,-1,0)))</f>
        <v/>
      </c>
      <c r="F694" s="56" t="n"/>
      <c r="G694" s="1" t="n"/>
      <c r="H694" s="1" t="n"/>
      <c r="I694" s="1" t="n"/>
      <c r="J694" s="64" t="n"/>
      <c r="K694" s="52" t="n"/>
      <c r="L694" s="58" t="n"/>
      <c r="M694" s="58" t="n"/>
      <c r="N694" s="70" t="n"/>
      <c r="O694" s="56" t="n"/>
      <c r="P694" s="1" t="n"/>
      <c r="Q694" s="1" t="n"/>
    </row>
    <row r="695">
      <c r="A695" s="34">
        <f>IF($H695="UNIDADE CONSTRUTIVA",OFFSET(A695,-1,0)+1,LARGE(A$3:A694,1))</f>
        <v/>
      </c>
      <c r="B695" s="34">
        <f>IF(H695="UNIDADE CONSTRUTIVA",0,IF(H695="CÉLULA CONSTRUTIVA",OFFSET(B695,-1,0)+1,OFFSET(B695,-1,0)))</f>
        <v/>
      </c>
      <c r="C695" s="34">
        <f>IF(H695="CÉLULA CONSTRUTIVA",0,IF(H695="ETAPA",OFFSET(C695,-1,0)+1,OFFSET(C695,-1,0)))</f>
        <v/>
      </c>
      <c r="D695" s="35">
        <f>IF(H695="ETAPA",0,IF(H695="SUBETAPA",OFFSET(D695,-1,0)+1,OFFSET(D695,-1,0)))</f>
        <v/>
      </c>
      <c r="E695" s="35">
        <f>IF(H695="Subetapa",0,IF(H695="serviço",OFFSET(E695,-1,0)+1,OFFSET(E695,-1,0)))</f>
        <v/>
      </c>
      <c r="F695" s="56" t="n"/>
      <c r="G695" s="1" t="n"/>
      <c r="H695" s="1" t="n"/>
      <c r="I695" s="1" t="n"/>
      <c r="J695" s="64" t="n"/>
      <c r="K695" s="52" t="n"/>
      <c r="L695" s="58" t="n"/>
      <c r="M695" s="58" t="n"/>
      <c r="N695" s="70" t="n"/>
      <c r="O695" s="56" t="n"/>
      <c r="P695" s="1" t="n"/>
      <c r="Q695" s="1" t="n"/>
    </row>
    <row r="696">
      <c r="A696" s="34">
        <f>IF($H696="UNIDADE CONSTRUTIVA",OFFSET(A696,-1,0)+1,LARGE(A$3:A695,1))</f>
        <v/>
      </c>
      <c r="B696" s="34">
        <f>IF(H696="UNIDADE CONSTRUTIVA",0,IF(H696="CÉLULA CONSTRUTIVA",OFFSET(B696,-1,0)+1,OFFSET(B696,-1,0)))</f>
        <v/>
      </c>
      <c r="C696" s="34">
        <f>IF(H696="CÉLULA CONSTRUTIVA",0,IF(H696="ETAPA",OFFSET(C696,-1,0)+1,OFFSET(C696,-1,0)))</f>
        <v/>
      </c>
      <c r="D696" s="35">
        <f>IF(H696="ETAPA",0,IF(H696="SUBETAPA",OFFSET(D696,-1,0)+1,OFFSET(D696,-1,0)))</f>
        <v/>
      </c>
      <c r="E696" s="35">
        <f>IF(H696="Subetapa",0,IF(H696="serviço",OFFSET(E696,-1,0)+1,OFFSET(E696,-1,0)))</f>
        <v/>
      </c>
      <c r="F696" s="56" t="n"/>
      <c r="G696" s="1" t="n"/>
      <c r="H696" s="1" t="n"/>
      <c r="I696" s="1" t="n"/>
      <c r="J696" s="64" t="n"/>
      <c r="K696" s="52" t="n"/>
      <c r="L696" s="58" t="n"/>
      <c r="M696" s="58" t="n"/>
      <c r="N696" s="70" t="n"/>
      <c r="O696" s="56" t="n"/>
      <c r="P696" s="1" t="n"/>
      <c r="Q696" s="1" t="n"/>
    </row>
    <row r="697">
      <c r="A697" s="34">
        <f>IF($H697="UNIDADE CONSTRUTIVA",OFFSET(A697,-1,0)+1,LARGE(A$3:A696,1))</f>
        <v/>
      </c>
      <c r="B697" s="34">
        <f>IF(H697="UNIDADE CONSTRUTIVA",0,IF(H697="CÉLULA CONSTRUTIVA",OFFSET(B697,-1,0)+1,OFFSET(B697,-1,0)))</f>
        <v/>
      </c>
      <c r="C697" s="34">
        <f>IF(H697="CÉLULA CONSTRUTIVA",0,IF(H697="ETAPA",OFFSET(C697,-1,0)+1,OFFSET(C697,-1,0)))</f>
        <v/>
      </c>
      <c r="D697" s="35">
        <f>IF(H697="ETAPA",0,IF(H697="SUBETAPA",OFFSET(D697,-1,0)+1,OFFSET(D697,-1,0)))</f>
        <v/>
      </c>
      <c r="E697" s="35">
        <f>IF(H697="Subetapa",0,IF(H697="serviço",OFFSET(E697,-1,0)+1,OFFSET(E697,-1,0)))</f>
        <v/>
      </c>
      <c r="F697" s="56" t="n"/>
      <c r="G697" s="1" t="n"/>
      <c r="H697" s="1" t="n"/>
      <c r="I697" s="1" t="n"/>
      <c r="J697" s="64" t="n"/>
      <c r="K697" s="52" t="n"/>
      <c r="L697" s="58" t="n"/>
      <c r="M697" s="58" t="n"/>
      <c r="N697" s="70" t="n"/>
      <c r="O697" s="56" t="n"/>
      <c r="P697" s="1" t="n"/>
      <c r="Q697" s="1" t="n"/>
    </row>
    <row r="698">
      <c r="A698" s="34">
        <f>IF($H698="UNIDADE CONSTRUTIVA",OFFSET(A698,-1,0)+1,LARGE(A$3:A697,1))</f>
        <v/>
      </c>
      <c r="B698" s="34">
        <f>IF(H698="UNIDADE CONSTRUTIVA",0,IF(H698="CÉLULA CONSTRUTIVA",OFFSET(B698,-1,0)+1,OFFSET(B698,-1,0)))</f>
        <v/>
      </c>
      <c r="C698" s="34">
        <f>IF(H698="CÉLULA CONSTRUTIVA",0,IF(H698="ETAPA",OFFSET(C698,-1,0)+1,OFFSET(C698,-1,0)))</f>
        <v/>
      </c>
      <c r="D698" s="35">
        <f>IF(H698="ETAPA",0,IF(H698="SUBETAPA",OFFSET(D698,-1,0)+1,OFFSET(D698,-1,0)))</f>
        <v/>
      </c>
      <c r="E698" s="35">
        <f>IF(H698="Subetapa",0,IF(H698="serviço",OFFSET(E698,-1,0)+1,OFFSET(E698,-1,0)))</f>
        <v/>
      </c>
      <c r="F698" s="56" t="n"/>
      <c r="G698" s="1" t="n"/>
      <c r="H698" s="1" t="n"/>
      <c r="I698" s="1" t="n"/>
      <c r="J698" s="64" t="n"/>
      <c r="K698" s="52" t="n"/>
      <c r="L698" s="58" t="n"/>
      <c r="M698" s="58" t="n"/>
      <c r="N698" s="70" t="n"/>
      <c r="O698" s="56" t="n"/>
      <c r="P698" s="1" t="n"/>
      <c r="Q698" s="1" t="n"/>
    </row>
    <row r="699">
      <c r="A699" s="34">
        <f>IF($H699="UNIDADE CONSTRUTIVA",OFFSET(A699,-1,0)+1,LARGE(A$3:A698,1))</f>
        <v/>
      </c>
      <c r="B699" s="34">
        <f>IF(H699="UNIDADE CONSTRUTIVA",0,IF(H699="CÉLULA CONSTRUTIVA",OFFSET(B699,-1,0)+1,OFFSET(B699,-1,0)))</f>
        <v/>
      </c>
      <c r="C699" s="34">
        <f>IF(H699="CÉLULA CONSTRUTIVA",0,IF(H699="ETAPA",OFFSET(C699,-1,0)+1,OFFSET(C699,-1,0)))</f>
        <v/>
      </c>
      <c r="D699" s="35">
        <f>IF(H699="ETAPA",0,IF(H699="SUBETAPA",OFFSET(D699,-1,0)+1,OFFSET(D699,-1,0)))</f>
        <v/>
      </c>
      <c r="E699" s="35">
        <f>IF(H699="Subetapa",0,IF(H699="serviço",OFFSET(E699,-1,0)+1,OFFSET(E699,-1,0)))</f>
        <v/>
      </c>
      <c r="F699" s="56" t="n"/>
      <c r="G699" s="1" t="n"/>
      <c r="H699" s="1" t="n"/>
      <c r="I699" s="1" t="n"/>
      <c r="J699" s="64" t="n"/>
      <c r="K699" s="52" t="n"/>
      <c r="L699" s="58" t="n"/>
      <c r="M699" s="58" t="n"/>
      <c r="N699" s="70" t="n"/>
      <c r="O699" s="56" t="n"/>
      <c r="P699" s="1" t="n"/>
      <c r="Q699" s="1" t="n"/>
    </row>
    <row r="700">
      <c r="A700" s="34">
        <f>IF($H700="UNIDADE CONSTRUTIVA",OFFSET(A700,-1,0)+1,LARGE(A$3:A699,1))</f>
        <v/>
      </c>
      <c r="B700" s="34">
        <f>IF(H700="UNIDADE CONSTRUTIVA",0,IF(H700="CÉLULA CONSTRUTIVA",OFFSET(B700,-1,0)+1,OFFSET(B700,-1,0)))</f>
        <v/>
      </c>
      <c r="C700" s="34">
        <f>IF(H700="CÉLULA CONSTRUTIVA",0,IF(H700="ETAPA",OFFSET(C700,-1,0)+1,OFFSET(C700,-1,0)))</f>
        <v/>
      </c>
      <c r="D700" s="35">
        <f>IF(H700="ETAPA",0,IF(H700="SUBETAPA",OFFSET(D700,-1,0)+1,OFFSET(D700,-1,0)))</f>
        <v/>
      </c>
      <c r="E700" s="35">
        <f>IF(H700="Subetapa",0,IF(H700="serviço",OFFSET(E700,-1,0)+1,OFFSET(E700,-1,0)))</f>
        <v/>
      </c>
      <c r="F700" s="56" t="n"/>
      <c r="G700" s="1" t="n"/>
      <c r="H700" s="1" t="n"/>
      <c r="I700" s="1" t="n"/>
      <c r="J700" s="64" t="n"/>
      <c r="K700" s="52" t="n"/>
      <c r="L700" s="58" t="n"/>
      <c r="M700" s="58" t="n"/>
      <c r="N700" s="70" t="n"/>
      <c r="O700" s="56" t="n"/>
      <c r="P700" s="1" t="n"/>
      <c r="Q700" s="1" t="n"/>
    </row>
    <row r="701">
      <c r="A701" s="34">
        <f>IF($H701="UNIDADE CONSTRUTIVA",OFFSET(A701,-1,0)+1,LARGE(A$3:A700,1))</f>
        <v/>
      </c>
      <c r="B701" s="34">
        <f>IF(H701="UNIDADE CONSTRUTIVA",0,IF(H701="CÉLULA CONSTRUTIVA",OFFSET(B701,-1,0)+1,OFFSET(B701,-1,0)))</f>
        <v/>
      </c>
      <c r="C701" s="34">
        <f>IF(H701="CÉLULA CONSTRUTIVA",0,IF(H701="ETAPA",OFFSET(C701,-1,0)+1,OFFSET(C701,-1,0)))</f>
        <v/>
      </c>
      <c r="D701" s="35">
        <f>IF(H701="ETAPA",0,IF(H701="SUBETAPA",OFFSET(D701,-1,0)+1,OFFSET(D701,-1,0)))</f>
        <v/>
      </c>
      <c r="E701" s="35">
        <f>IF(H701="Subetapa",0,IF(H701="serviço",OFFSET(E701,-1,0)+1,OFFSET(E701,-1,0)))</f>
        <v/>
      </c>
      <c r="F701" s="56" t="n"/>
      <c r="G701" s="1" t="n"/>
      <c r="H701" s="1" t="n"/>
      <c r="I701" s="1" t="n"/>
      <c r="J701" s="64" t="n"/>
      <c r="K701" s="52" t="n"/>
      <c r="L701" s="58" t="n"/>
      <c r="M701" s="58" t="n"/>
      <c r="N701" s="70" t="n"/>
      <c r="O701" s="56" t="n"/>
      <c r="P701" s="1" t="n"/>
      <c r="Q701" s="1" t="n"/>
    </row>
    <row r="702">
      <c r="A702" s="34">
        <f>IF($H702="UNIDADE CONSTRUTIVA",OFFSET(A702,-1,0)+1,LARGE(A$3:A701,1))</f>
        <v/>
      </c>
      <c r="B702" s="34">
        <f>IF(H702="UNIDADE CONSTRUTIVA",0,IF(H702="CÉLULA CONSTRUTIVA",OFFSET(B702,-1,0)+1,OFFSET(B702,-1,0)))</f>
        <v/>
      </c>
      <c r="C702" s="34">
        <f>IF(H702="CÉLULA CONSTRUTIVA",0,IF(H702="ETAPA",OFFSET(C702,-1,0)+1,OFFSET(C702,-1,0)))</f>
        <v/>
      </c>
      <c r="D702" s="35">
        <f>IF(H702="ETAPA",0,IF(H702="SUBETAPA",OFFSET(D702,-1,0)+1,OFFSET(D702,-1,0)))</f>
        <v/>
      </c>
      <c r="E702" s="35">
        <f>IF(H702="Subetapa",0,IF(H702="serviço",OFFSET(E702,-1,0)+1,OFFSET(E702,-1,0)))</f>
        <v/>
      </c>
      <c r="F702" s="56" t="n"/>
      <c r="G702" s="1" t="n"/>
      <c r="H702" s="1" t="n"/>
      <c r="I702" s="1" t="n"/>
      <c r="J702" s="64" t="n"/>
      <c r="K702" s="52" t="n"/>
      <c r="L702" s="58" t="n"/>
      <c r="M702" s="58" t="n"/>
      <c r="N702" s="70" t="n"/>
      <c r="O702" s="56" t="n"/>
      <c r="P702" s="1" t="n"/>
      <c r="Q702" s="1" t="n"/>
    </row>
    <row r="703">
      <c r="A703" s="34">
        <f>IF($H703="UNIDADE CONSTRUTIVA",OFFSET(A703,-1,0)+1,LARGE(A$3:A702,1))</f>
        <v/>
      </c>
      <c r="B703" s="34">
        <f>IF(H703="UNIDADE CONSTRUTIVA",0,IF(H703="CÉLULA CONSTRUTIVA",OFFSET(B703,-1,0)+1,OFFSET(B703,-1,0)))</f>
        <v/>
      </c>
      <c r="C703" s="34">
        <f>IF(H703="CÉLULA CONSTRUTIVA",0,IF(H703="ETAPA",OFFSET(C703,-1,0)+1,OFFSET(C703,-1,0)))</f>
        <v/>
      </c>
      <c r="D703" s="35">
        <f>IF(H703="ETAPA",0,IF(H703="SUBETAPA",OFFSET(D703,-1,0)+1,OFFSET(D703,-1,0)))</f>
        <v/>
      </c>
      <c r="E703" s="35">
        <f>IF(H703="Subetapa",0,IF(H703="serviço",OFFSET(E703,-1,0)+1,OFFSET(E703,-1,0)))</f>
        <v/>
      </c>
      <c r="F703" s="56" t="n"/>
      <c r="G703" s="1" t="n"/>
      <c r="H703" s="1" t="n"/>
      <c r="I703" s="1" t="n"/>
      <c r="J703" s="64" t="n"/>
      <c r="K703" s="52" t="n"/>
      <c r="L703" s="58" t="n"/>
      <c r="M703" s="58" t="n"/>
      <c r="N703" s="70" t="n"/>
      <c r="O703" s="56" t="n"/>
      <c r="P703" s="1" t="n"/>
      <c r="Q703" s="1" t="n"/>
    </row>
    <row r="704">
      <c r="A704" s="34">
        <f>IF($H704="UNIDADE CONSTRUTIVA",OFFSET(A704,-1,0)+1,LARGE(A$3:A703,1))</f>
        <v/>
      </c>
      <c r="B704" s="34">
        <f>IF(H704="UNIDADE CONSTRUTIVA",0,IF(H704="CÉLULA CONSTRUTIVA",OFFSET(B704,-1,0)+1,OFFSET(B704,-1,0)))</f>
        <v/>
      </c>
      <c r="C704" s="34">
        <f>IF(H704="CÉLULA CONSTRUTIVA",0,IF(H704="ETAPA",OFFSET(C704,-1,0)+1,OFFSET(C704,-1,0)))</f>
        <v/>
      </c>
      <c r="D704" s="35">
        <f>IF(H704="ETAPA",0,IF(H704="SUBETAPA",OFFSET(D704,-1,0)+1,OFFSET(D704,-1,0)))</f>
        <v/>
      </c>
      <c r="E704" s="35">
        <f>IF(H704="Subetapa",0,IF(H704="serviço",OFFSET(E704,-1,0)+1,OFFSET(E704,-1,0)))</f>
        <v/>
      </c>
      <c r="F704" s="56" t="n"/>
      <c r="G704" s="1" t="n"/>
      <c r="H704" s="1" t="n"/>
      <c r="I704" s="1" t="n"/>
      <c r="J704" s="64" t="n"/>
      <c r="K704" s="52" t="n"/>
      <c r="L704" s="58" t="n"/>
      <c r="M704" s="58" t="n"/>
      <c r="N704" s="70" t="n"/>
      <c r="O704" s="56" t="n"/>
      <c r="P704" s="1" t="n"/>
      <c r="Q704" s="1" t="n"/>
    </row>
    <row r="705">
      <c r="A705" s="34">
        <f>IF($H705="UNIDADE CONSTRUTIVA",OFFSET(A705,-1,0)+1,LARGE(A$3:A704,1))</f>
        <v/>
      </c>
      <c r="B705" s="34">
        <f>IF(H705="UNIDADE CONSTRUTIVA",0,IF(H705="CÉLULA CONSTRUTIVA",OFFSET(B705,-1,0)+1,OFFSET(B705,-1,0)))</f>
        <v/>
      </c>
      <c r="C705" s="34">
        <f>IF(H705="CÉLULA CONSTRUTIVA",0,IF(H705="ETAPA",OFFSET(C705,-1,0)+1,OFFSET(C705,-1,0)))</f>
        <v/>
      </c>
      <c r="D705" s="35">
        <f>IF(H705="ETAPA",0,IF(H705="SUBETAPA",OFFSET(D705,-1,0)+1,OFFSET(D705,-1,0)))</f>
        <v/>
      </c>
      <c r="E705" s="35">
        <f>IF(H705="Subetapa",0,IF(H705="serviço",OFFSET(E705,-1,0)+1,OFFSET(E705,-1,0)))</f>
        <v/>
      </c>
      <c r="F705" s="56" t="n"/>
      <c r="G705" s="1" t="n"/>
      <c r="H705" s="1" t="n"/>
      <c r="I705" s="1" t="n"/>
      <c r="J705" s="64" t="n"/>
      <c r="K705" s="52" t="n"/>
      <c r="L705" s="58" t="n"/>
      <c r="M705" s="58" t="n"/>
      <c r="N705" s="70" t="n"/>
      <c r="O705" s="56" t="n"/>
      <c r="P705" s="1" t="n"/>
      <c r="Q705" s="1" t="n"/>
    </row>
    <row r="706">
      <c r="A706" s="34">
        <f>IF($H706="UNIDADE CONSTRUTIVA",OFFSET(A706,-1,0)+1,LARGE(A$3:A705,1))</f>
        <v/>
      </c>
      <c r="B706" s="34">
        <f>IF(H706="UNIDADE CONSTRUTIVA",0,IF(H706="CÉLULA CONSTRUTIVA",OFFSET(B706,-1,0)+1,OFFSET(B706,-1,0)))</f>
        <v/>
      </c>
      <c r="C706" s="34">
        <f>IF(H706="CÉLULA CONSTRUTIVA",0,IF(H706="ETAPA",OFFSET(C706,-1,0)+1,OFFSET(C706,-1,0)))</f>
        <v/>
      </c>
      <c r="D706" s="35">
        <f>IF(H706="ETAPA",0,IF(H706="SUBETAPA",OFFSET(D706,-1,0)+1,OFFSET(D706,-1,0)))</f>
        <v/>
      </c>
      <c r="E706" s="35">
        <f>IF(H706="Subetapa",0,IF(H706="serviço",OFFSET(E706,-1,0)+1,OFFSET(E706,-1,0)))</f>
        <v/>
      </c>
      <c r="F706" s="56" t="n"/>
      <c r="G706" s="1" t="n"/>
      <c r="H706" s="1" t="n"/>
      <c r="I706" s="1" t="n"/>
      <c r="J706" s="64" t="n"/>
      <c r="K706" s="52" t="n"/>
      <c r="L706" s="58" t="n"/>
      <c r="M706" s="58" t="n"/>
      <c r="N706" s="70" t="n"/>
      <c r="O706" s="56" t="n"/>
      <c r="P706" s="1" t="n"/>
      <c r="Q706" s="1" t="n"/>
    </row>
    <row r="707">
      <c r="A707" s="34">
        <f>IF($H707="UNIDADE CONSTRUTIVA",OFFSET(A707,-1,0)+1,LARGE(A$3:A706,1))</f>
        <v/>
      </c>
      <c r="B707" s="34">
        <f>IF(H707="UNIDADE CONSTRUTIVA",0,IF(H707="CÉLULA CONSTRUTIVA",OFFSET(B707,-1,0)+1,OFFSET(B707,-1,0)))</f>
        <v/>
      </c>
      <c r="C707" s="34">
        <f>IF(H707="CÉLULA CONSTRUTIVA",0,IF(H707="ETAPA",OFFSET(C707,-1,0)+1,OFFSET(C707,-1,0)))</f>
        <v/>
      </c>
      <c r="D707" s="35">
        <f>IF(H707="ETAPA",0,IF(H707="SUBETAPA",OFFSET(D707,-1,0)+1,OFFSET(D707,-1,0)))</f>
        <v/>
      </c>
      <c r="E707" s="35">
        <f>IF(H707="Subetapa",0,IF(H707="serviço",OFFSET(E707,-1,0)+1,OFFSET(E707,-1,0)))</f>
        <v/>
      </c>
      <c r="F707" s="56" t="n"/>
      <c r="G707" s="1" t="n"/>
      <c r="H707" s="1" t="n"/>
      <c r="I707" s="1" t="n"/>
      <c r="J707" s="64" t="n"/>
      <c r="K707" s="52" t="n"/>
      <c r="L707" s="58" t="n"/>
      <c r="M707" s="58" t="n"/>
      <c r="N707" s="70" t="n"/>
      <c r="O707" s="56" t="n"/>
      <c r="P707" s="1" t="n"/>
      <c r="Q707" s="1" t="n"/>
    </row>
    <row r="708">
      <c r="A708" s="34">
        <f>IF($H708="UNIDADE CONSTRUTIVA",OFFSET(A708,-1,0)+1,LARGE(A$3:A707,1))</f>
        <v/>
      </c>
      <c r="B708" s="34">
        <f>IF(H708="UNIDADE CONSTRUTIVA",0,IF(H708="CÉLULA CONSTRUTIVA",OFFSET(B708,-1,0)+1,OFFSET(B708,-1,0)))</f>
        <v/>
      </c>
      <c r="C708" s="34">
        <f>IF(H708="CÉLULA CONSTRUTIVA",0,IF(H708="ETAPA",OFFSET(C708,-1,0)+1,OFFSET(C708,-1,0)))</f>
        <v/>
      </c>
      <c r="D708" s="35">
        <f>IF(H708="ETAPA",0,IF(H708="SUBETAPA",OFFSET(D708,-1,0)+1,OFFSET(D708,-1,0)))</f>
        <v/>
      </c>
      <c r="E708" s="35">
        <f>IF(H708="Subetapa",0,IF(H708="serviço",OFFSET(E708,-1,0)+1,OFFSET(E708,-1,0)))</f>
        <v/>
      </c>
      <c r="F708" s="56" t="n"/>
      <c r="G708" s="1" t="n"/>
      <c r="H708" s="1" t="n"/>
      <c r="I708" s="1" t="n"/>
      <c r="J708" s="64" t="n"/>
      <c r="K708" s="52" t="n"/>
      <c r="L708" s="58" t="n"/>
      <c r="M708" s="58" t="n"/>
      <c r="N708" s="70" t="n"/>
      <c r="O708" s="56" t="n"/>
      <c r="P708" s="1" t="n"/>
      <c r="Q708" s="1" t="n"/>
    </row>
    <row r="709">
      <c r="A709" s="34">
        <f>IF($H709="UNIDADE CONSTRUTIVA",OFFSET(A709,-1,0)+1,LARGE(A$3:A708,1))</f>
        <v/>
      </c>
      <c r="B709" s="34">
        <f>IF(H709="UNIDADE CONSTRUTIVA",0,IF(H709="CÉLULA CONSTRUTIVA",OFFSET(B709,-1,0)+1,OFFSET(B709,-1,0)))</f>
        <v/>
      </c>
      <c r="C709" s="34">
        <f>IF(H709="CÉLULA CONSTRUTIVA",0,IF(H709="ETAPA",OFFSET(C709,-1,0)+1,OFFSET(C709,-1,0)))</f>
        <v/>
      </c>
      <c r="D709" s="35">
        <f>IF(H709="ETAPA",0,IF(H709="SUBETAPA",OFFSET(D709,-1,0)+1,OFFSET(D709,-1,0)))</f>
        <v/>
      </c>
      <c r="E709" s="35">
        <f>IF(H709="Subetapa",0,IF(H709="serviço",OFFSET(E709,-1,0)+1,OFFSET(E709,-1,0)))</f>
        <v/>
      </c>
      <c r="F709" s="56" t="n"/>
      <c r="G709" s="1" t="n"/>
      <c r="H709" s="1" t="n"/>
      <c r="I709" s="1" t="n"/>
      <c r="J709" s="64" t="n"/>
      <c r="K709" s="52" t="n"/>
      <c r="L709" s="58" t="n"/>
      <c r="M709" s="58" t="n"/>
      <c r="N709" s="70" t="n"/>
      <c r="O709" s="56" t="n"/>
      <c r="P709" s="1" t="n"/>
      <c r="Q709" s="1" t="n"/>
    </row>
    <row r="710">
      <c r="A710" s="34">
        <f>IF($H710="UNIDADE CONSTRUTIVA",OFFSET(A710,-1,0)+1,LARGE(A$3:A709,1))</f>
        <v/>
      </c>
      <c r="B710" s="34">
        <f>IF(H710="UNIDADE CONSTRUTIVA",0,IF(H710="CÉLULA CONSTRUTIVA",OFFSET(B710,-1,0)+1,OFFSET(B710,-1,0)))</f>
        <v/>
      </c>
      <c r="C710" s="34">
        <f>IF(H710="CÉLULA CONSTRUTIVA",0,IF(H710="ETAPA",OFFSET(C710,-1,0)+1,OFFSET(C710,-1,0)))</f>
        <v/>
      </c>
      <c r="D710" s="35">
        <f>IF(H710="ETAPA",0,IF(H710="SUBETAPA",OFFSET(D710,-1,0)+1,OFFSET(D710,-1,0)))</f>
        <v/>
      </c>
      <c r="E710" s="35">
        <f>IF(H710="Subetapa",0,IF(H710="serviço",OFFSET(E710,-1,0)+1,OFFSET(E710,-1,0)))</f>
        <v/>
      </c>
      <c r="F710" s="56" t="n"/>
      <c r="G710" s="1" t="n"/>
      <c r="H710" s="1" t="n"/>
      <c r="I710" s="1" t="n"/>
      <c r="J710" s="64" t="n"/>
      <c r="K710" s="52" t="n"/>
      <c r="L710" s="58" t="n"/>
      <c r="M710" s="58" t="n"/>
      <c r="N710" s="70" t="n"/>
      <c r="O710" s="56" t="n"/>
      <c r="P710" s="1" t="n"/>
      <c r="Q710" s="1" t="n"/>
    </row>
    <row r="711">
      <c r="A711" s="34">
        <f>IF($H711="UNIDADE CONSTRUTIVA",OFFSET(A711,-1,0)+1,LARGE(A$3:A710,1))</f>
        <v/>
      </c>
      <c r="B711" s="34">
        <f>IF(H711="UNIDADE CONSTRUTIVA",0,IF(H711="CÉLULA CONSTRUTIVA",OFFSET(B711,-1,0)+1,OFFSET(B711,-1,0)))</f>
        <v/>
      </c>
      <c r="C711" s="34">
        <f>IF(H711="CÉLULA CONSTRUTIVA",0,IF(H711="ETAPA",OFFSET(C711,-1,0)+1,OFFSET(C711,-1,0)))</f>
        <v/>
      </c>
      <c r="D711" s="35">
        <f>IF(H711="ETAPA",0,IF(H711="SUBETAPA",OFFSET(D711,-1,0)+1,OFFSET(D711,-1,0)))</f>
        <v/>
      </c>
      <c r="E711" s="35">
        <f>IF(H711="Subetapa",0,IF(H711="serviço",OFFSET(E711,-1,0)+1,OFFSET(E711,-1,0)))</f>
        <v/>
      </c>
      <c r="F711" s="56" t="n"/>
      <c r="G711" s="1" t="n"/>
      <c r="H711" s="1" t="n"/>
      <c r="I711" s="1" t="n"/>
      <c r="J711" s="64" t="n"/>
      <c r="K711" s="52" t="n"/>
      <c r="L711" s="58" t="n"/>
      <c r="M711" s="58" t="n"/>
      <c r="N711" s="70" t="n"/>
      <c r="O711" s="56" t="n"/>
      <c r="P711" s="1" t="n"/>
      <c r="Q711" s="1" t="n"/>
    </row>
    <row r="712">
      <c r="A712" s="34">
        <f>IF($H712="UNIDADE CONSTRUTIVA",OFFSET(A712,-1,0)+1,LARGE(A$3:A711,1))</f>
        <v/>
      </c>
      <c r="B712" s="34">
        <f>IF(H712="UNIDADE CONSTRUTIVA",0,IF(H712="CÉLULA CONSTRUTIVA",OFFSET(B712,-1,0)+1,OFFSET(B712,-1,0)))</f>
        <v/>
      </c>
      <c r="C712" s="34">
        <f>IF(H712="CÉLULA CONSTRUTIVA",0,IF(H712="ETAPA",OFFSET(C712,-1,0)+1,OFFSET(C712,-1,0)))</f>
        <v/>
      </c>
      <c r="D712" s="35">
        <f>IF(H712="ETAPA",0,IF(H712="SUBETAPA",OFFSET(D712,-1,0)+1,OFFSET(D712,-1,0)))</f>
        <v/>
      </c>
      <c r="E712" s="35">
        <f>IF(H712="Subetapa",0,IF(H712="serviço",OFFSET(E712,-1,0)+1,OFFSET(E712,-1,0)))</f>
        <v/>
      </c>
      <c r="F712" s="56" t="n"/>
      <c r="G712" s="1" t="n"/>
      <c r="H712" s="1" t="n"/>
      <c r="I712" s="1" t="n"/>
      <c r="J712" s="64" t="n"/>
      <c r="K712" s="52" t="n"/>
      <c r="L712" s="58" t="n"/>
      <c r="M712" s="58" t="n"/>
      <c r="N712" s="70" t="n"/>
      <c r="O712" s="56" t="n"/>
      <c r="P712" s="1" t="n"/>
      <c r="Q712" s="1" t="n"/>
    </row>
    <row r="713">
      <c r="A713" s="34">
        <f>IF($H713="UNIDADE CONSTRUTIVA",OFFSET(A713,-1,0)+1,LARGE(A$3:A712,1))</f>
        <v/>
      </c>
      <c r="B713" s="34">
        <f>IF(H713="UNIDADE CONSTRUTIVA",0,IF(H713="CÉLULA CONSTRUTIVA",OFFSET(B713,-1,0)+1,OFFSET(B713,-1,0)))</f>
        <v/>
      </c>
      <c r="C713" s="34">
        <f>IF(H713="CÉLULA CONSTRUTIVA",0,IF(H713="ETAPA",OFFSET(C713,-1,0)+1,OFFSET(C713,-1,0)))</f>
        <v/>
      </c>
      <c r="D713" s="35">
        <f>IF(H713="ETAPA",0,IF(H713="SUBETAPA",OFFSET(D713,-1,0)+1,OFFSET(D713,-1,0)))</f>
        <v/>
      </c>
      <c r="E713" s="35">
        <f>IF(H713="Subetapa",0,IF(H713="serviço",OFFSET(E713,-1,0)+1,OFFSET(E713,-1,0)))</f>
        <v/>
      </c>
      <c r="F713" s="56" t="n"/>
      <c r="G713" s="1" t="n"/>
      <c r="H713" s="1" t="n"/>
      <c r="I713" s="1" t="n"/>
      <c r="J713" s="64" t="n"/>
      <c r="K713" s="52" t="n"/>
      <c r="L713" s="58" t="n"/>
      <c r="M713" s="58" t="n"/>
      <c r="N713" s="70" t="n"/>
      <c r="O713" s="56" t="n"/>
      <c r="P713" s="1" t="n"/>
      <c r="Q713" s="1" t="n"/>
    </row>
    <row r="714">
      <c r="A714" s="34">
        <f>IF($H714="UNIDADE CONSTRUTIVA",OFFSET(A714,-1,0)+1,LARGE(A$3:A713,1))</f>
        <v/>
      </c>
      <c r="B714" s="34">
        <f>IF(H714="UNIDADE CONSTRUTIVA",0,IF(H714="CÉLULA CONSTRUTIVA",OFFSET(B714,-1,0)+1,OFFSET(B714,-1,0)))</f>
        <v/>
      </c>
      <c r="C714" s="34">
        <f>IF(H714="CÉLULA CONSTRUTIVA",0,IF(H714="ETAPA",OFFSET(C714,-1,0)+1,OFFSET(C714,-1,0)))</f>
        <v/>
      </c>
      <c r="D714" s="35">
        <f>IF(H714="ETAPA",0,IF(H714="SUBETAPA",OFFSET(D714,-1,0)+1,OFFSET(D714,-1,0)))</f>
        <v/>
      </c>
      <c r="E714" s="35">
        <f>IF(H714="Subetapa",0,IF(H714="serviço",OFFSET(E714,-1,0)+1,OFFSET(E714,-1,0)))</f>
        <v/>
      </c>
      <c r="F714" s="56" t="n"/>
      <c r="G714" s="1" t="n"/>
      <c r="H714" s="1" t="n"/>
      <c r="I714" s="1" t="n"/>
      <c r="J714" s="64" t="n"/>
      <c r="K714" s="52" t="n"/>
      <c r="L714" s="58" t="n"/>
      <c r="M714" s="58" t="n"/>
      <c r="N714" s="70" t="n"/>
      <c r="O714" s="56" t="n"/>
      <c r="P714" s="1" t="n"/>
      <c r="Q714" s="1" t="n"/>
    </row>
    <row r="715">
      <c r="A715" s="34">
        <f>IF($H715="UNIDADE CONSTRUTIVA",OFFSET(A715,-1,0)+1,LARGE(A$3:A714,1))</f>
        <v/>
      </c>
      <c r="B715" s="34">
        <f>IF(H715="UNIDADE CONSTRUTIVA",0,IF(H715="CÉLULA CONSTRUTIVA",OFFSET(B715,-1,0)+1,OFFSET(B715,-1,0)))</f>
        <v/>
      </c>
      <c r="C715" s="34">
        <f>IF(H715="CÉLULA CONSTRUTIVA",0,IF(H715="ETAPA",OFFSET(C715,-1,0)+1,OFFSET(C715,-1,0)))</f>
        <v/>
      </c>
      <c r="D715" s="35">
        <f>IF(H715="ETAPA",0,IF(H715="SUBETAPA",OFFSET(D715,-1,0)+1,OFFSET(D715,-1,0)))</f>
        <v/>
      </c>
      <c r="E715" s="35">
        <f>IF(H715="Subetapa",0,IF(H715="serviço",OFFSET(E715,-1,0)+1,OFFSET(E715,-1,0)))</f>
        <v/>
      </c>
      <c r="F715" s="56" t="n"/>
      <c r="G715" s="1" t="n"/>
      <c r="H715" s="1" t="n"/>
      <c r="I715" s="1" t="n"/>
      <c r="J715" s="64" t="n"/>
      <c r="K715" s="52" t="n"/>
      <c r="L715" s="58" t="n"/>
      <c r="M715" s="58" t="n"/>
      <c r="N715" s="70" t="n"/>
      <c r="O715" s="56" t="n"/>
      <c r="P715" s="1" t="n"/>
      <c r="Q715" s="1" t="n"/>
    </row>
    <row r="716">
      <c r="A716" s="34">
        <f>IF($H716="UNIDADE CONSTRUTIVA",OFFSET(A716,-1,0)+1,LARGE(A$3:A715,1))</f>
        <v/>
      </c>
      <c r="B716" s="34">
        <f>IF(H716="UNIDADE CONSTRUTIVA",0,IF(H716="CÉLULA CONSTRUTIVA",OFFSET(B716,-1,0)+1,OFFSET(B716,-1,0)))</f>
        <v/>
      </c>
      <c r="C716" s="34">
        <f>IF(H716="CÉLULA CONSTRUTIVA",0,IF(H716="ETAPA",OFFSET(C716,-1,0)+1,OFFSET(C716,-1,0)))</f>
        <v/>
      </c>
      <c r="D716" s="35">
        <f>IF(H716="ETAPA",0,IF(H716="SUBETAPA",OFFSET(D716,-1,0)+1,OFFSET(D716,-1,0)))</f>
        <v/>
      </c>
      <c r="E716" s="35">
        <f>IF(H716="Subetapa",0,IF(H716="serviço",OFFSET(E716,-1,0)+1,OFFSET(E716,-1,0)))</f>
        <v/>
      </c>
      <c r="F716" s="56" t="n"/>
      <c r="G716" s="1" t="n"/>
      <c r="H716" s="1" t="n"/>
      <c r="I716" s="1" t="n"/>
      <c r="J716" s="64" t="n"/>
      <c r="K716" s="52" t="n"/>
      <c r="L716" s="58" t="n"/>
      <c r="M716" s="58" t="n"/>
      <c r="N716" s="70" t="n"/>
      <c r="O716" s="56" t="n"/>
      <c r="P716" s="1" t="n"/>
      <c r="Q716" s="1" t="n"/>
    </row>
    <row r="717">
      <c r="A717" s="34">
        <f>IF($H717="UNIDADE CONSTRUTIVA",OFFSET(A717,-1,0)+1,LARGE(A$3:A716,1))</f>
        <v/>
      </c>
      <c r="B717" s="34">
        <f>IF(H717="UNIDADE CONSTRUTIVA",0,IF(H717="CÉLULA CONSTRUTIVA",OFFSET(B717,-1,0)+1,OFFSET(B717,-1,0)))</f>
        <v/>
      </c>
      <c r="C717" s="34">
        <f>IF(H717="CÉLULA CONSTRUTIVA",0,IF(H717="ETAPA",OFFSET(C717,-1,0)+1,OFFSET(C717,-1,0)))</f>
        <v/>
      </c>
      <c r="D717" s="35">
        <f>IF(H717="ETAPA",0,IF(H717="SUBETAPA",OFFSET(D717,-1,0)+1,OFFSET(D717,-1,0)))</f>
        <v/>
      </c>
      <c r="E717" s="35">
        <f>IF(H717="Subetapa",0,IF(H717="serviço",OFFSET(E717,-1,0)+1,OFFSET(E717,-1,0)))</f>
        <v/>
      </c>
      <c r="F717" s="56" t="n"/>
      <c r="G717" s="1" t="n"/>
      <c r="H717" s="1" t="n"/>
      <c r="I717" s="1" t="n"/>
      <c r="J717" s="64" t="n"/>
      <c r="K717" s="52" t="n"/>
      <c r="L717" s="58" t="n"/>
      <c r="M717" s="58" t="n"/>
      <c r="N717" s="70" t="n"/>
      <c r="O717" s="56" t="n"/>
      <c r="P717" s="1" t="n"/>
      <c r="Q717" s="1" t="n"/>
    </row>
    <row r="718">
      <c r="A718" s="34">
        <f>IF($H718="UNIDADE CONSTRUTIVA",OFFSET(A718,-1,0)+1,LARGE(A$3:A717,1))</f>
        <v/>
      </c>
      <c r="B718" s="34">
        <f>IF(H718="UNIDADE CONSTRUTIVA",0,IF(H718="CÉLULA CONSTRUTIVA",OFFSET(B718,-1,0)+1,OFFSET(B718,-1,0)))</f>
        <v/>
      </c>
      <c r="C718" s="34">
        <f>IF(H718="CÉLULA CONSTRUTIVA",0,IF(H718="ETAPA",OFFSET(C718,-1,0)+1,OFFSET(C718,-1,0)))</f>
        <v/>
      </c>
      <c r="D718" s="35">
        <f>IF(H718="ETAPA",0,IF(H718="SUBETAPA",OFFSET(D718,-1,0)+1,OFFSET(D718,-1,0)))</f>
        <v/>
      </c>
      <c r="E718" s="35">
        <f>IF(H718="Subetapa",0,IF(H718="serviço",OFFSET(E718,-1,0)+1,OFFSET(E718,-1,0)))</f>
        <v/>
      </c>
      <c r="F718" s="56" t="n"/>
      <c r="G718" s="1" t="n"/>
      <c r="H718" s="1" t="n"/>
      <c r="I718" s="1" t="n"/>
      <c r="J718" s="64" t="n"/>
      <c r="K718" s="52" t="n"/>
      <c r="L718" s="58" t="n"/>
      <c r="M718" s="58" t="n"/>
      <c r="N718" s="70" t="n"/>
      <c r="O718" s="56" t="n"/>
      <c r="P718" s="1" t="n"/>
      <c r="Q718" s="1" t="n"/>
    </row>
    <row r="719">
      <c r="A719" s="34">
        <f>IF($H719="UNIDADE CONSTRUTIVA",OFFSET(A719,-1,0)+1,LARGE(A$3:A718,1))</f>
        <v/>
      </c>
      <c r="B719" s="34">
        <f>IF(H719="UNIDADE CONSTRUTIVA",0,IF(H719="CÉLULA CONSTRUTIVA",OFFSET(B719,-1,0)+1,OFFSET(B719,-1,0)))</f>
        <v/>
      </c>
      <c r="C719" s="34">
        <f>IF(H719="CÉLULA CONSTRUTIVA",0,IF(H719="ETAPA",OFFSET(C719,-1,0)+1,OFFSET(C719,-1,0)))</f>
        <v/>
      </c>
      <c r="D719" s="35">
        <f>IF(H719="ETAPA",0,IF(H719="SUBETAPA",OFFSET(D719,-1,0)+1,OFFSET(D719,-1,0)))</f>
        <v/>
      </c>
      <c r="E719" s="35">
        <f>IF(H719="Subetapa",0,IF(H719="serviço",OFFSET(E719,-1,0)+1,OFFSET(E719,-1,0)))</f>
        <v/>
      </c>
      <c r="F719" s="56" t="n"/>
      <c r="G719" s="1" t="n"/>
      <c r="H719" s="1" t="n"/>
      <c r="I719" s="1" t="n"/>
      <c r="J719" s="64" t="n"/>
      <c r="K719" s="52" t="n"/>
      <c r="L719" s="58" t="n"/>
      <c r="M719" s="58" t="n"/>
      <c r="N719" s="70" t="n"/>
      <c r="O719" s="56" t="n"/>
      <c r="P719" s="1" t="n"/>
      <c r="Q719" s="1" t="n"/>
    </row>
    <row r="720">
      <c r="A720" s="34">
        <f>IF($H720="UNIDADE CONSTRUTIVA",OFFSET(A720,-1,0)+1,LARGE(A$3:A719,1))</f>
        <v/>
      </c>
      <c r="B720" s="34">
        <f>IF(H720="UNIDADE CONSTRUTIVA",0,IF(H720="CÉLULA CONSTRUTIVA",OFFSET(B720,-1,0)+1,OFFSET(B720,-1,0)))</f>
        <v/>
      </c>
      <c r="C720" s="34">
        <f>IF(H720="CÉLULA CONSTRUTIVA",0,IF(H720="ETAPA",OFFSET(C720,-1,0)+1,OFFSET(C720,-1,0)))</f>
        <v/>
      </c>
      <c r="D720" s="35">
        <f>IF(H720="ETAPA",0,IF(H720="SUBETAPA",OFFSET(D720,-1,0)+1,OFFSET(D720,-1,0)))</f>
        <v/>
      </c>
      <c r="E720" s="35">
        <f>IF(H720="Subetapa",0,IF(H720="serviço",OFFSET(E720,-1,0)+1,OFFSET(E720,-1,0)))</f>
        <v/>
      </c>
      <c r="F720" s="56" t="n"/>
      <c r="G720" s="1" t="n"/>
      <c r="H720" s="1" t="n"/>
      <c r="I720" s="1" t="n"/>
      <c r="J720" s="64" t="n"/>
      <c r="K720" s="52" t="n"/>
      <c r="L720" s="58" t="n"/>
      <c r="M720" s="58" t="n"/>
      <c r="N720" s="70" t="n"/>
      <c r="O720" s="56" t="n"/>
      <c r="P720" s="1" t="n"/>
      <c r="Q720" s="1" t="n"/>
    </row>
    <row r="721">
      <c r="A721" s="34">
        <f>IF($H721="UNIDADE CONSTRUTIVA",OFFSET(A721,-1,0)+1,LARGE(A$3:A720,1))</f>
        <v/>
      </c>
      <c r="B721" s="34">
        <f>IF(H721="UNIDADE CONSTRUTIVA",0,IF(H721="CÉLULA CONSTRUTIVA",OFFSET(B721,-1,0)+1,OFFSET(B721,-1,0)))</f>
        <v/>
      </c>
      <c r="C721" s="34">
        <f>IF(H721="CÉLULA CONSTRUTIVA",0,IF(H721="ETAPA",OFFSET(C721,-1,0)+1,OFFSET(C721,-1,0)))</f>
        <v/>
      </c>
      <c r="D721" s="35">
        <f>IF(H721="ETAPA",0,IF(H721="SUBETAPA",OFFSET(D721,-1,0)+1,OFFSET(D721,-1,0)))</f>
        <v/>
      </c>
      <c r="E721" s="35">
        <f>IF(H721="Subetapa",0,IF(H721="serviço",OFFSET(E721,-1,0)+1,OFFSET(E721,-1,0)))</f>
        <v/>
      </c>
      <c r="F721" s="56" t="n"/>
      <c r="G721" s="1" t="n"/>
      <c r="H721" s="1" t="n"/>
      <c r="I721" s="1" t="n"/>
      <c r="J721" s="64" t="n"/>
      <c r="K721" s="52" t="n"/>
      <c r="L721" s="58" t="n"/>
      <c r="M721" s="58" t="n"/>
      <c r="N721" s="70" t="n"/>
      <c r="O721" s="56" t="n"/>
      <c r="P721" s="1" t="n"/>
      <c r="Q721" s="1" t="n"/>
    </row>
    <row r="722">
      <c r="A722" s="34">
        <f>IF($H722="UNIDADE CONSTRUTIVA",OFFSET(A722,-1,0)+1,LARGE(A$3:A721,1))</f>
        <v/>
      </c>
      <c r="B722" s="34">
        <f>IF(H722="UNIDADE CONSTRUTIVA",0,IF(H722="CÉLULA CONSTRUTIVA",OFFSET(B722,-1,0)+1,OFFSET(B722,-1,0)))</f>
        <v/>
      </c>
      <c r="C722" s="34">
        <f>IF(H722="CÉLULA CONSTRUTIVA",0,IF(H722="ETAPA",OFFSET(C722,-1,0)+1,OFFSET(C722,-1,0)))</f>
        <v/>
      </c>
      <c r="D722" s="35">
        <f>IF(H722="ETAPA",0,IF(H722="SUBETAPA",OFFSET(D722,-1,0)+1,OFFSET(D722,-1,0)))</f>
        <v/>
      </c>
      <c r="E722" s="35">
        <f>IF(H722="Subetapa",0,IF(H722="serviço",OFFSET(E722,-1,0)+1,OFFSET(E722,-1,0)))</f>
        <v/>
      </c>
      <c r="F722" s="56" t="n"/>
      <c r="G722" s="1" t="n"/>
      <c r="H722" s="1" t="n"/>
      <c r="I722" s="1" t="n"/>
      <c r="J722" s="64" t="n"/>
      <c r="K722" s="52" t="n"/>
      <c r="L722" s="58" t="n"/>
      <c r="M722" s="58" t="n"/>
      <c r="N722" s="70" t="n"/>
      <c r="O722" s="56" t="n"/>
      <c r="P722" s="1" t="n"/>
      <c r="Q722" s="1" t="n"/>
    </row>
    <row r="723">
      <c r="A723" s="34">
        <f>IF($H723="UNIDADE CONSTRUTIVA",OFFSET(A723,-1,0)+1,LARGE(A$3:A722,1))</f>
        <v/>
      </c>
      <c r="B723" s="34">
        <f>IF(H723="UNIDADE CONSTRUTIVA",0,IF(H723="CÉLULA CONSTRUTIVA",OFFSET(B723,-1,0)+1,OFFSET(B723,-1,0)))</f>
        <v/>
      </c>
      <c r="C723" s="34">
        <f>IF(H723="CÉLULA CONSTRUTIVA",0,IF(H723="ETAPA",OFFSET(C723,-1,0)+1,OFFSET(C723,-1,0)))</f>
        <v/>
      </c>
      <c r="D723" s="35">
        <f>IF(H723="ETAPA",0,IF(H723="SUBETAPA",OFFSET(D723,-1,0)+1,OFFSET(D723,-1,0)))</f>
        <v/>
      </c>
      <c r="E723" s="35">
        <f>IF(H723="Subetapa",0,IF(H723="serviço",OFFSET(E723,-1,0)+1,OFFSET(E723,-1,0)))</f>
        <v/>
      </c>
      <c r="F723" s="56" t="n"/>
      <c r="G723" s="1" t="n"/>
      <c r="H723" s="1" t="n"/>
      <c r="I723" s="1" t="n"/>
      <c r="J723" s="64" t="n"/>
      <c r="K723" s="52" t="n"/>
      <c r="L723" s="58" t="n"/>
      <c r="M723" s="58" t="n"/>
      <c r="N723" s="70" t="n"/>
      <c r="O723" s="56" t="n"/>
      <c r="P723" s="1" t="n"/>
      <c r="Q723" s="1" t="n"/>
    </row>
    <row r="724">
      <c r="A724" s="34">
        <f>IF($H724="UNIDADE CONSTRUTIVA",OFFSET(A724,-1,0)+1,LARGE(A$3:A723,1))</f>
        <v/>
      </c>
      <c r="B724" s="34">
        <f>IF(H724="UNIDADE CONSTRUTIVA",0,IF(H724="CÉLULA CONSTRUTIVA",OFFSET(B724,-1,0)+1,OFFSET(B724,-1,0)))</f>
        <v/>
      </c>
      <c r="C724" s="34">
        <f>IF(H724="CÉLULA CONSTRUTIVA",0,IF(H724="ETAPA",OFFSET(C724,-1,0)+1,OFFSET(C724,-1,0)))</f>
        <v/>
      </c>
      <c r="D724" s="35">
        <f>IF(H724="ETAPA",0,IF(H724="SUBETAPA",OFFSET(D724,-1,0)+1,OFFSET(D724,-1,0)))</f>
        <v/>
      </c>
      <c r="E724" s="35">
        <f>IF(H724="Subetapa",0,IF(H724="serviço",OFFSET(E724,-1,0)+1,OFFSET(E724,-1,0)))</f>
        <v/>
      </c>
      <c r="F724" s="56" t="n"/>
      <c r="G724" s="1" t="n"/>
      <c r="H724" s="1" t="n"/>
      <c r="I724" s="1" t="n"/>
      <c r="J724" s="64" t="n"/>
      <c r="K724" s="52" t="n"/>
      <c r="L724" s="58" t="n"/>
      <c r="M724" s="58" t="n"/>
      <c r="N724" s="70" t="n"/>
      <c r="O724" s="56" t="n"/>
      <c r="P724" s="1" t="n"/>
      <c r="Q724" s="1" t="n"/>
    </row>
    <row r="725">
      <c r="A725" s="34">
        <f>IF($H725="UNIDADE CONSTRUTIVA",OFFSET(A725,-1,0)+1,LARGE(A$3:A724,1))</f>
        <v/>
      </c>
      <c r="B725" s="34">
        <f>IF(H725="UNIDADE CONSTRUTIVA",0,IF(H725="CÉLULA CONSTRUTIVA",OFFSET(B725,-1,0)+1,OFFSET(B725,-1,0)))</f>
        <v/>
      </c>
      <c r="C725" s="34">
        <f>IF(H725="CÉLULA CONSTRUTIVA",0,IF(H725="ETAPA",OFFSET(C725,-1,0)+1,OFFSET(C725,-1,0)))</f>
        <v/>
      </c>
      <c r="D725" s="35">
        <f>IF(H725="ETAPA",0,IF(H725="SUBETAPA",OFFSET(D725,-1,0)+1,OFFSET(D725,-1,0)))</f>
        <v/>
      </c>
      <c r="E725" s="35">
        <f>IF(H725="Subetapa",0,IF(H725="serviço",OFFSET(E725,-1,0)+1,OFFSET(E725,-1,0)))</f>
        <v/>
      </c>
      <c r="F725" s="56" t="n"/>
      <c r="G725" s="1" t="n"/>
      <c r="H725" s="1" t="n"/>
      <c r="I725" s="1" t="n"/>
      <c r="J725" s="64" t="n"/>
      <c r="K725" s="52" t="n"/>
      <c r="L725" s="58" t="n"/>
      <c r="M725" s="58" t="n"/>
      <c r="N725" s="70" t="n"/>
      <c r="O725" s="56" t="n"/>
      <c r="P725" s="1" t="n"/>
      <c r="Q725" s="1" t="n"/>
    </row>
    <row r="726">
      <c r="A726" s="34">
        <f>IF($H726="UNIDADE CONSTRUTIVA",OFFSET(A726,-1,0)+1,LARGE(A$3:A725,1))</f>
        <v/>
      </c>
      <c r="B726" s="34">
        <f>IF(H726="UNIDADE CONSTRUTIVA",0,IF(H726="CÉLULA CONSTRUTIVA",OFFSET(B726,-1,0)+1,OFFSET(B726,-1,0)))</f>
        <v/>
      </c>
      <c r="C726" s="34">
        <f>IF(H726="CÉLULA CONSTRUTIVA",0,IF(H726="ETAPA",OFFSET(C726,-1,0)+1,OFFSET(C726,-1,0)))</f>
        <v/>
      </c>
      <c r="D726" s="35">
        <f>IF(H726="ETAPA",0,IF(H726="SUBETAPA",OFFSET(D726,-1,0)+1,OFFSET(D726,-1,0)))</f>
        <v/>
      </c>
      <c r="E726" s="35">
        <f>IF(H726="Subetapa",0,IF(H726="serviço",OFFSET(E726,-1,0)+1,OFFSET(E726,-1,0)))</f>
        <v/>
      </c>
      <c r="F726" s="56" t="n"/>
      <c r="G726" s="1" t="n"/>
      <c r="H726" s="1" t="n"/>
      <c r="I726" s="1" t="n"/>
      <c r="J726" s="64" t="n"/>
      <c r="K726" s="52" t="n"/>
      <c r="L726" s="58" t="n"/>
      <c r="M726" s="58" t="n"/>
      <c r="N726" s="70" t="n"/>
      <c r="O726" s="56" t="n"/>
      <c r="P726" s="1" t="n"/>
      <c r="Q726" s="1" t="n"/>
    </row>
    <row r="727">
      <c r="A727" s="34">
        <f>IF($H727="UNIDADE CONSTRUTIVA",OFFSET(A727,-1,0)+1,LARGE(A$3:A726,1))</f>
        <v/>
      </c>
      <c r="B727" s="34">
        <f>IF(H727="UNIDADE CONSTRUTIVA",0,IF(H727="CÉLULA CONSTRUTIVA",OFFSET(B727,-1,0)+1,OFFSET(B727,-1,0)))</f>
        <v/>
      </c>
      <c r="C727" s="34">
        <f>IF(H727="CÉLULA CONSTRUTIVA",0,IF(H727="ETAPA",OFFSET(C727,-1,0)+1,OFFSET(C727,-1,0)))</f>
        <v/>
      </c>
      <c r="D727" s="35">
        <f>IF(H727="ETAPA",0,IF(H727="SUBETAPA",OFFSET(D727,-1,0)+1,OFFSET(D727,-1,0)))</f>
        <v/>
      </c>
      <c r="E727" s="35">
        <f>IF(H727="Subetapa",0,IF(H727="serviço",OFFSET(E727,-1,0)+1,OFFSET(E727,-1,0)))</f>
        <v/>
      </c>
      <c r="F727" s="56" t="n"/>
      <c r="G727" s="1" t="n"/>
      <c r="H727" s="1" t="n"/>
      <c r="I727" s="1" t="n"/>
      <c r="J727" s="64" t="n"/>
      <c r="K727" s="52" t="n"/>
      <c r="L727" s="58" t="n"/>
      <c r="M727" s="58" t="n"/>
      <c r="N727" s="70" t="n"/>
      <c r="O727" s="56" t="n"/>
      <c r="P727" s="1" t="n"/>
      <c r="Q727" s="1" t="n"/>
    </row>
    <row r="728">
      <c r="A728" s="34">
        <f>IF($H728="UNIDADE CONSTRUTIVA",OFFSET(A728,-1,0)+1,LARGE(A$3:A727,1))</f>
        <v/>
      </c>
      <c r="B728" s="34">
        <f>IF(H728="UNIDADE CONSTRUTIVA",0,IF(H728="CÉLULA CONSTRUTIVA",OFFSET(B728,-1,0)+1,OFFSET(B728,-1,0)))</f>
        <v/>
      </c>
      <c r="C728" s="34">
        <f>IF(H728="CÉLULA CONSTRUTIVA",0,IF(H728="ETAPA",OFFSET(C728,-1,0)+1,OFFSET(C728,-1,0)))</f>
        <v/>
      </c>
      <c r="D728" s="35">
        <f>IF(H728="ETAPA",0,IF(H728="SUBETAPA",OFFSET(D728,-1,0)+1,OFFSET(D728,-1,0)))</f>
        <v/>
      </c>
      <c r="E728" s="35">
        <f>IF(H728="Subetapa",0,IF(H728="serviço",OFFSET(E728,-1,0)+1,OFFSET(E728,-1,0)))</f>
        <v/>
      </c>
      <c r="F728" s="56" t="n"/>
      <c r="G728" s="1" t="n"/>
      <c r="H728" s="1" t="n"/>
      <c r="I728" s="1" t="n"/>
      <c r="J728" s="64" t="n"/>
      <c r="K728" s="52" t="n"/>
      <c r="L728" s="58" t="n"/>
      <c r="M728" s="58" t="n"/>
      <c r="N728" s="70" t="n"/>
      <c r="O728" s="56" t="n"/>
      <c r="P728" s="1" t="n"/>
      <c r="Q728" s="1" t="n"/>
    </row>
    <row r="729">
      <c r="A729" s="34">
        <f>IF($H729="UNIDADE CONSTRUTIVA",OFFSET(A729,-1,0)+1,LARGE(A$3:A728,1))</f>
        <v/>
      </c>
      <c r="B729" s="34">
        <f>IF(H729="UNIDADE CONSTRUTIVA",0,IF(H729="CÉLULA CONSTRUTIVA",OFFSET(B729,-1,0)+1,OFFSET(B729,-1,0)))</f>
        <v/>
      </c>
      <c r="C729" s="34">
        <f>IF(H729="CÉLULA CONSTRUTIVA",0,IF(H729="ETAPA",OFFSET(C729,-1,0)+1,OFFSET(C729,-1,0)))</f>
        <v/>
      </c>
      <c r="D729" s="35">
        <f>IF(H729="ETAPA",0,IF(H729="SUBETAPA",OFFSET(D729,-1,0)+1,OFFSET(D729,-1,0)))</f>
        <v/>
      </c>
      <c r="E729" s="35">
        <f>IF(H729="Subetapa",0,IF(H729="serviço",OFFSET(E729,-1,0)+1,OFFSET(E729,-1,0)))</f>
        <v/>
      </c>
      <c r="F729" s="56" t="n"/>
      <c r="G729" s="1" t="n"/>
      <c r="H729" s="1" t="n"/>
      <c r="I729" s="1" t="n"/>
      <c r="J729" s="64" t="n"/>
      <c r="K729" s="52" t="n"/>
      <c r="L729" s="58" t="n"/>
      <c r="M729" s="58" t="n"/>
      <c r="N729" s="70" t="n"/>
      <c r="O729" s="56" t="n"/>
      <c r="P729" s="1" t="n"/>
      <c r="Q729" s="1" t="n"/>
    </row>
    <row r="730">
      <c r="A730" s="34">
        <f>IF($H730="UNIDADE CONSTRUTIVA",OFFSET(A730,-1,0)+1,LARGE(A$3:A729,1))</f>
        <v/>
      </c>
      <c r="B730" s="34">
        <f>IF(H730="UNIDADE CONSTRUTIVA",0,IF(H730="CÉLULA CONSTRUTIVA",OFFSET(B730,-1,0)+1,OFFSET(B730,-1,0)))</f>
        <v/>
      </c>
      <c r="C730" s="34">
        <f>IF(H730="CÉLULA CONSTRUTIVA",0,IF(H730="ETAPA",OFFSET(C730,-1,0)+1,OFFSET(C730,-1,0)))</f>
        <v/>
      </c>
      <c r="D730" s="35">
        <f>IF(H730="ETAPA",0,IF(H730="SUBETAPA",OFFSET(D730,-1,0)+1,OFFSET(D730,-1,0)))</f>
        <v/>
      </c>
      <c r="E730" s="35">
        <f>IF(H730="Subetapa",0,IF(H730="serviço",OFFSET(E730,-1,0)+1,OFFSET(E730,-1,0)))</f>
        <v/>
      </c>
      <c r="F730" s="56" t="n"/>
      <c r="G730" s="1" t="n"/>
      <c r="H730" s="1" t="n"/>
      <c r="I730" s="1" t="n"/>
      <c r="J730" s="64" t="n"/>
      <c r="K730" s="52" t="n"/>
      <c r="L730" s="58" t="n"/>
      <c r="M730" s="58" t="n"/>
      <c r="N730" s="70" t="n"/>
      <c r="O730" s="56" t="n"/>
      <c r="P730" s="1" t="n"/>
      <c r="Q730" s="1" t="n"/>
    </row>
    <row r="731">
      <c r="A731" s="34">
        <f>IF($H731="UNIDADE CONSTRUTIVA",OFFSET(A731,-1,0)+1,LARGE(A$3:A730,1))</f>
        <v/>
      </c>
      <c r="B731" s="34">
        <f>IF(H731="UNIDADE CONSTRUTIVA",0,IF(H731="CÉLULA CONSTRUTIVA",OFFSET(B731,-1,0)+1,OFFSET(B731,-1,0)))</f>
        <v/>
      </c>
      <c r="C731" s="34">
        <f>IF(H731="CÉLULA CONSTRUTIVA",0,IF(H731="ETAPA",OFFSET(C731,-1,0)+1,OFFSET(C731,-1,0)))</f>
        <v/>
      </c>
      <c r="D731" s="35">
        <f>IF(H731="ETAPA",0,IF(H731="SUBETAPA",OFFSET(D731,-1,0)+1,OFFSET(D731,-1,0)))</f>
        <v/>
      </c>
      <c r="E731" s="35">
        <f>IF(H731="Subetapa",0,IF(H731="serviço",OFFSET(E731,-1,0)+1,OFFSET(E731,-1,0)))</f>
        <v/>
      </c>
      <c r="F731" s="56" t="n"/>
      <c r="G731" s="1" t="n"/>
      <c r="H731" s="1" t="n"/>
      <c r="I731" s="1" t="n"/>
      <c r="J731" s="64" t="n"/>
      <c r="K731" s="52" t="n"/>
      <c r="L731" s="58" t="n"/>
      <c r="M731" s="58" t="n"/>
      <c r="N731" s="70" t="n"/>
      <c r="O731" s="56" t="n"/>
      <c r="P731" s="1" t="n"/>
      <c r="Q731" s="1" t="n"/>
    </row>
    <row r="732">
      <c r="A732" s="34">
        <f>IF($H732="UNIDADE CONSTRUTIVA",OFFSET(A732,-1,0)+1,LARGE(A$3:A731,1))</f>
        <v/>
      </c>
      <c r="B732" s="34">
        <f>IF(H732="UNIDADE CONSTRUTIVA",0,IF(H732="CÉLULA CONSTRUTIVA",OFFSET(B732,-1,0)+1,OFFSET(B732,-1,0)))</f>
        <v/>
      </c>
      <c r="C732" s="34">
        <f>IF(H732="CÉLULA CONSTRUTIVA",0,IF(H732="ETAPA",OFFSET(C732,-1,0)+1,OFFSET(C732,-1,0)))</f>
        <v/>
      </c>
      <c r="D732" s="35">
        <f>IF(H732="ETAPA",0,IF(H732="SUBETAPA",OFFSET(D732,-1,0)+1,OFFSET(D732,-1,0)))</f>
        <v/>
      </c>
      <c r="E732" s="35">
        <f>IF(H732="Subetapa",0,IF(H732="serviço",OFFSET(E732,-1,0)+1,OFFSET(E732,-1,0)))</f>
        <v/>
      </c>
      <c r="F732" s="56" t="n"/>
      <c r="G732" s="1" t="n"/>
      <c r="H732" s="1" t="n"/>
      <c r="I732" s="1" t="n"/>
      <c r="J732" s="64" t="n"/>
      <c r="K732" s="52" t="n"/>
      <c r="L732" s="58" t="n"/>
      <c r="M732" s="58" t="n"/>
      <c r="N732" s="70" t="n"/>
      <c r="O732" s="56" t="n"/>
      <c r="P732" s="1" t="n"/>
      <c r="Q732" s="1" t="n"/>
    </row>
    <row r="733">
      <c r="A733" s="34">
        <f>IF($H733="UNIDADE CONSTRUTIVA",OFFSET(A733,-1,0)+1,LARGE(A$3:A732,1))</f>
        <v/>
      </c>
      <c r="B733" s="34">
        <f>IF(H733="UNIDADE CONSTRUTIVA",0,IF(H733="CÉLULA CONSTRUTIVA",OFFSET(B733,-1,0)+1,OFFSET(B733,-1,0)))</f>
        <v/>
      </c>
      <c r="C733" s="34">
        <f>IF(H733="CÉLULA CONSTRUTIVA",0,IF(H733="ETAPA",OFFSET(C733,-1,0)+1,OFFSET(C733,-1,0)))</f>
        <v/>
      </c>
      <c r="D733" s="35">
        <f>IF(H733="ETAPA",0,IF(H733="SUBETAPA",OFFSET(D733,-1,0)+1,OFFSET(D733,-1,0)))</f>
        <v/>
      </c>
      <c r="E733" s="35">
        <f>IF(H733="Subetapa",0,IF(H733="serviço",OFFSET(E733,-1,0)+1,OFFSET(E733,-1,0)))</f>
        <v/>
      </c>
      <c r="F733" s="56" t="n"/>
      <c r="G733" s="1" t="n"/>
      <c r="H733" s="1" t="n"/>
      <c r="I733" s="1" t="n"/>
      <c r="J733" s="64" t="n"/>
      <c r="K733" s="52" t="n"/>
      <c r="L733" s="58" t="n"/>
      <c r="M733" s="58" t="n"/>
      <c r="N733" s="70" t="n"/>
      <c r="O733" s="56" t="n"/>
      <c r="P733" s="1" t="n"/>
      <c r="Q733" s="1" t="n"/>
    </row>
    <row r="734">
      <c r="A734" s="34">
        <f>IF($H734="UNIDADE CONSTRUTIVA",OFFSET(A734,-1,0)+1,LARGE(A$3:A733,1))</f>
        <v/>
      </c>
      <c r="B734" s="34">
        <f>IF(H734="UNIDADE CONSTRUTIVA",0,IF(H734="CÉLULA CONSTRUTIVA",OFFSET(B734,-1,0)+1,OFFSET(B734,-1,0)))</f>
        <v/>
      </c>
      <c r="C734" s="34">
        <f>IF(H734="CÉLULA CONSTRUTIVA",0,IF(H734="ETAPA",OFFSET(C734,-1,0)+1,OFFSET(C734,-1,0)))</f>
        <v/>
      </c>
      <c r="D734" s="35">
        <f>IF(H734="ETAPA",0,IF(H734="SUBETAPA",OFFSET(D734,-1,0)+1,OFFSET(D734,-1,0)))</f>
        <v/>
      </c>
      <c r="E734" s="35">
        <f>IF(H734="Subetapa",0,IF(H734="serviço",OFFSET(E734,-1,0)+1,OFFSET(E734,-1,0)))</f>
        <v/>
      </c>
      <c r="F734" s="56" t="n"/>
      <c r="G734" s="1" t="n"/>
      <c r="H734" s="1" t="n"/>
      <c r="I734" s="1" t="n"/>
      <c r="J734" s="64" t="n"/>
      <c r="K734" s="52" t="n"/>
      <c r="L734" s="58" t="n"/>
      <c r="M734" s="58" t="n"/>
      <c r="N734" s="70" t="n"/>
      <c r="O734" s="56" t="n"/>
      <c r="P734" s="1" t="n"/>
      <c r="Q734" s="1" t="n"/>
    </row>
    <row r="735">
      <c r="A735" s="34">
        <f>IF($H735="UNIDADE CONSTRUTIVA",OFFSET(A735,-1,0)+1,LARGE(A$3:A734,1))</f>
        <v/>
      </c>
      <c r="B735" s="34">
        <f>IF(H735="UNIDADE CONSTRUTIVA",0,IF(H735="CÉLULA CONSTRUTIVA",OFFSET(B735,-1,0)+1,OFFSET(B735,-1,0)))</f>
        <v/>
      </c>
      <c r="C735" s="34">
        <f>IF(H735="CÉLULA CONSTRUTIVA",0,IF(H735="ETAPA",OFFSET(C735,-1,0)+1,OFFSET(C735,-1,0)))</f>
        <v/>
      </c>
      <c r="D735" s="35">
        <f>IF(H735="ETAPA",0,IF(H735="SUBETAPA",OFFSET(D735,-1,0)+1,OFFSET(D735,-1,0)))</f>
        <v/>
      </c>
      <c r="E735" s="35">
        <f>IF(H735="Subetapa",0,IF(H735="serviço",OFFSET(E735,-1,0)+1,OFFSET(E735,-1,0)))</f>
        <v/>
      </c>
      <c r="F735" s="56" t="n"/>
      <c r="G735" s="1" t="n"/>
      <c r="H735" s="1" t="n"/>
      <c r="I735" s="1" t="n"/>
      <c r="J735" s="64" t="n"/>
      <c r="K735" s="52" t="n"/>
      <c r="L735" s="58" t="n"/>
      <c r="M735" s="58" t="n"/>
      <c r="N735" s="70" t="n"/>
      <c r="O735" s="56" t="n"/>
      <c r="P735" s="1" t="n"/>
      <c r="Q735" s="1" t="n"/>
    </row>
    <row r="736">
      <c r="A736" s="34">
        <f>IF($H736="UNIDADE CONSTRUTIVA",OFFSET(A736,-1,0)+1,LARGE(A$3:A735,1))</f>
        <v/>
      </c>
      <c r="B736" s="34">
        <f>IF(H736="UNIDADE CONSTRUTIVA",0,IF(H736="CÉLULA CONSTRUTIVA",OFFSET(B736,-1,0)+1,OFFSET(B736,-1,0)))</f>
        <v/>
      </c>
      <c r="C736" s="34">
        <f>IF(H736="CÉLULA CONSTRUTIVA",0,IF(H736="ETAPA",OFFSET(C736,-1,0)+1,OFFSET(C736,-1,0)))</f>
        <v/>
      </c>
      <c r="D736" s="35">
        <f>IF(H736="ETAPA",0,IF(H736="SUBETAPA",OFFSET(D736,-1,0)+1,OFFSET(D736,-1,0)))</f>
        <v/>
      </c>
      <c r="E736" s="35">
        <f>IF(H736="Subetapa",0,IF(H736="serviço",OFFSET(E736,-1,0)+1,OFFSET(E736,-1,0)))</f>
        <v/>
      </c>
      <c r="F736" s="56" t="n"/>
      <c r="G736" s="1" t="n"/>
      <c r="H736" s="1" t="n"/>
      <c r="I736" s="1" t="n"/>
      <c r="J736" s="64" t="n"/>
      <c r="K736" s="52" t="n"/>
      <c r="L736" s="58" t="n"/>
      <c r="M736" s="58" t="n"/>
      <c r="N736" s="70" t="n"/>
      <c r="O736" s="56" t="n"/>
      <c r="P736" s="1" t="n"/>
      <c r="Q736" s="1" t="n"/>
    </row>
    <row r="737">
      <c r="A737" s="34">
        <f>IF($H737="UNIDADE CONSTRUTIVA",OFFSET(A737,-1,0)+1,LARGE(A$3:A736,1))</f>
        <v/>
      </c>
      <c r="B737" s="34">
        <f>IF(H737="UNIDADE CONSTRUTIVA",0,IF(H737="CÉLULA CONSTRUTIVA",OFFSET(B737,-1,0)+1,OFFSET(B737,-1,0)))</f>
        <v/>
      </c>
      <c r="C737" s="34">
        <f>IF(H737="CÉLULA CONSTRUTIVA",0,IF(H737="ETAPA",OFFSET(C737,-1,0)+1,OFFSET(C737,-1,0)))</f>
        <v/>
      </c>
      <c r="D737" s="35">
        <f>IF(H737="ETAPA",0,IF(H737="SUBETAPA",OFFSET(D737,-1,0)+1,OFFSET(D737,-1,0)))</f>
        <v/>
      </c>
      <c r="E737" s="35">
        <f>IF(H737="Subetapa",0,IF(H737="serviço",OFFSET(E737,-1,0)+1,OFFSET(E737,-1,0)))</f>
        <v/>
      </c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</row>
    <row r="738">
      <c r="A738" s="34">
        <f>IF($H738="UNIDADE CONSTRUTIVA",OFFSET(A738,-1,0)+1,LARGE(A$3:A737,1))</f>
        <v/>
      </c>
      <c r="B738" s="34">
        <f>IF(H738="UNIDADE CONSTRUTIVA",0,IF(H738="CÉLULA CONSTRUTIVA",OFFSET(B738,-1,0)+1,OFFSET(B738,-1,0)))</f>
        <v/>
      </c>
      <c r="C738" s="34">
        <f>IF(H738="CÉLULA CONSTRUTIVA",0,IF(H738="ETAPA",OFFSET(C738,-1,0)+1,OFFSET(C738,-1,0)))</f>
        <v/>
      </c>
      <c r="D738" s="35">
        <f>IF(H738="ETAPA",0,IF(H738="SUBETAPA",OFFSET(D738,-1,0)+1,OFFSET(D738,-1,0)))</f>
        <v/>
      </c>
      <c r="E738" s="35">
        <f>IF(H738="Subetapa",0,IF(H738="serviço",OFFSET(E738,-1,0)+1,OFFSET(E738,-1,0)))</f>
        <v/>
      </c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</row>
    <row r="739">
      <c r="A739" s="34">
        <f>IF($H739="UNIDADE CONSTRUTIVA",OFFSET(A739,-1,0)+1,LARGE(A$3:A738,1))</f>
        <v/>
      </c>
      <c r="B739" s="34">
        <f>IF(H739="UNIDADE CONSTRUTIVA",0,IF(H739="CÉLULA CONSTRUTIVA",OFFSET(B739,-1,0)+1,OFFSET(B739,-1,0)))</f>
        <v/>
      </c>
      <c r="C739" s="34">
        <f>IF(H739="CÉLULA CONSTRUTIVA",0,IF(H739="ETAPA",OFFSET(C739,-1,0)+1,OFFSET(C739,-1,0)))</f>
        <v/>
      </c>
      <c r="D739" s="35">
        <f>IF(H739="ETAPA",0,IF(H739="SUBETAPA",OFFSET(D739,-1,0)+1,OFFSET(D739,-1,0)))</f>
        <v/>
      </c>
      <c r="E739" s="35">
        <f>IF(H739="Subetapa",0,IF(H739="serviço",OFFSET(E739,-1,0)+1,OFFSET(E739,-1,0)))</f>
        <v/>
      </c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</row>
    <row r="740">
      <c r="A740" s="34">
        <f>IF($H740="UNIDADE CONSTRUTIVA",OFFSET(A740,-1,0)+1,LARGE(A$3:A739,1))</f>
        <v/>
      </c>
      <c r="B740" s="34">
        <f>IF(H740="UNIDADE CONSTRUTIVA",0,IF(H740="CÉLULA CONSTRUTIVA",OFFSET(B740,-1,0)+1,OFFSET(B740,-1,0)))</f>
        <v/>
      </c>
      <c r="C740" s="34">
        <f>IF(H740="CÉLULA CONSTRUTIVA",0,IF(H740="ETAPA",OFFSET(C740,-1,0)+1,OFFSET(C740,-1,0)))</f>
        <v/>
      </c>
      <c r="D740" s="35">
        <f>IF(H740="ETAPA",0,IF(H740="SUBETAPA",OFFSET(D740,-1,0)+1,OFFSET(D740,-1,0)))</f>
        <v/>
      </c>
      <c r="E740" s="35">
        <f>IF(H740="Subetapa",0,IF(H740="serviço",OFFSET(E740,-1,0)+1,OFFSET(E740,-1,0)))</f>
        <v/>
      </c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</row>
    <row r="741">
      <c r="A741" s="34">
        <f>IF($H741="UNIDADE CONSTRUTIVA",OFFSET(A741,-1,0)+1,LARGE(A$3:A740,1))</f>
        <v/>
      </c>
      <c r="B741" s="34">
        <f>IF(H741="UNIDADE CONSTRUTIVA",0,IF(H741="CÉLULA CONSTRUTIVA",OFFSET(B741,-1,0)+1,OFFSET(B741,-1,0)))</f>
        <v/>
      </c>
      <c r="C741" s="34">
        <f>IF(H741="CÉLULA CONSTRUTIVA",0,IF(H741="ETAPA",OFFSET(C741,-1,0)+1,OFFSET(C741,-1,0)))</f>
        <v/>
      </c>
      <c r="D741" s="35">
        <f>IF(H741="ETAPA",0,IF(H741="SUBETAPA",OFFSET(D741,-1,0)+1,OFFSET(D741,-1,0)))</f>
        <v/>
      </c>
      <c r="E741" s="35">
        <f>IF(H741="Subetapa",0,IF(H741="serviço",OFFSET(E741,-1,0)+1,OFFSET(E741,-1,0)))</f>
        <v/>
      </c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</row>
    <row r="742">
      <c r="A742" s="34">
        <f>IF($H742="UNIDADE CONSTRUTIVA",OFFSET(A742,-1,0)+1,LARGE(A$3:A741,1))</f>
        <v/>
      </c>
      <c r="B742" s="34">
        <f>IF(H742="UNIDADE CONSTRUTIVA",0,IF(H742="CÉLULA CONSTRUTIVA",OFFSET(B742,-1,0)+1,OFFSET(B742,-1,0)))</f>
        <v/>
      </c>
      <c r="C742" s="34">
        <f>IF(H742="CÉLULA CONSTRUTIVA",0,IF(H742="ETAPA",OFFSET(C742,-1,0)+1,OFFSET(C742,-1,0)))</f>
        <v/>
      </c>
      <c r="D742" s="35">
        <f>IF(H742="ETAPA",0,IF(H742="SUBETAPA",OFFSET(D742,-1,0)+1,OFFSET(D742,-1,0)))</f>
        <v/>
      </c>
      <c r="E742" s="35">
        <f>IF(H742="Subetapa",0,IF(H742="serviço",OFFSET(E742,-1,0)+1,OFFSET(E742,-1,0)))</f>
        <v/>
      </c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</row>
    <row r="743">
      <c r="A743" s="34">
        <f>IF($H743="UNIDADE CONSTRUTIVA",OFFSET(A743,-1,0)+1,LARGE(A$3:A742,1))</f>
        <v/>
      </c>
      <c r="B743" s="34">
        <f>IF(H743="UNIDADE CONSTRUTIVA",0,IF(H743="CÉLULA CONSTRUTIVA",OFFSET(B743,-1,0)+1,OFFSET(B743,-1,0)))</f>
        <v/>
      </c>
      <c r="C743" s="34">
        <f>IF(H743="CÉLULA CONSTRUTIVA",0,IF(H743="ETAPA",OFFSET(C743,-1,0)+1,OFFSET(C743,-1,0)))</f>
        <v/>
      </c>
      <c r="D743" s="35">
        <f>IF(H743="ETAPA",0,IF(H743="SUBETAPA",OFFSET(D743,-1,0)+1,OFFSET(D743,-1,0)))</f>
        <v/>
      </c>
      <c r="E743" s="35">
        <f>IF(H743="Subetapa",0,IF(H743="serviço",OFFSET(E743,-1,0)+1,OFFSET(E743,-1,0)))</f>
        <v/>
      </c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</row>
    <row r="744">
      <c r="A744" s="34">
        <f>IF($H744="UNIDADE CONSTRUTIVA",OFFSET(A744,-1,0)+1,LARGE(A$3:A743,1))</f>
        <v/>
      </c>
      <c r="B744" s="34">
        <f>IF(H744="UNIDADE CONSTRUTIVA",0,IF(H744="CÉLULA CONSTRUTIVA",OFFSET(B744,-1,0)+1,OFFSET(B744,-1,0)))</f>
        <v/>
      </c>
      <c r="C744" s="34">
        <f>IF(H744="CÉLULA CONSTRUTIVA",0,IF(H744="ETAPA",OFFSET(C744,-1,0)+1,OFFSET(C744,-1,0)))</f>
        <v/>
      </c>
      <c r="D744" s="35">
        <f>IF(H744="ETAPA",0,IF(H744="SUBETAPA",OFFSET(D744,-1,0)+1,OFFSET(D744,-1,0)))</f>
        <v/>
      </c>
      <c r="E744" s="35">
        <f>IF(H744="Subetapa",0,IF(H744="serviço",OFFSET(E744,-1,0)+1,OFFSET(E744,-1,0)))</f>
        <v/>
      </c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</row>
    <row r="745">
      <c r="A745" s="34">
        <f>IF($H745="UNIDADE CONSTRUTIVA",OFFSET(A745,-1,0)+1,LARGE(A$3:A744,1))</f>
        <v/>
      </c>
      <c r="B745" s="34">
        <f>IF(H745="UNIDADE CONSTRUTIVA",0,IF(H745="CÉLULA CONSTRUTIVA",OFFSET(B745,-1,0)+1,OFFSET(B745,-1,0)))</f>
        <v/>
      </c>
      <c r="C745" s="34">
        <f>IF(H745="CÉLULA CONSTRUTIVA",0,IF(H745="ETAPA",OFFSET(C745,-1,0)+1,OFFSET(C745,-1,0)))</f>
        <v/>
      </c>
      <c r="D745" s="35">
        <f>IF(H745="ETAPA",0,IF(H745="SUBETAPA",OFFSET(D745,-1,0)+1,OFFSET(D745,-1,0)))</f>
        <v/>
      </c>
      <c r="E745" s="35">
        <f>IF(H745="Subetapa",0,IF(H745="serviço",OFFSET(E745,-1,0)+1,OFFSET(E745,-1,0)))</f>
        <v/>
      </c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</row>
    <row r="746">
      <c r="A746" s="34">
        <f>IF($H746="UNIDADE CONSTRUTIVA",OFFSET(A746,-1,0)+1,LARGE(A$3:A745,1))</f>
        <v/>
      </c>
      <c r="B746" s="34">
        <f>IF(H746="UNIDADE CONSTRUTIVA",0,IF(H746="CÉLULA CONSTRUTIVA",OFFSET(B746,-1,0)+1,OFFSET(B746,-1,0)))</f>
        <v/>
      </c>
      <c r="C746" s="34">
        <f>IF(H746="CÉLULA CONSTRUTIVA",0,IF(H746="ETAPA",OFFSET(C746,-1,0)+1,OFFSET(C746,-1,0)))</f>
        <v/>
      </c>
      <c r="D746" s="35">
        <f>IF(H746="ETAPA",0,IF(H746="SUBETAPA",OFFSET(D746,-1,0)+1,OFFSET(D746,-1,0)))</f>
        <v/>
      </c>
      <c r="E746" s="35">
        <f>IF(H746="Subetapa",0,IF(H746="serviço",OFFSET(E746,-1,0)+1,OFFSET(E746,-1,0)))</f>
        <v/>
      </c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</row>
    <row r="747">
      <c r="A747" s="34">
        <f>IF($H747="UNIDADE CONSTRUTIVA",OFFSET(A747,-1,0)+1,LARGE(A$3:A746,1))</f>
        <v/>
      </c>
      <c r="B747" s="34">
        <f>IF(H747="UNIDADE CONSTRUTIVA",0,IF(H747="CÉLULA CONSTRUTIVA",OFFSET(B747,-1,0)+1,OFFSET(B747,-1,0)))</f>
        <v/>
      </c>
      <c r="C747" s="34">
        <f>IF(H747="CÉLULA CONSTRUTIVA",0,IF(H747="ETAPA",OFFSET(C747,-1,0)+1,OFFSET(C747,-1,0)))</f>
        <v/>
      </c>
      <c r="D747" s="35">
        <f>IF(H747="ETAPA",0,IF(H747="SUBETAPA",OFFSET(D747,-1,0)+1,OFFSET(D747,-1,0)))</f>
        <v/>
      </c>
      <c r="E747" s="35">
        <f>IF(H747="Subetapa",0,IF(H747="serviço",OFFSET(E747,-1,0)+1,OFFSET(E747,-1,0)))</f>
        <v/>
      </c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</row>
    <row r="748">
      <c r="A748" s="34">
        <f>IF($H748="UNIDADE CONSTRUTIVA",OFFSET(A748,-1,0)+1,LARGE(A$3:A747,1))</f>
        <v/>
      </c>
      <c r="B748" s="34">
        <f>IF(H748="UNIDADE CONSTRUTIVA",0,IF(H748="CÉLULA CONSTRUTIVA",OFFSET(B748,-1,0)+1,OFFSET(B748,-1,0)))</f>
        <v/>
      </c>
      <c r="C748" s="34">
        <f>IF(H748="CÉLULA CONSTRUTIVA",0,IF(H748="ETAPA",OFFSET(C748,-1,0)+1,OFFSET(C748,-1,0)))</f>
        <v/>
      </c>
      <c r="D748" s="35">
        <f>IF(H748="ETAPA",0,IF(H748="SUBETAPA",OFFSET(D748,-1,0)+1,OFFSET(D748,-1,0)))</f>
        <v/>
      </c>
      <c r="E748" s="35">
        <f>IF(H748="Subetapa",0,IF(H748="serviço",OFFSET(E748,-1,0)+1,OFFSET(E748,-1,0)))</f>
        <v/>
      </c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</row>
    <row r="749">
      <c r="A749" s="34">
        <f>IF($H749="UNIDADE CONSTRUTIVA",OFFSET(A749,-1,0)+1,LARGE(A$3:A748,1))</f>
        <v/>
      </c>
      <c r="B749" s="34">
        <f>IF(H749="UNIDADE CONSTRUTIVA",0,IF(H749="CÉLULA CONSTRUTIVA",OFFSET(B749,-1,0)+1,OFFSET(B749,-1,0)))</f>
        <v/>
      </c>
      <c r="C749" s="34">
        <f>IF(H749="CÉLULA CONSTRUTIVA",0,IF(H749="ETAPA",OFFSET(C749,-1,0)+1,OFFSET(C749,-1,0)))</f>
        <v/>
      </c>
      <c r="D749" s="35">
        <f>IF(H749="ETAPA",0,IF(H749="SUBETAPA",OFFSET(D749,-1,0)+1,OFFSET(D749,-1,0)))</f>
        <v/>
      </c>
      <c r="E749" s="35">
        <f>IF(H749="Subetapa",0,IF(H749="serviço",OFFSET(E749,-1,0)+1,OFFSET(E749,-1,0)))</f>
        <v/>
      </c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</row>
    <row r="750">
      <c r="A750" s="34">
        <f>IF($H750="UNIDADE CONSTRUTIVA",OFFSET(A750,-1,0)+1,LARGE(A$3:A749,1))</f>
        <v/>
      </c>
      <c r="B750" s="34">
        <f>IF(H750="UNIDADE CONSTRUTIVA",0,IF(H750="CÉLULA CONSTRUTIVA",OFFSET(B750,-1,0)+1,OFFSET(B750,-1,0)))</f>
        <v/>
      </c>
      <c r="C750" s="34">
        <f>IF(H750="CÉLULA CONSTRUTIVA",0,IF(H750="ETAPA",OFFSET(C750,-1,0)+1,OFFSET(C750,-1,0)))</f>
        <v/>
      </c>
      <c r="D750" s="35">
        <f>IF(H750="ETAPA",0,IF(H750="SUBETAPA",OFFSET(D750,-1,0)+1,OFFSET(D750,-1,0)))</f>
        <v/>
      </c>
      <c r="E750" s="35">
        <f>IF(H750="Subetapa",0,IF(H750="serviço",OFFSET(E750,-1,0)+1,OFFSET(E750,-1,0)))</f>
        <v/>
      </c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</row>
    <row r="751">
      <c r="A751" s="34">
        <f>IF($H751="UNIDADE CONSTRUTIVA",OFFSET(A751,-1,0)+1,LARGE(A$3:A750,1))</f>
        <v/>
      </c>
      <c r="B751" s="34">
        <f>IF(H751="UNIDADE CONSTRUTIVA",0,IF(H751="CÉLULA CONSTRUTIVA",OFFSET(B751,-1,0)+1,OFFSET(B751,-1,0)))</f>
        <v/>
      </c>
      <c r="C751" s="34">
        <f>IF(H751="CÉLULA CONSTRUTIVA",0,IF(H751="ETAPA",OFFSET(C751,-1,0)+1,OFFSET(C751,-1,0)))</f>
        <v/>
      </c>
      <c r="D751" s="35">
        <f>IF(H751="ETAPA",0,IF(H751="SUBETAPA",OFFSET(D751,-1,0)+1,OFFSET(D751,-1,0)))</f>
        <v/>
      </c>
      <c r="E751" s="35">
        <f>IF(H751="Subetapa",0,IF(H751="serviço",OFFSET(E751,-1,0)+1,OFFSET(E751,-1,0)))</f>
        <v/>
      </c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</row>
    <row r="752">
      <c r="A752" s="34">
        <f>IF($H752="UNIDADE CONSTRUTIVA",OFFSET(A752,-1,0)+1,LARGE(A$3:A751,1))</f>
        <v/>
      </c>
      <c r="B752" s="34">
        <f>IF(H752="UNIDADE CONSTRUTIVA",0,IF(H752="CÉLULA CONSTRUTIVA",OFFSET(B752,-1,0)+1,OFFSET(B752,-1,0)))</f>
        <v/>
      </c>
      <c r="C752" s="34">
        <f>IF(H752="CÉLULA CONSTRUTIVA",0,IF(H752="ETAPA",OFFSET(C752,-1,0)+1,OFFSET(C752,-1,0)))</f>
        <v/>
      </c>
      <c r="D752" s="35">
        <f>IF(H752="ETAPA",0,IF(H752="SUBETAPA",OFFSET(D752,-1,0)+1,OFFSET(D752,-1,0)))</f>
        <v/>
      </c>
      <c r="E752" s="35">
        <f>IF(H752="Subetapa",0,IF(H752="serviço",OFFSET(E752,-1,0)+1,OFFSET(E752,-1,0)))</f>
        <v/>
      </c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</row>
    <row r="753">
      <c r="A753" s="34">
        <f>IF($H753="UNIDADE CONSTRUTIVA",OFFSET(A753,-1,0)+1,LARGE(A$3:A752,1))</f>
        <v/>
      </c>
      <c r="B753" s="34">
        <f>IF(H753="UNIDADE CONSTRUTIVA",0,IF(H753="CÉLULA CONSTRUTIVA",OFFSET(B753,-1,0)+1,OFFSET(B753,-1,0)))</f>
        <v/>
      </c>
      <c r="C753" s="34">
        <f>IF(H753="CÉLULA CONSTRUTIVA",0,IF(H753="ETAPA",OFFSET(C753,-1,0)+1,OFFSET(C753,-1,0)))</f>
        <v/>
      </c>
      <c r="D753" s="35">
        <f>IF(H753="ETAPA",0,IF(H753="SUBETAPA",OFFSET(D753,-1,0)+1,OFFSET(D753,-1,0)))</f>
        <v/>
      </c>
      <c r="E753" s="35">
        <f>IF(H753="Subetapa",0,IF(H753="serviço",OFFSET(E753,-1,0)+1,OFFSET(E753,-1,0)))</f>
        <v/>
      </c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</row>
    <row r="754">
      <c r="A754" s="34">
        <f>IF($H754="UNIDADE CONSTRUTIVA",OFFSET(A754,-1,0)+1,LARGE(A$3:A753,1))</f>
        <v/>
      </c>
      <c r="B754" s="34">
        <f>IF(H754="UNIDADE CONSTRUTIVA",0,IF(H754="CÉLULA CONSTRUTIVA",OFFSET(B754,-1,0)+1,OFFSET(B754,-1,0)))</f>
        <v/>
      </c>
      <c r="C754" s="34">
        <f>IF(H754="CÉLULA CONSTRUTIVA",0,IF(H754="ETAPA",OFFSET(C754,-1,0)+1,OFFSET(C754,-1,0)))</f>
        <v/>
      </c>
      <c r="D754" s="35">
        <f>IF(H754="ETAPA",0,IF(H754="SUBETAPA",OFFSET(D754,-1,0)+1,OFFSET(D754,-1,0)))</f>
        <v/>
      </c>
      <c r="E754" s="35">
        <f>IF(H754="Subetapa",0,IF(H754="serviço",OFFSET(E754,-1,0)+1,OFFSET(E754,-1,0)))</f>
        <v/>
      </c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</row>
    <row r="755">
      <c r="A755" s="34">
        <f>IF($H755="UNIDADE CONSTRUTIVA",OFFSET(A755,-1,0)+1,LARGE(A$3:A754,1))</f>
        <v/>
      </c>
      <c r="B755" s="34">
        <f>IF(H755="UNIDADE CONSTRUTIVA",0,IF(H755="CÉLULA CONSTRUTIVA",OFFSET(B755,-1,0)+1,OFFSET(B755,-1,0)))</f>
        <v/>
      </c>
      <c r="C755" s="34">
        <f>IF(H755="CÉLULA CONSTRUTIVA",0,IF(H755="ETAPA",OFFSET(C755,-1,0)+1,OFFSET(C755,-1,0)))</f>
        <v/>
      </c>
      <c r="D755" s="35">
        <f>IF(H755="ETAPA",0,IF(H755="SUBETAPA",OFFSET(D755,-1,0)+1,OFFSET(D755,-1,0)))</f>
        <v/>
      </c>
      <c r="E755" s="35">
        <f>IF(H755="Subetapa",0,IF(H755="serviço",OFFSET(E755,-1,0)+1,OFFSET(E755,-1,0)))</f>
        <v/>
      </c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</row>
    <row r="756">
      <c r="A756" s="34">
        <f>IF($H756="UNIDADE CONSTRUTIVA",OFFSET(A756,-1,0)+1,LARGE(A$3:A755,1))</f>
        <v/>
      </c>
      <c r="B756" s="34">
        <f>IF(H756="UNIDADE CONSTRUTIVA",0,IF(H756="CÉLULA CONSTRUTIVA",OFFSET(B756,-1,0)+1,OFFSET(B756,-1,0)))</f>
        <v/>
      </c>
      <c r="C756" s="34">
        <f>IF(H756="CÉLULA CONSTRUTIVA",0,IF(H756="ETAPA",OFFSET(C756,-1,0)+1,OFFSET(C756,-1,0)))</f>
        <v/>
      </c>
      <c r="D756" s="35">
        <f>IF(H756="ETAPA",0,IF(H756="SUBETAPA",OFFSET(D756,-1,0)+1,OFFSET(D756,-1,0)))</f>
        <v/>
      </c>
      <c r="E756" s="35">
        <f>IF(H756="Subetapa",0,IF(H756="serviço",OFFSET(E756,-1,0)+1,OFFSET(E756,-1,0)))</f>
        <v/>
      </c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</row>
    <row r="757">
      <c r="A757" s="34">
        <f>IF($H757="UNIDADE CONSTRUTIVA",OFFSET(A757,-1,0)+1,LARGE(A$3:A756,1))</f>
        <v/>
      </c>
      <c r="B757" s="34">
        <f>IF(H757="UNIDADE CONSTRUTIVA",0,IF(H757="CÉLULA CONSTRUTIVA",OFFSET(B757,-1,0)+1,OFFSET(B757,-1,0)))</f>
        <v/>
      </c>
      <c r="C757" s="34">
        <f>IF(H757="CÉLULA CONSTRUTIVA",0,IF(H757="ETAPA",OFFSET(C757,-1,0)+1,OFFSET(C757,-1,0)))</f>
        <v/>
      </c>
      <c r="D757" s="35">
        <f>IF(H757="ETAPA",0,IF(H757="SUBETAPA",OFFSET(D757,-1,0)+1,OFFSET(D757,-1,0)))</f>
        <v/>
      </c>
      <c r="E757" s="35">
        <f>IF(H757="Subetapa",0,IF(H757="serviço",OFFSET(E757,-1,0)+1,OFFSET(E757,-1,0)))</f>
        <v/>
      </c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</row>
    <row r="758">
      <c r="A758" s="34">
        <f>IF($H758="UNIDADE CONSTRUTIVA",OFFSET(A758,-1,0)+1,LARGE(A$3:A757,1))</f>
        <v/>
      </c>
      <c r="B758" s="34">
        <f>IF(H758="UNIDADE CONSTRUTIVA",0,IF(H758="CÉLULA CONSTRUTIVA",OFFSET(B758,-1,0)+1,OFFSET(B758,-1,0)))</f>
        <v/>
      </c>
      <c r="C758" s="34">
        <f>IF(H758="CÉLULA CONSTRUTIVA",0,IF(H758="ETAPA",OFFSET(C758,-1,0)+1,OFFSET(C758,-1,0)))</f>
        <v/>
      </c>
      <c r="D758" s="35">
        <f>IF(H758="ETAPA",0,IF(H758="SUBETAPA",OFFSET(D758,-1,0)+1,OFFSET(D758,-1,0)))</f>
        <v/>
      </c>
      <c r="E758" s="35">
        <f>IF(H758="Subetapa",0,IF(H758="serviço",OFFSET(E758,-1,0)+1,OFFSET(E758,-1,0)))</f>
        <v/>
      </c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</row>
    <row r="759">
      <c r="A759" s="34">
        <f>IF($H759="UNIDADE CONSTRUTIVA",OFFSET(A759,-1,0)+1,LARGE(A$3:A758,1))</f>
        <v/>
      </c>
      <c r="B759" s="34">
        <f>IF(H759="UNIDADE CONSTRUTIVA",0,IF(H759="CÉLULA CONSTRUTIVA",OFFSET(B759,-1,0)+1,OFFSET(B759,-1,0)))</f>
        <v/>
      </c>
      <c r="C759" s="34">
        <f>IF(H759="CÉLULA CONSTRUTIVA",0,IF(H759="ETAPA",OFFSET(C759,-1,0)+1,OFFSET(C759,-1,0)))</f>
        <v/>
      </c>
      <c r="D759" s="35">
        <f>IF(H759="ETAPA",0,IF(H759="SUBETAPA",OFFSET(D759,-1,0)+1,OFFSET(D759,-1,0)))</f>
        <v/>
      </c>
      <c r="E759" s="35">
        <f>IF(H759="Subetapa",0,IF(H759="serviço",OFFSET(E759,-1,0)+1,OFFSET(E759,-1,0)))</f>
        <v/>
      </c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</row>
    <row r="760">
      <c r="A760" s="34">
        <f>IF($H760="UNIDADE CONSTRUTIVA",OFFSET(A760,-1,0)+1,LARGE(A$3:A759,1))</f>
        <v/>
      </c>
      <c r="B760" s="34">
        <f>IF(H760="UNIDADE CONSTRUTIVA",0,IF(H760="CÉLULA CONSTRUTIVA",OFFSET(B760,-1,0)+1,OFFSET(B760,-1,0)))</f>
        <v/>
      </c>
      <c r="C760" s="34">
        <f>IF(H760="CÉLULA CONSTRUTIVA",0,IF(H760="ETAPA",OFFSET(C760,-1,0)+1,OFFSET(C760,-1,0)))</f>
        <v/>
      </c>
      <c r="D760" s="35">
        <f>IF(H760="ETAPA",0,IF(H760="SUBETAPA",OFFSET(D760,-1,0)+1,OFFSET(D760,-1,0)))</f>
        <v/>
      </c>
      <c r="E760" s="35">
        <f>IF(H760="Subetapa",0,IF(H760="serviço",OFFSET(E760,-1,0)+1,OFFSET(E760,-1,0)))</f>
        <v/>
      </c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</row>
    <row r="761">
      <c r="A761" s="34">
        <f>IF($H761="UNIDADE CONSTRUTIVA",OFFSET(A761,-1,0)+1,LARGE(A$3:A760,1))</f>
        <v/>
      </c>
      <c r="B761" s="34">
        <f>IF(H761="UNIDADE CONSTRUTIVA",0,IF(H761="CÉLULA CONSTRUTIVA",OFFSET(B761,-1,0)+1,OFFSET(B761,-1,0)))</f>
        <v/>
      </c>
      <c r="C761" s="34">
        <f>IF(H761="CÉLULA CONSTRUTIVA",0,IF(H761="ETAPA",OFFSET(C761,-1,0)+1,OFFSET(C761,-1,0)))</f>
        <v/>
      </c>
      <c r="D761" s="35">
        <f>IF(H761="ETAPA",0,IF(H761="SUBETAPA",OFFSET(D761,-1,0)+1,OFFSET(D761,-1,0)))</f>
        <v/>
      </c>
      <c r="E761" s="35">
        <f>IF(H761="Subetapa",0,IF(H761="serviço",OFFSET(E761,-1,0)+1,OFFSET(E761,-1,0)))</f>
        <v/>
      </c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</row>
    <row r="762">
      <c r="A762" s="34">
        <f>IF($H762="UNIDADE CONSTRUTIVA",OFFSET(A762,-1,0)+1,LARGE(A$3:A761,1))</f>
        <v/>
      </c>
      <c r="B762" s="34">
        <f>IF(H762="UNIDADE CONSTRUTIVA",0,IF(H762="CÉLULA CONSTRUTIVA",OFFSET(B762,-1,0)+1,OFFSET(B762,-1,0)))</f>
        <v/>
      </c>
      <c r="C762" s="34">
        <f>IF(H762="CÉLULA CONSTRUTIVA",0,IF(H762="ETAPA",OFFSET(C762,-1,0)+1,OFFSET(C762,-1,0)))</f>
        <v/>
      </c>
      <c r="D762" s="35">
        <f>IF(H762="ETAPA",0,IF(H762="SUBETAPA",OFFSET(D762,-1,0)+1,OFFSET(D762,-1,0)))</f>
        <v/>
      </c>
      <c r="E762" s="35">
        <f>IF(H762="Subetapa",0,IF(H762="serviço",OFFSET(E762,-1,0)+1,OFFSET(E762,-1,0)))</f>
        <v/>
      </c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</row>
    <row r="763">
      <c r="A763" s="34">
        <f>IF($H763="UNIDADE CONSTRUTIVA",OFFSET(A763,-1,0)+1,LARGE(A$3:A762,1))</f>
        <v/>
      </c>
      <c r="B763" s="34">
        <f>IF(H763="UNIDADE CONSTRUTIVA",0,IF(H763="CÉLULA CONSTRUTIVA",OFFSET(B763,-1,0)+1,OFFSET(B763,-1,0)))</f>
        <v/>
      </c>
      <c r="C763" s="34">
        <f>IF(H763="CÉLULA CONSTRUTIVA",0,IF(H763="ETAPA",OFFSET(C763,-1,0)+1,OFFSET(C763,-1,0)))</f>
        <v/>
      </c>
      <c r="D763" s="35">
        <f>IF(H763="ETAPA",0,IF(H763="SUBETAPA",OFFSET(D763,-1,0)+1,OFFSET(D763,-1,0)))</f>
        <v/>
      </c>
      <c r="E763" s="35">
        <f>IF(H763="Subetapa",0,IF(H763="serviço",OFFSET(E763,-1,0)+1,OFFSET(E763,-1,0)))</f>
        <v/>
      </c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</row>
    <row r="764">
      <c r="A764" s="34">
        <f>IF($H764="UNIDADE CONSTRUTIVA",OFFSET(A764,-1,0)+1,LARGE(A$3:A763,1))</f>
        <v/>
      </c>
      <c r="B764" s="34">
        <f>IF(H764="UNIDADE CONSTRUTIVA",0,IF(H764="CÉLULA CONSTRUTIVA",OFFSET(B764,-1,0)+1,OFFSET(B764,-1,0)))</f>
        <v/>
      </c>
      <c r="C764" s="34">
        <f>IF(H764="CÉLULA CONSTRUTIVA",0,IF(H764="ETAPA",OFFSET(C764,-1,0)+1,OFFSET(C764,-1,0)))</f>
        <v/>
      </c>
      <c r="D764" s="35">
        <f>IF(H764="ETAPA",0,IF(H764="SUBETAPA",OFFSET(D764,-1,0)+1,OFFSET(D764,-1,0)))</f>
        <v/>
      </c>
      <c r="E764" s="35">
        <f>IF(H764="Subetapa",0,IF(H764="serviço",OFFSET(E764,-1,0)+1,OFFSET(E764,-1,0)))</f>
        <v/>
      </c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</row>
    <row r="765">
      <c r="A765" s="34">
        <f>IF($H765="UNIDADE CONSTRUTIVA",OFFSET(A765,-1,0)+1,LARGE(A$3:A764,1))</f>
        <v/>
      </c>
      <c r="B765" s="34">
        <f>IF(H765="UNIDADE CONSTRUTIVA",0,IF(H765="CÉLULA CONSTRUTIVA",OFFSET(B765,-1,0)+1,OFFSET(B765,-1,0)))</f>
        <v/>
      </c>
      <c r="C765" s="34">
        <f>IF(H765="CÉLULA CONSTRUTIVA",0,IF(H765="ETAPA",OFFSET(C765,-1,0)+1,OFFSET(C765,-1,0)))</f>
        <v/>
      </c>
      <c r="D765" s="35">
        <f>IF(H765="ETAPA",0,IF(H765="SUBETAPA",OFFSET(D765,-1,0)+1,OFFSET(D765,-1,0)))</f>
        <v/>
      </c>
      <c r="E765" s="35">
        <f>IF(H765="Subetapa",0,IF(H765="serviço",OFFSET(E765,-1,0)+1,OFFSET(E765,-1,0)))</f>
        <v/>
      </c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</row>
    <row r="766">
      <c r="A766" s="34">
        <f>IF($H766="UNIDADE CONSTRUTIVA",OFFSET(A766,-1,0)+1,LARGE(A$3:A765,1))</f>
        <v/>
      </c>
      <c r="B766" s="34">
        <f>IF(H766="UNIDADE CONSTRUTIVA",0,IF(H766="CÉLULA CONSTRUTIVA",OFFSET(B766,-1,0)+1,OFFSET(B766,-1,0)))</f>
        <v/>
      </c>
      <c r="C766" s="34">
        <f>IF(H766="CÉLULA CONSTRUTIVA",0,IF(H766="ETAPA",OFFSET(C766,-1,0)+1,OFFSET(C766,-1,0)))</f>
        <v/>
      </c>
      <c r="D766" s="35">
        <f>IF(H766="ETAPA",0,IF(H766="SUBETAPA",OFFSET(D766,-1,0)+1,OFFSET(D766,-1,0)))</f>
        <v/>
      </c>
      <c r="E766" s="35">
        <f>IF(H766="Subetapa",0,IF(H766="serviço",OFFSET(E766,-1,0)+1,OFFSET(E766,-1,0)))</f>
        <v/>
      </c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</row>
    <row r="767">
      <c r="A767" s="34">
        <f>IF($H767="UNIDADE CONSTRUTIVA",OFFSET(A767,-1,0)+1,LARGE(A$3:A766,1))</f>
        <v/>
      </c>
      <c r="B767" s="34">
        <f>IF(H767="UNIDADE CONSTRUTIVA",0,IF(H767="CÉLULA CONSTRUTIVA",OFFSET(B767,-1,0)+1,OFFSET(B767,-1,0)))</f>
        <v/>
      </c>
      <c r="C767" s="34">
        <f>IF(H767="CÉLULA CONSTRUTIVA",0,IF(H767="ETAPA",OFFSET(C767,-1,0)+1,OFFSET(C767,-1,0)))</f>
        <v/>
      </c>
      <c r="D767" s="35">
        <f>IF(H767="ETAPA",0,IF(H767="SUBETAPA",OFFSET(D767,-1,0)+1,OFFSET(D767,-1,0)))</f>
        <v/>
      </c>
      <c r="E767" s="35">
        <f>IF(H767="Subetapa",0,IF(H767="serviço",OFFSET(E767,-1,0)+1,OFFSET(E767,-1,0)))</f>
        <v/>
      </c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</row>
    <row r="768">
      <c r="A768" s="34">
        <f>IF($H768="UNIDADE CONSTRUTIVA",OFFSET(A768,-1,0)+1,LARGE(A$3:A767,1))</f>
        <v/>
      </c>
      <c r="B768" s="34">
        <f>IF(H768="UNIDADE CONSTRUTIVA",0,IF(H768="CÉLULA CONSTRUTIVA",OFFSET(B768,-1,0)+1,OFFSET(B768,-1,0)))</f>
        <v/>
      </c>
      <c r="C768" s="34">
        <f>IF(H768="CÉLULA CONSTRUTIVA",0,IF(H768="ETAPA",OFFSET(C768,-1,0)+1,OFFSET(C768,-1,0)))</f>
        <v/>
      </c>
      <c r="D768" s="35">
        <f>IF(H768="ETAPA",0,IF(H768="SUBETAPA",OFFSET(D768,-1,0)+1,OFFSET(D768,-1,0)))</f>
        <v/>
      </c>
      <c r="E768" s="35">
        <f>IF(H768="Subetapa",0,IF(H768="serviço",OFFSET(E768,-1,0)+1,OFFSET(E768,-1,0)))</f>
        <v/>
      </c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</row>
    <row r="769">
      <c r="A769" s="34">
        <f>IF($H769="UNIDADE CONSTRUTIVA",OFFSET(A769,-1,0)+1,LARGE(A$3:A768,1))</f>
        <v/>
      </c>
      <c r="B769" s="34">
        <f>IF(H769="UNIDADE CONSTRUTIVA",0,IF(H769="CÉLULA CONSTRUTIVA",OFFSET(B769,-1,0)+1,OFFSET(B769,-1,0)))</f>
        <v/>
      </c>
      <c r="C769" s="34">
        <f>IF(H769="CÉLULA CONSTRUTIVA",0,IF(H769="ETAPA",OFFSET(C769,-1,0)+1,OFFSET(C769,-1,0)))</f>
        <v/>
      </c>
      <c r="D769" s="35">
        <f>IF(H769="ETAPA",0,IF(H769="SUBETAPA",OFFSET(D769,-1,0)+1,OFFSET(D769,-1,0)))</f>
        <v/>
      </c>
      <c r="E769" s="35">
        <f>IF(H769="Subetapa",0,IF(H769="serviço",OFFSET(E769,-1,0)+1,OFFSET(E769,-1,0)))</f>
        <v/>
      </c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</row>
    <row r="770">
      <c r="A770" s="34">
        <f>IF($H770="UNIDADE CONSTRUTIVA",OFFSET(A770,-1,0)+1,LARGE(A$3:A769,1))</f>
        <v/>
      </c>
      <c r="B770" s="34">
        <f>IF(H770="UNIDADE CONSTRUTIVA",0,IF(H770="CÉLULA CONSTRUTIVA",OFFSET(B770,-1,0)+1,OFFSET(B770,-1,0)))</f>
        <v/>
      </c>
      <c r="C770" s="34">
        <f>IF(H770="CÉLULA CONSTRUTIVA",0,IF(H770="ETAPA",OFFSET(C770,-1,0)+1,OFFSET(C770,-1,0)))</f>
        <v/>
      </c>
      <c r="D770" s="35">
        <f>IF(H770="ETAPA",0,IF(H770="SUBETAPA",OFFSET(D770,-1,0)+1,OFFSET(D770,-1,0)))</f>
        <v/>
      </c>
      <c r="E770" s="35">
        <f>IF(H770="Subetapa",0,IF(H770="serviço",OFFSET(E770,-1,0)+1,OFFSET(E770,-1,0)))</f>
        <v/>
      </c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</row>
    <row r="771">
      <c r="A771" s="34">
        <f>IF($H771="UNIDADE CONSTRUTIVA",OFFSET(A771,-1,0)+1,LARGE(A$3:A770,1))</f>
        <v/>
      </c>
      <c r="B771" s="34">
        <f>IF(H771="UNIDADE CONSTRUTIVA",0,IF(H771="CÉLULA CONSTRUTIVA",OFFSET(B771,-1,0)+1,OFFSET(B771,-1,0)))</f>
        <v/>
      </c>
      <c r="C771" s="34">
        <f>IF(H771="CÉLULA CONSTRUTIVA",0,IF(H771="ETAPA",OFFSET(C771,-1,0)+1,OFFSET(C771,-1,0)))</f>
        <v/>
      </c>
      <c r="D771" s="35">
        <f>IF(H771="ETAPA",0,IF(H771="SUBETAPA",OFFSET(D771,-1,0)+1,OFFSET(D771,-1,0)))</f>
        <v/>
      </c>
      <c r="E771" s="35">
        <f>IF(H771="Subetapa",0,IF(H771="serviço",OFFSET(E771,-1,0)+1,OFFSET(E771,-1,0)))</f>
        <v/>
      </c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</row>
    <row r="772">
      <c r="A772" s="34">
        <f>IF($H772="UNIDADE CONSTRUTIVA",OFFSET(A772,-1,0)+1,LARGE(A$3:A771,1))</f>
        <v/>
      </c>
      <c r="B772" s="34">
        <f>IF(H772="UNIDADE CONSTRUTIVA",0,IF(H772="CÉLULA CONSTRUTIVA",OFFSET(B772,-1,0)+1,OFFSET(B772,-1,0)))</f>
        <v/>
      </c>
      <c r="C772" s="34">
        <f>IF(H772="CÉLULA CONSTRUTIVA",0,IF(H772="ETAPA",OFFSET(C772,-1,0)+1,OFFSET(C772,-1,0)))</f>
        <v/>
      </c>
      <c r="D772" s="35">
        <f>IF(H772="ETAPA",0,IF(H772="SUBETAPA",OFFSET(D772,-1,0)+1,OFFSET(D772,-1,0)))</f>
        <v/>
      </c>
      <c r="E772" s="35">
        <f>IF(H772="Subetapa",0,IF(H772="serviço",OFFSET(E772,-1,0)+1,OFFSET(E772,-1,0)))</f>
        <v/>
      </c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</row>
    <row r="773">
      <c r="A773" s="34">
        <f>IF($H773="UNIDADE CONSTRUTIVA",OFFSET(A773,-1,0)+1,LARGE(A$3:A772,1))</f>
        <v/>
      </c>
      <c r="B773" s="34">
        <f>IF(H773="UNIDADE CONSTRUTIVA",0,IF(H773="CÉLULA CONSTRUTIVA",OFFSET(B773,-1,0)+1,OFFSET(B773,-1,0)))</f>
        <v/>
      </c>
      <c r="C773" s="34">
        <f>IF(H773="CÉLULA CONSTRUTIVA",0,IF(H773="ETAPA",OFFSET(C773,-1,0)+1,OFFSET(C773,-1,0)))</f>
        <v/>
      </c>
      <c r="D773" s="35">
        <f>IF(H773="ETAPA",0,IF(H773="SUBETAPA",OFFSET(D773,-1,0)+1,OFFSET(D773,-1,0)))</f>
        <v/>
      </c>
      <c r="E773" s="35">
        <f>IF(H773="Subetapa",0,IF(H773="serviço",OFFSET(E773,-1,0)+1,OFFSET(E773,-1,0)))</f>
        <v/>
      </c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</row>
    <row r="774">
      <c r="A774" s="34">
        <f>IF($H774="UNIDADE CONSTRUTIVA",OFFSET(A774,-1,0)+1,LARGE(A$3:A773,1))</f>
        <v/>
      </c>
      <c r="B774" s="34">
        <f>IF(H774="UNIDADE CONSTRUTIVA",0,IF(H774="CÉLULA CONSTRUTIVA",OFFSET(B774,-1,0)+1,OFFSET(B774,-1,0)))</f>
        <v/>
      </c>
      <c r="C774" s="34">
        <f>IF(H774="CÉLULA CONSTRUTIVA",0,IF(H774="ETAPA",OFFSET(C774,-1,0)+1,OFFSET(C774,-1,0)))</f>
        <v/>
      </c>
      <c r="D774" s="35">
        <f>IF(H774="ETAPA",0,IF(H774="SUBETAPA",OFFSET(D774,-1,0)+1,OFFSET(D774,-1,0)))</f>
        <v/>
      </c>
      <c r="E774" s="35">
        <f>IF(H774="Subetapa",0,IF(H774="serviço",OFFSET(E774,-1,0)+1,OFFSET(E774,-1,0)))</f>
        <v/>
      </c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</row>
    <row r="775">
      <c r="A775" s="34">
        <f>IF($H775="UNIDADE CONSTRUTIVA",OFFSET(A775,-1,0)+1,LARGE(A$3:A774,1))</f>
        <v/>
      </c>
      <c r="B775" s="34">
        <f>IF(H775="UNIDADE CONSTRUTIVA",0,IF(H775="CÉLULA CONSTRUTIVA",OFFSET(B775,-1,0)+1,OFFSET(B775,-1,0)))</f>
        <v/>
      </c>
      <c r="C775" s="34">
        <f>IF(H775="CÉLULA CONSTRUTIVA",0,IF(H775="ETAPA",OFFSET(C775,-1,0)+1,OFFSET(C775,-1,0)))</f>
        <v/>
      </c>
      <c r="D775" s="35">
        <f>IF(H775="ETAPA",0,IF(H775="SUBETAPA",OFFSET(D775,-1,0)+1,OFFSET(D775,-1,0)))</f>
        <v/>
      </c>
      <c r="E775" s="35">
        <f>IF(H775="Subetapa",0,IF(H775="serviço",OFFSET(E775,-1,0)+1,OFFSET(E775,-1,0)))</f>
        <v/>
      </c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</row>
    <row r="776">
      <c r="A776" s="34">
        <f>IF($H776="UNIDADE CONSTRUTIVA",OFFSET(A776,-1,0)+1,LARGE(A$3:A775,1))</f>
        <v/>
      </c>
      <c r="B776" s="34">
        <f>IF(H776="UNIDADE CONSTRUTIVA",0,IF(H776="CÉLULA CONSTRUTIVA",OFFSET(B776,-1,0)+1,OFFSET(B776,-1,0)))</f>
        <v/>
      </c>
      <c r="C776" s="34">
        <f>IF(H776="CÉLULA CONSTRUTIVA",0,IF(H776="ETAPA",OFFSET(C776,-1,0)+1,OFFSET(C776,-1,0)))</f>
        <v/>
      </c>
      <c r="D776" s="35">
        <f>IF(H776="ETAPA",0,IF(H776="SUBETAPA",OFFSET(D776,-1,0)+1,OFFSET(D776,-1,0)))</f>
        <v/>
      </c>
      <c r="E776" s="35">
        <f>IF(H776="Subetapa",0,IF(H776="serviço",OFFSET(E776,-1,0)+1,OFFSET(E776,-1,0)))</f>
        <v/>
      </c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</row>
    <row r="777">
      <c r="A777" s="34">
        <f>IF($H777="UNIDADE CONSTRUTIVA",OFFSET(A777,-1,0)+1,LARGE(A$3:A776,1))</f>
        <v/>
      </c>
      <c r="B777" s="34">
        <f>IF(H777="UNIDADE CONSTRUTIVA",0,IF(H777="CÉLULA CONSTRUTIVA",OFFSET(B777,-1,0)+1,OFFSET(B777,-1,0)))</f>
        <v/>
      </c>
      <c r="C777" s="34">
        <f>IF(H777="CÉLULA CONSTRUTIVA",0,IF(H777="ETAPA",OFFSET(C777,-1,0)+1,OFFSET(C777,-1,0)))</f>
        <v/>
      </c>
      <c r="D777" s="35">
        <f>IF(H777="ETAPA",0,IF(H777="SUBETAPA",OFFSET(D777,-1,0)+1,OFFSET(D777,-1,0)))</f>
        <v/>
      </c>
      <c r="E777" s="35">
        <f>IF(H777="Subetapa",0,IF(H777="serviço",OFFSET(E777,-1,0)+1,OFFSET(E777,-1,0)))</f>
        <v/>
      </c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</row>
    <row r="778">
      <c r="A778" s="34">
        <f>IF($H778="UNIDADE CONSTRUTIVA",OFFSET(A778,-1,0)+1,LARGE(A$3:A777,1))</f>
        <v/>
      </c>
      <c r="B778" s="34">
        <f>IF(H778="UNIDADE CONSTRUTIVA",0,IF(H778="CÉLULA CONSTRUTIVA",OFFSET(B778,-1,0)+1,OFFSET(B778,-1,0)))</f>
        <v/>
      </c>
      <c r="C778" s="34">
        <f>IF(H778="CÉLULA CONSTRUTIVA",0,IF(H778="ETAPA",OFFSET(C778,-1,0)+1,OFFSET(C778,-1,0)))</f>
        <v/>
      </c>
      <c r="D778" s="35">
        <f>IF(H778="ETAPA",0,IF(H778="SUBETAPA",OFFSET(D778,-1,0)+1,OFFSET(D778,-1,0)))</f>
        <v/>
      </c>
      <c r="E778" s="35">
        <f>IF(H778="Subetapa",0,IF(H778="serviço",OFFSET(E778,-1,0)+1,OFFSET(E778,-1,0)))</f>
        <v/>
      </c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</row>
    <row r="779">
      <c r="A779" s="34">
        <f>IF($H779="UNIDADE CONSTRUTIVA",OFFSET(A779,-1,0)+1,LARGE(A$3:A778,1))</f>
        <v/>
      </c>
      <c r="B779" s="34">
        <f>IF(H779="UNIDADE CONSTRUTIVA",0,IF(H779="CÉLULA CONSTRUTIVA",OFFSET(B779,-1,0)+1,OFFSET(B779,-1,0)))</f>
        <v/>
      </c>
      <c r="C779" s="34">
        <f>IF(H779="CÉLULA CONSTRUTIVA",0,IF(H779="ETAPA",OFFSET(C779,-1,0)+1,OFFSET(C779,-1,0)))</f>
        <v/>
      </c>
      <c r="D779" s="35">
        <f>IF(H779="ETAPA",0,IF(H779="SUBETAPA",OFFSET(D779,-1,0)+1,OFFSET(D779,-1,0)))</f>
        <v/>
      </c>
      <c r="E779" s="35">
        <f>IF(H779="Subetapa",0,IF(H779="serviço",OFFSET(E779,-1,0)+1,OFFSET(E779,-1,0)))</f>
        <v/>
      </c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</row>
    <row r="780">
      <c r="A780" s="34">
        <f>IF($H780="UNIDADE CONSTRUTIVA",OFFSET(A780,-1,0)+1,LARGE(A$3:A779,1))</f>
        <v/>
      </c>
      <c r="B780" s="34">
        <f>IF(H780="UNIDADE CONSTRUTIVA",0,IF(H780="CÉLULA CONSTRUTIVA",OFFSET(B780,-1,0)+1,OFFSET(B780,-1,0)))</f>
        <v/>
      </c>
      <c r="C780" s="34">
        <f>IF(H780="CÉLULA CONSTRUTIVA",0,IF(H780="ETAPA",OFFSET(C780,-1,0)+1,OFFSET(C780,-1,0)))</f>
        <v/>
      </c>
      <c r="D780" s="35">
        <f>IF(H780="ETAPA",0,IF(H780="SUBETAPA",OFFSET(D780,-1,0)+1,OFFSET(D780,-1,0)))</f>
        <v/>
      </c>
      <c r="E780" s="35">
        <f>IF(H780="Subetapa",0,IF(H780="serviço",OFFSET(E780,-1,0)+1,OFFSET(E780,-1,0)))</f>
        <v/>
      </c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</row>
    <row r="781">
      <c r="A781" s="34">
        <f>IF($H781="UNIDADE CONSTRUTIVA",OFFSET(A781,-1,0)+1,LARGE(A$3:A780,1))</f>
        <v/>
      </c>
      <c r="B781" s="34">
        <f>IF(H781="UNIDADE CONSTRUTIVA",0,IF(H781="CÉLULA CONSTRUTIVA",OFFSET(B781,-1,0)+1,OFFSET(B781,-1,0)))</f>
        <v/>
      </c>
      <c r="C781" s="34">
        <f>IF(H781="CÉLULA CONSTRUTIVA",0,IF(H781="ETAPA",OFFSET(C781,-1,0)+1,OFFSET(C781,-1,0)))</f>
        <v/>
      </c>
      <c r="D781" s="35">
        <f>IF(H781="ETAPA",0,IF(H781="SUBETAPA",OFFSET(D781,-1,0)+1,OFFSET(D781,-1,0)))</f>
        <v/>
      </c>
      <c r="E781" s="35">
        <f>IF(H781="Subetapa",0,IF(H781="serviço",OFFSET(E781,-1,0)+1,OFFSET(E781,-1,0)))</f>
        <v/>
      </c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</row>
    <row r="782">
      <c r="A782" s="34">
        <f>IF($H782="UNIDADE CONSTRUTIVA",OFFSET(A782,-1,0)+1,LARGE(A$3:A781,1))</f>
        <v/>
      </c>
      <c r="B782" s="34">
        <f>IF(H782="UNIDADE CONSTRUTIVA",0,IF(H782="CÉLULA CONSTRUTIVA",OFFSET(B782,-1,0)+1,OFFSET(B782,-1,0)))</f>
        <v/>
      </c>
      <c r="C782" s="34">
        <f>IF(H782="CÉLULA CONSTRUTIVA",0,IF(H782="ETAPA",OFFSET(C782,-1,0)+1,OFFSET(C782,-1,0)))</f>
        <v/>
      </c>
      <c r="D782" s="35">
        <f>IF(H782="ETAPA",0,IF(H782="SUBETAPA",OFFSET(D782,-1,0)+1,OFFSET(D782,-1,0)))</f>
        <v/>
      </c>
      <c r="E782" s="35">
        <f>IF(H782="Subetapa",0,IF(H782="serviço",OFFSET(E782,-1,0)+1,OFFSET(E782,-1,0)))</f>
        <v/>
      </c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</row>
    <row r="784">
      <c r="A784" s="71" t="n"/>
      <c r="B784" s="71" t="n"/>
      <c r="C784" s="71" t="n"/>
      <c r="D784" s="71" t="n"/>
      <c r="E784" s="71" t="n"/>
      <c r="F784" s="71" t="n"/>
      <c r="G784" s="72" t="n"/>
      <c r="H784" s="72" t="n"/>
      <c r="I784" s="72" t="n"/>
      <c r="J784" s="73" t="n"/>
      <c r="K784" s="74" t="n"/>
      <c r="L784" s="73" t="n"/>
      <c r="M784" s="73" t="n"/>
      <c r="N784" s="75" t="n"/>
      <c r="O784" s="73" t="n"/>
      <c r="P784" s="76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>
      <c r="A785" s="77" t="n"/>
      <c r="B785" s="77" t="n"/>
      <c r="C785" s="77" t="n"/>
      <c r="D785" s="77" t="n"/>
      <c r="E785" s="77" t="n"/>
      <c r="F785" s="77" t="n"/>
      <c r="G785" s="78" t="n"/>
      <c r="H785" s="79" t="n"/>
      <c r="I785" s="79" t="n"/>
      <c r="J785" s="79" t="n"/>
      <c r="K785" s="80" t="n"/>
      <c r="L785" s="80" t="n"/>
      <c r="M785" s="80" t="n"/>
      <c r="N785" s="81" t="n"/>
      <c r="O785" s="82" t="n"/>
      <c r="P785" s="83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>
      <c r="A786" s="77" t="n"/>
      <c r="B786" s="77" t="n"/>
      <c r="C786" s="77" t="n"/>
      <c r="D786" s="77" t="n"/>
      <c r="E786" s="77" t="n"/>
      <c r="F786" s="77" t="n"/>
      <c r="G786" s="84" t="n"/>
      <c r="H786" s="85" t="n"/>
      <c r="I786" s="85" t="n"/>
      <c r="J786" s="85" t="n"/>
      <c r="K786" s="86" t="n"/>
      <c r="L786" s="86" t="n"/>
      <c r="M786" s="86" t="n"/>
      <c r="N786" s="87" t="n"/>
      <c r="O786" s="88" t="n"/>
      <c r="P786" s="83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>
      <c r="A787" s="89" t="n"/>
      <c r="B787" s="89" t="n"/>
      <c r="C787" s="89" t="n"/>
      <c r="D787" s="89" t="n"/>
      <c r="E787" s="89" t="n"/>
      <c r="F787" s="89" t="n"/>
      <c r="G787" s="90" t="n"/>
      <c r="H787" s="91" t="inlineStr">
        <is>
          <t>PROJETO:</t>
        </is>
      </c>
      <c r="I787" s="92">
        <f>CAPA!$C$2</f>
        <v/>
      </c>
      <c r="J787" s="92" t="n"/>
      <c r="K787" s="89" t="n"/>
      <c r="L787" s="93" t="n"/>
      <c r="M787" s="94" t="n"/>
      <c r="N787" s="95" t="n"/>
      <c r="O787" s="91" t="inlineStr">
        <is>
          <t>REVISÃO:</t>
        </is>
      </c>
      <c r="P787" s="96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>
      <c r="A788" s="92" t="n"/>
      <c r="B788" s="92" t="n"/>
      <c r="C788" s="92" t="n"/>
      <c r="D788" s="92" t="n"/>
      <c r="E788" s="92" t="n"/>
      <c r="F788" s="92" t="n"/>
      <c r="G788" s="97" t="n"/>
      <c r="H788" s="98" t="inlineStr">
        <is>
          <t>EMPRESA:</t>
        </is>
      </c>
      <c r="I788" s="92">
        <f>CAPA!$C$3</f>
        <v/>
      </c>
      <c r="J788" s="92" t="n"/>
      <c r="K788" s="92" t="n"/>
      <c r="L788" s="92" t="n"/>
      <c r="M788" s="92" t="n"/>
      <c r="N788" s="99" t="n"/>
      <c r="O788" s="100" t="inlineStr">
        <is>
          <t>R00</t>
        </is>
      </c>
      <c r="P788" s="96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>
      <c r="A789" s="101" t="inlineStr">
        <is>
          <t>Unidade Construtiva</t>
        </is>
      </c>
      <c r="B789" s="101" t="inlineStr">
        <is>
          <t>Célula Construtiva</t>
        </is>
      </c>
      <c r="C789" s="101" t="inlineStr">
        <is>
          <t>Etapa</t>
        </is>
      </c>
      <c r="D789" s="101" t="inlineStr">
        <is>
          <t>Subetapa</t>
        </is>
      </c>
      <c r="E789" s="101" t="inlineStr">
        <is>
          <t>Serviço</t>
        </is>
      </c>
      <c r="F789" s="92" t="n"/>
      <c r="G789" s="102" t="inlineStr">
        <is>
          <t>GERENCIAMENTO EXECUTIVO</t>
        </is>
      </c>
      <c r="H789" s="103" t="n"/>
      <c r="I789" s="103" t="n"/>
      <c r="J789" s="103" t="n"/>
      <c r="K789" s="103" t="n"/>
      <c r="L789" s="103" t="n"/>
      <c r="M789" s="103" t="n"/>
      <c r="N789" s="103" t="n"/>
      <c r="O789" s="103" t="n"/>
      <c r="P789" s="104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>
      <c r="A790" s="105" t="n">
        <v>0</v>
      </c>
      <c r="B790" s="105" t="n">
        <v>0</v>
      </c>
      <c r="C790" s="105" t="n">
        <v>0</v>
      </c>
      <c r="D790" s="106" t="n">
        <v>0</v>
      </c>
      <c r="E790" s="106" t="n">
        <v>0</v>
      </c>
      <c r="F790" s="1" t="n"/>
      <c r="G790" s="107" t="inlineStr">
        <is>
          <t>EAP</t>
        </is>
      </c>
      <c r="H790" s="107" t="inlineStr">
        <is>
          <t>NIVEL</t>
        </is>
      </c>
      <c r="I790" s="108" t="inlineStr">
        <is>
          <t>Item</t>
        </is>
      </c>
      <c r="J790" s="109" t="inlineStr">
        <is>
          <t>Descrição</t>
        </is>
      </c>
      <c r="K790" s="110" t="inlineStr">
        <is>
          <t>Unidade</t>
        </is>
      </c>
      <c r="L790" s="111" t="inlineStr">
        <is>
          <t xml:space="preserve">Quant. </t>
        </is>
      </c>
      <c r="M790" s="111" t="inlineStr">
        <is>
          <t>Preço un</t>
        </is>
      </c>
      <c r="N790" s="111" t="inlineStr">
        <is>
          <t>Total</t>
        </is>
      </c>
      <c r="O790" s="112" t="inlineStr">
        <is>
          <t>Considerações</t>
        </is>
      </c>
      <c r="P790" s="104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>
      <c r="A791" s="34">
        <f>IF($H8="UNIDADE CONSTRUTIVA",OFFSET(A8,-1,0)+1,LARGE(A$3:A7,1))</f>
        <v/>
      </c>
      <c r="B791" s="34">
        <f>IF(H8="UNIDADE CONSTRUTIVA",0,IF(H8="CÉLULA CONSTRUTIVA",OFFSET(B8,-1,0)+1,OFFSET(B8,-1,0)))</f>
        <v/>
      </c>
      <c r="C791" s="34">
        <f>IF(H8="CÉLULA CONSTRUTIVA",0,IF(H8="ETAPA",OFFSET(C8,-1,0)+1,OFFSET(C8,-1,0)))</f>
        <v/>
      </c>
      <c r="D791" s="35">
        <f>IF(H8="ETAPA",0,IF(H8="SUBETAPA",OFFSET(D8,-1,0)+1,OFFSET(D8,-1,0)))</f>
        <v/>
      </c>
      <c r="E791" s="35">
        <f>IF(H8="Subetapa",0,IF(H8="serviço",OFFSET(E8,-1,0)+1,OFFSET(E8,-1,0)))</f>
        <v/>
      </c>
      <c r="F791" s="113" t="n"/>
      <c r="G791" s="43" t="n"/>
      <c r="H791" s="44" t="inlineStr">
        <is>
          <t>CÉLULA CONSTRUTIVA</t>
        </is>
      </c>
      <c r="I791" s="45">
        <f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/>
      </c>
      <c r="J791" s="51" t="inlineStr">
        <is>
          <t>MOVIMENTAÇÃO DE TERRA</t>
        </is>
      </c>
      <c r="K791" s="47" t="n"/>
      <c r="L791" s="48" t="n"/>
      <c r="M791" s="48" t="n"/>
      <c r="N791" s="49">
        <f>IF(H8="Serviço",M8*L8,IF(H8="CÉLULA CONSTRUTIVA",SUMIFS($N$8:$N$298,$B$8:$B$298,B8,$H$8:$H$298,"Serviço"),IF(H8="ETAPA",SUMIFS($N$8:$N$298,$B$8:$B$298,B8,$C$8:$C$298,C8,$H$8:$H$298,"Serviço"),IF(H8="SUBETAPA",SUMIFS($N$8:$N$298,$B$8:$B$298,B8,$C$8:$C$298,C8,$D$8:$D$298,D8,$H$8:$H$298,"Serviço"),0))))</f>
        <v/>
      </c>
      <c r="O791" s="50">
        <f>N8/[4]CAPA!$C$10</f>
        <v/>
      </c>
      <c r="P791" s="114" t="n"/>
      <c r="Q791" s="115" t="n"/>
      <c r="R791" s="52" t="n"/>
      <c r="S791" s="1" t="n"/>
      <c r="T791" s="1" t="n"/>
      <c r="U791" s="1" t="n"/>
      <c r="V791" s="1" t="n"/>
      <c r="W791" s="1" t="n"/>
      <c r="X791" s="1" t="n"/>
      <c r="Y791" s="1" t="n"/>
    </row>
    <row r="792">
      <c r="A792" s="34">
        <f>IF($H9="UNIDADE CONSTRUTIVA",OFFSET(A9,-1,0)+1,LARGE(A$3:A8,1))</f>
        <v/>
      </c>
      <c r="B792" s="34">
        <f>IF(H9="UNIDADE CONSTRUTIVA",0,IF(H9="CÉLULA CONSTRUTIVA",OFFSET(B9,-1,0)+1,OFFSET(B9,-1,0)))</f>
        <v/>
      </c>
      <c r="C792" s="34">
        <f>IF(H9="CÉLULA CONSTRUTIVA",0,IF(H9="ETAPA",OFFSET(C9,-1,0)+1,OFFSET(C9,-1,0)))</f>
        <v/>
      </c>
      <c r="D792" s="35">
        <f>IF(H9="ETAPA",0,IF(H9="SUBETAPA",OFFSET(D9,-1,0)+1,OFFSET(D9,-1,0)))</f>
        <v/>
      </c>
      <c r="E792" s="35">
        <f>IF(H9="Subetapa",0,IF(H9="serviço",OFFSET(E9,-1,0)+1,OFFSET(E9,-1,0)))</f>
        <v/>
      </c>
      <c r="F792" s="113" t="n"/>
      <c r="G792" s="43" t="n"/>
      <c r="H792" s="44" t="inlineStr">
        <is>
          <t>ETAPA</t>
        </is>
      </c>
      <c r="I792" s="45">
        <f>IF(H9="Unidade Construtiva",TEXT(A9,"00"),IF(H9="Célula Construtiva",TEXT(B9,"00"),IF(H9="Etapa",CONCATENATE(TEXT(B9,"00"),".",TEXT(C9,"000")),IF(H9="Subetapa",CONCATENATE(TEXT(B9,"00"),".",TEXT(C9,"000"),".",TEXT(D9,"000")),IF(H9="Serviço",CONCATENATE(TEXT(B9,"00"),".",TEXT(C9,"000"),".",TEXT(D9,"000"),".",TEXT(E9,"000")),"")))))</f>
        <v/>
      </c>
      <c r="J792" s="51" t="inlineStr">
        <is>
          <t>MOVIMENTAÇÃO DE TERRA</t>
        </is>
      </c>
      <c r="K792" s="47" t="n"/>
      <c r="L792" s="48" t="n"/>
      <c r="M792" s="48" t="n"/>
      <c r="N792" s="49">
        <f>IF(H9="Serviço",M9*L9,IF(H9="CÉLULA CONSTRUTIVA",SUMIFS($N$8:$N$298,$B$8:$B$298,B9,$H$8:$H$298,"Serviço"),IF(H9="ETAPA",SUMIFS($N$8:$N$298,$B$8:$B$298,B9,$C$8:$C$298,C9,$H$8:$H$298,"Serviço"),IF(H9="SUBETAPA",SUMIFS($N$8:$N$298,$B$8:$B$298,B9,$C$8:$C$298,C9,$D$8:$D$298,D9,$H$8:$H$298,"Serviço"),0))))</f>
        <v/>
      </c>
      <c r="O792" s="50">
        <f>N9/[4]CAPA!$C$10</f>
        <v/>
      </c>
      <c r="P792" s="114" t="n"/>
      <c r="Q792" s="52" t="n"/>
      <c r="R792" s="52" t="n"/>
      <c r="S792" s="1" t="n"/>
      <c r="T792" s="1" t="n"/>
      <c r="U792" s="1" t="n"/>
      <c r="V792" s="1" t="n"/>
      <c r="W792" s="1" t="n"/>
      <c r="X792" s="1" t="n"/>
      <c r="Y792" s="1" t="n"/>
    </row>
    <row r="793">
      <c r="A793" s="34">
        <f>IF($H10="UNIDADE CONSTRUTIVA",OFFSET(A10,-1,0)+1,LARGE(A$3:A9,1))</f>
        <v/>
      </c>
      <c r="B793" s="34">
        <f>IF(H10="UNIDADE CONSTRUTIVA",0,IF(H10="CÉLULA CONSTRUTIVA",OFFSET(B10,-1,0)+1,OFFSET(B10,-1,0)))</f>
        <v/>
      </c>
      <c r="C793" s="34">
        <f>IF(H10="CÉLULA CONSTRUTIVA",0,IF(H10="ETAPA",OFFSET(C10,-1,0)+1,OFFSET(C10,-1,0)))</f>
        <v/>
      </c>
      <c r="D793" s="35">
        <f>IF(H10="ETAPA",0,IF(H10="SUBETAPA",OFFSET(D10,-1,0)+1,OFFSET(D10,-1,0)))</f>
        <v/>
      </c>
      <c r="E793" s="35">
        <f>IF(H10="Subetapa",0,IF(H10="serviço",OFFSET(E10,-1,0)+1,OFFSET(E10,-1,0)))</f>
        <v/>
      </c>
      <c r="F793" s="113" t="n"/>
      <c r="G793" s="43" t="n"/>
      <c r="H793" s="44" t="inlineStr">
        <is>
          <t>SUBETAPA</t>
        </is>
      </c>
      <c r="I793" s="45">
        <f>IF(H10="Unidade Construtiva",TEXT(A10,"00"),IF(H10="Célula Construtiva",TEXT(B10,"00"),IF(H10="Etapa",CONCATENATE(TEXT(B10,"00"),".",TEXT(C10,"000")),IF(H10="Subetapa",CONCATENATE(TEXT(B10,"00"),".",TEXT(C10,"000"),".",TEXT(D10,"000")),IF(H10="Serviço",CONCATENATE(TEXT(B10,"00"),".",TEXT(C10,"000"),".",TEXT(D10,"000"),".",TEXT(E10,"000")),"")))))</f>
        <v/>
      </c>
      <c r="J793" s="51" t="inlineStr">
        <is>
          <t>Corte e Aterro</t>
        </is>
      </c>
      <c r="K793" s="47" t="n"/>
      <c r="L793" s="57" t="n"/>
      <c r="M793" s="57" t="n"/>
      <c r="N793" s="49">
        <f>IF(H10="Serviço",M10*L10,IF(H10="CÉLULA CONSTRUTIVA",SUMIFS($N$8:$N$298,$B$8:$B$298,B10,$H$8:$H$298,"Serviço"),IF(H10="ETAPA",SUMIFS($N$8:$N$298,$B$8:$B$298,B10,$C$8:$C$298,C10,$H$8:$H$298,"Serviço"),IF(H10="SUBETAPA",SUMIFS($N$8:$N$298,$B$8:$B$298,B10,$C$8:$C$298,C10,$D$8:$D$298,D10,$H$8:$H$298,"Serviço"),0))))</f>
        <v/>
      </c>
      <c r="O793" s="50">
        <f>N10/[4]CAPA!$C$10</f>
        <v/>
      </c>
      <c r="P793" s="114" t="n"/>
      <c r="Q793" s="52" t="n"/>
      <c r="R793" s="52" t="n"/>
      <c r="S793" s="1" t="n"/>
      <c r="T793" s="1" t="n"/>
      <c r="U793" s="1" t="n"/>
      <c r="V793" s="1" t="n"/>
      <c r="W793" s="1" t="n"/>
      <c r="X793" s="1" t="n"/>
      <c r="Y793" s="1" t="n"/>
    </row>
    <row r="794">
      <c r="A794" s="34">
        <f>IF($H11="UNIDADE CONSTRUTIVA",OFFSET(A11,-1,0)+1,LARGE(A$3:A10,1))</f>
        <v/>
      </c>
      <c r="B794" s="34">
        <f>IF(H11="UNIDADE CONSTRUTIVA",0,IF(H11="CÉLULA CONSTRUTIVA",OFFSET(B11,-1,0)+1,OFFSET(B11,-1,0)))</f>
        <v/>
      </c>
      <c r="C794" s="34">
        <f>IF(H11="CÉLULA CONSTRUTIVA",0,IF(H11="ETAPA",OFFSET(C11,-1,0)+1,OFFSET(C11,-1,0)))</f>
        <v/>
      </c>
      <c r="D794" s="35">
        <f>IF(H11="ETAPA",0,IF(H11="SUBETAPA",OFFSET(D11,-1,0)+1,OFFSET(D11,-1,0)))</f>
        <v/>
      </c>
      <c r="E794" s="35">
        <f>IF(H11="Subetapa",0,IF(H11="serviço",OFFSET(E11,-1,0)+1,OFFSET(E11,-1,0)))</f>
        <v/>
      </c>
      <c r="F794" s="113" t="n"/>
      <c r="G794" s="116" t="inlineStr">
        <is>
          <t>MOVIMENTAÇÃO DE TERRA</t>
        </is>
      </c>
      <c r="H794" s="44" t="inlineStr">
        <is>
          <t>SERVIÇO</t>
        </is>
      </c>
      <c r="I794" s="45">
        <f>IF(H11="Unidade Construtiva",TEXT(A11,"00"),IF(H11="Célula Construtiva",TEXT(B11,"00"),IF(H11="Etapa",CONCATENATE(TEXT(B11,"00"),".",TEXT(C11,"000")),IF(H11="Subetapa",CONCATENATE(TEXT(B11,"00"),".",TEXT(C11,"000"),".",TEXT(D11,"000")),IF(H11="Serviço",CONCATENATE(TEXT(B11,"00"),".",TEXT(C11,"000"),".",TEXT(D11,"000"),".",TEXT(E11,"000")),"")))))</f>
        <v/>
      </c>
      <c r="J794" s="51" t="inlineStr">
        <is>
          <t>Terraplanagem - Corte e Desaterro Solo</t>
        </is>
      </c>
      <c r="K794" s="47" t="inlineStr">
        <is>
          <t>m3</t>
        </is>
      </c>
      <c r="L794" s="48">
        <f>26.972*15.9*3.25</f>
        <v/>
      </c>
      <c r="M794" s="48">
        <f>_xlfn.XLOOKUP($J11,[4]CPU!$D$1:$D$6624,[4]CPU!$H$1:$H$6624)</f>
        <v/>
      </c>
      <c r="N794" s="49">
        <f>IF(H11="Serviço",M11*L11,IF(H11="CÉLULA CONSTRUTIVA",SUMIFS($N$8:$N$298,$B$8:$B$298,B11,$H$8:$H$298,"Serviço"),IF(H11="ETAPA",SUMIFS($N$8:$N$298,$B$8:$B$298,B11,$C$8:$C$298,C11,$H$8:$H$298,"Serviço"),IF(H11="SUBETAPA",SUMIFS($N$8:$N$298,$B$8:$B$298,B11,$C$8:$C$298,C11,$D$8:$D$298,D11,$H$8:$H$298,"Serviço"),0))))</f>
        <v/>
      </c>
      <c r="O794" s="50" t="inlineStr">
        <is>
          <t>Escavação de volume do subsolo - estimado pelo corte e detalhes de contenção</t>
        </is>
      </c>
      <c r="P794" s="114" t="n"/>
      <c r="Q794" s="52" t="n"/>
      <c r="R794" s="52" t="n"/>
      <c r="S794" s="1" t="n"/>
      <c r="T794" s="1" t="n"/>
      <c r="U794" s="1" t="n"/>
      <c r="V794" s="1" t="n"/>
      <c r="W794" s="1" t="n"/>
      <c r="X794" s="1" t="n"/>
      <c r="Y794" s="1" t="n"/>
    </row>
    <row r="795">
      <c r="A795" s="34">
        <f>IF($H12="UNIDADE CONSTRUTIVA",OFFSET(A12,-1,0)+1,LARGE(A$3:A11,1))</f>
        <v/>
      </c>
      <c r="B795" s="34">
        <f>IF(H12="UNIDADE CONSTRUTIVA",0,IF(H12="CÉLULA CONSTRUTIVA",OFFSET(B12,-1,0)+1,OFFSET(B12,-1,0)))</f>
        <v/>
      </c>
      <c r="C795" s="34">
        <f>IF(H12="CÉLULA CONSTRUTIVA",0,IF(H12="ETAPA",OFFSET(C12,-1,0)+1,OFFSET(C12,-1,0)))</f>
        <v/>
      </c>
      <c r="D795" s="35">
        <f>IF(H12="ETAPA",0,IF(H12="SUBETAPA",OFFSET(D12,-1,0)+1,OFFSET(D12,-1,0)))</f>
        <v/>
      </c>
      <c r="E795" s="35">
        <f>IF(H12="Subetapa",0,IF(H12="serviço",OFFSET(E12,-1,0)+1,OFFSET(E12,-1,0)))</f>
        <v/>
      </c>
      <c r="F795" s="113" t="n"/>
      <c r="G795" s="43" t="n"/>
      <c r="H795" s="44" t="inlineStr">
        <is>
          <t>SUBETAPA</t>
        </is>
      </c>
      <c r="I795" s="45">
        <f>IF(H12="Unidade Construtiva",TEXT(A12,"00"),IF(H12="Célula Construtiva",TEXT(B12,"00"),IF(H12="Etapa",CONCATENATE(TEXT(B12,"00"),".",TEXT(C12,"000")),IF(H12="Subetapa",CONCATENATE(TEXT(B12,"00"),".",TEXT(C12,"000"),".",TEXT(D12,"000")),IF(H12="Serviço",CONCATENATE(TEXT(B12,"00"),".",TEXT(C12,"000"),".",TEXT(D12,"000"),".",TEXT(E12,"000")),"")))))</f>
        <v/>
      </c>
      <c r="J795" s="51" t="inlineStr">
        <is>
          <t>Escavação e Reaterro de Valas</t>
        </is>
      </c>
      <c r="K795" s="47" t="n"/>
      <c r="L795" s="57" t="n"/>
      <c r="M795" s="57" t="n"/>
      <c r="N795" s="49">
        <f>IF(H12="Serviço",M12*L12,IF(H12="CÉLULA CONSTRUTIVA",SUMIFS($N$8:$N$298,$B$8:$B$298,B12,$H$8:$H$298,"Serviço"),IF(H12="ETAPA",SUMIFS($N$8:$N$298,$B$8:$B$298,B12,$C$8:$C$298,C12,$H$8:$H$298,"Serviço"),IF(H12="SUBETAPA",SUMIFS($N$8:$N$298,$B$8:$B$298,B12,$C$8:$C$298,C12,$D$8:$D$298,D12,$H$8:$H$298,"Serviço"),0))))</f>
        <v/>
      </c>
      <c r="O795" s="50">
        <f>N12/[4]CAPA!$C$10</f>
        <v/>
      </c>
      <c r="P795" s="114" t="n"/>
      <c r="Q795" s="52" t="n"/>
      <c r="R795" s="52" t="n"/>
      <c r="S795" s="1" t="n"/>
      <c r="T795" s="1" t="n"/>
      <c r="U795" s="1" t="n"/>
      <c r="V795" s="1" t="n"/>
      <c r="W795" s="1" t="n"/>
      <c r="X795" s="1" t="n"/>
      <c r="Y795" s="1" t="n"/>
    </row>
    <row r="796">
      <c r="A796" s="34">
        <f>IF($H13="UNIDADE CONSTRUTIVA",OFFSET(A13,-1,0)+1,LARGE(A$3:A12,1))</f>
        <v/>
      </c>
      <c r="B796" s="34">
        <f>IF(H13="UNIDADE CONSTRUTIVA",0,IF(H13="CÉLULA CONSTRUTIVA",OFFSET(B13,-1,0)+1,OFFSET(B13,-1,0)))</f>
        <v/>
      </c>
      <c r="C796" s="34">
        <f>IF(H13="CÉLULA CONSTRUTIVA",0,IF(H13="ETAPA",OFFSET(C13,-1,0)+1,OFFSET(C13,-1,0)))</f>
        <v/>
      </c>
      <c r="D796" s="35">
        <f>IF(H13="ETAPA",0,IF(H13="SUBETAPA",OFFSET(D13,-1,0)+1,OFFSET(D13,-1,0)))</f>
        <v/>
      </c>
      <c r="E796" s="35">
        <f>IF(H13="Subetapa",0,IF(H13="serviço",OFFSET(E13,-1,0)+1,OFFSET(E13,-1,0)))</f>
        <v/>
      </c>
      <c r="F796" s="113" t="n"/>
      <c r="G796" s="116" t="inlineStr">
        <is>
          <t>MOVIMENTAÇÃO DE TERRA</t>
        </is>
      </c>
      <c r="H796" s="44" t="inlineStr">
        <is>
          <t>SERVIÇO</t>
        </is>
      </c>
      <c r="I796" s="45">
        <f>IF(H13="Unidade Construtiva",TEXT(A13,"00"),IF(H13="Célula Construtiva",TEXT(B13,"00"),IF(H13="Etapa",CONCATENATE(TEXT(B13,"00"),".",TEXT(C13,"000")),IF(H13="Subetapa",CONCATENATE(TEXT(B13,"00"),".",TEXT(C13,"000"),".",TEXT(D13,"000")),IF(H13="Serviço",CONCATENATE(TEXT(B13,"00"),".",TEXT(C13,"000"),".",TEXT(D13,"000"),".",TEXT(E13,"000")),"")))))</f>
        <v/>
      </c>
      <c r="J796" s="51" t="inlineStr">
        <is>
          <t>Escavação mecanizada para blocos de fundação, vigas de fundação e poço de elevador, com retroescavadeira</t>
        </is>
      </c>
      <c r="K796" s="47" t="inlineStr">
        <is>
          <t>m3</t>
        </is>
      </c>
      <c r="L796" s="48">
        <f>'Fund. Rasa | Contenção'!U7+'Fund. Rasa | Contenção'!U16+'Fund. Rasa | Contenção'!U28+'Fund. Rasa | Contenção'!U79</f>
        <v/>
      </c>
      <c r="M796" s="48">
        <f>_xlfn.XLOOKUP($J13,[4]CPU!$D$1:$D$6624,[4]CPU!$H$1:$H$6624)</f>
        <v/>
      </c>
      <c r="N796" s="49">
        <f>IF(H13="Serviço",M13*L13,IF(H13="CÉLULA CONSTRUTIVA",SUMIFS($N$8:$N$298,$B$8:$B$298,B13,$H$8:$H$298,"Serviço"),IF(H13="ETAPA",SUMIFS($N$8:$N$298,$B$8:$B$298,B13,$C$8:$C$298,C13,$H$8:$H$298,"Serviço"),IF(H13="SUBETAPA",SUMIFS($N$8:$N$298,$B$8:$B$298,B13,$C$8:$C$298,C13,$D$8:$D$298,D13,$H$8:$H$298,"Serviço"),0))))</f>
        <v/>
      </c>
      <c r="O796" s="50" t="inlineStr">
        <is>
          <t>Considerado estimativa de blocos, vigas de fundação e pilares, devido a ausencia de projeto</t>
        </is>
      </c>
      <c r="P796" s="114" t="n"/>
      <c r="Q796" s="52" t="n"/>
      <c r="R796" s="52" t="n"/>
      <c r="S796" s="1" t="n"/>
      <c r="T796" s="1" t="n"/>
      <c r="U796" s="1" t="n"/>
      <c r="V796" s="1" t="n"/>
      <c r="W796" s="1" t="n"/>
      <c r="X796" s="1" t="n"/>
      <c r="Y796" s="1" t="n"/>
    </row>
    <row r="797">
      <c r="A797" s="34">
        <f>IF($H14="UNIDADE CONSTRUTIVA",OFFSET(A14,-1,0)+1,LARGE(A$3:A13,1))</f>
        <v/>
      </c>
      <c r="B797" s="34">
        <f>IF(H14="UNIDADE CONSTRUTIVA",0,IF(H14="CÉLULA CONSTRUTIVA",OFFSET(B14,-1,0)+1,OFFSET(B14,-1,0)))</f>
        <v/>
      </c>
      <c r="C797" s="34">
        <f>IF(H14="CÉLULA CONSTRUTIVA",0,IF(H14="ETAPA",OFFSET(C14,-1,0)+1,OFFSET(C14,-1,0)))</f>
        <v/>
      </c>
      <c r="D797" s="35">
        <f>IF(H14="ETAPA",0,IF(H14="SUBETAPA",OFFSET(D14,-1,0)+1,OFFSET(D14,-1,0)))</f>
        <v/>
      </c>
      <c r="E797" s="35">
        <f>IF(H14="Subetapa",0,IF(H14="serviço",OFFSET(E14,-1,0)+1,OFFSET(E14,-1,0)))</f>
        <v/>
      </c>
      <c r="F797" s="113" t="n"/>
      <c r="G797" s="116" t="inlineStr">
        <is>
          <t>MOVIMENTAÇÃO DE TERRA</t>
        </is>
      </c>
      <c r="H797" s="44" t="inlineStr">
        <is>
          <t>SERVIÇO</t>
        </is>
      </c>
      <c r="I797" s="45">
        <f>IF(H14="Unidade Construtiva",TEXT(A14,"00"),IF(H14="Célula Construtiva",TEXT(B14,"00"),IF(H14="Etapa",CONCATENATE(TEXT(B14,"00"),".",TEXT(C14,"000")),IF(H14="Subetapa",CONCATENATE(TEXT(B14,"00"),".",TEXT(C14,"000"),".",TEXT(D14,"000")),IF(H14="Serviço",CONCATENATE(TEXT(B14,"00"),".",TEXT(C14,"000"),".",TEXT(D14,"000"),".",TEXT(E14,"000")),"")))))</f>
        <v/>
      </c>
      <c r="J797" s="51" t="inlineStr">
        <is>
          <t>Reaterro mecanizado de valas para blocos e vigas de fundação, com retroescavadeira</t>
        </is>
      </c>
      <c r="K797" s="47" t="inlineStr">
        <is>
          <t>m3</t>
        </is>
      </c>
      <c r="L797" s="48">
        <f>'Fund. Rasa | Contenção'!W7+'Fund. Rasa | Contenção'!W16+'Fund. Rasa | Contenção'!W28+'Fund. Rasa | Contenção'!W79</f>
        <v/>
      </c>
      <c r="M797" s="48">
        <f>_xlfn.XLOOKUP($J14,[4]CPU!$D$1:$D$6624,[4]CPU!$H$1:$H$6624)</f>
        <v/>
      </c>
      <c r="N797" s="49">
        <f>IF(H14="Serviço",M14*L14,IF(H14="CÉLULA CONSTRUTIVA",SUMIFS($N$8:$N$298,$B$8:$B$298,B14,$H$8:$H$298,"Serviço"),IF(H14="ETAPA",SUMIFS($N$8:$N$298,$B$8:$B$298,B14,$C$8:$C$298,C14,$H$8:$H$298,"Serviço"),IF(H14="SUBETAPA",SUMIFS($N$8:$N$298,$B$8:$B$298,B14,$C$8:$C$298,C14,$D$8:$D$298,D14,$H$8:$H$298,"Serviço"),0))))</f>
        <v/>
      </c>
      <c r="O797" s="50" t="n"/>
      <c r="P797" s="114" t="n"/>
      <c r="Q797" s="52" t="n"/>
      <c r="R797" s="52" t="n"/>
      <c r="S797" s="1" t="n"/>
      <c r="T797" s="1" t="n"/>
      <c r="U797" s="1" t="n"/>
      <c r="V797" s="1" t="n"/>
      <c r="W797" s="1" t="n"/>
      <c r="X797" s="1" t="n"/>
      <c r="Y797" s="1" t="n"/>
    </row>
    <row r="798">
      <c r="A798" s="34">
        <f>IF($H15="UNIDADE CONSTRUTIVA",OFFSET(A15,-1,0)+1,LARGE(A$3:A14,1))</f>
        <v/>
      </c>
      <c r="B798" s="34">
        <f>IF(H15="UNIDADE CONSTRUTIVA",0,IF(H15="CÉLULA CONSTRUTIVA",OFFSET(B15,-1,0)+1,OFFSET(B15,-1,0)))</f>
        <v/>
      </c>
      <c r="C798" s="34">
        <f>IF(H15="CÉLULA CONSTRUTIVA",0,IF(H15="ETAPA",OFFSET(C15,-1,0)+1,OFFSET(C15,-1,0)))</f>
        <v/>
      </c>
      <c r="D798" s="35">
        <f>IF(H15="ETAPA",0,IF(H15="SUBETAPA",OFFSET(D15,-1,0)+1,OFFSET(D15,-1,0)))</f>
        <v/>
      </c>
      <c r="E798" s="35">
        <f>IF(H15="Subetapa",0,IF(H15="serviço",OFFSET(E15,-1,0)+1,OFFSET(E15,-1,0)))</f>
        <v/>
      </c>
      <c r="F798" s="113" t="n"/>
      <c r="G798" s="116" t="n"/>
      <c r="H798" s="44" t="inlineStr">
        <is>
          <t>SUBETAPA</t>
        </is>
      </c>
      <c r="I798" s="45">
        <f>IF(H15="Unidade Construtiva",TEXT(A15,"00"),IF(H15="Célula Construtiva",TEXT(B15,"00"),IF(H15="Etapa",CONCATENATE(TEXT(B15,"00"),".",TEXT(C15,"000")),IF(H15="Subetapa",CONCATENATE(TEXT(B15,"00"),".",TEXT(C15,"000"),".",TEXT(D15,"000")),IF(H15="Serviço",CONCATENATE(TEXT(B15,"00"),".",TEXT(C15,"000"),".",TEXT(D15,"000"),".",TEXT(E15,"000")),"")))))</f>
        <v/>
      </c>
      <c r="J798" s="51" t="inlineStr">
        <is>
          <t>Lastro de estrutura de concreto</t>
        </is>
      </c>
      <c r="K798" s="47" t="n"/>
      <c r="L798" s="57" t="n"/>
      <c r="M798" s="57" t="n"/>
      <c r="N798" s="49">
        <f>IF(H15="Serviço",M15*L15,IF(H15="CÉLULA CONSTRUTIVA",SUMIFS($N$8:$N$298,$B$8:$B$298,B15,$H$8:$H$298,"Serviço"),IF(H15="ETAPA",SUMIFS($N$8:$N$298,$B$8:$B$298,B15,$C$8:$C$298,C15,$H$8:$H$298,"Serviço"),IF(H15="SUBETAPA",SUMIFS($N$8:$N$298,$B$8:$B$298,B15,$C$8:$C$298,C15,$D$8:$D$298,D15,$H$8:$H$298,"Serviço"),0))))</f>
        <v/>
      </c>
      <c r="O798" s="50">
        <f>N15/[4]CAPA!$C$10</f>
        <v/>
      </c>
      <c r="P798" s="114" t="n"/>
      <c r="Q798" s="52" t="n"/>
      <c r="R798" s="52" t="n"/>
      <c r="S798" s="1" t="n"/>
      <c r="T798" s="1" t="n"/>
      <c r="U798" s="1" t="n"/>
      <c r="V798" s="1" t="n"/>
      <c r="W798" s="1" t="n"/>
      <c r="X798" s="1" t="n"/>
      <c r="Y798" s="1" t="n"/>
    </row>
    <row r="799">
      <c r="A799" s="34">
        <f>IF($H16="UNIDADE CONSTRUTIVA",OFFSET(A16,-1,0)+1,LARGE(A$3:A15,1))</f>
        <v/>
      </c>
      <c r="B799" s="34">
        <f>IF(H16="UNIDADE CONSTRUTIVA",0,IF(H16="CÉLULA CONSTRUTIVA",OFFSET(B16,-1,0)+1,OFFSET(B16,-1,0)))</f>
        <v/>
      </c>
      <c r="C799" s="34">
        <f>IF(H16="CÉLULA CONSTRUTIVA",0,IF(H16="ETAPA",OFFSET(C16,-1,0)+1,OFFSET(C16,-1,0)))</f>
        <v/>
      </c>
      <c r="D799" s="35">
        <f>IF(H16="ETAPA",0,IF(H16="SUBETAPA",OFFSET(D16,-1,0)+1,OFFSET(D16,-1,0)))</f>
        <v/>
      </c>
      <c r="E799" s="35">
        <f>IF(H16="Subetapa",0,IF(H16="serviço",OFFSET(E16,-1,0)+1,OFFSET(E16,-1,0)))</f>
        <v/>
      </c>
      <c r="F799" s="113" t="n"/>
      <c r="G799" s="116" t="inlineStr">
        <is>
          <t>MOVIMENTAÇÃO DE TERRA</t>
        </is>
      </c>
      <c r="H799" s="44" t="inlineStr">
        <is>
          <t>SERVIÇO</t>
        </is>
      </c>
      <c r="I799" s="45">
        <f>IF(H16="Unidade Construtiva",TEXT(A16,"00"),IF(H16="Célula Construtiva",TEXT(B16,"00"),IF(H16="Etapa",CONCATENATE(TEXT(B16,"00"),".",TEXT(C16,"000")),IF(H16="Subetapa",CONCATENATE(TEXT(B16,"00"),".",TEXT(C16,"000"),".",TEXT(D16,"000")),IF(H16="Serviço",CONCATENATE(TEXT(B16,"00"),".",TEXT(C16,"000"),".",TEXT(D16,"000"),".",TEXT(E16,"000")),"")))))</f>
        <v/>
      </c>
      <c r="J799" s="51" t="inlineStr">
        <is>
          <t>Lastro de Concreto Magro, Aplicado em Blocos de Fundação</t>
        </is>
      </c>
      <c r="K799" s="47" t="inlineStr">
        <is>
          <t>m3</t>
        </is>
      </c>
      <c r="L799" s="48">
        <f>'Fund. Rasa | Contenção'!AA7+'Fund. Rasa | Contenção'!AA16+'Fund. Rasa | Contenção'!AA28+'Fund. Rasa | Contenção'!AA79</f>
        <v/>
      </c>
      <c r="M799" s="48">
        <f>_xlfn.XLOOKUP($J16,[4]CPU!$D$1:$D$6624,[4]CPU!$H$1:$H$6624)</f>
        <v/>
      </c>
      <c r="N799" s="49">
        <f>IF(H16="Serviço",M16*L16,IF(H16="CÉLULA CONSTRUTIVA",SUMIFS($N$8:$N$298,$B$8:$B$298,B16,$H$8:$H$298,"Serviço"),IF(H16="ETAPA",SUMIFS($N$8:$N$298,$B$8:$B$298,B16,$C$8:$C$298,C16,$H$8:$H$298,"Serviço"),IF(H16="SUBETAPA",SUMIFS($N$8:$N$298,$B$8:$B$298,B16,$C$8:$C$298,C16,$D$8:$D$298,D16,$H$8:$H$298,"Serviço"),0))))</f>
        <v/>
      </c>
      <c r="O799" s="50" t="inlineStr">
        <is>
          <t>Altura de 10cm indicado em projet</t>
        </is>
      </c>
      <c r="P799" s="114" t="n"/>
      <c r="Q799" s="52" t="n"/>
      <c r="R799" s="52" t="n"/>
      <c r="S799" s="1" t="n"/>
      <c r="T799" s="1" t="n"/>
      <c r="U799" s="1" t="n"/>
      <c r="V799" s="1" t="n"/>
      <c r="W799" s="1" t="n"/>
      <c r="X799" s="1" t="n"/>
      <c r="Y799" s="1" t="n"/>
    </row>
    <row r="800">
      <c r="A800" s="34">
        <f>IF($H17="UNIDADE CONSTRUTIVA",OFFSET(A17,-1,0)+1,LARGE(A$3:A16,1))</f>
        <v/>
      </c>
      <c r="B800" s="34">
        <f>IF(H17="UNIDADE CONSTRUTIVA",0,IF(H17="CÉLULA CONSTRUTIVA",OFFSET(B17,-1,0)+1,OFFSET(B17,-1,0)))</f>
        <v/>
      </c>
      <c r="C800" s="34">
        <f>IF(H17="CÉLULA CONSTRUTIVA",0,IF(H17="ETAPA",OFFSET(C17,-1,0)+1,OFFSET(C17,-1,0)))</f>
        <v/>
      </c>
      <c r="D800" s="35">
        <f>IF(H17="ETAPA",0,IF(H17="SUBETAPA",OFFSET(D17,-1,0)+1,OFFSET(D17,-1,0)))</f>
        <v/>
      </c>
      <c r="E800" s="35">
        <f>IF(H17="Subetapa",0,IF(H17="serviço",OFFSET(E17,-1,0)+1,OFFSET(E17,-1,0)))</f>
        <v/>
      </c>
      <c r="F800" s="113" t="n"/>
      <c r="G800" s="116" t="inlineStr">
        <is>
          <t>MOVIMENTAÇÃO DE TERRA</t>
        </is>
      </c>
      <c r="H800" s="44" t="inlineStr">
        <is>
          <t>SERVIÇO</t>
        </is>
      </c>
      <c r="I800" s="45">
        <f>IF(H17="Unidade Construtiva",TEXT(A17,"00"),IF(H17="Célula Construtiva",TEXT(B17,"00"),IF(H17="Etapa",CONCATENATE(TEXT(B17,"00"),".",TEXT(C17,"000")),IF(H17="Subetapa",CONCATENATE(TEXT(B17,"00"),".",TEXT(C17,"000"),".",TEXT(D17,"000")),IF(H17="Serviço",CONCATENATE(TEXT(B17,"00"),".",TEXT(C17,"000"),".",TEXT(D17,"000"),".",TEXT(E17,"000")),"")))))</f>
        <v/>
      </c>
      <c r="J800" s="51" t="inlineStr">
        <is>
          <t>Lona Plastica para Contrapiso Armado</t>
        </is>
      </c>
      <c r="K800" s="47" t="inlineStr">
        <is>
          <t>m2</t>
        </is>
      </c>
      <c r="L800" s="48">
        <f>'Fund. Rasa | Contenção'!V67</f>
        <v/>
      </c>
      <c r="M800" s="48">
        <f>_xlfn.XLOOKUP($J17,[4]CPU!$D$1:$D$6624,[4]CPU!$H$1:$H$6624)</f>
        <v/>
      </c>
      <c r="N800" s="49">
        <f>IF(H17="Serviço",M17*L17,IF(H17="CÉLULA CONSTRUTIVA",SUMIFS($N$8:$N$298,$B$8:$B$298,B17,$H$8:$H$298,"Serviço"),IF(H17="ETAPA",SUMIFS($N$8:$N$298,$B$8:$B$298,B17,$C$8:$C$298,C17,$H$8:$H$298,"Serviço"),IF(H17="SUBETAPA",SUMIFS($N$8:$N$298,$B$8:$B$298,B17,$C$8:$C$298,C17,$D$8:$D$298,D17,$H$8:$H$298,"Serviço"),0))))</f>
        <v/>
      </c>
      <c r="O800" s="50" t="n"/>
      <c r="P800" s="114" t="n"/>
      <c r="Q800" s="52" t="n"/>
      <c r="R800" s="52" t="n"/>
      <c r="S800" s="1" t="n"/>
      <c r="T800" s="1" t="n"/>
      <c r="U800" s="1" t="n"/>
      <c r="V800" s="1" t="n"/>
      <c r="W800" s="1" t="n"/>
      <c r="X800" s="1" t="n"/>
      <c r="Y800" s="1" t="n"/>
    </row>
    <row r="801">
      <c r="A801" s="34">
        <f>IF($H18="UNIDADE CONSTRUTIVA",OFFSET(A18,-1,0)+1,LARGE(A$3:A17,1))</f>
        <v/>
      </c>
      <c r="B801" s="34">
        <f>IF(H18="UNIDADE CONSTRUTIVA",0,IF(H18="CÉLULA CONSTRUTIVA",OFFSET(B18,-1,0)+1,OFFSET(B18,-1,0)))</f>
        <v/>
      </c>
      <c r="C801" s="34">
        <f>IF(H18="CÉLULA CONSTRUTIVA",0,IF(H18="ETAPA",OFFSET(C18,-1,0)+1,OFFSET(C18,-1,0)))</f>
        <v/>
      </c>
      <c r="D801" s="35">
        <f>IF(H18="ETAPA",0,IF(H18="SUBETAPA",OFFSET(D18,-1,0)+1,OFFSET(D18,-1,0)))</f>
        <v/>
      </c>
      <c r="E801" s="35">
        <f>IF(H18="Subetapa",0,IF(H18="serviço",OFFSET(E18,-1,0)+1,OFFSET(E18,-1,0)))</f>
        <v/>
      </c>
      <c r="F801" s="113" t="n"/>
      <c r="G801" s="116" t="n"/>
      <c r="H801" s="44" t="inlineStr">
        <is>
          <t>SUBETAPA</t>
        </is>
      </c>
      <c r="I801" s="45">
        <f>IF(H18="Unidade Construtiva",TEXT(A18,"00"),IF(H18="Célula Construtiva",TEXT(B18,"00"),IF(H18="Etapa",CONCATENATE(TEXT(B18,"00"),".",TEXT(C18,"000")),IF(H18="Subetapa",CONCATENATE(TEXT(B18,"00"),".",TEXT(C18,"000"),".",TEXT(D18,"000")),IF(H18="Serviço",CONCATENATE(TEXT(B18,"00"),".",TEXT(C18,"000"),".",TEXT(D18,"000"),".",TEXT(E18,"000")),"")))))</f>
        <v/>
      </c>
      <c r="J801" s="51" t="inlineStr">
        <is>
          <t>Movimentação de bota - fora</t>
        </is>
      </c>
      <c r="K801" s="47" t="n"/>
      <c r="L801" s="57" t="n"/>
      <c r="M801" s="57" t="n"/>
      <c r="N801" s="49">
        <f>IF(H18="Serviço",M18*L18,IF(H18="CÉLULA CONSTRUTIVA",SUMIFS($N$8:$N$298,$B$8:$B$298,B18,$H$8:$H$298,"Serviço"),IF(H18="ETAPA",SUMIFS($N$8:$N$298,$B$8:$B$298,B18,$C$8:$C$298,C18,$H$8:$H$298,"Serviço"),IF(H18="SUBETAPA",SUMIFS($N$8:$N$298,$B$8:$B$298,B18,$C$8:$C$298,C18,$D$8:$D$298,D18,$H$8:$H$298,"Serviço"),0))))</f>
        <v/>
      </c>
      <c r="O801" s="50">
        <f>N18/[4]CAPA!$C$10</f>
        <v/>
      </c>
      <c r="P801" s="114" t="n"/>
      <c r="Q801" s="52" t="n"/>
      <c r="R801" s="52" t="n"/>
      <c r="S801" s="1" t="n"/>
      <c r="T801" s="1" t="n"/>
      <c r="U801" s="1" t="n"/>
      <c r="V801" s="1" t="n"/>
      <c r="W801" s="1" t="n"/>
      <c r="X801" s="1" t="n"/>
      <c r="Y801" s="1" t="n"/>
    </row>
    <row r="802">
      <c r="A802" s="34">
        <f>IF($H19="UNIDADE CONSTRUTIVA",OFFSET(A19,-1,0)+1,LARGE(A$3:A18,1))</f>
        <v/>
      </c>
      <c r="B802" s="34">
        <f>IF(H19="UNIDADE CONSTRUTIVA",0,IF(H19="CÉLULA CONSTRUTIVA",OFFSET(B19,-1,0)+1,OFFSET(B19,-1,0)))</f>
        <v/>
      </c>
      <c r="C802" s="34">
        <f>IF(H19="CÉLULA CONSTRUTIVA",0,IF(H19="ETAPA",OFFSET(C19,-1,0)+1,OFFSET(C19,-1,0)))</f>
        <v/>
      </c>
      <c r="D802" s="35">
        <f>IF(H19="ETAPA",0,IF(H19="SUBETAPA",OFFSET(D19,-1,0)+1,OFFSET(D19,-1,0)))</f>
        <v/>
      </c>
      <c r="E802" s="35">
        <f>IF(H19="Subetapa",0,IF(H19="serviço",OFFSET(E19,-1,0)+1,OFFSET(E19,-1,0)))</f>
        <v/>
      </c>
      <c r="F802" s="113" t="n"/>
      <c r="G802" s="116" t="inlineStr">
        <is>
          <t>MOVIMENTAÇÃO DE TERRA</t>
        </is>
      </c>
      <c r="H802" s="44" t="inlineStr">
        <is>
          <t>SERVIÇO</t>
        </is>
      </c>
      <c r="I802" s="45">
        <f>IF(H19="Unidade Construtiva",TEXT(A19,"00"),IF(H19="Célula Construtiva",TEXT(B19,"00"),IF(H19="Etapa",CONCATENATE(TEXT(B19,"00"),".",TEXT(C19,"000")),IF(H19="Subetapa",CONCATENATE(TEXT(B19,"00"),".",TEXT(C19,"000"),".",TEXT(D19,"000")),IF(H19="Serviço",CONCATENATE(TEXT(B19,"00"),".",TEXT(C19,"000"),".",TEXT(D19,"000"),".",TEXT(E19,"000")),"")))))</f>
        <v/>
      </c>
      <c r="J802" s="51" t="inlineStr">
        <is>
          <t>Movimentação de terra para bota-fora - Escavação Vertical Terraplenagem</t>
        </is>
      </c>
      <c r="K802" s="47" t="inlineStr">
        <is>
          <t>m3</t>
        </is>
      </c>
      <c r="L802" s="48">
        <f>L11*1.3</f>
        <v/>
      </c>
      <c r="M802" s="48">
        <f>_xlfn.XLOOKUP($J19,[4]CPU!$D$1:$D$6624,[4]CPU!$H$1:$H$6624)</f>
        <v/>
      </c>
      <c r="N802" s="49">
        <f>IF(H19="Serviço",M19*L19,IF(H19="CÉLULA CONSTRUTIVA",SUMIFS($N$8:$N$298,$B$8:$B$298,B19,$H$8:$H$298,"Serviço"),IF(H19="ETAPA",SUMIFS($N$8:$N$298,$B$8:$B$298,B19,$C$8:$C$298,C19,$H$8:$H$298,"Serviço"),IF(H19="SUBETAPA",SUMIFS($N$8:$N$298,$B$8:$B$298,B19,$C$8:$C$298,C19,$D$8:$D$298,D19,$H$8:$H$298,"Serviço"),0))))</f>
        <v/>
      </c>
      <c r="O802" s="50" t="inlineStr">
        <is>
          <t>Volume de subsolo com 30% de empolamento</t>
        </is>
      </c>
      <c r="P802" s="114" t="n"/>
      <c r="Q802" s="52" t="n"/>
      <c r="R802" s="52" t="n"/>
      <c r="S802" s="1" t="n"/>
      <c r="T802" s="1" t="n"/>
      <c r="U802" s="1" t="n"/>
      <c r="V802" s="1" t="n"/>
      <c r="W802" s="1" t="n"/>
      <c r="X802" s="1" t="n"/>
      <c r="Y802" s="1" t="n"/>
    </row>
    <row r="803">
      <c r="A803" s="34">
        <f>IF($H20="UNIDADE CONSTRUTIVA",OFFSET(A20,-1,0)+1,LARGE(A$3:A19,1))</f>
        <v/>
      </c>
      <c r="B803" s="34">
        <f>IF(H20="UNIDADE CONSTRUTIVA",0,IF(H20="CÉLULA CONSTRUTIVA",OFFSET(B20,-1,0)+1,OFFSET(B20,-1,0)))</f>
        <v/>
      </c>
      <c r="C803" s="34">
        <f>IF(H20="CÉLULA CONSTRUTIVA",0,IF(H20="ETAPA",OFFSET(C20,-1,0)+1,OFFSET(C20,-1,0)))</f>
        <v/>
      </c>
      <c r="D803" s="35">
        <f>IF(H20="ETAPA",0,IF(H20="SUBETAPA",OFFSET(D20,-1,0)+1,OFFSET(D20,-1,0)))</f>
        <v/>
      </c>
      <c r="E803" s="35">
        <f>IF(H20="Subetapa",0,IF(H20="serviço",OFFSET(E20,-1,0)+1,OFFSET(E20,-1,0)))</f>
        <v/>
      </c>
      <c r="F803" s="113" t="n"/>
      <c r="G803" s="116" t="inlineStr">
        <is>
          <t>MOVIMENTAÇÃO DE TERRA</t>
        </is>
      </c>
      <c r="H803" s="44" t="inlineStr">
        <is>
          <t>SERVIÇO</t>
        </is>
      </c>
      <c r="I803" s="45">
        <f>IF(H20="Unidade Construtiva",TEXT(A20,"00"),IF(H20="Célula Construtiva",TEXT(B20,"00"),IF(H20="Etapa",CONCATENATE(TEXT(B20,"00"),".",TEXT(C20,"000")),IF(H20="Subetapa",CONCATENATE(TEXT(B20,"00"),".",TEXT(C20,"000"),".",TEXT(D20,"000")),IF(H20="Serviço",CONCATENATE(TEXT(B20,"00"),".",TEXT(C20,"000"),".",TEXT(D20,"000"),".",TEXT(E20,"000")),"")))))</f>
        <v/>
      </c>
      <c r="J803" s="51" t="inlineStr">
        <is>
          <t>Movimentação de terra para bota-fora - Escavação de Valas</t>
        </is>
      </c>
      <c r="K803" s="47" t="inlineStr">
        <is>
          <t>m3</t>
        </is>
      </c>
      <c r="L803" s="48">
        <f>'Fund. Rasa | Contenção'!X7+'Fund. Rasa | Contenção'!X16+'Fund. Rasa | Contenção'!X28+'Fund. Rasa | Contenção'!X79</f>
        <v/>
      </c>
      <c r="M803" s="48">
        <f>_xlfn.XLOOKUP($J20,[4]CPU!$D$1:$D$6624,[4]CPU!$H$1:$H$6624)</f>
        <v/>
      </c>
      <c r="N803" s="49">
        <f>IF(H20="Serviço",M20*L20,IF(H20="CÉLULA CONSTRUTIVA",SUMIFS($N$8:$N$298,$B$8:$B$298,B20,$H$8:$H$298,"Serviço"),IF(H20="ETAPA",SUMIFS($N$8:$N$298,$B$8:$B$298,B20,$C$8:$C$298,C20,$H$8:$H$298,"Serviço"),IF(H20="SUBETAPA",SUMIFS($N$8:$N$298,$B$8:$B$298,B20,$C$8:$C$298,C20,$D$8:$D$298,D20,$H$8:$H$298,"Serviço"),0))))</f>
        <v/>
      </c>
      <c r="O803" s="50" t="inlineStr">
        <is>
          <t>Volume de valas com 30% de empolamento</t>
        </is>
      </c>
      <c r="P803" s="114" t="n"/>
      <c r="Q803" s="52" t="n"/>
      <c r="R803" s="52" t="n"/>
      <c r="S803" s="1" t="n"/>
      <c r="T803" s="1" t="n"/>
      <c r="U803" s="1" t="n"/>
      <c r="V803" s="1" t="n"/>
      <c r="W803" s="1" t="n"/>
      <c r="X803" s="1" t="n"/>
      <c r="Y803" s="1" t="n"/>
    </row>
    <row r="804">
      <c r="A804" s="34">
        <f>IF($H21="UNIDADE CONSTRUTIVA",OFFSET(A21,-1,0)+1,LARGE(A$3:A20,1))</f>
        <v/>
      </c>
      <c r="B804" s="34">
        <f>IF(H21="UNIDADE CONSTRUTIVA",0,IF(H21="CÉLULA CONSTRUTIVA",OFFSET(B21,-1,0)+1,OFFSET(B21,-1,0)))</f>
        <v/>
      </c>
      <c r="C804" s="34">
        <f>IF(H21="CÉLULA CONSTRUTIVA",0,IF(H21="ETAPA",OFFSET(C21,-1,0)+1,OFFSET(C21,-1,0)))</f>
        <v/>
      </c>
      <c r="D804" s="35">
        <f>IF(H21="ETAPA",0,IF(H21="SUBETAPA",OFFSET(D21,-1,0)+1,OFFSET(D21,-1,0)))</f>
        <v/>
      </c>
      <c r="E804" s="35">
        <f>IF(H21="Subetapa",0,IF(H21="serviço",OFFSET(E21,-1,0)+1,OFFSET(E21,-1,0)))</f>
        <v/>
      </c>
      <c r="F804" s="113" t="n"/>
      <c r="G804" s="116" t="inlineStr">
        <is>
          <t>MOVIMENTAÇÃO DE TERRA</t>
        </is>
      </c>
      <c r="H804" s="44" t="inlineStr">
        <is>
          <t>SERVIÇO</t>
        </is>
      </c>
      <c r="I804" s="45">
        <f>IF(H21="Unidade Construtiva",TEXT(A21,"00"),IF(H21="Célula Construtiva",TEXT(B21,"00"),IF(H21="Etapa",CONCATENATE(TEXT(B21,"00"),".",TEXT(C21,"000")),IF(H21="Subetapa",CONCATENATE(TEXT(B21,"00"),".",TEXT(C21,"000"),".",TEXT(D21,"000")),IF(H21="Serviço",CONCATENATE(TEXT(B21,"00"),".",TEXT(C21,"000"),".",TEXT(D21,"000"),".",TEXT(E21,"000")),"")))))</f>
        <v/>
      </c>
      <c r="J804" s="51" t="inlineStr">
        <is>
          <t>Movimentação de terra para bota-fora - Estacas</t>
        </is>
      </c>
      <c r="K804" s="47" t="inlineStr">
        <is>
          <t>m3</t>
        </is>
      </c>
      <c r="L804" s="48">
        <f>Estacas!J6</f>
        <v/>
      </c>
      <c r="M804" s="48">
        <f>_xlfn.XLOOKUP($J21,[4]CPU!$D$1:$D$6624,[4]CPU!$H$1:$H$6624)</f>
        <v/>
      </c>
      <c r="N804" s="49">
        <f>IF(H21="Serviço",M21*L21,IF(H21="CÉLULA CONSTRUTIVA",SUMIFS($N$8:$N$298,$B$8:$B$298,B21,$H$8:$H$298,"Serviço"),IF(H21="ETAPA",SUMIFS($N$8:$N$298,$B$8:$B$298,B21,$C$8:$C$298,C21,$H$8:$H$298,"Serviço"),IF(H21="SUBETAPA",SUMIFS($N$8:$N$298,$B$8:$B$298,B21,$C$8:$C$298,C21,$D$8:$D$298,D21,$H$8:$H$298,"Serviço"),0))))</f>
        <v/>
      </c>
      <c r="O804" s="50" t="inlineStr">
        <is>
          <t>Volume de estacas com 30% de empolamento</t>
        </is>
      </c>
      <c r="P804" s="114" t="n"/>
      <c r="Q804" s="52" t="n"/>
      <c r="R804" s="52" t="n"/>
      <c r="S804" s="1" t="n"/>
      <c r="T804" s="1" t="n"/>
      <c r="U804" s="1" t="n"/>
      <c r="V804" s="1" t="n"/>
      <c r="W804" s="1" t="n"/>
      <c r="X804" s="1" t="n"/>
      <c r="Y804" s="1" t="n"/>
    </row>
    <row r="805">
      <c r="A805" s="34">
        <f>IF($H22="UNIDADE CONSTRUTIVA",OFFSET(A22,-1,0)+1,LARGE(A$3:A21,1))</f>
        <v/>
      </c>
      <c r="B805" s="34">
        <f>IF(H22="UNIDADE CONSTRUTIVA",0,IF(H22="CÉLULA CONSTRUTIVA",OFFSET(B22,-1,0)+1,OFFSET(B22,-1,0)))</f>
        <v/>
      </c>
      <c r="C805" s="34">
        <f>IF(H22="CÉLULA CONSTRUTIVA",0,IF(H22="ETAPA",OFFSET(C22,-1,0)+1,OFFSET(C22,-1,0)))</f>
        <v/>
      </c>
      <c r="D805" s="35">
        <f>IF(H22="ETAPA",0,IF(H22="SUBETAPA",OFFSET(D22,-1,0)+1,OFFSET(D22,-1,0)))</f>
        <v/>
      </c>
      <c r="E805" s="35">
        <f>IF(H22="Subetapa",0,IF(H22="serviço",OFFSET(E22,-1,0)+1,OFFSET(E22,-1,0)))</f>
        <v/>
      </c>
      <c r="F805" s="113" t="n"/>
      <c r="G805" s="116" t="inlineStr">
        <is>
          <t>MOVIMENTAÇÃO DE TERRA</t>
        </is>
      </c>
      <c r="H805" s="44" t="inlineStr">
        <is>
          <t>SERVIÇO</t>
        </is>
      </c>
      <c r="I805" s="45">
        <f>IF(H22="Unidade Construtiva",TEXT(A22,"00"),IF(H22="Célula Construtiva",TEXT(B22,"00"),IF(H22="Etapa",CONCATENATE(TEXT(B22,"00"),".",TEXT(C22,"000")),IF(H22="Subetapa",CONCATENATE(TEXT(B22,"00"),".",TEXT(C22,"000"),".",TEXT(D22,"000")),IF(H22="Serviço",CONCATENATE(TEXT(B22,"00"),".",TEXT(C22,"000"),".",TEXT(D22,"000"),".",TEXT(E22,"000")),"")))))</f>
        <v/>
      </c>
      <c r="J805" s="51" t="inlineStr">
        <is>
          <t>Movimentação de terra para bota-fora - Contenção</t>
        </is>
      </c>
      <c r="K805" s="47" t="inlineStr">
        <is>
          <t>m3</t>
        </is>
      </c>
      <c r="L805" s="48">
        <f>'Fund. Rasa | Contenção'!X79</f>
        <v/>
      </c>
      <c r="M805" s="48">
        <f>_xlfn.XLOOKUP($J22,[4]CPU!$D$1:$D$6624,[4]CPU!$H$1:$H$6624)</f>
        <v/>
      </c>
      <c r="N805" s="49">
        <f>IF(H22="Serviço",M22*L22,IF(H22="CÉLULA CONSTRUTIVA",SUMIFS($N$8:$N$298,$B$8:$B$298,B22,$H$8:$H$298,"Serviço"),IF(H22="ETAPA",SUMIFS($N$8:$N$298,$B$8:$B$298,B22,$C$8:$C$298,C22,$H$8:$H$298,"Serviço"),IF(H22="SUBETAPA",SUMIFS($N$8:$N$298,$B$8:$B$298,B22,$C$8:$C$298,C22,$D$8:$D$298,D22,$H$8:$H$298,"Serviço"),0))))</f>
        <v/>
      </c>
      <c r="O805" s="50" t="inlineStr">
        <is>
          <t>Volume de contenção e apoios com 30% de empolamento</t>
        </is>
      </c>
      <c r="P805" s="114" t="n"/>
      <c r="Q805" s="52" t="n"/>
      <c r="R805" s="52" t="n"/>
      <c r="S805" s="1" t="n"/>
      <c r="T805" s="1" t="n"/>
      <c r="U805" s="1" t="n"/>
      <c r="V805" s="1" t="n"/>
      <c r="W805" s="1" t="n"/>
      <c r="X805" s="1" t="n"/>
      <c r="Y805" s="1" t="n"/>
    </row>
    <row r="806">
      <c r="A806" s="34">
        <f>IF($H23="UNIDADE CONSTRUTIVA",OFFSET(A23,-1,0)+1,LARGE(A$3:A22,1))</f>
        <v/>
      </c>
      <c r="B806" s="34">
        <f>IF(H23="UNIDADE CONSTRUTIVA",0,IF(H23="CÉLULA CONSTRUTIVA",OFFSET(B23,-1,0)+1,OFFSET(B23,-1,0)))</f>
        <v/>
      </c>
      <c r="C806" s="34">
        <f>IF(H23="CÉLULA CONSTRUTIVA",0,IF(H23="ETAPA",OFFSET(C23,-1,0)+1,OFFSET(C23,-1,0)))</f>
        <v/>
      </c>
      <c r="D806" s="35">
        <f>IF(H23="ETAPA",0,IF(H23="SUBETAPA",OFFSET(D23,-1,0)+1,OFFSET(D23,-1,0)))</f>
        <v/>
      </c>
      <c r="E806" s="35">
        <f>IF(H23="Subetapa",0,IF(H23="serviço",OFFSET(E23,-1,0)+1,OFFSET(E23,-1,0)))</f>
        <v/>
      </c>
      <c r="F806" s="113" t="n"/>
      <c r="G806" s="43" t="n"/>
      <c r="H806" s="44" t="inlineStr">
        <is>
          <t>CÉLULA CONSTRUTIVA</t>
        </is>
      </c>
      <c r="I806" s="45">
        <f>IF(H23="Unidade Construtiva",TEXT(A23,"00"),IF(H23="Célula Construtiva",TEXT(B23,"00"),IF(H23="Etapa",CONCATENATE(TEXT(B23,"00"),".",TEXT(C23,"000")),IF(H23="Subetapa",CONCATENATE(TEXT(B23,"00"),".",TEXT(C23,"000"),".",TEXT(D23,"000")),IF(H23="Serviço",CONCATENATE(TEXT(B23,"00"),".",TEXT(C23,"000"),".",TEXT(D23,"000"),".",TEXT(E23,"000")),"")))))</f>
        <v/>
      </c>
      <c r="J806" s="51" t="inlineStr">
        <is>
          <t>CONTENÇÃO</t>
        </is>
      </c>
      <c r="K806" s="47" t="n"/>
      <c r="L806" s="48" t="n"/>
      <c r="M806" s="48" t="n"/>
      <c r="N806" s="49">
        <f>IF(H23="Serviço",M23*L23,IF(H23="CÉLULA CONSTRUTIVA",SUMIFS($N$8:$N$266,$B$8:$B$266,B23,$H$8:$H$266,"Serviço"),IF(H23="ETAPA",SUMIFS($N$8:$N$266,$B$8:$B$266,B23,$C$8:$C$266,C23,$H$8:$H$266,"Serviço"),IF(H23="SUBETAPA",SUMIFS($N$8:$N$266,$B$8:$B$266,B23,$C$8:$C$266,C23,$D$8:$D$266,D23,$H$8:$H$266,"Serviço"),0))))</f>
        <v/>
      </c>
      <c r="O806" s="50">
        <f>N23/[4]CAPA!$C$10</f>
        <v/>
      </c>
      <c r="P806" s="117">
        <f>395-173</f>
        <v/>
      </c>
      <c r="Q806" s="52" t="n"/>
      <c r="R806" s="52" t="n"/>
      <c r="S806" s="1" t="n"/>
      <c r="T806" s="1" t="n"/>
      <c r="U806" s="1" t="n"/>
      <c r="V806" s="1" t="n"/>
      <c r="W806" s="1" t="n"/>
      <c r="X806" s="1" t="n"/>
      <c r="Y806" s="1" t="n"/>
    </row>
    <row r="807">
      <c r="A807" s="34">
        <f>IF($H24="UNIDADE CONSTRUTIVA",OFFSET(A24,-1,0)+1,LARGE(A$3:A23,1))</f>
        <v/>
      </c>
      <c r="B807" s="34">
        <f>IF(H24="UNIDADE CONSTRUTIVA",0,IF(H24="CÉLULA CONSTRUTIVA",OFFSET(B24,-1,0)+1,OFFSET(B24,-1,0)))</f>
        <v/>
      </c>
      <c r="C807" s="34">
        <f>IF(H24="CÉLULA CONSTRUTIVA",0,IF(H24="ETAPA",OFFSET(C24,-1,0)+1,OFFSET(C24,-1,0)))</f>
        <v/>
      </c>
      <c r="D807" s="35">
        <f>IF(H24="ETAPA",0,IF(H24="SUBETAPA",OFFSET(D24,-1,0)+1,OFFSET(D24,-1,0)))</f>
        <v/>
      </c>
      <c r="E807" s="35">
        <f>IF(H24="Subetapa",0,IF(H24="serviço",OFFSET(E24,-1,0)+1,OFFSET(E24,-1,0)))</f>
        <v/>
      </c>
      <c r="F807" s="113" t="n"/>
      <c r="G807" s="43" t="n"/>
      <c r="H807" s="44" t="inlineStr">
        <is>
          <t>ETAPA</t>
        </is>
      </c>
      <c r="I807" s="45">
        <f>IF(H24="Unidade Construtiva",TEXT(A24,"00"),IF(H24="Célula Construtiva",TEXT(B24,"00"),IF(H24="Etapa",CONCATENATE(TEXT(B24,"00"),".",TEXT(C24,"000")),IF(H24="Subetapa",CONCATENATE(TEXT(B24,"00"),".",TEXT(C24,"000"),".",TEXT(D24,"000")),IF(H24="Serviço",CONCATENATE(TEXT(B24,"00"),".",TEXT(C24,"000"),".",TEXT(D24,"000"),".",TEXT(E24,"000")),"")))))</f>
        <v/>
      </c>
      <c r="J807" s="51" t="inlineStr">
        <is>
          <t>PAREDE DIAFRAGMA</t>
        </is>
      </c>
      <c r="K807" s="47" t="n"/>
      <c r="L807" s="48" t="n"/>
      <c r="M807" s="48" t="n"/>
      <c r="N807" s="49">
        <f>IF(H24="Serviço",M24*L24,IF(H24="CÉLULA CONSTRUTIVA",SUMIFS($N$8:$N$266,$B$8:$B$266,B24,$H$8:$H$266,"Serviço"),IF(H24="ETAPA",SUMIFS($N$8:$N$266,$B$8:$B$266,B24,$C$8:$C$266,C24,$H$8:$H$266,"Serviço"),IF(H24="SUBETAPA",SUMIFS($N$8:$N$266,$B$8:$B$266,B24,$C$8:$C$266,C24,$D$8:$D$266,D24,$H$8:$H$266,"Serviço"),0))))</f>
        <v/>
      </c>
      <c r="O807" s="50">
        <f>N24/[4]CAPA!$C$10</f>
        <v/>
      </c>
      <c r="P807" s="114" t="n"/>
      <c r="Q807" s="52" t="n"/>
      <c r="R807" s="52" t="n"/>
      <c r="S807" s="1" t="n"/>
      <c r="T807" s="1" t="n"/>
      <c r="U807" s="1" t="n"/>
      <c r="V807" s="1" t="n"/>
      <c r="W807" s="1" t="n"/>
      <c r="X807" s="1" t="n"/>
      <c r="Y807" s="1" t="n"/>
    </row>
    <row r="808">
      <c r="A808" s="34">
        <f>IF($H25="UNIDADE CONSTRUTIVA",OFFSET(A25,-1,0)+1,LARGE(A$3:A24,1))</f>
        <v/>
      </c>
      <c r="B808" s="34">
        <f>IF(H25="UNIDADE CONSTRUTIVA",0,IF(H25="CÉLULA CONSTRUTIVA",OFFSET(B25,-1,0)+1,OFFSET(B25,-1,0)))</f>
        <v/>
      </c>
      <c r="C808" s="34">
        <f>IF(H25="CÉLULA CONSTRUTIVA",0,IF(H25="ETAPA",OFFSET(C25,-1,0)+1,OFFSET(C25,-1,0)))</f>
        <v/>
      </c>
      <c r="D808" s="35">
        <f>IF(H25="ETAPA",0,IF(H25="SUBETAPA",OFFSET(D25,-1,0)+1,OFFSET(D25,-1,0)))</f>
        <v/>
      </c>
      <c r="E808" s="35">
        <f>IF(H25="Subetapa",0,IF(H25="serviço",OFFSET(E25,-1,0)+1,OFFSET(E25,-1,0)))</f>
        <v/>
      </c>
      <c r="F808" s="113" t="n"/>
      <c r="G808" s="43" t="n"/>
      <c r="H808" s="44" t="inlineStr">
        <is>
          <t>SUBETAPA</t>
        </is>
      </c>
      <c r="I808" s="45">
        <f>IF(H25="Unidade Construtiva",TEXT(A25,"00"),IF(H25="Célula Construtiva",TEXT(B25,"00"),IF(H25="Etapa",CONCATENATE(TEXT(B25,"00"),".",TEXT(C25,"000")),IF(H25="Subetapa",CONCATENATE(TEXT(B25,"00"),".",TEXT(C25,"000"),".",TEXT(D25,"000")),IF(H25="Serviço",CONCATENATE(TEXT(B25,"00"),".",TEXT(C25,"000"),".",TEXT(D25,"000"),".",TEXT(E25,"000")),"")))))</f>
        <v/>
      </c>
      <c r="J808" s="51" t="inlineStr">
        <is>
          <t>Parede Diafragma</t>
        </is>
      </c>
      <c r="K808" s="47" t="n"/>
      <c r="L808" s="48" t="n"/>
      <c r="M808" s="48" t="n"/>
      <c r="N808" s="49">
        <f>IF(H25="Serviço",M25*L25,IF(H25="CÉLULA CONSTRUTIVA",SUMIFS($N$8:$N$266,$B$8:$B$266,B25,$H$8:$H$266,"Serviço"),IF(H25="ETAPA",SUMIFS($N$8:$N$266,$B$8:$B$266,B25,$C$8:$C$266,C25,$H$8:$H$266,"Serviço"),IF(H25="SUBETAPA",SUMIFS($N$8:$N$266,$B$8:$B$266,B25,$C$8:$C$266,C25,$D$8:$D$266,D25,$H$8:$H$266,"Serviço"),0))))</f>
        <v/>
      </c>
      <c r="O808" s="50">
        <f>N25/[4]CAPA!$C$10</f>
        <v/>
      </c>
      <c r="P808" s="114" t="n"/>
      <c r="Q808" s="52" t="n"/>
      <c r="R808" s="52" t="n"/>
      <c r="S808" s="1" t="n"/>
      <c r="T808" s="1" t="n"/>
      <c r="U808" s="1" t="n"/>
      <c r="V808" s="1" t="n"/>
      <c r="W808" s="1" t="n"/>
      <c r="X808" s="1" t="n"/>
      <c r="Y808" s="1" t="n"/>
    </row>
    <row r="809">
      <c r="A809" s="34">
        <f>IF($H26="UNIDADE CONSTRUTIVA",OFFSET(A26,-1,0)+1,LARGE(A$3:A25,1))</f>
        <v/>
      </c>
      <c r="B809" s="34">
        <f>IF(H26="UNIDADE CONSTRUTIVA",0,IF(H26="CÉLULA CONSTRUTIVA",OFFSET(B26,-1,0)+1,OFFSET(B26,-1,0)))</f>
        <v/>
      </c>
      <c r="C809" s="34">
        <f>IF(H26="CÉLULA CONSTRUTIVA",0,IF(H26="ETAPA",OFFSET(C26,-1,0)+1,OFFSET(C26,-1,0)))</f>
        <v/>
      </c>
      <c r="D809" s="35">
        <f>IF(H26="ETAPA",0,IF(H26="SUBETAPA",OFFSET(D26,-1,0)+1,OFFSET(D26,-1,0)))</f>
        <v/>
      </c>
      <c r="E809" s="35">
        <f>IF(H26="Subetapa",0,IF(H26="serviço",OFFSET(E26,-1,0)+1,OFFSET(E26,-1,0)))</f>
        <v/>
      </c>
      <c r="F809" s="113" t="n"/>
      <c r="G809" s="116" t="inlineStr">
        <is>
          <t>CONTENÇÃO</t>
        </is>
      </c>
      <c r="H809" s="44" t="inlineStr">
        <is>
          <t>SERVIÇO</t>
        </is>
      </c>
      <c r="I809" s="45">
        <f>IF(H26="Unidade Construtiva",TEXT(A26,"00"),IF(H26="Célula Construtiva",TEXT(B26,"00"),IF(H26="Etapa",CONCATENATE(TEXT(B26,"00"),".",TEXT(C26,"000")),IF(H26="Subetapa",CONCATENATE(TEXT(B26,"00"),".",TEXT(C26,"000"),".",TEXT(D26,"000")),IF(H26="Serviço",CONCATENATE(TEXT(B26,"00"),".",TEXT(C26,"000"),".",TEXT(D26,"000"),".",TEXT(E26,"000")),"")))))</f>
        <v/>
      </c>
      <c r="J809" s="51" t="inlineStr">
        <is>
          <t>Execução de parede diafragma</t>
        </is>
      </c>
      <c r="K809" s="47" t="inlineStr">
        <is>
          <t>m2</t>
        </is>
      </c>
      <c r="L809" s="48">
        <f>'Fund. Rasa | Contenção'!P79</f>
        <v/>
      </c>
      <c r="M809" s="48">
        <f>_xlfn.XLOOKUP($J26,[4]CPU!$D$1:$D$6624,[4]CPU!$H$1:$H$6624)</f>
        <v/>
      </c>
      <c r="N809" s="49">
        <f>IF(H26="Serviço",M26*L26,IF(H26="CÉLULA CONSTRUTIVA",SUMIFS($N$8:$N$266,$B$8:$B$266,B26,$H$8:$H$266,"Serviço"),IF(H26="ETAPA",SUMIFS($N$8:$N$266,$B$8:$B$266,B26,$C$8:$C$266,C26,$H$8:$H$266,"Serviço"),IF(H26="SUBETAPA",SUMIFS($N$8:$N$266,$B$8:$B$266,B26,$C$8:$C$266,C26,$D$8:$D$266,D26,$H$8:$H$266,"Serviço"),0))))</f>
        <v/>
      </c>
      <c r="O809" s="118" t="inlineStr">
        <is>
          <t>Lamela - quantitativo de projeto</t>
        </is>
      </c>
      <c r="P809" s="114" t="n"/>
      <c r="Q809" s="52" t="n"/>
      <c r="R809" s="52" t="n"/>
      <c r="S809" s="1" t="n"/>
      <c r="T809" s="1" t="n"/>
      <c r="U809" s="1" t="n"/>
      <c r="V809" s="1" t="n"/>
      <c r="W809" s="1" t="n"/>
      <c r="X809" s="1" t="n"/>
      <c r="Y809" s="1" t="n"/>
    </row>
    <row r="810">
      <c r="A810" s="34">
        <f>IF($H27="UNIDADE CONSTRUTIVA",OFFSET(A27,-1,0)+1,LARGE(A$3:A26,1))</f>
        <v/>
      </c>
      <c r="B810" s="34">
        <f>IF(H27="UNIDADE CONSTRUTIVA",0,IF(H27="CÉLULA CONSTRUTIVA",OFFSET(B27,-1,0)+1,OFFSET(B27,-1,0)))</f>
        <v/>
      </c>
      <c r="C810" s="34">
        <f>IF(H27="CÉLULA CONSTRUTIVA",0,IF(H27="ETAPA",OFFSET(C27,-1,0)+1,OFFSET(C27,-1,0)))</f>
        <v/>
      </c>
      <c r="D810" s="35">
        <f>IF(H27="ETAPA",0,IF(H27="SUBETAPA",OFFSET(D27,-1,0)+1,OFFSET(D27,-1,0)))</f>
        <v/>
      </c>
      <c r="E810" s="35">
        <f>IF(H27="Subetapa",0,IF(H27="serviço",OFFSET(E27,-1,0)+1,OFFSET(E27,-1,0)))</f>
        <v/>
      </c>
      <c r="F810" s="113" t="n"/>
      <c r="G810" s="116" t="inlineStr">
        <is>
          <t>CONTENÇÃO</t>
        </is>
      </c>
      <c r="H810" s="44" t="inlineStr">
        <is>
          <t>SERVIÇO</t>
        </is>
      </c>
      <c r="I810" s="45">
        <f>IF(H27="Unidade Construtiva",TEXT(A27,"00"),IF(H27="Célula Construtiva",TEXT(B27,"00"),IF(H27="Etapa",CONCATENATE(TEXT(B27,"00"),".",TEXT(C27,"000")),IF(H27="Subetapa",CONCATENATE(TEXT(B27,"00"),".",TEXT(C27,"000"),".",TEXT(D27,"000")),IF(H27="Serviço",CONCATENATE(TEXT(B27,"00"),".",TEXT(C27,"000"),".",TEXT(D27,"000"),".",TEXT(E27,"000")),"")))))</f>
        <v/>
      </c>
      <c r="J810" s="51" t="inlineStr">
        <is>
          <t xml:space="preserve">	Mobilização e desmobilização de equipamentos - Para execução de estaca hélice</t>
        </is>
      </c>
      <c r="K810" s="47" t="inlineStr">
        <is>
          <t>vb</t>
        </is>
      </c>
      <c r="L810" s="48" t="n">
        <v>1</v>
      </c>
      <c r="M810" s="48">
        <f>_xlfn.XLOOKUP($J27,[4]CPU!$D$1:$D$6624,[4]CPU!$H$1:$H$6624)</f>
        <v/>
      </c>
      <c r="N810" s="49">
        <f>IF(H27="Serviço",M27*L27,IF(H27="CÉLULA CONSTRUTIVA",SUMIFS($N$8:$N$266,$B$8:$B$266,B27,$H$8:$H$266,"Serviço"),IF(H27="ETAPA",SUMIFS($N$8:$N$266,$B$8:$B$266,B27,$C$8:$C$266,C27,$H$8:$H$266,"Serviço"),IF(H27="SUBETAPA",SUMIFS($N$8:$N$266,$B$8:$B$266,B27,$C$8:$C$266,C27,$D$8:$D$266,D27,$H$8:$H$266,"Serviço"),0))))</f>
        <v/>
      </c>
      <c r="O810" s="50" t="n"/>
      <c r="P810" s="114" t="n"/>
      <c r="Q810" s="52" t="n"/>
      <c r="R810" s="52" t="n"/>
      <c r="S810" s="1" t="n"/>
      <c r="T810" s="1" t="n"/>
      <c r="U810" s="1" t="n"/>
      <c r="V810" s="1" t="n"/>
      <c r="W810" s="1" t="n"/>
      <c r="X810" s="1" t="n"/>
      <c r="Y810" s="1" t="n"/>
    </row>
    <row r="811">
      <c r="A811" s="34">
        <f>IF($H28="UNIDADE CONSTRUTIVA",OFFSET(A28,-1,0)+1,LARGE(A$3:A27,1))</f>
        <v/>
      </c>
      <c r="B811" s="34">
        <f>IF(H28="UNIDADE CONSTRUTIVA",0,IF(H28="CÉLULA CONSTRUTIVA",OFFSET(B28,-1,0)+1,OFFSET(B28,-1,0)))</f>
        <v/>
      </c>
      <c r="C811" s="34">
        <f>IF(H28="CÉLULA CONSTRUTIVA",0,IF(H28="ETAPA",OFFSET(C28,-1,0)+1,OFFSET(C28,-1,0)))</f>
        <v/>
      </c>
      <c r="D811" s="35">
        <f>IF(H28="ETAPA",0,IF(H28="SUBETAPA",OFFSET(D28,-1,0)+1,OFFSET(D28,-1,0)))</f>
        <v/>
      </c>
      <c r="E811" s="35">
        <f>IF(H28="Subetapa",0,IF(H28="serviço",OFFSET(E28,-1,0)+1,OFFSET(E28,-1,0)))</f>
        <v/>
      </c>
      <c r="F811" s="113" t="n"/>
      <c r="G811" s="43" t="n"/>
      <c r="H811" s="44" t="inlineStr">
        <is>
          <t>SUBETAPA</t>
        </is>
      </c>
      <c r="I811" s="45">
        <f>IF(H28="Unidade Construtiva",TEXT(A28,"00"),IF(H28="Célula Construtiva",TEXT(B28,"00"),IF(H28="Etapa",CONCATENATE(TEXT(B28,"00"),".",TEXT(C28,"000")),IF(H28="Subetapa",CONCATENATE(TEXT(B28,"00"),".",TEXT(C28,"000"),".",TEXT(D28,"000")),IF(H28="Serviço",CONCATENATE(TEXT(B28,"00"),".",TEXT(C28,"000"),".",TEXT(D28,"000"),".",TEXT(E28,"000")),"")))))</f>
        <v/>
      </c>
      <c r="J811" s="51" t="inlineStr">
        <is>
          <t>Forma</t>
        </is>
      </c>
      <c r="K811" s="47" t="n"/>
      <c r="L811" s="48" t="n"/>
      <c r="M811" s="48" t="n"/>
      <c r="N811" s="49">
        <f>IF(H28="Serviço",M28*L28,IF(H28="CÉLULA CONSTRUTIVA",SUMIFS($N$8:$N$266,$B$8:$B$266,B28,$H$8:$H$266,"Serviço"),IF(H28="ETAPA",SUMIFS($N$8:$N$266,$B$8:$B$266,B28,$C$8:$C$266,C28,$H$8:$H$266,"Serviço"),IF(H28="SUBETAPA",SUMIFS($N$8:$N$266,$B$8:$B$266,B28,$C$8:$C$266,C28,$D$8:$D$266,D28,$H$8:$H$266,"Serviço"),0))))</f>
        <v/>
      </c>
      <c r="O811" s="50">
        <f>N28/[4]CAPA!$C$10</f>
        <v/>
      </c>
      <c r="P811" s="114" t="n"/>
      <c r="Q811" s="52" t="n"/>
      <c r="R811" s="52" t="n"/>
      <c r="S811" s="1" t="n"/>
      <c r="T811" s="1" t="n"/>
      <c r="U811" s="1" t="n"/>
      <c r="V811" s="1" t="n"/>
      <c r="W811" s="1" t="n"/>
      <c r="X811" s="1" t="n"/>
      <c r="Y811" s="1" t="n"/>
    </row>
    <row r="812">
      <c r="A812" s="34">
        <f>IF($H29="UNIDADE CONSTRUTIVA",OFFSET(A29,-1,0)+1,LARGE(A$3:A28,1))</f>
        <v/>
      </c>
      <c r="B812" s="34">
        <f>IF(H29="UNIDADE CONSTRUTIVA",0,IF(H29="CÉLULA CONSTRUTIVA",OFFSET(B29,-1,0)+1,OFFSET(B29,-1,0)))</f>
        <v/>
      </c>
      <c r="C812" s="34">
        <f>IF(H29="CÉLULA CONSTRUTIVA",0,IF(H29="ETAPA",OFFSET(C29,-1,0)+1,OFFSET(C29,-1,0)))</f>
        <v/>
      </c>
      <c r="D812" s="35">
        <f>IF(H29="ETAPA",0,IF(H29="SUBETAPA",OFFSET(D29,-1,0)+1,OFFSET(D29,-1,0)))</f>
        <v/>
      </c>
      <c r="E812" s="35">
        <f>IF(H29="Subetapa",0,IF(H29="serviço",OFFSET(E29,-1,0)+1,OFFSET(E29,-1,0)))</f>
        <v/>
      </c>
      <c r="F812" s="113" t="n"/>
      <c r="G812" s="116" t="inlineStr">
        <is>
          <t>CONTENÇÃO</t>
        </is>
      </c>
      <c r="H812" s="44" t="inlineStr">
        <is>
          <t>SERVIÇO</t>
        </is>
      </c>
      <c r="I812" s="45">
        <f>IF(H29="Unidade Construtiva",TEXT(A29,"00"),IF(H29="Célula Construtiva",TEXT(B29,"00"),IF(H29="Etapa",CONCATENATE(TEXT(B29,"00"),".",TEXT(C29,"000")),IF(H29="Subetapa",CONCATENATE(TEXT(B29,"00"),".",TEXT(C29,"000"),".",TEXT(D29,"000")),IF(H29="Serviço",CONCATENATE(TEXT(B29,"00"),".",TEXT(C29,"000"),".",TEXT(D29,"000"),".",TEXT(E29,"000")),"")))))</f>
        <v/>
      </c>
      <c r="J812" s="51" t="inlineStr">
        <is>
          <t xml:space="preserve">Forma para Contenções em Tábuas de Madeira Serrada </t>
        </is>
      </c>
      <c r="K812" s="47" t="inlineStr">
        <is>
          <t>m2</t>
        </is>
      </c>
      <c r="L812" s="48">
        <f>'Resumo Estrutura'!J7+'Resumo Estrutura'!J8</f>
        <v/>
      </c>
      <c r="M812" s="48">
        <f>_xlfn.XLOOKUP($J29,[4]CPU!$D$1:$D$6624,[4]CPU!$H$1:$H$6624)</f>
        <v/>
      </c>
      <c r="N812" s="49">
        <f>IF(H29="Serviço",M29*L29,IF(H29="CÉLULA CONSTRUTIVA",SUMIFS($N$8:$N$266,$B$8:$B$266,B29,$H$8:$H$266,"Serviço"),IF(H29="ETAPA",SUMIFS($N$8:$N$266,$B$8:$B$266,B29,$C$8:$C$266,C29,$H$8:$H$266,"Serviço"),IF(H29="SUBETAPA",SUMIFS($N$8:$N$266,$B$8:$B$266,B29,$C$8:$C$266,C29,$D$8:$D$266,D29,$H$8:$H$266,"Serviço"),0))))</f>
        <v/>
      </c>
      <c r="O812" s="118" t="inlineStr">
        <is>
          <t>Mureta guia e viga de coroamento - Estimado por ausência de quantitativo</t>
        </is>
      </c>
      <c r="P812" s="114" t="n"/>
      <c r="Q812" s="52" t="n"/>
      <c r="R812" s="52" t="n"/>
      <c r="S812" s="1" t="n"/>
      <c r="T812" s="1" t="n"/>
      <c r="U812" s="1" t="n"/>
      <c r="V812" s="1" t="n"/>
      <c r="W812" s="1" t="n"/>
      <c r="X812" s="1" t="n"/>
      <c r="Y812" s="1" t="n"/>
    </row>
    <row r="813">
      <c r="A813" s="34">
        <f>IF($H30="UNIDADE CONSTRUTIVA",OFFSET(A30,-1,0)+1,LARGE(A$3:A29,1))</f>
        <v/>
      </c>
      <c r="B813" s="34">
        <f>IF(H30="UNIDADE CONSTRUTIVA",0,IF(H30="CÉLULA CONSTRUTIVA",OFFSET(B30,-1,0)+1,OFFSET(B30,-1,0)))</f>
        <v/>
      </c>
      <c r="C813" s="34">
        <f>IF(H30="CÉLULA CONSTRUTIVA",0,IF(H30="ETAPA",OFFSET(C30,-1,0)+1,OFFSET(C30,-1,0)))</f>
        <v/>
      </c>
      <c r="D813" s="35">
        <f>IF(H30="ETAPA",0,IF(H30="SUBETAPA",OFFSET(D30,-1,0)+1,OFFSET(D30,-1,0)))</f>
        <v/>
      </c>
      <c r="E813" s="35">
        <f>IF(H30="Subetapa",0,IF(H30="serviço",OFFSET(E30,-1,0)+1,OFFSET(E30,-1,0)))</f>
        <v/>
      </c>
      <c r="F813" s="113" t="n"/>
      <c r="G813" s="116" t="n"/>
      <c r="H813" s="44" t="inlineStr">
        <is>
          <t>SUBETAPA</t>
        </is>
      </c>
      <c r="I813" s="45">
        <f>IF(H30="Unidade Construtiva",TEXT(A30,"00"),IF(H30="Célula Construtiva",TEXT(B30,"00"),IF(H30="Etapa",CONCATENATE(TEXT(B30,"00"),".",TEXT(C30,"000")),IF(H30="Subetapa",CONCATENATE(TEXT(B30,"00"),".",TEXT(C30,"000"),".",TEXT(D30,"000")),IF(H30="Serviço",CONCATENATE(TEXT(B30,"00"),".",TEXT(C30,"000"),".",TEXT(D30,"000"),".",TEXT(E30,"000")),"")))))</f>
        <v/>
      </c>
      <c r="J813" s="51" t="inlineStr">
        <is>
          <t>Armadura</t>
        </is>
      </c>
      <c r="K813" s="47" t="n"/>
      <c r="L813" s="57" t="n"/>
      <c r="M813" s="57" t="n"/>
      <c r="N813" s="49">
        <f>IF(H30="Serviço",M30*L30,IF(H30="CÉLULA CONSTRUTIVA",SUMIFS($N$8:$N$266,$B$8:$B$266,B30,$H$8:$H$266,"Serviço"),IF(H30="ETAPA",SUMIFS($N$8:$N$266,$B$8:$B$266,B30,$C$8:$C$266,C30,$H$8:$H$266,"Serviço"),IF(H30="SUBETAPA",SUMIFS($N$8:$N$266,$B$8:$B$266,B30,$C$8:$C$266,C30,$D$8:$D$266,D30,$H$8:$H$266,"Serviço"),0))))</f>
        <v/>
      </c>
      <c r="O813" s="50">
        <f>N30/[4]CAPA!$C$10</f>
        <v/>
      </c>
      <c r="P813" s="114" t="n"/>
      <c r="Q813" s="52" t="n"/>
      <c r="R813" s="52" t="n"/>
      <c r="S813" s="1" t="n"/>
      <c r="T813" s="1" t="n"/>
      <c r="U813" s="1" t="n"/>
      <c r="V813" s="1" t="n"/>
      <c r="W813" s="1" t="n"/>
      <c r="X813" s="1" t="n"/>
      <c r="Y813" s="1" t="n"/>
    </row>
    <row r="814">
      <c r="A814" s="34">
        <f>IF($H31="UNIDADE CONSTRUTIVA",OFFSET(A31,-1,0)+1,LARGE(A$3:A30,1))</f>
        <v/>
      </c>
      <c r="B814" s="34">
        <f>IF(H31="UNIDADE CONSTRUTIVA",0,IF(H31="CÉLULA CONSTRUTIVA",OFFSET(B31,-1,0)+1,OFFSET(B31,-1,0)))</f>
        <v/>
      </c>
      <c r="C814" s="34">
        <f>IF(H31="CÉLULA CONSTRUTIVA",0,IF(H31="ETAPA",OFFSET(C31,-1,0)+1,OFFSET(C31,-1,0)))</f>
        <v/>
      </c>
      <c r="D814" s="35">
        <f>IF(H31="ETAPA",0,IF(H31="SUBETAPA",OFFSET(D31,-1,0)+1,OFFSET(D31,-1,0)))</f>
        <v/>
      </c>
      <c r="E814" s="35">
        <f>IF(H31="Subetapa",0,IF(H31="serviço",OFFSET(E31,-1,0)+1,OFFSET(E31,-1,0)))</f>
        <v/>
      </c>
      <c r="F814" s="113" t="n"/>
      <c r="G814" s="116" t="inlineStr">
        <is>
          <t>CONTENÇÃO</t>
        </is>
      </c>
      <c r="H814" s="44" t="inlineStr">
        <is>
          <t>SERVIÇO</t>
        </is>
      </c>
      <c r="I814" s="45">
        <f>IF(H31="Unidade Construtiva",TEXT(A31,"00"),IF(H31="Célula Construtiva",TEXT(B31,"00"),IF(H31="Etapa",CONCATENATE(TEXT(B31,"00"),".",TEXT(C31,"000")),IF(H31="Subetapa",CONCATENATE(TEXT(B31,"00"),".",TEXT(C31,"000"),".",TEXT(D31,"000")),IF(H31="Serviço",CONCATENATE(TEXT(B31,"00"),".",TEXT(C31,"000"),".",TEXT(D31,"000"),".",TEXT(E31,"000")),"")))))</f>
        <v/>
      </c>
      <c r="J814" s="51" t="inlineStr">
        <is>
          <t>Armação aço CA-50 ø 6,3mm para Contenções (corte e dobra em obra)</t>
        </is>
      </c>
      <c r="K814" s="47" t="inlineStr">
        <is>
          <t>kg</t>
        </is>
      </c>
      <c r="L814" s="48">
        <f>'Resumo Estrutura'!W7+'Resumo Estrutura'!W8</f>
        <v/>
      </c>
      <c r="M814" s="48">
        <f>_xlfn.XLOOKUP($J31,[4]CPU!$D$1:$D$6624,[4]CPU!$H$1:$H$6624)</f>
        <v/>
      </c>
      <c r="N814" s="49">
        <f>IF(H31="Serviço",M31*L31,IF(H31="CÉLULA CONSTRUTIVA",SUMIFS($N$8:$N$266,$B$8:$B$266,B31,$H$8:$H$266,"Serviço"),IF(H31="ETAPA",SUMIFS($N$8:$N$266,$B$8:$B$266,B31,$C$8:$C$266,C31,$H$8:$H$266,"Serviço"),IF(H31="SUBETAPA",SUMIFS($N$8:$N$266,$B$8:$B$266,B31,$C$8:$C$266,C31,$D$8:$D$266,D31,$H$8:$H$266,"Serviço"),0))))</f>
        <v/>
      </c>
      <c r="O814" s="118" t="inlineStr">
        <is>
          <t>Mureta guia e viga de coroamento - Estimado por ausência de quantitativo</t>
        </is>
      </c>
      <c r="P814" s="114" t="n"/>
      <c r="Q814" s="52" t="n"/>
      <c r="R814" s="52" t="n"/>
      <c r="S814" s="1" t="n"/>
      <c r="T814" s="1" t="n"/>
      <c r="U814" s="1" t="n"/>
      <c r="V814" s="1" t="n"/>
      <c r="W814" s="1" t="n"/>
      <c r="X814" s="1" t="n"/>
      <c r="Y814" s="1" t="n"/>
    </row>
    <row r="815">
      <c r="A815" s="34">
        <f>IF($H32="UNIDADE CONSTRUTIVA",OFFSET(A32,-1,0)+1,LARGE(A$3:A31,1))</f>
        <v/>
      </c>
      <c r="B815" s="34">
        <f>IF(H32="UNIDADE CONSTRUTIVA",0,IF(H32="CÉLULA CONSTRUTIVA",OFFSET(B32,-1,0)+1,OFFSET(B32,-1,0)))</f>
        <v/>
      </c>
      <c r="C815" s="34">
        <f>IF(H32="CÉLULA CONSTRUTIVA",0,IF(H32="ETAPA",OFFSET(C32,-1,0)+1,OFFSET(C32,-1,0)))</f>
        <v/>
      </c>
      <c r="D815" s="35">
        <f>IF(H32="ETAPA",0,IF(H32="SUBETAPA",OFFSET(D32,-1,0)+1,OFFSET(D32,-1,0)))</f>
        <v/>
      </c>
      <c r="E815" s="35">
        <f>IF(H32="Subetapa",0,IF(H32="serviço",OFFSET(E32,-1,0)+1,OFFSET(E32,-1,0)))</f>
        <v/>
      </c>
      <c r="F815" s="113" t="n"/>
      <c r="G815" s="116" t="inlineStr">
        <is>
          <t>CONTENÇÃO</t>
        </is>
      </c>
      <c r="H815" s="44" t="inlineStr">
        <is>
          <t>SERVIÇO</t>
        </is>
      </c>
      <c r="I815" s="45">
        <f>IF(H32="Unidade Construtiva",TEXT(A32,"00"),IF(H32="Célula Construtiva",TEXT(B32,"00"),IF(H32="Etapa",CONCATENATE(TEXT(B32,"00"),".",TEXT(C32,"000")),IF(H32="Subetapa",CONCATENATE(TEXT(B32,"00"),".",TEXT(C32,"000"),".",TEXT(D32,"000")),IF(H32="Serviço",CONCATENATE(TEXT(B32,"00"),".",TEXT(C32,"000"),".",TEXT(D32,"000"),".",TEXT(E32,"000")),"")))))</f>
        <v/>
      </c>
      <c r="J815" s="51" t="inlineStr">
        <is>
          <t xml:space="preserve">Armação aço CA-50 ø 12,5mm para Contenções (corte e dobra em obra) </t>
        </is>
      </c>
      <c r="K815" s="47" t="inlineStr">
        <is>
          <t>kg</t>
        </is>
      </c>
      <c r="L815" s="48">
        <f>'Resumo Estrutura'!Z7+'Resumo Estrutura'!Z8</f>
        <v/>
      </c>
      <c r="M815" s="48">
        <f>_xlfn.XLOOKUP($J32,[4]CPU!$D$1:$D$6624,[4]CPU!$H$1:$H$6624)</f>
        <v/>
      </c>
      <c r="N815" s="49">
        <f>IF(H32="Serviço",M32*L32,IF(H32="CÉLULA CONSTRUTIVA",SUMIFS($N$8:$N$266,$B$8:$B$266,B32,$H$8:$H$266,"Serviço"),IF(H32="ETAPA",SUMIFS($N$8:$N$266,$B$8:$B$266,B32,$C$8:$C$266,C32,$H$8:$H$266,"Serviço"),IF(H32="SUBETAPA",SUMIFS($N$8:$N$266,$B$8:$B$266,B32,$C$8:$C$266,C32,$D$8:$D$266,D32,$H$8:$H$266,"Serviço"),0))))</f>
        <v/>
      </c>
      <c r="O815" s="118" t="inlineStr">
        <is>
          <t>Mureta guia e viga de coroamento - Estimado por ausência de quantitativo</t>
        </is>
      </c>
      <c r="P815" s="114" t="n"/>
      <c r="Q815" s="52" t="n"/>
      <c r="R815" s="52" t="n"/>
      <c r="S815" s="1" t="n"/>
      <c r="T815" s="1" t="n"/>
      <c r="U815" s="1" t="n"/>
      <c r="V815" s="1" t="n"/>
      <c r="W815" s="1" t="n"/>
      <c r="X815" s="1" t="n"/>
      <c r="Y815" s="1" t="n"/>
    </row>
    <row r="816">
      <c r="A816" s="34">
        <f>IF($H33="UNIDADE CONSTRUTIVA",OFFSET(A33,-1,0)+1,LARGE(A$3:A32,1))</f>
        <v/>
      </c>
      <c r="B816" s="34">
        <f>IF(H33="UNIDADE CONSTRUTIVA",0,IF(H33="CÉLULA CONSTRUTIVA",OFFSET(B33,-1,0)+1,OFFSET(B33,-1,0)))</f>
        <v/>
      </c>
      <c r="C816" s="34">
        <f>IF(H33="CÉLULA CONSTRUTIVA",0,IF(H33="ETAPA",OFFSET(C33,-1,0)+1,OFFSET(C33,-1,0)))</f>
        <v/>
      </c>
      <c r="D816" s="35">
        <f>IF(H33="ETAPA",0,IF(H33="SUBETAPA",OFFSET(D33,-1,0)+1,OFFSET(D33,-1,0)))</f>
        <v/>
      </c>
      <c r="E816" s="35">
        <f>IF(H33="Subetapa",0,IF(H33="serviço",OFFSET(E33,-1,0)+1,OFFSET(E33,-1,0)))</f>
        <v/>
      </c>
      <c r="F816" s="113" t="n"/>
      <c r="G816" s="116" t="inlineStr">
        <is>
          <t>CONTENÇÃO</t>
        </is>
      </c>
      <c r="H816" s="44" t="inlineStr">
        <is>
          <t>SERVIÇO</t>
        </is>
      </c>
      <c r="I816" s="45">
        <f>IF(H33="Unidade Construtiva",TEXT(A33,"00"),IF(H33="Célula Construtiva",TEXT(B33,"00"),IF(H33="Etapa",CONCATENATE(TEXT(B33,"00"),".",TEXT(C33,"000")),IF(H33="Subetapa",CONCATENATE(TEXT(B33,"00"),".",TEXT(C33,"000"),".",TEXT(D33,"000")),IF(H33="Serviço",CONCATENATE(TEXT(B33,"00"),".",TEXT(C33,"000"),".",TEXT(D33,"000"),".",TEXT(E33,"000")),"")))))</f>
        <v/>
      </c>
      <c r="J816" s="51" t="inlineStr">
        <is>
          <t xml:space="preserve">Armação aço CA-50 ø 12,5mm para Lamelas (corte e dobra em obra) </t>
        </is>
      </c>
      <c r="K816" s="47" t="inlineStr">
        <is>
          <t>kg</t>
        </is>
      </c>
      <c r="L816" s="48">
        <f>'Resumo Estrutura'!Z6</f>
        <v/>
      </c>
      <c r="M816" s="48">
        <f>_xlfn.XLOOKUP($J33,[4]CPU!$D$1:$D$6624,[4]CPU!$H$1:$H$6624)</f>
        <v/>
      </c>
      <c r="N816" s="49">
        <f>IF(H33="Serviço",M33*L33,IF(H33="CÉLULA CONSTRUTIVA",SUMIFS($N$8:$N$266,$B$8:$B$266,B33,$H$8:$H$266,"Serviço"),IF(H33="ETAPA",SUMIFS($N$8:$N$266,$B$8:$B$266,B33,$C$8:$C$266,C33,$H$8:$H$266,"Serviço"),IF(H33="SUBETAPA",SUMIFS($N$8:$N$266,$B$8:$B$266,B33,$C$8:$C$266,C33,$D$8:$D$266,D33,$H$8:$H$266,"Serviço"),0))))</f>
        <v/>
      </c>
      <c r="O816" s="118" t="inlineStr">
        <is>
          <t>Lamela - quantitativo de projeto</t>
        </is>
      </c>
      <c r="P816" s="114" t="n"/>
      <c r="Q816" s="52" t="n"/>
      <c r="R816" s="52" t="n"/>
      <c r="S816" s="1" t="n"/>
      <c r="T816" s="1" t="n"/>
      <c r="U816" s="1" t="n"/>
      <c r="V816" s="1" t="n"/>
      <c r="W816" s="1" t="n"/>
      <c r="X816" s="1" t="n"/>
      <c r="Y816" s="1" t="n"/>
    </row>
    <row r="817">
      <c r="A817" s="34">
        <f>IF($H34="UNIDADE CONSTRUTIVA",OFFSET(A34,-1,0)+1,LARGE(A$3:A33,1))</f>
        <v/>
      </c>
      <c r="B817" s="34">
        <f>IF(H34="UNIDADE CONSTRUTIVA",0,IF(H34="CÉLULA CONSTRUTIVA",OFFSET(B34,-1,0)+1,OFFSET(B34,-1,0)))</f>
        <v/>
      </c>
      <c r="C817" s="34">
        <f>IF(H34="CÉLULA CONSTRUTIVA",0,IF(H34="ETAPA",OFFSET(C34,-1,0)+1,OFFSET(C34,-1,0)))</f>
        <v/>
      </c>
      <c r="D817" s="35">
        <f>IF(H34="ETAPA",0,IF(H34="SUBETAPA",OFFSET(D34,-1,0)+1,OFFSET(D34,-1,0)))</f>
        <v/>
      </c>
      <c r="E817" s="35">
        <f>IF(H34="Subetapa",0,IF(H34="serviço",OFFSET(E34,-1,0)+1,OFFSET(E34,-1,0)))</f>
        <v/>
      </c>
      <c r="F817" s="113" t="n"/>
      <c r="G817" s="116" t="inlineStr">
        <is>
          <t>CONTENÇÃO</t>
        </is>
      </c>
      <c r="H817" s="44" t="inlineStr">
        <is>
          <t>SERVIÇO</t>
        </is>
      </c>
      <c r="I817" s="45">
        <f>IF(H34="Unidade Construtiva",TEXT(A34,"00"),IF(H34="Célula Construtiva",TEXT(B34,"00"),IF(H34="Etapa",CONCATENATE(TEXT(B34,"00"),".",TEXT(C34,"000")),IF(H34="Subetapa",CONCATENATE(TEXT(B34,"00"),".",TEXT(C34,"000"),".",TEXT(D34,"000")),IF(H34="Serviço",CONCATENATE(TEXT(B34,"00"),".",TEXT(C34,"000"),".",TEXT(D34,"000"),".",TEXT(E34,"000")),"")))))</f>
        <v/>
      </c>
      <c r="J817" s="51" t="inlineStr">
        <is>
          <t>Armação aço CA-50 ø 16,0mm para Lamelas (corte e dobra em obra)</t>
        </is>
      </c>
      <c r="K817" s="47" t="inlineStr">
        <is>
          <t>kg</t>
        </is>
      </c>
      <c r="L817" s="48">
        <f>'Resumo Estrutura'!AA6</f>
        <v/>
      </c>
      <c r="M817" s="48">
        <f>_xlfn.XLOOKUP($J34,[4]CPU!$D$1:$D$6624,[4]CPU!$H$1:$H$6624)</f>
        <v/>
      </c>
      <c r="N817" s="49">
        <f>IF(H34="Serviço",M34*L34,IF(H34="CÉLULA CONSTRUTIVA",SUMIFS($N$8:$N$266,$B$8:$B$266,B34,$H$8:$H$266,"Serviço"),IF(H34="ETAPA",SUMIFS($N$8:$N$266,$B$8:$B$266,B34,$C$8:$C$266,C34,$H$8:$H$266,"Serviço"),IF(H34="SUBETAPA",SUMIFS($N$8:$N$266,$B$8:$B$266,B34,$C$8:$C$266,C34,$D$8:$D$266,D34,$H$8:$H$266,"Serviço"),0))))</f>
        <v/>
      </c>
      <c r="O817" s="118" t="inlineStr">
        <is>
          <t>Lamela - quantitativo de projeto</t>
        </is>
      </c>
      <c r="P817" s="114" t="n"/>
      <c r="Q817" s="52" t="n"/>
      <c r="R817" s="52" t="n"/>
      <c r="S817" s="1" t="n"/>
      <c r="T817" s="1" t="n"/>
      <c r="U817" s="1" t="n"/>
      <c r="V817" s="1" t="n"/>
      <c r="W817" s="1" t="n"/>
      <c r="X817" s="1" t="n"/>
      <c r="Y817" s="1" t="n"/>
    </row>
    <row r="818">
      <c r="A818" s="34">
        <f>IF($H35="UNIDADE CONSTRUTIVA",OFFSET(A35,-1,0)+1,LARGE(A$3:A34,1))</f>
        <v/>
      </c>
      <c r="B818" s="34">
        <f>IF(H35="UNIDADE CONSTRUTIVA",0,IF(H35="CÉLULA CONSTRUTIVA",OFFSET(B35,-1,0)+1,OFFSET(B35,-1,0)))</f>
        <v/>
      </c>
      <c r="C818" s="34">
        <f>IF(H35="CÉLULA CONSTRUTIVA",0,IF(H35="ETAPA",OFFSET(C35,-1,0)+1,OFFSET(C35,-1,0)))</f>
        <v/>
      </c>
      <c r="D818" s="35">
        <f>IF(H35="ETAPA",0,IF(H35="SUBETAPA",OFFSET(D35,-1,0)+1,OFFSET(D35,-1,0)))</f>
        <v/>
      </c>
      <c r="E818" s="35">
        <f>IF(H35="Subetapa",0,IF(H35="serviço",OFFSET(E35,-1,0)+1,OFFSET(E35,-1,0)))</f>
        <v/>
      </c>
      <c r="F818" s="113" t="n"/>
      <c r="G818" s="116" t="n"/>
      <c r="H818" s="44" t="inlineStr">
        <is>
          <t>SUBETAPA</t>
        </is>
      </c>
      <c r="I818" s="45">
        <f>IF(H35="Unidade Construtiva",TEXT(A35,"00"),IF(H35="Célula Construtiva",TEXT(B35,"00"),IF(H35="Etapa",CONCATENATE(TEXT(B35,"00"),".",TEXT(C35,"000")),IF(H35="Subetapa",CONCATENATE(TEXT(B35,"00"),".",TEXT(C35,"000"),".",TEXT(D35,"000")),IF(H35="Serviço",CONCATENATE(TEXT(B35,"00"),".",TEXT(C35,"000"),".",TEXT(D35,"000"),".",TEXT(E35,"000")),"")))))</f>
        <v/>
      </c>
      <c r="J818" s="51" t="inlineStr">
        <is>
          <t>Concreto</t>
        </is>
      </c>
      <c r="K818" s="47" t="n"/>
      <c r="L818" s="57" t="n"/>
      <c r="M818" s="57" t="n"/>
      <c r="N818" s="49">
        <f>IF(H35="Serviço",M35*L35,IF(H35="CÉLULA CONSTRUTIVA",SUMIFS($N$8:$N$266,$B$8:$B$266,B35,$H$8:$H$266,"Serviço"),IF(H35="ETAPA",SUMIFS($N$8:$N$266,$B$8:$B$266,B35,$C$8:$C$266,C35,$H$8:$H$266,"Serviço"),IF(H35="SUBETAPA",SUMIFS($N$8:$N$266,$B$8:$B$266,B35,$C$8:$C$266,C35,$D$8:$D$266,D35,$H$8:$H$266,"Serviço"),0))))</f>
        <v/>
      </c>
      <c r="O818" s="50">
        <f>N35/[4]CAPA!$C$10</f>
        <v/>
      </c>
      <c r="P818" s="114" t="n"/>
      <c r="Q818" s="52" t="n"/>
      <c r="R818" s="52" t="n"/>
      <c r="S818" s="1" t="n"/>
      <c r="T818" s="1" t="n"/>
      <c r="U818" s="1" t="n"/>
      <c r="V818" s="1" t="n"/>
      <c r="W818" s="1" t="n"/>
      <c r="X818" s="1" t="n"/>
      <c r="Y818" s="1" t="n"/>
    </row>
    <row r="819">
      <c r="A819" s="34">
        <f>IF($H36="UNIDADE CONSTRUTIVA",OFFSET(A36,-1,0)+1,LARGE(A$3:A35,1))</f>
        <v/>
      </c>
      <c r="B819" s="34">
        <f>IF(H36="UNIDADE CONSTRUTIVA",0,IF(H36="CÉLULA CONSTRUTIVA",OFFSET(B36,-1,0)+1,OFFSET(B36,-1,0)))</f>
        <v/>
      </c>
      <c r="C819" s="34">
        <f>IF(H36="CÉLULA CONSTRUTIVA",0,IF(H36="ETAPA",OFFSET(C36,-1,0)+1,OFFSET(C36,-1,0)))</f>
        <v/>
      </c>
      <c r="D819" s="35">
        <f>IF(H36="ETAPA",0,IF(H36="SUBETAPA",OFFSET(D36,-1,0)+1,OFFSET(D36,-1,0)))</f>
        <v/>
      </c>
      <c r="E819" s="35">
        <f>IF(H36="Subetapa",0,IF(H36="serviço",OFFSET(E36,-1,0)+1,OFFSET(E36,-1,0)))</f>
        <v/>
      </c>
      <c r="F819" s="113" t="n"/>
      <c r="G819" s="116" t="inlineStr">
        <is>
          <t>CONTENÇÃO</t>
        </is>
      </c>
      <c r="H819" s="44" t="inlineStr">
        <is>
          <t>SERVIÇO</t>
        </is>
      </c>
      <c r="I819" s="45">
        <f>IF(H36="Unidade Construtiva",TEXT(A36,"00"),IF(H36="Célula Construtiva",TEXT(B36,"00"),IF(H36="Etapa",CONCATENATE(TEXT(B36,"00"),".",TEXT(C36,"000")),IF(H36="Subetapa",CONCATENATE(TEXT(B36,"00"),".",TEXT(C36,"000"),".",TEXT(D36,"000")),IF(H36="Serviço",CONCATENATE(TEXT(B36,"00"),".",TEXT(C36,"000"),".",TEXT(D36,"000"),".",TEXT(E36,"000")),"")))))</f>
        <v/>
      </c>
      <c r="J819" s="51" t="inlineStr">
        <is>
          <t>Concreto Usinado bombeável para Contenções 20MPa  - incluindo serviço de bombeamento</t>
        </is>
      </c>
      <c r="K819" s="47" t="inlineStr">
        <is>
          <t>m3</t>
        </is>
      </c>
      <c r="L819" s="48">
        <f>'Resumo Estrutura'!I7</f>
        <v/>
      </c>
      <c r="M819" s="48">
        <f>_xlfn.XLOOKUP($J36,[4]CPU!$D$1:$D$6624,[4]CPU!$H$1:$H$6624)</f>
        <v/>
      </c>
      <c r="N819" s="49">
        <f>IF(H36="Serviço",M36*L36,IF(H36="CÉLULA CONSTRUTIVA",SUMIFS($N$8:$N$266,$B$8:$B$266,B36,$H$8:$H$266,"Serviço"),IF(H36="ETAPA",SUMIFS($N$8:$N$266,$B$8:$B$266,B36,$C$8:$C$266,C36,$H$8:$H$266,"Serviço"),IF(H36="SUBETAPA",SUMIFS($N$8:$N$266,$B$8:$B$266,B36,$C$8:$C$266,C36,$D$8:$D$266,D36,$H$8:$H$266,"Serviço"),0))))</f>
        <v/>
      </c>
      <c r="O819" s="118" t="inlineStr">
        <is>
          <t>Mureta guia - Estimado por ausência de quantitativo - 5% de perda</t>
        </is>
      </c>
      <c r="P819" s="114" t="n"/>
      <c r="Q819" s="52" t="n"/>
      <c r="R819" s="52" t="n"/>
      <c r="S819" s="1" t="n"/>
      <c r="T819" s="1" t="n"/>
      <c r="U819" s="1" t="n"/>
      <c r="V819" s="1" t="n"/>
      <c r="W819" s="1" t="n"/>
      <c r="X819" s="1" t="n"/>
      <c r="Y819" s="1" t="n"/>
    </row>
    <row r="820">
      <c r="A820" s="34">
        <f>IF($H37="UNIDADE CONSTRUTIVA",OFFSET(A37,-1,0)+1,LARGE(A$3:A36,1))</f>
        <v/>
      </c>
      <c r="B820" s="34">
        <f>IF(H37="UNIDADE CONSTRUTIVA",0,IF(H37="CÉLULA CONSTRUTIVA",OFFSET(B37,-1,0)+1,OFFSET(B37,-1,0)))</f>
        <v/>
      </c>
      <c r="C820" s="34">
        <f>IF(H37="CÉLULA CONSTRUTIVA",0,IF(H37="ETAPA",OFFSET(C37,-1,0)+1,OFFSET(C37,-1,0)))</f>
        <v/>
      </c>
      <c r="D820" s="35">
        <f>IF(H37="ETAPA",0,IF(H37="SUBETAPA",OFFSET(D37,-1,0)+1,OFFSET(D37,-1,0)))</f>
        <v/>
      </c>
      <c r="E820" s="35">
        <f>IF(H37="Subetapa",0,IF(H37="serviço",OFFSET(E37,-1,0)+1,OFFSET(E37,-1,0)))</f>
        <v/>
      </c>
      <c r="F820" s="113" t="n"/>
      <c r="G820" s="116" t="inlineStr">
        <is>
          <t>CONTENÇÃO</t>
        </is>
      </c>
      <c r="H820" s="44" t="inlineStr">
        <is>
          <t>SERVIÇO</t>
        </is>
      </c>
      <c r="I820" s="45">
        <f>IF(H37="Unidade Construtiva",TEXT(A37,"00"),IF(H37="Célula Construtiva",TEXT(B37,"00"),IF(H37="Etapa",CONCATENATE(TEXT(B37,"00"),".",TEXT(C37,"000")),IF(H37="Subetapa",CONCATENATE(TEXT(B37,"00"),".",TEXT(C37,"000"),".",TEXT(D37,"000")),IF(H37="Serviço",CONCATENATE(TEXT(B37,"00"),".",TEXT(C37,"000"),".",TEXT(D37,"000"),".",TEXT(E37,"000")),"")))))</f>
        <v/>
      </c>
      <c r="J820" s="51" t="inlineStr">
        <is>
          <t>Concreto Usinado bombeável para Contenções 30MPa  - incluindo serviço de bombeamento</t>
        </is>
      </c>
      <c r="K820" s="47" t="inlineStr">
        <is>
          <t>m3</t>
        </is>
      </c>
      <c r="L820" s="48">
        <f>'Resumo Estrutura'!I8</f>
        <v/>
      </c>
      <c r="M820" s="48">
        <f>_xlfn.XLOOKUP($J37,[4]CPU!$D$1:$D$6624,[4]CPU!$H$1:$H$6624)</f>
        <v/>
      </c>
      <c r="N820" s="49">
        <f>IF(H37="Serviço",M37*L37,IF(H37="CÉLULA CONSTRUTIVA",SUMIFS($N$8:$N$266,$B$8:$B$266,B37,$H$8:$H$266,"Serviço"),IF(H37="ETAPA",SUMIFS($N$8:$N$266,$B$8:$B$266,B37,$C$8:$C$266,C37,$H$8:$H$266,"Serviço"),IF(H37="SUBETAPA",SUMIFS($N$8:$N$266,$B$8:$B$266,B37,$C$8:$C$266,C37,$D$8:$D$266,D37,$H$8:$H$266,"Serviço"),0))))</f>
        <v/>
      </c>
      <c r="O820" s="118" t="inlineStr">
        <is>
          <t>Viga de coroamento - Estimado por ausência de quantitativo - 5% de perda</t>
        </is>
      </c>
      <c r="P820" s="114" t="n"/>
      <c r="Q820" s="52" t="n"/>
      <c r="R820" s="52" t="n"/>
      <c r="S820" s="1" t="n"/>
      <c r="T820" s="1" t="n"/>
      <c r="U820" s="1" t="n"/>
      <c r="V820" s="1" t="n"/>
      <c r="W820" s="1" t="n"/>
      <c r="X820" s="1" t="n"/>
      <c r="Y820" s="1" t="n"/>
    </row>
    <row r="821">
      <c r="A821" s="34">
        <f>IF($H38="UNIDADE CONSTRUTIVA",OFFSET(A38,-1,0)+1,LARGE(A$3:A37,1))</f>
        <v/>
      </c>
      <c r="B821" s="34">
        <f>IF(H38="UNIDADE CONSTRUTIVA",0,IF(H38="CÉLULA CONSTRUTIVA",OFFSET(B38,-1,0)+1,OFFSET(B38,-1,0)))</f>
        <v/>
      </c>
      <c r="C821" s="34">
        <f>IF(H38="CÉLULA CONSTRUTIVA",0,IF(H38="ETAPA",OFFSET(C38,-1,0)+1,OFFSET(C38,-1,0)))</f>
        <v/>
      </c>
      <c r="D821" s="35">
        <f>IF(H38="ETAPA",0,IF(H38="SUBETAPA",OFFSET(D38,-1,0)+1,OFFSET(D38,-1,0)))</f>
        <v/>
      </c>
      <c r="E821" s="35">
        <f>IF(H38="Subetapa",0,IF(H38="serviço",OFFSET(E38,-1,0)+1,OFFSET(E38,-1,0)))</f>
        <v/>
      </c>
      <c r="F821" s="113" t="n"/>
      <c r="G821" s="116" t="inlineStr">
        <is>
          <t>CONTENÇÃO</t>
        </is>
      </c>
      <c r="H821" s="44" t="inlineStr">
        <is>
          <t>SERVIÇO</t>
        </is>
      </c>
      <c r="I821" s="45">
        <f>IF(H38="Unidade Construtiva",TEXT(A38,"00"),IF(H38="Célula Construtiva",TEXT(B38,"00"),IF(H38="Etapa",CONCATENATE(TEXT(B38,"00"),".",TEXT(C38,"000")),IF(H38="Subetapa",CONCATENATE(TEXT(B38,"00"),".",TEXT(C38,"000"),".",TEXT(D38,"000")),IF(H38="Serviço",CONCATENATE(TEXT(B38,"00"),".",TEXT(C38,"000"),".",TEXT(D38,"000"),".",TEXT(E38,"000")),"")))))</f>
        <v/>
      </c>
      <c r="J821" s="51" t="inlineStr">
        <is>
          <t>Concreto Usinado bombeável para lamelas 30MPa  - incluindo serviço de bombeamento</t>
        </is>
      </c>
      <c r="K821" s="47" t="inlineStr">
        <is>
          <t>m3</t>
        </is>
      </c>
      <c r="L821" s="48">
        <f>'Resumo Estrutura'!I6</f>
        <v/>
      </c>
      <c r="M821" s="48">
        <f>_xlfn.XLOOKUP($J38,[4]CPU!$D$1:$D$6624,[4]CPU!$H$1:$H$6624)</f>
        <v/>
      </c>
      <c r="N821" s="49">
        <f>IF(H38="Serviço",M38*L38,IF(H38="CÉLULA CONSTRUTIVA",SUMIFS($N$8:$N$266,$B$8:$B$266,B38,$H$8:$H$266,"Serviço"),IF(H38="ETAPA",SUMIFS($N$8:$N$266,$B$8:$B$266,B38,$C$8:$C$266,C38,$H$8:$H$266,"Serviço"),IF(H38="SUBETAPA",SUMIFS($N$8:$N$266,$B$8:$B$266,B38,$C$8:$C$266,C38,$D$8:$D$266,D38,$H$8:$H$266,"Serviço"),0))))</f>
        <v/>
      </c>
      <c r="O821" s="118" t="inlineStr">
        <is>
          <t>Lamela - quantitativo de projeto - 20% de perda</t>
        </is>
      </c>
      <c r="P821" s="114" t="n"/>
      <c r="Q821" s="52" t="n"/>
      <c r="R821" s="52" t="n"/>
      <c r="S821" s="1" t="n"/>
      <c r="T821" s="1" t="n"/>
      <c r="U821" s="1" t="n"/>
      <c r="V821" s="1" t="n"/>
      <c r="W821" s="1" t="n"/>
      <c r="X821" s="1" t="n"/>
      <c r="Y821" s="1" t="n"/>
    </row>
    <row r="822">
      <c r="A822" s="34">
        <f>IF($H39="UNIDADE CONSTRUTIVA",OFFSET(A39,-1,0)+1,LARGE(A$3:A38,1))</f>
        <v/>
      </c>
      <c r="B822" s="34">
        <f>IF(H39="UNIDADE CONSTRUTIVA",0,IF(H39="CÉLULA CONSTRUTIVA",OFFSET(B39,-1,0)+1,OFFSET(B39,-1,0)))</f>
        <v/>
      </c>
      <c r="C822" s="34">
        <f>IF(H39="CÉLULA CONSTRUTIVA",0,IF(H39="ETAPA",OFFSET(C39,-1,0)+1,OFFSET(C39,-1,0)))</f>
        <v/>
      </c>
      <c r="D822" s="35">
        <f>IF(H39="ETAPA",0,IF(H39="SUBETAPA",OFFSET(D39,-1,0)+1,OFFSET(D39,-1,0)))</f>
        <v/>
      </c>
      <c r="E822" s="35">
        <f>IF(H39="Subetapa",0,IF(H39="serviço",OFFSET(E39,-1,0)+1,OFFSET(E39,-1,0)))</f>
        <v/>
      </c>
      <c r="F822" s="113" t="n"/>
      <c r="G822" s="116" t="n"/>
      <c r="H822" s="44" t="inlineStr">
        <is>
          <t>SUBETAPA</t>
        </is>
      </c>
      <c r="I822" s="45">
        <f>IF(H39="Unidade Construtiva",TEXT(A39,"00"),IF(H39="Célula Construtiva",TEXT(B39,"00"),IF(H39="Etapa",CONCATENATE(TEXT(B39,"00"),".",TEXT(C39,"000")),IF(H39="Subetapa",CONCATENATE(TEXT(B39,"00"),".",TEXT(C39,"000"),".",TEXT(D39,"000")),IF(H39="Serviço",CONCATENATE(TEXT(B39,"00"),".",TEXT(C39,"000"),".",TEXT(D39,"000"),".",TEXT(E39,"000")),"")))))</f>
        <v/>
      </c>
      <c r="J822" s="51" t="inlineStr">
        <is>
          <t>Mão de Obra</t>
        </is>
      </c>
      <c r="K822" s="47" t="n"/>
      <c r="L822" s="57" t="n"/>
      <c r="M822" s="57" t="n"/>
      <c r="N822" s="49">
        <f>IF(H39="Serviço",M39*L39,IF(H39="CÉLULA CONSTRUTIVA",SUMIFS($N$8:$N$266,$B$8:$B$266,B39,$H$8:$H$266,"Serviço"),IF(H39="ETAPA",SUMIFS($N$8:$N$266,$B$8:$B$266,B39,$C$8:$C$266,C39,$H$8:$H$266,"Serviço"),IF(H39="SUBETAPA",SUMIFS($N$8:$N$266,$B$8:$B$266,B39,$C$8:$C$266,C39,$D$8:$D$266,D39,$H$8:$H$266,"Serviço"),0))))</f>
        <v/>
      </c>
      <c r="O822" s="50">
        <f>N39/[4]CAPA!$C$10</f>
        <v/>
      </c>
      <c r="P822" s="114" t="n"/>
      <c r="Q822" s="52" t="n"/>
      <c r="R822" s="52" t="n"/>
      <c r="S822" s="1" t="n"/>
      <c r="T822" s="1" t="n"/>
      <c r="U822" s="1" t="n"/>
      <c r="V822" s="1" t="n"/>
      <c r="W822" s="1" t="n"/>
      <c r="X822" s="1" t="n"/>
      <c r="Y822" s="1" t="n"/>
    </row>
    <row r="823">
      <c r="A823" s="34">
        <f>IF($H40="UNIDADE CONSTRUTIVA",OFFSET(A40,-1,0)+1,LARGE(A$3:A39,1))</f>
        <v/>
      </c>
      <c r="B823" s="34">
        <f>IF(H40="UNIDADE CONSTRUTIVA",0,IF(H40="CÉLULA CONSTRUTIVA",OFFSET(B40,-1,0)+1,OFFSET(B40,-1,0)))</f>
        <v/>
      </c>
      <c r="C823" s="34">
        <f>IF(H40="CÉLULA CONSTRUTIVA",0,IF(H40="ETAPA",OFFSET(C40,-1,0)+1,OFFSET(C40,-1,0)))</f>
        <v/>
      </c>
      <c r="D823" s="35">
        <f>IF(H40="ETAPA",0,IF(H40="SUBETAPA",OFFSET(D40,-1,0)+1,OFFSET(D40,-1,0)))</f>
        <v/>
      </c>
      <c r="E823" s="35">
        <f>IF(H40="Subetapa",0,IF(H40="serviço",OFFSET(E40,-1,0)+1,OFFSET(E40,-1,0)))</f>
        <v/>
      </c>
      <c r="F823" s="113" t="n"/>
      <c r="G823" s="116" t="inlineStr">
        <is>
          <t>CONTENÇÃO</t>
        </is>
      </c>
      <c r="H823" s="44" t="inlineStr">
        <is>
          <t>SERVIÇO</t>
        </is>
      </c>
      <c r="I823" s="45">
        <f>IF(H40="Unidade Construtiva",TEXT(A40,"00"),IF(H40="Célula Construtiva",TEXT(B40,"00"),IF(H40="Etapa",CONCATENATE(TEXT(B40,"00"),".",TEXT(C40,"000")),IF(H40="Subetapa",CONCATENATE(TEXT(B40,"00"),".",TEXT(C40,"000"),".",TEXT(D40,"000")),IF(H40="Serviço",CONCATENATE(TEXT(B40,"00"),".",TEXT(C40,"000"),".",TEXT(D40,"000"),".",TEXT(E40,"000")),"")))))</f>
        <v/>
      </c>
      <c r="J823" s="51" t="inlineStr">
        <is>
          <t>Mão de obra de apoio para parede diafragma</t>
        </is>
      </c>
      <c r="K823" s="47" t="inlineStr">
        <is>
          <t>m2</t>
        </is>
      </c>
      <c r="L823" s="48">
        <f>L26</f>
        <v/>
      </c>
      <c r="M823" s="48">
        <f>_xlfn.XLOOKUP($J40,[4]CPU!$D$1:$D$6624,[4]CPU!$H$1:$H$6624)</f>
        <v/>
      </c>
      <c r="N823" s="49">
        <f>IF(H40="Serviço",M40*L40,IF(H40="CÉLULA CONSTRUTIVA",SUMIFS($N$8:$N$266,$B$8:$B$266,B40,$H$8:$H$266,"Serviço"),IF(H40="ETAPA",SUMIFS($N$8:$N$266,$B$8:$B$266,B40,$C$8:$C$266,C40,$H$8:$H$266,"Serviço"),IF(H40="SUBETAPA",SUMIFS($N$8:$N$266,$B$8:$B$266,B40,$C$8:$C$266,C40,$D$8:$D$266,D40,$H$8:$H$266,"Serviço"),0))))</f>
        <v/>
      </c>
      <c r="O823" s="50" t="n"/>
      <c r="P823" s="114" t="n"/>
      <c r="Q823" s="52" t="n"/>
      <c r="R823" s="52" t="n"/>
      <c r="S823" s="1" t="n"/>
      <c r="T823" s="1" t="n"/>
      <c r="U823" s="1" t="n"/>
      <c r="V823" s="1" t="n"/>
      <c r="W823" s="1" t="n"/>
      <c r="X823" s="1" t="n"/>
      <c r="Y823" s="1" t="n"/>
    </row>
    <row r="824">
      <c r="A824" s="34">
        <f>IF($H41="UNIDADE CONSTRUTIVA",OFFSET(A41,-1,0)+1,LARGE(A$3:A40,1))</f>
        <v/>
      </c>
      <c r="B824" s="34">
        <f>IF(H41="UNIDADE CONSTRUTIVA",0,IF(H41="CÉLULA CONSTRUTIVA",OFFSET(B41,-1,0)+1,OFFSET(B41,-1,0)))</f>
        <v/>
      </c>
      <c r="C824" s="34">
        <f>IF(H41="CÉLULA CONSTRUTIVA",0,IF(H41="ETAPA",OFFSET(C41,-1,0)+1,OFFSET(C41,-1,0)))</f>
        <v/>
      </c>
      <c r="D824" s="35">
        <f>IF(H41="ETAPA",0,IF(H41="SUBETAPA",OFFSET(D41,-1,0)+1,OFFSET(D41,-1,0)))</f>
        <v/>
      </c>
      <c r="E824" s="35">
        <f>IF(H41="Subetapa",0,IF(H41="serviço",OFFSET(E41,-1,0)+1,OFFSET(E41,-1,0)))</f>
        <v/>
      </c>
      <c r="F824" s="113" t="n"/>
      <c r="G824" s="116" t="inlineStr">
        <is>
          <t>CONTENÇÃO</t>
        </is>
      </c>
      <c r="H824" s="44" t="inlineStr">
        <is>
          <t>SERVIÇO</t>
        </is>
      </c>
      <c r="I824" s="45">
        <f>IF(H41="Unidade Construtiva",TEXT(A41,"00"),IF(H41="Célula Construtiva",TEXT(B41,"00"),IF(H41="Etapa",CONCATENATE(TEXT(B41,"00"),".",TEXT(C41,"000")),IF(H41="Subetapa",CONCATENATE(TEXT(B41,"00"),".",TEXT(C41,"000"),".",TEXT(D41,"000")),IF(H41="Serviço",CONCATENATE(TEXT(B41,"00"),".",TEXT(C41,"000"),".",TEXT(D41,"000"),".",TEXT(E41,"000")),"")))))</f>
        <v/>
      </c>
      <c r="J824" s="51" t="inlineStr">
        <is>
          <t>Acompanhamento Topografo - Parede Diafragma</t>
        </is>
      </c>
      <c r="K824" s="119" t="inlineStr">
        <is>
          <t>dia</t>
        </is>
      </c>
      <c r="L824" s="120" t="n">
        <v>5</v>
      </c>
      <c r="M824" s="48">
        <f>_xlfn.XLOOKUP($J41,[4]CPU!$D$1:$D$6624,[4]CPU!$H$1:$H$6624)</f>
        <v/>
      </c>
      <c r="N824" s="49">
        <f>IF(H41="Serviço",M41*L41,IF(H41="CÉLULA CONSTRUTIVA",SUMIFS($N$8:$N$266,$B$8:$B$266,B41,$H$8:$H$266,"Serviço"),IF(H41="ETAPA",SUMIFS($N$8:$N$266,$B$8:$B$266,B41,$C$8:$C$266,C41,$H$8:$H$266,"Serviço"),IF(H41="SUBETAPA",SUMIFS($N$8:$N$266,$B$8:$B$266,B41,$C$8:$C$266,C41,$D$8:$D$266,D41,$H$8:$H$266,"Serviço"),0))))</f>
        <v/>
      </c>
      <c r="O824" s="50" t="n"/>
      <c r="P824" s="114" t="n"/>
      <c r="Q824" s="52" t="n"/>
      <c r="R824" s="52" t="n"/>
      <c r="S824" s="1" t="n"/>
      <c r="T824" s="1" t="n"/>
      <c r="U824" s="1" t="n"/>
      <c r="V824" s="1" t="n"/>
      <c r="W824" s="1" t="n"/>
      <c r="X824" s="1" t="n"/>
      <c r="Y824" s="1" t="n"/>
    </row>
    <row r="825">
      <c r="A825" s="34">
        <f>IF($H42="UNIDADE CONSTRUTIVA",OFFSET(A42,-1,0)+1,LARGE(A$3:A41,1))</f>
        <v/>
      </c>
      <c r="B825" s="34">
        <f>IF(H42="UNIDADE CONSTRUTIVA",0,IF(H42="CÉLULA CONSTRUTIVA",OFFSET(B42,-1,0)+1,OFFSET(B42,-1,0)))</f>
        <v/>
      </c>
      <c r="C825" s="34">
        <f>IF(H42="CÉLULA CONSTRUTIVA",0,IF(H42="ETAPA",OFFSET(C42,-1,0)+1,OFFSET(C42,-1,0)))</f>
        <v/>
      </c>
      <c r="D825" s="35">
        <f>IF(H42="ETAPA",0,IF(H42="SUBETAPA",OFFSET(D42,-1,0)+1,OFFSET(D42,-1,0)))</f>
        <v/>
      </c>
      <c r="E825" s="35">
        <f>IF(H42="Subetapa",0,IF(H42="serviço",OFFSET(E42,-1,0)+1,OFFSET(E42,-1,0)))</f>
        <v/>
      </c>
      <c r="F825" s="113" t="n"/>
      <c r="G825" s="43" t="n"/>
      <c r="H825" s="44" t="inlineStr">
        <is>
          <t>ETAPA</t>
        </is>
      </c>
      <c r="I825" s="45">
        <f>IF(H42="Unidade Construtiva",TEXT(A42,"00"),IF(H42="Célula Construtiva",TEXT(B42,"00"),IF(H42="Etapa",CONCATENATE(TEXT(B42,"00"),".",TEXT(C42,"000")),IF(H42="Subetapa",CONCATENATE(TEXT(B42,"00"),".",TEXT(C42,"000"),".",TEXT(D42,"000")),IF(H42="Serviço",CONCATENATE(TEXT(B42,"00"),".",TEXT(C42,"000"),".",TEXT(D42,"000"),".",TEXT(E42,"000")),"")))))</f>
        <v/>
      </c>
      <c r="J825" s="51" t="inlineStr">
        <is>
          <t>PAREDE DE CONCRETO</t>
        </is>
      </c>
      <c r="K825" s="47" t="n"/>
      <c r="L825" s="48" t="n"/>
      <c r="M825" s="48" t="n"/>
      <c r="N825" s="49">
        <f>IF(H42="Serviço",M42*L42,IF(H42="CÉLULA CONSTRUTIVA",SUMIFS($N$8:$N$266,$B$8:$B$266,B42,$H$8:$H$266,"Serviço"),IF(H42="ETAPA",SUMIFS($N$8:$N$266,$B$8:$B$266,B42,$C$8:$C$266,C42,$H$8:$H$266,"Serviço"),IF(H42="SUBETAPA",SUMIFS($N$8:$N$266,$B$8:$B$266,B42,$C$8:$C$266,C42,$D$8:$D$266,D42,$H$8:$H$266,"Serviço"),0))))</f>
        <v/>
      </c>
      <c r="O825" s="50">
        <f>N42/[4]CAPA!$C$10</f>
        <v/>
      </c>
      <c r="P825" s="114" t="n"/>
      <c r="Q825" s="52" t="n"/>
      <c r="R825" s="52" t="n"/>
      <c r="S825" s="1" t="n"/>
      <c r="T825" s="1" t="n"/>
      <c r="U825" s="1" t="n"/>
      <c r="V825" s="1" t="n"/>
      <c r="W825" s="1" t="n"/>
      <c r="X825" s="1" t="n"/>
      <c r="Y825" s="1" t="n"/>
    </row>
    <row r="826">
      <c r="A826" s="34">
        <f>IF($H43="UNIDADE CONSTRUTIVA",OFFSET(A43,-1,0)+1,LARGE(A$3:A42,1))</f>
        <v/>
      </c>
      <c r="B826" s="34">
        <f>IF(H43="UNIDADE CONSTRUTIVA",0,IF(H43="CÉLULA CONSTRUTIVA",OFFSET(B43,-1,0)+1,OFFSET(B43,-1,0)))</f>
        <v/>
      </c>
      <c r="C826" s="34">
        <f>IF(H43="CÉLULA CONSTRUTIVA",0,IF(H43="ETAPA",OFFSET(C43,-1,0)+1,OFFSET(C43,-1,0)))</f>
        <v/>
      </c>
      <c r="D826" s="35">
        <f>IF(H43="ETAPA",0,IF(H43="SUBETAPA",OFFSET(D43,-1,0)+1,OFFSET(D43,-1,0)))</f>
        <v/>
      </c>
      <c r="E826" s="35">
        <f>IF(H43="Subetapa",0,IF(H43="serviço",OFFSET(E43,-1,0)+1,OFFSET(E43,-1,0)))</f>
        <v/>
      </c>
      <c r="F826" s="113" t="n"/>
      <c r="G826" s="43" t="n"/>
      <c r="H826" s="44" t="inlineStr">
        <is>
          <t>SUBETAPA</t>
        </is>
      </c>
      <c r="I826" s="45">
        <f>IF(H43="Unidade Construtiva",TEXT(A43,"00"),IF(H43="Célula Construtiva",TEXT(B43,"00"),IF(H43="Etapa",CONCATENATE(TEXT(B43,"00"),".",TEXT(C43,"000")),IF(H43="Subetapa",CONCATENATE(TEXT(B43,"00"),".",TEXT(C43,"000"),".",TEXT(D43,"000")),IF(H43="Serviço",CONCATENATE(TEXT(B43,"00"),".",TEXT(C43,"000"),".",TEXT(D43,"000"),".",TEXT(E43,"000")),"")))))</f>
        <v/>
      </c>
      <c r="J826" s="51" t="inlineStr">
        <is>
          <t>Forma</t>
        </is>
      </c>
      <c r="K826" s="47" t="n"/>
      <c r="L826" s="48" t="n"/>
      <c r="M826" s="48" t="n"/>
      <c r="N826" s="49">
        <f>IF(H43="Serviço",M43*L43,IF(H43="CÉLULA CONSTRUTIVA",SUMIFS($N$8:$N$266,$B$8:$B$266,B43,$H$8:$H$266,"Serviço"),IF(H43="ETAPA",SUMIFS($N$8:$N$266,$B$8:$B$266,B43,$C$8:$C$266,C43,$H$8:$H$266,"Serviço"),IF(H43="SUBETAPA",SUMIFS($N$8:$N$266,$B$8:$B$266,B43,$C$8:$C$266,C43,$D$8:$D$266,D43,$H$8:$H$266,"Serviço"),0))))</f>
        <v/>
      </c>
      <c r="O826" s="50">
        <f>N43/[4]CAPA!$C$10</f>
        <v/>
      </c>
      <c r="P826" s="114" t="n"/>
      <c r="Q826" s="52" t="n"/>
      <c r="R826" s="52" t="n"/>
      <c r="S826" s="1" t="n"/>
      <c r="T826" s="1" t="n"/>
      <c r="U826" s="1" t="n"/>
      <c r="V826" s="1" t="n"/>
      <c r="W826" s="1" t="n"/>
      <c r="X826" s="1" t="n"/>
      <c r="Y826" s="1" t="n"/>
    </row>
    <row r="827">
      <c r="A827" s="34">
        <f>IF($H44="UNIDADE CONSTRUTIVA",OFFSET(A44,-1,0)+1,LARGE(A$3:A43,1))</f>
        <v/>
      </c>
      <c r="B827" s="34">
        <f>IF(H44="UNIDADE CONSTRUTIVA",0,IF(H44="CÉLULA CONSTRUTIVA",OFFSET(B44,-1,0)+1,OFFSET(B44,-1,0)))</f>
        <v/>
      </c>
      <c r="C827" s="34">
        <f>IF(H44="CÉLULA CONSTRUTIVA",0,IF(H44="ETAPA",OFFSET(C44,-1,0)+1,OFFSET(C44,-1,0)))</f>
        <v/>
      </c>
      <c r="D827" s="35">
        <f>IF(H44="ETAPA",0,IF(H44="SUBETAPA",OFFSET(D44,-1,0)+1,OFFSET(D44,-1,0)))</f>
        <v/>
      </c>
      <c r="E827" s="35">
        <f>IF(H44="Subetapa",0,IF(H44="serviço",OFFSET(E44,-1,0)+1,OFFSET(E44,-1,0)))</f>
        <v/>
      </c>
      <c r="F827" s="113" t="n"/>
      <c r="G827" s="116" t="inlineStr">
        <is>
          <t>CONTENÇÃO</t>
        </is>
      </c>
      <c r="H827" s="44" t="inlineStr">
        <is>
          <t>SERVIÇO</t>
        </is>
      </c>
      <c r="I827" s="45">
        <f>IF(H44="Unidade Construtiva",TEXT(A44,"00"),IF(H44="Célula Construtiva",TEXT(B44,"00"),IF(H44="Etapa",CONCATENATE(TEXT(B44,"00"),".",TEXT(C44,"000")),IF(H44="Subetapa",CONCATENATE(TEXT(B44,"00"),".",TEXT(C44,"000"),".",TEXT(D44,"000")),IF(H44="Serviço",CONCATENATE(TEXT(B44,"00"),".",TEXT(C44,"000"),".",TEXT(D44,"000"),".",TEXT(E44,"000")),"")))))</f>
        <v/>
      </c>
      <c r="J827" s="51" t="inlineStr">
        <is>
          <t>Fôrma para Contenção, em Chapa de Madeira Compensada Plastificada, E=18mm</t>
        </is>
      </c>
      <c r="K827" s="47" t="inlineStr">
        <is>
          <t>m2</t>
        </is>
      </c>
      <c r="L827" s="48">
        <f>'Resumo Estrutura'!J9</f>
        <v/>
      </c>
      <c r="M827" s="48">
        <f>_xlfn.XLOOKUP($J44,[4]CPU!$D$1:$D$6624,[4]CPU!$H$1:$H$6624)</f>
        <v/>
      </c>
      <c r="N827" s="49">
        <f>IF(H44="Serviço",M44*L44,IF(H44="CÉLULA CONSTRUTIVA",SUMIFS($N$8:$N$266,$B$8:$B$266,B44,$H$8:$H$266,"Serviço"),IF(H44="ETAPA",SUMIFS($N$8:$N$266,$B$8:$B$266,B44,$C$8:$C$266,C44,$H$8:$H$266,"Serviço"),IF(H44="SUBETAPA",SUMIFS($N$8:$N$266,$B$8:$B$266,B44,$C$8:$C$266,C44,$D$8:$D$266,D44,$H$8:$H$266,"Serviço"),0))))</f>
        <v/>
      </c>
      <c r="O827" s="118" t="inlineStr">
        <is>
          <t>Parede de concreto - quantitativo de projeto</t>
        </is>
      </c>
      <c r="P827" s="114" t="n"/>
      <c r="Q827" s="52" t="n"/>
      <c r="R827" s="52" t="n"/>
      <c r="S827" s="1" t="n"/>
      <c r="T827" s="1" t="n"/>
      <c r="U827" s="1" t="n"/>
      <c r="V827" s="1" t="n"/>
      <c r="W827" s="1" t="n"/>
      <c r="X827" s="1" t="n"/>
      <c r="Y827" s="1" t="n"/>
    </row>
    <row r="828">
      <c r="A828" s="34">
        <f>IF($H45="UNIDADE CONSTRUTIVA",OFFSET(A45,-1,0)+1,LARGE(A$3:A44,1))</f>
        <v/>
      </c>
      <c r="B828" s="34">
        <f>IF(H45="UNIDADE CONSTRUTIVA",0,IF(H45="CÉLULA CONSTRUTIVA",OFFSET(B45,-1,0)+1,OFFSET(B45,-1,0)))</f>
        <v/>
      </c>
      <c r="C828" s="34">
        <f>IF(H45="CÉLULA CONSTRUTIVA",0,IF(H45="ETAPA",OFFSET(C45,-1,0)+1,OFFSET(C45,-1,0)))</f>
        <v/>
      </c>
      <c r="D828" s="35">
        <f>IF(H45="ETAPA",0,IF(H45="SUBETAPA",OFFSET(D45,-1,0)+1,OFFSET(D45,-1,0)))</f>
        <v/>
      </c>
      <c r="E828" s="35">
        <f>IF(H45="Subetapa",0,IF(H45="serviço",OFFSET(E45,-1,0)+1,OFFSET(E45,-1,0)))</f>
        <v/>
      </c>
      <c r="F828" s="113" t="n"/>
      <c r="G828" s="116" t="n"/>
      <c r="H828" s="44" t="inlineStr">
        <is>
          <t>SUBETAPA</t>
        </is>
      </c>
      <c r="I828" s="45">
        <f>IF(H45="Unidade Construtiva",TEXT(A45,"00"),IF(H45="Célula Construtiva",TEXT(B45,"00"),IF(H45="Etapa",CONCATENATE(TEXT(B45,"00"),".",TEXT(C45,"000")),IF(H45="Subetapa",CONCATENATE(TEXT(B45,"00"),".",TEXT(C45,"000"),".",TEXT(D45,"000")),IF(H45="Serviço",CONCATENATE(TEXT(B45,"00"),".",TEXT(C45,"000"),".",TEXT(D45,"000"),".",TEXT(E45,"000")),"")))))</f>
        <v/>
      </c>
      <c r="J828" s="51" t="inlineStr">
        <is>
          <t>Armadura</t>
        </is>
      </c>
      <c r="K828" s="47" t="n"/>
      <c r="L828" s="57" t="n"/>
      <c r="M828" s="57" t="n"/>
      <c r="N828" s="49">
        <f>IF(H45="Serviço",M45*L45,IF(H45="CÉLULA CONSTRUTIVA",SUMIFS($N$8:$N$266,$B$8:$B$266,B45,$H$8:$H$266,"Serviço"),IF(H45="ETAPA",SUMIFS($N$8:$N$266,$B$8:$B$266,B45,$C$8:$C$266,C45,$H$8:$H$266,"Serviço"),IF(H45="SUBETAPA",SUMIFS($N$8:$N$266,$B$8:$B$266,B45,$C$8:$C$266,C45,$D$8:$D$266,D45,$H$8:$H$266,"Serviço"),0))))</f>
        <v/>
      </c>
      <c r="O828" s="50">
        <f>N45/[4]CAPA!$C$10</f>
        <v/>
      </c>
      <c r="P828" s="114" t="n"/>
      <c r="Q828" s="52" t="n"/>
      <c r="R828" s="52" t="n"/>
      <c r="S828" s="1" t="n"/>
      <c r="T828" s="1" t="n"/>
      <c r="U828" s="1" t="n"/>
      <c r="V828" s="1" t="n"/>
      <c r="W828" s="1" t="n"/>
      <c r="X828" s="1" t="n"/>
      <c r="Y828" s="1" t="n"/>
    </row>
    <row r="829">
      <c r="A829" s="34">
        <f>IF($H46="UNIDADE CONSTRUTIVA",OFFSET(A46,-1,0)+1,LARGE(A$3:A45,1))</f>
        <v/>
      </c>
      <c r="B829" s="34">
        <f>IF(H46="UNIDADE CONSTRUTIVA",0,IF(H46="CÉLULA CONSTRUTIVA",OFFSET(B46,-1,0)+1,OFFSET(B46,-1,0)))</f>
        <v/>
      </c>
      <c r="C829" s="34">
        <f>IF(H46="CÉLULA CONSTRUTIVA",0,IF(H46="ETAPA",OFFSET(C46,-1,0)+1,OFFSET(C46,-1,0)))</f>
        <v/>
      </c>
      <c r="D829" s="35">
        <f>IF(H46="ETAPA",0,IF(H46="SUBETAPA",OFFSET(D46,-1,0)+1,OFFSET(D46,-1,0)))</f>
        <v/>
      </c>
      <c r="E829" s="35">
        <f>IF(H46="Subetapa",0,IF(H46="serviço",OFFSET(E46,-1,0)+1,OFFSET(E46,-1,0)))</f>
        <v/>
      </c>
      <c r="F829" s="113" t="n"/>
      <c r="G829" s="116" t="inlineStr">
        <is>
          <t>CONTENÇÃO</t>
        </is>
      </c>
      <c r="H829" s="44" t="inlineStr">
        <is>
          <t>SERVIÇO</t>
        </is>
      </c>
      <c r="I829" s="45">
        <f>IF(H46="Unidade Construtiva",TEXT(A46,"00"),IF(H46="Célula Construtiva",TEXT(B46,"00"),IF(H46="Etapa",CONCATENATE(TEXT(B46,"00"),".",TEXT(C46,"000")),IF(H46="Subetapa",CONCATENATE(TEXT(B46,"00"),".",TEXT(C46,"000"),".",TEXT(D46,"000")),IF(H46="Serviço",CONCATENATE(TEXT(B46,"00"),".",TEXT(C46,"000"),".",TEXT(D46,"000"),".",TEXT(E46,"000")),"")))))</f>
        <v/>
      </c>
      <c r="J829" s="51" t="inlineStr">
        <is>
          <t>Armação aço CA-50 ø 8,0mm para Contenções (corte e dobra em obra)</t>
        </is>
      </c>
      <c r="K829" s="47" t="inlineStr">
        <is>
          <t>kg</t>
        </is>
      </c>
      <c r="L829" s="48">
        <f>'Resumo Estrutura'!X9</f>
        <v/>
      </c>
      <c r="M829" s="48">
        <f>_xlfn.XLOOKUP($J46,[4]CPU!$D$1:$D$6624,[4]CPU!$H$1:$H$6624)</f>
        <v/>
      </c>
      <c r="N829" s="49">
        <f>IF(H46="Serviço",M46*L46,IF(H46="CÉLULA CONSTRUTIVA",SUMIFS($N$8:$N$266,$B$8:$B$266,B46,$H$8:$H$266,"Serviço"),IF(H46="ETAPA",SUMIFS($N$8:$N$266,$B$8:$B$266,B46,$C$8:$C$266,C46,$H$8:$H$266,"Serviço"),IF(H46="SUBETAPA",SUMIFS($N$8:$N$266,$B$8:$B$266,B46,$C$8:$C$266,C46,$D$8:$D$266,D46,$H$8:$H$266,"Serviço"),0))))</f>
        <v/>
      </c>
      <c r="O829" s="118" t="inlineStr">
        <is>
          <t>Parede de concreto - quantitativo de projeto</t>
        </is>
      </c>
      <c r="P829" s="114" t="n"/>
      <c r="Q829" s="52" t="n"/>
      <c r="R829" s="52" t="n"/>
      <c r="S829" s="1" t="n"/>
      <c r="T829" s="1" t="n"/>
      <c r="U829" s="1" t="n"/>
      <c r="V829" s="1" t="n"/>
      <c r="W829" s="1" t="n"/>
      <c r="X829" s="1" t="n"/>
      <c r="Y829" s="1" t="n"/>
    </row>
    <row r="830">
      <c r="A830" s="34">
        <f>IF($H47="UNIDADE CONSTRUTIVA",OFFSET(A47,-1,0)+1,LARGE(A$3:A46,1))</f>
        <v/>
      </c>
      <c r="B830" s="34">
        <f>IF(H47="UNIDADE CONSTRUTIVA",0,IF(H47="CÉLULA CONSTRUTIVA",OFFSET(B47,-1,0)+1,OFFSET(B47,-1,0)))</f>
        <v/>
      </c>
      <c r="C830" s="34">
        <f>IF(H47="CÉLULA CONSTRUTIVA",0,IF(H47="ETAPA",OFFSET(C47,-1,0)+1,OFFSET(C47,-1,0)))</f>
        <v/>
      </c>
      <c r="D830" s="35">
        <f>IF(H47="ETAPA",0,IF(H47="SUBETAPA",OFFSET(D47,-1,0)+1,OFFSET(D47,-1,0)))</f>
        <v/>
      </c>
      <c r="E830" s="35">
        <f>IF(H47="Subetapa",0,IF(H47="serviço",OFFSET(E47,-1,0)+1,OFFSET(E47,-1,0)))</f>
        <v/>
      </c>
      <c r="F830" s="113" t="n"/>
      <c r="G830" s="116" t="inlineStr">
        <is>
          <t>CONTENÇÃO</t>
        </is>
      </c>
      <c r="H830" s="44" t="inlineStr">
        <is>
          <t>SERVIÇO</t>
        </is>
      </c>
      <c r="I830" s="45">
        <f>IF(H47="Unidade Construtiva",TEXT(A47,"00"),IF(H47="Célula Construtiva",TEXT(B47,"00"),IF(H47="Etapa",CONCATENATE(TEXT(B47,"00"),".",TEXT(C47,"000")),IF(H47="Subetapa",CONCATENATE(TEXT(B47,"00"),".",TEXT(C47,"000"),".",TEXT(D47,"000")),IF(H47="Serviço",CONCATENATE(TEXT(B47,"00"),".",TEXT(C47,"000"),".",TEXT(D47,"000"),".",TEXT(E47,"000")),"")))))</f>
        <v/>
      </c>
      <c r="J830" s="51" t="inlineStr">
        <is>
          <t>Armação aço CA-50 ø 10,0mm para Contenções (corte e dobra em obra)</t>
        </is>
      </c>
      <c r="K830" s="47" t="inlineStr">
        <is>
          <t>kg</t>
        </is>
      </c>
      <c r="L830" s="48">
        <f>'Resumo Estrutura'!Y9</f>
        <v/>
      </c>
      <c r="M830" s="48">
        <f>_xlfn.XLOOKUP($J47,[4]CPU!$D$1:$D$6624,[4]CPU!$H$1:$H$6624)</f>
        <v/>
      </c>
      <c r="N830" s="49">
        <f>IF(H47="Serviço",M47*L47,IF(H47="CÉLULA CONSTRUTIVA",SUMIFS($N$8:$N$266,$B$8:$B$266,B47,$H$8:$H$266,"Serviço"),IF(H47="ETAPA",SUMIFS($N$8:$N$266,$B$8:$B$266,B47,$C$8:$C$266,C47,$H$8:$H$266,"Serviço"),IF(H47="SUBETAPA",SUMIFS($N$8:$N$266,$B$8:$B$266,B47,$C$8:$C$266,C47,$D$8:$D$266,D47,$H$8:$H$266,"Serviço"),0))))</f>
        <v/>
      </c>
      <c r="O830" s="118" t="inlineStr">
        <is>
          <t>Parede de concreto - quantitativo de projeto</t>
        </is>
      </c>
      <c r="P830" s="114" t="n"/>
      <c r="Q830" s="52" t="n"/>
      <c r="R830" s="52" t="n"/>
      <c r="S830" s="1" t="n"/>
      <c r="T830" s="1" t="n"/>
      <c r="U830" s="1" t="n"/>
      <c r="V830" s="1" t="n"/>
      <c r="W830" s="1" t="n"/>
      <c r="X830" s="1" t="n"/>
      <c r="Y830" s="1" t="n"/>
    </row>
    <row r="831">
      <c r="A831" s="34">
        <f>IF($H48="UNIDADE CONSTRUTIVA",OFFSET(A48,-1,0)+1,LARGE(A$3:A47,1))</f>
        <v/>
      </c>
      <c r="B831" s="34">
        <f>IF(H48="UNIDADE CONSTRUTIVA",0,IF(H48="CÉLULA CONSTRUTIVA",OFFSET(B48,-1,0)+1,OFFSET(B48,-1,0)))</f>
        <v/>
      </c>
      <c r="C831" s="34">
        <f>IF(H48="CÉLULA CONSTRUTIVA",0,IF(H48="ETAPA",OFFSET(C48,-1,0)+1,OFFSET(C48,-1,0)))</f>
        <v/>
      </c>
      <c r="D831" s="35">
        <f>IF(H48="ETAPA",0,IF(H48="SUBETAPA",OFFSET(D48,-1,0)+1,OFFSET(D48,-1,0)))</f>
        <v/>
      </c>
      <c r="E831" s="35">
        <f>IF(H48="Subetapa",0,IF(H48="serviço",OFFSET(E48,-1,0)+1,OFFSET(E48,-1,0)))</f>
        <v/>
      </c>
      <c r="F831" s="113" t="n"/>
      <c r="G831" s="116" t="inlineStr">
        <is>
          <t>CONTENÇÃO</t>
        </is>
      </c>
      <c r="H831" s="44" t="inlineStr">
        <is>
          <t>SERVIÇO</t>
        </is>
      </c>
      <c r="I831" s="45">
        <f>IF(H48="Unidade Construtiva",TEXT(A48,"00"),IF(H48="Célula Construtiva",TEXT(B48,"00"),IF(H48="Etapa",CONCATENATE(TEXT(B48,"00"),".",TEXT(C48,"000")),IF(H48="Subetapa",CONCATENATE(TEXT(B48,"00"),".",TEXT(C48,"000"),".",TEXT(D48,"000")),IF(H48="Serviço",CONCATENATE(TEXT(B48,"00"),".",TEXT(C48,"000"),".",TEXT(D48,"000"),".",TEXT(E48,"000")),"")))))</f>
        <v/>
      </c>
      <c r="J831" s="51" t="inlineStr">
        <is>
          <t xml:space="preserve">Armação aço CA-50 ø 12,5mm para Contenções (corte e dobra em obra) </t>
        </is>
      </c>
      <c r="K831" s="47" t="inlineStr">
        <is>
          <t>kg</t>
        </is>
      </c>
      <c r="L831" s="48">
        <f>'Resumo Estrutura'!Z9</f>
        <v/>
      </c>
      <c r="M831" s="48">
        <f>_xlfn.XLOOKUP($J48,[4]CPU!$D$1:$D$6624,[4]CPU!$H$1:$H$6624)</f>
        <v/>
      </c>
      <c r="N831" s="49">
        <f>IF(H48="Serviço",M48*L48,IF(H48="CÉLULA CONSTRUTIVA",SUMIFS($N$8:$N$266,$B$8:$B$266,B48,$H$8:$H$266,"Serviço"),IF(H48="ETAPA",SUMIFS($N$8:$N$266,$B$8:$B$266,B48,$C$8:$C$266,C48,$H$8:$H$266,"Serviço"),IF(H48="SUBETAPA",SUMIFS($N$8:$N$266,$B$8:$B$266,B48,$C$8:$C$266,C48,$D$8:$D$266,D48,$H$8:$H$266,"Serviço"),0))))</f>
        <v/>
      </c>
      <c r="O831" s="118" t="inlineStr">
        <is>
          <t>Parede de concreto - quantitativo de projeto</t>
        </is>
      </c>
      <c r="P831" s="114" t="n"/>
      <c r="Q831" s="52" t="n"/>
      <c r="R831" s="52" t="n"/>
      <c r="S831" s="1" t="n"/>
      <c r="T831" s="1" t="n"/>
      <c r="U831" s="1" t="n"/>
      <c r="V831" s="1" t="n"/>
      <c r="W831" s="1" t="n"/>
      <c r="X831" s="1" t="n"/>
      <c r="Y831" s="1" t="n"/>
    </row>
    <row r="832">
      <c r="A832" s="34">
        <f>IF($H49="UNIDADE CONSTRUTIVA",OFFSET(A49,-1,0)+1,LARGE(A$3:A48,1))</f>
        <v/>
      </c>
      <c r="B832" s="34">
        <f>IF(H49="UNIDADE CONSTRUTIVA",0,IF(H49="CÉLULA CONSTRUTIVA",OFFSET(B49,-1,0)+1,OFFSET(B49,-1,0)))</f>
        <v/>
      </c>
      <c r="C832" s="34">
        <f>IF(H49="CÉLULA CONSTRUTIVA",0,IF(H49="ETAPA",OFFSET(C49,-1,0)+1,OFFSET(C49,-1,0)))</f>
        <v/>
      </c>
      <c r="D832" s="35">
        <f>IF(H49="ETAPA",0,IF(H49="SUBETAPA",OFFSET(D49,-1,0)+1,OFFSET(D49,-1,0)))</f>
        <v/>
      </c>
      <c r="E832" s="35">
        <f>IF(H49="Subetapa",0,IF(H49="serviço",OFFSET(E49,-1,0)+1,OFFSET(E49,-1,0)))</f>
        <v/>
      </c>
      <c r="F832" s="113" t="n"/>
      <c r="G832" s="116" t="inlineStr">
        <is>
          <t>CONTENÇÃO</t>
        </is>
      </c>
      <c r="H832" s="44" t="inlineStr">
        <is>
          <t>SERVIÇO</t>
        </is>
      </c>
      <c r="I832" s="45">
        <f>IF(H49="Unidade Construtiva",TEXT(A49,"00"),IF(H49="Célula Construtiva",TEXT(B49,"00"),IF(H49="Etapa",CONCATENATE(TEXT(B49,"00"),".",TEXT(C49,"000")),IF(H49="Subetapa",CONCATENATE(TEXT(B49,"00"),".",TEXT(C49,"000"),".",TEXT(D49,"000")),IF(H49="Serviço",CONCATENATE(TEXT(B49,"00"),".",TEXT(C49,"000"),".",TEXT(D49,"000"),".",TEXT(E49,"000")),"")))))</f>
        <v/>
      </c>
      <c r="J832" s="51" t="inlineStr">
        <is>
          <t>Armação aço CA-50 ø 16,0mm para Contenções (corte e dobra em obra)</t>
        </is>
      </c>
      <c r="K832" s="47" t="inlineStr">
        <is>
          <t>kg</t>
        </is>
      </c>
      <c r="L832" s="48">
        <f>'Resumo Estrutura'!AA9</f>
        <v/>
      </c>
      <c r="M832" s="48">
        <f>_xlfn.XLOOKUP($J49,[4]CPU!$D$1:$D$6624,[4]CPU!$H$1:$H$6624)</f>
        <v/>
      </c>
      <c r="N832" s="49">
        <f>IF(H49="Serviço",M49*L49,IF(H49="CÉLULA CONSTRUTIVA",SUMIFS($N$8:$N$266,$B$8:$B$266,B49,$H$8:$H$266,"Serviço"),IF(H49="ETAPA",SUMIFS($N$8:$N$266,$B$8:$B$266,B49,$C$8:$C$266,C49,$H$8:$H$266,"Serviço"),IF(H49="SUBETAPA",SUMIFS($N$8:$N$266,$B$8:$B$266,B49,$C$8:$C$266,C49,$D$8:$D$266,D49,$H$8:$H$266,"Serviço"),0))))</f>
        <v/>
      </c>
      <c r="O832" s="118" t="inlineStr">
        <is>
          <t>Parede de concreto - quantitativo de projeto</t>
        </is>
      </c>
      <c r="P832" s="114" t="n"/>
      <c r="Q832" s="52" t="n"/>
      <c r="R832" s="52" t="n"/>
      <c r="S832" s="1" t="n"/>
      <c r="T832" s="1" t="n"/>
      <c r="U832" s="1" t="n"/>
      <c r="V832" s="1" t="n"/>
      <c r="W832" s="1" t="n"/>
      <c r="X832" s="1" t="n"/>
      <c r="Y832" s="1" t="n"/>
    </row>
    <row r="833">
      <c r="A833" s="34">
        <f>IF($H50="UNIDADE CONSTRUTIVA",OFFSET(A50,-1,0)+1,LARGE(A$3:A49,1))</f>
        <v/>
      </c>
      <c r="B833" s="34">
        <f>IF(H50="UNIDADE CONSTRUTIVA",0,IF(H50="CÉLULA CONSTRUTIVA",OFFSET(B50,-1,0)+1,OFFSET(B50,-1,0)))</f>
        <v/>
      </c>
      <c r="C833" s="34">
        <f>IF(H50="CÉLULA CONSTRUTIVA",0,IF(H50="ETAPA",OFFSET(C50,-1,0)+1,OFFSET(C50,-1,0)))</f>
        <v/>
      </c>
      <c r="D833" s="35">
        <f>IF(H50="ETAPA",0,IF(H50="SUBETAPA",OFFSET(D50,-1,0)+1,OFFSET(D50,-1,0)))</f>
        <v/>
      </c>
      <c r="E833" s="35">
        <f>IF(H50="Subetapa",0,IF(H50="serviço",OFFSET(E50,-1,0)+1,OFFSET(E50,-1,0)))</f>
        <v/>
      </c>
      <c r="F833" s="113" t="n"/>
      <c r="G833" s="116" t="n"/>
      <c r="H833" s="44" t="inlineStr">
        <is>
          <t>SUBETAPA</t>
        </is>
      </c>
      <c r="I833" s="45">
        <f>IF(H50="Unidade Construtiva",TEXT(A50,"00"),IF(H50="Célula Construtiva",TEXT(B50,"00"),IF(H50="Etapa",CONCATENATE(TEXT(B50,"00"),".",TEXT(C50,"000")),IF(H50="Subetapa",CONCATENATE(TEXT(B50,"00"),".",TEXT(C50,"000"),".",TEXT(D50,"000")),IF(H50="Serviço",CONCATENATE(TEXT(B50,"00"),".",TEXT(C50,"000"),".",TEXT(D50,"000"),".",TEXT(E50,"000")),"")))))</f>
        <v/>
      </c>
      <c r="J833" s="51" t="inlineStr">
        <is>
          <t>Concreto</t>
        </is>
      </c>
      <c r="K833" s="47" t="n"/>
      <c r="L833" s="57" t="n"/>
      <c r="M833" s="57" t="n"/>
      <c r="N833" s="49">
        <f>IF(H50="Serviço",M50*L50,IF(H50="CÉLULA CONSTRUTIVA",SUMIFS($N$8:$N$266,$B$8:$B$266,B50,$H$8:$H$266,"Serviço"),IF(H50="ETAPA",SUMIFS($N$8:$N$266,$B$8:$B$266,B50,$C$8:$C$266,C50,$H$8:$H$266,"Serviço"),IF(H50="SUBETAPA",SUMIFS($N$8:$N$266,$B$8:$B$266,B50,$C$8:$C$266,C50,$D$8:$D$266,D50,$H$8:$H$266,"Serviço"),0))))</f>
        <v/>
      </c>
      <c r="O833" s="50">
        <f>N50/[4]CAPA!$C$10</f>
        <v/>
      </c>
      <c r="P833" s="114" t="n"/>
      <c r="Q833" s="52" t="n"/>
      <c r="R833" s="52" t="n"/>
      <c r="S833" s="1" t="n"/>
      <c r="T833" s="1" t="n"/>
      <c r="U833" s="1" t="n"/>
      <c r="V833" s="1" t="n"/>
      <c r="W833" s="1" t="n"/>
      <c r="X833" s="1" t="n"/>
      <c r="Y833" s="1" t="n"/>
    </row>
    <row r="834">
      <c r="A834" s="34">
        <f>IF($H51="UNIDADE CONSTRUTIVA",OFFSET(A51,-1,0)+1,LARGE(A$3:A50,1))</f>
        <v/>
      </c>
      <c r="B834" s="34">
        <f>IF(H51="UNIDADE CONSTRUTIVA",0,IF(H51="CÉLULA CONSTRUTIVA",OFFSET(B51,-1,0)+1,OFFSET(B51,-1,0)))</f>
        <v/>
      </c>
      <c r="C834" s="34">
        <f>IF(H51="CÉLULA CONSTRUTIVA",0,IF(H51="ETAPA",OFFSET(C51,-1,0)+1,OFFSET(C51,-1,0)))</f>
        <v/>
      </c>
      <c r="D834" s="35">
        <f>IF(H51="ETAPA",0,IF(H51="SUBETAPA",OFFSET(D51,-1,0)+1,OFFSET(D51,-1,0)))</f>
        <v/>
      </c>
      <c r="E834" s="35">
        <f>IF(H51="Subetapa",0,IF(H51="serviço",OFFSET(E51,-1,0)+1,OFFSET(E51,-1,0)))</f>
        <v/>
      </c>
      <c r="F834" s="113" t="n"/>
      <c r="G834" s="116" t="inlineStr">
        <is>
          <t>CONTENÇÃO</t>
        </is>
      </c>
      <c r="H834" s="44" t="inlineStr">
        <is>
          <t>SERVIÇO</t>
        </is>
      </c>
      <c r="I834" s="45">
        <f>IF(H51="Unidade Construtiva",TEXT(A51,"00"),IF(H51="Célula Construtiva",TEXT(B51,"00"),IF(H51="Etapa",CONCATENATE(TEXT(B51,"00"),".",TEXT(C51,"000")),IF(H51="Subetapa",CONCATENATE(TEXT(B51,"00"),".",TEXT(C51,"000"),".",TEXT(D51,"000")),IF(H51="Serviço",CONCATENATE(TEXT(B51,"00"),".",TEXT(C51,"000"),".",TEXT(D51,"000"),".",TEXT(E51,"000")),"")))))</f>
        <v/>
      </c>
      <c r="J834" s="51" t="inlineStr">
        <is>
          <t>Concreto Usinado bombeável para Contenções 40MPa  - incluindo serviço de bombeamento</t>
        </is>
      </c>
      <c r="K834" s="47" t="inlineStr">
        <is>
          <t>m3</t>
        </is>
      </c>
      <c r="L834" s="48">
        <f>'Resumo Estrutura'!I9</f>
        <v/>
      </c>
      <c r="M834" s="48">
        <f>_xlfn.XLOOKUP($J51,[4]CPU!$D$1:$D$6624,[4]CPU!$H$1:$H$6624)</f>
        <v/>
      </c>
      <c r="N834" s="49">
        <f>IF(H51="Serviço",M51*L51,IF(H51="CÉLULA CONSTRUTIVA",SUMIFS($N$8:$N$266,$B$8:$B$266,B51,$H$8:$H$266,"Serviço"),IF(H51="ETAPA",SUMIFS($N$8:$N$266,$B$8:$B$266,B51,$C$8:$C$266,C51,$H$8:$H$266,"Serviço"),IF(H51="SUBETAPA",SUMIFS($N$8:$N$266,$B$8:$B$266,B51,$C$8:$C$266,C51,$D$8:$D$266,D51,$H$8:$H$266,"Serviço"),0))))</f>
        <v/>
      </c>
      <c r="O834" s="118" t="inlineStr">
        <is>
          <t>Parede de concreto - quantitativo de projeto</t>
        </is>
      </c>
      <c r="P834" s="114" t="n"/>
      <c r="Q834" s="52" t="n"/>
      <c r="R834" s="52" t="n"/>
      <c r="S834" s="1" t="n"/>
      <c r="T834" s="1" t="n"/>
      <c r="U834" s="1" t="n"/>
      <c r="V834" s="1" t="n"/>
      <c r="W834" s="1" t="n"/>
      <c r="X834" s="1" t="n"/>
      <c r="Y834" s="1" t="n"/>
    </row>
    <row r="835">
      <c r="A835" s="34">
        <f>IF($H52="UNIDADE CONSTRUTIVA",OFFSET(A52,-1,0)+1,LARGE(A$3:A51,1))</f>
        <v/>
      </c>
      <c r="B835" s="34">
        <f>IF(H52="UNIDADE CONSTRUTIVA",0,IF(H52="CÉLULA CONSTRUTIVA",OFFSET(B52,-1,0)+1,OFFSET(B52,-1,0)))</f>
        <v/>
      </c>
      <c r="C835" s="34">
        <f>IF(H52="CÉLULA CONSTRUTIVA",0,IF(H52="ETAPA",OFFSET(C52,-1,0)+1,OFFSET(C52,-1,0)))</f>
        <v/>
      </c>
      <c r="D835" s="35">
        <f>IF(H52="ETAPA",0,IF(H52="SUBETAPA",OFFSET(D52,-1,0)+1,OFFSET(D52,-1,0)))</f>
        <v/>
      </c>
      <c r="E835" s="35">
        <f>IF(H52="Subetapa",0,IF(H52="serviço",OFFSET(E52,-1,0)+1,OFFSET(E52,-1,0)))</f>
        <v/>
      </c>
      <c r="F835" s="113" t="n"/>
      <c r="G835" s="116" t="n"/>
      <c r="H835" s="44" t="inlineStr">
        <is>
          <t>SUBETAPA</t>
        </is>
      </c>
      <c r="I835" s="45">
        <f>IF(H52="Unidade Construtiva",TEXT(A52,"00"),IF(H52="Célula Construtiva",TEXT(B52,"00"),IF(H52="Etapa",CONCATENATE(TEXT(B52,"00"),".",TEXT(C52,"000")),IF(H52="Subetapa",CONCATENATE(TEXT(B52,"00"),".",TEXT(C52,"000"),".",TEXT(D52,"000")),IF(H52="Serviço",CONCATENATE(TEXT(B52,"00"),".",TEXT(C52,"000"),".",TEXT(D52,"000"),".",TEXT(E52,"000")),"")))))</f>
        <v/>
      </c>
      <c r="J835" s="51" t="inlineStr">
        <is>
          <t>Mão de Obra</t>
        </is>
      </c>
      <c r="K835" s="47" t="n"/>
      <c r="L835" s="57" t="n"/>
      <c r="M835" s="57" t="n"/>
      <c r="N835" s="49">
        <f>IF(H52="Serviço",M52*L52,IF(H52="CÉLULA CONSTRUTIVA",SUMIFS($N$8:$N$266,$B$8:$B$266,B52,$H$8:$H$266,"Serviço"),IF(H52="ETAPA",SUMIFS($N$8:$N$266,$B$8:$B$266,B52,$C$8:$C$266,C52,$H$8:$H$266,"Serviço"),IF(H52="SUBETAPA",SUMIFS($N$8:$N$266,$B$8:$B$266,B52,$C$8:$C$266,C52,$D$8:$D$266,D52,$H$8:$H$266,"Serviço"),0))))</f>
        <v/>
      </c>
      <c r="O835" s="50">
        <f>N52/[4]CAPA!$C$10</f>
        <v/>
      </c>
      <c r="P835" s="114" t="n"/>
      <c r="Q835" s="52" t="n"/>
      <c r="R835" s="52" t="n"/>
      <c r="S835" s="1" t="n"/>
      <c r="T835" s="1" t="n"/>
      <c r="U835" s="1" t="n"/>
      <c r="V835" s="1" t="n"/>
      <c r="W835" s="1" t="n"/>
      <c r="X835" s="1" t="n"/>
      <c r="Y835" s="1" t="n"/>
    </row>
    <row r="836">
      <c r="A836" s="34">
        <f>IF($H53="UNIDADE CONSTRUTIVA",OFFSET(A53,-1,0)+1,LARGE(A$3:A52,1))</f>
        <v/>
      </c>
      <c r="B836" s="34">
        <f>IF(H53="UNIDADE CONSTRUTIVA",0,IF(H53="CÉLULA CONSTRUTIVA",OFFSET(B53,-1,0)+1,OFFSET(B53,-1,0)))</f>
        <v/>
      </c>
      <c r="C836" s="34">
        <f>IF(H53="CÉLULA CONSTRUTIVA",0,IF(H53="ETAPA",OFFSET(C53,-1,0)+1,OFFSET(C53,-1,0)))</f>
        <v/>
      </c>
      <c r="D836" s="35">
        <f>IF(H53="ETAPA",0,IF(H53="SUBETAPA",OFFSET(D53,-1,0)+1,OFFSET(D53,-1,0)))</f>
        <v/>
      </c>
      <c r="E836" s="35">
        <f>IF(H53="Subetapa",0,IF(H53="serviço",OFFSET(E53,-1,0)+1,OFFSET(E53,-1,0)))</f>
        <v/>
      </c>
      <c r="F836" s="113" t="n"/>
      <c r="G836" s="116" t="inlineStr">
        <is>
          <t>CONTENÇÃO</t>
        </is>
      </c>
      <c r="H836" s="44" t="inlineStr">
        <is>
          <t>SERVIÇO</t>
        </is>
      </c>
      <c r="I836" s="45">
        <f>IF(H53="Unidade Construtiva",TEXT(A53,"00"),IF(H53="Célula Construtiva",TEXT(B53,"00"),IF(H53="Etapa",CONCATENATE(TEXT(B53,"00"),".",TEXT(C53,"000")),IF(H53="Subetapa",CONCATENATE(TEXT(B53,"00"),".",TEXT(C53,"000"),".",TEXT(D53,"000")),IF(H53="Serviço",CONCATENATE(TEXT(B53,"00"),".",TEXT(C53,"000"),".",TEXT(D53,"000"),".",TEXT(E53,"000")),"")))))</f>
        <v/>
      </c>
      <c r="J836" s="51" t="inlineStr">
        <is>
          <t>Mão de obra de obra execução de contenção em cortina de concreto</t>
        </is>
      </c>
      <c r="K836" s="47" t="inlineStr">
        <is>
          <t>m2</t>
        </is>
      </c>
      <c r="L836" s="48">
        <f>L44</f>
        <v/>
      </c>
      <c r="M836" s="48">
        <f>_xlfn.XLOOKUP($J53,[4]CPU!$D$1:$D$6624,[4]CPU!$H$1:$H$6624)</f>
        <v/>
      </c>
      <c r="N836" s="49">
        <f>IF(H53="Serviço",M53*L53,IF(H53="CÉLULA CONSTRUTIVA",SUMIFS($N$8:$N$266,$B$8:$B$266,B53,$H$8:$H$266,"Serviço"),IF(H53="ETAPA",SUMIFS($N$8:$N$266,$B$8:$B$266,B53,$C$8:$C$266,C53,$H$8:$H$266,"Serviço"),IF(H53="SUBETAPA",SUMIFS($N$8:$N$266,$B$8:$B$266,B53,$C$8:$C$266,C53,$D$8:$D$266,D53,$H$8:$H$266,"Serviço"),0))))</f>
        <v/>
      </c>
      <c r="O836" s="50" t="inlineStr">
        <is>
          <t>Atrelado a área de forma</t>
        </is>
      </c>
      <c r="P836" s="114" t="n"/>
      <c r="Q836" s="52" t="n"/>
      <c r="R836" s="52" t="n"/>
      <c r="S836" s="1" t="n"/>
      <c r="T836" s="1" t="n"/>
      <c r="U836" s="1" t="n"/>
      <c r="V836" s="1" t="n"/>
      <c r="W836" s="1" t="n"/>
      <c r="X836" s="1" t="n"/>
      <c r="Y836" s="1" t="n"/>
    </row>
    <row r="837">
      <c r="A837" s="34">
        <f>IF($H54="UNIDADE CONSTRUTIVA",OFFSET(A54,-1,0)+1,LARGE(A$3:A53,1))</f>
        <v/>
      </c>
      <c r="B837" s="34">
        <f>IF(H54="UNIDADE CONSTRUTIVA",0,IF(H54="CÉLULA CONSTRUTIVA",OFFSET(B54,-1,0)+1,OFFSET(B54,-1,0)))</f>
        <v/>
      </c>
      <c r="C837" s="34">
        <f>IF(H54="CÉLULA CONSTRUTIVA",0,IF(H54="ETAPA",OFFSET(C54,-1,0)+1,OFFSET(C54,-1,0)))</f>
        <v/>
      </c>
      <c r="D837" s="35">
        <f>IF(H54="ETAPA",0,IF(H54="SUBETAPA",OFFSET(D54,-1,0)+1,OFFSET(D54,-1,0)))</f>
        <v/>
      </c>
      <c r="E837" s="35">
        <f>IF(H54="Subetapa",0,IF(H54="serviço",OFFSET(E54,-1,0)+1,OFFSET(E54,-1,0)))</f>
        <v/>
      </c>
      <c r="F837" s="113" t="n"/>
      <c r="G837" s="116" t="inlineStr">
        <is>
          <t>CONTENÇÃO</t>
        </is>
      </c>
      <c r="H837" s="44" t="inlineStr">
        <is>
          <t>SERVIÇO</t>
        </is>
      </c>
      <c r="I837" s="45">
        <f>IF(H54="Unidade Construtiva",TEXT(A54,"00"),IF(H54="Célula Construtiva",TEXT(B54,"00"),IF(H54="Etapa",CONCATENATE(TEXT(B54,"00"),".",TEXT(C54,"000")),IF(H54="Subetapa",CONCATENATE(TEXT(B54,"00"),".",TEXT(C54,"000"),".",TEXT(D54,"000")),IF(H54="Serviço",CONCATENATE(TEXT(B54,"00"),".",TEXT(C54,"000"),".",TEXT(D54,"000"),".",TEXT(E54,"000")),"")))))</f>
        <v/>
      </c>
      <c r="J837" s="51" t="inlineStr">
        <is>
          <t>Acompanhamento Topografo - Parede Concreto</t>
        </is>
      </c>
      <c r="K837" s="119" t="inlineStr">
        <is>
          <t>dia</t>
        </is>
      </c>
      <c r="L837" s="120" t="n">
        <v>1</v>
      </c>
      <c r="M837" s="48">
        <f>_xlfn.XLOOKUP($J54,[4]CPU!$D$1:$D$6624,[4]CPU!$H$1:$H$6624)</f>
        <v/>
      </c>
      <c r="N837" s="49">
        <f>IF(H54="Serviço",M54*L54,IF(H54="CÉLULA CONSTRUTIVA",SUMIFS($N$8:$N$266,$B$8:$B$266,B54,$H$8:$H$266,"Serviço"),IF(H54="ETAPA",SUMIFS($N$8:$N$266,$B$8:$B$266,B54,$C$8:$C$266,C54,$H$8:$H$266,"Serviço"),IF(H54="SUBETAPA",SUMIFS($N$8:$N$266,$B$8:$B$266,B54,$C$8:$C$266,C54,$D$8:$D$266,D54,$H$8:$H$266,"Serviço"),0))))</f>
        <v/>
      </c>
      <c r="O837" s="50" t="n"/>
      <c r="P837" s="114" t="n"/>
      <c r="Q837" s="52" t="n"/>
      <c r="R837" s="52" t="n"/>
      <c r="S837" s="1" t="n"/>
      <c r="T837" s="1" t="n"/>
      <c r="U837" s="1" t="n"/>
      <c r="V837" s="1" t="n"/>
      <c r="W837" s="1" t="n"/>
      <c r="X837" s="1" t="n"/>
      <c r="Y837" s="1" t="n"/>
    </row>
    <row r="838">
      <c r="A838" s="34">
        <f>IF($H55="UNIDADE CONSTRUTIVA",OFFSET(A55,-1,0)+1,LARGE(A$3:A54,1))</f>
        <v/>
      </c>
      <c r="B838" s="34">
        <f>IF(H55="UNIDADE CONSTRUTIVA",0,IF(H55="CÉLULA CONSTRUTIVA",OFFSET(B55,-1,0)+1,OFFSET(B55,-1,0)))</f>
        <v/>
      </c>
      <c r="C838" s="34">
        <f>IF(H55="CÉLULA CONSTRUTIVA",0,IF(H55="ETAPA",OFFSET(C55,-1,0)+1,OFFSET(C55,-1,0)))</f>
        <v/>
      </c>
      <c r="D838" s="35">
        <f>IF(H55="ETAPA",0,IF(H55="SUBETAPA",OFFSET(D55,-1,0)+1,OFFSET(D55,-1,0)))</f>
        <v/>
      </c>
      <c r="E838" s="35">
        <f>IF(H55="Subetapa",0,IF(H55="serviço",OFFSET(E55,-1,0)+1,OFFSET(E55,-1,0)))</f>
        <v/>
      </c>
      <c r="F838" s="113" t="n"/>
      <c r="G838" s="43" t="n"/>
      <c r="H838" s="44" t="inlineStr">
        <is>
          <t>CÉLULA CONSTRUTIVA</t>
        </is>
      </c>
      <c r="I838" s="45">
        <f>IF(H55="Unidade Construtiva",TEXT(A55,"00"),IF(H55="Célula Construtiva",TEXT(B55,"00"),IF(H55="Etapa",CONCATENATE(TEXT(B55,"00"),".",TEXT(C55,"000")),IF(H55="Subetapa",CONCATENATE(TEXT(B55,"00"),".",TEXT(C55,"000"),".",TEXT(D55,"000")),IF(H55="Serviço",CONCATENATE(TEXT(B55,"00"),".",TEXT(C55,"000"),".",TEXT(D55,"000"),".",TEXT(E55,"000")),"")))))</f>
        <v/>
      </c>
      <c r="J838" s="51" t="inlineStr">
        <is>
          <t>INFRAESTRUTURA</t>
        </is>
      </c>
      <c r="K838" s="47" t="n"/>
      <c r="L838" s="48" t="n"/>
      <c r="M838" s="48" t="n"/>
      <c r="N838" s="49">
        <f>IF(H55="Serviço",M55*L55,IF(H55="CÉLULA CONSTRUTIVA",SUMIFS($N$8:$N$155,$B$8:$B$155,B55,$H$8:$H$155,"Serviço"),IF(H55="ETAPA",SUMIFS($N$8:$N$155,$B$8:$B$155,B55,$C$8:$C$155,C55,$H$8:$H$155,"Serviço"),IF(H55="SUBETAPA",SUMIFS($N$8:$N$155,$B$8:$B$155,B55,$C$8:$C$155,C55,$D$8:$D$155,D55,$H$8:$H$155,"Serviço"),0))))</f>
        <v/>
      </c>
      <c r="O838" s="50">
        <f>N55/'[5]Obra '!$E$9</f>
        <v/>
      </c>
      <c r="P838" s="114" t="n"/>
      <c r="Q838" s="52" t="n"/>
      <c r="R838" s="52" t="n"/>
      <c r="S838" s="1" t="n"/>
      <c r="T838" s="1" t="n"/>
      <c r="U838" s="1" t="n"/>
      <c r="V838" s="1" t="n"/>
      <c r="W838" s="1" t="n"/>
      <c r="X838" s="1" t="n"/>
      <c r="Y838" s="1" t="n"/>
    </row>
    <row r="839">
      <c r="A839" s="34">
        <f>IF($H56="UNIDADE CONSTRUTIVA",OFFSET(A56,-1,0)+1,LARGE(A$3:A55,1))</f>
        <v/>
      </c>
      <c r="B839" s="34">
        <f>IF(H56="UNIDADE CONSTRUTIVA",0,IF(H56="CÉLULA CONSTRUTIVA",OFFSET(B56,-1,0)+1,OFFSET(B56,-1,0)))</f>
        <v/>
      </c>
      <c r="C839" s="34">
        <f>IF(H56="CÉLULA CONSTRUTIVA",0,IF(H56="ETAPA",OFFSET(C56,-1,0)+1,OFFSET(C56,-1,0)))</f>
        <v/>
      </c>
      <c r="D839" s="35">
        <f>IF(H56="ETAPA",0,IF(H56="SUBETAPA",OFFSET(D56,-1,0)+1,OFFSET(D56,-1,0)))</f>
        <v/>
      </c>
      <c r="E839" s="35">
        <f>IF(H56="Subetapa",0,IF(H56="serviço",OFFSET(E56,-1,0)+1,OFFSET(E56,-1,0)))</f>
        <v/>
      </c>
      <c r="F839" s="113" t="n"/>
      <c r="G839" s="43" t="n"/>
      <c r="H839" s="44" t="inlineStr">
        <is>
          <t>ETAPA</t>
        </is>
      </c>
      <c r="I839" s="45">
        <f>IF(H56="Unidade Construtiva",TEXT(A56,"00"),IF(H56="Célula Construtiva",TEXT(B56,"00"),IF(H56="Etapa",CONCATENATE(TEXT(B56,"00"),".",TEXT(C56,"000")),IF(H56="Subetapa",CONCATENATE(TEXT(B56,"00"),".",TEXT(C56,"000"),".",TEXT(D56,"000")),IF(H56="Serviço",CONCATENATE(TEXT(B56,"00"),".",TEXT(C56,"000"),".",TEXT(D56,"000"),".",TEXT(E56,"000")),"")))))</f>
        <v/>
      </c>
      <c r="J839" s="51" t="inlineStr">
        <is>
          <t>FUNDAÇÃO PROFUNDA</t>
        </is>
      </c>
      <c r="K839" s="47" t="n"/>
      <c r="L839" s="48" t="n"/>
      <c r="M839" s="48" t="n"/>
      <c r="N839" s="49">
        <f>IF(H56="Serviço",M56*L56,IF(H56="CÉLULA CONSTRUTIVA",SUMIFS($N$8:$N$155,$B$8:$B$155,B56,$H$8:$H$155,"Serviço"),IF(H56="ETAPA",SUMIFS($N$8:$N$155,$B$8:$B$155,B56,$C$8:$C$155,C56,$H$8:$H$155,"Serviço"),IF(H56="SUBETAPA",SUMIFS($N$8:$N$155,$B$8:$B$155,B56,$C$8:$C$155,C56,$D$8:$D$155,D56,$H$8:$H$155,"Serviço"),0))))</f>
        <v/>
      </c>
      <c r="O839" s="50">
        <f>N56/[4]CAPA!$C$10</f>
        <v/>
      </c>
      <c r="P839" s="114" t="n"/>
      <c r="Q839" s="52" t="n"/>
      <c r="R839" s="52" t="n"/>
      <c r="S839" s="1" t="n"/>
      <c r="T839" s="1" t="n"/>
      <c r="U839" s="1" t="n"/>
      <c r="V839" s="1" t="n"/>
      <c r="W839" s="1" t="n"/>
      <c r="X839" s="1" t="n"/>
      <c r="Y839" s="1" t="n"/>
    </row>
    <row r="840">
      <c r="A840" s="34">
        <f>IF($H57="UNIDADE CONSTRUTIVA",OFFSET(A57,-1,0)+1,LARGE(A$3:A56,1))</f>
        <v/>
      </c>
      <c r="B840" s="34">
        <f>IF(H57="UNIDADE CONSTRUTIVA",0,IF(H57="CÉLULA CONSTRUTIVA",OFFSET(B57,-1,0)+1,OFFSET(B57,-1,0)))</f>
        <v/>
      </c>
      <c r="C840" s="34">
        <f>IF(H57="CÉLULA CONSTRUTIVA",0,IF(H57="ETAPA",OFFSET(C57,-1,0)+1,OFFSET(C57,-1,0)))</f>
        <v/>
      </c>
      <c r="D840" s="35">
        <f>IF(H57="ETAPA",0,IF(H57="SUBETAPA",OFFSET(D57,-1,0)+1,OFFSET(D57,-1,0)))</f>
        <v/>
      </c>
      <c r="E840" s="35">
        <f>IF(H57="Subetapa",0,IF(H57="serviço",OFFSET(E57,-1,0)+1,OFFSET(E57,-1,0)))</f>
        <v/>
      </c>
      <c r="F840" s="113" t="n"/>
      <c r="G840" s="43" t="n"/>
      <c r="H840" s="44" t="inlineStr">
        <is>
          <t>SUBETAPA</t>
        </is>
      </c>
      <c r="I840" s="45">
        <f>IF(H57="Unidade Construtiva",TEXT(A57,"00"),IF(H57="Célula Construtiva",TEXT(B57,"00"),IF(H57="Etapa",CONCATENATE(TEXT(B57,"00"),".",TEXT(C57,"000")),IF(H57="Subetapa",CONCATENATE(TEXT(B57,"00"),".",TEXT(C57,"000"),".",TEXT(D57,"000")),IF(H57="Serviço",CONCATENATE(TEXT(B57,"00"),".",TEXT(C57,"000"),".",TEXT(D57,"000"),".",TEXT(E57,"000")),"")))))</f>
        <v/>
      </c>
      <c r="J840" s="51" t="inlineStr">
        <is>
          <t>Perfuração</t>
        </is>
      </c>
      <c r="K840" s="47" t="n"/>
      <c r="L840" s="48" t="n"/>
      <c r="M840" s="48" t="n"/>
      <c r="N840" s="49">
        <f>IF(H57="Serviço",M57*L57,IF(H57="CÉLULA CONSTRUTIVA",SUMIFS($N$8:$N$155,$B$8:$B$155,B57,$H$8:$H$155,"Serviço"),IF(H57="ETAPA",SUMIFS($N$8:$N$155,$B$8:$B$155,B57,$C$8:$C$155,C57,$H$8:$H$155,"Serviço"),IF(H57="SUBETAPA",SUMIFS($N$8:$N$155,$B$8:$B$155,B57,$C$8:$C$155,C57,$D$8:$D$155,D57,$H$8:$H$155,"Serviço"),0))))</f>
        <v/>
      </c>
      <c r="O840" s="50">
        <f>N57/[4]CAPA!$C$10</f>
        <v/>
      </c>
      <c r="P840" s="114" t="n"/>
      <c r="Q840" s="52" t="n"/>
      <c r="R840" s="52" t="n"/>
      <c r="S840" s="1" t="n"/>
      <c r="T840" s="1" t="n"/>
      <c r="U840" s="1" t="n"/>
      <c r="V840" s="1" t="n"/>
      <c r="W840" s="1" t="n"/>
      <c r="X840" s="1" t="n"/>
      <c r="Y840" s="1" t="n"/>
    </row>
    <row r="841">
      <c r="A841" s="34">
        <f>IF($H58="UNIDADE CONSTRUTIVA",OFFSET(A58,-1,0)+1,LARGE(A$3:A57,1))</f>
        <v/>
      </c>
      <c r="B841" s="34">
        <f>IF(H58="UNIDADE CONSTRUTIVA",0,IF(H58="CÉLULA CONSTRUTIVA",OFFSET(B58,-1,0)+1,OFFSET(B58,-1,0)))</f>
        <v/>
      </c>
      <c r="C841" s="34">
        <f>IF(H58="CÉLULA CONSTRUTIVA",0,IF(H58="ETAPA",OFFSET(C58,-1,0)+1,OFFSET(C58,-1,0)))</f>
        <v/>
      </c>
      <c r="D841" s="35">
        <f>IF(H58="ETAPA",0,IF(H58="SUBETAPA",OFFSET(D58,-1,0)+1,OFFSET(D58,-1,0)))</f>
        <v/>
      </c>
      <c r="E841" s="35">
        <f>IF(H58="Subetapa",0,IF(H58="serviço",OFFSET(E58,-1,0)+1,OFFSET(E58,-1,0)))</f>
        <v/>
      </c>
      <c r="F841" s="113" t="n"/>
      <c r="G841" s="116" t="inlineStr">
        <is>
          <t>INFRAESTRUTURA</t>
        </is>
      </c>
      <c r="H841" s="44" t="inlineStr">
        <is>
          <t>SERVIÇO</t>
        </is>
      </c>
      <c r="I841" s="45">
        <f>IF(H58="Unidade Construtiva",TEXT(A58,"00"),IF(H58="Célula Construtiva",TEXT(B58,"00"),IF(H58="Etapa",CONCATENATE(TEXT(B58,"00"),".",TEXT(C58,"000")),IF(H58="Subetapa",CONCATENATE(TEXT(B58,"00"),".",TEXT(C58,"000"),".",TEXT(D58,"000")),IF(H58="Serviço",CONCATENATE(TEXT(B58,"00"),".",TEXT(C58,"000"),".",TEXT(D58,"000"),".",TEXT(E58,"000")),"")))))</f>
        <v/>
      </c>
      <c r="J841" s="51" t="inlineStr">
        <is>
          <t>Execucao Estaca Helice Continua 060Cm</t>
        </is>
      </c>
      <c r="K841" s="47" t="inlineStr">
        <is>
          <t>m</t>
        </is>
      </c>
      <c r="L841" s="48">
        <f>Estacas!H7</f>
        <v/>
      </c>
      <c r="M841" s="48">
        <f>_xlfn.XLOOKUP($J58,[4]CPU!$D$1:$D$6624,[4]CPU!$H$1:$H$6624)</f>
        <v/>
      </c>
      <c r="N841" s="49">
        <f>IF(H58="Serviço",M58*L58,IF(H58="CÉLULA CONSTRUTIVA",SUMIFS($N$8:$N$155,$B$8:$B$155,B58,$H$8:$H$155,"Serviço"),IF(H58="ETAPA",SUMIFS($N$8:$N$155,$B$8:$B$155,B58,$C$8:$C$155,C58,$H$8:$H$155,"Serviço"),IF(H58="SUBETAPA",SUMIFS($N$8:$N$155,$B$8:$B$155,B58,$C$8:$C$155,C58,$D$8:$D$155,D58,$H$8:$H$155,"Serviço"),0))))</f>
        <v/>
      </c>
      <c r="O841" s="50" t="inlineStr">
        <is>
          <t>Comprimento médio adotado como 15m por ausência de detalhamemento</t>
        </is>
      </c>
      <c r="P841" s="114" t="n"/>
      <c r="Q841" s="52" t="n"/>
      <c r="R841" s="52" t="n"/>
      <c r="S841" s="1" t="n"/>
      <c r="T841" s="1" t="n"/>
      <c r="U841" s="1" t="n"/>
      <c r="V841" s="1" t="n"/>
      <c r="W841" s="1" t="n"/>
      <c r="X841" s="1" t="n"/>
      <c r="Y841" s="1" t="n"/>
    </row>
    <row r="842">
      <c r="A842" s="34">
        <f>IF($H59="UNIDADE CONSTRUTIVA",OFFSET(A59,-1,0)+1,LARGE(A$3:A58,1))</f>
        <v/>
      </c>
      <c r="B842" s="34">
        <f>IF(H59="UNIDADE CONSTRUTIVA",0,IF(H59="CÉLULA CONSTRUTIVA",OFFSET(B59,-1,0)+1,OFFSET(B59,-1,0)))</f>
        <v/>
      </c>
      <c r="C842" s="34">
        <f>IF(H59="CÉLULA CONSTRUTIVA",0,IF(H59="ETAPA",OFFSET(C59,-1,0)+1,OFFSET(C59,-1,0)))</f>
        <v/>
      </c>
      <c r="D842" s="35">
        <f>IF(H59="ETAPA",0,IF(H59="SUBETAPA",OFFSET(D59,-1,0)+1,OFFSET(D59,-1,0)))</f>
        <v/>
      </c>
      <c r="E842" s="35">
        <f>IF(H59="Subetapa",0,IF(H59="serviço",OFFSET(E59,-1,0)+1,OFFSET(E59,-1,0)))</f>
        <v/>
      </c>
      <c r="F842" s="113" t="n"/>
      <c r="G842" s="116" t="inlineStr">
        <is>
          <t>INFRAESTRUTURA</t>
        </is>
      </c>
      <c r="H842" s="44" t="inlineStr">
        <is>
          <t>SERVIÇO</t>
        </is>
      </c>
      <c r="I842" s="45">
        <f>IF(H59="Unidade Construtiva",TEXT(A59,"00"),IF(H59="Célula Construtiva",TEXT(B59,"00"),IF(H59="Etapa",CONCATENATE(TEXT(B59,"00"),".",TEXT(C59,"000")),IF(H59="Subetapa",CONCATENATE(TEXT(B59,"00"),".",TEXT(C59,"000"),".",TEXT(D59,"000")),IF(H59="Serviço",CONCATENATE(TEXT(B59,"00"),".",TEXT(C59,"000"),".",TEXT(D59,"000"),".",TEXT(E59,"000")),"")))))</f>
        <v/>
      </c>
      <c r="J842" s="51" t="inlineStr">
        <is>
          <t>Execucao Estaca Helice Continua 070Cm</t>
        </is>
      </c>
      <c r="K842" s="47" t="inlineStr">
        <is>
          <t>m</t>
        </is>
      </c>
      <c r="L842" s="48">
        <f>Estacas!H8</f>
        <v/>
      </c>
      <c r="M842" s="48">
        <f>_xlfn.XLOOKUP($J59,[4]CPU!$D$1:$D$6624,[4]CPU!$H$1:$H$6624)</f>
        <v/>
      </c>
      <c r="N842" s="49">
        <f>IF(H59="Serviço",M59*L59,IF(H59="CÉLULA CONSTRUTIVA",SUMIFS($N$8:$N$155,$B$8:$B$155,B59,$H$8:$H$155,"Serviço"),IF(H59="ETAPA",SUMIFS($N$8:$N$155,$B$8:$B$155,B59,$C$8:$C$155,C59,$H$8:$H$155,"Serviço"),IF(H59="SUBETAPA",SUMIFS($N$8:$N$155,$B$8:$B$155,B59,$C$8:$C$155,C59,$D$8:$D$155,D59,$H$8:$H$155,"Serviço"),0))))</f>
        <v/>
      </c>
      <c r="O842" s="50" t="inlineStr">
        <is>
          <t>Comprimento médio adotado como 15m por ausência de detalhamemento</t>
        </is>
      </c>
      <c r="P842" s="114" t="n"/>
      <c r="Q842" s="52" t="n"/>
      <c r="R842" s="52" t="n"/>
      <c r="S842" s="1" t="n"/>
      <c r="T842" s="1" t="n"/>
      <c r="U842" s="1" t="n"/>
      <c r="V842" s="1" t="n"/>
      <c r="W842" s="1" t="n"/>
      <c r="X842" s="1" t="n"/>
      <c r="Y842" s="1" t="n"/>
    </row>
    <row r="843">
      <c r="A843" s="34">
        <f>IF($H60="UNIDADE CONSTRUTIVA",OFFSET(A60,-1,0)+1,LARGE(A$3:A59,1))</f>
        <v/>
      </c>
      <c r="B843" s="34">
        <f>IF(H60="UNIDADE CONSTRUTIVA",0,IF(H60="CÉLULA CONSTRUTIVA",OFFSET(B60,-1,0)+1,OFFSET(B60,-1,0)))</f>
        <v/>
      </c>
      <c r="C843" s="34">
        <f>IF(H60="CÉLULA CONSTRUTIVA",0,IF(H60="ETAPA",OFFSET(C60,-1,0)+1,OFFSET(C60,-1,0)))</f>
        <v/>
      </c>
      <c r="D843" s="35">
        <f>IF(H60="ETAPA",0,IF(H60="SUBETAPA",OFFSET(D60,-1,0)+1,OFFSET(D60,-1,0)))</f>
        <v/>
      </c>
      <c r="E843" s="35">
        <f>IF(H60="Subetapa",0,IF(H60="serviço",OFFSET(E60,-1,0)+1,OFFSET(E60,-1,0)))</f>
        <v/>
      </c>
      <c r="F843" s="113" t="n"/>
      <c r="G843" s="116" t="inlineStr">
        <is>
          <t>INFRAESTRUTURA</t>
        </is>
      </c>
      <c r="H843" s="44" t="inlineStr">
        <is>
          <t>SERVIÇO</t>
        </is>
      </c>
      <c r="I843" s="45">
        <f>IF(H60="Unidade Construtiva",TEXT(A60,"00"),IF(H60="Célula Construtiva",TEXT(B60,"00"),IF(H60="Etapa",CONCATENATE(TEXT(B60,"00"),".",TEXT(C60,"000")),IF(H60="Subetapa",CONCATENATE(TEXT(B60,"00"),".",TEXT(C60,"000"),".",TEXT(D60,"000")),IF(H60="Serviço",CONCATENATE(TEXT(B60,"00"),".",TEXT(C60,"000"),".",TEXT(D60,"000"),".",TEXT(E60,"000")),"")))))</f>
        <v/>
      </c>
      <c r="J843" s="51" t="inlineStr">
        <is>
          <t xml:space="preserve">	Mobilização e desmobilização de equipamentos - Para execução de estaca hélice</t>
        </is>
      </c>
      <c r="K843" s="47" t="inlineStr">
        <is>
          <t>vb</t>
        </is>
      </c>
      <c r="L843" s="48" t="n">
        <v>1</v>
      </c>
      <c r="M843" s="48">
        <f>_xlfn.XLOOKUP($J60,[4]CPU!$D$1:$D$6624,[4]CPU!$H$1:$H$6624)</f>
        <v/>
      </c>
      <c r="N843" s="49">
        <f>IF(H60="Serviço",M60*L60,IF(H60="CÉLULA CONSTRUTIVA",SUMIFS($N$8:$N$155,$B$8:$B$155,B60,$H$8:$H$155,"Serviço"),IF(H60="ETAPA",SUMIFS($N$8:$N$155,$B$8:$B$155,B60,$C$8:$C$155,C60,$H$8:$H$155,"Serviço"),IF(H60="SUBETAPA",SUMIFS($N$8:$N$155,$B$8:$B$155,B60,$C$8:$C$155,C60,$D$8:$D$155,D60,$H$8:$H$155,"Serviço"),0))))</f>
        <v/>
      </c>
      <c r="O843" s="50" t="n"/>
      <c r="P843" s="114" t="n"/>
      <c r="Q843" s="52" t="n"/>
      <c r="R843" s="52" t="n"/>
      <c r="S843" s="1" t="n"/>
      <c r="T843" s="1" t="n"/>
      <c r="U843" s="1" t="n"/>
      <c r="V843" s="1" t="n"/>
      <c r="W843" s="1" t="n"/>
      <c r="X843" s="1" t="n"/>
      <c r="Y843" s="1" t="n"/>
    </row>
    <row r="844">
      <c r="A844" s="34">
        <f>IF($H61="UNIDADE CONSTRUTIVA",OFFSET(A61,-1,0)+1,LARGE(A$3:A60,1))</f>
        <v/>
      </c>
      <c r="B844" s="34">
        <f>IF(H61="UNIDADE CONSTRUTIVA",0,IF(H61="CÉLULA CONSTRUTIVA",OFFSET(B61,-1,0)+1,OFFSET(B61,-1,0)))</f>
        <v/>
      </c>
      <c r="C844" s="34">
        <f>IF(H61="CÉLULA CONSTRUTIVA",0,IF(H61="ETAPA",OFFSET(C61,-1,0)+1,OFFSET(C61,-1,0)))</f>
        <v/>
      </c>
      <c r="D844" s="35">
        <f>IF(H61="ETAPA",0,IF(H61="SUBETAPA",OFFSET(D61,-1,0)+1,OFFSET(D61,-1,0)))</f>
        <v/>
      </c>
      <c r="E844" s="35">
        <f>IF(H61="Subetapa",0,IF(H61="serviço",OFFSET(E61,-1,0)+1,OFFSET(E61,-1,0)))</f>
        <v/>
      </c>
      <c r="F844" s="113" t="n"/>
      <c r="G844" s="116" t="n"/>
      <c r="H844" s="44" t="inlineStr">
        <is>
          <t>SUBETAPA</t>
        </is>
      </c>
      <c r="I844" s="45">
        <f>IF(H61="Unidade Construtiva",TEXT(A61,"00"),IF(H61="Célula Construtiva",TEXT(B61,"00"),IF(H61="Etapa",CONCATENATE(TEXT(B61,"00"),".",TEXT(C61,"000")),IF(H61="Subetapa",CONCATENATE(TEXT(B61,"00"),".",TEXT(C61,"000"),".",TEXT(D61,"000")),IF(H61="Serviço",CONCATENATE(TEXT(B61,"00"),".",TEXT(C61,"000"),".",TEXT(D61,"000"),".",TEXT(E61,"000")),"")))))</f>
        <v/>
      </c>
      <c r="J844" s="51" t="inlineStr">
        <is>
          <t>Armadura</t>
        </is>
      </c>
      <c r="K844" s="47" t="n"/>
      <c r="L844" s="57" t="n"/>
      <c r="M844" s="57" t="n"/>
      <c r="N844" s="49">
        <f>IF(H61="Serviço",M61*L61,IF(H61="CÉLULA CONSTRUTIVA",SUMIFS($N$8:$N$155,$B$8:$B$155,B61,$H$8:$H$155,"Serviço"),IF(H61="ETAPA",SUMIFS($N$8:$N$155,$B$8:$B$155,B61,$C$8:$C$155,C61,$H$8:$H$155,"Serviço"),IF(H61="SUBETAPA",SUMIFS($N$8:$N$155,$B$8:$B$155,B61,$C$8:$C$155,C61,$D$8:$D$155,D61,$H$8:$H$155,"Serviço"),0))))</f>
        <v/>
      </c>
      <c r="O844" s="50">
        <f>N61/[4]CAPA!$C$10</f>
        <v/>
      </c>
      <c r="P844" s="114" t="n"/>
      <c r="Q844" s="52" t="n"/>
      <c r="R844" s="52" t="n"/>
      <c r="S844" s="1" t="n"/>
      <c r="T844" s="1" t="n"/>
      <c r="U844" s="1" t="n"/>
      <c r="V844" s="1" t="n"/>
      <c r="W844" s="1" t="n"/>
      <c r="X844" s="1" t="n"/>
      <c r="Y844" s="1" t="n"/>
    </row>
    <row r="845">
      <c r="A845" s="34">
        <f>IF($H62="UNIDADE CONSTRUTIVA",OFFSET(A62,-1,0)+1,LARGE(A$3:A61,1))</f>
        <v/>
      </c>
      <c r="B845" s="34">
        <f>IF(H62="UNIDADE CONSTRUTIVA",0,IF(H62="CÉLULA CONSTRUTIVA",OFFSET(B62,-1,0)+1,OFFSET(B62,-1,0)))</f>
        <v/>
      </c>
      <c r="C845" s="34">
        <f>IF(H62="CÉLULA CONSTRUTIVA",0,IF(H62="ETAPA",OFFSET(C62,-1,0)+1,OFFSET(C62,-1,0)))</f>
        <v/>
      </c>
      <c r="D845" s="35">
        <f>IF(H62="ETAPA",0,IF(H62="SUBETAPA",OFFSET(D62,-1,0)+1,OFFSET(D62,-1,0)))</f>
        <v/>
      </c>
      <c r="E845" s="35">
        <f>IF(H62="Subetapa",0,IF(H62="serviço",OFFSET(E62,-1,0)+1,OFFSET(E62,-1,0)))</f>
        <v/>
      </c>
      <c r="F845" s="113" t="n"/>
      <c r="G845" s="116" t="inlineStr">
        <is>
          <t>INFRAESTRUTURA</t>
        </is>
      </c>
      <c r="H845" s="44" t="inlineStr">
        <is>
          <t>SERVIÇO</t>
        </is>
      </c>
      <c r="I845" s="45">
        <f>IF(H62="Unidade Construtiva",TEXT(A62,"00"),IF(H62="Célula Construtiva",TEXT(B62,"00"),IF(H62="Etapa",CONCATENATE(TEXT(B62,"00"),".",TEXT(C62,"000")),IF(H62="Subetapa",CONCATENATE(TEXT(B62,"00"),".",TEXT(C62,"000"),".",TEXT(D62,"000")),IF(H62="Serviço",CONCATENATE(TEXT(B62,"00"),".",TEXT(C62,"000"),".",TEXT(D62,"000"),".",TEXT(E62,"000")),"")))))</f>
        <v/>
      </c>
      <c r="J845" s="51" t="inlineStr">
        <is>
          <t>Armação aço CA-50 ø 6,3mm para estaca (corte e dobra em obra)</t>
        </is>
      </c>
      <c r="K845" s="47" t="inlineStr">
        <is>
          <t>kg</t>
        </is>
      </c>
      <c r="L845" s="48">
        <f>Estacas!M6</f>
        <v/>
      </c>
      <c r="M845" s="48">
        <f>_xlfn.XLOOKUP($J62,[4]CPU!$D$1:$D$6624,[4]CPU!$H$1:$H$6624)</f>
        <v/>
      </c>
      <c r="N845" s="49">
        <f>IF(H62="Serviço",M62*L62,IF(H62="CÉLULA CONSTRUTIVA",SUMIFS($N$8:$N$155,$B$8:$B$155,B62,$H$8:$H$155,"Serviço"),IF(H62="ETAPA",SUMIFS($N$8:$N$155,$B$8:$B$155,B62,$C$8:$C$155,C62,$H$8:$H$155,"Serviço"),IF(H62="SUBETAPA",SUMIFS($N$8:$N$155,$B$8:$B$155,B62,$C$8:$C$155,C62,$D$8:$D$155,D62,$H$8:$H$155,"Serviço"),0))))</f>
        <v/>
      </c>
      <c r="O845" s="50" t="inlineStr">
        <is>
          <t>Estimado confrome aba auxiliar "Estacas"</t>
        </is>
      </c>
      <c r="P845" s="114" t="n"/>
      <c r="Q845" s="52" t="n"/>
      <c r="R845" s="52" t="n"/>
      <c r="S845" s="1" t="n"/>
      <c r="T845" s="1" t="n"/>
      <c r="U845" s="1" t="n"/>
      <c r="V845" s="1" t="n"/>
      <c r="W845" s="1" t="n"/>
      <c r="X845" s="1" t="n"/>
      <c r="Y845" s="1" t="n"/>
    </row>
    <row r="846">
      <c r="A846" s="34">
        <f>IF($H63="UNIDADE CONSTRUTIVA",OFFSET(A63,-1,0)+1,LARGE(A$3:A62,1))</f>
        <v/>
      </c>
      <c r="B846" s="34">
        <f>IF(H63="UNIDADE CONSTRUTIVA",0,IF(H63="CÉLULA CONSTRUTIVA",OFFSET(B63,-1,0)+1,OFFSET(B63,-1,0)))</f>
        <v/>
      </c>
      <c r="C846" s="34">
        <f>IF(H63="CÉLULA CONSTRUTIVA",0,IF(H63="ETAPA",OFFSET(C63,-1,0)+1,OFFSET(C63,-1,0)))</f>
        <v/>
      </c>
      <c r="D846" s="35">
        <f>IF(H63="ETAPA",0,IF(H63="SUBETAPA",OFFSET(D63,-1,0)+1,OFFSET(D63,-1,0)))</f>
        <v/>
      </c>
      <c r="E846" s="35">
        <f>IF(H63="Subetapa",0,IF(H63="serviço",OFFSET(E63,-1,0)+1,OFFSET(E63,-1,0)))</f>
        <v/>
      </c>
      <c r="F846" s="113" t="n"/>
      <c r="G846" s="116" t="inlineStr">
        <is>
          <t>INFRAESTRUTURA</t>
        </is>
      </c>
      <c r="H846" s="44" t="inlineStr">
        <is>
          <t>SERVIÇO</t>
        </is>
      </c>
      <c r="I846" s="45">
        <f>IF(H63="Unidade Construtiva",TEXT(A63,"00"),IF(H63="Célula Construtiva",TEXT(B63,"00"),IF(H63="Etapa",CONCATENATE(TEXT(B63,"00"),".",TEXT(C63,"000")),IF(H63="Subetapa",CONCATENATE(TEXT(B63,"00"),".",TEXT(C63,"000"),".",TEXT(D63,"000")),IF(H63="Serviço",CONCATENATE(TEXT(B63,"00"),".",TEXT(C63,"000"),".",TEXT(D63,"000"),".",TEXT(E63,"000")),"")))))</f>
        <v/>
      </c>
      <c r="J846" s="51" t="inlineStr">
        <is>
          <t>Armação aço CA-50 ø 16,0mm para estaca (corte e dobra em obra)</t>
        </is>
      </c>
      <c r="K846" s="47" t="inlineStr">
        <is>
          <t>kg</t>
        </is>
      </c>
      <c r="L846" s="48">
        <f>Estacas!N6</f>
        <v/>
      </c>
      <c r="M846" s="48">
        <f>_xlfn.XLOOKUP($J63,[4]CPU!$D$1:$D$6624,[4]CPU!$H$1:$H$6624)</f>
        <v/>
      </c>
      <c r="N846" s="49">
        <f>IF(H63="Serviço",M63*L63,IF(H63="CÉLULA CONSTRUTIVA",SUMIFS($N$8:$N$155,$B$8:$B$155,B63,$H$8:$H$155,"Serviço"),IF(H63="ETAPA",SUMIFS($N$8:$N$155,$B$8:$B$155,B63,$C$8:$C$155,C63,$H$8:$H$155,"Serviço"),IF(H63="SUBETAPA",SUMIFS($N$8:$N$155,$B$8:$B$155,B63,$C$8:$C$155,C63,$D$8:$D$155,D63,$H$8:$H$155,"Serviço"),0))))</f>
        <v/>
      </c>
      <c r="O846" s="50" t="inlineStr">
        <is>
          <t>Estimado confrome aba auxiliar "Estacas"</t>
        </is>
      </c>
      <c r="P846" s="114" t="n"/>
      <c r="Q846" s="52" t="n"/>
      <c r="R846" s="52" t="n"/>
      <c r="S846" s="1" t="n"/>
      <c r="T846" s="1" t="n"/>
      <c r="U846" s="1" t="n"/>
      <c r="V846" s="1" t="n"/>
      <c r="W846" s="1" t="n"/>
      <c r="X846" s="1" t="n"/>
      <c r="Y846" s="1" t="n"/>
    </row>
    <row r="847">
      <c r="A847" s="34">
        <f>IF($H64="UNIDADE CONSTRUTIVA",OFFSET(A64,-1,0)+1,LARGE(A$3:A63,1))</f>
        <v/>
      </c>
      <c r="B847" s="34">
        <f>IF(H64="UNIDADE CONSTRUTIVA",0,IF(H64="CÉLULA CONSTRUTIVA",OFFSET(B64,-1,0)+1,OFFSET(B64,-1,0)))</f>
        <v/>
      </c>
      <c r="C847" s="34">
        <f>IF(H64="CÉLULA CONSTRUTIVA",0,IF(H64="ETAPA",OFFSET(C64,-1,0)+1,OFFSET(C64,-1,0)))</f>
        <v/>
      </c>
      <c r="D847" s="35">
        <f>IF(H64="ETAPA",0,IF(H64="SUBETAPA",OFFSET(D64,-1,0)+1,OFFSET(D64,-1,0)))</f>
        <v/>
      </c>
      <c r="E847" s="35">
        <f>IF(H64="Subetapa",0,IF(H64="serviço",OFFSET(E64,-1,0)+1,OFFSET(E64,-1,0)))</f>
        <v/>
      </c>
      <c r="F847" s="113" t="n"/>
      <c r="G847" s="116" t="n"/>
      <c r="H847" s="44" t="inlineStr">
        <is>
          <t>SUBETAPA</t>
        </is>
      </c>
      <c r="I847" s="45">
        <f>IF(H64="Unidade Construtiva",TEXT(A64,"00"),IF(H64="Célula Construtiva",TEXT(B64,"00"),IF(H64="Etapa",CONCATENATE(TEXT(B64,"00"),".",TEXT(C64,"000")),IF(H64="Subetapa",CONCATENATE(TEXT(B64,"00"),".",TEXT(C64,"000"),".",TEXT(D64,"000")),IF(H64="Serviço",CONCATENATE(TEXT(B64,"00"),".",TEXT(C64,"000"),".",TEXT(D64,"000"),".",TEXT(E64,"000")),"")))))</f>
        <v/>
      </c>
      <c r="J847" s="51" t="inlineStr">
        <is>
          <t>Concreto</t>
        </is>
      </c>
      <c r="K847" s="47" t="n"/>
      <c r="L847" s="57" t="n"/>
      <c r="M847" s="57" t="n"/>
      <c r="N847" s="49">
        <f>IF(H64="Serviço",M64*L64,IF(H64="CÉLULA CONSTRUTIVA",SUMIFS($N$8:$N$155,$B$8:$B$155,B64,$H$8:$H$155,"Serviço"),IF(H64="ETAPA",SUMIFS($N$8:$N$155,$B$8:$B$155,B64,$C$8:$C$155,C64,$H$8:$H$155,"Serviço"),IF(H64="SUBETAPA",SUMIFS($N$8:$N$155,$B$8:$B$155,B64,$C$8:$C$155,C64,$D$8:$D$155,D64,$H$8:$H$155,"Serviço"),0))))</f>
        <v/>
      </c>
      <c r="O847" s="50">
        <f>N64/[4]CAPA!$C$10</f>
        <v/>
      </c>
      <c r="P847" s="114" t="n"/>
      <c r="Q847" s="52" t="n"/>
      <c r="R847" s="52" t="n"/>
      <c r="S847" s="1" t="n"/>
      <c r="T847" s="1" t="n"/>
      <c r="U847" s="1" t="n"/>
      <c r="V847" s="1" t="n"/>
      <c r="W847" s="1" t="n"/>
      <c r="X847" s="1" t="n"/>
      <c r="Y847" s="1" t="n"/>
    </row>
    <row r="848">
      <c r="A848" s="34">
        <f>IF($H65="UNIDADE CONSTRUTIVA",OFFSET(A65,-1,0)+1,LARGE(A$3:A64,1))</f>
        <v/>
      </c>
      <c r="B848" s="34">
        <f>IF(H65="UNIDADE CONSTRUTIVA",0,IF(H65="CÉLULA CONSTRUTIVA",OFFSET(B65,-1,0)+1,OFFSET(B65,-1,0)))</f>
        <v/>
      </c>
      <c r="C848" s="34">
        <f>IF(H65="CÉLULA CONSTRUTIVA",0,IF(H65="ETAPA",OFFSET(C65,-1,0)+1,OFFSET(C65,-1,0)))</f>
        <v/>
      </c>
      <c r="D848" s="35">
        <f>IF(H65="ETAPA",0,IF(H65="SUBETAPA",OFFSET(D65,-1,0)+1,OFFSET(D65,-1,0)))</f>
        <v/>
      </c>
      <c r="E848" s="35">
        <f>IF(H65="Subetapa",0,IF(H65="serviço",OFFSET(E65,-1,0)+1,OFFSET(E65,-1,0)))</f>
        <v/>
      </c>
      <c r="F848" s="113" t="n"/>
      <c r="G848" s="116" t="inlineStr">
        <is>
          <t>INFRAESTRUTURA</t>
        </is>
      </c>
      <c r="H848" s="44" t="inlineStr">
        <is>
          <t>SERVIÇO</t>
        </is>
      </c>
      <c r="I848" s="45">
        <f>IF(H65="Unidade Construtiva",TEXT(A65,"00"),IF(H65="Célula Construtiva",TEXT(B65,"00"),IF(H65="Etapa",CONCATENATE(TEXT(B65,"00"),".",TEXT(C65,"000")),IF(H65="Subetapa",CONCATENATE(TEXT(B65,"00"),".",TEXT(C65,"000"),".",TEXT(D65,"000")),IF(H65="Serviço",CONCATENATE(TEXT(B65,"00"),".",TEXT(C65,"000"),".",TEXT(D65,"000"),".",TEXT(E65,"000")),"")))))</f>
        <v/>
      </c>
      <c r="J848" s="51" t="inlineStr">
        <is>
          <t>Concreto Usinado bombeável para estacas 40MPa  - incluindo serviço de bombeamento</t>
        </is>
      </c>
      <c r="K848" s="47" t="inlineStr">
        <is>
          <t>m3</t>
        </is>
      </c>
      <c r="L848" s="48">
        <f>Estacas!K6</f>
        <v/>
      </c>
      <c r="M848" s="48">
        <f>_xlfn.XLOOKUP($J65,[4]CPU!$D$1:$D$6624,[4]CPU!$H$1:$H$6624)</f>
        <v/>
      </c>
      <c r="N848" s="49">
        <f>IF(H65="Serviço",M65*L65,IF(H65="CÉLULA CONSTRUTIVA",SUMIFS($N$8:$N$155,$B$8:$B$155,B65,$H$8:$H$155,"Serviço"),IF(H65="ETAPA",SUMIFS($N$8:$N$155,$B$8:$B$155,B65,$C$8:$C$155,C65,$H$8:$H$155,"Serviço"),IF(H65="SUBETAPA",SUMIFS($N$8:$N$155,$B$8:$B$155,B65,$C$8:$C$155,C65,$D$8:$D$155,D65,$H$8:$H$155,"Serviço"),0))))</f>
        <v/>
      </c>
      <c r="O848" s="50" t="inlineStr">
        <is>
          <t>Considerado 30% na composição</t>
        </is>
      </c>
      <c r="P848" s="114" t="n"/>
      <c r="Q848" s="52" t="n"/>
      <c r="R848" s="52" t="n"/>
      <c r="S848" s="1" t="n"/>
      <c r="T848" s="1" t="n"/>
      <c r="U848" s="1" t="n"/>
      <c r="V848" s="1" t="n"/>
      <c r="W848" s="1" t="n"/>
      <c r="X848" s="1" t="n"/>
      <c r="Y848" s="1" t="n"/>
    </row>
    <row r="849">
      <c r="A849" s="34">
        <f>IF($H66="UNIDADE CONSTRUTIVA",OFFSET(A66,-1,0)+1,LARGE(A$3:A65,1))</f>
        <v/>
      </c>
      <c r="B849" s="34">
        <f>IF(H66="UNIDADE CONSTRUTIVA",0,IF(H66="CÉLULA CONSTRUTIVA",OFFSET(B66,-1,0)+1,OFFSET(B66,-1,0)))</f>
        <v/>
      </c>
      <c r="C849" s="34">
        <f>IF(H66="CÉLULA CONSTRUTIVA",0,IF(H66="ETAPA",OFFSET(C66,-1,0)+1,OFFSET(C66,-1,0)))</f>
        <v/>
      </c>
      <c r="D849" s="35">
        <f>IF(H66="ETAPA",0,IF(H66="SUBETAPA",OFFSET(D66,-1,0)+1,OFFSET(D66,-1,0)))</f>
        <v/>
      </c>
      <c r="E849" s="35">
        <f>IF(H66="Subetapa",0,IF(H66="serviço",OFFSET(E66,-1,0)+1,OFFSET(E66,-1,0)))</f>
        <v/>
      </c>
      <c r="F849" s="113" t="n"/>
      <c r="G849" s="116" t="n"/>
      <c r="H849" s="44" t="inlineStr">
        <is>
          <t>SUBETAPA</t>
        </is>
      </c>
      <c r="I849" s="45">
        <f>IF(H66="Unidade Construtiva",TEXT(A66,"00"),IF(H66="Célula Construtiva",TEXT(B66,"00"),IF(H66="Etapa",CONCATENATE(TEXT(B66,"00"),".",TEXT(C66,"000")),IF(H66="Subetapa",CONCATENATE(TEXT(B66,"00"),".",TEXT(C66,"000"),".",TEXT(D66,"000")),IF(H66="Serviço",CONCATENATE(TEXT(B66,"00"),".",TEXT(C66,"000"),".",TEXT(D66,"000"),".",TEXT(E66,"000")),"")))))</f>
        <v/>
      </c>
      <c r="J849" s="51" t="inlineStr">
        <is>
          <t>Mão de Obra</t>
        </is>
      </c>
      <c r="K849" s="47" t="n"/>
      <c r="L849" s="57" t="n"/>
      <c r="M849" s="57" t="n"/>
      <c r="N849" s="49">
        <f>IF(H66="Serviço",M66*L66,IF(H66="CÉLULA CONSTRUTIVA",SUMIFS($N$8:$N$155,$B$8:$B$155,B66,$H$8:$H$155,"Serviço"),IF(H66="ETAPA",SUMIFS($N$8:$N$155,$B$8:$B$155,B66,$C$8:$C$155,C66,$H$8:$H$155,"Serviço"),IF(H66="SUBETAPA",SUMIFS($N$8:$N$155,$B$8:$B$155,B66,$C$8:$C$155,C66,$D$8:$D$155,D66,$H$8:$H$155,"Serviço"),0))))</f>
        <v/>
      </c>
      <c r="O849" s="50">
        <f>N66/[4]CAPA!$C$10</f>
        <v/>
      </c>
      <c r="P849" s="114" t="n"/>
      <c r="Q849" s="52" t="n"/>
      <c r="R849" s="52" t="n"/>
      <c r="S849" s="1" t="n"/>
      <c r="T849" s="1" t="n"/>
      <c r="U849" s="1" t="n"/>
      <c r="V849" s="1" t="n"/>
      <c r="W849" s="1" t="n"/>
      <c r="X849" s="1" t="n"/>
      <c r="Y849" s="1" t="n"/>
    </row>
    <row r="850">
      <c r="A850" s="34">
        <f>IF($H67="UNIDADE CONSTRUTIVA",OFFSET(A67,-1,0)+1,LARGE(A$3:A66,1))</f>
        <v/>
      </c>
      <c r="B850" s="34">
        <f>IF(H67="UNIDADE CONSTRUTIVA",0,IF(H67="CÉLULA CONSTRUTIVA",OFFSET(B67,-1,0)+1,OFFSET(B67,-1,0)))</f>
        <v/>
      </c>
      <c r="C850" s="34">
        <f>IF(H67="CÉLULA CONSTRUTIVA",0,IF(H67="ETAPA",OFFSET(C67,-1,0)+1,OFFSET(C67,-1,0)))</f>
        <v/>
      </c>
      <c r="D850" s="35">
        <f>IF(H67="ETAPA",0,IF(H67="SUBETAPA",OFFSET(D67,-1,0)+1,OFFSET(D67,-1,0)))</f>
        <v/>
      </c>
      <c r="E850" s="35">
        <f>IF(H67="Subetapa",0,IF(H67="serviço",OFFSET(E67,-1,0)+1,OFFSET(E67,-1,0)))</f>
        <v/>
      </c>
      <c r="F850" s="113" t="n"/>
      <c r="G850" s="116" t="inlineStr">
        <is>
          <t>INFRAESTRUTURA</t>
        </is>
      </c>
      <c r="H850" s="44" t="inlineStr">
        <is>
          <t>SERVIÇO</t>
        </is>
      </c>
      <c r="I850" s="45">
        <f>IF(H67="Unidade Construtiva",TEXT(A67,"00"),IF(H67="Célula Construtiva",TEXT(B67,"00"),IF(H67="Etapa",CONCATENATE(TEXT(B67,"00"),".",TEXT(C67,"000")),IF(H67="Subetapa",CONCATENATE(TEXT(B67,"00"),".",TEXT(C67,"000"),".",TEXT(D67,"000")),IF(H67="Serviço",CONCATENATE(TEXT(B67,"00"),".",TEXT(C67,"000"),".",TEXT(D67,"000"),".",TEXT(E67,"000")),"")))))</f>
        <v/>
      </c>
      <c r="J850" s="51" t="inlineStr">
        <is>
          <t>Corte e Preparo de Cabeça de Estaca</t>
        </is>
      </c>
      <c r="K850" s="47" t="inlineStr">
        <is>
          <t>un</t>
        </is>
      </c>
      <c r="L850" s="48">
        <f>Estacas!F7+Estacas!F8</f>
        <v/>
      </c>
      <c r="M850" s="48">
        <f>_xlfn.XLOOKUP($J67,[4]CPU!$D$1:$D$6624,[4]CPU!$H$1:$H$6624)</f>
        <v/>
      </c>
      <c r="N850" s="49">
        <f>IF(H67="Serviço",M67*L67,IF(H67="CÉLULA CONSTRUTIVA",SUMIFS($N$8:$N$155,$B$8:$B$155,B67,$H$8:$H$155,"Serviço"),IF(H67="ETAPA",SUMIFS($N$8:$N$155,$B$8:$B$155,B67,$C$8:$C$155,C67,$H$8:$H$155,"Serviço"),IF(H67="SUBETAPA",SUMIFS($N$8:$N$155,$B$8:$B$155,B67,$C$8:$C$155,C67,$D$8:$D$155,D67,$H$8:$H$155,"Serviço"),0))))</f>
        <v/>
      </c>
      <c r="O850" s="50" t="n"/>
      <c r="P850" s="114" t="n"/>
      <c r="Q850" s="52" t="n"/>
      <c r="R850" s="52" t="n"/>
      <c r="S850" s="1" t="n"/>
      <c r="T850" s="1" t="n"/>
      <c r="U850" s="1" t="n"/>
      <c r="V850" s="1" t="n"/>
      <c r="W850" s="1" t="n"/>
      <c r="X850" s="1" t="n"/>
      <c r="Y850" s="1" t="n"/>
    </row>
    <row r="851">
      <c r="A851" s="34">
        <f>IF($H68="UNIDADE CONSTRUTIVA",OFFSET(A68,-1,0)+1,LARGE(A$3:A67,1))</f>
        <v/>
      </c>
      <c r="B851" s="34">
        <f>IF(H68="UNIDADE CONSTRUTIVA",0,IF(H68="CÉLULA CONSTRUTIVA",OFFSET(B68,-1,0)+1,OFFSET(B68,-1,0)))</f>
        <v/>
      </c>
      <c r="C851" s="34">
        <f>IF(H68="CÉLULA CONSTRUTIVA",0,IF(H68="ETAPA",OFFSET(C68,-1,0)+1,OFFSET(C68,-1,0)))</f>
        <v/>
      </c>
      <c r="D851" s="35">
        <f>IF(H68="ETAPA",0,IF(H68="SUBETAPA",OFFSET(D68,-1,0)+1,OFFSET(D68,-1,0)))</f>
        <v/>
      </c>
      <c r="E851" s="35">
        <f>IF(H68="Subetapa",0,IF(H68="serviço",OFFSET(E68,-1,0)+1,OFFSET(E68,-1,0)))</f>
        <v/>
      </c>
      <c r="F851" s="113" t="n"/>
      <c r="G851" s="116" t="inlineStr">
        <is>
          <t>INFRAESTRUTURA</t>
        </is>
      </c>
      <c r="H851" s="44" t="inlineStr">
        <is>
          <t>SERVIÇO</t>
        </is>
      </c>
      <c r="I851" s="45">
        <f>IF(H68="Unidade Construtiva",TEXT(A68,"00"),IF(H68="Célula Construtiva",TEXT(B68,"00"),IF(H68="Etapa",CONCATENATE(TEXT(B68,"00"),".",TEXT(C68,"000")),IF(H68="Subetapa",CONCATENATE(TEXT(B68,"00"),".",TEXT(C68,"000"),".",TEXT(D68,"000")),IF(H68="Serviço",CONCATENATE(TEXT(B68,"00"),".",TEXT(C68,"000"),".",TEXT(D68,"000"),".",TEXT(E68,"000")),"")))))</f>
        <v/>
      </c>
      <c r="J851" s="51" t="inlineStr">
        <is>
          <t>Acompanhamento Topografo - Estacas</t>
        </is>
      </c>
      <c r="K851" s="119" t="inlineStr">
        <is>
          <t>dia</t>
        </is>
      </c>
      <c r="L851" s="120" t="n">
        <v>10</v>
      </c>
      <c r="M851" s="48">
        <f>_xlfn.XLOOKUP($J68,[4]CPU!$D$1:$D$6624,[4]CPU!$H$1:$H$6624)</f>
        <v/>
      </c>
      <c r="N851" s="49">
        <f>IF(H68="Serviço",M68*L68,IF(H68="CÉLULA CONSTRUTIVA",SUMIFS($N$8:$N$155,$B$8:$B$155,B68,$H$8:$H$155,"Serviço"),IF(H68="ETAPA",SUMIFS($N$8:$N$155,$B$8:$B$155,B68,$C$8:$C$155,C68,$H$8:$H$155,"Serviço"),IF(H68="SUBETAPA",SUMIFS($N$8:$N$155,$B$8:$B$155,B68,$C$8:$C$155,C68,$D$8:$D$155,D68,$H$8:$H$155,"Serviço"),0))))</f>
        <v/>
      </c>
      <c r="O851" s="50" t="n"/>
      <c r="P851" s="114" t="n"/>
      <c r="Q851" s="52" t="n"/>
      <c r="R851" s="52" t="n"/>
      <c r="S851" s="1" t="n"/>
      <c r="T851" s="1" t="n"/>
      <c r="U851" s="1" t="n"/>
      <c r="V851" s="1" t="n"/>
      <c r="W851" s="1" t="n"/>
      <c r="X851" s="1" t="n"/>
      <c r="Y851" s="1" t="n"/>
    </row>
    <row r="852">
      <c r="A852" s="121">
        <f>IF($H69="UNIDADE CONSTRUTIVA",OFFSET(A69,-1,0)+1,LARGE(A$3:A68,1))</f>
        <v/>
      </c>
      <c r="B852" s="121">
        <f>IF(H69="UNIDADE CONSTRUTIVA",0,IF(H69="CÉLULA CONSTRUTIVA",OFFSET(B69,-1,0)+1,OFFSET(B69,-1,0)))</f>
        <v/>
      </c>
      <c r="C852" s="121">
        <f>IF(H69="CÉLULA CONSTRUTIVA",0,IF(H69="ETAPA",OFFSET(C69,-1,0)+1,OFFSET(C69,-1,0)))</f>
        <v/>
      </c>
      <c r="D852" s="122">
        <f>IF(H69="ETAPA",0,IF(H69="SUBETAPA",OFFSET(D69,-1,0)+1,OFFSET(D69,-1,0)))</f>
        <v/>
      </c>
      <c r="E852" s="122">
        <f>IF(H69="Subetapa",0,IF(H69="serviço",OFFSET(E69,-1,0)+1,OFFSET(E69,-1,0)))</f>
        <v/>
      </c>
      <c r="F852" s="123" t="n"/>
      <c r="G852" s="116" t="n"/>
      <c r="H852" s="44" t="inlineStr">
        <is>
          <t>ETAPA</t>
        </is>
      </c>
      <c r="I852" s="45">
        <f>IF(H69="Unidade Construtiva",TEXT(A69,"00"),IF(H69="Célula Construtiva",TEXT(B69,"00"),IF(H69="Etapa",CONCATENATE(TEXT(B69,"00"),".",TEXT(C69,"000")),IF(H69="Subetapa",CONCATENATE(TEXT(B69,"00"),".",TEXT(C69,"000"),".",TEXT(D69,"000")),IF(H69="Serviço",CONCATENATE(TEXT(B69,"00"),".",TEXT(C69,"000"),".",TEXT(D69,"000"),".",TEXT(E69,"000")),"")))))</f>
        <v/>
      </c>
      <c r="J852" s="51" t="inlineStr">
        <is>
          <t>FUNDAÇÃO RASA</t>
        </is>
      </c>
      <c r="K852" s="47" t="n"/>
      <c r="L852" s="48" t="n"/>
      <c r="M852" s="48" t="n"/>
      <c r="N852" s="49">
        <f>IF(H69="Serviço",M69*L69,IF(H69="CÉLULA CONSTRUTIVA",SUMIFS($N$8:$N$155,$B$8:$B$155,B69,$H$8:$H$155,"Serviço"),IF(H69="ETAPA",SUMIFS($N$8:$N$155,$B$8:$B$155,B69,$C$8:$C$155,C69,$H$8:$H$155,"Serviço"),IF(H69="SUBETAPA",SUMIFS($N$8:$N$155,$B$8:$B$155,B69,$C$8:$C$155,C69,$D$8:$D$155,D69,$H$8:$H$155,"Serviço"),0))))</f>
        <v/>
      </c>
      <c r="O852" s="50">
        <f>N69/[4]CAPA!$C$10</f>
        <v/>
      </c>
      <c r="P852" s="114" t="n"/>
      <c r="Q852" s="52" t="n"/>
      <c r="R852" s="52" t="n"/>
      <c r="S852" s="1" t="n"/>
      <c r="T852" s="1" t="n"/>
      <c r="U852" s="1" t="n"/>
      <c r="V852" s="1" t="n"/>
      <c r="W852" s="1" t="n"/>
      <c r="X852" s="1" t="n"/>
      <c r="Y852" s="1" t="n"/>
    </row>
    <row r="853">
      <c r="A853" s="121">
        <f>IF($H70="UNIDADE CONSTRUTIVA",OFFSET(A70,-1,0)+1,LARGE(A$3:A69,1))</f>
        <v/>
      </c>
      <c r="B853" s="121">
        <f>IF(H70="UNIDADE CONSTRUTIVA",0,IF(H70="CÉLULA CONSTRUTIVA",OFFSET(B70,-1,0)+1,OFFSET(B70,-1,0)))</f>
        <v/>
      </c>
      <c r="C853" s="121">
        <f>IF(H70="CÉLULA CONSTRUTIVA",0,IF(H70="ETAPA",OFFSET(C70,-1,0)+1,OFFSET(C70,-1,0)))</f>
        <v/>
      </c>
      <c r="D853" s="122">
        <f>IF(H70="ETAPA",0,IF(H70="SUBETAPA",OFFSET(D70,-1,0)+1,OFFSET(D70,-1,0)))</f>
        <v/>
      </c>
      <c r="E853" s="122">
        <f>IF(H70="Subetapa",0,IF(H70="serviço",OFFSET(E70,-1,0)+1,OFFSET(E70,-1,0)))</f>
        <v/>
      </c>
      <c r="F853" s="123" t="n"/>
      <c r="G853" s="116" t="n"/>
      <c r="H853" s="44" t="inlineStr">
        <is>
          <t>SUBETAPA</t>
        </is>
      </c>
      <c r="I853" s="45">
        <f>IF(H70="Unidade Construtiva",TEXT(A70,"00"),IF(H70="Célula Construtiva",TEXT(B70,"00"),IF(H70="Etapa",CONCATENATE(TEXT(B70,"00"),".",TEXT(C70,"000")),IF(H70="Subetapa",CONCATENATE(TEXT(B70,"00"),".",TEXT(C70,"000"),".",TEXT(D70,"000")),IF(H70="Serviço",CONCATENATE(TEXT(B70,"00"),".",TEXT(C70,"000"),".",TEXT(D70,"000"),".",TEXT(E70,"000")),"")))))</f>
        <v/>
      </c>
      <c r="J853" s="51" t="inlineStr">
        <is>
          <t>Forma</t>
        </is>
      </c>
      <c r="K853" s="47" t="n"/>
      <c r="L853" s="48" t="n"/>
      <c r="M853" s="48" t="n"/>
      <c r="N853" s="49">
        <f>IF(H70="Serviço",M70*L70,IF(H70="CÉLULA CONSTRUTIVA",SUMIFS($N$8:$N$155,$B$8:$B$155,B70,$H$8:$H$155,"Serviço"),IF(H70="ETAPA",SUMIFS($N$8:$N$155,$B$8:$B$155,B70,$C$8:$C$155,C70,$H$8:$H$155,"Serviço"),IF(H70="SUBETAPA",SUMIFS($N$8:$N$155,$B$8:$B$155,B70,$C$8:$C$155,C70,$D$8:$D$155,D70,$H$8:$H$155,"Serviço"),0))))</f>
        <v/>
      </c>
      <c r="O853" s="50">
        <f>N70/[4]CAPA!$C$10</f>
        <v/>
      </c>
      <c r="P853" s="114" t="n"/>
      <c r="Q853" s="52" t="n"/>
      <c r="R853" s="52" t="n"/>
      <c r="S853" s="1" t="n"/>
      <c r="T853" s="1" t="n"/>
      <c r="U853" s="1" t="n"/>
      <c r="V853" s="1" t="n"/>
      <c r="W853" s="1" t="n"/>
      <c r="X853" s="1" t="n"/>
      <c r="Y853" s="1" t="n"/>
    </row>
    <row r="854">
      <c r="A854" s="121">
        <f>IF($H71="UNIDADE CONSTRUTIVA",OFFSET(A71,-1,0)+1,LARGE(A$3:A70,1))</f>
        <v/>
      </c>
      <c r="B854" s="121">
        <f>IF(H71="UNIDADE CONSTRUTIVA",0,IF(H71="CÉLULA CONSTRUTIVA",OFFSET(B71,-1,0)+1,OFFSET(B71,-1,0)))</f>
        <v/>
      </c>
      <c r="C854" s="121">
        <f>IF(H71="CÉLULA CONSTRUTIVA",0,IF(H71="ETAPA",OFFSET(C71,-1,0)+1,OFFSET(C71,-1,0)))</f>
        <v/>
      </c>
      <c r="D854" s="122">
        <f>IF(H71="ETAPA",0,IF(H71="SUBETAPA",OFFSET(D71,-1,0)+1,OFFSET(D71,-1,0)))</f>
        <v/>
      </c>
      <c r="E854" s="122">
        <f>IF(H71="Subetapa",0,IF(H71="serviço",OFFSET(E71,-1,0)+1,OFFSET(E71,-1,0)))</f>
        <v/>
      </c>
      <c r="F854" s="123" t="n"/>
      <c r="G854" s="116" t="inlineStr">
        <is>
          <t>INFRAESTRUTURA</t>
        </is>
      </c>
      <c r="H854" s="44" t="inlineStr">
        <is>
          <t>SERVIÇO</t>
        </is>
      </c>
      <c r="I854" s="45">
        <f>IF(H71="Unidade Construtiva",TEXT(A71,"00"),IF(H71="Célula Construtiva",TEXT(B71,"00"),IF(H71="Etapa",CONCATENATE(TEXT(B71,"00"),".",TEXT(C71,"000")),IF(H71="Subetapa",CONCATENATE(TEXT(B71,"00"),".",TEXT(C71,"000"),".",TEXT(D71,"000")),IF(H71="Serviço",CONCATENATE(TEXT(B71,"00"),".",TEXT(C71,"000"),".",TEXT(D71,"000"),".",TEXT(E71,"000")),"")))))</f>
        <v/>
      </c>
      <c r="J854" s="51" t="inlineStr">
        <is>
          <t>Forma para infraestrutura em Tábuas de Madeira Serrada 2x reaproveitamento</t>
        </is>
      </c>
      <c r="K854" s="47" t="inlineStr">
        <is>
          <t>m2</t>
        </is>
      </c>
      <c r="L854" s="48">
        <f>'Resumo Estrutura'!J12+'Resumo Estrutura'!J13+'Resumo Estrutura'!J14+'Resumo Estrutura'!J15+'Resumo Estrutura'!J19+'Resumo Estrutura'!J21+'Resumo Estrutura'!J22</f>
        <v/>
      </c>
      <c r="M854" s="48">
        <f>_xlfn.XLOOKUP($J71,[4]CPU!$D$1:$D$6624,[4]CPU!$H$1:$H$6624)</f>
        <v/>
      </c>
      <c r="N854" s="49">
        <f>IF(H71="Serviço",M71*L71,IF(H71="CÉLULA CONSTRUTIVA",SUMIFS($N$8:$N$155,$B$8:$B$155,B71,$H$8:$H$155,"Serviço"),IF(H71="ETAPA",SUMIFS($N$8:$N$155,$B$8:$B$155,B71,$C$8:$C$155,C71,$H$8:$H$155,"Serviço"),IF(H71="SUBETAPA",SUMIFS($N$8:$N$155,$B$8:$B$155,B71,$C$8:$C$155,C71,$D$8:$D$155,D71,$H$8:$H$155,"Serviço"),0))))</f>
        <v/>
      </c>
      <c r="O854" s="50" t="inlineStr">
        <is>
          <t>Previsõa de blocos, pilares de arranque, vigas subsolo, duto e cisterna</t>
        </is>
      </c>
      <c r="P854" s="114" t="n"/>
      <c r="Q854" s="52" t="n"/>
      <c r="R854" s="52" t="n"/>
      <c r="S854" s="1" t="n"/>
      <c r="T854" s="1" t="n"/>
      <c r="U854" s="1" t="n"/>
      <c r="V854" s="1" t="n"/>
      <c r="W854" s="1" t="n"/>
      <c r="X854" s="1" t="n"/>
      <c r="Y854" s="1" t="n"/>
    </row>
    <row r="855">
      <c r="A855" s="121">
        <f>IF($H72="UNIDADE CONSTRUTIVA",OFFSET(A72,-1,0)+1,LARGE(A$3:A71,1))</f>
        <v/>
      </c>
      <c r="B855" s="121">
        <f>IF(H72="UNIDADE CONSTRUTIVA",0,IF(H72="CÉLULA CONSTRUTIVA",OFFSET(B72,-1,0)+1,OFFSET(B72,-1,0)))</f>
        <v/>
      </c>
      <c r="C855" s="121">
        <f>IF(H72="CÉLULA CONSTRUTIVA",0,IF(H72="ETAPA",OFFSET(C72,-1,0)+1,OFFSET(C72,-1,0)))</f>
        <v/>
      </c>
      <c r="D855" s="122">
        <f>IF(H72="ETAPA",0,IF(H72="SUBETAPA",OFFSET(D72,-1,0)+1,OFFSET(D72,-1,0)))</f>
        <v/>
      </c>
      <c r="E855" s="122">
        <f>IF(H72="Subetapa",0,IF(H72="serviço",OFFSET(E72,-1,0)+1,OFFSET(E72,-1,0)))</f>
        <v/>
      </c>
      <c r="F855" s="123" t="n"/>
      <c r="G855" s="116" t="n"/>
      <c r="H855" s="44" t="inlineStr">
        <is>
          <t>SUBETAPA</t>
        </is>
      </c>
      <c r="I855" s="45">
        <f>IF(H72="Unidade Construtiva",TEXT(A72,"00"),IF(H72="Célula Construtiva",TEXT(B72,"00"),IF(H72="Etapa",CONCATENATE(TEXT(B72,"00"),".",TEXT(C72,"000")),IF(H72="Subetapa",CONCATENATE(TEXT(B72,"00"),".",TEXT(C72,"000"),".",TEXT(D72,"000")),IF(H72="Serviço",CONCATENATE(TEXT(B72,"00"),".",TEXT(C72,"000"),".",TEXT(D72,"000"),".",TEXT(E72,"000")),"")))))</f>
        <v/>
      </c>
      <c r="J855" s="51" t="inlineStr">
        <is>
          <t>Armadura</t>
        </is>
      </c>
      <c r="K855" s="47" t="n"/>
      <c r="L855" s="57" t="n"/>
      <c r="M855" s="124" t="n"/>
      <c r="N855" s="49">
        <f>IF(H72="Serviço",M72*L72,IF(H72="CÉLULA CONSTRUTIVA",SUMIFS($N$8:$N$155,$B$8:$B$155,B72,$H$8:$H$155,"Serviço"),IF(H72="ETAPA",SUMIFS($N$8:$N$155,$B$8:$B$155,B72,$C$8:$C$155,C72,$H$8:$H$155,"Serviço"),IF(H72="SUBETAPA",SUMIFS($N$8:$N$155,$B$8:$B$155,B72,$C$8:$C$155,C72,$D$8:$D$155,D72,$H$8:$H$155,"Serviço"),0))))</f>
        <v/>
      </c>
      <c r="O855" s="50">
        <f>N72/[4]CAPA!$C$10</f>
        <v/>
      </c>
      <c r="P855" s="114" t="n"/>
      <c r="Q855" s="52" t="n"/>
      <c r="R855" s="52" t="n"/>
      <c r="S855" s="52" t="n"/>
      <c r="T855" s="1" t="n"/>
      <c r="U855" s="1" t="n"/>
      <c r="V855" s="1" t="n"/>
      <c r="W855" s="1" t="n"/>
      <c r="X855" s="1" t="n"/>
      <c r="Y855" s="1" t="n"/>
    </row>
    <row r="856">
      <c r="A856" s="121">
        <f>IF($H73="UNIDADE CONSTRUTIVA",OFFSET(A73,-1,0)+1,LARGE(A$3:A72,1))</f>
        <v/>
      </c>
      <c r="B856" s="121">
        <f>IF(H73="UNIDADE CONSTRUTIVA",0,IF(H73="CÉLULA CONSTRUTIVA",OFFSET(B73,-1,0)+1,OFFSET(B73,-1,0)))</f>
        <v/>
      </c>
      <c r="C856" s="121">
        <f>IF(H73="CÉLULA CONSTRUTIVA",0,IF(H73="ETAPA",OFFSET(C73,-1,0)+1,OFFSET(C73,-1,0)))</f>
        <v/>
      </c>
      <c r="D856" s="122">
        <f>IF(H73="ETAPA",0,IF(H73="SUBETAPA",OFFSET(D73,-1,0)+1,OFFSET(D73,-1,0)))</f>
        <v/>
      </c>
      <c r="E856" s="122">
        <f>IF(H73="Subetapa",0,IF(H73="serviço",OFFSET(E73,-1,0)+1,OFFSET(E73,-1,0)))</f>
        <v/>
      </c>
      <c r="F856" s="123" t="n"/>
      <c r="G856" s="116" t="inlineStr">
        <is>
          <t>INFRAESTRUTURA</t>
        </is>
      </c>
      <c r="H856" s="44" t="inlineStr">
        <is>
          <t>SERVIÇO</t>
        </is>
      </c>
      <c r="I856" s="45">
        <f>IF(H73="Unidade Construtiva",TEXT(A73,"00"),IF(H73="Célula Construtiva",TEXT(B73,"00"),IF(H73="Etapa",CONCATENATE(TEXT(B73,"00"),".",TEXT(C73,"000")),IF(H73="Subetapa",CONCATENATE(TEXT(B73,"00"),".",TEXT(C73,"000"),".",TEXT(D73,"000")),IF(H73="Serviço",CONCATENATE(TEXT(B73,"00"),".",TEXT(C73,"000"),".",TEXT(D73,"000"),".",TEXT(E73,"000")),"")))))</f>
        <v/>
      </c>
      <c r="J856" s="51" t="inlineStr">
        <is>
          <t>Armação aço CA-50 ø 6,3mm para infraestrutura (corte e dobra em obra)</t>
        </is>
      </c>
      <c r="K856" s="47" t="inlineStr">
        <is>
          <t>kg</t>
        </is>
      </c>
      <c r="L856" s="48">
        <f>'Resumo Estrutura'!W12+'Resumo Estrutura'!W13+'Resumo Estrutura'!W14+'Resumo Estrutura'!W15+'Resumo Estrutura'!W19+'Resumo Estrutura'!W21+'Resumo Estrutura'!W22</f>
        <v/>
      </c>
      <c r="M856" s="48">
        <f>(_xlfn.XLOOKUP($J73,[4]CPU!$D$1:$D$6624,[4]CPU!$H$1:$H$6624))*1.1</f>
        <v/>
      </c>
      <c r="N856" s="49">
        <f>IF(H73="Serviço",M73*L73,IF(H73="CÉLULA CONSTRUTIVA",SUMIFS($N$8:$N$155,$B$8:$B$155,B73,$H$8:$H$155,"Serviço"),IF(H73="ETAPA",SUMIFS($N$8:$N$155,$B$8:$B$155,B73,$C$8:$C$155,C73,$H$8:$H$155,"Serviço"),IF(H73="SUBETAPA",SUMIFS($N$8:$N$155,$B$8:$B$155,B73,$C$8:$C$155,C73,$D$8:$D$155,D73,$H$8:$H$155,"Serviço"),0))))</f>
        <v/>
      </c>
      <c r="O856" s="125" t="n"/>
      <c r="P856" s="114" t="n"/>
      <c r="Q856" s="52" t="n"/>
      <c r="R856" s="52" t="n"/>
      <c r="S856" s="52" t="n"/>
      <c r="T856" s="1" t="n"/>
      <c r="U856" s="1" t="n"/>
      <c r="V856" s="1" t="n"/>
      <c r="W856" s="1" t="n"/>
      <c r="X856" s="1" t="n"/>
      <c r="Y856" s="1" t="n"/>
    </row>
    <row r="857">
      <c r="A857" s="121">
        <f>IF($H74="UNIDADE CONSTRUTIVA",OFFSET(A74,-1,0)+1,LARGE(A$3:A73,1))</f>
        <v/>
      </c>
      <c r="B857" s="121">
        <f>IF(H74="UNIDADE CONSTRUTIVA",0,IF(H74="CÉLULA CONSTRUTIVA",OFFSET(B74,-1,0)+1,OFFSET(B74,-1,0)))</f>
        <v/>
      </c>
      <c r="C857" s="121">
        <f>IF(H74="CÉLULA CONSTRUTIVA",0,IF(H74="ETAPA",OFFSET(C74,-1,0)+1,OFFSET(C74,-1,0)))</f>
        <v/>
      </c>
      <c r="D857" s="122">
        <f>IF(H74="ETAPA",0,IF(H74="SUBETAPA",OFFSET(D74,-1,0)+1,OFFSET(D74,-1,0)))</f>
        <v/>
      </c>
      <c r="E857" s="122">
        <f>IF(H74="Subetapa",0,IF(H74="serviço",OFFSET(E74,-1,0)+1,OFFSET(E74,-1,0)))</f>
        <v/>
      </c>
      <c r="F857" s="123" t="n"/>
      <c r="G857" s="116" t="inlineStr">
        <is>
          <t>INFRAESTRUTURA</t>
        </is>
      </c>
      <c r="H857" s="44" t="inlineStr">
        <is>
          <t>SERVIÇO</t>
        </is>
      </c>
      <c r="I857" s="45">
        <f>IF(H74="Unidade Construtiva",TEXT(A74,"00"),IF(H74="Célula Construtiva",TEXT(B74,"00"),IF(H74="Etapa",CONCATENATE(TEXT(B74,"00"),".",TEXT(C74,"000")),IF(H74="Subetapa",CONCATENATE(TEXT(B74,"00"),".",TEXT(C74,"000"),".",TEXT(D74,"000")),IF(H74="Serviço",CONCATENATE(TEXT(B74,"00"),".",TEXT(C74,"000"),".",TEXT(D74,"000"),".",TEXT(E74,"000")),"")))))</f>
        <v/>
      </c>
      <c r="J857" s="51" t="inlineStr">
        <is>
          <t>Armação aço CA-50 ø 8,0mm para infraestrutura (corte e dobra em obra)</t>
        </is>
      </c>
      <c r="K857" s="47" t="inlineStr">
        <is>
          <t>kg</t>
        </is>
      </c>
      <c r="L857" s="48">
        <f>'Resumo Estrutura'!X14+'Resumo Estrutura'!X19+'Resumo Estrutura'!X20+'Resumo Estrutura'!X21+'Resumo Estrutura'!X22</f>
        <v/>
      </c>
      <c r="M857" s="48">
        <f>(_xlfn.XLOOKUP($J74,[4]CPU!$D$1:$D$6624,[4]CPU!$H$1:$H$6624))*1.1</f>
        <v/>
      </c>
      <c r="N857" s="49">
        <f>IF(H74="Serviço",M74*L74,IF(H74="CÉLULA CONSTRUTIVA",SUMIFS($N$8:$N$155,$B$8:$B$155,B74,$H$8:$H$155,"Serviço"),IF(H74="ETAPA",SUMIFS($N$8:$N$155,$B$8:$B$155,B74,$C$8:$C$155,C74,$H$8:$H$155,"Serviço"),IF(H74="SUBETAPA",SUMIFS($N$8:$N$155,$B$8:$B$155,B74,$C$8:$C$155,C74,$D$8:$D$155,D74,$H$8:$H$155,"Serviço"),0))))</f>
        <v/>
      </c>
      <c r="O857" s="125" t="n"/>
      <c r="P857" s="114" t="n"/>
      <c r="Q857" s="52" t="n"/>
      <c r="R857" s="52" t="n"/>
      <c r="S857" s="52" t="n"/>
      <c r="T857" s="1" t="n"/>
      <c r="U857" s="1" t="n"/>
      <c r="V857" s="1" t="n"/>
      <c r="W857" s="1" t="n"/>
      <c r="X857" s="1" t="n"/>
      <c r="Y857" s="1" t="n"/>
    </row>
    <row r="858">
      <c r="A858" s="121">
        <f>IF($H75="UNIDADE CONSTRUTIVA",OFFSET(A75,-1,0)+1,LARGE(A$3:A74,1))</f>
        <v/>
      </c>
      <c r="B858" s="121">
        <f>IF(H75="UNIDADE CONSTRUTIVA",0,IF(H75="CÉLULA CONSTRUTIVA",OFFSET(B75,-1,0)+1,OFFSET(B75,-1,0)))</f>
        <v/>
      </c>
      <c r="C858" s="121">
        <f>IF(H75="CÉLULA CONSTRUTIVA",0,IF(H75="ETAPA",OFFSET(C75,-1,0)+1,OFFSET(C75,-1,0)))</f>
        <v/>
      </c>
      <c r="D858" s="122">
        <f>IF(H75="ETAPA",0,IF(H75="SUBETAPA",OFFSET(D75,-1,0)+1,OFFSET(D75,-1,0)))</f>
        <v/>
      </c>
      <c r="E858" s="122">
        <f>IF(H75="Subetapa",0,IF(H75="serviço",OFFSET(E75,-1,0)+1,OFFSET(E75,-1,0)))</f>
        <v/>
      </c>
      <c r="F858" s="123" t="n"/>
      <c r="G858" s="116" t="inlineStr">
        <is>
          <t>INFRAESTRUTURA</t>
        </is>
      </c>
      <c r="H858" s="44" t="inlineStr">
        <is>
          <t>SERVIÇO</t>
        </is>
      </c>
      <c r="I858" s="45">
        <f>IF(H75="Unidade Construtiva",TEXT(A75,"00"),IF(H75="Célula Construtiva",TEXT(B75,"00"),IF(H75="Etapa",CONCATENATE(TEXT(B75,"00"),".",TEXT(C75,"000")),IF(H75="Subetapa",CONCATENATE(TEXT(B75,"00"),".",TEXT(C75,"000"),".",TEXT(D75,"000")),IF(H75="Serviço",CONCATENATE(TEXT(B75,"00"),".",TEXT(C75,"000"),".",TEXT(D75,"000"),".",TEXT(E75,"000")),"")))))</f>
        <v/>
      </c>
      <c r="J858" s="51" t="inlineStr">
        <is>
          <t>Armação aço CA-50 ø 10,0mm para infraestrutura (corte e dobra em obra)</t>
        </is>
      </c>
      <c r="K858" s="47" t="inlineStr">
        <is>
          <t>kg</t>
        </is>
      </c>
      <c r="L858" s="48">
        <f>'Resumo Estrutura'!Y12+'Resumo Estrutura'!Y13+'Resumo Estrutura'!Y14+'Resumo Estrutura'!Y15+'Resumo Estrutura'!Y19+'Resumo Estrutura'!Y20+'Resumo Estrutura'!Y21+'Resumo Estrutura'!Y22</f>
        <v/>
      </c>
      <c r="M858" s="48">
        <f>(_xlfn.XLOOKUP($J75,[4]CPU!$D$1:$D$6624,[4]CPU!$H$1:$H$6624))*1.1</f>
        <v/>
      </c>
      <c r="N858" s="49">
        <f>IF(H75="Serviço",M75*L75,IF(H75="CÉLULA CONSTRUTIVA",SUMIFS($N$8:$N$155,$B$8:$B$155,B75,$H$8:$H$155,"Serviço"),IF(H75="ETAPA",SUMIFS($N$8:$N$155,$B$8:$B$155,B75,$C$8:$C$155,C75,$H$8:$H$155,"Serviço"),IF(H75="SUBETAPA",SUMIFS($N$8:$N$155,$B$8:$B$155,B75,$C$8:$C$155,C75,$D$8:$D$155,D75,$H$8:$H$155,"Serviço"),0))))</f>
        <v/>
      </c>
      <c r="O858" s="125" t="n"/>
      <c r="P858" s="114" t="n"/>
      <c r="Q858" s="52" t="n"/>
      <c r="R858" s="52" t="n"/>
      <c r="S858" s="52" t="n"/>
      <c r="T858" s="1" t="n"/>
      <c r="U858" s="1" t="n"/>
      <c r="V858" s="1" t="n"/>
      <c r="W858" s="1" t="n"/>
      <c r="X858" s="1" t="n"/>
      <c r="Y858" s="1" t="n"/>
    </row>
    <row r="859">
      <c r="A859" s="121">
        <f>IF($H76="UNIDADE CONSTRUTIVA",OFFSET(A76,-1,0)+1,LARGE(A$3:A75,1))</f>
        <v/>
      </c>
      <c r="B859" s="121">
        <f>IF(H76="UNIDADE CONSTRUTIVA",0,IF(H76="CÉLULA CONSTRUTIVA",OFFSET(B76,-1,0)+1,OFFSET(B76,-1,0)))</f>
        <v/>
      </c>
      <c r="C859" s="121">
        <f>IF(H76="CÉLULA CONSTRUTIVA",0,IF(H76="ETAPA",OFFSET(C76,-1,0)+1,OFFSET(C76,-1,0)))</f>
        <v/>
      </c>
      <c r="D859" s="122">
        <f>IF(H76="ETAPA",0,IF(H76="SUBETAPA",OFFSET(D76,-1,0)+1,OFFSET(D76,-1,0)))</f>
        <v/>
      </c>
      <c r="E859" s="122">
        <f>IF(H76="Subetapa",0,IF(H76="serviço",OFFSET(E76,-1,0)+1,OFFSET(E76,-1,0)))</f>
        <v/>
      </c>
      <c r="F859" s="123" t="n"/>
      <c r="G859" s="116" t="inlineStr">
        <is>
          <t>INFRAESTRUTURA</t>
        </is>
      </c>
      <c r="H859" s="44" t="inlineStr">
        <is>
          <t>SERVIÇO</t>
        </is>
      </c>
      <c r="I859" s="45">
        <f>IF(H76="Unidade Construtiva",TEXT(A76,"00"),IF(H76="Célula Construtiva",TEXT(B76,"00"),IF(H76="Etapa",CONCATENATE(TEXT(B76,"00"),".",TEXT(C76,"000")),IF(H76="Subetapa",CONCATENATE(TEXT(B76,"00"),".",TEXT(C76,"000"),".",TEXT(D76,"000")),IF(H76="Serviço",CONCATENATE(TEXT(B76,"00"),".",TEXT(C76,"000"),".",TEXT(D76,"000"),".",TEXT(E76,"000")),"")))))</f>
        <v/>
      </c>
      <c r="J859" s="51" t="inlineStr">
        <is>
          <t xml:space="preserve">Armação aço CA-50 ø 12,5mm para infraestrutura (corte e dobra em obra) </t>
        </is>
      </c>
      <c r="K859" s="47" t="inlineStr">
        <is>
          <t>kg</t>
        </is>
      </c>
      <c r="L859" s="48">
        <f>'Resumo Estrutura'!Z12+'Resumo Estrutura'!Z13+'Resumo Estrutura'!Z14+'Resumo Estrutura'!Z15+'Resumo Estrutura'!Z19+'Resumo Estrutura'!Z20+'Resumo Estrutura'!Z21+'Resumo Estrutura'!Z22</f>
        <v/>
      </c>
      <c r="M859" s="48">
        <f>(_xlfn.XLOOKUP($J76,[4]CPU!$D$1:$D$6624,[4]CPU!$H$1:$H$6624))*1.1</f>
        <v/>
      </c>
      <c r="N859" s="49">
        <f>IF(H76="Serviço",M76*L76,IF(H76="CÉLULA CONSTRUTIVA",SUMIFS($N$8:$N$155,$B$8:$B$155,B76,$H$8:$H$155,"Serviço"),IF(H76="ETAPA",SUMIFS($N$8:$N$155,$B$8:$B$155,B76,$C$8:$C$155,C76,$H$8:$H$155,"Serviço"),IF(H76="SUBETAPA",SUMIFS($N$8:$N$155,$B$8:$B$155,B76,$C$8:$C$155,C76,$D$8:$D$155,D76,$H$8:$H$155,"Serviço"),0))))</f>
        <v/>
      </c>
      <c r="O859" s="125" t="n"/>
      <c r="P859" s="114" t="n"/>
      <c r="Q859" s="52" t="n"/>
      <c r="R859" s="52" t="n"/>
      <c r="S859" s="52" t="n"/>
      <c r="T859" s="1" t="n"/>
      <c r="U859" s="1" t="n"/>
      <c r="V859" s="1" t="n"/>
      <c r="W859" s="1" t="n"/>
      <c r="X859" s="1" t="n"/>
      <c r="Y859" s="1" t="n"/>
    </row>
    <row r="860">
      <c r="A860" s="121">
        <f>IF($H77="UNIDADE CONSTRUTIVA",OFFSET(A77,-1,0)+1,LARGE(A$3:A76,1))</f>
        <v/>
      </c>
      <c r="B860" s="121">
        <f>IF(H77="UNIDADE CONSTRUTIVA",0,IF(H77="CÉLULA CONSTRUTIVA",OFFSET(B77,-1,0)+1,OFFSET(B77,-1,0)))</f>
        <v/>
      </c>
      <c r="C860" s="121">
        <f>IF(H77="CÉLULA CONSTRUTIVA",0,IF(H77="ETAPA",OFFSET(C77,-1,0)+1,OFFSET(C77,-1,0)))</f>
        <v/>
      </c>
      <c r="D860" s="122">
        <f>IF(H77="ETAPA",0,IF(H77="SUBETAPA",OFFSET(D77,-1,0)+1,OFFSET(D77,-1,0)))</f>
        <v/>
      </c>
      <c r="E860" s="122">
        <f>IF(H77="Subetapa",0,IF(H77="serviço",OFFSET(E77,-1,0)+1,OFFSET(E77,-1,0)))</f>
        <v/>
      </c>
      <c r="F860" s="123" t="n"/>
      <c r="G860" s="116" t="inlineStr">
        <is>
          <t>INFRAESTRUTURA</t>
        </is>
      </c>
      <c r="H860" s="44" t="inlineStr">
        <is>
          <t>SERVIÇO</t>
        </is>
      </c>
      <c r="I860" s="45">
        <f>IF(H77="Unidade Construtiva",TEXT(A77,"00"),IF(H77="Célula Construtiva",TEXT(B77,"00"),IF(H77="Etapa",CONCATENATE(TEXT(B77,"00"),".",TEXT(C77,"000")),IF(H77="Subetapa",CONCATENATE(TEXT(B77,"00"),".",TEXT(C77,"000"),".",TEXT(D77,"000")),IF(H77="Serviço",CONCATENATE(TEXT(B77,"00"),".",TEXT(C77,"000"),".",TEXT(D77,"000"),".",TEXT(E77,"000")),"")))))</f>
        <v/>
      </c>
      <c r="J860" s="51" t="inlineStr">
        <is>
          <t>Armação aço CA-50 ø 16,0mm para infraestrutura (corte e dobra em obra)</t>
        </is>
      </c>
      <c r="K860" s="47" t="inlineStr">
        <is>
          <t>kg</t>
        </is>
      </c>
      <c r="L860" s="48">
        <f>'Resumo Estrutura'!AA12+'Resumo Estrutura'!AA13+'Resumo Estrutura'!AA14+'Resumo Estrutura'!AA15+'Resumo Estrutura'!AA19+'Resumo Estrutura'!AA20+'Resumo Estrutura'!AA21+'Resumo Estrutura'!AA22</f>
        <v/>
      </c>
      <c r="M860" s="48">
        <f>(_xlfn.XLOOKUP($J77,[4]CPU!$D$1:$D$6624,[4]CPU!$H$1:$H$6624))*1.1</f>
        <v/>
      </c>
      <c r="N860" s="49">
        <f>IF(H77="Serviço",M77*L77,IF(H77="CÉLULA CONSTRUTIVA",SUMIFS($N$8:$N$155,$B$8:$B$155,B77,$H$8:$H$155,"Serviço"),IF(H77="ETAPA",SUMIFS($N$8:$N$155,$B$8:$B$155,B77,$C$8:$C$155,C77,$H$8:$H$155,"Serviço"),IF(H77="SUBETAPA",SUMIFS($N$8:$N$155,$B$8:$B$155,B77,$C$8:$C$155,C77,$D$8:$D$155,D77,$H$8:$H$155,"Serviço"),0))))</f>
        <v/>
      </c>
      <c r="O860" s="125" t="n"/>
      <c r="P860" s="114" t="n"/>
      <c r="Q860" s="52" t="n"/>
      <c r="R860" s="52" t="n"/>
      <c r="S860" s="52" t="n"/>
      <c r="T860" s="1" t="n"/>
      <c r="U860" s="1" t="n"/>
      <c r="V860" s="1" t="n"/>
      <c r="W860" s="1" t="n"/>
      <c r="X860" s="1" t="n"/>
      <c r="Y860" s="1" t="n"/>
    </row>
    <row r="861">
      <c r="A861" s="121">
        <f>IF($H78="UNIDADE CONSTRUTIVA",OFFSET(A78,-1,0)+1,LARGE(A$3:A77,1))</f>
        <v/>
      </c>
      <c r="B861" s="121">
        <f>IF(H78="UNIDADE CONSTRUTIVA",0,IF(H78="CÉLULA CONSTRUTIVA",OFFSET(B78,-1,0)+1,OFFSET(B78,-1,0)))</f>
        <v/>
      </c>
      <c r="C861" s="121">
        <f>IF(H78="CÉLULA CONSTRUTIVA",0,IF(H78="ETAPA",OFFSET(C78,-1,0)+1,OFFSET(C78,-1,0)))</f>
        <v/>
      </c>
      <c r="D861" s="122">
        <f>IF(H78="ETAPA",0,IF(H78="SUBETAPA",OFFSET(D78,-1,0)+1,OFFSET(D78,-1,0)))</f>
        <v/>
      </c>
      <c r="E861" s="122">
        <f>IF(H78="Subetapa",0,IF(H78="serviço",OFFSET(E78,-1,0)+1,OFFSET(E78,-1,0)))</f>
        <v/>
      </c>
      <c r="F861" s="123" t="n"/>
      <c r="G861" s="116" t="inlineStr">
        <is>
          <t>INFRAESTRUTURA</t>
        </is>
      </c>
      <c r="H861" s="44" t="inlineStr">
        <is>
          <t>SERVIÇO</t>
        </is>
      </c>
      <c r="I861" s="45">
        <f>IF(H78="Unidade Construtiva",TEXT(A78,"00"),IF(H78="Célula Construtiva",TEXT(B78,"00"),IF(H78="Etapa",CONCATENATE(TEXT(B78,"00"),".",TEXT(C78,"000")),IF(H78="Subetapa",CONCATENATE(TEXT(B78,"00"),".",TEXT(C78,"000"),".",TEXT(D78,"000")),IF(H78="Serviço",CONCATENATE(TEXT(B78,"00"),".",TEXT(C78,"000"),".",TEXT(D78,"000"),".",TEXT(E78,"000")),"")))))</f>
        <v/>
      </c>
      <c r="J861" s="51" t="inlineStr">
        <is>
          <t xml:space="preserve">Armação aço CA-50 ø 20,0mm para infraestrutura (corte e dobra em obra) </t>
        </is>
      </c>
      <c r="K861" s="47" t="inlineStr">
        <is>
          <t>kg</t>
        </is>
      </c>
      <c r="L861" s="48">
        <f>'Resumo Estrutura'!AB12+'Resumo Estrutura'!AB13+'Resumo Estrutura'!AB14+'Resumo Estrutura'!AB19</f>
        <v/>
      </c>
      <c r="M861" s="48">
        <f>(_xlfn.XLOOKUP($J78,[4]CPU!$D$1:$D$6624,[4]CPU!$H$1:$H$6624))*1.1</f>
        <v/>
      </c>
      <c r="N861" s="49">
        <f>IF(H78="Serviço",M78*L78,IF(H78="CÉLULA CONSTRUTIVA",SUMIFS($N$8:$N$155,$B$8:$B$155,B78,$H$8:$H$155,"Serviço"),IF(H78="ETAPA",SUMIFS($N$8:$N$155,$B$8:$B$155,B78,$C$8:$C$155,C78,$H$8:$H$155,"Serviço"),IF(H78="SUBETAPA",SUMIFS($N$8:$N$155,$B$8:$B$155,B78,$C$8:$C$155,C78,$D$8:$D$155,D78,$H$8:$H$155,"Serviço"),0))))</f>
        <v/>
      </c>
      <c r="O861" s="125" t="n"/>
      <c r="P861" s="114" t="n"/>
      <c r="Q861" s="52" t="n"/>
      <c r="R861" s="52" t="n"/>
      <c r="S861" s="52" t="n"/>
      <c r="T861" s="1" t="n"/>
      <c r="U861" s="1" t="n"/>
      <c r="V861" s="1" t="n"/>
      <c r="W861" s="1" t="n"/>
      <c r="X861" s="1" t="n"/>
      <c r="Y861" s="1" t="n"/>
    </row>
    <row r="862">
      <c r="A862" s="121">
        <f>IF($H79="UNIDADE CONSTRUTIVA",OFFSET(A79,-1,0)+1,LARGE(A$3:A78,1))</f>
        <v/>
      </c>
      <c r="B862" s="121">
        <f>IF(H79="UNIDADE CONSTRUTIVA",0,IF(H79="CÉLULA CONSTRUTIVA",OFFSET(B79,-1,0)+1,OFFSET(B79,-1,0)))</f>
        <v/>
      </c>
      <c r="C862" s="121">
        <f>IF(H79="CÉLULA CONSTRUTIVA",0,IF(H79="ETAPA",OFFSET(C79,-1,0)+1,OFFSET(C79,-1,0)))</f>
        <v/>
      </c>
      <c r="D862" s="122">
        <f>IF(H79="ETAPA",0,IF(H79="SUBETAPA",OFFSET(D79,-1,0)+1,OFFSET(D79,-1,0)))</f>
        <v/>
      </c>
      <c r="E862" s="122">
        <f>IF(H79="Subetapa",0,IF(H79="serviço",OFFSET(E79,-1,0)+1,OFFSET(E79,-1,0)))</f>
        <v/>
      </c>
      <c r="F862" s="123" t="n"/>
      <c r="G862" s="116" t="inlineStr">
        <is>
          <t>INFRAESTRUTURA</t>
        </is>
      </c>
      <c r="H862" s="44" t="inlineStr">
        <is>
          <t>SERVIÇO</t>
        </is>
      </c>
      <c r="I862" s="45">
        <f>IF(H79="Unidade Construtiva",TEXT(A79,"00"),IF(H79="Célula Construtiva",TEXT(B79,"00"),IF(H79="Etapa",CONCATENATE(TEXT(B79,"00"),".",TEXT(C79,"000")),IF(H79="Subetapa",CONCATENATE(TEXT(B79,"00"),".",TEXT(C79,"000"),".",TEXT(D79,"000")),IF(H79="Serviço",CONCATENATE(TEXT(B79,"00"),".",TEXT(C79,"000"),".",TEXT(D79,"000"),".",TEXT(E79,"000")),"")))))</f>
        <v/>
      </c>
      <c r="J862" s="51" t="inlineStr">
        <is>
          <t xml:space="preserve">Armação aço CA-50 ø 25,0mm para infraestrutura (corte e dobra em obra) </t>
        </is>
      </c>
      <c r="K862" s="47" t="inlineStr">
        <is>
          <t>kg</t>
        </is>
      </c>
      <c r="L862" s="48">
        <f>'Resumo Estrutura'!AC12+'Resumo Estrutura'!AC13+'Resumo Estrutura'!AC14+'Resumo Estrutura'!AC15</f>
        <v/>
      </c>
      <c r="M862" s="48">
        <f>(_xlfn.XLOOKUP($J79,[4]CPU!$D$1:$D$6624,[4]CPU!$H$1:$H$6624))*1.1</f>
        <v/>
      </c>
      <c r="N862" s="49">
        <f>IF(H79="Serviço",M79*L79,IF(H79="CÉLULA CONSTRUTIVA",SUMIFS($N$8:$N$155,$B$8:$B$155,B79,$H$8:$H$155,"Serviço"),IF(H79="ETAPA",SUMIFS($N$8:$N$155,$B$8:$B$155,B79,$C$8:$C$155,C79,$H$8:$H$155,"Serviço"),IF(H79="SUBETAPA",SUMIFS($N$8:$N$155,$B$8:$B$155,B79,$C$8:$C$155,C79,$D$8:$D$155,D79,$H$8:$H$155,"Serviço"),0))))</f>
        <v/>
      </c>
      <c r="O862" s="125" t="n"/>
      <c r="P862" s="114" t="n"/>
      <c r="Q862" s="52" t="n"/>
      <c r="R862" s="52" t="n"/>
      <c r="S862" s="52" t="n"/>
      <c r="T862" s="1" t="n"/>
      <c r="U862" s="1" t="n"/>
      <c r="V862" s="1" t="n"/>
      <c r="W862" s="1" t="n"/>
      <c r="X862" s="1" t="n"/>
      <c r="Y862" s="1" t="n"/>
    </row>
    <row r="863">
      <c r="A863" s="121">
        <f>IF($H80="UNIDADE CONSTRUTIVA",OFFSET(A80,-1,0)+1,LARGE(A$3:A79,1))</f>
        <v/>
      </c>
      <c r="B863" s="121">
        <f>IF(H80="UNIDADE CONSTRUTIVA",0,IF(H80="CÉLULA CONSTRUTIVA",OFFSET(B80,-1,0)+1,OFFSET(B80,-1,0)))</f>
        <v/>
      </c>
      <c r="C863" s="121">
        <f>IF(H80="CÉLULA CONSTRUTIVA",0,IF(H80="ETAPA",OFFSET(C80,-1,0)+1,OFFSET(C80,-1,0)))</f>
        <v/>
      </c>
      <c r="D863" s="122">
        <f>IF(H80="ETAPA",0,IF(H80="SUBETAPA",OFFSET(D80,-1,0)+1,OFFSET(D80,-1,0)))</f>
        <v/>
      </c>
      <c r="E863" s="122">
        <f>IF(H80="Subetapa",0,IF(H80="serviço",OFFSET(E80,-1,0)+1,OFFSET(E80,-1,0)))</f>
        <v/>
      </c>
      <c r="F863" s="123" t="n"/>
      <c r="G863" s="116" t="inlineStr">
        <is>
          <t>INFRAESTRUTURA</t>
        </is>
      </c>
      <c r="H863" s="44" t="inlineStr">
        <is>
          <t>SERVIÇO</t>
        </is>
      </c>
      <c r="I863" s="45">
        <f>IF(H80="Unidade Construtiva",TEXT(A80,"00"),IF(H80="Célula Construtiva",TEXT(B80,"00"),IF(H80="Etapa",CONCATENATE(TEXT(B80,"00"),".",TEXT(C80,"000")),IF(H80="Subetapa",CONCATENATE(TEXT(B80,"00"),".",TEXT(C80,"000"),".",TEXT(D80,"000")),IF(H80="Serviço",CONCATENATE(TEXT(B80,"00"),".",TEXT(C80,"000"),".",TEXT(D80,"000"),".",TEXT(E80,"000")),"")))))</f>
        <v/>
      </c>
      <c r="J863" s="51" t="inlineStr">
        <is>
          <t xml:space="preserve">Armação aço CA-60 ø 5,00mm para infraestrutura (corte e dobra em obra) </t>
        </is>
      </c>
      <c r="K863" s="47" t="inlineStr">
        <is>
          <t>kg</t>
        </is>
      </c>
      <c r="L863" s="48">
        <f>'Resumo Estrutura'!V12+'Resumo Estrutura'!V13+'Resumo Estrutura'!V14+'Resumo Estrutura'!V15+'Resumo Estrutura'!V19</f>
        <v/>
      </c>
      <c r="M863" s="48">
        <f>(_xlfn.XLOOKUP($J80,[4]CPU!$D$1:$D$6624,[4]CPU!$H$1:$H$6624))*1.1</f>
        <v/>
      </c>
      <c r="N863" s="49">
        <f>IF(H80="Serviço",M80*L80,IF(H80="CÉLULA CONSTRUTIVA",SUMIFS($N$8:$N$155,$B$8:$B$155,B80,$H$8:$H$155,"Serviço"),IF(H80="ETAPA",SUMIFS($N$8:$N$155,$B$8:$B$155,B80,$C$8:$C$155,C80,$H$8:$H$155,"Serviço"),IF(H80="SUBETAPA",SUMIFS($N$8:$N$155,$B$8:$B$155,B80,$C$8:$C$155,C80,$D$8:$D$155,D80,$H$8:$H$155,"Serviço"),0))))</f>
        <v/>
      </c>
      <c r="O863" s="125" t="n"/>
      <c r="P863" s="114" t="n"/>
      <c r="Q863" s="52" t="n"/>
      <c r="R863" s="52" t="n"/>
      <c r="S863" s="52" t="n"/>
      <c r="T863" s="1" t="n"/>
      <c r="U863" s="1" t="n"/>
      <c r="V863" s="1" t="n"/>
      <c r="W863" s="1" t="n"/>
      <c r="X863" s="1" t="n"/>
      <c r="Y863" s="1" t="n"/>
    </row>
    <row r="864">
      <c r="A864" s="121">
        <f>IF($H81="UNIDADE CONSTRUTIVA",OFFSET(A81,-1,0)+1,LARGE(A$3:A80,1))</f>
        <v/>
      </c>
      <c r="B864" s="121">
        <f>IF(H81="UNIDADE CONSTRUTIVA",0,IF(H81="CÉLULA CONSTRUTIVA",OFFSET(B81,-1,0)+1,OFFSET(B81,-1,0)))</f>
        <v/>
      </c>
      <c r="C864" s="121">
        <f>IF(H81="CÉLULA CONSTRUTIVA",0,IF(H81="ETAPA",OFFSET(C81,-1,0)+1,OFFSET(C81,-1,0)))</f>
        <v/>
      </c>
      <c r="D864" s="122">
        <f>IF(H81="ETAPA",0,IF(H81="SUBETAPA",OFFSET(D81,-1,0)+1,OFFSET(D81,-1,0)))</f>
        <v/>
      </c>
      <c r="E864" s="122">
        <f>IF(H81="Subetapa",0,IF(H81="serviço",OFFSET(E81,-1,0)+1,OFFSET(E81,-1,0)))</f>
        <v/>
      </c>
      <c r="F864" s="123" t="n"/>
      <c r="G864" s="116" t="n"/>
      <c r="H864" s="44" t="inlineStr">
        <is>
          <t>SUBETAPA</t>
        </is>
      </c>
      <c r="I864" s="45">
        <f>IF(H81="Unidade Construtiva",TEXT(A81,"00"),IF(H81="Célula Construtiva",TEXT(B81,"00"),IF(H81="Etapa",CONCATENATE(TEXT(B81,"00"),".",TEXT(C81,"000")),IF(H81="Subetapa",CONCATENATE(TEXT(B81,"00"),".",TEXT(C81,"000"),".",TEXT(D81,"000")),IF(H81="Serviço",CONCATENATE(TEXT(B81,"00"),".",TEXT(C81,"000"),".",TEXT(D81,"000"),".",TEXT(E81,"000")),"")))))</f>
        <v/>
      </c>
      <c r="J864" s="51" t="inlineStr">
        <is>
          <t>Concreto</t>
        </is>
      </c>
      <c r="K864" s="47" t="n"/>
      <c r="L864" s="57" t="n"/>
      <c r="M864" s="57" t="n"/>
      <c r="N864" s="49">
        <f>IF(H81="Serviço",M81*L81,IF(H81="CÉLULA CONSTRUTIVA",SUMIFS($N$8:$N$155,$B$8:$B$155,B81,$H$8:$H$155,"Serviço"),IF(H81="ETAPA",SUMIFS($N$8:$N$155,$B$8:$B$155,B81,$C$8:$C$155,C81,$H$8:$H$155,"Serviço"),IF(H81="SUBETAPA",SUMIFS($N$8:$N$155,$B$8:$B$155,B81,$C$8:$C$155,C81,$D$8:$D$155,D81,$H$8:$H$155,"Serviço"),0))))</f>
        <v/>
      </c>
      <c r="O864" s="50">
        <f>N81/[4]CAPA!$C$10</f>
        <v/>
      </c>
      <c r="P864" s="114" t="n"/>
      <c r="Q864" s="52" t="n"/>
      <c r="R864" s="52" t="n"/>
      <c r="S864" s="1" t="n"/>
      <c r="T864" s="1" t="n"/>
      <c r="U864" s="1" t="n"/>
      <c r="V864" s="1" t="n"/>
      <c r="W864" s="1" t="n"/>
      <c r="X864" s="1" t="n"/>
      <c r="Y864" s="1" t="n"/>
    </row>
    <row r="865">
      <c r="A865" s="121">
        <f>IF($H82="UNIDADE CONSTRUTIVA",OFFSET(A82,-1,0)+1,LARGE(A$3:A81,1))</f>
        <v/>
      </c>
      <c r="B865" s="121">
        <f>IF(H82="UNIDADE CONSTRUTIVA",0,IF(H82="CÉLULA CONSTRUTIVA",OFFSET(B82,-1,0)+1,OFFSET(B82,-1,0)))</f>
        <v/>
      </c>
      <c r="C865" s="121">
        <f>IF(H82="CÉLULA CONSTRUTIVA",0,IF(H82="ETAPA",OFFSET(C82,-1,0)+1,OFFSET(C82,-1,0)))</f>
        <v/>
      </c>
      <c r="D865" s="122">
        <f>IF(H82="ETAPA",0,IF(H82="SUBETAPA",OFFSET(D82,-1,0)+1,OFFSET(D82,-1,0)))</f>
        <v/>
      </c>
      <c r="E865" s="122">
        <f>IF(H82="Subetapa",0,IF(H82="serviço",OFFSET(E82,-1,0)+1,OFFSET(E82,-1,0)))</f>
        <v/>
      </c>
      <c r="F865" s="123" t="n"/>
      <c r="G865" s="116" t="inlineStr">
        <is>
          <t>INFRAESTRUTURA</t>
        </is>
      </c>
      <c r="H865" s="44" t="inlineStr">
        <is>
          <t>SERVIÇO</t>
        </is>
      </c>
      <c r="I865" s="45">
        <f>IF(H82="Unidade Construtiva",TEXT(A82,"00"),IF(H82="Célula Construtiva",TEXT(B82,"00"),IF(H82="Etapa",CONCATENATE(TEXT(B82,"00"),".",TEXT(C82,"000")),IF(H82="Subetapa",CONCATENATE(TEXT(B82,"00"),".",TEXT(C82,"000"),".",TEXT(D82,"000")),IF(H82="Serviço",CONCATENATE(TEXT(B82,"00"),".",TEXT(C82,"000"),".",TEXT(D82,"000"),".",TEXT(E82,"000")),"")))))</f>
        <v/>
      </c>
      <c r="J865" s="51" t="inlineStr">
        <is>
          <t>Concreto Usinado bombeável 40MPa para infraestrutura- incluindo serviço de bombeamento</t>
        </is>
      </c>
      <c r="K865" s="47" t="inlineStr">
        <is>
          <t>m3</t>
        </is>
      </c>
      <c r="L865" s="48">
        <f>'Resumo Estrutura'!I12+'Resumo Estrutura'!I13+'Resumo Estrutura'!I14+'Resumo Estrutura'!I15+'Resumo Estrutura'!I19+'Resumo Estrutura'!I20+'Resumo Estrutura'!I21+'Resumo Estrutura'!I22</f>
        <v/>
      </c>
      <c r="M865" s="48">
        <f>_xlfn.XLOOKUP($J82,[4]CPU!$D$1:$D$6624,[4]CPU!$H$1:$H$6624)</f>
        <v/>
      </c>
      <c r="N865" s="49">
        <f>IF(H82="Serviço",M82*L82,IF(H82="CÉLULA CONSTRUTIVA",SUMIFS($N$8:$N$155,$B$8:$B$155,B82,$H$8:$H$155,"Serviço"),IF(H82="ETAPA",SUMIFS($N$8:$N$155,$B$8:$B$155,B82,$C$8:$C$155,C82,$H$8:$H$155,"Serviço"),IF(H82="SUBETAPA",SUMIFS($N$8:$N$155,$B$8:$B$155,B82,$C$8:$C$155,C82,$D$8:$D$155,D82,$H$8:$H$155,"Serviço"),0))))</f>
        <v/>
      </c>
      <c r="O865" s="125" t="n"/>
      <c r="P865" s="114" t="n"/>
      <c r="Q865" s="52" t="n"/>
      <c r="R865" s="52" t="n"/>
      <c r="S865" s="1" t="n"/>
      <c r="T865" s="1" t="n"/>
      <c r="U865" s="1" t="n"/>
      <c r="V865" s="1" t="n"/>
      <c r="W865" s="1" t="n"/>
      <c r="X865" s="1" t="n"/>
      <c r="Y865" s="1" t="n"/>
    </row>
    <row r="866">
      <c r="A866" s="121">
        <f>IF($H83="UNIDADE CONSTRUTIVA",OFFSET(A83,-1,0)+1,LARGE(A$3:A82,1))</f>
        <v/>
      </c>
      <c r="B866" s="121">
        <f>IF(H83="UNIDADE CONSTRUTIVA",0,IF(H83="CÉLULA CONSTRUTIVA",OFFSET(B83,-1,0)+1,OFFSET(B83,-1,0)))</f>
        <v/>
      </c>
      <c r="C866" s="121">
        <f>IF(H83="CÉLULA CONSTRUTIVA",0,IF(H83="ETAPA",OFFSET(C83,-1,0)+1,OFFSET(C83,-1,0)))</f>
        <v/>
      </c>
      <c r="D866" s="122">
        <f>IF(H83="ETAPA",0,IF(H83="SUBETAPA",OFFSET(D83,-1,0)+1,OFFSET(D83,-1,0)))</f>
        <v/>
      </c>
      <c r="E866" s="122">
        <f>IF(H83="Subetapa",0,IF(H83="serviço",OFFSET(E83,-1,0)+1,OFFSET(E83,-1,0)))</f>
        <v/>
      </c>
      <c r="F866" s="123" t="n"/>
      <c r="G866" s="116" t="n"/>
      <c r="H866" s="44" t="inlineStr">
        <is>
          <t>SUBETAPA</t>
        </is>
      </c>
      <c r="I866" s="45">
        <f>IF(H83="Unidade Construtiva",TEXT(A83,"00"),IF(H83="Célula Construtiva",TEXT(B83,"00"),IF(H83="Etapa",CONCATENATE(TEXT(B83,"00"),".",TEXT(C83,"000")),IF(H83="Subetapa",CONCATENATE(TEXT(B83,"00"),".",TEXT(C83,"000"),".",TEXT(D83,"000")),IF(H83="Serviço",CONCATENATE(TEXT(B83,"00"),".",TEXT(C83,"000"),".",TEXT(D83,"000"),".",TEXT(E83,"000")),"")))))</f>
        <v/>
      </c>
      <c r="J866" s="51" t="inlineStr">
        <is>
          <t>Mão de Obra</t>
        </is>
      </c>
      <c r="K866" s="47" t="n"/>
      <c r="L866" s="57" t="n"/>
      <c r="M866" s="57" t="n"/>
      <c r="N866" s="49">
        <f>IF(H83="Serviço",M83*L83,IF(H83="CÉLULA CONSTRUTIVA",SUMIFS($N$8:$N$155,$B$8:$B$155,B83,$H$8:$H$155,"Serviço"),IF(H83="ETAPA",SUMIFS($N$8:$N$155,$B$8:$B$155,B83,$C$8:$C$155,C83,$H$8:$H$155,"Serviço"),IF(H83="SUBETAPA",SUMIFS($N$8:$N$155,$B$8:$B$155,B83,$C$8:$C$155,C83,$D$8:$D$155,D83,$H$8:$H$155,"Serviço"),0))))</f>
        <v/>
      </c>
      <c r="O866" s="50">
        <f>N83/[4]CAPA!$C$10</f>
        <v/>
      </c>
      <c r="P866" s="114" t="n"/>
      <c r="Q866" s="52" t="n"/>
      <c r="R866" s="52" t="n"/>
      <c r="S866" s="1" t="n"/>
      <c r="T866" s="1" t="n"/>
      <c r="U866" s="1" t="n"/>
      <c r="V866" s="1" t="n"/>
      <c r="W866" s="1" t="n"/>
      <c r="X866" s="1" t="n"/>
      <c r="Y866" s="1" t="n"/>
    </row>
    <row r="867">
      <c r="A867" s="121">
        <f>IF($H84="UNIDADE CONSTRUTIVA",OFFSET(A84,-1,0)+1,LARGE(A$3:A83,1))</f>
        <v/>
      </c>
      <c r="B867" s="121">
        <f>IF(H84="UNIDADE CONSTRUTIVA",0,IF(H84="CÉLULA CONSTRUTIVA",OFFSET(B84,-1,0)+1,OFFSET(B84,-1,0)))</f>
        <v/>
      </c>
      <c r="C867" s="121">
        <f>IF(H84="CÉLULA CONSTRUTIVA",0,IF(H84="ETAPA",OFFSET(C84,-1,0)+1,OFFSET(C84,-1,0)))</f>
        <v/>
      </c>
      <c r="D867" s="122">
        <f>IF(H84="ETAPA",0,IF(H84="SUBETAPA",OFFSET(D84,-1,0)+1,OFFSET(D84,-1,0)))</f>
        <v/>
      </c>
      <c r="E867" s="122">
        <f>IF(H84="Subetapa",0,IF(H84="serviço",OFFSET(E84,-1,0)+1,OFFSET(E84,-1,0)))</f>
        <v/>
      </c>
      <c r="F867" s="123" t="n"/>
      <c r="G867" s="116" t="inlineStr">
        <is>
          <t>INFRAESTRUTURA</t>
        </is>
      </c>
      <c r="H867" s="44" t="inlineStr">
        <is>
          <t>SERVIÇO</t>
        </is>
      </c>
      <c r="I867" s="45">
        <f>IF(H84="Unidade Construtiva",TEXT(A84,"00"),IF(H84="Célula Construtiva",TEXT(B84,"00"),IF(H84="Etapa",CONCATENATE(TEXT(B84,"00"),".",TEXT(C84,"000")),IF(H84="Subetapa",CONCATENATE(TEXT(B84,"00"),".",TEXT(C84,"000"),".",TEXT(D84,"000")),IF(H84="Serviço",CONCATENATE(TEXT(B84,"00"),".",TEXT(C84,"000"),".",TEXT(D84,"000"),".",TEXT(E84,"000")),"")))))</f>
        <v/>
      </c>
      <c r="J867" s="51" t="inlineStr">
        <is>
          <t>Mão de obra para execução de fundação</t>
        </is>
      </c>
      <c r="K867" s="47" t="inlineStr">
        <is>
          <t>m2</t>
        </is>
      </c>
      <c r="L867" s="48">
        <f>[4]CAPA!D19</f>
        <v/>
      </c>
      <c r="M867" s="48">
        <f>(_xlfn.XLOOKUP($J84,[4]CPU!$D$1:$D$6624,[4]CPU!$H$1:$H$6624))*1.1</f>
        <v/>
      </c>
      <c r="N867" s="49">
        <f>IF(H84="Serviço",M84*L84,IF(H84="CÉLULA CONSTRUTIVA",SUMIFS($N$8:$N$155,$B$8:$B$155,B84,$H$8:$H$155,"Serviço"),IF(H84="ETAPA",SUMIFS($N$8:$N$155,$B$8:$B$155,B84,$C$8:$C$155,C84,$H$8:$H$155,"Serviço"),IF(H84="SUBETAPA",SUMIFS($N$8:$N$155,$B$8:$B$155,B84,$C$8:$C$155,C84,$D$8:$D$155,D84,$H$8:$H$155,"Serviço"),0))))</f>
        <v/>
      </c>
      <c r="O867" s="50" t="n"/>
      <c r="P867" s="114" t="n"/>
      <c r="Q867" s="52" t="n"/>
      <c r="R867" s="52" t="n"/>
      <c r="S867" s="1" t="n"/>
      <c r="T867" s="1" t="n"/>
      <c r="U867" s="1" t="n"/>
      <c r="V867" s="1" t="n"/>
      <c r="W867" s="1" t="n"/>
      <c r="X867" s="1" t="n"/>
      <c r="Y867" s="1" t="n"/>
    </row>
    <row r="868">
      <c r="A868" s="121">
        <f>IF($H85="UNIDADE CONSTRUTIVA",OFFSET(A85,-1,0)+1,LARGE(A$3:A84,1))</f>
        <v/>
      </c>
      <c r="B868" s="121">
        <f>IF(H85="UNIDADE CONSTRUTIVA",0,IF(H85="CÉLULA CONSTRUTIVA",OFFSET(B85,-1,0)+1,OFFSET(B85,-1,0)))</f>
        <v/>
      </c>
      <c r="C868" s="121">
        <f>IF(H85="CÉLULA CONSTRUTIVA",0,IF(H85="ETAPA",OFFSET(C85,-1,0)+1,OFFSET(C85,-1,0)))</f>
        <v/>
      </c>
      <c r="D868" s="122">
        <f>IF(H85="ETAPA",0,IF(H85="SUBETAPA",OFFSET(D85,-1,0)+1,OFFSET(D85,-1,0)))</f>
        <v/>
      </c>
      <c r="E868" s="122">
        <f>IF(H85="Subetapa",0,IF(H85="serviço",OFFSET(E85,-1,0)+1,OFFSET(E85,-1,0)))</f>
        <v/>
      </c>
      <c r="F868" s="123" t="n"/>
      <c r="G868" s="116" t="inlineStr">
        <is>
          <t>INFRAESTRUTURA</t>
        </is>
      </c>
      <c r="H868" s="44" t="inlineStr">
        <is>
          <t>SERVIÇO</t>
        </is>
      </c>
      <c r="I868" s="45">
        <f>IF(H85="Unidade Construtiva",TEXT(A85,"00"),IF(H85="Célula Construtiva",TEXT(B85,"00"),IF(H85="Etapa",CONCATENATE(TEXT(B85,"00"),".",TEXT(C85,"000")),IF(H85="Subetapa",CONCATENATE(TEXT(B85,"00"),".",TEXT(C85,"000"),".",TEXT(D85,"000")),IF(H85="Serviço",CONCATENATE(TEXT(B85,"00"),".",TEXT(C85,"000"),".",TEXT(D85,"000"),".",TEXT(E85,"000")),"")))))</f>
        <v/>
      </c>
      <c r="J868" s="51" t="inlineStr">
        <is>
          <t>Acompanhamento Topografo - Fundação</t>
        </is>
      </c>
      <c r="K868" s="119" t="inlineStr">
        <is>
          <t>dia</t>
        </is>
      </c>
      <c r="L868" s="120" t="n">
        <v>15</v>
      </c>
      <c r="M868" s="48">
        <f>_xlfn.XLOOKUP($J85,[4]CPU!$D$1:$D$6624,[4]CPU!$H$1:$H$6624)</f>
        <v/>
      </c>
      <c r="N868" s="49">
        <f>IF(H85="Serviço",M85*L85,IF(H85="CÉLULA CONSTRUTIVA",SUMIFS($N$8:$N$155,$B$8:$B$155,B85,$H$8:$H$155,"Serviço"),IF(H85="ETAPA",SUMIFS($N$8:$N$155,$B$8:$B$155,B85,$C$8:$C$155,C85,$H$8:$H$155,"Serviço"),IF(H85="SUBETAPA",SUMIFS($N$8:$N$155,$B$8:$B$155,B85,$C$8:$C$155,C85,$D$8:$D$155,D85,$H$8:$H$155,"Serviço"),0))))</f>
        <v/>
      </c>
      <c r="O868" s="50" t="n"/>
      <c r="P868" s="114" t="n"/>
      <c r="Q868" s="52" t="n"/>
      <c r="R868" s="52" t="n"/>
      <c r="S868" s="1" t="n"/>
      <c r="T868" s="1" t="n"/>
      <c r="U868" s="1" t="n"/>
      <c r="V868" s="1" t="n"/>
      <c r="W868" s="1" t="n"/>
      <c r="X868" s="1" t="n"/>
      <c r="Y868" s="1" t="n"/>
    </row>
    <row r="869">
      <c r="A869" s="121">
        <f>IF($H86="UNIDADE CONSTRUTIVA",OFFSET(A86,-1,0)+1,LARGE(A$3:A85,1))</f>
        <v/>
      </c>
      <c r="B869" s="121">
        <f>IF(H86="UNIDADE CONSTRUTIVA",0,IF(H86="CÉLULA CONSTRUTIVA",OFFSET(B86,-1,0)+1,OFFSET(B86,-1,0)))</f>
        <v/>
      </c>
      <c r="C869" s="121">
        <f>IF(H86="CÉLULA CONSTRUTIVA",0,IF(H86="ETAPA",OFFSET(C86,-1,0)+1,OFFSET(C86,-1,0)))</f>
        <v/>
      </c>
      <c r="D869" s="122">
        <f>IF(H86="ETAPA",0,IF(H86="SUBETAPA",OFFSET(D86,-1,0)+1,OFFSET(D86,-1,0)))</f>
        <v/>
      </c>
      <c r="E869" s="122">
        <f>IF(H86="Subetapa",0,IF(H86="serviço",OFFSET(E86,-1,0)+1,OFFSET(E86,-1,0)))</f>
        <v/>
      </c>
      <c r="F869" s="123" t="n"/>
      <c r="G869" s="43" t="n"/>
      <c r="H869" s="44" t="inlineStr">
        <is>
          <t>CÉLULA CONSTRUTIVA</t>
        </is>
      </c>
      <c r="I869" s="45">
        <f>IF(H86="Unidade Construtiva",TEXT(A86,"00"),IF(H86="Célula Construtiva",TEXT(B86,"00"),IF(H86="Etapa",CONCATENATE(TEXT(B86,"00"),".",TEXT(C86,"000")),IF(H86="Subetapa",CONCATENATE(TEXT(B86,"00"),".",TEXT(C86,"000"),".",TEXT(D86,"000")),IF(H86="Serviço",CONCATENATE(TEXT(B86,"00"),".",TEXT(C86,"000"),".",TEXT(D86,"000"),".",TEXT(E86,"000")),"")))))</f>
        <v/>
      </c>
      <c r="J869" s="51" t="inlineStr">
        <is>
          <t>SUPRAESTRUTURA</t>
        </is>
      </c>
      <c r="K869" s="47" t="n"/>
      <c r="L869" s="48" t="n"/>
      <c r="M869" s="48" t="n"/>
      <c r="N869" s="49">
        <f>IF(H86="Serviço",M86*L86,IF(H86="CÉLULA CONSTRUTIVA",SUMIFS($N$8:$N$122,$B$8:$B$122,B86,$H$8:$H$122,"Serviço"),IF(H86="ETAPA",SUMIFS($N$8:$N$122,$B$8:$B$122,B86,$C$8:$C$122,C86,$H$8:$H$122,"Serviço"),IF(H86="SUBETAPA",SUMIFS($N$8:$N$122,$B$8:$B$122,B86,$C$8:$C$122,C86,$D$8:$D$122,D86,$H$8:$H$122,"Serviço"),0))))</f>
        <v/>
      </c>
      <c r="O869" s="50">
        <f>N86/[4]CAPA!$C$10</f>
        <v/>
      </c>
      <c r="P869" s="114" t="n"/>
      <c r="Q869" s="115" t="n"/>
      <c r="R869" s="52" t="n"/>
      <c r="S869" s="1" t="n"/>
      <c r="T869" s="1" t="n"/>
      <c r="U869" s="1" t="n"/>
      <c r="V869" s="1" t="n"/>
      <c r="W869" s="1" t="n"/>
      <c r="X869" s="1" t="n"/>
      <c r="Y869" s="1" t="n"/>
    </row>
    <row r="870">
      <c r="A870" s="121">
        <f>IF($H87="UNIDADE CONSTRUTIVA",OFFSET(A87,-1,0)+1,LARGE(A$3:A86,1))</f>
        <v/>
      </c>
      <c r="B870" s="121">
        <f>IF(H87="UNIDADE CONSTRUTIVA",0,IF(H87="CÉLULA CONSTRUTIVA",OFFSET(B87,-1,0)+1,OFFSET(B87,-1,0)))</f>
        <v/>
      </c>
      <c r="C870" s="121">
        <f>IF(H87="CÉLULA CONSTRUTIVA",0,IF(H87="ETAPA",OFFSET(C87,-1,0)+1,OFFSET(C87,-1,0)))</f>
        <v/>
      </c>
      <c r="D870" s="122">
        <f>IF(H87="ETAPA",0,IF(H87="SUBETAPA",OFFSET(D87,-1,0)+1,OFFSET(D87,-1,0)))</f>
        <v/>
      </c>
      <c r="E870" s="122">
        <f>IF(H87="Subetapa",0,IF(H87="serviço",OFFSET(E87,-1,0)+1,OFFSET(E87,-1,0)))</f>
        <v/>
      </c>
      <c r="F870" s="123" t="n"/>
      <c r="G870" s="43" t="n"/>
      <c r="H870" s="44" t="inlineStr">
        <is>
          <t>ETAPA</t>
        </is>
      </c>
      <c r="I870" s="45">
        <f>IF(H87="Unidade Construtiva",TEXT(A87,"00"),IF(H87="Célula Construtiva",TEXT(B87,"00"),IF(H87="Etapa",CONCATENATE(TEXT(B87,"00"),".",TEXT(C87,"000")),IF(H87="Subetapa",CONCATENATE(TEXT(B87,"00"),".",TEXT(C87,"000"),".",TEXT(D87,"000")),IF(H87="Serviço",CONCATENATE(TEXT(B87,"00"),".",TEXT(C87,"000"),".",TEXT(D87,"000"),".",TEXT(E87,"000")),"")))))</f>
        <v/>
      </c>
      <c r="J870" s="51" t="inlineStr">
        <is>
          <t>SUPRAESTRUTURA</t>
        </is>
      </c>
      <c r="K870" s="47" t="n"/>
      <c r="L870" s="48" t="n"/>
      <c r="M870" s="48" t="n"/>
      <c r="N870" s="49">
        <f>IF(H87="Serviço",M87*L87,IF(H87="CÉLULA CONSTRUTIVA",SUMIFS($N$8:$N$122,$B$8:$B$122,B87,$H$8:$H$122,"Serviço"),IF(H87="ETAPA",SUMIFS($N$8:$N$122,$B$8:$B$122,B87,$C$8:$C$122,C87,$H$8:$H$122,"Serviço"),IF(H87="SUBETAPA",SUMIFS($N$8:$N$122,$B$8:$B$122,B87,$C$8:$C$122,C87,$D$8:$D$122,D87,$H$8:$H$122,"Serviço"),0))))</f>
        <v/>
      </c>
      <c r="O870" s="50">
        <f>N87/[4]CAPA!$C$10</f>
        <v/>
      </c>
      <c r="P870" s="114" t="n"/>
      <c r="Q870" s="52" t="n"/>
      <c r="R870" s="52" t="n"/>
      <c r="S870" s="1" t="n"/>
      <c r="T870" s="1" t="n"/>
      <c r="U870" s="1" t="n"/>
      <c r="V870" s="1" t="n"/>
      <c r="W870" s="1" t="n"/>
      <c r="X870" s="1" t="n"/>
      <c r="Y870" s="1" t="n"/>
    </row>
    <row r="871">
      <c r="A871" s="121">
        <f>IF($H88="UNIDADE CONSTRUTIVA",OFFSET(A88,-1,0)+1,LARGE(A$3:A87,1))</f>
        <v/>
      </c>
      <c r="B871" s="121">
        <f>IF(H88="UNIDADE CONSTRUTIVA",0,IF(H88="CÉLULA CONSTRUTIVA",OFFSET(B88,-1,0)+1,OFFSET(B88,-1,0)))</f>
        <v/>
      </c>
      <c r="C871" s="121">
        <f>IF(H88="CÉLULA CONSTRUTIVA",0,IF(H88="ETAPA",OFFSET(C88,-1,0)+1,OFFSET(C88,-1,0)))</f>
        <v/>
      </c>
      <c r="D871" s="122">
        <f>IF(H88="ETAPA",0,IF(H88="SUBETAPA",OFFSET(D88,-1,0)+1,OFFSET(D88,-1,0)))</f>
        <v/>
      </c>
      <c r="E871" s="122">
        <f>IF(H88="Subetapa",0,IF(H88="serviço",OFFSET(E88,-1,0)+1,OFFSET(E88,-1,0)))</f>
        <v/>
      </c>
      <c r="F871" s="123" t="n"/>
      <c r="G871" s="43" t="n"/>
      <c r="H871" s="44" t="inlineStr">
        <is>
          <t>SUBETAPA</t>
        </is>
      </c>
      <c r="I871" s="45">
        <f>IF(H88="Unidade Construtiva",TEXT(A88,"00"),IF(H88="Célula Construtiva",TEXT(B88,"00"),IF(H88="Etapa",CONCATENATE(TEXT(B88,"00"),".",TEXT(C88,"000")),IF(H88="Subetapa",CONCATENATE(TEXT(B88,"00"),".",TEXT(C88,"000"),".",TEXT(D88,"000")),IF(H88="Serviço",CONCATENATE(TEXT(B88,"00"),".",TEXT(C88,"000"),".",TEXT(D88,"000"),".",TEXT(E88,"000")),"")))))</f>
        <v/>
      </c>
      <c r="J871" s="51" t="inlineStr">
        <is>
          <t>Forma</t>
        </is>
      </c>
      <c r="K871" s="47" t="n"/>
      <c r="L871" s="48" t="n"/>
      <c r="M871" s="48" t="n"/>
      <c r="N871" s="49">
        <f>IF(H88="Serviço",M88*L88,IF(H88="CÉLULA CONSTRUTIVA",SUMIFS($N$8:$N$122,$B$8:$B$122,B88,$H$8:$H$122,"Serviço"),IF(H88="ETAPA",SUMIFS($N$8:$N$122,$B$8:$B$122,B88,$C$8:$C$122,C88,$H$8:$H$122,"Serviço"),IF(H88="SUBETAPA",SUMIFS($N$8:$N$122,$B$8:$B$122,B88,$C$8:$C$122,C88,$D$8:$D$122,D88,$H$8:$H$122,"Serviço"),0))))</f>
        <v/>
      </c>
      <c r="O871" s="50">
        <f>N88/[4]CAPA!$C$10</f>
        <v/>
      </c>
      <c r="P871" s="114" t="n"/>
      <c r="Q871" s="52" t="n"/>
      <c r="R871" s="52" t="n"/>
      <c r="S871" s="1" t="n"/>
      <c r="T871" s="1" t="n"/>
      <c r="U871" s="1" t="n"/>
      <c r="V871" s="1" t="n"/>
      <c r="W871" s="1" t="n"/>
      <c r="X871" s="1" t="n"/>
      <c r="Y871" s="1" t="n"/>
    </row>
    <row r="872">
      <c r="A872" s="121">
        <f>IF($H89="UNIDADE CONSTRUTIVA",OFFSET(A89,-1,0)+1,LARGE(A$3:A88,1))</f>
        <v/>
      </c>
      <c r="B872" s="121">
        <f>IF(H89="UNIDADE CONSTRUTIVA",0,IF(H89="CÉLULA CONSTRUTIVA",OFFSET(B89,-1,0)+1,OFFSET(B89,-1,0)))</f>
        <v/>
      </c>
      <c r="C872" s="121">
        <f>IF(H89="CÉLULA CONSTRUTIVA",0,IF(H89="ETAPA",OFFSET(C89,-1,0)+1,OFFSET(C89,-1,0)))</f>
        <v/>
      </c>
      <c r="D872" s="122">
        <f>IF(H89="ETAPA",0,IF(H89="SUBETAPA",OFFSET(D89,-1,0)+1,OFFSET(D89,-1,0)))</f>
        <v/>
      </c>
      <c r="E872" s="122">
        <f>IF(H89="Subetapa",0,IF(H89="serviço",OFFSET(E89,-1,0)+1,OFFSET(E89,-1,0)))</f>
        <v/>
      </c>
      <c r="F872" s="123" t="n"/>
      <c r="G872" s="43" t="inlineStr">
        <is>
          <t>SUPRAESTRUTURA</t>
        </is>
      </c>
      <c r="H872" s="44" t="inlineStr">
        <is>
          <t>SERVIÇO</t>
        </is>
      </c>
      <c r="I872" s="45">
        <f>IF(H89="Unidade Construtiva",TEXT(A89,"00"),IF(H89="Célula Construtiva",TEXT(B89,"00"),IF(H89="Etapa",CONCATENATE(TEXT(B89,"00"),".",TEXT(C89,"000")),IF(H89="Subetapa",CONCATENATE(TEXT(B89,"00"),".",TEXT(C89,"000"),".",TEXT(D89,"000")),IF(H89="Serviço",CONCATENATE(TEXT(B89,"00"),".",TEXT(C89,"000"),".",TEXT(D89,"000"),".",TEXT(E89,"000")),"")))))</f>
        <v/>
      </c>
      <c r="J872" s="126" t="inlineStr">
        <is>
          <t>Fabricação de Fôrma para Pilares, em Chapa de Madeira Compensada Resinada, E=17mm</t>
        </is>
      </c>
      <c r="K872" s="47" t="inlineStr">
        <is>
          <t>m²</t>
        </is>
      </c>
      <c r="L872" s="48">
        <f>L93/4</f>
        <v/>
      </c>
      <c r="M872" s="48">
        <f>_xlfn.XLOOKUP($J89,[4]CPU!$D$1:$D$6624,[4]CPU!$H$1:$H$6624)</f>
        <v/>
      </c>
      <c r="N872" s="49">
        <f>IF(H89="Serviço",M89*L89,IF(H89="CÉLULA CONSTRUTIVA",SUMIFS($N$8:$N$122,$B$8:$B$122,B89,$H$8:$H$122,"Serviço"),IF(H89="ETAPA",SUMIFS($N$8:$N$122,$B$8:$B$122,B89,$C$8:$C$122,C89,$H$8:$H$122,"Serviço"),IF(H89="SUBETAPA",SUMIFS($N$8:$N$122,$B$8:$B$122,B89,$C$8:$C$122,C89,$D$8:$D$122,D89,$H$8:$H$122,"Serviço"),0))))</f>
        <v/>
      </c>
      <c r="O872" s="50" t="inlineStr">
        <is>
          <t>Considerado 4 reaproveitamentos, conforme preenchimento em formulário</t>
        </is>
      </c>
      <c r="P872" s="114" t="n"/>
      <c r="Q872" s="52" t="n"/>
      <c r="R872" s="52" t="n"/>
      <c r="S872" s="1" t="n"/>
      <c r="T872" s="1" t="n"/>
      <c r="U872" s="1" t="n"/>
      <c r="V872" s="1" t="n"/>
      <c r="W872" s="1" t="n"/>
      <c r="X872" s="1" t="n"/>
      <c r="Y872" s="1" t="n"/>
    </row>
    <row r="873">
      <c r="A873" s="121">
        <f>IF($H90="UNIDADE CONSTRUTIVA",OFFSET(A90,-1,0)+1,LARGE(A$3:A89,1))</f>
        <v/>
      </c>
      <c r="B873" s="121">
        <f>IF(H90="UNIDADE CONSTRUTIVA",0,IF(H90="CÉLULA CONSTRUTIVA",OFFSET(B90,-1,0)+1,OFFSET(B90,-1,0)))</f>
        <v/>
      </c>
      <c r="C873" s="121">
        <f>IF(H90="CÉLULA CONSTRUTIVA",0,IF(H90="ETAPA",OFFSET(C90,-1,0)+1,OFFSET(C90,-1,0)))</f>
        <v/>
      </c>
      <c r="D873" s="122">
        <f>IF(H90="ETAPA",0,IF(H90="SUBETAPA",OFFSET(D90,-1,0)+1,OFFSET(D90,-1,0)))</f>
        <v/>
      </c>
      <c r="E873" s="122">
        <f>IF(H90="Subetapa",0,IF(H90="serviço",OFFSET(E90,-1,0)+1,OFFSET(E90,-1,0)))</f>
        <v/>
      </c>
      <c r="F873" s="123" t="n"/>
      <c r="G873" s="43" t="inlineStr">
        <is>
          <t>SUPRAESTRUTURA</t>
        </is>
      </c>
      <c r="H873" s="44" t="inlineStr">
        <is>
          <t>SERVIÇO</t>
        </is>
      </c>
      <c r="I873" s="45">
        <f>IF(H90="Unidade Construtiva",TEXT(A90,"00"),IF(H90="Célula Construtiva",TEXT(B90,"00"),IF(H90="Etapa",CONCATENATE(TEXT(B90,"00"),".",TEXT(C90,"000")),IF(H90="Subetapa",CONCATENATE(TEXT(B90,"00"),".",TEXT(C90,"000"),".",TEXT(D90,"000")),IF(H90="Serviço",CONCATENATE(TEXT(B90,"00"),".",TEXT(C90,"000"),".",TEXT(D90,"000"),".",TEXT(E90,"000")),"")))))</f>
        <v/>
      </c>
      <c r="J873" s="126" t="inlineStr">
        <is>
          <t>Fabricação de Fôrma para Vigas, em Chapa de Madeira Compensada Resinada, E=17mm</t>
        </is>
      </c>
      <c r="K873" s="47" t="inlineStr">
        <is>
          <t>m²</t>
        </is>
      </c>
      <c r="L873" s="48">
        <f>L94/4</f>
        <v/>
      </c>
      <c r="M873" s="48">
        <f>_xlfn.XLOOKUP($J90,[4]CPU!$D$1:$D$6624,[4]CPU!$H$1:$H$6624)</f>
        <v/>
      </c>
      <c r="N873" s="49">
        <f>IF(H90="Serviço",M90*L90,IF(H90="CÉLULA CONSTRUTIVA",SUMIFS($N$8:$N$122,$B$8:$B$122,B90,$H$8:$H$122,"Serviço"),IF(H90="ETAPA",SUMIFS($N$8:$N$122,$B$8:$B$122,B90,$C$8:$C$122,C90,$H$8:$H$122,"Serviço"),IF(H90="SUBETAPA",SUMIFS($N$8:$N$122,$B$8:$B$122,B90,$C$8:$C$122,C90,$D$8:$D$122,D90,$H$8:$H$122,"Serviço"),0))))</f>
        <v/>
      </c>
      <c r="O873" s="50" t="inlineStr">
        <is>
          <t>Considerado 4 reaproveitamentos, conforme preenchimento em formulário</t>
        </is>
      </c>
      <c r="P873" s="114" t="n"/>
      <c r="Q873" s="52" t="n"/>
      <c r="R873" s="52" t="n"/>
      <c r="S873" s="1" t="n"/>
      <c r="T873" s="1" t="n"/>
      <c r="U873" s="1" t="n"/>
      <c r="V873" s="1" t="n"/>
      <c r="W873" s="1" t="n"/>
      <c r="X873" s="1" t="n"/>
      <c r="Y873" s="1" t="n"/>
    </row>
    <row r="874">
      <c r="A874" s="121">
        <f>IF($H91="UNIDADE CONSTRUTIVA",OFFSET(A91,-1,0)+1,LARGE(A$3:A90,1))</f>
        <v/>
      </c>
      <c r="B874" s="121">
        <f>IF(H91="UNIDADE CONSTRUTIVA",0,IF(H91="CÉLULA CONSTRUTIVA",OFFSET(B91,-1,0)+1,OFFSET(B91,-1,0)))</f>
        <v/>
      </c>
      <c r="C874" s="121">
        <f>IF(H91="CÉLULA CONSTRUTIVA",0,IF(H91="ETAPA",OFFSET(C91,-1,0)+1,OFFSET(C91,-1,0)))</f>
        <v/>
      </c>
      <c r="D874" s="122">
        <f>IF(H91="ETAPA",0,IF(H91="SUBETAPA",OFFSET(D91,-1,0)+1,OFFSET(D91,-1,0)))</f>
        <v/>
      </c>
      <c r="E874" s="122">
        <f>IF(H91="Subetapa",0,IF(H91="serviço",OFFSET(E91,-1,0)+1,OFFSET(E91,-1,0)))</f>
        <v/>
      </c>
      <c r="F874" s="123" t="n"/>
      <c r="G874" s="43" t="inlineStr">
        <is>
          <t>SUPRAESTRUTURA</t>
        </is>
      </c>
      <c r="H874" s="44" t="inlineStr">
        <is>
          <t>SERVIÇO</t>
        </is>
      </c>
      <c r="I874" s="45">
        <f>IF(H91="Unidade Construtiva",TEXT(A91,"00"),IF(H91="Célula Construtiva",TEXT(B91,"00"),IF(H91="Etapa",CONCATENATE(TEXT(B91,"00"),".",TEXT(C91,"000")),IF(H91="Subetapa",CONCATENATE(TEXT(B91,"00"),".",TEXT(C91,"000"),".",TEXT(D91,"000")),IF(H91="Serviço",CONCATENATE(TEXT(B91,"00"),".",TEXT(C91,"000"),".",TEXT(D91,"000"),".",TEXT(E91,"000")),"")))))</f>
        <v/>
      </c>
      <c r="J874" s="126" t="inlineStr">
        <is>
          <t>Fabricação de Fôrma para Lajes, em Chapa de Madeira Compensada Resinada, E=17mm</t>
        </is>
      </c>
      <c r="K874" s="47" t="inlineStr">
        <is>
          <t>m²</t>
        </is>
      </c>
      <c r="L874" s="48">
        <f>L95/4</f>
        <v/>
      </c>
      <c r="M874" s="48">
        <f>_xlfn.XLOOKUP($J91,[4]CPU!$D$1:$D$6624,[4]CPU!$H$1:$H$6624)</f>
        <v/>
      </c>
      <c r="N874" s="49">
        <f>IF(H91="Serviço",M91*L91,IF(H91="CÉLULA CONSTRUTIVA",SUMIFS($N$8:$N$122,$B$8:$B$122,B91,$H$8:$H$122,"Serviço"),IF(H91="ETAPA",SUMIFS($N$8:$N$122,$B$8:$B$122,B91,$C$8:$C$122,C91,$H$8:$H$122,"Serviço"),IF(H91="SUBETAPA",SUMIFS($N$8:$N$122,$B$8:$B$122,B91,$C$8:$C$122,C91,$D$8:$D$122,D91,$H$8:$H$122,"Serviço"),0))))</f>
        <v/>
      </c>
      <c r="O874" s="50" t="inlineStr">
        <is>
          <t>Considerado 4 reaproveitamentos, conforme preenchimento em formulário</t>
        </is>
      </c>
      <c r="P874" s="114" t="n"/>
      <c r="Q874" s="52" t="n"/>
      <c r="R874" s="52" t="n"/>
      <c r="S874" s="1" t="n"/>
      <c r="T874" s="1" t="n"/>
      <c r="U874" s="1" t="n"/>
      <c r="V874" s="1" t="n"/>
      <c r="W874" s="1" t="n"/>
      <c r="X874" s="1" t="n"/>
      <c r="Y874" s="1" t="n"/>
    </row>
    <row r="875">
      <c r="A875" s="121">
        <f>IF($H92="UNIDADE CONSTRUTIVA",OFFSET(A92,-1,0)+1,LARGE(A$3:A91,1))</f>
        <v/>
      </c>
      <c r="B875" s="121">
        <f>IF(H92="UNIDADE CONSTRUTIVA",0,IF(H92="CÉLULA CONSTRUTIVA",OFFSET(B92,-1,0)+1,OFFSET(B92,-1,0)))</f>
        <v/>
      </c>
      <c r="C875" s="121">
        <f>IF(H92="CÉLULA CONSTRUTIVA",0,IF(H92="ETAPA",OFFSET(C92,-1,0)+1,OFFSET(C92,-1,0)))</f>
        <v/>
      </c>
      <c r="D875" s="122">
        <f>IF(H92="ETAPA",0,IF(H92="SUBETAPA",OFFSET(D92,-1,0)+1,OFFSET(D92,-1,0)))</f>
        <v/>
      </c>
      <c r="E875" s="122">
        <f>IF(H92="Subetapa",0,IF(H92="serviço",OFFSET(E92,-1,0)+1,OFFSET(E92,-1,0)))</f>
        <v/>
      </c>
      <c r="F875" s="123" t="n"/>
      <c r="G875" s="43" t="inlineStr">
        <is>
          <t>SUPRAESTRUTURA</t>
        </is>
      </c>
      <c r="H875" s="44" t="inlineStr">
        <is>
          <t>SERVIÇO</t>
        </is>
      </c>
      <c r="I875" s="45">
        <f>IF(H92="Unidade Construtiva",TEXT(A92,"00"),IF(H92="Célula Construtiva",TEXT(B92,"00"),IF(H92="Etapa",CONCATENATE(TEXT(B92,"00"),".",TEXT(C92,"000")),IF(H92="Subetapa",CONCATENATE(TEXT(B92,"00"),".",TEXT(C92,"000"),".",TEXT(D92,"000")),IF(H92="Serviço",CONCATENATE(TEXT(B92,"00"),".",TEXT(C92,"000"),".",TEXT(D92,"000"),".",TEXT(E92,"000")),"")))))</f>
        <v/>
      </c>
      <c r="J875" s="126" t="inlineStr">
        <is>
          <t>Fabricação de Fôrma para Escadas, em Chapa de Madeira Compensada Resinada, E=17mm</t>
        </is>
      </c>
      <c r="K875" s="47" t="inlineStr">
        <is>
          <t>m²</t>
        </is>
      </c>
      <c r="L875" s="48">
        <f>L96/4</f>
        <v/>
      </c>
      <c r="M875" s="48">
        <f>_xlfn.XLOOKUP($J92,[4]CPU!$D$1:$D$6624,[4]CPU!$H$1:$H$6624)</f>
        <v/>
      </c>
      <c r="N875" s="49">
        <f>IF(H92="Serviço",M92*L92,IF(H92="CÉLULA CONSTRUTIVA",SUMIFS($N$8:$N$122,$B$8:$B$122,B92,$H$8:$H$122,"Serviço"),IF(H92="ETAPA",SUMIFS($N$8:$N$122,$B$8:$B$122,B92,$C$8:$C$122,C92,$H$8:$H$122,"Serviço"),IF(H92="SUBETAPA",SUMIFS($N$8:$N$122,$B$8:$B$122,B92,$C$8:$C$122,C92,$D$8:$D$122,D92,$H$8:$H$122,"Serviço"),0))))</f>
        <v/>
      </c>
      <c r="O875" s="50" t="inlineStr">
        <is>
          <t>Considerado 4 reaproveitamentos, conforme preenchimento em formulário</t>
        </is>
      </c>
      <c r="P875" s="114" t="n"/>
      <c r="Q875" s="52" t="n"/>
      <c r="R875" s="52" t="n"/>
      <c r="S875" s="1" t="n"/>
      <c r="T875" s="1" t="n"/>
      <c r="U875" s="1" t="n"/>
      <c r="V875" s="1" t="n"/>
      <c r="W875" s="1" t="n"/>
      <c r="X875" s="1" t="n"/>
      <c r="Y875" s="1" t="n"/>
    </row>
    <row r="876">
      <c r="A876" s="121">
        <f>IF($H93="UNIDADE CONSTRUTIVA",OFFSET(A93,-1,0)+1,LARGE(A$3:A92,1))</f>
        <v/>
      </c>
      <c r="B876" s="121">
        <f>IF(H93="UNIDADE CONSTRUTIVA",0,IF(H93="CÉLULA CONSTRUTIVA",OFFSET(B93,-1,0)+1,OFFSET(B93,-1,0)))</f>
        <v/>
      </c>
      <c r="C876" s="121">
        <f>IF(H93="CÉLULA CONSTRUTIVA",0,IF(H93="ETAPA",OFFSET(C93,-1,0)+1,OFFSET(C93,-1,0)))</f>
        <v/>
      </c>
      <c r="D876" s="122">
        <f>IF(H93="ETAPA",0,IF(H93="SUBETAPA",OFFSET(D93,-1,0)+1,OFFSET(D93,-1,0)))</f>
        <v/>
      </c>
      <c r="E876" s="122">
        <f>IF(H93="Subetapa",0,IF(H93="serviço",OFFSET(E93,-1,0)+1,OFFSET(E93,-1,0)))</f>
        <v/>
      </c>
      <c r="F876" s="123" t="n"/>
      <c r="G876" s="43" t="inlineStr">
        <is>
          <t>SUPRAESTRUTURA</t>
        </is>
      </c>
      <c r="H876" s="44" t="inlineStr">
        <is>
          <t>SERVIÇO</t>
        </is>
      </c>
      <c r="I876" s="45">
        <f>IF(H93="Unidade Construtiva",TEXT(A93,"00"),IF(H93="Célula Construtiva",TEXT(B93,"00"),IF(H93="Etapa",CONCATENATE(TEXT(B93,"00"),".",TEXT(C93,"000")),IF(H93="Subetapa",CONCATENATE(TEXT(B93,"00"),".",TEXT(C93,"000"),".",TEXT(D93,"000")),IF(H93="Serviço",CONCATENATE(TEXT(B93,"00"),".",TEXT(C93,"000"),".",TEXT(D93,"000"),".",TEXT(E93,"000")),"")))))</f>
        <v/>
      </c>
      <c r="J876" s="51" t="inlineStr">
        <is>
          <t>Montagem e Desmontagem de Fôrma de Pilares</t>
        </is>
      </c>
      <c r="K876" s="47" t="inlineStr">
        <is>
          <t>m²</t>
        </is>
      </c>
      <c r="L876" s="48">
        <f>'Resumo Estrutura'!J178</f>
        <v/>
      </c>
      <c r="M876" s="48">
        <f>_xlfn.XLOOKUP($J93,[4]CPU!$D$1:$D$6624,[4]CPU!$H$1:$H$6624)</f>
        <v/>
      </c>
      <c r="N876" s="49">
        <f>IF(H93="Serviço",M93*L93,IF(H93="CÉLULA CONSTRUTIVA",SUMIFS($N$8:$N$122,$B$8:$B$122,B93,$H$8:$H$122,"Serviço"),IF(H93="ETAPA",SUMIFS($N$8:$N$122,$B$8:$B$122,B93,$C$8:$C$122,C93,$H$8:$H$122,"Serviço"),IF(H93="SUBETAPA",SUMIFS($N$8:$N$122,$B$8:$B$122,B93,$C$8:$C$122,C93,$D$8:$D$122,D93,$H$8:$H$122,"Serviço"),0))))</f>
        <v/>
      </c>
      <c r="O876" s="127" t="n"/>
      <c r="P876" s="114" t="n"/>
      <c r="Q876" s="52" t="n"/>
      <c r="R876" s="52" t="n"/>
      <c r="S876" s="1" t="n"/>
      <c r="T876" s="1" t="n"/>
      <c r="U876" s="1" t="n"/>
      <c r="V876" s="1" t="n"/>
      <c r="W876" s="1" t="n"/>
      <c r="X876" s="1" t="n"/>
      <c r="Y876" s="1" t="n"/>
    </row>
    <row r="877">
      <c r="A877" s="121">
        <f>IF($H94="UNIDADE CONSTRUTIVA",OFFSET(A94,-1,0)+1,LARGE(A$3:A93,1))</f>
        <v/>
      </c>
      <c r="B877" s="121">
        <f>IF(H94="UNIDADE CONSTRUTIVA",0,IF(H94="CÉLULA CONSTRUTIVA",OFFSET(B94,-1,0)+1,OFFSET(B94,-1,0)))</f>
        <v/>
      </c>
      <c r="C877" s="121">
        <f>IF(H94="CÉLULA CONSTRUTIVA",0,IF(H94="ETAPA",OFFSET(C94,-1,0)+1,OFFSET(C94,-1,0)))</f>
        <v/>
      </c>
      <c r="D877" s="122">
        <f>IF(H94="ETAPA",0,IF(H94="SUBETAPA",OFFSET(D94,-1,0)+1,OFFSET(D94,-1,0)))</f>
        <v/>
      </c>
      <c r="E877" s="122">
        <f>IF(H94="Subetapa",0,IF(H94="serviço",OFFSET(E94,-1,0)+1,OFFSET(E94,-1,0)))</f>
        <v/>
      </c>
      <c r="F877" s="123" t="n"/>
      <c r="G877" s="43" t="inlineStr">
        <is>
          <t>SUPRAESTRUTURA</t>
        </is>
      </c>
      <c r="H877" s="44" t="inlineStr">
        <is>
          <t>SERVIÇO</t>
        </is>
      </c>
      <c r="I877" s="45">
        <f>IF(H94="Unidade Construtiva",TEXT(A94,"00"),IF(H94="Célula Construtiva",TEXT(B94,"00"),IF(H94="Etapa",CONCATENATE(TEXT(B94,"00"),".",TEXT(C94,"000")),IF(H94="Subetapa",CONCATENATE(TEXT(B94,"00"),".",TEXT(C94,"000"),".",TEXT(D94,"000")),IF(H94="Serviço",CONCATENATE(TEXT(B94,"00"),".",TEXT(C94,"000"),".",TEXT(D94,"000"),".",TEXT(E94,"000")),"")))))</f>
        <v/>
      </c>
      <c r="J877" s="51" t="inlineStr">
        <is>
          <t>Montagem e Desmontagem de Fôrma de Vigas</t>
        </is>
      </c>
      <c r="K877" s="47" t="inlineStr">
        <is>
          <t>m²</t>
        </is>
      </c>
      <c r="L877" s="48">
        <f>'Resumo Estrutura'!J179</f>
        <v/>
      </c>
      <c r="M877" s="48">
        <f>_xlfn.XLOOKUP($J94,[4]CPU!$D$1:$D$6624,[4]CPU!$H$1:$H$6624)</f>
        <v/>
      </c>
      <c r="N877" s="49">
        <f>IF(H94="Serviço",M94*L94,IF(H94="CÉLULA CONSTRUTIVA",SUMIFS($N$8:$N$122,$B$8:$B$122,B94,$H$8:$H$122,"Serviço"),IF(H94="ETAPA",SUMIFS($N$8:$N$122,$B$8:$B$122,B94,$C$8:$C$122,C94,$H$8:$H$122,"Serviço"),IF(H94="SUBETAPA",SUMIFS($N$8:$N$122,$B$8:$B$122,B94,$C$8:$C$122,C94,$D$8:$D$122,D94,$H$8:$H$122,"Serviço"),0))))</f>
        <v/>
      </c>
      <c r="O877" s="127" t="n"/>
      <c r="P877" s="114" t="n"/>
      <c r="Q877" s="52" t="n"/>
      <c r="R877" s="52" t="n"/>
      <c r="S877" s="1" t="n"/>
      <c r="T877" s="1" t="n"/>
      <c r="U877" s="1" t="n"/>
      <c r="V877" s="1" t="n"/>
      <c r="W877" s="1" t="n"/>
      <c r="X877" s="1" t="n"/>
      <c r="Y877" s="1" t="n"/>
    </row>
    <row r="878">
      <c r="A878" s="121">
        <f>IF($H95="UNIDADE CONSTRUTIVA",OFFSET(A95,-1,0)+1,LARGE(A$3:A94,1))</f>
        <v/>
      </c>
      <c r="B878" s="121">
        <f>IF(H95="UNIDADE CONSTRUTIVA",0,IF(H95="CÉLULA CONSTRUTIVA",OFFSET(B95,-1,0)+1,OFFSET(B95,-1,0)))</f>
        <v/>
      </c>
      <c r="C878" s="121">
        <f>IF(H95="CÉLULA CONSTRUTIVA",0,IF(H95="ETAPA",OFFSET(C95,-1,0)+1,OFFSET(C95,-1,0)))</f>
        <v/>
      </c>
      <c r="D878" s="122">
        <f>IF(H95="ETAPA",0,IF(H95="SUBETAPA",OFFSET(D95,-1,0)+1,OFFSET(D95,-1,0)))</f>
        <v/>
      </c>
      <c r="E878" s="122">
        <f>IF(H95="Subetapa",0,IF(H95="serviço",OFFSET(E95,-1,0)+1,OFFSET(E95,-1,0)))</f>
        <v/>
      </c>
      <c r="F878" s="123" t="n"/>
      <c r="G878" s="43" t="inlineStr">
        <is>
          <t>SUPRAESTRUTURA</t>
        </is>
      </c>
      <c r="H878" s="44" t="inlineStr">
        <is>
          <t>SERVIÇO</t>
        </is>
      </c>
      <c r="I878" s="45">
        <f>IF(H95="Unidade Construtiva",TEXT(A95,"00"),IF(H95="Célula Construtiva",TEXT(B95,"00"),IF(H95="Etapa",CONCATENATE(TEXT(B95,"00"),".",TEXT(C95,"000")),IF(H95="Subetapa",CONCATENATE(TEXT(B95,"00"),".",TEXT(C95,"000"),".",TEXT(D95,"000")),IF(H95="Serviço",CONCATENATE(TEXT(B95,"00"),".",TEXT(C95,"000"),".",TEXT(D95,"000"),".",TEXT(E95,"000")),"")))))</f>
        <v/>
      </c>
      <c r="J878" s="51" t="inlineStr">
        <is>
          <t>Montagem e Desmontagem de Fôrma de Lajes</t>
        </is>
      </c>
      <c r="K878" s="47" t="inlineStr">
        <is>
          <t>m²</t>
        </is>
      </c>
      <c r="L878" s="48">
        <f>'Resumo Estrutura'!J180</f>
        <v/>
      </c>
      <c r="M878" s="48">
        <f>_xlfn.XLOOKUP($J95,[4]CPU!$D$1:$D$6624,[4]CPU!$H$1:$H$6624)</f>
        <v/>
      </c>
      <c r="N878" s="49">
        <f>IF(H95="Serviço",M95*L95,IF(H95="CÉLULA CONSTRUTIVA",SUMIFS($N$8:$N$122,$B$8:$B$122,B95,$H$8:$H$122,"Serviço"),IF(H95="ETAPA",SUMIFS($N$8:$N$122,$B$8:$B$122,B95,$C$8:$C$122,C95,$H$8:$H$122,"Serviço"),IF(H95="SUBETAPA",SUMIFS($N$8:$N$122,$B$8:$B$122,B95,$C$8:$C$122,C95,$D$8:$D$122,D95,$H$8:$H$122,"Serviço"),0))))</f>
        <v/>
      </c>
      <c r="O878" s="127" t="n"/>
      <c r="P878" s="114" t="n"/>
      <c r="Q878" s="52" t="n"/>
      <c r="R878" s="52" t="n"/>
      <c r="S878" s="1" t="n"/>
      <c r="T878" s="1" t="n"/>
      <c r="U878" s="1" t="n"/>
      <c r="V878" s="1" t="n"/>
      <c r="W878" s="1" t="n"/>
      <c r="X878" s="1" t="n"/>
      <c r="Y878" s="1" t="n"/>
    </row>
    <row r="879">
      <c r="A879" s="121">
        <f>IF($H96="UNIDADE CONSTRUTIVA",OFFSET(A96,-1,0)+1,LARGE(A$3:A95,1))</f>
        <v/>
      </c>
      <c r="B879" s="121">
        <f>IF(H96="UNIDADE CONSTRUTIVA",0,IF(H96="CÉLULA CONSTRUTIVA",OFFSET(B96,-1,0)+1,OFFSET(B96,-1,0)))</f>
        <v/>
      </c>
      <c r="C879" s="121">
        <f>IF(H96="CÉLULA CONSTRUTIVA",0,IF(H96="ETAPA",OFFSET(C96,-1,0)+1,OFFSET(C96,-1,0)))</f>
        <v/>
      </c>
      <c r="D879" s="122">
        <f>IF(H96="ETAPA",0,IF(H96="SUBETAPA",OFFSET(D96,-1,0)+1,OFFSET(D96,-1,0)))</f>
        <v/>
      </c>
      <c r="E879" s="122">
        <f>IF(H96="Subetapa",0,IF(H96="serviço",OFFSET(E96,-1,0)+1,OFFSET(E96,-1,0)))</f>
        <v/>
      </c>
      <c r="F879" s="123" t="n"/>
      <c r="G879" s="43" t="inlineStr">
        <is>
          <t>SUPRAESTRUTURA</t>
        </is>
      </c>
      <c r="H879" s="44" t="inlineStr">
        <is>
          <t>SERVIÇO</t>
        </is>
      </c>
      <c r="I879" s="45">
        <f>IF(H96="Unidade Construtiva",TEXT(A96,"00"),IF(H96="Célula Construtiva",TEXT(B96,"00"),IF(H96="Etapa",CONCATENATE(TEXT(B96,"00"),".",TEXT(C96,"000")),IF(H96="Subetapa",CONCATENATE(TEXT(B96,"00"),".",TEXT(C96,"000"),".",TEXT(D96,"000")),IF(H96="Serviço",CONCATENATE(TEXT(B96,"00"),".",TEXT(C96,"000"),".",TEXT(D96,"000"),".",TEXT(E96,"000")),"")))))</f>
        <v/>
      </c>
      <c r="J879" s="51" t="inlineStr">
        <is>
          <t>Montagem e Desmontagem de Fôrma de Escadas</t>
        </is>
      </c>
      <c r="K879" s="47" t="inlineStr">
        <is>
          <t>m²</t>
        </is>
      </c>
      <c r="L879" s="48">
        <f>'Resumo Estrutura'!J181</f>
        <v/>
      </c>
      <c r="M879" s="48">
        <f>_xlfn.XLOOKUP($J96,[4]CPU!$D$1:$D$6624,[4]CPU!$H$1:$H$6624)</f>
        <v/>
      </c>
      <c r="N879" s="49">
        <f>IF(H96="Serviço",M96*L96,IF(H96="CÉLULA CONSTRUTIVA",SUMIFS($N$8:$N$122,$B$8:$B$122,B96,$H$8:$H$122,"Serviço"),IF(H96="ETAPA",SUMIFS($N$8:$N$122,$B$8:$B$122,B96,$C$8:$C$122,C96,$H$8:$H$122,"Serviço"),IF(H96="SUBETAPA",SUMIFS($N$8:$N$122,$B$8:$B$122,B96,$C$8:$C$122,C96,$D$8:$D$122,D96,$H$8:$H$122,"Serviço"),0))))</f>
        <v/>
      </c>
      <c r="O879" s="127" t="n"/>
      <c r="P879" s="114" t="n"/>
      <c r="Q879" s="52" t="n"/>
      <c r="R879" s="52" t="n"/>
      <c r="S879" s="1" t="n"/>
      <c r="T879" s="1" t="n"/>
      <c r="U879" s="1" t="n"/>
      <c r="V879" s="1" t="n"/>
      <c r="W879" s="1" t="n"/>
      <c r="X879" s="1" t="n"/>
      <c r="Y879" s="1" t="n"/>
    </row>
    <row r="880">
      <c r="A880" s="121">
        <f>IF($H97="UNIDADE CONSTRUTIVA",OFFSET(A97,-1,0)+1,LARGE(A$3:A96,1))</f>
        <v/>
      </c>
      <c r="B880" s="121">
        <f>IF(H97="UNIDADE CONSTRUTIVA",0,IF(H97="CÉLULA CONSTRUTIVA",OFFSET(B97,-1,0)+1,OFFSET(B97,-1,0)))</f>
        <v/>
      </c>
      <c r="C880" s="121">
        <f>IF(H97="CÉLULA CONSTRUTIVA",0,IF(H97="ETAPA",OFFSET(C97,-1,0)+1,OFFSET(C97,-1,0)))</f>
        <v/>
      </c>
      <c r="D880" s="122">
        <f>IF(H97="ETAPA",0,IF(H97="SUBETAPA",OFFSET(D97,-1,0)+1,OFFSET(D97,-1,0)))</f>
        <v/>
      </c>
      <c r="E880" s="122">
        <f>IF(H97="Subetapa",0,IF(H97="serviço",OFFSET(E97,-1,0)+1,OFFSET(E97,-1,0)))</f>
        <v/>
      </c>
      <c r="F880" s="123" t="n"/>
      <c r="G880" s="43" t="n"/>
      <c r="H880" s="44" t="inlineStr">
        <is>
          <t>SUBETAPA</t>
        </is>
      </c>
      <c r="I880" s="45">
        <f>IF(H97="Unidade Construtiva",TEXT(A97,"00"),IF(H97="Célula Construtiva",TEXT(B97,"00"),IF(H97="Etapa",CONCATENATE(TEXT(B97,"00"),".",TEXT(C97,"000")),IF(H97="Subetapa",CONCATENATE(TEXT(B97,"00"),".",TEXT(C97,"000"),".",TEXT(D97,"000")),IF(H97="Serviço",CONCATENATE(TEXT(B97,"00"),".",TEXT(C97,"000"),".",TEXT(D97,"000"),".",TEXT(E97,"000")),"")))))</f>
        <v/>
      </c>
      <c r="J880" s="128" t="inlineStr">
        <is>
          <t>Armadura</t>
        </is>
      </c>
      <c r="K880" s="47" t="n"/>
      <c r="L880" s="48" t="n"/>
      <c r="M880" s="48" t="n"/>
      <c r="N880" s="49">
        <f>IF(H97="Serviço",M97*L97,IF(H97="CÉLULA CONSTRUTIVA",SUMIFS($N$8:$N$122,$B$8:$B$122,B97,$H$8:$H$122,"Serviço"),IF(H97="ETAPA",SUMIFS($N$8:$N$122,$B$8:$B$122,B97,$C$8:$C$122,C97,$H$8:$H$122,"Serviço"),IF(H97="SUBETAPA",SUMIFS($N$8:$N$122,$B$8:$B$122,B97,$C$8:$C$122,C97,$D$8:$D$122,D97,$H$8:$H$122,"Serviço"),0))))</f>
        <v/>
      </c>
      <c r="O880" s="50">
        <f>N97/[4]CAPA!$C$10</f>
        <v/>
      </c>
      <c r="P880" s="114" t="n"/>
      <c r="Q880" s="52" t="n"/>
      <c r="R880" s="52" t="n"/>
      <c r="S880" s="1" t="n"/>
      <c r="T880" s="1" t="n"/>
      <c r="U880" s="1" t="n"/>
      <c r="V880" s="1" t="n"/>
      <c r="W880" s="1" t="n"/>
      <c r="X880" s="1" t="n"/>
      <c r="Y880" s="1" t="n"/>
    </row>
    <row r="881">
      <c r="A881" s="121">
        <f>IF($H98="UNIDADE CONSTRUTIVA",OFFSET(A98,-1,0)+1,LARGE(A$3:A97,1))</f>
        <v/>
      </c>
      <c r="B881" s="121">
        <f>IF(H98="UNIDADE CONSTRUTIVA",0,IF(H98="CÉLULA CONSTRUTIVA",OFFSET(B98,-1,0)+1,OFFSET(B98,-1,0)))</f>
        <v/>
      </c>
      <c r="C881" s="121">
        <f>IF(H98="CÉLULA CONSTRUTIVA",0,IF(H98="ETAPA",OFFSET(C98,-1,0)+1,OFFSET(C98,-1,0)))</f>
        <v/>
      </c>
      <c r="D881" s="122">
        <f>IF(H98="ETAPA",0,IF(H98="SUBETAPA",OFFSET(D98,-1,0)+1,OFFSET(D98,-1,0)))</f>
        <v/>
      </c>
      <c r="E881" s="122">
        <f>IF(H98="Subetapa",0,IF(H98="serviço",OFFSET(E98,-1,0)+1,OFFSET(E98,-1,0)))</f>
        <v/>
      </c>
      <c r="F881" s="123" t="n"/>
      <c r="G881" s="43" t="inlineStr">
        <is>
          <t>SUPRAESTRUTURA</t>
        </is>
      </c>
      <c r="H881" s="44" t="inlineStr">
        <is>
          <t>SERVIÇO</t>
        </is>
      </c>
      <c r="I881" s="45">
        <f>IF(H98="Unidade Construtiva",TEXT(A98,"00"),IF(H98="Célula Construtiva",TEXT(B98,"00"),IF(H98="Etapa",CONCATENATE(TEXT(B98,"00"),".",TEXT(C98,"000")),IF(H98="Subetapa",CONCATENATE(TEXT(B98,"00"),".",TEXT(C98,"000"),".",TEXT(D98,"000")),IF(H98="Serviço",CONCATENATE(TEXT(B98,"00"),".",TEXT(C98,"000"),".",TEXT(D98,"000"),".",TEXT(E98,"000")),"")))))</f>
        <v/>
      </c>
      <c r="J881" s="126" t="inlineStr">
        <is>
          <t>Armação Aço CA-60, Diâmetro de 5,0mm para Supraestrutura, Corte e Dobra em Industria</t>
        </is>
      </c>
      <c r="K881" s="47" t="inlineStr">
        <is>
          <t>kg</t>
        </is>
      </c>
      <c r="L881" s="48">
        <f>'Resumo Estrutura'!V173</f>
        <v/>
      </c>
      <c r="M881" s="48">
        <f>_xlfn.XLOOKUP($J98,[4]CPU!$D$1:$D$6624,[4]CPU!$H$1:$H$6624)</f>
        <v/>
      </c>
      <c r="N881" s="49">
        <f>IF(H98="Serviço",M98*L98,IF(H98="CÉLULA CONSTRUTIVA",SUMIFS($N$8:$N$122,$B$8:$B$122,B98,$H$8:$H$122,"Serviço"),IF(H98="ETAPA",SUMIFS($N$8:$N$122,$B$8:$B$122,B98,$C$8:$C$122,C98,$H$8:$H$122,"Serviço"),IF(H98="SUBETAPA",SUMIFS($N$8:$N$122,$B$8:$B$122,B98,$C$8:$C$122,C98,$D$8:$D$122,D98,$H$8:$H$122,"Serviço"),0))))</f>
        <v/>
      </c>
      <c r="O881" s="127" t="n"/>
      <c r="P881" s="114" t="n"/>
      <c r="Q881" s="52" t="n"/>
      <c r="R881" s="52" t="n"/>
      <c r="S881" s="1" t="n"/>
      <c r="T881" s="1" t="n"/>
      <c r="U881" s="1" t="n"/>
      <c r="V881" s="1" t="n"/>
      <c r="W881" s="1" t="n"/>
      <c r="X881" s="1" t="n"/>
      <c r="Y881" s="1" t="n"/>
    </row>
    <row r="882">
      <c r="A882" s="121">
        <f>IF($H99="UNIDADE CONSTRUTIVA",OFFSET(A99,-1,0)+1,LARGE(A$3:A98,1))</f>
        <v/>
      </c>
      <c r="B882" s="121">
        <f>IF(H99="UNIDADE CONSTRUTIVA",0,IF(H99="CÉLULA CONSTRUTIVA",OFFSET(B99,-1,0)+1,OFFSET(B99,-1,0)))</f>
        <v/>
      </c>
      <c r="C882" s="121">
        <f>IF(H99="CÉLULA CONSTRUTIVA",0,IF(H99="ETAPA",OFFSET(C99,-1,0)+1,OFFSET(C99,-1,0)))</f>
        <v/>
      </c>
      <c r="D882" s="122">
        <f>IF(H99="ETAPA",0,IF(H99="SUBETAPA",OFFSET(D99,-1,0)+1,OFFSET(D99,-1,0)))</f>
        <v/>
      </c>
      <c r="E882" s="122">
        <f>IF(H99="Subetapa",0,IF(H99="serviço",OFFSET(E99,-1,0)+1,OFFSET(E99,-1,0)))</f>
        <v/>
      </c>
      <c r="F882" s="123" t="n"/>
      <c r="G882" s="43" t="inlineStr">
        <is>
          <t>SUPRAESTRUTURA</t>
        </is>
      </c>
      <c r="H882" s="44" t="inlineStr">
        <is>
          <t>SERVIÇO</t>
        </is>
      </c>
      <c r="I882" s="45">
        <f>IF(H99="Unidade Construtiva",TEXT(A99,"00"),IF(H99="Célula Construtiva",TEXT(B99,"00"),IF(H99="Etapa",CONCATENATE(TEXT(B99,"00"),".",TEXT(C99,"000")),IF(H99="Subetapa",CONCATENATE(TEXT(B99,"00"),".",TEXT(C99,"000"),".",TEXT(D99,"000")),IF(H99="Serviço",CONCATENATE(TEXT(B99,"00"),".",TEXT(C99,"000"),".",TEXT(D99,"000"),".",TEXT(E99,"000")),"")))))</f>
        <v/>
      </c>
      <c r="J882" s="126" t="inlineStr">
        <is>
          <t>Armação Aço CA-50, Diâmetro de 6,3mm para Supraestrutura, Corte e Dobra em Industria</t>
        </is>
      </c>
      <c r="K882" s="47" t="inlineStr">
        <is>
          <t>kg</t>
        </is>
      </c>
      <c r="L882" s="48">
        <f>'Resumo Estrutura'!W173</f>
        <v/>
      </c>
      <c r="M882" s="48">
        <f>_xlfn.XLOOKUP($J99,[4]CPU!$D$1:$D$6624,[4]CPU!$H$1:$H$6624)</f>
        <v/>
      </c>
      <c r="N882" s="49">
        <f>IF(H99="Serviço",M99*L99,IF(H99="CÉLULA CONSTRUTIVA",SUMIFS($N$8:$N$122,$B$8:$B$122,B99,$H$8:$H$122,"Serviço"),IF(H99="ETAPA",SUMIFS($N$8:$N$122,$B$8:$B$122,B99,$C$8:$C$122,C99,$H$8:$H$122,"Serviço"),IF(H99="SUBETAPA",SUMIFS($N$8:$N$122,$B$8:$B$122,B99,$C$8:$C$122,C99,$D$8:$D$122,D99,$H$8:$H$122,"Serviço"),0))))</f>
        <v/>
      </c>
      <c r="O882" s="127" t="n"/>
      <c r="P882" s="114" t="n"/>
      <c r="Q882" s="129" t="n"/>
      <c r="R882" s="52" t="n"/>
      <c r="S882" s="1" t="n"/>
      <c r="T882" s="1" t="n"/>
      <c r="U882" s="1" t="n"/>
      <c r="V882" s="1" t="n"/>
      <c r="W882" s="1" t="n"/>
      <c r="X882" s="1" t="n"/>
      <c r="Y882" s="1" t="n"/>
    </row>
    <row r="883">
      <c r="A883" s="121">
        <f>IF($H100="UNIDADE CONSTRUTIVA",OFFSET(A100,-1,0)+1,LARGE(A$3:A99,1))</f>
        <v/>
      </c>
      <c r="B883" s="121">
        <f>IF(H100="UNIDADE CONSTRUTIVA",0,IF(H100="CÉLULA CONSTRUTIVA",OFFSET(B100,-1,0)+1,OFFSET(B100,-1,0)))</f>
        <v/>
      </c>
      <c r="C883" s="121">
        <f>IF(H100="CÉLULA CONSTRUTIVA",0,IF(H100="ETAPA",OFFSET(C100,-1,0)+1,OFFSET(C100,-1,0)))</f>
        <v/>
      </c>
      <c r="D883" s="122">
        <f>IF(H100="ETAPA",0,IF(H100="SUBETAPA",OFFSET(D100,-1,0)+1,OFFSET(D100,-1,0)))</f>
        <v/>
      </c>
      <c r="E883" s="122">
        <f>IF(H100="Subetapa",0,IF(H100="serviço",OFFSET(E100,-1,0)+1,OFFSET(E100,-1,0)))</f>
        <v/>
      </c>
      <c r="F883" s="123" t="n"/>
      <c r="G883" s="43" t="inlineStr">
        <is>
          <t>SUPRAESTRUTURA</t>
        </is>
      </c>
      <c r="H883" s="44" t="inlineStr">
        <is>
          <t>SERVIÇO</t>
        </is>
      </c>
      <c r="I883" s="45">
        <f>IF(H100="Unidade Construtiva",TEXT(A100,"00"),IF(H100="Célula Construtiva",TEXT(B100,"00"),IF(H100="Etapa",CONCATENATE(TEXT(B100,"00"),".",TEXT(C100,"000")),IF(H100="Subetapa",CONCATENATE(TEXT(B100,"00"),".",TEXT(C100,"000"),".",TEXT(D100,"000")),IF(H100="Serviço",CONCATENATE(TEXT(B100,"00"),".",TEXT(C100,"000"),".",TEXT(D100,"000"),".",TEXT(E100,"000")),"")))))</f>
        <v/>
      </c>
      <c r="J883" s="126" t="inlineStr">
        <is>
          <t>Armação Aço CA-50, Diâmetro de 8,0mm para Supraestrutura, Corte e Dobra em Industria</t>
        </is>
      </c>
      <c r="K883" s="47" t="inlineStr">
        <is>
          <t>kg</t>
        </is>
      </c>
      <c r="L883" s="48">
        <f>'Resumo Estrutura'!X173</f>
        <v/>
      </c>
      <c r="M883" s="48">
        <f>_xlfn.XLOOKUP($J100,[4]CPU!$D$1:$D$6624,[4]CPU!$H$1:$H$6624)</f>
        <v/>
      </c>
      <c r="N883" s="49">
        <f>IF(H100="Serviço",M100*L100,IF(H100="CÉLULA CONSTRUTIVA",SUMIFS($N$8:$N$122,$B$8:$B$122,B100,$H$8:$H$122,"Serviço"),IF(H100="ETAPA",SUMIFS($N$8:$N$122,$B$8:$B$122,B100,$C$8:$C$122,C100,$H$8:$H$122,"Serviço"),IF(H100="SUBETAPA",SUMIFS($N$8:$N$122,$B$8:$B$122,B100,$C$8:$C$122,C100,$D$8:$D$122,D100,$H$8:$H$122,"Serviço"),0))))</f>
        <v/>
      </c>
      <c r="O883" s="127" t="n"/>
      <c r="P883" s="114" t="n"/>
      <c r="Q883" s="129" t="n"/>
      <c r="R883" s="52" t="n"/>
      <c r="S883" s="1" t="n"/>
      <c r="T883" s="1" t="n"/>
      <c r="U883" s="1" t="n"/>
      <c r="V883" s="1" t="n"/>
      <c r="W883" s="1" t="n"/>
      <c r="X883" s="1" t="n"/>
      <c r="Y883" s="1" t="n"/>
    </row>
    <row r="884">
      <c r="A884" s="121">
        <f>IF($H101="UNIDADE CONSTRUTIVA",OFFSET(A101,-1,0)+1,LARGE(A$3:A100,1))</f>
        <v/>
      </c>
      <c r="B884" s="121">
        <f>IF(H101="UNIDADE CONSTRUTIVA",0,IF(H101="CÉLULA CONSTRUTIVA",OFFSET(B101,-1,0)+1,OFFSET(B101,-1,0)))</f>
        <v/>
      </c>
      <c r="C884" s="121">
        <f>IF(H101="CÉLULA CONSTRUTIVA",0,IF(H101="ETAPA",OFFSET(C101,-1,0)+1,OFFSET(C101,-1,0)))</f>
        <v/>
      </c>
      <c r="D884" s="122">
        <f>IF(H101="ETAPA",0,IF(H101="SUBETAPA",OFFSET(D101,-1,0)+1,OFFSET(D101,-1,0)))</f>
        <v/>
      </c>
      <c r="E884" s="122">
        <f>IF(H101="Subetapa",0,IF(H101="serviço",OFFSET(E101,-1,0)+1,OFFSET(E101,-1,0)))</f>
        <v/>
      </c>
      <c r="F884" s="123" t="n"/>
      <c r="G884" s="43" t="inlineStr">
        <is>
          <t>SUPRAESTRUTURA</t>
        </is>
      </c>
      <c r="H884" s="44" t="inlineStr">
        <is>
          <t>SERVIÇO</t>
        </is>
      </c>
      <c r="I884" s="45">
        <f>IF(H101="Unidade Construtiva",TEXT(A101,"00"),IF(H101="Célula Construtiva",TEXT(B101,"00"),IF(H101="Etapa",CONCATENATE(TEXT(B101,"00"),".",TEXT(C101,"000")),IF(H101="Subetapa",CONCATENATE(TEXT(B101,"00"),".",TEXT(C101,"000"),".",TEXT(D101,"000")),IF(H101="Serviço",CONCATENATE(TEXT(B101,"00"),".",TEXT(C101,"000"),".",TEXT(D101,"000"),".",TEXT(E101,"000")),"")))))</f>
        <v/>
      </c>
      <c r="J884" s="126" t="inlineStr">
        <is>
          <t>Armação Aço CA-50, Diâmetro de 10,0mm para Supraestrutura, Corte e Dobra em Industria</t>
        </is>
      </c>
      <c r="K884" s="47" t="inlineStr">
        <is>
          <t>kg</t>
        </is>
      </c>
      <c r="L884" s="48">
        <f>'Resumo Estrutura'!Y173</f>
        <v/>
      </c>
      <c r="M884" s="48">
        <f>_xlfn.XLOOKUP($J101,[4]CPU!$D$1:$D$6624,[4]CPU!$H$1:$H$6624)</f>
        <v/>
      </c>
      <c r="N884" s="49">
        <f>IF(H101="Serviço",M101*L101,IF(H101="CÉLULA CONSTRUTIVA",SUMIFS($N$8:$N$122,$B$8:$B$122,B101,$H$8:$H$122,"Serviço"),IF(H101="ETAPA",SUMIFS($N$8:$N$122,$B$8:$B$122,B101,$C$8:$C$122,C101,$H$8:$H$122,"Serviço"),IF(H101="SUBETAPA",SUMIFS($N$8:$N$122,$B$8:$B$122,B101,$C$8:$C$122,C101,$D$8:$D$122,D101,$H$8:$H$122,"Serviço"),0))))</f>
        <v/>
      </c>
      <c r="O884" s="127" t="n"/>
      <c r="P884" s="114" t="n"/>
      <c r="Q884" s="129" t="n"/>
      <c r="R884" s="52" t="n"/>
      <c r="S884" s="1" t="n"/>
      <c r="T884" s="1" t="n"/>
      <c r="U884" s="1" t="n"/>
      <c r="V884" s="1" t="n"/>
      <c r="W884" s="1" t="n"/>
      <c r="X884" s="1" t="n"/>
      <c r="Y884" s="1" t="n"/>
    </row>
    <row r="885">
      <c r="A885" s="121">
        <f>IF($H102="UNIDADE CONSTRUTIVA",OFFSET(A102,-1,0)+1,LARGE(A$3:A101,1))</f>
        <v/>
      </c>
      <c r="B885" s="121">
        <f>IF(H102="UNIDADE CONSTRUTIVA",0,IF(H102="CÉLULA CONSTRUTIVA",OFFSET(B102,-1,0)+1,OFFSET(B102,-1,0)))</f>
        <v/>
      </c>
      <c r="C885" s="121">
        <f>IF(H102="CÉLULA CONSTRUTIVA",0,IF(H102="ETAPA",OFFSET(C102,-1,0)+1,OFFSET(C102,-1,0)))</f>
        <v/>
      </c>
      <c r="D885" s="122">
        <f>IF(H102="ETAPA",0,IF(H102="SUBETAPA",OFFSET(D102,-1,0)+1,OFFSET(D102,-1,0)))</f>
        <v/>
      </c>
      <c r="E885" s="122">
        <f>IF(H102="Subetapa",0,IF(H102="serviço",OFFSET(E102,-1,0)+1,OFFSET(E102,-1,0)))</f>
        <v/>
      </c>
      <c r="F885" s="123" t="n"/>
      <c r="G885" s="43" t="inlineStr">
        <is>
          <t>SUPRAESTRUTURA</t>
        </is>
      </c>
      <c r="H885" s="44" t="inlineStr">
        <is>
          <t>SERVIÇO</t>
        </is>
      </c>
      <c r="I885" s="45">
        <f>IF(H102="Unidade Construtiva",TEXT(A102,"00"),IF(H102="Célula Construtiva",TEXT(B102,"00"),IF(H102="Etapa",CONCATENATE(TEXT(B102,"00"),".",TEXT(C102,"000")),IF(H102="Subetapa",CONCATENATE(TEXT(B102,"00"),".",TEXT(C102,"000"),".",TEXT(D102,"000")),IF(H102="Serviço",CONCATENATE(TEXT(B102,"00"),".",TEXT(C102,"000"),".",TEXT(D102,"000"),".",TEXT(E102,"000")),"")))))</f>
        <v/>
      </c>
      <c r="J885" s="126" t="inlineStr">
        <is>
          <t>Armação Aço CA-50, Diâmetro de 12,5mm para Supraestrutura, Corte e Dobra em Industria</t>
        </is>
      </c>
      <c r="K885" s="47" t="inlineStr">
        <is>
          <t>kg</t>
        </is>
      </c>
      <c r="L885" s="48">
        <f>'Resumo Estrutura'!Z173</f>
        <v/>
      </c>
      <c r="M885" s="48">
        <f>_xlfn.XLOOKUP($J102,[4]CPU!$D$1:$D$6624,[4]CPU!$H$1:$H$6624)</f>
        <v/>
      </c>
      <c r="N885" s="49">
        <f>IF(H102="Serviço",M102*L102,IF(H102="CÉLULA CONSTRUTIVA",SUMIFS($N$8:$N$122,$B$8:$B$122,B102,$H$8:$H$122,"Serviço"),IF(H102="ETAPA",SUMIFS($N$8:$N$122,$B$8:$B$122,B102,$C$8:$C$122,C102,$H$8:$H$122,"Serviço"),IF(H102="SUBETAPA",SUMIFS($N$8:$N$122,$B$8:$B$122,B102,$C$8:$C$122,C102,$D$8:$D$122,D102,$H$8:$H$122,"Serviço"),0))))</f>
        <v/>
      </c>
      <c r="O885" s="127" t="n"/>
      <c r="P885" s="114" t="n"/>
      <c r="Q885" s="129" t="n"/>
      <c r="R885" s="52" t="n"/>
      <c r="S885" s="1" t="n"/>
      <c r="T885" s="1" t="n"/>
      <c r="U885" s="1" t="n"/>
      <c r="V885" s="1" t="n"/>
      <c r="W885" s="1" t="n"/>
      <c r="X885" s="1" t="n"/>
      <c r="Y885" s="1" t="n"/>
    </row>
    <row r="886">
      <c r="A886" s="121">
        <f>IF($H103="UNIDADE CONSTRUTIVA",OFFSET(A103,-1,0)+1,LARGE(A$3:A102,1))</f>
        <v/>
      </c>
      <c r="B886" s="121">
        <f>IF(H103="UNIDADE CONSTRUTIVA",0,IF(H103="CÉLULA CONSTRUTIVA",OFFSET(B103,-1,0)+1,OFFSET(B103,-1,0)))</f>
        <v/>
      </c>
      <c r="C886" s="121">
        <f>IF(H103="CÉLULA CONSTRUTIVA",0,IF(H103="ETAPA",OFFSET(C103,-1,0)+1,OFFSET(C103,-1,0)))</f>
        <v/>
      </c>
      <c r="D886" s="122">
        <f>IF(H103="ETAPA",0,IF(H103="SUBETAPA",OFFSET(D103,-1,0)+1,OFFSET(D103,-1,0)))</f>
        <v/>
      </c>
      <c r="E886" s="122">
        <f>IF(H103="Subetapa",0,IF(H103="serviço",OFFSET(E103,-1,0)+1,OFFSET(E103,-1,0)))</f>
        <v/>
      </c>
      <c r="F886" s="123" t="n"/>
      <c r="G886" s="43" t="inlineStr">
        <is>
          <t>SUPRAESTRUTURA</t>
        </is>
      </c>
      <c r="H886" s="44" t="inlineStr">
        <is>
          <t>SERVIÇO</t>
        </is>
      </c>
      <c r="I886" s="45">
        <f>IF(H103="Unidade Construtiva",TEXT(A103,"00"),IF(H103="Célula Construtiva",TEXT(B103,"00"),IF(H103="Etapa",CONCATENATE(TEXT(B103,"00"),".",TEXT(C103,"000")),IF(H103="Subetapa",CONCATENATE(TEXT(B103,"00"),".",TEXT(C103,"000"),".",TEXT(D103,"000")),IF(H103="Serviço",CONCATENATE(TEXT(B103,"00"),".",TEXT(C103,"000"),".",TEXT(D103,"000"),".",TEXT(E103,"000")),"")))))</f>
        <v/>
      </c>
      <c r="J886" s="126" t="inlineStr">
        <is>
          <t>Armação Aço CA-50, Diâmetro de 16,0mm para Supraestrutura, Corte e Dobra em Industria</t>
        </is>
      </c>
      <c r="K886" s="47" t="inlineStr">
        <is>
          <t>kg</t>
        </is>
      </c>
      <c r="L886" s="48">
        <f>'Resumo Estrutura'!AA173</f>
        <v/>
      </c>
      <c r="M886" s="48">
        <f>_xlfn.XLOOKUP($J103,[4]CPU!$D$1:$D$6624,[4]CPU!$H$1:$H$6624)</f>
        <v/>
      </c>
      <c r="N886" s="49">
        <f>IF(H103="Serviço",M103*L103,IF(H103="CÉLULA CONSTRUTIVA",SUMIFS($N$8:$N$122,$B$8:$B$122,B103,$H$8:$H$122,"Serviço"),IF(H103="ETAPA",SUMIFS($N$8:$N$122,$B$8:$B$122,B103,$C$8:$C$122,C103,$H$8:$H$122,"Serviço"),IF(H103="SUBETAPA",SUMIFS($N$8:$N$122,$B$8:$B$122,B103,$C$8:$C$122,C103,$D$8:$D$122,D103,$H$8:$H$122,"Serviço"),0))))</f>
        <v/>
      </c>
      <c r="O886" s="127" t="n"/>
      <c r="P886" s="114" t="n"/>
      <c r="Q886" s="129" t="n"/>
      <c r="R886" s="52" t="n"/>
      <c r="S886" s="1" t="n"/>
      <c r="T886" s="1" t="n"/>
      <c r="U886" s="1" t="n"/>
      <c r="V886" s="1" t="n"/>
      <c r="W886" s="1" t="n"/>
      <c r="X886" s="1" t="n"/>
      <c r="Y886" s="1" t="n"/>
    </row>
    <row r="887">
      <c r="A887" s="121">
        <f>IF($H104="UNIDADE CONSTRUTIVA",OFFSET(A104,-1,0)+1,LARGE(A$3:A103,1))</f>
        <v/>
      </c>
      <c r="B887" s="121">
        <f>IF(H104="UNIDADE CONSTRUTIVA",0,IF(H104="CÉLULA CONSTRUTIVA",OFFSET(B104,-1,0)+1,OFFSET(B104,-1,0)))</f>
        <v/>
      </c>
      <c r="C887" s="121">
        <f>IF(H104="CÉLULA CONSTRUTIVA",0,IF(H104="ETAPA",OFFSET(C104,-1,0)+1,OFFSET(C104,-1,0)))</f>
        <v/>
      </c>
      <c r="D887" s="122">
        <f>IF(H104="ETAPA",0,IF(H104="SUBETAPA",OFFSET(D104,-1,0)+1,OFFSET(D104,-1,0)))</f>
        <v/>
      </c>
      <c r="E887" s="122">
        <f>IF(H104="Subetapa",0,IF(H104="serviço",OFFSET(E104,-1,0)+1,OFFSET(E104,-1,0)))</f>
        <v/>
      </c>
      <c r="F887" s="123" t="n"/>
      <c r="G887" s="43" t="inlineStr">
        <is>
          <t>SUPRAESTRUTURA</t>
        </is>
      </c>
      <c r="H887" s="44" t="inlineStr">
        <is>
          <t>SERVIÇO</t>
        </is>
      </c>
      <c r="I887" s="45">
        <f>IF(H104="Unidade Construtiva",TEXT(A104,"00"),IF(H104="Célula Construtiva",TEXT(B104,"00"),IF(H104="Etapa",CONCATENATE(TEXT(B104,"00"),".",TEXT(C104,"000")),IF(H104="Subetapa",CONCATENATE(TEXT(B104,"00"),".",TEXT(C104,"000"),".",TEXT(D104,"000")),IF(H104="Serviço",CONCATENATE(TEXT(B104,"00"),".",TEXT(C104,"000"),".",TEXT(D104,"000"),".",TEXT(E104,"000")),"")))))</f>
        <v/>
      </c>
      <c r="J887" s="126" t="inlineStr">
        <is>
          <t>Armação Aço CA-50, Diâmetro de 20,0mm para Supraestrutura, Corte e Dobra em Industria</t>
        </is>
      </c>
      <c r="K887" s="47" t="inlineStr">
        <is>
          <t>kg</t>
        </is>
      </c>
      <c r="L887" s="48">
        <f>'Resumo Estrutura'!AB173</f>
        <v/>
      </c>
      <c r="M887" s="48">
        <f>_xlfn.XLOOKUP($J104,[4]CPU!$D$1:$D$6624,[4]CPU!$H$1:$H$6624)</f>
        <v/>
      </c>
      <c r="N887" s="49">
        <f>IF(H104="Serviço",M104*L104,IF(H104="CÉLULA CONSTRUTIVA",SUMIFS($N$8:$N$122,$B$8:$B$122,B104,$H$8:$H$122,"Serviço"),IF(H104="ETAPA",SUMIFS($N$8:$N$122,$B$8:$B$122,B104,$C$8:$C$122,C104,$H$8:$H$122,"Serviço"),IF(H104="SUBETAPA",SUMIFS($N$8:$N$122,$B$8:$B$122,B104,$C$8:$C$122,C104,$D$8:$D$122,D104,$H$8:$H$122,"Serviço"),0))))</f>
        <v/>
      </c>
      <c r="O887" s="127" t="n"/>
      <c r="P887" s="114" t="n"/>
      <c r="Q887" s="129" t="n"/>
      <c r="R887" s="52" t="n"/>
      <c r="S887" s="1" t="n"/>
      <c r="T887" s="1" t="n"/>
      <c r="U887" s="1" t="n"/>
      <c r="V887" s="1" t="n"/>
      <c r="W887" s="1" t="n"/>
      <c r="X887" s="1" t="n"/>
      <c r="Y887" s="1" t="n"/>
    </row>
    <row r="888">
      <c r="A888" s="121">
        <f>IF($H105="UNIDADE CONSTRUTIVA",OFFSET(A105,-1,0)+1,LARGE(A$3:A104,1))</f>
        <v/>
      </c>
      <c r="B888" s="121">
        <f>IF(H105="UNIDADE CONSTRUTIVA",0,IF(H105="CÉLULA CONSTRUTIVA",OFFSET(B105,-1,0)+1,OFFSET(B105,-1,0)))</f>
        <v/>
      </c>
      <c r="C888" s="121">
        <f>IF(H105="CÉLULA CONSTRUTIVA",0,IF(H105="ETAPA",OFFSET(C105,-1,0)+1,OFFSET(C105,-1,0)))</f>
        <v/>
      </c>
      <c r="D888" s="122">
        <f>IF(H105="ETAPA",0,IF(H105="SUBETAPA",OFFSET(D105,-1,0)+1,OFFSET(D105,-1,0)))</f>
        <v/>
      </c>
      <c r="E888" s="122">
        <f>IF(H105="Subetapa",0,IF(H105="serviço",OFFSET(E105,-1,0)+1,OFFSET(E105,-1,0)))</f>
        <v/>
      </c>
      <c r="F888" s="123" t="n"/>
      <c r="G888" s="43" t="inlineStr">
        <is>
          <t>SUPRAESTRUTURA</t>
        </is>
      </c>
      <c r="H888" s="44" t="inlineStr">
        <is>
          <t>SERVIÇO</t>
        </is>
      </c>
      <c r="I888" s="45">
        <f>IF(H105="Unidade Construtiva",TEXT(A105,"00"),IF(H105="Célula Construtiva",TEXT(B105,"00"),IF(H105="Etapa",CONCATENATE(TEXT(B105,"00"),".",TEXT(C105,"000")),IF(H105="Subetapa",CONCATENATE(TEXT(B105,"00"),".",TEXT(C105,"000"),".",TEXT(D105,"000")),IF(H105="Serviço",CONCATENATE(TEXT(B105,"00"),".",TEXT(C105,"000"),".",TEXT(D105,"000"),".",TEXT(E105,"000")),"")))))</f>
        <v/>
      </c>
      <c r="J888" s="126" t="inlineStr">
        <is>
          <t>Armação Aço CA-50, Diâmetro de 25,0mm para Supraestrutura, Corte e Dobra em Industria</t>
        </is>
      </c>
      <c r="K888" s="47" t="inlineStr">
        <is>
          <t>kg</t>
        </is>
      </c>
      <c r="L888" s="48">
        <f>'Resumo Estrutura'!AC173</f>
        <v/>
      </c>
      <c r="M888" s="48">
        <f>_xlfn.XLOOKUP($J105,[4]CPU!$D$1:$D$6624,[4]CPU!$H$1:$H$6624)</f>
        <v/>
      </c>
      <c r="N888" s="49">
        <f>IF(H105="Serviço",M105*L105,IF(H105="CÉLULA CONSTRUTIVA",SUMIFS($N$8:$N$122,$B$8:$B$122,B105,$H$8:$H$122,"Serviço"),IF(H105="ETAPA",SUMIFS($N$8:$N$122,$B$8:$B$122,B105,$C$8:$C$122,C105,$H$8:$H$122,"Serviço"),IF(H105="SUBETAPA",SUMIFS($N$8:$N$122,$B$8:$B$122,B105,$C$8:$C$122,C105,$D$8:$D$122,D105,$H$8:$H$122,"Serviço"),0))))</f>
        <v/>
      </c>
      <c r="O888" s="127" t="n"/>
      <c r="P888" s="114" t="n"/>
      <c r="Q888" s="129" t="n"/>
      <c r="R888" s="52" t="n"/>
      <c r="S888" s="1" t="n"/>
      <c r="T888" s="1" t="n"/>
      <c r="U888" s="1" t="n"/>
      <c r="V888" s="1" t="n"/>
      <c r="W888" s="1" t="n"/>
      <c r="X888" s="1" t="n"/>
      <c r="Y888" s="1" t="n"/>
    </row>
    <row r="889">
      <c r="A889" s="121">
        <f>IF($H106="UNIDADE CONSTRUTIVA",OFFSET(A106,-1,0)+1,LARGE(A$3:A105,1))</f>
        <v/>
      </c>
      <c r="B889" s="121">
        <f>IF(H106="UNIDADE CONSTRUTIVA",0,IF(H106="CÉLULA CONSTRUTIVA",OFFSET(B106,-1,0)+1,OFFSET(B106,-1,0)))</f>
        <v/>
      </c>
      <c r="C889" s="121">
        <f>IF(H106="CÉLULA CONSTRUTIVA",0,IF(H106="ETAPA",OFFSET(C106,-1,0)+1,OFFSET(C106,-1,0)))</f>
        <v/>
      </c>
      <c r="D889" s="122">
        <f>IF(H106="ETAPA",0,IF(H106="SUBETAPA",OFFSET(D106,-1,0)+1,OFFSET(D106,-1,0)))</f>
        <v/>
      </c>
      <c r="E889" s="122">
        <f>IF(H106="Subetapa",0,IF(H106="serviço",OFFSET(E106,-1,0)+1,OFFSET(E106,-1,0)))</f>
        <v/>
      </c>
      <c r="F889" s="123" t="n"/>
      <c r="G889" s="43" t="inlineStr">
        <is>
          <t>SUPRAESTRUTURA</t>
        </is>
      </c>
      <c r="H889" s="44" t="inlineStr">
        <is>
          <t>SERVIÇO</t>
        </is>
      </c>
      <c r="I889" s="45">
        <f>IF(H106="Unidade Construtiva",TEXT(A106,"00"),IF(H106="Célula Construtiva",TEXT(B106,"00"),IF(H106="Etapa",CONCATENATE(TEXT(B106,"00"),".",TEXT(C106,"000")),IF(H106="Subetapa",CONCATENATE(TEXT(B106,"00"),".",TEXT(C106,"000"),".",TEXT(D106,"000")),IF(H106="Serviço",CONCATENATE(TEXT(B106,"00"),".",TEXT(C106,"000"),".",TEXT(D106,"000"),".",TEXT(E106,"000")),"")))))</f>
        <v/>
      </c>
      <c r="J889" s="51" t="inlineStr">
        <is>
          <t>Armação tela Q72, Corte e Dobra em Obra</t>
        </is>
      </c>
      <c r="K889" s="47" t="inlineStr">
        <is>
          <t>kg</t>
        </is>
      </c>
      <c r="L889" s="48">
        <f>'Resumo Estrutura'!U173</f>
        <v/>
      </c>
      <c r="M889" s="48">
        <f>_xlfn.XLOOKUP($J106,[4]CPU!$D$1:$D$6624,[4]CPU!$H$1:$H$6624)</f>
        <v/>
      </c>
      <c r="N889" s="49">
        <f>IF(H106="Serviço",M106*L106,IF(H106="CÉLULA CONSTRUTIVA",SUMIFS($N$8:$N$122,$B$8:$B$122,B106,$H$8:$H$122,"Serviço"),IF(H106="ETAPA",SUMIFS($N$8:$N$122,$B$8:$B$122,B106,$C$8:$C$122,C106,$H$8:$H$122,"Serviço"),IF(H106="SUBETAPA",SUMIFS($N$8:$N$122,$B$8:$B$122,B106,$C$8:$C$122,C106,$D$8:$D$122,D106,$H$8:$H$122,"Serviço"),0))))</f>
        <v/>
      </c>
      <c r="O889" s="127" t="n"/>
      <c r="P889" s="114" t="n"/>
      <c r="Q889" s="129" t="n"/>
      <c r="R889" s="52" t="n"/>
      <c r="S889" s="1" t="n"/>
      <c r="T889" s="1" t="n"/>
      <c r="U889" s="1" t="n"/>
      <c r="V889" s="1" t="n"/>
      <c r="W889" s="1" t="n"/>
      <c r="X889" s="1" t="n"/>
      <c r="Y889" s="1" t="n"/>
    </row>
    <row r="890">
      <c r="A890" s="121">
        <f>IF($H107="UNIDADE CONSTRUTIVA",OFFSET(A107,-1,0)+1,LARGE(A$3:A106,1))</f>
        <v/>
      </c>
      <c r="B890" s="121">
        <f>IF(H107="UNIDADE CONSTRUTIVA",0,IF(H107="CÉLULA CONSTRUTIVA",OFFSET(B107,-1,0)+1,OFFSET(B107,-1,0)))</f>
        <v/>
      </c>
      <c r="C890" s="121">
        <f>IF(H107="CÉLULA CONSTRUTIVA",0,IF(H107="ETAPA",OFFSET(C107,-1,0)+1,OFFSET(C107,-1,0)))</f>
        <v/>
      </c>
      <c r="D890" s="122">
        <f>IF(H107="ETAPA",0,IF(H107="SUBETAPA",OFFSET(D107,-1,0)+1,OFFSET(D107,-1,0)))</f>
        <v/>
      </c>
      <c r="E890" s="122">
        <f>IF(H107="Subetapa",0,IF(H107="serviço",OFFSET(E107,-1,0)+1,OFFSET(E107,-1,0)))</f>
        <v/>
      </c>
      <c r="F890" s="123" t="n"/>
      <c r="G890" s="43" t="inlineStr">
        <is>
          <t>SUPRAESTRUTURA</t>
        </is>
      </c>
      <c r="H890" s="44" t="inlineStr">
        <is>
          <t>SERVIÇO</t>
        </is>
      </c>
      <c r="I890" s="45">
        <f>IF(H107="Unidade Construtiva",TEXT(A107,"00"),IF(H107="Célula Construtiva",TEXT(B107,"00"),IF(H107="Etapa",CONCATENATE(TEXT(B107,"00"),".",TEXT(C107,"000")),IF(H107="Subetapa",CONCATENATE(TEXT(B107,"00"),".",TEXT(C107,"000"),".",TEXT(D107,"000")),IF(H107="Serviço",CONCATENATE(TEXT(B107,"00"),".",TEXT(C107,"000"),".",TEXT(D107,"000"),".",TEXT(E107,"000")),"")))))</f>
        <v/>
      </c>
      <c r="J890" s="51" t="inlineStr">
        <is>
          <t xml:space="preserve">Protenção de Cordoalhas para laje protendida- Serviço </t>
        </is>
      </c>
      <c r="K890" s="47" t="inlineStr">
        <is>
          <t>kg</t>
        </is>
      </c>
      <c r="L890" s="48">
        <f>'Resumo Estrutura'!P170+'Resumo Estrutura'!P171</f>
        <v/>
      </c>
      <c r="M890" s="48" t="n">
        <v>9.84</v>
      </c>
      <c r="N890" s="49">
        <f>IF(H107="Serviço",M107*L107,IF(H107="CÉLULA CONSTRUTIVA",SUMIFS($N$8:$N$122,$B$8:$B$122,B107,$H$8:$H$122,"Serviço"),IF(H107="ETAPA",SUMIFS($N$8:$N$122,$B$8:$B$122,B107,$C$8:$C$122,C107,$H$8:$H$122,"Serviço"),IF(H107="SUBETAPA",SUMIFS($N$8:$N$122,$B$8:$B$122,B107,$C$8:$C$122,C107,$D$8:$D$122,D107,$H$8:$H$122,"Serviço"),0))))</f>
        <v/>
      </c>
      <c r="O890" s="127" t="n"/>
      <c r="P890" s="114" t="n"/>
      <c r="Q890" s="129" t="n"/>
      <c r="R890" s="52" t="n"/>
      <c r="S890" s="1" t="n"/>
      <c r="T890" s="1" t="n"/>
      <c r="U890" s="1" t="n"/>
      <c r="V890" s="1" t="n"/>
      <c r="W890" s="1" t="n"/>
      <c r="X890" s="1" t="n"/>
      <c r="Y890" s="1" t="n"/>
    </row>
    <row r="891">
      <c r="A891" s="121">
        <f>IF($H108="UNIDADE CONSTRUTIVA",OFFSET(A108,-1,0)+1,LARGE(A$3:A107,1))</f>
        <v/>
      </c>
      <c r="B891" s="121">
        <f>IF(H108="UNIDADE CONSTRUTIVA",0,IF(H108="CÉLULA CONSTRUTIVA",OFFSET(B108,-1,0)+1,OFFSET(B108,-1,0)))</f>
        <v/>
      </c>
      <c r="C891" s="121">
        <f>IF(H108="CÉLULA CONSTRUTIVA",0,IF(H108="ETAPA",OFFSET(C108,-1,0)+1,OFFSET(C108,-1,0)))</f>
        <v/>
      </c>
      <c r="D891" s="122">
        <f>IF(H108="ETAPA",0,IF(H108="SUBETAPA",OFFSET(D108,-1,0)+1,OFFSET(D108,-1,0)))</f>
        <v/>
      </c>
      <c r="E891" s="122">
        <f>IF(H108="Subetapa",0,IF(H108="serviço",OFFSET(E108,-1,0)+1,OFFSET(E108,-1,0)))</f>
        <v/>
      </c>
      <c r="F891" s="123" t="n"/>
      <c r="G891" s="43" t="inlineStr">
        <is>
          <t>SUPRAESTRUTURA</t>
        </is>
      </c>
      <c r="H891" s="44" t="inlineStr">
        <is>
          <t>SERVIÇO</t>
        </is>
      </c>
      <c r="I891" s="45">
        <f>IF(H108="Unidade Construtiva",TEXT(A108,"00"),IF(H108="Célula Construtiva",TEXT(B108,"00"),IF(H108="Etapa",CONCATENATE(TEXT(B108,"00"),".",TEXT(C108,"000")),IF(H108="Subetapa",CONCATENATE(TEXT(B108,"00"),".",TEXT(C108,"000"),".",TEXT(D108,"000")),IF(H108="Serviço",CONCATENATE(TEXT(B108,"00"),".",TEXT(C108,"000"),".",TEXT(D108,"000"),".",TEXT(E108,"000")),"")))))</f>
        <v/>
      </c>
      <c r="J891" s="51" t="inlineStr">
        <is>
          <t>Protenção de Cordoalhas para laje protendida - Materiais e acessórios</t>
        </is>
      </c>
      <c r="K891" s="47" t="inlineStr">
        <is>
          <t>kg</t>
        </is>
      </c>
      <c r="L891" s="48">
        <f>'Resumo Estrutura'!P170+'Resumo Estrutura'!P171</f>
        <v/>
      </c>
      <c r="M891" s="48" t="n">
        <v>15.11</v>
      </c>
      <c r="N891" s="49">
        <f>IF(H108="Serviço",M108*L108,IF(H108="CÉLULA CONSTRUTIVA",SUMIFS($N$8:$N$122,$B$8:$B$122,B108,$H$8:$H$122,"Serviço"),IF(H108="ETAPA",SUMIFS($N$8:$N$122,$B$8:$B$122,B108,$C$8:$C$122,C108,$H$8:$H$122,"Serviço"),IF(H108="SUBETAPA",SUMIFS($N$8:$N$122,$B$8:$B$122,B108,$C$8:$C$122,C108,$D$8:$D$122,D108,$H$8:$H$122,"Serviço"),0))))</f>
        <v/>
      </c>
      <c r="O891" s="127" t="n"/>
      <c r="P891" s="114" t="n"/>
      <c r="Q891" s="129" t="n"/>
      <c r="R891" s="52" t="n"/>
      <c r="S891" s="1" t="n"/>
      <c r="T891" s="1" t="n"/>
      <c r="U891" s="1" t="n"/>
      <c r="V891" s="1" t="n"/>
      <c r="W891" s="1" t="n"/>
      <c r="X891" s="1" t="n"/>
      <c r="Y891" s="1" t="n"/>
    </row>
    <row r="892">
      <c r="A892" s="121">
        <f>IF($H109="UNIDADE CONSTRUTIVA",OFFSET(A109,-1,0)+1,LARGE(A$3:A108,1))</f>
        <v/>
      </c>
      <c r="B892" s="121">
        <f>IF(H109="UNIDADE CONSTRUTIVA",0,IF(H109="CÉLULA CONSTRUTIVA",OFFSET(B109,-1,0)+1,OFFSET(B109,-1,0)))</f>
        <v/>
      </c>
      <c r="C892" s="121">
        <f>IF(H109="CÉLULA CONSTRUTIVA",0,IF(H109="ETAPA",OFFSET(C109,-1,0)+1,OFFSET(C109,-1,0)))</f>
        <v/>
      </c>
      <c r="D892" s="122">
        <f>IF(H109="ETAPA",0,IF(H109="SUBETAPA",OFFSET(D109,-1,0)+1,OFFSET(D109,-1,0)))</f>
        <v/>
      </c>
      <c r="E892" s="122">
        <f>IF(H109="Subetapa",0,IF(H109="serviço",OFFSET(E109,-1,0)+1,OFFSET(E109,-1,0)))</f>
        <v/>
      </c>
      <c r="F892" s="123" t="n"/>
      <c r="G892" s="43" t="n"/>
      <c r="H892" s="44" t="inlineStr">
        <is>
          <t>SUBETAPA</t>
        </is>
      </c>
      <c r="I892" s="45">
        <f>IF(H109="Unidade Construtiva",TEXT(A109,"00"),IF(H109="Célula Construtiva",TEXT(B109,"00"),IF(H109="Etapa",CONCATENATE(TEXT(B109,"00"),".",TEXT(C109,"000")),IF(H109="Subetapa",CONCATENATE(TEXT(B109,"00"),".",TEXT(C109,"000"),".",TEXT(D109,"000")),IF(H109="Serviço",CONCATENATE(TEXT(B109,"00"),".",TEXT(C109,"000"),".",TEXT(D109,"000"),".",TEXT(E109,"000")),"")))))</f>
        <v/>
      </c>
      <c r="J892" s="51" t="inlineStr">
        <is>
          <t xml:space="preserve">Concreto </t>
        </is>
      </c>
      <c r="K892" s="47" t="n"/>
      <c r="L892" s="48" t="n"/>
      <c r="M892" s="48" t="n"/>
      <c r="N892" s="49">
        <f>IF(H109="Serviço",M109*L109,IF(H109="CÉLULA CONSTRUTIVA",SUMIFS($N$8:$N$122,$B$8:$B$122,B109,$H$8:$H$122,"Serviço"),IF(H109="ETAPA",SUMIFS($N$8:$N$122,$B$8:$B$122,B109,$C$8:$C$122,C109,$H$8:$H$122,"Serviço"),IF(H109="SUBETAPA",SUMIFS($N$8:$N$122,$B$8:$B$122,B109,$C$8:$C$122,C109,$D$8:$D$122,D109,$H$8:$H$122,"Serviço"),0))))</f>
        <v/>
      </c>
      <c r="O892" s="50">
        <f>N109/[4]CAPA!$C$10</f>
        <v/>
      </c>
      <c r="P892" s="114" t="n"/>
      <c r="Q892" s="52" t="n"/>
      <c r="R892" s="52" t="n"/>
      <c r="S892" s="1" t="n"/>
      <c r="T892" s="1" t="n"/>
      <c r="U892" s="1" t="n"/>
      <c r="V892" s="1" t="n"/>
      <c r="W892" s="1" t="n"/>
      <c r="X892" s="1" t="n"/>
      <c r="Y892" s="1" t="n"/>
    </row>
    <row r="893">
      <c r="A893" s="121">
        <f>IF($H110="UNIDADE CONSTRUTIVA",OFFSET(A110,-1,0)+1,LARGE(A$3:A109,1))</f>
        <v/>
      </c>
      <c r="B893" s="121">
        <f>IF(H110="UNIDADE CONSTRUTIVA",0,IF(H110="CÉLULA CONSTRUTIVA",OFFSET(B110,-1,0)+1,OFFSET(B110,-1,0)))</f>
        <v/>
      </c>
      <c r="C893" s="121">
        <f>IF(H110="CÉLULA CONSTRUTIVA",0,IF(H110="ETAPA",OFFSET(C110,-1,0)+1,OFFSET(C110,-1,0)))</f>
        <v/>
      </c>
      <c r="D893" s="122">
        <f>IF(H110="ETAPA",0,IF(H110="SUBETAPA",OFFSET(D110,-1,0)+1,OFFSET(D110,-1,0)))</f>
        <v/>
      </c>
      <c r="E893" s="122">
        <f>IF(H110="Subetapa",0,IF(H110="serviço",OFFSET(E110,-1,0)+1,OFFSET(E110,-1,0)))</f>
        <v/>
      </c>
      <c r="F893" s="123" t="n"/>
      <c r="G893" s="43" t="inlineStr">
        <is>
          <t>SUPRAESTRUTURA</t>
        </is>
      </c>
      <c r="H893" s="44" t="inlineStr">
        <is>
          <t>SERVIÇO</t>
        </is>
      </c>
      <c r="I893" s="45">
        <f>IF(H110="Unidade Construtiva",TEXT(A110,"00"),IF(H110="Célula Construtiva",TEXT(B110,"00"),IF(H110="Etapa",CONCATENATE(TEXT(B110,"00"),".",TEXT(C110,"000")),IF(H110="Subetapa",CONCATENATE(TEXT(B110,"00"),".",TEXT(C110,"000"),".",TEXT(D110,"000")),IF(H110="Serviço",CONCATENATE(TEXT(B110,"00"),".",TEXT(C110,"000"),".",TEXT(D110,"000"),".",TEXT(E110,"000")),"")))))</f>
        <v/>
      </c>
      <c r="J893" s="51" t="inlineStr">
        <is>
          <t>Concreto Usinado FCK = 40MPa Bombeavel Para Supraestrutura</t>
        </is>
      </c>
      <c r="K893" s="47" t="inlineStr">
        <is>
          <t>m³</t>
        </is>
      </c>
      <c r="L893" s="48">
        <f>'Resumo Estrutura'!I173</f>
        <v/>
      </c>
      <c r="M893" s="48">
        <f>_xlfn.XLOOKUP($J110,[4]CPU!$D$1:$D$6624,[4]CPU!$H$1:$H$6624)</f>
        <v/>
      </c>
      <c r="N893" s="49">
        <f>IF(H110="Serviço",M110*L110,IF(H110="CÉLULA CONSTRUTIVA",SUMIFS($N$8:$N$122,$B$8:$B$122,B110,$H$8:$H$122,"Serviço"),IF(H110="ETAPA",SUMIFS($N$8:$N$122,$B$8:$B$122,B110,$C$8:$C$122,C110,$H$8:$H$122,"Serviço"),IF(H110="SUBETAPA",SUMIFS($N$8:$N$122,$B$8:$B$122,B110,$C$8:$C$122,C110,$D$8:$D$122,D110,$H$8:$H$122,"Serviço"),0))))</f>
        <v/>
      </c>
      <c r="O893" s="130" t="inlineStr">
        <is>
          <t>5% de perda</t>
        </is>
      </c>
      <c r="P893" s="114" t="n"/>
      <c r="Q893" s="52" t="n"/>
      <c r="R893" s="52" t="n"/>
      <c r="S893" s="1" t="n"/>
      <c r="T893" s="1" t="n"/>
      <c r="U893" s="1" t="n"/>
      <c r="V893" s="1" t="n"/>
      <c r="W893" s="1" t="n"/>
      <c r="X893" s="1" t="n"/>
      <c r="Y893" s="1" t="n"/>
    </row>
    <row r="894">
      <c r="A894" s="121">
        <f>IF($H111="UNIDADE CONSTRUTIVA",OFFSET(A111,-1,0)+1,LARGE(A$3:A110,1))</f>
        <v/>
      </c>
      <c r="B894" s="121">
        <f>IF(H111="UNIDADE CONSTRUTIVA",0,IF(H111="CÉLULA CONSTRUTIVA",OFFSET(B111,-1,0)+1,OFFSET(B111,-1,0)))</f>
        <v/>
      </c>
      <c r="C894" s="121">
        <f>IF(H111="CÉLULA CONSTRUTIVA",0,IF(H111="ETAPA",OFFSET(C111,-1,0)+1,OFFSET(C111,-1,0)))</f>
        <v/>
      </c>
      <c r="D894" s="122">
        <f>IF(H111="ETAPA",0,IF(H111="SUBETAPA",OFFSET(D111,-1,0)+1,OFFSET(D111,-1,0)))</f>
        <v/>
      </c>
      <c r="E894" s="122">
        <f>IF(H111="Subetapa",0,IF(H111="serviço",OFFSET(E111,-1,0)+1,OFFSET(E111,-1,0)))</f>
        <v/>
      </c>
      <c r="F894" s="123" t="n"/>
      <c r="G894" s="43" t="n"/>
      <c r="H894" s="44" t="inlineStr">
        <is>
          <t>SUBETAPA</t>
        </is>
      </c>
      <c r="I894" s="45">
        <f>IF(H111="Unidade Construtiva",TEXT(A111,"00"),IF(H111="Célula Construtiva",TEXT(B111,"00"),IF(H111="Etapa",CONCATENATE(TEXT(B111,"00"),".",TEXT(C111,"000")),IF(H111="Subetapa",CONCATENATE(TEXT(B111,"00"),".",TEXT(C111,"000"),".",TEXT(D111,"000")),IF(H111="Serviço",CONCATENATE(TEXT(B111,"00"),".",TEXT(C111,"000"),".",TEXT(D111,"000"),".",TEXT(E111,"000")),"")))))</f>
        <v/>
      </c>
      <c r="J894" s="51" t="inlineStr">
        <is>
          <t>Complementares</t>
        </is>
      </c>
      <c r="K894" s="47" t="n"/>
      <c r="L894" s="48" t="n"/>
      <c r="M894" s="48" t="n"/>
      <c r="N894" s="49">
        <f>IF(H111="Serviço",M111*L111,IF(H111="CÉLULA CONSTRUTIVA",SUMIFS($N$8:$N$122,$B$8:$B$122,B111,$H$8:$H$122,"Serviço"),IF(H111="ETAPA",SUMIFS($N$8:$N$122,$B$8:$B$122,B111,$C$8:$C$122,C111,$H$8:$H$122,"Serviço"),IF(H111="SUBETAPA",SUMIFS($N$8:$N$122,$B$8:$B$122,B111,$C$8:$C$122,C111,$D$8:$D$122,D111,$H$8:$H$122,"Serviço"),0))))</f>
        <v/>
      </c>
      <c r="O894" s="50">
        <f>N111/[4]CAPA!$C$10</f>
        <v/>
      </c>
      <c r="P894" s="114" t="n"/>
      <c r="Q894" s="52" t="n"/>
      <c r="R894" s="52" t="n"/>
      <c r="S894" s="1" t="n"/>
      <c r="T894" s="1" t="n"/>
      <c r="U894" s="1" t="n"/>
      <c r="V894" s="1" t="n"/>
      <c r="W894" s="1" t="n"/>
      <c r="X894" s="1" t="n"/>
      <c r="Y894" s="1" t="n"/>
    </row>
    <row r="895">
      <c r="A895" s="121">
        <f>IF($H112="UNIDADE CONSTRUTIVA",OFFSET(A112,-1,0)+1,LARGE(A$3:A111,1))</f>
        <v/>
      </c>
      <c r="B895" s="121">
        <f>IF(H112="UNIDADE CONSTRUTIVA",0,IF(H112="CÉLULA CONSTRUTIVA",OFFSET(B112,-1,0)+1,OFFSET(B112,-1,0)))</f>
        <v/>
      </c>
      <c r="C895" s="121">
        <f>IF(H112="CÉLULA CONSTRUTIVA",0,IF(H112="ETAPA",OFFSET(C112,-1,0)+1,OFFSET(C112,-1,0)))</f>
        <v/>
      </c>
      <c r="D895" s="122">
        <f>IF(H112="ETAPA",0,IF(H112="SUBETAPA",OFFSET(D112,-1,0)+1,OFFSET(D112,-1,0)))</f>
        <v/>
      </c>
      <c r="E895" s="122">
        <f>IF(H112="Subetapa",0,IF(H112="serviço",OFFSET(E112,-1,0)+1,OFFSET(E112,-1,0)))</f>
        <v/>
      </c>
      <c r="F895" s="123" t="n"/>
      <c r="G895" s="43" t="inlineStr">
        <is>
          <t>SUPRAESTRUTURA</t>
        </is>
      </c>
      <c r="H895" s="44" t="inlineStr">
        <is>
          <t>SERVIÇO</t>
        </is>
      </c>
      <c r="I895" s="45">
        <f>IF(H112="Unidade Construtiva",TEXT(A112,"00"),IF(H112="Célula Construtiva",TEXT(B112,"00"),IF(H112="Etapa",CONCATENATE(TEXT(B112,"00"),".",TEXT(C112,"000")),IF(H112="Subetapa",CONCATENATE(TEXT(B112,"00"),".",TEXT(C112,"000"),".",TEXT(D112,"000")),IF(H112="Serviço",CONCATENATE(TEXT(B112,"00"),".",TEXT(C112,"000"),".",TEXT(D112,"000"),".",TEXT(E112,"000")),"")))))</f>
        <v/>
      </c>
      <c r="J895" s="51" t="inlineStr">
        <is>
          <t>Menutenção inicial de cubetas</t>
        </is>
      </c>
      <c r="K895" s="47" t="inlineStr">
        <is>
          <t>un</t>
        </is>
      </c>
      <c r="L895" s="48">
        <f>('Resumo Estrutura'!R65+'Resumo Estrutura'!S65)*3</f>
        <v/>
      </c>
      <c r="M895" s="48" t="n">
        <v>2.5</v>
      </c>
      <c r="N895" s="49">
        <f>IF(H112="Serviço",M112*L112,IF(H112="CÉLULA CONSTRUTIVA",SUMIFS($N$8:$N$122,$B$8:$B$122,B112,$H$8:$H$122,"Serviço"),IF(H112="ETAPA",SUMIFS($N$8:$N$122,$B$8:$B$122,B112,$C$8:$C$122,C112,$H$8:$H$122,"Serviço"),IF(H112="SUBETAPA",SUMIFS($N$8:$N$122,$B$8:$B$122,B112,$C$8:$C$122,C112,$D$8:$D$122,D112,$H$8:$H$122,"Serviço"),0))))</f>
        <v/>
      </c>
      <c r="O895" s="50" t="inlineStr">
        <is>
          <t>Considerado 3 jogos do 6º pavimento</t>
        </is>
      </c>
      <c r="P895" s="114" t="n"/>
      <c r="Q895" s="52" t="n"/>
      <c r="R895" s="52" t="n"/>
      <c r="S895" s="1" t="n"/>
      <c r="T895" s="1" t="n"/>
      <c r="U895" s="1" t="n"/>
      <c r="V895" s="1" t="n"/>
      <c r="W895" s="1" t="n"/>
      <c r="X895" s="1" t="n"/>
      <c r="Y895" s="1" t="n"/>
    </row>
    <row r="896">
      <c r="A896" s="121">
        <f>IF($H113="UNIDADE CONSTRUTIVA",OFFSET(A113,-1,0)+1,LARGE(A$3:A112,1))</f>
        <v/>
      </c>
      <c r="B896" s="121">
        <f>IF(H113="UNIDADE CONSTRUTIVA",0,IF(H113="CÉLULA CONSTRUTIVA",OFFSET(B113,-1,0)+1,OFFSET(B113,-1,0)))</f>
        <v/>
      </c>
      <c r="C896" s="121">
        <f>IF(H113="CÉLULA CONSTRUTIVA",0,IF(H113="ETAPA",OFFSET(C113,-1,0)+1,OFFSET(C113,-1,0)))</f>
        <v/>
      </c>
      <c r="D896" s="122">
        <f>IF(H113="ETAPA",0,IF(H113="SUBETAPA",OFFSET(D113,-1,0)+1,OFFSET(D113,-1,0)))</f>
        <v/>
      </c>
      <c r="E896" s="122">
        <f>IF(H113="Subetapa",0,IF(H113="serviço",OFFSET(E113,-1,0)+1,OFFSET(E113,-1,0)))</f>
        <v/>
      </c>
      <c r="F896" s="123" t="n"/>
      <c r="G896" s="43" t="inlineStr">
        <is>
          <t>SUPRAESTRUTURA</t>
        </is>
      </c>
      <c r="H896" s="44" t="inlineStr">
        <is>
          <t>SERVIÇO</t>
        </is>
      </c>
      <c r="I896" s="45">
        <f>IF(H113="Unidade Construtiva",TEXT(A113,"00"),IF(H113="Célula Construtiva",TEXT(B113,"00"),IF(H113="Etapa",CONCATENATE(TEXT(B113,"00"),".",TEXT(C113,"000")),IF(H113="Subetapa",CONCATENATE(TEXT(B113,"00"),".",TEXT(C113,"000"),".",TEXT(D113,"000")),IF(H113="Serviço",CONCATENATE(TEXT(B113,"00"),".",TEXT(C113,"000"),".",TEXT(D113,"000"),".",TEXT(E113,"000")),"")))))</f>
        <v/>
      </c>
      <c r="J896" s="51" t="inlineStr">
        <is>
          <t>Menutenção inicial de escoramento metálico</t>
        </is>
      </c>
      <c r="K896" s="47" t="inlineStr">
        <is>
          <t>m2</t>
        </is>
      </c>
      <c r="L896" s="48">
        <f>ROUNDUP([4]CAPA!D25*1.5,0)*3</f>
        <v/>
      </c>
      <c r="M896" s="48" t="n">
        <v>4</v>
      </c>
      <c r="N896" s="49">
        <f>IF(H113="Serviço",M113*L113,IF(H113="CÉLULA CONSTRUTIVA",SUMIFS($N$8:$N$122,$B$8:$B$122,B113,$H$8:$H$122,"Serviço"),IF(H113="ETAPA",SUMIFS($N$8:$N$122,$B$8:$B$122,B113,$C$8:$C$122,C113,$H$8:$H$122,"Serviço"),IF(H113="SUBETAPA",SUMIFS($N$8:$N$122,$B$8:$B$122,B113,$C$8:$C$122,C113,$D$8:$D$122,D113,$H$8:$H$122,"Serviço"),0))))</f>
        <v/>
      </c>
      <c r="O896" s="50" t="inlineStr">
        <is>
          <t>Considerado 3 jogos do 6º pavimento</t>
        </is>
      </c>
      <c r="P896" s="114" t="n"/>
      <c r="Q896" s="52" t="n"/>
      <c r="R896" s="52" t="n"/>
      <c r="S896" s="1" t="n"/>
      <c r="T896" s="1" t="n"/>
      <c r="U896" s="1" t="n"/>
      <c r="V896" s="1" t="n"/>
      <c r="W896" s="1" t="n"/>
      <c r="X896" s="1" t="n"/>
      <c r="Y896" s="1" t="n"/>
    </row>
    <row r="897">
      <c r="A897" s="121">
        <f>IF($H114="UNIDADE CONSTRUTIVA",OFFSET(A114,-1,0)+1,LARGE(A$3:A113,1))</f>
        <v/>
      </c>
      <c r="B897" s="121">
        <f>IF(H114="UNIDADE CONSTRUTIVA",0,IF(H114="CÉLULA CONSTRUTIVA",OFFSET(B114,-1,0)+1,OFFSET(B114,-1,0)))</f>
        <v/>
      </c>
      <c r="C897" s="121">
        <f>IF(H114="CÉLULA CONSTRUTIVA",0,IF(H114="ETAPA",OFFSET(C114,-1,0)+1,OFFSET(C114,-1,0)))</f>
        <v/>
      </c>
      <c r="D897" s="122">
        <f>IF(H114="ETAPA",0,IF(H114="SUBETAPA",OFFSET(D114,-1,0)+1,OFFSET(D114,-1,0)))</f>
        <v/>
      </c>
      <c r="E897" s="122">
        <f>IF(H114="Subetapa",0,IF(H114="serviço",OFFSET(E114,-1,0)+1,OFFSET(E114,-1,0)))</f>
        <v/>
      </c>
      <c r="F897" s="123" t="n"/>
      <c r="G897" s="43" t="inlineStr">
        <is>
          <t>SUPRAESTRUTURA</t>
        </is>
      </c>
      <c r="H897" s="44" t="inlineStr">
        <is>
          <t>SERVIÇO</t>
        </is>
      </c>
      <c r="I897" s="45">
        <f>IF(H114="Unidade Construtiva",TEXT(A114,"00"),IF(H114="Célula Construtiva",TEXT(B114,"00"),IF(H114="Etapa",CONCATENATE(TEXT(B114,"00"),".",TEXT(C114,"000")),IF(H114="Subetapa",CONCATENATE(TEXT(B114,"00"),".",TEXT(C114,"000"),".",TEXT(D114,"000")),IF(H114="Serviço",CONCATENATE(TEXT(B114,"00"),".",TEXT(C114,"000"),".",TEXT(D114,"000"),".",TEXT(E114,"000")),"")))))</f>
        <v/>
      </c>
      <c r="J897" s="51" t="inlineStr">
        <is>
          <t>Previsão de furação posterior em estruturas</t>
        </is>
      </c>
      <c r="K897" s="47" t="inlineStr">
        <is>
          <t>pvto</t>
        </is>
      </c>
      <c r="L897" s="48">
        <f>[4]CAPA!F10</f>
        <v/>
      </c>
      <c r="M897" s="48" t="n">
        <v>5800</v>
      </c>
      <c r="N897" s="49">
        <f>IF(H114="Serviço",M114*L114,IF(H114="CÉLULA CONSTRUTIVA",SUMIFS($N$8:$N$122,$B$8:$B$122,B114,$H$8:$H$122,"Serviço"),IF(H114="ETAPA",SUMIFS($N$8:$N$122,$B$8:$B$122,B114,$C$8:$C$122,C114,$H$8:$H$122,"Serviço"),IF(H114="SUBETAPA",SUMIFS($N$8:$N$122,$B$8:$B$122,B114,$C$8:$C$122,C114,$D$8:$D$122,D114,$H$8:$H$122,"Serviço"),0))))</f>
        <v/>
      </c>
      <c r="O897" s="50" t="inlineStr">
        <is>
          <t>Estimado</t>
        </is>
      </c>
      <c r="P897" s="114" t="n"/>
      <c r="Q897" s="52" t="n"/>
      <c r="R897" s="52" t="n"/>
      <c r="S897" s="1" t="n"/>
      <c r="T897" s="1" t="n"/>
      <c r="U897" s="1" t="n"/>
      <c r="V897" s="1" t="n"/>
      <c r="W897" s="1" t="n"/>
      <c r="X897" s="1" t="n"/>
      <c r="Y897" s="1" t="n"/>
    </row>
    <row r="898">
      <c r="A898" s="121">
        <f>IF($H115="UNIDADE CONSTRUTIVA",OFFSET(A115,-1,0)+1,LARGE(A$3:A114,1))</f>
        <v/>
      </c>
      <c r="B898" s="121">
        <f>IF(H115="UNIDADE CONSTRUTIVA",0,IF(H115="CÉLULA CONSTRUTIVA",OFFSET(B115,-1,0)+1,OFFSET(B115,-1,0)))</f>
        <v/>
      </c>
      <c r="C898" s="121">
        <f>IF(H115="CÉLULA CONSTRUTIVA",0,IF(H115="ETAPA",OFFSET(C115,-1,0)+1,OFFSET(C115,-1,0)))</f>
        <v/>
      </c>
      <c r="D898" s="122">
        <f>IF(H115="ETAPA",0,IF(H115="SUBETAPA",OFFSET(D115,-1,0)+1,OFFSET(D115,-1,0)))</f>
        <v/>
      </c>
      <c r="E898" s="122">
        <f>IF(H115="Subetapa",0,IF(H115="serviço",OFFSET(E115,-1,0)+1,OFFSET(E115,-1,0)))</f>
        <v/>
      </c>
      <c r="F898" s="123" t="n"/>
      <c r="G898" s="43" t="n"/>
      <c r="H898" s="44" t="inlineStr">
        <is>
          <t>SUBETAPA</t>
        </is>
      </c>
      <c r="I898" s="45">
        <f>IF(H115="Unidade Construtiva",TEXT(A115,"00"),IF(H115="Célula Construtiva",TEXT(B115,"00"),IF(H115="Etapa",CONCATENATE(TEXT(B115,"00"),".",TEXT(C115,"000")),IF(H115="Subetapa",CONCATENATE(TEXT(B115,"00"),".",TEXT(C115,"000"),".",TEXT(D115,"000")),IF(H115="Serviço",CONCATENATE(TEXT(B115,"00"),".",TEXT(C115,"000"),".",TEXT(D115,"000"),".",TEXT(E115,"000")),"")))))</f>
        <v/>
      </c>
      <c r="J898" s="51" t="inlineStr">
        <is>
          <t>Mão de obra</t>
        </is>
      </c>
      <c r="K898" s="47" t="n"/>
      <c r="L898" s="48" t="n"/>
      <c r="M898" s="48" t="n"/>
      <c r="N898" s="49">
        <f>IF(H115="Serviço",M115*L115,IF(H115="CÉLULA CONSTRUTIVA",SUMIFS($N$8:$N$122,$B$8:$B$122,B115,$H$8:$H$122,"Serviço"),IF(H115="ETAPA",SUMIFS($N$8:$N$122,$B$8:$B$122,B115,$C$8:$C$122,C115,$H$8:$H$122,"Serviço"),IF(H115="SUBETAPA",SUMIFS($N$8:$N$122,$B$8:$B$122,B115,$C$8:$C$122,C115,$D$8:$D$122,D115,$H$8:$H$122,"Serviço"),0))))</f>
        <v/>
      </c>
      <c r="O898" s="50">
        <f>N115/[4]CAPA!$C$10</f>
        <v/>
      </c>
      <c r="P898" s="114" t="n"/>
      <c r="Q898" s="52" t="n"/>
      <c r="R898" s="52" t="n"/>
      <c r="S898" s="1" t="n"/>
      <c r="T898" s="1" t="n"/>
      <c r="U898" s="1" t="n"/>
      <c r="V898" s="1" t="n"/>
      <c r="W898" s="1" t="n"/>
      <c r="X898" s="1" t="n"/>
      <c r="Y898" s="1" t="n"/>
    </row>
    <row r="899">
      <c r="A899" s="121">
        <f>IF($H116="UNIDADE CONSTRUTIVA",OFFSET(A116,-1,0)+1,LARGE(A$3:A115,1))</f>
        <v/>
      </c>
      <c r="B899" s="121">
        <f>IF(H116="UNIDADE CONSTRUTIVA",0,IF(H116="CÉLULA CONSTRUTIVA",OFFSET(B116,-1,0)+1,OFFSET(B116,-1,0)))</f>
        <v/>
      </c>
      <c r="C899" s="121">
        <f>IF(H116="CÉLULA CONSTRUTIVA",0,IF(H116="ETAPA",OFFSET(C116,-1,0)+1,OFFSET(C116,-1,0)))</f>
        <v/>
      </c>
      <c r="D899" s="122">
        <f>IF(H116="ETAPA",0,IF(H116="SUBETAPA",OFFSET(D116,-1,0)+1,OFFSET(D116,-1,0)))</f>
        <v/>
      </c>
      <c r="E899" s="122">
        <f>IF(H116="Subetapa",0,IF(H116="serviço",OFFSET(E116,-1,0)+1,OFFSET(E116,-1,0)))</f>
        <v/>
      </c>
      <c r="F899" s="123" t="n"/>
      <c r="G899" s="43" t="inlineStr">
        <is>
          <t>SUPRAESTRUTURA</t>
        </is>
      </c>
      <c r="H899" s="44" t="inlineStr">
        <is>
          <t>SERVIÇO</t>
        </is>
      </c>
      <c r="I899" s="45">
        <f>IF(H116="Unidade Construtiva",TEXT(A116,"00"),IF(H116="Célula Construtiva",TEXT(B116,"00"),IF(H116="Etapa",CONCATENATE(TEXT(B116,"00"),".",TEXT(C116,"000")),IF(H116="Subetapa",CONCATENATE(TEXT(B116,"00"),".",TEXT(C116,"000"),".",TEXT(D116,"000")),IF(H116="Serviço",CONCATENATE(TEXT(B116,"00"),".",TEXT(C116,"000"),".",TEXT(D116,"000"),".",TEXT(E116,"000")),"")))))</f>
        <v/>
      </c>
      <c r="J899" s="51" t="inlineStr">
        <is>
          <t>Mão de obra para execução de supraestrutura de concreto armado</t>
        </is>
      </c>
      <c r="K899" s="47" t="inlineStr">
        <is>
          <t>m²</t>
        </is>
      </c>
      <c r="L899" s="48">
        <f>[4]CAPA!C10</f>
        <v/>
      </c>
      <c r="M899" s="48">
        <f>_xlfn.XLOOKUP($J116,[4]CPU!$D$1:$D$6624,[4]CPU!$H$1:$H$6624)</f>
        <v/>
      </c>
      <c r="N899" s="49">
        <f>IF(H116="Serviço",M116*L116,IF(H116="CÉLULA CONSTRUTIVA",SUMIFS($N$8:$N$122,$B$8:$B$122,B116,$H$8:$H$122,"Serviço"),IF(H116="ETAPA",SUMIFS($N$8:$N$122,$B$8:$B$122,B116,$C$8:$C$122,C116,$H$8:$H$122,"Serviço"),IF(H116="SUBETAPA",SUMIFS($N$8:$N$122,$B$8:$B$122,B116,$C$8:$C$122,C116,$D$8:$D$122,D116,$H$8:$H$122,"Serviço"),0))))</f>
        <v/>
      </c>
      <c r="O899" s="127" t="n"/>
      <c r="P899" s="114" t="n"/>
      <c r="Q899" s="52" t="n"/>
      <c r="R899" s="52" t="n"/>
      <c r="S899" s="1" t="n"/>
      <c r="T899" s="1" t="n"/>
      <c r="U899" s="1" t="n"/>
      <c r="V899" s="1" t="n"/>
      <c r="W899" s="1" t="n"/>
      <c r="X899" s="1" t="n"/>
      <c r="Y899" s="1" t="n"/>
    </row>
    <row r="900">
      <c r="A900" s="121">
        <f>IF($H117="UNIDADE CONSTRUTIVA",OFFSET(A117,-1,0)+1,LARGE(A$3:A116,1))</f>
        <v/>
      </c>
      <c r="B900" s="121">
        <f>IF(H117="UNIDADE CONSTRUTIVA",0,IF(H117="CÉLULA CONSTRUTIVA",OFFSET(B117,-1,0)+1,OFFSET(B117,-1,0)))</f>
        <v/>
      </c>
      <c r="C900" s="121">
        <f>IF(H117="CÉLULA CONSTRUTIVA",0,IF(H117="ETAPA",OFFSET(C117,-1,0)+1,OFFSET(C117,-1,0)))</f>
        <v/>
      </c>
      <c r="D900" s="122">
        <f>IF(H117="ETAPA",0,IF(H117="SUBETAPA",OFFSET(D117,-1,0)+1,OFFSET(D117,-1,0)))</f>
        <v/>
      </c>
      <c r="E900" s="122">
        <f>IF(H117="Subetapa",0,IF(H117="serviço",OFFSET(E117,-1,0)+1,OFFSET(E117,-1,0)))</f>
        <v/>
      </c>
      <c r="F900" s="123" t="n"/>
      <c r="G900" s="43" t="inlineStr">
        <is>
          <t>SUPRAESTRUTURA</t>
        </is>
      </c>
      <c r="H900" s="44" t="inlineStr">
        <is>
          <t>SERVIÇO</t>
        </is>
      </c>
      <c r="I900" s="45">
        <f>IF(H117="Unidade Construtiva",TEXT(A117,"00"),IF(H117="Célula Construtiva",TEXT(B117,"00"),IF(H117="Etapa",CONCATENATE(TEXT(B117,"00"),".",TEXT(C117,"000")),IF(H117="Subetapa",CONCATENATE(TEXT(B117,"00"),".",TEXT(C117,"000"),".",TEXT(D117,"000")),IF(H117="Serviço",CONCATENATE(TEXT(B117,"00"),".",TEXT(C117,"000"),".",TEXT(D117,"000"),".",TEXT(E117,"000")),"")))))</f>
        <v/>
      </c>
      <c r="J900" s="51" t="inlineStr">
        <is>
          <t>Acompanhamento Topografo - Lajes</t>
        </is>
      </c>
      <c r="K900" s="119" t="inlineStr">
        <is>
          <t>dia</t>
        </is>
      </c>
      <c r="L900" s="120">
        <f>[4]CAPA!F10</f>
        <v/>
      </c>
      <c r="M900" s="48">
        <f>_xlfn.XLOOKUP($J117,[4]CPU!$D$1:$D$6624,[4]CPU!$H$1:$H$6624)</f>
        <v/>
      </c>
      <c r="N900" s="49">
        <f>IF(H117="Serviço",M117*L117,IF(H117="CÉLULA CONSTRUTIVA",SUMIFS($N$8:$N$122,$B$8:$B$122,B117,$H$8:$H$122,"Serviço"),IF(H117="ETAPA",SUMIFS($N$8:$N$122,$B$8:$B$122,B117,$C$8:$C$122,C117,$H$8:$H$122,"Serviço"),IF(H117="SUBETAPA",SUMIFS($N$8:$N$122,$B$8:$B$122,B117,$C$8:$C$122,C117,$D$8:$D$122,D117,$H$8:$H$122,"Serviço"),0))))</f>
        <v/>
      </c>
      <c r="O900" s="50" t="inlineStr">
        <is>
          <t>Uma diária por laje</t>
        </is>
      </c>
      <c r="P900" s="114" t="n"/>
      <c r="Q900" s="52" t="n"/>
      <c r="R900" s="52" t="n"/>
      <c r="S900" s="1" t="n"/>
      <c r="T900" s="1" t="n"/>
      <c r="U900" s="1" t="n"/>
      <c r="V900" s="1" t="n"/>
      <c r="W900" s="1" t="n"/>
      <c r="X900" s="1" t="n"/>
      <c r="Y900" s="1" t="n"/>
    </row>
    <row r="901">
      <c r="A901" s="121">
        <f>IF($H118="UNIDADE CONSTRUTIVA",OFFSET(A118,-1,0)+1,LARGE(A$3:A7,1))</f>
        <v/>
      </c>
      <c r="B901" s="121">
        <f>IF(H118="UNIDADE CONSTRUTIVA",0,IF(H118="CÉLULA CONSTRUTIVA",OFFSET(B118,-1,0)+1,OFFSET(B118,-1,0)))</f>
        <v/>
      </c>
      <c r="C901" s="121">
        <f>IF(H118="CÉLULA CONSTRUTIVA",0,IF(H118="ETAPA",OFFSET(C118,-1,0)+1,OFFSET(C118,-1,0)))</f>
        <v/>
      </c>
      <c r="D901" s="122">
        <f>IF(H118="ETAPA",0,IF(H118="SUBETAPA",OFFSET(D118,-1,0)+1,OFFSET(D118,-1,0)))</f>
        <v/>
      </c>
      <c r="E901" s="122">
        <f>IF(H118="Subetapa",0,IF(H118="serviço",OFFSET(E118,-1,0)+1,OFFSET(E118,-1,0)))</f>
        <v/>
      </c>
      <c r="F901" s="131" t="n"/>
      <c r="G901" s="132" t="n"/>
      <c r="H901" s="44" t="inlineStr">
        <is>
          <t>CÉLULA CONSTRUTIVA</t>
        </is>
      </c>
      <c r="I901" s="45">
        <f>IF(H118="Unidade Construtiva",TEXT(A118,"00"),IF(H118="Célula Construtiva",TEXT(B118,"00"),IF(H118="Etapa",CONCATENATE(TEXT(B118,"00"),".",TEXT(C118,"000")),IF(H118="Subetapa",CONCATENATE(TEXT(B118,"00"),".",TEXT(C118,"000"),".",TEXT(D118,"000")),IF(H118="Serviço",CONCATENATE(TEXT(B118,"00"),".",TEXT(C118,"000"),".",TEXT(D118,"000"),".",TEXT(E118,"000")),"")))))</f>
        <v/>
      </c>
      <c r="J901" s="133" t="inlineStr">
        <is>
          <t>PAREDES E PAINÉIS</t>
        </is>
      </c>
      <c r="K901" s="47" t="n"/>
      <c r="L901" s="48" t="n"/>
      <c r="M901" s="48" t="n"/>
      <c r="N901" s="49">
        <f>IF(H118="Serviço",M118*L118,IF(H118="CÉLULA CONSTRUTIVA",SUMIFS($N$118:$N$438,$B$118:$B$438,B118,$H$118:$H$438,"Serviço"),IF(H118="ETAPA",SUMIFS($N$118:$N$438,$B$118:$B$438,B118,$C$118:$C$438,C118,$H$118:$H$438,"Serviço"),IF(H118="SUBETAPA",SUMIFS($N$118:$N$438,$B$118:$B$438,B118,$C$118:$C$438,C118,$D$118:$D$438,D118,$H$118:$H$438,"Serviço"),0))))</f>
        <v/>
      </c>
      <c r="O901" s="50">
        <f>N118/CAPA!C$10</f>
        <v/>
      </c>
      <c r="P901" s="134" t="n"/>
      <c r="Q901" s="115" t="n"/>
      <c r="R901" s="52" t="n"/>
      <c r="S901" s="1" t="n"/>
      <c r="T901" s="1" t="n"/>
      <c r="U901" s="1" t="n"/>
      <c r="V901" s="1" t="n"/>
      <c r="W901" s="1" t="n"/>
      <c r="X901" s="1" t="n"/>
      <c r="Y901" s="1" t="n"/>
    </row>
    <row r="902">
      <c r="A902" s="121">
        <f>IF($H119="UNIDADE CONSTRUTIVA",OFFSET(A119,-1,0)+1,LARGE(A$3:A118,1))</f>
        <v/>
      </c>
      <c r="B902" s="121">
        <f>IF(H119="UNIDADE CONSTRUTIVA",0,IF(H119="CÉLULA CONSTRUTIVA",OFFSET(B119,-1,0)+1,OFFSET(B119,-1,0)))</f>
        <v/>
      </c>
      <c r="C902" s="121">
        <f>IF(H119="CÉLULA CONSTRUTIVA",0,IF(H119="ETAPA",OFFSET(C119,-1,0)+1,OFFSET(C119,-1,0)))</f>
        <v/>
      </c>
      <c r="D902" s="122">
        <f>IF(H119="ETAPA",0,IF(H119="SUBETAPA",OFFSET(D119,-1,0)+1,OFFSET(D119,-1,0)))</f>
        <v/>
      </c>
      <c r="E902" s="122">
        <f>IF(H119="Subetapa",0,IF(H119="serviço",OFFSET(E119,-1,0)+1,OFFSET(E119,-1,0)))</f>
        <v/>
      </c>
      <c r="F902" s="123" t="n"/>
      <c r="G902" s="135" t="n"/>
      <c r="H902" s="44" t="inlineStr">
        <is>
          <t>ETAPA</t>
        </is>
      </c>
      <c r="I902" s="45">
        <f>IF(H119="Unidade Construtiva",TEXT(A119,"00"),IF(H119="Célula Construtiva",TEXT(B119,"00"),IF(H119="Etapa",CONCATENATE(TEXT(B119,"00"),".",TEXT(C119,"000")),IF(H119="Subetapa",CONCATENATE(TEXT(B119,"00"),".",TEXT(C119,"000"),".",TEXT(D119,"000")),IF(H119="Serviço",CONCATENATE(TEXT(B119,"00"),".",TEXT(C119,"000"),".",TEXT(D119,"000"),".",TEXT(E119,"000")),"")))))</f>
        <v/>
      </c>
      <c r="J902" s="51" t="inlineStr">
        <is>
          <t>PAREDES E PAINÉIS</t>
        </is>
      </c>
      <c r="K902" s="47" t="n"/>
      <c r="L902" s="48" t="n"/>
      <c r="M902" s="48" t="n"/>
      <c r="N902" s="49">
        <f>IF(H119="Serviço",M119*L119,IF(H119="CÉLULA CONSTRUTIVA",SUMIFS($N$118:$N$438,$B$118:$B$438,B119,$H$118:$H$438,"Serviço"),IF(H119="ETAPA",SUMIFS($N$118:$N$438,$B$118:$B$438,B119,$C$118:$C$438,C119,$H$118:$H$438,"Serviço"),IF(H119="SUBETAPA",SUMIFS($N$118:$N$438,$B$118:$B$438,B119,$C$118:$C$438,C119,$D$118:$D$438,D119,$H$118:$H$438,"Serviço"),0))))</f>
        <v/>
      </c>
      <c r="O902" s="50">
        <f>N119/CAPA!C$10</f>
        <v/>
      </c>
      <c r="P902" s="134" t="n"/>
      <c r="Q902" s="52" t="n"/>
      <c r="R902" s="52" t="n"/>
      <c r="S902" s="1" t="n"/>
      <c r="T902" s="1" t="n"/>
      <c r="U902" s="1" t="n"/>
      <c r="V902" s="1" t="n"/>
      <c r="W902" s="1" t="n"/>
      <c r="X902" s="1" t="n"/>
      <c r="Y902" s="1" t="n"/>
    </row>
    <row r="903">
      <c r="A903" s="121">
        <f>IF($H120="UNIDADE CONSTRUTIVA",OFFSET(A120,-1,0)+1,LARGE(A$3:A119,1))</f>
        <v/>
      </c>
      <c r="B903" s="121">
        <f>IF(H120="UNIDADE CONSTRUTIVA",0,IF(H120="CÉLULA CONSTRUTIVA",OFFSET(B120,-1,0)+1,OFFSET(B120,-1,0)))</f>
        <v/>
      </c>
      <c r="C903" s="121">
        <f>IF(H120="CÉLULA CONSTRUTIVA",0,IF(H120="ETAPA",OFFSET(C120,-1,0)+1,OFFSET(C120,-1,0)))</f>
        <v/>
      </c>
      <c r="D903" s="122">
        <f>IF(H120="ETAPA",0,IF(H120="SUBETAPA",OFFSET(D120,-1,0)+1,OFFSET(D120,-1,0)))</f>
        <v/>
      </c>
      <c r="E903" s="122">
        <f>IF(H120="Subetapa",0,IF(H120="serviço",OFFSET(E120,-1,0)+1,OFFSET(E120,-1,0)))</f>
        <v/>
      </c>
      <c r="F903" s="123" t="n"/>
      <c r="G903" s="135" t="n"/>
      <c r="H903" s="44" t="inlineStr">
        <is>
          <t>SUBETAPA</t>
        </is>
      </c>
      <c r="I903" s="45">
        <f>IF(H120="Unidade Construtiva",TEXT(A120,"00"),IF(H120="Célula Construtiva",TEXT(B120,"00"),IF(H120="Etapa",CONCATENATE(TEXT(B120,"00"),".",TEXT(C120,"000")),IF(H120="Subetapa",CONCATENATE(TEXT(B120,"00"),".",TEXT(C120,"000"),".",TEXT(D120,"000")),IF(H120="Serviço",CONCATENATE(TEXT(B120,"00"),".",TEXT(C120,"000"),".",TEXT(D120,"000"),".",TEXT(E120,"000")),"")))))</f>
        <v/>
      </c>
      <c r="J903" s="51" t="inlineStr">
        <is>
          <t>Alvenaria de vedação com blocos cerâmicos</t>
        </is>
      </c>
      <c r="K903" s="47" t="n"/>
      <c r="L903" s="48" t="n"/>
      <c r="M903" s="48" t="n"/>
      <c r="N903" s="49">
        <f>IF(H120="Serviço",M120*L120,IF(H120="CÉLULA CONSTRUTIVA",SUMIFS($N$118:$N$438,$B$118:$B$438,B120,$H$118:$H$438,"Serviço"),IF(H120="ETAPA",SUMIFS($N$118:$N$438,$B$118:$B$438,B120,$C$118:$C$438,C120,$H$118:$H$438,"Serviço"),IF(H120="SUBETAPA",SUMIFS($N$118:$N$438,$B$118:$B$438,B120,$C$118:$C$438,C120,$D$118:$D$438,D120,$H$118:$H$438,"Serviço"),0))))</f>
        <v/>
      </c>
      <c r="O903" s="50">
        <f>N120/CAPA!C$10</f>
        <v/>
      </c>
      <c r="P903" s="134" t="n"/>
      <c r="Q903" s="52" t="n"/>
      <c r="R903" s="52" t="n"/>
      <c r="S903" s="1" t="n"/>
      <c r="T903" s="1" t="n"/>
      <c r="U903" s="1" t="n"/>
      <c r="V903" s="1" t="n"/>
      <c r="W903" s="1" t="n"/>
      <c r="X903" s="1" t="n"/>
      <c r="Y903" s="1" t="n"/>
    </row>
    <row r="904">
      <c r="A904" s="121">
        <f>IF($H121="UNIDADE CONSTRUTIVA",OFFSET(A121,-1,0)+1,LARGE(A$3:A120,1))</f>
        <v/>
      </c>
      <c r="B904" s="121">
        <f>IF(H121="UNIDADE CONSTRUTIVA",0,IF(H121="CÉLULA CONSTRUTIVA",OFFSET(B121,-1,0)+1,OFFSET(B121,-1,0)))</f>
        <v/>
      </c>
      <c r="C904" s="121">
        <f>IF(H121="CÉLULA CONSTRUTIVA",0,IF(H121="ETAPA",OFFSET(C121,-1,0)+1,OFFSET(C121,-1,0)))</f>
        <v/>
      </c>
      <c r="D904" s="122">
        <f>IF(H121="ETAPA",0,IF(H121="SUBETAPA",OFFSET(D121,-1,0)+1,OFFSET(D121,-1,0)))</f>
        <v/>
      </c>
      <c r="E904" s="122">
        <f>IF(H121="Subetapa",0,IF(H121="serviço",OFFSET(E121,-1,0)+1,OFFSET(E121,-1,0)))</f>
        <v/>
      </c>
      <c r="F904" s="123" t="n"/>
      <c r="G904" s="135" t="inlineStr">
        <is>
          <t>PAREDES E PAINÉIS</t>
        </is>
      </c>
      <c r="H904" s="44" t="inlineStr">
        <is>
          <t>SERVIÇO</t>
        </is>
      </c>
      <c r="I904" s="45">
        <f>IF(H121="Unidade Construtiva",TEXT(A121,"00"),IF(H121="Célula Construtiva",TEXT(B121,"00"),IF(H121="Etapa",CONCATENATE(TEXT(B121,"00"),".",TEXT(C121,"000")),IF(H121="Subetapa",CONCATENATE(TEXT(B121,"00"),".",TEXT(C121,"000"),".",TEXT(D121,"000")),IF(H121="Serviço",CONCATENATE(TEXT(B121,"00"),".",TEXT(C121,"000"),".",TEXT(D121,"000"),".",TEXT(E121,"000")),"")))))</f>
        <v/>
      </c>
      <c r="J904" s="51" t="inlineStr">
        <is>
          <t>Alvenaria de vedacao de blocos ceramicos de 11,5x19x19cm com argamassa industrializada de assentamento</t>
        </is>
      </c>
      <c r="K904" s="47" t="inlineStr">
        <is>
          <t>m2</t>
        </is>
      </c>
      <c r="L904" s="48">
        <f>'Arquitetura Visus'!D18</f>
        <v/>
      </c>
      <c r="M904" s="48">
        <f>_xlfn.XLOOKUP($J121,CPU!$D$1:$D$31540,CPU!$H$1:$H$31540)</f>
        <v/>
      </c>
      <c r="N904" s="49">
        <f>IF(H121="Serviço",M121*L121,IF(H121="CÉLULA CONSTRUTIVA",SUMIFS($N$118:$N$438,$B$118:$B$438,B121,$H$118:$H$438,"Serviço"),IF(H121="ETAPA",SUMIFS($N$118:$N$438,$B$118:$B$438,B121,$C$118:$C$438,C121,$H$118:$H$438,"Serviço"),IF(H121="SUBETAPA",SUMIFS($N$118:$N$438,$B$118:$B$438,B121,$C$118:$C$438,C121,$D$118:$D$438,D121,$H$118:$H$438,"Serviço"),0))))</f>
        <v/>
      </c>
      <c r="O904" s="50" t="n"/>
      <c r="P904" s="134" t="n"/>
      <c r="Q904" s="52" t="n"/>
      <c r="R904" s="52" t="n"/>
      <c r="S904" s="1" t="n"/>
      <c r="T904" s="1" t="n"/>
      <c r="U904" s="1" t="n"/>
      <c r="V904" s="1" t="n"/>
      <c r="W904" s="1" t="n"/>
      <c r="X904" s="1" t="n"/>
      <c r="Y904" s="1" t="n"/>
    </row>
    <row r="905">
      <c r="A905" s="121">
        <f>IF($H122="UNIDADE CONSTRUTIVA",OFFSET(A122,-1,0)+1,LARGE(A$3:A120,1))</f>
        <v/>
      </c>
      <c r="B905" s="121">
        <f>IF(H122="UNIDADE CONSTRUTIVA",0,IF(H122="CÉLULA CONSTRUTIVA",OFFSET(B122,-1,0)+1,OFFSET(B122,-1,0)))</f>
        <v/>
      </c>
      <c r="C905" s="121">
        <f>IF(H122="CÉLULA CONSTRUTIVA",0,IF(H122="ETAPA",OFFSET(C122,-1,0)+1,OFFSET(C122,-1,0)))</f>
        <v/>
      </c>
      <c r="D905" s="122">
        <f>IF(H122="ETAPA",0,IF(H122="SUBETAPA",OFFSET(D122,-1,0)+1,OFFSET(D122,-1,0)))</f>
        <v/>
      </c>
      <c r="E905" s="122">
        <f>IF(H122="Subetapa",0,IF(H122="serviço",OFFSET(E122,-1,0)+1,OFFSET(E122,-1,0)))</f>
        <v/>
      </c>
      <c r="F905" s="123" t="n"/>
      <c r="G905" s="135" t="inlineStr">
        <is>
          <t>PAREDES E PAINÉIS</t>
        </is>
      </c>
      <c r="H905" s="44" t="inlineStr">
        <is>
          <t>SERVIÇO</t>
        </is>
      </c>
      <c r="I905" s="45">
        <f>IF(H122="Unidade Construtiva",TEXT(A122,"00"),IF(H122="Célula Construtiva",TEXT(B122,"00"),IF(H122="Etapa",CONCATENATE(TEXT(B122,"00"),".",TEXT(C122,"000")),IF(H122="Subetapa",CONCATENATE(TEXT(B122,"00"),".",TEXT(C122,"000"),".",TEXT(D122,"000")),IF(H122="Serviço",CONCATENATE(TEXT(B122,"00"),".",TEXT(C122,"000"),".",TEXT(D122,"000"),".",TEXT(E122,"000")),"")))))</f>
        <v/>
      </c>
      <c r="J905" s="51" t="inlineStr">
        <is>
          <t>Alvenaria de vedacao de blocos ceramicos de 14x19x19cm com argamassa industrializada de assentamento</t>
        </is>
      </c>
      <c r="K905" s="47" t="inlineStr">
        <is>
          <t>m2</t>
        </is>
      </c>
      <c r="L905" s="48">
        <f>'Arquitetura Visus'!D19</f>
        <v/>
      </c>
      <c r="M905" s="48">
        <f>_xlfn.XLOOKUP($J122,CPU!$D$1:$D$31540,CPU!$H$1:$H$31540)</f>
        <v/>
      </c>
      <c r="N905" s="49">
        <f>IF(H122="Serviço",M122*L122,IF(H122="CÉLULA CONSTRUTIVA",SUMIFS($N$118:$N$438,$B$118:$B$438,B122,$H$118:$H$438,"Serviço"),IF(H122="ETAPA",SUMIFS($N$118:$N$438,$B$118:$B$438,B122,$C$118:$C$438,C122,$H$118:$H$438,"Serviço"),IF(H122="SUBETAPA",SUMIFS($N$118:$N$438,$B$118:$B$438,B122,$C$118:$C$438,C122,$D$118:$D$438,D122,$H$118:$H$438,"Serviço"),0))))</f>
        <v/>
      </c>
      <c r="O905" s="50" t="n"/>
      <c r="P905" s="134" t="n"/>
      <c r="Q905" s="52" t="n"/>
      <c r="R905" s="52" t="n"/>
      <c r="S905" s="1" t="n"/>
      <c r="T905" s="1" t="n"/>
      <c r="U905" s="1" t="n"/>
      <c r="V905" s="1" t="n"/>
      <c r="W905" s="1" t="n"/>
      <c r="X905" s="1" t="n"/>
      <c r="Y905" s="1" t="n"/>
    </row>
    <row r="906">
      <c r="A906" s="121">
        <f>IF($H123="UNIDADE CONSTRUTIVA",OFFSET(A123,-1,0)+1,LARGE(A$3:A121,1))</f>
        <v/>
      </c>
      <c r="B906" s="121">
        <f>IF(H123="UNIDADE CONSTRUTIVA",0,IF(H123="CÉLULA CONSTRUTIVA",OFFSET(B123,-1,0)+1,OFFSET(B123,-1,0)))</f>
        <v/>
      </c>
      <c r="C906" s="121">
        <f>IF(H123="CÉLULA CONSTRUTIVA",0,IF(H123="ETAPA",OFFSET(C123,-1,0)+1,OFFSET(C123,-1,0)))</f>
        <v/>
      </c>
      <c r="D906" s="122">
        <f>IF(H123="ETAPA",0,IF(H123="SUBETAPA",OFFSET(D123,-1,0)+1,OFFSET(D123,-1,0)))</f>
        <v/>
      </c>
      <c r="E906" s="122">
        <f>IF(H123="Subetapa",0,IF(H123="serviço",OFFSET(E123,-1,0)+1,OFFSET(E123,-1,0)))</f>
        <v/>
      </c>
      <c r="F906" s="123" t="n"/>
      <c r="G906" s="135" t="n"/>
      <c r="H906" s="44" t="inlineStr">
        <is>
          <t>SUBETAPA</t>
        </is>
      </c>
      <c r="I906" s="45">
        <f>IF(H123="Unidade Construtiva",TEXT(A123,"00"),IF(H123="Célula Construtiva",TEXT(B123,"00"),IF(H123="Etapa",CONCATENATE(TEXT(B123,"00"),".",TEXT(C123,"000")),IF(H123="Subetapa",CONCATENATE(TEXT(B123,"00"),".",TEXT(C123,"000"),".",TEXT(D123,"000")),IF(H123="Serviço",CONCATENATE(TEXT(B123,"00"),".",TEXT(C123,"000"),".",TEXT(D123,"000"),".",TEXT(E123,"000")),"")))))</f>
        <v/>
      </c>
      <c r="J906" s="51" t="inlineStr">
        <is>
          <t>Alvenaria de vedação com blocos de concreto</t>
        </is>
      </c>
      <c r="K906" s="47" t="n"/>
      <c r="L906" s="48" t="n"/>
      <c r="M906" s="48" t="n"/>
      <c r="N906" s="49">
        <f>IF(H123="Serviço",M123*L123,IF(H123="CÉLULA CONSTRUTIVA",SUMIFS($N$118:$N$438,$B$118:$B$438,B123,$H$118:$H$438,"Serviço"),IF(H123="ETAPA",SUMIFS($N$118:$N$438,$B$118:$B$438,B123,$C$118:$C$438,C123,$H$118:$H$438,"Serviço"),IF(H123="SUBETAPA",SUMIFS($N$118:$N$438,$B$118:$B$438,B123,$C$118:$C$438,C123,$D$118:$D$438,D123,$H$118:$H$438,"Serviço"),0))))</f>
        <v/>
      </c>
      <c r="O906" s="50">
        <f>N123/CAPA!C$10</f>
        <v/>
      </c>
      <c r="P906" s="134" t="n"/>
      <c r="Q906" s="52" t="n"/>
      <c r="R906" s="52" t="n"/>
      <c r="S906" s="1" t="n"/>
      <c r="T906" s="1" t="n"/>
      <c r="U906" s="1" t="n"/>
      <c r="V906" s="1" t="n"/>
      <c r="W906" s="1" t="n"/>
      <c r="X906" s="1" t="n"/>
      <c r="Y906" s="1" t="n"/>
    </row>
    <row r="907">
      <c r="A907" s="121">
        <f>IF($H124="UNIDADE CONSTRUTIVA",OFFSET(A124,-1,0)+1,LARGE(A$3:A123,1))</f>
        <v/>
      </c>
      <c r="B907" s="121">
        <f>IF(H124="UNIDADE CONSTRUTIVA",0,IF(H124="CÉLULA CONSTRUTIVA",OFFSET(B124,-1,0)+1,OFFSET(B124,-1,0)))</f>
        <v/>
      </c>
      <c r="C907" s="121">
        <f>IF(H124="CÉLULA CONSTRUTIVA",0,IF(H124="ETAPA",OFFSET(C124,-1,0)+1,OFFSET(C124,-1,0)))</f>
        <v/>
      </c>
      <c r="D907" s="122">
        <f>IF(H124="ETAPA",0,IF(H124="SUBETAPA",OFFSET(D124,-1,0)+1,OFFSET(D124,-1,0)))</f>
        <v/>
      </c>
      <c r="E907" s="122">
        <f>IF(H124="Subetapa",0,IF(H124="serviço",OFFSET(E124,-1,0)+1,OFFSET(E124,-1,0)))</f>
        <v/>
      </c>
      <c r="F907" s="123" t="n"/>
      <c r="G907" s="135" t="inlineStr">
        <is>
          <t>PAREDES E PAINÉIS</t>
        </is>
      </c>
      <c r="H907" s="44" t="inlineStr">
        <is>
          <t>SERVIÇO</t>
        </is>
      </c>
      <c r="I907" s="45">
        <f>IF(H124="Unidade Construtiva",TEXT(A124,"00"),IF(H124="Célula Construtiva",TEXT(B124,"00"),IF(H124="Etapa",CONCATENATE(TEXT(B124,"00"),".",TEXT(C124,"000")),IF(H124="Subetapa",CONCATENATE(TEXT(B124,"00"),".",TEXT(C124,"000"),".",TEXT(D124,"000")),IF(H124="Serviço",CONCATENATE(TEXT(B124,"00"),".",TEXT(C124,"000"),".",TEXT(D124,"000"),".",TEXT(E124,"000")),"")))))</f>
        <v/>
      </c>
      <c r="J907" s="51" t="inlineStr">
        <is>
          <t>Alvenaria em Bloco De Concreto Celular 60x30x10cm Sical com argamassa industrializada de assentamento</t>
        </is>
      </c>
      <c r="K907" s="47" t="inlineStr">
        <is>
          <t>m2</t>
        </is>
      </c>
      <c r="L907" s="48">
        <f>'Arquitetura Visus'!D23</f>
        <v/>
      </c>
      <c r="M907" s="48">
        <f>_xlfn.XLOOKUP($J124,CPU!$D$1:$D$31540,CPU!$H$1:$H$31540)</f>
        <v/>
      </c>
      <c r="N907" s="49">
        <f>IF(H124="Serviço",M124*L124,IF(H124="CÉLULA CONSTRUTIVA",SUMIFS($N$118:$N$438,$B$118:$B$438,B124,$H$118:$H$438,"Serviço"),IF(H124="ETAPA",SUMIFS($N$118:$N$438,$B$118:$B$438,B124,$C$118:$C$438,C124,$H$118:$H$438,"Serviço"),IF(H124="SUBETAPA",SUMIFS($N$118:$N$438,$B$118:$B$438,B124,$C$118:$C$438,C124,$D$118:$D$438,D124,$H$118:$H$438,"Serviço"),0))))</f>
        <v/>
      </c>
      <c r="O907" s="50" t="n"/>
      <c r="P907" s="134" t="n"/>
      <c r="Q907" s="52" t="n"/>
      <c r="R907" s="52" t="n"/>
      <c r="S907" s="1" t="n"/>
      <c r="T907" s="1" t="n"/>
      <c r="U907" s="1" t="n"/>
      <c r="V907" s="1" t="n"/>
      <c r="W907" s="1" t="n"/>
      <c r="X907" s="1" t="n"/>
      <c r="Y907" s="1" t="n"/>
    </row>
    <row r="908">
      <c r="A908" s="121">
        <f>IF($H125="UNIDADE CONSTRUTIVA",OFFSET(A125,-1,0)+1,LARGE(A$3:A124,1))</f>
        <v/>
      </c>
      <c r="B908" s="121">
        <f>IF(H125="UNIDADE CONSTRUTIVA",0,IF(H125="CÉLULA CONSTRUTIVA",OFFSET(B125,-1,0)+1,OFFSET(B125,-1,0)))</f>
        <v/>
      </c>
      <c r="C908" s="121">
        <f>IF(H125="CÉLULA CONSTRUTIVA",0,IF(H125="ETAPA",OFFSET(C125,-1,0)+1,OFFSET(C125,-1,0)))</f>
        <v/>
      </c>
      <c r="D908" s="122">
        <f>IF(H125="ETAPA",0,IF(H125="SUBETAPA",OFFSET(D125,-1,0)+1,OFFSET(D125,-1,0)))</f>
        <v/>
      </c>
      <c r="E908" s="122">
        <f>IF(H125="Subetapa",0,IF(H125="serviço",OFFSET(E125,-1,0)+1,OFFSET(E125,-1,0)))</f>
        <v/>
      </c>
      <c r="F908" s="123" t="n"/>
      <c r="G908" s="135" t="inlineStr">
        <is>
          <t>PAREDES E PAINÉIS</t>
        </is>
      </c>
      <c r="H908" s="44" t="inlineStr">
        <is>
          <t>SERVIÇO</t>
        </is>
      </c>
      <c r="I908" s="45">
        <f>IF(H125="Unidade Construtiva",TEXT(A125,"00"),IF(H125="Célula Construtiva",TEXT(B125,"00"),IF(H125="Etapa",CONCATENATE(TEXT(B125,"00"),".",TEXT(C125,"000")),IF(H125="Subetapa",CONCATENATE(TEXT(B125,"00"),".",TEXT(C125,"000"),".",TEXT(D125,"000")),IF(H125="Serviço",CONCATENATE(TEXT(B125,"00"),".",TEXT(C125,"000"),".",TEXT(D125,"000"),".",TEXT(E125,"000")),"")))))</f>
        <v/>
      </c>
      <c r="J908" s="51" t="inlineStr">
        <is>
          <t>Alvenaria em Bloco De Concreto Celular 60x30x15cm Sical com argamassa industrializada de assentamento</t>
        </is>
      </c>
      <c r="K908" s="47" t="inlineStr">
        <is>
          <t>m2</t>
        </is>
      </c>
      <c r="L908" s="48">
        <f>'Arquitetura Visus'!D22</f>
        <v/>
      </c>
      <c r="M908" s="48">
        <f>_xlfn.XLOOKUP($J125,CPU!$D$1:$D$31540,CPU!$H$1:$H$31540)</f>
        <v/>
      </c>
      <c r="N908" s="49">
        <f>IF(H125="Serviço",M125*L125,IF(H125="CÉLULA CONSTRUTIVA",SUMIFS($N$118:$N$438,$B$118:$B$438,B125,$H$118:$H$438,"Serviço"),IF(H125="ETAPA",SUMIFS($N$118:$N$438,$B$118:$B$438,B125,$C$118:$C$438,C125,$H$118:$H$438,"Serviço"),IF(H125="SUBETAPA",SUMIFS($N$118:$N$438,$B$118:$B$438,B125,$C$118:$C$438,C125,$D$118:$D$438,D125,$H$118:$H$438,"Serviço"),0))))</f>
        <v/>
      </c>
      <c r="O908" s="50" t="n"/>
      <c r="P908" s="134" t="n"/>
      <c r="Q908" s="52" t="n"/>
      <c r="R908" s="52" t="n"/>
      <c r="S908" s="1" t="n"/>
      <c r="T908" s="1" t="n"/>
      <c r="U908" s="1" t="n"/>
      <c r="V908" s="1" t="n"/>
      <c r="W908" s="1" t="n"/>
      <c r="X908" s="1" t="n"/>
      <c r="Y908" s="1" t="n"/>
    </row>
    <row r="909">
      <c r="A909" s="121">
        <f>IF($H126="UNIDADE CONSTRUTIVA",OFFSET(A126,-1,0)+1,LARGE(A$3:A125,1))</f>
        <v/>
      </c>
      <c r="B909" s="121">
        <f>IF(H126="UNIDADE CONSTRUTIVA",0,IF(H126="CÉLULA CONSTRUTIVA",OFFSET(B126,-1,0)+1,OFFSET(B126,-1,0)))</f>
        <v/>
      </c>
      <c r="C909" s="121">
        <f>IF(H126="CÉLULA CONSTRUTIVA",0,IF(H126="ETAPA",OFFSET(C126,-1,0)+1,OFFSET(C126,-1,0)))</f>
        <v/>
      </c>
      <c r="D909" s="122">
        <f>IF(H126="ETAPA",0,IF(H126="SUBETAPA",OFFSET(D126,-1,0)+1,OFFSET(D126,-1,0)))</f>
        <v/>
      </c>
      <c r="E909" s="122">
        <f>IF(H126="Subetapa",0,IF(H126="serviço",OFFSET(E126,-1,0)+1,OFFSET(E126,-1,0)))</f>
        <v/>
      </c>
      <c r="F909" s="123" t="n"/>
      <c r="G909" s="135" t="inlineStr">
        <is>
          <t>PAREDES E PAINÉIS</t>
        </is>
      </c>
      <c r="H909" s="44" t="inlineStr">
        <is>
          <t>SERVIÇO</t>
        </is>
      </c>
      <c r="I909" s="45">
        <f>IF(H126="Unidade Construtiva",TEXT(A126,"00"),IF(H126="Célula Construtiva",TEXT(B126,"00"),IF(H126="Etapa",CONCATENATE(TEXT(B126,"00"),".",TEXT(C126,"000")),IF(H126="Subetapa",CONCATENATE(TEXT(B126,"00"),".",TEXT(C126,"000"),".",TEXT(D126,"000")),IF(H126="Serviço",CONCATENATE(TEXT(B126,"00"),".",TEXT(C126,"000"),".",TEXT(D126,"000"),".",TEXT(E126,"000")),"")))))</f>
        <v/>
      </c>
      <c r="J909" s="51" t="inlineStr">
        <is>
          <t>Alvenaria em Bloco De Concreto Celular 60x30x20cm Sical com argamassa industrializada de assentamento</t>
        </is>
      </c>
      <c r="K909" s="47" t="inlineStr">
        <is>
          <t>m2</t>
        </is>
      </c>
      <c r="L909" s="48">
        <f>'Arquitetura Visus'!D24</f>
        <v/>
      </c>
      <c r="M909" s="48">
        <f>_xlfn.XLOOKUP($J126,CPU!$D$1:$D$31540,CPU!$H$1:$H$31540)</f>
        <v/>
      </c>
      <c r="N909" s="49">
        <f>IF(H126="Serviço",M126*L126,IF(H126="CÉLULA CONSTRUTIVA",SUMIFS($N$118:$N$438,$B$118:$B$438,B126,$H$118:$H$438,"Serviço"),IF(H126="ETAPA",SUMIFS($N$118:$N$438,$B$118:$B$438,B126,$C$118:$C$438,C126,$H$118:$H$438,"Serviço"),IF(H126="SUBETAPA",SUMIFS($N$118:$N$438,$B$118:$B$438,B126,$C$118:$C$438,C126,$D$118:$D$438,D126,$H$118:$H$438,"Serviço"),0))))</f>
        <v/>
      </c>
      <c r="O909" s="50" t="n"/>
      <c r="P909" s="136" t="n"/>
      <c r="Q909" s="52" t="n"/>
      <c r="R909" s="52" t="n"/>
      <c r="S909" s="1" t="n"/>
      <c r="T909" s="1" t="n"/>
      <c r="U909" s="1" t="n"/>
      <c r="V909" s="1" t="n"/>
      <c r="W909" s="1" t="n"/>
      <c r="X909" s="1" t="n"/>
      <c r="Y909" s="1" t="n"/>
    </row>
    <row r="910">
      <c r="A910" s="121">
        <f>IF($H127="UNIDADE CONSTRUTIVA",OFFSET(A127,-1,0)+1,LARGE(A$3:A126,1))</f>
        <v/>
      </c>
      <c r="B910" s="121">
        <f>IF(H127="UNIDADE CONSTRUTIVA",0,IF(H127="CÉLULA CONSTRUTIVA",OFFSET(B127,-1,0)+1,OFFSET(B127,-1,0)))</f>
        <v/>
      </c>
      <c r="C910" s="121">
        <f>IF(H127="CÉLULA CONSTRUTIVA",0,IF(H127="ETAPA",OFFSET(C127,-1,0)+1,OFFSET(C127,-1,0)))</f>
        <v/>
      </c>
      <c r="D910" s="122">
        <f>IF(H127="ETAPA",0,IF(H127="SUBETAPA",OFFSET(D127,-1,0)+1,OFFSET(D127,-1,0)))</f>
        <v/>
      </c>
      <c r="E910" s="122">
        <f>IF(H127="Subetapa",0,IF(H127="serviço",OFFSET(E127,-1,0)+1,OFFSET(E127,-1,0)))</f>
        <v/>
      </c>
      <c r="F910" s="123" t="n"/>
      <c r="G910" s="135" t="n"/>
      <c r="H910" s="44" t="inlineStr">
        <is>
          <t>SUBETAPA</t>
        </is>
      </c>
      <c r="I910" s="45">
        <f>IF(H127="Unidade Construtiva",TEXT(A127,"00"),IF(H127="Célula Construtiva",TEXT(B127,"00"),IF(H127="Etapa",CONCATENATE(TEXT(B127,"00"),".",TEXT(C127,"000")),IF(H127="Subetapa",CONCATENATE(TEXT(B127,"00"),".",TEXT(C127,"000"),".",TEXT(D127,"000")),IF(H127="Serviço",CONCATENATE(TEXT(B127,"00"),".",TEXT(C127,"000"),".",TEXT(D127,"000"),".",TEXT(E127,"000")),"")))))</f>
        <v/>
      </c>
      <c r="J910" s="51" t="inlineStr">
        <is>
          <t>Serviços complementares para alvenaria de vedação</t>
        </is>
      </c>
      <c r="K910" s="47" t="n"/>
      <c r="L910" s="48" t="n"/>
      <c r="M910" s="48" t="n"/>
      <c r="N910" s="49">
        <f>IF(H127="Serviço",M127*L127,IF(H127="CÉLULA CONSTRUTIVA",SUMIFS($N$118:$N$438,$B$118:$B$438,B127,$H$118:$H$438,"Serviço"),IF(H127="ETAPA",SUMIFS($N$118:$N$438,$B$118:$B$438,B127,$C$118:$C$438,C127,$H$118:$H$438,"Serviço"),IF(H127="SUBETAPA",SUMIFS($N$118:$N$438,$B$118:$B$438,B127,$C$118:$C$438,C127,$D$118:$D$438,D127,$H$118:$H$438,"Serviço"),0))))</f>
        <v/>
      </c>
      <c r="O910" s="50">
        <f>N127/CAPA!C$10</f>
        <v/>
      </c>
      <c r="P910" s="136" t="n"/>
      <c r="Q910" s="52" t="n"/>
      <c r="R910" s="52" t="n"/>
      <c r="S910" s="1" t="n"/>
      <c r="T910" s="1" t="n"/>
      <c r="U910" s="1" t="n"/>
      <c r="V910" s="1" t="n"/>
      <c r="W910" s="1" t="n"/>
      <c r="X910" s="1" t="n"/>
      <c r="Y910" s="1" t="n"/>
    </row>
    <row r="911">
      <c r="A911" s="34">
        <f>IF($H128="UNIDADE CONSTRUTIVA",OFFSET(A128,-1,0)+1,LARGE(A$3:A127,1))</f>
        <v/>
      </c>
      <c r="B911" s="34">
        <f>IF(H128="UNIDADE CONSTRUTIVA",0,IF(H128="CÉLULA CONSTRUTIVA",OFFSET(B128,-1,0)+1,OFFSET(B128,-1,0)))</f>
        <v/>
      </c>
      <c r="C911" s="34">
        <f>IF(H128="CÉLULA CONSTRUTIVA",0,IF(H128="ETAPA",OFFSET(C128,-1,0)+1,OFFSET(C128,-1,0)))</f>
        <v/>
      </c>
      <c r="D911" s="35">
        <f>IF(H128="ETAPA",0,IF(H128="SUBETAPA",OFFSET(D128,-1,0)+1,OFFSET(D128,-1,0)))</f>
        <v/>
      </c>
      <c r="E911" s="35">
        <f>IF(H128="Subetapa",0,IF(H128="serviço",OFFSET(E128,-1,0)+1,OFFSET(E128,-1,0)))</f>
        <v/>
      </c>
      <c r="F911" s="123" t="n"/>
      <c r="G911" s="116" t="inlineStr">
        <is>
          <t>PAREDES E PAINÉIS</t>
        </is>
      </c>
      <c r="H911" s="137" t="inlineStr">
        <is>
          <t>SERVIÇO</t>
        </is>
      </c>
      <c r="I911" s="138">
        <f>IF(H128="Unidade Construtiva",TEXT(A128,"00"),IF(H128="Célula Construtiva",TEXT(B128,"00"),IF(H128="Etapa",CONCATENATE(TEXT(B128,"00"),".",TEXT(C128,"000")),IF(H128="Subetapa",CONCATENATE(TEXT(B128,"00"),".",TEXT(C128,"000"),".",TEXT(D128,"000")),IF(H128="Serviço",CONCATENATE(TEXT(B128,"00"),".",TEXT(C128,"000"),".",TEXT(D128,"000"),".",TEXT(E128,"000")),"")))))</f>
        <v/>
      </c>
      <c r="J911" s="139" t="inlineStr">
        <is>
          <t>Tijolo refratário para churrasqueiras 2,5x11,5x23cm com argamassa</t>
        </is>
      </c>
      <c r="K911" s="140" t="inlineStr">
        <is>
          <t>m2</t>
        </is>
      </c>
      <c r="L911" s="141">
        <f>'Arquitetura Visus'!G20</f>
        <v/>
      </c>
      <c r="M911" s="141">
        <f t="array" ref="M128">_xlfn.XLOOKUP($J128,[6]CPU!$D$1:$D$4937,[6]CPU!$H$1:$H$4937)</f>
        <v/>
      </c>
      <c r="N911" s="142">
        <f>IF(H128="Serviço",M128*L128,IF(H128="CÉLULA CONSTRUTIVA",SUMIFS($N$96:$N$938,$B$96:$B$938,B128,$H$96:$H$938,"Serviço"),IF(H128="ETAPA",SUMIFS($N$96:$N$938,$B$96:$B$938,B128,$C$96:$C$938,C128,$H$96:$H$938,"Serviço"),IF(H128="SUBETAPA",SUMIFS($N$96:$N$938,$B$96:$B$938,B128,$C$96:$C$938,C128,$D$96:$D$938,D128,$H$96:$H$938,"Serviço"),0))))</f>
        <v/>
      </c>
      <c r="O911" s="143" t="n"/>
      <c r="P911" s="144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>
      <c r="A912" s="121">
        <f>IF($H129="UNIDADE CONSTRUTIVA",OFFSET(A129,-1,0)+1,LARGE(A$3:A127,1))</f>
        <v/>
      </c>
      <c r="B912" s="121">
        <f>IF(H129="UNIDADE CONSTRUTIVA",0,IF(H129="CÉLULA CONSTRUTIVA",OFFSET(B129,-1,0)+1,OFFSET(B129,-1,0)))</f>
        <v/>
      </c>
      <c r="C912" s="121">
        <f>IF(H129="CÉLULA CONSTRUTIVA",0,IF(H129="ETAPA",OFFSET(C129,-1,0)+1,OFFSET(C129,-1,0)))</f>
        <v/>
      </c>
      <c r="D912" s="122">
        <f>IF(H129="ETAPA",0,IF(H129="SUBETAPA",OFFSET(D129,-1,0)+1,OFFSET(D129,-1,0)))</f>
        <v/>
      </c>
      <c r="E912" s="122">
        <f>IF(H129="Subetapa",0,IF(H129="serviço",OFFSET(E129,-1,0)+1,OFFSET(E129,-1,0)))</f>
        <v/>
      </c>
      <c r="F912" s="123" t="n"/>
      <c r="G912" s="135" t="inlineStr">
        <is>
          <t>PAREDES E PAINÉIS</t>
        </is>
      </c>
      <c r="H912" s="44" t="inlineStr">
        <is>
          <t>SERVIÇO</t>
        </is>
      </c>
      <c r="I912" s="45">
        <f>IF(H129="Unidade Construtiva",TEXT(A129,"00"),IF(H129="Célula Construtiva",TEXT(B129,"00"),IF(H129="Etapa",CONCATENATE(TEXT(B129,"00"),".",TEXT(C129,"000")),IF(H129="Subetapa",CONCATENATE(TEXT(B129,"00"),".",TEXT(C129,"000"),".",TEXT(D129,"000")),IF(H129="Serviço",CONCATENATE(TEXT(B129,"00"),".",TEXT(C129,"000"),".",TEXT(D129,"000"),".",TEXT(E129,"000")),"")))))</f>
        <v/>
      </c>
      <c r="J912" s="51" t="inlineStr">
        <is>
          <t>Encunhamento de alvenaria de vedação com argamassa expansiva</t>
        </is>
      </c>
      <c r="K912" s="47" t="inlineStr">
        <is>
          <t>m</t>
        </is>
      </c>
      <c r="L912" s="48">
        <f>SUM('Arquitetura Visus'!D42:D47)</f>
        <v/>
      </c>
      <c r="M912" s="48">
        <f>_xlfn.XLOOKUP($J129,CPU!$D$1:$D$31540,CPU!$H$1:$H$31540)</f>
        <v/>
      </c>
      <c r="N912" s="49">
        <f>IF(H129="Serviço",M129*L129,IF(H129="CÉLULA CONSTRUTIVA",SUMIFS($N$118:$N$438,$B$118:$B$438,B129,$H$118:$H$438,"Serviço"),IF(H129="ETAPA",SUMIFS($N$118:$N$438,$B$118:$B$438,B129,$C$118:$C$438,C129,$H$118:$H$438,"Serviço"),IF(H129="SUBETAPA",SUMIFS($N$118:$N$438,$B$118:$B$438,B129,$C$118:$C$438,C129,$D$118:$D$438,D129,$H$118:$H$438,"Serviço"),0))))</f>
        <v/>
      </c>
      <c r="O912" s="50" t="n"/>
      <c r="P912" s="134" t="n"/>
      <c r="Q912" s="52" t="n"/>
      <c r="R912" s="52" t="n"/>
      <c r="S912" s="1" t="n"/>
      <c r="T912" s="1" t="n"/>
      <c r="U912" s="1" t="n"/>
      <c r="V912" s="1" t="n"/>
      <c r="W912" s="1" t="n"/>
      <c r="X912" s="1" t="n"/>
      <c r="Y912" s="1" t="n"/>
    </row>
    <row r="913">
      <c r="A913" s="121">
        <f>IF($H130="UNIDADE CONSTRUTIVA",OFFSET(A130,-1,0)+1,LARGE(A$3:A129,1))</f>
        <v/>
      </c>
      <c r="B913" s="121">
        <f>IF(H130="UNIDADE CONSTRUTIVA",0,IF(H130="CÉLULA CONSTRUTIVA",OFFSET(B130,-1,0)+1,OFFSET(B130,-1,0)))</f>
        <v/>
      </c>
      <c r="C913" s="121">
        <f>IF(H130="CÉLULA CONSTRUTIVA",0,IF(H130="ETAPA",OFFSET(C130,-1,0)+1,OFFSET(C130,-1,0)))</f>
        <v/>
      </c>
      <c r="D913" s="122">
        <f>IF(H130="ETAPA",0,IF(H130="SUBETAPA",OFFSET(D130,-1,0)+1,OFFSET(D130,-1,0)))</f>
        <v/>
      </c>
      <c r="E913" s="122">
        <f>IF(H130="Subetapa",0,IF(H130="serviço",OFFSET(E130,-1,0)+1,OFFSET(E130,-1,0)))</f>
        <v/>
      </c>
      <c r="F913" s="123" t="n"/>
      <c r="G913" s="135" t="inlineStr">
        <is>
          <t>PAREDES E PAINÉIS</t>
        </is>
      </c>
      <c r="H913" s="44" t="inlineStr">
        <is>
          <t>SERVIÇO</t>
        </is>
      </c>
      <c r="I913" s="45">
        <f>IF(H130="Unidade Construtiva",TEXT(A130,"00"),IF(H130="Célula Construtiva",TEXT(B130,"00"),IF(H130="Etapa",CONCATENATE(TEXT(B130,"00"),".",TEXT(C130,"000")),IF(H130="Subetapa",CONCATENATE(TEXT(B130,"00"),".",TEXT(C130,"000"),".",TEXT(D130,"000")),IF(H130="Serviço",CONCATENATE(TEXT(B130,"00"),".",TEXT(C130,"000"),".",TEXT(D130,"000"),".",TEXT(E130,"000")),"")))))</f>
        <v/>
      </c>
      <c r="J913" s="51" t="inlineStr">
        <is>
          <t>Tela soldada para ligacao alvenaria/estrutura</t>
        </is>
      </c>
      <c r="K913" s="47" t="inlineStr">
        <is>
          <t>un</t>
        </is>
      </c>
      <c r="L913" s="48">
        <f>SUM('Arquitetura Visus'!D49:D56)</f>
        <v/>
      </c>
      <c r="M913" s="48">
        <f>_xlfn.XLOOKUP($J130,CPU!$D$1:$D$31540,CPU!$H$1:$H$31540)</f>
        <v/>
      </c>
      <c r="N913" s="49">
        <f>IF(H130="Serviço",M130*L130,IF(H130="CÉLULA CONSTRUTIVA",SUMIFS($N$118:$N$438,$B$118:$B$438,B130,$H$118:$H$438,"Serviço"),IF(H130="ETAPA",SUMIFS($N$118:$N$438,$B$118:$B$438,B130,$C$118:$C$438,C130,$H$118:$H$438,"Serviço"),IF(H130="SUBETAPA",SUMIFS($N$118:$N$438,$B$118:$B$438,B130,$C$118:$C$438,C130,$D$118:$D$438,D130,$H$118:$H$438,"Serviço"),0))))</f>
        <v/>
      </c>
      <c r="O913" s="50" t="n"/>
      <c r="P913" s="134" t="n"/>
      <c r="Q913" s="52" t="n"/>
      <c r="R913" s="52" t="n"/>
      <c r="S913" s="64" t="n"/>
      <c r="T913" s="1" t="n"/>
      <c r="U913" s="1" t="n"/>
      <c r="V913" s="1" t="n"/>
      <c r="W913" s="1" t="n"/>
      <c r="X913" s="1" t="n"/>
      <c r="Y913" s="1" t="n"/>
    </row>
    <row r="914">
      <c r="A914" s="121">
        <f>IF($H131="UNIDADE CONSTRUTIVA",OFFSET(A131,-1,0)+1,LARGE(A$3:A129,1))</f>
        <v/>
      </c>
      <c r="B914" s="121">
        <f>IF(H131="UNIDADE CONSTRUTIVA",0,IF(H131="CÉLULA CONSTRUTIVA",OFFSET(B131,-1,0)+1,OFFSET(B131,-1,0)))</f>
        <v/>
      </c>
      <c r="C914" s="121">
        <f>IF(H131="CÉLULA CONSTRUTIVA",0,IF(H131="ETAPA",OFFSET(C131,-1,0)+1,OFFSET(C131,-1,0)))</f>
        <v/>
      </c>
      <c r="D914" s="122">
        <f>IF(H131="ETAPA",0,IF(H131="SUBETAPA",OFFSET(D131,-1,0)+1,OFFSET(D131,-1,0)))</f>
        <v/>
      </c>
      <c r="E914" s="122">
        <f>IF(H131="Subetapa",0,IF(H131="serviço",OFFSET(E131,-1,0)+1,OFFSET(E131,-1,0)))</f>
        <v/>
      </c>
      <c r="F914" s="123" t="n"/>
      <c r="G914" s="135" t="inlineStr">
        <is>
          <t>PAREDES E PAINÉIS</t>
        </is>
      </c>
      <c r="H914" s="44" t="inlineStr">
        <is>
          <t>SERVIÇO</t>
        </is>
      </c>
      <c r="I914" s="45">
        <f>IF(H131="Unidade Construtiva",TEXT(A131,"00"),IF(H131="Célula Construtiva",TEXT(B131,"00"),IF(H131="Etapa",CONCATENATE(TEXT(B131,"00"),".",TEXT(C131,"000")),IF(H131="Subetapa",CONCATENATE(TEXT(B131,"00"),".",TEXT(C131,"000"),".",TEXT(D131,"000")),IF(H131="Serviço",CONCATENATE(TEXT(B131,"00"),".",TEXT(C131,"000"),".",TEXT(D131,"000"),".",TEXT(E131,"000")),"")))))</f>
        <v/>
      </c>
      <c r="J914" s="51" t="inlineStr">
        <is>
          <t>Execução de Acabamento Bocas Churrasqueiras em Granito Branco Dallas</t>
        </is>
      </c>
      <c r="K914" s="47" t="inlineStr">
        <is>
          <t>un</t>
        </is>
      </c>
      <c r="L914" s="48" t="n">
        <v>32</v>
      </c>
      <c r="M914" s="48">
        <f>_xlfn.XLOOKUP($J131,CPU!$D$1:$D$31540,CPU!$H$1:$H$31540)</f>
        <v/>
      </c>
      <c r="N914" s="49">
        <f>IF(H131="Serviço",M131*L131,IF(H131="CÉLULA CONSTRUTIVA",SUMIFS($N$118:$N$438,$B$118:$B$438,B131,$H$118:$H$438,"Serviço"),IF(H131="ETAPA",SUMIFS($N$118:$N$438,$B$118:$B$438,B131,$C$118:$C$438,C131,$H$118:$H$438,"Serviço"),IF(H131="SUBETAPA",SUMIFS($N$118:$N$438,$B$118:$B$438,B131,$C$118:$C$438,C131,$D$118:$D$438,D131,$H$118:$H$438,"Serviço"),0))))</f>
        <v/>
      </c>
      <c r="O914" s="130" t="n"/>
      <c r="P914" s="134" t="n"/>
      <c r="Q914" s="52" t="n"/>
      <c r="R914" s="52" t="n"/>
      <c r="S914" s="64" t="n"/>
      <c r="T914" s="1" t="n"/>
      <c r="U914" s="1" t="n"/>
      <c r="V914" s="1" t="n"/>
      <c r="W914" s="1" t="n"/>
      <c r="X914" s="1" t="n"/>
      <c r="Y914" s="1" t="n"/>
    </row>
    <row r="915">
      <c r="A915" s="121">
        <f>IF($H132="UNIDADE CONSTRUTIVA",OFFSET(A132,-1,0)+1,LARGE(A$3:A130,1))</f>
        <v/>
      </c>
      <c r="B915" s="121">
        <f>IF(H132="UNIDADE CONSTRUTIVA",0,IF(H132="CÉLULA CONSTRUTIVA",OFFSET(B132,-1,0)+1,OFFSET(B132,-1,0)))</f>
        <v/>
      </c>
      <c r="C915" s="121">
        <f>IF(H132="CÉLULA CONSTRUTIVA",0,IF(H132="ETAPA",OFFSET(C132,-1,0)+1,OFFSET(C132,-1,0)))</f>
        <v/>
      </c>
      <c r="D915" s="122">
        <f>IF(H132="ETAPA",0,IF(H132="SUBETAPA",OFFSET(D132,-1,0)+1,OFFSET(D132,-1,0)))</f>
        <v/>
      </c>
      <c r="E915" s="122">
        <f>IF(H132="Subetapa",0,IF(H132="serviço",OFFSET(E132,-1,0)+1,OFFSET(E132,-1,0)))</f>
        <v/>
      </c>
      <c r="F915" s="123" t="n"/>
      <c r="G915" s="135" t="inlineStr">
        <is>
          <t>PAREDES E PAINÉIS</t>
        </is>
      </c>
      <c r="H915" s="44" t="inlineStr">
        <is>
          <t>SERVIÇO</t>
        </is>
      </c>
      <c r="I915" s="45">
        <f>IF(H132="Unidade Construtiva",TEXT(A132,"00"),IF(H132="Célula Construtiva",TEXT(B132,"00"),IF(H132="Etapa",CONCATENATE(TEXT(B132,"00"),".",TEXT(C132,"000")),IF(H132="Subetapa",CONCATENATE(TEXT(B132,"00"),".",TEXT(C132,"000"),".",TEXT(D132,"000")),IF(H132="Serviço",CONCATENATE(TEXT(B132,"00"),".",TEXT(C132,"000"),".",TEXT(D132,"000"),".",TEXT(E132,"000")),"")))))</f>
        <v/>
      </c>
      <c r="J915" s="51" t="inlineStr">
        <is>
          <t>Verga/contraverga de concreto, moldada in loco</t>
        </is>
      </c>
      <c r="K915" s="47" t="inlineStr">
        <is>
          <t>m</t>
        </is>
      </c>
      <c r="L915" s="48">
        <f>SUM('Arquitetura Visus'!D58:D60)</f>
        <v/>
      </c>
      <c r="M915" s="48">
        <f>_xlfn.XLOOKUP($J132,CPU!$D$1:$D$31540,CPU!$H$1:$H$31540)</f>
        <v/>
      </c>
      <c r="N915" s="49">
        <f>IF(H132="Serviço",M132*L132,IF(H132="CÉLULA CONSTRUTIVA",SUMIFS($N$118:$N$438,$B$118:$B$438,B132,$H$118:$H$438,"Serviço"),IF(H132="ETAPA",SUMIFS($N$118:$N$438,$B$118:$B$438,B132,$C$118:$C$438,C132,$H$118:$H$438,"Serviço"),IF(H132="SUBETAPA",SUMIFS($N$118:$N$438,$B$118:$B$438,B132,$C$118:$C$438,C132,$D$118:$D$438,D132,$H$118:$H$438,"Serviço"),0))))</f>
        <v/>
      </c>
      <c r="O915" s="130" t="n"/>
      <c r="P915" s="134" t="n"/>
      <c r="Q915" s="52" t="n"/>
      <c r="R915" s="52" t="n"/>
      <c r="S915" s="64" t="n"/>
      <c r="T915" s="1" t="n"/>
      <c r="U915" s="1" t="n"/>
      <c r="V915" s="1" t="n"/>
      <c r="W915" s="1" t="n"/>
      <c r="X915" s="1" t="n"/>
      <c r="Y915" s="1" t="n"/>
    </row>
    <row r="916">
      <c r="A916" s="121">
        <f>IF($H133="UNIDADE CONSTRUTIVA",OFFSET(A133,-1,0)+1,LARGE(A$3:A132,1))</f>
        <v/>
      </c>
      <c r="B916" s="121">
        <f>IF(H133="UNIDADE CONSTRUTIVA",0,IF(H133="CÉLULA CONSTRUTIVA",OFFSET(B133,-1,0)+1,OFFSET(B133,-1,0)))</f>
        <v/>
      </c>
      <c r="C916" s="121">
        <f>IF(H133="CÉLULA CONSTRUTIVA",0,IF(H133="ETAPA",OFFSET(C133,-1,0)+1,OFFSET(C133,-1,0)))</f>
        <v/>
      </c>
      <c r="D916" s="122">
        <f>IF(H133="ETAPA",0,IF(H133="SUBETAPA",OFFSET(D133,-1,0)+1,OFFSET(D133,-1,0)))</f>
        <v/>
      </c>
      <c r="E916" s="122">
        <f>IF(H133="Subetapa",0,IF(H133="serviço",OFFSET(E133,-1,0)+1,OFFSET(E133,-1,0)))</f>
        <v/>
      </c>
      <c r="F916" s="123" t="n"/>
      <c r="G916" s="135" t="n"/>
      <c r="H916" s="44" t="inlineStr">
        <is>
          <t>SUBETAPA</t>
        </is>
      </c>
      <c r="I916" s="45">
        <f>IF(H133="Unidade Construtiva",TEXT(A133,"00"),IF(H133="Célula Construtiva",TEXT(B133,"00"),IF(H133="Etapa",CONCATENATE(TEXT(B133,"00"),".",TEXT(C133,"000")),IF(H133="Subetapa",CONCATENATE(TEXT(B133,"00"),".",TEXT(C133,"000"),".",TEXT(D133,"000")),IF(H133="Serviço",CONCATENATE(TEXT(B133,"00"),".",TEXT(C133,"000"),".",TEXT(D133,"000"),".",TEXT(E133,"000")),"")))))</f>
        <v/>
      </c>
      <c r="J916" s="51" t="inlineStr">
        <is>
          <t>Drywall</t>
        </is>
      </c>
      <c r="K916" s="47" t="n"/>
      <c r="L916" s="48" t="n"/>
      <c r="M916" s="48" t="n"/>
      <c r="N916" s="49">
        <f>IF(H133="Serviço",M133*L133,IF(H133="CÉLULA CONSTRUTIVA",SUMIFS($N$118:$N$438,$B$118:$B$438,B133,$H$118:$H$438,"Serviço"),IF(H133="ETAPA",SUMIFS($N$118:$N$438,$B$118:$B$438,B133,$C$118:$C$438,C133,$H$118:$H$438,"Serviço"),IF(H133="SUBETAPA",SUMIFS($N$118:$N$438,$B$118:$B$438,B133,$C$118:$C$438,C133,$D$118:$D$438,D133,$H$118:$H$438,"Serviço"),0))))</f>
        <v/>
      </c>
      <c r="O916" s="50">
        <f>N133/CAPA!C$10</f>
        <v/>
      </c>
      <c r="P916" s="134" t="n"/>
      <c r="Q916" s="52" t="n"/>
      <c r="R916" s="52" t="n"/>
      <c r="S916" s="1" t="n"/>
      <c r="T916" s="1" t="n"/>
      <c r="U916" s="1" t="n"/>
      <c r="V916" s="1" t="n"/>
      <c r="W916" s="1" t="n"/>
      <c r="X916" s="1" t="n"/>
      <c r="Y916" s="1" t="n"/>
    </row>
    <row r="917">
      <c r="A917" s="121">
        <f>IF($H134="UNIDADE CONSTRUTIVA",OFFSET(A134,-1,0)+1,LARGE(A$3:A133,1))</f>
        <v/>
      </c>
      <c r="B917" s="121">
        <f>IF(H134="UNIDADE CONSTRUTIVA",0,IF(H134="CÉLULA CONSTRUTIVA",OFFSET(B134,-1,0)+1,OFFSET(B134,-1,0)))</f>
        <v/>
      </c>
      <c r="C917" s="121">
        <f>IF(H134="CÉLULA CONSTRUTIVA",0,IF(H134="ETAPA",OFFSET(C134,-1,0)+1,OFFSET(C134,-1,0)))</f>
        <v/>
      </c>
      <c r="D917" s="122">
        <f>IF(H134="ETAPA",0,IF(H134="SUBETAPA",OFFSET(D134,-1,0)+1,OFFSET(D134,-1,0)))</f>
        <v/>
      </c>
      <c r="E917" s="122">
        <f>IF(H134="Subetapa",0,IF(H134="serviço",OFFSET(E134,-1,0)+1,OFFSET(E134,-1,0)))</f>
        <v/>
      </c>
      <c r="F917" s="123" t="n"/>
      <c r="G917" s="135" t="inlineStr">
        <is>
          <t>PAREDES E PAINÉIS</t>
        </is>
      </c>
      <c r="H917" s="44" t="inlineStr">
        <is>
          <t>SERVIÇO</t>
        </is>
      </c>
      <c r="I917" s="45">
        <f>IF(H134="Unidade Construtiva",TEXT(A134,"00"),IF(H134="Célula Construtiva",TEXT(B134,"00"),IF(H134="Etapa",CONCATENATE(TEXT(B134,"00"),".",TEXT(C134,"000")),IF(H134="Subetapa",CONCATENATE(TEXT(B134,"00"),".",TEXT(C134,"000"),".",TEXT(D134,"000")),IF(H134="Serviço",CONCATENATE(TEXT(B134,"00"),".",TEXT(C134,"000"),".",TEXT(D134,"000"),".",TEXT(E134,"000")),"")))))</f>
        <v/>
      </c>
      <c r="J917" s="51" t="inlineStr">
        <is>
          <t>Parede Com Sistema Em Chapas De Gesso Para Drywall, Uso Interno, Montante 70mm, Com Uma Face Resistente a Umidade(RU/70)</t>
        </is>
      </c>
      <c r="K917" s="47" t="inlineStr">
        <is>
          <t>m2</t>
        </is>
      </c>
      <c r="L917" s="48">
        <f>'Arquitetura Visus'!D27</f>
        <v/>
      </c>
      <c r="M917" s="48">
        <f>_xlfn.XLOOKUP($J134,CPU!$D$1:$D$31540,CPU!$H$1:$H$31540)</f>
        <v/>
      </c>
      <c r="N917" s="49">
        <f>IF(H134="Serviço",M134*L134,IF(H134="CÉLULA CONSTRUTIVA",SUMIFS($N$118:$N$438,$B$118:$B$438,B134,$H$118:$H$438,"Serviço"),IF(H134="ETAPA",SUMIFS($N$118:$N$438,$B$118:$B$438,B134,$C$118:$C$438,C134,$H$118:$H$438,"Serviço"),IF(H134="SUBETAPA",SUMIFS($N$118:$N$438,$B$118:$B$438,B134,$C$118:$C$438,C134,$D$118:$D$438,D134,$H$118:$H$438,"Serviço"),0))))</f>
        <v/>
      </c>
      <c r="O917" s="145" t="inlineStr">
        <is>
          <t>Inclusive mão de obra</t>
        </is>
      </c>
      <c r="P917" s="134" t="n"/>
      <c r="Q917" s="52" t="n"/>
      <c r="R917" s="52" t="n"/>
      <c r="S917" s="1" t="n"/>
      <c r="T917" s="1" t="n"/>
      <c r="U917" s="1" t="n"/>
      <c r="V917" s="1" t="n"/>
      <c r="W917" s="1" t="n"/>
      <c r="X917" s="1" t="n"/>
      <c r="Y917" s="1" t="n"/>
    </row>
    <row r="918">
      <c r="A918" s="121">
        <f>IF($H135="UNIDADE CONSTRUTIVA",OFFSET(A135,-1,0)+1,LARGE(A$3:A134,1))</f>
        <v/>
      </c>
      <c r="B918" s="121">
        <f>IF(H135="UNIDADE CONSTRUTIVA",0,IF(H135="CÉLULA CONSTRUTIVA",OFFSET(B135,-1,0)+1,OFFSET(B135,-1,0)))</f>
        <v/>
      </c>
      <c r="C918" s="121">
        <f>IF(H135="CÉLULA CONSTRUTIVA",0,IF(H135="ETAPA",OFFSET(C135,-1,0)+1,OFFSET(C135,-1,0)))</f>
        <v/>
      </c>
      <c r="D918" s="122">
        <f>IF(H135="ETAPA",0,IF(H135="SUBETAPA",OFFSET(D135,-1,0)+1,OFFSET(D135,-1,0)))</f>
        <v/>
      </c>
      <c r="E918" s="122">
        <f>IF(H135="Subetapa",0,IF(H135="serviço",OFFSET(E135,-1,0)+1,OFFSET(E135,-1,0)))</f>
        <v/>
      </c>
      <c r="F918" s="123" t="n"/>
      <c r="G918" s="135" t="inlineStr">
        <is>
          <t>PAREDES E PAINÉIS</t>
        </is>
      </c>
      <c r="H918" s="44" t="inlineStr">
        <is>
          <t>SERVIÇO</t>
        </is>
      </c>
      <c r="I918" s="45">
        <f>IF(H135="Unidade Construtiva",TEXT(A135,"00"),IF(H135="Célula Construtiva",TEXT(B135,"00"),IF(H135="Etapa",CONCATENATE(TEXT(B135,"00"),".",TEXT(C135,"000")),IF(H135="Subetapa",CONCATENATE(TEXT(B135,"00"),".",TEXT(C135,"000"),".",TEXT(D135,"000")),IF(H135="Serviço",CONCATENATE(TEXT(B135,"00"),".",TEXT(C135,"000"),".",TEXT(D135,"000"),".",TEXT(E135,"000")),"")))))</f>
        <v/>
      </c>
      <c r="J918" s="51" t="inlineStr">
        <is>
          <t>Parede Com Sistema Em Chapas De Gesso Para Drywall, Uso Interno, Montante 70mm, Com Duas Face Simples Standart (ST/70/ST)</t>
        </is>
      </c>
      <c r="K918" s="47" t="inlineStr">
        <is>
          <t>m2</t>
        </is>
      </c>
      <c r="L918" s="48">
        <f>'Arquitetura Visus'!D28+'Arquitetura Visus'!D31+'Arquitetura Visus'!D33</f>
        <v/>
      </c>
      <c r="M918" s="48">
        <f>_xlfn.XLOOKUP($J135,CPU!$D$1:$D$31540,CPU!$H$1:$H$31540)</f>
        <v/>
      </c>
      <c r="N918" s="49">
        <f>IF(H135="Serviço",M135*L135,IF(H135="CÉLULA CONSTRUTIVA",SUMIFS($N$118:$N$438,$B$118:$B$438,B135,$H$118:$H$438,"Serviço"),IF(H135="ETAPA",SUMIFS($N$118:$N$438,$B$118:$B$438,B135,$C$118:$C$438,C135,$H$118:$H$438,"Serviço"),IF(H135="SUBETAPA",SUMIFS($N$118:$N$438,$B$118:$B$438,B135,$C$118:$C$438,C135,$D$118:$D$438,D135,$H$118:$H$438,"Serviço"),0))))</f>
        <v/>
      </c>
      <c r="O918" s="145" t="inlineStr">
        <is>
          <t>Inclusive mão de obra</t>
        </is>
      </c>
      <c r="P918" s="134" t="n"/>
      <c r="Q918" s="52" t="n"/>
      <c r="R918" s="52" t="n"/>
      <c r="S918" s="64" t="n"/>
      <c r="T918" s="1" t="n"/>
      <c r="U918" s="1" t="n"/>
      <c r="V918" s="1" t="n"/>
      <c r="W918" s="1" t="n"/>
      <c r="X918" s="1" t="n"/>
      <c r="Y918" s="1" t="n"/>
    </row>
    <row r="919">
      <c r="A919" s="121">
        <f>IF($H136="UNIDADE CONSTRUTIVA",OFFSET(A136,-1,0)+1,LARGE(A$3:A132,1))</f>
        <v/>
      </c>
      <c r="B919" s="121">
        <f>IF(H136="UNIDADE CONSTRUTIVA",0,IF(H136="CÉLULA CONSTRUTIVA",OFFSET(B136,-1,0)+1,OFFSET(B136,-1,0)))</f>
        <v/>
      </c>
      <c r="C919" s="121">
        <f>IF(H136="CÉLULA CONSTRUTIVA",0,IF(H136="ETAPA",OFFSET(C136,-1,0)+1,OFFSET(C136,-1,0)))</f>
        <v/>
      </c>
      <c r="D919" s="122">
        <f>IF(H136="ETAPA",0,IF(H136="SUBETAPA",OFFSET(D136,-1,0)+1,OFFSET(D136,-1,0)))</f>
        <v/>
      </c>
      <c r="E919" s="122">
        <f>IF(H136="Subetapa",0,IF(H136="serviço",OFFSET(E136,-1,0)+1,OFFSET(E136,-1,0)))</f>
        <v/>
      </c>
      <c r="F919" s="123" t="n"/>
      <c r="G919" s="135" t="inlineStr">
        <is>
          <t>PAREDES E PAINÉIS</t>
        </is>
      </c>
      <c r="H919" s="44" t="inlineStr">
        <is>
          <t>SERVIÇO</t>
        </is>
      </c>
      <c r="I919" s="45">
        <f>IF(H136="Unidade Construtiva",TEXT(A136,"00"),IF(H136="Célula Construtiva",TEXT(B136,"00"),IF(H136="Etapa",CONCATENATE(TEXT(B136,"00"),".",TEXT(C136,"000")),IF(H136="Subetapa",CONCATENATE(TEXT(B136,"00"),".",TEXT(C136,"000"),".",TEXT(D136,"000")),IF(H136="Serviço",CONCATENATE(TEXT(B136,"00"),".",TEXT(C136,"000"),".",TEXT(D136,"000"),".",TEXT(E136,"000")),"")))))</f>
        <v/>
      </c>
      <c r="J919" s="51" t="inlineStr">
        <is>
          <t>Parede Com Sistema Em Chapas De Gesso Para Drywall, Uso Interno, Montante 70mm, Com Duas Face Resistente a Umidade(RU/70/RU)</t>
        </is>
      </c>
      <c r="K919" s="47" t="inlineStr">
        <is>
          <t>m2</t>
        </is>
      </c>
      <c r="L919" s="48">
        <f>'Arquitetura Visus'!D29</f>
        <v/>
      </c>
      <c r="M919" s="48">
        <f>_xlfn.XLOOKUP($J136,CPU!$D$1:$D$31540,CPU!$H$1:$H$31540)</f>
        <v/>
      </c>
      <c r="N919" s="49">
        <f>IF(H136="Serviço",M136*L136,IF(H136="CÉLULA CONSTRUTIVA",SUMIFS($N$118:$N$438,$B$118:$B$438,B136,$H$118:$H$438,"Serviço"),IF(H136="ETAPA",SUMIFS($N$118:$N$438,$B$118:$B$438,B136,$C$118:$C$438,C136,$H$118:$H$438,"Serviço"),IF(H136="SUBETAPA",SUMIFS($N$118:$N$438,$B$118:$B$438,B136,$C$118:$C$438,C136,$D$118:$D$438,D136,$H$118:$H$438,"Serviço"),0))))</f>
        <v/>
      </c>
      <c r="O919" s="145" t="inlineStr">
        <is>
          <t>Inclusive mão de obra</t>
        </is>
      </c>
      <c r="P919" s="134" t="n"/>
      <c r="Q919" s="52" t="n"/>
      <c r="R919" s="52" t="n"/>
      <c r="S919" s="64" t="n"/>
      <c r="T919" s="1" t="n"/>
      <c r="U919" s="1" t="n"/>
      <c r="V919" s="1" t="n"/>
      <c r="W919" s="1" t="n"/>
      <c r="X919" s="1" t="n"/>
      <c r="Y919" s="1" t="n"/>
    </row>
    <row r="920">
      <c r="A920" s="121">
        <f>IF($H137="UNIDADE CONSTRUTIVA",OFFSET(A137,-1,0)+1,LARGE(A$3:A134,1))</f>
        <v/>
      </c>
      <c r="B920" s="121">
        <f>IF(H137="UNIDADE CONSTRUTIVA",0,IF(H137="CÉLULA CONSTRUTIVA",OFFSET(B137,-1,0)+1,OFFSET(B137,-1,0)))</f>
        <v/>
      </c>
      <c r="C920" s="121">
        <f>IF(H137="CÉLULA CONSTRUTIVA",0,IF(H137="ETAPA",OFFSET(C137,-1,0)+1,OFFSET(C137,-1,0)))</f>
        <v/>
      </c>
      <c r="D920" s="122">
        <f>IF(H137="ETAPA",0,IF(H137="SUBETAPA",OFFSET(D137,-1,0)+1,OFFSET(D137,-1,0)))</f>
        <v/>
      </c>
      <c r="E920" s="122">
        <f>IF(H137="Subetapa",0,IF(H137="serviço",OFFSET(E137,-1,0)+1,OFFSET(E137,-1,0)))</f>
        <v/>
      </c>
      <c r="F920" s="123" t="n"/>
      <c r="G920" s="135" t="inlineStr">
        <is>
          <t>PAREDES E PAINÉIS</t>
        </is>
      </c>
      <c r="H920" s="44" t="inlineStr">
        <is>
          <t>SERVIÇO</t>
        </is>
      </c>
      <c r="I920" s="45">
        <f>IF(H137="Unidade Construtiva",TEXT(A137,"00"),IF(H137="Célula Construtiva",TEXT(B137,"00"),IF(H137="Etapa",CONCATENATE(TEXT(B137,"00"),".",TEXT(C137,"000")),IF(H137="Subetapa",CONCATENATE(TEXT(B137,"00"),".",TEXT(C137,"000"),".",TEXT(D137,"000")),IF(H137="Serviço",CONCATENATE(TEXT(B137,"00"),".",TEXT(C137,"000"),".",TEXT(D137,"000"),".",TEXT(E137,"000")),"")))))</f>
        <v/>
      </c>
      <c r="J920" s="51" t="inlineStr">
        <is>
          <t>Parede Com Sistema Em Chapas De Gesso Para Drywall, Uso Interno, Montante 70mm, Com Uma Face Standart e Uma Face Resistente a Umidade(RU/70/ST)</t>
        </is>
      </c>
      <c r="K920" s="47" t="inlineStr">
        <is>
          <t>m2</t>
        </is>
      </c>
      <c r="L920" s="48">
        <f>'Arquitetura Visus'!D30+'Arquitetura Visus'!D32</f>
        <v/>
      </c>
      <c r="M920" s="48">
        <f>_xlfn.XLOOKUP($J137,CPU!$D$1:$D$31540,CPU!$H$1:$H$31540)</f>
        <v/>
      </c>
      <c r="N920" s="49">
        <f>IF(H137="Serviço",M137*L137,IF(H137="CÉLULA CONSTRUTIVA",SUMIFS($N$118:$N$438,$B$118:$B$438,B137,$H$118:$H$438,"Serviço"),IF(H137="ETAPA",SUMIFS($N$118:$N$438,$B$118:$B$438,B137,$C$118:$C$438,C137,$H$118:$H$438,"Serviço"),IF(H137="SUBETAPA",SUMIFS($N$118:$N$438,$B$118:$B$438,B137,$C$118:$C$438,C137,$D$118:$D$438,D137,$H$118:$H$438,"Serviço"),0))))</f>
        <v/>
      </c>
      <c r="O920" s="145" t="inlineStr">
        <is>
          <t>Inclusive mão de obra</t>
        </is>
      </c>
      <c r="P920" s="134" t="n"/>
      <c r="Q920" s="52" t="n"/>
      <c r="R920" s="52" t="n"/>
      <c r="S920" s="64" t="n"/>
      <c r="T920" s="1" t="n"/>
      <c r="U920" s="1" t="n"/>
      <c r="V920" s="1" t="n"/>
      <c r="W920" s="1" t="n"/>
      <c r="X920" s="1" t="n"/>
      <c r="Y920" s="1" t="n"/>
    </row>
    <row r="921">
      <c r="A921" s="121">
        <f>IF($H138="UNIDADE CONSTRUTIVA",OFFSET(A138,-1,0)+1,LARGE(A$3:A134,1))</f>
        <v/>
      </c>
      <c r="B921" s="121">
        <f>IF(H138="UNIDADE CONSTRUTIVA",0,IF(H138="CÉLULA CONSTRUTIVA",OFFSET(B138,-1,0)+1,OFFSET(B138,-1,0)))</f>
        <v/>
      </c>
      <c r="C921" s="121">
        <f>IF(H138="CÉLULA CONSTRUTIVA",0,IF(H138="ETAPA",OFFSET(C138,-1,0)+1,OFFSET(C138,-1,0)))</f>
        <v/>
      </c>
      <c r="D921" s="122">
        <f>IF(H138="ETAPA",0,IF(H138="SUBETAPA",OFFSET(D138,-1,0)+1,OFFSET(D138,-1,0)))</f>
        <v/>
      </c>
      <c r="E921" s="122">
        <f>IF(H138="Subetapa",0,IF(H138="serviço",OFFSET(E138,-1,0)+1,OFFSET(E138,-1,0)))</f>
        <v/>
      </c>
      <c r="F921" s="123" t="n"/>
      <c r="G921" s="135" t="n"/>
      <c r="H921" s="44" t="inlineStr">
        <is>
          <t>SUBETAPA</t>
        </is>
      </c>
      <c r="I921" s="45">
        <f>IF(H138="Unidade Construtiva",TEXT(A138,"00"),IF(H138="Célula Construtiva",TEXT(B138,"00"),IF(H138="Etapa",CONCATENATE(TEXT(B138,"00"),".",TEXT(C138,"000")),IF(H138="Subetapa",CONCATENATE(TEXT(B138,"00"),".",TEXT(C138,"000"),".",TEXT(D138,"000")),IF(H138="Serviço",CONCATENATE(TEXT(B138,"00"),".",TEXT(C138,"000"),".",TEXT(D138,"000"),".",TEXT(E138,"000")),"")))))</f>
        <v/>
      </c>
      <c r="J921" s="51" t="inlineStr">
        <is>
          <t>Mão de obra</t>
        </is>
      </c>
      <c r="K921" s="47" t="n"/>
      <c r="L921" s="48" t="n"/>
      <c r="M921" s="48" t="n"/>
      <c r="N921" s="49">
        <f>IF(H138="Serviço",M138*L138,IF(H138="CÉLULA CONSTRUTIVA",SUMIFS($N$118:$N$438,$B$118:$B$438,B138,$H$118:$H$438,"Serviço"),IF(H138="ETAPA",SUMIFS($N$118:$N$438,$B$118:$B$438,B138,$C$118:$C$438,C138,$H$118:$H$438,"Serviço"),IF(H138="SUBETAPA",SUMIFS($N$118:$N$438,$B$118:$B$438,B138,$C$118:$C$438,C138,$D$118:$D$438,D138,$H$118:$H$438,"Serviço"),0))))</f>
        <v/>
      </c>
      <c r="O921" s="50">
        <f>N138/CAPA!C$10</f>
        <v/>
      </c>
      <c r="P921" s="134" t="n"/>
      <c r="Q921" s="52" t="n"/>
      <c r="R921" s="52" t="n"/>
      <c r="S921" s="64" t="n"/>
      <c r="T921" s="1" t="n"/>
      <c r="U921" s="1" t="n"/>
      <c r="V921" s="1" t="n"/>
      <c r="W921" s="1" t="n"/>
      <c r="X921" s="1" t="n"/>
      <c r="Y921" s="1" t="n"/>
    </row>
    <row r="922">
      <c r="A922" s="121">
        <f>IF($H139="UNIDADE CONSTRUTIVA",OFFSET(A139,-1,0)+1,LARGE(A$3:A138,1))</f>
        <v/>
      </c>
      <c r="B922" s="121">
        <f>IF(H139="UNIDADE CONSTRUTIVA",0,IF(H139="CÉLULA CONSTRUTIVA",OFFSET(B139,-1,0)+1,OFFSET(B139,-1,0)))</f>
        <v/>
      </c>
      <c r="C922" s="121">
        <f>IF(H139="CÉLULA CONSTRUTIVA",0,IF(H139="ETAPA",OFFSET(C139,-1,0)+1,OFFSET(C139,-1,0)))</f>
        <v/>
      </c>
      <c r="D922" s="122">
        <f>IF(H139="ETAPA",0,IF(H139="SUBETAPA",OFFSET(D139,-1,0)+1,OFFSET(D139,-1,0)))</f>
        <v/>
      </c>
      <c r="E922" s="122">
        <f>IF(H139="Subetapa",0,IF(H139="serviço",OFFSET(E139,-1,0)+1,OFFSET(E139,-1,0)))</f>
        <v/>
      </c>
      <c r="F922" s="123" t="n"/>
      <c r="G922" s="135" t="inlineStr">
        <is>
          <t>PAREDES E PAINÉIS</t>
        </is>
      </c>
      <c r="H922" s="44" t="inlineStr">
        <is>
          <t>SERVIÇO</t>
        </is>
      </c>
      <c r="I922" s="45">
        <f>IF(H139="Unidade Construtiva",TEXT(A139,"00"),IF(H139="Célula Construtiva",TEXT(B139,"00"),IF(H139="Etapa",CONCATENATE(TEXT(B139,"00"),".",TEXT(C139,"000")),IF(H139="Subetapa",CONCATENATE(TEXT(B139,"00"),".",TEXT(C139,"000"),".",TEXT(D139,"000")),IF(H139="Serviço",CONCATENATE(TEXT(B139,"00"),".",TEXT(C139,"000"),".",TEXT(D139,"000"),".",TEXT(E139,"000")),"")))))</f>
        <v/>
      </c>
      <c r="J922" s="51" t="inlineStr">
        <is>
          <t>Mão de obra para assentamento de blocos cerâmicos/concreto</t>
        </is>
      </c>
      <c r="K922" s="47" t="inlineStr">
        <is>
          <t>m2</t>
        </is>
      </c>
      <c r="L922" s="48">
        <f>'Arquitetura Visus'!D36+'Arquitetura Visus'!D37</f>
        <v/>
      </c>
      <c r="M922" s="48">
        <f>_xlfn.XLOOKUP($J139,CPU!$D$1:$D$31540,CPU!$H$1:$H$31540)</f>
        <v/>
      </c>
      <c r="N922" s="49">
        <f>IF(H139="Serviço",M139*L139,IF(H139="CÉLULA CONSTRUTIVA",SUMIFS($N$118:$N$438,$B$118:$B$438,B139,$H$118:$H$438,"Serviço"),IF(H139="ETAPA",SUMIFS($N$118:$N$438,$B$118:$B$438,B139,$C$118:$C$438,C139,$H$118:$H$438,"Serviço"),IF(H139="SUBETAPA",SUMIFS($N$118:$N$438,$B$118:$B$438,B139,$C$118:$C$438,C139,$D$118:$D$438,D139,$H$118:$H$438,"Serviço"),0))))</f>
        <v/>
      </c>
      <c r="O922" s="50" t="n"/>
      <c r="P922" s="134" t="n"/>
      <c r="Q922" s="52" t="n"/>
      <c r="R922" s="52" t="n"/>
      <c r="S922" s="64" t="n"/>
      <c r="T922" s="1" t="n"/>
      <c r="U922" s="1" t="n"/>
      <c r="V922" s="1" t="n"/>
      <c r="W922" s="1" t="n"/>
      <c r="X922" s="1" t="n"/>
      <c r="Y922" s="1" t="n"/>
    </row>
    <row r="923">
      <c r="A923" s="121">
        <f>IF($H140="UNIDADE CONSTRUTIVA",OFFSET(A140,-1,0)+1,LARGE(A$3:A139,1))</f>
        <v/>
      </c>
      <c r="B923" s="121">
        <f>IF(H140="UNIDADE CONSTRUTIVA",0,IF(H140="CÉLULA CONSTRUTIVA",OFFSET(B140,-1,0)+1,OFFSET(B140,-1,0)))</f>
        <v/>
      </c>
      <c r="C923" s="121">
        <f>IF(H140="CÉLULA CONSTRUTIVA",0,IF(H140="ETAPA",OFFSET(C140,-1,0)+1,OFFSET(C140,-1,0)))</f>
        <v/>
      </c>
      <c r="D923" s="122">
        <f>IF(H140="ETAPA",0,IF(H140="SUBETAPA",OFFSET(D140,-1,0)+1,OFFSET(D140,-1,0)))</f>
        <v/>
      </c>
      <c r="E923" s="122">
        <f>IF(H140="Subetapa",0,IF(H140="serviço",OFFSET(E140,-1,0)+1,OFFSET(E140,-1,0)))</f>
        <v/>
      </c>
      <c r="F923" s="123" t="n"/>
      <c r="G923" s="135" t="n"/>
      <c r="H923" s="44" t="inlineStr">
        <is>
          <t>CÉLULA CONSTRUTIVA</t>
        </is>
      </c>
      <c r="I923" s="45">
        <f>IF(H140="Unidade Construtiva",TEXT(A140,"00"),IF(H140="Célula Construtiva",TEXT(B140,"00"),IF(H140="Etapa",CONCATENATE(TEXT(B140,"00"),".",TEXT(C140,"000")),IF(H140="Subetapa",CONCATENATE(TEXT(B140,"00"),".",TEXT(C140,"000"),".",TEXT(D140,"000")),IF(H140="Serviço",CONCATENATE(TEXT(B140,"00"),".",TEXT(C140,"000"),".",TEXT(D140,"000"),".",TEXT(E140,"000")),"")))))</f>
        <v/>
      </c>
      <c r="J923" s="51" t="inlineStr">
        <is>
          <t>IMPERMEABILIZAÇÃO E TRATAMENTOS</t>
        </is>
      </c>
      <c r="K923" s="47" t="n"/>
      <c r="L923" s="48" t="n"/>
      <c r="M923" s="48" t="n"/>
      <c r="N923" s="49">
        <f>IF(H140="Serviço",M140*L140,IF(H140="CÉLULA CONSTRUTIVA",SUMIFS($N$118:$N$438,$B$118:$B$438,B140,$H$118:$H$438,"Serviço"),IF(H140="ETAPA",SUMIFS($N$118:$N$438,$B$118:$B$438,B140,$C$118:$C$438,C140,$H$118:$H$438,"Serviço"),IF(H140="SUBETAPA",SUMIFS($N$118:$N$438,$B$118:$B$438,B140,$C$118:$C$438,C140,$D$118:$D$438,D140,$H$118:$H$438,"Serviço"),0))))</f>
        <v/>
      </c>
      <c r="O923" s="50">
        <f>N140/CAPA!C$10</f>
        <v/>
      </c>
      <c r="P923" s="134" t="n"/>
      <c r="Q923" s="115" t="n"/>
      <c r="R923" s="52" t="n"/>
      <c r="S923" s="64" t="n"/>
      <c r="T923" s="1" t="n"/>
      <c r="U923" s="1" t="n"/>
      <c r="V923" s="1" t="n"/>
      <c r="W923" s="1" t="n"/>
      <c r="X923" s="1" t="n"/>
      <c r="Y923" s="1" t="n"/>
    </row>
    <row r="924">
      <c r="A924" s="121">
        <f>IF($H141="UNIDADE CONSTRUTIVA",OFFSET(A141,-1,0)+1,LARGE(A$3:A140,1))</f>
        <v/>
      </c>
      <c r="B924" s="121">
        <f>IF(H141="UNIDADE CONSTRUTIVA",0,IF(H141="CÉLULA CONSTRUTIVA",OFFSET(B141,-1,0)+1,OFFSET(B141,-1,0)))</f>
        <v/>
      </c>
      <c r="C924" s="121">
        <f>IF(H141="CÉLULA CONSTRUTIVA",0,IF(H141="ETAPA",OFFSET(C141,-1,0)+1,OFFSET(C141,-1,0)))</f>
        <v/>
      </c>
      <c r="D924" s="122">
        <f>IF(H141="ETAPA",0,IF(H141="SUBETAPA",OFFSET(D141,-1,0)+1,OFFSET(D141,-1,0)))</f>
        <v/>
      </c>
      <c r="E924" s="122">
        <f>IF(H141="Subetapa",0,IF(H141="serviço",OFFSET(E141,-1,0)+1,OFFSET(E141,-1,0)))</f>
        <v/>
      </c>
      <c r="F924" s="123" t="n"/>
      <c r="G924" s="135" t="n"/>
      <c r="H924" s="44" t="inlineStr">
        <is>
          <t>ETAPA</t>
        </is>
      </c>
      <c r="I924" s="45">
        <f>IF(H141="Unidade Construtiva",TEXT(A141,"00"),IF(H141="Célula Construtiva",TEXT(B141,"00"),IF(H141="Etapa",CONCATENATE(TEXT(B141,"00"),".",TEXT(C141,"000")),IF(H141="Subetapa",CONCATENATE(TEXT(B141,"00"),".",TEXT(C141,"000"),".",TEXT(D141,"000")),IF(H141="Serviço",CONCATENATE(TEXT(B141,"00"),".",TEXT(C141,"000"),".",TEXT(D141,"000"),".",TEXT(E141,"000")),"")))))</f>
        <v/>
      </c>
      <c r="J924" s="51" t="inlineStr">
        <is>
          <t>IMPERMEABILIZAÇÃO E TRATAMENTOS</t>
        </is>
      </c>
      <c r="K924" s="47" t="n"/>
      <c r="L924" s="48" t="n"/>
      <c r="M924" s="48" t="n"/>
      <c r="N924" s="49">
        <f>IF(H141="Serviço",M141*L141,IF(H141="CÉLULA CONSTRUTIVA",SUMIFS($N$118:$N$438,$B$118:$B$438,B141,$H$118:$H$438,"Serviço"),IF(H141="ETAPA",SUMIFS($N$118:$N$438,$B$118:$B$438,B141,$C$118:$C$438,C141,$H$118:$H$438,"Serviço"),IF(H141="SUBETAPA",SUMIFS($N$118:$N$438,$B$118:$B$438,B141,$C$118:$C$438,C141,$D$118:$D$438,D141,$H$118:$H$438,"Serviço"),0))))</f>
        <v/>
      </c>
      <c r="O924" s="50">
        <f>N141/CAPA!C$10</f>
        <v/>
      </c>
      <c r="P924" s="134" t="n"/>
      <c r="Q924" s="1" t="n"/>
      <c r="R924" s="52" t="n"/>
      <c r="S924" s="64" t="n"/>
      <c r="T924" s="1" t="n"/>
      <c r="U924" s="1" t="n"/>
      <c r="V924" s="1" t="n"/>
      <c r="W924" s="1" t="n"/>
      <c r="X924" s="1" t="n"/>
      <c r="Y924" s="1" t="n"/>
    </row>
    <row r="925">
      <c r="A925" s="121">
        <f>IF($H142="UNIDADE CONSTRUTIVA",OFFSET(A142,-1,0)+1,LARGE(A$3:A141,1))</f>
        <v/>
      </c>
      <c r="B925" s="121">
        <f>IF(H142="UNIDADE CONSTRUTIVA",0,IF(H142="CÉLULA CONSTRUTIVA",OFFSET(B142,-1,0)+1,OFFSET(B142,-1,0)))</f>
        <v/>
      </c>
      <c r="C925" s="121">
        <f>IF(H142="CÉLULA CONSTRUTIVA",0,IF(H142="ETAPA",OFFSET(C142,-1,0)+1,OFFSET(C142,-1,0)))</f>
        <v/>
      </c>
      <c r="D925" s="122">
        <f>IF(H142="ETAPA",0,IF(H142="SUBETAPA",OFFSET(D142,-1,0)+1,OFFSET(D142,-1,0)))</f>
        <v/>
      </c>
      <c r="E925" s="122">
        <f>IF(H142="Subetapa",0,IF(H142="serviço",OFFSET(E142,-1,0)+1,OFFSET(E142,-1,0)))</f>
        <v/>
      </c>
      <c r="F925" s="123" t="n"/>
      <c r="G925" s="135" t="n"/>
      <c r="H925" s="44" t="inlineStr">
        <is>
          <t>SUBETAPA</t>
        </is>
      </c>
      <c r="I925" s="45">
        <f>IF(H142="Unidade Construtiva",TEXT(A142,"00"),IF(H142="Célula Construtiva",TEXT(B142,"00"),IF(H142="Etapa",CONCATENATE(TEXT(B142,"00"),".",TEXT(C142,"000")),IF(H142="Subetapa",CONCATENATE(TEXT(B142,"00"),".",TEXT(C142,"000"),".",TEXT(D142,"000")),IF(H142="Serviço",CONCATENATE(TEXT(B142,"00"),".",TEXT(C142,"000"),".",TEXT(D142,"000"),".",TEXT(E142,"000")),"")))))</f>
        <v/>
      </c>
      <c r="J925" s="51" t="inlineStr">
        <is>
          <t>Regularização e proteção mecânica</t>
        </is>
      </c>
      <c r="K925" s="47" t="n"/>
      <c r="L925" s="48" t="n"/>
      <c r="M925" s="48" t="n"/>
      <c r="N925" s="49">
        <f>IF(H142="Serviço",M142*L142,IF(H142="CÉLULA CONSTRUTIVA",SUMIFS($N$118:$N$438,$B$118:$B$438,B142,$H$118:$H$438,"Serviço"),IF(H142="ETAPA",SUMIFS($N$118:$N$438,$B$118:$B$438,B142,$C$118:$C$438,C142,$H$118:$H$438,"Serviço"),IF(H142="SUBETAPA",SUMIFS($N$118:$N$438,$B$118:$B$438,B142,$C$118:$C$438,C142,$D$118:$D$438,D142,$H$118:$H$438,"Serviço"),0))))</f>
        <v/>
      </c>
      <c r="O925" s="50">
        <f>N142/CAPA!C$10</f>
        <v/>
      </c>
      <c r="P925" s="134" t="n"/>
      <c r="Q925" s="1" t="n"/>
      <c r="R925" s="52" t="n"/>
      <c r="S925" s="64" t="n"/>
      <c r="T925" s="1" t="n"/>
      <c r="U925" s="1" t="n"/>
      <c r="V925" s="1" t="n"/>
      <c r="W925" s="1" t="n"/>
      <c r="X925" s="1" t="n"/>
      <c r="Y925" s="1" t="n"/>
    </row>
    <row r="926">
      <c r="A926" s="121">
        <f>IF($H143="UNIDADE CONSTRUTIVA",OFFSET(A143,-1,0)+1,LARGE(A$3:A142,1))</f>
        <v/>
      </c>
      <c r="B926" s="121">
        <f>IF(H143="UNIDADE CONSTRUTIVA",0,IF(H143="CÉLULA CONSTRUTIVA",OFFSET(B143,-1,0)+1,OFFSET(B143,-1,0)))</f>
        <v/>
      </c>
      <c r="C926" s="121">
        <f>IF(H143="CÉLULA CONSTRUTIVA",0,IF(H143="ETAPA",OFFSET(C143,-1,0)+1,OFFSET(C143,-1,0)))</f>
        <v/>
      </c>
      <c r="D926" s="122">
        <f>IF(H143="ETAPA",0,IF(H143="SUBETAPA",OFFSET(D143,-1,0)+1,OFFSET(D143,-1,0)))</f>
        <v/>
      </c>
      <c r="E926" s="122">
        <f>IF(H143="Subetapa",0,IF(H143="serviço",OFFSET(E143,-1,0)+1,OFFSET(E143,-1,0)))</f>
        <v/>
      </c>
      <c r="F926" s="123" t="n"/>
      <c r="G926" s="135" t="inlineStr">
        <is>
          <t>IMPERMEABILIZAÇÃO E TRATAMENTOS</t>
        </is>
      </c>
      <c r="H926" s="44" t="inlineStr">
        <is>
          <t>SERVIÇO</t>
        </is>
      </c>
      <c r="I926" s="45">
        <f>IF(H143="Unidade Construtiva",TEXT(A143,"00"),IF(H143="Célula Construtiva",TEXT(B143,"00"),IF(H143="Etapa",CONCATENATE(TEXT(B143,"00"),".",TEXT(C143,"000")),IF(H143="Subetapa",CONCATENATE(TEXT(B143,"00"),".",TEXT(C143,"000"),".",TEXT(D143,"000")),IF(H143="Serviço",CONCATENATE(TEXT(B143,"00"),".",TEXT(C143,"000"),".",TEXT(D143,"000"),".",TEXT(E143,"000")),"")))))</f>
        <v/>
      </c>
      <c r="J926" s="51" t="inlineStr">
        <is>
          <t xml:space="preserve">Regularização de superfície para impermeabilização </t>
        </is>
      </c>
      <c r="K926" s="47" t="inlineStr">
        <is>
          <t>m2</t>
        </is>
      </c>
      <c r="L926" s="48">
        <f>'Impermeabilização Visus'!J18</f>
        <v/>
      </c>
      <c r="M926" s="48">
        <f>_xlfn.XLOOKUP($J143,CPU!$D$1:$D$31540,CPU!$H$1:$H$31540)</f>
        <v/>
      </c>
      <c r="N926" s="49">
        <f>IF(H143="Serviço",M143*L143,IF(H143="CÉLULA CONSTRUTIVA",SUMIFS($N$118:$N$438,$B$118:$B$438,B143,$H$118:$H$438,"Serviço"),IF(H143="ETAPA",SUMIFS($N$118:$N$438,$B$118:$B$438,B143,$C$118:$C$438,C143,$H$118:$H$438,"Serviço"),IF(H143="SUBETAPA",SUMIFS($N$118:$N$438,$B$118:$B$438,B143,$C$118:$C$438,C143,$D$118:$D$438,D143,$H$118:$H$438,"Serviço"),0))))</f>
        <v/>
      </c>
      <c r="O926" s="50" t="n"/>
      <c r="P926" s="134" t="n"/>
      <c r="Q926" s="1" t="n"/>
      <c r="R926" s="52" t="n"/>
      <c r="S926" s="64" t="n"/>
      <c r="T926" s="1" t="n"/>
      <c r="U926" s="1" t="n"/>
      <c r="V926" s="1" t="n"/>
      <c r="W926" s="1" t="n"/>
      <c r="X926" s="1" t="n"/>
      <c r="Y926" s="1" t="n"/>
    </row>
    <row r="927">
      <c r="A927" s="121">
        <f>IF($H144="UNIDADE CONSTRUTIVA",OFFSET(A144,-1,0)+1,LARGE(A$3:A143,1))</f>
        <v/>
      </c>
      <c r="B927" s="121">
        <f>IF(H144="UNIDADE CONSTRUTIVA",0,IF(H144="CÉLULA CONSTRUTIVA",OFFSET(B144,-1,0)+1,OFFSET(B144,-1,0)))</f>
        <v/>
      </c>
      <c r="C927" s="121">
        <f>IF(H144="CÉLULA CONSTRUTIVA",0,IF(H144="ETAPA",OFFSET(C144,-1,0)+1,OFFSET(C144,-1,0)))</f>
        <v/>
      </c>
      <c r="D927" s="122">
        <f>IF(H144="ETAPA",0,IF(H144="SUBETAPA",OFFSET(D144,-1,0)+1,OFFSET(D144,-1,0)))</f>
        <v/>
      </c>
      <c r="E927" s="122">
        <f>IF(H144="Subetapa",0,IF(H144="serviço",OFFSET(E144,-1,0)+1,OFFSET(E144,-1,0)))</f>
        <v/>
      </c>
      <c r="F927" s="123" t="n"/>
      <c r="G927" s="135" t="inlineStr">
        <is>
          <t>IMPERMEABILIZAÇÃO E TRATAMENTOS</t>
        </is>
      </c>
      <c r="H927" s="44" t="inlineStr">
        <is>
          <t>SERVIÇO</t>
        </is>
      </c>
      <c r="I927" s="45">
        <f>IF(H144="Unidade Construtiva",TEXT(A144,"00"),IF(H144="Célula Construtiva",TEXT(B144,"00"),IF(H144="Etapa",CONCATENATE(TEXT(B144,"00"),".",TEXT(C144,"000")),IF(H144="Subetapa",CONCATENATE(TEXT(B144,"00"),".",TEXT(C144,"000"),".",TEXT(D144,"000")),IF(H144="Serviço",CONCATENATE(TEXT(B144,"00"),".",TEXT(C144,"000"),".",TEXT(D144,"000"),".",TEXT(E144,"000")),"")))))</f>
        <v/>
      </c>
      <c r="J927" s="51" t="inlineStr">
        <is>
          <t>Proteção mecânica de superfície com argamassa de cimento e areia, traço 1:3 E=5cm</t>
        </is>
      </c>
      <c r="K927" s="47" t="inlineStr">
        <is>
          <t>m2</t>
        </is>
      </c>
      <c r="L927" s="48">
        <f>L150+L160+L162</f>
        <v/>
      </c>
      <c r="M927" s="48">
        <f>_xlfn.XLOOKUP($J144,CPU!$D$1:$D$31540,CPU!$H$1:$H$31540)</f>
        <v/>
      </c>
      <c r="N927" s="49">
        <f>IF(H144="Serviço",M144*L144,IF(H144="CÉLULA CONSTRUTIVA",SUMIFS($N$118:$N$438,$B$118:$B$438,B144,$H$118:$H$438,"Serviço"),IF(H144="ETAPA",SUMIFS($N$118:$N$438,$B$118:$B$438,B144,$C$118:$C$438,C144,$H$118:$H$438,"Serviço"),IF(H144="SUBETAPA",SUMIFS($N$118:$N$438,$B$118:$B$438,B144,$C$118:$C$438,C144,$D$118:$D$438,D144,$H$118:$H$438,"Serviço"),0))))</f>
        <v/>
      </c>
      <c r="O927" s="50" t="n"/>
      <c r="P927" s="134" t="n"/>
      <c r="Q927" s="1" t="n"/>
      <c r="R927" s="52" t="n"/>
      <c r="S927" s="64" t="n"/>
      <c r="T927" s="1" t="n"/>
      <c r="U927" s="1" t="n"/>
      <c r="V927" s="1" t="n"/>
      <c r="W927" s="1" t="n"/>
      <c r="X927" s="1" t="n"/>
      <c r="Y927" s="1" t="n"/>
    </row>
    <row r="928">
      <c r="A928" s="121">
        <f>IF($H145="UNIDADE CONSTRUTIVA",OFFSET(A145,-1,0)+1,LARGE(A$3:A144,1))</f>
        <v/>
      </c>
      <c r="B928" s="121">
        <f>IF(H145="UNIDADE CONSTRUTIVA",0,IF(H145="CÉLULA CONSTRUTIVA",OFFSET(B145,-1,0)+1,OFFSET(B145,-1,0)))</f>
        <v/>
      </c>
      <c r="C928" s="121">
        <f>IF(H145="CÉLULA CONSTRUTIVA",0,IF(H145="ETAPA",OFFSET(C145,-1,0)+1,OFFSET(C145,-1,0)))</f>
        <v/>
      </c>
      <c r="D928" s="122">
        <f>IF(H145="ETAPA",0,IF(H145="SUBETAPA",OFFSET(D145,-1,0)+1,OFFSET(D145,-1,0)))</f>
        <v/>
      </c>
      <c r="E928" s="122">
        <f>IF(H145="Subetapa",0,IF(H145="serviço",OFFSET(E145,-1,0)+1,OFFSET(E145,-1,0)))</f>
        <v/>
      </c>
      <c r="F928" s="123" t="n"/>
      <c r="G928" s="135" t="n"/>
      <c r="H928" s="44" t="inlineStr">
        <is>
          <t>SUBETAPA</t>
        </is>
      </c>
      <c r="I928" s="45">
        <f>IF(H145="Unidade Construtiva",TEXT(A145,"00"),IF(H145="Célula Construtiva",TEXT(B145,"00"),IF(H145="Etapa",CONCATENATE(TEXT(B145,"00"),".",TEXT(C145,"000")),IF(H145="Subetapa",CONCATENATE(TEXT(B145,"00"),".",TEXT(C145,"000"),".",TEXT(D145,"000")),IF(H145="Serviço",CONCATENATE(TEXT(B145,"00"),".",TEXT(C145,"000"),".",TEXT(D145,"000"),".",TEXT(E145,"000")),"")))))</f>
        <v/>
      </c>
      <c r="J928" s="51" t="inlineStr">
        <is>
          <t>Impermeabilização de fundação e contenção</t>
        </is>
      </c>
      <c r="K928" s="47" t="n"/>
      <c r="L928" s="48" t="n"/>
      <c r="M928" s="48" t="n"/>
      <c r="N928" s="49">
        <f>IF(H145="Serviço",M145*L145,IF(H145="CÉLULA CONSTRUTIVA",SUMIFS($N$118:$N$438,$B$118:$B$438,B145,$H$118:$H$438,"Serviço"),IF(H145="ETAPA",SUMIFS($N$118:$N$438,$B$118:$B$438,B145,$C$118:$C$438,C145,$H$118:$H$438,"Serviço"),IF(H145="SUBETAPA",SUMIFS($N$118:$N$438,$B$118:$B$438,B145,$C$118:$C$438,C145,$D$118:$D$438,D145,$H$118:$H$438,"Serviço"),0))))</f>
        <v/>
      </c>
      <c r="O928" s="50">
        <f>N145/CAPA!C$10</f>
        <v/>
      </c>
      <c r="P928" s="134" t="n"/>
      <c r="Q928" s="1" t="n"/>
      <c r="R928" s="52" t="n"/>
      <c r="S928" s="64" t="n"/>
      <c r="T928" s="1" t="n"/>
      <c r="U928" s="1" t="n"/>
      <c r="V928" s="1" t="n"/>
      <c r="W928" s="1" t="n"/>
      <c r="X928" s="1" t="n"/>
      <c r="Y928" s="1" t="n"/>
    </row>
    <row r="929">
      <c r="A929" s="121">
        <f>IF($H146="UNIDADE CONSTRUTIVA",OFFSET(A146,-1,0)+1,LARGE(A$3:A144,1))</f>
        <v/>
      </c>
      <c r="B929" s="121">
        <f>IF(H146="UNIDADE CONSTRUTIVA",0,IF(H146="CÉLULA CONSTRUTIVA",OFFSET(B146,-1,0)+1,OFFSET(B146,-1,0)))</f>
        <v/>
      </c>
      <c r="C929" s="121">
        <f>IF(H146="CÉLULA CONSTRUTIVA",0,IF(H146="ETAPA",OFFSET(C146,-1,0)+1,OFFSET(C146,-1,0)))</f>
        <v/>
      </c>
      <c r="D929" s="122">
        <f>IF(H146="ETAPA",0,IF(H146="SUBETAPA",OFFSET(D146,-1,0)+1,OFFSET(D146,-1,0)))</f>
        <v/>
      </c>
      <c r="E929" s="122">
        <f>IF(H146="Subetapa",0,IF(H146="serviço",OFFSET(E146,-1,0)+1,OFFSET(E146,-1,0)))</f>
        <v/>
      </c>
      <c r="F929" s="123" t="n"/>
      <c r="G929" s="135" t="inlineStr">
        <is>
          <t>IMPERMEABILIZAÇÃO E TRATAMENTOS</t>
        </is>
      </c>
      <c r="H929" s="44" t="inlineStr">
        <is>
          <t>SERVIÇO</t>
        </is>
      </c>
      <c r="I929" s="45">
        <f>IF(H146="Unidade Construtiva",TEXT(A146,"00"),IF(H146="Célula Construtiva",TEXT(B146,"00"),IF(H146="Etapa",CONCATENATE(TEXT(B146,"00"),".",TEXT(C146,"000")),IF(H146="Subetapa",CONCATENATE(TEXT(B146,"00"),".",TEXT(C146,"000"),".",TEXT(D146,"000")),IF(H146="Serviço",CONCATENATE(TEXT(B146,"00"),".",TEXT(C146,"000"),".",TEXT(D146,"000"),".",TEXT(E146,"000")),"")))))</f>
        <v/>
      </c>
      <c r="J929" s="51" t="inlineStr">
        <is>
          <t>Impermeabilização de Baldrames com Tinta Asfáltica (Neutrol)</t>
        </is>
      </c>
      <c r="K929" s="47" t="inlineStr">
        <is>
          <t>m2</t>
        </is>
      </c>
      <c r="L929" s="48">
        <f>'Impermeabilização Visus'!J19</f>
        <v/>
      </c>
      <c r="M929" s="48">
        <f>_xlfn.XLOOKUP($J146,CPU!$D$1:$D$31540,CPU!$H$1:$H$31540)</f>
        <v/>
      </c>
      <c r="N929" s="49">
        <f>IF(H146="Serviço",M146*L146,IF(H146="CÉLULA CONSTRUTIVA",SUMIFS($N$118:$N$438,$B$118:$B$438,B146,$H$118:$H$438,"Serviço"),IF(H146="ETAPA",SUMIFS($N$118:$N$438,$B$118:$B$438,B146,$C$118:$C$438,C146,$H$118:$H$438,"Serviço"),IF(H146="SUBETAPA",SUMIFS($N$118:$N$438,$B$118:$B$438,B146,$C$118:$C$438,C146,$D$118:$D$438,D146,$H$118:$H$438,"Serviço"),0))))</f>
        <v/>
      </c>
      <c r="O929" s="50" t="inlineStr">
        <is>
          <t>Vigas baldrames e paredes de contenção</t>
        </is>
      </c>
      <c r="P929" s="134" t="n"/>
      <c r="Q929" s="1" t="n"/>
      <c r="R929" s="52" t="n"/>
      <c r="S929" s="64" t="n"/>
      <c r="T929" s="1" t="n"/>
      <c r="U929" s="1" t="n"/>
      <c r="V929" s="1" t="n"/>
      <c r="W929" s="1" t="n"/>
      <c r="X929" s="1" t="n"/>
      <c r="Y929" s="1" t="n"/>
    </row>
    <row r="930">
      <c r="A930" s="121">
        <f>IF($H147="UNIDADE CONSTRUTIVA",OFFSET(A147,-1,0)+1,LARGE(A$3:A146,1))</f>
        <v/>
      </c>
      <c r="B930" s="121">
        <f>IF(H147="UNIDADE CONSTRUTIVA",0,IF(H147="CÉLULA CONSTRUTIVA",OFFSET(B147,-1,0)+1,OFFSET(B147,-1,0)))</f>
        <v/>
      </c>
      <c r="C930" s="121">
        <f>IF(H147="CÉLULA CONSTRUTIVA",0,IF(H147="ETAPA",OFFSET(C147,-1,0)+1,OFFSET(C147,-1,0)))</f>
        <v/>
      </c>
      <c r="D930" s="122">
        <f>IF(H147="ETAPA",0,IF(H147="SUBETAPA",OFFSET(D147,-1,0)+1,OFFSET(D147,-1,0)))</f>
        <v/>
      </c>
      <c r="E930" s="122">
        <f>IF(H147="Subetapa",0,IF(H147="serviço",OFFSET(E147,-1,0)+1,OFFSET(E147,-1,0)))</f>
        <v/>
      </c>
      <c r="F930" s="123" t="n"/>
      <c r="G930" s="135" t="n"/>
      <c r="H930" s="44" t="inlineStr">
        <is>
          <t>SUBETAPA</t>
        </is>
      </c>
      <c r="I930" s="45">
        <f>IF(H147="Unidade Construtiva",TEXT(A147,"00"),IF(H147="Célula Construtiva",TEXT(B147,"00"),IF(H147="Etapa",CONCATENATE(TEXT(B147,"00"),".",TEXT(C147,"000")),IF(H147="Subetapa",CONCATENATE(TEXT(B147,"00"),".",TEXT(C147,"000"),".",TEXT(D147,"000")),IF(H147="Serviço",CONCATENATE(TEXT(B147,"00"),".",TEXT(C147,"000"),".",TEXT(D147,"000"),".",TEXT(E147,"000")),"")))))</f>
        <v/>
      </c>
      <c r="J930" s="51" t="inlineStr">
        <is>
          <t>Impermeabilização de poço de elevador</t>
        </is>
      </c>
      <c r="K930" s="47" t="n"/>
      <c r="L930" s="48" t="n"/>
      <c r="M930" s="48" t="n"/>
      <c r="N930" s="49">
        <f>IF(H147="Serviço",M147*L147,IF(H147="CÉLULA CONSTRUTIVA",SUMIFS($N$118:$N$438,$B$118:$B$438,B147,$H$118:$H$438,"Serviço"),IF(H147="ETAPA",SUMIFS($N$118:$N$438,$B$118:$B$438,B147,$C$118:$C$438,C147,$H$118:$H$438,"Serviço"),IF(H147="SUBETAPA",SUMIFS($N$118:$N$438,$B$118:$B$438,B147,$C$118:$C$438,C147,$D$118:$D$438,D147,$H$118:$H$438,"Serviço"),0))))</f>
        <v/>
      </c>
      <c r="O930" s="50">
        <f>N147/CAPA!C$10</f>
        <v/>
      </c>
      <c r="P930" s="136" t="n"/>
      <c r="Q930" s="1" t="n"/>
      <c r="R930" s="52" t="n"/>
      <c r="S930" s="64" t="n"/>
      <c r="T930" s="1" t="n"/>
      <c r="U930" s="1" t="n"/>
      <c r="V930" s="1" t="n"/>
      <c r="W930" s="1" t="n"/>
      <c r="X930" s="1" t="n"/>
      <c r="Y930" s="1" t="n"/>
    </row>
    <row r="931">
      <c r="A931" s="121">
        <f>IF($H148="UNIDADE CONSTRUTIVA",OFFSET(A148,-1,0)+1,LARGE(A$3:A146,1))</f>
        <v/>
      </c>
      <c r="B931" s="121">
        <f>IF(H148="UNIDADE CONSTRUTIVA",0,IF(H148="CÉLULA CONSTRUTIVA",OFFSET(B148,-1,0)+1,OFFSET(B148,-1,0)))</f>
        <v/>
      </c>
      <c r="C931" s="121">
        <f>IF(H148="CÉLULA CONSTRUTIVA",0,IF(H148="ETAPA",OFFSET(C148,-1,0)+1,OFFSET(C148,-1,0)))</f>
        <v/>
      </c>
      <c r="D931" s="122">
        <f>IF(H148="ETAPA",0,IF(H148="SUBETAPA",OFFSET(D148,-1,0)+1,OFFSET(D148,-1,0)))</f>
        <v/>
      </c>
      <c r="E931" s="122">
        <f>IF(H148="Subetapa",0,IF(H148="serviço",OFFSET(E148,-1,0)+1,OFFSET(E148,-1,0)))</f>
        <v/>
      </c>
      <c r="F931" s="123" t="n"/>
      <c r="G931" s="135" t="inlineStr">
        <is>
          <t>IMPERMEABILIZAÇÃO E TRATAMENTOS</t>
        </is>
      </c>
      <c r="H931" s="44" t="inlineStr">
        <is>
          <t>SERVIÇO</t>
        </is>
      </c>
      <c r="I931" s="45">
        <f>IF(H148="Unidade Construtiva",TEXT(A148,"00"),IF(H148="Célula Construtiva",TEXT(B148,"00"),IF(H148="Etapa",CONCATENATE(TEXT(B148,"00"),".",TEXT(C148,"000")),IF(H148="Subetapa",CONCATENATE(TEXT(B148,"00"),".",TEXT(C148,"000"),".",TEXT(D148,"000")),IF(H148="Serviço",CONCATENATE(TEXT(B148,"00"),".",TEXT(C148,"000"),".",TEXT(D148,"000"),".",TEXT(E148,"000")),"")))))</f>
        <v/>
      </c>
      <c r="J931" s="51" t="inlineStr">
        <is>
          <t>Impermeabilização De Superfície Com Argamassa Polimérica / Membrana Acrílica, 3 Demãos</t>
        </is>
      </c>
      <c r="K931" s="47" t="inlineStr">
        <is>
          <t>m2</t>
        </is>
      </c>
      <c r="L931" s="48">
        <f>'Impermeabilização Visus'!J20</f>
        <v/>
      </c>
      <c r="M931" s="48">
        <f>_xlfn.XLOOKUP($J148,CPU!$D$1:$D$31540,CPU!$H$1:$H$31540)</f>
        <v/>
      </c>
      <c r="N931" s="49">
        <f>IF(H148="Serviço",M148*L148,IF(H148="CÉLULA CONSTRUTIVA",SUMIFS($N$118:$N$438,$B$118:$B$438,B148,$H$118:$H$438,"Serviço"),IF(H148="ETAPA",SUMIFS($N$118:$N$438,$B$118:$B$438,B148,$C$118:$C$438,C148,$H$118:$H$438,"Serviço"),IF(H148="SUBETAPA",SUMIFS($N$118:$N$438,$B$118:$B$438,B148,$C$118:$C$438,C148,$D$118:$D$438,D148,$H$118:$H$438,"Serviço"),0))))</f>
        <v/>
      </c>
      <c r="O931" s="50" t="n"/>
      <c r="P931" s="134" t="n"/>
      <c r="Q931" s="1" t="n"/>
      <c r="R931" s="52" t="n"/>
      <c r="S931" s="64" t="n"/>
      <c r="T931" s="1" t="n"/>
      <c r="U931" s="1" t="n"/>
      <c r="V931" s="1" t="n"/>
      <c r="W931" s="1" t="n"/>
      <c r="X931" s="1" t="n"/>
      <c r="Y931" s="1" t="n"/>
    </row>
    <row r="932">
      <c r="A932" s="121">
        <f>IF($H149="UNIDADE CONSTRUTIVA",OFFSET(A149,-1,0)+1,LARGE(A$3:A148,1))</f>
        <v/>
      </c>
      <c r="B932" s="121">
        <f>IF(H149="UNIDADE CONSTRUTIVA",0,IF(H149="CÉLULA CONSTRUTIVA",OFFSET(B149,-1,0)+1,OFFSET(B149,-1,0)))</f>
        <v/>
      </c>
      <c r="C932" s="121">
        <f>IF(H149="CÉLULA CONSTRUTIVA",0,IF(H149="ETAPA",OFFSET(C149,-1,0)+1,OFFSET(C149,-1,0)))</f>
        <v/>
      </c>
      <c r="D932" s="122">
        <f>IF(H149="ETAPA",0,IF(H149="SUBETAPA",OFFSET(D149,-1,0)+1,OFFSET(D149,-1,0)))</f>
        <v/>
      </c>
      <c r="E932" s="122">
        <f>IF(H149="Subetapa",0,IF(H149="serviço",OFFSET(E149,-1,0)+1,OFFSET(E149,-1,0)))</f>
        <v/>
      </c>
      <c r="F932" s="123" t="n"/>
      <c r="G932" s="135" t="n"/>
      <c r="H932" s="44" t="inlineStr">
        <is>
          <t>SUBETAPA</t>
        </is>
      </c>
      <c r="I932" s="45">
        <f>IF(H149="Unidade Construtiva",TEXT(A149,"00"),IF(H149="Célula Construtiva",TEXT(B149,"00"),IF(H149="Etapa",CONCATENATE(TEXT(B149,"00"),".",TEXT(C149,"000")),IF(H149="Subetapa",CONCATENATE(TEXT(B149,"00"),".",TEXT(C149,"000"),".",TEXT(D149,"000")),IF(H149="Serviço",CONCATENATE(TEXT(B149,"00"),".",TEXT(C149,"000"),".",TEXT(D149,"000"),".",TEXT(E149,"000")),"")))))</f>
        <v/>
      </c>
      <c r="J932" s="51" t="inlineStr">
        <is>
          <t>Impermeabilização de lajes e terraços</t>
        </is>
      </c>
      <c r="K932" s="47" t="n"/>
      <c r="L932" s="48" t="n"/>
      <c r="M932" s="48" t="n"/>
      <c r="N932" s="49">
        <f>IF(H149="Serviço",M149*L149,IF(H149="CÉLULA CONSTRUTIVA",SUMIFS($N$118:$N$438,$B$118:$B$438,B149,$H$118:$H$438,"Serviço"),IF(H149="ETAPA",SUMIFS($N$118:$N$438,$B$118:$B$438,B149,$C$118:$C$438,C149,$H$118:$H$438,"Serviço"),IF(H149="SUBETAPA",SUMIFS($N$118:$N$438,$B$118:$B$438,B149,$C$118:$C$438,C149,$D$118:$D$438,D149,$H$118:$H$438,"Serviço"),0))))</f>
        <v/>
      </c>
      <c r="O932" s="50">
        <f>N149/CAPA!C$10</f>
        <v/>
      </c>
      <c r="P932" s="134" t="n"/>
      <c r="Q932" s="1" t="n"/>
      <c r="R932" s="52" t="n"/>
      <c r="S932" s="64" t="n"/>
      <c r="T932" s="1" t="n"/>
      <c r="U932" s="1" t="n"/>
      <c r="V932" s="1" t="n"/>
      <c r="W932" s="1" t="n"/>
      <c r="X932" s="1" t="n"/>
      <c r="Y932" s="1" t="n"/>
    </row>
    <row r="933">
      <c r="A933" s="121">
        <f>IF($H150="UNIDADE CONSTRUTIVA",OFFSET(A150,-1,0)+1,LARGE(A$3:A149,1))</f>
        <v/>
      </c>
      <c r="B933" s="121">
        <f>IF(H150="UNIDADE CONSTRUTIVA",0,IF(H150="CÉLULA CONSTRUTIVA",OFFSET(B150,-1,0)+1,OFFSET(B150,-1,0)))</f>
        <v/>
      </c>
      <c r="C933" s="121">
        <f>IF(H150="CÉLULA CONSTRUTIVA",0,IF(H150="ETAPA",OFFSET(C150,-1,0)+1,OFFSET(C150,-1,0)))</f>
        <v/>
      </c>
      <c r="D933" s="122">
        <f>IF(H150="ETAPA",0,IF(H150="SUBETAPA",OFFSET(D150,-1,0)+1,OFFSET(D150,-1,0)))</f>
        <v/>
      </c>
      <c r="E933" s="122">
        <f>IF(H150="Subetapa",0,IF(H150="serviço",OFFSET(E150,-1,0)+1,OFFSET(E150,-1,0)))</f>
        <v/>
      </c>
      <c r="F933" s="123" t="n"/>
      <c r="G933" s="135" t="inlineStr">
        <is>
          <t>IMPERMEABILIZAÇÃO E TRATAMENTOS</t>
        </is>
      </c>
      <c r="H933" s="44" t="inlineStr">
        <is>
          <t>SERVIÇO</t>
        </is>
      </c>
      <c r="I933" s="45">
        <f>IF(H150="Unidade Construtiva",TEXT(A150,"00"),IF(H150="Célula Construtiva",TEXT(B150,"00"),IF(H150="Etapa",CONCATENATE(TEXT(B150,"00"),".",TEXT(C150,"000")),IF(H150="Subetapa",CONCATENATE(TEXT(B150,"00"),".",TEXT(C150,"000"),".",TEXT(D150,"000")),IF(H150="Serviço",CONCATENATE(TEXT(B150,"00"),".",TEXT(C150,"000"),".",TEXT(D150,"000"),".",TEXT(E150,"000")),"")))))</f>
        <v/>
      </c>
      <c r="J933" s="51" t="inlineStr">
        <is>
          <t>M44AE2 - Manta asfáltica tipo IV, 4 mm A, com acabamento areia/areia aderida com asfalto oxidado (3,0 kg/m²) + banho de asfalto oxidado (2,0 kg/m²) + membrana de polímero acrílico com cimento e fibras para combater eflorescência (2,0 kg/m²)</t>
        </is>
      </c>
      <c r="K933" s="47" t="inlineStr">
        <is>
          <t>m2</t>
        </is>
      </c>
      <c r="L933" s="48">
        <f>'Impermeabilização Visus'!J21</f>
        <v/>
      </c>
      <c r="M933" s="48">
        <f>_xlfn.XLOOKUP($J150,CPU!$D$1:$D$31540,CPU!$H$1:$H$31540)</f>
        <v/>
      </c>
      <c r="N933" s="49">
        <f>IF(H150="Serviço",M150*L150,IF(H150="CÉLULA CONSTRUTIVA",SUMIFS($N$118:$N$438,$B$118:$B$438,B150,$H$118:$H$438,"Serviço"),IF(H150="ETAPA",SUMIFS($N$118:$N$438,$B$118:$B$438,B150,$C$118:$C$438,C150,$H$118:$H$438,"Serviço"),IF(H150="SUBETAPA",SUMIFS($N$118:$N$438,$B$118:$B$438,B150,$C$118:$C$438,C150,$D$118:$D$438,D150,$H$118:$H$438,"Serviço"),0))))</f>
        <v/>
      </c>
      <c r="O933" s="50" t="inlineStr">
        <is>
          <t>Telhado, terraço, tampa de reservatório</t>
        </is>
      </c>
      <c r="P933" s="134" t="n"/>
      <c r="Q933" s="1" t="n"/>
      <c r="R933" s="52" t="n"/>
      <c r="S933" s="64" t="n"/>
      <c r="T933" s="1" t="n"/>
      <c r="U933" s="1" t="n"/>
      <c r="V933" s="1" t="n"/>
      <c r="W933" s="1" t="n"/>
      <c r="X933" s="1" t="n"/>
      <c r="Y933" s="1" t="n"/>
    </row>
    <row r="934">
      <c r="A934" s="121">
        <f>IF($H151="UNIDADE CONSTRUTIVA",OFFSET(A151,-1,0)+1,LARGE(A$3:A150,1))</f>
        <v/>
      </c>
      <c r="B934" s="121">
        <f>IF(H151="UNIDADE CONSTRUTIVA",0,IF(H151="CÉLULA CONSTRUTIVA",OFFSET(B151,-1,0)+1,OFFSET(B151,-1,0)))</f>
        <v/>
      </c>
      <c r="C934" s="121">
        <f>IF(H151="CÉLULA CONSTRUTIVA",0,IF(H151="ETAPA",OFFSET(C151,-1,0)+1,OFFSET(C151,-1,0)))</f>
        <v/>
      </c>
      <c r="D934" s="122">
        <f>IF(H151="ETAPA",0,IF(H151="SUBETAPA",OFFSET(D151,-1,0)+1,OFFSET(D151,-1,0)))</f>
        <v/>
      </c>
      <c r="E934" s="122">
        <f>IF(H151="Subetapa",0,IF(H151="serviço",OFFSET(E151,-1,0)+1,OFFSET(E151,-1,0)))</f>
        <v/>
      </c>
      <c r="F934" s="123" t="n"/>
      <c r="G934" s="135" t="n"/>
      <c r="H934" s="44" t="inlineStr">
        <is>
          <t>SUBETAPA</t>
        </is>
      </c>
      <c r="I934" s="45">
        <f>IF(H151="Unidade Construtiva",TEXT(A151,"00"),IF(H151="Célula Construtiva",TEXT(B151,"00"),IF(H151="Etapa",CONCATENATE(TEXT(B151,"00"),".",TEXT(C151,"000")),IF(H151="Subetapa",CONCATENATE(TEXT(B151,"00"),".",TEXT(C151,"000"),".",TEXT(D151,"000")),IF(H151="Serviço",CONCATENATE(TEXT(B151,"00"),".",TEXT(C151,"000"),".",TEXT(D151,"000"),".",TEXT(E151,"000")),"")))))</f>
        <v/>
      </c>
      <c r="J934" s="51" t="inlineStr">
        <is>
          <t>Impermeabilização de piscinas e espelhos d´água</t>
        </is>
      </c>
      <c r="K934" s="47" t="n"/>
      <c r="L934" s="48" t="n"/>
      <c r="M934" s="48" t="n"/>
      <c r="N934" s="49">
        <f>IF(H151="Serviço",M151*L151,IF(H151="CÉLULA CONSTRUTIVA",SUMIFS($N$118:$N$438,$B$118:$B$438,B151,$H$118:$H$438,"Serviço"),IF(H151="ETAPA",SUMIFS($N$118:$N$438,$B$118:$B$438,B151,$C$118:$C$438,C151,$H$118:$H$438,"Serviço"),IF(H151="SUBETAPA",SUMIFS($N$118:$N$438,$B$118:$B$438,B151,$C$118:$C$438,C151,$D$118:$D$438,D151,$H$118:$H$438,"Serviço"),0))))</f>
        <v/>
      </c>
      <c r="O934" s="50">
        <f>N151/CAPA!C$10</f>
        <v/>
      </c>
      <c r="P934" s="134" t="n"/>
      <c r="Q934" s="1" t="n"/>
      <c r="R934" s="52" t="n"/>
      <c r="S934" s="64" t="n"/>
      <c r="T934" s="1" t="n"/>
      <c r="U934" s="1" t="n"/>
      <c r="V934" s="1" t="n"/>
      <c r="W934" s="1" t="n"/>
      <c r="X934" s="1" t="n"/>
      <c r="Y934" s="1" t="n"/>
    </row>
    <row r="935">
      <c r="A935" s="121">
        <f>IF($H152="UNIDADE CONSTRUTIVA",OFFSET(A152,-1,0)+1,LARGE(A$3:A151,1))</f>
        <v/>
      </c>
      <c r="B935" s="121">
        <f>IF(H152="UNIDADE CONSTRUTIVA",0,IF(H152="CÉLULA CONSTRUTIVA",OFFSET(B152,-1,0)+1,OFFSET(B152,-1,0)))</f>
        <v/>
      </c>
      <c r="C935" s="121">
        <f>IF(H152="CÉLULA CONSTRUTIVA",0,IF(H152="ETAPA",OFFSET(C152,-1,0)+1,OFFSET(C152,-1,0)))</f>
        <v/>
      </c>
      <c r="D935" s="122">
        <f>IF(H152="ETAPA",0,IF(H152="SUBETAPA",OFFSET(D152,-1,0)+1,OFFSET(D152,-1,0)))</f>
        <v/>
      </c>
      <c r="E935" s="122">
        <f>IF(H152="Subetapa",0,IF(H152="serviço",OFFSET(E152,-1,0)+1,OFFSET(E152,-1,0)))</f>
        <v/>
      </c>
      <c r="F935" s="123" t="n"/>
      <c r="G935" s="135" t="inlineStr">
        <is>
          <t>IMPERMEABILIZAÇÃO E TRATAMENTOS</t>
        </is>
      </c>
      <c r="H935" s="44" t="inlineStr">
        <is>
          <t>SERVIÇO</t>
        </is>
      </c>
      <c r="I935" s="45">
        <f>IF(H152="Unidade Construtiva",TEXT(A152,"00"),IF(H152="Célula Construtiva",TEXT(B152,"00"),IF(H152="Etapa",CONCATENATE(TEXT(B152,"00"),".",TEXT(C152,"000")),IF(H152="Subetapa",CONCATENATE(TEXT(B152,"00"),".",TEXT(C152,"000"),".",TEXT(D152,"000")),IF(H152="Serviço",CONCATENATE(TEXT(B152,"00"),".",TEXT(C152,"000"),".",TEXT(D152,"000"),".",TEXT(E152,"000")),"")))))</f>
        <v/>
      </c>
      <c r="J935" s="51" t="inlineStr">
        <is>
          <t>Impermeabilização De Superfície Com Aspersão de CWS e CWS100 e membrana PU</t>
        </is>
      </c>
      <c r="K935" s="47" t="inlineStr">
        <is>
          <t>m2</t>
        </is>
      </c>
      <c r="L935" s="48">
        <f>'Impermeabilização Visus'!J22</f>
        <v/>
      </c>
      <c r="M935" s="48">
        <f>_xlfn.XLOOKUP($J152,CPU!$D$1:$D$31540,CPU!$H$1:$H$31540)</f>
        <v/>
      </c>
      <c r="N935" s="49">
        <f>IF(H152="Serviço",M152*L152,IF(H152="CÉLULA CONSTRUTIVA",SUMIFS($N$118:$N$438,$B$118:$B$438,B152,$H$118:$H$438,"Serviço"),IF(H152="ETAPA",SUMIFS($N$118:$N$438,$B$118:$B$438,B152,$C$118:$C$438,C152,$H$118:$H$438,"Serviço"),IF(H152="SUBETAPA",SUMIFS($N$118:$N$438,$B$118:$B$438,B152,$C$118:$C$438,C152,$D$118:$D$438,D152,$H$118:$H$438,"Serviço"),0))))</f>
        <v/>
      </c>
      <c r="O935" s="50" t="n"/>
      <c r="P935" s="134" t="n"/>
      <c r="Q935" s="1" t="n"/>
      <c r="R935" s="52" t="n"/>
      <c r="S935" s="64" t="n"/>
      <c r="T935" s="1" t="n"/>
      <c r="U935" s="1" t="n"/>
      <c r="V935" s="1" t="n"/>
      <c r="W935" s="1" t="n"/>
      <c r="X935" s="1" t="n"/>
      <c r="Y935" s="1" t="n"/>
    </row>
    <row r="936">
      <c r="A936" s="121">
        <f>IF($H153="UNIDADE CONSTRUTIVA",OFFSET(A153,-1,0)+1,LARGE(A$3:A152,1))</f>
        <v/>
      </c>
      <c r="B936" s="121">
        <f>IF(H153="UNIDADE CONSTRUTIVA",0,IF(H153="CÉLULA CONSTRUTIVA",OFFSET(B153,-1,0)+1,OFFSET(B153,-1,0)))</f>
        <v/>
      </c>
      <c r="C936" s="121">
        <f>IF(H153="CÉLULA CONSTRUTIVA",0,IF(H153="ETAPA",OFFSET(C153,-1,0)+1,OFFSET(C153,-1,0)))</f>
        <v/>
      </c>
      <c r="D936" s="122">
        <f>IF(H153="ETAPA",0,IF(H153="SUBETAPA",OFFSET(D153,-1,0)+1,OFFSET(D153,-1,0)))</f>
        <v/>
      </c>
      <c r="E936" s="122">
        <f>IF(H153="Subetapa",0,IF(H153="serviço",OFFSET(E153,-1,0)+1,OFFSET(E153,-1,0)))</f>
        <v/>
      </c>
      <c r="F936" s="123" t="n"/>
      <c r="G936" s="135" t="n"/>
      <c r="H936" s="44" t="inlineStr">
        <is>
          <t>SUBETAPA</t>
        </is>
      </c>
      <c r="I936" s="45">
        <f>IF(H153="Unidade Construtiva",TEXT(A153,"00"),IF(H153="Célula Construtiva",TEXT(B153,"00"),IF(H153="Etapa",CONCATENATE(TEXT(B153,"00"),".",TEXT(C153,"000")),IF(H153="Subetapa",CONCATENATE(TEXT(B153,"00"),".",TEXT(C153,"000"),".",TEXT(D153,"000")),IF(H153="Serviço",CONCATENATE(TEXT(B153,"00"),".",TEXT(C153,"000"),".",TEXT(D153,"000"),".",TEXT(E153,"000")),"")))))</f>
        <v/>
      </c>
      <c r="J936" s="146" t="inlineStr">
        <is>
          <t>Impermeabilização de banheiro, cozinha e sacada</t>
        </is>
      </c>
      <c r="K936" s="47" t="n"/>
      <c r="L936" s="48" t="n"/>
      <c r="M936" s="48" t="n"/>
      <c r="N936" s="49">
        <f>IF(H153="Serviço",M153*L153,IF(H153="CÉLULA CONSTRUTIVA",SUMIFS($N$118:$N$438,$B$118:$B$438,B153,$H$118:$H$438,"Serviço"),IF(H153="ETAPA",SUMIFS($N$118:$N$438,$B$118:$B$438,B153,$C$118:$C$438,C153,$H$118:$H$438,"Serviço"),IF(H153="SUBETAPA",SUMIFS($N$118:$N$438,$B$118:$B$438,B153,$C$118:$C$438,C153,$D$118:$D$438,D153,$H$118:$H$438,"Serviço"),0))))</f>
        <v/>
      </c>
      <c r="O936" s="50">
        <f>N153/CAPA!C$10</f>
        <v/>
      </c>
      <c r="P936" s="134" t="n"/>
      <c r="Q936" s="1" t="n"/>
      <c r="R936" s="52" t="n"/>
      <c r="S936" s="64" t="n"/>
      <c r="T936" s="1" t="n"/>
      <c r="U936" s="1" t="n"/>
      <c r="V936" s="1" t="n"/>
      <c r="W936" s="1" t="n"/>
      <c r="X936" s="1" t="n"/>
      <c r="Y936" s="1" t="n"/>
    </row>
    <row r="937">
      <c r="A937" s="121">
        <f>IF($H154="UNIDADE CONSTRUTIVA",OFFSET(A154,-1,0)+1,LARGE(A$3:A153,1))</f>
        <v/>
      </c>
      <c r="B937" s="121">
        <f>IF(H154="UNIDADE CONSTRUTIVA",0,IF(H154="CÉLULA CONSTRUTIVA",OFFSET(B154,-1,0)+1,OFFSET(B154,-1,0)))</f>
        <v/>
      </c>
      <c r="C937" s="121">
        <f>IF(H154="CÉLULA CONSTRUTIVA",0,IF(H154="ETAPA",OFFSET(C154,-1,0)+1,OFFSET(C154,-1,0)))</f>
        <v/>
      </c>
      <c r="D937" s="122">
        <f>IF(H154="ETAPA",0,IF(H154="SUBETAPA",OFFSET(D154,-1,0)+1,OFFSET(D154,-1,0)))</f>
        <v/>
      </c>
      <c r="E937" s="122">
        <f>IF(H154="Subetapa",0,IF(H154="serviço",OFFSET(E154,-1,0)+1,OFFSET(E154,-1,0)))</f>
        <v/>
      </c>
      <c r="F937" s="123" t="n"/>
      <c r="G937" s="135" t="inlineStr">
        <is>
          <t>IMPERMEABILIZAÇÃO E TRATAMENTOS</t>
        </is>
      </c>
      <c r="H937" s="44" t="inlineStr">
        <is>
          <t>SERVIÇO</t>
        </is>
      </c>
      <c r="I937" s="45">
        <f>IF(H154="Unidade Construtiva",TEXT(A154,"00"),IF(H154="Célula Construtiva",TEXT(B154,"00"),IF(H154="Etapa",CONCATENATE(TEXT(B154,"00"),".",TEXT(C154,"000")),IF(H154="Subetapa",CONCATENATE(TEXT(B154,"00"),".",TEXT(C154,"000"),".",TEXT(D154,"000")),IF(H154="Serviço",CONCATENATE(TEXT(B154,"00"),".",TEXT(C154,"000"),".",TEXT(D154,"000"),".",TEXT(E154,"000")),"")))))</f>
        <v/>
      </c>
      <c r="J937" s="51" t="inlineStr">
        <is>
          <t>Impermeabilização De Superfície Com Argamassa Polimérica / Membrana Acrílica, 3 Demãos</t>
        </is>
      </c>
      <c r="K937" s="47" t="inlineStr">
        <is>
          <t>m2</t>
        </is>
      </c>
      <c r="L937" s="48">
        <f>'Impermeabilização Visus'!J23</f>
        <v/>
      </c>
      <c r="M937" s="48">
        <f>_xlfn.XLOOKUP($J154,CPU!$D$1:$D$31540,CPU!$H$1:$H$31540)</f>
        <v/>
      </c>
      <c r="N937" s="49">
        <f>IF(H154="Serviço",M154*L154,IF(H154="CÉLULA CONSTRUTIVA",SUMIFS($N$118:$N$438,$B$118:$B$438,B154,$H$118:$H$438,"Serviço"),IF(H154="ETAPA",SUMIFS($N$118:$N$438,$B$118:$B$438,B154,$C$118:$C$438,C154,$H$118:$H$438,"Serviço"),IF(H154="SUBETAPA",SUMIFS($N$118:$N$438,$B$118:$B$438,B154,$C$118:$C$438,C154,$D$118:$D$438,D154,$H$118:$H$438,"Serviço"),0))))</f>
        <v/>
      </c>
      <c r="O937" s="50" t="inlineStr">
        <is>
          <t>Banheiro, box, área de serviço, área técnicas (sacadas), central de gás</t>
        </is>
      </c>
      <c r="P937" s="134" t="n"/>
      <c r="Q937" s="1" t="n"/>
      <c r="R937" s="52" t="n"/>
      <c r="S937" s="64" t="n"/>
      <c r="T937" s="1" t="n"/>
      <c r="U937" s="1" t="n"/>
      <c r="V937" s="1" t="n"/>
      <c r="W937" s="1" t="n"/>
      <c r="X937" s="1" t="n"/>
      <c r="Y937" s="1" t="n"/>
    </row>
    <row r="938">
      <c r="A938" s="121">
        <f>IF($H155="UNIDADE CONSTRUTIVA",OFFSET(A155,-1,0)+1,LARGE(A$3:A154,1))</f>
        <v/>
      </c>
      <c r="B938" s="121">
        <f>IF(H155="UNIDADE CONSTRUTIVA",0,IF(H155="CÉLULA CONSTRUTIVA",OFFSET(B155,-1,0)+1,OFFSET(B155,-1,0)))</f>
        <v/>
      </c>
      <c r="C938" s="121">
        <f>IF(H155="CÉLULA CONSTRUTIVA",0,IF(H155="ETAPA",OFFSET(C155,-1,0)+1,OFFSET(C155,-1,0)))</f>
        <v/>
      </c>
      <c r="D938" s="122">
        <f>IF(H155="ETAPA",0,IF(H155="SUBETAPA",OFFSET(D155,-1,0)+1,OFFSET(D155,-1,0)))</f>
        <v/>
      </c>
      <c r="E938" s="122">
        <f>IF(H155="Subetapa",0,IF(H155="serviço",OFFSET(E155,-1,0)+1,OFFSET(E155,-1,0)))</f>
        <v/>
      </c>
      <c r="F938" s="123" t="n"/>
      <c r="G938" s="135" t="n"/>
      <c r="H938" s="44" t="inlineStr">
        <is>
          <t>SUBETAPA</t>
        </is>
      </c>
      <c r="I938" s="45">
        <f>IF(H155="Unidade Construtiva",TEXT(A155,"00"),IF(H155="Célula Construtiva",TEXT(B155,"00"),IF(H155="Etapa",CONCATENATE(TEXT(B155,"00"),".",TEXT(C155,"000")),IF(H155="Subetapa",CONCATENATE(TEXT(B155,"00"),".",TEXT(C155,"000"),".",TEXT(D155,"000")),IF(H155="Serviço",CONCATENATE(TEXT(B155,"00"),".",TEXT(C155,"000"),".",TEXT(D155,"000"),".",TEXT(E155,"000")),"")))))</f>
        <v/>
      </c>
      <c r="J938" s="133" t="inlineStr">
        <is>
          <t>Impermeabilização de esquadrias</t>
        </is>
      </c>
      <c r="K938" s="47" t="n"/>
      <c r="L938" s="48" t="n"/>
      <c r="M938" s="48" t="n"/>
      <c r="N938" s="49">
        <f>IF(H155="Serviço",M155*L155,IF(H155="CÉLULA CONSTRUTIVA",SUMIFS($N$118:$N$438,$B$118:$B$438,B155,$H$118:$H$438,"Serviço"),IF(H155="ETAPA",SUMIFS($N$118:$N$438,$B$118:$B$438,B155,$C$118:$C$438,C155,$H$118:$H$438,"Serviço"),IF(H155="SUBETAPA",SUMIFS($N$118:$N$438,$B$118:$B$438,B155,$C$118:$C$438,C155,$D$118:$D$438,D155,$H$118:$H$438,"Serviço"),0))))</f>
        <v/>
      </c>
      <c r="O938" s="50">
        <f>N155/CAPA!C$10</f>
        <v/>
      </c>
      <c r="P938" s="134" t="n"/>
      <c r="Q938" s="1" t="n"/>
      <c r="R938" s="52" t="n"/>
      <c r="S938" s="64" t="n"/>
      <c r="T938" s="1" t="n"/>
      <c r="U938" s="1" t="n"/>
      <c r="V938" s="1" t="n"/>
      <c r="W938" s="1" t="n"/>
      <c r="X938" s="1" t="n"/>
      <c r="Y938" s="1" t="n"/>
    </row>
    <row r="939">
      <c r="A939" s="121">
        <f>IF($H156="UNIDADE CONSTRUTIVA",OFFSET(A156,-1,0)+1,LARGE(A$3:A155,1))</f>
        <v/>
      </c>
      <c r="B939" s="121">
        <f>IF(H156="UNIDADE CONSTRUTIVA",0,IF(H156="CÉLULA CONSTRUTIVA",OFFSET(B156,-1,0)+1,OFFSET(B156,-1,0)))</f>
        <v/>
      </c>
      <c r="C939" s="121">
        <f>IF(H156="CÉLULA CONSTRUTIVA",0,IF(H156="ETAPA",OFFSET(C156,-1,0)+1,OFFSET(C156,-1,0)))</f>
        <v/>
      </c>
      <c r="D939" s="122">
        <f>IF(H156="ETAPA",0,IF(H156="SUBETAPA",OFFSET(D156,-1,0)+1,OFFSET(D156,-1,0)))</f>
        <v/>
      </c>
      <c r="E939" s="122">
        <f>IF(H156="Subetapa",0,IF(H156="serviço",OFFSET(E156,-1,0)+1,OFFSET(E156,-1,0)))</f>
        <v/>
      </c>
      <c r="F939" s="123" t="n"/>
      <c r="G939" s="135" t="inlineStr">
        <is>
          <t>IMPERMEABILIZAÇÃO E TRATAMENTOS</t>
        </is>
      </c>
      <c r="H939" s="44" t="inlineStr">
        <is>
          <t>SERVIÇO</t>
        </is>
      </c>
      <c r="I939" s="45">
        <f>IF(H156="Unidade Construtiva",TEXT(A156,"00"),IF(H156="Célula Construtiva",TEXT(B156,"00"),IF(H156="Etapa",CONCATENATE(TEXT(B156,"00"),".",TEXT(C156,"000")),IF(H156="Subetapa",CONCATENATE(TEXT(B156,"00"),".",TEXT(C156,"000"),".",TEXT(D156,"000")),IF(H156="Serviço",CONCATENATE(TEXT(B156,"00"),".",TEXT(C156,"000"),".",TEXT(D156,"000"),".",TEXT(E156,"000")),"")))))</f>
        <v/>
      </c>
      <c r="J939" s="51" t="inlineStr">
        <is>
          <t>Impermeabilização com manta liquida em peitoris</t>
        </is>
      </c>
      <c r="K939" s="47" t="inlineStr">
        <is>
          <t>m2</t>
        </is>
      </c>
      <c r="L939" s="48">
        <f>'Impermeabilização Visus'!J24</f>
        <v/>
      </c>
      <c r="M939" s="48">
        <f>_xlfn.XLOOKUP($J156,CPU!$D$1:$D$31540,CPU!$H$1:$H$31540)</f>
        <v/>
      </c>
      <c r="N939" s="49">
        <f>IF(H156="Serviço",M156*L156,IF(H156="CÉLULA CONSTRUTIVA",SUMIFS($N$118:$N$438,$B$118:$B$438,B156,$H$118:$H$438,"Serviço"),IF(H156="ETAPA",SUMIFS($N$118:$N$438,$B$118:$B$438,B156,$C$118:$C$438,C156,$H$118:$H$438,"Serviço"),IF(H156="SUBETAPA",SUMIFS($N$118:$N$438,$B$118:$B$438,B156,$C$118:$C$438,C156,$D$118:$D$438,D156,$H$118:$H$438,"Serviço"),0))))</f>
        <v/>
      </c>
      <c r="O939" s="130" t="n"/>
      <c r="P939" s="134" t="n"/>
      <c r="Q939" s="1" t="n"/>
      <c r="R939" s="52" t="n"/>
      <c r="S939" s="64" t="n"/>
      <c r="T939" s="1" t="n"/>
      <c r="U939" s="1" t="n"/>
      <c r="V939" s="1" t="n"/>
      <c r="W939" s="1" t="n"/>
      <c r="X939" s="1" t="n"/>
      <c r="Y939" s="1" t="n"/>
    </row>
    <row r="940">
      <c r="A940" s="121">
        <f>IF($H157="UNIDADE CONSTRUTIVA",OFFSET(A157,-1,0)+1,LARGE(A$3:A156,1))</f>
        <v/>
      </c>
      <c r="B940" s="121">
        <f>IF(H157="UNIDADE CONSTRUTIVA",0,IF(H157="CÉLULA CONSTRUTIVA",OFFSET(B157,-1,0)+1,OFFSET(B157,-1,0)))</f>
        <v/>
      </c>
      <c r="C940" s="121">
        <f>IF(H157="CÉLULA CONSTRUTIVA",0,IF(H157="ETAPA",OFFSET(C157,-1,0)+1,OFFSET(C157,-1,0)))</f>
        <v/>
      </c>
      <c r="D940" s="122">
        <f>IF(H157="ETAPA",0,IF(H157="SUBETAPA",OFFSET(D157,-1,0)+1,OFFSET(D157,-1,0)))</f>
        <v/>
      </c>
      <c r="E940" s="122">
        <f>IF(H157="Subetapa",0,IF(H157="serviço",OFFSET(E157,-1,0)+1,OFFSET(E157,-1,0)))</f>
        <v/>
      </c>
      <c r="F940" s="123" t="n"/>
      <c r="G940" s="135" t="n"/>
      <c r="H940" s="44" t="inlineStr">
        <is>
          <t>SUBETAPA</t>
        </is>
      </c>
      <c r="I940" s="45">
        <f>IF(H157="Unidade Construtiva",TEXT(A157,"00"),IF(H157="Célula Construtiva",TEXT(B157,"00"),IF(H157="Etapa",CONCATENATE(TEXT(B157,"00"),".",TEXT(C157,"000")),IF(H157="Subetapa",CONCATENATE(TEXT(B157,"00"),".",TEXT(C157,"000"),".",TEXT(D157,"000")),IF(H157="Serviço",CONCATENATE(TEXT(B157,"00"),".",TEXT(C157,"000"),".",TEXT(D157,"000"),".",TEXT(E157,"000")),"")))))</f>
        <v/>
      </c>
      <c r="J940" s="51" t="inlineStr">
        <is>
          <t>Impermeabilização de ralos</t>
        </is>
      </c>
      <c r="K940" s="47" t="n"/>
      <c r="L940" s="48" t="n"/>
      <c r="M940" s="48" t="n"/>
      <c r="N940" s="49">
        <f>IF(H157="Serviço",M157*L157,IF(H157="CÉLULA CONSTRUTIVA",SUMIFS($N$118:$N$438,$B$118:$B$438,B157,$H$118:$H$438,"Serviço"),IF(H157="ETAPA",SUMIFS($N$118:$N$438,$B$118:$B$438,B157,$C$118:$C$438,C157,$H$118:$H$438,"Serviço"),IF(H157="SUBETAPA",SUMIFS($N$118:$N$438,$B$118:$B$438,B157,$C$118:$C$438,C157,$D$118:$D$438,D157,$H$118:$H$438,"Serviço"),0))))</f>
        <v/>
      </c>
      <c r="O940" s="50">
        <f>N157/CAPA!C$10</f>
        <v/>
      </c>
      <c r="P940" s="134" t="n"/>
      <c r="Q940" s="1" t="n"/>
      <c r="R940" s="52" t="n"/>
      <c r="S940" s="64" t="n"/>
      <c r="T940" s="1" t="n"/>
      <c r="U940" s="1" t="n"/>
      <c r="V940" s="1" t="n"/>
      <c r="W940" s="1" t="n"/>
      <c r="X940" s="1" t="n"/>
      <c r="Y940" s="1" t="n"/>
    </row>
    <row r="941">
      <c r="A941" s="121">
        <f>IF($H158="UNIDADE CONSTRUTIVA",OFFSET(A158,-1,0)+1,LARGE(A$3:A157,1))</f>
        <v/>
      </c>
      <c r="B941" s="121">
        <f>IF(H158="UNIDADE CONSTRUTIVA",0,IF(H158="CÉLULA CONSTRUTIVA",OFFSET(B158,-1,0)+1,OFFSET(B158,-1,0)))</f>
        <v/>
      </c>
      <c r="C941" s="121">
        <f>IF(H158="CÉLULA CONSTRUTIVA",0,IF(H158="ETAPA",OFFSET(C158,-1,0)+1,OFFSET(C158,-1,0)))</f>
        <v/>
      </c>
      <c r="D941" s="122">
        <f>IF(H158="ETAPA",0,IF(H158="SUBETAPA",OFFSET(D158,-1,0)+1,OFFSET(D158,-1,0)))</f>
        <v/>
      </c>
      <c r="E941" s="122">
        <f>IF(H158="Subetapa",0,IF(H158="serviço",OFFSET(E158,-1,0)+1,OFFSET(E158,-1,0)))</f>
        <v/>
      </c>
      <c r="F941" s="123" t="n"/>
      <c r="G941" s="135" t="inlineStr">
        <is>
          <t>IMPERMEABILIZAÇÃO E TRATAMENTOS</t>
        </is>
      </c>
      <c r="H941" s="44" t="inlineStr">
        <is>
          <t>SERVIÇO</t>
        </is>
      </c>
      <c r="I941" s="45">
        <f>IF(H158="Unidade Construtiva",TEXT(A158,"00"),IF(H158="Célula Construtiva",TEXT(B158,"00"),IF(H158="Etapa",CONCATENATE(TEXT(B158,"00"),".",TEXT(C158,"000")),IF(H158="Subetapa",CONCATENATE(TEXT(B158,"00"),".",TEXT(C158,"000"),".",TEXT(D158,"000")),IF(H158="Serviço",CONCATENATE(TEXT(B158,"00"),".",TEXT(C158,"000"),".",TEXT(D158,"000"),".",TEXT(E158,"000")),"")))))</f>
        <v/>
      </c>
      <c r="J941" s="51" t="inlineStr">
        <is>
          <t>Tratamento De Ralo Ou Ponto Emergente Com Argamassa Polimérica Reforçado Com Tela De Poliéster</t>
        </is>
      </c>
      <c r="K941" s="47" t="inlineStr">
        <is>
          <t>un</t>
        </is>
      </c>
      <c r="L941" s="48">
        <f>'Louças e Metais'!F55+'Louças e Metais'!F56</f>
        <v/>
      </c>
      <c r="M941" s="48">
        <f>_xlfn.XLOOKUP($J158,CPU!$D$1:$D$31540,CPU!$H$1:$H$31540)</f>
        <v/>
      </c>
      <c r="N941" s="49">
        <f>IF(H158="Serviço",M158*L158,IF(H158="CÉLULA CONSTRUTIVA",SUMIFS($N$118:$N$438,$B$118:$B$438,B158,$H$118:$H$438,"Serviço"),IF(H158="ETAPA",SUMIFS($N$118:$N$438,$B$118:$B$438,B158,$C$118:$C$438,C158,$H$118:$H$438,"Serviço"),IF(H158="SUBETAPA",SUMIFS($N$118:$N$438,$B$118:$B$438,B158,$C$118:$C$438,C158,$D$118:$D$438,D158,$H$118:$H$438,"Serviço"),0))))</f>
        <v/>
      </c>
      <c r="O941" s="50" t="inlineStr">
        <is>
          <t>Conforme projeto sanitário</t>
        </is>
      </c>
      <c r="P941" s="136" t="n"/>
      <c r="Q941" s="1" t="n"/>
      <c r="R941" s="52" t="n"/>
      <c r="S941" s="64" t="n"/>
      <c r="T941" s="1" t="n"/>
      <c r="U941" s="1" t="n"/>
      <c r="V941" s="1" t="n"/>
      <c r="W941" s="1" t="n"/>
      <c r="X941" s="1" t="n"/>
      <c r="Y941" s="1" t="n"/>
    </row>
    <row r="942">
      <c r="A942" s="121">
        <f>IF($H159="UNIDADE CONSTRUTIVA",OFFSET(A159,-1,0)+1,LARGE(A$3:A158,1))</f>
        <v/>
      </c>
      <c r="B942" s="121">
        <f>IF(H159="UNIDADE CONSTRUTIVA",0,IF(H159="CÉLULA CONSTRUTIVA",OFFSET(B159,-1,0)+1,OFFSET(B159,-1,0)))</f>
        <v/>
      </c>
      <c r="C942" s="121">
        <f>IF(H159="CÉLULA CONSTRUTIVA",0,IF(H159="ETAPA",OFFSET(C159,-1,0)+1,OFFSET(C159,-1,0)))</f>
        <v/>
      </c>
      <c r="D942" s="122">
        <f>IF(H159="ETAPA",0,IF(H159="SUBETAPA",OFFSET(D159,-1,0)+1,OFFSET(D159,-1,0)))</f>
        <v/>
      </c>
      <c r="E942" s="122">
        <f>IF(H159="Subetapa",0,IF(H159="serviço",OFFSET(E159,-1,0)+1,OFFSET(E159,-1,0)))</f>
        <v/>
      </c>
      <c r="F942" s="123" t="n"/>
      <c r="G942" s="135" t="n"/>
      <c r="H942" s="44" t="inlineStr">
        <is>
          <t>SUBETAPA</t>
        </is>
      </c>
      <c r="I942" s="45">
        <f>IF(H159="Unidade Construtiva",TEXT(A159,"00"),IF(H159="Célula Construtiva",TEXT(B159,"00"),IF(H159="Etapa",CONCATENATE(TEXT(B159,"00"),".",TEXT(C159,"000")),IF(H159="Subetapa",CONCATENATE(TEXT(B159,"00"),".",TEXT(C159,"000"),".",TEXT(D159,"000")),IF(H159="Serviço",CONCATENATE(TEXT(B159,"00"),".",TEXT(C159,"000"),".",TEXT(D159,"000"),".",TEXT(E159,"000")),"")))))</f>
        <v/>
      </c>
      <c r="J942" s="51" t="inlineStr">
        <is>
          <t>Impermeablização de floreiras</t>
        </is>
      </c>
      <c r="K942" s="47" t="n"/>
      <c r="L942" s="48" t="n"/>
      <c r="M942" s="48" t="n"/>
      <c r="N942" s="49">
        <f>IF(H159="Serviço",M159*L159,IF(H159="CÉLULA CONSTRUTIVA",SUMIFS($N$118:$N$438,$B$118:$B$438,B159,$H$118:$H$438,"Serviço"),IF(H159="ETAPA",SUMIFS($N$118:$N$438,$B$118:$B$438,B159,$C$118:$C$438,C159,$H$118:$H$438,"Serviço"),IF(H159="SUBETAPA",SUMIFS($N$118:$N$438,$B$118:$B$438,B159,$C$118:$C$438,C159,$D$118:$D$438,D159,$H$118:$H$438,"Serviço"),0))))</f>
        <v/>
      </c>
      <c r="O942" s="50">
        <f>N159/CAPA!C$10</f>
        <v/>
      </c>
      <c r="P942" s="136" t="n"/>
      <c r="Q942" s="1" t="n"/>
      <c r="R942" s="52" t="n"/>
      <c r="S942" s="64" t="n"/>
      <c r="T942" s="1" t="n"/>
      <c r="U942" s="1" t="n"/>
      <c r="V942" s="1" t="n"/>
      <c r="W942" s="1" t="n"/>
      <c r="X942" s="1" t="n"/>
      <c r="Y942" s="1" t="n"/>
    </row>
    <row r="943">
      <c r="A943" s="121">
        <f>IF($H160="UNIDADE CONSTRUTIVA",OFFSET(A160,-1,0)+1,LARGE(A$3:A159,1))</f>
        <v/>
      </c>
      <c r="B943" s="121">
        <f>IF(H160="UNIDADE CONSTRUTIVA",0,IF(H160="CÉLULA CONSTRUTIVA",OFFSET(B160,-1,0)+1,OFFSET(B160,-1,0)))</f>
        <v/>
      </c>
      <c r="C943" s="121">
        <f>IF(H160="CÉLULA CONSTRUTIVA",0,IF(H160="ETAPA",OFFSET(C160,-1,0)+1,OFFSET(C160,-1,0)))</f>
        <v/>
      </c>
      <c r="D943" s="122">
        <f>IF(H160="ETAPA",0,IF(H160="SUBETAPA",OFFSET(D160,-1,0)+1,OFFSET(D160,-1,0)))</f>
        <v/>
      </c>
      <c r="E943" s="122">
        <f>IF(H160="Subetapa",0,IF(H160="serviço",OFFSET(E160,-1,0)+1,OFFSET(E160,-1,0)))</f>
        <v/>
      </c>
      <c r="F943" s="123" t="n"/>
      <c r="G943" s="135" t="inlineStr">
        <is>
          <t>IMPERMEABILIZAÇÃO E TRATAMENTOS</t>
        </is>
      </c>
      <c r="H943" s="44" t="inlineStr">
        <is>
          <t>SERVIÇO</t>
        </is>
      </c>
      <c r="I943" s="45">
        <f>IF(H160="Unidade Construtiva",TEXT(A160,"00"),IF(H160="Célula Construtiva",TEXT(B160,"00"),IF(H160="Etapa",CONCATENATE(TEXT(B160,"00"),".",TEXT(C160,"000")),IF(H160="Subetapa",CONCATENATE(TEXT(B160,"00"),".",TEXT(C160,"000"),".",TEXT(D160,"000")),IF(H160="Serviço",CONCATENATE(TEXT(B160,"00"),".",TEXT(C160,"000"),".",TEXT(D160,"000"),".",TEXT(E160,"000")),"")))))</f>
        <v/>
      </c>
      <c r="J943" s="51" t="inlineStr">
        <is>
          <t>M44AE2 - Manta asfáltica tipo IV, 4 mm A, com acabamento areia/areia aderida com asfalto oxidado (3,0 kg/m²) + banho de asfalto oxidado (2,0 kg/m²) + membrana de polímero acrílico com cimento e fibras para combater eflorescência (2,0 kg/m²)</t>
        </is>
      </c>
      <c r="K943" s="47" t="inlineStr">
        <is>
          <t>m2</t>
        </is>
      </c>
      <c r="L943" s="48">
        <f>'Impermeabilização Visus'!J25</f>
        <v/>
      </c>
      <c r="M943" s="48">
        <f>_xlfn.XLOOKUP($J160,CPU!$D$1:$D$31540,CPU!$H$1:$H$31540)</f>
        <v/>
      </c>
      <c r="N943" s="49">
        <f>IF(H160="Serviço",M160*L160,IF(H160="CÉLULA CONSTRUTIVA",SUMIFS($N$118:$N$438,$B$118:$B$438,B160,$H$118:$H$438,"Serviço"),IF(H160="ETAPA",SUMIFS($N$118:$N$438,$B$118:$B$438,B160,$C$118:$C$438,C160,$H$118:$H$438,"Serviço"),IF(H160="SUBETAPA",SUMIFS($N$118:$N$438,$B$118:$B$438,B160,$C$118:$C$438,C160,$D$118:$D$438,D160,$H$118:$H$438,"Serviço"),0))))</f>
        <v/>
      </c>
      <c r="O943" s="50" t="n"/>
      <c r="P943" s="134" t="n"/>
      <c r="Q943" s="1" t="n"/>
      <c r="R943" s="52" t="n"/>
      <c r="S943" s="64" t="n"/>
      <c r="T943" s="1" t="n"/>
      <c r="U943" s="1" t="n"/>
      <c r="V943" s="1" t="n"/>
      <c r="W943" s="1" t="n"/>
      <c r="X943" s="1" t="n"/>
      <c r="Y943" s="1" t="n"/>
    </row>
    <row r="944">
      <c r="A944" s="121">
        <f>IF($H161="UNIDADE CONSTRUTIVA",OFFSET(A161,-1,0)+1,LARGE(A$3:A158,1))</f>
        <v/>
      </c>
      <c r="B944" s="121">
        <f>IF(H161="UNIDADE CONSTRUTIVA",0,IF(H161="CÉLULA CONSTRUTIVA",OFFSET(B161,-1,0)+1,OFFSET(B161,-1,0)))</f>
        <v/>
      </c>
      <c r="C944" s="121">
        <f>IF(H161="CÉLULA CONSTRUTIVA",0,IF(H161="ETAPA",OFFSET(C161,-1,0)+1,OFFSET(C161,-1,0)))</f>
        <v/>
      </c>
      <c r="D944" s="122">
        <f>IF(H161="ETAPA",0,IF(H161="SUBETAPA",OFFSET(D161,-1,0)+1,OFFSET(D161,-1,0)))</f>
        <v/>
      </c>
      <c r="E944" s="122">
        <f>IF(H161="Subetapa",0,IF(H161="serviço",OFFSET(E161,-1,0)+1,OFFSET(E161,-1,0)))</f>
        <v/>
      </c>
      <c r="F944" s="123" t="n"/>
      <c r="G944" s="135" t="n"/>
      <c r="H944" s="44" t="inlineStr">
        <is>
          <t>SUBETAPA</t>
        </is>
      </c>
      <c r="I944" s="45">
        <f>IF(H161="Unidade Construtiva",TEXT(A161,"00"),IF(H161="Célula Construtiva",TEXT(B161,"00"),IF(H161="Etapa",CONCATENATE(TEXT(B161,"00"),".",TEXT(C161,"000")),IF(H161="Subetapa",CONCATENATE(TEXT(B161,"00"),".",TEXT(C161,"000"),".",TEXT(D161,"000")),IF(H161="Serviço",CONCATENATE(TEXT(B161,"00"),".",TEXT(C161,"000"),".",TEXT(D161,"000"),".",TEXT(E161,"000")),"")))))</f>
        <v/>
      </c>
      <c r="J944" s="133" t="inlineStr">
        <is>
          <t>Impermeabilização de reservatórios</t>
        </is>
      </c>
      <c r="K944" s="47" t="n"/>
      <c r="L944" s="48" t="n"/>
      <c r="M944" s="48" t="n"/>
      <c r="N944" s="49">
        <f>IF(H161="Serviço",M161*L161,IF(H161="CÉLULA CONSTRUTIVA",SUMIFS($N$118:$N$438,$B$118:$B$438,B161,$H$118:$H$438,"Serviço"),IF(H161="ETAPA",SUMIFS($N$118:$N$438,$B$118:$B$438,B161,$C$118:$C$438,C161,$H$118:$H$438,"Serviço"),IF(H161="SUBETAPA",SUMIFS($N$118:$N$438,$B$118:$B$438,B161,$C$118:$C$438,C161,$D$118:$D$438,D161,$H$118:$H$438,"Serviço"),0))))</f>
        <v/>
      </c>
      <c r="O944" s="50">
        <f>N161/CAPA!C$10</f>
        <v/>
      </c>
      <c r="P944" s="134" t="n"/>
      <c r="Q944" s="1" t="n"/>
      <c r="R944" s="52" t="n"/>
      <c r="S944" s="64" t="n"/>
      <c r="T944" s="1" t="n"/>
      <c r="U944" s="1" t="n"/>
      <c r="V944" s="1" t="n"/>
      <c r="W944" s="1" t="n"/>
      <c r="X944" s="1" t="n"/>
      <c r="Y944" s="1" t="n"/>
    </row>
    <row r="945">
      <c r="A945" s="121">
        <f>IF($H162="UNIDADE CONSTRUTIVA",OFFSET(A162,-1,0)+1,LARGE(A$3:A161,1))</f>
        <v/>
      </c>
      <c r="B945" s="121">
        <f>IF(H162="UNIDADE CONSTRUTIVA",0,IF(H162="CÉLULA CONSTRUTIVA",OFFSET(B162,-1,0)+1,OFFSET(B162,-1,0)))</f>
        <v/>
      </c>
      <c r="C945" s="121">
        <f>IF(H162="CÉLULA CONSTRUTIVA",0,IF(H162="ETAPA",OFFSET(C162,-1,0)+1,OFFSET(C162,-1,0)))</f>
        <v/>
      </c>
      <c r="D945" s="122">
        <f>IF(H162="ETAPA",0,IF(H162="SUBETAPA",OFFSET(D162,-1,0)+1,OFFSET(D162,-1,0)))</f>
        <v/>
      </c>
      <c r="E945" s="122">
        <f>IF(H162="Subetapa",0,IF(H162="serviço",OFFSET(E162,-1,0)+1,OFFSET(E162,-1,0)))</f>
        <v/>
      </c>
      <c r="F945" s="123" t="n"/>
      <c r="G945" s="135" t="inlineStr">
        <is>
          <t>IMPERMEABILIZAÇÃO E TRATAMENTOS</t>
        </is>
      </c>
      <c r="H945" s="44" t="inlineStr">
        <is>
          <t>SERVIÇO</t>
        </is>
      </c>
      <c r="I945" s="45">
        <f>IF(H162="Unidade Construtiva",TEXT(A162,"00"),IF(H162="Célula Construtiva",TEXT(B162,"00"),IF(H162="Etapa",CONCATENATE(TEXT(B162,"00"),".",TEXT(C162,"000")),IF(H162="Subetapa",CONCATENATE(TEXT(B162,"00"),".",TEXT(C162,"000"),".",TEXT(D162,"000")),IF(H162="Serviço",CONCATENATE(TEXT(B162,"00"),".",TEXT(C162,"000"),".",TEXT(D162,"000"),".",TEXT(E162,"000")),"")))))</f>
        <v/>
      </c>
      <c r="J945" s="51" t="inlineStr">
        <is>
          <t>M44AE2 - Manta asfáltica tipo IV, 4 mm A, com acabamento areia/areia aderida com asfalto oxidado (3,0 kg/m²) + banho de asfalto oxidado (2,0 kg/m²) + membrana de polímero acrílico com cimento e fibras para combater eflorescência (2,0 kg/m²)</t>
        </is>
      </c>
      <c r="K945" s="47" t="inlineStr">
        <is>
          <t>m2</t>
        </is>
      </c>
      <c r="L945" s="48">
        <f>'Impermeabilização Visus'!J26</f>
        <v/>
      </c>
      <c r="M945" s="48">
        <f>_xlfn.XLOOKUP($J162,CPU!$D$1:$D$31540,CPU!$H$1:$H$31540)</f>
        <v/>
      </c>
      <c r="N945" s="49">
        <f>IF(H162="Serviço",M162*L162,IF(H162="CÉLULA CONSTRUTIVA",SUMIFS($N$118:$N$438,$B$118:$B$438,B162,$H$118:$H$438,"Serviço"),IF(H162="ETAPA",SUMIFS($N$118:$N$438,$B$118:$B$438,B162,$C$118:$C$438,C162,$H$118:$H$438,"Serviço"),IF(H162="SUBETAPA",SUMIFS($N$118:$N$438,$B$118:$B$438,B162,$C$118:$C$438,C162,$D$118:$D$438,D162,$H$118:$H$438,"Serviço"),0))))</f>
        <v/>
      </c>
      <c r="O945" s="50" t="n"/>
      <c r="P945" s="134" t="n"/>
      <c r="Q945" s="1" t="n"/>
      <c r="R945" s="52" t="n"/>
      <c r="S945" s="64" t="n"/>
      <c r="T945" s="1" t="n"/>
      <c r="U945" s="1" t="n"/>
      <c r="V945" s="1" t="n"/>
      <c r="W945" s="1" t="n"/>
      <c r="X945" s="1" t="n"/>
      <c r="Y945" s="1" t="n"/>
    </row>
    <row r="946">
      <c r="A946" s="121">
        <f>IF($H163="UNIDADE CONSTRUTIVA",OFFSET(A163,-1,0)+1,LARGE(A$3:A162,1))</f>
        <v/>
      </c>
      <c r="B946" s="121">
        <f>IF(H163="UNIDADE CONSTRUTIVA",0,IF(H163="CÉLULA CONSTRUTIVA",OFFSET(B163,-1,0)+1,OFFSET(B163,-1,0)))</f>
        <v/>
      </c>
      <c r="C946" s="121">
        <f>IF(H163="CÉLULA CONSTRUTIVA",0,IF(H163="ETAPA",OFFSET(C163,-1,0)+1,OFFSET(C163,-1,0)))</f>
        <v/>
      </c>
      <c r="D946" s="122">
        <f>IF(H163="ETAPA",0,IF(H163="SUBETAPA",OFFSET(D163,-1,0)+1,OFFSET(D163,-1,0)))</f>
        <v/>
      </c>
      <c r="E946" s="122">
        <f>IF(H163="Subetapa",0,IF(H163="serviço",OFFSET(E163,-1,0)+1,OFFSET(E163,-1,0)))</f>
        <v/>
      </c>
      <c r="F946" s="123" t="n"/>
      <c r="G946" s="135" t="n"/>
      <c r="H946" s="44" t="inlineStr">
        <is>
          <t>SUBETAPA</t>
        </is>
      </c>
      <c r="I946" s="45">
        <f>IF(H163="Unidade Construtiva",TEXT(A163,"00"),IF(H163="Célula Construtiva",TEXT(B163,"00"),IF(H163="Etapa",CONCATENATE(TEXT(B163,"00"),".",TEXT(C163,"000")),IF(H163="Subetapa",CONCATENATE(TEXT(B163,"00"),".",TEXT(C163,"000"),".",TEXT(D163,"000")),IF(H163="Serviço",CONCATENATE(TEXT(B163,"00"),".",TEXT(C163,"000"),".",TEXT(D163,"000"),".",TEXT(E163,"000")),"")))))</f>
        <v/>
      </c>
      <c r="J946" s="51" t="inlineStr">
        <is>
          <t>Mão de obra</t>
        </is>
      </c>
      <c r="K946" s="47" t="n"/>
      <c r="L946" s="48" t="n"/>
      <c r="M946" s="48" t="n"/>
      <c r="N946" s="49">
        <f>IF(H163="Serviço",M163*L163,IF(H163="CÉLULA CONSTRUTIVA",SUMIFS($N$118:$N$438,$B$118:$B$438,B163,$H$118:$H$438,"Serviço"),IF(H163="ETAPA",SUMIFS($N$118:$N$438,$B$118:$B$438,B163,$C$118:$C$438,C163,$H$118:$H$438,"Serviço"),IF(H163="SUBETAPA",SUMIFS($N$118:$N$438,$B$118:$B$438,B163,$C$118:$C$438,C163,$D$118:$D$438,D163,$H$118:$H$438,"Serviço"),0))))</f>
        <v/>
      </c>
      <c r="O946" s="50">
        <f>N163/CAPA!C$10</f>
        <v/>
      </c>
      <c r="P946" s="134" t="n"/>
      <c r="Q946" s="1" t="n"/>
      <c r="R946" s="52" t="n"/>
      <c r="S946" s="64" t="n"/>
      <c r="T946" s="1" t="n"/>
      <c r="U946" s="1" t="n"/>
      <c r="V946" s="1" t="n"/>
      <c r="W946" s="1" t="n"/>
      <c r="X946" s="1" t="n"/>
      <c r="Y946" s="1" t="n"/>
    </row>
    <row r="947">
      <c r="A947" s="121">
        <f>IF($H164="UNIDADE CONSTRUTIVA",OFFSET(A164,-1,0)+1,LARGE(A$3:A158,1))</f>
        <v/>
      </c>
      <c r="B947" s="121">
        <f>IF(H164="UNIDADE CONSTRUTIVA",0,IF(H164="CÉLULA CONSTRUTIVA",OFFSET(B164,-1,0)+1,OFFSET(B164,-1,0)))</f>
        <v/>
      </c>
      <c r="C947" s="121">
        <f>IF(H164="CÉLULA CONSTRUTIVA",0,IF(H164="ETAPA",OFFSET(C164,-1,0)+1,OFFSET(C164,-1,0)))</f>
        <v/>
      </c>
      <c r="D947" s="122">
        <f>IF(H164="ETAPA",0,IF(H164="SUBETAPA",OFFSET(D164,-1,0)+1,OFFSET(D164,-1,0)))</f>
        <v/>
      </c>
      <c r="E947" s="122">
        <f>IF(H164="Subetapa",0,IF(H164="serviço",OFFSET(E164,-1,0)+1,OFFSET(E164,-1,0)))</f>
        <v/>
      </c>
      <c r="F947" s="123" t="n"/>
      <c r="G947" s="135" t="inlineStr">
        <is>
          <t>IMPERMEABILIZAÇÃO E TRATAMENTOS</t>
        </is>
      </c>
      <c r="H947" s="44" t="inlineStr">
        <is>
          <t>SERVIÇO</t>
        </is>
      </c>
      <c r="I947" s="45">
        <f>IF(H164="Unidade Construtiva",TEXT(A164,"00"),IF(H164="Célula Construtiva",TEXT(B164,"00"),IF(H164="Etapa",CONCATENATE(TEXT(B164,"00"),".",TEXT(C164,"000")),IF(H164="Subetapa",CONCATENATE(TEXT(B164,"00"),".",TEXT(C164,"000"),".",TEXT(D164,"000")),IF(H164="Serviço",CONCATENATE(TEXT(B164,"00"),".",TEXT(C164,"000"),".",TEXT(D164,"000"),".",TEXT(E164,"000")),"")))))</f>
        <v/>
      </c>
      <c r="J947" s="51" t="inlineStr">
        <is>
          <t xml:space="preserve">Mão de obra para regularização de superfície </t>
        </is>
      </c>
      <c r="K947" s="47" t="inlineStr">
        <is>
          <t>m2</t>
        </is>
      </c>
      <c r="L947" s="48">
        <f>L143</f>
        <v/>
      </c>
      <c r="M947" s="48">
        <f>_xlfn.XLOOKUP($J164,CPU!$D$1:$D$31540,CPU!$H$1:$H$31540)</f>
        <v/>
      </c>
      <c r="N947" s="49">
        <f>IF(H164="Serviço",M164*L164,IF(H164="CÉLULA CONSTRUTIVA",SUMIFS($N$118:$N$438,$B$118:$B$438,B164,$H$118:$H$438,"Serviço"),IF(H164="ETAPA",SUMIFS($N$118:$N$438,$B$118:$B$438,B164,$C$118:$C$438,C164,$H$118:$H$438,"Serviço"),IF(H164="SUBETAPA",SUMIFS($N$118:$N$438,$B$118:$B$438,B164,$C$118:$C$438,C164,$D$118:$D$438,D164,$H$118:$H$438,"Serviço"),0))))</f>
        <v/>
      </c>
      <c r="O947" s="50" t="n"/>
      <c r="P947" s="134" t="n"/>
      <c r="Q947" s="1" t="n"/>
      <c r="R947" s="52" t="n"/>
      <c r="S947" s="64" t="n"/>
      <c r="T947" s="1" t="n"/>
      <c r="U947" s="1" t="n"/>
      <c r="V947" s="1" t="n"/>
      <c r="W947" s="1" t="n"/>
      <c r="X947" s="1" t="n"/>
      <c r="Y947" s="1" t="n"/>
    </row>
    <row r="948">
      <c r="A948" s="121">
        <f>IF($H165="UNIDADE CONSTRUTIVA",OFFSET(A165,-1,0)+1,LARGE(A$3:A159,1))</f>
        <v/>
      </c>
      <c r="B948" s="121">
        <f>IF(H165="UNIDADE CONSTRUTIVA",0,IF(H165="CÉLULA CONSTRUTIVA",OFFSET(B165,-1,0)+1,OFFSET(B165,-1,0)))</f>
        <v/>
      </c>
      <c r="C948" s="121">
        <f>IF(H165="CÉLULA CONSTRUTIVA",0,IF(H165="ETAPA",OFFSET(C165,-1,0)+1,OFFSET(C165,-1,0)))</f>
        <v/>
      </c>
      <c r="D948" s="122">
        <f>IF(H165="ETAPA",0,IF(H165="SUBETAPA",OFFSET(D165,-1,0)+1,OFFSET(D165,-1,0)))</f>
        <v/>
      </c>
      <c r="E948" s="122">
        <f>IF(H165="Subetapa",0,IF(H165="serviço",OFFSET(E165,-1,0)+1,OFFSET(E165,-1,0)))</f>
        <v/>
      </c>
      <c r="F948" s="123" t="n"/>
      <c r="G948" s="135" t="inlineStr">
        <is>
          <t>IMPERMEABILIZAÇÃO E TRATAMENTOS</t>
        </is>
      </c>
      <c r="H948" s="44" t="inlineStr">
        <is>
          <t>SERVIÇO</t>
        </is>
      </c>
      <c r="I948" s="45">
        <f>IF(H165="Unidade Construtiva",TEXT(A165,"00"),IF(H165="Célula Construtiva",TEXT(B165,"00"),IF(H165="Etapa",CONCATENATE(TEXT(B165,"00"),".",TEXT(C165,"000")),IF(H165="Subetapa",CONCATENATE(TEXT(B165,"00"),".",TEXT(C165,"000"),".",TEXT(D165,"000")),IF(H165="Serviço",CONCATENATE(TEXT(B165,"00"),".",TEXT(C165,"000"),".",TEXT(D165,"000"),".",TEXT(E165,"000")),"")))))</f>
        <v/>
      </c>
      <c r="J948" s="51" t="inlineStr">
        <is>
          <t>Mão de obra para proteção mecânica</t>
        </is>
      </c>
      <c r="K948" s="47" t="inlineStr">
        <is>
          <t>m2</t>
        </is>
      </c>
      <c r="L948" s="48">
        <f>L144</f>
        <v/>
      </c>
      <c r="M948" s="48">
        <f>_xlfn.XLOOKUP($J165,CPU!$D$1:$D$31540,CPU!$H$1:$H$31540)</f>
        <v/>
      </c>
      <c r="N948" s="49">
        <f>IF(H165="Serviço",M165*L165,IF(H165="CÉLULA CONSTRUTIVA",SUMIFS($N$118:$N$438,$B$118:$B$438,B165,$H$118:$H$438,"Serviço"),IF(H165="ETAPA",SUMIFS($N$118:$N$438,$B$118:$B$438,B165,$C$118:$C$438,C165,$H$118:$H$438,"Serviço"),IF(H165="SUBETAPA",SUMIFS($N$118:$N$438,$B$118:$B$438,B165,$C$118:$C$438,C165,$D$118:$D$438,D165,$H$118:$H$438,"Serviço"),0))))</f>
        <v/>
      </c>
      <c r="O948" s="50" t="n"/>
      <c r="P948" s="134" t="n"/>
      <c r="Q948" s="1" t="n"/>
      <c r="R948" s="52" t="n"/>
      <c r="S948" s="64" t="n"/>
      <c r="T948" s="1" t="n"/>
      <c r="U948" s="1" t="n"/>
      <c r="V948" s="1" t="n"/>
      <c r="W948" s="1" t="n"/>
      <c r="X948" s="1" t="n"/>
      <c r="Y948" s="1" t="n"/>
    </row>
    <row r="949">
      <c r="A949" s="121">
        <f>IF($H166="UNIDADE CONSTRUTIVA",OFFSET(A166,-1,0)+1,LARGE(A$3:A164,1))</f>
        <v/>
      </c>
      <c r="B949" s="121">
        <f>IF(H166="UNIDADE CONSTRUTIVA",0,IF(H166="CÉLULA CONSTRUTIVA",OFFSET(B166,-1,0)+1,OFFSET(B166,-1,0)))</f>
        <v/>
      </c>
      <c r="C949" s="121">
        <f>IF(H166="CÉLULA CONSTRUTIVA",0,IF(H166="ETAPA",OFFSET(C166,-1,0)+1,OFFSET(C166,-1,0)))</f>
        <v/>
      </c>
      <c r="D949" s="122">
        <f>IF(H166="ETAPA",0,IF(H166="SUBETAPA",OFFSET(D166,-1,0)+1,OFFSET(D166,-1,0)))</f>
        <v/>
      </c>
      <c r="E949" s="122">
        <f>IF(H166="Subetapa",0,IF(H166="serviço",OFFSET(E166,-1,0)+1,OFFSET(E166,-1,0)))</f>
        <v/>
      </c>
      <c r="F949" s="123" t="n"/>
      <c r="G949" s="135" t="inlineStr">
        <is>
          <t>IMPERMEABILIZAÇÃO E TRATAMENTOS</t>
        </is>
      </c>
      <c r="H949" s="44" t="inlineStr">
        <is>
          <t>SERVIÇO</t>
        </is>
      </c>
      <c r="I949" s="45">
        <f>IF(H166="Unidade Construtiva",TEXT(A166,"00"),IF(H166="Célula Construtiva",TEXT(B166,"00"),IF(H166="Etapa",CONCATENATE(TEXT(B166,"00"),".",TEXT(C166,"000")),IF(H166="Subetapa",CONCATENATE(TEXT(B166,"00"),".",TEXT(C166,"000"),".",TEXT(D166,"000")),IF(H166="Serviço",CONCATENATE(TEXT(B166,"00"),".",TEXT(C166,"000"),".",TEXT(D166,"000"),".",TEXT(E166,"000")),"")))))</f>
        <v/>
      </c>
      <c r="J949" s="51" t="inlineStr">
        <is>
          <t>Mão de obra impermeabilização com emulsão Asfaltica</t>
        </is>
      </c>
      <c r="K949" s="47" t="inlineStr">
        <is>
          <t>m2</t>
        </is>
      </c>
      <c r="L949" s="48">
        <f>L146</f>
        <v/>
      </c>
      <c r="M949" s="48">
        <f>_xlfn.XLOOKUP($J166,CPU!$D$1:$D$31540,CPU!$H$1:$H$31540)</f>
        <v/>
      </c>
      <c r="N949" s="49">
        <f>IF(H166="Serviço",M166*L166,IF(H166="CÉLULA CONSTRUTIVA",SUMIFS($N$118:$N$438,$B$118:$B$438,B166,$H$118:$H$438,"Serviço"),IF(H166="ETAPA",SUMIFS($N$118:$N$438,$B$118:$B$438,B166,$C$118:$C$438,C166,$H$118:$H$438,"Serviço"),IF(H166="SUBETAPA",SUMIFS($N$118:$N$438,$B$118:$B$438,B166,$C$118:$C$438,C166,$D$118:$D$438,D166,$H$118:$H$438,"Serviço"),0))))</f>
        <v/>
      </c>
      <c r="O949" s="50" t="n"/>
      <c r="P949" s="134" t="n"/>
      <c r="Q949" s="1" t="n"/>
      <c r="R949" s="52" t="n"/>
      <c r="S949" s="64" t="n"/>
      <c r="T949" s="1" t="n"/>
      <c r="U949" s="1" t="n"/>
      <c r="V949" s="1" t="n"/>
      <c r="W949" s="1" t="n"/>
      <c r="X949" s="1" t="n"/>
      <c r="Y949" s="1" t="n"/>
    </row>
    <row r="950">
      <c r="A950" s="121">
        <f>IF($H167="UNIDADE CONSTRUTIVA",OFFSET(A167,-1,0)+1,LARGE(A$3:A165,1))</f>
        <v/>
      </c>
      <c r="B950" s="121">
        <f>IF(H167="UNIDADE CONSTRUTIVA",0,IF(H167="CÉLULA CONSTRUTIVA",OFFSET(B167,-1,0)+1,OFFSET(B167,-1,0)))</f>
        <v/>
      </c>
      <c r="C950" s="121">
        <f>IF(H167="CÉLULA CONSTRUTIVA",0,IF(H167="ETAPA",OFFSET(C167,-1,0)+1,OFFSET(C167,-1,0)))</f>
        <v/>
      </c>
      <c r="D950" s="122">
        <f>IF(H167="ETAPA",0,IF(H167="SUBETAPA",OFFSET(D167,-1,0)+1,OFFSET(D167,-1,0)))</f>
        <v/>
      </c>
      <c r="E950" s="122">
        <f>IF(H167="Subetapa",0,IF(H167="serviço",OFFSET(E167,-1,0)+1,OFFSET(E167,-1,0)))</f>
        <v/>
      </c>
      <c r="F950" s="123" t="n"/>
      <c r="G950" s="135" t="inlineStr">
        <is>
          <t>IMPERMEABILIZAÇÃO E TRATAMENTOS</t>
        </is>
      </c>
      <c r="H950" s="44" t="inlineStr">
        <is>
          <t>SERVIÇO</t>
        </is>
      </c>
      <c r="I950" s="45">
        <f>IF(H167="Unidade Construtiva",TEXT(A167,"00"),IF(H167="Célula Construtiva",TEXT(B167,"00"),IF(H167="Etapa",CONCATENATE(TEXT(B167,"00"),".",TEXT(C167,"000")),IF(H167="Subetapa",CONCATENATE(TEXT(B167,"00"),".",TEXT(C167,"000"),".",TEXT(D167,"000")),IF(H167="Serviço",CONCATENATE(TEXT(B167,"00"),".",TEXT(C167,"000"),".",TEXT(D167,"000"),".",TEXT(E167,"000")),"")))))</f>
        <v/>
      </c>
      <c r="J950" s="51" t="inlineStr">
        <is>
          <t>Mão de obra impermeabilização de argamassa polimérica</t>
        </is>
      </c>
      <c r="K950" s="47" t="inlineStr">
        <is>
          <t>m2</t>
        </is>
      </c>
      <c r="L950" s="48">
        <f>L148+L154</f>
        <v/>
      </c>
      <c r="M950" s="48">
        <f>_xlfn.XLOOKUP($J167,CPU!$D$1:$D$31540,CPU!$H$1:$H$31540)</f>
        <v/>
      </c>
      <c r="N950" s="49">
        <f>IF(H167="Serviço",M167*L167,IF(H167="CÉLULA CONSTRUTIVA",SUMIFS($N$118:$N$438,$B$118:$B$438,B167,$H$118:$H$438,"Serviço"),IF(H167="ETAPA",SUMIFS($N$118:$N$438,$B$118:$B$438,B167,$C$118:$C$438,C167,$H$118:$H$438,"Serviço"),IF(H167="SUBETAPA",SUMIFS($N$118:$N$438,$B$118:$B$438,B167,$C$118:$C$438,C167,$D$118:$D$438,D167,$H$118:$H$438,"Serviço"),0))))</f>
        <v/>
      </c>
      <c r="O950" s="50" t="n"/>
      <c r="P950" s="134" t="n"/>
      <c r="Q950" s="1" t="n"/>
      <c r="R950" s="52" t="n"/>
      <c r="S950" s="64" t="n"/>
      <c r="T950" s="1" t="n"/>
      <c r="U950" s="1" t="n"/>
      <c r="V950" s="1" t="n"/>
      <c r="W950" s="1" t="n"/>
      <c r="X950" s="1" t="n"/>
      <c r="Y950" s="1" t="n"/>
    </row>
    <row r="951">
      <c r="A951" s="121">
        <f>IF($H168="UNIDADE CONSTRUTIVA",OFFSET(A168,-1,0)+1,LARGE(A$3:A162,1))</f>
        <v/>
      </c>
      <c r="B951" s="121">
        <f>IF(H168="UNIDADE CONSTRUTIVA",0,IF(H168="CÉLULA CONSTRUTIVA",OFFSET(B168,-1,0)+1,OFFSET(B168,-1,0)))</f>
        <v/>
      </c>
      <c r="C951" s="121">
        <f>IF(H168="CÉLULA CONSTRUTIVA",0,IF(H168="ETAPA",OFFSET(C168,-1,0)+1,OFFSET(C168,-1,0)))</f>
        <v/>
      </c>
      <c r="D951" s="122">
        <f>IF(H168="ETAPA",0,IF(H168="SUBETAPA",OFFSET(D168,-1,0)+1,OFFSET(D168,-1,0)))</f>
        <v/>
      </c>
      <c r="E951" s="122">
        <f>IF(H168="Subetapa",0,IF(H168="serviço",OFFSET(E168,-1,0)+1,OFFSET(E168,-1,0)))</f>
        <v/>
      </c>
      <c r="F951" s="123" t="n"/>
      <c r="G951" s="135" t="inlineStr">
        <is>
          <t>IMPERMEABILIZAÇÃO E TRATAMENTOS</t>
        </is>
      </c>
      <c r="H951" s="44" t="inlineStr">
        <is>
          <t>SERVIÇO</t>
        </is>
      </c>
      <c r="I951" s="45">
        <f>IF(H168="Unidade Construtiva",TEXT(A168,"00"),IF(H168="Célula Construtiva",TEXT(B168,"00"),IF(H168="Etapa",CONCATENATE(TEXT(B168,"00"),".",TEXT(C168,"000")),IF(H168="Subetapa",CONCATENATE(TEXT(B168,"00"),".",TEXT(C168,"000"),".",TEXT(D168,"000")),IF(H168="Serviço",CONCATENATE(TEXT(B168,"00"),".",TEXT(C168,"000"),".",TEXT(D168,"000"),".",TEXT(E168,"000")),"")))))</f>
        <v/>
      </c>
      <c r="J951" s="51" t="inlineStr">
        <is>
          <t>Mão de obra impermeabilização de superfície com manta asfáltica</t>
        </is>
      </c>
      <c r="K951" s="47" t="inlineStr">
        <is>
          <t>m2</t>
        </is>
      </c>
      <c r="L951" s="48">
        <f>L150+L160+L162</f>
        <v/>
      </c>
      <c r="M951" s="48">
        <f>_xlfn.XLOOKUP($J168,CPU!$D$1:$D$31540,CPU!$H$1:$H$31540)</f>
        <v/>
      </c>
      <c r="N951" s="49">
        <f>IF(H168="Serviço",M168*L168,IF(H168="CÉLULA CONSTRUTIVA",SUMIFS($N$118:$N$438,$B$118:$B$438,B168,$H$118:$H$438,"Serviço"),IF(H168="ETAPA",SUMIFS($N$118:$N$438,$B$118:$B$438,B168,$C$118:$C$438,C168,$H$118:$H$438,"Serviço"),IF(H168="SUBETAPA",SUMIFS($N$118:$N$438,$B$118:$B$438,B168,$C$118:$C$438,C168,$D$118:$D$438,D168,$H$118:$H$438,"Serviço"),0))))</f>
        <v/>
      </c>
      <c r="O951" s="50" t="n"/>
      <c r="P951" s="134" t="n"/>
      <c r="Q951" s="1" t="n"/>
      <c r="R951" s="52" t="n"/>
      <c r="S951" s="64" t="n"/>
      <c r="T951" s="1" t="n"/>
      <c r="U951" s="1" t="n"/>
      <c r="V951" s="1" t="n"/>
      <c r="W951" s="1" t="n"/>
      <c r="X951" s="1" t="n"/>
      <c r="Y951" s="1" t="n"/>
    </row>
    <row r="952">
      <c r="A952" s="121">
        <f>IF($H169="UNIDADE CONSTRUTIVA",OFFSET(A169,-1,0)+1,LARGE(A$3:A163,1))</f>
        <v/>
      </c>
      <c r="B952" s="121">
        <f>IF(H169="UNIDADE CONSTRUTIVA",0,IF(H169="CÉLULA CONSTRUTIVA",OFFSET(B169,-1,0)+1,OFFSET(B169,-1,0)))</f>
        <v/>
      </c>
      <c r="C952" s="121">
        <f>IF(H169="CÉLULA CONSTRUTIVA",0,IF(H169="ETAPA",OFFSET(C169,-1,0)+1,OFFSET(C169,-1,0)))</f>
        <v/>
      </c>
      <c r="D952" s="122">
        <f>IF(H169="ETAPA",0,IF(H169="SUBETAPA",OFFSET(D169,-1,0)+1,OFFSET(D169,-1,0)))</f>
        <v/>
      </c>
      <c r="E952" s="122">
        <f>IF(H169="Subetapa",0,IF(H169="serviço",OFFSET(E169,-1,0)+1,OFFSET(E169,-1,0)))</f>
        <v/>
      </c>
      <c r="F952" s="123" t="n"/>
      <c r="G952" s="135" t="inlineStr">
        <is>
          <t>IMPERMEABILIZAÇÃO E TRATAMENTOS</t>
        </is>
      </c>
      <c r="H952" s="44" t="inlineStr">
        <is>
          <t>SERVIÇO</t>
        </is>
      </c>
      <c r="I952" s="45">
        <f>IF(H169="Unidade Construtiva",TEXT(A169,"00"),IF(H169="Célula Construtiva",TEXT(B169,"00"),IF(H169="Etapa",CONCATENATE(TEXT(B169,"00"),".",TEXT(C169,"000")),IF(H169="Subetapa",CONCATENATE(TEXT(B169,"00"),".",TEXT(C169,"000"),".",TEXT(D169,"000")),IF(H169="Serviço",CONCATENATE(TEXT(B169,"00"),".",TEXT(C169,"000"),".",TEXT(D169,"000"),".",TEXT(E169,"000")),"")))))</f>
        <v/>
      </c>
      <c r="J952" s="51" t="inlineStr">
        <is>
          <t>Mão de obra impermeabilização de aspersão de CWS</t>
        </is>
      </c>
      <c r="K952" s="47" t="inlineStr">
        <is>
          <t>m2</t>
        </is>
      </c>
      <c r="L952" s="48">
        <f>L152</f>
        <v/>
      </c>
      <c r="M952" s="48">
        <f>_xlfn.XLOOKUP($J169,CPU!$D$1:$D$31540,CPU!$H$1:$H$31540)</f>
        <v/>
      </c>
      <c r="N952" s="49">
        <f>IF(H169="Serviço",M169*L169,IF(H169="CÉLULA CONSTRUTIVA",SUMIFS($N$118:$N$438,$B$118:$B$438,B169,$H$118:$H$438,"Serviço"),IF(H169="ETAPA",SUMIFS($N$118:$N$438,$B$118:$B$438,B169,$C$118:$C$438,C169,$H$118:$H$438,"Serviço"),IF(H169="SUBETAPA",SUMIFS($N$118:$N$438,$B$118:$B$438,B169,$C$118:$C$438,C169,$D$118:$D$438,D169,$H$118:$H$438,"Serviço"),0))))</f>
        <v/>
      </c>
      <c r="O952" s="50" t="n"/>
      <c r="P952" s="134" t="n"/>
      <c r="Q952" s="1" t="n"/>
      <c r="R952" s="52" t="n"/>
      <c r="S952" s="64" t="n"/>
      <c r="T952" s="1" t="n"/>
      <c r="U952" s="1" t="n"/>
      <c r="V952" s="1" t="n"/>
      <c r="W952" s="1" t="n"/>
      <c r="X952" s="1" t="n"/>
      <c r="Y952" s="1" t="n"/>
    </row>
    <row r="953">
      <c r="A953" s="121">
        <f>IF($H170="UNIDADE CONSTRUTIVA",OFFSET(A170,-1,0)+1,LARGE(A$3:A168,1))</f>
        <v/>
      </c>
      <c r="B953" s="121">
        <f>IF(H170="UNIDADE CONSTRUTIVA",0,IF(H170="CÉLULA CONSTRUTIVA",OFFSET(B170,-1,0)+1,OFFSET(B170,-1,0)))</f>
        <v/>
      </c>
      <c r="C953" s="121">
        <f>IF(H170="CÉLULA CONSTRUTIVA",0,IF(H170="ETAPA",OFFSET(C170,-1,0)+1,OFFSET(C170,-1,0)))</f>
        <v/>
      </c>
      <c r="D953" s="122">
        <f>IF(H170="ETAPA",0,IF(H170="SUBETAPA",OFFSET(D170,-1,0)+1,OFFSET(D170,-1,0)))</f>
        <v/>
      </c>
      <c r="E953" s="122">
        <f>IF(H170="Subetapa",0,IF(H170="serviço",OFFSET(E170,-1,0)+1,OFFSET(E170,-1,0)))</f>
        <v/>
      </c>
      <c r="F953" s="123" t="n"/>
      <c r="G953" s="135" t="inlineStr">
        <is>
          <t>IMPERMEABILIZAÇÃO E TRATAMENTOS</t>
        </is>
      </c>
      <c r="H953" s="44" t="inlineStr">
        <is>
          <t>SERVIÇO</t>
        </is>
      </c>
      <c r="I953" s="45">
        <f>IF(H170="Unidade Construtiva",TEXT(A170,"00"),IF(H170="Célula Construtiva",TEXT(B170,"00"),IF(H170="Etapa",CONCATENATE(TEXT(B170,"00"),".",TEXT(C170,"000")),IF(H170="Subetapa",CONCATENATE(TEXT(B170,"00"),".",TEXT(C170,"000"),".",TEXT(D170,"000")),IF(H170="Serviço",CONCATENATE(TEXT(B170,"00"),".",TEXT(C170,"000"),".",TEXT(D170,"000"),".",TEXT(E170,"000")),"")))))</f>
        <v/>
      </c>
      <c r="J953" s="51" t="inlineStr">
        <is>
          <t>Mão de obra impermeabilização com manta liquida em peitoris</t>
        </is>
      </c>
      <c r="K953" s="47" t="inlineStr">
        <is>
          <t>m2</t>
        </is>
      </c>
      <c r="L953" s="48">
        <f>L156</f>
        <v/>
      </c>
      <c r="M953" s="48">
        <f>_xlfn.XLOOKUP($J170,CPU!$D$1:$D$31540,CPU!$H$1:$H$31540)</f>
        <v/>
      </c>
      <c r="N953" s="49">
        <f>IF(H170="Serviço",M170*L170,IF(H170="CÉLULA CONSTRUTIVA",SUMIFS($N$118:$N$438,$B$118:$B$438,B170,$H$118:$H$438,"Serviço"),IF(H170="ETAPA",SUMIFS($N$118:$N$438,$B$118:$B$438,B170,$C$118:$C$438,C170,$H$118:$H$438,"Serviço"),IF(H170="SUBETAPA",SUMIFS($N$118:$N$438,$B$118:$B$438,B170,$C$118:$C$438,C170,$D$118:$D$438,D170,$H$118:$H$438,"Serviço"),0))))</f>
        <v/>
      </c>
      <c r="O953" s="50" t="n"/>
      <c r="P953" s="134" t="n"/>
      <c r="Q953" s="1" t="n"/>
      <c r="R953" s="52" t="n"/>
      <c r="S953" s="64" t="n"/>
      <c r="T953" s="1" t="n"/>
      <c r="U953" s="1" t="n"/>
      <c r="V953" s="1" t="n"/>
      <c r="W953" s="1" t="n"/>
      <c r="X953" s="1" t="n"/>
      <c r="Y953" s="1" t="n"/>
    </row>
    <row r="954">
      <c r="A954" s="121">
        <f>IF($H171="UNIDADE CONSTRUTIVA",OFFSET(A171,-1,0)+1,LARGE(A$3:A169,1))</f>
        <v/>
      </c>
      <c r="B954" s="121">
        <f>IF(H171="UNIDADE CONSTRUTIVA",0,IF(H171="CÉLULA CONSTRUTIVA",OFFSET(B171,-1,0)+1,OFFSET(B171,-1,0)))</f>
        <v/>
      </c>
      <c r="C954" s="121">
        <f>IF(H171="CÉLULA CONSTRUTIVA",0,IF(H171="ETAPA",OFFSET(C171,-1,0)+1,OFFSET(C171,-1,0)))</f>
        <v/>
      </c>
      <c r="D954" s="122">
        <f>IF(H171="ETAPA",0,IF(H171="SUBETAPA",OFFSET(D171,-1,0)+1,OFFSET(D171,-1,0)))</f>
        <v/>
      </c>
      <c r="E954" s="122">
        <f>IF(H171="Subetapa",0,IF(H171="serviço",OFFSET(E171,-1,0)+1,OFFSET(E171,-1,0)))</f>
        <v/>
      </c>
      <c r="F954" s="123" t="n"/>
      <c r="G954" s="135" t="inlineStr">
        <is>
          <t>IMPERMEABILIZAÇÃO E TRATAMENTOS</t>
        </is>
      </c>
      <c r="H954" s="44" t="inlineStr">
        <is>
          <t>SERVIÇO</t>
        </is>
      </c>
      <c r="I954" s="45">
        <f>IF(H171="Unidade Construtiva",TEXT(A171,"00"),IF(H171="Célula Construtiva",TEXT(B171,"00"),IF(H171="Etapa",CONCATENATE(TEXT(B171,"00"),".",TEXT(C171,"000")),IF(H171="Subetapa",CONCATENATE(TEXT(B171,"00"),".",TEXT(C171,"000"),".",TEXT(D171,"000")),IF(H171="Serviço",CONCATENATE(TEXT(B171,"00"),".",TEXT(C171,"000"),".",TEXT(D171,"000"),".",TEXT(E171,"000")),"")))))</f>
        <v/>
      </c>
      <c r="J954" s="51" t="inlineStr">
        <is>
          <t>Mão de obra tratamento de ralo com manta de poliéster</t>
        </is>
      </c>
      <c r="K954" s="47" t="inlineStr">
        <is>
          <t>m2</t>
        </is>
      </c>
      <c r="L954" s="48">
        <f>L158</f>
        <v/>
      </c>
      <c r="M954" s="48">
        <f>_xlfn.XLOOKUP($J171,CPU!$D$1:$D$31540,CPU!$H$1:$H$31540)</f>
        <v/>
      </c>
      <c r="N954" s="49">
        <f>IF(H171="Serviço",M171*L171,IF(H171="CÉLULA CONSTRUTIVA",SUMIFS($N$118:$N$438,$B$118:$B$438,B171,$H$118:$H$438,"Serviço"),IF(H171="ETAPA",SUMIFS($N$118:$N$438,$B$118:$B$438,B171,$C$118:$C$438,C171,$H$118:$H$438,"Serviço"),IF(H171="SUBETAPA",SUMIFS($N$118:$N$438,$B$118:$B$438,B171,$C$118:$C$438,C171,$D$118:$D$438,D171,$H$118:$H$438,"Serviço"),0))))</f>
        <v/>
      </c>
      <c r="O954" s="50" t="n"/>
      <c r="P954" s="134" t="n"/>
      <c r="Q954" s="1" t="n"/>
      <c r="R954" s="52" t="n"/>
      <c r="S954" s="64" t="n"/>
      <c r="T954" s="1" t="n"/>
      <c r="U954" s="1" t="n"/>
      <c r="V954" s="1" t="n"/>
      <c r="W954" s="1" t="n"/>
      <c r="X954" s="1" t="n"/>
      <c r="Y954" s="1" t="n"/>
    </row>
    <row r="955">
      <c r="A955" s="121">
        <f>IF($H172="UNIDADE CONSTRUTIVA",OFFSET(A172,-1,0)+1,LARGE(A$3:A171,1))</f>
        <v/>
      </c>
      <c r="B955" s="121">
        <f>IF(H172="UNIDADE CONSTRUTIVA",0,IF(H172="CÉLULA CONSTRUTIVA",OFFSET(B172,-1,0)+1,OFFSET(B172,-1,0)))</f>
        <v/>
      </c>
      <c r="C955" s="121">
        <f>IF(H172="CÉLULA CONSTRUTIVA",0,IF(H172="ETAPA",OFFSET(C172,-1,0)+1,OFFSET(C172,-1,0)))</f>
        <v/>
      </c>
      <c r="D955" s="122">
        <f>IF(H172="ETAPA",0,IF(H172="SUBETAPA",OFFSET(D172,-1,0)+1,OFFSET(D172,-1,0)))</f>
        <v/>
      </c>
      <c r="E955" s="122">
        <f>IF(H172="Subetapa",0,IF(H172="serviço",OFFSET(E172,-1,0)+1,OFFSET(E172,-1,0)))</f>
        <v/>
      </c>
      <c r="F955" s="147" t="n"/>
      <c r="G955" s="116" t="n"/>
      <c r="H955" s="137" t="inlineStr">
        <is>
          <t>CÉLULA CONSTRUTIVA</t>
        </is>
      </c>
      <c r="I955" s="138">
        <f>IF(H172="Unidade Construtiva",TEXT(A172,"00"),IF(H172="Célula Construtiva",TEXT(B172,"00"),IF(H172="Etapa",CONCATENATE(TEXT(B172,"00"),".",TEXT(C172,"000")),IF(H172="Subetapa",CONCATENATE(TEXT(B172,"00"),".",TEXT(C172,"000"),".",TEXT(D172,"000")),IF(H172="Serviço",CONCATENATE(TEXT(B172,"00"),".",TEXT(C172,"000"),".",TEXT(D172,"000"),".",TEXT(E172,"000")),"")))))</f>
        <v/>
      </c>
      <c r="J955" s="139" t="inlineStr">
        <is>
          <t>SISTEMAS E INSTALAÇÕES HIDROSSANITÁRIAS E DRENAGEM</t>
        </is>
      </c>
      <c r="K955" s="140" t="n"/>
      <c r="L955" s="141" t="n"/>
      <c r="M955" s="141" t="n"/>
      <c r="N955" s="142">
        <f>IF(H172="Serviço",M172*L172,IF(H172="CÉLULA CONSTRUTIVA",SUMIFS($N$8:$N$754,$B$8:$B$754,B172,$H$8:$H$754,"Serviço"),IF(H172="ETAPA",SUMIFS($N$8:$N$754,$B$8:$B$754,B172,$C$8:$C$754,C172,$H$8:$H$754,"Serviço"),IF(H172="SUBETAPA",SUMIFS($N$8:$N$754,$B$8:$B$754,B172,$C$8:$C$754,C172,$D$8:$D$754,D172,$H$8:$H$754,"Serviço"),0))))</f>
        <v/>
      </c>
      <c r="O955" s="143">
        <f>N172/[7]CAPA!$C$10</f>
        <v/>
      </c>
      <c r="P955" s="144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>
      <c r="A956" s="148">
        <f>IF($H173="UNIDADE CONSTRUTIVA",OFFSET(A173,-1,0)+1,LARGE(A$3:A172,1))</f>
        <v/>
      </c>
      <c r="B956" s="148">
        <f>IF(H173="UNIDADE CONSTRUTIVA",0,IF(H173="CÉLULA CONSTRUTIVA",OFFSET(B173,-1,0)+1,OFFSET(B173,-1,0)))</f>
        <v/>
      </c>
      <c r="C956" s="148">
        <f>IF(H173="CÉLULA CONSTRUTIVA",0,IF(H173="ETAPA",OFFSET(C173,-1,0)+1,OFFSET(C173,-1,0)))</f>
        <v/>
      </c>
      <c r="D956" s="149">
        <f>IF(H173="ETAPA",0,IF(H173="SUBETAPA",OFFSET(D173,-1,0)+1,OFFSET(D173,-1,0)))</f>
        <v/>
      </c>
      <c r="E956" s="149">
        <f>IF(H173="Subetapa",0,IF(H173="serviço",OFFSET(E173,-1,0)+1,OFFSET(E173,-1,0)))</f>
        <v/>
      </c>
      <c r="F956" s="150" t="n"/>
      <c r="G956" s="151" t="n"/>
      <c r="H956" s="137" t="inlineStr">
        <is>
          <t>ETAPA</t>
        </is>
      </c>
      <c r="I956" s="138">
        <f>IF(H173="Unidade Construtiva",TEXT(A173,"00"),IF(H173="Célula Construtiva",TEXT(B173,"00"),IF(H173="Etapa",CONCATENATE(TEXT(B173,"00"),".",TEXT(C173,"000")),IF(H173="Subetapa",CONCATENATE(TEXT(B173,"00"),".",TEXT(C173,"000"),".",TEXT(D173,"000")),IF(H173="Serviço",CONCATENATE(TEXT(B173,"00"),".",TEXT(C173,"000"),".",TEXT(D173,"000"),".",TEXT(E173,"000")),"")))))</f>
        <v/>
      </c>
      <c r="J956" s="139" t="inlineStr">
        <is>
          <t>SISTEMAS E INSTALAÇÕES HIDROSSANITÁRIAS E DRENAGEM</t>
        </is>
      </c>
      <c r="K956" s="140" t="n"/>
      <c r="L956" s="141" t="n"/>
      <c r="M956" s="141" t="n"/>
      <c r="N956" s="142">
        <f>IF(H173="Serviço",M173*L173,IF(H173="CÉLULA CONSTRUTIVA",SUMIFS($N$8:$N$754,$B$8:$B$754,B173,$H$8:$H$754,"Serviço"),IF(H173="ETAPA",SUMIFS($N$8:$N$754,$B$8:$B$754,B173,$C$8:$C$754,C173,$H$8:$H$754,"Serviço"),IF(H173="SUBETAPA",SUMIFS($N$8:$N$754,$B$8:$B$754,B173,$C$8:$C$754,C173,$D$8:$D$754,D173,$H$8:$H$754,"Serviço"),0))))</f>
        <v/>
      </c>
      <c r="O956" s="143" t="n"/>
      <c r="P956" s="144" t="n"/>
      <c r="Q956" s="144" t="n"/>
      <c r="R956" s="144" t="n"/>
      <c r="S956" s="152" t="n"/>
      <c r="T956" s="152" t="n"/>
      <c r="U956" s="152" t="n"/>
      <c r="V956" s="152" t="n"/>
      <c r="W956" s="152" t="n"/>
      <c r="X956" s="152" t="n"/>
      <c r="Y956" s="152" t="n"/>
    </row>
    <row r="957">
      <c r="A957" s="148">
        <f>IF($H174="UNIDADE CONSTRUTIVA",OFFSET(A174,-1,0)+1,LARGE(A$3:A173,1))</f>
        <v/>
      </c>
      <c r="B957" s="148">
        <f>IF(H174="UNIDADE CONSTRUTIVA",0,IF(H174="CÉLULA CONSTRUTIVA",OFFSET(B174,-1,0)+1,OFFSET(B174,-1,0)))</f>
        <v/>
      </c>
      <c r="C957" s="148">
        <f>IF(H174="CÉLULA CONSTRUTIVA",0,IF(H174="ETAPA",OFFSET(C174,-1,0)+1,OFFSET(C174,-1,0)))</f>
        <v/>
      </c>
      <c r="D957" s="149">
        <f>IF(H174="ETAPA",0,IF(H174="SUBETAPA",OFFSET(D174,-1,0)+1,OFFSET(D174,-1,0)))</f>
        <v/>
      </c>
      <c r="E957" s="149">
        <f>IF(H174="Subetapa",0,IF(H174="serviço",OFFSET(E174,-1,0)+1,OFFSET(E174,-1,0)))</f>
        <v/>
      </c>
      <c r="F957" s="150" t="n"/>
      <c r="G957" s="151" t="n"/>
      <c r="H957" s="137" t="inlineStr">
        <is>
          <t>SUBETAPA</t>
        </is>
      </c>
      <c r="I957" s="138">
        <f>IF(H174="Unidade Construtiva",TEXT(A174,"00"),IF(H174="Célula Construtiva",TEXT(B174,"00"),IF(H174="Etapa",CONCATENATE(TEXT(B174,"00"),".",TEXT(C174,"000")),IF(H174="Subetapa",CONCATENATE(TEXT(B174,"00"),".",TEXT(C174,"000"),".",TEXT(D174,"000")),IF(H174="Serviço",CONCATENATE(TEXT(B174,"00"),".",TEXT(C174,"000"),".",TEXT(D174,"000"),".",TEXT(E174,"000")),"")))))</f>
        <v/>
      </c>
      <c r="J957" s="139" t="inlineStr">
        <is>
          <t>Instalações de água fria</t>
        </is>
      </c>
      <c r="K957" s="140" t="n"/>
      <c r="L957" s="141" t="n"/>
      <c r="M957" s="141" t="n"/>
      <c r="N957" s="142">
        <f>IF(H174="Serviço",M174*L174,IF(H174="CÉLULA CONSTRUTIVA",SUMIFS($N$8:$N$754,$B$8:$B$754,B174,$H$8:$H$754,"Serviço"),IF(H174="ETAPA",SUMIFS($N$8:$N$754,$B$8:$B$754,B174,$C$8:$C$754,C174,$H$8:$H$754,"Serviço"),IF(H174="SUBETAPA",SUMIFS($N$8:$N$754,$B$8:$B$754,B174,$C$8:$C$754,C174,$D$8:$D$754,D174,$H$8:$H$754,"Serviço"),0))))</f>
        <v/>
      </c>
      <c r="O957" s="143" t="n"/>
      <c r="P957" s="144" t="n"/>
      <c r="Q957" s="144" t="n"/>
      <c r="R957" s="144" t="n"/>
      <c r="S957" s="152" t="n"/>
      <c r="T957" s="152" t="n"/>
      <c r="U957" s="152" t="n"/>
      <c r="V957" s="152" t="n"/>
      <c r="W957" s="152" t="n"/>
      <c r="X957" s="152" t="n"/>
      <c r="Y957" s="152" t="n"/>
    </row>
    <row r="958">
      <c r="A958" s="148">
        <f>IF($H175="UNIDADE CONSTRUTIVA",OFFSET(A175,-1,0)+1,LARGE(A$3:A174,1))</f>
        <v/>
      </c>
      <c r="B958" s="148">
        <f>IF(H175="UNIDADE CONSTRUTIVA",0,IF(H175="CÉLULA CONSTRUTIVA",OFFSET(B175,-1,0)+1,OFFSET(B175,-1,0)))</f>
        <v/>
      </c>
      <c r="C958" s="148">
        <f>IF(H175="CÉLULA CONSTRUTIVA",0,IF(H175="ETAPA",OFFSET(C175,-1,0)+1,OFFSET(C175,-1,0)))</f>
        <v/>
      </c>
      <c r="D958" s="149">
        <f>IF(H175="ETAPA",0,IF(H175="SUBETAPA",OFFSET(D175,-1,0)+1,OFFSET(D175,-1,0)))</f>
        <v/>
      </c>
      <c r="E958" s="149">
        <f>IF(H175="Subetapa",0,IF(H175="serviço",OFFSET(E175,-1,0)+1,OFFSET(E175,-1,0)))</f>
        <v/>
      </c>
      <c r="F958" s="150" t="n"/>
      <c r="G958" s="151" t="inlineStr">
        <is>
          <t>SISTEMAS E INSTALAÇÕES HIDROSSANITÁRIAS E DRENAGEM</t>
        </is>
      </c>
      <c r="H958" s="137" t="inlineStr">
        <is>
          <t>SERVIÇO</t>
        </is>
      </c>
      <c r="I958" s="138">
        <f>IF(H175="Unidade Construtiva",TEXT(A175,"00"),IF(H175="Célula Construtiva",TEXT(B175,"00"),IF(H175="Etapa",CONCATENATE(TEXT(B175,"00"),".",TEXT(C175,"000")),IF(H175="Subetapa",CONCATENATE(TEXT(B175,"00"),".",TEXT(C175,"000"),".",TEXT(D175,"000")),IF(H175="Serviço",CONCATENATE(TEXT(B175,"00"),".",TEXT(C175,"000"),".",TEXT(D175,"000"),".",TEXT(E175,"000")),"")))))</f>
        <v/>
      </c>
      <c r="J958" s="139" t="inlineStr">
        <is>
          <t>Instalações de água fria</t>
        </is>
      </c>
      <c r="K958" s="140" t="inlineStr">
        <is>
          <t>vb</t>
        </is>
      </c>
      <c r="L958" s="141" t="n">
        <v>1</v>
      </c>
      <c r="M958" s="141">
        <f>Estimativa_Instalações!D13</f>
        <v/>
      </c>
      <c r="N958" s="142">
        <f>IF(H175="Serviço",M175*L175,IF(H175="CÉLULA CONSTRUTIVA",SUMIFS($N$8:$N$754,$B$8:$B$754,B175,$H$8:$H$754,"Serviço"),IF(H175="ETAPA",SUMIFS($N$8:$N$754,$B$8:$B$754,B175,$C$8:$C$754,C175,$H$8:$H$754,"Serviço"),IF(H175="SUBETAPA",SUMIFS($N$8:$N$754,$B$8:$B$754,B175,$C$8:$C$754,C175,$D$8:$D$754,D175,$H$8:$H$754,"Serviço"),0))))</f>
        <v/>
      </c>
      <c r="O958" s="50" t="inlineStr">
        <is>
          <t>Custo estimado com base em histórico, devido ausência de quantitativo</t>
        </is>
      </c>
      <c r="P958" s="144" t="n"/>
      <c r="Q958" s="144" t="n"/>
      <c r="R958" s="144" t="n"/>
      <c r="S958" s="152" t="n"/>
      <c r="T958" s="152" t="n"/>
      <c r="U958" s="152" t="n"/>
      <c r="V958" s="152" t="n"/>
      <c r="W958" s="152" t="n"/>
      <c r="X958" s="152" t="n"/>
      <c r="Y958" s="152" t="n"/>
    </row>
    <row r="959">
      <c r="A959" s="148">
        <f>IF($H176="UNIDADE CONSTRUTIVA",OFFSET(A176,-1,0)+1,LARGE(A$3:A175,1))</f>
        <v/>
      </c>
      <c r="B959" s="148">
        <f>IF(H176="UNIDADE CONSTRUTIVA",0,IF(H176="CÉLULA CONSTRUTIVA",OFFSET(B176,-1,0)+1,OFFSET(B176,-1,0)))</f>
        <v/>
      </c>
      <c r="C959" s="148">
        <f>IF(H176="CÉLULA CONSTRUTIVA",0,IF(H176="ETAPA",OFFSET(C176,-1,0)+1,OFFSET(C176,-1,0)))</f>
        <v/>
      </c>
      <c r="D959" s="149">
        <f>IF(H176="ETAPA",0,IF(H176="SUBETAPA",OFFSET(D176,-1,0)+1,OFFSET(D176,-1,0)))</f>
        <v/>
      </c>
      <c r="E959" s="149">
        <f>IF(H176="Subetapa",0,IF(H176="serviço",OFFSET(E176,-1,0)+1,OFFSET(E176,-1,0)))</f>
        <v/>
      </c>
      <c r="F959" s="150" t="n"/>
      <c r="G959" s="151" t="n"/>
      <c r="H959" s="137" t="inlineStr">
        <is>
          <t>SUBETAPA</t>
        </is>
      </c>
      <c r="I959" s="138">
        <f>IF(H176="Unidade Construtiva",TEXT(A176,"00"),IF(H176="Célula Construtiva",TEXT(B176,"00"),IF(H176="Etapa",CONCATENATE(TEXT(B176,"00"),".",TEXT(C176,"000")),IF(H176="Subetapa",CONCATENATE(TEXT(B176,"00"),".",TEXT(C176,"000"),".",TEXT(D176,"000")),IF(H176="Serviço",CONCATENATE(TEXT(B176,"00"),".",TEXT(C176,"000"),".",TEXT(D176,"000"),".",TEXT(E176,"000")),"")))))</f>
        <v/>
      </c>
      <c r="J959" s="139" t="inlineStr">
        <is>
          <t>Instalações de água quente</t>
        </is>
      </c>
      <c r="K959" s="140" t="n"/>
      <c r="L959" s="141" t="n"/>
      <c r="M959" s="141" t="n"/>
      <c r="N959" s="142">
        <f>IF(H176="Serviço",M176*L176,IF(H176="CÉLULA CONSTRUTIVA",SUMIFS($N$8:$N$754,$B$8:$B$754,B176,$H$8:$H$754,"Serviço"),IF(H176="ETAPA",SUMIFS($N$8:$N$754,$B$8:$B$754,B176,$C$8:$C$754,C176,$H$8:$H$754,"Serviço"),IF(H176="SUBETAPA",SUMIFS($N$8:$N$754,$B$8:$B$754,B176,$C$8:$C$754,C176,$D$8:$D$754,D176,$H$8:$H$754,"Serviço"),0))))</f>
        <v/>
      </c>
      <c r="O959" s="143" t="n"/>
      <c r="P959" s="144" t="n"/>
      <c r="Q959" s="144" t="n"/>
      <c r="R959" s="144" t="n"/>
      <c r="S959" s="152" t="n"/>
      <c r="T959" s="152" t="n"/>
      <c r="U959" s="152" t="n"/>
      <c r="V959" s="152" t="n"/>
      <c r="W959" s="152" t="n"/>
      <c r="X959" s="152" t="n"/>
      <c r="Y959" s="152" t="n"/>
    </row>
    <row r="960">
      <c r="A960" s="148">
        <f>IF($H177="UNIDADE CONSTRUTIVA",OFFSET(A177,-1,0)+1,LARGE(A$3:A176,1))</f>
        <v/>
      </c>
      <c r="B960" s="148">
        <f>IF(H177="UNIDADE CONSTRUTIVA",0,IF(H177="CÉLULA CONSTRUTIVA",OFFSET(B177,-1,0)+1,OFFSET(B177,-1,0)))</f>
        <v/>
      </c>
      <c r="C960" s="148">
        <f>IF(H177="CÉLULA CONSTRUTIVA",0,IF(H177="ETAPA",OFFSET(C177,-1,0)+1,OFFSET(C177,-1,0)))</f>
        <v/>
      </c>
      <c r="D960" s="149">
        <f>IF(H177="ETAPA",0,IF(H177="SUBETAPA",OFFSET(D177,-1,0)+1,OFFSET(D177,-1,0)))</f>
        <v/>
      </c>
      <c r="E960" s="149">
        <f>IF(H177="Subetapa",0,IF(H177="serviço",OFFSET(E177,-1,0)+1,OFFSET(E177,-1,0)))</f>
        <v/>
      </c>
      <c r="F960" s="150" t="n"/>
      <c r="G960" s="151" t="inlineStr">
        <is>
          <t>SISTEMAS E INSTALAÇÕES HIDROSSANITÁRIAS E DRENAGEM</t>
        </is>
      </c>
      <c r="H960" s="137" t="inlineStr">
        <is>
          <t>SERVIÇO</t>
        </is>
      </c>
      <c r="I960" s="138">
        <f>IF(H177="Unidade Construtiva",TEXT(A177,"00"),IF(H177="Célula Construtiva",TEXT(B177,"00"),IF(H177="Etapa",CONCATENATE(TEXT(B177,"00"),".",TEXT(C177,"000")),IF(H177="Subetapa",CONCATENATE(TEXT(B177,"00"),".",TEXT(C177,"000"),".",TEXT(D177,"000")),IF(H177="Serviço",CONCATENATE(TEXT(B177,"00"),".",TEXT(C177,"000"),".",TEXT(D177,"000"),".",TEXT(E177,"000")),"")))))</f>
        <v/>
      </c>
      <c r="J960" s="139" t="inlineStr">
        <is>
          <t>Instalações de água quente</t>
        </is>
      </c>
      <c r="K960" s="140" t="inlineStr">
        <is>
          <t>vb</t>
        </is>
      </c>
      <c r="L960" s="141" t="n">
        <v>1</v>
      </c>
      <c r="M960" s="141">
        <f>Estimativa_Instalações!D14</f>
        <v/>
      </c>
      <c r="N960" s="142">
        <f>IF(H177="Serviço",M177*L177,IF(H177="CÉLULA CONSTRUTIVA",SUMIFS($N$8:$N$754,$B$8:$B$754,B177,$H$8:$H$754,"Serviço"),IF(H177="ETAPA",SUMIFS($N$8:$N$754,$B$8:$B$754,B177,$C$8:$C$754,C177,$H$8:$H$754,"Serviço"),IF(H177="SUBETAPA",SUMIFS($N$8:$N$754,$B$8:$B$754,B177,$C$8:$C$754,C177,$D$8:$D$754,D177,$H$8:$H$754,"Serviço"),0))))</f>
        <v/>
      </c>
      <c r="O960" s="50" t="inlineStr">
        <is>
          <t>Custo estimado com base em histórico, devido ausência de quantitativo</t>
        </is>
      </c>
      <c r="P960" s="144" t="n"/>
      <c r="Q960" s="144" t="n"/>
      <c r="R960" s="144" t="n"/>
      <c r="S960" s="152" t="n"/>
      <c r="T960" s="152" t="n"/>
      <c r="U960" s="152" t="n"/>
      <c r="V960" s="152" t="n"/>
      <c r="W960" s="152" t="n"/>
      <c r="X960" s="152" t="n"/>
      <c r="Y960" s="152" t="n"/>
    </row>
    <row r="961">
      <c r="A961" s="148">
        <f>IF($H178="UNIDADE CONSTRUTIVA",OFFSET(A178,-1,0)+1,LARGE(A$3:A177,1))</f>
        <v/>
      </c>
      <c r="B961" s="148">
        <f>IF(H178="UNIDADE CONSTRUTIVA",0,IF(H178="CÉLULA CONSTRUTIVA",OFFSET(B178,-1,0)+1,OFFSET(B178,-1,0)))</f>
        <v/>
      </c>
      <c r="C961" s="148">
        <f>IF(H178="CÉLULA CONSTRUTIVA",0,IF(H178="ETAPA",OFFSET(C178,-1,0)+1,OFFSET(C178,-1,0)))</f>
        <v/>
      </c>
      <c r="D961" s="149">
        <f>IF(H178="ETAPA",0,IF(H178="SUBETAPA",OFFSET(D178,-1,0)+1,OFFSET(D178,-1,0)))</f>
        <v/>
      </c>
      <c r="E961" s="149">
        <f>IF(H178="Subetapa",0,IF(H178="serviço",OFFSET(E178,-1,0)+1,OFFSET(E178,-1,0)))</f>
        <v/>
      </c>
      <c r="F961" s="150" t="n"/>
      <c r="G961" s="151" t="n"/>
      <c r="H961" s="137" t="inlineStr">
        <is>
          <t>SUBETAPA</t>
        </is>
      </c>
      <c r="I961" s="138">
        <f>IF(H178="Unidade Construtiva",TEXT(A178,"00"),IF(H178="Célula Construtiva",TEXT(B178,"00"),IF(H178="Etapa",CONCATENATE(TEXT(B178,"00"),".",TEXT(C178,"000")),IF(H178="Subetapa",CONCATENATE(TEXT(B178,"00"),".",TEXT(C178,"000"),".",TEXT(D178,"000")),IF(H178="Serviço",CONCATENATE(TEXT(B178,"00"),".",TEXT(C178,"000"),".",TEXT(D178,"000"),".",TEXT(E178,"000")),"")))))</f>
        <v/>
      </c>
      <c r="J961" s="139" t="inlineStr">
        <is>
          <t>Instalações de esgoto e pluviais</t>
        </is>
      </c>
      <c r="K961" s="140" t="n"/>
      <c r="L961" s="141" t="n"/>
      <c r="M961" s="141" t="n"/>
      <c r="N961" s="142">
        <f>IF(H178="Serviço",M178*L178,IF(H178="CÉLULA CONSTRUTIVA",SUMIFS($N$8:$N$754,$B$8:$B$754,B178,$H$8:$H$754,"Serviço"),IF(H178="ETAPA",SUMIFS($N$8:$N$754,$B$8:$B$754,B178,$C$8:$C$754,C178,$H$8:$H$754,"Serviço"),IF(H178="SUBETAPA",SUMIFS($N$8:$N$754,$B$8:$B$754,B178,$C$8:$C$754,C178,$D$8:$D$754,D178,$H$8:$H$754,"Serviço"),0))))</f>
        <v/>
      </c>
      <c r="O961" s="143" t="n"/>
      <c r="P961" s="144" t="n"/>
      <c r="Q961" s="144" t="n"/>
      <c r="R961" s="144" t="n"/>
      <c r="S961" s="152" t="n"/>
      <c r="T961" s="152" t="n"/>
      <c r="U961" s="152" t="n"/>
      <c r="V961" s="152" t="n"/>
      <c r="W961" s="152" t="n"/>
      <c r="X961" s="152" t="n"/>
      <c r="Y961" s="152" t="n"/>
    </row>
    <row r="962">
      <c r="A962" s="148">
        <f>IF($H179="UNIDADE CONSTRUTIVA",OFFSET(A179,-1,0)+1,LARGE(A$3:A178,1))</f>
        <v/>
      </c>
      <c r="B962" s="148">
        <f>IF(H179="UNIDADE CONSTRUTIVA",0,IF(H179="CÉLULA CONSTRUTIVA",OFFSET(B179,-1,0)+1,OFFSET(B179,-1,0)))</f>
        <v/>
      </c>
      <c r="C962" s="148">
        <f>IF(H179="CÉLULA CONSTRUTIVA",0,IF(H179="ETAPA",OFFSET(C179,-1,0)+1,OFFSET(C179,-1,0)))</f>
        <v/>
      </c>
      <c r="D962" s="149">
        <f>IF(H179="ETAPA",0,IF(H179="SUBETAPA",OFFSET(D179,-1,0)+1,OFFSET(D179,-1,0)))</f>
        <v/>
      </c>
      <c r="E962" s="149">
        <f>IF(H179="Subetapa",0,IF(H179="serviço",OFFSET(E179,-1,0)+1,OFFSET(E179,-1,0)))</f>
        <v/>
      </c>
      <c r="F962" s="150" t="n"/>
      <c r="G962" s="151" t="inlineStr">
        <is>
          <t>SISTEMAS E INSTALAÇÕES HIDROSSANITÁRIAS E DRENAGEM</t>
        </is>
      </c>
      <c r="H962" s="137" t="inlineStr">
        <is>
          <t>SERVIÇO</t>
        </is>
      </c>
      <c r="I962" s="138">
        <f>IF(H179="Unidade Construtiva",TEXT(A179,"00"),IF(H179="Célula Construtiva",TEXT(B179,"00"),IF(H179="Etapa",CONCATENATE(TEXT(B179,"00"),".",TEXT(C179,"000")),IF(H179="Subetapa",CONCATENATE(TEXT(B179,"00"),".",TEXT(C179,"000"),".",TEXT(D179,"000")),IF(H179="Serviço",CONCATENATE(TEXT(B179,"00"),".",TEXT(C179,"000"),".",TEXT(D179,"000"),".",TEXT(E179,"000")),"")))))</f>
        <v/>
      </c>
      <c r="J962" s="139" t="inlineStr">
        <is>
          <t>Instalações de esgoto e pluviais</t>
        </is>
      </c>
      <c r="K962" s="140" t="inlineStr">
        <is>
          <t>vb</t>
        </is>
      </c>
      <c r="L962" s="141" t="n">
        <v>1</v>
      </c>
      <c r="M962" s="141">
        <f>Estimativa_Instalações!D15</f>
        <v/>
      </c>
      <c r="N962" s="142">
        <f>IF(H179="Serviço",M179*L179,IF(H179="CÉLULA CONSTRUTIVA",SUMIFS($N$8:$N$754,$B$8:$B$754,B179,$H$8:$H$754,"Serviço"),IF(H179="ETAPA",SUMIFS($N$8:$N$754,$B$8:$B$754,B179,$C$8:$C$754,C179,$H$8:$H$754,"Serviço"),IF(H179="SUBETAPA",SUMIFS($N$8:$N$754,$B$8:$B$754,B179,$C$8:$C$754,C179,$D$8:$D$754,D179,$H$8:$H$754,"Serviço"),0))))</f>
        <v/>
      </c>
      <c r="O962" s="50" t="inlineStr">
        <is>
          <t>Custo estimado com base em histórico, devido ausência de quantitativo</t>
        </is>
      </c>
      <c r="P962" s="144" t="n"/>
      <c r="Q962" s="144" t="n"/>
      <c r="R962" s="144" t="n"/>
      <c r="S962" s="152" t="n"/>
      <c r="T962" s="152" t="n"/>
      <c r="U962" s="152" t="n"/>
      <c r="V962" s="152" t="n"/>
      <c r="W962" s="152" t="n"/>
      <c r="X962" s="152" t="n"/>
      <c r="Y962" s="152" t="n"/>
    </row>
    <row r="963">
      <c r="A963" s="148">
        <f>IF($H180="UNIDADE CONSTRUTIVA",OFFSET(A180,-1,0)+1,LARGE(A$3:A179,1))</f>
        <v/>
      </c>
      <c r="B963" s="148">
        <f>IF(H180="UNIDADE CONSTRUTIVA",0,IF(H180="CÉLULA CONSTRUTIVA",OFFSET(B180,-1,0)+1,OFFSET(B180,-1,0)))</f>
        <v/>
      </c>
      <c r="C963" s="148">
        <f>IF(H180="CÉLULA CONSTRUTIVA",0,IF(H180="ETAPA",OFFSET(C180,-1,0)+1,OFFSET(C180,-1,0)))</f>
        <v/>
      </c>
      <c r="D963" s="149">
        <f>IF(H180="ETAPA",0,IF(H180="SUBETAPA",OFFSET(D180,-1,0)+1,OFFSET(D180,-1,0)))</f>
        <v/>
      </c>
      <c r="E963" s="149">
        <f>IF(H180="Subetapa",0,IF(H180="serviço",OFFSET(E180,-1,0)+1,OFFSET(E180,-1,0)))</f>
        <v/>
      </c>
      <c r="F963" s="150" t="n"/>
      <c r="G963" s="151" t="n"/>
      <c r="H963" s="137" t="inlineStr">
        <is>
          <t>SUBETAPA</t>
        </is>
      </c>
      <c r="I963" s="138">
        <f>IF(H180="Unidade Construtiva",TEXT(A180,"00"),IF(H180="Célula Construtiva",TEXT(B180,"00"),IF(H180="Etapa",CONCATENATE(TEXT(B180,"00"),".",TEXT(C180,"000")),IF(H180="Subetapa",CONCATENATE(TEXT(B180,"00"),".",TEXT(C180,"000"),".",TEXT(D180,"000")),IF(H180="Serviço",CONCATENATE(TEXT(B180,"00"),".",TEXT(C180,"000"),".",TEXT(D180,"000"),".",TEXT(E180,"000")),"")))))</f>
        <v/>
      </c>
      <c r="J963" s="139" t="inlineStr">
        <is>
          <t>Cisterna</t>
        </is>
      </c>
      <c r="K963" s="140" t="n"/>
      <c r="L963" s="141" t="n"/>
      <c r="M963" s="141" t="n"/>
      <c r="N963" s="142">
        <f>IF(H180="Serviço",M180*L180,IF(H180="CÉLULA CONSTRUTIVA",SUMIFS($N$8:$N$754,$B$8:$B$754,B180,$H$8:$H$754,"Serviço"),IF(H180="ETAPA",SUMIFS($N$8:$N$754,$B$8:$B$754,B180,$C$8:$C$754,C180,$H$8:$H$754,"Serviço"),IF(H180="SUBETAPA",SUMIFS($N$8:$N$754,$B$8:$B$754,B180,$C$8:$C$754,C180,$D$8:$D$754,D180,$H$8:$H$754,"Serviço"),0))))</f>
        <v/>
      </c>
      <c r="O963" s="143" t="n"/>
      <c r="P963" s="153" t="n"/>
      <c r="Q963" s="144" t="n"/>
      <c r="R963" s="144" t="n"/>
      <c r="S963" s="152" t="n"/>
      <c r="T963" s="152" t="n"/>
      <c r="U963" s="152" t="n"/>
      <c r="V963" s="152" t="n"/>
      <c r="W963" s="152" t="n"/>
      <c r="X963" s="152" t="n"/>
      <c r="Y963" s="152" t="n"/>
    </row>
    <row r="964">
      <c r="A964" s="148">
        <f>IF($H181="UNIDADE CONSTRUTIVA",OFFSET(A181,-1,0)+1,LARGE(A$3:A180,1))</f>
        <v/>
      </c>
      <c r="B964" s="148">
        <f>IF(H181="UNIDADE CONSTRUTIVA",0,IF(H181="CÉLULA CONSTRUTIVA",OFFSET(B181,-1,0)+1,OFFSET(B181,-1,0)))</f>
        <v/>
      </c>
      <c r="C964" s="148">
        <f>IF(H181="CÉLULA CONSTRUTIVA",0,IF(H181="ETAPA",OFFSET(C181,-1,0)+1,OFFSET(C181,-1,0)))</f>
        <v/>
      </c>
      <c r="D964" s="149">
        <f>IF(H181="ETAPA",0,IF(H181="SUBETAPA",OFFSET(D181,-1,0)+1,OFFSET(D181,-1,0)))</f>
        <v/>
      </c>
      <c r="E964" s="149">
        <f>IF(H181="Subetapa",0,IF(H181="serviço",OFFSET(E181,-1,0)+1,OFFSET(E181,-1,0)))</f>
        <v/>
      </c>
      <c r="F964" s="150" t="n"/>
      <c r="G964" s="151" t="inlineStr">
        <is>
          <t>SISTEMAS E INSTALAÇÕES HIDROSSANITÁRIAS E DRENAGEM</t>
        </is>
      </c>
      <c r="H964" s="137" t="inlineStr">
        <is>
          <t>SERVIÇO</t>
        </is>
      </c>
      <c r="I964" s="138">
        <f>IF(H181="Unidade Construtiva",TEXT(A181,"00"),IF(H181="Célula Construtiva",TEXT(B181,"00"),IF(H181="Etapa",CONCATENATE(TEXT(B181,"00"),".",TEXT(C181,"000")),IF(H181="Subetapa",CONCATENATE(TEXT(B181,"00"),".",TEXT(C181,"000"),".",TEXT(D181,"000")),IF(H181="Serviço",CONCATENATE(TEXT(B181,"00"),".",TEXT(C181,"000"),".",TEXT(D181,"000"),".",TEXT(E181,"000")),"")))))</f>
        <v/>
      </c>
      <c r="J964" s="139" t="inlineStr">
        <is>
          <t>Cisterna</t>
        </is>
      </c>
      <c r="K964" s="140" t="inlineStr">
        <is>
          <t>vb</t>
        </is>
      </c>
      <c r="L964" s="141" t="n">
        <v>1</v>
      </c>
      <c r="M964" s="141">
        <f>Hidrossanitário!J8</f>
        <v/>
      </c>
      <c r="N964" s="142">
        <f>IF(H181="Serviço",M181*L181,IF(H181="CÉLULA CONSTRUTIVA",SUMIFS($N$8:$N$754,$B$8:$B$754,B181,$H$8:$H$754,"Serviço"),IF(H181="ETAPA",SUMIFS($N$8:$N$754,$B$8:$B$754,B181,$C$8:$C$754,C181,$H$8:$H$754,"Serviço"),IF(H181="SUBETAPA",SUMIFS($N$8:$N$754,$B$8:$B$754,B181,$C$8:$C$754,C181,$D$8:$D$754,D181,$H$8:$H$754,"Serviço"),0))))</f>
        <v/>
      </c>
      <c r="O964" s="50" t="inlineStr">
        <is>
          <t>Conforme informações de projetos</t>
        </is>
      </c>
      <c r="P964" s="144" t="n"/>
      <c r="Q964" s="144" t="n"/>
      <c r="R964" s="144" t="n"/>
      <c r="S964" s="152" t="n"/>
      <c r="T964" s="152" t="n"/>
      <c r="U964" s="152" t="n"/>
      <c r="V964" s="152" t="n"/>
      <c r="W964" s="152" t="n"/>
      <c r="X964" s="152" t="n"/>
      <c r="Y964" s="152" t="n"/>
    </row>
    <row r="965">
      <c r="A965" s="148">
        <f>IF($H182="UNIDADE CONSTRUTIVA",OFFSET(A182,-1,0)+1,LARGE(A$3:A181,1))</f>
        <v/>
      </c>
      <c r="B965" s="148">
        <f>IF(H182="UNIDADE CONSTRUTIVA",0,IF(H182="CÉLULA CONSTRUTIVA",OFFSET(B182,-1,0)+1,OFFSET(B182,-1,0)))</f>
        <v/>
      </c>
      <c r="C965" s="148">
        <f>IF(H182="CÉLULA CONSTRUTIVA",0,IF(H182="ETAPA",OFFSET(C182,-1,0)+1,OFFSET(C182,-1,0)))</f>
        <v/>
      </c>
      <c r="D965" s="149">
        <f>IF(H182="ETAPA",0,IF(H182="SUBETAPA",OFFSET(D182,-1,0)+1,OFFSET(D182,-1,0)))</f>
        <v/>
      </c>
      <c r="E965" s="149">
        <f>IF(H182="Subetapa",0,IF(H182="serviço",OFFSET(E182,-1,0)+1,OFFSET(E182,-1,0)))</f>
        <v/>
      </c>
      <c r="F965" s="150" t="n"/>
      <c r="G965" s="151" t="n"/>
      <c r="H965" s="137" t="inlineStr">
        <is>
          <t>SUBETAPA</t>
        </is>
      </c>
      <c r="I965" s="138">
        <f>IF(H182="Unidade Construtiva",TEXT(A182,"00"),IF(H182="Célula Construtiva",TEXT(B182,"00"),IF(H182="Etapa",CONCATENATE(TEXT(B182,"00"),".",TEXT(C182,"000")),IF(H182="Subetapa",CONCATENATE(TEXT(B182,"00"),".",TEXT(C182,"000"),".",TEXT(D182,"000")),IF(H182="Serviço",CONCATENATE(TEXT(B182,"00"),".",TEXT(C182,"000"),".",TEXT(D182,"000"),".",TEXT(E182,"000")),"")))))</f>
        <v/>
      </c>
      <c r="J965" s="139" t="inlineStr">
        <is>
          <t>Hidrometros</t>
        </is>
      </c>
      <c r="K965" s="140" t="n"/>
      <c r="L965" s="141" t="n"/>
      <c r="M965" s="141" t="n"/>
      <c r="N965" s="142">
        <f>IF(H182="Serviço",M182*L182,IF(H182="CÉLULA CONSTRUTIVA",SUMIFS($N$8:$N$754,$B$8:$B$754,B182,$H$8:$H$754,"Serviço"),IF(H182="ETAPA",SUMIFS($N$8:$N$754,$B$8:$B$754,B182,$C$8:$C$754,C182,$H$8:$H$754,"Serviço"),IF(H182="SUBETAPA",SUMIFS($N$8:$N$754,$B$8:$B$754,B182,$C$8:$C$754,C182,$D$8:$D$754,D182,$H$8:$H$754,"Serviço"),0))))</f>
        <v/>
      </c>
      <c r="O965" s="143" t="n"/>
      <c r="P965" s="144" t="n"/>
      <c r="Q965" s="144" t="n"/>
      <c r="R965" s="144" t="n"/>
      <c r="S965" s="152" t="n"/>
      <c r="T965" s="152" t="n"/>
      <c r="U965" s="152" t="n"/>
      <c r="V965" s="152" t="n"/>
      <c r="W965" s="152" t="n"/>
      <c r="X965" s="152" t="n"/>
      <c r="Y965" s="152" t="n"/>
    </row>
    <row r="966">
      <c r="A966" s="148">
        <f>IF($H183="UNIDADE CONSTRUTIVA",OFFSET(A183,-1,0)+1,LARGE(A$3:A182,1))</f>
        <v/>
      </c>
      <c r="B966" s="148">
        <f>IF(H183="UNIDADE CONSTRUTIVA",0,IF(H183="CÉLULA CONSTRUTIVA",OFFSET(B183,-1,0)+1,OFFSET(B183,-1,0)))</f>
        <v/>
      </c>
      <c r="C966" s="148">
        <f>IF(H183="CÉLULA CONSTRUTIVA",0,IF(H183="ETAPA",OFFSET(C183,-1,0)+1,OFFSET(C183,-1,0)))</f>
        <v/>
      </c>
      <c r="D966" s="149">
        <f>IF(H183="ETAPA",0,IF(H183="SUBETAPA",OFFSET(D183,-1,0)+1,OFFSET(D183,-1,0)))</f>
        <v/>
      </c>
      <c r="E966" s="149">
        <f>IF(H183="Subetapa",0,IF(H183="serviço",OFFSET(E183,-1,0)+1,OFFSET(E183,-1,0)))</f>
        <v/>
      </c>
      <c r="F966" s="150" t="n"/>
      <c r="G966" s="151" t="inlineStr">
        <is>
          <t>SISTEMAS E INSTALAÇÕES HIDROSSANITÁRIAS E DRENAGEM</t>
        </is>
      </c>
      <c r="H966" s="137" t="inlineStr">
        <is>
          <t>SERVIÇO</t>
        </is>
      </c>
      <c r="I966" s="138">
        <f>IF(H183="Unidade Construtiva",TEXT(A183,"00"),IF(H183="Célula Construtiva",TEXT(B183,"00"),IF(H183="Etapa",CONCATENATE(TEXT(B183,"00"),".",TEXT(C183,"000")),IF(H183="Subetapa",CONCATENATE(TEXT(B183,"00"),".",TEXT(C183,"000"),".",TEXT(D183,"000")),IF(H183="Serviço",CONCATENATE(TEXT(B183,"00"),".",TEXT(C183,"000"),".",TEXT(D183,"000"),".",TEXT(E183,"000")),"")))))</f>
        <v/>
      </c>
      <c r="J966" s="139" t="inlineStr">
        <is>
          <t>Hidrômetros</t>
        </is>
      </c>
      <c r="K966" s="140" t="inlineStr">
        <is>
          <t>vb</t>
        </is>
      </c>
      <c r="L966" s="141" t="n">
        <v>1</v>
      </c>
      <c r="M966" s="141">
        <f>SUM(Hidrossanitário!J10:J11)</f>
        <v/>
      </c>
      <c r="N966" s="142">
        <f>IF(H183="Serviço",M183*L183,IF(H183="CÉLULA CONSTRUTIVA",SUMIFS($N$8:$N$754,$B$8:$B$754,B183,$H$8:$H$754,"Serviço"),IF(H183="ETAPA",SUMIFS($N$8:$N$754,$B$8:$B$754,B183,$C$8:$C$754,C183,$H$8:$H$754,"Serviço"),IF(H183="SUBETAPA",SUMIFS($N$8:$N$754,$B$8:$B$754,B183,$C$8:$C$754,C183,$D$8:$D$754,D183,$H$8:$H$754,"Serviço"),0))))</f>
        <v/>
      </c>
      <c r="O966" s="50" t="inlineStr">
        <is>
          <t>Conforme informações de projetos</t>
        </is>
      </c>
      <c r="P966" s="144" t="n"/>
      <c r="Q966" s="144" t="n"/>
      <c r="R966" s="144" t="n"/>
      <c r="S966" s="152" t="n"/>
      <c r="T966" s="152" t="n"/>
      <c r="U966" s="152" t="n"/>
      <c r="V966" s="152" t="n"/>
      <c r="W966" s="152" t="n"/>
      <c r="X966" s="152" t="n"/>
      <c r="Y966" s="152" t="n"/>
    </row>
    <row r="967">
      <c r="A967" s="148">
        <f>IF($H184="UNIDADE CONSTRUTIVA",OFFSET(A184,-1,0)+1,LARGE(A$3:A183,1))</f>
        <v/>
      </c>
      <c r="B967" s="148">
        <f>IF(H184="UNIDADE CONSTRUTIVA",0,IF(H184="CÉLULA CONSTRUTIVA",OFFSET(B184,-1,0)+1,OFFSET(B184,-1,0)))</f>
        <v/>
      </c>
      <c r="C967" s="148">
        <f>IF(H184="CÉLULA CONSTRUTIVA",0,IF(H184="ETAPA",OFFSET(C184,-1,0)+1,OFFSET(C184,-1,0)))</f>
        <v/>
      </c>
      <c r="D967" s="149">
        <f>IF(H184="ETAPA",0,IF(H184="SUBETAPA",OFFSET(D184,-1,0)+1,OFFSET(D184,-1,0)))</f>
        <v/>
      </c>
      <c r="E967" s="149">
        <f>IF(H184="Subetapa",0,IF(H184="serviço",OFFSET(E184,-1,0)+1,OFFSET(E184,-1,0)))</f>
        <v/>
      </c>
      <c r="F967" s="150" t="n"/>
      <c r="G967" s="151" t="n"/>
      <c r="H967" s="137" t="inlineStr">
        <is>
          <t>SUBETAPA</t>
        </is>
      </c>
      <c r="I967" s="138">
        <f>IF(H184="Unidade Construtiva",TEXT(A184,"00"),IF(H184="Célula Construtiva",TEXT(B184,"00"),IF(H184="Etapa",CONCATENATE(TEXT(B184,"00"),".",TEXT(C184,"000")),IF(H184="Subetapa",CONCATENATE(TEXT(B184,"00"),".",TEXT(C184,"000"),".",TEXT(D184,"000")),IF(H184="Serviço",CONCATENATE(TEXT(B184,"00"),".",TEXT(C184,"000"),".",TEXT(D184,"000"),".",TEXT(E184,"000")),"")))))</f>
        <v/>
      </c>
      <c r="J967" s="139" t="inlineStr">
        <is>
          <t>Reservatórios</t>
        </is>
      </c>
      <c r="K967" s="140" t="n"/>
      <c r="L967" s="141" t="n"/>
      <c r="M967" s="141" t="n"/>
      <c r="N967" s="142">
        <f>IF(H184="Serviço",M184*L184,IF(H184="CÉLULA CONSTRUTIVA",SUMIFS($N$8:$N$754,$B$8:$B$754,B184,$H$8:$H$754,"Serviço"),IF(H184="ETAPA",SUMIFS($N$8:$N$754,$B$8:$B$754,B184,$C$8:$C$754,C184,$H$8:$H$754,"Serviço"),IF(H184="SUBETAPA",SUMIFS($N$8:$N$754,$B$8:$B$754,B184,$C$8:$C$754,C184,$D$8:$D$754,D184,$H$8:$H$754,"Serviço"),0))))</f>
        <v/>
      </c>
      <c r="O967" s="143" t="n"/>
      <c r="P967" s="144" t="n"/>
      <c r="Q967" s="144" t="n"/>
      <c r="R967" s="144" t="n"/>
      <c r="S967" s="152" t="n"/>
      <c r="T967" s="152" t="n"/>
      <c r="U967" s="152" t="n"/>
      <c r="V967" s="152" t="n"/>
      <c r="W967" s="152" t="n"/>
      <c r="X967" s="152" t="n"/>
      <c r="Y967" s="152" t="n"/>
    </row>
    <row r="968">
      <c r="A968" s="148">
        <f>IF($H185="UNIDADE CONSTRUTIVA",OFFSET(A185,-1,0)+1,LARGE(A$3:A184,1))</f>
        <v/>
      </c>
      <c r="B968" s="148">
        <f>IF(H185="UNIDADE CONSTRUTIVA",0,IF(H185="CÉLULA CONSTRUTIVA",OFFSET(B185,-1,0)+1,OFFSET(B185,-1,0)))</f>
        <v/>
      </c>
      <c r="C968" s="148">
        <f>IF(H185="CÉLULA CONSTRUTIVA",0,IF(H185="ETAPA",OFFSET(C185,-1,0)+1,OFFSET(C185,-1,0)))</f>
        <v/>
      </c>
      <c r="D968" s="149">
        <f>IF(H185="ETAPA",0,IF(H185="SUBETAPA",OFFSET(D185,-1,0)+1,OFFSET(D185,-1,0)))</f>
        <v/>
      </c>
      <c r="E968" s="149">
        <f>IF(H185="Subetapa",0,IF(H185="serviço",OFFSET(E185,-1,0)+1,OFFSET(E185,-1,0)))</f>
        <v/>
      </c>
      <c r="F968" s="150" t="n"/>
      <c r="G968" s="151" t="inlineStr">
        <is>
          <t>SISTEMAS E INSTALAÇÕES HIDROSSANITÁRIAS E DRENAGEM</t>
        </is>
      </c>
      <c r="H968" s="137" t="inlineStr">
        <is>
          <t>SERVIÇO</t>
        </is>
      </c>
      <c r="I968" s="138">
        <f>IF(H185="Unidade Construtiva",TEXT(A185,"00"),IF(H185="Célula Construtiva",TEXT(B185,"00"),IF(H185="Etapa",CONCATENATE(TEXT(B185,"00"),".",TEXT(C185,"000")),IF(H185="Subetapa",CONCATENATE(TEXT(B185,"00"),".",TEXT(C185,"000"),".",TEXT(D185,"000")),IF(H185="Serviço",CONCATENATE(TEXT(B185,"00"),".",TEXT(C185,"000"),".",TEXT(D185,"000"),".",TEXT(E185,"000")),"")))))</f>
        <v/>
      </c>
      <c r="J968" s="139" t="inlineStr">
        <is>
          <t>Reservatório superior</t>
        </is>
      </c>
      <c r="K968" s="140" t="inlineStr">
        <is>
          <t>vb</t>
        </is>
      </c>
      <c r="L968" s="141" t="n">
        <v>1</v>
      </c>
      <c r="M968" s="141">
        <f>Hidrossanitário!J9</f>
        <v/>
      </c>
      <c r="N968" s="142">
        <f>IF(H185="Serviço",M185*L185,IF(H185="CÉLULA CONSTRUTIVA",SUMIFS($N$8:$N$754,$B$8:$B$754,B185,$H$8:$H$754,"Serviço"),IF(H185="ETAPA",SUMIFS($N$8:$N$754,$B$8:$B$754,B185,$C$8:$C$754,C185,$H$8:$H$754,"Serviço"),IF(H185="SUBETAPA",SUMIFS($N$8:$N$754,$B$8:$B$754,B185,$C$8:$C$754,C185,$D$8:$D$754,D185,$H$8:$H$754,"Serviço"),0))))</f>
        <v/>
      </c>
      <c r="O968" s="50" t="inlineStr">
        <is>
          <t>Conforme informações de projetos</t>
        </is>
      </c>
      <c r="P968" s="144" t="n"/>
      <c r="Q968" s="144" t="n"/>
      <c r="R968" s="144" t="n"/>
      <c r="S968" s="152" t="n"/>
      <c r="T968" s="152" t="n"/>
      <c r="U968" s="152" t="n"/>
      <c r="V968" s="152" t="n"/>
      <c r="W968" s="152" t="n"/>
      <c r="X968" s="152" t="n"/>
      <c r="Y968" s="152" t="n"/>
    </row>
    <row r="969">
      <c r="A969" s="148">
        <f>IF($H186="UNIDADE CONSTRUTIVA",OFFSET(A186,-1,0)+1,LARGE(A$3:A185,1))</f>
        <v/>
      </c>
      <c r="B969" s="148">
        <f>IF(H186="UNIDADE CONSTRUTIVA",0,IF(H186="CÉLULA CONSTRUTIVA",OFFSET(B186,-1,0)+1,OFFSET(B186,-1,0)))</f>
        <v/>
      </c>
      <c r="C969" s="148">
        <f>IF(H186="CÉLULA CONSTRUTIVA",0,IF(H186="ETAPA",OFFSET(C186,-1,0)+1,OFFSET(C186,-1,0)))</f>
        <v/>
      </c>
      <c r="D969" s="149">
        <f>IF(H186="ETAPA",0,IF(H186="SUBETAPA",OFFSET(D186,-1,0)+1,OFFSET(D186,-1,0)))</f>
        <v/>
      </c>
      <c r="E969" s="149">
        <f>IF(H186="Subetapa",0,IF(H186="serviço",OFFSET(E186,-1,0)+1,OFFSET(E186,-1,0)))</f>
        <v/>
      </c>
      <c r="F969" s="150" t="n"/>
      <c r="G969" s="151" t="n"/>
      <c r="H969" s="137" t="inlineStr">
        <is>
          <t>SUBETAPA</t>
        </is>
      </c>
      <c r="I969" s="138">
        <f>IF(H186="Unidade Construtiva",TEXT(A186,"00"),IF(H186="Célula Construtiva",TEXT(B186,"00"),IF(H186="Etapa",CONCATENATE(TEXT(B186,"00"),".",TEXT(C186,"000")),IF(H186="Subetapa",CONCATENATE(TEXT(B186,"00"),".",TEXT(C186,"000"),".",TEXT(D186,"000")),IF(H186="Serviço",CONCATENATE(TEXT(B186,"00"),".",TEXT(C186,"000"),".",TEXT(D186,"000"),".",TEXT(E186,"000")),"")))))</f>
        <v/>
      </c>
      <c r="J969" s="139" t="inlineStr">
        <is>
          <t>Sistema de bombas</t>
        </is>
      </c>
      <c r="K969" s="140" t="n"/>
      <c r="L969" s="141" t="n"/>
      <c r="M969" s="141" t="n"/>
      <c r="N969" s="142">
        <f>IF(H186="Serviço",M186*L186,IF(H186="CÉLULA CONSTRUTIVA",SUMIFS($N$8:$N$754,$B$8:$B$754,B186,$H$8:$H$754,"Serviço"),IF(H186="ETAPA",SUMIFS($N$8:$N$754,$B$8:$B$754,B186,$C$8:$C$754,C186,$H$8:$H$754,"Serviço"),IF(H186="SUBETAPA",SUMIFS($N$8:$N$754,$B$8:$B$754,B186,$C$8:$C$754,C186,$D$8:$D$754,D186,$H$8:$H$754,"Serviço"),0))))</f>
        <v/>
      </c>
      <c r="O969" s="143" t="n"/>
      <c r="P969" s="144" t="n"/>
      <c r="Q969" s="144" t="n"/>
      <c r="R969" s="144" t="n"/>
      <c r="S969" s="152" t="n"/>
      <c r="T969" s="152" t="n"/>
      <c r="U969" s="152" t="n"/>
      <c r="V969" s="152" t="n"/>
      <c r="W969" s="152" t="n"/>
      <c r="X969" s="152" t="n"/>
      <c r="Y969" s="152" t="n"/>
    </row>
    <row r="970">
      <c r="A970" s="148">
        <f>IF($H187="UNIDADE CONSTRUTIVA",OFFSET(A187,-1,0)+1,LARGE(A$3:A186,1))</f>
        <v/>
      </c>
      <c r="B970" s="148">
        <f>IF(H187="UNIDADE CONSTRUTIVA",0,IF(H187="CÉLULA CONSTRUTIVA",OFFSET(B187,-1,0)+1,OFFSET(B187,-1,0)))</f>
        <v/>
      </c>
      <c r="C970" s="148">
        <f>IF(H187="CÉLULA CONSTRUTIVA",0,IF(H187="ETAPA",OFFSET(C187,-1,0)+1,OFFSET(C187,-1,0)))</f>
        <v/>
      </c>
      <c r="D970" s="149">
        <f>IF(H187="ETAPA",0,IF(H187="SUBETAPA",OFFSET(D187,-1,0)+1,OFFSET(D187,-1,0)))</f>
        <v/>
      </c>
      <c r="E970" s="149">
        <f>IF(H187="Subetapa",0,IF(H187="serviço",OFFSET(E187,-1,0)+1,OFFSET(E187,-1,0)))</f>
        <v/>
      </c>
      <c r="F970" s="150" t="n"/>
      <c r="G970" s="151" t="inlineStr">
        <is>
          <t>SISTEMAS E INSTALAÇÕES HIDROSSANITÁRIAS E DRENAGEM</t>
        </is>
      </c>
      <c r="H970" s="137" t="inlineStr">
        <is>
          <t>SERVIÇO</t>
        </is>
      </c>
      <c r="I970" s="138">
        <f>IF(H187="Unidade Construtiva",TEXT(A187,"00"),IF(H187="Célula Construtiva",TEXT(B187,"00"),IF(H187="Etapa",CONCATENATE(TEXT(B187,"00"),".",TEXT(C187,"000")),IF(H187="Subetapa",CONCATENATE(TEXT(B187,"00"),".",TEXT(C187,"000"),".",TEXT(D187,"000")),IF(H187="Serviço",CONCATENATE(TEXT(B187,"00"),".",TEXT(C187,"000"),".",TEXT(D187,"000"),".",TEXT(E187,"000")),"")))))</f>
        <v/>
      </c>
      <c r="J970" s="139" t="inlineStr">
        <is>
          <t>Sistema de bombas</t>
        </is>
      </c>
      <c r="K970" s="140" t="inlineStr">
        <is>
          <t>vb</t>
        </is>
      </c>
      <c r="L970" s="141" t="n">
        <v>1</v>
      </c>
      <c r="M970" s="141">
        <f>SUM(Hidrossanitário!J12:J16)</f>
        <v/>
      </c>
      <c r="N970" s="142">
        <f>IF(H187="Serviço",M187*L187,IF(H187="CÉLULA CONSTRUTIVA",SUMIFS($N$8:$N$754,$B$8:$B$754,B187,$H$8:$H$754,"Serviço"),IF(H187="ETAPA",SUMIFS($N$8:$N$754,$B$8:$B$754,B187,$C$8:$C$754,C187,$H$8:$H$754,"Serviço"),IF(H187="SUBETAPA",SUMIFS($N$8:$N$754,$B$8:$B$754,B187,$C$8:$C$754,C187,$D$8:$D$754,D187,$H$8:$H$754,"Serviço"),0))))</f>
        <v/>
      </c>
      <c r="O970" s="50" t="inlineStr">
        <is>
          <t>Conforme informações de projetos</t>
        </is>
      </c>
      <c r="P970" s="144" t="n"/>
      <c r="Q970" s="144" t="n"/>
      <c r="R970" s="144" t="n"/>
      <c r="S970" s="152" t="n"/>
      <c r="T970" s="152" t="n"/>
      <c r="U970" s="152" t="n"/>
      <c r="V970" s="152" t="n"/>
      <c r="W970" s="152" t="n"/>
      <c r="X970" s="152" t="n"/>
      <c r="Y970" s="152" t="n"/>
    </row>
    <row r="971">
      <c r="A971" s="148">
        <f>IF($H188="UNIDADE CONSTRUTIVA",OFFSET(A188,-1,0)+1,LARGE(A$3:A187,1))</f>
        <v/>
      </c>
      <c r="B971" s="148">
        <f>IF(H188="UNIDADE CONSTRUTIVA",0,IF(H188="CÉLULA CONSTRUTIVA",OFFSET(B188,-1,0)+1,OFFSET(B188,-1,0)))</f>
        <v/>
      </c>
      <c r="C971" s="148">
        <f>IF(H188="CÉLULA CONSTRUTIVA",0,IF(H188="ETAPA",OFFSET(C188,-1,0)+1,OFFSET(C188,-1,0)))</f>
        <v/>
      </c>
      <c r="D971" s="149">
        <f>IF(H188="ETAPA",0,IF(H188="SUBETAPA",OFFSET(D188,-1,0)+1,OFFSET(D188,-1,0)))</f>
        <v/>
      </c>
      <c r="E971" s="149">
        <f>IF(H188="Subetapa",0,IF(H188="serviço",OFFSET(E188,-1,0)+1,OFFSET(E188,-1,0)))</f>
        <v/>
      </c>
      <c r="F971" s="150" t="n"/>
      <c r="G971" s="151" t="n"/>
      <c r="H971" s="137" t="inlineStr">
        <is>
          <t>SUBETAPA</t>
        </is>
      </c>
      <c r="I971" s="138">
        <f>IF(H188="Unidade Construtiva",TEXT(A188,"00"),IF(H188="Célula Construtiva",TEXT(B188,"00"),IF(H188="Etapa",CONCATENATE(TEXT(B188,"00"),".",TEXT(C188,"000")),IF(H188="Subetapa",CONCATENATE(TEXT(B188,"00"),".",TEXT(C188,"000"),".",TEXT(D188,"000")),IF(H188="Serviço",CONCATENATE(TEXT(B188,"00"),".",TEXT(C188,"000"),".",TEXT(D188,"000"),".",TEXT(E188,"000")),"")))))</f>
        <v/>
      </c>
      <c r="J971" s="139" t="inlineStr">
        <is>
          <t>ETE</t>
        </is>
      </c>
      <c r="K971" s="140" t="n"/>
      <c r="L971" s="141" t="n"/>
      <c r="M971" s="141" t="n"/>
      <c r="N971" s="142">
        <f>IF(H188="Serviço",M188*L188,IF(H188="CÉLULA CONSTRUTIVA",SUMIFS($N$8:$N$754,$B$8:$B$754,B188,$H$8:$H$754,"Serviço"),IF(H188="ETAPA",SUMIFS($N$8:$N$754,$B$8:$B$754,B188,$C$8:$C$754,C188,$H$8:$H$754,"Serviço"),IF(H188="SUBETAPA",SUMIFS($N$8:$N$754,$B$8:$B$754,B188,$C$8:$C$754,C188,$D$8:$D$754,D188,$H$8:$H$754,"Serviço"),0))))</f>
        <v/>
      </c>
      <c r="O971" s="143" t="n"/>
      <c r="P971" s="144" t="n"/>
      <c r="Q971" s="144" t="n"/>
      <c r="R971" s="144" t="n"/>
      <c r="S971" s="152" t="n"/>
      <c r="T971" s="152" t="n"/>
      <c r="U971" s="152" t="n"/>
      <c r="V971" s="152" t="n"/>
      <c r="W971" s="152" t="n"/>
      <c r="X971" s="152" t="n"/>
      <c r="Y971" s="152" t="n"/>
    </row>
    <row r="972">
      <c r="A972" s="148">
        <f>IF($H189="UNIDADE CONSTRUTIVA",OFFSET(A189,-1,0)+1,LARGE(A$3:A188,1))</f>
        <v/>
      </c>
      <c r="B972" s="148">
        <f>IF(H189="UNIDADE CONSTRUTIVA",0,IF(H189="CÉLULA CONSTRUTIVA",OFFSET(B189,-1,0)+1,OFFSET(B189,-1,0)))</f>
        <v/>
      </c>
      <c r="C972" s="148">
        <f>IF(H189="CÉLULA CONSTRUTIVA",0,IF(H189="ETAPA",OFFSET(C189,-1,0)+1,OFFSET(C189,-1,0)))</f>
        <v/>
      </c>
      <c r="D972" s="149">
        <f>IF(H189="ETAPA",0,IF(H189="SUBETAPA",OFFSET(D189,-1,0)+1,OFFSET(D189,-1,0)))</f>
        <v/>
      </c>
      <c r="E972" s="149">
        <f>IF(H189="Subetapa",0,IF(H189="serviço",OFFSET(E189,-1,0)+1,OFFSET(E189,-1,0)))</f>
        <v/>
      </c>
      <c r="F972" s="150" t="n"/>
      <c r="G972" s="151" t="inlineStr">
        <is>
          <t>SISTEMAS E INSTALAÇÕES HIDROSSANITÁRIAS E DRENAGEM</t>
        </is>
      </c>
      <c r="H972" s="137" t="inlineStr">
        <is>
          <t>SERVIÇO</t>
        </is>
      </c>
      <c r="I972" s="138">
        <f>IF(H189="Unidade Construtiva",TEXT(A189,"00"),IF(H189="Célula Construtiva",TEXT(B189,"00"),IF(H189="Etapa",CONCATENATE(TEXT(B189,"00"),".",TEXT(C189,"000")),IF(H189="Subetapa",CONCATENATE(TEXT(B189,"00"),".",TEXT(C189,"000"),".",TEXT(D189,"000")),IF(H189="Serviço",CONCATENATE(TEXT(B189,"00"),".",TEXT(C189,"000"),".",TEXT(D189,"000"),".",TEXT(E189,"000")),"")))))</f>
        <v/>
      </c>
      <c r="J972" s="139" t="inlineStr">
        <is>
          <t>ETE - Grade + Desarenador, tanques de aeração e contato, depósito de lobo</t>
        </is>
      </c>
      <c r="K972" s="140" t="inlineStr">
        <is>
          <t>vb</t>
        </is>
      </c>
      <c r="L972" s="141" t="n">
        <v>1</v>
      </c>
      <c r="M972" s="141">
        <f>Hidrossanitário!J17</f>
        <v/>
      </c>
      <c r="N972" s="142">
        <f>IF(H189="Serviço",M189*L189,IF(H189="CÉLULA CONSTRUTIVA",SUMIFS($N$8:$N$754,$B$8:$B$754,B189,$H$8:$H$754,"Serviço"),IF(H189="ETAPA",SUMIFS($N$8:$N$754,$B$8:$B$754,B189,$C$8:$C$754,C189,$H$8:$H$754,"Serviço"),IF(H189="SUBETAPA",SUMIFS($N$8:$N$754,$B$8:$B$754,B189,$C$8:$C$754,C189,$D$8:$D$754,D189,$H$8:$H$754,"Serviço"),0))))</f>
        <v/>
      </c>
      <c r="O972" s="143" t="inlineStr">
        <is>
          <t>Cotação enviada pelo cliente, atualizada conforme CUB</t>
        </is>
      </c>
      <c r="P972" s="144" t="n"/>
      <c r="Q972" s="144" t="n"/>
      <c r="R972" s="144" t="n"/>
      <c r="S972" s="152" t="n"/>
      <c r="T972" s="152" t="n"/>
      <c r="U972" s="152" t="n"/>
      <c r="V972" s="152" t="n"/>
      <c r="W972" s="152" t="n"/>
      <c r="X972" s="152" t="n"/>
      <c r="Y972" s="152" t="n"/>
    </row>
    <row r="973">
      <c r="A973" s="148">
        <f>IF($H190="UNIDADE CONSTRUTIVA",OFFSET(A190,-1,0)+1,LARGE(A$3:A179,1))</f>
        <v/>
      </c>
      <c r="B973" s="148">
        <f>IF(H190="UNIDADE CONSTRUTIVA",0,IF(H190="CÉLULA CONSTRUTIVA",OFFSET(B190,-1,0)+1,OFFSET(B190,-1,0)))</f>
        <v/>
      </c>
      <c r="C973" s="148">
        <f>IF(H190="CÉLULA CONSTRUTIVA",0,IF(H190="ETAPA",OFFSET(C190,-1,0)+1,OFFSET(C190,-1,0)))</f>
        <v/>
      </c>
      <c r="D973" s="149">
        <f>IF(H190="ETAPA",0,IF(H190="SUBETAPA",OFFSET(D190,-1,0)+1,OFFSET(D190,-1,0)))</f>
        <v/>
      </c>
      <c r="E973" s="149">
        <f>IF(H190="Subetapa",0,IF(H190="serviço",OFFSET(E190,-1,0)+1,OFFSET(E190,-1,0)))</f>
        <v/>
      </c>
      <c r="F973" s="150" t="n"/>
      <c r="G973" s="151" t="n"/>
      <c r="H973" s="137" t="inlineStr">
        <is>
          <t>SUBETAPA</t>
        </is>
      </c>
      <c r="I973" s="138">
        <f>IF(H190="Unidade Construtiva",TEXT(A190,"00"),IF(H190="Célula Construtiva",TEXT(B190,"00"),IF(H190="Etapa",CONCATENATE(TEXT(B190,"00"),".",TEXT(C190,"000")),IF(H190="Subetapa",CONCATENATE(TEXT(B190,"00"),".",TEXT(C190,"000"),".",TEXT(D190,"000")),IF(H190="Serviço",CONCATENATE(TEXT(B190,"00"),".",TEXT(C190,"000"),".",TEXT(D190,"000"),".",TEXT(E190,"000")),"")))))</f>
        <v/>
      </c>
      <c r="J973" s="139" t="inlineStr">
        <is>
          <t xml:space="preserve">Mão de obra - instalações hidrossanitárias e drenagem </t>
        </is>
      </c>
      <c r="K973" s="140" t="n"/>
      <c r="L973" s="141" t="n"/>
      <c r="M973" s="141" t="n"/>
      <c r="N973" s="142">
        <f>IF(H190="Serviço",M190*L190,IF(H190="CÉLULA CONSTRUTIVA",SUMIFS($N$8:$N$754,$B$8:$B$754,B190,$H$8:$H$754,"Serviço"),IF(H190="ETAPA",SUMIFS($N$8:$N$754,$B$8:$B$754,B190,$C$8:$C$754,C190,$H$8:$H$754,"Serviço"),IF(H190="SUBETAPA",SUMIFS($N$8:$N$754,$B$8:$B$754,B190,$C$8:$C$754,C190,$D$8:$D$754,D190,$H$8:$H$754,"Serviço"),0))))</f>
        <v/>
      </c>
      <c r="O973" s="143" t="n"/>
      <c r="P973" s="144" t="n"/>
      <c r="Q973" s="144" t="n"/>
      <c r="R973" s="144" t="n"/>
      <c r="S973" s="152" t="n"/>
      <c r="T973" s="152" t="n"/>
      <c r="U973" s="152" t="n"/>
      <c r="V973" s="152" t="n"/>
      <c r="W973" s="152" t="n"/>
      <c r="X973" s="152" t="n"/>
      <c r="Y973" s="152" t="n"/>
    </row>
    <row r="974">
      <c r="A974" s="148">
        <f>IF($H191="UNIDADE CONSTRUTIVA",OFFSET(A191,-1,0)+1,LARGE(A$3:A190,1))</f>
        <v/>
      </c>
      <c r="B974" s="148">
        <f>IF(H191="UNIDADE CONSTRUTIVA",0,IF(H191="CÉLULA CONSTRUTIVA",OFFSET(B191,-1,0)+1,OFFSET(B191,-1,0)))</f>
        <v/>
      </c>
      <c r="C974" s="148">
        <f>IF(H191="CÉLULA CONSTRUTIVA",0,IF(H191="ETAPA",OFFSET(C191,-1,0)+1,OFFSET(C191,-1,0)))</f>
        <v/>
      </c>
      <c r="D974" s="149">
        <f>IF(H191="ETAPA",0,IF(H191="SUBETAPA",OFFSET(D191,-1,0)+1,OFFSET(D191,-1,0)))</f>
        <v/>
      </c>
      <c r="E974" s="149">
        <f>IF(H191="Subetapa",0,IF(H191="serviço",OFFSET(E191,-1,0)+1,OFFSET(E191,-1,0)))</f>
        <v/>
      </c>
      <c r="F974" s="150" t="n"/>
      <c r="G974" s="151" t="inlineStr">
        <is>
          <t>SISTEMAS E INSTALAÇÕES HIDROSSANITÁRIAS E DRENAGEM</t>
        </is>
      </c>
      <c r="H974" s="137" t="inlineStr">
        <is>
          <t>SERVIÇO</t>
        </is>
      </c>
      <c r="I974" s="138">
        <f>IF(H191="Unidade Construtiva",TEXT(A191,"00"),IF(H191="Célula Construtiva",TEXT(B191,"00"),IF(H191="Etapa",CONCATENATE(TEXT(B191,"00"),".",TEXT(C191,"000")),IF(H191="Subetapa",CONCATENATE(TEXT(B191,"00"),".",TEXT(C191,"000"),".",TEXT(D191,"000")),IF(H191="Serviço",CONCATENATE(TEXT(B191,"00"),".",TEXT(C191,"000"),".",TEXT(D191,"000"),".",TEXT(E191,"000")),"")))))</f>
        <v/>
      </c>
      <c r="J974" s="139" t="inlineStr">
        <is>
          <t>Mão de obra Instalação Hidráulica</t>
        </is>
      </c>
      <c r="K974" s="140" t="inlineStr">
        <is>
          <t>vb</t>
        </is>
      </c>
      <c r="L974" s="141" t="n">
        <v>1</v>
      </c>
      <c r="M974" s="141">
        <f>Estimativa_Instalações!D16</f>
        <v/>
      </c>
      <c r="N974" s="142">
        <f>IF(H191="Serviço",M191*L191,IF(H191="CÉLULA CONSTRUTIVA",SUMIFS($N$8:$N$754,$B$8:$B$754,B191,$H$8:$H$754,"Serviço"),IF(H191="ETAPA",SUMIFS($N$8:$N$754,$B$8:$B$754,B191,$C$8:$C$754,C191,$H$8:$H$754,"Serviço"),IF(H191="SUBETAPA",SUMIFS($N$8:$N$754,$B$8:$B$754,B191,$C$8:$C$754,C191,$D$8:$D$754,D191,$H$8:$H$754,"Serviço"),0))))</f>
        <v/>
      </c>
      <c r="O974" s="50" t="inlineStr">
        <is>
          <t>Custo estimado com base em projetos, devido ausência de quantitativo</t>
        </is>
      </c>
      <c r="P974" s="144" t="n"/>
      <c r="Q974" s="144" t="n"/>
      <c r="R974" s="144" t="n"/>
      <c r="S974" s="152" t="n"/>
      <c r="T974" s="152" t="n"/>
      <c r="U974" s="152" t="n"/>
      <c r="V974" s="152" t="n"/>
      <c r="W974" s="152" t="n"/>
      <c r="X974" s="152" t="n"/>
      <c r="Y974" s="152" t="n"/>
    </row>
    <row r="975">
      <c r="A975" s="121">
        <f>IF($H192="UNIDADE CONSTRUTIVA",OFFSET(A192,-1,0)+1,LARGE(A$3:A191,1))</f>
        <v/>
      </c>
      <c r="B975" s="121">
        <f>IF(H192="UNIDADE CONSTRUTIVA",0,IF(H192="CÉLULA CONSTRUTIVA",OFFSET(B192,-1,0)+1,OFFSET(B192,-1,0)))</f>
        <v/>
      </c>
      <c r="C975" s="121">
        <f>IF(H192="CÉLULA CONSTRUTIVA",0,IF(H192="ETAPA",OFFSET(C192,-1,0)+1,OFFSET(C192,-1,0)))</f>
        <v/>
      </c>
      <c r="D975" s="122">
        <f>IF(H192="ETAPA",0,IF(H192="SUBETAPA",OFFSET(D192,-1,0)+1,OFFSET(D192,-1,0)))</f>
        <v/>
      </c>
      <c r="E975" s="122">
        <f>IF(H192="Subetapa",0,IF(H192="serviço",OFFSET(E192,-1,0)+1,OFFSET(E192,-1,0)))</f>
        <v/>
      </c>
      <c r="F975" s="147" t="n"/>
      <c r="G975" s="154" t="n"/>
      <c r="H975" s="137" t="inlineStr">
        <is>
          <t>CÉLULA CONSTRUTIVA</t>
        </is>
      </c>
      <c r="I975" s="138">
        <f>IF(H192="Unidade Construtiva",TEXT(A192,"00"),IF(H192="Célula Construtiva",TEXT(B192,"00"),IF(H192="Etapa",CONCATENATE(TEXT(B192,"00"),".",TEXT(C192,"000")),IF(H192="Subetapa",CONCATENATE(TEXT(B192,"00"),".",TEXT(C192,"000"),".",TEXT(D192,"000")),IF(H192="Serviço",CONCATENATE(TEXT(B192,"00"),".",TEXT(C192,"000"),".",TEXT(D192,"000"),".",TEXT(E192,"000")),"")))))</f>
        <v/>
      </c>
      <c r="J975" s="139" t="inlineStr">
        <is>
          <t>SISTEMAS E INSTALAÇÕES ELÉTRICAS</t>
        </is>
      </c>
      <c r="K975" s="140" t="n"/>
      <c r="L975" s="141" t="n"/>
      <c r="M975" s="141" t="n"/>
      <c r="N975" s="142">
        <f>IF(H192="Serviço",M192*L192,IF(H192="CÉLULA CONSTRUTIVA",SUMIFS($N$8:$N$754,$B$8:$B$754,B192,$H$8:$H$754,"Serviço"),IF(H192="ETAPA",SUMIFS($N$8:$N$754,$B$8:$B$754,B192,$C$8:$C$754,C192,$H$8:$H$754,"Serviço"),IF(H192="SUBETAPA",SUMIFS($N$8:$N$754,$B$8:$B$754,B192,$C$8:$C$754,C192,$D$8:$D$754,D192,$H$8:$H$754,"Serviço"),0))))</f>
        <v/>
      </c>
      <c r="O975" s="143">
        <f>N192/[7]CAPA!$C$10</f>
        <v/>
      </c>
      <c r="P975" s="144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>
      <c r="A976" s="148">
        <f>IF($H193="UNIDADE CONSTRUTIVA",OFFSET(A193,-1,0)+1,LARGE(A$3:A192,1))</f>
        <v/>
      </c>
      <c r="B976" s="148">
        <f>IF(H193="UNIDADE CONSTRUTIVA",0,IF(H193="CÉLULA CONSTRUTIVA",OFFSET(B193,-1,0)+1,OFFSET(B193,-1,0)))</f>
        <v/>
      </c>
      <c r="C976" s="148">
        <f>IF(H193="CÉLULA CONSTRUTIVA",0,IF(H193="ETAPA",OFFSET(C193,-1,0)+1,OFFSET(C193,-1,0)))</f>
        <v/>
      </c>
      <c r="D976" s="149">
        <f>IF(H193="ETAPA",0,IF(H193="SUBETAPA",OFFSET(D193,-1,0)+1,OFFSET(D193,-1,0)))</f>
        <v/>
      </c>
      <c r="E976" s="149">
        <f>IF(H193="Subetapa",0,IF(H193="serviço",OFFSET(E193,-1,0)+1,OFFSET(E193,-1,0)))</f>
        <v/>
      </c>
      <c r="F976" s="150" t="n"/>
      <c r="G976" s="151" t="n"/>
      <c r="H976" s="137" t="inlineStr">
        <is>
          <t>ETAPA</t>
        </is>
      </c>
      <c r="I976" s="138">
        <f>IF(H193="Unidade Construtiva",TEXT(A193,"00"),IF(H193="Célula Construtiva",TEXT(B193,"00"),IF(H193="Etapa",CONCATENATE(TEXT(B193,"00"),".",TEXT(C193,"000")),IF(H193="Subetapa",CONCATENATE(TEXT(B193,"00"),".",TEXT(C193,"000"),".",TEXT(D193,"000")),IF(H193="Serviço",CONCATENATE(TEXT(B193,"00"),".",TEXT(C193,"000"),".",TEXT(D193,"000"),".",TEXT(E193,"000")),"")))))</f>
        <v/>
      </c>
      <c r="J976" s="139" t="inlineStr">
        <is>
          <t>SISTEMAS E INSTALAÇÕES ELÉTRICAS</t>
        </is>
      </c>
      <c r="K976" s="140" t="n"/>
      <c r="L976" s="141" t="n"/>
      <c r="M976" s="141" t="n"/>
      <c r="N976" s="142">
        <f>IF(H193="Serviço",M193*L193,IF(H193="CÉLULA CONSTRUTIVA",SUMIFS($N$8:$N$754,$B$8:$B$754,B193,$H$8:$H$754,"Serviço"),IF(H193="ETAPA",SUMIFS($N$8:$N$754,$B$8:$B$754,B193,$C$8:$C$754,C193,$H$8:$H$754,"Serviço"),IF(H193="SUBETAPA",SUMIFS($N$8:$N$754,$B$8:$B$754,B193,$C$8:$C$754,C193,$D$8:$D$754,D193,$H$8:$H$754,"Serviço"),0))))</f>
        <v/>
      </c>
      <c r="O976" s="143" t="n"/>
      <c r="P976" s="144" t="n"/>
      <c r="Q976" s="144" t="n"/>
      <c r="R976" s="144" t="n"/>
      <c r="S976" s="152" t="n"/>
      <c r="T976" s="152" t="n"/>
      <c r="U976" s="152" t="n"/>
      <c r="V976" s="152" t="n"/>
      <c r="W976" s="152" t="n"/>
      <c r="X976" s="152" t="n"/>
      <c r="Y976" s="152" t="n"/>
    </row>
    <row r="977">
      <c r="A977" s="148">
        <f>IF($H194="UNIDADE CONSTRUTIVA",OFFSET(A194,-1,0)+1,LARGE(A$3:A193,1))</f>
        <v/>
      </c>
      <c r="B977" s="148">
        <f>IF(H194="UNIDADE CONSTRUTIVA",0,IF(H194="CÉLULA CONSTRUTIVA",OFFSET(B194,-1,0)+1,OFFSET(B194,-1,0)))</f>
        <v/>
      </c>
      <c r="C977" s="148">
        <f>IF(H194="CÉLULA CONSTRUTIVA",0,IF(H194="ETAPA",OFFSET(C194,-1,0)+1,OFFSET(C194,-1,0)))</f>
        <v/>
      </c>
      <c r="D977" s="149">
        <f>IF(H194="ETAPA",0,IF(H194="SUBETAPA",OFFSET(D194,-1,0)+1,OFFSET(D194,-1,0)))</f>
        <v/>
      </c>
      <c r="E977" s="149">
        <f>IF(H194="Subetapa",0,IF(H194="serviço",OFFSET(E194,-1,0)+1,OFFSET(E194,-1,0)))</f>
        <v/>
      </c>
      <c r="F977" s="150" t="n"/>
      <c r="G977" s="151" t="n"/>
      <c r="H977" s="137" t="inlineStr">
        <is>
          <t>SUBETAPA</t>
        </is>
      </c>
      <c r="I977" s="138">
        <f>IF(H194="Unidade Construtiva",TEXT(A194,"00"),IF(H194="Célula Construtiva",TEXT(B194,"00"),IF(H194="Etapa",CONCATENATE(TEXT(B194,"00"),".",TEXT(C194,"000")),IF(H194="Subetapa",CONCATENATE(TEXT(B194,"00"),".",TEXT(C194,"000"),".",TEXT(D194,"000")),IF(H194="Serviço",CONCATENATE(TEXT(B194,"00"),".",TEXT(C194,"000"),".",TEXT(D194,"000"),".",TEXT(E194,"000")),"")))))</f>
        <v/>
      </c>
      <c r="J977" s="139" t="inlineStr">
        <is>
          <t>Sistema e Instalações Elétricas</t>
        </is>
      </c>
      <c r="K977" s="140" t="n"/>
      <c r="L977" s="141" t="n"/>
      <c r="M977" s="141" t="n"/>
      <c r="N977" s="142">
        <f>IF(H194="Serviço",M194*L194,IF(H194="CÉLULA CONSTRUTIVA",SUMIFS($N$8:$N$754,$B$8:$B$754,B194,$H$8:$H$754,"Serviço"),IF(H194="ETAPA",SUMIFS($N$8:$N$754,$B$8:$B$754,B194,$C$8:$C$754,C194,$H$8:$H$754,"Serviço"),IF(H194="SUBETAPA",SUMIFS($N$8:$N$754,$B$8:$B$754,B194,$C$8:$C$754,C194,$D$8:$D$754,D194,$H$8:$H$754,"Serviço"),0))))</f>
        <v/>
      </c>
      <c r="O977" s="143" t="n"/>
      <c r="P977" s="144" t="n"/>
      <c r="Q977" s="144" t="n"/>
      <c r="R977" s="144" t="n"/>
      <c r="S977" s="152" t="n"/>
      <c r="T977" s="152" t="n"/>
      <c r="U977" s="152" t="n"/>
      <c r="V977" s="152" t="n"/>
      <c r="W977" s="152" t="n"/>
      <c r="X977" s="152" t="n"/>
      <c r="Y977" s="152" t="n"/>
    </row>
    <row r="978">
      <c r="A978" s="148">
        <f>IF($H195="UNIDADE CONSTRUTIVA",OFFSET(A195,-1,0)+1,LARGE(A$3:A194,1))</f>
        <v/>
      </c>
      <c r="B978" s="148">
        <f>IF(H195="UNIDADE CONSTRUTIVA",0,IF(H195="CÉLULA CONSTRUTIVA",OFFSET(B195,-1,0)+1,OFFSET(B195,-1,0)))</f>
        <v/>
      </c>
      <c r="C978" s="148">
        <f>IF(H195="CÉLULA CONSTRUTIVA",0,IF(H195="ETAPA",OFFSET(C195,-1,0)+1,OFFSET(C195,-1,0)))</f>
        <v/>
      </c>
      <c r="D978" s="149">
        <f>IF(H195="ETAPA",0,IF(H195="SUBETAPA",OFFSET(D195,-1,0)+1,OFFSET(D195,-1,0)))</f>
        <v/>
      </c>
      <c r="E978" s="149">
        <f>IF(H195="Subetapa",0,IF(H195="serviço",OFFSET(E195,-1,0)+1,OFFSET(E195,-1,0)))</f>
        <v/>
      </c>
      <c r="F978" s="150" t="n"/>
      <c r="G978" s="151" t="inlineStr">
        <is>
          <t>SISTEMAS E INSTALAÇÕES ELÉTRICAS</t>
        </is>
      </c>
      <c r="H978" s="137" t="inlineStr">
        <is>
          <t>SERVIÇO</t>
        </is>
      </c>
      <c r="I978" s="138">
        <f>IF(H195="Unidade Construtiva",TEXT(A195,"00"),IF(H195="Célula Construtiva",TEXT(B195,"00"),IF(H195="Etapa",CONCATENATE(TEXT(B195,"00"),".",TEXT(C195,"000")),IF(H195="Subetapa",CONCATENATE(TEXT(B195,"00"),".",TEXT(C195,"000"),".",TEXT(D195,"000")),IF(H195="Serviço",CONCATENATE(TEXT(B195,"00"),".",TEXT(C195,"000"),".",TEXT(D195,"000"),".",TEXT(E195,"000")),"")))))</f>
        <v/>
      </c>
      <c r="J978" s="139" t="inlineStr">
        <is>
          <t>Entrada de energia</t>
        </is>
      </c>
      <c r="K978" s="140" t="inlineStr">
        <is>
          <t>vb</t>
        </is>
      </c>
      <c r="L978" s="141" t="n">
        <v>1</v>
      </c>
      <c r="M978" s="141">
        <f>Estimativa_Instalações!D18</f>
        <v/>
      </c>
      <c r="N978" s="142">
        <f>IF(H195="Serviço",M195*L195,IF(H195="CÉLULA CONSTRUTIVA",SUMIFS($N$8:$N$754,$B$8:$B$754,B195,$H$8:$H$754,"Serviço"),IF(H195="ETAPA",SUMIFS($N$8:$N$754,$B$8:$B$754,B195,$C$8:$C$754,C195,$H$8:$H$754,"Serviço"),IF(H195="SUBETAPA",SUMIFS($N$8:$N$754,$B$8:$B$754,B195,$C$8:$C$754,C195,$D$8:$D$754,D195,$H$8:$H$754,"Serviço"),0))))</f>
        <v/>
      </c>
      <c r="O978" s="50" t="inlineStr">
        <is>
          <t>Custo estimado com base em histórico, devido ausência de quantitativo</t>
        </is>
      </c>
      <c r="P978" s="144" t="n"/>
      <c r="Q978" s="144" t="n"/>
      <c r="R978" s="144" t="n"/>
      <c r="S978" s="152" t="n"/>
      <c r="T978" s="152" t="n"/>
      <c r="U978" s="152" t="n"/>
      <c r="V978" s="152" t="n"/>
      <c r="W978" s="152" t="n"/>
      <c r="X978" s="152" t="n"/>
      <c r="Y978" s="152" t="n"/>
    </row>
    <row r="979">
      <c r="A979" s="148">
        <f>IF($H196="UNIDADE CONSTRUTIVA",OFFSET(A196,-1,0)+1,LARGE(A$3:A195,1))</f>
        <v/>
      </c>
      <c r="B979" s="148">
        <f>IF(H196="UNIDADE CONSTRUTIVA",0,IF(H196="CÉLULA CONSTRUTIVA",OFFSET(B196,-1,0)+1,OFFSET(B196,-1,0)))</f>
        <v/>
      </c>
      <c r="C979" s="148">
        <f>IF(H196="CÉLULA CONSTRUTIVA",0,IF(H196="ETAPA",OFFSET(C196,-1,0)+1,OFFSET(C196,-1,0)))</f>
        <v/>
      </c>
      <c r="D979" s="149">
        <f>IF(H196="ETAPA",0,IF(H196="SUBETAPA",OFFSET(D196,-1,0)+1,OFFSET(D196,-1,0)))</f>
        <v/>
      </c>
      <c r="E979" s="149">
        <f>IF(H196="Subetapa",0,IF(H196="serviço",OFFSET(E196,-1,0)+1,OFFSET(E196,-1,0)))</f>
        <v/>
      </c>
      <c r="F979" s="150" t="n"/>
      <c r="G979" s="151" t="n"/>
      <c r="H979" s="137" t="inlineStr">
        <is>
          <t>SUBETAPA</t>
        </is>
      </c>
      <c r="I979" s="138">
        <f>IF(H196="Unidade Construtiva",TEXT(A196,"00"),IF(H196="Célula Construtiva",TEXT(B196,"00"),IF(H196="Etapa",CONCATENATE(TEXT(B196,"00"),".",TEXT(C196,"000")),IF(H196="Subetapa",CONCATENATE(TEXT(B196,"00"),".",TEXT(C196,"000"),".",TEXT(D196,"000")),IF(H196="Serviço",CONCATENATE(TEXT(B196,"00"),".",TEXT(C196,"000"),".",TEXT(D196,"000"),".",TEXT(E196,"000")),"")))))</f>
        <v/>
      </c>
      <c r="J979" s="139" t="inlineStr">
        <is>
          <t>Quadros elétricos e disjuntores</t>
        </is>
      </c>
      <c r="K979" s="140" t="n"/>
      <c r="L979" s="141" t="n"/>
      <c r="M979" s="141" t="n"/>
      <c r="N979" s="142">
        <f>IF(H196="Serviço",M196*L196,IF(H196="CÉLULA CONSTRUTIVA",SUMIFS($N$8:$N$754,$B$8:$B$754,B196,$H$8:$H$754,"Serviço"),IF(H196="ETAPA",SUMIFS($N$8:$N$754,$B$8:$B$754,B196,$C$8:$C$754,C196,$H$8:$H$754,"Serviço"),IF(H196="SUBETAPA",SUMIFS($N$8:$N$754,$B$8:$B$754,B196,$C$8:$C$754,C196,$D$8:$D$754,D196,$H$8:$H$754,"Serviço"),0))))</f>
        <v/>
      </c>
      <c r="O979" s="143" t="n"/>
      <c r="P979" s="144" t="n"/>
      <c r="Q979" s="144" t="n"/>
      <c r="R979" s="144" t="n"/>
      <c r="S979" s="152" t="n"/>
      <c r="T979" s="152" t="n"/>
      <c r="U979" s="152" t="n"/>
      <c r="V979" s="152" t="n"/>
      <c r="W979" s="152" t="n"/>
      <c r="X979" s="152" t="n"/>
      <c r="Y979" s="152" t="n"/>
    </row>
    <row r="980">
      <c r="A980" s="148">
        <f>IF($H197="UNIDADE CONSTRUTIVA",OFFSET(A197,-1,0)+1,LARGE(A$3:A196,1))</f>
        <v/>
      </c>
      <c r="B980" s="148">
        <f>IF(H197="UNIDADE CONSTRUTIVA",0,IF(H197="CÉLULA CONSTRUTIVA",OFFSET(B197,-1,0)+1,OFFSET(B197,-1,0)))</f>
        <v/>
      </c>
      <c r="C980" s="148">
        <f>IF(H197="CÉLULA CONSTRUTIVA",0,IF(H197="ETAPA",OFFSET(C197,-1,0)+1,OFFSET(C197,-1,0)))</f>
        <v/>
      </c>
      <c r="D980" s="149">
        <f>IF(H197="ETAPA",0,IF(H197="SUBETAPA",OFFSET(D197,-1,0)+1,OFFSET(D197,-1,0)))</f>
        <v/>
      </c>
      <c r="E980" s="149">
        <f>IF(H197="Subetapa",0,IF(H197="serviço",OFFSET(E197,-1,0)+1,OFFSET(E197,-1,0)))</f>
        <v/>
      </c>
      <c r="F980" s="150" t="n"/>
      <c r="G980" s="151" t="inlineStr">
        <is>
          <t>SISTEMAS E INSTALAÇÕES ELÉTRICAS</t>
        </is>
      </c>
      <c r="H980" s="137" t="inlineStr">
        <is>
          <t>SERVIÇO</t>
        </is>
      </c>
      <c r="I980" s="138">
        <f>IF(H197="Unidade Construtiva",TEXT(A197,"00"),IF(H197="Célula Construtiva",TEXT(B197,"00"),IF(H197="Etapa",CONCATENATE(TEXT(B197,"00"),".",TEXT(C197,"000")),IF(H197="Subetapa",CONCATENATE(TEXT(B197,"00"),".",TEXT(C197,"000"),".",TEXT(D197,"000")),IF(H197="Serviço",CONCATENATE(TEXT(B197,"00"),".",TEXT(C197,"000"),".",TEXT(D197,"000"),".",TEXT(E197,"000")),"")))))</f>
        <v/>
      </c>
      <c r="J980" s="139" t="inlineStr">
        <is>
          <t>Quadros elétricos e disjuntores</t>
        </is>
      </c>
      <c r="K980" s="140" t="inlineStr">
        <is>
          <t>vb</t>
        </is>
      </c>
      <c r="L980" s="141" t="n">
        <v>1</v>
      </c>
      <c r="M980" s="141">
        <f>Estimativa_Instalações!D21</f>
        <v/>
      </c>
      <c r="N980" s="142">
        <f>IF(H197="Serviço",M197*L197,IF(H197="CÉLULA CONSTRUTIVA",SUMIFS($N$8:$N$754,$B$8:$B$754,B197,$H$8:$H$754,"Serviço"),IF(H197="ETAPA",SUMIFS($N$8:$N$754,$B$8:$B$754,B197,$C$8:$C$754,C197,$H$8:$H$754,"Serviço"),IF(H197="SUBETAPA",SUMIFS($N$8:$N$754,$B$8:$B$754,B197,$C$8:$C$754,C197,$D$8:$D$754,D197,$H$8:$H$754,"Serviço"),0))))</f>
        <v/>
      </c>
      <c r="O980" s="50" t="inlineStr">
        <is>
          <t>Custo estimado com base em histórico, devido ausência de quantitativo</t>
        </is>
      </c>
      <c r="P980" s="144" t="n"/>
      <c r="Q980" s="144" t="n"/>
      <c r="R980" s="144" t="n"/>
      <c r="S980" s="152" t="n"/>
      <c r="T980" s="152" t="n"/>
      <c r="U980" s="152" t="n"/>
      <c r="V980" s="152" t="n"/>
      <c r="W980" s="152" t="n"/>
      <c r="X980" s="152" t="n"/>
      <c r="Y980" s="152" t="n"/>
    </row>
    <row r="981">
      <c r="A981" s="148">
        <f>IF($H198="UNIDADE CONSTRUTIVA",OFFSET(A198,-1,0)+1,LARGE(A$3:A197,1))</f>
        <v/>
      </c>
      <c r="B981" s="148">
        <f>IF(H198="UNIDADE CONSTRUTIVA",0,IF(H198="CÉLULA CONSTRUTIVA",OFFSET(B198,-1,0)+1,OFFSET(B198,-1,0)))</f>
        <v/>
      </c>
      <c r="C981" s="148">
        <f>IF(H198="CÉLULA CONSTRUTIVA",0,IF(H198="ETAPA",OFFSET(C198,-1,0)+1,OFFSET(C198,-1,0)))</f>
        <v/>
      </c>
      <c r="D981" s="149">
        <f>IF(H198="ETAPA",0,IF(H198="SUBETAPA",OFFSET(D198,-1,0)+1,OFFSET(D198,-1,0)))</f>
        <v/>
      </c>
      <c r="E981" s="149">
        <f>IF(H198="Subetapa",0,IF(H198="serviço",OFFSET(E198,-1,0)+1,OFFSET(E198,-1,0)))</f>
        <v/>
      </c>
      <c r="F981" s="150" t="n"/>
      <c r="G981" s="151" t="n"/>
      <c r="H981" s="137" t="inlineStr">
        <is>
          <t>SUBETAPA</t>
        </is>
      </c>
      <c r="I981" s="138">
        <f>IF(H198="Unidade Construtiva",TEXT(A198,"00"),IF(H198="Célula Construtiva",TEXT(B198,"00"),IF(H198="Etapa",CONCATENATE(TEXT(B198,"00"),".",TEXT(C198,"000")),IF(H198="Subetapa",CONCATENATE(TEXT(B198,"00"),".",TEXT(C198,"000"),".",TEXT(D198,"000")),IF(H198="Serviço",CONCATENATE(TEXT(B198,"00"),".",TEXT(C198,"000"),".",TEXT(D198,"000"),".",TEXT(E198,"000")),"")))))</f>
        <v/>
      </c>
      <c r="J981" s="139" t="inlineStr">
        <is>
          <t>Eletrodutos e eletrocalhas</t>
        </is>
      </c>
      <c r="K981" s="140" t="n"/>
      <c r="L981" s="141" t="n"/>
      <c r="M981" s="141" t="n"/>
      <c r="N981" s="142">
        <f>IF(H198="Serviço",M198*L198,IF(H198="CÉLULA CONSTRUTIVA",SUMIFS($N$8:$N$754,$B$8:$B$754,B198,$H$8:$H$754,"Serviço"),IF(H198="ETAPA",SUMIFS($N$8:$N$754,$B$8:$B$754,B198,$C$8:$C$754,C198,$H$8:$H$754,"Serviço"),IF(H198="SUBETAPA",SUMIFS($N$8:$N$754,$B$8:$B$754,B198,$C$8:$C$754,C198,$D$8:$D$754,D198,$H$8:$H$754,"Serviço"),0))))</f>
        <v/>
      </c>
      <c r="O981" s="143" t="n"/>
      <c r="P981" s="144" t="n"/>
      <c r="Q981" s="144" t="n"/>
      <c r="R981" s="144" t="n"/>
      <c r="S981" s="152" t="n"/>
      <c r="T981" s="152" t="n"/>
      <c r="U981" s="152" t="n"/>
      <c r="V981" s="152" t="n"/>
      <c r="W981" s="152" t="n"/>
      <c r="X981" s="152" t="n"/>
      <c r="Y981" s="152" t="n"/>
    </row>
    <row r="982">
      <c r="A982" s="148">
        <f>IF($H199="UNIDADE CONSTRUTIVA",OFFSET(A199,-1,0)+1,LARGE(A$3:A198,1))</f>
        <v/>
      </c>
      <c r="B982" s="148">
        <f>IF(H199="UNIDADE CONSTRUTIVA",0,IF(H199="CÉLULA CONSTRUTIVA",OFFSET(B199,-1,0)+1,OFFSET(B199,-1,0)))</f>
        <v/>
      </c>
      <c r="C982" s="148">
        <f>IF(H199="CÉLULA CONSTRUTIVA",0,IF(H199="ETAPA",OFFSET(C199,-1,0)+1,OFFSET(C199,-1,0)))</f>
        <v/>
      </c>
      <c r="D982" s="149">
        <f>IF(H199="ETAPA",0,IF(H199="SUBETAPA",OFFSET(D199,-1,0)+1,OFFSET(D199,-1,0)))</f>
        <v/>
      </c>
      <c r="E982" s="149">
        <f>IF(H199="Subetapa",0,IF(H199="serviço",OFFSET(E199,-1,0)+1,OFFSET(E199,-1,0)))</f>
        <v/>
      </c>
      <c r="F982" s="150" t="n"/>
      <c r="G982" s="151" t="inlineStr">
        <is>
          <t>SISTEMAS E INSTALAÇÕES ELÉTRICAS</t>
        </is>
      </c>
      <c r="H982" s="137" t="inlineStr">
        <is>
          <t>SERVIÇO</t>
        </is>
      </c>
      <c r="I982" s="138">
        <f>IF(H199="Unidade Construtiva",TEXT(A199,"00"),IF(H199="Célula Construtiva",TEXT(B199,"00"),IF(H199="Etapa",CONCATENATE(TEXT(B199,"00"),".",TEXT(C199,"000")),IF(H199="Subetapa",CONCATENATE(TEXT(B199,"00"),".",TEXT(C199,"000"),".",TEXT(D199,"000")),IF(H199="Serviço",CONCATENATE(TEXT(B199,"00"),".",TEXT(C199,"000"),".",TEXT(D199,"000"),".",TEXT(E199,"000")),"")))))</f>
        <v/>
      </c>
      <c r="J982" s="139" t="inlineStr">
        <is>
          <t>Eletrodutos e caixas</t>
        </is>
      </c>
      <c r="K982" s="140" t="inlineStr">
        <is>
          <t>vb</t>
        </is>
      </c>
      <c r="L982" s="141" t="n">
        <v>1</v>
      </c>
      <c r="M982" s="141">
        <f>Estimativa_Instalações!D22</f>
        <v/>
      </c>
      <c r="N982" s="142">
        <f>IF(H199="Serviço",M199*L199,IF(H199="CÉLULA CONSTRUTIVA",SUMIFS($N$8:$N$754,$B$8:$B$754,B199,$H$8:$H$754,"Serviço"),IF(H199="ETAPA",SUMIFS($N$8:$N$754,$B$8:$B$754,B199,$C$8:$C$754,C199,$H$8:$H$754,"Serviço"),IF(H199="SUBETAPA",SUMIFS($N$8:$N$754,$B$8:$B$754,B199,$C$8:$C$754,C199,$D$8:$D$754,D199,$H$8:$H$754,"Serviço"),0))))</f>
        <v/>
      </c>
      <c r="O982" s="50" t="inlineStr">
        <is>
          <t>Custo estimado com base em histórico, devido ausência de quantitativo</t>
        </is>
      </c>
      <c r="P982" s="144" t="n"/>
      <c r="Q982" s="144" t="n"/>
      <c r="R982" s="144" t="n"/>
      <c r="S982" s="152" t="n"/>
      <c r="T982" s="152" t="n"/>
      <c r="U982" s="152" t="n"/>
      <c r="V982" s="152" t="n"/>
      <c r="W982" s="152" t="n"/>
      <c r="X982" s="152" t="n"/>
      <c r="Y982" s="152" t="n"/>
    </row>
    <row r="983">
      <c r="A983" s="148">
        <f>IF($H200="UNIDADE CONSTRUTIVA",OFFSET(A200,-1,0)+1,LARGE(A$3:A199,1))</f>
        <v/>
      </c>
      <c r="B983" s="148">
        <f>IF(H200="UNIDADE CONSTRUTIVA",0,IF(H200="CÉLULA CONSTRUTIVA",OFFSET(B200,-1,0)+1,OFFSET(B200,-1,0)))</f>
        <v/>
      </c>
      <c r="C983" s="148">
        <f>IF(H200="CÉLULA CONSTRUTIVA",0,IF(H200="ETAPA",OFFSET(C200,-1,0)+1,OFFSET(C200,-1,0)))</f>
        <v/>
      </c>
      <c r="D983" s="149">
        <f>IF(H200="ETAPA",0,IF(H200="SUBETAPA",OFFSET(D200,-1,0)+1,OFFSET(D200,-1,0)))</f>
        <v/>
      </c>
      <c r="E983" s="149">
        <f>IF(H200="Subetapa",0,IF(H200="serviço",OFFSET(E200,-1,0)+1,OFFSET(E200,-1,0)))</f>
        <v/>
      </c>
      <c r="F983" s="150" t="n"/>
      <c r="G983" s="151" t="n"/>
      <c r="H983" s="137" t="inlineStr">
        <is>
          <t>SUBETAPA</t>
        </is>
      </c>
      <c r="I983" s="138">
        <f>IF(H200="Unidade Construtiva",TEXT(A200,"00"),IF(H200="Célula Construtiva",TEXT(B200,"00"),IF(H200="Etapa",CONCATENATE(TEXT(B200,"00"),".",TEXT(C200,"000")),IF(H200="Subetapa",CONCATENATE(TEXT(B200,"00"),".",TEXT(C200,"000"),".",TEXT(D200,"000")),IF(H200="Serviço",CONCATENATE(TEXT(B200,"00"),".",TEXT(C200,"000"),".",TEXT(D200,"000"),".",TEXT(E200,"000")),"")))))</f>
        <v/>
      </c>
      <c r="J983" s="139" t="inlineStr">
        <is>
          <t>Fios e cabos elétricos</t>
        </is>
      </c>
      <c r="K983" s="140" t="n"/>
      <c r="L983" s="141" t="n"/>
      <c r="M983" s="141" t="n"/>
      <c r="N983" s="142">
        <f>IF(H200="Serviço",M200*L200,IF(H200="CÉLULA CONSTRUTIVA",SUMIFS($N$8:$N$754,$B$8:$B$754,B200,$H$8:$H$754,"Serviço"),IF(H200="ETAPA",SUMIFS($N$8:$N$754,$B$8:$B$754,B200,$C$8:$C$754,C200,$H$8:$H$754,"Serviço"),IF(H200="SUBETAPA",SUMIFS($N$8:$N$754,$B$8:$B$754,B200,$C$8:$C$754,C200,$D$8:$D$754,D200,$H$8:$H$754,"Serviço"),0))))</f>
        <v/>
      </c>
      <c r="O983" s="143" t="n"/>
      <c r="P983" s="144" t="n"/>
      <c r="Q983" s="144" t="n"/>
      <c r="R983" s="144" t="n"/>
      <c r="S983" s="152" t="n"/>
      <c r="T983" s="152" t="n"/>
      <c r="U983" s="152" t="n"/>
      <c r="V983" s="152" t="n"/>
      <c r="W983" s="152" t="n"/>
      <c r="X983" s="152" t="n"/>
      <c r="Y983" s="152" t="n"/>
    </row>
    <row r="984">
      <c r="A984" s="148">
        <f>IF($H201="UNIDADE CONSTRUTIVA",OFFSET(A201,-1,0)+1,LARGE(A$3:A200,1))</f>
        <v/>
      </c>
      <c r="B984" s="148">
        <f>IF(H201="UNIDADE CONSTRUTIVA",0,IF(H201="CÉLULA CONSTRUTIVA",OFFSET(B201,-1,0)+1,OFFSET(B201,-1,0)))</f>
        <v/>
      </c>
      <c r="C984" s="148">
        <f>IF(H201="CÉLULA CONSTRUTIVA",0,IF(H201="ETAPA",OFFSET(C201,-1,0)+1,OFFSET(C201,-1,0)))</f>
        <v/>
      </c>
      <c r="D984" s="149">
        <f>IF(H201="ETAPA",0,IF(H201="SUBETAPA",OFFSET(D201,-1,0)+1,OFFSET(D201,-1,0)))</f>
        <v/>
      </c>
      <c r="E984" s="149">
        <f>IF(H201="Subetapa",0,IF(H201="serviço",OFFSET(E201,-1,0)+1,OFFSET(E201,-1,0)))</f>
        <v/>
      </c>
      <c r="F984" s="150" t="n"/>
      <c r="G984" s="151" t="inlineStr">
        <is>
          <t>SISTEMAS E INSTALAÇÕES ELÉTRICAS</t>
        </is>
      </c>
      <c r="H984" s="137" t="inlineStr">
        <is>
          <t>SERVIÇO</t>
        </is>
      </c>
      <c r="I984" s="138">
        <f>IF(H201="Unidade Construtiva",TEXT(A201,"00"),IF(H201="Célula Construtiva",TEXT(B201,"00"),IF(H201="Etapa",CONCATENATE(TEXT(B201,"00"),".",TEXT(C201,"000")),IF(H201="Subetapa",CONCATENATE(TEXT(B201,"00"),".",TEXT(C201,"000"),".",TEXT(D201,"000")),IF(H201="Serviço",CONCATENATE(TEXT(B201,"00"),".",TEXT(C201,"000"),".",TEXT(D201,"000"),".",TEXT(E201,"000")),"")))))</f>
        <v/>
      </c>
      <c r="J984" s="139" t="inlineStr">
        <is>
          <t>Fios e cabos elétricos</t>
        </is>
      </c>
      <c r="K984" s="140" t="inlineStr">
        <is>
          <t>vb</t>
        </is>
      </c>
      <c r="L984" s="141" t="n">
        <v>1</v>
      </c>
      <c r="M984" s="141">
        <f>Estimativa_Instalações!D23</f>
        <v/>
      </c>
      <c r="N984" s="142">
        <f>IF(H201="Serviço",M201*L201,IF(H201="CÉLULA CONSTRUTIVA",SUMIFS($N$8:$N$754,$B$8:$B$754,B201,$H$8:$H$754,"Serviço"),IF(H201="ETAPA",SUMIFS($N$8:$N$754,$B$8:$B$754,B201,$C$8:$C$754,C201,$H$8:$H$754,"Serviço"),IF(H201="SUBETAPA",SUMIFS($N$8:$N$754,$B$8:$B$754,B201,$C$8:$C$754,C201,$D$8:$D$754,D201,$H$8:$H$754,"Serviço"),0))))</f>
        <v/>
      </c>
      <c r="O984" s="50" t="inlineStr">
        <is>
          <t>Custo estimado com base em histórico, devido ausência de quantitativo</t>
        </is>
      </c>
      <c r="P984" s="144" t="n"/>
      <c r="Q984" s="144" t="n"/>
      <c r="R984" s="144" t="n"/>
      <c r="S984" s="152" t="n"/>
      <c r="T984" s="152" t="n"/>
      <c r="U984" s="152" t="n"/>
      <c r="V984" s="152" t="n"/>
      <c r="W984" s="152" t="n"/>
      <c r="X984" s="152" t="n"/>
      <c r="Y984" s="152" t="n"/>
    </row>
    <row r="985">
      <c r="A985" s="148">
        <f>IF($H202="UNIDADE CONSTRUTIVA",OFFSET(A202,-1,0)+1,LARGE(A$3:A201,1))</f>
        <v/>
      </c>
      <c r="B985" s="148">
        <f>IF(H202="UNIDADE CONSTRUTIVA",0,IF(H202="CÉLULA CONSTRUTIVA",OFFSET(B202,-1,0)+1,OFFSET(B202,-1,0)))</f>
        <v/>
      </c>
      <c r="C985" s="148">
        <f>IF(H202="CÉLULA CONSTRUTIVA",0,IF(H202="ETAPA",OFFSET(C202,-1,0)+1,OFFSET(C202,-1,0)))</f>
        <v/>
      </c>
      <c r="D985" s="149">
        <f>IF(H202="ETAPA",0,IF(H202="SUBETAPA",OFFSET(D202,-1,0)+1,OFFSET(D202,-1,0)))</f>
        <v/>
      </c>
      <c r="E985" s="149">
        <f>IF(H202="Subetapa",0,IF(H202="serviço",OFFSET(E202,-1,0)+1,OFFSET(E202,-1,0)))</f>
        <v/>
      </c>
      <c r="F985" s="150" t="n"/>
      <c r="G985" s="151" t="n"/>
      <c r="H985" s="137" t="inlineStr">
        <is>
          <t>SUBETAPA</t>
        </is>
      </c>
      <c r="I985" s="138">
        <f>IF(H202="Unidade Construtiva",TEXT(A202,"00"),IF(H202="Célula Construtiva",TEXT(B202,"00"),IF(H202="Etapa",CONCATENATE(TEXT(B202,"00"),".",TEXT(C202,"000")),IF(H202="Subetapa",CONCATENATE(TEXT(B202,"00"),".",TEXT(C202,"000"),".",TEXT(D202,"000")),IF(H202="Serviço",CONCATENATE(TEXT(B202,"00"),".",TEXT(C202,"000"),".",TEXT(D202,"000"),".",TEXT(E202,"000")),"")))))</f>
        <v/>
      </c>
      <c r="J985" s="139" t="inlineStr">
        <is>
          <t>Pontos de tomadas e interruptores</t>
        </is>
      </c>
      <c r="K985" s="140" t="n"/>
      <c r="L985" s="141" t="n"/>
      <c r="M985" s="141" t="n"/>
      <c r="N985" s="142">
        <f>IF(H202="Serviço",M202*L202,IF(H202="CÉLULA CONSTRUTIVA",SUMIFS($N$8:$N$754,$B$8:$B$754,B202,$H$8:$H$754,"Serviço"),IF(H202="ETAPA",SUMIFS($N$8:$N$754,$B$8:$B$754,B202,$C$8:$C$754,C202,$H$8:$H$754,"Serviço"),IF(H202="SUBETAPA",SUMIFS($N$8:$N$754,$B$8:$B$754,B202,$C$8:$C$754,C202,$D$8:$D$754,D202,$H$8:$H$754,"Serviço"),0))))</f>
        <v/>
      </c>
      <c r="O985" s="143" t="n"/>
      <c r="P985" s="144" t="n"/>
      <c r="Q985" s="144" t="n"/>
      <c r="R985" s="144" t="n"/>
      <c r="S985" s="152" t="n"/>
      <c r="T985" s="152" t="n"/>
      <c r="U985" s="152" t="n"/>
      <c r="V985" s="152" t="n"/>
      <c r="W985" s="152" t="n"/>
      <c r="X985" s="152" t="n"/>
      <c r="Y985" s="152" t="n"/>
    </row>
    <row r="986">
      <c r="A986" s="148">
        <f>IF($H203="UNIDADE CONSTRUTIVA",OFFSET(A203,-1,0)+1,LARGE(A$3:A202,1))</f>
        <v/>
      </c>
      <c r="B986" s="148">
        <f>IF(H203="UNIDADE CONSTRUTIVA",0,IF(H203="CÉLULA CONSTRUTIVA",OFFSET(B203,-1,0)+1,OFFSET(B203,-1,0)))</f>
        <v/>
      </c>
      <c r="C986" s="148">
        <f>IF(H203="CÉLULA CONSTRUTIVA",0,IF(H203="ETAPA",OFFSET(C203,-1,0)+1,OFFSET(C203,-1,0)))</f>
        <v/>
      </c>
      <c r="D986" s="149">
        <f>IF(H203="ETAPA",0,IF(H203="SUBETAPA",OFFSET(D203,-1,0)+1,OFFSET(D203,-1,0)))</f>
        <v/>
      </c>
      <c r="E986" s="149">
        <f>IF(H203="Subetapa",0,IF(H203="serviço",OFFSET(E203,-1,0)+1,OFFSET(E203,-1,0)))</f>
        <v/>
      </c>
      <c r="F986" s="150" t="n"/>
      <c r="G986" s="151" t="inlineStr">
        <is>
          <t>SISTEMAS E INSTALAÇÕES ELÉTRICAS</t>
        </is>
      </c>
      <c r="H986" s="137" t="inlineStr">
        <is>
          <t>SERVIÇO</t>
        </is>
      </c>
      <c r="I986" s="138">
        <f>IF(H203="Unidade Construtiva",TEXT(A203,"00"),IF(H203="Célula Construtiva",TEXT(B203,"00"),IF(H203="Etapa",CONCATENATE(TEXT(B203,"00"),".",TEXT(C203,"000")),IF(H203="Subetapa",CONCATENATE(TEXT(B203,"00"),".",TEXT(C203,"000"),".",TEXT(D203,"000")),IF(H203="Serviço",CONCATENATE(TEXT(B203,"00"),".",TEXT(C203,"000"),".",TEXT(D203,"000"),".",TEXT(E203,"000")),"")))))</f>
        <v/>
      </c>
      <c r="J986" s="139" t="inlineStr">
        <is>
          <t>Pontos de tomadas e interruptores</t>
        </is>
      </c>
      <c r="K986" s="140" t="inlineStr">
        <is>
          <t>vb</t>
        </is>
      </c>
      <c r="L986" s="141" t="n">
        <v>1</v>
      </c>
      <c r="M986" s="141">
        <f>Estimativa_Instalações!D24</f>
        <v/>
      </c>
      <c r="N986" s="142">
        <f>IF(H203="Serviço",M203*L203,IF(H203="CÉLULA CONSTRUTIVA",SUMIFS($N$8:$N$754,$B$8:$B$754,B203,$H$8:$H$754,"Serviço"),IF(H203="ETAPA",SUMIFS($N$8:$N$754,$B$8:$B$754,B203,$C$8:$C$754,C203,$H$8:$H$754,"Serviço"),IF(H203="SUBETAPA",SUMIFS($N$8:$N$754,$B$8:$B$754,B203,$C$8:$C$754,C203,$D$8:$D$754,D203,$H$8:$H$754,"Serviço"),0))))</f>
        <v/>
      </c>
      <c r="O986" s="50" t="inlineStr">
        <is>
          <t>Custo estimado com base em histórico, devido ausência de quantitativo</t>
        </is>
      </c>
      <c r="P986" s="144" t="n"/>
      <c r="Q986" s="144" t="n"/>
      <c r="R986" s="144" t="n"/>
      <c r="S986" s="152" t="n"/>
      <c r="T986" s="152" t="n"/>
      <c r="U986" s="152" t="n"/>
      <c r="V986" s="152" t="n"/>
      <c r="W986" s="152" t="n"/>
      <c r="X986" s="152" t="n"/>
      <c r="Y986" s="152" t="n"/>
    </row>
    <row r="987">
      <c r="A987" s="148">
        <f>IF($H204="UNIDADE CONSTRUTIVA",OFFSET(A204,-1,0)+1,LARGE(A$3:A203,1))</f>
        <v/>
      </c>
      <c r="B987" s="148">
        <f>IF(H204="UNIDADE CONSTRUTIVA",0,IF(H204="CÉLULA CONSTRUTIVA",OFFSET(B204,-1,0)+1,OFFSET(B204,-1,0)))</f>
        <v/>
      </c>
      <c r="C987" s="148">
        <f>IF(H204="CÉLULA CONSTRUTIVA",0,IF(H204="ETAPA",OFFSET(C204,-1,0)+1,OFFSET(C204,-1,0)))</f>
        <v/>
      </c>
      <c r="D987" s="149">
        <f>IF(H204="ETAPA",0,IF(H204="SUBETAPA",OFFSET(D204,-1,0)+1,OFFSET(D204,-1,0)))</f>
        <v/>
      </c>
      <c r="E987" s="149">
        <f>IF(H204="Subetapa",0,IF(H204="serviço",OFFSET(E204,-1,0)+1,OFFSET(E204,-1,0)))</f>
        <v/>
      </c>
      <c r="F987" s="150" t="n"/>
      <c r="G987" s="151" t="n"/>
      <c r="H987" s="137" t="inlineStr">
        <is>
          <t>SUBETAPA</t>
        </is>
      </c>
      <c r="I987" s="138">
        <f>IF(H204="Unidade Construtiva",TEXT(A204,"00"),IF(H204="Célula Construtiva",TEXT(B204,"00"),IF(H204="Etapa",CONCATENATE(TEXT(B204,"00"),".",TEXT(C204,"000")),IF(H204="Subetapa",CONCATENATE(TEXT(B204,"00"),".",TEXT(C204,"000"),".",TEXT(D204,"000")),IF(H204="Serviço",CONCATENATE(TEXT(B204,"00"),".",TEXT(C204,"000"),".",TEXT(D204,"000"),".",TEXT(E204,"000")),"")))))</f>
        <v/>
      </c>
      <c r="J987" s="139" t="inlineStr">
        <is>
          <t xml:space="preserve">Luminárias, lâmpadas e acessórios </t>
        </is>
      </c>
      <c r="K987" s="140" t="n"/>
      <c r="L987" s="141" t="n"/>
      <c r="M987" s="141" t="n"/>
      <c r="N987" s="142">
        <f>IF(H204="Serviço",M204*L204,IF(H204="CÉLULA CONSTRUTIVA",SUMIFS($N$8:$N$754,$B$8:$B$754,B204,$H$8:$H$754,"Serviço"),IF(H204="ETAPA",SUMIFS($N$8:$N$754,$B$8:$B$754,B204,$C$8:$C$754,C204,$H$8:$H$754,"Serviço"),IF(H204="SUBETAPA",SUMIFS($N$8:$N$754,$B$8:$B$754,B204,$C$8:$C$754,C204,$D$8:$D$754,D204,$H$8:$H$754,"Serviço"),0))))</f>
        <v/>
      </c>
      <c r="O987" s="143" t="n"/>
      <c r="P987" s="144" t="n"/>
      <c r="Q987" s="144" t="n"/>
      <c r="R987" s="144" t="n"/>
      <c r="S987" s="152" t="n"/>
      <c r="T987" s="152" t="n"/>
      <c r="U987" s="152" t="n"/>
      <c r="V987" s="152" t="n"/>
      <c r="W987" s="152" t="n"/>
      <c r="X987" s="152" t="n"/>
      <c r="Y987" s="152" t="n"/>
    </row>
    <row r="988">
      <c r="A988" s="148">
        <f>IF($H205="UNIDADE CONSTRUTIVA",OFFSET(A205,-1,0)+1,LARGE(A$3:A204,1))</f>
        <v/>
      </c>
      <c r="B988" s="148">
        <f>IF(H205="UNIDADE CONSTRUTIVA",0,IF(H205="CÉLULA CONSTRUTIVA",OFFSET(B205,-1,0)+1,OFFSET(B205,-1,0)))</f>
        <v/>
      </c>
      <c r="C988" s="148">
        <f>IF(H205="CÉLULA CONSTRUTIVA",0,IF(H205="ETAPA",OFFSET(C205,-1,0)+1,OFFSET(C205,-1,0)))</f>
        <v/>
      </c>
      <c r="D988" s="149">
        <f>IF(H205="ETAPA",0,IF(H205="SUBETAPA",OFFSET(D205,-1,0)+1,OFFSET(D205,-1,0)))</f>
        <v/>
      </c>
      <c r="E988" s="149">
        <f>IF(H205="Subetapa",0,IF(H205="serviço",OFFSET(E205,-1,0)+1,OFFSET(E205,-1,0)))</f>
        <v/>
      </c>
      <c r="F988" s="150" t="n"/>
      <c r="G988" s="151" t="inlineStr">
        <is>
          <t>SISTEMAS E INSTALAÇÕES ELÉTRICAS</t>
        </is>
      </c>
      <c r="H988" s="137" t="inlineStr">
        <is>
          <t>SERVIÇO</t>
        </is>
      </c>
      <c r="I988" s="138">
        <f>IF(H205="Unidade Construtiva",TEXT(A205,"00"),IF(H205="Célula Construtiva",TEXT(B205,"00"),IF(H205="Etapa",CONCATENATE(TEXT(B205,"00"),".",TEXT(C205,"000")),IF(H205="Subetapa",CONCATENATE(TEXT(B205,"00"),".",TEXT(C205,"000"),".",TEXT(D205,"000")),IF(H205="Serviço",CONCATENATE(TEXT(B205,"00"),".",TEXT(C205,"000"),".",TEXT(D205,"000"),".",TEXT(E205,"000")),"")))))</f>
        <v/>
      </c>
      <c r="J988" s="139" t="inlineStr">
        <is>
          <t>Luminárias, lâmpadas e acessórios</t>
        </is>
      </c>
      <c r="K988" s="140" t="inlineStr">
        <is>
          <t>vb</t>
        </is>
      </c>
      <c r="L988" s="141" t="n">
        <v>1</v>
      </c>
      <c r="M988" s="141">
        <f>Estimativa_Instalações!D25</f>
        <v/>
      </c>
      <c r="N988" s="142">
        <f>IF(H205="Serviço",M205*L205,IF(H205="CÉLULA CONSTRUTIVA",SUMIFS($N$8:$N$754,$B$8:$B$754,B205,$H$8:$H$754,"Serviço"),IF(H205="ETAPA",SUMIFS($N$8:$N$754,$B$8:$B$754,B205,$C$8:$C$754,C205,$H$8:$H$754,"Serviço"),IF(H205="SUBETAPA",SUMIFS($N$8:$N$754,$B$8:$B$754,B205,$C$8:$C$754,C205,$D$8:$D$754,D205,$H$8:$H$754,"Serviço"),0))))</f>
        <v/>
      </c>
      <c r="O988" s="50" t="inlineStr">
        <is>
          <t>Custo estimado com base em histórico, devido ausência de quantitativo</t>
        </is>
      </c>
      <c r="P988" s="144" t="n"/>
      <c r="Q988" s="144" t="n"/>
      <c r="R988" s="144" t="n"/>
      <c r="S988" s="152" t="n"/>
      <c r="T988" s="152" t="n"/>
      <c r="U988" s="152" t="n"/>
      <c r="V988" s="152" t="n"/>
      <c r="W988" s="152" t="n"/>
      <c r="X988" s="152" t="n"/>
      <c r="Y988" s="152" t="n"/>
    </row>
    <row r="989">
      <c r="A989" s="148">
        <f>IF($H206="UNIDADE CONSTRUTIVA",OFFSET(A206,-1,0)+1,LARGE(A$3:A205,1))</f>
        <v/>
      </c>
      <c r="B989" s="148">
        <f>IF(H206="UNIDADE CONSTRUTIVA",0,IF(H206="CÉLULA CONSTRUTIVA",OFFSET(B206,-1,0)+1,OFFSET(B206,-1,0)))</f>
        <v/>
      </c>
      <c r="C989" s="148">
        <f>IF(H206="CÉLULA CONSTRUTIVA",0,IF(H206="ETAPA",OFFSET(C206,-1,0)+1,OFFSET(C206,-1,0)))</f>
        <v/>
      </c>
      <c r="D989" s="149">
        <f>IF(H206="ETAPA",0,IF(H206="SUBETAPA",OFFSET(D206,-1,0)+1,OFFSET(D206,-1,0)))</f>
        <v/>
      </c>
      <c r="E989" s="149">
        <f>IF(H206="Subetapa",0,IF(H206="serviço",OFFSET(E206,-1,0)+1,OFFSET(E206,-1,0)))</f>
        <v/>
      </c>
      <c r="F989" s="150" t="n"/>
      <c r="G989" s="151" t="n"/>
      <c r="H989" s="137" t="inlineStr">
        <is>
          <t>SUBETAPA</t>
        </is>
      </c>
      <c r="I989" s="138">
        <f>IF(H206="Unidade Construtiva",TEXT(A206,"00"),IF(H206="Célula Construtiva",TEXT(B206,"00"),IF(H206="Etapa",CONCATENATE(TEXT(B206,"00"),".",TEXT(C206,"000")),IF(H206="Subetapa",CONCATENATE(TEXT(B206,"00"),".",TEXT(C206,"000"),".",TEXT(D206,"000")),IF(H206="Serviço",CONCATENATE(TEXT(B206,"00"),".",TEXT(C206,"000"),".",TEXT(D206,"000"),".",TEXT(E206,"000")),"")))))</f>
        <v/>
      </c>
      <c r="J989" s="139" t="inlineStr">
        <is>
          <t>Mão de obra - Sistemas e instalações elétricas</t>
        </is>
      </c>
      <c r="K989" s="140" t="n"/>
      <c r="L989" s="141" t="n"/>
      <c r="M989" s="141" t="n"/>
      <c r="N989" s="142">
        <f>IF(H206="Serviço",M206*L206,IF(H206="CÉLULA CONSTRUTIVA",SUMIFS($N$8:$N$754,$B$8:$B$754,B206,$H$8:$H$754,"Serviço"),IF(H206="ETAPA",SUMIFS($N$8:$N$754,$B$8:$B$754,B206,$C$8:$C$754,C206,$H$8:$H$754,"Serviço"),IF(H206="SUBETAPA",SUMIFS($N$8:$N$754,$B$8:$B$754,B206,$C$8:$C$754,C206,$D$8:$D$754,D206,$H$8:$H$754,"Serviço"),0))))</f>
        <v/>
      </c>
      <c r="O989" s="143" t="n"/>
      <c r="P989" s="144" t="n"/>
      <c r="Q989" s="144" t="n"/>
      <c r="R989" s="144" t="n"/>
      <c r="S989" s="152" t="n"/>
      <c r="T989" s="152" t="n"/>
      <c r="U989" s="152" t="n"/>
      <c r="V989" s="152" t="n"/>
      <c r="W989" s="152" t="n"/>
      <c r="X989" s="152" t="n"/>
      <c r="Y989" s="152" t="n"/>
    </row>
    <row r="990">
      <c r="A990" s="148">
        <f>IF($H207="UNIDADE CONSTRUTIVA",OFFSET(A207,-1,0)+1,LARGE(A$3:A206,1))</f>
        <v/>
      </c>
      <c r="B990" s="148">
        <f>IF(H207="UNIDADE CONSTRUTIVA",0,IF(H207="CÉLULA CONSTRUTIVA",OFFSET(B207,-1,0)+1,OFFSET(B207,-1,0)))</f>
        <v/>
      </c>
      <c r="C990" s="148">
        <f>IF(H207="CÉLULA CONSTRUTIVA",0,IF(H207="ETAPA",OFFSET(C207,-1,0)+1,OFFSET(C207,-1,0)))</f>
        <v/>
      </c>
      <c r="D990" s="149">
        <f>IF(H207="ETAPA",0,IF(H207="SUBETAPA",OFFSET(D207,-1,0)+1,OFFSET(D207,-1,0)))</f>
        <v/>
      </c>
      <c r="E990" s="149">
        <f>IF(H207="Subetapa",0,IF(H207="serviço",OFFSET(E207,-1,0)+1,OFFSET(E207,-1,0)))</f>
        <v/>
      </c>
      <c r="F990" s="150" t="n"/>
      <c r="G990" s="151" t="inlineStr">
        <is>
          <t>SISTEMAS E INSTALAÇÕES ELÉTRICAS</t>
        </is>
      </c>
      <c r="H990" s="137" t="inlineStr">
        <is>
          <t>SERVIÇO</t>
        </is>
      </c>
      <c r="I990" s="138">
        <f>IF(H207="Unidade Construtiva",TEXT(A207,"00"),IF(H207="Célula Construtiva",TEXT(B207,"00"),IF(H207="Etapa",CONCATENATE(TEXT(B207,"00"),".",TEXT(C207,"000")),IF(H207="Subetapa",CONCATENATE(TEXT(B207,"00"),".",TEXT(C207,"000"),".",TEXT(D207,"000")),IF(H207="Serviço",CONCATENATE(TEXT(B207,"00"),".",TEXT(C207,"000"),".",TEXT(D207,"000"),".",TEXT(E207,"000")),"")))))</f>
        <v/>
      </c>
      <c r="J990" s="139" t="inlineStr">
        <is>
          <t>Mão de obra para instalações elétricas</t>
        </is>
      </c>
      <c r="K990" s="140" t="inlineStr">
        <is>
          <t>vb</t>
        </is>
      </c>
      <c r="L990" s="141" t="n">
        <v>1</v>
      </c>
      <c r="M990" s="141">
        <f>Estimativa_Instalações!D26</f>
        <v/>
      </c>
      <c r="N990" s="142">
        <f>IF(H207="Serviço",M207*L207,IF(H207="CÉLULA CONSTRUTIVA",SUMIFS($N$8:$N$754,$B$8:$B$754,B207,$H$8:$H$754,"Serviço"),IF(H207="ETAPA",SUMIFS($N$8:$N$754,$B$8:$B$754,B207,$C$8:$C$754,C207,$H$8:$H$754,"Serviço"),IF(H207="SUBETAPA",SUMIFS($N$8:$N$754,$B$8:$B$754,B207,$C$8:$C$754,C207,$D$8:$D$754,D207,$H$8:$H$754,"Serviço"),0))))</f>
        <v/>
      </c>
      <c r="O990" s="50" t="inlineStr">
        <is>
          <t>Custo estimado com base em histórico, devido ausência de quantitativo</t>
        </is>
      </c>
      <c r="P990" s="144" t="n"/>
      <c r="Q990" s="144" t="n"/>
      <c r="R990" s="144" t="n"/>
      <c r="S990" s="152" t="n"/>
      <c r="T990" s="152" t="n"/>
      <c r="U990" s="152" t="n"/>
      <c r="V990" s="152" t="n"/>
      <c r="W990" s="152" t="n"/>
      <c r="X990" s="152" t="n"/>
      <c r="Y990" s="152" t="n"/>
    </row>
    <row r="991">
      <c r="A991" s="148">
        <f>IF($H208="UNIDADE CONSTRUTIVA",OFFSET(A208,-1,0)+1,LARGE(A$3:A207,1))</f>
        <v/>
      </c>
      <c r="B991" s="148">
        <f>IF(H208="UNIDADE CONSTRUTIVA",0,IF(H208="CÉLULA CONSTRUTIVA",OFFSET(B208,-1,0)+1,OFFSET(B208,-1,0)))</f>
        <v/>
      </c>
      <c r="C991" s="148">
        <f>IF(H208="CÉLULA CONSTRUTIVA",0,IF(H208="ETAPA",OFFSET(C208,-1,0)+1,OFFSET(C208,-1,0)))</f>
        <v/>
      </c>
      <c r="D991" s="149">
        <f>IF(H208="ETAPA",0,IF(H208="SUBETAPA",OFFSET(D208,-1,0)+1,OFFSET(D208,-1,0)))</f>
        <v/>
      </c>
      <c r="E991" s="149">
        <f>IF(H208="Subetapa",0,IF(H208="serviço",OFFSET(E208,-1,0)+1,OFFSET(E208,-1,0)))</f>
        <v/>
      </c>
      <c r="F991" s="150" t="n"/>
      <c r="G991" s="151" t="n"/>
      <c r="H991" s="137" t="inlineStr">
        <is>
          <t>CÉLULA CONSTRUTIVA</t>
        </is>
      </c>
      <c r="I991" s="138">
        <f>IF(H208="Unidade Construtiva",TEXT(A208,"00"),IF(H208="Célula Construtiva",TEXT(B208,"00"),IF(H208="Etapa",CONCATENATE(TEXT(B208,"00"),".",TEXT(C208,"000")),IF(H208="Subetapa",CONCATENATE(TEXT(B208,"00"),".",TEXT(C208,"000"),".",TEXT(D208,"000")),IF(H208="Serviço",CONCATENATE(TEXT(B208,"00"),".",TEXT(C208,"000"),".",TEXT(D208,"000"),".",TEXT(E208,"000")),"")))))</f>
        <v/>
      </c>
      <c r="J991" s="139" t="inlineStr">
        <is>
          <t>INSTALAÇÕES PREVENTIVAS</t>
        </is>
      </c>
      <c r="K991" s="140" t="n"/>
      <c r="L991" s="141" t="n"/>
      <c r="M991" s="141" t="n"/>
      <c r="N991" s="142">
        <f>IF(H208="Serviço",M208*L208,IF(H208="CÉLULA CONSTRUTIVA",SUMIFS($N$8:$N$754,$B$8:$B$754,B208,$H$8:$H$754,"Serviço"),IF(H208="ETAPA",SUMIFS($N$8:$N$754,$B$8:$B$754,B208,$C$8:$C$754,C208,$H$8:$H$754,"Serviço"),IF(H208="SUBETAPA",SUMIFS($N$8:$N$754,$B$8:$B$754,B208,$C$8:$C$754,C208,$D$8:$D$754,D208,$H$8:$H$754,"Serviço"),0))))</f>
        <v/>
      </c>
      <c r="O991" s="143">
        <f>N208/[7]CAPA!$C$10</f>
        <v/>
      </c>
      <c r="P991" s="155" t="n"/>
      <c r="Q991" s="155" t="n"/>
      <c r="R991" s="144" t="n"/>
      <c r="S991" s="152" t="n"/>
      <c r="T991" s="152" t="n"/>
      <c r="U991" s="152" t="n"/>
      <c r="V991" s="152" t="n"/>
      <c r="W991" s="152" t="n"/>
      <c r="X991" s="152" t="n"/>
      <c r="Y991" s="152" t="n"/>
    </row>
    <row r="992">
      <c r="A992" s="148">
        <f>IF($H209="UNIDADE CONSTRUTIVA",OFFSET(A209,-1,0)+1,LARGE(A$3:A208,1))</f>
        <v/>
      </c>
      <c r="B992" s="148">
        <f>IF(H209="UNIDADE CONSTRUTIVA",0,IF(H209="CÉLULA CONSTRUTIVA",OFFSET(B209,-1,0)+1,OFFSET(B209,-1,0)))</f>
        <v/>
      </c>
      <c r="C992" s="148">
        <f>IF(H209="CÉLULA CONSTRUTIVA",0,IF(H209="ETAPA",OFFSET(C209,-1,0)+1,OFFSET(C209,-1,0)))</f>
        <v/>
      </c>
      <c r="D992" s="149">
        <f>IF(H209="ETAPA",0,IF(H209="SUBETAPA",OFFSET(D209,-1,0)+1,OFFSET(D209,-1,0)))</f>
        <v/>
      </c>
      <c r="E992" s="149">
        <f>IF(H209="Subetapa",0,IF(H209="serviço",OFFSET(E209,-1,0)+1,OFFSET(E209,-1,0)))</f>
        <v/>
      </c>
      <c r="F992" s="150" t="n"/>
      <c r="G992" s="151" t="n"/>
      <c r="H992" s="137" t="inlineStr">
        <is>
          <t>ETAPA</t>
        </is>
      </c>
      <c r="I992" s="138">
        <f>IF(H209="Unidade Construtiva",TEXT(A209,"00"),IF(H209="Célula Construtiva",TEXT(B209,"00"),IF(H209="Etapa",CONCATENATE(TEXT(B209,"00"),".",TEXT(C209,"000")),IF(H209="Subetapa",CONCATENATE(TEXT(B209,"00"),".",TEXT(C209,"000"),".",TEXT(D209,"000")),IF(H209="Serviço",CONCATENATE(TEXT(B209,"00"),".",TEXT(C209,"000"),".",TEXT(D209,"000"),".",TEXT(E209,"000")),"")))))</f>
        <v/>
      </c>
      <c r="J992" s="139" t="inlineStr">
        <is>
          <t>INSTALAÇÕES PREVENTIVAS</t>
        </is>
      </c>
      <c r="K992" s="140" t="n"/>
      <c r="L992" s="141" t="n"/>
      <c r="M992" s="141" t="n"/>
      <c r="N992" s="142">
        <f>IF(H209="Serviço",M209*L209,IF(H209="CÉLULA CONSTRUTIVA",SUMIFS($N$8:$N$754,$B$8:$B$754,B209,$H$8:$H$754,"Serviço"),IF(H209="ETAPA",SUMIFS($N$8:$N$754,$B$8:$B$754,B209,$C$8:$C$754,C209,$H$8:$H$754,"Serviço"),IF(H209="SUBETAPA",SUMIFS($N$8:$N$754,$B$8:$B$754,B209,$C$8:$C$754,C209,$D$8:$D$754,D209,$H$8:$H$754,"Serviço"),0))))</f>
        <v/>
      </c>
      <c r="O992" s="143" t="n"/>
      <c r="P992" s="144" t="n"/>
      <c r="Q992" s="144" t="n"/>
      <c r="R992" s="144" t="n"/>
      <c r="S992" s="152" t="n"/>
      <c r="T992" s="152" t="n"/>
      <c r="U992" s="152" t="n"/>
      <c r="V992" s="152" t="n"/>
      <c r="W992" s="152" t="n"/>
      <c r="X992" s="152" t="n"/>
      <c r="Y992" s="152" t="n"/>
    </row>
    <row r="993">
      <c r="A993" s="148">
        <f>IF($H210="UNIDADE CONSTRUTIVA",OFFSET(A210,-1,0)+1,LARGE(A$3:A206,1))</f>
        <v/>
      </c>
      <c r="B993" s="148">
        <f>IF(H210="UNIDADE CONSTRUTIVA",0,IF(H210="CÉLULA CONSTRUTIVA",OFFSET(B210,-1,0)+1,OFFSET(B210,-1,0)))</f>
        <v/>
      </c>
      <c r="C993" s="148">
        <f>IF(H210="CÉLULA CONSTRUTIVA",0,IF(H210="ETAPA",OFFSET(C210,-1,0)+1,OFFSET(C210,-1,0)))</f>
        <v/>
      </c>
      <c r="D993" s="149">
        <f>IF(H210="ETAPA",0,IF(H210="SUBETAPA",OFFSET(D210,-1,0)+1,OFFSET(D210,-1,0)))</f>
        <v/>
      </c>
      <c r="E993" s="149">
        <f>IF(H210="Subetapa",0,IF(H210="serviço",OFFSET(E210,-1,0)+1,OFFSET(E210,-1,0)))</f>
        <v/>
      </c>
      <c r="F993" s="150" t="n"/>
      <c r="G993" s="151" t="n"/>
      <c r="H993" s="137" t="inlineStr">
        <is>
          <t>SUBETAPA</t>
        </is>
      </c>
      <c r="I993" s="138">
        <f>IF(H210="Unidade Construtiva",TEXT(A210,"00"),IF(H210="Célula Construtiva",TEXT(B210,"00"),IF(H210="Etapa",CONCATENATE(TEXT(B210,"00"),".",TEXT(C210,"000")),IF(H210="Subetapa",CONCATENATE(TEXT(B210,"00"),".",TEXT(C210,"000"),".",TEXT(D210,"000")),IF(H210="Serviço",CONCATENATE(TEXT(B210,"00"),".",TEXT(C210,"000"),".",TEXT(D210,"000"),".",TEXT(E210,"000")),"")))))</f>
        <v/>
      </c>
      <c r="J993" s="139" t="inlineStr">
        <is>
          <t>Instalações Preventivas</t>
        </is>
      </c>
      <c r="K993" s="140" t="n"/>
      <c r="L993" s="141" t="n"/>
      <c r="M993" s="141" t="n"/>
      <c r="N993" s="142">
        <f>IF(H210="Serviço",M210*L210,IF(H210="CÉLULA CONSTRUTIVA",SUMIFS($N$8:$N$754,$B$8:$B$754,B210,$H$8:$H$754,"Serviço"),IF(H210="ETAPA",SUMIFS($N$8:$N$754,$B$8:$B$754,B210,$C$8:$C$754,C210,$H$8:$H$754,"Serviço"),IF(H210="SUBETAPA",SUMIFS($N$8:$N$754,$B$8:$B$754,B210,$C$8:$C$754,C210,$D$8:$D$754,D210,$H$8:$H$754,"Serviço"),0))))</f>
        <v/>
      </c>
      <c r="O993" s="143" t="n"/>
      <c r="P993" s="144" t="n"/>
      <c r="Q993" s="144" t="n"/>
      <c r="R993" s="144" t="n"/>
      <c r="S993" s="152" t="n"/>
      <c r="T993" s="152" t="n"/>
      <c r="U993" s="152" t="n"/>
      <c r="V993" s="152" t="n"/>
      <c r="W993" s="152" t="n"/>
      <c r="X993" s="152" t="n"/>
      <c r="Y993" s="152" t="n"/>
    </row>
    <row r="994">
      <c r="A994" s="148">
        <f>IF($H211="UNIDADE CONSTRUTIVA",OFFSET(A211,-1,0)+1,LARGE(A$3:A206,1))</f>
        <v/>
      </c>
      <c r="B994" s="148">
        <f>IF(H211="UNIDADE CONSTRUTIVA",0,IF(H211="CÉLULA CONSTRUTIVA",OFFSET(B211,-1,0)+1,OFFSET(B211,-1,0)))</f>
        <v/>
      </c>
      <c r="C994" s="148">
        <f>IF(H211="CÉLULA CONSTRUTIVA",0,IF(H211="ETAPA",OFFSET(C211,-1,0)+1,OFFSET(C211,-1,0)))</f>
        <v/>
      </c>
      <c r="D994" s="149">
        <f>IF(H211="ETAPA",0,IF(H211="SUBETAPA",OFFSET(D211,-1,0)+1,OFFSET(D211,-1,0)))</f>
        <v/>
      </c>
      <c r="E994" s="149">
        <f>IF(H211="Subetapa",0,IF(H211="serviço",OFFSET(E211,-1,0)+1,OFFSET(E211,-1,0)))</f>
        <v/>
      </c>
      <c r="F994" s="150" t="n"/>
      <c r="G994" s="151" t="inlineStr">
        <is>
          <t>INSTALAÇÕES PREVENTIVAS</t>
        </is>
      </c>
      <c r="H994" s="137" t="inlineStr">
        <is>
          <t>SERVIÇO</t>
        </is>
      </c>
      <c r="I994" s="138">
        <f>IF(H211="Unidade Construtiva",TEXT(A211,"00"),IF(H211="Célula Construtiva",TEXT(B211,"00"),IF(H211="Etapa",CONCATENATE(TEXT(B211,"00"),".",TEXT(C211,"000")),IF(H211="Subetapa",CONCATENATE(TEXT(B211,"00"),".",TEXT(C211,"000"),".",TEXT(D211,"000")),IF(H211="Serviço",CONCATENATE(TEXT(B211,"00"),".",TEXT(C211,"000"),".",TEXT(D211,"000"),".",TEXT(E211,"000")),"")))))</f>
        <v/>
      </c>
      <c r="J994" s="139" t="inlineStr">
        <is>
          <t>Instalações do Sistema Preventivo de Incendio</t>
        </is>
      </c>
      <c r="K994" s="140" t="inlineStr">
        <is>
          <t>vb</t>
        </is>
      </c>
      <c r="L994" s="141" t="n">
        <v>1</v>
      </c>
      <c r="M994" s="141">
        <f>Estimativa_Instalações!D28</f>
        <v/>
      </c>
      <c r="N994" s="142">
        <f>IF(H211="Serviço",M211*L211,IF(H211="CÉLULA CONSTRUTIVA",SUMIFS($N$8:$N$754,$B$8:$B$754,B211,$H$8:$H$754,"Serviço"),IF(H211="ETAPA",SUMIFS($N$8:$N$754,$B$8:$B$754,B211,$C$8:$C$754,C211,$H$8:$H$754,"Serviço"),IF(H211="SUBETAPA",SUMIFS($N$8:$N$754,$B$8:$B$754,B211,$C$8:$C$754,C211,$D$8:$D$754,D211,$H$8:$H$754,"Serviço"),0))))</f>
        <v/>
      </c>
      <c r="O994" s="50" t="inlineStr">
        <is>
          <t>Custo estimado com base em histórico, devido ausência de quantitativo</t>
        </is>
      </c>
      <c r="P994" s="144" t="n"/>
      <c r="Q994" s="144" t="n"/>
      <c r="R994" s="144" t="n"/>
      <c r="S994" s="152" t="n"/>
      <c r="T994" s="152" t="n"/>
      <c r="U994" s="152" t="n"/>
      <c r="V994" s="152" t="n"/>
      <c r="W994" s="152" t="n"/>
      <c r="X994" s="152" t="n"/>
      <c r="Y994" s="152" t="n"/>
    </row>
    <row r="995">
      <c r="A995" s="148">
        <f>IF($H212="UNIDADE CONSTRUTIVA",OFFSET(A212,-1,0)+1,LARGE(A$3:A208,1))</f>
        <v/>
      </c>
      <c r="B995" s="148">
        <f>IF(H212="UNIDADE CONSTRUTIVA",0,IF(H212="CÉLULA CONSTRUTIVA",OFFSET(B212,-1,0)+1,OFFSET(B212,-1,0)))</f>
        <v/>
      </c>
      <c r="C995" s="148">
        <f>IF(H212="CÉLULA CONSTRUTIVA",0,IF(H212="ETAPA",OFFSET(C212,-1,0)+1,OFFSET(C212,-1,0)))</f>
        <v/>
      </c>
      <c r="D995" s="149">
        <f>IF(H212="ETAPA",0,IF(H212="SUBETAPA",OFFSET(D212,-1,0)+1,OFFSET(D212,-1,0)))</f>
        <v/>
      </c>
      <c r="E995" s="149">
        <f>IF(H212="Subetapa",0,IF(H212="serviço",OFFSET(E212,-1,0)+1,OFFSET(E212,-1,0)))</f>
        <v/>
      </c>
      <c r="F995" s="150" t="n"/>
      <c r="G995" s="151" t="n"/>
      <c r="H995" s="137" t="inlineStr">
        <is>
          <t>SUBETAPA</t>
        </is>
      </c>
      <c r="I995" s="138">
        <f>IF(H212="Unidade Construtiva",TEXT(A212,"00"),IF(H212="Célula Construtiva",TEXT(B212,"00"),IF(H212="Etapa",CONCATENATE(TEXT(B212,"00"),".",TEXT(C212,"000")),IF(H212="Subetapa",CONCATENATE(TEXT(B212,"00"),".",TEXT(C212,"000"),".",TEXT(D212,"000")),IF(H212="Serviço",CONCATENATE(TEXT(B212,"00"),".",TEXT(C212,"000"),".",TEXT(D212,"000"),".",TEXT(E212,"000")),"")))))</f>
        <v/>
      </c>
      <c r="J995" s="139" t="inlineStr">
        <is>
          <t>Instalações de proteção e aterramento -SPDA</t>
        </is>
      </c>
      <c r="K995" s="140" t="n"/>
      <c r="L995" s="141" t="n"/>
      <c r="M995" s="141" t="n"/>
      <c r="N995" s="142">
        <f>IF(H212="Serviço",M212*L212,IF(H212="CÉLULA CONSTRUTIVA",SUMIFS($N$8:$N$754,$B$8:$B$754,B212,$H$8:$H$754,"Serviço"),IF(H212="ETAPA",SUMIFS($N$8:$N$754,$B$8:$B$754,B212,$C$8:$C$754,C212,$H$8:$H$754,"Serviço"),IF(H212="SUBETAPA",SUMIFS($N$8:$N$754,$B$8:$B$754,B212,$C$8:$C$754,C212,$D$8:$D$754,D212,$H$8:$H$754,"Serviço"),0))))</f>
        <v/>
      </c>
      <c r="O995" s="143" t="n"/>
      <c r="P995" s="144" t="n"/>
      <c r="Q995" s="144" t="n"/>
      <c r="R995" s="144" t="n"/>
      <c r="S995" s="152" t="n"/>
      <c r="T995" s="152" t="n"/>
      <c r="U995" s="152" t="n"/>
      <c r="V995" s="152" t="n"/>
      <c r="W995" s="152" t="n"/>
      <c r="X995" s="152" t="n"/>
      <c r="Y995" s="152" t="n"/>
    </row>
    <row r="996">
      <c r="A996" s="148">
        <f>IF($H213="UNIDADE CONSTRUTIVA",OFFSET(A213,-1,0)+1,LARGE(A$3:A209,1))</f>
        <v/>
      </c>
      <c r="B996" s="148">
        <f>IF(H213="UNIDADE CONSTRUTIVA",0,IF(H213="CÉLULA CONSTRUTIVA",OFFSET(B213,-1,0)+1,OFFSET(B213,-1,0)))</f>
        <v/>
      </c>
      <c r="C996" s="148">
        <f>IF(H213="CÉLULA CONSTRUTIVA",0,IF(H213="ETAPA",OFFSET(C213,-1,0)+1,OFFSET(C213,-1,0)))</f>
        <v/>
      </c>
      <c r="D996" s="149">
        <f>IF(H213="ETAPA",0,IF(H213="SUBETAPA",OFFSET(D213,-1,0)+1,OFFSET(D213,-1,0)))</f>
        <v/>
      </c>
      <c r="E996" s="149">
        <f>IF(H213="Subetapa",0,IF(H213="serviço",OFFSET(E213,-1,0)+1,OFFSET(E213,-1,0)))</f>
        <v/>
      </c>
      <c r="F996" s="150" t="n"/>
      <c r="G996" s="151" t="inlineStr">
        <is>
          <t>INSTALAÇÕES PREVENTIVAS</t>
        </is>
      </c>
      <c r="H996" s="137" t="inlineStr">
        <is>
          <t>SERVIÇO</t>
        </is>
      </c>
      <c r="I996" s="138">
        <f>IF(H213="Unidade Construtiva",TEXT(A213,"00"),IF(H213="Célula Construtiva",TEXT(B213,"00"),IF(H213="Etapa",CONCATENATE(TEXT(B213,"00"),".",TEXT(C213,"000")),IF(H213="Subetapa",CONCATENATE(TEXT(B213,"00"),".",TEXT(C213,"000"),".",TEXT(D213,"000")),IF(H213="Serviço",CONCATENATE(TEXT(B213,"00"),".",TEXT(C213,"000"),".",TEXT(D213,"000"),".",TEXT(E213,"000")),"")))))</f>
        <v/>
      </c>
      <c r="J996" s="139" t="inlineStr">
        <is>
          <t>Instalações de proteção e aterramento -SPDA</t>
        </is>
      </c>
      <c r="K996" s="140" t="inlineStr">
        <is>
          <t>vb</t>
        </is>
      </c>
      <c r="L996" s="141" t="n">
        <v>1</v>
      </c>
      <c r="M996" s="141">
        <f>SPDA!N7</f>
        <v/>
      </c>
      <c r="N996" s="142">
        <f>IF(H213="Serviço",M213*L213,IF(H213="CÉLULA CONSTRUTIVA",SUMIFS($N$8:$N$754,$B$8:$B$754,B213,$H$8:$H$754,"Serviço"),IF(H213="ETAPA",SUMIFS($N$8:$N$754,$B$8:$B$754,B213,$C$8:$C$754,C213,$H$8:$H$754,"Serviço"),IF(H213="SUBETAPA",SUMIFS($N$8:$N$754,$B$8:$B$754,B213,$C$8:$C$754,C213,$D$8:$D$754,D213,$H$8:$H$754,"Serviço"),0))))</f>
        <v/>
      </c>
      <c r="O996" s="50" t="inlineStr">
        <is>
          <t>Conforme quantitativo de projeto</t>
        </is>
      </c>
      <c r="P996" s="144" t="n"/>
      <c r="Q996" s="144" t="n"/>
      <c r="R996" s="144" t="n"/>
      <c r="S996" s="152" t="n"/>
      <c r="T996" s="152" t="n"/>
      <c r="U996" s="152" t="n"/>
      <c r="V996" s="152" t="n"/>
      <c r="W996" s="152" t="n"/>
      <c r="X996" s="152" t="n"/>
      <c r="Y996" s="152" t="n"/>
    </row>
    <row r="997">
      <c r="A997" s="148">
        <f>IF($H214="UNIDADE CONSTRUTIVA",OFFSET(A214,-1,0)+1,LARGE(A$3:A210,1))</f>
        <v/>
      </c>
      <c r="B997" s="148">
        <f>IF(H214="UNIDADE CONSTRUTIVA",0,IF(H214="CÉLULA CONSTRUTIVA",OFFSET(B214,-1,0)+1,OFFSET(B214,-1,0)))</f>
        <v/>
      </c>
      <c r="C997" s="148">
        <f>IF(H214="CÉLULA CONSTRUTIVA",0,IF(H214="ETAPA",OFFSET(C214,-1,0)+1,OFFSET(C214,-1,0)))</f>
        <v/>
      </c>
      <c r="D997" s="149">
        <f>IF(H214="ETAPA",0,IF(H214="SUBETAPA",OFFSET(D214,-1,0)+1,OFFSET(D214,-1,0)))</f>
        <v/>
      </c>
      <c r="E997" s="149">
        <f>IF(H214="Subetapa",0,IF(H214="serviço",OFFSET(E214,-1,0)+1,OFFSET(E214,-1,0)))</f>
        <v/>
      </c>
      <c r="F997" s="150" t="n"/>
      <c r="G997" s="151" t="n"/>
      <c r="H997" s="137" t="inlineStr">
        <is>
          <t>SUBETAPA</t>
        </is>
      </c>
      <c r="I997" s="138">
        <f>IF(H214="Unidade Construtiva",TEXT(A214,"00"),IF(H214="Célula Construtiva",TEXT(B214,"00"),IF(H214="Etapa",CONCATENATE(TEXT(B214,"00"),".",TEXT(C214,"000")),IF(H214="Subetapa",CONCATENATE(TEXT(B214,"00"),".",TEXT(C214,"000"),".",TEXT(D214,"000")),IF(H214="Serviço",CONCATENATE(TEXT(B214,"00"),".",TEXT(C214,"000"),".",TEXT(D214,"000"),".",TEXT(E214,"000")),"")))))</f>
        <v/>
      </c>
      <c r="J997" s="139" t="inlineStr">
        <is>
          <t>Mão de obra</t>
        </is>
      </c>
      <c r="K997" s="140" t="n"/>
      <c r="L997" s="141" t="n"/>
      <c r="M997" s="141" t="n"/>
      <c r="N997" s="142">
        <f>IF(H214="Serviço",M214*L214,IF(H214="CÉLULA CONSTRUTIVA",SUMIFS($N$8:$N$754,$B$8:$B$754,B214,$H$8:$H$754,"Serviço"),IF(H214="ETAPA",SUMIFS($N$8:$N$754,$B$8:$B$754,B214,$C$8:$C$754,C214,$H$8:$H$754,"Serviço"),IF(H214="SUBETAPA",SUMIFS($N$8:$N$754,$B$8:$B$754,B214,$C$8:$C$754,C214,$D$8:$D$754,D214,$H$8:$H$754,"Serviço"),0))))</f>
        <v/>
      </c>
      <c r="O997" s="143" t="n"/>
      <c r="P997" s="144" t="n"/>
      <c r="Q997" s="144" t="n"/>
      <c r="R997" s="144" t="n"/>
      <c r="S997" s="152" t="n"/>
      <c r="T997" s="152" t="n"/>
      <c r="U997" s="152" t="n"/>
      <c r="V997" s="152" t="n"/>
      <c r="W997" s="152" t="n"/>
      <c r="X997" s="152" t="n"/>
      <c r="Y997" s="152" t="n"/>
    </row>
    <row r="998">
      <c r="A998" s="148">
        <f>IF($H215="UNIDADE CONSTRUTIVA",OFFSET(A215,-1,0)+1,LARGE(A$3:A211,1))</f>
        <v/>
      </c>
      <c r="B998" s="148">
        <f>IF(H215="UNIDADE CONSTRUTIVA",0,IF(H215="CÉLULA CONSTRUTIVA",OFFSET(B215,-1,0)+1,OFFSET(B215,-1,0)))</f>
        <v/>
      </c>
      <c r="C998" s="148">
        <f>IF(H215="CÉLULA CONSTRUTIVA",0,IF(H215="ETAPA",OFFSET(C215,-1,0)+1,OFFSET(C215,-1,0)))</f>
        <v/>
      </c>
      <c r="D998" s="149">
        <f>IF(H215="ETAPA",0,IF(H215="SUBETAPA",OFFSET(D215,-1,0)+1,OFFSET(D215,-1,0)))</f>
        <v/>
      </c>
      <c r="E998" s="149">
        <f>IF(H215="Subetapa",0,IF(H215="serviço",OFFSET(E215,-1,0)+1,OFFSET(E215,-1,0)))</f>
        <v/>
      </c>
      <c r="F998" s="150" t="n"/>
      <c r="G998" s="151" t="inlineStr">
        <is>
          <t>INSTALAÇÕES PREVENTIVAS</t>
        </is>
      </c>
      <c r="H998" s="137" t="inlineStr">
        <is>
          <t>SERVIÇO</t>
        </is>
      </c>
      <c r="I998" s="138">
        <f>IF(H215="Unidade Construtiva",TEXT(A215,"00"),IF(H215="Célula Construtiva",TEXT(B215,"00"),IF(H215="Etapa",CONCATENATE(TEXT(B215,"00"),".",TEXT(C215,"000")),IF(H215="Subetapa",CONCATENATE(TEXT(B215,"00"),".",TEXT(C215,"000"),".",TEXT(D215,"000")),IF(H215="Serviço",CONCATENATE(TEXT(B215,"00"),".",TEXT(C215,"000"),".",TEXT(D215,"000"),".",TEXT(E215,"000")),"")))))</f>
        <v/>
      </c>
      <c r="J998" s="139" t="inlineStr">
        <is>
          <t>Mão de obra de instalações preventivas</t>
        </is>
      </c>
      <c r="K998" s="140" t="inlineStr">
        <is>
          <t>vb</t>
        </is>
      </c>
      <c r="L998" s="141" t="n">
        <v>1</v>
      </c>
      <c r="M998" s="141">
        <f>Estimativa_Instalações!D30+SPDA!N8</f>
        <v/>
      </c>
      <c r="N998" s="142">
        <f>IF(H215="Serviço",M215*L215,IF(H215="CÉLULA CONSTRUTIVA",SUMIFS($N$8:$N$754,$B$8:$B$754,B215,$H$8:$H$754,"Serviço"),IF(H215="ETAPA",SUMIFS($N$8:$N$754,$B$8:$B$754,B215,$C$8:$C$754,C215,$H$8:$H$754,"Serviço"),IF(H215="SUBETAPA",SUMIFS($N$8:$N$754,$B$8:$B$754,B215,$C$8:$C$754,C215,$D$8:$D$754,D215,$H$8:$H$754,"Serviço"),0))))</f>
        <v/>
      </c>
      <c r="O998" s="50" t="inlineStr">
        <is>
          <t>Conforme quantitativo de projeto</t>
        </is>
      </c>
      <c r="P998" s="144" t="n"/>
      <c r="Q998" s="144" t="n"/>
      <c r="R998" s="144" t="n"/>
      <c r="S998" s="152" t="n"/>
      <c r="T998" s="152" t="n"/>
      <c r="U998" s="152" t="n"/>
      <c r="V998" s="152" t="n"/>
      <c r="W998" s="152" t="n"/>
      <c r="X998" s="152" t="n"/>
      <c r="Y998" s="152" t="n"/>
    </row>
    <row r="999">
      <c r="A999" s="148">
        <f>IF($H216="UNIDADE CONSTRUTIVA",OFFSET(A216,-1,0)+1,LARGE(A$3:A213,1))</f>
        <v/>
      </c>
      <c r="B999" s="148">
        <f>IF(H216="UNIDADE CONSTRUTIVA",0,IF(H216="CÉLULA CONSTRUTIVA",OFFSET(B216,-1,0)+1,OFFSET(B216,-1,0)))</f>
        <v/>
      </c>
      <c r="C999" s="148">
        <f>IF(H216="CÉLULA CONSTRUTIVA",0,IF(H216="ETAPA",OFFSET(C216,-1,0)+1,OFFSET(C216,-1,0)))</f>
        <v/>
      </c>
      <c r="D999" s="149">
        <f>IF(H216="ETAPA",0,IF(H216="SUBETAPA",OFFSET(D216,-1,0)+1,OFFSET(D216,-1,0)))</f>
        <v/>
      </c>
      <c r="E999" s="149">
        <f>IF(H216="Subetapa",0,IF(H216="serviço",OFFSET(E216,-1,0)+1,OFFSET(E216,-1,0)))</f>
        <v/>
      </c>
      <c r="F999" s="150" t="n"/>
      <c r="G999" s="151" t="n"/>
      <c r="H999" s="137" t="inlineStr">
        <is>
          <t>CÉLULA CONSTRUTIVA</t>
        </is>
      </c>
      <c r="I999" s="138">
        <f>IF(H216="Unidade Construtiva",TEXT(A216,"00"),IF(H216="Célula Construtiva",TEXT(B216,"00"),IF(H216="Etapa",CONCATENATE(TEXT(B216,"00"),".",TEXT(C216,"000")),IF(H216="Subetapa",CONCATENATE(TEXT(B216,"00"),".",TEXT(C216,"000"),".",TEXT(D216,"000")),IF(H216="Serviço",CONCATENATE(TEXT(B216,"00"),".",TEXT(C216,"000"),".",TEXT(D216,"000"),".",TEXT(E216,"000")),"")))))</f>
        <v/>
      </c>
      <c r="J999" s="139" t="inlineStr">
        <is>
          <t>INSTALAÇÕES DE GÁS</t>
        </is>
      </c>
      <c r="K999" s="140" t="n"/>
      <c r="L999" s="141" t="n"/>
      <c r="M999" s="141" t="n"/>
      <c r="N999" s="142">
        <f>IF(H216="Serviço",M216*L216,IF(H216="CÉLULA CONSTRUTIVA",SUMIFS($N$8:$N$754,$B$8:$B$754,B216,$H$8:$H$754,"Serviço"),IF(H216="ETAPA",SUMIFS($N$8:$N$754,$B$8:$B$754,B216,$C$8:$C$754,C216,$H$8:$H$754,"Serviço"),IF(H216="SUBETAPA",SUMIFS($N$8:$N$754,$B$8:$B$754,B216,$C$8:$C$754,C216,$D$8:$D$754,D216,$H$8:$H$754,"Serviço"),0))))</f>
        <v/>
      </c>
      <c r="O999" s="143">
        <f>N216/[7]CAPA!$C$10</f>
        <v/>
      </c>
      <c r="P999" s="155" t="n"/>
      <c r="Q999" s="155" t="n"/>
      <c r="R999" s="144" t="n"/>
      <c r="S999" s="152" t="n"/>
      <c r="T999" s="152" t="n"/>
      <c r="U999" s="152" t="n"/>
      <c r="V999" s="152" t="n"/>
      <c r="W999" s="152" t="n"/>
      <c r="X999" s="152" t="n"/>
      <c r="Y999" s="152" t="n"/>
    </row>
    <row r="1000">
      <c r="A1000" s="148">
        <f>IF($H217="UNIDADE CONSTRUTIVA",OFFSET(A217,-1,0)+1,LARGE(A$3:A216,1))</f>
        <v/>
      </c>
      <c r="B1000" s="148">
        <f>IF(H217="UNIDADE CONSTRUTIVA",0,IF(H217="CÉLULA CONSTRUTIVA",OFFSET(B217,-1,0)+1,OFFSET(B217,-1,0)))</f>
        <v/>
      </c>
      <c r="C1000" s="148">
        <f>IF(H217="CÉLULA CONSTRUTIVA",0,IF(H217="ETAPA",OFFSET(C217,-1,0)+1,OFFSET(C217,-1,0)))</f>
        <v/>
      </c>
      <c r="D1000" s="149">
        <f>IF(H217="ETAPA",0,IF(H217="SUBETAPA",OFFSET(D217,-1,0)+1,OFFSET(D217,-1,0)))</f>
        <v/>
      </c>
      <c r="E1000" s="149">
        <f>IF(H217="Subetapa",0,IF(H217="serviço",OFFSET(E217,-1,0)+1,OFFSET(E217,-1,0)))</f>
        <v/>
      </c>
      <c r="F1000" s="150" t="n"/>
      <c r="G1000" s="151" t="n"/>
      <c r="H1000" s="137" t="inlineStr">
        <is>
          <t>ETAPA</t>
        </is>
      </c>
      <c r="I1000" s="138">
        <f>IF(H217="Unidade Construtiva",TEXT(A217,"00"),IF(H217="Célula Construtiva",TEXT(B217,"00"),IF(H217="Etapa",CONCATENATE(TEXT(B217,"00"),".",TEXT(C217,"000")),IF(H217="Subetapa",CONCATENATE(TEXT(B217,"00"),".",TEXT(C217,"000"),".",TEXT(D217,"000")),IF(H217="Serviço",CONCATENATE(TEXT(B217,"00"),".",TEXT(C217,"000"),".",TEXT(D217,"000"),".",TEXT(E217,"000")),"")))))</f>
        <v/>
      </c>
      <c r="J1000" s="139" t="inlineStr">
        <is>
          <t>INSTALAÇÕES DE GÁS</t>
        </is>
      </c>
      <c r="K1000" s="140" t="n"/>
      <c r="L1000" s="141" t="n"/>
      <c r="M1000" s="141" t="n"/>
      <c r="N1000" s="142">
        <f>IF(H217="Serviço",M217*L217,IF(H217="CÉLULA CONSTRUTIVA",SUMIFS($N$8:$N$754,$B$8:$B$754,B217,$H$8:$H$754,"Serviço"),IF(H217="ETAPA",SUMIFS($N$8:$N$754,$B$8:$B$754,B217,$C$8:$C$754,C217,$H$8:$H$754,"Serviço"),IF(H217="SUBETAPA",SUMIFS($N$8:$N$754,$B$8:$B$754,B217,$C$8:$C$754,C217,$D$8:$D$754,D217,$H$8:$H$754,"Serviço"),0))))</f>
        <v/>
      </c>
      <c r="O1000" s="143" t="n"/>
      <c r="P1000" s="144" t="n"/>
      <c r="Q1000" s="144" t="n"/>
      <c r="R1000" s="144" t="n"/>
      <c r="S1000" s="152" t="n"/>
      <c r="T1000" s="152" t="n"/>
      <c r="U1000" s="152" t="n"/>
      <c r="V1000" s="152" t="n"/>
      <c r="W1000" s="152" t="n"/>
      <c r="X1000" s="152" t="n"/>
      <c r="Y1000" s="152" t="n"/>
    </row>
    <row r="1001">
      <c r="A1001" s="148">
        <f>IF($H218="UNIDADE CONSTRUTIVA",OFFSET(A218,-1,0)+1,LARGE(A$3:A213,1))</f>
        <v/>
      </c>
      <c r="B1001" s="148">
        <f>IF(H218="UNIDADE CONSTRUTIVA",0,IF(H218="CÉLULA CONSTRUTIVA",OFFSET(B218,-1,0)+1,OFFSET(B218,-1,0)))</f>
        <v/>
      </c>
      <c r="C1001" s="148">
        <f>IF(H218="CÉLULA CONSTRUTIVA",0,IF(H218="ETAPA",OFFSET(C218,-1,0)+1,OFFSET(C218,-1,0)))</f>
        <v/>
      </c>
      <c r="D1001" s="149">
        <f>IF(H218="ETAPA",0,IF(H218="SUBETAPA",OFFSET(D218,-1,0)+1,OFFSET(D218,-1,0)))</f>
        <v/>
      </c>
      <c r="E1001" s="149">
        <f>IF(H218="Subetapa",0,IF(H218="serviço",OFFSET(E218,-1,0)+1,OFFSET(E218,-1,0)))</f>
        <v/>
      </c>
      <c r="F1001" s="150" t="n"/>
      <c r="G1001" s="151" t="n"/>
      <c r="H1001" s="137" t="inlineStr">
        <is>
          <t>SUBETAPA</t>
        </is>
      </c>
      <c r="I1001" s="138">
        <f>IF(H218="Unidade Construtiva",TEXT(A218,"00"),IF(H218="Célula Construtiva",TEXT(B218,"00"),IF(H218="Etapa",CONCATENATE(TEXT(B218,"00"),".",TEXT(C218,"000")),IF(H218="Subetapa",CONCATENATE(TEXT(B218,"00"),".",TEXT(C218,"000"),".",TEXT(D218,"000")),IF(H218="Serviço",CONCATENATE(TEXT(B218,"00"),".",TEXT(C218,"000"),".",TEXT(D218,"000"),".",TEXT(E218,"000")),"")))))</f>
        <v/>
      </c>
      <c r="J1001" s="139" t="inlineStr">
        <is>
          <t>Instalações De Gás</t>
        </is>
      </c>
      <c r="K1001" s="140" t="n"/>
      <c r="L1001" s="141" t="n"/>
      <c r="M1001" s="141" t="n"/>
      <c r="N1001" s="142">
        <f>IF(H218="Serviço",M218*L218,IF(H218="CÉLULA CONSTRUTIVA",SUMIFS($N$8:$N$754,$B$8:$B$754,B218,$H$8:$H$754,"Serviço"),IF(H218="ETAPA",SUMIFS($N$8:$N$754,$B$8:$B$754,B218,$C$8:$C$754,C218,$H$8:$H$754,"Serviço"),IF(H218="SUBETAPA",SUMIFS($N$8:$N$754,$B$8:$B$754,B218,$C$8:$C$754,C218,$D$8:$D$754,D218,$H$8:$H$754,"Serviço"),0))))</f>
        <v/>
      </c>
      <c r="O1001" s="143" t="n"/>
      <c r="P1001" s="144" t="n"/>
      <c r="Q1001" s="144" t="n"/>
      <c r="R1001" s="144" t="n"/>
      <c r="S1001" s="152" t="n"/>
      <c r="T1001" s="152" t="n"/>
      <c r="U1001" s="152" t="n"/>
      <c r="V1001" s="152" t="n"/>
      <c r="W1001" s="152" t="n"/>
      <c r="X1001" s="152" t="n"/>
      <c r="Y1001" s="152" t="n"/>
    </row>
    <row r="1002">
      <c r="A1002" s="148">
        <f>IF($H219="UNIDADE CONSTRUTIVA",OFFSET(A219,-1,0)+1,LARGE(A$3:A217,1))</f>
        <v/>
      </c>
      <c r="B1002" s="148">
        <f>IF(H219="UNIDADE CONSTRUTIVA",0,IF(H219="CÉLULA CONSTRUTIVA",OFFSET(B219,-1,0)+1,OFFSET(B219,-1,0)))</f>
        <v/>
      </c>
      <c r="C1002" s="148">
        <f>IF(H219="CÉLULA CONSTRUTIVA",0,IF(H219="ETAPA",OFFSET(C219,-1,0)+1,OFFSET(C219,-1,0)))</f>
        <v/>
      </c>
      <c r="D1002" s="149">
        <f>IF(H219="ETAPA",0,IF(H219="SUBETAPA",OFFSET(D219,-1,0)+1,OFFSET(D219,-1,0)))</f>
        <v/>
      </c>
      <c r="E1002" s="149">
        <f>IF(H219="Subetapa",0,IF(H219="serviço",OFFSET(E219,-1,0)+1,OFFSET(E219,-1,0)))</f>
        <v/>
      </c>
      <c r="F1002" s="150" t="n"/>
      <c r="G1002" s="151" t="inlineStr">
        <is>
          <t>INSTALAÇÕES DE GÁS</t>
        </is>
      </c>
      <c r="H1002" s="137" t="inlineStr">
        <is>
          <t>SERVIÇO</t>
        </is>
      </c>
      <c r="I1002" s="138">
        <f>IF(H219="Unidade Construtiva",TEXT(A219,"00"),IF(H219="Célula Construtiva",TEXT(B219,"00"),IF(H219="Etapa",CONCATENATE(TEXT(B219,"00"),".",TEXT(C219,"000")),IF(H219="Subetapa",CONCATENATE(TEXT(B219,"00"),".",TEXT(C219,"000"),".",TEXT(D219,"000")),IF(H219="Serviço",CONCATENATE(TEXT(B219,"00"),".",TEXT(C219,"000"),".",TEXT(D219,"000"),".",TEXT(E219,"000")),"")))))</f>
        <v/>
      </c>
      <c r="J1002" s="139" t="inlineStr">
        <is>
          <t xml:space="preserve">Instalação de Gás - Material </t>
        </is>
      </c>
      <c r="K1002" s="140" t="inlineStr">
        <is>
          <t>vb</t>
        </is>
      </c>
      <c r="L1002" s="141" t="n">
        <v>1</v>
      </c>
      <c r="M1002" s="141">
        <f>Estimativa_Instalações!D32</f>
        <v/>
      </c>
      <c r="N1002" s="142">
        <f>IF(H219="Serviço",M219*L219,IF(H219="CÉLULA CONSTRUTIVA",SUMIFS($N$8:$N$754,$B$8:$B$754,B219,$H$8:$H$754,"Serviço"),IF(H219="ETAPA",SUMIFS($N$8:$N$754,$B$8:$B$754,B219,$C$8:$C$754,C219,$H$8:$H$754,"Serviço"),IF(H219="SUBETAPA",SUMIFS($N$8:$N$754,$B$8:$B$754,B219,$C$8:$C$754,C219,$D$8:$D$754,D219,$H$8:$H$754,"Serviço"),0))))</f>
        <v/>
      </c>
      <c r="O1002" s="50" t="inlineStr">
        <is>
          <t>Custo estimado com base em histórico, devido ausência de quantitativo</t>
        </is>
      </c>
      <c r="P1002" s="144" t="n"/>
      <c r="Q1002" s="144" t="n"/>
      <c r="R1002" s="144" t="n"/>
      <c r="S1002" s="152" t="n"/>
      <c r="T1002" s="152" t="n"/>
      <c r="U1002" s="152" t="n"/>
      <c r="V1002" s="152" t="n"/>
      <c r="W1002" s="152" t="n"/>
      <c r="X1002" s="152" t="n"/>
      <c r="Y1002" s="152" t="n"/>
    </row>
    <row r="1003">
      <c r="A1003" s="148">
        <f>IF($H220="UNIDADE CONSTRUTIVA",OFFSET(A220,-1,0)+1,LARGE(A$3:A218,1))</f>
        <v/>
      </c>
      <c r="B1003" s="148">
        <f>IF(H220="UNIDADE CONSTRUTIVA",0,IF(H220="CÉLULA CONSTRUTIVA",OFFSET(B220,-1,0)+1,OFFSET(B220,-1,0)))</f>
        <v/>
      </c>
      <c r="C1003" s="148">
        <f>IF(H220="CÉLULA CONSTRUTIVA",0,IF(H220="ETAPA",OFFSET(C220,-1,0)+1,OFFSET(C220,-1,0)))</f>
        <v/>
      </c>
      <c r="D1003" s="149">
        <f>IF(H220="ETAPA",0,IF(H220="SUBETAPA",OFFSET(D220,-1,0)+1,OFFSET(D220,-1,0)))</f>
        <v/>
      </c>
      <c r="E1003" s="149">
        <f>IF(H220="Subetapa",0,IF(H220="serviço",OFFSET(E220,-1,0)+1,OFFSET(E220,-1,0)))</f>
        <v/>
      </c>
      <c r="F1003" s="150" t="n"/>
      <c r="G1003" s="151" t="inlineStr">
        <is>
          <t>INSTALAÇÕES DE GÁS</t>
        </is>
      </c>
      <c r="H1003" s="137" t="inlineStr">
        <is>
          <t>SERVIÇO</t>
        </is>
      </c>
      <c r="I1003" s="138">
        <f>IF(H220="Unidade Construtiva",TEXT(A220,"00"),IF(H220="Célula Construtiva",TEXT(B220,"00"),IF(H220="Etapa",CONCATENATE(TEXT(B220,"00"),".",TEXT(C220,"000")),IF(H220="Subetapa",CONCATENATE(TEXT(B220,"00"),".",TEXT(C220,"000"),".",TEXT(D220,"000")),IF(H220="Serviço",CONCATENATE(TEXT(B220,"00"),".",TEXT(C220,"000"),".",TEXT(D220,"000"),".",TEXT(E220,"000")),"")))))</f>
        <v/>
      </c>
      <c r="J1003" s="139" t="inlineStr">
        <is>
          <t>Instalação de Gás - Mão de Obra</t>
        </is>
      </c>
      <c r="K1003" s="140" t="inlineStr">
        <is>
          <t>vb</t>
        </is>
      </c>
      <c r="L1003" s="141" t="n">
        <v>1</v>
      </c>
      <c r="M1003" s="141">
        <f>Estimativa_Instalações!D33</f>
        <v/>
      </c>
      <c r="N1003" s="142">
        <f>IF(H220="Serviço",M220*L220,IF(H220="CÉLULA CONSTRUTIVA",SUMIFS($N$8:$N$754,$B$8:$B$754,B220,$H$8:$H$754,"Serviço"),IF(H220="ETAPA",SUMIFS($N$8:$N$754,$B$8:$B$754,B220,$C$8:$C$754,C220,$H$8:$H$754,"Serviço"),IF(H220="SUBETAPA",SUMIFS($N$8:$N$754,$B$8:$B$754,B220,$C$8:$C$754,C220,$D$8:$D$754,D220,$H$8:$H$754,"Serviço"),0))))</f>
        <v/>
      </c>
      <c r="O1003" s="50" t="inlineStr">
        <is>
          <t>Custo estimado com base em histórico, devido ausência de quantitativo</t>
        </is>
      </c>
      <c r="P1003" s="144" t="n"/>
      <c r="Q1003" s="144" t="n"/>
      <c r="R1003" s="144" t="n"/>
      <c r="S1003" s="152" t="n"/>
      <c r="T1003" s="152" t="n"/>
      <c r="U1003" s="152" t="n"/>
      <c r="V1003" s="152" t="n"/>
      <c r="W1003" s="152" t="n"/>
      <c r="X1003" s="152" t="n"/>
      <c r="Y1003" s="152" t="n"/>
    </row>
    <row r="1004">
      <c r="A1004" s="148">
        <f>IF($H221="UNIDADE CONSTRUTIVA",OFFSET(A221,-1,0)+1,LARGE(A$3:A213,1))</f>
        <v/>
      </c>
      <c r="B1004" s="148">
        <f>IF(H221="UNIDADE CONSTRUTIVA",0,IF(H221="CÉLULA CONSTRUTIVA",OFFSET(B221,-1,0)+1,OFFSET(B221,-1,0)))</f>
        <v/>
      </c>
      <c r="C1004" s="148">
        <f>IF(H221="CÉLULA CONSTRUTIVA",0,IF(H221="ETAPA",OFFSET(C221,-1,0)+1,OFFSET(C221,-1,0)))</f>
        <v/>
      </c>
      <c r="D1004" s="149">
        <f>IF(H221="ETAPA",0,IF(H221="SUBETAPA",OFFSET(D221,-1,0)+1,OFFSET(D221,-1,0)))</f>
        <v/>
      </c>
      <c r="E1004" s="149">
        <f>IF(H221="Subetapa",0,IF(H221="serviço",OFFSET(E221,-1,0)+1,OFFSET(E221,-1,0)))</f>
        <v/>
      </c>
      <c r="F1004" s="150" t="n"/>
      <c r="G1004" s="151" t="n"/>
      <c r="H1004" s="137" t="inlineStr">
        <is>
          <t>CÉLULA CONSTRUTIVA</t>
        </is>
      </c>
      <c r="I1004" s="138">
        <f>IF(H221="Unidade Construtiva",TEXT(A221,"00"),IF(H221="Célula Construtiva",TEXT(B221,"00"),IF(H221="Etapa",CONCATENATE(TEXT(B221,"00"),".",TEXT(C221,"000")),IF(H221="Subetapa",CONCATENATE(TEXT(B221,"00"),".",TEXT(C221,"000"),".",TEXT(D221,"000")),IF(H221="Serviço",CONCATENATE(TEXT(B221,"00"),".",TEXT(C221,"000"),".",TEXT(D221,"000"),".",TEXT(E221,"000")),"")))))</f>
        <v/>
      </c>
      <c r="J1004" s="139" t="inlineStr">
        <is>
          <t>INSTALAÇÕES DE COMUNICAÇÕES</t>
        </is>
      </c>
      <c r="K1004" s="140" t="n"/>
      <c r="L1004" s="141" t="n"/>
      <c r="M1004" s="141" t="n"/>
      <c r="N1004" s="142">
        <f>IF(H221="Serviço",M221*L221,IF(H221="CÉLULA CONSTRUTIVA",SUMIFS($N$8:$N$754,$B$8:$B$754,B221,$H$8:$H$754,"Serviço"),IF(H221="ETAPA",SUMIFS($N$8:$N$754,$B$8:$B$754,B221,$C$8:$C$754,C221,$H$8:$H$754,"Serviço"),IF(H221="SUBETAPA",SUMIFS($N$8:$N$754,$B$8:$B$754,B221,$C$8:$C$754,C221,$D$8:$D$754,D221,$H$8:$H$754,"Serviço"),0))))</f>
        <v/>
      </c>
      <c r="O1004" s="143">
        <f>N221/[7]CAPA!$C$10</f>
        <v/>
      </c>
      <c r="P1004" s="155" t="n"/>
      <c r="Q1004" s="155" t="n"/>
      <c r="R1004" s="144" t="n"/>
      <c r="S1004" s="152" t="n"/>
      <c r="T1004" s="152" t="n"/>
      <c r="U1004" s="152" t="n"/>
      <c r="V1004" s="152" t="n"/>
      <c r="W1004" s="152" t="n"/>
      <c r="X1004" s="152" t="n"/>
      <c r="Y1004" s="152" t="n"/>
    </row>
    <row r="1005">
      <c r="A1005" s="148">
        <f>IF($H222="UNIDADE CONSTRUTIVA",OFFSET(A222,-1,0)+1,LARGE(A$3:A221,1))</f>
        <v/>
      </c>
      <c r="B1005" s="148">
        <f>IF(H222="UNIDADE CONSTRUTIVA",0,IF(H222="CÉLULA CONSTRUTIVA",OFFSET(B222,-1,0)+1,OFFSET(B222,-1,0)))</f>
        <v/>
      </c>
      <c r="C1005" s="148">
        <f>IF(H222="CÉLULA CONSTRUTIVA",0,IF(H222="ETAPA",OFFSET(C222,-1,0)+1,OFFSET(C222,-1,0)))</f>
        <v/>
      </c>
      <c r="D1005" s="149">
        <f>IF(H222="ETAPA",0,IF(H222="SUBETAPA",OFFSET(D222,-1,0)+1,OFFSET(D222,-1,0)))</f>
        <v/>
      </c>
      <c r="E1005" s="149">
        <f>IF(H222="Subetapa",0,IF(H222="serviço",OFFSET(E222,-1,0)+1,OFFSET(E222,-1,0)))</f>
        <v/>
      </c>
      <c r="F1005" s="150" t="n"/>
      <c r="G1005" s="151" t="n"/>
      <c r="H1005" s="137" t="inlineStr">
        <is>
          <t>ETAPA</t>
        </is>
      </c>
      <c r="I1005" s="138">
        <f>IF(H222="Unidade Construtiva",TEXT(A222,"00"),IF(H222="Célula Construtiva",TEXT(B222,"00"),IF(H222="Etapa",CONCATENATE(TEXT(B222,"00"),".",TEXT(C222,"000")),IF(H222="Subetapa",CONCATENATE(TEXT(B222,"00"),".",TEXT(C222,"000"),".",TEXT(D222,"000")),IF(H222="Serviço",CONCATENATE(TEXT(B222,"00"),".",TEXT(C222,"000"),".",TEXT(D222,"000"),".",TEXT(E222,"000")),"")))))</f>
        <v/>
      </c>
      <c r="J1005" s="139" t="inlineStr">
        <is>
          <t>INSTALAÇÕES DE COMUNICAÇÕES</t>
        </is>
      </c>
      <c r="K1005" s="140" t="n"/>
      <c r="L1005" s="141" t="n"/>
      <c r="M1005" s="141" t="n"/>
      <c r="N1005" s="142">
        <f>IF(H222="Serviço",M222*L222,IF(H222="CÉLULA CONSTRUTIVA",SUMIFS($N$8:$N$754,$B$8:$B$754,B222,$H$8:$H$754,"Serviço"),IF(H222="ETAPA",SUMIFS($N$8:$N$754,$B$8:$B$754,B222,$C$8:$C$754,C222,$H$8:$H$754,"Serviço"),IF(H222="SUBETAPA",SUMIFS($N$8:$N$754,$B$8:$B$754,B222,$C$8:$C$754,C222,$D$8:$D$754,D222,$H$8:$H$754,"Serviço"),0))))</f>
        <v/>
      </c>
      <c r="O1005" s="143" t="n"/>
      <c r="P1005" s="144" t="n"/>
      <c r="Q1005" s="144" t="n"/>
      <c r="R1005" s="144" t="n"/>
      <c r="S1005" s="152" t="n"/>
      <c r="T1005" s="152" t="n"/>
      <c r="U1005" s="152" t="n"/>
      <c r="V1005" s="152" t="n"/>
      <c r="W1005" s="152" t="n"/>
      <c r="X1005" s="152" t="n"/>
      <c r="Y1005" s="152" t="n"/>
    </row>
    <row r="1006">
      <c r="A1006" s="121">
        <f>IF($H223="UNIDADE CONSTRUTIVA",OFFSET(A223,-1,0)+1,LARGE(A$3:A222,1))</f>
        <v/>
      </c>
      <c r="B1006" s="121">
        <f>IF(H223="UNIDADE CONSTRUTIVA",0,IF(H223="CÉLULA CONSTRUTIVA",OFFSET(B223,-1,0)+1,OFFSET(B223,-1,0)))</f>
        <v/>
      </c>
      <c r="C1006" s="121">
        <f>IF(H223="CÉLULA CONSTRUTIVA",0,IF(H223="ETAPA",OFFSET(C223,-1,0)+1,OFFSET(C223,-1,0)))</f>
        <v/>
      </c>
      <c r="D1006" s="122">
        <f>IF(H223="ETAPA",0,IF(H223="SUBETAPA",OFFSET(D223,-1,0)+1,OFFSET(D223,-1,0)))</f>
        <v/>
      </c>
      <c r="E1006" s="122">
        <f>IF(H223="Subetapa",0,IF(H223="serviço",OFFSET(E223,-1,0)+1,OFFSET(E223,-1,0)))</f>
        <v/>
      </c>
      <c r="F1006" s="123" t="n"/>
      <c r="G1006" s="135" t="n"/>
      <c r="H1006" s="44" t="inlineStr">
        <is>
          <t>SUBETAPA</t>
        </is>
      </c>
      <c r="I1006" s="45">
        <f>IF(H223="Unidade Construtiva",TEXT(A223,"00"),IF(H223="Célula Construtiva",TEXT(B223,"00"),IF(H223="Etapa",CONCATENATE(TEXT(B223,"00"),".",TEXT(C223,"000")),IF(H223="Subetapa",CONCATENATE(TEXT(B223,"00"),".",TEXT(C223,"000"),".",TEXT(D223,"000")),IF(H223="Serviço",CONCATENATE(TEXT(B223,"00"),".",TEXT(C223,"000"),".",TEXT(D223,"000"),".",TEXT(E223,"000")),"")))))</f>
        <v/>
      </c>
      <c r="J1006" s="51" t="inlineStr">
        <is>
          <t>Sistema de interfone / controle de acesso</t>
        </is>
      </c>
      <c r="K1006" s="47" t="n"/>
      <c r="L1006" s="48" t="n"/>
      <c r="M1006" s="48" t="n"/>
      <c r="N1006" s="49">
        <f>IF(H223="Serviço",M223*L223,IF(H223="CÉLULA CONSTRUTIVA",SUMIFS($N$8:$N$754,$B$8:$B$754,B223,$H$8:$H$754,"Serviço"),IF(H223="ETAPA",SUMIFS($N$8:$N$754,$B$8:$B$754,B223,$C$8:$C$754,C223,$H$8:$H$754,"Serviço"),IF(H223="SUBETAPA",SUMIFS($N$8:$N$754,$B$8:$B$754,B223,$C$8:$C$754,C223,$D$8:$D$754,D223,$H$8:$H$754,"Serviço"),0))))</f>
        <v/>
      </c>
      <c r="O1006" s="50">
        <f>N223/[8]CAPA!C$10</f>
        <v/>
      </c>
      <c r="P1006" s="156" t="n"/>
      <c r="Q1006" s="52" t="n"/>
      <c r="R1006" s="52" t="n"/>
      <c r="S1006" s="1" t="n"/>
      <c r="T1006" s="1" t="n"/>
      <c r="U1006" s="1" t="n"/>
      <c r="V1006" s="1" t="n"/>
      <c r="W1006" s="1" t="n"/>
      <c r="X1006" s="1" t="n"/>
      <c r="Y1006" s="1" t="n"/>
    </row>
    <row r="1007">
      <c r="A1007" s="121">
        <f>IF($H224="UNIDADE CONSTRUTIVA",OFFSET(A224,-1,0)+1,LARGE(A$3:A223,1))</f>
        <v/>
      </c>
      <c r="B1007" s="121">
        <f>IF(H224="UNIDADE CONSTRUTIVA",0,IF(H224="CÉLULA CONSTRUTIVA",OFFSET(B224,-1,0)+1,OFFSET(B224,-1,0)))</f>
        <v/>
      </c>
      <c r="C1007" s="121">
        <f>IF(H224="CÉLULA CONSTRUTIVA",0,IF(H224="ETAPA",OFFSET(C224,-1,0)+1,OFFSET(C224,-1,0)))</f>
        <v/>
      </c>
      <c r="D1007" s="122">
        <f>IF(H224="ETAPA",0,IF(H224="SUBETAPA",OFFSET(D224,-1,0)+1,OFFSET(D224,-1,0)))</f>
        <v/>
      </c>
      <c r="E1007" s="122">
        <f>IF(H224="Subetapa",0,IF(H224="serviço",OFFSET(E224,-1,0)+1,OFFSET(E224,-1,0)))</f>
        <v/>
      </c>
      <c r="F1007" s="123" t="n"/>
      <c r="G1007" s="135" t="inlineStr">
        <is>
          <t>INSTALAÇÕES DE COMUNICAÇÕES</t>
        </is>
      </c>
      <c r="H1007" s="44" t="inlineStr">
        <is>
          <t>SERVIÇO</t>
        </is>
      </c>
      <c r="I1007" s="45">
        <f>IF(H224="Unidade Construtiva",TEXT(A224,"00"),IF(H224="Célula Construtiva",TEXT(B224,"00"),IF(H224="Etapa",CONCATENATE(TEXT(B224,"00"),".",TEXT(C224,"000")),IF(H224="Subetapa",CONCATENATE(TEXT(B224,"00"),".",TEXT(C224,"000"),".",TEXT(D224,"000")),IF(H224="Serviço",CONCATENATE(TEXT(B224,"00"),".",TEXT(C224,"000"),".",TEXT(D224,"000"),".",TEXT(E224,"000")),"")))))</f>
        <v/>
      </c>
      <c r="J1007" s="51" t="inlineStr">
        <is>
          <t>Sistema de interfone / controle de acesso</t>
        </is>
      </c>
      <c r="K1007" s="47" t="inlineStr">
        <is>
          <t>vb</t>
        </is>
      </c>
      <c r="L1007" s="48" t="n">
        <v>1</v>
      </c>
      <c r="M1007" s="48">
        <f>Estimativa_Instalações!D35</f>
        <v/>
      </c>
      <c r="N1007" s="49">
        <f>IF(H224="Serviço",M224*L224,IF(H224="CÉLULA CONSTRUTIVA",SUMIFS($N$8:$N$754,$B$8:$B$754,B224,$H$8:$H$754,"Serviço"),IF(H224="ETAPA",SUMIFS($N$8:$N$754,$B$8:$B$754,B224,$C$8:$C$754,C224,$H$8:$H$754,"Serviço"),IF(H224="SUBETAPA",SUMIFS($N$8:$N$754,$B$8:$B$754,B224,$C$8:$C$754,C224,$D$8:$D$754,D224,$H$8:$H$754,"Serviço"),0))))</f>
        <v/>
      </c>
      <c r="O1007" s="50" t="inlineStr">
        <is>
          <t>Custo estimado com base em histórico, devido ausência de quantitativo</t>
        </is>
      </c>
      <c r="P1007" s="134" t="n"/>
      <c r="Q1007" s="52" t="n"/>
      <c r="R1007" s="52" t="n"/>
      <c r="S1007" s="1" t="n"/>
      <c r="T1007" s="1" t="n"/>
      <c r="U1007" s="1" t="n"/>
      <c r="V1007" s="1" t="n"/>
      <c r="W1007" s="1" t="n"/>
      <c r="X1007" s="1" t="n"/>
      <c r="Y1007" s="1" t="n"/>
    </row>
    <row r="1008">
      <c r="A1008" s="121">
        <f>IF($H225="UNIDADE CONSTRUTIVA",OFFSET(A225,-1,0)+1,LARGE(A$3:A224,1))</f>
        <v/>
      </c>
      <c r="B1008" s="121">
        <f>IF(H225="UNIDADE CONSTRUTIVA",0,IF(H225="CÉLULA CONSTRUTIVA",OFFSET(B225,-1,0)+1,OFFSET(B225,-1,0)))</f>
        <v/>
      </c>
      <c r="C1008" s="121">
        <f>IF(H225="CÉLULA CONSTRUTIVA",0,IF(H225="ETAPA",OFFSET(C225,-1,0)+1,OFFSET(C225,-1,0)))</f>
        <v/>
      </c>
      <c r="D1008" s="122">
        <f>IF(H225="ETAPA",0,IF(H225="SUBETAPA",OFFSET(D225,-1,0)+1,OFFSET(D225,-1,0)))</f>
        <v/>
      </c>
      <c r="E1008" s="122">
        <f>IF(H225="Subetapa",0,IF(H225="serviço",OFFSET(E225,-1,0)+1,OFFSET(E225,-1,0)))</f>
        <v/>
      </c>
      <c r="F1008" s="123" t="n"/>
      <c r="G1008" s="135" t="n"/>
      <c r="H1008" s="44" t="inlineStr">
        <is>
          <t>SUBETAPA</t>
        </is>
      </c>
      <c r="I1008" s="45">
        <f>IF(H225="Unidade Construtiva",TEXT(A225,"00"),IF(H225="Célula Construtiva",TEXT(B225,"00"),IF(H225="Etapa",CONCATENATE(TEXT(B225,"00"),".",TEXT(C225,"000")),IF(H225="Subetapa",CONCATENATE(TEXT(B225,"00"),".",TEXT(C225,"000"),".",TEXT(D225,"000")),IF(H225="Serviço",CONCATENATE(TEXT(B225,"00"),".",TEXT(C225,"000"),".",TEXT(D225,"000"),".",TEXT(E225,"000")),"")))))</f>
        <v/>
      </c>
      <c r="J1008" s="51" t="inlineStr">
        <is>
          <t>Instalação de CFTV</t>
        </is>
      </c>
      <c r="K1008" s="47" t="n"/>
      <c r="L1008" s="48" t="n"/>
      <c r="M1008" s="48" t="n"/>
      <c r="N1008" s="49">
        <f>IF(H225="Serviço",M225*L225,IF(H225="CÉLULA CONSTRUTIVA",SUMIFS($N$8:$N$754,$B$8:$B$754,B225,$H$8:$H$754,"Serviço"),IF(H225="ETAPA",SUMIFS($N$8:$N$754,$B$8:$B$754,B225,$C$8:$C$754,C225,$H$8:$H$754,"Serviço"),IF(H225="SUBETAPA",SUMIFS($N$8:$N$754,$B$8:$B$754,B225,$C$8:$C$754,C225,$D$8:$D$754,D225,$H$8:$H$754,"Serviço"),0))))</f>
        <v/>
      </c>
      <c r="O1008" s="50">
        <f>N225/[8]CAPA!C$10</f>
        <v/>
      </c>
      <c r="P1008" s="156" t="n"/>
      <c r="Q1008" s="52" t="n"/>
      <c r="R1008" s="52" t="n"/>
      <c r="S1008" s="1" t="n"/>
      <c r="T1008" s="1" t="n"/>
      <c r="U1008" s="1" t="n"/>
      <c r="V1008" s="1" t="n"/>
      <c r="W1008" s="1" t="n"/>
      <c r="X1008" s="1" t="n"/>
      <c r="Y1008" s="1" t="n"/>
    </row>
    <row r="1009">
      <c r="A1009" s="121">
        <f>IF($H226="UNIDADE CONSTRUTIVA",OFFSET(A226,-1,0)+1,LARGE(A$3:A225,1))</f>
        <v/>
      </c>
      <c r="B1009" s="121">
        <f>IF(H226="UNIDADE CONSTRUTIVA",0,IF(H226="CÉLULA CONSTRUTIVA",OFFSET(B226,-1,0)+1,OFFSET(B226,-1,0)))</f>
        <v/>
      </c>
      <c r="C1009" s="121">
        <f>IF(H226="CÉLULA CONSTRUTIVA",0,IF(H226="ETAPA",OFFSET(C226,-1,0)+1,OFFSET(C226,-1,0)))</f>
        <v/>
      </c>
      <c r="D1009" s="122">
        <f>IF(H226="ETAPA",0,IF(H226="SUBETAPA",OFFSET(D226,-1,0)+1,OFFSET(D226,-1,0)))</f>
        <v/>
      </c>
      <c r="E1009" s="122">
        <f>IF(H226="Subetapa",0,IF(H226="serviço",OFFSET(E226,-1,0)+1,OFFSET(E226,-1,0)))</f>
        <v/>
      </c>
      <c r="F1009" s="123" t="n"/>
      <c r="G1009" s="135" t="inlineStr">
        <is>
          <t>INSTALAÇÕES DE COMUNICAÇÕES</t>
        </is>
      </c>
      <c r="H1009" s="44" t="inlineStr">
        <is>
          <t>SERVIÇO</t>
        </is>
      </c>
      <c r="I1009" s="45">
        <f>IF(H226="Unidade Construtiva",TEXT(A226,"00"),IF(H226="Célula Construtiva",TEXT(B226,"00"),IF(H226="Etapa",CONCATENATE(TEXT(B226,"00"),".",TEXT(C226,"000")),IF(H226="Subetapa",CONCATENATE(TEXT(B226,"00"),".",TEXT(C226,"000"),".",TEXT(D226,"000")),IF(H226="Serviço",CONCATENATE(TEXT(B226,"00"),".",TEXT(C226,"000"),".",TEXT(D226,"000"),".",TEXT(E226,"000")),"")))))</f>
        <v/>
      </c>
      <c r="J1009" s="51" t="inlineStr">
        <is>
          <t>Instalação de CFTV</t>
        </is>
      </c>
      <c r="K1009" s="47" t="inlineStr">
        <is>
          <t>vb</t>
        </is>
      </c>
      <c r="L1009" s="48" t="n">
        <v>1</v>
      </c>
      <c r="M1009" s="48">
        <f>Estimativa_Instalações!D36</f>
        <v/>
      </c>
      <c r="N1009" s="49">
        <f>IF(H226="Serviço",M226*L226,IF(H226="CÉLULA CONSTRUTIVA",SUMIFS($N$8:$N$754,$B$8:$B$754,B226,$H$8:$H$754,"Serviço"),IF(H226="ETAPA",SUMIFS($N$8:$N$754,$B$8:$B$754,B226,$C$8:$C$754,C226,$H$8:$H$754,"Serviço"),IF(H226="SUBETAPA",SUMIFS($N$8:$N$754,$B$8:$B$754,B226,$C$8:$C$754,C226,$D$8:$D$754,D226,$H$8:$H$754,"Serviço"),0))))</f>
        <v/>
      </c>
      <c r="O1009" s="50" t="inlineStr">
        <is>
          <t>Custo estimado com base em histórico, devido ausência de quantitativo</t>
        </is>
      </c>
      <c r="P1009" s="134" t="n"/>
      <c r="Q1009" s="52" t="n"/>
      <c r="R1009" s="52" t="n"/>
      <c r="S1009" s="1" t="n"/>
      <c r="T1009" s="1" t="n"/>
      <c r="U1009" s="1" t="n"/>
      <c r="V1009" s="1" t="n"/>
      <c r="W1009" s="1" t="n"/>
      <c r="X1009" s="1" t="n"/>
      <c r="Y1009" s="1" t="n"/>
    </row>
    <row r="1010">
      <c r="A1010" s="121">
        <f>IF($H227="UNIDADE CONSTRUTIVA",OFFSET(A227,-1,0)+1,LARGE(A$3:A226,1))</f>
        <v/>
      </c>
      <c r="B1010" s="121">
        <f>IF(H227="UNIDADE CONSTRUTIVA",0,IF(H227="CÉLULA CONSTRUTIVA",OFFSET(B227,-1,0)+1,OFFSET(B227,-1,0)))</f>
        <v/>
      </c>
      <c r="C1010" s="121">
        <f>IF(H227="CÉLULA CONSTRUTIVA",0,IF(H227="ETAPA",OFFSET(C227,-1,0)+1,OFFSET(C227,-1,0)))</f>
        <v/>
      </c>
      <c r="D1010" s="122">
        <f>IF(H227="ETAPA",0,IF(H227="SUBETAPA",OFFSET(D227,-1,0)+1,OFFSET(D227,-1,0)))</f>
        <v/>
      </c>
      <c r="E1010" s="122">
        <f>IF(H227="Subetapa",0,IF(H227="serviço",OFFSET(E227,-1,0)+1,OFFSET(E227,-1,0)))</f>
        <v/>
      </c>
      <c r="F1010" s="123" t="n"/>
      <c r="G1010" s="135" t="n"/>
      <c r="H1010" s="44" t="inlineStr">
        <is>
          <t>SUBETAPA</t>
        </is>
      </c>
      <c r="I1010" s="45">
        <f>IF(H227="Unidade Construtiva",TEXT(A227,"00"),IF(H227="Célula Construtiva",TEXT(B227,"00"),IF(H227="Etapa",CONCATENATE(TEXT(B227,"00"),".",TEXT(C227,"000")),IF(H227="Subetapa",CONCATENATE(TEXT(B227,"00"),".",TEXT(C227,"000"),".",TEXT(D227,"000")),IF(H227="Serviço",CONCATENATE(TEXT(B227,"00"),".",TEXT(C227,"000"),".",TEXT(D227,"000"),".",TEXT(E227,"000")),"")))))</f>
        <v/>
      </c>
      <c r="J1010" s="51" t="inlineStr">
        <is>
          <t>TV VHF/CABO/SATÉLITE</t>
        </is>
      </c>
      <c r="K1010" s="47" t="n"/>
      <c r="L1010" s="48" t="n"/>
      <c r="M1010" s="48" t="n"/>
      <c r="N1010" s="49">
        <f>IF(H227="Serviço",M227*L227,IF(H227="CÉLULA CONSTRUTIVA",SUMIFS($N$8:$N$754,$B$8:$B$754,B227,$H$8:$H$754,"Serviço"),IF(H227="ETAPA",SUMIFS($N$8:$N$754,$B$8:$B$754,B227,$C$8:$C$754,C227,$H$8:$H$754,"Serviço"),IF(H227="SUBETAPA",SUMIFS($N$8:$N$754,$B$8:$B$754,B227,$C$8:$C$754,C227,$D$8:$D$754,D227,$H$8:$H$754,"Serviço"),0))))</f>
        <v/>
      </c>
      <c r="O1010" s="50">
        <f>N227/[8]CAPA!C$10</f>
        <v/>
      </c>
      <c r="P1010" s="156" t="n"/>
      <c r="Q1010" s="52" t="n"/>
      <c r="R1010" s="52" t="n"/>
      <c r="S1010" s="1" t="n"/>
      <c r="T1010" s="1" t="n"/>
      <c r="U1010" s="1" t="n"/>
      <c r="V1010" s="1" t="n"/>
      <c r="W1010" s="1" t="n"/>
      <c r="X1010" s="1" t="n"/>
      <c r="Y1010" s="1" t="n"/>
    </row>
    <row r="1011">
      <c r="A1011" s="121">
        <f>IF($H228="UNIDADE CONSTRUTIVA",OFFSET(A228,-1,0)+1,LARGE(A$3:A227,1))</f>
        <v/>
      </c>
      <c r="B1011" s="121">
        <f>IF(H228="UNIDADE CONSTRUTIVA",0,IF(H228="CÉLULA CONSTRUTIVA",OFFSET(B228,-1,0)+1,OFFSET(B228,-1,0)))</f>
        <v/>
      </c>
      <c r="C1011" s="121">
        <f>IF(H228="CÉLULA CONSTRUTIVA",0,IF(H228="ETAPA",OFFSET(C228,-1,0)+1,OFFSET(C228,-1,0)))</f>
        <v/>
      </c>
      <c r="D1011" s="122">
        <f>IF(H228="ETAPA",0,IF(H228="SUBETAPA",OFFSET(D228,-1,0)+1,OFFSET(D228,-1,0)))</f>
        <v/>
      </c>
      <c r="E1011" s="122">
        <f>IF(H228="Subetapa",0,IF(H228="serviço",OFFSET(E228,-1,0)+1,OFFSET(E228,-1,0)))</f>
        <v/>
      </c>
      <c r="F1011" s="123" t="n"/>
      <c r="G1011" s="135" t="inlineStr">
        <is>
          <t>INSTALAÇÕES DE COMUNICAÇÕES</t>
        </is>
      </c>
      <c r="H1011" s="44" t="inlineStr">
        <is>
          <t>SERVIÇO</t>
        </is>
      </c>
      <c r="I1011" s="45">
        <f>IF(H228="Unidade Construtiva",TEXT(A228,"00"),IF(H228="Célula Construtiva",TEXT(B228,"00"),IF(H228="Etapa",CONCATENATE(TEXT(B228,"00"),".",TEXT(C228,"000")),IF(H228="Subetapa",CONCATENATE(TEXT(B228,"00"),".",TEXT(C228,"000"),".",TEXT(D228,"000")),IF(H228="Serviço",CONCATENATE(TEXT(B228,"00"),".",TEXT(C228,"000"),".",TEXT(D228,"000"),".",TEXT(E228,"000")),"")))))</f>
        <v/>
      </c>
      <c r="J1011" s="51" t="inlineStr">
        <is>
          <t>TV VHF/CABO/SATÉLITE</t>
        </is>
      </c>
      <c r="K1011" s="47" t="inlineStr">
        <is>
          <t>vb</t>
        </is>
      </c>
      <c r="L1011" s="48" t="n">
        <v>1</v>
      </c>
      <c r="M1011" s="48">
        <f>Estimativa_Instalações!D37</f>
        <v/>
      </c>
      <c r="N1011" s="49">
        <f>IF(H228="Serviço",M228*L228,IF(H228="CÉLULA CONSTRUTIVA",SUMIFS($N$8:$N$754,$B$8:$B$754,B228,$H$8:$H$754,"Serviço"),IF(H228="ETAPA",SUMIFS($N$8:$N$754,$B$8:$B$754,B228,$C$8:$C$754,C228,$H$8:$H$754,"Serviço"),IF(H228="SUBETAPA",SUMIFS($N$8:$N$754,$B$8:$B$754,B228,$C$8:$C$754,C228,$D$8:$D$754,D228,$H$8:$H$754,"Serviço"),0))))</f>
        <v/>
      </c>
      <c r="O1011" s="50" t="inlineStr">
        <is>
          <t>Custo estimado com base em histórico, devido ausência de quantitativo</t>
        </is>
      </c>
      <c r="P1011" s="134" t="n"/>
      <c r="Q1011" s="52" t="n"/>
      <c r="R1011" s="52" t="n"/>
      <c r="S1011" s="1" t="n"/>
      <c r="T1011" s="1" t="n"/>
      <c r="U1011" s="1" t="n"/>
      <c r="V1011" s="1" t="n"/>
      <c r="W1011" s="1" t="n"/>
      <c r="X1011" s="1" t="n"/>
      <c r="Y1011" s="1" t="n"/>
    </row>
    <row r="1012">
      <c r="A1012" s="121">
        <f>IF($H229="UNIDADE CONSTRUTIVA",OFFSET(A229,-1,0)+1,LARGE(A$3:A228,1))</f>
        <v/>
      </c>
      <c r="B1012" s="121">
        <f>IF(H229="UNIDADE CONSTRUTIVA",0,IF(H229="CÉLULA CONSTRUTIVA",OFFSET(B229,-1,0)+1,OFFSET(B229,-1,0)))</f>
        <v/>
      </c>
      <c r="C1012" s="121">
        <f>IF(H229="CÉLULA CONSTRUTIVA",0,IF(H229="ETAPA",OFFSET(C229,-1,0)+1,OFFSET(C229,-1,0)))</f>
        <v/>
      </c>
      <c r="D1012" s="122">
        <f>IF(H229="ETAPA",0,IF(H229="SUBETAPA",OFFSET(D229,-1,0)+1,OFFSET(D229,-1,0)))</f>
        <v/>
      </c>
      <c r="E1012" s="122">
        <f>IF(H229="Subetapa",0,IF(H229="serviço",OFFSET(E229,-1,0)+1,OFFSET(E229,-1,0)))</f>
        <v/>
      </c>
      <c r="F1012" s="123" t="n"/>
      <c r="G1012" s="135" t="n"/>
      <c r="H1012" s="44" t="inlineStr">
        <is>
          <t>SUBETAPA</t>
        </is>
      </c>
      <c r="I1012" s="45">
        <f>IF(H229="Unidade Construtiva",TEXT(A229,"00"),IF(H229="Célula Construtiva",TEXT(B229,"00"),IF(H229="Etapa",CONCATENATE(TEXT(B229,"00"),".",TEXT(C229,"000")),IF(H229="Subetapa",CONCATENATE(TEXT(B229,"00"),".",TEXT(C229,"000"),".",TEXT(D229,"000")),IF(H229="Serviço",CONCATENATE(TEXT(B229,"00"),".",TEXT(C229,"000"),".",TEXT(D229,"000"),".",TEXT(E229,"000")),"")))))</f>
        <v/>
      </c>
      <c r="J1012" s="51" t="inlineStr">
        <is>
          <t>Telefonia/lógica/internet</t>
        </is>
      </c>
      <c r="K1012" s="47" t="n"/>
      <c r="L1012" s="48" t="n"/>
      <c r="M1012" s="48" t="n"/>
      <c r="N1012" s="49">
        <f>IF(H229="Serviço",M229*L229,IF(H229="CÉLULA CONSTRUTIVA",SUMIFS($N$8:$N$754,$B$8:$B$754,B229,$H$8:$H$754,"Serviço"),IF(H229="ETAPA",SUMIFS($N$8:$N$754,$B$8:$B$754,B229,$C$8:$C$754,C229,$H$8:$H$754,"Serviço"),IF(H229="SUBETAPA",SUMIFS($N$8:$N$754,$B$8:$B$754,B229,$C$8:$C$754,C229,$D$8:$D$754,D229,$H$8:$H$754,"Serviço"),0))))</f>
        <v/>
      </c>
      <c r="O1012" s="50">
        <f>N229/[8]CAPA!C$10</f>
        <v/>
      </c>
      <c r="P1012" s="156" t="n"/>
      <c r="Q1012" s="52" t="n"/>
      <c r="R1012" s="52" t="n"/>
      <c r="S1012" s="1" t="n"/>
      <c r="T1012" s="1" t="n"/>
      <c r="U1012" s="1" t="n"/>
      <c r="V1012" s="1" t="n"/>
      <c r="W1012" s="1" t="n"/>
      <c r="X1012" s="1" t="n"/>
      <c r="Y1012" s="1" t="n"/>
    </row>
    <row r="1013">
      <c r="A1013" s="121">
        <f>IF($H230="UNIDADE CONSTRUTIVA",OFFSET(A230,-1,0)+1,LARGE(A$3:A229,1))</f>
        <v/>
      </c>
      <c r="B1013" s="121">
        <f>IF(H230="UNIDADE CONSTRUTIVA",0,IF(H230="CÉLULA CONSTRUTIVA",OFFSET(B230,-1,0)+1,OFFSET(B230,-1,0)))</f>
        <v/>
      </c>
      <c r="C1013" s="121">
        <f>IF(H230="CÉLULA CONSTRUTIVA",0,IF(H230="ETAPA",OFFSET(C230,-1,0)+1,OFFSET(C230,-1,0)))</f>
        <v/>
      </c>
      <c r="D1013" s="122">
        <f>IF(H230="ETAPA",0,IF(H230="SUBETAPA",OFFSET(D230,-1,0)+1,OFFSET(D230,-1,0)))</f>
        <v/>
      </c>
      <c r="E1013" s="122">
        <f>IF(H230="Subetapa",0,IF(H230="serviço",OFFSET(E230,-1,0)+1,OFFSET(E230,-1,0)))</f>
        <v/>
      </c>
      <c r="F1013" s="123" t="n"/>
      <c r="G1013" s="135" t="inlineStr">
        <is>
          <t>INSTALAÇÕES DE COMUNICAÇÕES</t>
        </is>
      </c>
      <c r="H1013" s="44" t="inlineStr">
        <is>
          <t>SERVIÇO</t>
        </is>
      </c>
      <c r="I1013" s="45">
        <f>IF(H230="Unidade Construtiva",TEXT(A230,"00"),IF(H230="Célula Construtiva",TEXT(B230,"00"),IF(H230="Etapa",CONCATENATE(TEXT(B230,"00"),".",TEXT(C230,"000")),IF(H230="Subetapa",CONCATENATE(TEXT(B230,"00"),".",TEXT(C230,"000"),".",TEXT(D230,"000")),IF(H230="Serviço",CONCATENATE(TEXT(B230,"00"),".",TEXT(C230,"000"),".",TEXT(D230,"000"),".",TEXT(E230,"000")),"")))))</f>
        <v/>
      </c>
      <c r="J1013" s="51" t="inlineStr">
        <is>
          <t>Telefonia/lógica/internet</t>
        </is>
      </c>
      <c r="K1013" s="47" t="inlineStr">
        <is>
          <t>vb</t>
        </is>
      </c>
      <c r="L1013" s="48" t="n">
        <v>1</v>
      </c>
      <c r="M1013" s="48">
        <f>Estimativa_Instalações!D38</f>
        <v/>
      </c>
      <c r="N1013" s="49">
        <f>IF(H230="Serviço",M230*L230,IF(H230="CÉLULA CONSTRUTIVA",SUMIFS($N$8:$N$754,$B$8:$B$754,B230,$H$8:$H$754,"Serviço"),IF(H230="ETAPA",SUMIFS($N$8:$N$754,$B$8:$B$754,B230,$C$8:$C$754,C230,$H$8:$H$754,"Serviço"),IF(H230="SUBETAPA",SUMIFS($N$8:$N$754,$B$8:$B$754,B230,$C$8:$C$754,C230,$D$8:$D$754,D230,$H$8:$H$754,"Serviço"),0))))</f>
        <v/>
      </c>
      <c r="O1013" s="50" t="inlineStr">
        <is>
          <t>Custo estimado com base em histórico, devido ausência de quantitativo</t>
        </is>
      </c>
      <c r="P1013" s="134" t="n"/>
      <c r="Q1013" s="52" t="n"/>
      <c r="R1013" s="52" t="n"/>
      <c r="S1013" s="1" t="n"/>
      <c r="T1013" s="1" t="n"/>
      <c r="U1013" s="1" t="n"/>
      <c r="V1013" s="1" t="n"/>
      <c r="W1013" s="1" t="n"/>
      <c r="X1013" s="1" t="n"/>
      <c r="Y1013" s="1" t="n"/>
    </row>
    <row r="1014">
      <c r="A1014" s="148">
        <f>IF($H231="UNIDADE CONSTRUTIVA",OFFSET(A231,-1,0)+1,LARGE(A$3:A230,1))</f>
        <v/>
      </c>
      <c r="B1014" s="148">
        <f>IF(H231="UNIDADE CONSTRUTIVA",0,IF(H231="CÉLULA CONSTRUTIVA",OFFSET(B231,-1,0)+1,OFFSET(B231,-1,0)))</f>
        <v/>
      </c>
      <c r="C1014" s="148">
        <f>IF(H231="CÉLULA CONSTRUTIVA",0,IF(H231="ETAPA",OFFSET(C231,-1,0)+1,OFFSET(C231,-1,0)))</f>
        <v/>
      </c>
      <c r="D1014" s="149">
        <f>IF(H231="ETAPA",0,IF(H231="SUBETAPA",OFFSET(D231,-1,0)+1,OFFSET(D231,-1,0)))</f>
        <v/>
      </c>
      <c r="E1014" s="149">
        <f>IF(H231="Subetapa",0,IF(H231="serviço",OFFSET(E231,-1,0)+1,OFFSET(E231,-1,0)))</f>
        <v/>
      </c>
      <c r="F1014" s="150" t="n"/>
      <c r="G1014" s="151" t="n"/>
      <c r="H1014" s="137" t="inlineStr">
        <is>
          <t>ETAPA</t>
        </is>
      </c>
      <c r="I1014" s="138">
        <f>IF(H231="Unidade Construtiva",TEXT(A231,"00"),IF(H231="Célula Construtiva",TEXT(B231,"00"),IF(H231="Etapa",CONCATENATE(TEXT(B231,"00"),".",TEXT(C231,"000")),IF(H231="Subetapa",CONCATENATE(TEXT(B231,"00"),".",TEXT(C231,"000"),".",TEXT(D231,"000")),IF(H231="Serviço",CONCATENATE(TEXT(B231,"00"),".",TEXT(C231,"000"),".",TEXT(D231,"000"),".",TEXT(E231,"000")),"")))))</f>
        <v/>
      </c>
      <c r="J1014" s="139" t="inlineStr">
        <is>
          <t>AUTOMAÇÕES</t>
        </is>
      </c>
      <c r="K1014" s="140" t="n"/>
      <c r="L1014" s="141" t="n"/>
      <c r="M1014" s="141" t="n"/>
      <c r="N1014" s="142">
        <f>IF(H231="Serviço",M231*L231,IF(H231="CÉLULA CONSTRUTIVA",SUMIFS($N$8:$N$754,$B$8:$B$754,B231,$H$8:$H$754,"Serviço"),IF(H231="ETAPA",SUMIFS($N$8:$N$754,$B$8:$B$754,B231,$C$8:$C$754,C231,$H$8:$H$754,"Serviço"),IF(H231="SUBETAPA",SUMIFS($N$8:$N$754,$B$8:$B$754,B231,$C$8:$C$754,C231,$D$8:$D$754,D231,$H$8:$H$754,"Serviço"),0))))</f>
        <v/>
      </c>
      <c r="O1014" s="143" t="n"/>
      <c r="P1014" s="144" t="n"/>
      <c r="Q1014" s="144" t="n"/>
      <c r="R1014" s="144" t="n"/>
      <c r="S1014" s="152" t="n"/>
      <c r="T1014" s="152" t="n"/>
      <c r="U1014" s="152" t="n"/>
      <c r="V1014" s="152" t="n"/>
      <c r="W1014" s="152" t="n"/>
      <c r="X1014" s="152" t="n"/>
      <c r="Y1014" s="152" t="n"/>
    </row>
    <row r="1015">
      <c r="A1015" s="148">
        <f>IF($H232="UNIDADE CONSTRUTIVA",OFFSET(A232,-1,0)+1,LARGE(A$3:A231,1))</f>
        <v/>
      </c>
      <c r="B1015" s="148">
        <f>IF(H232="UNIDADE CONSTRUTIVA",0,IF(H232="CÉLULA CONSTRUTIVA",OFFSET(B232,-1,0)+1,OFFSET(B232,-1,0)))</f>
        <v/>
      </c>
      <c r="C1015" s="148">
        <f>IF(H232="CÉLULA CONSTRUTIVA",0,IF(H232="ETAPA",OFFSET(C232,-1,0)+1,OFFSET(C232,-1,0)))</f>
        <v/>
      </c>
      <c r="D1015" s="149">
        <f>IF(H232="ETAPA",0,IF(H232="SUBETAPA",OFFSET(D232,-1,0)+1,OFFSET(D232,-1,0)))</f>
        <v/>
      </c>
      <c r="E1015" s="149">
        <f>IF(H232="Subetapa",0,IF(H232="serviço",OFFSET(E232,-1,0)+1,OFFSET(E232,-1,0)))</f>
        <v/>
      </c>
      <c r="F1015" s="150" t="n"/>
      <c r="G1015" s="151" t="n"/>
      <c r="H1015" s="137" t="inlineStr">
        <is>
          <t>SUBETAPA</t>
        </is>
      </c>
      <c r="I1015" s="138">
        <f>IF(H232="Unidade Construtiva",TEXT(A232,"00"),IF(H232="Célula Construtiva",TEXT(B232,"00"),IF(H232="Etapa",CONCATENATE(TEXT(B232,"00"),".",TEXT(C232,"000")),IF(H232="Subetapa",CONCATENATE(TEXT(B232,"00"),".",TEXT(C232,"000"),".",TEXT(D232,"000")),IF(H232="Serviço",CONCATENATE(TEXT(B232,"00"),".",TEXT(C232,"000"),".",TEXT(D232,"000"),".",TEXT(E232,"000")),"")))))</f>
        <v/>
      </c>
      <c r="J1015" s="139" t="inlineStr">
        <is>
          <t>Infraestrutura de automação dos apartamentos (Iluminação, cortinas, áudio, ar cond.)</t>
        </is>
      </c>
      <c r="K1015" s="140" t="n"/>
      <c r="L1015" s="141" t="n"/>
      <c r="M1015" s="141" t="n"/>
      <c r="N1015" s="142">
        <f>IF(H232="Serviço",M232*L232,IF(H232="CÉLULA CONSTRUTIVA",SUMIFS($N$8:$N$754,$B$8:$B$754,B232,$H$8:$H$754,"Serviço"),IF(H232="ETAPA",SUMIFS($N$8:$N$754,$B$8:$B$754,B232,$C$8:$C$754,C232,$H$8:$H$754,"Serviço"),IF(H232="SUBETAPA",SUMIFS($N$8:$N$754,$B$8:$B$754,B232,$C$8:$C$754,C232,$D$8:$D$754,D232,$H$8:$H$754,"Serviço"),0))))</f>
        <v/>
      </c>
      <c r="O1015" s="143" t="n"/>
      <c r="P1015" s="144" t="n"/>
      <c r="Q1015" s="157" t="n"/>
      <c r="R1015" s="144" t="n"/>
      <c r="S1015" s="152" t="n"/>
      <c r="T1015" s="152" t="n"/>
      <c r="U1015" s="152" t="n"/>
      <c r="V1015" s="152" t="n"/>
      <c r="W1015" s="152" t="n"/>
      <c r="X1015" s="152" t="n"/>
      <c r="Y1015" s="152" t="n"/>
    </row>
    <row r="1016">
      <c r="A1016" s="148">
        <f>IF($H233="UNIDADE CONSTRUTIVA",OFFSET(A233,-1,0)+1,LARGE(A$3:A232,1))</f>
        <v/>
      </c>
      <c r="B1016" s="148">
        <f>IF(H233="UNIDADE CONSTRUTIVA",0,IF(H233="CÉLULA CONSTRUTIVA",OFFSET(B233,-1,0)+1,OFFSET(B233,-1,0)))</f>
        <v/>
      </c>
      <c r="C1016" s="148">
        <f>IF(H233="CÉLULA CONSTRUTIVA",0,IF(H233="ETAPA",OFFSET(C233,-1,0)+1,OFFSET(C233,-1,0)))</f>
        <v/>
      </c>
      <c r="D1016" s="149">
        <f>IF(H233="ETAPA",0,IF(H233="SUBETAPA",OFFSET(D233,-1,0)+1,OFFSET(D233,-1,0)))</f>
        <v/>
      </c>
      <c r="E1016" s="149">
        <f>IF(H233="Subetapa",0,IF(H233="serviço",OFFSET(E233,-1,0)+1,OFFSET(E233,-1,0)))</f>
        <v/>
      </c>
      <c r="F1016" s="150" t="n"/>
      <c r="G1016" s="135" t="inlineStr">
        <is>
          <t>INSTALAÇÕES DE COMUNICAÇÕES</t>
        </is>
      </c>
      <c r="H1016" s="137" t="inlineStr">
        <is>
          <t>SERVIÇO</t>
        </is>
      </c>
      <c r="I1016" s="138">
        <f>IF(H233="Unidade Construtiva",TEXT(A233,"00"),IF(H233="Célula Construtiva",TEXT(B233,"00"),IF(H233="Etapa",CONCATENATE(TEXT(B233,"00"),".",TEXT(C233,"000")),IF(H233="Subetapa",CONCATENATE(TEXT(B233,"00"),".",TEXT(C233,"000"),".",TEXT(D233,"000")),IF(H233="Serviço",CONCATENATE(TEXT(B233,"00"),".",TEXT(C233,"000"),".",TEXT(D233,"000"),".",TEXT(E233,"000")),"")))))</f>
        <v/>
      </c>
      <c r="J1016" s="139" t="inlineStr">
        <is>
          <t>Infraestrutura de automação dos apartamentos (Iluminação, cortinas, áudio, ar cond.)</t>
        </is>
      </c>
      <c r="K1016" s="140" t="inlineStr">
        <is>
          <t>vb</t>
        </is>
      </c>
      <c r="L1016" s="141" t="n">
        <v>1</v>
      </c>
      <c r="M1016" s="141">
        <f>Estimativa_Instalações!D39</f>
        <v/>
      </c>
      <c r="N1016" s="142">
        <f>IF(H233="Serviço",M233*L233,IF(H233="CÉLULA CONSTRUTIVA",SUMIFS($N$8:$N$754,$B$8:$B$754,B233,$H$8:$H$754,"Serviço"),IF(H233="ETAPA",SUMIFS($N$8:$N$754,$B$8:$B$754,B233,$C$8:$C$754,C233,$H$8:$H$754,"Serviço"),IF(H233="SUBETAPA",SUMIFS($N$8:$N$754,$B$8:$B$754,B233,$C$8:$C$754,C233,$D$8:$D$754,D233,$H$8:$H$754,"Serviço"),0))))</f>
        <v/>
      </c>
      <c r="O1016" s="50" t="inlineStr">
        <is>
          <t>Custo estimado com base em histórico, devido ausência de quantitativo</t>
        </is>
      </c>
      <c r="P1016" s="144" t="n"/>
      <c r="Q1016" s="157" t="n"/>
      <c r="R1016" s="158" t="n"/>
      <c r="S1016" s="152" t="n"/>
      <c r="T1016" s="152" t="n"/>
      <c r="U1016" s="152" t="n"/>
      <c r="V1016" s="152" t="n"/>
      <c r="W1016" s="152" t="n"/>
      <c r="X1016" s="152" t="n"/>
      <c r="Y1016" s="152" t="n"/>
    </row>
    <row r="1017">
      <c r="A1017" s="121">
        <f>IF($H234="UNIDADE CONSTRUTIVA",OFFSET(A234,-1,0)+1,LARGE(A$3:A207,1))</f>
        <v/>
      </c>
      <c r="B1017" s="121">
        <f>IF(H234="UNIDADE CONSTRUTIVA",0,IF(H234="CÉLULA CONSTRUTIVA",OFFSET(B234,-1,0)+1,OFFSET(B234,-1,0)))</f>
        <v/>
      </c>
      <c r="C1017" s="121">
        <f>IF(H234="CÉLULA CONSTRUTIVA",0,IF(H234="ETAPA",OFFSET(C234,-1,0)+1,OFFSET(C234,-1,0)))</f>
        <v/>
      </c>
      <c r="D1017" s="122">
        <f>IF(H234="ETAPA",0,IF(H234="SUBETAPA",OFFSET(D234,-1,0)+1,OFFSET(D234,-1,0)))</f>
        <v/>
      </c>
      <c r="E1017" s="122">
        <f>IF(H234="Subetapa",0,IF(H234="serviço",OFFSET(E234,-1,0)+1,OFFSET(E234,-1,0)))</f>
        <v/>
      </c>
      <c r="F1017" s="147" t="n"/>
      <c r="G1017" s="154" t="n"/>
      <c r="H1017" s="137" t="inlineStr">
        <is>
          <t>CÉLULA CONSTRUTIVA</t>
        </is>
      </c>
      <c r="I1017" s="138">
        <f>IF(H234="Unidade Construtiva",TEXT(A234,"00"),IF(H234="Célula Construtiva",TEXT(B234,"00"),IF(H234="Etapa",CONCATENATE(TEXT(B234,"00"),".",TEXT(C234,"000")),IF(H234="Subetapa",CONCATENATE(TEXT(B234,"00"),".",TEXT(C234,"000"),".",TEXT(D234,"000")),IF(H234="Serviço",CONCATENATE(TEXT(B234,"00"),".",TEXT(C234,"000"),".",TEXT(D234,"000"),".",TEXT(E234,"000")),"")))))</f>
        <v/>
      </c>
      <c r="J1017" s="139" t="inlineStr">
        <is>
          <t>EQUIPAMENTOS E SISTEMAS ESPECIAIS</t>
        </is>
      </c>
      <c r="K1017" s="140" t="n"/>
      <c r="L1017" s="141" t="n"/>
      <c r="M1017" s="141" t="n"/>
      <c r="N1017" s="142">
        <f>IF(H234="Serviço",M234*L234,IF(H234="CÉLULA CONSTRUTIVA",SUMIFS($N$8:$N$754,$B$8:$B$754,B234,$H$8:$H$754,"Serviço"),IF(H234="ETAPA",SUMIFS($N$8:$N$754,$B$8:$B$754,B234,$C$8:$C$754,C234,$H$8:$H$754,"Serviço"),IF(H234="SUBETAPA",SUMIFS($N$8:$N$754,$B$8:$B$754,B234,$C$8:$C$754,C234,$D$8:$D$754,D234,$H$8:$H$754,"Serviço"),0))))</f>
        <v/>
      </c>
      <c r="O1017" s="143">
        <f>N234/[7]CAPA!$C$10</f>
        <v/>
      </c>
      <c r="P1017" s="144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</row>
    <row r="1018">
      <c r="A1018" s="148">
        <f>IF($H235="UNIDADE CONSTRUTIVA",OFFSET(A235,-1,0)+1,LARGE(A$3:A234,1))</f>
        <v/>
      </c>
      <c r="B1018" s="148">
        <f>IF(H235="UNIDADE CONSTRUTIVA",0,IF(H235="CÉLULA CONSTRUTIVA",OFFSET(B235,-1,0)+1,OFFSET(B235,-1,0)))</f>
        <v/>
      </c>
      <c r="C1018" s="148">
        <f>IF(H235="CÉLULA CONSTRUTIVA",0,IF(H235="ETAPA",OFFSET(C235,-1,0)+1,OFFSET(C235,-1,0)))</f>
        <v/>
      </c>
      <c r="D1018" s="149">
        <f>IF(H235="ETAPA",0,IF(H235="SUBETAPA",OFFSET(D235,-1,0)+1,OFFSET(D235,-1,0)))</f>
        <v/>
      </c>
      <c r="E1018" s="149">
        <f>IF(H235="Subetapa",0,IF(H235="serviço",OFFSET(E235,-1,0)+1,OFFSET(E235,-1,0)))</f>
        <v/>
      </c>
      <c r="F1018" s="150" t="n"/>
      <c r="G1018" s="151" t="n"/>
      <c r="H1018" s="137" t="inlineStr">
        <is>
          <t>ETAPA</t>
        </is>
      </c>
      <c r="I1018" s="138">
        <f>IF(H235="Unidade Construtiva",TEXT(A235,"00"),IF(H235="Célula Construtiva",TEXT(B235,"00"),IF(H235="Etapa",CONCATENATE(TEXT(B235,"00"),".",TEXT(C235,"000")),IF(H235="Subetapa",CONCATENATE(TEXT(B235,"00"),".",TEXT(C235,"000"),".",TEXT(D235,"000")),IF(H235="Serviço",CONCATENATE(TEXT(B235,"00"),".",TEXT(C235,"000"),".",TEXT(D235,"000"),".",TEXT(E235,"000")),"")))))</f>
        <v/>
      </c>
      <c r="J1018" s="139" t="inlineStr">
        <is>
          <t>PISCINA</t>
        </is>
      </c>
      <c r="K1018" s="140" t="n"/>
      <c r="L1018" s="141" t="n"/>
      <c r="M1018" s="141" t="n"/>
      <c r="N1018" s="142">
        <f>IF(H235="Serviço",M235*L235,IF(H235="CÉLULA CONSTRUTIVA",SUMIFS($N$8:$N$754,$B$8:$B$754,B235,$H$8:$H$754,"Serviço"),IF(H235="ETAPA",SUMIFS($N$8:$N$754,$B$8:$B$754,B235,$C$8:$C$754,C235,$H$8:$H$754,"Serviço"),IF(H235="SUBETAPA",SUMIFS($N$8:$N$754,$B$8:$B$754,B235,$C$8:$C$754,C235,$D$8:$D$754,D235,$H$8:$H$754,"Serviço"),0))))</f>
        <v/>
      </c>
      <c r="O1018" s="143" t="n"/>
      <c r="P1018" s="144" t="n"/>
      <c r="Q1018" s="144" t="n"/>
      <c r="R1018" s="144" t="n"/>
      <c r="S1018" s="152" t="n"/>
      <c r="T1018" s="152" t="n"/>
      <c r="U1018" s="152" t="n"/>
      <c r="V1018" s="152" t="n"/>
      <c r="W1018" s="152" t="n"/>
      <c r="X1018" s="152" t="n"/>
      <c r="Y1018" s="152" t="n"/>
    </row>
    <row r="1019">
      <c r="A1019" s="148">
        <f>IF($H236="UNIDADE CONSTRUTIVA",OFFSET(A236,-1,0)+1,LARGE(A$3:A234,1))</f>
        <v/>
      </c>
      <c r="B1019" s="148">
        <f>IF(H236="UNIDADE CONSTRUTIVA",0,IF(H236="CÉLULA CONSTRUTIVA",OFFSET(B236,-1,0)+1,OFFSET(B236,-1,0)))</f>
        <v/>
      </c>
      <c r="C1019" s="148">
        <f>IF(H236="CÉLULA CONSTRUTIVA",0,IF(H236="ETAPA",OFFSET(C236,-1,0)+1,OFFSET(C236,-1,0)))</f>
        <v/>
      </c>
      <c r="D1019" s="149">
        <f>IF(H236="ETAPA",0,IF(H236="SUBETAPA",OFFSET(D236,-1,0)+1,OFFSET(D236,-1,0)))</f>
        <v/>
      </c>
      <c r="E1019" s="149">
        <f>IF(H236="Subetapa",0,IF(H236="serviço",OFFSET(E236,-1,0)+1,OFFSET(E236,-1,0)))</f>
        <v/>
      </c>
      <c r="F1019" s="150" t="n"/>
      <c r="G1019" s="151" t="n"/>
      <c r="H1019" s="137" t="inlineStr">
        <is>
          <t>SUBETAPA</t>
        </is>
      </c>
      <c r="I1019" s="138">
        <f>IF(H236="Unidade Construtiva",TEXT(A236,"00"),IF(H236="Célula Construtiva",TEXT(B236,"00"),IF(H236="Etapa",CONCATENATE(TEXT(B236,"00"),".",TEXT(C236,"000")),IF(H236="Subetapa",CONCATENATE(TEXT(B236,"00"),".",TEXT(C236,"000"),".",TEXT(D236,"000")),IF(H236="Serviço",CONCATENATE(TEXT(B236,"00"),".",TEXT(C236,"000"),".",TEXT(D236,"000"),".",TEXT(E236,"000")),"")))))</f>
        <v/>
      </c>
      <c r="J1019" s="139" t="inlineStr">
        <is>
          <t>Equipamentos de piscina</t>
        </is>
      </c>
      <c r="K1019" s="140" t="n"/>
      <c r="L1019" s="141" t="n"/>
      <c r="M1019" s="141" t="n"/>
      <c r="N1019" s="142">
        <f>IF(H236="Serviço",M236*L236,IF(H236="CÉLULA CONSTRUTIVA",SUMIFS($N$8:$N$754,$B$8:$B$754,B236,$H$8:$H$754,"Serviço"),IF(H236="ETAPA",SUMIFS($N$8:$N$754,$B$8:$B$754,B236,$C$8:$C$754,C236,$H$8:$H$754,"Serviço"),IF(H236="SUBETAPA",SUMIFS($N$8:$N$754,$B$8:$B$754,B236,$C$8:$C$754,C236,$D$8:$D$754,D236,$H$8:$H$754,"Serviço"),0))))</f>
        <v/>
      </c>
      <c r="O1019" s="143" t="n"/>
      <c r="P1019" s="144" t="n"/>
      <c r="Q1019" s="144" t="n"/>
      <c r="R1019" s="144" t="n"/>
      <c r="S1019" s="152" t="n"/>
      <c r="T1019" s="152" t="n"/>
      <c r="U1019" s="152" t="n"/>
      <c r="V1019" s="152" t="n"/>
      <c r="W1019" s="152" t="n"/>
      <c r="X1019" s="152" t="n"/>
      <c r="Y1019" s="152" t="n"/>
    </row>
    <row r="1020">
      <c r="A1020" s="148">
        <f>IF($H237="UNIDADE CONSTRUTIVA",OFFSET(A237,-1,0)+1,LARGE(A$3:A236,1))</f>
        <v/>
      </c>
      <c r="B1020" s="148">
        <f>IF(H237="UNIDADE CONSTRUTIVA",0,IF(H237="CÉLULA CONSTRUTIVA",OFFSET(B237,-1,0)+1,OFFSET(B237,-1,0)))</f>
        <v/>
      </c>
      <c r="C1020" s="148">
        <f>IF(H237="CÉLULA CONSTRUTIVA",0,IF(H237="ETAPA",OFFSET(C237,-1,0)+1,OFFSET(C237,-1,0)))</f>
        <v/>
      </c>
      <c r="D1020" s="149">
        <f>IF(H237="ETAPA",0,IF(H237="SUBETAPA",OFFSET(D237,-1,0)+1,OFFSET(D237,-1,0)))</f>
        <v/>
      </c>
      <c r="E1020" s="149">
        <f>IF(H237="Subetapa",0,IF(H237="serviço",OFFSET(E237,-1,0)+1,OFFSET(E237,-1,0)))</f>
        <v/>
      </c>
      <c r="F1020" s="150" t="n"/>
      <c r="G1020" s="151" t="inlineStr">
        <is>
          <t>EQUIPAMENTOS E SISTEMAS ESPECIAIS</t>
        </is>
      </c>
      <c r="H1020" s="137" t="inlineStr">
        <is>
          <t>SERVIÇO</t>
        </is>
      </c>
      <c r="I1020" s="138">
        <f>IF(H237="Unidade Construtiva",TEXT(A237,"00"),IF(H237="Célula Construtiva",TEXT(B237,"00"),IF(H237="Etapa",CONCATENATE(TEXT(B237,"00"),".",TEXT(C237,"000")),IF(H237="Subetapa",CONCATENATE(TEXT(B237,"00"),".",TEXT(C237,"000"),".",TEXT(D237,"000")),IF(H237="Serviço",CONCATENATE(TEXT(B237,"00"),".",TEXT(C237,"000"),".",TEXT(D237,"000"),".",TEXT(E237,"000")),"")))))</f>
        <v/>
      </c>
      <c r="J1020" s="139" t="inlineStr">
        <is>
          <t xml:space="preserve">Equipamentos de piscina </t>
        </is>
      </c>
      <c r="K1020" s="140" t="inlineStr">
        <is>
          <t>vb</t>
        </is>
      </c>
      <c r="L1020" s="141" t="n">
        <v>1</v>
      </c>
      <c r="M1020" s="141">
        <f>Piscinas!L22</f>
        <v/>
      </c>
      <c r="N1020" s="142">
        <f>IF(H237="Serviço",M237*L237,IF(H237="CÉLULA CONSTRUTIVA",SUMIFS($N$8:$N$754,$B$8:$B$754,B237,$H$8:$H$754,"Serviço"),IF(H237="ETAPA",SUMIFS($N$8:$N$754,$B$8:$B$754,B237,$C$8:$C$754,C237,$H$8:$H$754,"Serviço"),IF(H237="SUBETAPA",SUMIFS($N$8:$N$754,$B$8:$B$754,B237,$C$8:$C$754,C237,$D$8:$D$754,D237,$H$8:$H$754,"Serviço"),0))))</f>
        <v/>
      </c>
      <c r="O1020" s="143" t="inlineStr">
        <is>
          <t>Estimativa</t>
        </is>
      </c>
      <c r="P1020" s="144" t="n"/>
      <c r="Q1020" s="144" t="n"/>
      <c r="R1020" s="144" t="n"/>
      <c r="S1020" s="152" t="n"/>
      <c r="T1020" s="152" t="n"/>
      <c r="U1020" s="152" t="n"/>
      <c r="V1020" s="152" t="n"/>
      <c r="W1020" s="152" t="n"/>
      <c r="X1020" s="152" t="n"/>
      <c r="Y1020" s="152" t="n"/>
    </row>
    <row r="1021">
      <c r="A1021" s="148">
        <f>IF($H238="UNIDADE CONSTRUTIVA",OFFSET(A238,-1,0)+1,LARGE(A$3:A237,1))</f>
        <v/>
      </c>
      <c r="B1021" s="148">
        <f>IF(H238="UNIDADE CONSTRUTIVA",0,IF(H238="CÉLULA CONSTRUTIVA",OFFSET(B238,-1,0)+1,OFFSET(B238,-1,0)))</f>
        <v/>
      </c>
      <c r="C1021" s="148">
        <f>IF(H238="CÉLULA CONSTRUTIVA",0,IF(H238="ETAPA",OFFSET(C238,-1,0)+1,OFFSET(C238,-1,0)))</f>
        <v/>
      </c>
      <c r="D1021" s="149">
        <f>IF(H238="ETAPA",0,IF(H238="SUBETAPA",OFFSET(D238,-1,0)+1,OFFSET(D238,-1,0)))</f>
        <v/>
      </c>
      <c r="E1021" s="149">
        <f>IF(H238="Subetapa",0,IF(H238="serviço",OFFSET(E238,-1,0)+1,OFFSET(E238,-1,0)))</f>
        <v/>
      </c>
      <c r="F1021" s="150" t="n"/>
      <c r="G1021" s="151" t="inlineStr">
        <is>
          <t>EQUIPAMENTOS E SISTEMAS ESPECIAIS</t>
        </is>
      </c>
      <c r="H1021" s="137" t="inlineStr">
        <is>
          <t>SERVIÇO</t>
        </is>
      </c>
      <c r="I1021" s="138">
        <f>IF(H238="Unidade Construtiva",TEXT(A238,"00"),IF(H238="Célula Construtiva",TEXT(B238,"00"),IF(H238="Etapa",CONCATENATE(TEXT(B238,"00"),".",TEXT(C238,"000")),IF(H238="Subetapa",CONCATENATE(TEXT(B238,"00"),".",TEXT(C238,"000"),".",TEXT(D238,"000")),IF(H238="Serviço",CONCATENATE(TEXT(B238,"00"),".",TEXT(C238,"000"),".",TEXT(D238,"000"),".",TEXT(E238,"000")),"")))))</f>
        <v/>
      </c>
      <c r="J1021" s="139" t="inlineStr">
        <is>
          <t>Mão de obra para instalação de Piscinas</t>
        </is>
      </c>
      <c r="K1021" s="140" t="inlineStr">
        <is>
          <t>vb</t>
        </is>
      </c>
      <c r="L1021" s="141" t="n">
        <v>1</v>
      </c>
      <c r="M1021" s="141">
        <f>Ger_Executivo!M237*0.4/0.6</f>
        <v/>
      </c>
      <c r="N1021" s="142">
        <f>IF(H238="Serviço",M238*L238,IF(H238="CÉLULA CONSTRUTIVA",SUMIFS($N$8:$N$754,$B$8:$B$754,B238,$H$8:$H$754,"Serviço"),IF(H238="ETAPA",SUMIFS($N$8:$N$754,$B$8:$B$754,B238,$C$8:$C$754,C238,$H$8:$H$754,"Serviço"),IF(H238="SUBETAPA",SUMIFS($N$8:$N$754,$B$8:$B$754,B238,$C$8:$C$754,C238,$D$8:$D$754,D238,$H$8:$H$754,"Serviço"),0))))</f>
        <v/>
      </c>
      <c r="O1021" s="143" t="n"/>
      <c r="P1021" s="144" t="n"/>
      <c r="Q1021" s="144" t="n"/>
      <c r="R1021" s="144" t="n"/>
      <c r="S1021" s="152" t="n"/>
      <c r="T1021" s="152" t="n"/>
      <c r="U1021" s="152" t="n"/>
      <c r="V1021" s="152" t="n"/>
      <c r="W1021" s="152" t="n"/>
      <c r="X1021" s="152" t="n"/>
      <c r="Y1021" s="152" t="n"/>
    </row>
    <row r="1022">
      <c r="A1022" s="148">
        <f>IF($H239="UNIDADE CONSTRUTIVA",OFFSET(A239,-1,0)+1,LARGE(A$3:A237,1))</f>
        <v/>
      </c>
      <c r="B1022" s="148">
        <f>IF(H239="UNIDADE CONSTRUTIVA",0,IF(H239="CÉLULA CONSTRUTIVA",OFFSET(B239,-1,0)+1,OFFSET(B239,-1,0)))</f>
        <v/>
      </c>
      <c r="C1022" s="148">
        <f>IF(H239="CÉLULA CONSTRUTIVA",0,IF(H239="ETAPA",OFFSET(C239,-1,0)+1,OFFSET(C239,-1,0)))</f>
        <v/>
      </c>
      <c r="D1022" s="149">
        <f>IF(H239="ETAPA",0,IF(H239="SUBETAPA",OFFSET(D239,-1,0)+1,OFFSET(D239,-1,0)))</f>
        <v/>
      </c>
      <c r="E1022" s="149">
        <f>IF(H239="Subetapa",0,IF(H239="serviço",OFFSET(E239,-1,0)+1,OFFSET(E239,-1,0)))</f>
        <v/>
      </c>
      <c r="F1022" s="150" t="n"/>
      <c r="G1022" s="151" t="n"/>
      <c r="H1022" s="137" t="inlineStr">
        <is>
          <t>ETAPA</t>
        </is>
      </c>
      <c r="I1022" s="138">
        <f>IF(H239="Unidade Construtiva",TEXT(A239,"00"),IF(H239="Célula Construtiva",TEXT(B239,"00"),IF(H239="Etapa",CONCATENATE(TEXT(B239,"00"),".",TEXT(C239,"000")),IF(H239="Subetapa",CONCATENATE(TEXT(B239,"00"),".",TEXT(C239,"000"),".",TEXT(D239,"000")),IF(H239="Serviço",CONCATENATE(TEXT(B239,"00"),".",TEXT(C239,"000"),".",TEXT(D239,"000"),".",TEXT(E239,"000")),"")))))</f>
        <v/>
      </c>
      <c r="J1022" s="139" t="inlineStr">
        <is>
          <t>ELEVADORES</t>
        </is>
      </c>
      <c r="K1022" s="140" t="n"/>
      <c r="L1022" s="141" t="n"/>
      <c r="M1022" s="141" t="n"/>
      <c r="N1022" s="142">
        <f>IF(H239="Serviço",M239*L239,IF(H239="CÉLULA CONSTRUTIVA",SUMIFS($N$8:$N$754,$B$8:$B$754,B239,$H$8:$H$754,"Serviço"),IF(H239="ETAPA",SUMIFS($N$8:$N$754,$B$8:$B$754,B239,$C$8:$C$754,C239,$H$8:$H$754,"Serviço"),IF(H239="SUBETAPA",SUMIFS($N$8:$N$754,$B$8:$B$754,B239,$C$8:$C$754,C239,$D$8:$D$754,D239,$H$8:$H$754,"Serviço"),0))))</f>
        <v/>
      </c>
      <c r="O1022" s="143" t="n"/>
      <c r="P1022" s="144" t="n"/>
      <c r="Q1022" s="144" t="n"/>
      <c r="R1022" s="144" t="n"/>
      <c r="S1022" s="152" t="n"/>
      <c r="T1022" s="152" t="n"/>
      <c r="U1022" s="152" t="n"/>
      <c r="V1022" s="152" t="n"/>
      <c r="W1022" s="152" t="n"/>
      <c r="X1022" s="152" t="n"/>
      <c r="Y1022" s="152" t="n"/>
    </row>
    <row r="1023">
      <c r="A1023" s="148">
        <f>IF($H240="UNIDADE CONSTRUTIVA",OFFSET(A240,-1,0)+1,LARGE(A$3:A237,1))</f>
        <v/>
      </c>
      <c r="B1023" s="148">
        <f>IF(H240="UNIDADE CONSTRUTIVA",0,IF(H240="CÉLULA CONSTRUTIVA",OFFSET(B240,-1,0)+1,OFFSET(B240,-1,0)))</f>
        <v/>
      </c>
      <c r="C1023" s="148">
        <f>IF(H240="CÉLULA CONSTRUTIVA",0,IF(H240="ETAPA",OFFSET(C240,-1,0)+1,OFFSET(C240,-1,0)))</f>
        <v/>
      </c>
      <c r="D1023" s="149">
        <f>IF(H240="ETAPA",0,IF(H240="SUBETAPA",OFFSET(D240,-1,0)+1,OFFSET(D240,-1,0)))</f>
        <v/>
      </c>
      <c r="E1023" s="149">
        <f>IF(H240="Subetapa",0,IF(H240="serviço",OFFSET(E240,-1,0)+1,OFFSET(E240,-1,0)))</f>
        <v/>
      </c>
      <c r="F1023" s="150" t="n"/>
      <c r="G1023" s="151" t="n"/>
      <c r="H1023" s="137" t="inlineStr">
        <is>
          <t>SUBETAPA</t>
        </is>
      </c>
      <c r="I1023" s="138">
        <f>IF(H240="Unidade Construtiva",TEXT(A240,"00"),IF(H240="Célula Construtiva",TEXT(B240,"00"),IF(H240="Etapa",CONCATENATE(TEXT(B240,"00"),".",TEXT(C240,"000")),IF(H240="Subetapa",CONCATENATE(TEXT(B240,"00"),".",TEXT(C240,"000"),".",TEXT(D240,"000")),IF(H240="Serviço",CONCATENATE(TEXT(B240,"00"),".",TEXT(C240,"000"),".",TEXT(D240,"000"),".",TEXT(E240,"000")),"")))))</f>
        <v/>
      </c>
      <c r="J1023" s="139" t="inlineStr">
        <is>
          <t>Elevadores</t>
        </is>
      </c>
      <c r="K1023" s="140" t="n"/>
      <c r="L1023" s="141" t="n"/>
      <c r="M1023" s="141" t="n"/>
      <c r="N1023" s="142">
        <f>IF(H240="Serviço",M240*L240,IF(H240="CÉLULA CONSTRUTIVA",SUMIFS($N$8:$N$754,$B$8:$B$754,B240,$H$8:$H$754,"Serviço"),IF(H240="ETAPA",SUMIFS($N$8:$N$754,$B$8:$B$754,B240,$C$8:$C$754,C240,$H$8:$H$754,"Serviço"),IF(H240="SUBETAPA",SUMIFS($N$8:$N$754,$B$8:$B$754,B240,$C$8:$C$754,C240,$D$8:$D$754,D240,$H$8:$H$754,"Serviço"),0))))</f>
        <v/>
      </c>
      <c r="O1023" s="143" t="n"/>
      <c r="P1023" s="144" t="n"/>
      <c r="Q1023" s="144" t="n"/>
      <c r="R1023" s="144" t="n"/>
      <c r="S1023" s="152" t="n"/>
      <c r="T1023" s="152" t="n"/>
      <c r="U1023" s="152" t="n"/>
      <c r="V1023" s="152" t="n"/>
      <c r="W1023" s="152" t="n"/>
      <c r="X1023" s="152" t="n"/>
      <c r="Y1023" s="152" t="n"/>
    </row>
    <row r="1024">
      <c r="A1024" s="148">
        <f>IF($H241="UNIDADE CONSTRUTIVA",OFFSET(A241,-1,0)+1,LARGE(A$3:A237,1))</f>
        <v/>
      </c>
      <c r="B1024" s="148">
        <f>IF(H241="UNIDADE CONSTRUTIVA",0,IF(H241="CÉLULA CONSTRUTIVA",OFFSET(B241,-1,0)+1,OFFSET(B241,-1,0)))</f>
        <v/>
      </c>
      <c r="C1024" s="148">
        <f>IF(H241="CÉLULA CONSTRUTIVA",0,IF(H241="ETAPA",OFFSET(C241,-1,0)+1,OFFSET(C241,-1,0)))</f>
        <v/>
      </c>
      <c r="D1024" s="149">
        <f>IF(H241="ETAPA",0,IF(H241="SUBETAPA",OFFSET(D241,-1,0)+1,OFFSET(D241,-1,0)))</f>
        <v/>
      </c>
      <c r="E1024" s="149">
        <f>IF(H241="Subetapa",0,IF(H241="serviço",OFFSET(E241,-1,0)+1,OFFSET(E241,-1,0)))</f>
        <v/>
      </c>
      <c r="F1024" s="150" t="n"/>
      <c r="G1024" s="151" t="inlineStr">
        <is>
          <t>EQUIPAMENTOS E SISTEMAS ESPECIAIS</t>
        </is>
      </c>
      <c r="H1024" s="137" t="inlineStr">
        <is>
          <t>SERVIÇO</t>
        </is>
      </c>
      <c r="I1024" s="138">
        <f>IF(H241="Unidade Construtiva",TEXT(A241,"00"),IF(H241="Célula Construtiva",TEXT(B241,"00"),IF(H241="Etapa",CONCATENATE(TEXT(B241,"00"),".",TEXT(C241,"000")),IF(H241="Subetapa",CONCATENATE(TEXT(B241,"00"),".",TEXT(C241,"000"),".",TEXT(D241,"000")),IF(H241="Serviço",CONCATENATE(TEXT(B241,"00"),".",TEXT(C241,"000"),".",TEXT(D241,"000"),".",TEXT(E241,"000")),"")))))</f>
        <v/>
      </c>
      <c r="J1024" s="139" t="inlineStr">
        <is>
          <t>2 Elevadores - 20 paradas</t>
        </is>
      </c>
      <c r="K1024" s="140" t="inlineStr">
        <is>
          <t>vb</t>
        </is>
      </c>
      <c r="L1024" s="141" t="n">
        <v>2</v>
      </c>
      <c r="M1024" s="159" t="n">
        <v>450000</v>
      </c>
      <c r="N1024" s="142">
        <f>IF(H241="Serviço",M241*L241,IF(H241="CÉLULA CONSTRUTIVA",SUMIFS($N$8:$N$754,$B$8:$B$754,B241,$H$8:$H$754,"Serviço"),IF(H241="ETAPA",SUMIFS($N$8:$N$754,$B$8:$B$754,B241,$C$8:$C$754,C241,$H$8:$H$754,"Serviço"),IF(H241="SUBETAPA",SUMIFS($N$8:$N$754,$B$8:$B$754,B241,$C$8:$C$754,C241,$D$8:$D$754,D241,$H$8:$H$754,"Serviço"),0))))</f>
        <v/>
      </c>
      <c r="O1024" s="143" t="inlineStr">
        <is>
          <t>Custo estimado</t>
        </is>
      </c>
      <c r="P1024" s="144" t="n"/>
      <c r="Q1024" s="144" t="n"/>
      <c r="R1024" s="144" t="n"/>
      <c r="S1024" s="152" t="n"/>
      <c r="T1024" s="152" t="n"/>
      <c r="U1024" s="152" t="n"/>
      <c r="V1024" s="152" t="n"/>
      <c r="W1024" s="152" t="n"/>
      <c r="X1024" s="152" t="n"/>
      <c r="Y1024" s="152" t="n"/>
    </row>
    <row r="1025">
      <c r="A1025" s="148">
        <f>IF($H242="UNIDADE CONSTRUTIVA",OFFSET(A242,-1,0)+1,LARGE(A$3:A241,1))</f>
        <v/>
      </c>
      <c r="B1025" s="148">
        <f>IF(H242="UNIDADE CONSTRUTIVA",0,IF(H242="CÉLULA CONSTRUTIVA",OFFSET(B242,-1,0)+1,OFFSET(B242,-1,0)))</f>
        <v/>
      </c>
      <c r="C1025" s="148">
        <f>IF(H242="CÉLULA CONSTRUTIVA",0,IF(H242="ETAPA",OFFSET(C242,-1,0)+1,OFFSET(C242,-1,0)))</f>
        <v/>
      </c>
      <c r="D1025" s="149">
        <f>IF(H242="ETAPA",0,IF(H242="SUBETAPA",OFFSET(D242,-1,0)+1,OFFSET(D242,-1,0)))</f>
        <v/>
      </c>
      <c r="E1025" s="149">
        <f>IF(H242="Subetapa",0,IF(H242="serviço",OFFSET(E242,-1,0)+1,OFFSET(E242,-1,0)))</f>
        <v/>
      </c>
      <c r="F1025" s="150" t="n"/>
      <c r="G1025" s="151" t="n"/>
      <c r="H1025" s="137" t="inlineStr">
        <is>
          <t>CÉLULA CONSTRUTIVA</t>
        </is>
      </c>
      <c r="I1025" s="138">
        <f>IF(H242="Unidade Construtiva",TEXT(A242,"00"),IF(H242="Célula Construtiva",TEXT(B242,"00"),IF(H242="Etapa",CONCATENATE(TEXT(B242,"00"),".",TEXT(C242,"000")),IF(H242="Subetapa",CONCATENATE(TEXT(B242,"00"),".",TEXT(C242,"000"),".",TEXT(D242,"000")),IF(H242="Serviço",CONCATENATE(TEXT(B242,"00"),".",TEXT(C242,"000"),".",TEXT(D242,"000"),".",TEXT(E242,"000")),"")))))</f>
        <v/>
      </c>
      <c r="J1025" s="160" t="inlineStr">
        <is>
          <t>CLIMATIZAÇÃO, EXAUSTÃO MECÂNICA E PRESSURIZAÇÃO</t>
        </is>
      </c>
      <c r="K1025" s="140" t="n"/>
      <c r="L1025" s="141" t="n"/>
      <c r="M1025" s="141" t="n"/>
      <c r="N1025" s="142">
        <f>IF(H242="Serviço",M242*L242,IF(H242="CÉLULA CONSTRUTIVA",SUMIFS($N$8:$N$754,$B$8:$B$754,B242,$H$8:$H$754,"Serviço"),IF(H242="ETAPA",SUMIFS($N$8:$N$754,$B$8:$B$754,B242,$C$8:$C$754,C242,$H$8:$H$754,"Serviço"),IF(H242="SUBETAPA",SUMIFS($N$8:$N$754,$B$8:$B$754,B242,$C$8:$C$754,C242,$D$8:$D$754,D242,$H$8:$H$754,"Serviço"),0))))</f>
        <v/>
      </c>
      <c r="O1025" s="143">
        <f>N242/[7]CAPA!$C$10</f>
        <v/>
      </c>
      <c r="P1025" s="155" t="n"/>
      <c r="Q1025" s="155" t="n"/>
      <c r="R1025" s="144" t="n"/>
      <c r="S1025" s="152" t="n"/>
      <c r="T1025" s="152" t="n"/>
      <c r="U1025" s="152" t="n"/>
      <c r="V1025" s="152" t="n"/>
      <c r="W1025" s="152" t="n"/>
      <c r="X1025" s="152" t="n"/>
      <c r="Y1025" s="152" t="n"/>
    </row>
    <row r="1026">
      <c r="A1026" s="148">
        <f>IF($H243="UNIDADE CONSTRUTIVA",OFFSET(A243,-1,0)+1,LARGE(A$3:A242,1))</f>
        <v/>
      </c>
      <c r="B1026" s="148">
        <f>IF(H243="UNIDADE CONSTRUTIVA",0,IF(H243="CÉLULA CONSTRUTIVA",OFFSET(B243,-1,0)+1,OFFSET(B243,-1,0)))</f>
        <v/>
      </c>
      <c r="C1026" s="148">
        <f>IF(H243="CÉLULA CONSTRUTIVA",0,IF(H243="ETAPA",OFFSET(C243,-1,0)+1,OFFSET(C243,-1,0)))</f>
        <v/>
      </c>
      <c r="D1026" s="149">
        <f>IF(H243="ETAPA",0,IF(H243="SUBETAPA",OFFSET(D243,-1,0)+1,OFFSET(D243,-1,0)))</f>
        <v/>
      </c>
      <c r="E1026" s="149">
        <f>IF(H243="Subetapa",0,IF(H243="serviço",OFFSET(E243,-1,0)+1,OFFSET(E243,-1,0)))</f>
        <v/>
      </c>
      <c r="F1026" s="150" t="n"/>
      <c r="G1026" s="151" t="n"/>
      <c r="H1026" s="137" t="inlineStr">
        <is>
          <t>ETAPA</t>
        </is>
      </c>
      <c r="I1026" s="138">
        <f>IF(H243="Unidade Construtiva",TEXT(A243,"00"),IF(H243="Célula Construtiva",TEXT(B243,"00"),IF(H243="Etapa",CONCATENATE(TEXT(B243,"00"),".",TEXT(C243,"000")),IF(H243="Subetapa",CONCATENATE(TEXT(B243,"00"),".",TEXT(C243,"000"),".",TEXT(D243,"000")),IF(H243="Serviço",CONCATENATE(TEXT(B243,"00"),".",TEXT(C243,"000"),".",TEXT(D243,"000"),".",TEXT(E243,"000")),"")))))</f>
        <v/>
      </c>
      <c r="J1026" s="139" t="inlineStr">
        <is>
          <t>CLIMATIZAÇÃO, EXAUSTÃO MECÂNICA E PRESSURIZAÇÃO</t>
        </is>
      </c>
      <c r="K1026" s="140" t="n"/>
      <c r="L1026" s="141" t="n"/>
      <c r="M1026" s="141" t="n"/>
      <c r="N1026" s="142">
        <f>IF(H243="Serviço",M243*L243,IF(H243="CÉLULA CONSTRUTIVA",SUMIFS($N$8:$N$754,$B$8:$B$754,B243,$H$8:$H$754,"Serviço"),IF(H243="ETAPA",SUMIFS($N$8:$N$754,$B$8:$B$754,B243,$C$8:$C$754,C243,$H$8:$H$754,"Serviço"),IF(H243="SUBETAPA",SUMIFS($N$8:$N$754,$B$8:$B$754,B243,$C$8:$C$754,C243,$D$8:$D$754,D243,$H$8:$H$754,"Serviço"),0))))</f>
        <v/>
      </c>
      <c r="O1026" s="143" t="n"/>
      <c r="P1026" s="144" t="n"/>
      <c r="Q1026" s="144" t="n"/>
      <c r="R1026" s="144" t="n"/>
      <c r="S1026" s="152" t="n"/>
      <c r="T1026" s="152" t="n"/>
      <c r="U1026" s="152" t="n"/>
      <c r="V1026" s="152" t="n"/>
      <c r="W1026" s="152" t="n"/>
      <c r="X1026" s="152" t="n"/>
      <c r="Y1026" s="152" t="n"/>
    </row>
    <row r="1027">
      <c r="A1027" s="148">
        <f>IF($H244="UNIDADE CONSTRUTIVA",OFFSET(A244,-1,0)+1,LARGE(A$3:A243,1))</f>
        <v/>
      </c>
      <c r="B1027" s="148">
        <f>IF(H244="UNIDADE CONSTRUTIVA",0,IF(H244="CÉLULA CONSTRUTIVA",OFFSET(B244,-1,0)+1,OFFSET(B244,-1,0)))</f>
        <v/>
      </c>
      <c r="C1027" s="148">
        <f>IF(H244="CÉLULA CONSTRUTIVA",0,IF(H244="ETAPA",OFFSET(C244,-1,0)+1,OFFSET(C244,-1,0)))</f>
        <v/>
      </c>
      <c r="D1027" s="149">
        <f>IF(H244="ETAPA",0,IF(H244="SUBETAPA",OFFSET(D244,-1,0)+1,OFFSET(D244,-1,0)))</f>
        <v/>
      </c>
      <c r="E1027" s="149">
        <f>IF(H244="Subetapa",0,IF(H244="serviço",OFFSET(E244,-1,0)+1,OFFSET(E244,-1,0)))</f>
        <v/>
      </c>
      <c r="F1027" s="150" t="n"/>
      <c r="G1027" s="151" t="n"/>
      <c r="H1027" s="137" t="inlineStr">
        <is>
          <t>SUBETAPA</t>
        </is>
      </c>
      <c r="I1027" s="138">
        <f>IF(H244="Unidade Construtiva",TEXT(A244,"00"),IF(H244="Célula Construtiva",TEXT(B244,"00"),IF(H244="Etapa",CONCATENATE(TEXT(B244,"00"),".",TEXT(C244,"000")),IF(H244="Subetapa",CONCATENATE(TEXT(B244,"00"),".",TEXT(C244,"000"),".",TEXT(D244,"000")),IF(H244="Serviço",CONCATENATE(TEXT(B244,"00"),".",TEXT(C244,"000"),".",TEXT(D244,"000"),".",TEXT(E244,"000")),"")))))</f>
        <v/>
      </c>
      <c r="J1027" s="139" t="inlineStr">
        <is>
          <t>Climatização</t>
        </is>
      </c>
      <c r="K1027" s="140" t="n"/>
      <c r="L1027" s="141" t="n"/>
      <c r="M1027" s="141" t="n"/>
      <c r="N1027" s="142">
        <f>IF(H244="Serviço",M244*L244,IF(H244="CÉLULA CONSTRUTIVA",SUMIFS($N$8:$N$754,$B$8:$B$754,B244,$H$8:$H$754,"Serviço"),IF(H244="ETAPA",SUMIFS($N$8:$N$754,$B$8:$B$754,B244,$C$8:$C$754,C244,$H$8:$H$754,"Serviço"),IF(H244="SUBETAPA",SUMIFS($N$8:$N$754,$B$8:$B$754,B244,$C$8:$C$754,C244,$D$8:$D$754,D244,$H$8:$H$754,"Serviço"),0))))</f>
        <v/>
      </c>
      <c r="O1027" s="143" t="n"/>
      <c r="P1027" s="144" t="n"/>
      <c r="Q1027" s="144" t="n"/>
      <c r="R1027" s="144" t="n"/>
      <c r="S1027" s="152" t="n"/>
      <c r="T1027" s="152" t="n"/>
      <c r="U1027" s="152" t="n"/>
      <c r="V1027" s="152" t="n"/>
      <c r="W1027" s="152" t="n"/>
      <c r="X1027" s="152" t="n"/>
      <c r="Y1027" s="152" t="n"/>
    </row>
    <row r="1028">
      <c r="A1028" s="148">
        <f>IF($H245="UNIDADE CONSTRUTIVA",OFFSET(A245,-1,0)+1,LARGE(A$3:A244,1))</f>
        <v/>
      </c>
      <c r="B1028" s="148">
        <f>IF(H245="UNIDADE CONSTRUTIVA",0,IF(H245="CÉLULA CONSTRUTIVA",OFFSET(B245,-1,0)+1,OFFSET(B245,-1,0)))</f>
        <v/>
      </c>
      <c r="C1028" s="148">
        <f>IF(H245="CÉLULA CONSTRUTIVA",0,IF(H245="ETAPA",OFFSET(C245,-1,0)+1,OFFSET(C245,-1,0)))</f>
        <v/>
      </c>
      <c r="D1028" s="149">
        <f>IF(H245="ETAPA",0,IF(H245="SUBETAPA",OFFSET(D245,-1,0)+1,OFFSET(D245,-1,0)))</f>
        <v/>
      </c>
      <c r="E1028" s="149">
        <f>IF(H245="Subetapa",0,IF(H245="serviço",OFFSET(E245,-1,0)+1,OFFSET(E245,-1,0)))</f>
        <v/>
      </c>
      <c r="F1028" s="150" t="n"/>
      <c r="G1028" s="151" t="inlineStr">
        <is>
          <t>CLIMATIZAÇÃO, EXAUSTÃO MECÂNICA E PRESSURIZAÇÃO</t>
        </is>
      </c>
      <c r="H1028" s="137" t="inlineStr">
        <is>
          <t>SERVIÇO</t>
        </is>
      </c>
      <c r="I1028" s="138">
        <f>IF(H245="Unidade Construtiva",TEXT(A245,"00"),IF(H245="Célula Construtiva",TEXT(B245,"00"),IF(H245="Etapa",CONCATENATE(TEXT(B245,"00"),".",TEXT(C245,"000")),IF(H245="Subetapa",CONCATENATE(TEXT(B245,"00"),".",TEXT(C245,"000"),".",TEXT(D245,"000")),IF(H245="Serviço",CONCATENATE(TEXT(B245,"00"),".",TEXT(C245,"000"),".",TEXT(D245,"000"),".",TEXT(E245,"000")),"")))))</f>
        <v/>
      </c>
      <c r="J1028" s="139" t="inlineStr">
        <is>
          <t xml:space="preserve">Infraestrutura para Instalação de Ar Condicionado </t>
        </is>
      </c>
      <c r="K1028" s="140" t="inlineStr">
        <is>
          <t>un</t>
        </is>
      </c>
      <c r="L1028" s="141">
        <f>Climatização!F10</f>
        <v/>
      </c>
      <c r="M1028" s="141">
        <f>Climatização!R10</f>
        <v/>
      </c>
      <c r="N1028" s="142">
        <f>IF(H245="Serviço",M245*L245,IF(H245="CÉLULA CONSTRUTIVA",SUMIFS($N$8:$N$754,$B$8:$B$754,B245,$H$8:$H$754,"Serviço"),IF(H245="ETAPA",SUMIFS($N$8:$N$754,$B$8:$B$754,B245,$C$8:$C$754,C245,$H$8:$H$754,"Serviço"),IF(H245="SUBETAPA",SUMIFS($N$8:$N$754,$B$8:$B$754,B245,$C$8:$C$754,C245,$D$8:$D$754,D245,$H$8:$H$754,"Serviço"),0))))</f>
        <v/>
      </c>
      <c r="O1028" s="50" t="inlineStr">
        <is>
          <t>Estimativa por pontos, conforme projeto - área comum e privativa</t>
        </is>
      </c>
      <c r="P1028" s="144" t="n"/>
      <c r="Q1028" s="144" t="n"/>
      <c r="R1028" s="144" t="n"/>
      <c r="S1028" s="152" t="n"/>
      <c r="T1028" s="152" t="n"/>
      <c r="U1028" s="152" t="n"/>
      <c r="V1028" s="152" t="n"/>
      <c r="W1028" s="152" t="n"/>
      <c r="X1028" s="152" t="n"/>
      <c r="Y1028" s="152" t="n"/>
    </row>
    <row r="1029">
      <c r="A1029" s="148">
        <f>IF($H246="UNIDADE CONSTRUTIVA",OFFSET(A246,-1,0)+1,LARGE(A$3:A245,1))</f>
        <v/>
      </c>
      <c r="B1029" s="148">
        <f>IF(H246="UNIDADE CONSTRUTIVA",0,IF(H246="CÉLULA CONSTRUTIVA",OFFSET(B246,-1,0)+1,OFFSET(B246,-1,0)))</f>
        <v/>
      </c>
      <c r="C1029" s="148">
        <f>IF(H246="CÉLULA CONSTRUTIVA",0,IF(H246="ETAPA",OFFSET(C246,-1,0)+1,OFFSET(C246,-1,0)))</f>
        <v/>
      </c>
      <c r="D1029" s="149">
        <f>IF(H246="ETAPA",0,IF(H246="SUBETAPA",OFFSET(D246,-1,0)+1,OFFSET(D246,-1,0)))</f>
        <v/>
      </c>
      <c r="E1029" s="149">
        <f>IF(H246="Subetapa",0,IF(H246="serviço",OFFSET(E246,-1,0)+1,OFFSET(E246,-1,0)))</f>
        <v/>
      </c>
      <c r="F1029" s="150" t="n"/>
      <c r="G1029" s="151" t="inlineStr">
        <is>
          <t>CLIMATIZAÇÃO, EXAUSTÃO MECÂNICA E PRESSURIZAÇÃO</t>
        </is>
      </c>
      <c r="H1029" s="137" t="inlineStr">
        <is>
          <t>SERVIÇO</t>
        </is>
      </c>
      <c r="I1029" s="138">
        <f>IF(H246="Unidade Construtiva",TEXT(A246,"00"),IF(H246="Célula Construtiva",TEXT(B246,"00"),IF(H246="Etapa",CONCATENATE(TEXT(B246,"00"),".",TEXT(C246,"000")),IF(H246="Subetapa",CONCATENATE(TEXT(B246,"00"),".",TEXT(C246,"000"),".",TEXT(D246,"000")),IF(H246="Serviço",CONCATENATE(TEXT(B246,"00"),".",TEXT(C246,"000"),".",TEXT(D246,"000"),".",TEXT(E246,"000")),"")))))</f>
        <v/>
      </c>
      <c r="J1029" s="139" t="inlineStr">
        <is>
          <t>Instalação de equipamentos de Ar Condicionado</t>
        </is>
      </c>
      <c r="K1029" s="140" t="inlineStr">
        <is>
          <t>un</t>
        </is>
      </c>
      <c r="L1029" s="141">
        <f>Climatização!L11+Climatização!L12</f>
        <v/>
      </c>
      <c r="M1029" s="141">
        <f>SUM(Climatização!S11:S12)/Ger_Executivo!L246</f>
        <v/>
      </c>
      <c r="N1029" s="142">
        <f>IF(H246="Serviço",M246*L246,IF(H246="CÉLULA CONSTRUTIVA",SUMIFS($N$8:$N$754,$B$8:$B$754,B246,$H$8:$H$754,"Serviço"),IF(H246="ETAPA",SUMIFS($N$8:$N$754,$B$8:$B$754,B246,$C$8:$C$754,C246,$H$8:$H$754,"Serviço"),IF(H246="SUBETAPA",SUMIFS($N$8:$N$754,$B$8:$B$754,B246,$C$8:$C$754,C246,$D$8:$D$754,D246,$H$8:$H$754,"Serviço"),0))))</f>
        <v/>
      </c>
      <c r="O1029" s="50" t="inlineStr">
        <is>
          <t>Estimativa por pontos, conforme projeto - área comum</t>
        </is>
      </c>
      <c r="P1029" s="144" t="n"/>
      <c r="Q1029" s="144" t="n"/>
      <c r="R1029" s="144" t="n"/>
      <c r="S1029" s="152" t="n"/>
      <c r="T1029" s="152" t="n"/>
      <c r="U1029" s="152" t="n"/>
      <c r="V1029" s="152" t="n"/>
      <c r="W1029" s="152" t="n"/>
      <c r="X1029" s="152" t="n"/>
      <c r="Y1029" s="152" t="n"/>
    </row>
    <row r="1030">
      <c r="A1030" s="148">
        <f>IF($H247="UNIDADE CONSTRUTIVA",OFFSET(A247,-1,0)+1,LARGE(A$3:A246,1))</f>
        <v/>
      </c>
      <c r="B1030" s="148">
        <f>IF(H247="UNIDADE CONSTRUTIVA",0,IF(H247="CÉLULA CONSTRUTIVA",OFFSET(B247,-1,0)+1,OFFSET(B247,-1,0)))</f>
        <v/>
      </c>
      <c r="C1030" s="148">
        <f>IF(H247="CÉLULA CONSTRUTIVA",0,IF(H247="ETAPA",OFFSET(C247,-1,0)+1,OFFSET(C247,-1,0)))</f>
        <v/>
      </c>
      <c r="D1030" s="149">
        <f>IF(H247="ETAPA",0,IF(H247="SUBETAPA",OFFSET(D247,-1,0)+1,OFFSET(D247,-1,0)))</f>
        <v/>
      </c>
      <c r="E1030" s="149">
        <f>IF(H247="Subetapa",0,IF(H247="serviço",OFFSET(E247,-1,0)+1,OFFSET(E247,-1,0)))</f>
        <v/>
      </c>
      <c r="F1030" s="150" t="n"/>
      <c r="G1030" s="151" t="inlineStr">
        <is>
          <t>CLIMATIZAÇÃO, EXAUSTÃO MECÂNICA E PRESSURIZAÇÃO</t>
        </is>
      </c>
      <c r="H1030" s="137" t="inlineStr">
        <is>
          <t>SERVIÇO</t>
        </is>
      </c>
      <c r="I1030" s="138">
        <f>IF(H247="Unidade Construtiva",TEXT(A247,"00"),IF(H247="Célula Construtiva",TEXT(B247,"00"),IF(H247="Etapa",CONCATENATE(TEXT(B247,"00"),".",TEXT(C247,"000")),IF(H247="Subetapa",CONCATENATE(TEXT(B247,"00"),".",TEXT(C247,"000"),".",TEXT(D247,"000")),IF(H247="Serviço",CONCATENATE(TEXT(B247,"00"),".",TEXT(C247,"000"),".",TEXT(D247,"000"),".",TEXT(E247,"000")),"")))))</f>
        <v/>
      </c>
      <c r="J1030" s="139" t="inlineStr">
        <is>
          <t>Mão de obra para infraestrutra e instalação de equipamentos de climatização</t>
        </is>
      </c>
      <c r="K1030" s="140" t="inlineStr">
        <is>
          <t>vb</t>
        </is>
      </c>
      <c r="L1030" s="141" t="n">
        <v>1</v>
      </c>
      <c r="M1030" s="141">
        <f>Climatização!R18</f>
        <v/>
      </c>
      <c r="N1030" s="142">
        <f>IF(H247="Serviço",M247*L247,IF(H247="CÉLULA CONSTRUTIVA",SUMIFS($N$8:$N$754,$B$8:$B$754,B247,$H$8:$H$754,"Serviço"),IF(H247="ETAPA",SUMIFS($N$8:$N$754,$B$8:$B$754,B247,$C$8:$C$754,C247,$H$8:$H$754,"Serviço"),IF(H247="SUBETAPA",SUMIFS($N$8:$N$754,$B$8:$B$754,B247,$C$8:$C$754,C247,$D$8:$D$754,D247,$H$8:$H$754,"Serviço"),0))))</f>
        <v/>
      </c>
      <c r="O1030" s="143" t="n"/>
      <c r="P1030" s="144" t="n"/>
      <c r="Q1030" s="144" t="n"/>
      <c r="R1030" s="144" t="n"/>
      <c r="S1030" s="152" t="n"/>
      <c r="T1030" s="152" t="n"/>
      <c r="U1030" s="152" t="n"/>
      <c r="V1030" s="152" t="n"/>
      <c r="W1030" s="152" t="n"/>
      <c r="X1030" s="152" t="n"/>
      <c r="Y1030" s="152" t="n"/>
    </row>
    <row r="1031">
      <c r="A1031" s="148">
        <f>IF($H248="UNIDADE CONSTRUTIVA",OFFSET(A248,-1,0)+1,LARGE(A$3:A245,1))</f>
        <v/>
      </c>
      <c r="B1031" s="148">
        <f>IF(H248="UNIDADE CONSTRUTIVA",0,IF(H248="CÉLULA CONSTRUTIVA",OFFSET(B248,-1,0)+1,OFFSET(B248,-1,0)))</f>
        <v/>
      </c>
      <c r="C1031" s="148">
        <f>IF(H248="CÉLULA CONSTRUTIVA",0,IF(H248="ETAPA",OFFSET(C248,-1,0)+1,OFFSET(C248,-1,0)))</f>
        <v/>
      </c>
      <c r="D1031" s="149">
        <f>IF(H248="ETAPA",0,IF(H248="SUBETAPA",OFFSET(D248,-1,0)+1,OFFSET(D248,-1,0)))</f>
        <v/>
      </c>
      <c r="E1031" s="149">
        <f>IF(H248="Subetapa",0,IF(H248="serviço",OFFSET(E248,-1,0)+1,OFFSET(E248,-1,0)))</f>
        <v/>
      </c>
      <c r="F1031" s="150" t="n"/>
      <c r="G1031" s="151" t="n"/>
      <c r="H1031" s="137" t="inlineStr">
        <is>
          <t>SUBETAPA</t>
        </is>
      </c>
      <c r="I1031" s="138">
        <f>IF(H248="Unidade Construtiva",TEXT(A248,"00"),IF(H248="Célula Construtiva",TEXT(B248,"00"),IF(H248="Etapa",CONCATENATE(TEXT(B248,"00"),".",TEXT(C248,"000")),IF(H248="Subetapa",CONCATENATE(TEXT(B248,"00"),".",TEXT(C248,"000"),".",TEXT(D248,"000")),IF(H248="Serviço",CONCATENATE(TEXT(B248,"00"),".",TEXT(C248,"000"),".",TEXT(D248,"000"),".",TEXT(E248,"000")),"")))))</f>
        <v/>
      </c>
      <c r="J1031" s="139" t="inlineStr">
        <is>
          <t>Exaustão mecânica</t>
        </is>
      </c>
      <c r="K1031" s="140" t="n"/>
      <c r="L1031" s="141" t="n"/>
      <c r="M1031" s="141" t="n"/>
      <c r="N1031" s="142">
        <f>IF(H248="Serviço",M248*L248,IF(H248="CÉLULA CONSTRUTIVA",SUMIFS($N$8:$N$754,$B$8:$B$754,B248,$H$8:$H$754,"Serviço"),IF(H248="ETAPA",SUMIFS($N$8:$N$754,$B$8:$B$754,B248,$C$8:$C$754,C248,$H$8:$H$754,"Serviço"),IF(H248="SUBETAPA",SUMIFS($N$8:$N$754,$B$8:$B$754,B248,$C$8:$C$754,C248,$D$8:$D$754,D248,$H$8:$H$754,"Serviço"),0))))</f>
        <v/>
      </c>
      <c r="O1031" s="143" t="n"/>
      <c r="P1031" s="144" t="n"/>
      <c r="Q1031" s="144" t="n"/>
      <c r="R1031" s="144" t="n"/>
      <c r="S1031" s="152" t="n"/>
      <c r="T1031" s="152" t="n"/>
      <c r="U1031" s="152" t="n"/>
      <c r="V1031" s="152" t="n"/>
      <c r="W1031" s="152" t="n"/>
      <c r="X1031" s="152" t="n"/>
      <c r="Y1031" s="152" t="n"/>
    </row>
    <row r="1032">
      <c r="A1032" s="148">
        <f>IF($H249="UNIDADE CONSTRUTIVA",OFFSET(A249,-1,0)+1,LARGE(A$3:A248,1))</f>
        <v/>
      </c>
      <c r="B1032" s="148">
        <f>IF(H249="UNIDADE CONSTRUTIVA",0,IF(H249="CÉLULA CONSTRUTIVA",OFFSET(B249,-1,0)+1,OFFSET(B249,-1,0)))</f>
        <v/>
      </c>
      <c r="C1032" s="148">
        <f>IF(H249="CÉLULA CONSTRUTIVA",0,IF(H249="ETAPA",OFFSET(C249,-1,0)+1,OFFSET(C249,-1,0)))</f>
        <v/>
      </c>
      <c r="D1032" s="149">
        <f>IF(H249="ETAPA",0,IF(H249="SUBETAPA",OFFSET(D249,-1,0)+1,OFFSET(D249,-1,0)))</f>
        <v/>
      </c>
      <c r="E1032" s="149">
        <f>IF(H249="Subetapa",0,IF(H249="serviço",OFFSET(E249,-1,0)+1,OFFSET(E249,-1,0)))</f>
        <v/>
      </c>
      <c r="F1032" s="150" t="n"/>
      <c r="G1032" s="151" t="inlineStr">
        <is>
          <t>CLIMATIZAÇÃO, EXAUSTÃO MECÂNICA E PRESSURIZAÇÃO</t>
        </is>
      </c>
      <c r="H1032" s="137" t="inlineStr">
        <is>
          <t>SERVIÇO</t>
        </is>
      </c>
      <c r="I1032" s="138">
        <f>IF(H249="Unidade Construtiva",TEXT(A249,"00"),IF(H249="Célula Construtiva",TEXT(B249,"00"),IF(H249="Etapa",CONCATENATE(TEXT(B249,"00"),".",TEXT(C249,"000")),IF(H249="Subetapa",CONCATENATE(TEXT(B249,"00"),".",TEXT(C249,"000"),".",TEXT(D249,"000")),IF(H249="Serviço",CONCATENATE(TEXT(B249,"00"),".",TEXT(C249,"000"),".",TEXT(D249,"000"),".",TEXT(E249,"000")),"")))))</f>
        <v/>
      </c>
      <c r="J1032" s="139" t="inlineStr">
        <is>
          <t>Exaustão mecânica</t>
        </is>
      </c>
      <c r="K1032" s="140" t="inlineStr">
        <is>
          <t>un</t>
        </is>
      </c>
      <c r="L1032" s="141" t="n">
        <v>34</v>
      </c>
      <c r="M1032" s="141" t="n">
        <v>990</v>
      </c>
      <c r="N1032" s="142">
        <f>IF(H249="Serviço",M249*L249,IF(H249="CÉLULA CONSTRUTIVA",SUMIFS($N$8:$N$754,$B$8:$B$754,B249,$H$8:$H$754,"Serviço"),IF(H249="ETAPA",SUMIFS($N$8:$N$754,$B$8:$B$754,B249,$C$8:$C$754,C249,$H$8:$H$754,"Serviço"),IF(H249="SUBETAPA",SUMIFS($N$8:$N$754,$B$8:$B$754,B249,$C$8:$C$754,C249,$D$8:$D$754,D249,$H$8:$H$754,"Serviço"),0))))</f>
        <v/>
      </c>
      <c r="O1032" s="50" t="inlineStr">
        <is>
          <t>Exaustão de banheiros</t>
        </is>
      </c>
      <c r="P1032" s="144" t="n"/>
      <c r="Q1032" s="144" t="n"/>
      <c r="R1032" s="144" t="n"/>
      <c r="S1032" s="152" t="n"/>
      <c r="T1032" s="152" t="n"/>
      <c r="U1032" s="152" t="n"/>
      <c r="V1032" s="152" t="n"/>
      <c r="W1032" s="152" t="n"/>
      <c r="X1032" s="152" t="n"/>
      <c r="Y1032" s="152" t="n"/>
    </row>
    <row r="1033">
      <c r="A1033" s="148">
        <f>IF($H250="UNIDADE CONSTRUTIVA",OFFSET(A250,-1,0)+1,LARGE(A$3:A247,1))</f>
        <v/>
      </c>
      <c r="B1033" s="148">
        <f>IF(H250="UNIDADE CONSTRUTIVA",0,IF(H250="CÉLULA CONSTRUTIVA",OFFSET(B250,-1,0)+1,OFFSET(B250,-1,0)))</f>
        <v/>
      </c>
      <c r="C1033" s="148">
        <f>IF(H250="CÉLULA CONSTRUTIVA",0,IF(H250="ETAPA",OFFSET(C250,-1,0)+1,OFFSET(C250,-1,0)))</f>
        <v/>
      </c>
      <c r="D1033" s="149">
        <f>IF(H250="ETAPA",0,IF(H250="SUBETAPA",OFFSET(D250,-1,0)+1,OFFSET(D250,-1,0)))</f>
        <v/>
      </c>
      <c r="E1033" s="149">
        <f>IF(H250="Subetapa",0,IF(H250="serviço",OFFSET(E250,-1,0)+1,OFFSET(E250,-1,0)))</f>
        <v/>
      </c>
      <c r="F1033" s="150" t="n"/>
      <c r="G1033" s="151" t="n"/>
      <c r="H1033" s="137" t="inlineStr">
        <is>
          <t>SUBETAPA</t>
        </is>
      </c>
      <c r="I1033" s="138">
        <f>IF(H250="Unidade Construtiva",TEXT(A250,"00"),IF(H250="Célula Construtiva",TEXT(B250,"00"),IF(H250="Etapa",CONCATENATE(TEXT(B250,"00"),".",TEXT(C250,"000")),IF(H250="Subetapa",CONCATENATE(TEXT(B250,"00"),".",TEXT(C250,"000"),".",TEXT(D250,"000")),IF(H250="Serviço",CONCATENATE(TEXT(B250,"00"),".",TEXT(C250,"000"),".",TEXT(D250,"000"),".",TEXT(E250,"000")),"")))))</f>
        <v/>
      </c>
      <c r="J1033" s="139" t="inlineStr">
        <is>
          <t>Exaustão de churrasqueiras</t>
        </is>
      </c>
      <c r="K1033" s="140" t="n"/>
      <c r="L1033" s="141" t="n"/>
      <c r="M1033" s="141" t="n"/>
      <c r="N1033" s="142">
        <f>IF(H250="Serviço",M250*L250,IF(H250="CÉLULA CONSTRUTIVA",SUMIFS($N$8:$N$754,$B$8:$B$754,B250,$H$8:$H$754,"Serviço"),IF(H250="ETAPA",SUMIFS($N$8:$N$754,$B$8:$B$754,B250,$C$8:$C$754,C250,$H$8:$H$754,"Serviço"),IF(H250="SUBETAPA",SUMIFS($N$8:$N$754,$B$8:$B$754,B250,$C$8:$C$754,C250,$D$8:$D$754,D250,$H$8:$H$754,"Serviço"),0))))</f>
        <v/>
      </c>
      <c r="O1033" s="143" t="n"/>
      <c r="P1033" s="144" t="n"/>
      <c r="Q1033" s="144" t="n"/>
      <c r="R1033" s="144" t="n"/>
      <c r="S1033" s="152" t="n"/>
      <c r="T1033" s="152" t="n"/>
      <c r="U1033" s="152" t="n"/>
      <c r="V1033" s="152" t="n"/>
      <c r="W1033" s="152" t="n"/>
      <c r="X1033" s="152" t="n"/>
      <c r="Y1033" s="152" t="n"/>
    </row>
    <row r="1034">
      <c r="A1034" s="148">
        <f>IF($H251="UNIDADE CONSTRUTIVA",OFFSET(A251,-1,0)+1,LARGE(A$3:A249,1))</f>
        <v/>
      </c>
      <c r="B1034" s="148">
        <f>IF(H251="UNIDADE CONSTRUTIVA",0,IF(H251="CÉLULA CONSTRUTIVA",OFFSET(B251,-1,0)+1,OFFSET(B251,-1,0)))</f>
        <v/>
      </c>
      <c r="C1034" s="148">
        <f>IF(H251="CÉLULA CONSTRUTIVA",0,IF(H251="ETAPA",OFFSET(C251,-1,0)+1,OFFSET(C251,-1,0)))</f>
        <v/>
      </c>
      <c r="D1034" s="149">
        <f>IF(H251="ETAPA",0,IF(H251="SUBETAPA",OFFSET(D251,-1,0)+1,OFFSET(D251,-1,0)))</f>
        <v/>
      </c>
      <c r="E1034" s="149">
        <f>IF(H251="Subetapa",0,IF(H251="serviço",OFFSET(E251,-1,0)+1,OFFSET(E251,-1,0)))</f>
        <v/>
      </c>
      <c r="F1034" s="150" t="n"/>
      <c r="G1034" s="151" t="inlineStr">
        <is>
          <t>CLIMATIZAÇÃO, EXAUSTÃO MECÂNICA E PRESSURIZAÇÃO</t>
        </is>
      </c>
      <c r="H1034" s="137" t="inlineStr">
        <is>
          <t>SERVIÇO</t>
        </is>
      </c>
      <c r="I1034" s="138">
        <f>IF(H251="Unidade Construtiva",TEXT(A251,"00"),IF(H251="Célula Construtiva",TEXT(B251,"00"),IF(H251="Etapa",CONCATENATE(TEXT(B251,"00"),".",TEXT(C251,"000")),IF(H251="Subetapa",CONCATENATE(TEXT(B251,"00"),".",TEXT(C251,"000"),".",TEXT(D251,"000")),IF(H251="Serviço",CONCATENATE(TEXT(B251,"00"),".",TEXT(C251,"000"),".",TEXT(D251,"000"),".",TEXT(E251,"000")),"")))))</f>
        <v/>
      </c>
      <c r="J1034" s="139" t="inlineStr">
        <is>
          <t>Exaustão de churrasqueiras</t>
        </is>
      </c>
      <c r="K1034" s="140" t="inlineStr">
        <is>
          <t>un</t>
        </is>
      </c>
      <c r="L1034" s="141" t="n">
        <v>32</v>
      </c>
      <c r="M1034" s="141" t="n">
        <v>2860</v>
      </c>
      <c r="N1034" s="142">
        <f>IF(H251="Serviço",M251*L251,IF(H251="CÉLULA CONSTRUTIVA",SUMIFS($N$8:$N$754,$B$8:$B$754,B251,$H$8:$H$754,"Serviço"),IF(H251="ETAPA",SUMIFS($N$8:$N$754,$B$8:$B$754,B251,$C$8:$C$754,C251,$H$8:$H$754,"Serviço"),IF(H251="SUBETAPA",SUMIFS($N$8:$N$754,$B$8:$B$754,B251,$C$8:$C$754,C251,$D$8:$D$754,D251,$H$8:$H$754,"Serviço"),0))))</f>
        <v/>
      </c>
      <c r="O1034" s="50" t="inlineStr">
        <is>
          <t>Churrasqueiras - área comum e privativa</t>
        </is>
      </c>
      <c r="P1034" s="144" t="n"/>
      <c r="Q1034" s="144" t="n"/>
      <c r="R1034" s="144" t="n"/>
      <c r="S1034" s="152" t="n"/>
      <c r="T1034" s="152" t="n"/>
      <c r="U1034" s="152" t="n"/>
      <c r="V1034" s="152" t="n"/>
      <c r="W1034" s="152" t="n"/>
      <c r="X1034" s="152" t="n"/>
      <c r="Y1034" s="152" t="n"/>
    </row>
    <row r="1035">
      <c r="A1035" s="121">
        <f>IF($H252="UNIDADE CONSTRUTIVA",OFFSET(A252,-1,0)+1,LARGE(A$3:A162,1))</f>
        <v/>
      </c>
      <c r="B1035" s="121">
        <f>IF(H252="UNIDADE CONSTRUTIVA",0,IF(H252="CÉLULA CONSTRUTIVA",OFFSET(B252,-1,0)+1,OFFSET(B252,-1,0)))</f>
        <v/>
      </c>
      <c r="C1035" s="121">
        <f>IF(H252="CÉLULA CONSTRUTIVA",0,IF(H252="ETAPA",OFFSET(C252,-1,0)+1,OFFSET(C252,-1,0)))</f>
        <v/>
      </c>
      <c r="D1035" s="122">
        <f>IF(H252="ETAPA",0,IF(H252="SUBETAPA",OFFSET(D252,-1,0)+1,OFFSET(D252,-1,0)))</f>
        <v/>
      </c>
      <c r="E1035" s="122">
        <f>IF(H252="Subetapa",0,IF(H252="serviço",OFFSET(E252,-1,0)+1,OFFSET(E252,-1,0)))</f>
        <v/>
      </c>
      <c r="F1035" s="123" t="n"/>
      <c r="G1035" s="135" t="n"/>
      <c r="H1035" s="44" t="inlineStr">
        <is>
          <t>CÉLULA CONSTRUTIVA</t>
        </is>
      </c>
      <c r="I1035" s="45">
        <f>IF(H252="Unidade Construtiva",TEXT(A252,"00"),IF(H252="Célula Construtiva",TEXT(B252,"00"),IF(H252="Etapa",CONCATENATE(TEXT(B252,"00"),".",TEXT(C252,"000")),IF(H252="Subetapa",CONCATENATE(TEXT(B252,"00"),".",TEXT(C252,"000"),".",TEXT(D252,"000")),IF(H252="Serviço",CONCATENATE(TEXT(B252,"00"),".",TEXT(C252,"000"),".",TEXT(D252,"000"),".",TEXT(E252,"000")),"")))))</f>
        <v/>
      </c>
      <c r="J1035" s="51" t="inlineStr">
        <is>
          <t>REVESTIMENTOS INTERNOS DE PAREDE</t>
        </is>
      </c>
      <c r="K1035" s="47" t="n"/>
      <c r="L1035" s="48" t="n"/>
      <c r="M1035" s="48" t="n"/>
      <c r="N1035" s="49">
        <f>IF(H252="Serviço",M252*L252,IF(H252="CÉLULA CONSTRUTIVA",SUMIFS($N$8:$N$754,$B$8:$B$754,B252,$H$8:$H$754,"Serviço"),IF(H252="ETAPA",SUMIFS($N$8:$N$754,$B$8:$B$754,B252,$C$8:$C$754,C252,$H$8:$H$754,"Serviço"),IF(H252="SUBETAPA",SUMIFS($N$8:$N$754,$B$8:$B$754,B252,$C$8:$C$754,C252,$D$8:$D$754,D252,$H$8:$H$754,"Serviço"),0))))</f>
        <v/>
      </c>
      <c r="O1035" s="50">
        <f>N252/CAPA!C$10</f>
        <v/>
      </c>
      <c r="P1035" s="134" t="n"/>
      <c r="Q1035" s="115" t="n"/>
      <c r="R1035" s="52" t="n"/>
      <c r="S1035" s="1" t="n"/>
      <c r="T1035" s="1" t="n"/>
      <c r="U1035" s="1" t="n"/>
      <c r="V1035" s="1" t="n"/>
      <c r="W1035" s="1" t="n"/>
      <c r="X1035" s="1" t="n"/>
      <c r="Y1035" s="1" t="n"/>
    </row>
    <row r="1036">
      <c r="A1036" s="121">
        <f>IF($H253="UNIDADE CONSTRUTIVA",OFFSET(A253,-1,0)+1,LARGE(A$3:A252,1))</f>
        <v/>
      </c>
      <c r="B1036" s="121">
        <f>IF(H253="UNIDADE CONSTRUTIVA",0,IF(H253="CÉLULA CONSTRUTIVA",OFFSET(B253,-1,0)+1,OFFSET(B253,-1,0)))</f>
        <v/>
      </c>
      <c r="C1036" s="121">
        <f>IF(H253="CÉLULA CONSTRUTIVA",0,IF(H253="ETAPA",OFFSET(C253,-1,0)+1,OFFSET(C253,-1,0)))</f>
        <v/>
      </c>
      <c r="D1036" s="122">
        <f>IF(H253="ETAPA",0,IF(H253="SUBETAPA",OFFSET(D253,-1,0)+1,OFFSET(D253,-1,0)))</f>
        <v/>
      </c>
      <c r="E1036" s="122">
        <f>IF(H253="Subetapa",0,IF(H253="serviço",OFFSET(E253,-1,0)+1,OFFSET(E253,-1,0)))</f>
        <v/>
      </c>
      <c r="F1036" s="123" t="n"/>
      <c r="G1036" s="135" t="n"/>
      <c r="H1036" s="44" t="inlineStr">
        <is>
          <t>ETAPA</t>
        </is>
      </c>
      <c r="I1036" s="45">
        <f>IF(H253="Unidade Construtiva",TEXT(A253,"00"),IF(H253="Célula Construtiva",TEXT(B253,"00"),IF(H253="Etapa",CONCATENATE(TEXT(B253,"00"),".",TEXT(C253,"000")),IF(H253="Subetapa",CONCATENATE(TEXT(B253,"00"),".",TEXT(C253,"000"),".",TEXT(D253,"000")),IF(H253="Serviço",CONCATENATE(TEXT(B253,"00"),".",TEXT(C253,"000"),".",TEXT(D253,"000"),".",TEXT(E253,"000")),"")))))</f>
        <v/>
      </c>
      <c r="J1036" s="51" t="inlineStr">
        <is>
          <t>REVESTIMENTOS INTERNOS DE PAREDE</t>
        </is>
      </c>
      <c r="K1036" s="47" t="n"/>
      <c r="L1036" s="48" t="n"/>
      <c r="M1036" s="48" t="n"/>
      <c r="N1036" s="49">
        <f>IF(H253="Serviço",M253*L253,IF(H253="CÉLULA CONSTRUTIVA",SUMIFS($N$8:$N$754,$B$8:$B$754,B253,$H$8:$H$754,"Serviço"),IF(H253="ETAPA",SUMIFS($N$8:$N$754,$B$8:$B$754,B253,$C$8:$C$754,C253,$H$8:$H$754,"Serviço"),IF(H253="SUBETAPA",SUMIFS($N$8:$N$754,$B$8:$B$754,B253,$C$8:$C$754,C253,$D$8:$D$754,D253,$H$8:$H$754,"Serviço"),0))))</f>
        <v/>
      </c>
      <c r="O1036" s="50">
        <f>N253/CAPA!C$10</f>
        <v/>
      </c>
      <c r="P1036" s="134" t="n"/>
      <c r="Q1036" s="52" t="n"/>
      <c r="R1036" s="52" t="n"/>
      <c r="S1036" s="1" t="n"/>
      <c r="T1036" s="1" t="n"/>
      <c r="U1036" s="1" t="n"/>
      <c r="V1036" s="1" t="n"/>
      <c r="W1036" s="1" t="n"/>
      <c r="X1036" s="1" t="n"/>
      <c r="Y1036" s="1" t="n"/>
    </row>
    <row r="1037">
      <c r="A1037" s="121">
        <f>IF($H254="UNIDADE CONSTRUTIVA",OFFSET(A254,-1,0)+1,LARGE(A$3:A253,1))</f>
        <v/>
      </c>
      <c r="B1037" s="121">
        <f>IF(H254="UNIDADE CONSTRUTIVA",0,IF(H254="CÉLULA CONSTRUTIVA",OFFSET(B254,-1,0)+1,OFFSET(B254,-1,0)))</f>
        <v/>
      </c>
      <c r="C1037" s="121">
        <f>IF(H254="CÉLULA CONSTRUTIVA",0,IF(H254="ETAPA",OFFSET(C254,-1,0)+1,OFFSET(C254,-1,0)))</f>
        <v/>
      </c>
      <c r="D1037" s="122">
        <f>IF(H254="ETAPA",0,IF(H254="SUBETAPA",OFFSET(D254,-1,0)+1,OFFSET(D254,-1,0)))</f>
        <v/>
      </c>
      <c r="E1037" s="122">
        <f>IF(H254="Subetapa",0,IF(H254="serviço",OFFSET(E254,-1,0)+1,OFFSET(E254,-1,0)))</f>
        <v/>
      </c>
      <c r="F1037" s="123" t="n"/>
      <c r="G1037" s="135" t="n"/>
      <c r="H1037" s="44" t="inlineStr">
        <is>
          <t>SUBETAPA</t>
        </is>
      </c>
      <c r="I1037" s="45">
        <f>IF(H254="Unidade Construtiva",TEXT(A254,"00"),IF(H254="Célula Construtiva",TEXT(B254,"00"),IF(H254="Etapa",CONCATENATE(TEXT(B254,"00"),".",TEXT(C254,"000")),IF(H254="Subetapa",CONCATENATE(TEXT(B254,"00"),".",TEXT(C254,"000"),".",TEXT(D254,"000")),IF(H254="Serviço",CONCATENATE(TEXT(B254,"00"),".",TEXT(C254,"000"),".",TEXT(D254,"000"),".",TEXT(E254,"000")),"")))))</f>
        <v/>
      </c>
      <c r="J1037" s="51" t="inlineStr">
        <is>
          <t>Reboco interno</t>
        </is>
      </c>
      <c r="K1037" s="47" t="n"/>
      <c r="L1037" s="48" t="n"/>
      <c r="M1037" s="48" t="n"/>
      <c r="N1037" s="49">
        <f>IF(H254="Serviço",M254*L254,IF(H254="CÉLULA CONSTRUTIVA",SUMIFS($N$8:$N$754,$B$8:$B$754,B254,$H$8:$H$754,"Serviço"),IF(H254="ETAPA",SUMIFS($N$8:$N$754,$B$8:$B$754,B254,$C$8:$C$754,C254,$H$8:$H$754,"Serviço"),IF(H254="SUBETAPA",SUMIFS($N$8:$N$754,$B$8:$B$754,B254,$C$8:$C$754,C254,$D$8:$D$754,D254,$H$8:$H$754,"Serviço"),0))))</f>
        <v/>
      </c>
      <c r="O1037" s="50">
        <f>N254/CAPA!C$10</f>
        <v/>
      </c>
      <c r="P1037" s="134" t="n"/>
      <c r="Q1037" s="52" t="n"/>
      <c r="R1037" s="52" t="n"/>
      <c r="S1037" s="1" t="n"/>
      <c r="T1037" s="1" t="n"/>
      <c r="U1037" s="1" t="n"/>
      <c r="V1037" s="1" t="n"/>
      <c r="W1037" s="1" t="n"/>
      <c r="X1037" s="1" t="n"/>
      <c r="Y1037" s="1" t="n"/>
    </row>
    <row r="1038">
      <c r="A1038" s="121">
        <f>IF($H255="UNIDADE CONSTRUTIVA",OFFSET(A255,-1,0)+1,LARGE(A$3:A254,1))</f>
        <v/>
      </c>
      <c r="B1038" s="121">
        <f>IF(H255="UNIDADE CONSTRUTIVA",0,IF(H255="CÉLULA CONSTRUTIVA",OFFSET(B255,-1,0)+1,OFFSET(B255,-1,0)))</f>
        <v/>
      </c>
      <c r="C1038" s="121">
        <f>IF(H255="CÉLULA CONSTRUTIVA",0,IF(H255="ETAPA",OFFSET(C255,-1,0)+1,OFFSET(C255,-1,0)))</f>
        <v/>
      </c>
      <c r="D1038" s="122">
        <f>IF(H255="ETAPA",0,IF(H255="SUBETAPA",OFFSET(D255,-1,0)+1,OFFSET(D255,-1,0)))</f>
        <v/>
      </c>
      <c r="E1038" s="122">
        <f>IF(H255="Subetapa",0,IF(H255="serviço",OFFSET(E255,-1,0)+1,OFFSET(E255,-1,0)))</f>
        <v/>
      </c>
      <c r="F1038" s="123" t="n"/>
      <c r="G1038" s="135" t="inlineStr">
        <is>
          <t>REVESTIMENTOS INTERNOS DE PAREDE</t>
        </is>
      </c>
      <c r="H1038" s="44" t="inlineStr">
        <is>
          <t>SERVIÇO</t>
        </is>
      </c>
      <c r="I1038" s="45">
        <f>IF(H255="Unidade Construtiva",TEXT(A255,"00"),IF(H255="Célula Construtiva",TEXT(B255,"00"),IF(H255="Etapa",CONCATENATE(TEXT(B255,"00"),".",TEXT(C255,"000")),IF(H255="Subetapa",CONCATENATE(TEXT(B255,"00"),".",TEXT(C255,"000"),".",TEXT(D255,"000")),IF(H255="Serviço",CONCATENATE(TEXT(B255,"00"),".",TEXT(C255,"000"),".",TEXT(D255,"000"),".",TEXT(E255,"000")),"")))))</f>
        <v/>
      </c>
      <c r="J1038" s="161" t="inlineStr">
        <is>
          <t>Chapisco aplicados em alvenaria, com argamassa estabilizada, aplicação convencional</t>
        </is>
      </c>
      <c r="K1038" s="47" t="inlineStr">
        <is>
          <t>m2</t>
        </is>
      </c>
      <c r="L1038" s="48">
        <f>'Arquitetura Visus'!D72+'Arquitetura Visus'!D74</f>
        <v/>
      </c>
      <c r="M1038" s="48">
        <f>_xlfn.XLOOKUP($J255,CPU!$D$1:$D$31540,CPU!$H$1:$H$31540)</f>
        <v/>
      </c>
      <c r="N1038" s="49">
        <f>IF(H255="Serviço",M255*L255,IF(H255="CÉLULA CONSTRUTIVA",SUMIFS($N$8:$N$754,$B$8:$B$754,B255,$H$8:$H$754,"Serviço"),IF(H255="ETAPA",SUMIFS($N$8:$N$754,$B$8:$B$754,B255,$C$8:$C$754,C255,$H$8:$H$754,"Serviço"),IF(H255="SUBETAPA",SUMIFS($N$8:$N$754,$B$8:$B$754,B255,$C$8:$C$754,C255,$D$8:$D$754,D255,$H$8:$H$754,"Serviço"),0))))</f>
        <v/>
      </c>
      <c r="O1038" s="50" t="n"/>
      <c r="P1038" s="134" t="n"/>
      <c r="Q1038" s="52" t="n"/>
      <c r="R1038" s="52" t="n"/>
      <c r="S1038" s="1" t="n"/>
      <c r="T1038" s="1" t="n"/>
      <c r="U1038" s="1" t="n"/>
      <c r="V1038" s="1" t="n"/>
      <c r="W1038" s="1" t="n"/>
      <c r="X1038" s="1" t="n"/>
      <c r="Y1038" s="1" t="n"/>
    </row>
    <row r="1039">
      <c r="A1039" s="121">
        <f>IF($H256="UNIDADE CONSTRUTIVA",OFFSET(A256,-1,0)+1,LARGE(A$3:A255,1))</f>
        <v/>
      </c>
      <c r="B1039" s="121">
        <f>IF(H256="UNIDADE CONSTRUTIVA",0,IF(H256="CÉLULA CONSTRUTIVA",OFFSET(B256,-1,0)+1,OFFSET(B256,-1,0)))</f>
        <v/>
      </c>
      <c r="C1039" s="121">
        <f>IF(H256="CÉLULA CONSTRUTIVA",0,IF(H256="ETAPA",OFFSET(C256,-1,0)+1,OFFSET(C256,-1,0)))</f>
        <v/>
      </c>
      <c r="D1039" s="122">
        <f>IF(H256="ETAPA",0,IF(H256="SUBETAPA",OFFSET(D256,-1,0)+1,OFFSET(D256,-1,0)))</f>
        <v/>
      </c>
      <c r="E1039" s="122">
        <f>IF(H256="Subetapa",0,IF(H256="serviço",OFFSET(E256,-1,0)+1,OFFSET(E256,-1,0)))</f>
        <v/>
      </c>
      <c r="F1039" s="123" t="n"/>
      <c r="G1039" s="135" t="inlineStr">
        <is>
          <t>REVESTIMENTOS INTERNOS DE PAREDE</t>
        </is>
      </c>
      <c r="H1039" s="44" t="inlineStr">
        <is>
          <t>SERVIÇO</t>
        </is>
      </c>
      <c r="I1039" s="45">
        <f>IF(H256="Unidade Construtiva",TEXT(A256,"00"),IF(H256="Célula Construtiva",TEXT(B256,"00"),IF(H256="Etapa",CONCATENATE(TEXT(B256,"00"),".",TEXT(C256,"000")),IF(H256="Subetapa",CONCATENATE(TEXT(B256,"00"),".",TEXT(C256,"000"),".",TEXT(D256,"000")),IF(H256="Serviço",CONCATENATE(TEXT(B256,"00"),".",TEXT(C256,"000"),".",TEXT(D256,"000"),".",TEXT(E256,"000")),"")))))</f>
        <v/>
      </c>
      <c r="J1039" s="51" t="inlineStr">
        <is>
          <t>Emboço interno em argamassa estabilizada, espessura de 2,5cm, com execução de taliscas</t>
        </is>
      </c>
      <c r="K1039" s="47" t="inlineStr">
        <is>
          <t>m2</t>
        </is>
      </c>
      <c r="L1039" s="48">
        <f>'Arquitetura Visus'!D77+'Arquitetura Visus'!D79</f>
        <v/>
      </c>
      <c r="M1039" s="48">
        <f>_xlfn.XLOOKUP($J256,CPU!$D$1:$D$31540,CPU!$H$1:$H$31540)</f>
        <v/>
      </c>
      <c r="N1039" s="49">
        <f>IF(H256="Serviço",M256*L256,IF(H256="CÉLULA CONSTRUTIVA",SUMIFS($N$8:$N$754,$B$8:$B$754,B256,$H$8:$H$754,"Serviço"),IF(H256="ETAPA",SUMIFS($N$8:$N$754,$B$8:$B$754,B256,$C$8:$C$754,C256,$H$8:$H$754,"Serviço"),IF(H256="SUBETAPA",SUMIFS($N$8:$N$754,$B$8:$B$754,B256,$C$8:$C$754,C256,$D$8:$D$754,D256,$H$8:$H$754,"Serviço"),0))))</f>
        <v/>
      </c>
      <c r="O1039" s="50" t="n"/>
      <c r="P1039" s="134" t="n"/>
      <c r="Q1039" s="162" t="n"/>
      <c r="R1039" s="52" t="n"/>
      <c r="S1039" s="1" t="n"/>
      <c r="T1039" s="1" t="n"/>
      <c r="U1039" s="1" t="n"/>
      <c r="V1039" s="1" t="n"/>
      <c r="W1039" s="1" t="n"/>
      <c r="X1039" s="1" t="n"/>
      <c r="Y1039" s="1" t="n"/>
    </row>
    <row r="1040">
      <c r="A1040" s="121">
        <f>IF($H257="UNIDADE CONSTRUTIVA",OFFSET(A257,-1,0)+1,LARGE(A$3:A255,1))</f>
        <v/>
      </c>
      <c r="B1040" s="121">
        <f>IF(H257="UNIDADE CONSTRUTIVA",0,IF(H257="CÉLULA CONSTRUTIVA",OFFSET(B257,-1,0)+1,OFFSET(B257,-1,0)))</f>
        <v/>
      </c>
      <c r="C1040" s="121">
        <f>IF(H257="CÉLULA CONSTRUTIVA",0,IF(H257="ETAPA",OFFSET(C257,-1,0)+1,OFFSET(C257,-1,0)))</f>
        <v/>
      </c>
      <c r="D1040" s="122">
        <f>IF(H257="ETAPA",0,IF(H257="SUBETAPA",OFFSET(D257,-1,0)+1,OFFSET(D257,-1,0)))</f>
        <v/>
      </c>
      <c r="E1040" s="122">
        <f>IF(H257="Subetapa",0,IF(H257="serviço",OFFSET(E257,-1,0)+1,OFFSET(E257,-1,0)))</f>
        <v/>
      </c>
      <c r="F1040" s="123" t="n"/>
      <c r="G1040" s="135" t="inlineStr">
        <is>
          <t>REVESTIMENTOS INTERNOS DE PAREDE</t>
        </is>
      </c>
      <c r="H1040" s="44" t="inlineStr">
        <is>
          <t>SERVIÇO</t>
        </is>
      </c>
      <c r="I1040" s="45">
        <f>IF(H257="Unidade Construtiva",TEXT(A257,"00"),IF(H257="Célula Construtiva",TEXT(B257,"00"),IF(H257="Etapa",CONCATENATE(TEXT(B257,"00"),".",TEXT(C257,"000")),IF(H257="Subetapa",CONCATENATE(TEXT(B257,"00"),".",TEXT(C257,"000"),".",TEXT(D257,"000")),IF(H257="Serviço",CONCATENATE(TEXT(B257,"00"),".",TEXT(C257,"000"),".",TEXT(D257,"000"),".",TEXT(E257,"000")),"")))))</f>
        <v/>
      </c>
      <c r="J1040" s="51" t="inlineStr">
        <is>
          <t>Reboco interno em argamassa estabilizada, espessura de 0,5cm, com execução desempenado fino</t>
        </is>
      </c>
      <c r="K1040" s="47" t="inlineStr">
        <is>
          <t>m2</t>
        </is>
      </c>
      <c r="L1040" s="48">
        <f>'Arquitetura Visus'!D92</f>
        <v/>
      </c>
      <c r="M1040" s="48">
        <f>_xlfn.XLOOKUP($J257,CPU!$D$1:$D$31540,CPU!$H$1:$H$31540)</f>
        <v/>
      </c>
      <c r="N1040" s="49">
        <f>IF(H257="Serviço",M257*L257,IF(H257="CÉLULA CONSTRUTIVA",SUMIFS($N$8:$N$754,$B$8:$B$754,B257,$H$8:$H$754,"Serviço"),IF(H257="ETAPA",SUMIFS($N$8:$N$754,$B$8:$B$754,B257,$C$8:$C$754,C257,$H$8:$H$754,"Serviço"),IF(H257="SUBETAPA",SUMIFS($N$8:$N$754,$B$8:$B$754,B257,$C$8:$C$754,C257,$D$8:$D$754,D257,$H$8:$H$754,"Serviço"),0))))</f>
        <v/>
      </c>
      <c r="O1040" s="50" t="n"/>
      <c r="P1040" s="134" t="n"/>
      <c r="Q1040" s="52" t="n"/>
      <c r="R1040" s="52" t="n"/>
      <c r="S1040" s="1" t="n"/>
      <c r="T1040" s="1" t="n"/>
      <c r="U1040" s="1" t="n"/>
      <c r="V1040" s="1" t="n"/>
      <c r="W1040" s="1" t="n"/>
      <c r="X1040" s="1" t="n"/>
      <c r="Y1040" s="1" t="n"/>
    </row>
    <row r="1041">
      <c r="A1041" s="121">
        <f>IF($H258="UNIDADE CONSTRUTIVA",OFFSET(A258,-1,0)+1,LARGE(A$3:A257,1))</f>
        <v/>
      </c>
      <c r="B1041" s="121">
        <f>IF(H258="UNIDADE CONSTRUTIVA",0,IF(H258="CÉLULA CONSTRUTIVA",OFFSET(B258,-1,0)+1,OFFSET(B258,-1,0)))</f>
        <v/>
      </c>
      <c r="C1041" s="121">
        <f>IF(H258="CÉLULA CONSTRUTIVA",0,IF(H258="ETAPA",OFFSET(C258,-1,0)+1,OFFSET(C258,-1,0)))</f>
        <v/>
      </c>
      <c r="D1041" s="122">
        <f>IF(H258="ETAPA",0,IF(H258="SUBETAPA",OFFSET(D258,-1,0)+1,OFFSET(D258,-1,0)))</f>
        <v/>
      </c>
      <c r="E1041" s="122">
        <f>IF(H258="Subetapa",0,IF(H258="serviço",OFFSET(E258,-1,0)+1,OFFSET(E258,-1,0)))</f>
        <v/>
      </c>
      <c r="F1041" s="123" t="n"/>
      <c r="G1041" s="135" t="n"/>
      <c r="H1041" s="44" t="inlineStr">
        <is>
          <t>SUBETAPA</t>
        </is>
      </c>
      <c r="I1041" s="45">
        <f>IF(H258="Unidade Construtiva",TEXT(A258,"00"),IF(H258="Célula Construtiva",TEXT(B258,"00"),IF(H258="Etapa",CONCATENATE(TEXT(B258,"00"),".",TEXT(C258,"000")),IF(H258="Subetapa",CONCATENATE(TEXT(B258,"00"),".",TEXT(C258,"000"),".",TEXT(D258,"000")),IF(H258="Serviço",CONCATENATE(TEXT(B258,"00"),".",TEXT(C258,"000"),".",TEXT(D258,"000"),".",TEXT(E258,"000")),"")))))</f>
        <v/>
      </c>
      <c r="J1041" s="51" t="inlineStr">
        <is>
          <t>Acabamentos cerâmicos</t>
        </is>
      </c>
      <c r="K1041" s="47" t="n"/>
      <c r="L1041" s="48" t="n"/>
      <c r="M1041" s="48" t="n"/>
      <c r="N1041" s="49">
        <f>IF(H258="Serviço",M258*L258,IF(H258="CÉLULA CONSTRUTIVA",SUMIFS($N$8:$N$754,$B$8:$B$754,B258,$H$8:$H$754,"Serviço"),IF(H258="ETAPA",SUMIFS($N$8:$N$754,$B$8:$B$754,B258,$C$8:$C$754,C258,$H$8:$H$754,"Serviço"),IF(H258="SUBETAPA",SUMIFS($N$8:$N$754,$B$8:$B$754,B258,$C$8:$C$754,C258,$D$8:$D$754,D258,$H$8:$H$754,"Serviço"),0))))</f>
        <v/>
      </c>
      <c r="O1041" s="50">
        <f>N258/CAPA!C$10</f>
        <v/>
      </c>
      <c r="P1041" s="134" t="n"/>
      <c r="Q1041" s="52" t="n"/>
      <c r="R1041" s="52" t="n"/>
      <c r="S1041" s="1" t="n"/>
      <c r="T1041" s="1" t="n"/>
      <c r="U1041" s="1" t="n"/>
      <c r="V1041" s="1" t="n"/>
      <c r="W1041" s="1" t="n"/>
      <c r="X1041" s="1" t="n"/>
      <c r="Y1041" s="1" t="n"/>
    </row>
    <row r="1042">
      <c r="A1042" s="121">
        <f>IF($H259="UNIDADE CONSTRUTIVA",OFFSET(A259,-1,0)+1,LARGE(A$3:A257,1))</f>
        <v/>
      </c>
      <c r="B1042" s="121">
        <f>IF(H259="UNIDADE CONSTRUTIVA",0,IF(H259="CÉLULA CONSTRUTIVA",OFFSET(B259,-1,0)+1,OFFSET(B259,-1,0)))</f>
        <v/>
      </c>
      <c r="C1042" s="121">
        <f>IF(H259="CÉLULA CONSTRUTIVA",0,IF(H259="ETAPA",OFFSET(C259,-1,0)+1,OFFSET(C259,-1,0)))</f>
        <v/>
      </c>
      <c r="D1042" s="122">
        <f>IF(H259="ETAPA",0,IF(H259="SUBETAPA",OFFSET(D259,-1,0)+1,OFFSET(D259,-1,0)))</f>
        <v/>
      </c>
      <c r="E1042" s="122">
        <f>IF(H259="Subetapa",0,IF(H259="serviço",OFFSET(E259,-1,0)+1,OFFSET(E259,-1,0)))</f>
        <v/>
      </c>
      <c r="F1042" s="123" t="n"/>
      <c r="G1042" s="135" t="inlineStr">
        <is>
          <t>REVESTIMENTOS INTERNOS DE PAREDE</t>
        </is>
      </c>
      <c r="H1042" s="44" t="inlineStr">
        <is>
          <t>SERVIÇO</t>
        </is>
      </c>
      <c r="I1042" s="45">
        <f>IF(H259="Unidade Construtiva",TEXT(A259,"00"),IF(H259="Célula Construtiva",TEXT(B259,"00"),IF(H259="Etapa",CONCATENATE(TEXT(B259,"00"),".",TEXT(C259,"000")),IF(H259="Subetapa",CONCATENATE(TEXT(B259,"00"),".",TEXT(C259,"000"),".",TEXT(D259,"000")),IF(H259="Serviço",CONCATENATE(TEXT(B259,"00"),".",TEXT(C259,"000"),".",TEXT(D259,"000"),".",TEXT(E259,"000")),"")))))</f>
        <v/>
      </c>
      <c r="J1042" s="51" t="inlineStr">
        <is>
          <t xml:space="preserve">Revestimento em Paredes, Porcelanato Mont Blanc Acetinado 90X90 Eliane    </t>
        </is>
      </c>
      <c r="K1042" s="47" t="inlineStr">
        <is>
          <t>m2</t>
        </is>
      </c>
      <c r="L1042" s="48">
        <f>SUM('Arquitetura Visus'!D64:D65)</f>
        <v/>
      </c>
      <c r="M1042" s="48">
        <f>_xlfn.XLOOKUP($J259,CPU!$D$1:$D$31540,CPU!$H$1:$H$31540)</f>
        <v/>
      </c>
      <c r="N1042" s="49">
        <f>IF(H259="Serviço",M259*L259,IF(H259="CÉLULA CONSTRUTIVA",SUMIFS($N$8:$N$754,$B$8:$B$754,B259,$H$8:$H$754,"Serviço"),IF(H259="ETAPA",SUMIFS($N$8:$N$754,$B$8:$B$754,B259,$C$8:$C$754,C259,$H$8:$H$754,"Serviço"),IF(H259="SUBETAPA",SUMIFS($N$8:$N$754,$B$8:$B$754,B259,$C$8:$C$754,C259,$D$8:$D$754,D259,$H$8:$H$754,"Serviço"),0))))</f>
        <v/>
      </c>
      <c r="O1042" s="50" t="inlineStr">
        <is>
          <t>Áreas de box e lavanderias de pavimentos tipo</t>
        </is>
      </c>
      <c r="P1042" s="134" t="n"/>
      <c r="Q1042" s="52" t="n"/>
      <c r="R1042" s="52" t="n"/>
      <c r="S1042" s="1" t="n"/>
      <c r="T1042" s="1" t="n"/>
      <c r="U1042" s="1" t="n"/>
      <c r="V1042" s="1" t="n"/>
      <c r="W1042" s="1" t="n"/>
      <c r="X1042" s="1" t="n"/>
      <c r="Y1042" s="1" t="n"/>
    </row>
    <row r="1043">
      <c r="A1043" s="121">
        <f>IF($H260="UNIDADE CONSTRUTIVA",OFFSET(A260,-1,0)+1,LARGE(A$3:A257,1))</f>
        <v/>
      </c>
      <c r="B1043" s="121">
        <f>IF(H260="UNIDADE CONSTRUTIVA",0,IF(H260="CÉLULA CONSTRUTIVA",OFFSET(B260,-1,0)+1,OFFSET(B260,-1,0)))</f>
        <v/>
      </c>
      <c r="C1043" s="121">
        <f>IF(H260="CÉLULA CONSTRUTIVA",0,IF(H260="ETAPA",OFFSET(C260,-1,0)+1,OFFSET(C260,-1,0)))</f>
        <v/>
      </c>
      <c r="D1043" s="122">
        <f>IF(H260="ETAPA",0,IF(H260="SUBETAPA",OFFSET(D260,-1,0)+1,OFFSET(D260,-1,0)))</f>
        <v/>
      </c>
      <c r="E1043" s="122">
        <f>IF(H260="Subetapa",0,IF(H260="serviço",OFFSET(E260,-1,0)+1,OFFSET(E260,-1,0)))</f>
        <v/>
      </c>
      <c r="F1043" s="123" t="n"/>
      <c r="G1043" s="135" t="inlineStr">
        <is>
          <t>REVESTIMENTOS INTERNOS DE PAREDE</t>
        </is>
      </c>
      <c r="H1043" s="44" t="inlineStr">
        <is>
          <t>SERVIÇO</t>
        </is>
      </c>
      <c r="I1043" s="45">
        <f>IF(H260="Unidade Construtiva",TEXT(A260,"00"),IF(H260="Célula Construtiva",TEXT(B260,"00"),IF(H260="Etapa",CONCATENATE(TEXT(B260,"00"),".",TEXT(C260,"000")),IF(H260="Subetapa",CONCATENATE(TEXT(B260,"00"),".",TEXT(C260,"000"),".",TEXT(D260,"000")),IF(H260="Serviço",CONCATENATE(TEXT(B260,"00"),".",TEXT(C260,"000"),".",TEXT(D260,"000"),".",TEXT(E260,"000")),"")))))</f>
        <v/>
      </c>
      <c r="J1043" s="51" t="inlineStr">
        <is>
          <t>Revestimento em Ladrilhos para Piscina, Cinza giz 15x15 com Juntas e rejunte acrilico</t>
        </is>
      </c>
      <c r="K1043" s="47" t="inlineStr">
        <is>
          <t>m2</t>
        </is>
      </c>
      <c r="L1043" s="48">
        <f>'Arquitetura Visus'!D385</f>
        <v/>
      </c>
      <c r="M1043" s="48">
        <f>_xlfn.XLOOKUP($J260,CPU!$D$1:$D$31540,CPU!$H$1:$H$31540)</f>
        <v/>
      </c>
      <c r="N1043" s="49">
        <f>IF(H260="Serviço",M260*L260,IF(H260="CÉLULA CONSTRUTIVA",SUMIFS($N$8:$N$754,$B$8:$B$754,B260,$H$8:$H$754,"Serviço"),IF(H260="ETAPA",SUMIFS($N$8:$N$754,$B$8:$B$754,B260,$C$8:$C$754,C260,$H$8:$H$754,"Serviço"),IF(H260="SUBETAPA",SUMIFS($N$8:$N$754,$B$8:$B$754,B260,$C$8:$C$754,C260,$D$8:$D$754,D260,$H$8:$H$754,"Serviço"),0))))</f>
        <v/>
      </c>
      <c r="O1043" s="50" t="n"/>
      <c r="P1043" s="134" t="n"/>
      <c r="Q1043" s="52" t="n"/>
      <c r="R1043" s="52" t="n"/>
      <c r="S1043" s="1" t="n"/>
      <c r="T1043" s="1" t="n"/>
      <c r="U1043" s="1" t="n"/>
      <c r="V1043" s="1" t="n"/>
      <c r="W1043" s="1" t="n"/>
      <c r="X1043" s="1" t="n"/>
      <c r="Y1043" s="1" t="n"/>
    </row>
    <row r="1044">
      <c r="A1044" s="121">
        <f>IF($H261="UNIDADE CONSTRUTIVA",OFFSET(A261,-1,0)+1,LARGE(A$3:A260,1))</f>
        <v/>
      </c>
      <c r="B1044" s="121">
        <f>IF(H261="UNIDADE CONSTRUTIVA",0,IF(H261="CÉLULA CONSTRUTIVA",OFFSET(B261,-1,0)+1,OFFSET(B261,-1,0)))</f>
        <v/>
      </c>
      <c r="C1044" s="121">
        <f>IF(H261="CÉLULA CONSTRUTIVA",0,IF(H261="ETAPA",OFFSET(C261,-1,0)+1,OFFSET(C261,-1,0)))</f>
        <v/>
      </c>
      <c r="D1044" s="122">
        <f>IF(H261="ETAPA",0,IF(H261="SUBETAPA",OFFSET(D261,-1,0)+1,OFFSET(D261,-1,0)))</f>
        <v/>
      </c>
      <c r="E1044" s="122">
        <f>IF(H261="Subetapa",0,IF(H261="serviço",OFFSET(E261,-1,0)+1,OFFSET(E261,-1,0)))</f>
        <v/>
      </c>
      <c r="F1044" s="123" t="n"/>
      <c r="G1044" s="135" t="n"/>
      <c r="H1044" s="44" t="inlineStr">
        <is>
          <t>SUBETAPA</t>
        </is>
      </c>
      <c r="I1044" s="45">
        <f>IF(H261="Unidade Construtiva",TEXT(A261,"00"),IF(H261="Célula Construtiva",TEXT(B261,"00"),IF(H261="Etapa",CONCATENATE(TEXT(B261,"00"),".",TEXT(C261,"000")),IF(H261="Subetapa",CONCATENATE(TEXT(B261,"00"),".",TEXT(C261,"000"),".",TEXT(D261,"000")),IF(H261="Serviço",CONCATENATE(TEXT(B261,"00"),".",TEXT(C261,"000"),".",TEXT(D261,"000"),".",TEXT(E261,"000")),"")))))</f>
        <v/>
      </c>
      <c r="J1044" s="51" t="inlineStr">
        <is>
          <t>Peitoris</t>
        </is>
      </c>
      <c r="K1044" s="47" t="n"/>
      <c r="L1044" s="48" t="n"/>
      <c r="M1044" s="48" t="n"/>
      <c r="N1044" s="49">
        <f>IF(H261="Serviço",M261*L261,IF(H261="CÉLULA CONSTRUTIVA",SUMIFS($N$8:$N$754,$B$8:$B$754,B261,$H$8:$H$754,"Serviço"),IF(H261="ETAPA",SUMIFS($N$8:$N$754,$B$8:$B$754,B261,$C$8:$C$754,C261,$H$8:$H$754,"Serviço"),IF(H261="SUBETAPA",SUMIFS($N$8:$N$754,$B$8:$B$754,B261,$C$8:$C$754,C261,$D$8:$D$754,D261,$H$8:$H$754,"Serviço"),0))))</f>
        <v/>
      </c>
      <c r="O1044" s="50">
        <f>N261/CAPA!C$10</f>
        <v/>
      </c>
      <c r="P1044" s="134" t="n"/>
      <c r="Q1044" s="52" t="n"/>
      <c r="R1044" s="52" t="n"/>
      <c r="S1044" s="1" t="n"/>
      <c r="T1044" s="1" t="n"/>
      <c r="U1044" s="1" t="n"/>
      <c r="V1044" s="1" t="n"/>
      <c r="W1044" s="1" t="n"/>
      <c r="X1044" s="1" t="n"/>
      <c r="Y1044" s="1" t="n"/>
    </row>
    <row r="1045">
      <c r="A1045" s="121">
        <f>IF($H262="UNIDADE CONSTRUTIVA",OFFSET(A262,-1,0)+1,LARGE(A$3:A260,1))</f>
        <v/>
      </c>
      <c r="B1045" s="121">
        <f>IF(H262="UNIDADE CONSTRUTIVA",0,IF(H262="CÉLULA CONSTRUTIVA",OFFSET(B262,-1,0)+1,OFFSET(B262,-1,0)))</f>
        <v/>
      </c>
      <c r="C1045" s="121">
        <f>IF(H262="CÉLULA CONSTRUTIVA",0,IF(H262="ETAPA",OFFSET(C262,-1,0)+1,OFFSET(C262,-1,0)))</f>
        <v/>
      </c>
      <c r="D1045" s="122">
        <f>IF(H262="ETAPA",0,IF(H262="SUBETAPA",OFFSET(D262,-1,0)+1,OFFSET(D262,-1,0)))</f>
        <v/>
      </c>
      <c r="E1045" s="122">
        <f>IF(H262="Subetapa",0,IF(H262="serviço",OFFSET(E262,-1,0)+1,OFFSET(E262,-1,0)))</f>
        <v/>
      </c>
      <c r="F1045" s="123" t="n"/>
      <c r="G1045" s="135" t="inlineStr">
        <is>
          <t>REVESTIMENTOS INTERNOS DE PAREDE</t>
        </is>
      </c>
      <c r="H1045" s="44" t="inlineStr">
        <is>
          <t>SERVIÇO</t>
        </is>
      </c>
      <c r="I1045" s="45">
        <f>IF(H262="Unidade Construtiva",TEXT(A262,"00"),IF(H262="Célula Construtiva",TEXT(B262,"00"),IF(H262="Etapa",CONCATENATE(TEXT(B262,"00"),".",TEXT(C262,"000")),IF(H262="Subetapa",CONCATENATE(TEXT(B262,"00"),".",TEXT(C262,"000"),".",TEXT(D262,"000")),IF(H262="Serviço",CONCATENATE(TEXT(B262,"00"),".",TEXT(C262,"000"),".",TEXT(D262,"000"),".",TEXT(E262,"000")),"")))))</f>
        <v/>
      </c>
      <c r="J1045" s="51" t="inlineStr">
        <is>
          <t>Peitoril em pedra natural</t>
        </is>
      </c>
      <c r="K1045" s="47" t="inlineStr">
        <is>
          <t>m2</t>
        </is>
      </c>
      <c r="L1045" s="48">
        <f>'Arquitetura Visus'!D85</f>
        <v/>
      </c>
      <c r="M1045" s="48">
        <f>_xlfn.XLOOKUP($J262,CPU!$D$1:$D$31540,CPU!$H$1:$H$31540)</f>
        <v/>
      </c>
      <c r="N1045" s="49">
        <f>IF(H262="Serviço",M262*L262,IF(H262="CÉLULA CONSTRUTIVA",SUMIFS($N$8:$N$754,$B$8:$B$754,B262,$H$8:$H$754,"Serviço"),IF(H262="ETAPA",SUMIFS($N$8:$N$754,$B$8:$B$754,B262,$C$8:$C$754,C262,$H$8:$H$754,"Serviço"),IF(H262="SUBETAPA",SUMIFS($N$8:$N$754,$B$8:$B$754,B262,$C$8:$C$754,C262,$D$8:$D$754,D262,$H$8:$H$754,"Serviço"),0))))</f>
        <v/>
      </c>
      <c r="O1045" s="50" t="n"/>
      <c r="P1045" s="134" t="n"/>
      <c r="Q1045" s="52" t="n"/>
      <c r="R1045" s="52" t="n"/>
      <c r="S1045" s="1" t="n"/>
      <c r="T1045" s="1" t="n"/>
      <c r="U1045" s="1" t="n"/>
      <c r="V1045" s="1" t="n"/>
      <c r="W1045" s="1" t="n"/>
      <c r="X1045" s="1" t="n"/>
      <c r="Y1045" s="1" t="n"/>
    </row>
    <row r="1046">
      <c r="A1046" s="121">
        <f>IF($H263="UNIDADE CONSTRUTIVA",OFFSET(A263,-1,0)+1,LARGE(A$3:A261,1))</f>
        <v/>
      </c>
      <c r="B1046" s="121">
        <f>IF(H263="UNIDADE CONSTRUTIVA",0,IF(H263="CÉLULA CONSTRUTIVA",OFFSET(B263,-1,0)+1,OFFSET(B263,-1,0)))</f>
        <v/>
      </c>
      <c r="C1046" s="121">
        <f>IF(H263="CÉLULA CONSTRUTIVA",0,IF(H263="ETAPA",OFFSET(C263,-1,0)+1,OFFSET(C263,-1,0)))</f>
        <v/>
      </c>
      <c r="D1046" s="122">
        <f>IF(H263="ETAPA",0,IF(H263="SUBETAPA",OFFSET(D263,-1,0)+1,OFFSET(D263,-1,0)))</f>
        <v/>
      </c>
      <c r="E1046" s="122">
        <f>IF(H263="Subetapa",0,IF(H263="serviço",OFFSET(E263,-1,0)+1,OFFSET(E263,-1,0)))</f>
        <v/>
      </c>
      <c r="F1046" s="123" t="n"/>
      <c r="G1046" s="135" t="inlineStr">
        <is>
          <t>REVESTIMENTOS INTERNOS DE PAREDE</t>
        </is>
      </c>
      <c r="H1046" s="44" t="inlineStr">
        <is>
          <t>SERVIÇO</t>
        </is>
      </c>
      <c r="I1046" s="45">
        <f>IF(H263="Unidade Construtiva",TEXT(A263,"00"),IF(H263="Célula Construtiva",TEXT(B263,"00"),IF(H263="Etapa",CONCATENATE(TEXT(B263,"00"),".",TEXT(C263,"000")),IF(H263="Subetapa",CONCATENATE(TEXT(B263,"00"),".",TEXT(C263,"000"),".",TEXT(D263,"000")),IF(H263="Serviço",CONCATENATE(TEXT(B263,"00"),".",TEXT(C263,"000"),".",TEXT(D263,"000"),".",TEXT(E263,"000")),"")))))</f>
        <v/>
      </c>
      <c r="J1046" s="51" t="inlineStr">
        <is>
          <t>Peitoril em pedra natural - Lazer</t>
        </is>
      </c>
      <c r="K1046" s="47" t="inlineStr">
        <is>
          <t>m2</t>
        </is>
      </c>
      <c r="L1046" s="48">
        <f>'Arquitetura Visus'!D86</f>
        <v/>
      </c>
      <c r="M1046" s="48">
        <f>_xlfn.XLOOKUP($J263,CPU!$D$1:$D$31540,CPU!$H$1:$H$31540)</f>
        <v/>
      </c>
      <c r="N1046" s="49">
        <f>IF(H263="Serviço",M263*L263,IF(H263="CÉLULA CONSTRUTIVA",SUMIFS($N$8:$N$754,$B$8:$B$754,B263,$H$8:$H$754,"Serviço"),IF(H263="ETAPA",SUMIFS($N$8:$N$754,$B$8:$B$754,B263,$C$8:$C$754,C263,$H$8:$H$754,"Serviço"),IF(H263="SUBETAPA",SUMIFS($N$8:$N$754,$B$8:$B$754,B263,$C$8:$C$754,C263,$D$8:$D$754,D263,$H$8:$H$754,"Serviço"),0))))</f>
        <v/>
      </c>
      <c r="O1046" s="50" t="n"/>
      <c r="P1046" s="134" t="n"/>
      <c r="Q1046" s="52" t="n"/>
      <c r="R1046" s="52" t="n"/>
      <c r="S1046" s="1" t="n"/>
      <c r="T1046" s="1" t="n"/>
      <c r="U1046" s="1" t="n"/>
      <c r="V1046" s="1" t="n"/>
      <c r="W1046" s="1" t="n"/>
      <c r="X1046" s="1" t="n"/>
      <c r="Y1046" s="1" t="n"/>
    </row>
    <row r="1047">
      <c r="A1047" s="121">
        <f>IF($H264="UNIDADE CONSTRUTIVA",OFFSET(A264,-1,0)+1,LARGE(A$3:A262,1))</f>
        <v/>
      </c>
      <c r="B1047" s="121">
        <f>IF(H264="UNIDADE CONSTRUTIVA",0,IF(H264="CÉLULA CONSTRUTIVA",OFFSET(B264,-1,0)+1,OFFSET(B264,-1,0)))</f>
        <v/>
      </c>
      <c r="C1047" s="121">
        <f>IF(H264="CÉLULA CONSTRUTIVA",0,IF(H264="ETAPA",OFFSET(C264,-1,0)+1,OFFSET(C264,-1,0)))</f>
        <v/>
      </c>
      <c r="D1047" s="122">
        <f>IF(H264="ETAPA",0,IF(H264="SUBETAPA",OFFSET(D264,-1,0)+1,OFFSET(D264,-1,0)))</f>
        <v/>
      </c>
      <c r="E1047" s="122">
        <f>IF(H264="Subetapa",0,IF(H264="serviço",OFFSET(E264,-1,0)+1,OFFSET(E264,-1,0)))</f>
        <v/>
      </c>
      <c r="F1047" s="123" t="n"/>
      <c r="G1047" s="135" t="inlineStr">
        <is>
          <t>REVESTIMENTOS INTERNOS DE PAREDE</t>
        </is>
      </c>
      <c r="H1047" s="44" t="inlineStr">
        <is>
          <t>SERVIÇO</t>
        </is>
      </c>
      <c r="I1047" s="45">
        <f>IF(H264="Unidade Construtiva",TEXT(A264,"00"),IF(H264="Célula Construtiva",TEXT(B264,"00"),IF(H264="Etapa",CONCATENATE(TEXT(B264,"00"),".",TEXT(C264,"000")),IF(H264="Subetapa",CONCATENATE(TEXT(B264,"00"),".",TEXT(C264,"000"),".",TEXT(D264,"000")),IF(H264="Serviço",CONCATENATE(TEXT(B264,"00"),".",TEXT(C264,"000"),".",TEXT(D264,"000"),".",TEXT(E264,"000")),"")))))</f>
        <v/>
      </c>
      <c r="J1047" s="51" t="inlineStr">
        <is>
          <t>Borda de piscina em pedra natural</t>
        </is>
      </c>
      <c r="K1047" s="47" t="inlineStr">
        <is>
          <t>m2</t>
        </is>
      </c>
      <c r="L1047" s="48">
        <f>'Arquitetura Visus'!D242</f>
        <v/>
      </c>
      <c r="M1047" s="48">
        <f>_xlfn.XLOOKUP($J264,CPU!$D$1:$D$31540,CPU!$H$1:$H$31540)</f>
        <v/>
      </c>
      <c r="N1047" s="49">
        <f>IF(H264="Serviço",M264*L264,IF(H264="CÉLULA CONSTRUTIVA",SUMIFS($N$8:$N$754,$B$8:$B$754,B264,$H$8:$H$754,"Serviço"),IF(H264="ETAPA",SUMIFS($N$8:$N$754,$B$8:$B$754,B264,$C$8:$C$754,C264,$H$8:$H$754,"Serviço"),IF(H264="SUBETAPA",SUMIFS($N$8:$N$754,$B$8:$B$754,B264,$C$8:$C$754,C264,$D$8:$D$754,D264,$H$8:$H$754,"Serviço"),0))))</f>
        <v/>
      </c>
      <c r="O1047" s="50" t="n"/>
      <c r="P1047" s="134" t="n"/>
      <c r="Q1047" s="52" t="n"/>
      <c r="R1047" s="52" t="n"/>
      <c r="S1047" s="1" t="n"/>
      <c r="T1047" s="1" t="n"/>
      <c r="U1047" s="1" t="n"/>
      <c r="V1047" s="1" t="n"/>
      <c r="W1047" s="1" t="n"/>
      <c r="X1047" s="1" t="n"/>
      <c r="Y1047" s="1" t="n"/>
    </row>
    <row r="1048">
      <c r="A1048" s="121">
        <f>IF($H265="UNIDADE CONSTRUTIVA",OFFSET(A265,-1,0)+1,LARGE(A$3:A263,1))</f>
        <v/>
      </c>
      <c r="B1048" s="121">
        <f>IF(H265="UNIDADE CONSTRUTIVA",0,IF(H265="CÉLULA CONSTRUTIVA",OFFSET(B265,-1,0)+1,OFFSET(B265,-1,0)))</f>
        <v/>
      </c>
      <c r="C1048" s="121">
        <f>IF(H265="CÉLULA CONSTRUTIVA",0,IF(H265="ETAPA",OFFSET(C265,-1,0)+1,OFFSET(C265,-1,0)))</f>
        <v/>
      </c>
      <c r="D1048" s="122">
        <f>IF(H265="ETAPA",0,IF(H265="SUBETAPA",OFFSET(D265,-1,0)+1,OFFSET(D265,-1,0)))</f>
        <v/>
      </c>
      <c r="E1048" s="122">
        <f>IF(H265="Subetapa",0,IF(H265="serviço",OFFSET(E265,-1,0)+1,OFFSET(E265,-1,0)))</f>
        <v/>
      </c>
      <c r="F1048" s="123" t="n"/>
      <c r="G1048" s="135" t="n"/>
      <c r="H1048" s="44" t="inlineStr">
        <is>
          <t>SUBETAPA</t>
        </is>
      </c>
      <c r="I1048" s="45">
        <f>IF(H265="Unidade Construtiva",TEXT(A265,"00"),IF(H265="Célula Construtiva",TEXT(B265,"00"),IF(H265="Etapa",CONCATENATE(TEXT(B265,"00"),".",TEXT(C265,"000")),IF(H265="Subetapa",CONCATENATE(TEXT(B265,"00"),".",TEXT(C265,"000"),".",TEXT(D265,"000")),IF(H265="Serviço",CONCATENATE(TEXT(B265,"00"),".",TEXT(C265,"000"),".",TEXT(D265,"000"),".",TEXT(E265,"000")),"")))))</f>
        <v/>
      </c>
      <c r="J1048" s="51" t="inlineStr">
        <is>
          <t>Mão de obra - Revestimentos</t>
        </is>
      </c>
      <c r="K1048" s="47" t="n"/>
      <c r="L1048" s="48" t="n"/>
      <c r="M1048" s="48" t="n"/>
      <c r="N1048" s="49">
        <f>IF(H265="Serviço",M265*L265,IF(H265="CÉLULA CONSTRUTIVA",SUMIFS($N$8:$N$754,$B$8:$B$754,B265,$H$8:$H$754,"Serviço"),IF(H265="ETAPA",SUMIFS($N$8:$N$754,$B$8:$B$754,B265,$C$8:$C$754,C265,$H$8:$H$754,"Serviço"),IF(H265="SUBETAPA",SUMIFS($N$8:$N$754,$B$8:$B$754,B265,$C$8:$C$754,C265,$D$8:$D$754,D265,$H$8:$H$754,"Serviço"),0))))</f>
        <v/>
      </c>
      <c r="O1048" s="50">
        <f>N265/CAPA!C$10</f>
        <v/>
      </c>
      <c r="P1048" s="134" t="n"/>
      <c r="Q1048" s="52" t="n"/>
      <c r="R1048" s="52" t="n"/>
      <c r="S1048" s="1" t="n"/>
      <c r="T1048" s="1" t="n"/>
      <c r="U1048" s="1" t="n"/>
      <c r="V1048" s="1" t="n"/>
      <c r="W1048" s="1" t="n"/>
      <c r="X1048" s="1" t="n"/>
      <c r="Y1048" s="1" t="n"/>
    </row>
    <row r="1049">
      <c r="A1049" s="121">
        <f>IF($H266="UNIDADE CONSTRUTIVA",OFFSET(A266,-1,0)+1,LARGE(A$3:A265,1))</f>
        <v/>
      </c>
      <c r="B1049" s="121">
        <f>IF(H266="UNIDADE CONSTRUTIVA",0,IF(H266="CÉLULA CONSTRUTIVA",OFFSET(B266,-1,0)+1,OFFSET(B266,-1,0)))</f>
        <v/>
      </c>
      <c r="C1049" s="121">
        <f>IF(H266="CÉLULA CONSTRUTIVA",0,IF(H266="ETAPA",OFFSET(C266,-1,0)+1,OFFSET(C266,-1,0)))</f>
        <v/>
      </c>
      <c r="D1049" s="122">
        <f>IF(H266="ETAPA",0,IF(H266="SUBETAPA",OFFSET(D266,-1,0)+1,OFFSET(D266,-1,0)))</f>
        <v/>
      </c>
      <c r="E1049" s="122">
        <f>IF(H266="Subetapa",0,IF(H266="serviço",OFFSET(E266,-1,0)+1,OFFSET(E266,-1,0)))</f>
        <v/>
      </c>
      <c r="F1049" s="123" t="n"/>
      <c r="G1049" s="135" t="inlineStr">
        <is>
          <t>REVESTIMENTOS INTERNOS DE PAREDE</t>
        </is>
      </c>
      <c r="H1049" s="44" t="inlineStr">
        <is>
          <t>SERVIÇO</t>
        </is>
      </c>
      <c r="I1049" s="45">
        <f>IF(H266="Unidade Construtiva",TEXT(A266,"00"),IF(H266="Célula Construtiva",TEXT(B266,"00"),IF(H266="Etapa",CONCATENATE(TEXT(B266,"00"),".",TEXT(C266,"000")),IF(H266="Subetapa",CONCATENATE(TEXT(B266,"00"),".",TEXT(C266,"000"),".",TEXT(D266,"000")),IF(H266="Serviço",CONCATENATE(TEXT(B266,"00"),".",TEXT(C266,"000"),".",TEXT(D266,"000"),".",TEXT(E266,"000")),"")))))</f>
        <v/>
      </c>
      <c r="J1049" s="51" t="inlineStr">
        <is>
          <t>Mão de obra execução de massa única em paredes interna, incluindo chapisco</t>
        </is>
      </c>
      <c r="K1049" s="47" t="inlineStr">
        <is>
          <t>m2</t>
        </is>
      </c>
      <c r="L1049" s="48">
        <f>'Arquitetura Visus'!D95</f>
        <v/>
      </c>
      <c r="M1049" s="48">
        <f>_xlfn.XLOOKUP($J266,CPU!$D$1:$D$31540,CPU!$H$1:$H$31540)</f>
        <v/>
      </c>
      <c r="N1049" s="49">
        <f>IF(H266="Serviço",M266*L266,IF(H266="CÉLULA CONSTRUTIVA",SUMIFS($N$8:$N$754,$B$8:$B$754,B266,$H$8:$H$754,"Serviço"),IF(H266="ETAPA",SUMIFS($N$8:$N$754,$B$8:$B$754,B266,$C$8:$C$754,C266,$H$8:$H$754,"Serviço"),IF(H266="SUBETAPA",SUMIFS($N$8:$N$754,$B$8:$B$754,B266,$C$8:$C$754,C266,$D$8:$D$754,D266,$H$8:$H$754,"Serviço"),0))))</f>
        <v/>
      </c>
      <c r="O1049" s="50" t="n"/>
      <c r="P1049" s="134" t="n"/>
      <c r="Q1049" s="52" t="n"/>
      <c r="R1049" s="52" t="n"/>
      <c r="S1049" s="1" t="n"/>
      <c r="T1049" s="1" t="n"/>
      <c r="U1049" s="1" t="n"/>
      <c r="V1049" s="1" t="n"/>
      <c r="W1049" s="1" t="n"/>
      <c r="X1049" s="1" t="n"/>
      <c r="Y1049" s="1" t="n"/>
    </row>
    <row r="1050">
      <c r="A1050" s="121">
        <f>IF($H267="UNIDADE CONSTRUTIVA",OFFSET(A267,-1,0)+1,LARGE(A$3:A266,1))</f>
        <v/>
      </c>
      <c r="B1050" s="121">
        <f>IF(H267="UNIDADE CONSTRUTIVA",0,IF(H267="CÉLULA CONSTRUTIVA",OFFSET(B267,-1,0)+1,OFFSET(B267,-1,0)))</f>
        <v/>
      </c>
      <c r="C1050" s="121">
        <f>IF(H267="CÉLULA CONSTRUTIVA",0,IF(H267="ETAPA",OFFSET(C267,-1,0)+1,OFFSET(C267,-1,0)))</f>
        <v/>
      </c>
      <c r="D1050" s="122">
        <f>IF(H267="ETAPA",0,IF(H267="SUBETAPA",OFFSET(D267,-1,0)+1,OFFSET(D267,-1,0)))</f>
        <v/>
      </c>
      <c r="E1050" s="122">
        <f>IF(H267="Subetapa",0,IF(H267="serviço",OFFSET(E267,-1,0)+1,OFFSET(E267,-1,0)))</f>
        <v/>
      </c>
      <c r="F1050" s="123" t="n"/>
      <c r="G1050" s="135" t="inlineStr">
        <is>
          <t>REVESTIMENTOS INTERNOS DE PAREDE</t>
        </is>
      </c>
      <c r="H1050" s="44" t="inlineStr">
        <is>
          <t>SERVIÇO</t>
        </is>
      </c>
      <c r="I1050" s="45">
        <f>IF(H267="Unidade Construtiva",TEXT(A267,"00"),IF(H267="Célula Construtiva",TEXT(B267,"00"),IF(H267="Etapa",CONCATENATE(TEXT(B267,"00"),".",TEXT(C267,"000")),IF(H267="Subetapa",CONCATENATE(TEXT(B267,"00"),".",TEXT(C267,"000"),".",TEXT(D267,"000")),IF(H267="Serviço",CONCATENATE(TEXT(B267,"00"),".",TEXT(C267,"000"),".",TEXT(D267,"000"),".",TEXT(E267,"000")),"")))))</f>
        <v/>
      </c>
      <c r="J1050" s="51" t="inlineStr">
        <is>
          <t>Mão de obra para assentamento de revestimento cerâmico em parede</t>
        </is>
      </c>
      <c r="K1050" s="47" t="inlineStr">
        <is>
          <t>m2</t>
        </is>
      </c>
      <c r="L1050" s="48">
        <f>'Arquitetura Visus'!D94</f>
        <v/>
      </c>
      <c r="M1050" s="48">
        <f>_xlfn.XLOOKUP($J267,CPU!$D$1:$D$31540,CPU!$H$1:$H$31540)</f>
        <v/>
      </c>
      <c r="N1050" s="49">
        <f>IF(H267="Serviço",M267*L267,IF(H267="CÉLULA CONSTRUTIVA",SUMIFS($N$8:$N$754,$B$8:$B$754,B267,$H$8:$H$754,"Serviço"),IF(H267="ETAPA",SUMIFS($N$8:$N$754,$B$8:$B$754,B267,$C$8:$C$754,C267,$H$8:$H$754,"Serviço"),IF(H267="SUBETAPA",SUMIFS($N$8:$N$754,$B$8:$B$754,B267,$C$8:$C$754,C267,$D$8:$D$754,D267,$H$8:$H$754,"Serviço"),0))))</f>
        <v/>
      </c>
      <c r="O1050" s="50" t="n"/>
      <c r="P1050" s="134" t="n"/>
      <c r="Q1050" s="52" t="n"/>
      <c r="R1050" s="52" t="n"/>
      <c r="S1050" s="1" t="n"/>
      <c r="T1050" s="1" t="n"/>
      <c r="U1050" s="1" t="n"/>
      <c r="V1050" s="1" t="n"/>
      <c r="W1050" s="1" t="n"/>
      <c r="X1050" s="1" t="n"/>
      <c r="Y1050" s="1" t="n"/>
    </row>
    <row r="1051">
      <c r="A1051" s="121">
        <f>IF($H268="UNIDADE CONSTRUTIVA",OFFSET(A268,-1,0)+1,LARGE(A$3:A267,1))</f>
        <v/>
      </c>
      <c r="B1051" s="121">
        <f>IF(H268="UNIDADE CONSTRUTIVA",0,IF(H268="CÉLULA CONSTRUTIVA",OFFSET(B268,-1,0)+1,OFFSET(B268,-1,0)))</f>
        <v/>
      </c>
      <c r="C1051" s="121">
        <f>IF(H268="CÉLULA CONSTRUTIVA",0,IF(H268="ETAPA",OFFSET(C268,-1,0)+1,OFFSET(C268,-1,0)))</f>
        <v/>
      </c>
      <c r="D1051" s="122">
        <f>IF(H268="ETAPA",0,IF(H268="SUBETAPA",OFFSET(D268,-1,0)+1,OFFSET(D268,-1,0)))</f>
        <v/>
      </c>
      <c r="E1051" s="122">
        <f>IF(H268="Subetapa",0,IF(H268="serviço",OFFSET(E268,-1,0)+1,OFFSET(E268,-1,0)))</f>
        <v/>
      </c>
      <c r="F1051" s="123" t="n"/>
      <c r="G1051" s="135" t="inlineStr">
        <is>
          <t>REVESTIMENTOS INTERNOS DE PAREDE</t>
        </is>
      </c>
      <c r="H1051" s="44" t="inlineStr">
        <is>
          <t>SERVIÇO</t>
        </is>
      </c>
      <c r="I1051" s="45">
        <f>IF(H268="Unidade Construtiva",TEXT(A268,"00"),IF(H268="Célula Construtiva",TEXT(B268,"00"),IF(H268="Etapa",CONCATENATE(TEXT(B268,"00"),".",TEXT(C268,"000")),IF(H268="Subetapa",CONCATENATE(TEXT(B268,"00"),".",TEXT(C268,"000"),".",TEXT(D268,"000")),IF(H268="Serviço",CONCATENATE(TEXT(B268,"00"),".",TEXT(C268,"000"),".",TEXT(D268,"000"),".",TEXT(E268,"000")),"")))))</f>
        <v/>
      </c>
      <c r="J1051" s="51" t="inlineStr">
        <is>
          <t>Mão de obra para assentamento de Pastilhas em Piscina</t>
        </is>
      </c>
      <c r="K1051" s="47" t="inlineStr">
        <is>
          <t>m2</t>
        </is>
      </c>
      <c r="L1051" s="48">
        <f>L260</f>
        <v/>
      </c>
      <c r="M1051" s="48">
        <f>_xlfn.XLOOKUP($J268,CPU!$D$1:$D$31540,CPU!$H$1:$H$31540)</f>
        <v/>
      </c>
      <c r="N1051" s="49">
        <f>IF(H268="Serviço",M268*L268,IF(H268="CÉLULA CONSTRUTIVA",SUMIFS($N$8:$N$754,$B$8:$B$754,B268,$H$8:$H$754,"Serviço"),IF(H268="ETAPA",SUMIFS($N$8:$N$754,$B$8:$B$754,B268,$C$8:$C$754,C268,$H$8:$H$754,"Serviço"),IF(H268="SUBETAPA",SUMIFS($N$8:$N$754,$B$8:$B$754,B268,$C$8:$C$754,C268,$D$8:$D$754,D268,$H$8:$H$754,"Serviço"),0))))</f>
        <v/>
      </c>
      <c r="O1051" s="50" t="n"/>
      <c r="P1051" s="134" t="n"/>
      <c r="Q1051" s="52" t="n"/>
      <c r="R1051" s="52" t="n"/>
      <c r="S1051" s="1" t="n"/>
      <c r="T1051" s="1" t="n"/>
      <c r="U1051" s="1" t="n"/>
      <c r="V1051" s="1" t="n"/>
      <c r="W1051" s="1" t="n"/>
      <c r="X1051" s="1" t="n"/>
      <c r="Y1051" s="1" t="n"/>
    </row>
    <row r="1052">
      <c r="A1052" s="121">
        <f>IF($H269="UNIDADE CONSTRUTIVA",OFFSET(A269,-1,0)+1,LARGE(A$3:A268,1))</f>
        <v/>
      </c>
      <c r="B1052" s="121">
        <f>IF(H269="UNIDADE CONSTRUTIVA",0,IF(H269="CÉLULA CONSTRUTIVA",OFFSET(B269,-1,0)+1,OFFSET(B269,-1,0)))</f>
        <v/>
      </c>
      <c r="C1052" s="121">
        <f>IF(H269="CÉLULA CONSTRUTIVA",0,IF(H269="ETAPA",OFFSET(C269,-1,0)+1,OFFSET(C269,-1,0)))</f>
        <v/>
      </c>
      <c r="D1052" s="122">
        <f>IF(H269="ETAPA",0,IF(H269="SUBETAPA",OFFSET(D269,-1,0)+1,OFFSET(D269,-1,0)))</f>
        <v/>
      </c>
      <c r="E1052" s="122">
        <f>IF(H269="Subetapa",0,IF(H269="serviço",OFFSET(E269,-1,0)+1,OFFSET(E269,-1,0)))</f>
        <v/>
      </c>
      <c r="F1052" s="123" t="n"/>
      <c r="G1052" s="135" t="inlineStr">
        <is>
          <t>REVESTIMENTOS INTERNOS DE PAREDE</t>
        </is>
      </c>
      <c r="H1052" s="44" t="inlineStr">
        <is>
          <t>SERVIÇO</t>
        </is>
      </c>
      <c r="I1052" s="45">
        <f>IF(H269="Unidade Construtiva",TEXT(A269,"00"),IF(H269="Célula Construtiva",TEXT(B269,"00"),IF(H269="Etapa",CONCATENATE(TEXT(B269,"00"),".",TEXT(C269,"000")),IF(H269="Subetapa",CONCATENATE(TEXT(B269,"00"),".",TEXT(C269,"000"),".",TEXT(D269,"000")),IF(H269="Serviço",CONCATENATE(TEXT(B269,"00"),".",TEXT(C269,"000"),".",TEXT(D269,"000"),".",TEXT(E269,"000")),"")))))</f>
        <v/>
      </c>
      <c r="J1052" s="51" t="inlineStr">
        <is>
          <t>Mão de obra para colocação de peitoril e pingadeira</t>
        </is>
      </c>
      <c r="K1052" s="47" t="inlineStr">
        <is>
          <t>m2</t>
        </is>
      </c>
      <c r="L1052" s="48">
        <f>L262+L265</f>
        <v/>
      </c>
      <c r="M1052" s="48">
        <f>_xlfn.XLOOKUP($J269,CPU!$D$1:$D$31540,CPU!$H$1:$H$31540)</f>
        <v/>
      </c>
      <c r="N1052" s="49">
        <f>IF(H269="Serviço",M269*L269,IF(H269="CÉLULA CONSTRUTIVA",SUMIFS($N$8:$N$754,$B$8:$B$754,B269,$H$8:$H$754,"Serviço"),IF(H269="ETAPA",SUMIFS($N$8:$N$754,$B$8:$B$754,B269,$C$8:$C$754,C269,$H$8:$H$754,"Serviço"),IF(H269="SUBETAPA",SUMIFS($N$8:$N$754,$B$8:$B$754,B269,$C$8:$C$754,C269,$D$8:$D$754,D269,$H$8:$H$754,"Serviço"),0))))</f>
        <v/>
      </c>
      <c r="O1052" s="50" t="n"/>
      <c r="P1052" s="134" t="n"/>
      <c r="Q1052" s="52" t="n"/>
      <c r="R1052" s="52" t="n"/>
      <c r="S1052" s="1" t="n"/>
      <c r="T1052" s="1" t="n"/>
      <c r="U1052" s="1" t="n"/>
      <c r="V1052" s="1" t="n"/>
      <c r="W1052" s="1" t="n"/>
      <c r="X1052" s="1" t="n"/>
      <c r="Y1052" s="1" t="n"/>
    </row>
    <row r="1053">
      <c r="A1053" s="121">
        <f>IF($H270="UNIDADE CONSTRUTIVA",OFFSET(A270,-1,0)+1,LARGE(A$3:A269,1))</f>
        <v/>
      </c>
      <c r="B1053" s="121">
        <f>IF(H270="UNIDADE CONSTRUTIVA",0,IF(H270="CÉLULA CONSTRUTIVA",OFFSET(B270,-1,0)+1,OFFSET(B270,-1,0)))</f>
        <v/>
      </c>
      <c r="C1053" s="121">
        <f>IF(H270="CÉLULA CONSTRUTIVA",0,IF(H270="ETAPA",OFFSET(C270,-1,0)+1,OFFSET(C270,-1,0)))</f>
        <v/>
      </c>
      <c r="D1053" s="122">
        <f>IF(H270="ETAPA",0,IF(H270="SUBETAPA",OFFSET(D270,-1,0)+1,OFFSET(D270,-1,0)))</f>
        <v/>
      </c>
      <c r="E1053" s="122">
        <f>IF(H270="Subetapa",0,IF(H270="serviço",OFFSET(E270,-1,0)+1,OFFSET(E270,-1,0)))</f>
        <v/>
      </c>
      <c r="F1053" s="123" t="n"/>
      <c r="G1053" s="135" t="n"/>
      <c r="H1053" s="44" t="inlineStr">
        <is>
          <t>CÉLULA CONSTRUTIVA</t>
        </is>
      </c>
      <c r="I1053" s="45">
        <f>IF(H270="Unidade Construtiva",TEXT(A270,"00"),IF(H270="Célula Construtiva",TEXT(B270,"00"),IF(H270="Etapa",CONCATENATE(TEXT(B270,"00"),".",TEXT(C270,"000")),IF(H270="Subetapa",CONCATENATE(TEXT(B270,"00"),".",TEXT(C270,"000"),".",TEXT(D270,"000")),IF(H270="Serviço",CONCATENATE(TEXT(B270,"00"),".",TEXT(C270,"000"),".",TEXT(D270,"000"),".",TEXT(E270,"000")),"")))))</f>
        <v/>
      </c>
      <c r="J1053" s="51" t="inlineStr">
        <is>
          <t>REVESTIMENTOS E ACABAMENTOS INTERNOS EM TETO</t>
        </is>
      </c>
      <c r="K1053" s="47" t="n"/>
      <c r="L1053" s="48" t="n"/>
      <c r="M1053" s="48" t="n"/>
      <c r="N1053" s="49">
        <f>IF(H270="Serviço",M270*L270,IF(H270="CÉLULA CONSTRUTIVA",SUMIFS($N$8:$N$754,$B$8:$B$754,B270,$H$8:$H$754,"Serviço"),IF(H270="ETAPA",SUMIFS($N$8:$N$754,$B$8:$B$754,B270,$C$8:$C$754,C270,$H$8:$H$754,"Serviço"),IF(H270="SUBETAPA",SUMIFS($N$8:$N$754,$B$8:$B$754,B270,$C$8:$C$754,C270,$D$8:$D$754,D270,$H$8:$H$754,"Serviço"),0))))</f>
        <v/>
      </c>
      <c r="O1053" s="50">
        <f>N270/CAPA!C$10</f>
        <v/>
      </c>
      <c r="P1053" s="134" t="n"/>
      <c r="Q1053" s="115" t="n"/>
      <c r="R1053" s="52" t="n"/>
      <c r="S1053" s="1" t="n"/>
      <c r="T1053" s="1" t="n"/>
      <c r="U1053" s="1" t="n"/>
      <c r="V1053" s="1" t="n"/>
      <c r="W1053" s="1" t="n"/>
      <c r="X1053" s="1" t="n"/>
      <c r="Y1053" s="1" t="n"/>
    </row>
    <row r="1054">
      <c r="A1054" s="121">
        <f>IF($H271="UNIDADE CONSTRUTIVA",OFFSET(A271,-1,0)+1,LARGE(A$3:A270,1))</f>
        <v/>
      </c>
      <c r="B1054" s="121">
        <f>IF(H271="UNIDADE CONSTRUTIVA",0,IF(H271="CÉLULA CONSTRUTIVA",OFFSET(B271,-1,0)+1,OFFSET(B271,-1,0)))</f>
        <v/>
      </c>
      <c r="C1054" s="121">
        <f>IF(H271="CÉLULA CONSTRUTIVA",0,IF(H271="ETAPA",OFFSET(C271,-1,0)+1,OFFSET(C271,-1,0)))</f>
        <v/>
      </c>
      <c r="D1054" s="122">
        <f>IF(H271="ETAPA",0,IF(H271="SUBETAPA",OFFSET(D271,-1,0)+1,OFFSET(D271,-1,0)))</f>
        <v/>
      </c>
      <c r="E1054" s="122">
        <f>IF(H271="Subetapa",0,IF(H271="serviço",OFFSET(E271,-1,0)+1,OFFSET(E271,-1,0)))</f>
        <v/>
      </c>
      <c r="F1054" s="123" t="n"/>
      <c r="G1054" s="135" t="n"/>
      <c r="H1054" s="44" t="inlineStr">
        <is>
          <t>ETAPA</t>
        </is>
      </c>
      <c r="I1054" s="45">
        <f>IF(H271="Unidade Construtiva",TEXT(A271,"00"),IF(H271="Célula Construtiva",TEXT(B271,"00"),IF(H271="Etapa",CONCATENATE(TEXT(B271,"00"),".",TEXT(C271,"000")),IF(H271="Subetapa",CONCATENATE(TEXT(B271,"00"),".",TEXT(C271,"000"),".",TEXT(D271,"000")),IF(H271="Serviço",CONCATENATE(TEXT(B271,"00"),".",TEXT(C271,"000"),".",TEXT(D271,"000"),".",TEXT(E271,"000")),"")))))</f>
        <v/>
      </c>
      <c r="J1054" s="51" t="inlineStr">
        <is>
          <t>REVESTIMENTOS E ACABAMENTOS INTERNOS EM TETO</t>
        </is>
      </c>
      <c r="K1054" s="47" t="n"/>
      <c r="L1054" s="48" t="n"/>
      <c r="M1054" s="48" t="n"/>
      <c r="N1054" s="49">
        <f>IF(H271="Serviço",M271*L271,IF(H271="CÉLULA CONSTRUTIVA",SUMIFS($N$8:$N$754,$B$8:$B$754,B271,$H$8:$H$754,"Serviço"),IF(H271="ETAPA",SUMIFS($N$8:$N$754,$B$8:$B$754,B271,$C$8:$C$754,C271,$H$8:$H$754,"Serviço"),IF(H271="SUBETAPA",SUMIFS($N$8:$N$754,$B$8:$B$754,B271,$C$8:$C$754,C271,$D$8:$D$754,D271,$H$8:$H$754,"Serviço"),0))))</f>
        <v/>
      </c>
      <c r="O1054" s="50">
        <f>N271/CAPA!C$10</f>
        <v/>
      </c>
      <c r="P1054" s="134" t="n"/>
      <c r="Q1054" s="52" t="n"/>
      <c r="R1054" s="52" t="n"/>
      <c r="S1054" s="1" t="n"/>
      <c r="T1054" s="1" t="n"/>
      <c r="U1054" s="1" t="n"/>
      <c r="V1054" s="1" t="n"/>
      <c r="W1054" s="1" t="n"/>
      <c r="X1054" s="1" t="n"/>
      <c r="Y1054" s="1" t="n"/>
    </row>
    <row r="1055">
      <c r="A1055" s="121">
        <f>IF($H272="UNIDADE CONSTRUTIVA",OFFSET(A272,-1,0)+1,LARGE(A$3:A271,1))</f>
        <v/>
      </c>
      <c r="B1055" s="121">
        <f>IF(H272="UNIDADE CONSTRUTIVA",0,IF(H272="CÉLULA CONSTRUTIVA",OFFSET(B272,-1,0)+1,OFFSET(B272,-1,0)))</f>
        <v/>
      </c>
      <c r="C1055" s="121">
        <f>IF(H272="CÉLULA CONSTRUTIVA",0,IF(H272="ETAPA",OFFSET(C272,-1,0)+1,OFFSET(C272,-1,0)))</f>
        <v/>
      </c>
      <c r="D1055" s="122">
        <f>IF(H272="ETAPA",0,IF(H272="SUBETAPA",OFFSET(D272,-1,0)+1,OFFSET(D272,-1,0)))</f>
        <v/>
      </c>
      <c r="E1055" s="122">
        <f>IF(H272="Subetapa",0,IF(H272="serviço",OFFSET(E272,-1,0)+1,OFFSET(E272,-1,0)))</f>
        <v/>
      </c>
      <c r="F1055" s="123" t="n"/>
      <c r="G1055" s="135" t="n"/>
      <c r="H1055" s="44" t="inlineStr">
        <is>
          <t>SUBETAPA</t>
        </is>
      </c>
      <c r="I1055" s="45">
        <f>IF(H272="Unidade Construtiva",TEXT(A272,"00"),IF(H272="Célula Construtiva",TEXT(B272,"00"),IF(H272="Etapa",CONCATENATE(TEXT(B272,"00"),".",TEXT(C272,"000")),IF(H272="Subetapa",CONCATENATE(TEXT(B272,"00"),".",TEXT(C272,"000"),".",TEXT(D272,"000")),IF(H272="Serviço",CONCATENATE(TEXT(B272,"00"),".",TEXT(C272,"000"),".",TEXT(D272,"000"),".",TEXT(E272,"000")),"")))))</f>
        <v/>
      </c>
      <c r="J1055" s="51" t="inlineStr">
        <is>
          <t>Revestimento interno argamassado em teto</t>
        </is>
      </c>
      <c r="K1055" s="48" t="n"/>
      <c r="L1055" s="48" t="n"/>
      <c r="M1055" s="48" t="n"/>
      <c r="N1055" s="49">
        <f>IF(H272="Serviço",M272*L272,IF(H272="CÉLULA CONSTRUTIVA",SUMIFS($N$8:$N$754,$B$8:$B$754,B272,$H$8:$H$754,"Serviço"),IF(H272="ETAPA",SUMIFS($N$8:$N$754,$B$8:$B$754,B272,$C$8:$C$754,C272,$H$8:$H$754,"Serviço"),IF(H272="SUBETAPA",SUMIFS($N$8:$N$754,$B$8:$B$754,B272,$C$8:$C$754,C272,$D$8:$D$754,D272,$H$8:$H$754,"Serviço"),0))))</f>
        <v/>
      </c>
      <c r="O1055" s="50">
        <f>N272/CAPA!C$10</f>
        <v/>
      </c>
      <c r="P1055" s="134" t="n"/>
      <c r="Q1055" s="52" t="n"/>
      <c r="R1055" s="52" t="n"/>
      <c r="S1055" s="1" t="n"/>
      <c r="T1055" s="1" t="n"/>
      <c r="U1055" s="1" t="n"/>
      <c r="V1055" s="1" t="n"/>
      <c r="W1055" s="1" t="n"/>
      <c r="X1055" s="1" t="n"/>
      <c r="Y1055" s="1" t="n"/>
    </row>
    <row r="1056">
      <c r="A1056" s="121">
        <f>IF($H273="UNIDADE CONSTRUTIVA",OFFSET(A273,-1,0)+1,LARGE(A$3:A272,1))</f>
        <v/>
      </c>
      <c r="B1056" s="121">
        <f>IF(H273="UNIDADE CONSTRUTIVA",0,IF(H273="CÉLULA CONSTRUTIVA",OFFSET(B273,-1,0)+1,OFFSET(B273,-1,0)))</f>
        <v/>
      </c>
      <c r="C1056" s="121">
        <f>IF(H273="CÉLULA CONSTRUTIVA",0,IF(H273="ETAPA",OFFSET(C273,-1,0)+1,OFFSET(C273,-1,0)))</f>
        <v/>
      </c>
      <c r="D1056" s="122">
        <f>IF(H273="ETAPA",0,IF(H273="SUBETAPA",OFFSET(D273,-1,0)+1,OFFSET(D273,-1,0)))</f>
        <v/>
      </c>
      <c r="E1056" s="122">
        <f>IF(H273="Subetapa",0,IF(H273="serviço",OFFSET(E273,-1,0)+1,OFFSET(E273,-1,0)))</f>
        <v/>
      </c>
      <c r="F1056" s="123" t="n"/>
      <c r="G1056" s="135" t="inlineStr">
        <is>
          <t>REVESTIMENTOS E ACABAMENTOS INTERNOS EM TETO</t>
        </is>
      </c>
      <c r="H1056" s="44" t="inlineStr">
        <is>
          <t>SERVIÇO</t>
        </is>
      </c>
      <c r="I1056" s="45">
        <f>IF(H273="Unidade Construtiva",TEXT(A273,"00"),IF(H273="Célula Construtiva",TEXT(B273,"00"),IF(H273="Etapa",CONCATENATE(TEXT(B273,"00"),".",TEXT(C273,"000")),IF(H273="Subetapa",CONCATENATE(TEXT(B273,"00"),".",TEXT(C273,"000"),".",TEXT(D273,"000")),IF(H273="Serviço",CONCATENATE(TEXT(B273,"00"),".",TEXT(C273,"000"),".",TEXT(D273,"000"),".",TEXT(E273,"000")),"")))))</f>
        <v/>
      </c>
      <c r="J1056" s="51" t="inlineStr">
        <is>
          <t>Estucamento de teto</t>
        </is>
      </c>
      <c r="K1056" s="47" t="inlineStr">
        <is>
          <t>m2</t>
        </is>
      </c>
      <c r="L1056" s="48">
        <f>'Arquitetura Visus'!D114</f>
        <v/>
      </c>
      <c r="M1056" s="48">
        <f>_xlfn.XLOOKUP($J273,CPU!$D$1:$D$31540,CPU!$H$1:$H$31540)</f>
        <v/>
      </c>
      <c r="N1056" s="49">
        <f>IF(H273="Serviço",M273*L273,IF(H273="CÉLULA CONSTRUTIVA",SUMIFS($N$8:$N$754,$B$8:$B$754,B273,$H$8:$H$754,"Serviço"),IF(H273="ETAPA",SUMIFS($N$8:$N$754,$B$8:$B$754,B273,$C$8:$C$754,C273,$H$8:$H$754,"Serviço"),IF(H273="SUBETAPA",SUMIFS($N$8:$N$754,$B$8:$B$754,B273,$C$8:$C$754,C273,$D$8:$D$754,D273,$H$8:$H$754,"Serviço"),0))))</f>
        <v/>
      </c>
      <c r="O1056" s="50" t="n"/>
      <c r="P1056" s="134" t="n"/>
      <c r="Q1056" s="52" t="n"/>
      <c r="R1056" s="52" t="n"/>
      <c r="S1056" s="1" t="n"/>
      <c r="T1056" s="1" t="n"/>
      <c r="U1056" s="1" t="n"/>
      <c r="V1056" s="1" t="n"/>
      <c r="W1056" s="1" t="n"/>
      <c r="X1056" s="1" t="n"/>
      <c r="Y1056" s="1" t="n"/>
    </row>
    <row r="1057">
      <c r="A1057" s="121">
        <f>IF($H274="UNIDADE CONSTRUTIVA",OFFSET(A274,-1,0)+1,LARGE(A$3:A273,1))</f>
        <v/>
      </c>
      <c r="B1057" s="121">
        <f>IF(H274="UNIDADE CONSTRUTIVA",0,IF(H274="CÉLULA CONSTRUTIVA",OFFSET(B274,-1,0)+1,OFFSET(B274,-1,0)))</f>
        <v/>
      </c>
      <c r="C1057" s="121">
        <f>IF(H274="CÉLULA CONSTRUTIVA",0,IF(H274="ETAPA",OFFSET(C274,-1,0)+1,OFFSET(C274,-1,0)))</f>
        <v/>
      </c>
      <c r="D1057" s="122">
        <f>IF(H274="ETAPA",0,IF(H274="SUBETAPA",OFFSET(D274,-1,0)+1,OFFSET(D274,-1,0)))</f>
        <v/>
      </c>
      <c r="E1057" s="122">
        <f>IF(H274="Subetapa",0,IF(H274="serviço",OFFSET(E274,-1,0)+1,OFFSET(E274,-1,0)))</f>
        <v/>
      </c>
      <c r="F1057" s="123" t="n"/>
      <c r="G1057" s="135" t="n"/>
      <c r="H1057" s="44" t="inlineStr">
        <is>
          <t>SUBETAPA</t>
        </is>
      </c>
      <c r="I1057" s="45">
        <f>IF(H274="Unidade Construtiva",TEXT(A274,"00"),IF(H274="Célula Construtiva",TEXT(B274,"00"),IF(H274="Etapa",CONCATENATE(TEXT(B274,"00"),".",TEXT(C274,"000")),IF(H274="Subetapa",CONCATENATE(TEXT(B274,"00"),".",TEXT(C274,"000"),".",TEXT(D274,"000")),IF(H274="Serviço",CONCATENATE(TEXT(B274,"00"),".",TEXT(C274,"000"),".",TEXT(D274,"000"),".",TEXT(E274,"000")),"")))))</f>
        <v/>
      </c>
      <c r="J1057" s="51" t="inlineStr">
        <is>
          <t>Acabamento de gesso em teto</t>
        </is>
      </c>
      <c r="K1057" s="47" t="n"/>
      <c r="L1057" s="48" t="n"/>
      <c r="M1057" s="48" t="n"/>
      <c r="N1057" s="49">
        <f>IF(H274="Serviço",M274*L274,IF(H274="CÉLULA CONSTRUTIVA",SUMIFS($N$8:$N$754,$B$8:$B$754,B274,$H$8:$H$754,"Serviço"),IF(H274="ETAPA",SUMIFS($N$8:$N$754,$B$8:$B$754,B274,$C$8:$C$754,C274,$H$8:$H$754,"Serviço"),IF(H274="SUBETAPA",SUMIFS($N$8:$N$754,$B$8:$B$754,B274,$C$8:$C$754,C274,$D$8:$D$754,D274,$H$8:$H$754,"Serviço"),0))))</f>
        <v/>
      </c>
      <c r="O1057" s="50">
        <f>N274/CAPA!C$10</f>
        <v/>
      </c>
      <c r="P1057" s="136">
        <f>SUM(L273:L278)</f>
        <v/>
      </c>
      <c r="Q1057" s="52" t="n"/>
      <c r="R1057" s="52" t="n"/>
      <c r="S1057" s="1" t="n"/>
      <c r="T1057" s="1" t="n"/>
      <c r="U1057" s="1" t="n"/>
      <c r="V1057" s="1" t="n"/>
      <c r="W1057" s="1" t="n"/>
      <c r="X1057" s="1" t="n"/>
      <c r="Y1057" s="1" t="n"/>
    </row>
    <row r="1058">
      <c r="A1058" s="121">
        <f>IF($H275="UNIDADE CONSTRUTIVA",OFFSET(A275,-1,0)+1,LARGE(A$3:A274,1))</f>
        <v/>
      </c>
      <c r="B1058" s="121">
        <f>IF(H275="UNIDADE CONSTRUTIVA",0,IF(H275="CÉLULA CONSTRUTIVA",OFFSET(B275,-1,0)+1,OFFSET(B275,-1,0)))</f>
        <v/>
      </c>
      <c r="C1058" s="121">
        <f>IF(H275="CÉLULA CONSTRUTIVA",0,IF(H275="ETAPA",OFFSET(C275,-1,0)+1,OFFSET(C275,-1,0)))</f>
        <v/>
      </c>
      <c r="D1058" s="122">
        <f>IF(H275="ETAPA",0,IF(H275="SUBETAPA",OFFSET(D275,-1,0)+1,OFFSET(D275,-1,0)))</f>
        <v/>
      </c>
      <c r="E1058" s="122">
        <f>IF(H275="Subetapa",0,IF(H275="serviço",OFFSET(E275,-1,0)+1,OFFSET(E275,-1,0)))</f>
        <v/>
      </c>
      <c r="F1058" s="123" t="n"/>
      <c r="G1058" s="135" t="inlineStr">
        <is>
          <t>REVESTIMENTOS E ACABAMENTOS INTERNOS EM TETO</t>
        </is>
      </c>
      <c r="H1058" s="44" t="inlineStr">
        <is>
          <t>SERVIÇO</t>
        </is>
      </c>
      <c r="I1058" s="45">
        <f>IF(H275="Unidade Construtiva",TEXT(A275,"00"),IF(H275="Célula Construtiva",TEXT(B275,"00"),IF(H275="Etapa",CONCATENATE(TEXT(B275,"00"),".",TEXT(C275,"000")),IF(H275="Subetapa",CONCATENATE(TEXT(B275,"00"),".",TEXT(C275,"000"),".",TEXT(D275,"000")),IF(H275="Serviço",CONCATENATE(TEXT(B275,"00"),".",TEXT(C275,"000"),".",TEXT(D275,"000"),".",TEXT(E275,"000")),"")))))</f>
        <v/>
      </c>
      <c r="J1058" s="51" t="inlineStr">
        <is>
          <t>Forro de gesso acartonado - áreas secas - Material e Mão de Obra</t>
        </is>
      </c>
      <c r="K1058" s="47" t="inlineStr">
        <is>
          <t>m2</t>
        </is>
      </c>
      <c r="L1058" s="48">
        <f>SUM('Arquitetura Visus'!D117:D140)-'Arquitetura Visus'!D122-'Arquitetura Visus'!D127-Ger_Executivo!L276-Ger_Executivo!L278</f>
        <v/>
      </c>
      <c r="M1058" s="48">
        <f>_xlfn.XLOOKUP($J275,CPU!$D$1:$D$31540,CPU!$H$1:$H$31540)</f>
        <v/>
      </c>
      <c r="N1058" s="49">
        <f>IF(H275="Serviço",M275*L275,IF(H275="CÉLULA CONSTRUTIVA",SUMIFS($N$8:$N$754,$B$8:$B$754,B275,$H$8:$H$754,"Serviço"),IF(H275="ETAPA",SUMIFS($N$8:$N$754,$B$8:$B$754,B275,$C$8:$C$754,C275,$H$8:$H$754,"Serviço"),IF(H275="SUBETAPA",SUMIFS($N$8:$N$754,$B$8:$B$754,B275,$C$8:$C$754,C275,$D$8:$D$754,D275,$H$8:$H$754,"Serviço"),0))))</f>
        <v/>
      </c>
      <c r="O1058" s="50" t="n"/>
      <c r="P1058" s="134" t="n"/>
      <c r="Q1058" s="52" t="n"/>
      <c r="R1058" s="52" t="n"/>
      <c r="S1058" s="1" t="n"/>
      <c r="T1058" s="1" t="n"/>
      <c r="U1058" s="1" t="n"/>
      <c r="V1058" s="1" t="n"/>
      <c r="W1058" s="1" t="n"/>
      <c r="X1058" s="1" t="n"/>
      <c r="Y1058" s="1" t="n"/>
    </row>
    <row r="1059">
      <c r="A1059" s="121">
        <f>IF($H276="UNIDADE CONSTRUTIVA",OFFSET(A276,-1,0)+1,LARGE(A$3:A275,1))</f>
        <v/>
      </c>
      <c r="B1059" s="121">
        <f>IF(H276="UNIDADE CONSTRUTIVA",0,IF(H276="CÉLULA CONSTRUTIVA",OFFSET(B276,-1,0)+1,OFFSET(B276,-1,0)))</f>
        <v/>
      </c>
      <c r="C1059" s="121">
        <f>IF(H276="CÉLULA CONSTRUTIVA",0,IF(H276="ETAPA",OFFSET(C276,-1,0)+1,OFFSET(C276,-1,0)))</f>
        <v/>
      </c>
      <c r="D1059" s="122">
        <f>IF(H276="ETAPA",0,IF(H276="SUBETAPA",OFFSET(D276,-1,0)+1,OFFSET(D276,-1,0)))</f>
        <v/>
      </c>
      <c r="E1059" s="122">
        <f>IF(H276="Subetapa",0,IF(H276="serviço",OFFSET(E276,-1,0)+1,OFFSET(E276,-1,0)))</f>
        <v/>
      </c>
      <c r="F1059" s="123" t="n"/>
      <c r="G1059" s="135" t="inlineStr">
        <is>
          <t>REVESTIMENTOS E ACABAMENTOS INTERNOS EM TETO</t>
        </is>
      </c>
      <c r="H1059" s="44" t="inlineStr">
        <is>
          <t>SERVIÇO</t>
        </is>
      </c>
      <c r="I1059" s="45">
        <f>IF(H276="Unidade Construtiva",TEXT(A276,"00"),IF(H276="Célula Construtiva",TEXT(B276,"00"),IF(H276="Etapa",CONCATENATE(TEXT(B276,"00"),".",TEXT(C276,"000")),IF(H276="Subetapa",CONCATENATE(TEXT(B276,"00"),".",TEXT(C276,"000"),".",TEXT(D276,"000")),IF(H276="Serviço",CONCATENATE(TEXT(B276,"00"),".",TEXT(C276,"000"),".",TEXT(D276,"000"),".",TEXT(E276,"000")),"")))))</f>
        <v/>
      </c>
      <c r="J1059" s="51" t="inlineStr">
        <is>
          <t>Forro de gesso acartonado - áreas úmidas - Material e Mão de Obra</t>
        </is>
      </c>
      <c r="K1059" s="47" t="inlineStr">
        <is>
          <t>m2</t>
        </is>
      </c>
      <c r="L1059" s="48">
        <f>SUM('Arquitetura Visus'!D119:D121)</f>
        <v/>
      </c>
      <c r="M1059" s="48">
        <f>_xlfn.XLOOKUP($J276,CPU!$D$1:$D$31540,CPU!$H$1:$H$31540)</f>
        <v/>
      </c>
      <c r="N1059" s="49">
        <f>IF(H276="Serviço",M276*L276,IF(H276="CÉLULA CONSTRUTIVA",SUMIFS($N$8:$N$754,$B$8:$B$754,B276,$H$8:$H$754,"Serviço"),IF(H276="ETAPA",SUMIFS($N$8:$N$754,$B$8:$B$754,B276,$C$8:$C$754,C276,$H$8:$H$754,"Serviço"),IF(H276="SUBETAPA",SUMIFS($N$8:$N$754,$B$8:$B$754,B276,$C$8:$C$754,C276,$D$8:$D$754,D276,$H$8:$H$754,"Serviço"),0))))</f>
        <v/>
      </c>
      <c r="O1059" s="50" t="n"/>
      <c r="P1059" s="134" t="n"/>
      <c r="Q1059" s="52" t="n"/>
      <c r="R1059" s="52" t="n"/>
      <c r="S1059" s="1" t="n"/>
      <c r="T1059" s="1" t="n"/>
      <c r="U1059" s="1" t="n"/>
      <c r="V1059" s="1" t="n"/>
      <c r="W1059" s="1" t="n"/>
      <c r="X1059" s="1" t="n"/>
      <c r="Y1059" s="1" t="n"/>
    </row>
    <row r="1060">
      <c r="A1060" s="121">
        <f>IF($H277="UNIDADE CONSTRUTIVA",OFFSET(A277,-1,0)+1,LARGE(A$3:A276,1))</f>
        <v/>
      </c>
      <c r="B1060" s="121">
        <f>IF(H277="UNIDADE CONSTRUTIVA",0,IF(H277="CÉLULA CONSTRUTIVA",OFFSET(B277,-1,0)+1,OFFSET(B277,-1,0)))</f>
        <v/>
      </c>
      <c r="C1060" s="121">
        <f>IF(H277="CÉLULA CONSTRUTIVA",0,IF(H277="ETAPA",OFFSET(C277,-1,0)+1,OFFSET(C277,-1,0)))</f>
        <v/>
      </c>
      <c r="D1060" s="122">
        <f>IF(H277="ETAPA",0,IF(H277="SUBETAPA",OFFSET(D277,-1,0)+1,OFFSET(D277,-1,0)))</f>
        <v/>
      </c>
      <c r="E1060" s="122">
        <f>IF(H277="Subetapa",0,IF(H277="serviço",OFFSET(E277,-1,0)+1,OFFSET(E277,-1,0)))</f>
        <v/>
      </c>
      <c r="F1060" s="123" t="n"/>
      <c r="G1060" s="135" t="n"/>
      <c r="H1060" s="44" t="inlineStr">
        <is>
          <t>SUBETAPA</t>
        </is>
      </c>
      <c r="I1060" s="45">
        <f>IF(H277="Unidade Construtiva",TEXT(A277,"00"),IF(H277="Célula Construtiva",TEXT(B277,"00"),IF(H277="Etapa",CONCATENATE(TEXT(B277,"00"),".",TEXT(C277,"000")),IF(H277="Subetapa",CONCATENATE(TEXT(B277,"00"),".",TEXT(C277,"000"),".",TEXT(D277,"000")),IF(H277="Serviço",CONCATENATE(TEXT(B277,"00"),".",TEXT(C277,"000"),".",TEXT(D277,"000"),".",TEXT(E277,"000")),"")))))</f>
        <v/>
      </c>
      <c r="J1060" s="51" t="inlineStr">
        <is>
          <t>Forro especial</t>
        </is>
      </c>
      <c r="K1060" s="48" t="n"/>
      <c r="L1060" s="48" t="n"/>
      <c r="M1060" s="48" t="n"/>
      <c r="N1060" s="49">
        <f>IF(H277="Serviço",M277*L277,IF(H277="CÉLULA CONSTRUTIVA",SUMIFS($N$8:$N$754,$B$8:$B$754,B277,$H$8:$H$754,"Serviço"),IF(H277="ETAPA",SUMIFS($N$8:$N$754,$B$8:$B$754,B277,$C$8:$C$754,C277,$H$8:$H$754,"Serviço"),IF(H277="SUBETAPA",SUMIFS($N$8:$N$754,$B$8:$B$754,B277,$C$8:$C$754,C277,$D$8:$D$754,D277,$H$8:$H$754,"Serviço"),0))))</f>
        <v/>
      </c>
      <c r="O1060" s="50">
        <f>N277/CAPA!C$10</f>
        <v/>
      </c>
      <c r="P1060" s="134" t="n"/>
      <c r="Q1060" s="52" t="n"/>
      <c r="R1060" s="52" t="n"/>
      <c r="S1060" s="1" t="n"/>
      <c r="T1060" s="1" t="n"/>
      <c r="U1060" s="1" t="n"/>
      <c r="V1060" s="1" t="n"/>
      <c r="W1060" s="1" t="n"/>
      <c r="X1060" s="1" t="n"/>
      <c r="Y1060" s="1" t="n"/>
    </row>
    <row r="1061">
      <c r="A1061" s="121">
        <f>IF($H278="UNIDADE CONSTRUTIVA",OFFSET(A278,-1,0)+1,LARGE(A$3:A276,1))</f>
        <v/>
      </c>
      <c r="B1061" s="121">
        <f>IF(H278="UNIDADE CONSTRUTIVA",0,IF(H278="CÉLULA CONSTRUTIVA",OFFSET(B278,-1,0)+1,OFFSET(B278,-1,0)))</f>
        <v/>
      </c>
      <c r="C1061" s="121">
        <f>IF(H278="CÉLULA CONSTRUTIVA",0,IF(H278="ETAPA",OFFSET(C278,-1,0)+1,OFFSET(C278,-1,0)))</f>
        <v/>
      </c>
      <c r="D1061" s="122">
        <f>IF(H278="ETAPA",0,IF(H278="SUBETAPA",OFFSET(D278,-1,0)+1,OFFSET(D278,-1,0)))</f>
        <v/>
      </c>
      <c r="E1061" s="122">
        <f>IF(H278="Subetapa",0,IF(H278="serviço",OFFSET(E278,-1,0)+1,OFFSET(E278,-1,0)))</f>
        <v/>
      </c>
      <c r="F1061" s="123" t="n"/>
      <c r="G1061" s="135" t="inlineStr">
        <is>
          <t>REVESTIMENTOS E ACABAMENTOS INTERNOS EM TETO</t>
        </is>
      </c>
      <c r="H1061" s="44" t="inlineStr">
        <is>
          <t>SERVIÇO</t>
        </is>
      </c>
      <c r="I1061" s="45">
        <f>IF(H278="Unidade Construtiva",TEXT(A278,"00"),IF(H278="Célula Construtiva",TEXT(B278,"00"),IF(H278="Etapa",CONCATENATE(TEXT(B278,"00"),".",TEXT(C278,"000")),IF(H278="Subetapa",CONCATENATE(TEXT(B278,"00"),".",TEXT(C278,"000"),".",TEXT(D278,"000")),IF(H278="Serviço",CONCATENATE(TEXT(B278,"00"),".",TEXT(C278,"000"),".",TEXT(D278,"000"),".",TEXT(E278,"000")),"")))))</f>
        <v/>
      </c>
      <c r="J1061" s="51" t="inlineStr">
        <is>
          <t>Forro de placa cimenticia - Material e Mão de Obra</t>
        </is>
      </c>
      <c r="K1061" s="47" t="inlineStr">
        <is>
          <t>m</t>
        </is>
      </c>
      <c r="L1061" s="48">
        <f>'Arquitetura Visus'!D118</f>
        <v/>
      </c>
      <c r="M1061" s="48">
        <f>_xlfn.XLOOKUP($J278,CPU!$D$1:$D$31540,CPU!$H$1:$H$31540)</f>
        <v/>
      </c>
      <c r="N1061" s="49">
        <f>IF(H278="Serviço",M278*L278,IF(H278="CÉLULA CONSTRUTIVA",SUMIFS($N$8:$N$754,$B$8:$B$754,B278,$H$8:$H$754,"Serviço"),IF(H278="ETAPA",SUMIFS($N$8:$N$754,$B$8:$B$754,B278,$C$8:$C$754,C278,$H$8:$H$754,"Serviço"),IF(H278="SUBETAPA",SUMIFS($N$8:$N$754,$B$8:$B$754,B278,$C$8:$C$754,C278,$D$8:$D$754,D278,$H$8:$H$754,"Serviço"),0))))</f>
        <v/>
      </c>
      <c r="O1061" s="50" t="inlineStr">
        <is>
          <t>Área técnica dos pavimentos tipo</t>
        </is>
      </c>
      <c r="P1061" s="134" t="n"/>
      <c r="Q1061" s="52" t="n"/>
      <c r="R1061" s="52" t="n"/>
      <c r="S1061" s="1" t="n"/>
      <c r="T1061" s="1" t="n"/>
      <c r="U1061" s="1" t="n"/>
      <c r="V1061" s="1" t="n"/>
      <c r="W1061" s="1" t="n"/>
      <c r="X1061" s="1" t="n"/>
      <c r="Y1061" s="1" t="n"/>
    </row>
    <row r="1062">
      <c r="A1062" s="121">
        <f>IF($H279="UNIDADE CONSTRUTIVA",OFFSET(A279,-1,0)+1,LARGE(A$3:A278,1))</f>
        <v/>
      </c>
      <c r="B1062" s="121">
        <f>IF(H279="UNIDADE CONSTRUTIVA",0,IF(H279="CÉLULA CONSTRUTIVA",OFFSET(B279,-1,0)+1,OFFSET(B279,-1,0)))</f>
        <v/>
      </c>
      <c r="C1062" s="121">
        <f>IF(H279="CÉLULA CONSTRUTIVA",0,IF(H279="ETAPA",OFFSET(C279,-1,0)+1,OFFSET(C279,-1,0)))</f>
        <v/>
      </c>
      <c r="D1062" s="122">
        <f>IF(H279="ETAPA",0,IF(H279="SUBETAPA",OFFSET(D279,-1,0)+1,OFFSET(D279,-1,0)))</f>
        <v/>
      </c>
      <c r="E1062" s="122">
        <f>IF(H279="Subetapa",0,IF(H279="serviço",OFFSET(E279,-1,0)+1,OFFSET(E279,-1,0)))</f>
        <v/>
      </c>
      <c r="F1062" s="123" t="n"/>
      <c r="G1062" s="135" t="n"/>
      <c r="H1062" s="44" t="inlineStr">
        <is>
          <t>SUBETAPA</t>
        </is>
      </c>
      <c r="I1062" s="45">
        <f>IF(H279="Unidade Construtiva",TEXT(A279,"00"),IF(H279="Célula Construtiva",TEXT(B279,"00"),IF(H279="Etapa",CONCATENATE(TEXT(B279,"00"),".",TEXT(C279,"000")),IF(H279="Subetapa",CONCATENATE(TEXT(B279,"00"),".",TEXT(C279,"000"),".",TEXT(D279,"000")),IF(H279="Serviço",CONCATENATE(TEXT(B279,"00"),".",TEXT(C279,"000"),".",TEXT(D279,"000"),".",TEXT(E279,"000")),"")))))</f>
        <v/>
      </c>
      <c r="J1062" s="51" t="inlineStr">
        <is>
          <t>Mão de obra</t>
        </is>
      </c>
      <c r="K1062" s="47" t="n"/>
      <c r="L1062" s="48" t="n"/>
      <c r="M1062" s="48" t="n"/>
      <c r="N1062" s="49">
        <f>IF(H279="Serviço",M279*L279,IF(H279="CÉLULA CONSTRUTIVA",SUMIFS($N$8:$N$754,$B$8:$B$754,B279,$H$8:$H$754,"Serviço"),IF(H279="ETAPA",SUMIFS($N$8:$N$754,$B$8:$B$754,B279,$C$8:$C$754,C279,$H$8:$H$754,"Serviço"),IF(H279="SUBETAPA",SUMIFS($N$8:$N$754,$B$8:$B$754,B279,$C$8:$C$754,C279,$D$8:$D$754,D279,$H$8:$H$754,"Serviço"),0))))</f>
        <v/>
      </c>
      <c r="O1062" s="50">
        <f>N279/CAPA!C$10</f>
        <v/>
      </c>
      <c r="P1062" s="134" t="n"/>
      <c r="Q1062" s="52" t="n"/>
      <c r="R1062" s="52" t="n"/>
      <c r="S1062" s="1" t="n"/>
      <c r="T1062" s="1" t="n"/>
      <c r="U1062" s="1" t="n"/>
      <c r="V1062" s="1" t="n"/>
      <c r="W1062" s="1" t="n"/>
      <c r="X1062" s="1" t="n"/>
      <c r="Y1062" s="1" t="n"/>
    </row>
    <row r="1063">
      <c r="A1063" s="121">
        <f>IF($H280="UNIDADE CONSTRUTIVA",OFFSET(A280,-1,0)+1,LARGE(A$3:A279,1))</f>
        <v/>
      </c>
      <c r="B1063" s="121">
        <f>IF(H280="UNIDADE CONSTRUTIVA",0,IF(H280="CÉLULA CONSTRUTIVA",OFFSET(B280,-1,0)+1,OFFSET(B280,-1,0)))</f>
        <v/>
      </c>
      <c r="C1063" s="121">
        <f>IF(H280="CÉLULA CONSTRUTIVA",0,IF(H280="ETAPA",OFFSET(C280,-1,0)+1,OFFSET(C280,-1,0)))</f>
        <v/>
      </c>
      <c r="D1063" s="122">
        <f>IF(H280="ETAPA",0,IF(H280="SUBETAPA",OFFSET(D280,-1,0)+1,OFFSET(D280,-1,0)))</f>
        <v/>
      </c>
      <c r="E1063" s="122">
        <f>IF(H280="Subetapa",0,IF(H280="serviço",OFFSET(E280,-1,0)+1,OFFSET(E280,-1,0)))</f>
        <v/>
      </c>
      <c r="F1063" s="123" t="n"/>
      <c r="G1063" s="135" t="inlineStr">
        <is>
          <t>REVESTIMENTOS E ACABAMENTOS INTERNOS EM TETO</t>
        </is>
      </c>
      <c r="H1063" s="44" t="inlineStr">
        <is>
          <t>SERVIÇO</t>
        </is>
      </c>
      <c r="I1063" s="45">
        <f>IF(H280="Unidade Construtiva",TEXT(A280,"00"),IF(H280="Célula Construtiva",TEXT(B280,"00"),IF(H280="Etapa",CONCATENATE(TEXT(B280,"00"),".",TEXT(C280,"000")),IF(H280="Subetapa",CONCATENATE(TEXT(B280,"00"),".",TEXT(C280,"000"),".",TEXT(D280,"000")),IF(H280="Serviço",CONCATENATE(TEXT(B280,"00"),".",TEXT(C280,"000"),".",TEXT(D280,"000"),".",TEXT(E280,"000")),"")))))</f>
        <v/>
      </c>
      <c r="J1063" s="51" t="inlineStr">
        <is>
          <t>Mão de obra execução de estucamento em teto</t>
        </is>
      </c>
      <c r="K1063" s="47" t="inlineStr">
        <is>
          <t>m2</t>
        </is>
      </c>
      <c r="L1063" s="48">
        <f>L273</f>
        <v/>
      </c>
      <c r="M1063" s="48">
        <f>_xlfn.XLOOKUP($J280,CPU!$D$1:$D$31540,CPU!$H$1:$H$31540)</f>
        <v/>
      </c>
      <c r="N1063" s="49">
        <f>IF(H280="Serviço",M280*L280,IF(H280="CÉLULA CONSTRUTIVA",SUMIFS($N$8:$N$754,$B$8:$B$754,B280,$H$8:$H$754,"Serviço"),IF(H280="ETAPA",SUMIFS($N$8:$N$754,$B$8:$B$754,B280,$C$8:$C$754,C280,$H$8:$H$754,"Serviço"),IF(H280="SUBETAPA",SUMIFS($N$8:$N$754,$B$8:$B$754,B280,$C$8:$C$754,C280,$D$8:$D$754,D280,$H$8:$H$754,"Serviço"),0))))</f>
        <v/>
      </c>
      <c r="O1063" s="50" t="n"/>
      <c r="P1063" s="134" t="n"/>
      <c r="Q1063" s="52" t="n"/>
      <c r="R1063" s="52" t="n"/>
      <c r="S1063" s="1" t="n"/>
      <c r="T1063" s="1" t="n"/>
      <c r="U1063" s="1" t="n"/>
      <c r="V1063" s="1" t="n"/>
      <c r="W1063" s="1" t="n"/>
      <c r="X1063" s="1" t="n"/>
      <c r="Y1063" s="1" t="n"/>
    </row>
    <row r="1064">
      <c r="A1064" s="121">
        <f>IF($H281="UNIDADE CONSTRUTIVA",OFFSET(A281,-1,0)+1,LARGE(A$3:A280,1))</f>
        <v/>
      </c>
      <c r="B1064" s="121">
        <f>IF(H281="UNIDADE CONSTRUTIVA",0,IF(H281="CÉLULA CONSTRUTIVA",OFFSET(B281,-1,0)+1,OFFSET(B281,-1,0)))</f>
        <v/>
      </c>
      <c r="C1064" s="121">
        <f>IF(H281="CÉLULA CONSTRUTIVA",0,IF(H281="ETAPA",OFFSET(C281,-1,0)+1,OFFSET(C281,-1,0)))</f>
        <v/>
      </c>
      <c r="D1064" s="122">
        <f>IF(H281="ETAPA",0,IF(H281="SUBETAPA",OFFSET(D281,-1,0)+1,OFFSET(D281,-1,0)))</f>
        <v/>
      </c>
      <c r="E1064" s="122">
        <f>IF(H281="Subetapa",0,IF(H281="serviço",OFFSET(E281,-1,0)+1,OFFSET(E281,-1,0)))</f>
        <v/>
      </c>
      <c r="F1064" s="123" t="n"/>
      <c r="G1064" s="135" t="n"/>
      <c r="H1064" s="44" t="inlineStr">
        <is>
          <t>CÉLULA CONSTRUTIVA</t>
        </is>
      </c>
      <c r="I1064" s="45">
        <f>IF(H281="Unidade Construtiva",TEXT(A281,"00"),IF(H281="Célula Construtiva",TEXT(B281,"00"),IF(H281="Etapa",CONCATENATE(TEXT(B281,"00"),".",TEXT(C281,"000")),IF(H281="Subetapa",CONCATENATE(TEXT(B281,"00"),".",TEXT(C281,"000"),".",TEXT(D281,"000")),IF(H281="Serviço",CONCATENATE(TEXT(B281,"00"),".",TEXT(C281,"000"),".",TEXT(D281,"000"),".",TEXT(E281,"000")),"")))))</f>
        <v/>
      </c>
      <c r="J1064" s="51" t="inlineStr">
        <is>
          <t>PISOS E PAVIMENTAÇÕES</t>
        </is>
      </c>
      <c r="K1064" s="47" t="n"/>
      <c r="L1064" s="48" t="n"/>
      <c r="M1064" s="48" t="n"/>
      <c r="N1064" s="49">
        <f>IF(H281="Serviço",M281*L281,IF(H281="CÉLULA CONSTRUTIVA",SUMIFS($N$8:$N$754,$B$8:$B$754,B281,$H$8:$H$754,"Serviço"),IF(H281="ETAPA",SUMIFS($N$8:$N$754,$B$8:$B$754,B281,$C$8:$C$754,C281,$H$8:$H$754,"Serviço"),IF(H281="SUBETAPA",SUMIFS($N$8:$N$754,$B$8:$B$754,B281,$C$8:$C$754,C281,$D$8:$D$754,D281,$H$8:$H$754,"Serviço"),0))))</f>
        <v/>
      </c>
      <c r="O1064" s="50">
        <f>N281/CAPA!C$10</f>
        <v/>
      </c>
      <c r="P1064" s="134" t="n"/>
      <c r="Q1064" s="115" t="n"/>
      <c r="R1064" s="52" t="n"/>
      <c r="S1064" s="1" t="n"/>
      <c r="T1064" s="1" t="n"/>
      <c r="U1064" s="1" t="n"/>
      <c r="V1064" s="1" t="n"/>
      <c r="W1064" s="1" t="n"/>
      <c r="X1064" s="1" t="n"/>
      <c r="Y1064" s="1" t="n"/>
    </row>
    <row r="1065">
      <c r="A1065" s="121">
        <f>IF($H282="UNIDADE CONSTRUTIVA",OFFSET(A282,-1,0)+1,LARGE(A$3:A281,1))</f>
        <v/>
      </c>
      <c r="B1065" s="121">
        <f>IF(H282="UNIDADE CONSTRUTIVA",0,IF(H282="CÉLULA CONSTRUTIVA",OFFSET(B282,-1,0)+1,OFFSET(B282,-1,0)))</f>
        <v/>
      </c>
      <c r="C1065" s="121">
        <f>IF(H282="CÉLULA CONSTRUTIVA",0,IF(H282="ETAPA",OFFSET(C282,-1,0)+1,OFFSET(C282,-1,0)))</f>
        <v/>
      </c>
      <c r="D1065" s="122">
        <f>IF(H282="ETAPA",0,IF(H282="SUBETAPA",OFFSET(D282,-1,0)+1,OFFSET(D282,-1,0)))</f>
        <v/>
      </c>
      <c r="E1065" s="122">
        <f>IF(H282="Subetapa",0,IF(H282="serviço",OFFSET(E282,-1,0)+1,OFFSET(E282,-1,0)))</f>
        <v/>
      </c>
      <c r="F1065" s="123" t="n"/>
      <c r="G1065" s="135" t="n"/>
      <c r="H1065" s="44" t="inlineStr">
        <is>
          <t>ETAPA</t>
        </is>
      </c>
      <c r="I1065" s="45">
        <f>IF(H282="Unidade Construtiva",TEXT(A282,"00"),IF(H282="Célula Construtiva",TEXT(B282,"00"),IF(H282="Etapa",CONCATENATE(TEXT(B282,"00"),".",TEXT(C282,"000")),IF(H282="Subetapa",CONCATENATE(TEXT(B282,"00"),".",TEXT(C282,"000"),".",TEXT(D282,"000")),IF(H282="Serviço",CONCATENATE(TEXT(B282,"00"),".",TEXT(C282,"000"),".",TEXT(D282,"000"),".",TEXT(E282,"000")),"")))))</f>
        <v/>
      </c>
      <c r="J1065" s="51" t="inlineStr">
        <is>
          <t>PISOS E PAVIMENTAÇÕES</t>
        </is>
      </c>
      <c r="K1065" s="47" t="n"/>
      <c r="L1065" s="48" t="n"/>
      <c r="M1065" s="48" t="n"/>
      <c r="N1065" s="49">
        <f>IF(H282="Serviço",M282*L282,IF(H282="CÉLULA CONSTRUTIVA",SUMIFS($N$8:$N$754,$B$8:$B$754,B282,$H$8:$H$754,"Serviço"),IF(H282="ETAPA",SUMIFS($N$8:$N$754,$B$8:$B$754,B282,$C$8:$C$754,C282,$H$8:$H$754,"Serviço"),IF(H282="SUBETAPA",SUMIFS($N$8:$N$754,$B$8:$B$754,B282,$C$8:$C$754,C282,$D$8:$D$754,D282,$H$8:$H$754,"Serviço"),0))))</f>
        <v/>
      </c>
      <c r="O1065" s="50">
        <f>N282/CAPA!C$10</f>
        <v/>
      </c>
      <c r="P1065" s="134" t="n"/>
      <c r="Q1065" s="52" t="n"/>
      <c r="R1065" s="52" t="n"/>
      <c r="S1065" s="1" t="n"/>
      <c r="T1065" s="1" t="n"/>
      <c r="U1065" s="1" t="n"/>
      <c r="V1065" s="1" t="n"/>
      <c r="W1065" s="1" t="n"/>
      <c r="X1065" s="1" t="n"/>
      <c r="Y1065" s="1" t="n"/>
    </row>
    <row r="1066">
      <c r="A1066" s="121">
        <f>IF($H283="UNIDADE CONSTRUTIVA",OFFSET(A283,-1,0)+1,LARGE(A$3:A282,1))</f>
        <v/>
      </c>
      <c r="B1066" s="121">
        <f>IF(H283="UNIDADE CONSTRUTIVA",0,IF(H283="CÉLULA CONSTRUTIVA",OFFSET(B283,-1,0)+1,OFFSET(B283,-1,0)))</f>
        <v/>
      </c>
      <c r="C1066" s="121">
        <f>IF(H283="CÉLULA CONSTRUTIVA",0,IF(H283="ETAPA",OFFSET(C283,-1,0)+1,OFFSET(C283,-1,0)))</f>
        <v/>
      </c>
      <c r="D1066" s="122">
        <f>IF(H283="ETAPA",0,IF(H283="SUBETAPA",OFFSET(D283,-1,0)+1,OFFSET(D283,-1,0)))</f>
        <v/>
      </c>
      <c r="E1066" s="122">
        <f>IF(H283="Subetapa",0,IF(H283="serviço",OFFSET(E283,-1,0)+1,OFFSET(E283,-1,0)))</f>
        <v/>
      </c>
      <c r="F1066" s="123" t="n"/>
      <c r="G1066" s="135" t="n"/>
      <c r="H1066" s="44" t="inlineStr">
        <is>
          <t>SUBETAPA</t>
        </is>
      </c>
      <c r="I1066" s="45">
        <f>IF(H283="Unidade Construtiva",TEXT(A283,"00"),IF(H283="Célula Construtiva",TEXT(B283,"00"),IF(H283="Etapa",CONCATENATE(TEXT(B283,"00"),".",TEXT(C283,"000")),IF(H283="Subetapa",CONCATENATE(TEXT(B283,"00"),".",TEXT(C283,"000"),".",TEXT(D283,"000")),IF(H283="Serviço",CONCATENATE(TEXT(B283,"00"),".",TEXT(C283,"000"),".",TEXT(D283,"000"),".",TEXT(E283,"000")),"")))))</f>
        <v/>
      </c>
      <c r="J1066" s="51" t="inlineStr">
        <is>
          <t>Contrapiso</t>
        </is>
      </c>
      <c r="K1066" s="47" t="n"/>
      <c r="L1066" s="48" t="n"/>
      <c r="M1066" s="48" t="n"/>
      <c r="N1066" s="49">
        <f>IF(H283="Serviço",M283*L283,IF(H283="CÉLULA CONSTRUTIVA",SUMIFS($N$8:$N$754,$B$8:$B$754,B283,$H$8:$H$754,"Serviço"),IF(H283="ETAPA",SUMIFS($N$8:$N$754,$B$8:$B$754,B283,$C$8:$C$754,C283,$H$8:$H$754,"Serviço"),IF(H283="SUBETAPA",SUMIFS($N$8:$N$754,$B$8:$B$754,B283,$C$8:$C$754,C283,$D$8:$D$754,D283,$H$8:$H$754,"Serviço"),0))))</f>
        <v/>
      </c>
      <c r="O1066" s="50">
        <f>N283/CAPA!C$10</f>
        <v/>
      </c>
      <c r="P1066" s="134" t="n"/>
      <c r="Q1066" s="52" t="n"/>
      <c r="R1066" s="52" t="n"/>
      <c r="S1066" s="1" t="n"/>
      <c r="T1066" s="1" t="n"/>
      <c r="U1066" s="1" t="n"/>
      <c r="V1066" s="1" t="n"/>
      <c r="W1066" s="1" t="n"/>
      <c r="X1066" s="1" t="n"/>
      <c r="Y1066" s="1" t="n"/>
    </row>
    <row r="1067">
      <c r="A1067" s="121">
        <f>IF($H284="UNIDADE CONSTRUTIVA",OFFSET(A284,-1,0)+1,LARGE(A$3:A283,1))</f>
        <v/>
      </c>
      <c r="B1067" s="121">
        <f>IF(H284="UNIDADE CONSTRUTIVA",0,IF(H284="CÉLULA CONSTRUTIVA",OFFSET(B284,-1,0)+1,OFFSET(B284,-1,0)))</f>
        <v/>
      </c>
      <c r="C1067" s="121">
        <f>IF(H284="CÉLULA CONSTRUTIVA",0,IF(H284="ETAPA",OFFSET(C284,-1,0)+1,OFFSET(C284,-1,0)))</f>
        <v/>
      </c>
      <c r="D1067" s="122">
        <f>IF(H284="ETAPA",0,IF(H284="SUBETAPA",OFFSET(D284,-1,0)+1,OFFSET(D284,-1,0)))</f>
        <v/>
      </c>
      <c r="E1067" s="122">
        <f>IF(H284="Subetapa",0,IF(H284="serviço",OFFSET(E284,-1,0)+1,OFFSET(E284,-1,0)))</f>
        <v/>
      </c>
      <c r="F1067" s="123" t="n"/>
      <c r="G1067" s="135" t="inlineStr">
        <is>
          <t>PISOS E PAVIMENTAÇÕES</t>
        </is>
      </c>
      <c r="H1067" s="44" t="inlineStr">
        <is>
          <t>SERVIÇO</t>
        </is>
      </c>
      <c r="I1067" s="45">
        <f>IF(H284="Unidade Construtiva",TEXT(A284,"00"),IF(H284="Célula Construtiva",TEXT(B284,"00"),IF(H284="Etapa",CONCATENATE(TEXT(B284,"00"),".",TEXT(C284,"000")),IF(H284="Subetapa",CONCATENATE(TEXT(B284,"00"),".",TEXT(C284,"000"),".",TEXT(D284,"000")),IF(H284="Serviço",CONCATENATE(TEXT(B284,"00"),".",TEXT(C284,"000"),".",TEXT(D284,"000"),".",TEXT(E284,"000")),"")))))</f>
        <v/>
      </c>
      <c r="J1067" s="51" t="inlineStr">
        <is>
          <t>Contrapiso comum em argamassa estabilizada, nao aderido, espessura 5cm</t>
        </is>
      </c>
      <c r="K1067" s="47" t="inlineStr">
        <is>
          <t>m2</t>
        </is>
      </c>
      <c r="L1067" s="48">
        <f>SUM('Arquitetura Visus'!D204:D238)-'Arquitetura Visus'!D207+'Arquitetura Visus'!D106+'Arquitetura Visus'!D107</f>
        <v/>
      </c>
      <c r="M1067" s="48">
        <f>_xlfn.XLOOKUP($J284,CPU!$D$1:$D$31540,CPU!$H$1:$H$31540)</f>
        <v/>
      </c>
      <c r="N1067" s="49">
        <f>IF(H284="Serviço",M284*L284,IF(H284="CÉLULA CONSTRUTIVA",SUMIFS($N$8:$N$754,$B$8:$B$754,B284,$H$8:$H$754,"Serviço"),IF(H284="ETAPA",SUMIFS($N$8:$N$754,$B$8:$B$754,B284,$C$8:$C$754,C284,$H$8:$H$754,"Serviço"),IF(H284="SUBETAPA",SUMIFS($N$8:$N$754,$B$8:$B$754,B284,$C$8:$C$754,C284,$D$8:$D$754,D284,$H$8:$H$754,"Serviço"),0))))</f>
        <v/>
      </c>
      <c r="O1067" s="50" t="n"/>
      <c r="P1067" s="136">
        <f>SUM(L289:L300)+408.5</f>
        <v/>
      </c>
      <c r="Q1067" s="52" t="n"/>
      <c r="R1067" s="52" t="n"/>
      <c r="S1067" s="1" t="n"/>
      <c r="T1067" s="1" t="n"/>
      <c r="U1067" s="1" t="n"/>
      <c r="V1067" s="1" t="n"/>
      <c r="W1067" s="1" t="n"/>
      <c r="X1067" s="1" t="n"/>
      <c r="Y1067" s="1" t="n"/>
    </row>
    <row r="1068">
      <c r="A1068" s="121">
        <f>IF($H285="UNIDADE CONSTRUTIVA",OFFSET(A285,-1,0)+1,LARGE(A$3:A284,1))</f>
        <v/>
      </c>
      <c r="B1068" s="121">
        <f>IF(H285="UNIDADE CONSTRUTIVA",0,IF(H285="CÉLULA CONSTRUTIVA",OFFSET(B285,-1,0)+1,OFFSET(B285,-1,0)))</f>
        <v/>
      </c>
      <c r="C1068" s="121">
        <f>IF(H285="CÉLULA CONSTRUTIVA",0,IF(H285="ETAPA",OFFSET(C285,-1,0)+1,OFFSET(C285,-1,0)))</f>
        <v/>
      </c>
      <c r="D1068" s="122">
        <f>IF(H285="ETAPA",0,IF(H285="SUBETAPA",OFFSET(D285,-1,0)+1,OFFSET(D285,-1,0)))</f>
        <v/>
      </c>
      <c r="E1068" s="122">
        <f>IF(H285="Subetapa",0,IF(H285="serviço",OFFSET(E285,-1,0)+1,OFFSET(E285,-1,0)))</f>
        <v/>
      </c>
      <c r="F1068" s="123" t="n"/>
      <c r="G1068" s="135" t="n"/>
      <c r="H1068" s="44" t="inlineStr">
        <is>
          <t>SUBETAPA</t>
        </is>
      </c>
      <c r="I1068" s="45">
        <f>IF(H285="Unidade Construtiva",TEXT(A285,"00"),IF(H285="Célula Construtiva",TEXT(B285,"00"),IF(H285="Etapa",CONCATENATE(TEXT(B285,"00"),".",TEXT(C285,"000")),IF(H285="Subetapa",CONCATENATE(TEXT(B285,"00"),".",TEXT(C285,"000"),".",TEXT(D285,"000")),IF(H285="Serviço",CONCATENATE(TEXT(B285,"00"),".",TEXT(C285,"000"),".",TEXT(D285,"000"),".",TEXT(E285,"000")),"")))))</f>
        <v/>
      </c>
      <c r="J1068" s="51" t="inlineStr">
        <is>
          <t>Acabamentos cimentados em piso</t>
        </is>
      </c>
      <c r="K1068" s="47" t="n"/>
      <c r="L1068" s="48" t="n"/>
      <c r="M1068" s="48" t="n"/>
      <c r="N1068" s="49">
        <f>IF(H285="Serviço",M285*L285,IF(H285="CÉLULA CONSTRUTIVA",SUMIFS($N$8:$N$754,$B$8:$B$754,B285,$H$8:$H$754,"Serviço"),IF(H285="ETAPA",SUMIFS($N$8:$N$754,$B$8:$B$754,B285,$C$8:$C$754,C285,$H$8:$H$754,"Serviço"),IF(H285="SUBETAPA",SUMIFS($N$8:$N$754,$B$8:$B$754,B285,$C$8:$C$754,C285,$D$8:$D$754,D285,$H$8:$H$754,"Serviço"),0))))</f>
        <v/>
      </c>
      <c r="O1068" s="50">
        <f>N285/CAPA!C$10</f>
        <v/>
      </c>
      <c r="P1068" s="163" t="n"/>
      <c r="Q1068" s="52" t="n"/>
      <c r="R1068" s="52" t="n"/>
      <c r="S1068" s="1" t="n"/>
      <c r="T1068" s="1" t="n"/>
      <c r="U1068" s="1" t="n"/>
      <c r="V1068" s="1" t="n"/>
      <c r="W1068" s="1" t="n"/>
      <c r="X1068" s="1" t="n"/>
      <c r="Y1068" s="1" t="n"/>
    </row>
    <row r="1069">
      <c r="A1069" s="121">
        <f>IF($H286="UNIDADE CONSTRUTIVA",OFFSET(A286,-1,0)+1,LARGE(A$3:A285,1))</f>
        <v/>
      </c>
      <c r="B1069" s="121">
        <f>IF(H286="UNIDADE CONSTRUTIVA",0,IF(H286="CÉLULA CONSTRUTIVA",OFFSET(B286,-1,0)+1,OFFSET(B286,-1,0)))</f>
        <v/>
      </c>
      <c r="C1069" s="121">
        <f>IF(H286="CÉLULA CONSTRUTIVA",0,IF(H286="ETAPA",OFFSET(C286,-1,0)+1,OFFSET(C286,-1,0)))</f>
        <v/>
      </c>
      <c r="D1069" s="122">
        <f>IF(H286="ETAPA",0,IF(H286="SUBETAPA",OFFSET(D286,-1,0)+1,OFFSET(D286,-1,0)))</f>
        <v/>
      </c>
      <c r="E1069" s="122">
        <f>IF(H286="Subetapa",0,IF(H286="serviço",OFFSET(E286,-1,0)+1,OFFSET(E286,-1,0)))</f>
        <v/>
      </c>
      <c r="F1069" s="123" t="n"/>
      <c r="G1069" s="135" t="inlineStr">
        <is>
          <t>PISOS E PAVIMENTAÇÕES</t>
        </is>
      </c>
      <c r="H1069" s="44" t="inlineStr">
        <is>
          <t>SERVIÇO</t>
        </is>
      </c>
      <c r="I1069" s="45">
        <f>IF(H286="Unidade Construtiva",TEXT(A286,"00"),IF(H286="Célula Construtiva",TEXT(B286,"00"),IF(H286="Etapa",CONCATENATE(TEXT(B286,"00"),".",TEXT(C286,"000")),IF(H286="Subetapa",CONCATENATE(TEXT(B286,"00"),".",TEXT(C286,"000"),".",TEXT(D286,"000")),IF(H286="Serviço",CONCATENATE(TEXT(B286,"00"),".",TEXT(C286,"000"),".",TEXT(D286,"000"),".",TEXT(E286,"000")),"")))))</f>
        <v/>
      </c>
      <c r="J1069" s="164" t="inlineStr">
        <is>
          <t>Piso de concreto, acabamento estampado, espessura 6 cm</t>
        </is>
      </c>
      <c r="K1069" s="47" t="inlineStr">
        <is>
          <t>m2</t>
        </is>
      </c>
      <c r="L1069" s="48">
        <f>'Arquitetura Visus'!D168+'Arquitetura Visus'!D169+'Arquitetura Visus'!D170</f>
        <v/>
      </c>
      <c r="M1069" s="48">
        <f>_xlfn.XLOOKUP($J286,CPU!$D$1:$D$31540,CPU!$H$1:$H$31540)</f>
        <v/>
      </c>
      <c r="N1069" s="49">
        <f>IF(H286="Serviço",M286*L286,IF(H286="CÉLULA CONSTRUTIVA",SUMIFS($N$8:$N$754,$B$8:$B$754,B286,$H$8:$H$754,"Serviço"),IF(H286="ETAPA",SUMIFS($N$8:$N$754,$B$8:$B$754,B286,$C$8:$C$754,C286,$H$8:$H$754,"Serviço"),IF(H286="SUBETAPA",SUMIFS($N$8:$N$754,$B$8:$B$754,B286,$C$8:$C$754,C286,$D$8:$D$754,D286,$H$8:$H$754,"Serviço"),0))))</f>
        <v/>
      </c>
      <c r="O1069" s="50" t="inlineStr">
        <is>
          <t>Rampas, passeio e calçada</t>
        </is>
      </c>
      <c r="P1069" s="136" t="n"/>
      <c r="Q1069" s="52" t="n"/>
      <c r="R1069" s="52" t="n"/>
      <c r="S1069" s="1" t="n"/>
      <c r="T1069" s="1" t="n"/>
      <c r="U1069" s="1" t="n"/>
      <c r="V1069" s="1" t="n"/>
      <c r="W1069" s="1" t="n"/>
      <c r="X1069" s="1" t="n"/>
      <c r="Y1069" s="1" t="n"/>
    </row>
    <row r="1070">
      <c r="A1070" s="121">
        <f>IF($H287="UNIDADE CONSTRUTIVA",OFFSET(A287,-1,0)+1,LARGE(A$3:A286,1))</f>
        <v/>
      </c>
      <c r="B1070" s="121">
        <f>IF(H287="UNIDADE CONSTRUTIVA",0,IF(H287="CÉLULA CONSTRUTIVA",OFFSET(B287,-1,0)+1,OFFSET(B287,-1,0)))</f>
        <v/>
      </c>
      <c r="C1070" s="121">
        <f>IF(H287="CÉLULA CONSTRUTIVA",0,IF(H287="ETAPA",OFFSET(C287,-1,0)+1,OFFSET(C287,-1,0)))</f>
        <v/>
      </c>
      <c r="D1070" s="122">
        <f>IF(H287="ETAPA",0,IF(H287="SUBETAPA",OFFSET(D287,-1,0)+1,OFFSET(D287,-1,0)))</f>
        <v/>
      </c>
      <c r="E1070" s="122">
        <f>IF(H287="Subetapa",0,IF(H287="serviço",OFFSET(E287,-1,0)+1,OFFSET(E287,-1,0)))</f>
        <v/>
      </c>
      <c r="F1070" s="123" t="n"/>
      <c r="G1070" s="135" t="inlineStr">
        <is>
          <t>PISOS E PAVIMENTAÇÕES</t>
        </is>
      </c>
      <c r="H1070" s="44" t="inlineStr">
        <is>
          <t>SERVIÇO</t>
        </is>
      </c>
      <c r="I1070" s="45">
        <f>IF(H287="Unidade Construtiva",TEXT(A287,"00"),IF(H287="Célula Construtiva",TEXT(B287,"00"),IF(H287="Etapa",CONCATENATE(TEXT(B287,"00"),".",TEXT(C287,"000")),IF(H287="Subetapa",CONCATENATE(TEXT(B287,"00"),".",TEXT(C287,"000"),".",TEXT(D287,"000")),IF(H287="Serviço",CONCATENATE(TEXT(B287,"00"),".",TEXT(C287,"000"),".",TEXT(D287,"000"),".",TEXT(E287,"000")),"")))))</f>
        <v/>
      </c>
      <c r="J1070" s="164" t="inlineStr">
        <is>
          <t xml:space="preserve">Piso de concreto polido, espessura 2cm </t>
        </is>
      </c>
      <c r="K1070" s="47" t="inlineStr">
        <is>
          <t>m2</t>
        </is>
      </c>
      <c r="L1070" s="48">
        <f>'Arquitetura Visus'!D172+'Arquitetura Visus'!D173</f>
        <v/>
      </c>
      <c r="M1070" s="48">
        <f>_xlfn.XLOOKUP($J287,CPU!$D$1:$D$31540,CPU!$H$1:$H$31540)</f>
        <v/>
      </c>
      <c r="N1070" s="49">
        <f>IF(H287="Serviço",M287*L287,IF(H287="CÉLULA CONSTRUTIVA",SUMIFS($N$8:$N$754,$B$8:$B$754,B287,$H$8:$H$754,"Serviço"),IF(H287="ETAPA",SUMIFS($N$8:$N$754,$B$8:$B$754,B287,$C$8:$C$754,C287,$H$8:$H$754,"Serviço"),IF(H287="SUBETAPA",SUMIFS($N$8:$N$754,$B$8:$B$754,B287,$C$8:$C$754,C287,$D$8:$D$754,D287,$H$8:$H$754,"Serviço"),0))))</f>
        <v/>
      </c>
      <c r="O1070" s="145" t="inlineStr">
        <is>
          <t>Reservatório subsolo e garagem</t>
        </is>
      </c>
      <c r="P1070" s="134" t="n"/>
      <c r="Q1070" s="52" t="n"/>
      <c r="R1070" s="52" t="n"/>
      <c r="S1070" s="1" t="n"/>
      <c r="T1070" s="1" t="n"/>
      <c r="U1070" s="1" t="n"/>
      <c r="V1070" s="1" t="n"/>
      <c r="W1070" s="1" t="n"/>
      <c r="X1070" s="1" t="n"/>
      <c r="Y1070" s="1" t="n"/>
    </row>
    <row r="1071">
      <c r="A1071" s="121">
        <f>IF($H288="UNIDADE CONSTRUTIVA",OFFSET(A288,-1,0)+1,LARGE(A$3:A286,1))</f>
        <v/>
      </c>
      <c r="B1071" s="121">
        <f>IF(H288="UNIDADE CONSTRUTIVA",0,IF(H288="CÉLULA CONSTRUTIVA",OFFSET(B288,-1,0)+1,OFFSET(B288,-1,0)))</f>
        <v/>
      </c>
      <c r="C1071" s="121">
        <f>IF(H288="CÉLULA CONSTRUTIVA",0,IF(H288="ETAPA",OFFSET(C288,-1,0)+1,OFFSET(C288,-1,0)))</f>
        <v/>
      </c>
      <c r="D1071" s="122">
        <f>IF(H288="ETAPA",0,IF(H288="SUBETAPA",OFFSET(D288,-1,0)+1,OFFSET(D288,-1,0)))</f>
        <v/>
      </c>
      <c r="E1071" s="122">
        <f>IF(H288="Subetapa",0,IF(H288="serviço",OFFSET(E288,-1,0)+1,OFFSET(E288,-1,0)))</f>
        <v/>
      </c>
      <c r="F1071" s="123" t="n"/>
      <c r="G1071" s="135" t="n"/>
      <c r="H1071" s="44" t="inlineStr">
        <is>
          <t>SUBETAPA</t>
        </is>
      </c>
      <c r="I1071" s="45">
        <f>IF(H288="Unidade Construtiva",TEXT(A288,"00"),IF(H288="Célula Construtiva",TEXT(B288,"00"),IF(H288="Etapa",CONCATENATE(TEXT(B288,"00"),".",TEXT(C288,"000")),IF(H288="Subetapa",CONCATENATE(TEXT(B288,"00"),".",TEXT(C288,"000"),".",TEXT(D288,"000")),IF(H288="Serviço",CONCATENATE(TEXT(B288,"00"),".",TEXT(C288,"000"),".",TEXT(D288,"000"),".",TEXT(E288,"000")),"")))))</f>
        <v/>
      </c>
      <c r="J1071" s="51" t="inlineStr">
        <is>
          <t>Acabamentos cerâmicos em piso</t>
        </is>
      </c>
      <c r="K1071" s="47" t="n"/>
      <c r="L1071" s="48" t="n"/>
      <c r="M1071" s="48" t="n"/>
      <c r="N1071" s="49">
        <f>IF(H288="Serviço",M288*L288,IF(H288="CÉLULA CONSTRUTIVA",SUMIFS($N$8:$N$754,$B$8:$B$754,B288,$H$8:$H$754,"Serviço"),IF(H288="ETAPA",SUMIFS($N$8:$N$754,$B$8:$B$754,B288,$C$8:$C$754,C288,$H$8:$H$754,"Serviço"),IF(H288="SUBETAPA",SUMIFS($N$8:$N$754,$B$8:$B$754,B288,$C$8:$C$754,C288,$D$8:$D$754,D288,$H$8:$H$754,"Serviço"),0))))</f>
        <v/>
      </c>
      <c r="O1071" s="50">
        <f>N288/CAPA!C$10</f>
        <v/>
      </c>
      <c r="P1071" s="134" t="n"/>
      <c r="Q1071" s="52" t="n"/>
      <c r="R1071" s="52" t="n"/>
      <c r="S1071" s="1" t="n"/>
      <c r="T1071" s="1" t="n"/>
      <c r="U1071" s="1" t="n"/>
      <c r="V1071" s="1" t="n"/>
      <c r="W1071" s="1" t="n"/>
      <c r="X1071" s="1" t="n"/>
      <c r="Y1071" s="1" t="n"/>
    </row>
    <row r="1072">
      <c r="A1072" s="121">
        <f>IF($H289="UNIDADE CONSTRUTIVA",OFFSET(A289,-1,0)+1,LARGE(A$3:A288,1))</f>
        <v/>
      </c>
      <c r="B1072" s="121">
        <f>IF(H289="UNIDADE CONSTRUTIVA",0,IF(H289="CÉLULA CONSTRUTIVA",OFFSET(B289,-1,0)+1,OFFSET(B289,-1,0)))</f>
        <v/>
      </c>
      <c r="C1072" s="121">
        <f>IF(H289="CÉLULA CONSTRUTIVA",0,IF(H289="ETAPA",OFFSET(C289,-1,0)+1,OFFSET(C289,-1,0)))</f>
        <v/>
      </c>
      <c r="D1072" s="122">
        <f>IF(H289="ETAPA",0,IF(H289="SUBETAPA",OFFSET(D289,-1,0)+1,OFFSET(D289,-1,0)))</f>
        <v/>
      </c>
      <c r="E1072" s="122">
        <f>IF(H289="Subetapa",0,IF(H289="serviço",OFFSET(E289,-1,0)+1,OFFSET(E289,-1,0)))</f>
        <v/>
      </c>
      <c r="F1072" s="123" t="n"/>
      <c r="G1072" s="135" t="inlineStr">
        <is>
          <t>PISOS E PAVIMENTAÇÕES</t>
        </is>
      </c>
      <c r="H1072" s="44" t="inlineStr">
        <is>
          <t>SERVIÇO</t>
        </is>
      </c>
      <c r="I1072" s="45">
        <f>IF(H289="Unidade Construtiva",TEXT(A289,"00"),IF(H289="Célula Construtiva",TEXT(B289,"00"),IF(H289="Etapa",CONCATENATE(TEXT(B289,"00"),".",TEXT(C289,"000")),IF(H289="Subetapa",CONCATENATE(TEXT(B289,"00"),".",TEXT(C289,"000"),".",TEXT(D289,"000")),IF(H289="Serviço",CONCATENATE(TEXT(B289,"00"),".",TEXT(C289,"000"),".",TEXT(D289,"000"),".",TEXT(E289,"000")),"")))))</f>
        <v/>
      </c>
      <c r="J1072" s="164" t="inlineStr">
        <is>
          <t>Revestimento em Piso,  Porcelanato Pp Pro Nude Gp 60X60Cm Retificado</t>
        </is>
      </c>
      <c r="K1072" s="47" t="inlineStr">
        <is>
          <t>m2</t>
        </is>
      </c>
      <c r="L1072" s="48">
        <f>'Arquitetura Visus'!G145</f>
        <v/>
      </c>
      <c r="M1072" s="48">
        <f>_xlfn.XLOOKUP($J289,CPU!$D$1:$D$31540,CPU!$H$1:$H$31540)</f>
        <v/>
      </c>
      <c r="N1072" s="49">
        <f>IF(H289="Serviço",M289*L289,IF(H289="CÉLULA CONSTRUTIVA",SUMIFS($N$8:$N$754,$B$8:$B$754,B289,$H$8:$H$754,"Serviço"),IF(H289="ETAPA",SUMIFS($N$8:$N$754,$B$8:$B$754,B289,$C$8:$C$754,C289,$H$8:$H$754,"Serviço"),IF(H289="SUBETAPA",SUMIFS($N$8:$N$754,$B$8:$B$754,B289,$C$8:$C$754,C289,$D$8:$D$754,D289,$H$8:$H$754,"Serviço"),0))))</f>
        <v/>
      </c>
      <c r="O1072" s="50" t="inlineStr">
        <is>
          <t>Modelo econômico</t>
        </is>
      </c>
      <c r="P1072" s="134" t="n"/>
      <c r="Q1072" s="52" t="n"/>
      <c r="R1072" s="52" t="n"/>
      <c r="S1072" s="1" t="n"/>
      <c r="T1072" s="1" t="n"/>
      <c r="U1072" s="1" t="n"/>
      <c r="V1072" s="1" t="n"/>
      <c r="W1072" s="1" t="n"/>
      <c r="X1072" s="1" t="n"/>
      <c r="Y1072" s="1" t="n"/>
    </row>
    <row r="1073">
      <c r="A1073" s="121">
        <f>IF($H290="UNIDADE CONSTRUTIVA",OFFSET(A290,-1,0)+1,LARGE(A$3:A289,1))</f>
        <v/>
      </c>
      <c r="B1073" s="121">
        <f>IF(H290="UNIDADE CONSTRUTIVA",0,IF(H290="CÉLULA CONSTRUTIVA",OFFSET(B290,-1,0)+1,OFFSET(B290,-1,0)))</f>
        <v/>
      </c>
      <c r="C1073" s="121">
        <f>IF(H290="CÉLULA CONSTRUTIVA",0,IF(H290="ETAPA",OFFSET(C290,-1,0)+1,OFFSET(C290,-1,0)))</f>
        <v/>
      </c>
      <c r="D1073" s="122">
        <f>IF(H290="ETAPA",0,IF(H290="SUBETAPA",OFFSET(D290,-1,0)+1,OFFSET(D290,-1,0)))</f>
        <v/>
      </c>
      <c r="E1073" s="122">
        <f>IF(H290="Subetapa",0,IF(H290="serviço",OFFSET(E290,-1,0)+1,OFFSET(E290,-1,0)))</f>
        <v/>
      </c>
      <c r="F1073" s="123" t="n"/>
      <c r="G1073" s="135" t="inlineStr">
        <is>
          <t>PISOS E PAVIMENTAÇÕES</t>
        </is>
      </c>
      <c r="H1073" s="44" t="inlineStr">
        <is>
          <t>SERVIÇO</t>
        </is>
      </c>
      <c r="I1073" s="45">
        <f>IF(H290="Unidade Construtiva",TEXT(A290,"00"),IF(H290="Célula Construtiva",TEXT(B290,"00"),IF(H290="Etapa",CONCATENATE(TEXT(B290,"00"),".",TEXT(C290,"000")),IF(H290="Subetapa",CONCATENATE(TEXT(B290,"00"),".",TEXT(C290,"000"),".",TEXT(D290,"000")),IF(H290="Serviço",CONCATENATE(TEXT(B290,"00"),".",TEXT(C290,"000"),".",TEXT(D290,"000"),".",TEXT(E290,"000")),"")))))</f>
        <v/>
      </c>
      <c r="J1073" s="164" t="inlineStr">
        <is>
          <t xml:space="preserve">Revestimento de Piso, Porcelanato Mont Blanc Acetinado 90X90 Eliane    </t>
        </is>
      </c>
      <c r="K1073" s="47" t="inlineStr">
        <is>
          <t>m2</t>
        </is>
      </c>
      <c r="L1073" s="48">
        <f>'Arquitetura Visus'!G144</f>
        <v/>
      </c>
      <c r="M1073" s="48">
        <f>_xlfn.XLOOKUP($J290,CPU!$D$1:$D$31540,CPU!$H$1:$H$31540)</f>
        <v/>
      </c>
      <c r="N1073" s="49">
        <f>IF(H290="Serviço",M290*L290,IF(H290="CÉLULA CONSTRUTIVA",SUMIFS($N$8:$N$754,$B$8:$B$754,B290,$H$8:$H$754,"Serviço"),IF(H290="ETAPA",SUMIFS($N$8:$N$754,$B$8:$B$754,B290,$C$8:$C$754,C290,$H$8:$H$754,"Serviço"),IF(H290="SUBETAPA",SUMIFS($N$8:$N$754,$B$8:$B$754,B290,$C$8:$C$754,C290,$D$8:$D$754,D290,$H$8:$H$754,"Serviço"),0))))</f>
        <v/>
      </c>
      <c r="O1073" s="50" t="n"/>
      <c r="P1073" s="134" t="n"/>
      <c r="Q1073" s="52" t="n"/>
      <c r="R1073" s="52" t="n"/>
      <c r="S1073" s="1" t="n"/>
      <c r="T1073" s="1" t="n"/>
      <c r="U1073" s="1" t="n"/>
      <c r="V1073" s="1" t="n"/>
      <c r="W1073" s="1" t="n"/>
      <c r="X1073" s="1" t="n"/>
      <c r="Y1073" s="1" t="n"/>
    </row>
    <row r="1074">
      <c r="A1074" s="121">
        <f>IF($H291="UNIDADE CONSTRUTIVA",OFFSET(A291,-1,0)+1,LARGE(A$3:A290,1))</f>
        <v/>
      </c>
      <c r="B1074" s="121">
        <f>IF(H291="UNIDADE CONSTRUTIVA",0,IF(H291="CÉLULA CONSTRUTIVA",OFFSET(B291,-1,0)+1,OFFSET(B291,-1,0)))</f>
        <v/>
      </c>
      <c r="C1074" s="121">
        <f>IF(H291="CÉLULA CONSTRUTIVA",0,IF(H291="ETAPA",OFFSET(C291,-1,0)+1,OFFSET(C291,-1,0)))</f>
        <v/>
      </c>
      <c r="D1074" s="122">
        <f>IF(H291="ETAPA",0,IF(H291="SUBETAPA",OFFSET(D291,-1,0)+1,OFFSET(D291,-1,0)))</f>
        <v/>
      </c>
      <c r="E1074" s="122">
        <f>IF(H291="Subetapa",0,IF(H291="serviço",OFFSET(E291,-1,0)+1,OFFSET(E291,-1,0)))</f>
        <v/>
      </c>
      <c r="F1074" s="123" t="n"/>
      <c r="G1074" s="135" t="inlineStr">
        <is>
          <t>PISOS E PAVIMENTAÇÕES</t>
        </is>
      </c>
      <c r="H1074" s="44" t="inlineStr">
        <is>
          <t>SERVIÇO</t>
        </is>
      </c>
      <c r="I1074" s="45">
        <f>IF(H291="Unidade Construtiva",TEXT(A291,"00"),IF(H291="Célula Construtiva",TEXT(B291,"00"),IF(H291="Etapa",CONCATENATE(TEXT(B291,"00"),".",TEXT(C291,"000")),IF(H291="Subetapa",CONCATENATE(TEXT(B291,"00"),".",TEXT(C291,"000"),".",TEXT(D291,"000")),IF(H291="Serviço",CONCATENATE(TEXT(B291,"00"),".",TEXT(C291,"000"),".",TEXT(D291,"000"),".",TEXT(E291,"000")),"")))))</f>
        <v/>
      </c>
      <c r="J1074" s="164" t="inlineStr">
        <is>
          <t>Revestimento em Piso,  Porcelanato Onyx Unique Ret. Acetinado 120X120Cm - Portobello</t>
        </is>
      </c>
      <c r="K1074" s="47" t="inlineStr">
        <is>
          <t>m2</t>
        </is>
      </c>
      <c r="L1074" s="48">
        <f>'Arquitetura Visus'!G146</f>
        <v/>
      </c>
      <c r="M1074" s="48">
        <f>_xlfn.XLOOKUP($J291,CPU!$D$1:$D$31540,CPU!$H$1:$H$31540)</f>
        <v/>
      </c>
      <c r="N1074" s="49">
        <f>IF(H291="Serviço",M291*L291,IF(H291="CÉLULA CONSTRUTIVA",SUMIFS($N$8:$N$754,$B$8:$B$754,B291,$H$8:$H$754,"Serviço"),IF(H291="ETAPA",SUMIFS($N$8:$N$754,$B$8:$B$754,B291,$C$8:$C$754,C291,$H$8:$H$754,"Serviço"),IF(H291="SUBETAPA",SUMIFS($N$8:$N$754,$B$8:$B$754,B291,$C$8:$C$754,C291,$D$8:$D$754,D291,$H$8:$H$754,"Serviço"),0))))</f>
        <v/>
      </c>
      <c r="O1074" s="50" t="n"/>
      <c r="P1074" s="134" t="n"/>
      <c r="Q1074" s="52" t="n"/>
      <c r="R1074" s="52" t="n"/>
      <c r="S1074" s="1" t="n"/>
      <c r="T1074" s="1" t="n"/>
      <c r="U1074" s="1" t="n"/>
      <c r="V1074" s="1" t="n"/>
      <c r="W1074" s="1" t="n"/>
      <c r="X1074" s="1" t="n"/>
      <c r="Y1074" s="1" t="n"/>
    </row>
    <row r="1075">
      <c r="A1075" s="121">
        <f>IF($H292="UNIDADE CONSTRUTIVA",OFFSET(A292,-1,0)+1,LARGE(A$3:A289,1))</f>
        <v/>
      </c>
      <c r="B1075" s="121">
        <f>IF(H292="UNIDADE CONSTRUTIVA",0,IF(H292="CÉLULA CONSTRUTIVA",OFFSET(B292,-1,0)+1,OFFSET(B292,-1,0)))</f>
        <v/>
      </c>
      <c r="C1075" s="121">
        <f>IF(H292="CÉLULA CONSTRUTIVA",0,IF(H292="ETAPA",OFFSET(C292,-1,0)+1,OFFSET(C292,-1,0)))</f>
        <v/>
      </c>
      <c r="D1075" s="122">
        <f>IF(H292="ETAPA",0,IF(H292="SUBETAPA",OFFSET(D292,-1,0)+1,OFFSET(D292,-1,0)))</f>
        <v/>
      </c>
      <c r="E1075" s="122">
        <f>IF(H292="Subetapa",0,IF(H292="serviço",OFFSET(E292,-1,0)+1,OFFSET(E292,-1,0)))</f>
        <v/>
      </c>
      <c r="F1075" s="123" t="n"/>
      <c r="G1075" s="135" t="inlineStr">
        <is>
          <t>PISOS E PAVIMENTAÇÕES</t>
        </is>
      </c>
      <c r="H1075" s="44" t="inlineStr">
        <is>
          <t>SERVIÇO</t>
        </is>
      </c>
      <c r="I1075" s="45">
        <f>IF(H292="Unidade Construtiva",TEXT(A292,"00"),IF(H292="Célula Construtiva",TEXT(B292,"00"),IF(H292="Etapa",CONCATENATE(TEXT(B292,"00"),".",TEXT(C292,"000")),IF(H292="Subetapa",CONCATENATE(TEXT(B292,"00"),".",TEXT(C292,"000"),".",TEXT(D292,"000")),IF(H292="Serviço",CONCATENATE(TEXT(B292,"00"),".",TEXT(C292,"000"),".",TEXT(D292,"000"),".",TEXT(E292,"000")),"")))))</f>
        <v/>
      </c>
      <c r="J1075" s="164" t="inlineStr">
        <is>
          <t>Revestimento de Piso Externo de Porcelanato Polido, Placa 120x120cm</t>
        </is>
      </c>
      <c r="K1075" s="47" t="inlineStr">
        <is>
          <t>m2</t>
        </is>
      </c>
      <c r="L1075" s="48">
        <f>'Arquitetura Visus'!G147</f>
        <v/>
      </c>
      <c r="M1075" s="48">
        <f>_xlfn.XLOOKUP($J292,CPU!$D$1:$D$31540,CPU!$H$1:$H$31540)</f>
        <v/>
      </c>
      <c r="N1075" s="49">
        <f>IF(H292="Serviço",M292*L292,IF(H292="CÉLULA CONSTRUTIVA",SUMIFS($N$8:$N$754,$B$8:$B$754,B292,$H$8:$H$754,"Serviço"),IF(H292="ETAPA",SUMIFS($N$8:$N$754,$B$8:$B$754,B292,$C$8:$C$754,C292,$H$8:$H$754,"Serviço"),IF(H292="SUBETAPA",SUMIFS($N$8:$N$754,$B$8:$B$754,B292,$C$8:$C$754,C292,$D$8:$D$754,D292,$H$8:$H$754,"Serviço"),0))))</f>
        <v/>
      </c>
      <c r="O1075" s="50" t="n"/>
      <c r="P1075" s="134" t="n"/>
      <c r="Q1075" s="52" t="n"/>
      <c r="R1075" s="52" t="n"/>
      <c r="S1075" s="1" t="n"/>
      <c r="T1075" s="1" t="n"/>
      <c r="U1075" s="1" t="n"/>
      <c r="V1075" s="1" t="n"/>
      <c r="W1075" s="1" t="n"/>
      <c r="X1075" s="1" t="n"/>
      <c r="Y1075" s="1" t="n"/>
    </row>
    <row r="1076">
      <c r="A1076" s="121">
        <f>IF($H293="UNIDADE CONSTRUTIVA",OFFSET(A293,-1,0)+1,LARGE(A$3:A290,1))</f>
        <v/>
      </c>
      <c r="B1076" s="121">
        <f>IF(H293="UNIDADE CONSTRUTIVA",0,IF(H293="CÉLULA CONSTRUTIVA",OFFSET(B293,-1,0)+1,OFFSET(B293,-1,0)))</f>
        <v/>
      </c>
      <c r="C1076" s="121">
        <f>IF(H293="CÉLULA CONSTRUTIVA",0,IF(H293="ETAPA",OFFSET(C293,-1,0)+1,OFFSET(C293,-1,0)))</f>
        <v/>
      </c>
      <c r="D1076" s="122">
        <f>IF(H293="ETAPA",0,IF(H293="SUBETAPA",OFFSET(D293,-1,0)+1,OFFSET(D293,-1,0)))</f>
        <v/>
      </c>
      <c r="E1076" s="122">
        <f>IF(H293="Subetapa",0,IF(H293="serviço",OFFSET(E293,-1,0)+1,OFFSET(E293,-1,0)))</f>
        <v/>
      </c>
      <c r="F1076" s="123" t="n"/>
      <c r="G1076" s="135" t="inlineStr">
        <is>
          <t>PISOS E PAVIMENTAÇÕES</t>
        </is>
      </c>
      <c r="H1076" s="44" t="inlineStr">
        <is>
          <t>SERVIÇO</t>
        </is>
      </c>
      <c r="I1076" s="45">
        <f>IF(H293="Unidade Construtiva",TEXT(A293,"00"),IF(H293="Célula Construtiva",TEXT(B293,"00"),IF(H293="Etapa",CONCATENATE(TEXT(B293,"00"),".",TEXT(C293,"000")),IF(H293="Subetapa",CONCATENATE(TEXT(B293,"00"),".",TEXT(C293,"000"),".",TEXT(D293,"000")),IF(H293="Serviço",CONCATENATE(TEXT(B293,"00"),".",TEXT(C293,"000"),".",TEXT(D293,"000"),".",TEXT(E293,"000")),"")))))</f>
        <v/>
      </c>
      <c r="J1076" s="164" t="inlineStr">
        <is>
          <t>Revestimento em Ladrilhos para Piscina, Cinza giz 15x15 com Juntas e rejunte acrilico</t>
        </is>
      </c>
      <c r="K1076" s="47" t="inlineStr">
        <is>
          <t>m2</t>
        </is>
      </c>
      <c r="L1076" s="48">
        <f>'Arquitetura Visus'!D255+'Arquitetura Visus'!D242</f>
        <v/>
      </c>
      <c r="M1076" s="48">
        <f>_xlfn.XLOOKUP($J293,CPU!$D$1:$D$31540,CPU!$H$1:$H$31540)</f>
        <v/>
      </c>
      <c r="N1076" s="49">
        <f>IF(H293="Serviço",M293*L293,IF(H293="CÉLULA CONSTRUTIVA",SUMIFS($N$8:$N$754,$B$8:$B$754,B293,$H$8:$H$754,"Serviço"),IF(H293="ETAPA",SUMIFS($N$8:$N$754,$B$8:$B$754,B293,$C$8:$C$754,C293,$H$8:$H$754,"Serviço"),IF(H293="SUBETAPA",SUMIFS($N$8:$N$754,$B$8:$B$754,B293,$C$8:$C$754,C293,$D$8:$D$754,D293,$H$8:$H$754,"Serviço"),0))))</f>
        <v/>
      </c>
      <c r="O1076" s="50" t="n"/>
      <c r="P1076" s="134" t="n"/>
      <c r="Q1076" s="52" t="n"/>
      <c r="R1076" s="52" t="n"/>
      <c r="S1076" s="1" t="n"/>
      <c r="T1076" s="1" t="n"/>
      <c r="U1076" s="1" t="n"/>
      <c r="V1076" s="1" t="n"/>
      <c r="W1076" s="1" t="n"/>
      <c r="X1076" s="1" t="n"/>
      <c r="Y1076" s="1" t="n"/>
    </row>
    <row r="1077">
      <c r="A1077" s="121">
        <f>IF($H294="UNIDADE CONSTRUTIVA",OFFSET(A294,-1,0)+1,LARGE(A$3:A293,1))</f>
        <v/>
      </c>
      <c r="B1077" s="121">
        <f>IF(H294="UNIDADE CONSTRUTIVA",0,IF(H294="CÉLULA CONSTRUTIVA",OFFSET(B294,-1,0)+1,OFFSET(B294,-1,0)))</f>
        <v/>
      </c>
      <c r="C1077" s="121">
        <f>IF(H294="CÉLULA CONSTRUTIVA",0,IF(H294="ETAPA",OFFSET(C294,-1,0)+1,OFFSET(C294,-1,0)))</f>
        <v/>
      </c>
      <c r="D1077" s="122">
        <f>IF(H294="ETAPA",0,IF(H294="SUBETAPA",OFFSET(D294,-1,0)+1,OFFSET(D294,-1,0)))</f>
        <v/>
      </c>
      <c r="E1077" s="122">
        <f>IF(H294="Subetapa",0,IF(H294="serviço",OFFSET(E294,-1,0)+1,OFFSET(E294,-1,0)))</f>
        <v/>
      </c>
      <c r="F1077" s="123" t="n"/>
      <c r="G1077" s="135" t="n"/>
      <c r="H1077" s="44" t="inlineStr">
        <is>
          <t>SUBETAPA</t>
        </is>
      </c>
      <c r="I1077" s="45">
        <f>IF(H294="Unidade Construtiva",TEXT(A294,"00"),IF(H294="Célula Construtiva",TEXT(B294,"00"),IF(H294="Etapa",CONCATENATE(TEXT(B294,"00"),".",TEXT(C294,"000")),IF(H294="Subetapa",CONCATENATE(TEXT(B294,"00"),".",TEXT(C294,"000"),".",TEXT(D294,"000")),IF(H294="Serviço",CONCATENATE(TEXT(B294,"00"),".",TEXT(C294,"000"),".",TEXT(D294,"000"),".",TEXT(E294,"000")),"")))))</f>
        <v/>
      </c>
      <c r="J1077" s="51" t="inlineStr">
        <is>
          <t>Acabamentos de madeira</t>
        </is>
      </c>
      <c r="K1077" s="47" t="n"/>
      <c r="L1077" s="48" t="n"/>
      <c r="M1077" s="48" t="n"/>
      <c r="N1077" s="49">
        <f>IF(H294="Serviço",M294*L294,IF(H294="CÉLULA CONSTRUTIVA",SUMIFS($N$8:$N$754,$B$8:$B$754,B294,$H$8:$H$754,"Serviço"),IF(H294="ETAPA",SUMIFS($N$8:$N$754,$B$8:$B$754,B294,$C$8:$C$754,C294,$H$8:$H$754,"Serviço"),IF(H294="SUBETAPA",SUMIFS($N$8:$N$754,$B$8:$B$754,B294,$C$8:$C$754,C294,$D$8:$D$754,D294,$H$8:$H$754,"Serviço"),0))))</f>
        <v/>
      </c>
      <c r="O1077" s="50">
        <f>N294/CAPA!C$10</f>
        <v/>
      </c>
      <c r="P1077" s="134" t="n"/>
      <c r="Q1077" s="52" t="n"/>
      <c r="R1077" s="52" t="n"/>
      <c r="S1077" s="1" t="n"/>
      <c r="T1077" s="1" t="n"/>
      <c r="U1077" s="1" t="n"/>
      <c r="V1077" s="1" t="n"/>
      <c r="W1077" s="1" t="n"/>
      <c r="X1077" s="1" t="n"/>
      <c r="Y1077" s="1" t="n"/>
    </row>
    <row r="1078">
      <c r="A1078" s="121">
        <f>IF($H295="UNIDADE CONSTRUTIVA",OFFSET(A295,-1,0)+1,LARGE(A$3:A294,1))</f>
        <v/>
      </c>
      <c r="B1078" s="121">
        <f>IF(H295="UNIDADE CONSTRUTIVA",0,IF(H295="CÉLULA CONSTRUTIVA",OFFSET(B295,-1,0)+1,OFFSET(B295,-1,0)))</f>
        <v/>
      </c>
      <c r="C1078" s="121">
        <f>IF(H295="CÉLULA CONSTRUTIVA",0,IF(H295="ETAPA",OFFSET(C295,-1,0)+1,OFFSET(C295,-1,0)))</f>
        <v/>
      </c>
      <c r="D1078" s="122">
        <f>IF(H295="ETAPA",0,IF(H295="SUBETAPA",OFFSET(D295,-1,0)+1,OFFSET(D295,-1,0)))</f>
        <v/>
      </c>
      <c r="E1078" s="122">
        <f>IF(H295="Subetapa",0,IF(H295="serviço",OFFSET(E295,-1,0)+1,OFFSET(E295,-1,0)))</f>
        <v/>
      </c>
      <c r="F1078" s="123" t="n"/>
      <c r="G1078" s="135" t="inlineStr">
        <is>
          <t>PISOS E PAVIMENTAÇÕES</t>
        </is>
      </c>
      <c r="H1078" s="44" t="inlineStr">
        <is>
          <t>SERVIÇO</t>
        </is>
      </c>
      <c r="I1078" s="45">
        <f>IF(H295="Unidade Construtiva",TEXT(A295,"00"),IF(H295="Célula Construtiva",TEXT(B295,"00"),IF(H295="Etapa",CONCATENATE(TEXT(B295,"00"),".",TEXT(C295,"000")),IF(H295="Subetapa",CONCATENATE(TEXT(B295,"00"),".",TEXT(C295,"000"),".",TEXT(D295,"000")),IF(H295="Serviço",CONCATENATE(TEXT(B295,"00"),".",TEXT(C295,"000"),".",TEXT(D295,"000"),".",TEXT(E295,"000")),"")))))</f>
        <v/>
      </c>
      <c r="J1078" s="51" t="inlineStr">
        <is>
          <t xml:space="preserve">Deck de madeira - material e mão de obra </t>
        </is>
      </c>
      <c r="K1078" s="47" t="inlineStr">
        <is>
          <t>m2</t>
        </is>
      </c>
      <c r="L1078" s="48">
        <f>'Arquitetura Visus'!D176</f>
        <v/>
      </c>
      <c r="M1078" s="48">
        <f>_xlfn.XLOOKUP($J295,CPU!$D$1:$D$31540,CPU!$H$1:$H$31540)</f>
        <v/>
      </c>
      <c r="N1078" s="49">
        <f>IF(H295="Serviço",M295*L295,IF(H295="CÉLULA CONSTRUTIVA",SUMIFS($N$8:$N$754,$B$8:$B$754,B295,$H$8:$H$754,"Serviço"),IF(H295="ETAPA",SUMIFS($N$8:$N$754,$B$8:$B$754,B295,$C$8:$C$754,C295,$H$8:$H$754,"Serviço"),IF(H295="SUBETAPA",SUMIFS($N$8:$N$754,$B$8:$B$754,B295,$C$8:$C$754,C295,$D$8:$D$754,D295,$H$8:$H$754,"Serviço"),0))))</f>
        <v/>
      </c>
      <c r="O1078" s="50" t="n"/>
      <c r="P1078" s="134" t="n"/>
      <c r="Q1078" s="52" t="n"/>
      <c r="R1078" s="52" t="n"/>
      <c r="S1078" s="1" t="n"/>
      <c r="T1078" s="1" t="n"/>
      <c r="U1078" s="1" t="n"/>
      <c r="V1078" s="1" t="n"/>
      <c r="W1078" s="1" t="n"/>
      <c r="X1078" s="1" t="n"/>
      <c r="Y1078" s="1" t="n"/>
    </row>
    <row r="1079">
      <c r="A1079" s="121">
        <f>IF($H296="UNIDADE CONSTRUTIVA",OFFSET(A296,-1,0)+1,LARGE(A$3:A295,1))</f>
        <v/>
      </c>
      <c r="B1079" s="121">
        <f>IF(H296="UNIDADE CONSTRUTIVA",0,IF(H296="CÉLULA CONSTRUTIVA",OFFSET(B296,-1,0)+1,OFFSET(B296,-1,0)))</f>
        <v/>
      </c>
      <c r="C1079" s="121">
        <f>IF(H296="CÉLULA CONSTRUTIVA",0,IF(H296="ETAPA",OFFSET(C296,-1,0)+1,OFFSET(C296,-1,0)))</f>
        <v/>
      </c>
      <c r="D1079" s="122">
        <f>IF(H296="ETAPA",0,IF(H296="SUBETAPA",OFFSET(D296,-1,0)+1,OFFSET(D296,-1,0)))</f>
        <v/>
      </c>
      <c r="E1079" s="122">
        <f>IF(H296="Subetapa",0,IF(H296="serviço",OFFSET(E296,-1,0)+1,OFFSET(E296,-1,0)))</f>
        <v/>
      </c>
      <c r="F1079" s="123" t="n"/>
      <c r="G1079" s="135" t="n"/>
      <c r="H1079" s="44" t="inlineStr">
        <is>
          <t>SUBETAPA</t>
        </is>
      </c>
      <c r="I1079" s="45">
        <f>IF(H296="Unidade Construtiva",TEXT(A296,"00"),IF(H296="Célula Construtiva",TEXT(B296,"00"),IF(H296="Etapa",CONCATENATE(TEXT(B296,"00"),".",TEXT(C296,"000")),IF(H296="Subetapa",CONCATENATE(TEXT(B296,"00"),".",TEXT(C296,"000"),".",TEXT(D296,"000")),IF(H296="Serviço",CONCATENATE(TEXT(B296,"00"),".",TEXT(C296,"000"),".",TEXT(D296,"000"),".",TEXT(E296,"000")),"")))))</f>
        <v/>
      </c>
      <c r="J1079" s="51" t="inlineStr">
        <is>
          <t>Acabamentos especiais</t>
        </is>
      </c>
      <c r="K1079" s="47" t="n"/>
      <c r="L1079" s="48" t="n"/>
      <c r="M1079" s="48" t="n"/>
      <c r="N1079" s="49">
        <f>IF(H296="Serviço",M296*L296,IF(H296="CÉLULA CONSTRUTIVA",SUMIFS($N$8:$N$754,$B$8:$B$754,B296,$H$8:$H$754,"Serviço"),IF(H296="ETAPA",SUMIFS($N$8:$N$754,$B$8:$B$754,B296,$C$8:$C$754,C296,$H$8:$H$754,"Serviço"),IF(H296="SUBETAPA",SUMIFS($N$8:$N$754,$B$8:$B$754,B296,$C$8:$C$754,C296,$D$8:$D$754,D296,$H$8:$H$754,"Serviço"),0))))</f>
        <v/>
      </c>
      <c r="O1079" s="50">
        <f>N296/CAPA!C$10</f>
        <v/>
      </c>
      <c r="P1079" s="134" t="n"/>
      <c r="Q1079" s="52" t="n"/>
      <c r="R1079" s="52" t="n"/>
      <c r="S1079" s="1" t="n"/>
      <c r="T1079" s="1" t="n"/>
      <c r="U1079" s="1" t="n"/>
      <c r="V1079" s="1" t="n"/>
      <c r="W1079" s="1" t="n"/>
      <c r="X1079" s="1" t="n"/>
      <c r="Y1079" s="1" t="n"/>
    </row>
    <row r="1080">
      <c r="A1080" s="121">
        <f>IF($H297="UNIDADE CONSTRUTIVA",OFFSET(A297,-1,0)+1,LARGE(A$3:A295,1))</f>
        <v/>
      </c>
      <c r="B1080" s="121">
        <f>IF(H297="UNIDADE CONSTRUTIVA",0,IF(H297="CÉLULA CONSTRUTIVA",OFFSET(B297,-1,0)+1,OFFSET(B297,-1,0)))</f>
        <v/>
      </c>
      <c r="C1080" s="121">
        <f>IF(H297="CÉLULA CONSTRUTIVA",0,IF(H297="ETAPA",OFFSET(C297,-1,0)+1,OFFSET(C297,-1,0)))</f>
        <v/>
      </c>
      <c r="D1080" s="122">
        <f>IF(H297="ETAPA",0,IF(H297="SUBETAPA",OFFSET(D297,-1,0)+1,OFFSET(D297,-1,0)))</f>
        <v/>
      </c>
      <c r="E1080" s="122">
        <f>IF(H297="Subetapa",0,IF(H297="serviço",OFFSET(E297,-1,0)+1,OFFSET(E297,-1,0)))</f>
        <v/>
      </c>
      <c r="F1080" s="123" t="n"/>
      <c r="G1080" s="135" t="inlineStr">
        <is>
          <t>PISOS E PAVIMENTAÇÕES</t>
        </is>
      </c>
      <c r="H1080" s="44" t="inlineStr">
        <is>
          <t>SERVIÇO</t>
        </is>
      </c>
      <c r="I1080" s="45">
        <f>IF(H297="Unidade Construtiva",TEXT(A297,"00"),IF(H297="Célula Construtiva",TEXT(B297,"00"),IF(H297="Etapa",CONCATENATE(TEXT(B297,"00"),".",TEXT(C297,"000")),IF(H297="Subetapa",CONCATENATE(TEXT(B297,"00"),".",TEXT(C297,"000"),".",TEXT(D297,"000")),IF(H297="Serviço",CONCATENATE(TEXT(B297,"00"),".",TEXT(C297,"000"),".",TEXT(D297,"000"),".",TEXT(E297,"000")),"")))))</f>
        <v/>
      </c>
      <c r="J1080" s="51" t="inlineStr">
        <is>
          <t>Revestimento de piso vinilico, Finottato, Régua Imponente, Juba de Leão, nas áreas comuns - Material e Mão de Obra</t>
        </is>
      </c>
      <c r="K1080" s="47" t="inlineStr">
        <is>
          <t>m2</t>
        </is>
      </c>
      <c r="L1080" s="48">
        <f>'Arquitetura Visus'!D196+'Arquitetura Visus'!D199</f>
        <v/>
      </c>
      <c r="M1080" s="48">
        <f>_xlfn.XLOOKUP($J297,CPU!$D$1:$D$31540,CPU!$H$1:$H$31540)</f>
        <v/>
      </c>
      <c r="N1080" s="49">
        <f>IF(H297="Serviço",M297*L297,IF(H297="CÉLULA CONSTRUTIVA",SUMIFS($N$8:$N$754,$B$8:$B$754,B297,$H$8:$H$754,"Serviço"),IF(H297="ETAPA",SUMIFS($N$8:$N$754,$B$8:$B$754,B297,$C$8:$C$754,C297,$H$8:$H$754,"Serviço"),IF(H297="SUBETAPA",SUMIFS($N$8:$N$754,$B$8:$B$754,B297,$C$8:$C$754,C297,$D$8:$D$754,D297,$H$8:$H$754,"Serviço"),0))))</f>
        <v/>
      </c>
      <c r="O1080" s="50" t="inlineStr">
        <is>
          <t>Áreas privativas - suites e dormitórios</t>
        </is>
      </c>
      <c r="P1080" s="134" t="n"/>
      <c r="Q1080" s="52" t="n"/>
      <c r="R1080" s="52" t="n"/>
      <c r="S1080" s="1" t="n"/>
      <c r="T1080" s="1" t="n"/>
      <c r="U1080" s="1" t="n"/>
      <c r="V1080" s="1" t="n"/>
      <c r="W1080" s="1" t="n"/>
      <c r="X1080" s="1" t="n"/>
      <c r="Y1080" s="1" t="n"/>
    </row>
    <row r="1081">
      <c r="A1081" s="121">
        <f>IF($H298="UNIDADE CONSTRUTIVA",OFFSET(A298,-1,0)+1,LARGE(A$3:A295,1))</f>
        <v/>
      </c>
      <c r="B1081" s="121">
        <f>IF(H298="UNIDADE CONSTRUTIVA",0,IF(H298="CÉLULA CONSTRUTIVA",OFFSET(B298,-1,0)+1,OFFSET(B298,-1,0)))</f>
        <v/>
      </c>
      <c r="C1081" s="121">
        <f>IF(H298="CÉLULA CONSTRUTIVA",0,IF(H298="ETAPA",OFFSET(C298,-1,0)+1,OFFSET(C298,-1,0)))</f>
        <v/>
      </c>
      <c r="D1081" s="122">
        <f>IF(H298="ETAPA",0,IF(H298="SUBETAPA",OFFSET(D298,-1,0)+1,OFFSET(D298,-1,0)))</f>
        <v/>
      </c>
      <c r="E1081" s="122">
        <f>IF(H298="Subetapa",0,IF(H298="serviço",OFFSET(E298,-1,0)+1,OFFSET(E298,-1,0)))</f>
        <v/>
      </c>
      <c r="F1081" s="123" t="n"/>
      <c r="G1081" s="135" t="inlineStr">
        <is>
          <t>PISOS E PAVIMENTAÇÕES</t>
        </is>
      </c>
      <c r="H1081" s="44" t="inlineStr">
        <is>
          <t>SERVIÇO</t>
        </is>
      </c>
      <c r="I1081" s="45">
        <f>IF(H298="Unidade Construtiva",TEXT(A298,"00"),IF(H298="Célula Construtiva",TEXT(B298,"00"),IF(H298="Etapa",CONCATENATE(TEXT(B298,"00"),".",TEXT(C298,"000")),IF(H298="Subetapa",CONCATENATE(TEXT(B298,"00"),".",TEXT(C298,"000"),".",TEXT(D298,"000")),IF(H298="Serviço",CONCATENATE(TEXT(B298,"00"),".",TEXT(C298,"000"),".",TEXT(D298,"000"),".",TEXT(E298,"000")),"")))))</f>
        <v/>
      </c>
      <c r="J1081" s="51" t="inlineStr">
        <is>
          <t>Revestimento de Piso Vinilico Linha Ambienta Series Cedro - Tarkett  - Material e Mão de Obra</t>
        </is>
      </c>
      <c r="K1081" s="47" t="inlineStr">
        <is>
          <t>m2</t>
        </is>
      </c>
      <c r="L1081" s="48">
        <f>'Arquitetura Visus'!D197+'Arquitetura Visus'!D198</f>
        <v/>
      </c>
      <c r="M1081" s="48">
        <f>_xlfn.XLOOKUP($J298,CPU!$D$1:$D$31540,CPU!$H$1:$H$31540)</f>
        <v/>
      </c>
      <c r="N1081" s="49">
        <f>IF(H298="Serviço",M298*L298,IF(H298="CÉLULA CONSTRUTIVA",SUMIFS($N$8:$N$754,$B$8:$B$754,B298,$H$8:$H$754,"Serviço"),IF(H298="ETAPA",SUMIFS($N$8:$N$754,$B$8:$B$754,B298,$C$8:$C$754,C298,$H$8:$H$754,"Serviço"),IF(H298="SUBETAPA",SUMIFS($N$8:$N$754,$B$8:$B$754,B298,$C$8:$C$754,C298,$D$8:$D$754,D298,$H$8:$H$754,"Serviço"),0))))</f>
        <v/>
      </c>
      <c r="O1081" s="50" t="inlineStr">
        <is>
          <t>Áreas comuns - Espaço kids e gourmet</t>
        </is>
      </c>
      <c r="P1081" s="134" t="n"/>
      <c r="Q1081" s="52" t="n"/>
      <c r="R1081" s="52" t="n"/>
      <c r="S1081" s="1" t="n"/>
      <c r="T1081" s="1" t="n"/>
      <c r="U1081" s="1" t="n"/>
      <c r="V1081" s="1" t="n"/>
      <c r="W1081" s="1" t="n"/>
      <c r="X1081" s="1" t="n"/>
      <c r="Y1081" s="1" t="n"/>
    </row>
    <row r="1082">
      <c r="A1082" s="121">
        <f>IF($H299="UNIDADE CONSTRUTIVA",OFFSET(A299,-1,0)+1,LARGE(A$3:A296,1))</f>
        <v/>
      </c>
      <c r="B1082" s="121">
        <f>IF(H299="UNIDADE CONSTRUTIVA",0,IF(H299="CÉLULA CONSTRUTIVA",OFFSET(B299,-1,0)+1,OFFSET(B299,-1,0)))</f>
        <v/>
      </c>
      <c r="C1082" s="121">
        <f>IF(H299="CÉLULA CONSTRUTIVA",0,IF(H299="ETAPA",OFFSET(C299,-1,0)+1,OFFSET(C299,-1,0)))</f>
        <v/>
      </c>
      <c r="D1082" s="122">
        <f>IF(H299="ETAPA",0,IF(H299="SUBETAPA",OFFSET(D299,-1,0)+1,OFFSET(D299,-1,0)))</f>
        <v/>
      </c>
      <c r="E1082" s="122">
        <f>IF(H299="Subetapa",0,IF(H299="serviço",OFFSET(E299,-1,0)+1,OFFSET(E299,-1,0)))</f>
        <v/>
      </c>
      <c r="F1082" s="123" t="n"/>
      <c r="G1082" s="135" t="inlineStr">
        <is>
          <t>PISOS E PAVIMENTAÇÕES</t>
        </is>
      </c>
      <c r="H1082" s="44" t="inlineStr">
        <is>
          <t>SERVIÇO</t>
        </is>
      </c>
      <c r="I1082" s="45">
        <f>IF(H299="Unidade Construtiva",TEXT(A299,"00"),IF(H299="Célula Construtiva",TEXT(B299,"00"),IF(H299="Etapa",CONCATENATE(TEXT(B299,"00"),".",TEXT(C299,"000")),IF(H299="Subetapa",CONCATENATE(TEXT(B299,"00"),".",TEXT(C299,"000"),".",TEXT(D299,"000")),IF(H299="Serviço",CONCATENATE(TEXT(B299,"00"),".",TEXT(C299,"000"),".",TEXT(D299,"000"),".",TEXT(E299,"000")),"")))))</f>
        <v/>
      </c>
      <c r="J1082" s="51" t="inlineStr">
        <is>
          <t>Pisos Para Academia Emborrachado Aubicon Placa 50 mm, 90x90</t>
        </is>
      </c>
      <c r="K1082" s="47" t="inlineStr">
        <is>
          <t>m2</t>
        </is>
      </c>
      <c r="L1082" s="48">
        <f>'Arquitetura Visus'!D187</f>
        <v/>
      </c>
      <c r="M1082" s="48">
        <f>_xlfn.XLOOKUP($J299,CPU!$D$1:$D$31540,CPU!$H$1:$H$31540)</f>
        <v/>
      </c>
      <c r="N1082" s="49">
        <f>IF(H299="Serviço",M299*L299,IF(H299="CÉLULA CONSTRUTIVA",SUMIFS($N$8:$N$754,$B$8:$B$754,B299,$H$8:$H$754,"Serviço"),IF(H299="ETAPA",SUMIFS($N$8:$N$754,$B$8:$B$754,B299,$C$8:$C$754,C299,$H$8:$H$754,"Serviço"),IF(H299="SUBETAPA",SUMIFS($N$8:$N$754,$B$8:$B$754,B299,$C$8:$C$754,C299,$D$8:$D$754,D299,$H$8:$H$754,"Serviço"),0))))</f>
        <v/>
      </c>
      <c r="O1082" s="50" t="inlineStr">
        <is>
          <t>Academia</t>
        </is>
      </c>
      <c r="P1082" s="134" t="n"/>
      <c r="Q1082" s="52" t="n"/>
      <c r="R1082" s="52" t="n"/>
      <c r="S1082" s="1" t="n"/>
      <c r="T1082" s="1" t="n"/>
      <c r="U1082" s="1" t="n"/>
      <c r="V1082" s="1" t="n"/>
      <c r="W1082" s="1" t="n"/>
      <c r="X1082" s="1" t="n"/>
      <c r="Y1082" s="1" t="n"/>
    </row>
    <row r="1083">
      <c r="A1083" s="121">
        <f>IF($H300="UNIDADE CONSTRUTIVA",OFFSET(A300,-1,0)+1,LARGE(A$3:A296,1))</f>
        <v/>
      </c>
      <c r="B1083" s="121">
        <f>IF(H300="UNIDADE CONSTRUTIVA",0,IF(H300="CÉLULA CONSTRUTIVA",OFFSET(B300,-1,0)+1,OFFSET(B300,-1,0)))</f>
        <v/>
      </c>
      <c r="C1083" s="121">
        <f>IF(H300="CÉLULA CONSTRUTIVA",0,IF(H300="ETAPA",OFFSET(C300,-1,0)+1,OFFSET(C300,-1,0)))</f>
        <v/>
      </c>
      <c r="D1083" s="122">
        <f>IF(H300="ETAPA",0,IF(H300="SUBETAPA",OFFSET(D300,-1,0)+1,OFFSET(D300,-1,0)))</f>
        <v/>
      </c>
      <c r="E1083" s="122">
        <f>IF(H300="Subetapa",0,IF(H300="serviço",OFFSET(E300,-1,0)+1,OFFSET(E300,-1,0)))</f>
        <v/>
      </c>
      <c r="F1083" s="123" t="n"/>
      <c r="G1083" s="135" t="inlineStr">
        <is>
          <t>PISOS E PAVIMENTAÇÕES</t>
        </is>
      </c>
      <c r="H1083" s="44" t="inlineStr">
        <is>
          <t>SERVIÇO</t>
        </is>
      </c>
      <c r="I1083" s="45">
        <f>IF(H300="Unidade Construtiva",TEXT(A300,"00"),IF(H300="Célula Construtiva",TEXT(B300,"00"),IF(H300="Etapa",CONCATENATE(TEXT(B300,"00"),".",TEXT(C300,"000")),IF(H300="Subetapa",CONCATENATE(TEXT(B300,"00"),".",TEXT(C300,"000"),".",TEXT(D300,"000")),IF(H300="Serviço",CONCATENATE(TEXT(B300,"00"),".",TEXT(C300,"000"),".",TEXT(D300,"000"),".",TEXT(E300,"000")),"")))))</f>
        <v/>
      </c>
      <c r="J1083" s="51" t="inlineStr">
        <is>
          <t>Piso de borracha GreenRubber 1x1m 50mm - Drenante</t>
        </is>
      </c>
      <c r="K1083" s="47" t="inlineStr">
        <is>
          <t>m2</t>
        </is>
      </c>
      <c r="L1083" s="48">
        <f>'Arquitetura Visus'!D191+'Arquitetura Visus'!D188</f>
        <v/>
      </c>
      <c r="M1083" s="48">
        <f>_xlfn.XLOOKUP($J300,CPU!$D$1:$D$31540,CPU!$H$1:$H$31540)</f>
        <v/>
      </c>
      <c r="N1083" s="49">
        <f>IF(H300="Serviço",M300*L300,IF(H300="CÉLULA CONSTRUTIVA",SUMIFS($N$8:$N$754,$B$8:$B$754,B300,$H$8:$H$754,"Serviço"),IF(H300="ETAPA",SUMIFS($N$8:$N$754,$B$8:$B$754,B300,$C$8:$C$754,C300,$H$8:$H$754,"Serviço"),IF(H300="SUBETAPA",SUMIFS($N$8:$N$754,$B$8:$B$754,B300,$C$8:$C$754,C300,$D$8:$D$754,D300,$H$8:$H$754,"Serviço"),0))))</f>
        <v/>
      </c>
      <c r="O1083" s="50" t="inlineStr">
        <is>
          <t>Espaço pet e playground</t>
        </is>
      </c>
      <c r="P1083" s="134" t="n"/>
      <c r="Q1083" s="52" t="n"/>
      <c r="R1083" s="52" t="n"/>
      <c r="S1083" s="1" t="n"/>
      <c r="T1083" s="1" t="n"/>
      <c r="U1083" s="1" t="n"/>
      <c r="V1083" s="1" t="n"/>
      <c r="W1083" s="1" t="n"/>
      <c r="X1083" s="1" t="n"/>
      <c r="Y1083" s="1" t="n"/>
    </row>
    <row r="1084">
      <c r="A1084" s="121">
        <f>IF($H301="UNIDADE CONSTRUTIVA",OFFSET(A301,-1,0)+1,LARGE(A$3:A299,1))</f>
        <v/>
      </c>
      <c r="B1084" s="121">
        <f>IF(H301="UNIDADE CONSTRUTIVA",0,IF(H301="CÉLULA CONSTRUTIVA",OFFSET(B301,-1,0)+1,OFFSET(B301,-1,0)))</f>
        <v/>
      </c>
      <c r="C1084" s="121">
        <f>IF(H301="CÉLULA CONSTRUTIVA",0,IF(H301="ETAPA",OFFSET(C301,-1,0)+1,OFFSET(C301,-1,0)))</f>
        <v/>
      </c>
      <c r="D1084" s="122">
        <f>IF(H301="ETAPA",0,IF(H301="SUBETAPA",OFFSET(D301,-1,0)+1,OFFSET(D301,-1,0)))</f>
        <v/>
      </c>
      <c r="E1084" s="122">
        <f>IF(H301="Subetapa",0,IF(H301="serviço",OFFSET(E301,-1,0)+1,OFFSET(E301,-1,0)))</f>
        <v/>
      </c>
      <c r="F1084" s="123" t="n"/>
      <c r="G1084" s="135" t="n"/>
      <c r="H1084" s="44" t="inlineStr">
        <is>
          <t>SUBETAPA</t>
        </is>
      </c>
      <c r="I1084" s="45">
        <f>IF(H301="Unidade Construtiva",TEXT(A301,"00"),IF(H301="Célula Construtiva",TEXT(B301,"00"),IF(H301="Etapa",CONCATENATE(TEXT(B301,"00"),".",TEXT(C301,"000")),IF(H301="Subetapa",CONCATENATE(TEXT(B301,"00"),".",TEXT(C301,"000"),".",TEXT(D301,"000")),IF(H301="Serviço",CONCATENATE(TEXT(B301,"00"),".",TEXT(C301,"000"),".",TEXT(D301,"000"),".",TEXT(E301,"000")),"")))))</f>
        <v/>
      </c>
      <c r="J1084" s="51" t="inlineStr">
        <is>
          <t>Rodapés</t>
        </is>
      </c>
      <c r="K1084" s="47" t="n"/>
      <c r="L1084" s="48" t="n"/>
      <c r="M1084" s="48" t="n"/>
      <c r="N1084" s="49">
        <f>IF(H301="Serviço",M301*L301,IF(H301="CÉLULA CONSTRUTIVA",SUMIFS($N$8:$N$754,$B$8:$B$754,B301,$H$8:$H$754,"Serviço"),IF(H301="ETAPA",SUMIFS($N$8:$N$754,$B$8:$B$754,B301,$C$8:$C$754,C301,$H$8:$H$754,"Serviço"),IF(H301="SUBETAPA",SUMIFS($N$8:$N$754,$B$8:$B$754,B301,$C$8:$C$754,C301,$D$8:$D$754,D301,$H$8:$H$754,"Serviço"),0))))</f>
        <v/>
      </c>
      <c r="O1084" s="50">
        <f>N301/CAPA!C$10</f>
        <v/>
      </c>
      <c r="P1084" s="134" t="n"/>
      <c r="Q1084" s="52" t="n"/>
      <c r="R1084" s="52" t="n"/>
      <c r="S1084" s="1" t="n"/>
      <c r="T1084" s="1" t="n"/>
      <c r="U1084" s="1" t="n"/>
      <c r="V1084" s="1" t="n"/>
      <c r="W1084" s="1" t="n"/>
      <c r="X1084" s="1" t="n"/>
      <c r="Y1084" s="1" t="n"/>
    </row>
    <row r="1085">
      <c r="A1085" s="121">
        <f>IF($H302="UNIDADE CONSTRUTIVA",OFFSET(A302,-1,0)+1,LARGE(A$3:A301,1))</f>
        <v/>
      </c>
      <c r="B1085" s="121">
        <f>IF(H302="UNIDADE CONSTRUTIVA",0,IF(H302="CÉLULA CONSTRUTIVA",OFFSET(B302,-1,0)+1,OFFSET(B302,-1,0)))</f>
        <v/>
      </c>
      <c r="C1085" s="121">
        <f>IF(H302="CÉLULA CONSTRUTIVA",0,IF(H302="ETAPA",OFFSET(C302,-1,0)+1,OFFSET(C302,-1,0)))</f>
        <v/>
      </c>
      <c r="D1085" s="122">
        <f>IF(H302="ETAPA",0,IF(H302="SUBETAPA",OFFSET(D302,-1,0)+1,OFFSET(D302,-1,0)))</f>
        <v/>
      </c>
      <c r="E1085" s="122">
        <f>IF(H302="Subetapa",0,IF(H302="serviço",OFFSET(E302,-1,0)+1,OFFSET(E302,-1,0)))</f>
        <v/>
      </c>
      <c r="F1085" s="123" t="n"/>
      <c r="G1085" s="135" t="inlineStr">
        <is>
          <t>PISOS E PAVIMENTAÇÕES</t>
        </is>
      </c>
      <c r="H1085" s="44" t="inlineStr">
        <is>
          <t>SERVIÇO</t>
        </is>
      </c>
      <c r="I1085" s="45">
        <f>IF(H302="Unidade Construtiva",TEXT(A302,"00"),IF(H302="Célula Construtiva",TEXT(B302,"00"),IF(H302="Etapa",CONCATENATE(TEXT(B302,"00"),".",TEXT(C302,"000")),IF(H302="Subetapa",CONCATENATE(TEXT(B302,"00"),".",TEXT(C302,"000"),".",TEXT(D302,"000")),IF(H302="Serviço",CONCATENATE(TEXT(B302,"00"),".",TEXT(C302,"000"),".",TEXT(D302,"000"),".",TEXT(E302,"000")),"")))))</f>
        <v/>
      </c>
      <c r="J1085" s="51" t="inlineStr">
        <is>
          <t>Rodapé de Poliestireno h=15cm</t>
        </is>
      </c>
      <c r="K1085" s="47" t="inlineStr">
        <is>
          <t>m</t>
        </is>
      </c>
      <c r="L1085" s="48">
        <f>'Arquitetura Visus'!G262</f>
        <v/>
      </c>
      <c r="M1085" s="48">
        <f>_xlfn.XLOOKUP($J302,CPU!$D$1:$D$31540,CPU!$H$1:$H$31540)</f>
        <v/>
      </c>
      <c r="N1085" s="49">
        <f>IF(H302="Serviço",M302*L302,IF(H302="CÉLULA CONSTRUTIVA",SUMIFS($N$8:$N$754,$B$8:$B$754,B302,$H$8:$H$754,"Serviço"),IF(H302="ETAPA",SUMIFS($N$8:$N$754,$B$8:$B$754,B302,$C$8:$C$754,C302,$H$8:$H$754,"Serviço"),IF(H302="SUBETAPA",SUMIFS($N$8:$N$754,$B$8:$B$754,B302,$C$8:$C$754,C302,$D$8:$D$754,D302,$H$8:$H$754,"Serviço"),0))))</f>
        <v/>
      </c>
      <c r="O1085" s="50" t="n"/>
      <c r="P1085" s="134" t="n"/>
      <c r="Q1085" s="52" t="n"/>
      <c r="R1085" s="52" t="n"/>
      <c r="S1085" s="1" t="n"/>
      <c r="T1085" s="1" t="n"/>
      <c r="U1085" s="1" t="n"/>
      <c r="V1085" s="1" t="n"/>
      <c r="W1085" s="1" t="n"/>
      <c r="X1085" s="1" t="n"/>
      <c r="Y1085" s="1" t="n"/>
    </row>
    <row r="1086">
      <c r="A1086" s="121">
        <f>IF($H303="UNIDADE CONSTRUTIVA",OFFSET(A303,-1,0)+1,LARGE(A$3:A301,1))</f>
        <v/>
      </c>
      <c r="B1086" s="121">
        <f>IF(H303="UNIDADE CONSTRUTIVA",0,IF(H303="CÉLULA CONSTRUTIVA",OFFSET(B303,-1,0)+1,OFFSET(B303,-1,0)))</f>
        <v/>
      </c>
      <c r="C1086" s="121">
        <f>IF(H303="CÉLULA CONSTRUTIVA",0,IF(H303="ETAPA",OFFSET(C303,-1,0)+1,OFFSET(C303,-1,0)))</f>
        <v/>
      </c>
      <c r="D1086" s="122">
        <f>IF(H303="ETAPA",0,IF(H303="SUBETAPA",OFFSET(D303,-1,0)+1,OFFSET(D303,-1,0)))</f>
        <v/>
      </c>
      <c r="E1086" s="122">
        <f>IF(H303="Subetapa",0,IF(H303="serviço",OFFSET(E303,-1,0)+1,OFFSET(E303,-1,0)))</f>
        <v/>
      </c>
      <c r="F1086" s="123" t="n"/>
      <c r="G1086" s="135" t="inlineStr">
        <is>
          <t>PISOS E PAVIMENTAÇÕES</t>
        </is>
      </c>
      <c r="H1086" s="44" t="inlineStr">
        <is>
          <t>SERVIÇO</t>
        </is>
      </c>
      <c r="I1086" s="45">
        <f>IF(H303="Unidade Construtiva",TEXT(A303,"00"),IF(H303="Célula Construtiva",TEXT(B303,"00"),IF(H303="Etapa",CONCATENATE(TEXT(B303,"00"),".",TEXT(C303,"000")),IF(H303="Subetapa",CONCATENATE(TEXT(B303,"00"),".",TEXT(C303,"000"),".",TEXT(D303,"000")),IF(H303="Serviço",CONCATENATE(TEXT(B303,"00"),".",TEXT(C303,"000"),".",TEXT(D303,"000"),".",TEXT(E303,"000")),"")))))</f>
        <v/>
      </c>
      <c r="J1086" s="51" t="inlineStr">
        <is>
          <t>Rodapé de porcelanato h=15cm</t>
        </is>
      </c>
      <c r="K1086" s="47" t="inlineStr">
        <is>
          <t>m</t>
        </is>
      </c>
      <c r="L1086" s="48">
        <f>'Arquitetura Visus'!G263</f>
        <v/>
      </c>
      <c r="M1086" s="48">
        <f>_xlfn.XLOOKUP($J303,CPU!$D$1:$D$31540,CPU!$H$1:$H$31540)</f>
        <v/>
      </c>
      <c r="N1086" s="49">
        <f>IF(H303="Serviço",M303*L303,IF(H303="CÉLULA CONSTRUTIVA",SUMIFS($N$8:$N$754,$B$8:$B$754,B303,$H$8:$H$754,"Serviço"),IF(H303="ETAPA",SUMIFS($N$8:$N$754,$B$8:$B$754,B303,$C$8:$C$754,C303,$H$8:$H$754,"Serviço"),IF(H303="SUBETAPA",SUMIFS($N$8:$N$754,$B$8:$B$754,B303,$C$8:$C$754,C303,$D$8:$D$754,D303,$H$8:$H$754,"Serviço"),0))))</f>
        <v/>
      </c>
      <c r="O1086" s="50" t="n"/>
      <c r="P1086" s="134" t="n"/>
      <c r="Q1086" s="52" t="n"/>
      <c r="R1086" s="52" t="n"/>
      <c r="S1086" s="1" t="n"/>
      <c r="T1086" s="1" t="n"/>
      <c r="U1086" s="1" t="n"/>
      <c r="V1086" s="1" t="n"/>
      <c r="W1086" s="1" t="n"/>
      <c r="X1086" s="1" t="n"/>
      <c r="Y1086" s="1" t="n"/>
    </row>
    <row r="1087">
      <c r="A1087" s="121">
        <f>IF($H304="UNIDADE CONSTRUTIVA",OFFSET(A304,-1,0)+1,LARGE(A$3:A303,1))</f>
        <v/>
      </c>
      <c r="B1087" s="121">
        <f>IF(H304="UNIDADE CONSTRUTIVA",0,IF(H304="CÉLULA CONSTRUTIVA",OFFSET(B304,-1,0)+1,OFFSET(B304,-1,0)))</f>
        <v/>
      </c>
      <c r="C1087" s="121">
        <f>IF(H304="CÉLULA CONSTRUTIVA",0,IF(H304="ETAPA",OFFSET(C304,-1,0)+1,OFFSET(C304,-1,0)))</f>
        <v/>
      </c>
      <c r="D1087" s="122">
        <f>IF(H304="ETAPA",0,IF(H304="SUBETAPA",OFFSET(D304,-1,0)+1,OFFSET(D304,-1,0)))</f>
        <v/>
      </c>
      <c r="E1087" s="122">
        <f>IF(H304="Subetapa",0,IF(H304="serviço",OFFSET(E304,-1,0)+1,OFFSET(E304,-1,0)))</f>
        <v/>
      </c>
      <c r="F1087" s="123" t="n"/>
      <c r="G1087" s="135" t="n"/>
      <c r="H1087" s="44" t="inlineStr">
        <is>
          <t>SUBETAPA</t>
        </is>
      </c>
      <c r="I1087" s="45">
        <f>IF(H304="Unidade Construtiva",TEXT(A304,"00"),IF(H304="Célula Construtiva",TEXT(B304,"00"),IF(H304="Etapa",CONCATENATE(TEXT(B304,"00"),".",TEXT(C304,"000")),IF(H304="Subetapa",CONCATENATE(TEXT(B304,"00"),".",TEXT(C304,"000"),".",TEXT(D304,"000")),IF(H304="Serviço",CONCATENATE(TEXT(B304,"00"),".",TEXT(C304,"000"),".",TEXT(D304,"000"),".",TEXT(E304,"000")),"")))))</f>
        <v/>
      </c>
      <c r="J1087" s="51" t="inlineStr">
        <is>
          <t>Soleira</t>
        </is>
      </c>
      <c r="K1087" s="47" t="n"/>
      <c r="L1087" s="48" t="n"/>
      <c r="M1087" s="48" t="n"/>
      <c r="N1087" s="49">
        <f>IF(H304="Serviço",M304*L304,IF(H304="CÉLULA CONSTRUTIVA",SUMIFS($N$8:$N$754,$B$8:$B$754,B304,$H$8:$H$754,"Serviço"),IF(H304="ETAPA",SUMIFS($N$8:$N$754,$B$8:$B$754,B304,$C$8:$C$754,C304,$H$8:$H$754,"Serviço"),IF(H304="SUBETAPA",SUMIFS($N$8:$N$754,$B$8:$B$754,B304,$C$8:$C$754,C304,$D$8:$D$754,D304,$H$8:$H$754,"Serviço"),0))))</f>
        <v/>
      </c>
      <c r="O1087" s="50">
        <f>N304/CAPA!C$10</f>
        <v/>
      </c>
      <c r="P1087" s="134" t="n"/>
      <c r="Q1087" s="52" t="n"/>
      <c r="R1087" s="52" t="n"/>
      <c r="S1087" s="1" t="n"/>
      <c r="T1087" s="1" t="n"/>
      <c r="U1087" s="1" t="n"/>
      <c r="V1087" s="1" t="n"/>
      <c r="W1087" s="1" t="n"/>
      <c r="X1087" s="1" t="n"/>
      <c r="Y1087" s="1" t="n"/>
    </row>
    <row r="1088">
      <c r="A1088" s="121">
        <f>IF($H305="UNIDADE CONSTRUTIVA",OFFSET(A305,-1,0)+1,LARGE(A$3:A304,1))</f>
        <v/>
      </c>
      <c r="B1088" s="121">
        <f>IF(H305="UNIDADE CONSTRUTIVA",0,IF(H305="CÉLULA CONSTRUTIVA",OFFSET(B305,-1,0)+1,OFFSET(B305,-1,0)))</f>
        <v/>
      </c>
      <c r="C1088" s="121">
        <f>IF(H305="CÉLULA CONSTRUTIVA",0,IF(H305="ETAPA",OFFSET(C305,-1,0)+1,OFFSET(C305,-1,0)))</f>
        <v/>
      </c>
      <c r="D1088" s="122">
        <f>IF(H305="ETAPA",0,IF(H305="SUBETAPA",OFFSET(D305,-1,0)+1,OFFSET(D305,-1,0)))</f>
        <v/>
      </c>
      <c r="E1088" s="122">
        <f>IF(H305="Subetapa",0,IF(H305="serviço",OFFSET(E305,-1,0)+1,OFFSET(E305,-1,0)))</f>
        <v/>
      </c>
      <c r="F1088" s="123" t="n"/>
      <c r="G1088" s="135" t="inlineStr">
        <is>
          <t>PISOS E PAVIMENTAÇÕES</t>
        </is>
      </c>
      <c r="H1088" s="44" t="inlineStr">
        <is>
          <t>SERVIÇO</t>
        </is>
      </c>
      <c r="I1088" s="45">
        <f>IF(H305="Unidade Construtiva",TEXT(A305,"00"),IF(H305="Célula Construtiva",TEXT(B305,"00"),IF(H305="Etapa",CONCATENATE(TEXT(B305,"00"),".",TEXT(C305,"000")),IF(H305="Subetapa",CONCATENATE(TEXT(B305,"00"),".",TEXT(C305,"000"),".",TEXT(D305,"000")),IF(H305="Serviço",CONCATENATE(TEXT(B305,"00"),".",TEXT(C305,"000"),".",TEXT(D305,"000"),".",TEXT(E305,"000")),"")))))</f>
        <v/>
      </c>
      <c r="J1088" s="51" t="inlineStr">
        <is>
          <t>Soleira em pedra natural, largura 15cm - Branco Ceara, esp. 2cm</t>
        </is>
      </c>
      <c r="K1088" s="47" t="inlineStr">
        <is>
          <t>m2</t>
        </is>
      </c>
      <c r="L1088" s="48">
        <f>'Arquitetura Visus'!D287</f>
        <v/>
      </c>
      <c r="M1088" s="48">
        <f>_xlfn.XLOOKUP($J305,CPU!$D$1:$D$31540,CPU!$H$1:$H$31540)</f>
        <v/>
      </c>
      <c r="N1088" s="49">
        <f>IF(H305="Serviço",M305*L305,IF(H305="CÉLULA CONSTRUTIVA",SUMIFS($N$8:$N$754,$B$8:$B$754,B305,$H$8:$H$754,"Serviço"),IF(H305="ETAPA",SUMIFS($N$8:$N$754,$B$8:$B$754,B305,$C$8:$C$754,C305,$H$8:$H$754,"Serviço"),IF(H305="SUBETAPA",SUMIFS($N$8:$N$754,$B$8:$B$754,B305,$C$8:$C$754,C305,$D$8:$D$754,D305,$H$8:$H$754,"Serviço"),0))))</f>
        <v/>
      </c>
      <c r="O1088" s="50" t="n"/>
      <c r="P1088" s="134" t="n"/>
      <c r="Q1088" s="52" t="n"/>
      <c r="R1088" s="52" t="n"/>
      <c r="S1088" s="1" t="n"/>
      <c r="T1088" s="1" t="n"/>
      <c r="U1088" s="1" t="n"/>
      <c r="V1088" s="1" t="n"/>
      <c r="W1088" s="1" t="n"/>
      <c r="X1088" s="1" t="n"/>
      <c r="Y1088" s="1" t="n"/>
    </row>
    <row r="1089">
      <c r="A1089" s="121">
        <f>IF($H306="UNIDADE CONSTRUTIVA",OFFSET(A306,-1,0)+1,LARGE(A$3:A305,1))</f>
        <v/>
      </c>
      <c r="B1089" s="121">
        <f>IF(H306="UNIDADE CONSTRUTIVA",0,IF(H306="CÉLULA CONSTRUTIVA",OFFSET(B306,-1,0)+1,OFFSET(B306,-1,0)))</f>
        <v/>
      </c>
      <c r="C1089" s="121">
        <f>IF(H306="CÉLULA CONSTRUTIVA",0,IF(H306="ETAPA",OFFSET(C306,-1,0)+1,OFFSET(C306,-1,0)))</f>
        <v/>
      </c>
      <c r="D1089" s="122">
        <f>IF(H306="ETAPA",0,IF(H306="SUBETAPA",OFFSET(D306,-1,0)+1,OFFSET(D306,-1,0)))</f>
        <v/>
      </c>
      <c r="E1089" s="122">
        <f>IF(H306="Subetapa",0,IF(H306="serviço",OFFSET(E306,-1,0)+1,OFFSET(E306,-1,0)))</f>
        <v/>
      </c>
      <c r="F1089" s="123" t="n"/>
      <c r="G1089" s="135" t="n"/>
      <c r="H1089" s="44" t="inlineStr">
        <is>
          <t>SUBETAPA</t>
        </is>
      </c>
      <c r="I1089" s="45">
        <f>IF(H306="Unidade Construtiva",TEXT(A306,"00"),IF(H306="Célula Construtiva",TEXT(B306,"00"),IF(H306="Etapa",CONCATENATE(TEXT(B306,"00"),".",TEXT(C306,"000")),IF(H306="Subetapa",CONCATENATE(TEXT(B306,"00"),".",TEXT(C306,"000"),".",TEXT(D306,"000")),IF(H306="Serviço",CONCATENATE(TEXT(B306,"00"),".",TEXT(C306,"000"),".",TEXT(D306,"000"),".",TEXT(E306,"000")),"")))))</f>
        <v/>
      </c>
      <c r="J1089" s="51" t="inlineStr">
        <is>
          <t>Mão de obra - Revestimentos</t>
        </is>
      </c>
      <c r="K1089" s="47" t="n"/>
      <c r="L1089" s="48" t="n"/>
      <c r="M1089" s="48" t="n"/>
      <c r="N1089" s="49">
        <f>IF(H306="Serviço",M306*L306,IF(H306="CÉLULA CONSTRUTIVA",SUMIFS($N$8:$N$754,$B$8:$B$754,B306,$H$8:$H$754,"Serviço"),IF(H306="ETAPA",SUMIFS($N$8:$N$754,$B$8:$B$754,B306,$C$8:$C$754,C306,$H$8:$H$754,"Serviço"),IF(H306="SUBETAPA",SUMIFS($N$8:$N$754,$B$8:$B$754,B306,$C$8:$C$754,C306,$D$8:$D$754,D306,$H$8:$H$754,"Serviço"),0))))</f>
        <v/>
      </c>
      <c r="O1089" s="50">
        <f>N306/CAPA!C$10</f>
        <v/>
      </c>
      <c r="P1089" s="134" t="n"/>
      <c r="Q1089" s="52" t="n"/>
      <c r="R1089" s="52" t="n"/>
      <c r="S1089" s="1" t="n"/>
      <c r="T1089" s="1" t="n"/>
      <c r="U1089" s="1" t="n"/>
      <c r="V1089" s="1" t="n"/>
      <c r="W1089" s="1" t="n"/>
      <c r="X1089" s="1" t="n"/>
      <c r="Y1089" s="1" t="n"/>
    </row>
    <row r="1090">
      <c r="A1090" s="121">
        <f>IF($H307="UNIDADE CONSTRUTIVA",OFFSET(A307,-1,0)+1,LARGE(A$3:A306,1))</f>
        <v/>
      </c>
      <c r="B1090" s="121">
        <f>IF(H307="UNIDADE CONSTRUTIVA",0,IF(H307="CÉLULA CONSTRUTIVA",OFFSET(B307,-1,0)+1,OFFSET(B307,-1,0)))</f>
        <v/>
      </c>
      <c r="C1090" s="121">
        <f>IF(H307="CÉLULA CONSTRUTIVA",0,IF(H307="ETAPA",OFFSET(C307,-1,0)+1,OFFSET(C307,-1,0)))</f>
        <v/>
      </c>
      <c r="D1090" s="122">
        <f>IF(H307="ETAPA",0,IF(H307="SUBETAPA",OFFSET(D307,-1,0)+1,OFFSET(D307,-1,0)))</f>
        <v/>
      </c>
      <c r="E1090" s="122">
        <f>IF(H307="Subetapa",0,IF(H307="serviço",OFFSET(E307,-1,0)+1,OFFSET(E307,-1,0)))</f>
        <v/>
      </c>
      <c r="F1090" s="123" t="n"/>
      <c r="G1090" s="135" t="inlineStr">
        <is>
          <t>PISOS E PAVIMENTAÇÕES</t>
        </is>
      </c>
      <c r="H1090" s="44" t="inlineStr">
        <is>
          <t>SERVIÇO</t>
        </is>
      </c>
      <c r="I1090" s="45">
        <f>IF(H307="Unidade Construtiva",TEXT(A307,"00"),IF(H307="Célula Construtiva",TEXT(B307,"00"),IF(H307="Etapa",CONCATENATE(TEXT(B307,"00"),".",TEXT(C307,"000")),IF(H307="Subetapa",CONCATENATE(TEXT(B307,"00"),".",TEXT(C307,"000"),".",TEXT(D307,"000")),IF(H307="Serviço",CONCATENATE(TEXT(B307,"00"),".",TEXT(C307,"000"),".",TEXT(D307,"000"),".",TEXT(E307,"000")),"")))))</f>
        <v/>
      </c>
      <c r="J1090" s="51" t="inlineStr">
        <is>
          <t>Mão de obra execução de contrapiso comum e Acústico</t>
        </is>
      </c>
      <c r="K1090" s="47" t="inlineStr">
        <is>
          <t>m2</t>
        </is>
      </c>
      <c r="L1090" s="48">
        <f>SUM(L284:L284)</f>
        <v/>
      </c>
      <c r="M1090" s="48">
        <f>_xlfn.XLOOKUP($J307,CPU!$D$1:$D$31540,CPU!$H$1:$H$31540)</f>
        <v/>
      </c>
      <c r="N1090" s="49">
        <f>IF(H307="Serviço",M307*L307,IF(H307="CÉLULA CONSTRUTIVA",SUMIFS($N$8:$N$754,$B$8:$B$754,B307,$H$8:$H$754,"Serviço"),IF(H307="ETAPA",SUMIFS($N$8:$N$754,$B$8:$B$754,B307,$C$8:$C$754,C307,$H$8:$H$754,"Serviço"),IF(H307="SUBETAPA",SUMIFS($N$8:$N$754,$B$8:$B$754,B307,$C$8:$C$754,C307,$D$8:$D$754,D307,$H$8:$H$754,"Serviço"),0))))</f>
        <v/>
      </c>
      <c r="O1090" s="50" t="n"/>
      <c r="P1090" s="134" t="n"/>
      <c r="Q1090" s="52" t="n"/>
      <c r="R1090" s="52" t="n"/>
      <c r="S1090" s="1" t="n"/>
      <c r="T1090" s="1" t="n"/>
      <c r="U1090" s="1" t="n"/>
      <c r="V1090" s="1" t="n"/>
      <c r="W1090" s="1" t="n"/>
      <c r="X1090" s="1" t="n"/>
      <c r="Y1090" s="1" t="n"/>
    </row>
    <row r="1091">
      <c r="A1091" s="121">
        <f>IF($H308="UNIDADE CONSTRUTIVA",OFFSET(A308,-1,0)+1,LARGE(A$3:A307,1))</f>
        <v/>
      </c>
      <c r="B1091" s="121">
        <f>IF(H308="UNIDADE CONSTRUTIVA",0,IF(H308="CÉLULA CONSTRUTIVA",OFFSET(B308,-1,0)+1,OFFSET(B308,-1,0)))</f>
        <v/>
      </c>
      <c r="C1091" s="121">
        <f>IF(H308="CÉLULA CONSTRUTIVA",0,IF(H308="ETAPA",OFFSET(C308,-1,0)+1,OFFSET(C308,-1,0)))</f>
        <v/>
      </c>
      <c r="D1091" s="122">
        <f>IF(H308="ETAPA",0,IF(H308="SUBETAPA",OFFSET(D308,-1,0)+1,OFFSET(D308,-1,0)))</f>
        <v/>
      </c>
      <c r="E1091" s="122">
        <f>IF(H308="Subetapa",0,IF(H308="serviço",OFFSET(E308,-1,0)+1,OFFSET(E308,-1,0)))</f>
        <v/>
      </c>
      <c r="F1091" s="123" t="n"/>
      <c r="G1091" s="135" t="inlineStr">
        <is>
          <t>PISOS E PAVIMENTAÇÕES</t>
        </is>
      </c>
      <c r="H1091" s="44" t="inlineStr">
        <is>
          <t>SERVIÇO</t>
        </is>
      </c>
      <c r="I1091" s="45">
        <f>IF(H308="Unidade Construtiva",TEXT(A308,"00"),IF(H308="Célula Construtiva",TEXT(B308,"00"),IF(H308="Etapa",CONCATENATE(TEXT(B308,"00"),".",TEXT(C308,"000")),IF(H308="Subetapa",CONCATENATE(TEXT(B308,"00"),".",TEXT(C308,"000"),".",TEXT(D308,"000")),IF(H308="Serviço",CONCATENATE(TEXT(B308,"00"),".",TEXT(C308,"000"),".",TEXT(D308,"000"),".",TEXT(E308,"000")),"")))))</f>
        <v/>
      </c>
      <c r="J1091" s="51" t="inlineStr">
        <is>
          <t>Mão de Obra Piso Porcenato/ Cerâmico</t>
        </is>
      </c>
      <c r="K1091" s="47" t="inlineStr">
        <is>
          <t>m2</t>
        </is>
      </c>
      <c r="L1091" s="48">
        <f>SUM(L289:L292)</f>
        <v/>
      </c>
      <c r="M1091" s="48">
        <f>_xlfn.XLOOKUP($J308,CPU!$D$1:$D$31540,CPU!$H$1:$H$31540)</f>
        <v/>
      </c>
      <c r="N1091" s="49">
        <f>IF(H308="Serviço",M308*L308,IF(H308="CÉLULA CONSTRUTIVA",SUMIFS($N$8:$N$754,$B$8:$B$754,B308,$H$8:$H$754,"Serviço"),IF(H308="ETAPA",SUMIFS($N$8:$N$754,$B$8:$B$754,B308,$C$8:$C$754,C308,$H$8:$H$754,"Serviço"),IF(H308="SUBETAPA",SUMIFS($N$8:$N$754,$B$8:$B$754,B308,$C$8:$C$754,C308,$D$8:$D$754,D308,$H$8:$H$754,"Serviço"),0))))</f>
        <v/>
      </c>
      <c r="O1091" s="50" t="n"/>
      <c r="P1091" s="134" t="n"/>
      <c r="Q1091" s="52" t="n"/>
      <c r="R1091" s="52" t="n"/>
      <c r="S1091" s="1" t="n"/>
      <c r="T1091" s="1" t="n"/>
      <c r="U1091" s="1" t="n"/>
      <c r="V1091" s="1" t="n"/>
      <c r="W1091" s="1" t="n"/>
      <c r="X1091" s="1" t="n"/>
      <c r="Y1091" s="1" t="n"/>
    </row>
    <row r="1092">
      <c r="A1092" s="121">
        <f>IF($H309="UNIDADE CONSTRUTIVA",OFFSET(A309,-1,0)+1,LARGE(A$3:A308,1))</f>
        <v/>
      </c>
      <c r="B1092" s="121">
        <f>IF(H309="UNIDADE CONSTRUTIVA",0,IF(H309="CÉLULA CONSTRUTIVA",OFFSET(B309,-1,0)+1,OFFSET(B309,-1,0)))</f>
        <v/>
      </c>
      <c r="C1092" s="121">
        <f>IF(H309="CÉLULA CONSTRUTIVA",0,IF(H309="ETAPA",OFFSET(C309,-1,0)+1,OFFSET(C309,-1,0)))</f>
        <v/>
      </c>
      <c r="D1092" s="122">
        <f>IF(H309="ETAPA",0,IF(H309="SUBETAPA",OFFSET(D309,-1,0)+1,OFFSET(D309,-1,0)))</f>
        <v/>
      </c>
      <c r="E1092" s="122">
        <f>IF(H309="Subetapa",0,IF(H309="serviço",OFFSET(E309,-1,0)+1,OFFSET(E309,-1,0)))</f>
        <v/>
      </c>
      <c r="F1092" s="123" t="n"/>
      <c r="G1092" s="135" t="inlineStr">
        <is>
          <t>PISOS E PAVIMENTAÇÕES</t>
        </is>
      </c>
      <c r="H1092" s="44" t="inlineStr">
        <is>
          <t>SERVIÇO</t>
        </is>
      </c>
      <c r="I1092" s="45">
        <f>IF(H309="Unidade Construtiva",TEXT(A309,"00"),IF(H309="Célula Construtiva",TEXT(B309,"00"),IF(H309="Etapa",CONCATENATE(TEXT(B309,"00"),".",TEXT(C309,"000")),IF(H309="Subetapa",CONCATENATE(TEXT(B309,"00"),".",TEXT(C309,"000"),".",TEXT(D309,"000")),IF(H309="Serviço",CONCATENATE(TEXT(B309,"00"),".",TEXT(C309,"000"),".",TEXT(D309,"000"),".",TEXT(E309,"000")),"")))))</f>
        <v/>
      </c>
      <c r="J1092" s="51" t="inlineStr">
        <is>
          <t>Mão de obra para assentamento de Pastilhas em Piscina</t>
        </is>
      </c>
      <c r="K1092" s="47" t="inlineStr">
        <is>
          <t>m2</t>
        </is>
      </c>
      <c r="L1092" s="48">
        <f>L293</f>
        <v/>
      </c>
      <c r="M1092" s="48">
        <f>_xlfn.XLOOKUP($J309,CPU!$D$1:$D$31540,CPU!$H$1:$H$31540)</f>
        <v/>
      </c>
      <c r="N1092" s="49">
        <f>IF(H309="Serviço",M309*L309,IF(H309="CÉLULA CONSTRUTIVA",SUMIFS($N$8:$N$754,$B$8:$B$754,B309,$H$8:$H$754,"Serviço"),IF(H309="ETAPA",SUMIFS($N$8:$N$754,$B$8:$B$754,B309,$C$8:$C$754,C309,$H$8:$H$754,"Serviço"),IF(H309="SUBETAPA",SUMIFS($N$8:$N$754,$B$8:$B$754,B309,$C$8:$C$754,C309,$D$8:$D$754,D309,$H$8:$H$754,"Serviço"),0))))</f>
        <v/>
      </c>
      <c r="O1092" s="50" t="n"/>
      <c r="P1092" s="134" t="n"/>
      <c r="Q1092" s="52" t="n"/>
      <c r="R1092" s="52" t="n"/>
      <c r="S1092" s="1" t="n"/>
      <c r="T1092" s="1" t="n"/>
      <c r="U1092" s="1" t="n"/>
      <c r="V1092" s="1" t="n"/>
      <c r="W1092" s="1" t="n"/>
      <c r="X1092" s="1" t="n"/>
      <c r="Y1092" s="1" t="n"/>
    </row>
    <row r="1093">
      <c r="A1093" s="121">
        <f>IF($H310="UNIDADE CONSTRUTIVA",OFFSET(A310,-1,0)+1,LARGE(A$3:A308,1))</f>
        <v/>
      </c>
      <c r="B1093" s="121">
        <f>IF(H310="UNIDADE CONSTRUTIVA",0,IF(H310="CÉLULA CONSTRUTIVA",OFFSET(B310,-1,0)+1,OFFSET(B310,-1,0)))</f>
        <v/>
      </c>
      <c r="C1093" s="121">
        <f>IF(H310="CÉLULA CONSTRUTIVA",0,IF(H310="ETAPA",OFFSET(C310,-1,0)+1,OFFSET(C310,-1,0)))</f>
        <v/>
      </c>
      <c r="D1093" s="122">
        <f>IF(H310="ETAPA",0,IF(H310="SUBETAPA",OFFSET(D310,-1,0)+1,OFFSET(D310,-1,0)))</f>
        <v/>
      </c>
      <c r="E1093" s="122">
        <f>IF(H310="Subetapa",0,IF(H310="serviço",OFFSET(E310,-1,0)+1,OFFSET(E310,-1,0)))</f>
        <v/>
      </c>
      <c r="F1093" s="123" t="n"/>
      <c r="G1093" s="135" t="inlineStr">
        <is>
          <t>PISOS E PAVIMENTAÇÕES</t>
        </is>
      </c>
      <c r="H1093" s="44" t="inlineStr">
        <is>
          <t>SERVIÇO</t>
        </is>
      </c>
      <c r="I1093" s="45">
        <f>IF(H310="Unidade Construtiva",TEXT(A310,"00"),IF(H310="Célula Construtiva",TEXT(B310,"00"),IF(H310="Etapa",CONCATENATE(TEXT(B310,"00"),".",TEXT(C310,"000")),IF(H310="Subetapa",CONCATENATE(TEXT(B310,"00"),".",TEXT(C310,"000"),".",TEXT(D310,"000")),IF(H310="Serviço",CONCATENATE(TEXT(B310,"00"),".",TEXT(C310,"000"),".",TEXT(D310,"000"),".",TEXT(E310,"000")),"")))))</f>
        <v/>
      </c>
      <c r="J1093" s="51" t="inlineStr">
        <is>
          <t>Mão de obra de rodapé Poliestireno</t>
        </is>
      </c>
      <c r="K1093" s="47" t="inlineStr">
        <is>
          <t>m</t>
        </is>
      </c>
      <c r="L1093" s="48">
        <f>L302</f>
        <v/>
      </c>
      <c r="M1093" s="48">
        <f>_xlfn.XLOOKUP($J310,CPU!$D$1:$D$31540,CPU!$H$1:$H$31540)</f>
        <v/>
      </c>
      <c r="N1093" s="49">
        <f>IF(H310="Serviço",M310*L310,IF(H310="CÉLULA CONSTRUTIVA",SUMIFS($N$8:$N$754,$B$8:$B$754,B310,$H$8:$H$754,"Serviço"),IF(H310="ETAPA",SUMIFS($N$8:$N$754,$B$8:$B$754,B310,$C$8:$C$754,C310,$H$8:$H$754,"Serviço"),IF(H310="SUBETAPA",SUMIFS($N$8:$N$754,$B$8:$B$754,B310,$C$8:$C$754,C310,$D$8:$D$754,D310,$H$8:$H$754,"Serviço"),0))))</f>
        <v/>
      </c>
      <c r="O1093" s="50" t="n"/>
      <c r="P1093" s="134" t="n"/>
      <c r="Q1093" s="52" t="n"/>
      <c r="R1093" s="52" t="n"/>
      <c r="S1093" s="1" t="n"/>
      <c r="T1093" s="1" t="n"/>
      <c r="U1093" s="1" t="n"/>
      <c r="V1093" s="1" t="n"/>
      <c r="W1093" s="1" t="n"/>
      <c r="X1093" s="1" t="n"/>
      <c r="Y1093" s="1" t="n"/>
    </row>
    <row r="1094">
      <c r="A1094" s="121">
        <f>IF($H311="UNIDADE CONSTRUTIVA",OFFSET(A311,-1,0)+1,LARGE(A$3:A309,1))</f>
        <v/>
      </c>
      <c r="B1094" s="121">
        <f>IF(H311="UNIDADE CONSTRUTIVA",0,IF(H311="CÉLULA CONSTRUTIVA",OFFSET(B311,-1,0)+1,OFFSET(B311,-1,0)))</f>
        <v/>
      </c>
      <c r="C1094" s="121">
        <f>IF(H311="CÉLULA CONSTRUTIVA",0,IF(H311="ETAPA",OFFSET(C311,-1,0)+1,OFFSET(C311,-1,0)))</f>
        <v/>
      </c>
      <c r="D1094" s="122">
        <f>IF(H311="ETAPA",0,IF(H311="SUBETAPA",OFFSET(D311,-1,0)+1,OFFSET(D311,-1,0)))</f>
        <v/>
      </c>
      <c r="E1094" s="122">
        <f>IF(H311="Subetapa",0,IF(H311="serviço",OFFSET(E311,-1,0)+1,OFFSET(E311,-1,0)))</f>
        <v/>
      </c>
      <c r="F1094" s="123" t="n"/>
      <c r="G1094" s="135" t="inlineStr">
        <is>
          <t>PISOS E PAVIMENTAÇÕES</t>
        </is>
      </c>
      <c r="H1094" s="44" t="inlineStr">
        <is>
          <t>SERVIÇO</t>
        </is>
      </c>
      <c r="I1094" s="45">
        <f>IF(H311="Unidade Construtiva",TEXT(A311,"00"),IF(H311="Célula Construtiva",TEXT(B311,"00"),IF(H311="Etapa",CONCATENATE(TEXT(B311,"00"),".",TEXT(C311,"000")),IF(H311="Subetapa",CONCATENATE(TEXT(B311,"00"),".",TEXT(C311,"000"),".",TEXT(D311,"000")),IF(H311="Serviço",CONCATENATE(TEXT(B311,"00"),".",TEXT(C311,"000"),".",TEXT(D311,"000"),".",TEXT(E311,"000")),"")))))</f>
        <v/>
      </c>
      <c r="J1094" s="51" t="inlineStr">
        <is>
          <t>Mão de obra de rodapé Porcelanato</t>
        </is>
      </c>
      <c r="K1094" s="47" t="inlineStr">
        <is>
          <t>m</t>
        </is>
      </c>
      <c r="L1094" s="48">
        <f>L303</f>
        <v/>
      </c>
      <c r="M1094" s="48">
        <f>_xlfn.XLOOKUP($J311,CPU!$D$1:$D$31540,CPU!$H$1:$H$31540)</f>
        <v/>
      </c>
      <c r="N1094" s="49">
        <f>IF(H311="Serviço",M311*L311,IF(H311="CÉLULA CONSTRUTIVA",SUMIFS($N$8:$N$754,$B$8:$B$754,B311,$H$8:$H$754,"Serviço"),IF(H311="ETAPA",SUMIFS($N$8:$N$754,$B$8:$B$754,B311,$C$8:$C$754,C311,$H$8:$H$754,"Serviço"),IF(H311="SUBETAPA",SUMIFS($N$8:$N$754,$B$8:$B$754,B311,$C$8:$C$754,C311,$D$8:$D$754,D311,$H$8:$H$754,"Serviço"),0))))</f>
        <v/>
      </c>
      <c r="O1094" s="50" t="n"/>
      <c r="P1094" s="134" t="n"/>
      <c r="Q1094" s="52" t="n"/>
      <c r="R1094" s="52" t="n"/>
      <c r="S1094" s="1" t="n"/>
      <c r="T1094" s="1" t="n"/>
      <c r="U1094" s="1" t="n"/>
      <c r="V1094" s="1" t="n"/>
      <c r="W1094" s="1" t="n"/>
      <c r="X1094" s="1" t="n"/>
      <c r="Y1094" s="1" t="n"/>
    </row>
    <row r="1095">
      <c r="A1095" s="121">
        <f>IF($H312="UNIDADE CONSTRUTIVA",OFFSET(A312,-1,0)+1,LARGE(A$3:A311,1))</f>
        <v/>
      </c>
      <c r="B1095" s="121">
        <f>IF(H312="UNIDADE CONSTRUTIVA",0,IF(H312="CÉLULA CONSTRUTIVA",OFFSET(B312,-1,0)+1,OFFSET(B312,-1,0)))</f>
        <v/>
      </c>
      <c r="C1095" s="121">
        <f>IF(H312="CÉLULA CONSTRUTIVA",0,IF(H312="ETAPA",OFFSET(C312,-1,0)+1,OFFSET(C312,-1,0)))</f>
        <v/>
      </c>
      <c r="D1095" s="122">
        <f>IF(H312="ETAPA",0,IF(H312="SUBETAPA",OFFSET(D312,-1,0)+1,OFFSET(D312,-1,0)))</f>
        <v/>
      </c>
      <c r="E1095" s="122">
        <f>IF(H312="Subetapa",0,IF(H312="serviço",OFFSET(E312,-1,0)+1,OFFSET(E312,-1,0)))</f>
        <v/>
      </c>
      <c r="F1095" s="123" t="n"/>
      <c r="G1095" s="135" t="inlineStr">
        <is>
          <t>PISOS E PAVIMENTAÇÕES</t>
        </is>
      </c>
      <c r="H1095" s="44" t="inlineStr">
        <is>
          <t>SERVIÇO</t>
        </is>
      </c>
      <c r="I1095" s="45">
        <f>IF(H312="Unidade Construtiva",TEXT(A312,"00"),IF(H312="Célula Construtiva",TEXT(B312,"00"),IF(H312="Etapa",CONCATENATE(TEXT(B312,"00"),".",TEXT(C312,"000")),IF(H312="Subetapa",CONCATENATE(TEXT(B312,"00"),".",TEXT(C312,"000"),".",TEXT(D312,"000")),IF(H312="Serviço",CONCATENATE(TEXT(B312,"00"),".",TEXT(C312,"000"),".",TEXT(D312,"000"),".",TEXT(E312,"000")),"")))))</f>
        <v/>
      </c>
      <c r="J1095" s="51" t="inlineStr">
        <is>
          <t>Mão de obra de colocação de soleira em pedra natural</t>
        </is>
      </c>
      <c r="K1095" s="47" t="inlineStr">
        <is>
          <t>m2</t>
        </is>
      </c>
      <c r="L1095" s="48">
        <f>L305</f>
        <v/>
      </c>
      <c r="M1095" s="48">
        <f>_xlfn.XLOOKUP($J312,CPU!$D$1:$D$31540,CPU!$H$1:$H$31540)</f>
        <v/>
      </c>
      <c r="N1095" s="49">
        <f>IF(H312="Serviço",M312*L312,IF(H312="CÉLULA CONSTRUTIVA",SUMIFS($N$8:$N$754,$B$8:$B$754,B312,$H$8:$H$754,"Serviço"),IF(H312="ETAPA",SUMIFS($N$8:$N$754,$B$8:$B$754,B312,$C$8:$C$754,C312,$H$8:$H$754,"Serviço"),IF(H312="SUBETAPA",SUMIFS($N$8:$N$754,$B$8:$B$754,B312,$C$8:$C$754,C312,$D$8:$D$754,D312,$H$8:$H$754,"Serviço"),0))))</f>
        <v/>
      </c>
      <c r="O1095" s="50" t="n"/>
      <c r="P1095" s="134" t="n"/>
      <c r="Q1095" s="52" t="n"/>
      <c r="R1095" s="52" t="n"/>
      <c r="S1095" s="1" t="n"/>
      <c r="T1095" s="1" t="n"/>
      <c r="U1095" s="1" t="n"/>
      <c r="V1095" s="1" t="n"/>
      <c r="W1095" s="1" t="n"/>
      <c r="X1095" s="1" t="n"/>
      <c r="Y1095" s="1" t="n"/>
    </row>
    <row r="1096">
      <c r="A1096" s="121">
        <f>IF($H313="UNIDADE CONSTRUTIVA",OFFSET(A313,-1,0)+1,LARGE(A$3:A312,1))</f>
        <v/>
      </c>
      <c r="B1096" s="121">
        <f>IF(H313="UNIDADE CONSTRUTIVA",0,IF(H313="CÉLULA CONSTRUTIVA",OFFSET(B313,-1,0)+1,OFFSET(B313,-1,0)))</f>
        <v/>
      </c>
      <c r="C1096" s="121">
        <f>IF(H313="CÉLULA CONSTRUTIVA",0,IF(H313="ETAPA",OFFSET(C313,-1,0)+1,OFFSET(C313,-1,0)))</f>
        <v/>
      </c>
      <c r="D1096" s="122">
        <f>IF(H313="ETAPA",0,IF(H313="SUBETAPA",OFFSET(D313,-1,0)+1,OFFSET(D313,-1,0)))</f>
        <v/>
      </c>
      <c r="E1096" s="122">
        <f>IF(H313="Subetapa",0,IF(H313="serviço",OFFSET(E313,-1,0)+1,OFFSET(E313,-1,0)))</f>
        <v/>
      </c>
      <c r="F1096" s="123" t="n"/>
      <c r="G1096" s="135" t="n"/>
      <c r="H1096" s="44" t="inlineStr">
        <is>
          <t>CÉLULA CONSTRUTIVA</t>
        </is>
      </c>
      <c r="I1096" s="45">
        <f>IF(H313="Unidade Construtiva",TEXT(A313,"00"),IF(H313="Célula Construtiva",TEXT(B313,"00"),IF(H313="Etapa",CONCATENATE(TEXT(B313,"00"),".",TEXT(C313,"000")),IF(H313="Subetapa",CONCATENATE(TEXT(B313,"00"),".",TEXT(C313,"000"),".",TEXT(D313,"000")),IF(H313="Serviço",CONCATENATE(TEXT(B313,"00"),".",TEXT(C313,"000"),".",TEXT(D313,"000"),".",TEXT(E313,"000")),"")))))</f>
        <v/>
      </c>
      <c r="J1096" s="51" t="inlineStr">
        <is>
          <t>SISTEMAS DE PINTURA INTERNA</t>
        </is>
      </c>
      <c r="K1096" s="47" t="n"/>
      <c r="L1096" s="48" t="n"/>
      <c r="M1096" s="48" t="n"/>
      <c r="N1096" s="49">
        <f>IF(H313="Serviço",M313*L313,IF(H313="CÉLULA CONSTRUTIVA",SUMIFS($N$8:$N$754,$B$8:$B$754,B313,$H$8:$H$754,"Serviço"),IF(H313="ETAPA",SUMIFS($N$8:$N$754,$B$8:$B$754,B313,$C$8:$C$754,C313,$H$8:$H$754,"Serviço"),IF(H313="SUBETAPA",SUMIFS($N$8:$N$754,$B$8:$B$754,B313,$C$8:$C$754,C313,$D$8:$D$754,D313,$H$8:$H$754,"Serviço"),0))))</f>
        <v/>
      </c>
      <c r="O1096" s="50">
        <f>N313/CAPA!C$10</f>
        <v/>
      </c>
      <c r="P1096" s="134" t="n"/>
      <c r="Q1096" s="115" t="n"/>
      <c r="R1096" s="52" t="n"/>
      <c r="S1096" s="1" t="n"/>
      <c r="T1096" s="1" t="n"/>
      <c r="U1096" s="1" t="n"/>
      <c r="V1096" s="1" t="n"/>
      <c r="W1096" s="1" t="n"/>
      <c r="X1096" s="1" t="n"/>
      <c r="Y1096" s="1" t="n"/>
    </row>
    <row r="1097">
      <c r="A1097" s="121">
        <f>IF($H314="UNIDADE CONSTRUTIVA",OFFSET(A314,-1,0)+1,LARGE(A$3:A313,1))</f>
        <v/>
      </c>
      <c r="B1097" s="121">
        <f>IF(H314="UNIDADE CONSTRUTIVA",0,IF(H314="CÉLULA CONSTRUTIVA",OFFSET(B314,-1,0)+1,OFFSET(B314,-1,0)))</f>
        <v/>
      </c>
      <c r="C1097" s="121">
        <f>IF(H314="CÉLULA CONSTRUTIVA",0,IF(H314="ETAPA",OFFSET(C314,-1,0)+1,OFFSET(C314,-1,0)))</f>
        <v/>
      </c>
      <c r="D1097" s="122">
        <f>IF(H314="ETAPA",0,IF(H314="SUBETAPA",OFFSET(D314,-1,0)+1,OFFSET(D314,-1,0)))</f>
        <v/>
      </c>
      <c r="E1097" s="122">
        <f>IF(H314="Subetapa",0,IF(H314="serviço",OFFSET(E314,-1,0)+1,OFFSET(E314,-1,0)))</f>
        <v/>
      </c>
      <c r="F1097" s="123" t="n"/>
      <c r="G1097" s="135" t="n"/>
      <c r="H1097" s="44" t="inlineStr">
        <is>
          <t>ETAPA</t>
        </is>
      </c>
      <c r="I1097" s="45">
        <f>IF(H314="Unidade Construtiva",TEXT(A314,"00"),IF(H314="Célula Construtiva",TEXT(B314,"00"),IF(H314="Etapa",CONCATENATE(TEXT(B314,"00"),".",TEXT(C314,"000")),IF(H314="Subetapa",CONCATENATE(TEXT(B314,"00"),".",TEXT(C314,"000"),".",TEXT(D314,"000")),IF(H314="Serviço",CONCATENATE(TEXT(B314,"00"),".",TEXT(C314,"000"),".",TEXT(D314,"000"),".",TEXT(E314,"000")),"")))))</f>
        <v/>
      </c>
      <c r="J1097" s="51" t="inlineStr">
        <is>
          <t>PINTURA INTERNA</t>
        </is>
      </c>
      <c r="K1097" s="47" t="n"/>
      <c r="L1097" s="48" t="n"/>
      <c r="M1097" s="48" t="n"/>
      <c r="N1097" s="49">
        <f>IF(H314="Serviço",M314*L314,IF(H314="CÉLULA CONSTRUTIVA",SUMIFS($N$8:$N$754,$B$8:$B$754,B314,$H$8:$H$754,"Serviço"),IF(H314="ETAPA",SUMIFS($N$8:$N$754,$B$8:$B$754,B314,$C$8:$C$754,C314,$H$8:$H$754,"Serviço"),IF(H314="SUBETAPA",SUMIFS($N$8:$N$754,$B$8:$B$754,B314,$C$8:$C$754,C314,$D$8:$D$754,D314,$H$8:$H$754,"Serviço"),0))))</f>
        <v/>
      </c>
      <c r="O1097" s="50">
        <f>N314/CAPA!C$10</f>
        <v/>
      </c>
      <c r="P1097" s="134" t="n"/>
      <c r="Q1097" s="52" t="n"/>
      <c r="R1097" s="52" t="n"/>
      <c r="S1097" s="1" t="n"/>
      <c r="T1097" s="1" t="n"/>
      <c r="U1097" s="1" t="n"/>
      <c r="V1097" s="1" t="n"/>
      <c r="W1097" s="1" t="n"/>
      <c r="X1097" s="1" t="n"/>
      <c r="Y1097" s="1" t="n"/>
    </row>
    <row r="1098">
      <c r="A1098" s="121">
        <f>IF($H315="UNIDADE CONSTRUTIVA",OFFSET(A315,-1,0)+1,LARGE(A$3:A314,1))</f>
        <v/>
      </c>
      <c r="B1098" s="121">
        <f>IF(H315="UNIDADE CONSTRUTIVA",0,IF(H315="CÉLULA CONSTRUTIVA",OFFSET(B315,-1,0)+1,OFFSET(B315,-1,0)))</f>
        <v/>
      </c>
      <c r="C1098" s="121">
        <f>IF(H315="CÉLULA CONSTRUTIVA",0,IF(H315="ETAPA",OFFSET(C315,-1,0)+1,OFFSET(C315,-1,0)))</f>
        <v/>
      </c>
      <c r="D1098" s="122">
        <f>IF(H315="ETAPA",0,IF(H315="SUBETAPA",OFFSET(D315,-1,0)+1,OFFSET(D315,-1,0)))</f>
        <v/>
      </c>
      <c r="E1098" s="122">
        <f>IF(H315="Subetapa",0,IF(H315="serviço",OFFSET(E315,-1,0)+1,OFFSET(E315,-1,0)))</f>
        <v/>
      </c>
      <c r="F1098" s="123" t="n"/>
      <c r="G1098" s="135" t="n"/>
      <c r="H1098" s="44" t="inlineStr">
        <is>
          <t>SUBETAPA</t>
        </is>
      </c>
      <c r="I1098" s="45">
        <f>IF(H315="Unidade Construtiva",TEXT(A315,"00"),IF(H315="Célula Construtiva",TEXT(B315,"00"),IF(H315="Etapa",CONCATENATE(TEXT(B315,"00"),".",TEXT(C315,"000")),IF(H315="Subetapa",CONCATENATE(TEXT(B315,"00"),".",TEXT(C315,"000"),".",TEXT(D315,"000")),IF(H315="Serviço",CONCATENATE(TEXT(B315,"00"),".",TEXT(C315,"000"),".",TEXT(D315,"000"),".",TEXT(E315,"000")),"")))))</f>
        <v/>
      </c>
      <c r="J1098" s="51" t="inlineStr">
        <is>
          <t>Sistema de pintura em piso</t>
        </is>
      </c>
      <c r="K1098" s="47" t="n"/>
      <c r="L1098" s="48" t="n"/>
      <c r="M1098" s="48" t="n"/>
      <c r="N1098" s="49">
        <f>IF(H315="Serviço",M315*L315,IF(H315="CÉLULA CONSTRUTIVA",SUMIFS($N$8:$N$754,$B$8:$B$754,B315,$H$8:$H$754,"Serviço"),IF(H315="ETAPA",SUMIFS($N$8:$N$754,$B$8:$B$754,B315,$C$8:$C$754,C315,$H$8:$H$754,"Serviço"),IF(H315="SUBETAPA",SUMIFS($N$8:$N$754,$B$8:$B$754,B315,$C$8:$C$754,C315,$D$8:$D$754,D315,$H$8:$H$754,"Serviço"),0))))</f>
        <v/>
      </c>
      <c r="O1098" s="50">
        <f>N315/CAPA!C$10</f>
        <v/>
      </c>
      <c r="P1098" s="134" t="n"/>
      <c r="Q1098" s="52" t="n"/>
      <c r="R1098" s="52" t="n"/>
      <c r="S1098" s="1" t="n"/>
      <c r="T1098" s="1" t="n"/>
      <c r="U1098" s="1" t="n"/>
      <c r="V1098" s="1" t="n"/>
      <c r="W1098" s="1" t="n"/>
      <c r="X1098" s="1" t="n"/>
      <c r="Y1098" s="1" t="n"/>
    </row>
    <row r="1099">
      <c r="A1099" s="121">
        <f>IF($H316="UNIDADE CONSTRUTIVA",OFFSET(A316,-1,0)+1,LARGE(A$3:A315,1))</f>
        <v/>
      </c>
      <c r="B1099" s="121">
        <f>IF(H316="UNIDADE CONSTRUTIVA",0,IF(H316="CÉLULA CONSTRUTIVA",OFFSET(B316,-1,0)+1,OFFSET(B316,-1,0)))</f>
        <v/>
      </c>
      <c r="C1099" s="121">
        <f>IF(H316="CÉLULA CONSTRUTIVA",0,IF(H316="ETAPA",OFFSET(C316,-1,0)+1,OFFSET(C316,-1,0)))</f>
        <v/>
      </c>
      <c r="D1099" s="122">
        <f>IF(H316="ETAPA",0,IF(H316="SUBETAPA",OFFSET(D316,-1,0)+1,OFFSET(D316,-1,0)))</f>
        <v/>
      </c>
      <c r="E1099" s="122">
        <f>IF(H316="Subetapa",0,IF(H316="serviço",OFFSET(E316,-1,0)+1,OFFSET(E316,-1,0)))</f>
        <v/>
      </c>
      <c r="F1099" s="123" t="n"/>
      <c r="G1099" s="135" t="inlineStr">
        <is>
          <t>SISTEMAS DE PINTURA INTERNA</t>
        </is>
      </c>
      <c r="H1099" s="44" t="inlineStr">
        <is>
          <t>SERVIÇO</t>
        </is>
      </c>
      <c r="I1099" s="45">
        <f>IF(H316="Unidade Construtiva",TEXT(A316,"00"),IF(H316="Célula Construtiva",TEXT(B316,"00"),IF(H316="Etapa",CONCATENATE(TEXT(B316,"00"),".",TEXT(C316,"000")),IF(H316="Subetapa",CONCATENATE(TEXT(B316,"00"),".",TEXT(C316,"000"),".",TEXT(D316,"000")),IF(H316="Serviço",CONCATENATE(TEXT(B316,"00"),".",TEXT(C316,"000"),".",TEXT(D316,"000"),".",TEXT(E316,"000")),"")))))</f>
        <v/>
      </c>
      <c r="J1099" s="51" t="inlineStr">
        <is>
          <t>Pintura em Epóxi para demarcação de vagas em piso, 2 demãos</t>
        </is>
      </c>
      <c r="K1099" s="47" t="inlineStr">
        <is>
          <t>m2</t>
        </is>
      </c>
      <c r="L1099" s="48">
        <f>'Arquitetura Visus'!D296</f>
        <v/>
      </c>
      <c r="M1099" s="48">
        <f>_xlfn.XLOOKUP($J316,CPU!$D$1:$D$31540,CPU!$H$1:$H$31540)</f>
        <v/>
      </c>
      <c r="N1099" s="49">
        <f>IF(H316="Serviço",M316*L316,IF(H316="CÉLULA CONSTRUTIVA",SUMIFS($N$8:$N$754,$B$8:$B$754,B316,$H$8:$H$754,"Serviço"),IF(H316="ETAPA",SUMIFS($N$8:$N$754,$B$8:$B$754,B316,$C$8:$C$754,C316,$H$8:$H$754,"Serviço"),IF(H316="SUBETAPA",SUMIFS($N$8:$N$754,$B$8:$B$754,B316,$C$8:$C$754,C316,$D$8:$D$754,D316,$H$8:$H$754,"Serviço"),0))))</f>
        <v/>
      </c>
      <c r="O1099" s="50" t="n"/>
      <c r="P1099" s="134" t="n"/>
      <c r="Q1099" s="52" t="n"/>
      <c r="R1099" s="52" t="n"/>
      <c r="S1099" s="1" t="n"/>
      <c r="T1099" s="1" t="n"/>
      <c r="U1099" s="1" t="n"/>
      <c r="V1099" s="1" t="n"/>
      <c r="W1099" s="1" t="n"/>
      <c r="X1099" s="1" t="n"/>
      <c r="Y1099" s="1" t="n"/>
    </row>
    <row r="1100">
      <c r="A1100" s="121">
        <f>IF($H317="UNIDADE CONSTRUTIVA",OFFSET(A317,-1,0)+1,LARGE(A$3:A316,1))</f>
        <v/>
      </c>
      <c r="B1100" s="121">
        <f>IF(H317="UNIDADE CONSTRUTIVA",0,IF(H317="CÉLULA CONSTRUTIVA",OFFSET(B317,-1,0)+1,OFFSET(B317,-1,0)))</f>
        <v/>
      </c>
      <c r="C1100" s="121">
        <f>IF(H317="CÉLULA CONSTRUTIVA",0,IF(H317="ETAPA",OFFSET(C317,-1,0)+1,OFFSET(C317,-1,0)))</f>
        <v/>
      </c>
      <c r="D1100" s="122">
        <f>IF(H317="ETAPA",0,IF(H317="SUBETAPA",OFFSET(D317,-1,0)+1,OFFSET(D317,-1,0)))</f>
        <v/>
      </c>
      <c r="E1100" s="122">
        <f>IF(H317="Subetapa",0,IF(H317="serviço",OFFSET(E317,-1,0)+1,OFFSET(E317,-1,0)))</f>
        <v/>
      </c>
      <c r="F1100" s="123" t="n"/>
      <c r="G1100" s="135" t="n"/>
      <c r="H1100" s="44" t="inlineStr">
        <is>
          <t>SUBETAPA</t>
        </is>
      </c>
      <c r="I1100" s="45">
        <f>IF(H317="Unidade Construtiva",TEXT(A317,"00"),IF(H317="Célula Construtiva",TEXT(B317,"00"),IF(H317="Etapa",CONCATENATE(TEXT(B317,"00"),".",TEXT(C317,"000")),IF(H317="Subetapa",CONCATENATE(TEXT(B317,"00"),".",TEXT(C317,"000"),".",TEXT(D317,"000")),IF(H317="Serviço",CONCATENATE(TEXT(B317,"00"),".",TEXT(C317,"000"),".",TEXT(D317,"000"),".",TEXT(E317,"000")),"")))))</f>
        <v/>
      </c>
      <c r="J1100" s="51" t="inlineStr">
        <is>
          <t>Sistema de pintura em parede</t>
        </is>
      </c>
      <c r="K1100" s="47" t="n"/>
      <c r="L1100" s="48" t="n"/>
      <c r="M1100" s="48" t="n"/>
      <c r="N1100" s="49">
        <f>IF(H317="Serviço",M317*L317,IF(H317="CÉLULA CONSTRUTIVA",SUMIFS($N$8:$N$754,$B$8:$B$754,B317,$H$8:$H$754,"Serviço"),IF(H317="ETAPA",SUMIFS($N$8:$N$754,$B$8:$B$754,B317,$C$8:$C$754,C317,$H$8:$H$754,"Serviço"),IF(H317="SUBETAPA",SUMIFS($N$8:$N$754,$B$8:$B$754,B317,$C$8:$C$754,C317,$D$8:$D$754,D317,$H$8:$H$754,"Serviço"),0))))</f>
        <v/>
      </c>
      <c r="O1100" s="50">
        <f>N317/CAPA!C$10</f>
        <v/>
      </c>
      <c r="P1100" s="134" t="n"/>
      <c r="Q1100" s="52" t="n"/>
      <c r="R1100" s="52" t="n"/>
      <c r="S1100" s="1" t="n"/>
      <c r="T1100" s="1" t="n"/>
      <c r="U1100" s="1" t="n"/>
      <c r="V1100" s="1" t="n"/>
      <c r="W1100" s="1" t="n"/>
      <c r="X1100" s="1" t="n"/>
      <c r="Y1100" s="1" t="n"/>
    </row>
    <row r="1101">
      <c r="A1101" s="121">
        <f>IF($H318="UNIDADE CONSTRUTIVA",OFFSET(A318,-1,0)+1,LARGE(A$3:A317,1))</f>
        <v/>
      </c>
      <c r="B1101" s="121">
        <f>IF(H318="UNIDADE CONSTRUTIVA",0,IF(H318="CÉLULA CONSTRUTIVA",OFFSET(B318,-1,0)+1,OFFSET(B318,-1,0)))</f>
        <v/>
      </c>
      <c r="C1101" s="121">
        <f>IF(H318="CÉLULA CONSTRUTIVA",0,IF(H318="ETAPA",OFFSET(C318,-1,0)+1,OFFSET(C318,-1,0)))</f>
        <v/>
      </c>
      <c r="D1101" s="122">
        <f>IF(H318="ETAPA",0,IF(H318="SUBETAPA",OFFSET(D318,-1,0)+1,OFFSET(D318,-1,0)))</f>
        <v/>
      </c>
      <c r="E1101" s="122">
        <f>IF(H318="Subetapa",0,IF(H318="serviço",OFFSET(E318,-1,0)+1,OFFSET(E318,-1,0)))</f>
        <v/>
      </c>
      <c r="F1101" s="123" t="n"/>
      <c r="G1101" s="135" t="inlineStr">
        <is>
          <t>SISTEMAS DE PINTURA INTERNA</t>
        </is>
      </c>
      <c r="H1101" s="44" t="inlineStr">
        <is>
          <t>SERVIÇO</t>
        </is>
      </c>
      <c r="I1101" s="45">
        <f>IF(H318="Unidade Construtiva",TEXT(A318,"00"),IF(H318="Célula Construtiva",TEXT(B318,"00"),IF(H318="Etapa",CONCATENATE(TEXT(B318,"00"),".",TEXT(C318,"000")),IF(H318="Subetapa",CONCATENATE(TEXT(B318,"00"),".",TEXT(C318,"000"),".",TEXT(D318,"000")),IF(H318="Serviço",CONCATENATE(TEXT(B318,"00"),".",TEXT(C318,"000"),".",TEXT(D318,"000"),".",TEXT(E318,"000")),"")))))</f>
        <v/>
      </c>
      <c r="J1101" s="139" t="inlineStr">
        <is>
          <t>Pintura em Látex Acrilica para demarcação de vagas em parede, 2 demão</t>
        </is>
      </c>
      <c r="K1101" s="47" t="inlineStr">
        <is>
          <t>m2</t>
        </is>
      </c>
      <c r="L1101" s="48">
        <f>'Arquitetura Visus'!D328</f>
        <v/>
      </c>
      <c r="M1101" s="48">
        <f>_xlfn.XLOOKUP($J318,CPU!$D$1:$D$31540,CPU!$H$1:$H$31540)</f>
        <v/>
      </c>
      <c r="N1101" s="49">
        <f>IF(H318="Serviço",M318*L318,IF(H318="CÉLULA CONSTRUTIVA",SUMIFS($N$8:$N$754,$B$8:$B$754,B318,$H$8:$H$754,"Serviço"),IF(H318="ETAPA",SUMIFS($N$8:$N$754,$B$8:$B$754,B318,$C$8:$C$754,C318,$H$8:$H$754,"Serviço"),IF(H318="SUBETAPA",SUMIFS($N$8:$N$754,$B$8:$B$754,B318,$C$8:$C$754,C318,$D$8:$D$754,D318,$H$8:$H$754,"Serviço"),0))))</f>
        <v/>
      </c>
      <c r="O1101" s="50" t="n"/>
      <c r="P1101" s="134" t="n"/>
      <c r="Q1101" s="52" t="n"/>
      <c r="R1101" s="52" t="n"/>
      <c r="S1101" s="1" t="n"/>
      <c r="T1101" s="1" t="n"/>
      <c r="U1101" s="1" t="n"/>
      <c r="V1101" s="1" t="n"/>
      <c r="W1101" s="1" t="n"/>
      <c r="X1101" s="1" t="n"/>
      <c r="Y1101" s="1" t="n"/>
    </row>
    <row r="1102">
      <c r="A1102" s="121">
        <f>IF($H319="UNIDADE CONSTRUTIVA",OFFSET(A319,-1,0)+1,LARGE(A$3:A318,1))</f>
        <v/>
      </c>
      <c r="B1102" s="121">
        <f>IF(H319="UNIDADE CONSTRUTIVA",0,IF(H319="CÉLULA CONSTRUTIVA",OFFSET(B319,-1,0)+1,OFFSET(B319,-1,0)))</f>
        <v/>
      </c>
      <c r="C1102" s="121">
        <f>IF(H319="CÉLULA CONSTRUTIVA",0,IF(H319="ETAPA",OFFSET(C319,-1,0)+1,OFFSET(C319,-1,0)))</f>
        <v/>
      </c>
      <c r="D1102" s="122">
        <f>IF(H319="ETAPA",0,IF(H319="SUBETAPA",OFFSET(D319,-1,0)+1,OFFSET(D319,-1,0)))</f>
        <v/>
      </c>
      <c r="E1102" s="122">
        <f>IF(H319="Subetapa",0,IF(H319="serviço",OFFSET(E319,-1,0)+1,OFFSET(E319,-1,0)))</f>
        <v/>
      </c>
      <c r="F1102" s="123" t="n"/>
      <c r="G1102" s="135" t="inlineStr">
        <is>
          <t>SISTEMAS DE PINTURA INTERNA</t>
        </is>
      </c>
      <c r="H1102" s="44" t="inlineStr">
        <is>
          <t>SERVIÇO</t>
        </is>
      </c>
      <c r="I1102" s="45">
        <f>IF(H319="Unidade Construtiva",TEXT(A319,"00"),IF(H319="Célula Construtiva",TEXT(B319,"00"),IF(H319="Etapa",CONCATENATE(TEXT(B319,"00"),".",TEXT(C319,"000")),IF(H319="Subetapa",CONCATENATE(TEXT(B319,"00"),".",TEXT(C319,"000"),".",TEXT(D319,"000")),IF(H319="Serviço",CONCATENATE(TEXT(B319,"00"),".",TEXT(C319,"000"),".",TEXT(D319,"000"),".",TEXT(E319,"000")),"")))))</f>
        <v/>
      </c>
      <c r="J1102" s="139" t="inlineStr">
        <is>
          <t>Pintura Com Tinta Latex Acrilica com selador em Paredes Internas sobre Textura, 2 Demaos</t>
        </is>
      </c>
      <c r="K1102" s="47" t="inlineStr">
        <is>
          <t>m2</t>
        </is>
      </c>
      <c r="L1102" s="48">
        <f>L325</f>
        <v/>
      </c>
      <c r="M1102" s="48">
        <f>_xlfn.XLOOKUP($J319,CPU!$D$1:$D$31540,CPU!$H$1:$H$31540)</f>
        <v/>
      </c>
      <c r="N1102" s="49">
        <f>IF(H319="Serviço",M319*L319,IF(H319="CÉLULA CONSTRUTIVA",SUMIFS($N$8:$N$754,$B$8:$B$754,B319,$H$8:$H$754,"Serviço"),IF(H319="ETAPA",SUMIFS($N$8:$N$754,$B$8:$B$754,B319,$C$8:$C$754,C319,$H$8:$H$754,"Serviço"),IF(H319="SUBETAPA",SUMIFS($N$8:$N$754,$B$8:$B$754,B319,$C$8:$C$754,C319,$D$8:$D$754,D319,$H$8:$H$754,"Serviço"),0))))</f>
        <v/>
      </c>
      <c r="O1102" s="50" t="inlineStr">
        <is>
          <t>Ante câmara, escada, garagem</t>
        </is>
      </c>
      <c r="P1102" s="134" t="n"/>
      <c r="Q1102" s="129">
        <f>SUM(L319:L325)</f>
        <v/>
      </c>
      <c r="R1102" s="52" t="n"/>
      <c r="S1102" s="1" t="n"/>
      <c r="T1102" s="1" t="n"/>
      <c r="U1102" s="1" t="n"/>
      <c r="V1102" s="1" t="n"/>
      <c r="W1102" s="1" t="n"/>
      <c r="X1102" s="1" t="n"/>
      <c r="Y1102" s="1" t="n"/>
    </row>
    <row r="1103">
      <c r="A1103" s="121">
        <f>IF($H320="UNIDADE CONSTRUTIVA",OFFSET(A320,-1,0)+1,LARGE(A$3:A316,1))</f>
        <v/>
      </c>
      <c r="B1103" s="121">
        <f>IF(H320="UNIDADE CONSTRUTIVA",0,IF(H320="CÉLULA CONSTRUTIVA",OFFSET(B320,-1,0)+1,OFFSET(B320,-1,0)))</f>
        <v/>
      </c>
      <c r="C1103" s="121">
        <f>IF(H320="CÉLULA CONSTRUTIVA",0,IF(H320="ETAPA",OFFSET(C320,-1,0)+1,OFFSET(C320,-1,0)))</f>
        <v/>
      </c>
      <c r="D1103" s="122">
        <f>IF(H320="ETAPA",0,IF(H320="SUBETAPA",OFFSET(D320,-1,0)+1,OFFSET(D320,-1,0)))</f>
        <v/>
      </c>
      <c r="E1103" s="122">
        <f>IF(H320="Subetapa",0,IF(H320="serviço",OFFSET(E320,-1,0)+1,OFFSET(E320,-1,0)))</f>
        <v/>
      </c>
      <c r="F1103" s="123" t="n"/>
      <c r="G1103" s="135" t="inlineStr">
        <is>
          <t>SISTEMAS DE PINTURA INTERNA</t>
        </is>
      </c>
      <c r="H1103" s="44" t="inlineStr">
        <is>
          <t>SERVIÇO</t>
        </is>
      </c>
      <c r="I1103" s="45">
        <f>IF(H320="Unidade Construtiva",TEXT(A320,"00"),IF(H320="Célula Construtiva",TEXT(B320,"00"),IF(H320="Etapa",CONCATENATE(TEXT(B320,"00"),".",TEXT(C320,"000")),IF(H320="Subetapa",CONCATENATE(TEXT(B320,"00"),".",TEXT(C320,"000"),".",TEXT(D320,"000")),IF(H320="Serviço",CONCATENATE(TEXT(B320,"00"),".",TEXT(C320,"000"),".",TEXT(D320,"000"),".",TEXT(E320,"000")),"")))))</f>
        <v/>
      </c>
      <c r="J1103" s="139" t="inlineStr">
        <is>
          <t>Pintura Com Tinta Latex Acrilica com selador e massa em Paredes Internas, 3 Demaos</t>
        </is>
      </c>
      <c r="K1103" s="47" t="inlineStr">
        <is>
          <t>m2</t>
        </is>
      </c>
      <c r="L1103" s="48">
        <f>'Arquitetura Visus'!G349</f>
        <v/>
      </c>
      <c r="M1103" s="48">
        <f>_xlfn.XLOOKUP($J320,CPU!$D$1:$D$31540,CPU!$H$1:$H$31540)</f>
        <v/>
      </c>
      <c r="N1103" s="49">
        <f>IF(H320="Serviço",M320*L320,IF(H320="CÉLULA CONSTRUTIVA",SUMIFS($N$8:$N$754,$B$8:$B$754,B320,$H$8:$H$754,"Serviço"),IF(H320="ETAPA",SUMIFS($N$8:$N$754,$B$8:$B$754,B320,$C$8:$C$754,C320,$H$8:$H$754,"Serviço"),IF(H320="SUBETAPA",SUMIFS($N$8:$N$754,$B$8:$B$754,B320,$C$8:$C$754,C320,$D$8:$D$754,D320,$H$8:$H$754,"Serviço"),0))))</f>
        <v/>
      </c>
      <c r="O1103" s="50" t="inlineStr">
        <is>
          <t>Demais ambientes com pintura</t>
        </is>
      </c>
      <c r="P1103" s="134" t="n"/>
      <c r="Q1103" s="52" t="n"/>
      <c r="R1103" s="52" t="n"/>
      <c r="S1103" s="1" t="n"/>
      <c r="T1103" s="1" t="n"/>
      <c r="U1103" s="1" t="n"/>
      <c r="V1103" s="1" t="n"/>
      <c r="W1103" s="1" t="n"/>
      <c r="X1103" s="1" t="n"/>
      <c r="Y1103" s="1" t="n"/>
    </row>
    <row r="1104">
      <c r="A1104" s="121">
        <f>IF($H321="UNIDADE CONSTRUTIVA",OFFSET(A321,-1,0)+1,LARGE(A$3:A317,1))</f>
        <v/>
      </c>
      <c r="B1104" s="121">
        <f>IF(H321="UNIDADE CONSTRUTIVA",0,IF(H321="CÉLULA CONSTRUTIVA",OFFSET(B321,-1,0)+1,OFFSET(B321,-1,0)))</f>
        <v/>
      </c>
      <c r="C1104" s="121">
        <f>IF(H321="CÉLULA CONSTRUTIVA",0,IF(H321="ETAPA",OFFSET(C321,-1,0)+1,OFFSET(C321,-1,0)))</f>
        <v/>
      </c>
      <c r="D1104" s="122">
        <f>IF(H321="ETAPA",0,IF(H321="SUBETAPA",OFFSET(D321,-1,0)+1,OFFSET(D321,-1,0)))</f>
        <v/>
      </c>
      <c r="E1104" s="122">
        <f>IF(H321="Subetapa",0,IF(H321="serviço",OFFSET(E321,-1,0)+1,OFFSET(E321,-1,0)))</f>
        <v/>
      </c>
      <c r="F1104" s="123" t="n"/>
      <c r="G1104" s="135" t="inlineStr">
        <is>
          <t>SISTEMAS DE PINTURA INTERNA</t>
        </is>
      </c>
      <c r="H1104" s="44" t="inlineStr">
        <is>
          <t>SERVIÇO</t>
        </is>
      </c>
      <c r="I1104" s="45">
        <f>IF(H321="Unidade Construtiva",TEXT(A321,"00"),IF(H321="Célula Construtiva",TEXT(B321,"00"),IF(H321="Etapa",CONCATENATE(TEXT(B321,"00"),".",TEXT(C321,"000")),IF(H321="Subetapa",CONCATENATE(TEXT(B321,"00"),".",TEXT(C321,"000"),".",TEXT(D321,"000")),IF(H321="Serviço",CONCATENATE(TEXT(B321,"00"),".",TEXT(C321,"000"),".",TEXT(D321,"000"),".",TEXT(E321,"000")),"")))))</f>
        <v/>
      </c>
      <c r="J1104" s="139" t="inlineStr">
        <is>
          <t>Pintura Com Tinta Latex Acrilica em Paredes Internas, 3 Demaos</t>
        </is>
      </c>
      <c r="K1104" s="47" t="inlineStr">
        <is>
          <t>m2</t>
        </is>
      </c>
      <c r="L1104" s="48">
        <f>'Arquitetura Visus'!G350</f>
        <v/>
      </c>
      <c r="M1104" s="48">
        <f>_xlfn.XLOOKUP($J321,CPU!$D$1:$D$31540,CPU!$H$1:$H$31540)</f>
        <v/>
      </c>
      <c r="N1104" s="49">
        <f>IF(H321="Serviço",M321*L321,IF(H321="CÉLULA CONSTRUTIVA",SUMIFS($N$8:$N$754,$B$8:$B$754,B321,$H$8:$H$754,"Serviço"),IF(H321="ETAPA",SUMIFS($N$8:$N$754,$B$8:$B$754,B321,$C$8:$C$754,C321,$H$8:$H$754,"Serviço"),IF(H321="SUBETAPA",SUMIFS($N$8:$N$754,$B$8:$B$754,B321,$C$8:$C$754,C321,$D$8:$D$754,D321,$H$8:$H$754,"Serviço"),0))))</f>
        <v/>
      </c>
      <c r="O1104" s="50" t="inlineStr">
        <is>
          <t>Só pintura = DEA, DEF, ELEV</t>
        </is>
      </c>
      <c r="P1104" s="134" t="n"/>
      <c r="Q1104" s="52" t="n"/>
      <c r="R1104" s="52" t="n"/>
      <c r="S1104" s="1" t="n"/>
      <c r="T1104" s="1" t="n"/>
      <c r="U1104" s="1" t="n"/>
      <c r="V1104" s="1" t="n"/>
      <c r="W1104" s="1" t="n"/>
      <c r="X1104" s="1" t="n"/>
      <c r="Y1104" s="1" t="n"/>
    </row>
    <row r="1105">
      <c r="A1105" s="121">
        <f>IF($H322="UNIDADE CONSTRUTIVA",OFFSET(A322,-1,0)+1,LARGE(A$3:A318,1))</f>
        <v/>
      </c>
      <c r="B1105" s="121">
        <f>IF(H322="UNIDADE CONSTRUTIVA",0,IF(H322="CÉLULA CONSTRUTIVA",OFFSET(B322,-1,0)+1,OFFSET(B322,-1,0)))</f>
        <v/>
      </c>
      <c r="C1105" s="121">
        <f>IF(H322="CÉLULA CONSTRUTIVA",0,IF(H322="ETAPA",OFFSET(C322,-1,0)+1,OFFSET(C322,-1,0)))</f>
        <v/>
      </c>
      <c r="D1105" s="122">
        <f>IF(H322="ETAPA",0,IF(H322="SUBETAPA",OFFSET(D322,-1,0)+1,OFFSET(D322,-1,0)))</f>
        <v/>
      </c>
      <c r="E1105" s="122">
        <f>IF(H322="Subetapa",0,IF(H322="serviço",OFFSET(E322,-1,0)+1,OFFSET(E322,-1,0)))</f>
        <v/>
      </c>
      <c r="F1105" s="123" t="n"/>
      <c r="G1105" s="135" t="inlineStr">
        <is>
          <t>SISTEMAS DE PINTURA INTERNA</t>
        </is>
      </c>
      <c r="H1105" s="44" t="inlineStr">
        <is>
          <t>SERVIÇO</t>
        </is>
      </c>
      <c r="I1105" s="45">
        <f>IF(H322="Unidade Construtiva",TEXT(A322,"00"),IF(H322="Célula Construtiva",TEXT(B322,"00"),IF(H322="Etapa",CONCATENATE(TEXT(B322,"00"),".",TEXT(C322,"000")),IF(H322="Subetapa",CONCATENATE(TEXT(B322,"00"),".",TEXT(C322,"000"),".",TEXT(D322,"000")),IF(H322="Serviço",CONCATENATE(TEXT(B322,"00"),".",TEXT(C322,"000"),".",TEXT(D322,"000"),".",TEXT(E322,"000")),"")))))</f>
        <v/>
      </c>
      <c r="J1105" s="139" t="inlineStr">
        <is>
          <t>Pintura Com Tinta Epóxi em Paredes Internas, 3 Demaos</t>
        </is>
      </c>
      <c r="K1105" s="47" t="inlineStr">
        <is>
          <t>m2</t>
        </is>
      </c>
      <c r="L1105" s="48">
        <f>'Arquitetura Visus'!G331</f>
        <v/>
      </c>
      <c r="M1105" s="48">
        <f>_xlfn.XLOOKUP($J322,CPU!$D$1:$D$31540,CPU!$H$1:$H$31540)</f>
        <v/>
      </c>
      <c r="N1105" s="49">
        <f>IF(H322="Serviço",M322*L322,IF(H322="CÉLULA CONSTRUTIVA",SUMIFS($N$8:$N$754,$B$8:$B$754,B322,$H$8:$H$754,"Serviço"),IF(H322="ETAPA",SUMIFS($N$8:$N$754,$B$8:$B$754,B322,$C$8:$C$754,C322,$H$8:$H$754,"Serviço"),IF(H322="SUBETAPA",SUMIFS($N$8:$N$754,$B$8:$B$754,B322,$C$8:$C$754,C322,$D$8:$D$754,D322,$H$8:$H$754,"Serviço"),0))))</f>
        <v/>
      </c>
      <c r="O1105" s="50" t="inlineStr">
        <is>
          <t>Apenas banheiros, não incluindo a área do box (porcelanato)</t>
        </is>
      </c>
      <c r="P1105" s="134" t="n"/>
      <c r="Q1105" s="129">
        <f>L327+L329</f>
        <v/>
      </c>
      <c r="R1105" s="52" t="n"/>
      <c r="S1105" s="1" t="n"/>
      <c r="T1105" s="1" t="n"/>
      <c r="U1105" s="1" t="n"/>
      <c r="V1105" s="1" t="n"/>
      <c r="W1105" s="1" t="n"/>
      <c r="X1105" s="1" t="n"/>
      <c r="Y1105" s="1" t="n"/>
    </row>
    <row r="1106">
      <c r="A1106" s="121">
        <f>IF($H323="UNIDADE CONSTRUTIVA",OFFSET(A323,-1,0)+1,LARGE(A$3:A319,1))</f>
        <v/>
      </c>
      <c r="B1106" s="121">
        <f>IF(H323="UNIDADE CONSTRUTIVA",0,IF(H323="CÉLULA CONSTRUTIVA",OFFSET(B323,-1,0)+1,OFFSET(B323,-1,0)))</f>
        <v/>
      </c>
      <c r="C1106" s="121">
        <f>IF(H323="CÉLULA CONSTRUTIVA",0,IF(H323="ETAPA",OFFSET(C323,-1,0)+1,OFFSET(C323,-1,0)))</f>
        <v/>
      </c>
      <c r="D1106" s="122">
        <f>IF(H323="ETAPA",0,IF(H323="SUBETAPA",OFFSET(D323,-1,0)+1,OFFSET(D323,-1,0)))</f>
        <v/>
      </c>
      <c r="E1106" s="122">
        <f>IF(H323="Subetapa",0,IF(H323="serviço",OFFSET(E323,-1,0)+1,OFFSET(E323,-1,0)))</f>
        <v/>
      </c>
      <c r="F1106" s="123" t="n"/>
      <c r="G1106" s="135" t="inlineStr">
        <is>
          <t>SISTEMAS DE PINTURA INTERNA</t>
        </is>
      </c>
      <c r="H1106" s="44" t="inlineStr">
        <is>
          <t>SERVIÇO</t>
        </is>
      </c>
      <c r="I1106" s="45">
        <f>IF(H323="Unidade Construtiva",TEXT(A323,"00"),IF(H323="Célula Construtiva",TEXT(B323,"00"),IF(H323="Etapa",CONCATENATE(TEXT(B323,"00"),".",TEXT(C323,"000")),IF(H323="Subetapa",CONCATENATE(TEXT(B323,"00"),".",TEXT(C323,"000"),".",TEXT(D323,"000")),IF(H323="Serviço",CONCATENATE(TEXT(B323,"00"),".",TEXT(C323,"000"),".",TEXT(D323,"000"),".",TEXT(E323,"000")),"")))))</f>
        <v/>
      </c>
      <c r="J1106" s="139" t="inlineStr">
        <is>
          <t>Pintura Com Tinta Latex Acrilica em Paredes Internas Drywall, 3 Demaos</t>
        </is>
      </c>
      <c r="K1106" s="47" t="inlineStr">
        <is>
          <t>m2</t>
        </is>
      </c>
      <c r="L1106" s="48">
        <f>'Arquitetura Visus'!G330</f>
        <v/>
      </c>
      <c r="M1106" s="48">
        <f>_xlfn.XLOOKUP($J323,CPU!$D$1:$D$31540,CPU!$H$1:$H$31540)</f>
        <v/>
      </c>
      <c r="N1106" s="49">
        <f>IF(H323="Serviço",M323*L323,IF(H323="CÉLULA CONSTRUTIVA",SUMIFS($N$8:$N$754,$B$8:$B$754,B323,$H$8:$H$754,"Serviço"),IF(H323="ETAPA",SUMIFS($N$8:$N$754,$B$8:$B$754,B323,$C$8:$C$754,C323,$H$8:$H$754,"Serviço"),IF(H323="SUBETAPA",SUMIFS($N$8:$N$754,$B$8:$B$754,B323,$C$8:$C$754,C323,$D$8:$D$754,D323,$H$8:$H$754,"Serviço"),0))))</f>
        <v/>
      </c>
      <c r="O1106" s="50" t="n"/>
      <c r="P1106" s="134" t="n"/>
      <c r="Q1106" s="52" t="n"/>
      <c r="R1106" s="52" t="n"/>
      <c r="S1106" s="1" t="n"/>
      <c r="T1106" s="1" t="n"/>
      <c r="U1106" s="1" t="n"/>
      <c r="V1106" s="1" t="n"/>
      <c r="W1106" s="1" t="n"/>
      <c r="X1106" s="1" t="n"/>
      <c r="Y1106" s="1" t="n"/>
    </row>
    <row r="1107">
      <c r="A1107" s="121">
        <f>IF($H324="UNIDADE CONSTRUTIVA",OFFSET(A324,-1,0)+1,LARGE(A$3:A322,1))</f>
        <v/>
      </c>
      <c r="B1107" s="121">
        <f>IF(H324="UNIDADE CONSTRUTIVA",0,IF(H324="CÉLULA CONSTRUTIVA",OFFSET(B324,-1,0)+1,OFFSET(B324,-1,0)))</f>
        <v/>
      </c>
      <c r="C1107" s="121">
        <f>IF(H324="CÉLULA CONSTRUTIVA",0,IF(H324="ETAPA",OFFSET(C324,-1,0)+1,OFFSET(C324,-1,0)))</f>
        <v/>
      </c>
      <c r="D1107" s="122">
        <f>IF(H324="ETAPA",0,IF(H324="SUBETAPA",OFFSET(D324,-1,0)+1,OFFSET(D324,-1,0)))</f>
        <v/>
      </c>
      <c r="E1107" s="122">
        <f>IF(H324="Subetapa",0,IF(H324="serviço",OFFSET(E324,-1,0)+1,OFFSET(E324,-1,0)))</f>
        <v/>
      </c>
      <c r="F1107" s="123" t="n"/>
      <c r="G1107" s="135" t="inlineStr">
        <is>
          <t>SISTEMAS DE PINTURA INTERNA</t>
        </is>
      </c>
      <c r="H1107" s="44" t="inlineStr">
        <is>
          <t>SERVIÇO</t>
        </is>
      </c>
      <c r="I1107" s="45">
        <f>IF(H324="Unidade Construtiva",TEXT(A324,"00"),IF(H324="Célula Construtiva",TEXT(B324,"00"),IF(H324="Etapa",CONCATENATE(TEXT(B324,"00"),".",TEXT(C324,"000")),IF(H324="Subetapa",CONCATENATE(TEXT(B324,"00"),".",TEXT(C324,"000"),".",TEXT(D324,"000")),IF(H324="Serviço",CONCATENATE(TEXT(B324,"00"),".",TEXT(C324,"000"),".",TEXT(D324,"000"),".",TEXT(E324,"000")),"")))))</f>
        <v/>
      </c>
      <c r="J1107" s="51" t="inlineStr">
        <is>
          <t>Pintura de rodapé com tinta epóxi, aplicação manual, 2 demãos, inclusão primer epóxi</t>
        </is>
      </c>
      <c r="K1107" s="47" t="inlineStr">
        <is>
          <t>m2</t>
        </is>
      </c>
      <c r="L1107" s="48">
        <f>SUM('Arquitetura Visus'!D272:D273)*0.15</f>
        <v/>
      </c>
      <c r="M1107" s="48">
        <f>_xlfn.XLOOKUP($J324,CPU!$D$1:$D$31540,CPU!$H$1:$H$31540)</f>
        <v/>
      </c>
      <c r="N1107" s="49">
        <f>IF(H324="Serviço",M324*L324,IF(H324="CÉLULA CONSTRUTIVA",SUMIFS($N$8:$N$754,$B$8:$B$754,B324,$H$8:$H$754,"Serviço"),IF(H324="ETAPA",SUMIFS($N$8:$N$754,$B$8:$B$754,B324,$C$8:$C$754,C324,$H$8:$H$754,"Serviço"),IF(H324="SUBETAPA",SUMIFS($N$8:$N$754,$B$8:$B$754,B324,$C$8:$C$754,C324,$D$8:$D$754,D324,$H$8:$H$754,"Serviço"),0))))</f>
        <v/>
      </c>
      <c r="O1107" s="50" t="inlineStr">
        <is>
          <t>15cm de altura</t>
        </is>
      </c>
      <c r="P1107" s="134" t="n"/>
      <c r="Q1107" s="52" t="n"/>
      <c r="R1107" s="52" t="n"/>
      <c r="S1107" s="1" t="n"/>
      <c r="T1107" s="1" t="n"/>
      <c r="U1107" s="1" t="n"/>
      <c r="V1107" s="1" t="n"/>
      <c r="W1107" s="1" t="n"/>
      <c r="X1107" s="1" t="n"/>
      <c r="Y1107" s="1" t="n"/>
    </row>
    <row r="1108">
      <c r="A1108" s="121">
        <f>IF($H325="UNIDADE CONSTRUTIVA",OFFSET(A325,-1,0)+1,LARGE(A$3:A317,1))</f>
        <v/>
      </c>
      <c r="B1108" s="121">
        <f>IF(H325="UNIDADE CONSTRUTIVA",0,IF(H325="CÉLULA CONSTRUTIVA",OFFSET(B325,-1,0)+1,OFFSET(B325,-1,0)))</f>
        <v/>
      </c>
      <c r="C1108" s="121">
        <f>IF(H325="CÉLULA CONSTRUTIVA",0,IF(H325="ETAPA",OFFSET(C325,-1,0)+1,OFFSET(C325,-1,0)))</f>
        <v/>
      </c>
      <c r="D1108" s="122">
        <f>IF(H325="ETAPA",0,IF(H325="SUBETAPA",OFFSET(D325,-1,0)+1,OFFSET(D325,-1,0)))</f>
        <v/>
      </c>
      <c r="E1108" s="122">
        <f>IF(H325="Subetapa",0,IF(H325="serviço",OFFSET(E325,-1,0)+1,OFFSET(E325,-1,0)))</f>
        <v/>
      </c>
      <c r="F1108" s="123" t="n"/>
      <c r="G1108" s="135" t="inlineStr">
        <is>
          <t>SISTEMAS DE PINTURA INTERNA</t>
        </is>
      </c>
      <c r="H1108" s="44" t="inlineStr">
        <is>
          <t>SERVIÇO</t>
        </is>
      </c>
      <c r="I1108" s="45">
        <f>IF(H325="Unidade Construtiva",TEXT(A325,"00"),IF(H325="Célula Construtiva",TEXT(B325,"00"),IF(H325="Etapa",CONCATENATE(TEXT(B325,"00"),".",TEXT(C325,"000")),IF(H325="Subetapa",CONCATENATE(TEXT(B325,"00"),".",TEXT(C325,"000"),".",TEXT(D325,"000")),IF(H325="Serviço",CONCATENATE(TEXT(B325,"00"),".",TEXT(C325,"000"),".",TEXT(D325,"000"),".",TEXT(E325,"000")),"")))))</f>
        <v/>
      </c>
      <c r="J1108" s="139" t="inlineStr">
        <is>
          <t>Textura acrílica aplicação em paredes internas, 1 demão</t>
        </is>
      </c>
      <c r="K1108" s="47" t="inlineStr">
        <is>
          <t>m2</t>
        </is>
      </c>
      <c r="L1108" s="48">
        <f>SUM('Arquitetura Visus'!D391:D394)</f>
        <v/>
      </c>
      <c r="M1108" s="48">
        <f>_xlfn.XLOOKUP($J325,CPU!$D$1:$D$31540,CPU!$H$1:$H$31540)</f>
        <v/>
      </c>
      <c r="N1108" s="49">
        <f>IF(H325="Serviço",M325*L325,IF(H325="CÉLULA CONSTRUTIVA",SUMIFS($N$8:$N$754,$B$8:$B$754,B325,$H$8:$H$754,"Serviço"),IF(H325="ETAPA",SUMIFS($N$8:$N$754,$B$8:$B$754,B325,$C$8:$C$754,C325,$H$8:$H$754,"Serviço"),IF(H325="SUBETAPA",SUMIFS($N$8:$N$754,$B$8:$B$754,B325,$C$8:$C$754,C325,$D$8:$D$754,D325,$H$8:$H$754,"Serviço"),0))))</f>
        <v/>
      </c>
      <c r="O1108" s="50" t="n"/>
      <c r="P1108" s="134" t="n"/>
      <c r="Q1108" s="52" t="n"/>
      <c r="R1108" s="52" t="n"/>
      <c r="S1108" s="1" t="n"/>
      <c r="T1108" s="1" t="n"/>
      <c r="U1108" s="1" t="n"/>
      <c r="V1108" s="1" t="n"/>
      <c r="W1108" s="1" t="n"/>
      <c r="X1108" s="1" t="n"/>
      <c r="Y1108" s="1" t="n"/>
    </row>
    <row r="1109">
      <c r="A1109" s="121">
        <f>IF($H326="UNIDADE CONSTRUTIVA",OFFSET(A326,-1,0)+1,LARGE(A$3:A325,1))</f>
        <v/>
      </c>
      <c r="B1109" s="121">
        <f>IF(H326="UNIDADE CONSTRUTIVA",0,IF(H326="CÉLULA CONSTRUTIVA",OFFSET(B326,-1,0)+1,OFFSET(B326,-1,0)))</f>
        <v/>
      </c>
      <c r="C1109" s="121">
        <f>IF(H326="CÉLULA CONSTRUTIVA",0,IF(H326="ETAPA",OFFSET(C326,-1,0)+1,OFFSET(C326,-1,0)))</f>
        <v/>
      </c>
      <c r="D1109" s="122">
        <f>IF(H326="ETAPA",0,IF(H326="SUBETAPA",OFFSET(D326,-1,0)+1,OFFSET(D326,-1,0)))</f>
        <v/>
      </c>
      <c r="E1109" s="122">
        <f>IF(H326="Subetapa",0,IF(H326="serviço",OFFSET(E326,-1,0)+1,OFFSET(E326,-1,0)))</f>
        <v/>
      </c>
      <c r="F1109" s="123" t="n"/>
      <c r="G1109" s="135" t="n"/>
      <c r="H1109" s="44" t="inlineStr">
        <is>
          <t>SUBETAPA</t>
        </is>
      </c>
      <c r="I1109" s="45">
        <f>IF(H326="Unidade Construtiva",TEXT(A326,"00"),IF(H326="Célula Construtiva",TEXT(B326,"00"),IF(H326="Etapa",CONCATENATE(TEXT(B326,"00"),".",TEXT(C326,"000")),IF(H326="Subetapa",CONCATENATE(TEXT(B326,"00"),".",TEXT(C326,"000"),".",TEXT(D326,"000")),IF(H326="Serviço",CONCATENATE(TEXT(B326,"00"),".",TEXT(C326,"000"),".",TEXT(D326,"000"),".",TEXT(E326,"000")),"")))))</f>
        <v/>
      </c>
      <c r="J1109" s="51" t="inlineStr">
        <is>
          <t>Sistema de pintura em teto</t>
        </is>
      </c>
      <c r="K1109" s="47" t="n"/>
      <c r="L1109" s="48" t="n"/>
      <c r="M1109" s="48" t="n"/>
      <c r="N1109" s="49">
        <f>IF(H326="Serviço",M326*L326,IF(H326="CÉLULA CONSTRUTIVA",SUMIFS($N$8:$N$754,$B$8:$B$754,B326,$H$8:$H$754,"Serviço"),IF(H326="ETAPA",SUMIFS($N$8:$N$754,$B$8:$B$754,B326,$C$8:$C$754,C326,$H$8:$H$754,"Serviço"),IF(H326="SUBETAPA",SUMIFS($N$8:$N$754,$B$8:$B$754,B326,$C$8:$C$754,C326,$D$8:$D$754,D326,$H$8:$H$754,"Serviço"),0))))</f>
        <v/>
      </c>
      <c r="O1109" s="50">
        <f>N326/CAPA!C$10</f>
        <v/>
      </c>
      <c r="P1109" s="136">
        <f>SUM(L327:L329)</f>
        <v/>
      </c>
      <c r="Q1109" s="52" t="n"/>
      <c r="R1109" s="52" t="n"/>
      <c r="S1109" s="1" t="n"/>
      <c r="T1109" s="1" t="n"/>
      <c r="U1109" s="1" t="n"/>
      <c r="V1109" s="1" t="n"/>
      <c r="W1109" s="1" t="n"/>
      <c r="X1109" s="1" t="n"/>
      <c r="Y1109" s="1" t="n"/>
    </row>
    <row r="1110">
      <c r="A1110" s="121">
        <f>IF($H327="UNIDADE CONSTRUTIVA",OFFSET(A327,-1,0)+1,LARGE(A$3:A326,1))</f>
        <v/>
      </c>
      <c r="B1110" s="121">
        <f>IF(H327="UNIDADE CONSTRUTIVA",0,IF(H327="CÉLULA CONSTRUTIVA",OFFSET(B327,-1,0)+1,OFFSET(B327,-1,0)))</f>
        <v/>
      </c>
      <c r="C1110" s="121">
        <f>IF(H327="CÉLULA CONSTRUTIVA",0,IF(H327="ETAPA",OFFSET(C327,-1,0)+1,OFFSET(C327,-1,0)))</f>
        <v/>
      </c>
      <c r="D1110" s="122">
        <f>IF(H327="ETAPA",0,IF(H327="SUBETAPA",OFFSET(D327,-1,0)+1,OFFSET(D327,-1,0)))</f>
        <v/>
      </c>
      <c r="E1110" s="122">
        <f>IF(H327="Subetapa",0,IF(H327="serviço",OFFSET(E327,-1,0)+1,OFFSET(E327,-1,0)))</f>
        <v/>
      </c>
      <c r="F1110" s="123" t="n"/>
      <c r="G1110" s="135" t="inlineStr">
        <is>
          <t>SISTEMAS DE PINTURA INTERNA</t>
        </is>
      </c>
      <c r="H1110" s="44" t="inlineStr">
        <is>
          <t>SERVIÇO</t>
        </is>
      </c>
      <c r="I1110" s="45">
        <f>IF(H327="Unidade Construtiva",TEXT(A327,"00"),IF(H327="Célula Construtiva",TEXT(B327,"00"),IF(H327="Etapa",CONCATENATE(TEXT(B327,"00"),".",TEXT(C327,"000")),IF(H327="Subetapa",CONCATENATE(TEXT(B327,"00"),".",TEXT(C327,"000"),".",TEXT(D327,"000")),IF(H327="Serviço",CONCATENATE(TEXT(B327,"00"),".",TEXT(C327,"000"),".",TEXT(D327,"000"),".",TEXT(E327,"000")),"")))))</f>
        <v/>
      </c>
      <c r="J1110" s="51" t="inlineStr">
        <is>
          <t>Pintura Com Tinta Latex Acrilica em tetos, 3 Demaos (Somente tinta e fundo)</t>
        </is>
      </c>
      <c r="K1110" s="47" t="inlineStr">
        <is>
          <t>m2</t>
        </is>
      </c>
      <c r="L1110" s="48">
        <f>'Arquitetura Visus'!G300</f>
        <v/>
      </c>
      <c r="M1110" s="48">
        <f>_xlfn.XLOOKUP($J327,CPU!$D$1:$D$31540,CPU!$H$1:$H$31540)</f>
        <v/>
      </c>
      <c r="N1110" s="49">
        <f>IF(H327="Serviço",M327*L327,IF(H327="CÉLULA CONSTRUTIVA",SUMIFS($N$8:$N$754,$B$8:$B$754,B327,$H$8:$H$754,"Serviço"),IF(H327="ETAPA",SUMIFS($N$8:$N$754,$B$8:$B$754,B327,$C$8:$C$754,C327,$H$8:$H$754,"Serviço"),IF(H327="SUBETAPA",SUMIFS($N$8:$N$754,$B$8:$B$754,B327,$C$8:$C$754,C327,$D$8:$D$754,D327,$H$8:$H$754,"Serviço"),0))))</f>
        <v/>
      </c>
      <c r="O1110" s="50" t="n"/>
      <c r="P1110" s="136" t="n"/>
      <c r="Q1110" s="52" t="n"/>
      <c r="R1110" s="52" t="n"/>
      <c r="S1110" s="1" t="n"/>
      <c r="T1110" s="1" t="n"/>
      <c r="U1110" s="1" t="n"/>
      <c r="V1110" s="1" t="n"/>
      <c r="W1110" s="1" t="n"/>
      <c r="X1110" s="1" t="n"/>
      <c r="Y1110" s="1" t="n"/>
    </row>
    <row r="1111">
      <c r="A1111" s="121">
        <f>IF($H328="UNIDADE CONSTRUTIVA",OFFSET(A328,-1,0)+1,LARGE(A$3:A327,1))</f>
        <v/>
      </c>
      <c r="B1111" s="121">
        <f>IF(H328="UNIDADE CONSTRUTIVA",0,IF(H328="CÉLULA CONSTRUTIVA",OFFSET(B328,-1,0)+1,OFFSET(B328,-1,0)))</f>
        <v/>
      </c>
      <c r="C1111" s="121">
        <f>IF(H328="CÉLULA CONSTRUTIVA",0,IF(H328="ETAPA",OFFSET(C328,-1,0)+1,OFFSET(C328,-1,0)))</f>
        <v/>
      </c>
      <c r="D1111" s="122">
        <f>IF(H328="ETAPA",0,IF(H328="SUBETAPA",OFFSET(D328,-1,0)+1,OFFSET(D328,-1,0)))</f>
        <v/>
      </c>
      <c r="E1111" s="122">
        <f>IF(H328="Subetapa",0,IF(H328="serviço",OFFSET(E328,-1,0)+1,OFFSET(E328,-1,0)))</f>
        <v/>
      </c>
      <c r="F1111" s="123" t="n"/>
      <c r="G1111" s="135" t="inlineStr">
        <is>
          <t>SISTEMAS DE PINTURA INTERNA</t>
        </is>
      </c>
      <c r="H1111" s="44" t="inlineStr">
        <is>
          <t>SERVIÇO</t>
        </is>
      </c>
      <c r="I1111" s="45">
        <f>IF(H328="Unidade Construtiva",TEXT(A328,"00"),IF(H328="Célula Construtiva",TEXT(B328,"00"),IF(H328="Etapa",CONCATENATE(TEXT(B328,"00"),".",TEXT(C328,"000")),IF(H328="Subetapa",CONCATENATE(TEXT(B328,"00"),".",TEXT(C328,"000"),".",TEXT(D328,"000")),IF(H328="Serviço",CONCATENATE(TEXT(B328,"00"),".",TEXT(C328,"000"),".",TEXT(D328,"000"),".",TEXT(E328,"000")),"")))))</f>
        <v/>
      </c>
      <c r="J1111" s="51" t="inlineStr">
        <is>
          <t>Pintura com tinta epóxi em teto</t>
        </is>
      </c>
      <c r="K1111" s="47" t="inlineStr">
        <is>
          <t>m2</t>
        </is>
      </c>
      <c r="L1111" s="48">
        <f>'Arquitetura Visus'!G299</f>
        <v/>
      </c>
      <c r="M1111" s="48">
        <f>_xlfn.XLOOKUP($J328,CPU!$D$1:$D$31540,CPU!$H$1:$H$31540)</f>
        <v/>
      </c>
      <c r="N1111" s="49">
        <f>IF(H328="Serviço",M328*L328,IF(H328="CÉLULA CONSTRUTIVA",SUMIFS($N$8:$N$754,$B$8:$B$754,B328,$H$8:$H$754,"Serviço"),IF(H328="ETAPA",SUMIFS($N$8:$N$754,$B$8:$B$754,B328,$C$8:$C$754,C328,$H$8:$H$754,"Serviço"),IF(H328="SUBETAPA",SUMIFS($N$8:$N$754,$B$8:$B$754,B328,$C$8:$C$754,C328,$D$8:$D$754,D328,$H$8:$H$754,"Serviço"),0))))</f>
        <v/>
      </c>
      <c r="O1111" s="50" t="inlineStr">
        <is>
          <t>Banheiros</t>
        </is>
      </c>
      <c r="P1111" s="136" t="n"/>
      <c r="Q1111" s="52" t="n"/>
      <c r="R1111" s="52" t="n"/>
      <c r="S1111" s="1" t="n"/>
      <c r="T1111" s="1" t="n"/>
      <c r="U1111" s="1" t="n"/>
      <c r="V1111" s="1" t="n"/>
      <c r="W1111" s="1" t="n"/>
      <c r="X1111" s="1" t="n"/>
      <c r="Y1111" s="1" t="n"/>
    </row>
    <row r="1112">
      <c r="A1112" s="121">
        <f>IF($H329="UNIDADE CONSTRUTIVA",OFFSET(A329,-1,0)+1,LARGE(A$3:A327,1))</f>
        <v/>
      </c>
      <c r="B1112" s="121">
        <f>IF(H329="UNIDADE CONSTRUTIVA",0,IF(H329="CÉLULA CONSTRUTIVA",OFFSET(B329,-1,0)+1,OFFSET(B329,-1,0)))</f>
        <v/>
      </c>
      <c r="C1112" s="121">
        <f>IF(H329="CÉLULA CONSTRUTIVA",0,IF(H329="ETAPA",OFFSET(C329,-1,0)+1,OFFSET(C329,-1,0)))</f>
        <v/>
      </c>
      <c r="D1112" s="122">
        <f>IF(H329="ETAPA",0,IF(H329="SUBETAPA",OFFSET(D329,-1,0)+1,OFFSET(D329,-1,0)))</f>
        <v/>
      </c>
      <c r="E1112" s="122">
        <f>IF(H329="Subetapa",0,IF(H329="serviço",OFFSET(E329,-1,0)+1,OFFSET(E329,-1,0)))</f>
        <v/>
      </c>
      <c r="F1112" s="123" t="n"/>
      <c r="G1112" s="135" t="inlineStr">
        <is>
          <t>SISTEMAS DE PINTURA INTERNA</t>
        </is>
      </c>
      <c r="H1112" s="44" t="inlineStr">
        <is>
          <t>SERVIÇO</t>
        </is>
      </c>
      <c r="I1112" s="45">
        <f>IF(H329="Unidade Construtiva",TEXT(A329,"00"),IF(H329="Célula Construtiva",TEXT(B329,"00"),IF(H329="Etapa",CONCATENATE(TEXT(B329,"00"),".",TEXT(C329,"000")),IF(H329="Subetapa",CONCATENATE(TEXT(B329,"00"),".",TEXT(C329,"000"),".",TEXT(D329,"000")),IF(H329="Serviço",CONCATENATE(TEXT(B329,"00"),".",TEXT(C329,"000"),".",TEXT(D329,"000"),".",TEXT(E329,"000")),"")))))</f>
        <v/>
      </c>
      <c r="J1112" s="51" t="inlineStr">
        <is>
          <t>Textura acrílica aplicação em tetos, 1 demão (incluso tinta)</t>
        </is>
      </c>
      <c r="K1112" s="47" t="inlineStr">
        <is>
          <t>m2</t>
        </is>
      </c>
      <c r="L1112" s="48">
        <f>'Arquitetura Visus'!G301+'Arquitetura Visus'!D489</f>
        <v/>
      </c>
      <c r="M1112" s="48">
        <f>_xlfn.XLOOKUP($J329,CPU!$D$1:$D$31540,CPU!$H$1:$H$31540)</f>
        <v/>
      </c>
      <c r="N1112" s="49">
        <f>IF(H329="Serviço",M329*L329,IF(H329="CÉLULA CONSTRUTIVA",SUMIFS($N$8:$N$754,$B$8:$B$754,B329,$H$8:$H$754,"Serviço"),IF(H329="ETAPA",SUMIFS($N$8:$N$754,$B$8:$B$754,B329,$C$8:$C$754,C329,$H$8:$H$754,"Serviço"),IF(H329="SUBETAPA",SUMIFS($N$8:$N$754,$B$8:$B$754,B329,$C$8:$C$754,C329,$D$8:$D$754,D329,$H$8:$H$754,"Serviço"),0))))</f>
        <v/>
      </c>
      <c r="O1112" s="50" t="n"/>
      <c r="P1112" s="134" t="n"/>
      <c r="Q1112" s="52" t="n"/>
      <c r="R1112" s="52" t="n"/>
      <c r="S1112" s="1" t="n"/>
      <c r="T1112" s="1" t="n"/>
      <c r="U1112" s="1" t="n"/>
      <c r="V1112" s="1" t="n"/>
      <c r="W1112" s="1" t="n"/>
      <c r="X1112" s="1" t="n"/>
      <c r="Y1112" s="1" t="n"/>
    </row>
    <row r="1113">
      <c r="A1113" s="121">
        <f>IF($H330="UNIDADE CONSTRUTIVA",OFFSET(A330,-1,0)+1,LARGE(A$3:A329,1))</f>
        <v/>
      </c>
      <c r="B1113" s="121">
        <f>IF(H330="UNIDADE CONSTRUTIVA",0,IF(H330="CÉLULA CONSTRUTIVA",OFFSET(B330,-1,0)+1,OFFSET(B330,-1,0)))</f>
        <v/>
      </c>
      <c r="C1113" s="121">
        <f>IF(H330="CÉLULA CONSTRUTIVA",0,IF(H330="ETAPA",OFFSET(C330,-1,0)+1,OFFSET(C330,-1,0)))</f>
        <v/>
      </c>
      <c r="D1113" s="122">
        <f>IF(H330="ETAPA",0,IF(H330="SUBETAPA",OFFSET(D330,-1,0)+1,OFFSET(D330,-1,0)))</f>
        <v/>
      </c>
      <c r="E1113" s="122">
        <f>IF(H330="Subetapa",0,IF(H330="serviço",OFFSET(E330,-1,0)+1,OFFSET(E330,-1,0)))</f>
        <v/>
      </c>
      <c r="F1113" s="123" t="n"/>
      <c r="G1113" s="135" t="n"/>
      <c r="H1113" s="44" t="inlineStr">
        <is>
          <t>SUBETAPA</t>
        </is>
      </c>
      <c r="I1113" s="45">
        <f>IF(H330="Unidade Construtiva",TEXT(A330,"00"),IF(H330="Célula Construtiva",TEXT(B330,"00"),IF(H330="Etapa",CONCATENATE(TEXT(B330,"00"),".",TEXT(C330,"000")),IF(H330="Subetapa",CONCATENATE(TEXT(B330,"00"),".",TEXT(C330,"000"),".",TEXT(D330,"000")),IF(H330="Serviço",CONCATENATE(TEXT(B330,"00"),".",TEXT(C330,"000"),".",TEXT(D330,"000"),".",TEXT(E330,"000")),"")))))</f>
        <v/>
      </c>
      <c r="J1113" s="51" t="inlineStr">
        <is>
          <t>Pinturas diversas</t>
        </is>
      </c>
      <c r="K1113" s="47" t="n"/>
      <c r="L1113" s="48" t="n"/>
      <c r="M1113" s="48" t="n"/>
      <c r="N1113" s="49">
        <f>IF(H330="Serviço",M330*L330,IF(H330="CÉLULA CONSTRUTIVA",SUMIFS($N$8:$N$754,$B$8:$B$754,B330,$H$8:$H$754,"Serviço"),IF(H330="ETAPA",SUMIFS($N$8:$N$754,$B$8:$B$754,B330,$C$8:$C$754,C330,$H$8:$H$754,"Serviço"),IF(H330="SUBETAPA",SUMIFS($N$8:$N$754,$B$8:$B$754,B330,$C$8:$C$754,C330,$D$8:$D$754,D330,$H$8:$H$754,"Serviço"),0))))</f>
        <v/>
      </c>
      <c r="O1113" s="50">
        <f>N330/CAPA!C$10</f>
        <v/>
      </c>
      <c r="P1113" s="134" t="n"/>
      <c r="Q1113" s="52" t="n"/>
      <c r="R1113" s="52" t="n"/>
      <c r="S1113" s="1" t="n"/>
      <c r="T1113" s="1" t="n"/>
      <c r="U1113" s="1" t="n"/>
      <c r="V1113" s="1" t="n"/>
      <c r="W1113" s="1" t="n"/>
      <c r="X1113" s="1" t="n"/>
      <c r="Y1113" s="1" t="n"/>
    </row>
    <row r="1114">
      <c r="A1114" s="121">
        <f>IF($H331="UNIDADE CONSTRUTIVA",OFFSET(A331,-1,0)+1,LARGE(A$3:A330,1))</f>
        <v/>
      </c>
      <c r="B1114" s="121">
        <f>IF(H331="UNIDADE CONSTRUTIVA",0,IF(H331="CÉLULA CONSTRUTIVA",OFFSET(B331,-1,0)+1,OFFSET(B331,-1,0)))</f>
        <v/>
      </c>
      <c r="C1114" s="121">
        <f>IF(H331="CÉLULA CONSTRUTIVA",0,IF(H331="ETAPA",OFFSET(C331,-1,0)+1,OFFSET(C331,-1,0)))</f>
        <v/>
      </c>
      <c r="D1114" s="122">
        <f>IF(H331="ETAPA",0,IF(H331="SUBETAPA",OFFSET(D331,-1,0)+1,OFFSET(D331,-1,0)))</f>
        <v/>
      </c>
      <c r="E1114" s="122">
        <f>IF(H331="Subetapa",0,IF(H331="serviço",OFFSET(E331,-1,0)+1,OFFSET(E331,-1,0)))</f>
        <v/>
      </c>
      <c r="F1114" s="123" t="n"/>
      <c r="G1114" s="135" t="inlineStr">
        <is>
          <t>SISTEMAS DE PINTURA INTERNA</t>
        </is>
      </c>
      <c r="H1114" s="44" t="inlineStr">
        <is>
          <t>SERVIÇO</t>
        </is>
      </c>
      <c r="I1114" s="45">
        <f>IF(H331="Unidade Construtiva",TEXT(A331,"00"),IF(H331="Célula Construtiva",TEXT(B331,"00"),IF(H331="Etapa",CONCATENATE(TEXT(B331,"00"),".",TEXT(C331,"000")),IF(H331="Subetapa",CONCATENATE(TEXT(B331,"00"),".",TEXT(C331,"000"),".",TEXT(D331,"000")),IF(H331="Serviço",CONCATENATE(TEXT(B331,"00"),".",TEXT(C331,"000"),".",TEXT(D331,"000"),".",TEXT(E331,"000")),"")))))</f>
        <v/>
      </c>
      <c r="J1114" s="51" t="inlineStr">
        <is>
          <t>Pintura de tubulações aparentes da garagem</t>
        </is>
      </c>
      <c r="K1114" s="47" t="inlineStr">
        <is>
          <t>vb</t>
        </is>
      </c>
      <c r="L1114" s="48" t="n">
        <v>1</v>
      </c>
      <c r="M1114" s="48">
        <f>350*PI()*0.05*2*(70.81+55)</f>
        <v/>
      </c>
      <c r="N1114" s="49">
        <f>IF(H331="Serviço",M331*L331,IF(H331="CÉLULA CONSTRUTIVA",SUMIFS($N$8:$N$754,$B$8:$B$754,B331,$H$8:$H$754,"Serviço"),IF(H331="ETAPA",SUMIFS($N$8:$N$754,$B$8:$B$754,B331,$C$8:$C$754,C331,$H$8:$H$754,"Serviço"),IF(H331="SUBETAPA",SUMIFS($N$8:$N$754,$B$8:$B$754,B331,$C$8:$C$754,C331,$D$8:$D$754,D331,$H$8:$H$754,"Serviço"),0))))</f>
        <v/>
      </c>
      <c r="O1114" s="50" t="inlineStr">
        <is>
          <t>Pintura das tubulações aparentes horizontais das garagens, estimativa baseada nas tubulações do projeto hidrossanitário</t>
        </is>
      </c>
      <c r="P1114" s="134" t="n"/>
      <c r="Q1114" s="52" t="n"/>
      <c r="R1114" s="52" t="n"/>
      <c r="S1114" s="1" t="n"/>
      <c r="T1114" s="1" t="n"/>
      <c r="U1114" s="1" t="n"/>
      <c r="V1114" s="1" t="n"/>
      <c r="W1114" s="1" t="n"/>
      <c r="X1114" s="1" t="n"/>
      <c r="Y1114" s="1" t="n"/>
    </row>
    <row r="1115">
      <c r="A1115" s="121">
        <f>IF($H332="UNIDADE CONSTRUTIVA",OFFSET(A332,-1,0)+1,LARGE(A$3:A329,1))</f>
        <v/>
      </c>
      <c r="B1115" s="121">
        <f>IF(H332="UNIDADE CONSTRUTIVA",0,IF(H332="CÉLULA CONSTRUTIVA",OFFSET(B332,-1,0)+1,OFFSET(B332,-1,0)))</f>
        <v/>
      </c>
      <c r="C1115" s="121">
        <f>IF(H332="CÉLULA CONSTRUTIVA",0,IF(H332="ETAPA",OFFSET(C332,-1,0)+1,OFFSET(C332,-1,0)))</f>
        <v/>
      </c>
      <c r="D1115" s="122">
        <f>IF(H332="ETAPA",0,IF(H332="SUBETAPA",OFFSET(D332,-1,0)+1,OFFSET(D332,-1,0)))</f>
        <v/>
      </c>
      <c r="E1115" s="122">
        <f>IF(H332="Subetapa",0,IF(H332="serviço",OFFSET(E332,-1,0)+1,OFFSET(E332,-1,0)))</f>
        <v/>
      </c>
      <c r="F1115" s="123" t="n"/>
      <c r="G1115" s="135" t="n"/>
      <c r="H1115" s="44" t="inlineStr">
        <is>
          <t>SUBETAPA</t>
        </is>
      </c>
      <c r="I1115" s="45">
        <f>IF(H332="Unidade Construtiva",TEXT(A332,"00"),IF(H332="Célula Construtiva",TEXT(B332,"00"),IF(H332="Etapa",CONCATENATE(TEXT(B332,"00"),".",TEXT(C332,"000")),IF(H332="Subetapa",CONCATENATE(TEXT(B332,"00"),".",TEXT(C332,"000"),".",TEXT(D332,"000")),IF(H332="Serviço",CONCATENATE(TEXT(B332,"00"),".",TEXT(C332,"000"),".",TEXT(D332,"000"),".",TEXT(E332,"000")),"")))))</f>
        <v/>
      </c>
      <c r="J1115" s="51" t="inlineStr">
        <is>
          <t>Mão de obra</t>
        </is>
      </c>
      <c r="K1115" s="47" t="n"/>
      <c r="L1115" s="48" t="n"/>
      <c r="M1115" s="48" t="n"/>
      <c r="N1115" s="49">
        <f>IF(H332="Serviço",M332*L332,IF(H332="CÉLULA CONSTRUTIVA",SUMIFS($N$8:$N$754,$B$8:$B$754,B332,$H$8:$H$754,"Serviço"),IF(H332="ETAPA",SUMIFS($N$8:$N$754,$B$8:$B$754,B332,$C$8:$C$754,C332,$H$8:$H$754,"Serviço"),IF(H332="SUBETAPA",SUMIFS($N$8:$N$754,$B$8:$B$754,B332,$C$8:$C$754,C332,$D$8:$D$754,D332,$H$8:$H$754,"Serviço"),0))))</f>
        <v/>
      </c>
      <c r="O1115" s="50">
        <f>N332/CAPA!C$10</f>
        <v/>
      </c>
      <c r="P1115" s="134" t="n"/>
      <c r="Q1115" s="52" t="n"/>
      <c r="R1115" s="52" t="n"/>
      <c r="S1115" s="1" t="n"/>
      <c r="T1115" s="1" t="n"/>
      <c r="U1115" s="1" t="n"/>
      <c r="V1115" s="1" t="n"/>
      <c r="W1115" s="1" t="n"/>
      <c r="X1115" s="1" t="n"/>
      <c r="Y1115" s="1" t="n"/>
    </row>
    <row r="1116">
      <c r="A1116" s="121">
        <f>IF($H333="UNIDADE CONSTRUTIVA",OFFSET(A333,-1,0)+1,LARGE(A$3:A332,1))</f>
        <v/>
      </c>
      <c r="B1116" s="121">
        <f>IF(H333="UNIDADE CONSTRUTIVA",0,IF(H333="CÉLULA CONSTRUTIVA",OFFSET(B333,-1,0)+1,OFFSET(B333,-1,0)))</f>
        <v/>
      </c>
      <c r="C1116" s="121">
        <f>IF(H333="CÉLULA CONSTRUTIVA",0,IF(H333="ETAPA",OFFSET(C333,-1,0)+1,OFFSET(C333,-1,0)))</f>
        <v/>
      </c>
      <c r="D1116" s="122">
        <f>IF(H333="ETAPA",0,IF(H333="SUBETAPA",OFFSET(D333,-1,0)+1,OFFSET(D333,-1,0)))</f>
        <v/>
      </c>
      <c r="E1116" s="122">
        <f>IF(H333="Subetapa",0,IF(H333="serviço",OFFSET(E333,-1,0)+1,OFFSET(E333,-1,0)))</f>
        <v/>
      </c>
      <c r="F1116" s="123" t="n"/>
      <c r="G1116" s="135" t="inlineStr">
        <is>
          <t>SISTEMAS DE PINTURA INTERNA</t>
        </is>
      </c>
      <c r="H1116" s="44" t="inlineStr">
        <is>
          <t>SERVIÇO</t>
        </is>
      </c>
      <c r="I1116" s="45">
        <f>IF(H333="Unidade Construtiva",TEXT(A333,"00"),IF(H333="Célula Construtiva",TEXT(B333,"00"),IF(H333="Etapa",CONCATENATE(TEXT(B333,"00"),".",TEXT(C333,"000")),IF(H333="Subetapa",CONCATENATE(TEXT(B333,"00"),".",TEXT(C333,"000"),".",TEXT(D333,"000")),IF(H333="Serviço",CONCATENATE(TEXT(B333,"00"),".",TEXT(C333,"000"),".",TEXT(D333,"000"),".",TEXT(E333,"000")),"")))))</f>
        <v/>
      </c>
      <c r="J1116" s="51" t="inlineStr">
        <is>
          <t>Mão de obra para pintura em rodapés, 2 demãos</t>
        </is>
      </c>
      <c r="K1116" s="47" t="inlineStr">
        <is>
          <t>m2</t>
        </is>
      </c>
      <c r="L1116" s="48">
        <f>L324</f>
        <v/>
      </c>
      <c r="M1116" s="48">
        <f>_xlfn.XLOOKUP($J333,CPU!$D$1:$D$31540,CPU!$H$1:$H$31540)</f>
        <v/>
      </c>
      <c r="N1116" s="49">
        <f>IF(H333="Serviço",M333*L333,IF(H333="CÉLULA CONSTRUTIVA",SUMIFS($N$8:$N$754,$B$8:$B$754,B333,$H$8:$H$754,"Serviço"),IF(H333="ETAPA",SUMIFS($N$8:$N$754,$B$8:$B$754,B333,$C$8:$C$754,C333,$H$8:$H$754,"Serviço"),IF(H333="SUBETAPA",SUMIFS($N$8:$N$754,$B$8:$B$754,B333,$C$8:$C$754,C333,$D$8:$D$754,D333,$H$8:$H$754,"Serviço"),0))))</f>
        <v/>
      </c>
      <c r="O1116" s="50" t="n"/>
      <c r="P1116" s="134" t="n"/>
      <c r="Q1116" s="52" t="n"/>
      <c r="R1116" s="52" t="n"/>
      <c r="S1116" s="1" t="n"/>
      <c r="T1116" s="1" t="n"/>
      <c r="U1116" s="1" t="n"/>
      <c r="V1116" s="1" t="n"/>
      <c r="W1116" s="1" t="n"/>
      <c r="X1116" s="1" t="n"/>
      <c r="Y1116" s="1" t="n"/>
    </row>
    <row r="1117">
      <c r="A1117" s="121">
        <f>IF($H334="UNIDADE CONSTRUTIVA",OFFSET(A334,-1,0)+1,LARGE(A$3:A333,1))</f>
        <v/>
      </c>
      <c r="B1117" s="121">
        <f>IF(H334="UNIDADE CONSTRUTIVA",0,IF(H334="CÉLULA CONSTRUTIVA",OFFSET(B334,-1,0)+1,OFFSET(B334,-1,0)))</f>
        <v/>
      </c>
      <c r="C1117" s="121">
        <f>IF(H334="CÉLULA CONSTRUTIVA",0,IF(H334="ETAPA",OFFSET(C334,-1,0)+1,OFFSET(C334,-1,0)))</f>
        <v/>
      </c>
      <c r="D1117" s="122">
        <f>IF(H334="ETAPA",0,IF(H334="SUBETAPA",OFFSET(D334,-1,0)+1,OFFSET(D334,-1,0)))</f>
        <v/>
      </c>
      <c r="E1117" s="122">
        <f>IF(H334="Subetapa",0,IF(H334="serviço",OFFSET(E334,-1,0)+1,OFFSET(E334,-1,0)))</f>
        <v/>
      </c>
      <c r="F1117" s="123" t="n"/>
      <c r="G1117" s="135" t="inlineStr">
        <is>
          <t>SISTEMAS DE PINTURA INTERNA</t>
        </is>
      </c>
      <c r="H1117" s="44" t="inlineStr">
        <is>
          <t>SERVIÇO</t>
        </is>
      </c>
      <c r="I1117" s="45">
        <f>IF(H334="Unidade Construtiva",TEXT(A334,"00"),IF(H334="Célula Construtiva",TEXT(B334,"00"),IF(H334="Etapa",CONCATENATE(TEXT(B334,"00"),".",TEXT(C334,"000")),IF(H334="Subetapa",CONCATENATE(TEXT(B334,"00"),".",TEXT(C334,"000"),".",TEXT(D334,"000")),IF(H334="Serviço",CONCATENATE(TEXT(B334,"00"),".",TEXT(C334,"000"),".",TEXT(D334,"000"),".",TEXT(E334,"000")),"")))))</f>
        <v/>
      </c>
      <c r="J1117" s="51" t="inlineStr">
        <is>
          <t>Mão de obra para pintura em pisos , 2 demãos</t>
        </is>
      </c>
      <c r="K1117" s="47" t="inlineStr">
        <is>
          <t>m2</t>
        </is>
      </c>
      <c r="L1117" s="48">
        <f>L316</f>
        <v/>
      </c>
      <c r="M1117" s="48">
        <f>_xlfn.XLOOKUP($J334,CPU!$D$1:$D$31540,CPU!$H$1:$H$31540)</f>
        <v/>
      </c>
      <c r="N1117" s="49">
        <f>IF(H334="Serviço",M334*L334,IF(H334="CÉLULA CONSTRUTIVA",SUMIFS($N$8:$N$754,$B$8:$B$754,B334,$H$8:$H$754,"Serviço"),IF(H334="ETAPA",SUMIFS($N$8:$N$754,$B$8:$B$754,B334,$C$8:$C$754,C334,$H$8:$H$754,"Serviço"),IF(H334="SUBETAPA",SUMIFS($N$8:$N$754,$B$8:$B$754,B334,$C$8:$C$754,C334,$D$8:$D$754,D334,$H$8:$H$754,"Serviço"),0))))</f>
        <v/>
      </c>
      <c r="O1117" s="50" t="n"/>
      <c r="P1117" s="134" t="n"/>
      <c r="Q1117" s="52" t="n"/>
      <c r="R1117" s="52" t="n"/>
      <c r="S1117" s="1" t="n"/>
      <c r="T1117" s="1" t="n"/>
      <c r="U1117" s="1" t="n"/>
      <c r="V1117" s="1" t="n"/>
      <c r="W1117" s="1" t="n"/>
      <c r="X1117" s="1" t="n"/>
      <c r="Y1117" s="1" t="n"/>
    </row>
    <row r="1118">
      <c r="A1118" s="121">
        <f>IF($H335="UNIDADE CONSTRUTIVA",OFFSET(A335,-1,0)+1,LARGE(A$3:A333,1))</f>
        <v/>
      </c>
      <c r="B1118" s="121">
        <f>IF(H335="UNIDADE CONSTRUTIVA",0,IF(H335="CÉLULA CONSTRUTIVA",OFFSET(B335,-1,0)+1,OFFSET(B335,-1,0)))</f>
        <v/>
      </c>
      <c r="C1118" s="121">
        <f>IF(H335="CÉLULA CONSTRUTIVA",0,IF(H335="ETAPA",OFFSET(C335,-1,0)+1,OFFSET(C335,-1,0)))</f>
        <v/>
      </c>
      <c r="D1118" s="122">
        <f>IF(H335="ETAPA",0,IF(H335="SUBETAPA",OFFSET(D335,-1,0)+1,OFFSET(D335,-1,0)))</f>
        <v/>
      </c>
      <c r="E1118" s="122">
        <f>IF(H335="Subetapa",0,IF(H335="serviço",OFFSET(E335,-1,0)+1,OFFSET(E335,-1,0)))</f>
        <v/>
      </c>
      <c r="F1118" s="123" t="n"/>
      <c r="G1118" s="135" t="inlineStr">
        <is>
          <t>SISTEMAS DE PINTURA INTERNA</t>
        </is>
      </c>
      <c r="H1118" s="44" t="inlineStr">
        <is>
          <t>SERVIÇO</t>
        </is>
      </c>
      <c r="I1118" s="45">
        <f>IF(H335="Unidade Construtiva",TEXT(A335,"00"),IF(H335="Célula Construtiva",TEXT(B335,"00"),IF(H335="Etapa",CONCATENATE(TEXT(B335,"00"),".",TEXT(C335,"000")),IF(H335="Subetapa",CONCATENATE(TEXT(B335,"00"),".",TEXT(C335,"000"),".",TEXT(D335,"000")),IF(H335="Serviço",CONCATENATE(TEXT(B335,"00"),".",TEXT(C335,"000"),".",TEXT(D335,"000"),".",TEXT(E335,"000")),"")))))</f>
        <v/>
      </c>
      <c r="J1118" s="51" t="inlineStr">
        <is>
          <t>Mão de obra para faixa de garagem em paredes internas, 1 demãos</t>
        </is>
      </c>
      <c r="K1118" s="47" t="inlineStr">
        <is>
          <t>m2</t>
        </is>
      </c>
      <c r="L1118" s="48">
        <f>L318</f>
        <v/>
      </c>
      <c r="M1118" s="48">
        <f>_xlfn.XLOOKUP($J335,CPU!$D$1:$D$31540,CPU!$H$1:$H$31540)</f>
        <v/>
      </c>
      <c r="N1118" s="49">
        <f>IF(H335="Serviço",M335*L335,IF(H335="CÉLULA CONSTRUTIVA",SUMIFS($N$8:$N$754,$B$8:$B$754,B335,$H$8:$H$754,"Serviço"),IF(H335="ETAPA",SUMIFS($N$8:$N$754,$B$8:$B$754,B335,$C$8:$C$754,C335,$H$8:$H$754,"Serviço"),IF(H335="SUBETAPA",SUMIFS($N$8:$N$754,$B$8:$B$754,B335,$C$8:$C$754,C335,$D$8:$D$754,D335,$H$8:$H$754,"Serviço"),0))))</f>
        <v/>
      </c>
      <c r="O1118" s="50" t="n"/>
      <c r="P1118" s="134" t="n"/>
      <c r="Q1118" s="52" t="n"/>
      <c r="R1118" s="52" t="n"/>
      <c r="S1118" s="1" t="n"/>
      <c r="T1118" s="1" t="n"/>
      <c r="U1118" s="1" t="n"/>
      <c r="V1118" s="1" t="n"/>
      <c r="W1118" s="1" t="n"/>
      <c r="X1118" s="1" t="n"/>
      <c r="Y1118" s="1" t="n"/>
    </row>
    <row r="1119">
      <c r="A1119" s="121">
        <f>IF($H336="UNIDADE CONSTRUTIVA",OFFSET(A336,-1,0)+1,LARGE(A$3:A334,1))</f>
        <v/>
      </c>
      <c r="B1119" s="121">
        <f>IF(H336="UNIDADE CONSTRUTIVA",0,IF(H336="CÉLULA CONSTRUTIVA",OFFSET(B336,-1,0)+1,OFFSET(B336,-1,0)))</f>
        <v/>
      </c>
      <c r="C1119" s="121">
        <f>IF(H336="CÉLULA CONSTRUTIVA",0,IF(H336="ETAPA",OFFSET(C336,-1,0)+1,OFFSET(C336,-1,0)))</f>
        <v/>
      </c>
      <c r="D1119" s="122">
        <f>IF(H336="ETAPA",0,IF(H336="SUBETAPA",OFFSET(D336,-1,0)+1,OFFSET(D336,-1,0)))</f>
        <v/>
      </c>
      <c r="E1119" s="122">
        <f>IF(H336="Subetapa",0,IF(H336="serviço",OFFSET(E336,-1,0)+1,OFFSET(E336,-1,0)))</f>
        <v/>
      </c>
      <c r="F1119" s="123" t="n"/>
      <c r="G1119" s="135" t="inlineStr">
        <is>
          <t>SISTEMAS DE PINTURA INTERNA</t>
        </is>
      </c>
      <c r="H1119" s="44" t="inlineStr">
        <is>
          <t>SERVIÇO</t>
        </is>
      </c>
      <c r="I1119" s="45">
        <f>IF(H336="Unidade Construtiva",TEXT(A336,"00"),IF(H336="Célula Construtiva",TEXT(B336,"00"),IF(H336="Etapa",CONCATENATE(TEXT(B336,"00"),".",TEXT(C336,"000")),IF(H336="Subetapa",CONCATENATE(TEXT(B336,"00"),".",TEXT(C336,"000"),".",TEXT(D336,"000")),IF(H336="Serviço",CONCATENATE(TEXT(B336,"00"),".",TEXT(C336,"000"),".",TEXT(D336,"000"),".",TEXT(E336,"000")),"")))))</f>
        <v/>
      </c>
      <c r="J1119" s="51" t="inlineStr">
        <is>
          <t>Mão de obra para pintura em paredes internas, 3 demãos</t>
        </is>
      </c>
      <c r="K1119" s="47" t="inlineStr">
        <is>
          <t>m2</t>
        </is>
      </c>
      <c r="L1119" s="48">
        <f>L327</f>
        <v/>
      </c>
      <c r="M1119" s="48">
        <f>_xlfn.XLOOKUP($J336,CPU!$D$1:$D$31540,CPU!$H$1:$H$31540)</f>
        <v/>
      </c>
      <c r="N1119" s="49">
        <f>IF(H336="Serviço",M336*L336,IF(H336="CÉLULA CONSTRUTIVA",SUMIFS($N$8:$N$754,$B$8:$B$754,B336,$H$8:$H$754,"Serviço"),IF(H336="ETAPA",SUMIFS($N$8:$N$754,$B$8:$B$754,B336,$C$8:$C$754,C336,$H$8:$H$754,"Serviço"),IF(H336="SUBETAPA",SUMIFS($N$8:$N$754,$B$8:$B$754,B336,$C$8:$C$754,C336,$D$8:$D$754,D336,$H$8:$H$754,"Serviço"),0))))</f>
        <v/>
      </c>
      <c r="O1119" s="50" t="n"/>
      <c r="P1119" s="134" t="n"/>
      <c r="Q1119" s="52" t="n"/>
      <c r="R1119" s="52" t="n"/>
      <c r="S1119" s="1" t="n"/>
      <c r="T1119" s="1" t="n"/>
      <c r="U1119" s="1" t="n"/>
      <c r="V1119" s="1" t="n"/>
      <c r="W1119" s="1" t="n"/>
      <c r="X1119" s="1" t="n"/>
      <c r="Y1119" s="1" t="n"/>
    </row>
    <row r="1120">
      <c r="A1120" s="121">
        <f>IF($H337="UNIDADE CONSTRUTIVA",OFFSET(A337,-1,0)+1,LARGE(A$3:A336,1))</f>
        <v/>
      </c>
      <c r="B1120" s="121">
        <f>IF(H337="UNIDADE CONSTRUTIVA",0,IF(H337="CÉLULA CONSTRUTIVA",OFFSET(B337,-1,0)+1,OFFSET(B337,-1,0)))</f>
        <v/>
      </c>
      <c r="C1120" s="121">
        <f>IF(H337="CÉLULA CONSTRUTIVA",0,IF(H337="ETAPA",OFFSET(C337,-1,0)+1,OFFSET(C337,-1,0)))</f>
        <v/>
      </c>
      <c r="D1120" s="122">
        <f>IF(H337="ETAPA",0,IF(H337="SUBETAPA",OFFSET(D337,-1,0)+1,OFFSET(D337,-1,0)))</f>
        <v/>
      </c>
      <c r="E1120" s="122">
        <f>IF(H337="Subetapa",0,IF(H337="serviço",OFFSET(E337,-1,0)+1,OFFSET(E337,-1,0)))</f>
        <v/>
      </c>
      <c r="F1120" s="123" t="n"/>
      <c r="G1120" s="135" t="inlineStr">
        <is>
          <t>SISTEMAS DE PINTURA INTERNA</t>
        </is>
      </c>
      <c r="H1120" s="44" t="inlineStr">
        <is>
          <t>SERVIÇO</t>
        </is>
      </c>
      <c r="I1120" s="45">
        <f>IF(H337="Unidade Construtiva",TEXT(A337,"00"),IF(H337="Célula Construtiva",TEXT(B337,"00"),IF(H337="Etapa",CONCATENATE(TEXT(B337,"00"),".",TEXT(C337,"000")),IF(H337="Subetapa",CONCATENATE(TEXT(B337,"00"),".",TEXT(C337,"000"),".",TEXT(D337,"000")),IF(H337="Serviço",CONCATENATE(TEXT(B337,"00"),".",TEXT(C337,"000"),".",TEXT(D337,"000"),".",TEXT(E337,"000")),"")))))</f>
        <v/>
      </c>
      <c r="J1120" s="51" t="inlineStr">
        <is>
          <t>Mão de obra para Textura em paredes internas, 1 demãos</t>
        </is>
      </c>
      <c r="K1120" s="47" t="inlineStr">
        <is>
          <t>m2</t>
        </is>
      </c>
      <c r="L1120" s="48">
        <f>L329</f>
        <v/>
      </c>
      <c r="M1120" s="48">
        <f>_xlfn.XLOOKUP($J337,CPU!$D$1:$D$31540,CPU!$H$1:$H$31540)</f>
        <v/>
      </c>
      <c r="N1120" s="49">
        <f>IF(H337="Serviço",M337*L337,IF(H337="CÉLULA CONSTRUTIVA",SUMIFS($N$8:$N$754,$B$8:$B$754,B337,$H$8:$H$754,"Serviço"),IF(H337="ETAPA",SUMIFS($N$8:$N$754,$B$8:$B$754,B337,$C$8:$C$754,C337,$H$8:$H$754,"Serviço"),IF(H337="SUBETAPA",SUMIFS($N$8:$N$754,$B$8:$B$754,B337,$C$8:$C$754,C337,$D$8:$D$754,D337,$H$8:$H$754,"Serviço"),0))))</f>
        <v/>
      </c>
      <c r="O1120" s="50" t="n"/>
      <c r="P1120" s="134" t="n"/>
      <c r="Q1120" s="52" t="n"/>
      <c r="R1120" s="52" t="n"/>
      <c r="S1120" s="1" t="n"/>
      <c r="T1120" s="1" t="n"/>
      <c r="U1120" s="1" t="n"/>
      <c r="V1120" s="1" t="n"/>
      <c r="W1120" s="1" t="n"/>
      <c r="X1120" s="1" t="n"/>
      <c r="Y1120" s="1" t="n"/>
    </row>
    <row r="1121">
      <c r="A1121" s="121">
        <f>IF($H338="UNIDADE CONSTRUTIVA",OFFSET(A338,-1,0)+1,LARGE(A$3:A337,1))</f>
        <v/>
      </c>
      <c r="B1121" s="121">
        <f>IF(H338="UNIDADE CONSTRUTIVA",0,IF(H338="CÉLULA CONSTRUTIVA",OFFSET(B338,-1,0)+1,OFFSET(B338,-1,0)))</f>
        <v/>
      </c>
      <c r="C1121" s="121">
        <f>IF(H338="CÉLULA CONSTRUTIVA",0,IF(H338="ETAPA",OFFSET(C338,-1,0)+1,OFFSET(C338,-1,0)))</f>
        <v/>
      </c>
      <c r="D1121" s="122">
        <f>IF(H338="ETAPA",0,IF(H338="SUBETAPA",OFFSET(D338,-1,0)+1,OFFSET(D338,-1,0)))</f>
        <v/>
      </c>
      <c r="E1121" s="122">
        <f>IF(H338="Subetapa",0,IF(H338="serviço",OFFSET(E338,-1,0)+1,OFFSET(E338,-1,0)))</f>
        <v/>
      </c>
      <c r="F1121" s="123" t="n"/>
      <c r="G1121" s="135" t="inlineStr">
        <is>
          <t>SISTEMAS DE PINTURA INTERNA</t>
        </is>
      </c>
      <c r="H1121" s="44" t="inlineStr">
        <is>
          <t>SERVIÇO</t>
        </is>
      </c>
      <c r="I1121" s="45">
        <f>IF(H338="Unidade Construtiva",TEXT(A338,"00"),IF(H338="Célula Construtiva",TEXT(B338,"00"),IF(H338="Etapa",CONCATENATE(TEXT(B338,"00"),".",TEXT(C338,"000")),IF(H338="Subetapa",CONCATENATE(TEXT(B338,"00"),".",TEXT(C338,"000"),".",TEXT(D338,"000")),IF(H338="Serviço",CONCATENATE(TEXT(B338,"00"),".",TEXT(C338,"000"),".",TEXT(D338,"000"),".",TEXT(E338,"000")),"")))))</f>
        <v/>
      </c>
      <c r="J1121" s="51" t="inlineStr">
        <is>
          <t>Mão de obra para pintura em teto, 3 demãos</t>
        </is>
      </c>
      <c r="K1121" s="47" t="inlineStr">
        <is>
          <t>m2</t>
        </is>
      </c>
      <c r="L1121" s="48">
        <f>L327</f>
        <v/>
      </c>
      <c r="M1121" s="48">
        <f>_xlfn.XLOOKUP($J338,CPU!$D$1:$D$31540,CPU!$H$1:$H$31540)</f>
        <v/>
      </c>
      <c r="N1121" s="49">
        <f>IF(H338="Serviço",M338*L338,IF(H338="CÉLULA CONSTRUTIVA",SUMIFS($N$8:$N$754,$B$8:$B$754,B338,$H$8:$H$754,"Serviço"),IF(H338="ETAPA",SUMIFS($N$8:$N$754,$B$8:$B$754,B338,$C$8:$C$754,C338,$H$8:$H$754,"Serviço"),IF(H338="SUBETAPA",SUMIFS($N$8:$N$754,$B$8:$B$754,B338,$C$8:$C$754,C338,$D$8:$D$754,D338,$H$8:$H$754,"Serviço"),0))))</f>
        <v/>
      </c>
      <c r="O1121" s="50" t="n"/>
      <c r="P1121" s="134" t="n"/>
      <c r="Q1121" s="52" t="n"/>
      <c r="R1121" s="52" t="n"/>
      <c r="S1121" s="1" t="n"/>
      <c r="T1121" s="1" t="n"/>
      <c r="U1121" s="1" t="n"/>
      <c r="V1121" s="1" t="n"/>
      <c r="W1121" s="1" t="n"/>
      <c r="X1121" s="1" t="n"/>
      <c r="Y1121" s="1" t="n"/>
    </row>
    <row r="1122">
      <c r="A1122" s="121">
        <f>IF($H339="UNIDADE CONSTRUTIVA",OFFSET(A339,-1,0)+1,LARGE(A$3:A338,1))</f>
        <v/>
      </c>
      <c r="B1122" s="121">
        <f>IF(H339="UNIDADE CONSTRUTIVA",0,IF(H339="CÉLULA CONSTRUTIVA",OFFSET(B339,-1,0)+1,OFFSET(B339,-1,0)))</f>
        <v/>
      </c>
      <c r="C1122" s="121">
        <f>IF(H339="CÉLULA CONSTRUTIVA",0,IF(H339="ETAPA",OFFSET(C339,-1,0)+1,OFFSET(C339,-1,0)))</f>
        <v/>
      </c>
      <c r="D1122" s="122">
        <f>IF(H339="ETAPA",0,IF(H339="SUBETAPA",OFFSET(D339,-1,0)+1,OFFSET(D339,-1,0)))</f>
        <v/>
      </c>
      <c r="E1122" s="122">
        <f>IF(H339="Subetapa",0,IF(H339="serviço",OFFSET(E339,-1,0)+1,OFFSET(E339,-1,0)))</f>
        <v/>
      </c>
      <c r="F1122" s="123" t="n"/>
      <c r="G1122" s="135" t="inlineStr">
        <is>
          <t>SISTEMAS DE PINTURA INTERNA</t>
        </is>
      </c>
      <c r="H1122" s="44" t="inlineStr">
        <is>
          <t>SERVIÇO</t>
        </is>
      </c>
      <c r="I1122" s="45">
        <f>IF(H339="Unidade Construtiva",TEXT(A339,"00"),IF(H339="Célula Construtiva",TEXT(B339,"00"),IF(H339="Etapa",CONCATENATE(TEXT(B339,"00"),".",TEXT(C339,"000")),IF(H339="Subetapa",CONCATENATE(TEXT(B339,"00"),".",TEXT(C339,"000"),".",TEXT(D339,"000")),IF(H339="Serviço",CONCATENATE(TEXT(B339,"00"),".",TEXT(C339,"000"),".",TEXT(D339,"000"),".",TEXT(E339,"000")),"")))))</f>
        <v/>
      </c>
      <c r="J1122" s="51" t="inlineStr">
        <is>
          <t>Mão de obra para textura em teto, 1 demão</t>
        </is>
      </c>
      <c r="K1122" s="47" t="inlineStr">
        <is>
          <t>m2</t>
        </is>
      </c>
      <c r="L1122" s="48">
        <f>L329</f>
        <v/>
      </c>
      <c r="M1122" s="48">
        <f>_xlfn.XLOOKUP($J339,CPU!$D$1:$D$31540,CPU!$H$1:$H$31540)</f>
        <v/>
      </c>
      <c r="N1122" s="49">
        <f>IF(H339="Serviço",M339*L339,IF(H339="CÉLULA CONSTRUTIVA",SUMIFS($N$8:$N$754,$B$8:$B$754,B339,$H$8:$H$754,"Serviço"),IF(H339="ETAPA",SUMIFS($N$8:$N$754,$B$8:$B$754,B339,$C$8:$C$754,C339,$H$8:$H$754,"Serviço"),IF(H339="SUBETAPA",SUMIFS($N$8:$N$754,$B$8:$B$754,B339,$C$8:$C$754,C339,$D$8:$D$754,D339,$H$8:$H$754,"Serviço"),0))))</f>
        <v/>
      </c>
      <c r="O1122" s="50" t="n"/>
      <c r="P1122" s="134" t="n"/>
      <c r="Q1122" s="52" t="n"/>
      <c r="R1122" s="52" t="n"/>
      <c r="S1122" s="1" t="n"/>
      <c r="T1122" s="1" t="n"/>
      <c r="U1122" s="1" t="n"/>
      <c r="V1122" s="1" t="n"/>
      <c r="W1122" s="1" t="n"/>
      <c r="X1122" s="1" t="n"/>
      <c r="Y1122" s="1" t="n"/>
    </row>
    <row r="1123">
      <c r="A1123" s="121">
        <f>IF($H340="UNIDADE CONSTRUTIVA",OFFSET(A340,-1,0)+1,LARGE(A$3:A339,1))</f>
        <v/>
      </c>
      <c r="B1123" s="121">
        <f>IF(H340="UNIDADE CONSTRUTIVA",0,IF(H340="CÉLULA CONSTRUTIVA",OFFSET(B340,-1,0)+1,OFFSET(B340,-1,0)))</f>
        <v/>
      </c>
      <c r="C1123" s="121">
        <f>IF(H340="CÉLULA CONSTRUTIVA",0,IF(H340="ETAPA",OFFSET(C340,-1,0)+1,OFFSET(C340,-1,0)))</f>
        <v/>
      </c>
      <c r="D1123" s="122">
        <f>IF(H340="ETAPA",0,IF(H340="SUBETAPA",OFFSET(D340,-1,0)+1,OFFSET(D340,-1,0)))</f>
        <v/>
      </c>
      <c r="E1123" s="122">
        <f>IF(H340="Subetapa",0,IF(H340="serviço",OFFSET(E340,-1,0)+1,OFFSET(E340,-1,0)))</f>
        <v/>
      </c>
      <c r="F1123" s="123" t="n"/>
      <c r="G1123" s="135" t="n"/>
      <c r="H1123" s="44" t="inlineStr">
        <is>
          <t>CÉLULA CONSTRUTIVA</t>
        </is>
      </c>
      <c r="I1123" s="45">
        <f>IF(H340="Unidade Construtiva",TEXT(A340,"00"),IF(H340="Célula Construtiva",TEXT(B340,"00"),IF(H340="Etapa",CONCATENATE(TEXT(B340,"00"),".",TEXT(C340,"000")),IF(H340="Subetapa",CONCATENATE(TEXT(B340,"00"),".",TEXT(C340,"000"),".",TEXT(D340,"000")),IF(H340="Serviço",CONCATENATE(TEXT(B340,"00"),".",TEXT(C340,"000"),".",TEXT(D340,"000"),".",TEXT(E340,"000")),"")))))</f>
        <v/>
      </c>
      <c r="J1123" s="51" t="inlineStr">
        <is>
          <t>ESQUADRIAS, VIDROS E FERRAGENS</t>
        </is>
      </c>
      <c r="K1123" s="47" t="n"/>
      <c r="L1123" s="48" t="n"/>
      <c r="M1123" s="48" t="n"/>
      <c r="N1123" s="49">
        <f>IF(H340="Serviço",M340*L340,IF(H340="CÉLULA CONSTRUTIVA",SUMIFS($N$8:$N$754,$B$8:$B$754,B340,$H$8:$H$754,"Serviço"),IF(H340="ETAPA",SUMIFS($N$8:$N$754,$B$8:$B$754,B340,$C$8:$C$754,C340,$H$8:$H$754,"Serviço"),IF(H340="SUBETAPA",SUMIFS($N$8:$N$754,$B$8:$B$754,B340,$C$8:$C$754,C340,$D$8:$D$754,D340,$H$8:$H$754,"Serviço"),0))))</f>
        <v/>
      </c>
      <c r="O1123" s="50">
        <f>N340/CAPA!C$10</f>
        <v/>
      </c>
      <c r="P1123" s="134" t="n"/>
      <c r="Q1123" s="115" t="n"/>
      <c r="R1123" s="52" t="n"/>
      <c r="S1123" s="1" t="n"/>
      <c r="T1123" s="1" t="n"/>
      <c r="U1123" s="1" t="n"/>
      <c r="V1123" s="1" t="n"/>
      <c r="W1123" s="1" t="n"/>
      <c r="X1123" s="1" t="n"/>
      <c r="Y1123" s="1" t="n"/>
    </row>
    <row r="1124">
      <c r="A1124" s="121">
        <f>IF($H341="UNIDADE CONSTRUTIVA",OFFSET(A341,-1,0)+1,LARGE(A$3:A340,1))</f>
        <v/>
      </c>
      <c r="B1124" s="121">
        <f>IF(H341="UNIDADE CONSTRUTIVA",0,IF(H341="CÉLULA CONSTRUTIVA",OFFSET(B341,-1,0)+1,OFFSET(B341,-1,0)))</f>
        <v/>
      </c>
      <c r="C1124" s="121">
        <f>IF(H341="CÉLULA CONSTRUTIVA",0,IF(H341="ETAPA",OFFSET(C341,-1,0)+1,OFFSET(C341,-1,0)))</f>
        <v/>
      </c>
      <c r="D1124" s="122">
        <f>IF(H341="ETAPA",0,IF(H341="SUBETAPA",OFFSET(D341,-1,0)+1,OFFSET(D341,-1,0)))</f>
        <v/>
      </c>
      <c r="E1124" s="122">
        <f>IF(H341="Subetapa",0,IF(H341="serviço",OFFSET(E341,-1,0)+1,OFFSET(E341,-1,0)))</f>
        <v/>
      </c>
      <c r="F1124" s="123" t="n"/>
      <c r="G1124" s="135" t="n"/>
      <c r="H1124" s="44" t="inlineStr">
        <is>
          <t>ETAPA</t>
        </is>
      </c>
      <c r="I1124" s="45">
        <f>IF(H341="Unidade Construtiva",TEXT(A341,"00"),IF(H341="Célula Construtiva",TEXT(B341,"00"),IF(H341="Etapa",CONCATENATE(TEXT(B341,"00"),".",TEXT(C341,"000")),IF(H341="Subetapa",CONCATENATE(TEXT(B341,"00"),".",TEXT(C341,"000"),".",TEXT(D341,"000")),IF(H341="Serviço",CONCATENATE(TEXT(B341,"00"),".",TEXT(C341,"000"),".",TEXT(D341,"000"),".",TEXT(E341,"000")),"")))))</f>
        <v/>
      </c>
      <c r="J1124" s="51" t="inlineStr">
        <is>
          <t>ESQUADRIAS DE ALUMÍNIO</t>
        </is>
      </c>
      <c r="K1124" s="47" t="n"/>
      <c r="L1124" s="48" t="n"/>
      <c r="M1124" s="48" t="n"/>
      <c r="N1124" s="49">
        <f>IF(H341="Serviço",M341*L341,IF(H341="CÉLULA CONSTRUTIVA",SUMIFS($N$8:$N$754,$B$8:$B$754,B341,$H$8:$H$754,"Serviço"),IF(H341="ETAPA",SUMIFS($N$8:$N$754,$B$8:$B$754,B341,$C$8:$C$754,C341,$H$8:$H$754,"Serviço"),IF(H341="SUBETAPA",SUMIFS($N$8:$N$754,$B$8:$B$754,B341,$C$8:$C$754,C341,$D$8:$D$754,D341,$H$8:$H$754,"Serviço"),0))))</f>
        <v/>
      </c>
      <c r="O1124" s="50">
        <f>N341/CAPA!C$10</f>
        <v/>
      </c>
      <c r="P1124" s="134" t="n"/>
      <c r="Q1124" s="52" t="n"/>
      <c r="R1124" s="52" t="n"/>
      <c r="S1124" s="1" t="n"/>
      <c r="T1124" s="1" t="n"/>
      <c r="U1124" s="1" t="n"/>
      <c r="V1124" s="1" t="n"/>
      <c r="W1124" s="1" t="n"/>
      <c r="X1124" s="1" t="n"/>
      <c r="Y1124" s="1" t="n"/>
    </row>
    <row r="1125">
      <c r="A1125" s="121">
        <f>IF($H342="UNIDADE CONSTRUTIVA",OFFSET(A342,-1,0)+1,LARGE(A$3:A341,1))</f>
        <v/>
      </c>
      <c r="B1125" s="121">
        <f>IF(H342="UNIDADE CONSTRUTIVA",0,IF(H342="CÉLULA CONSTRUTIVA",OFFSET(B342,-1,0)+1,OFFSET(B342,-1,0)))</f>
        <v/>
      </c>
      <c r="C1125" s="121">
        <f>IF(H342="CÉLULA CONSTRUTIVA",0,IF(H342="ETAPA",OFFSET(C342,-1,0)+1,OFFSET(C342,-1,0)))</f>
        <v/>
      </c>
      <c r="D1125" s="122">
        <f>IF(H342="ETAPA",0,IF(H342="SUBETAPA",OFFSET(D342,-1,0)+1,OFFSET(D342,-1,0)))</f>
        <v/>
      </c>
      <c r="E1125" s="122">
        <f>IF(H342="Subetapa",0,IF(H342="serviço",OFFSET(E342,-1,0)+1,OFFSET(E342,-1,0)))</f>
        <v/>
      </c>
      <c r="F1125" s="123" t="n"/>
      <c r="G1125" s="135" t="n"/>
      <c r="H1125" s="44" t="inlineStr">
        <is>
          <t>SUBETAPA</t>
        </is>
      </c>
      <c r="I1125" s="45">
        <f>IF(H342="Unidade Construtiva",TEXT(A342,"00"),IF(H342="Célula Construtiva",TEXT(B342,"00"),IF(H342="Etapa",CONCATENATE(TEXT(B342,"00"),".",TEXT(C342,"000")),IF(H342="Subetapa",CONCATENATE(TEXT(B342,"00"),".",TEXT(C342,"000"),".",TEXT(D342,"000")),IF(H342="Serviço",CONCATENATE(TEXT(B342,"00"),".",TEXT(C342,"000"),".",TEXT(D342,"000"),".",TEXT(E342,"000")),"")))))</f>
        <v/>
      </c>
      <c r="J1125" s="51" t="inlineStr">
        <is>
          <t>Contramarco</t>
        </is>
      </c>
      <c r="K1125" s="47" t="n"/>
      <c r="L1125" s="48" t="n"/>
      <c r="M1125" s="48" t="n"/>
      <c r="N1125" s="49">
        <f>IF(H342="Serviço",M342*L342,IF(H342="CÉLULA CONSTRUTIVA",SUMIFS($N$8:$N$754,$B$8:$B$754,B342,$H$8:$H$754,"Serviço"),IF(H342="ETAPA",SUMIFS($N$8:$N$754,$B$8:$B$754,B342,$C$8:$C$754,C342,$H$8:$H$754,"Serviço"),IF(H342="SUBETAPA",SUMIFS($N$8:$N$754,$B$8:$B$754,B342,$C$8:$C$754,C342,$D$8:$D$754,D342,$H$8:$H$754,"Serviço"),0))))</f>
        <v/>
      </c>
      <c r="O1125" s="50">
        <f>N342/CAPA!C$10</f>
        <v/>
      </c>
      <c r="P1125" s="134" t="n"/>
      <c r="Q1125" s="52" t="n"/>
      <c r="R1125" s="52" t="n"/>
      <c r="S1125" s="1" t="n"/>
      <c r="T1125" s="1" t="n"/>
      <c r="U1125" s="1" t="n"/>
      <c r="V1125" s="1" t="n"/>
      <c r="W1125" s="1" t="n"/>
      <c r="X1125" s="1" t="n"/>
      <c r="Y1125" s="1" t="n"/>
    </row>
    <row r="1126">
      <c r="A1126" s="121">
        <f>IF($H343="UNIDADE CONSTRUTIVA",OFFSET(A343,-1,0)+1,LARGE(A$3:A342,1))</f>
        <v/>
      </c>
      <c r="B1126" s="121">
        <f>IF(H343="UNIDADE CONSTRUTIVA",0,IF(H343="CÉLULA CONSTRUTIVA",OFFSET(B343,-1,0)+1,OFFSET(B343,-1,0)))</f>
        <v/>
      </c>
      <c r="C1126" s="121">
        <f>IF(H343="CÉLULA CONSTRUTIVA",0,IF(H343="ETAPA",OFFSET(C343,-1,0)+1,OFFSET(C343,-1,0)))</f>
        <v/>
      </c>
      <c r="D1126" s="122">
        <f>IF(H343="ETAPA",0,IF(H343="SUBETAPA",OFFSET(D343,-1,0)+1,OFFSET(D343,-1,0)))</f>
        <v/>
      </c>
      <c r="E1126" s="122">
        <f>IF(H343="Subetapa",0,IF(H343="serviço",OFFSET(E343,-1,0)+1,OFFSET(E343,-1,0)))</f>
        <v/>
      </c>
      <c r="F1126" s="123" t="n"/>
      <c r="G1126" s="135" t="inlineStr">
        <is>
          <t>ESQUADRIAS, VIDROS E FERRAGENS</t>
        </is>
      </c>
      <c r="H1126" s="44" t="inlineStr">
        <is>
          <t>SERVIÇO</t>
        </is>
      </c>
      <c r="I1126" s="45">
        <f>IF(H343="Unidade Construtiva",TEXT(A343,"00"),IF(H343="Célula Construtiva",TEXT(B343,"00"),IF(H343="Etapa",CONCATENATE(TEXT(B343,"00"),".",TEXT(C343,"000")),IF(H343="Subetapa",CONCATENATE(TEXT(B343,"00"),".",TEXT(C343,"000"),".",TEXT(D343,"000")),IF(H343="Serviço",CONCATENATE(TEXT(B343,"00"),".",TEXT(C343,"000"),".",TEXT(D343,"000"),".",TEXT(E343,"000")),"")))))</f>
        <v/>
      </c>
      <c r="J1126" s="51" t="inlineStr">
        <is>
          <t>Contramarco de Alumínio, Fixação com Argamassa</t>
        </is>
      </c>
      <c r="K1126" s="47" t="inlineStr">
        <is>
          <t>m</t>
        </is>
      </c>
      <c r="L1126" s="48">
        <f>'Arquitetura Visus'!D428+'Arquitetura Visus'!D430+'Arquitetura Visus'!D432</f>
        <v/>
      </c>
      <c r="M1126" s="48">
        <f>_xlfn.XLOOKUP($J343,CPU!$D$1:$D$31540,CPU!$H$1:$H$31540)</f>
        <v/>
      </c>
      <c r="N1126" s="49">
        <f>IF(H343="Serviço",M343*L343,IF(H343="CÉLULA CONSTRUTIVA",SUMIFS($N$8:$N$754,$B$8:$B$754,B343,$H$8:$H$754,"Serviço"),IF(H343="ETAPA",SUMIFS($N$8:$N$754,$B$8:$B$754,B343,$C$8:$C$754,C343,$H$8:$H$754,"Serviço"),IF(H343="SUBETAPA",SUMIFS($N$8:$N$754,$B$8:$B$754,B343,$C$8:$C$754,C343,$D$8:$D$754,D343,$H$8:$H$754,"Serviço"),0))))</f>
        <v/>
      </c>
      <c r="O1126" s="50" t="inlineStr">
        <is>
          <t>Porta, janelas e pele de vidro</t>
        </is>
      </c>
      <c r="P1126" s="134" t="n"/>
      <c r="Q1126" s="52" t="n"/>
      <c r="R1126" s="52" t="n"/>
      <c r="S1126" s="1" t="n"/>
      <c r="T1126" s="1" t="n"/>
      <c r="U1126" s="1" t="n"/>
      <c r="V1126" s="1" t="n"/>
      <c r="W1126" s="1" t="n"/>
      <c r="X1126" s="1" t="n"/>
      <c r="Y1126" s="1" t="n"/>
    </row>
    <row r="1127">
      <c r="A1127" s="121">
        <f>IF($H344="UNIDADE CONSTRUTIVA",OFFSET(A344,-1,0)+1,LARGE(A$3:A343,1))</f>
        <v/>
      </c>
      <c r="B1127" s="121">
        <f>IF(H344="UNIDADE CONSTRUTIVA",0,IF(H344="CÉLULA CONSTRUTIVA",OFFSET(B344,-1,0)+1,OFFSET(B344,-1,0)))</f>
        <v/>
      </c>
      <c r="C1127" s="121">
        <f>IF(H344="CÉLULA CONSTRUTIVA",0,IF(H344="ETAPA",OFFSET(C344,-1,0)+1,OFFSET(C344,-1,0)))</f>
        <v/>
      </c>
      <c r="D1127" s="122">
        <f>IF(H344="ETAPA",0,IF(H344="SUBETAPA",OFFSET(D344,-1,0)+1,OFFSET(D344,-1,0)))</f>
        <v/>
      </c>
      <c r="E1127" s="122">
        <f>IF(H344="Subetapa",0,IF(H344="serviço",OFFSET(E344,-1,0)+1,OFFSET(E344,-1,0)))</f>
        <v/>
      </c>
      <c r="F1127" s="123" t="n"/>
      <c r="G1127" s="135" t="n"/>
      <c r="H1127" s="44" t="inlineStr">
        <is>
          <t>SUBETAPA</t>
        </is>
      </c>
      <c r="I1127" s="45">
        <f>IF(H344="Unidade Construtiva",TEXT(A344,"00"),IF(H344="Célula Construtiva",TEXT(B344,"00"),IF(H344="Etapa",CONCATENATE(TEXT(B344,"00"),".",TEXT(C344,"000")),IF(H344="Subetapa",CONCATENATE(TEXT(B344,"00"),".",TEXT(C344,"000"),".",TEXT(D344,"000")),IF(H344="Serviço",CONCATENATE(TEXT(B344,"00"),".",TEXT(C344,"000"),".",TEXT(D344,"000"),".",TEXT(E344,"000")),"")))))</f>
        <v/>
      </c>
      <c r="J1127" s="51" t="inlineStr">
        <is>
          <t>Esquadrias de alumínio</t>
        </is>
      </c>
      <c r="K1127" s="47" t="n"/>
      <c r="L1127" s="48" t="n"/>
      <c r="M1127" s="48" t="n"/>
      <c r="N1127" s="49">
        <f>IF(H344="Serviço",M344*L344,IF(H344="CÉLULA CONSTRUTIVA",SUMIFS($N$8:$N$754,$B$8:$B$754,B344,$H$8:$H$754,"Serviço"),IF(H344="ETAPA",SUMIFS($N$8:$N$754,$B$8:$B$754,B344,$C$8:$C$754,C344,$H$8:$H$754,"Serviço"),IF(H344="SUBETAPA",SUMIFS($N$8:$N$754,$B$8:$B$754,B344,$C$8:$C$754,C344,$D$8:$D$754,D344,$H$8:$H$754,"Serviço"),0))))</f>
        <v/>
      </c>
      <c r="O1127" s="50">
        <f>N344/CAPA!C$10</f>
        <v/>
      </c>
      <c r="P1127" s="136" t="n"/>
      <c r="Q1127" s="52" t="n"/>
      <c r="R1127" s="52" t="n"/>
      <c r="S1127" s="1" t="n"/>
      <c r="T1127" s="1" t="n"/>
      <c r="U1127" s="1" t="n"/>
      <c r="V1127" s="1" t="n"/>
      <c r="W1127" s="1" t="n"/>
      <c r="X1127" s="1" t="n"/>
      <c r="Y1127" s="1" t="n"/>
    </row>
    <row r="1128">
      <c r="A1128" s="121">
        <f>IF($H345="UNIDADE CONSTRUTIVA",OFFSET(A345,-1,0)+1,LARGE(A$3:A344,1))</f>
        <v/>
      </c>
      <c r="B1128" s="121">
        <f>IF(H345="UNIDADE CONSTRUTIVA",0,IF(H345="CÉLULA CONSTRUTIVA",OFFSET(B345,-1,0)+1,OFFSET(B345,-1,0)))</f>
        <v/>
      </c>
      <c r="C1128" s="121">
        <f>IF(H345="CÉLULA CONSTRUTIVA",0,IF(H345="ETAPA",OFFSET(C345,-1,0)+1,OFFSET(C345,-1,0)))</f>
        <v/>
      </c>
      <c r="D1128" s="122">
        <f>IF(H345="ETAPA",0,IF(H345="SUBETAPA",OFFSET(D345,-1,0)+1,OFFSET(D345,-1,0)))</f>
        <v/>
      </c>
      <c r="E1128" s="122">
        <f>IF(H345="Subetapa",0,IF(H345="serviço",OFFSET(E345,-1,0)+1,OFFSET(E345,-1,0)))</f>
        <v/>
      </c>
      <c r="F1128" s="123" t="n"/>
      <c r="G1128" s="135" t="inlineStr">
        <is>
          <t>ESQUADRIAS, VIDROS E FERRAGENS</t>
        </is>
      </c>
      <c r="H1128" s="44" t="inlineStr">
        <is>
          <t>SERVIÇO</t>
        </is>
      </c>
      <c r="I1128" s="45">
        <f>IF(H345="Unidade Construtiva",TEXT(A345,"00"),IF(H345="Célula Construtiva",TEXT(B345,"00"),IF(H345="Etapa",CONCATENATE(TEXT(B345,"00"),".",TEXT(C345,"000")),IF(H345="Subetapa",CONCATENATE(TEXT(B345,"00"),".",TEXT(C345,"000"),".",TEXT(D345,"000")),IF(H345="Serviço",CONCATENATE(TEXT(B345,"00"),".",TEXT(C345,"000"),".",TEXT(D345,"000"),".",TEXT(E345,"000")),"")))))</f>
        <v/>
      </c>
      <c r="J1128" s="139" t="inlineStr">
        <is>
          <t>Esquadrias de Alumínio</t>
        </is>
      </c>
      <c r="K1128" s="47" t="inlineStr">
        <is>
          <t>m2</t>
        </is>
      </c>
      <c r="L1128" s="165">
        <f>'Arquitetura Visus'!D421+'Arquitetura Visus'!D425+SUM('Arquitetura Visus'!D400:D412,'Arquitetura Visus'!D422:D424)</f>
        <v/>
      </c>
      <c r="M1128" s="48">
        <f>Esquadrias!L4</f>
        <v/>
      </c>
      <c r="N1128" s="49">
        <f>IF(H345="Serviço",M345*L345,IF(H345="CÉLULA CONSTRUTIVA",SUMIFS($N$8:$N$754,$B$8:$B$754,B345,$H$8:$H$754,"Serviço"),IF(H345="ETAPA",SUMIFS($N$8:$N$754,$B$8:$B$754,B345,$C$8:$C$754,C345,$H$8:$H$754,"Serviço"),IF(H345="SUBETAPA",SUMIFS($N$8:$N$754,$B$8:$B$754,B345,$C$8:$C$754,C345,$D$8:$D$754,D345,$H$8:$H$754,"Serviço"),0))))</f>
        <v/>
      </c>
      <c r="O1128" s="50" t="inlineStr">
        <is>
          <t>Cotação</t>
        </is>
      </c>
      <c r="P1128" s="134" t="n"/>
      <c r="Q1128" s="52" t="n"/>
      <c r="R1128" s="52" t="n"/>
      <c r="S1128" s="1" t="n"/>
      <c r="T1128" s="1" t="n"/>
      <c r="U1128" s="1" t="n"/>
      <c r="V1128" s="1" t="n"/>
      <c r="W1128" s="1" t="n"/>
      <c r="X1128" s="1" t="n"/>
      <c r="Y1128" s="1" t="n"/>
    </row>
    <row r="1129">
      <c r="A1129" s="121">
        <f>IF($H346="UNIDADE CONSTRUTIVA",OFFSET(A346,-1,0)+1,LARGE(A$3:A345,1))</f>
        <v/>
      </c>
      <c r="B1129" s="121">
        <f>IF(H346="UNIDADE CONSTRUTIVA",0,IF(H346="CÉLULA CONSTRUTIVA",OFFSET(B346,-1,0)+1,OFFSET(B346,-1,0)))</f>
        <v/>
      </c>
      <c r="C1129" s="121">
        <f>IF(H346="CÉLULA CONSTRUTIVA",0,IF(H346="ETAPA",OFFSET(C346,-1,0)+1,OFFSET(C346,-1,0)))</f>
        <v/>
      </c>
      <c r="D1129" s="122">
        <f>IF(H346="ETAPA",0,IF(H346="SUBETAPA",OFFSET(D346,-1,0)+1,OFFSET(D346,-1,0)))</f>
        <v/>
      </c>
      <c r="E1129" s="122">
        <f>IF(H346="Subetapa",0,IF(H346="serviço",OFFSET(E346,-1,0)+1,OFFSET(E346,-1,0)))</f>
        <v/>
      </c>
      <c r="F1129" s="123" t="n"/>
      <c r="G1129" s="135" t="inlineStr">
        <is>
          <t>ESQUADRIAS, VIDROS E FERRAGENS</t>
        </is>
      </c>
      <c r="H1129" s="44" t="inlineStr">
        <is>
          <t>SERVIÇO</t>
        </is>
      </c>
      <c r="I1129" s="45">
        <f>IF(H346="Unidade Construtiva",TEXT(A346,"00"),IF(H346="Célula Construtiva",TEXT(B346,"00"),IF(H346="Etapa",CONCATENATE(TEXT(B346,"00"),".",TEXT(C346,"000")),IF(H346="Subetapa",CONCATENATE(TEXT(B346,"00"),".",TEXT(C346,"000"),".",TEXT(D346,"000")),IF(H346="Serviço",CONCATENATE(TEXT(B346,"00"),".",TEXT(C346,"000"),".",TEXT(D346,"000"),".",TEXT(E346,"000")),"")))))</f>
        <v/>
      </c>
      <c r="J1129" s="51" t="inlineStr">
        <is>
          <t>Alçapão de aluminio</t>
        </is>
      </c>
      <c r="K1129" s="47" t="inlineStr">
        <is>
          <t>un</t>
        </is>
      </c>
      <c r="L1129" s="165" t="n">
        <v>1</v>
      </c>
      <c r="M1129" s="48">
        <f>_xlfn.XLOOKUP($J346,CPU!$D$1:$D$31540,CPU!$H$1:$H$31540)</f>
        <v/>
      </c>
      <c r="N1129" s="49">
        <f>IF(H346="Serviço",M346*L346,IF(H346="CÉLULA CONSTRUTIVA",SUMIFS($N$8:$N$754,$B$8:$B$754,B346,$H$8:$H$754,"Serviço"),IF(H346="ETAPA",SUMIFS($N$8:$N$754,$B$8:$B$754,B346,$C$8:$C$754,C346,$H$8:$H$754,"Serviço"),IF(H346="SUBETAPA",SUMIFS($N$8:$N$754,$B$8:$B$754,B346,$C$8:$C$754,C346,$D$8:$D$754,D346,$H$8:$H$754,"Serviço"),0))))</f>
        <v/>
      </c>
      <c r="O1129" s="50" t="inlineStr">
        <is>
          <t>Reservatório cobertura</t>
        </is>
      </c>
      <c r="P1129" s="134" t="n"/>
      <c r="Q1129" s="52" t="n"/>
      <c r="R1129" s="52" t="n"/>
      <c r="S1129" s="1" t="n"/>
      <c r="T1129" s="1" t="n"/>
      <c r="U1129" s="1" t="n"/>
      <c r="V1129" s="1" t="n"/>
      <c r="W1129" s="1" t="n"/>
      <c r="X1129" s="1" t="n"/>
      <c r="Y1129" s="1" t="n"/>
    </row>
    <row r="1130">
      <c r="A1130" s="121">
        <f>IF($H347="UNIDADE CONSTRUTIVA",OFFSET(A347,-1,0)+1,LARGE(A$3:A346,1))</f>
        <v/>
      </c>
      <c r="B1130" s="121">
        <f>IF(H347="UNIDADE CONSTRUTIVA",0,IF(H347="CÉLULA CONSTRUTIVA",OFFSET(B347,-1,0)+1,OFFSET(B347,-1,0)))</f>
        <v/>
      </c>
      <c r="C1130" s="121">
        <f>IF(H347="CÉLULA CONSTRUTIVA",0,IF(H347="ETAPA",OFFSET(C347,-1,0)+1,OFFSET(C347,-1,0)))</f>
        <v/>
      </c>
      <c r="D1130" s="122">
        <f>IF(H347="ETAPA",0,IF(H347="SUBETAPA",OFFSET(D347,-1,0)+1,OFFSET(D347,-1,0)))</f>
        <v/>
      </c>
      <c r="E1130" s="122">
        <f>IF(H347="Subetapa",0,IF(H347="serviço",OFFSET(E347,-1,0)+1,OFFSET(E347,-1,0)))</f>
        <v/>
      </c>
      <c r="F1130" s="123" t="n"/>
      <c r="G1130" s="135" t="n"/>
      <c r="H1130" s="44" t="inlineStr">
        <is>
          <t>SUBETAPA</t>
        </is>
      </c>
      <c r="I1130" s="45">
        <f>IF(H347="Unidade Construtiva",TEXT(A347,"00"),IF(H347="Célula Construtiva",TEXT(B347,"00"),IF(H347="Etapa",CONCATENATE(TEXT(B347,"00"),".",TEXT(C347,"000")),IF(H347="Subetapa",CONCATENATE(TEXT(B347,"00"),".",TEXT(C347,"000"),".",TEXT(D347,"000")),IF(H347="Serviço",CONCATENATE(TEXT(B347,"00"),".",TEXT(C347,"000"),".",TEXT(D347,"000"),".",TEXT(E347,"000")),"")))))</f>
        <v/>
      </c>
      <c r="J1130" s="51" t="inlineStr">
        <is>
          <t>Guarda corpo</t>
        </is>
      </c>
      <c r="K1130" s="47" t="n"/>
      <c r="L1130" s="48" t="n"/>
      <c r="M1130" s="48" t="n"/>
      <c r="N1130" s="49">
        <f>IF(H347="Serviço",M347*L347,IF(H347="CÉLULA CONSTRUTIVA",SUMIFS($N$8:$N$754,$B$8:$B$754,B347,$H$8:$H$754,"Serviço"),IF(H347="ETAPA",SUMIFS($N$8:$N$754,$B$8:$B$754,B347,$C$8:$C$754,C347,$H$8:$H$754,"Serviço"),IF(H347="SUBETAPA",SUMIFS($N$8:$N$754,$B$8:$B$754,B347,$C$8:$C$754,C347,$D$8:$D$754,D347,$H$8:$H$754,"Serviço"),0))))</f>
        <v/>
      </c>
      <c r="O1130" s="50">
        <f>N347/CAPA!C$10</f>
        <v/>
      </c>
      <c r="P1130" s="134" t="n"/>
      <c r="Q1130" s="52" t="n"/>
      <c r="R1130" s="52" t="n"/>
      <c r="S1130" s="1" t="n"/>
      <c r="T1130" s="1" t="n"/>
      <c r="U1130" s="1" t="n"/>
      <c r="V1130" s="1" t="n"/>
      <c r="W1130" s="1" t="n"/>
      <c r="X1130" s="1" t="n"/>
      <c r="Y1130" s="1" t="n"/>
    </row>
    <row r="1131">
      <c r="A1131" s="121">
        <f>IF($H348="UNIDADE CONSTRUTIVA",OFFSET(A348,-1,0)+1,LARGE(A$3:A347,1))</f>
        <v/>
      </c>
      <c r="B1131" s="121">
        <f>IF(H348="UNIDADE CONSTRUTIVA",0,IF(H348="CÉLULA CONSTRUTIVA",OFFSET(B348,-1,0)+1,OFFSET(B348,-1,0)))</f>
        <v/>
      </c>
      <c r="C1131" s="121">
        <f>IF(H348="CÉLULA CONSTRUTIVA",0,IF(H348="ETAPA",OFFSET(C348,-1,0)+1,OFFSET(C348,-1,0)))</f>
        <v/>
      </c>
      <c r="D1131" s="122">
        <f>IF(H348="ETAPA",0,IF(H348="SUBETAPA",OFFSET(D348,-1,0)+1,OFFSET(D348,-1,0)))</f>
        <v/>
      </c>
      <c r="E1131" s="122">
        <f>IF(H348="Subetapa",0,IF(H348="serviço",OFFSET(E348,-1,0)+1,OFFSET(E348,-1,0)))</f>
        <v/>
      </c>
      <c r="F1131" s="123" t="n"/>
      <c r="G1131" s="135" t="inlineStr">
        <is>
          <t>ESQUADRIAS, VIDROS E FERRAGENS</t>
        </is>
      </c>
      <c r="H1131" s="44" t="inlineStr">
        <is>
          <t>SERVIÇO</t>
        </is>
      </c>
      <c r="I1131" s="45">
        <f>IF(H348="Unidade Construtiva",TEXT(A348,"00"),IF(H348="Célula Construtiva",TEXT(B348,"00"),IF(H348="Etapa",CONCATENATE(TEXT(B348,"00"),".",TEXT(C348,"000")),IF(H348="Subetapa",CONCATENATE(TEXT(B348,"00"),".",TEXT(C348,"000"),".",TEXT(D348,"000")),IF(H348="Serviço",CONCATENATE(TEXT(B348,"00"),".",TEXT(C348,"000"),".",TEXT(D348,"000"),".",TEXT(E348,"000")),"")))))</f>
        <v/>
      </c>
      <c r="J1131" s="51" t="inlineStr">
        <is>
          <t>Guarda Corpo de Vidro e Aluminio - fornecimento e instalação</t>
        </is>
      </c>
      <c r="K1131" s="47" t="inlineStr">
        <is>
          <t>m2</t>
        </is>
      </c>
      <c r="L1131" s="165">
        <f>'Arquitetura Visus'!D398</f>
        <v/>
      </c>
      <c r="M1131" s="48">
        <f>_xlfn.XLOOKUP($J348,CPU!$D$1:$D$31540,CPU!$H$1:$H$31540)</f>
        <v/>
      </c>
      <c r="N1131" s="49">
        <f>IF(H348="Serviço",M348*L348,IF(H348="CÉLULA CONSTRUTIVA",SUMIFS($N$8:$N$754,$B$8:$B$754,B348,$H$8:$H$754,"Serviço"),IF(H348="ETAPA",SUMIFS($N$8:$N$754,$B$8:$B$754,B348,$C$8:$C$754,C348,$H$8:$H$754,"Serviço"),IF(H348="SUBETAPA",SUMIFS($N$8:$N$754,$B$8:$B$754,B348,$C$8:$C$754,C348,$D$8:$D$754,D348,$H$8:$H$754,"Serviço"),0))))</f>
        <v/>
      </c>
      <c r="O1131" s="50" t="inlineStr">
        <is>
          <t>Piscina</t>
        </is>
      </c>
      <c r="P1131" s="134" t="n"/>
      <c r="Q1131" s="52" t="n"/>
      <c r="R1131" s="52" t="n"/>
      <c r="S1131" s="1" t="n"/>
      <c r="T1131" s="1" t="n"/>
      <c r="U1131" s="1" t="n"/>
      <c r="V1131" s="1" t="n"/>
      <c r="W1131" s="1" t="n"/>
      <c r="X1131" s="1" t="n"/>
      <c r="Y1131" s="1" t="n"/>
    </row>
    <row r="1132">
      <c r="A1132" s="121">
        <f>IF($H349="UNIDADE CONSTRUTIVA",OFFSET(A349,-1,0)+1,LARGE(A$3:A348,1))</f>
        <v/>
      </c>
      <c r="B1132" s="121">
        <f>IF(H349="UNIDADE CONSTRUTIVA",0,IF(H349="CÉLULA CONSTRUTIVA",OFFSET(B349,-1,0)+1,OFFSET(B349,-1,0)))</f>
        <v/>
      </c>
      <c r="C1132" s="121">
        <f>IF(H349="CÉLULA CONSTRUTIVA",0,IF(H349="ETAPA",OFFSET(C349,-1,0)+1,OFFSET(C349,-1,0)))</f>
        <v/>
      </c>
      <c r="D1132" s="122">
        <f>IF(H349="ETAPA",0,IF(H349="SUBETAPA",OFFSET(D349,-1,0)+1,OFFSET(D349,-1,0)))</f>
        <v/>
      </c>
      <c r="E1132" s="122">
        <f>IF(H349="Subetapa",0,IF(H349="serviço",OFFSET(E349,-1,0)+1,OFFSET(E349,-1,0)))</f>
        <v/>
      </c>
      <c r="F1132" s="123" t="n"/>
      <c r="G1132" s="135" t="n"/>
      <c r="H1132" s="44" t="inlineStr">
        <is>
          <t>SUBETAPA</t>
        </is>
      </c>
      <c r="I1132" s="45">
        <f>IF(H349="Unidade Construtiva",TEXT(A349,"00"),IF(H349="Célula Construtiva",TEXT(B349,"00"),IF(H349="Etapa",CONCATENATE(TEXT(B349,"00"),".",TEXT(C349,"000")),IF(H349="Subetapa",CONCATENATE(TEXT(B349,"00"),".",TEXT(C349,"000"),".",TEXT(D349,"000")),IF(H349="Serviço",CONCATENATE(TEXT(B349,"00"),".",TEXT(C349,"000"),".",TEXT(D349,"000"),".",TEXT(E349,"000")),"")))))</f>
        <v/>
      </c>
      <c r="J1132" s="51" t="inlineStr">
        <is>
          <t>Pele de vidro</t>
        </is>
      </c>
      <c r="K1132" s="47" t="n"/>
      <c r="L1132" s="48" t="n"/>
      <c r="M1132" s="48" t="n"/>
      <c r="N1132" s="49">
        <f>IF(H349="Serviço",M349*L349,IF(H349="CÉLULA CONSTRUTIVA",SUMIFS($N$8:$N$754,$B$8:$B$754,B349,$H$8:$H$754,"Serviço"),IF(H349="ETAPA",SUMIFS($N$8:$N$754,$B$8:$B$754,B349,$C$8:$C$754,C349,$H$8:$H$754,"Serviço"),IF(H349="SUBETAPA",SUMIFS($N$8:$N$754,$B$8:$B$754,B349,$C$8:$C$754,C349,$D$8:$D$754,D349,$H$8:$H$754,"Serviço"),0))))</f>
        <v/>
      </c>
      <c r="O1132" s="50">
        <f>N349/CAPA!C$10</f>
        <v/>
      </c>
      <c r="P1132" s="134" t="n"/>
      <c r="Q1132" s="52" t="n"/>
      <c r="R1132" s="52" t="n"/>
      <c r="S1132" s="1" t="n"/>
      <c r="T1132" s="1" t="n"/>
      <c r="U1132" s="1" t="n"/>
      <c r="V1132" s="1" t="n"/>
      <c r="W1132" s="1" t="n"/>
      <c r="X1132" s="1" t="n"/>
      <c r="Y1132" s="1" t="n"/>
    </row>
    <row r="1133">
      <c r="A1133" s="121">
        <f>IF($H350="UNIDADE CONSTRUTIVA",OFFSET(A350,-1,0)+1,LARGE(A$3:A349,1))</f>
        <v/>
      </c>
      <c r="B1133" s="121">
        <f>IF(H350="UNIDADE CONSTRUTIVA",0,IF(H350="CÉLULA CONSTRUTIVA",OFFSET(B350,-1,0)+1,OFFSET(B350,-1,0)))</f>
        <v/>
      </c>
      <c r="C1133" s="121">
        <f>IF(H350="CÉLULA CONSTRUTIVA",0,IF(H350="ETAPA",OFFSET(C350,-1,0)+1,OFFSET(C350,-1,0)))</f>
        <v/>
      </c>
      <c r="D1133" s="122">
        <f>IF(H350="ETAPA",0,IF(H350="SUBETAPA",OFFSET(D350,-1,0)+1,OFFSET(D350,-1,0)))</f>
        <v/>
      </c>
      <c r="E1133" s="122">
        <f>IF(H350="Subetapa",0,IF(H350="serviço",OFFSET(E350,-1,0)+1,OFFSET(E350,-1,0)))</f>
        <v/>
      </c>
      <c r="F1133" s="123" t="n"/>
      <c r="G1133" s="135" t="inlineStr">
        <is>
          <t>ESQUADRIAS, VIDROS E FERRAGENS</t>
        </is>
      </c>
      <c r="H1133" s="44" t="inlineStr">
        <is>
          <t>SERVIÇO</t>
        </is>
      </c>
      <c r="I1133" s="45">
        <f>IF(H350="Unidade Construtiva",TEXT(A350,"00"),IF(H350="Célula Construtiva",TEXT(B350,"00"),IF(H350="Etapa",CONCATENATE(TEXT(B350,"00"),".",TEXT(C350,"000")),IF(H350="Subetapa",CONCATENATE(TEXT(B350,"00"),".",TEXT(C350,"000"),".",TEXT(D350,"000")),IF(H350="Serviço",CONCATENATE(TEXT(B350,"00"),".",TEXT(C350,"000"),".",TEXT(D350,"000"),".",TEXT(E350,"000")),"")))))</f>
        <v/>
      </c>
      <c r="J1133" s="51" t="inlineStr">
        <is>
          <t>Pele de vidro</t>
        </is>
      </c>
      <c r="K1133" s="47" t="inlineStr">
        <is>
          <t>m2</t>
        </is>
      </c>
      <c r="L1133" s="165">
        <f>SUM('Arquitetura Visus'!D414:D419)</f>
        <v/>
      </c>
      <c r="M1133" s="48">
        <f>Esquadrias!L8</f>
        <v/>
      </c>
      <c r="N1133" s="49">
        <f>IF(H350="Serviço",M350*L350,IF(H350="CÉLULA CONSTRUTIVA",SUMIFS($N$8:$N$754,$B$8:$B$754,B350,$H$8:$H$754,"Serviço"),IF(H350="ETAPA",SUMIFS($N$8:$N$754,$B$8:$B$754,B350,$C$8:$C$754,C350,$H$8:$H$754,"Serviço"),IF(H350="SUBETAPA",SUMIFS($N$8:$N$754,$B$8:$B$754,B350,$C$8:$C$754,C350,$D$8:$D$754,D350,$H$8:$H$754,"Serviço"),0))))</f>
        <v/>
      </c>
      <c r="O1133" s="50" t="inlineStr">
        <is>
          <t>Cotação</t>
        </is>
      </c>
      <c r="P1133" s="134" t="n"/>
      <c r="Q1133" s="52" t="n"/>
      <c r="R1133" s="52" t="n"/>
      <c r="S1133" s="1" t="n"/>
      <c r="T1133" s="1" t="n"/>
      <c r="U1133" s="1" t="n"/>
      <c r="V1133" s="1" t="n"/>
      <c r="W1133" s="1" t="n"/>
      <c r="X1133" s="1" t="n"/>
      <c r="Y1133" s="1" t="n"/>
    </row>
    <row r="1134">
      <c r="A1134" s="121">
        <f>IF($H351="UNIDADE CONSTRUTIVA",OFFSET(A351,-1,0)+1,LARGE(A$3:A348,1))</f>
        <v/>
      </c>
      <c r="B1134" s="121">
        <f>IF(H351="UNIDADE CONSTRUTIVA",0,IF(H351="CÉLULA CONSTRUTIVA",OFFSET(B351,-1,0)+1,OFFSET(B351,-1,0)))</f>
        <v/>
      </c>
      <c r="C1134" s="121">
        <f>IF(H351="CÉLULA CONSTRUTIVA",0,IF(H351="ETAPA",OFFSET(C351,-1,0)+1,OFFSET(C351,-1,0)))</f>
        <v/>
      </c>
      <c r="D1134" s="122">
        <f>IF(H351="ETAPA",0,IF(H351="SUBETAPA",OFFSET(D351,-1,0)+1,OFFSET(D351,-1,0)))</f>
        <v/>
      </c>
      <c r="E1134" s="122">
        <f>IF(H351="Subetapa",0,IF(H351="serviço",OFFSET(E351,-1,0)+1,OFFSET(E351,-1,0)))</f>
        <v/>
      </c>
      <c r="F1134" s="123" t="n"/>
      <c r="G1134" s="135" t="n"/>
      <c r="H1134" s="44" t="inlineStr">
        <is>
          <t>ETAPA</t>
        </is>
      </c>
      <c r="I1134" s="45">
        <f>IF(H351="Unidade Construtiva",TEXT(A351,"00"),IF(H351="Célula Construtiva",TEXT(B351,"00"),IF(H351="Etapa",CONCATENATE(TEXT(B351,"00"),".",TEXT(C351,"000")),IF(H351="Subetapa",CONCATENATE(TEXT(B351,"00"),".",TEXT(C351,"000"),".",TEXT(D351,"000")),IF(H351="Serviço",CONCATENATE(TEXT(B351,"00"),".",TEXT(C351,"000"),".",TEXT(D351,"000"),".",TEXT(E351,"000")),"")))))</f>
        <v/>
      </c>
      <c r="J1134" s="51" t="inlineStr">
        <is>
          <t>ESQUADRIAS DE MADEIRA</t>
        </is>
      </c>
      <c r="K1134" s="47" t="n"/>
      <c r="L1134" s="48" t="n"/>
      <c r="M1134" s="48" t="n"/>
      <c r="N1134" s="49">
        <f>IF(H351="Serviço",M351*L351,IF(H351="CÉLULA CONSTRUTIVA",SUMIFS($N$8:$N$754,$B$8:$B$754,B351,$H$8:$H$754,"Serviço"),IF(H351="ETAPA",SUMIFS($N$8:$N$754,$B$8:$B$754,B351,$C$8:$C$754,C351,$H$8:$H$754,"Serviço"),IF(H351="SUBETAPA",SUMIFS($N$8:$N$754,$B$8:$B$754,B351,$C$8:$C$754,C351,$D$8:$D$754,D351,$H$8:$H$754,"Serviço"),0))))</f>
        <v/>
      </c>
      <c r="O1134" s="50">
        <f>N351/CAPA!C$10</f>
        <v/>
      </c>
      <c r="P1134" s="134" t="n"/>
      <c r="Q1134" s="52" t="n"/>
      <c r="R1134" s="52" t="n"/>
      <c r="S1134" s="1" t="n"/>
      <c r="T1134" s="1" t="n"/>
      <c r="U1134" s="1" t="n"/>
      <c r="V1134" s="1" t="n"/>
      <c r="W1134" s="1" t="n"/>
      <c r="X1134" s="1" t="n"/>
      <c r="Y1134" s="1" t="n"/>
    </row>
    <row r="1135">
      <c r="A1135" s="121">
        <f>IF($H352="UNIDADE CONSTRUTIVA",OFFSET(A352,-1,0)+1,LARGE(A$3:A351,1))</f>
        <v/>
      </c>
      <c r="B1135" s="121">
        <f>IF(H352="UNIDADE CONSTRUTIVA",0,IF(H352="CÉLULA CONSTRUTIVA",OFFSET(B352,-1,0)+1,OFFSET(B352,-1,0)))</f>
        <v/>
      </c>
      <c r="C1135" s="121">
        <f>IF(H352="CÉLULA CONSTRUTIVA",0,IF(H352="ETAPA",OFFSET(C352,-1,0)+1,OFFSET(C352,-1,0)))</f>
        <v/>
      </c>
      <c r="D1135" s="122">
        <f>IF(H352="ETAPA",0,IF(H352="SUBETAPA",OFFSET(D352,-1,0)+1,OFFSET(D352,-1,0)))</f>
        <v/>
      </c>
      <c r="E1135" s="122">
        <f>IF(H352="Subetapa",0,IF(H352="serviço",OFFSET(E352,-1,0)+1,OFFSET(E352,-1,0)))</f>
        <v/>
      </c>
      <c r="F1135" s="123" t="n"/>
      <c r="G1135" s="135" t="n"/>
      <c r="H1135" s="44" t="inlineStr">
        <is>
          <t>SUBETAPA</t>
        </is>
      </c>
      <c r="I1135" s="45">
        <f>IF(H352="Unidade Construtiva",TEXT(A352,"00"),IF(H352="Célula Construtiva",TEXT(B352,"00"),IF(H352="Etapa",CONCATENATE(TEXT(B352,"00"),".",TEXT(C352,"000")),IF(H352="Subetapa",CONCATENATE(TEXT(B352,"00"),".",TEXT(C352,"000"),".",TEXT(D352,"000")),IF(H352="Serviço",CONCATENATE(TEXT(B352,"00"),".",TEXT(C352,"000"),".",TEXT(D352,"000"),".",TEXT(E352,"000")),"")))))</f>
        <v/>
      </c>
      <c r="J1135" s="51" t="inlineStr">
        <is>
          <t>Esquadrias de madeira</t>
        </is>
      </c>
      <c r="K1135" s="47" t="n"/>
      <c r="L1135" s="48" t="n"/>
      <c r="M1135" s="48" t="n"/>
      <c r="N1135" s="49">
        <f>IF(H352="Serviço",M352*L352,IF(H352="CÉLULA CONSTRUTIVA",SUMIFS($N$8:$N$754,$B$8:$B$754,B352,$H$8:$H$754,"Serviço"),IF(H352="ETAPA",SUMIFS($N$8:$N$754,$B$8:$B$754,B352,$C$8:$C$754,C352,$H$8:$H$754,"Serviço"),IF(H352="SUBETAPA",SUMIFS($N$8:$N$754,$B$8:$B$754,B352,$C$8:$C$754,C352,$D$8:$D$754,D352,$H$8:$H$754,"Serviço"),0))))</f>
        <v/>
      </c>
      <c r="O1135" s="50">
        <f>N352/CAPA!C$10</f>
        <v/>
      </c>
      <c r="P1135" s="134" t="n"/>
      <c r="Q1135" s="52" t="n"/>
      <c r="R1135" s="52" t="n"/>
      <c r="S1135" s="1" t="n"/>
      <c r="T1135" s="1" t="n"/>
      <c r="U1135" s="1" t="n"/>
      <c r="V1135" s="1" t="n"/>
      <c r="W1135" s="1" t="n"/>
      <c r="X1135" s="1" t="n"/>
      <c r="Y1135" s="1" t="n"/>
    </row>
    <row r="1136">
      <c r="A1136" s="121">
        <f>IF($H353="UNIDADE CONSTRUTIVA",OFFSET(A353,-1,0)+1,LARGE(A$3:A352,1))</f>
        <v/>
      </c>
      <c r="B1136" s="121">
        <f>IF(H353="UNIDADE CONSTRUTIVA",0,IF(H353="CÉLULA CONSTRUTIVA",OFFSET(B353,-1,0)+1,OFFSET(B353,-1,0)))</f>
        <v/>
      </c>
      <c r="C1136" s="121">
        <f>IF(H353="CÉLULA CONSTRUTIVA",0,IF(H353="ETAPA",OFFSET(C353,-1,0)+1,OFFSET(C353,-1,0)))</f>
        <v/>
      </c>
      <c r="D1136" s="122">
        <f>IF(H353="ETAPA",0,IF(H353="SUBETAPA",OFFSET(D353,-1,0)+1,OFFSET(D353,-1,0)))</f>
        <v/>
      </c>
      <c r="E1136" s="122">
        <f>IF(H353="Subetapa",0,IF(H353="serviço",OFFSET(E353,-1,0)+1,OFFSET(E353,-1,0)))</f>
        <v/>
      </c>
      <c r="F1136" s="123" t="n"/>
      <c r="G1136" s="135" t="inlineStr">
        <is>
          <t>ESQUADRIAS, VIDROS E FERRAGENS</t>
        </is>
      </c>
      <c r="H1136" s="44" t="inlineStr">
        <is>
          <t>SERVIÇO</t>
        </is>
      </c>
      <c r="I1136" s="45">
        <f>IF(H353="Unidade Construtiva",TEXT(A353,"00"),IF(H353="Célula Construtiva",TEXT(B353,"00"),IF(H353="Etapa",CONCATENATE(TEXT(B353,"00"),".",TEXT(C353,"000")),IF(H353="Subetapa",CONCATENATE(TEXT(B353,"00"),".",TEXT(C353,"000"),".",TEXT(D353,"000")),IF(H353="Serviço",CONCATENATE(TEXT(B353,"00"),".",TEXT(C353,"000"),".",TEXT(D353,"000"),".",TEXT(E353,"000")),"")))))</f>
        <v/>
      </c>
      <c r="J1136" s="51" t="inlineStr">
        <is>
          <t>Porta de madeira de abrir - 60x220cm (kit completo) - fixação com espuma expansiva</t>
        </is>
      </c>
      <c r="K1136" s="47" t="inlineStr">
        <is>
          <t>un</t>
        </is>
      </c>
      <c r="L1136" s="48">
        <f>'Arquitetura Visus'!D436</f>
        <v/>
      </c>
      <c r="M1136" s="48">
        <f>_xlfn.XLOOKUP($J353,CPU!$D$1:$D$31540,CPU!$H$1:$H$31540)</f>
        <v/>
      </c>
      <c r="N1136" s="49">
        <f>IF(H353="Serviço",M353*L353,IF(H353="CÉLULA CONSTRUTIVA",SUMIFS($N$8:$N$754,$B$8:$B$754,B353,$H$8:$H$754,"Serviço"),IF(H353="ETAPA",SUMIFS($N$8:$N$754,$B$8:$B$754,B353,$C$8:$C$754,C353,$H$8:$H$754,"Serviço"),IF(H353="SUBETAPA",SUMIFS($N$8:$N$754,$B$8:$B$754,B353,$C$8:$C$754,C353,$D$8:$D$754,D353,$H$8:$H$754,"Serviço"),0))))</f>
        <v/>
      </c>
      <c r="O1136" s="166" t="n"/>
      <c r="P1136" s="134" t="n"/>
      <c r="Q1136" s="52" t="n"/>
      <c r="R1136" s="52" t="n"/>
      <c r="S1136" s="1" t="n"/>
      <c r="T1136" s="1" t="n"/>
      <c r="U1136" s="1" t="n"/>
      <c r="V1136" s="1" t="n"/>
      <c r="W1136" s="1" t="n"/>
      <c r="X1136" s="1" t="n"/>
      <c r="Y1136" s="1" t="n"/>
    </row>
    <row r="1137">
      <c r="A1137" s="121">
        <f>IF($H354="UNIDADE CONSTRUTIVA",OFFSET(A354,-1,0)+1,LARGE(A$3:A353,1))</f>
        <v/>
      </c>
      <c r="B1137" s="121">
        <f>IF(H354="UNIDADE CONSTRUTIVA",0,IF(H354="CÉLULA CONSTRUTIVA",OFFSET(B354,-1,0)+1,OFFSET(B354,-1,0)))</f>
        <v/>
      </c>
      <c r="C1137" s="121">
        <f>IF(H354="CÉLULA CONSTRUTIVA",0,IF(H354="ETAPA",OFFSET(C354,-1,0)+1,OFFSET(C354,-1,0)))</f>
        <v/>
      </c>
      <c r="D1137" s="122">
        <f>IF(H354="ETAPA",0,IF(H354="SUBETAPA",OFFSET(D354,-1,0)+1,OFFSET(D354,-1,0)))</f>
        <v/>
      </c>
      <c r="E1137" s="122">
        <f>IF(H354="Subetapa",0,IF(H354="serviço",OFFSET(E354,-1,0)+1,OFFSET(E354,-1,0)))</f>
        <v/>
      </c>
      <c r="F1137" s="123" t="n"/>
      <c r="G1137" s="135" t="inlineStr">
        <is>
          <t>ESQUADRIAS, VIDROS E FERRAGENS</t>
        </is>
      </c>
      <c r="H1137" s="44" t="inlineStr">
        <is>
          <t>SERVIÇO</t>
        </is>
      </c>
      <c r="I1137" s="45">
        <f>IF(H354="Unidade Construtiva",TEXT(A354,"00"),IF(H354="Célula Construtiva",TEXT(B354,"00"),IF(H354="Etapa",CONCATENATE(TEXT(B354,"00"),".",TEXT(C354,"000")),IF(H354="Subetapa",CONCATENATE(TEXT(B354,"00"),".",TEXT(C354,"000"),".",TEXT(D354,"000")),IF(H354="Serviço",CONCATENATE(TEXT(B354,"00"),".",TEXT(C354,"000"),".",TEXT(D354,"000"),".",TEXT(E354,"000")),"")))))</f>
        <v/>
      </c>
      <c r="J1137" s="51" t="inlineStr">
        <is>
          <t>Porta de madeira de abrir - 70x210cm (kit completo) - fixação com espuma expansiva</t>
        </is>
      </c>
      <c r="K1137" s="47" t="inlineStr">
        <is>
          <t>un</t>
        </is>
      </c>
      <c r="L1137" s="48">
        <f>'Arquitetura Visus'!D437</f>
        <v/>
      </c>
      <c r="M1137" s="48">
        <f>_xlfn.XLOOKUP($J354,CPU!$D$1:$D$31540,CPU!$H$1:$H$31540)</f>
        <v/>
      </c>
      <c r="N1137" s="49">
        <f>IF(H354="Serviço",M354*L354,IF(H354="CÉLULA CONSTRUTIVA",SUMIFS($N$8:$N$754,$B$8:$B$754,B354,$H$8:$H$754,"Serviço"),IF(H354="ETAPA",SUMIFS($N$8:$N$754,$B$8:$B$754,B354,$C$8:$C$754,C354,$H$8:$H$754,"Serviço"),IF(H354="SUBETAPA",SUMIFS($N$8:$N$754,$B$8:$B$754,B354,$C$8:$C$754,C354,$D$8:$D$754,D354,$H$8:$H$754,"Serviço"),0))))</f>
        <v/>
      </c>
      <c r="O1137" s="166" t="n"/>
      <c r="P1137" s="134" t="n"/>
      <c r="Q1137" s="52" t="n"/>
      <c r="R1137" s="52" t="n"/>
      <c r="S1137" s="1" t="n"/>
      <c r="T1137" s="1" t="n"/>
      <c r="U1137" s="1" t="n"/>
      <c r="V1137" s="1" t="n"/>
      <c r="W1137" s="1" t="n"/>
      <c r="X1137" s="1" t="n"/>
      <c r="Y1137" s="1" t="n"/>
    </row>
    <row r="1138">
      <c r="A1138" s="121">
        <f>IF($H355="UNIDADE CONSTRUTIVA",OFFSET(A355,-1,0)+1,LARGE(A$3:A354,1))</f>
        <v/>
      </c>
      <c r="B1138" s="121">
        <f>IF(H355="UNIDADE CONSTRUTIVA",0,IF(H355="CÉLULA CONSTRUTIVA",OFFSET(B355,-1,0)+1,OFFSET(B355,-1,0)))</f>
        <v/>
      </c>
      <c r="C1138" s="121">
        <f>IF(H355="CÉLULA CONSTRUTIVA",0,IF(H355="ETAPA",OFFSET(C355,-1,0)+1,OFFSET(C355,-1,0)))</f>
        <v/>
      </c>
      <c r="D1138" s="122">
        <f>IF(H355="ETAPA",0,IF(H355="SUBETAPA",OFFSET(D355,-1,0)+1,OFFSET(D355,-1,0)))</f>
        <v/>
      </c>
      <c r="E1138" s="122">
        <f>IF(H355="Subetapa",0,IF(H355="serviço",OFFSET(E355,-1,0)+1,OFFSET(E355,-1,0)))</f>
        <v/>
      </c>
      <c r="F1138" s="123" t="n"/>
      <c r="G1138" s="135" t="inlineStr">
        <is>
          <t>ESQUADRIAS, VIDROS E FERRAGENS</t>
        </is>
      </c>
      <c r="H1138" s="44" t="inlineStr">
        <is>
          <t>SERVIÇO</t>
        </is>
      </c>
      <c r="I1138" s="45">
        <f>IF(H355="Unidade Construtiva",TEXT(A355,"00"),IF(H355="Célula Construtiva",TEXT(B355,"00"),IF(H355="Etapa",CONCATENATE(TEXT(B355,"00"),".",TEXT(C355,"000")),IF(H355="Subetapa",CONCATENATE(TEXT(B355,"00"),".",TEXT(C355,"000"),".",TEXT(D355,"000")),IF(H355="Serviço",CONCATENATE(TEXT(B355,"00"),".",TEXT(C355,"000"),".",TEXT(D355,"000"),".",TEXT(E355,"000")),"")))))</f>
        <v/>
      </c>
      <c r="J1138" s="51" t="inlineStr">
        <is>
          <t>Porta de madeira de abrir - 80x210cm (kit completo) - fixação com espuma expansiva</t>
        </is>
      </c>
      <c r="K1138" s="47" t="inlineStr">
        <is>
          <t>un</t>
        </is>
      </c>
      <c r="L1138" s="48">
        <f>'Arquitetura Visus'!D438</f>
        <v/>
      </c>
      <c r="M1138" s="48">
        <f>_xlfn.XLOOKUP($J355,CPU!$D$1:$D$31540,CPU!$H$1:$H$31540)</f>
        <v/>
      </c>
      <c r="N1138" s="49">
        <f>IF(H355="Serviço",M355*L355,IF(H355="CÉLULA CONSTRUTIVA",SUMIFS($N$8:$N$754,$B$8:$B$754,B355,$H$8:$H$754,"Serviço"),IF(H355="ETAPA",SUMIFS($N$8:$N$754,$B$8:$B$754,B355,$C$8:$C$754,C355,$H$8:$H$754,"Serviço"),IF(H355="SUBETAPA",SUMIFS($N$8:$N$754,$B$8:$B$754,B355,$C$8:$C$754,C355,$D$8:$D$754,D355,$H$8:$H$754,"Serviço"),0))))</f>
        <v/>
      </c>
      <c r="O1138" s="166" t="n"/>
      <c r="P1138" s="134" t="n"/>
      <c r="Q1138" s="52" t="n"/>
      <c r="R1138" s="52" t="n"/>
      <c r="S1138" s="1" t="n"/>
      <c r="T1138" s="1" t="n"/>
      <c r="U1138" s="1" t="n"/>
      <c r="V1138" s="1" t="n"/>
      <c r="W1138" s="1" t="n"/>
      <c r="X1138" s="1" t="n"/>
      <c r="Y1138" s="1" t="n"/>
    </row>
    <row r="1139">
      <c r="A1139" s="121">
        <f>IF($H356="UNIDADE CONSTRUTIVA",OFFSET(A356,-1,0)+1,LARGE(A$3:A355,1))</f>
        <v/>
      </c>
      <c r="B1139" s="121">
        <f>IF(H356="UNIDADE CONSTRUTIVA",0,IF(H356="CÉLULA CONSTRUTIVA",OFFSET(B356,-1,0)+1,OFFSET(B356,-1,0)))</f>
        <v/>
      </c>
      <c r="C1139" s="121">
        <f>IF(H356="CÉLULA CONSTRUTIVA",0,IF(H356="ETAPA",OFFSET(C356,-1,0)+1,OFFSET(C356,-1,0)))</f>
        <v/>
      </c>
      <c r="D1139" s="122">
        <f>IF(H356="ETAPA",0,IF(H356="SUBETAPA",OFFSET(D356,-1,0)+1,OFFSET(D356,-1,0)))</f>
        <v/>
      </c>
      <c r="E1139" s="122">
        <f>IF(H356="Subetapa",0,IF(H356="serviço",OFFSET(E356,-1,0)+1,OFFSET(E356,-1,0)))</f>
        <v/>
      </c>
      <c r="F1139" s="123" t="n"/>
      <c r="G1139" s="135" t="inlineStr">
        <is>
          <t>ESQUADRIAS, VIDROS E FERRAGENS</t>
        </is>
      </c>
      <c r="H1139" s="44" t="inlineStr">
        <is>
          <t>SERVIÇO</t>
        </is>
      </c>
      <c r="I1139" s="45">
        <f>IF(H356="Unidade Construtiva",TEXT(A356,"00"),IF(H356="Célula Construtiva",TEXT(B356,"00"),IF(H356="Etapa",CONCATENATE(TEXT(B356,"00"),".",TEXT(C356,"000")),IF(H356="Subetapa",CONCATENATE(TEXT(B356,"00"),".",TEXT(C356,"000"),".",TEXT(D356,"000")),IF(H356="Serviço",CONCATENATE(TEXT(B356,"00"),".",TEXT(C356,"000"),".",TEXT(D356,"000"),".",TEXT(E356,"000")),"")))))</f>
        <v/>
      </c>
      <c r="J1139" s="51" t="inlineStr">
        <is>
          <t>Porta de madeira de abrir - 90x210cm (kit completo) - fixação com espuma expansiva</t>
        </is>
      </c>
      <c r="K1139" s="47" t="inlineStr">
        <is>
          <t>un</t>
        </is>
      </c>
      <c r="L1139" s="48">
        <f>'Arquitetura Visus'!D439</f>
        <v/>
      </c>
      <c r="M1139" s="48">
        <f>_xlfn.XLOOKUP($J356,CPU!$D$1:$D$31540,CPU!$H$1:$H$31540)</f>
        <v/>
      </c>
      <c r="N1139" s="49">
        <f>IF(H356="Serviço",M356*L356,IF(H356="CÉLULA CONSTRUTIVA",SUMIFS($N$8:$N$754,$B$8:$B$754,B356,$H$8:$H$754,"Serviço"),IF(H356="ETAPA",SUMIFS($N$8:$N$754,$B$8:$B$754,B356,$C$8:$C$754,C356,$H$8:$H$754,"Serviço"),IF(H356="SUBETAPA",SUMIFS($N$8:$N$754,$B$8:$B$754,B356,$C$8:$C$754,C356,$D$8:$D$754,D356,$H$8:$H$754,"Serviço"),0))))</f>
        <v/>
      </c>
      <c r="O1139" s="166" t="n"/>
      <c r="P1139" s="134" t="n"/>
      <c r="Q1139" s="52" t="n"/>
      <c r="R1139" s="52" t="n"/>
      <c r="S1139" s="1" t="n"/>
      <c r="T1139" s="1" t="n"/>
      <c r="U1139" s="1" t="n"/>
      <c r="V1139" s="1" t="n"/>
      <c r="W1139" s="1" t="n"/>
      <c r="X1139" s="1" t="n"/>
      <c r="Y1139" s="1" t="n"/>
    </row>
    <row r="1140">
      <c r="A1140" s="121">
        <f>IF($H357="UNIDADE CONSTRUTIVA",OFFSET(A357,-1,0)+1,LARGE(A$3:A356,1))</f>
        <v/>
      </c>
      <c r="B1140" s="121">
        <f>IF(H357="UNIDADE CONSTRUTIVA",0,IF(H357="CÉLULA CONSTRUTIVA",OFFSET(B357,-1,0)+1,OFFSET(B357,-1,0)))</f>
        <v/>
      </c>
      <c r="C1140" s="121">
        <f>IF(H357="CÉLULA CONSTRUTIVA",0,IF(H357="ETAPA",OFFSET(C357,-1,0)+1,OFFSET(C357,-1,0)))</f>
        <v/>
      </c>
      <c r="D1140" s="122">
        <f>IF(H357="ETAPA",0,IF(H357="SUBETAPA",OFFSET(D357,-1,0)+1,OFFSET(D357,-1,0)))</f>
        <v/>
      </c>
      <c r="E1140" s="122">
        <f>IF(H357="Subetapa",0,IF(H357="serviço",OFFSET(E357,-1,0)+1,OFFSET(E357,-1,0)))</f>
        <v/>
      </c>
      <c r="F1140" s="123" t="n"/>
      <c r="G1140" s="135" t="inlineStr">
        <is>
          <t>ESQUADRIAS, VIDROS E FERRAGENS</t>
        </is>
      </c>
      <c r="H1140" s="44" t="inlineStr">
        <is>
          <t>SERVIÇO</t>
        </is>
      </c>
      <c r="I1140" s="45">
        <f>IF(H357="Unidade Construtiva",TEXT(A357,"00"),IF(H357="Célula Construtiva",TEXT(B357,"00"),IF(H357="Etapa",CONCATENATE(TEXT(B357,"00"),".",TEXT(C357,"000")),IF(H357="Subetapa",CONCATENATE(TEXT(B357,"00"),".",TEXT(C357,"000"),".",TEXT(D357,"000")),IF(H357="Serviço",CONCATENATE(TEXT(B357,"00"),".",TEXT(C357,"000"),".",TEXT(D357,"000"),".",TEXT(E357,"000")),"")))))</f>
        <v/>
      </c>
      <c r="J1140" s="51" t="inlineStr">
        <is>
          <t>Porta de madeira de abrir - 120x210cm (kit completo) - fixação com espuma expansiva</t>
        </is>
      </c>
      <c r="K1140" s="47" t="inlineStr">
        <is>
          <t>un</t>
        </is>
      </c>
      <c r="L1140" s="48">
        <f>'Arquitetura Visus'!D440</f>
        <v/>
      </c>
      <c r="M1140" s="48">
        <f>_xlfn.XLOOKUP($J357,CPU!$D$1:$D$31540,CPU!$H$1:$H$31540)</f>
        <v/>
      </c>
      <c r="N1140" s="49">
        <f>IF(H357="Serviço",M357*L357,IF(H357="CÉLULA CONSTRUTIVA",SUMIFS($N$8:$N$754,$B$8:$B$754,B357,$H$8:$H$754,"Serviço"),IF(H357="ETAPA",SUMIFS($N$8:$N$754,$B$8:$B$754,B357,$C$8:$C$754,C357,$H$8:$H$754,"Serviço"),IF(H357="SUBETAPA",SUMIFS($N$8:$N$754,$B$8:$B$754,B357,$C$8:$C$754,C357,$D$8:$D$754,D357,$H$8:$H$754,"Serviço"),0))))</f>
        <v/>
      </c>
      <c r="O1140" s="166" t="n"/>
      <c r="P1140" s="134" t="n"/>
      <c r="Q1140" s="52" t="n"/>
      <c r="R1140" s="52" t="n"/>
      <c r="S1140" s="1" t="n"/>
      <c r="T1140" s="1" t="n"/>
      <c r="U1140" s="1" t="n"/>
      <c r="V1140" s="1" t="n"/>
      <c r="W1140" s="1" t="n"/>
      <c r="X1140" s="1" t="n"/>
      <c r="Y1140" s="1" t="n"/>
    </row>
    <row r="1141">
      <c r="A1141" s="121">
        <f>IF($H358="UNIDADE CONSTRUTIVA",OFFSET(A358,-1,0)+1,LARGE(A$3:A357,1))</f>
        <v/>
      </c>
      <c r="B1141" s="121">
        <f>IF(H358="UNIDADE CONSTRUTIVA",0,IF(H358="CÉLULA CONSTRUTIVA",OFFSET(B358,-1,0)+1,OFFSET(B358,-1,0)))</f>
        <v/>
      </c>
      <c r="C1141" s="121">
        <f>IF(H358="CÉLULA CONSTRUTIVA",0,IF(H358="ETAPA",OFFSET(C358,-1,0)+1,OFFSET(C358,-1,0)))</f>
        <v/>
      </c>
      <c r="D1141" s="122">
        <f>IF(H358="ETAPA",0,IF(H358="SUBETAPA",OFFSET(D358,-1,0)+1,OFFSET(D358,-1,0)))</f>
        <v/>
      </c>
      <c r="E1141" s="122">
        <f>IF(H358="Subetapa",0,IF(H358="serviço",OFFSET(E358,-1,0)+1,OFFSET(E358,-1,0)))</f>
        <v/>
      </c>
      <c r="F1141" s="123" t="n"/>
      <c r="G1141" s="135" t="n"/>
      <c r="H1141" s="44" t="inlineStr">
        <is>
          <t>SUBETAPA</t>
        </is>
      </c>
      <c r="I1141" s="45">
        <f>IF(H358="Unidade Construtiva",TEXT(A358,"00"),IF(H358="Célula Construtiva",TEXT(B358,"00"),IF(H358="Etapa",CONCATENATE(TEXT(B358,"00"),".",TEXT(C358,"000")),IF(H358="Subetapa",CONCATENATE(TEXT(B358,"00"),".",TEXT(C358,"000"),".",TEXT(D358,"000")),IF(H358="Serviço",CONCATENATE(TEXT(B358,"00"),".",TEXT(C358,"000"),".",TEXT(D358,"000"),".",TEXT(E358,"000")),"")))))</f>
        <v/>
      </c>
      <c r="J1141" s="51" t="inlineStr">
        <is>
          <t>Acessórios e ferragens</t>
        </is>
      </c>
      <c r="K1141" s="47" t="n"/>
      <c r="L1141" s="48" t="n"/>
      <c r="M1141" s="48" t="n"/>
      <c r="N1141" s="49">
        <f>IF(H358="Serviço",M358*L358,IF(H358="CÉLULA CONSTRUTIVA",SUMIFS($N$8:$N$754,$B$8:$B$754,B358,$H$8:$H$754,"Serviço"),IF(H358="ETAPA",SUMIFS($N$8:$N$754,$B$8:$B$754,B358,$C$8:$C$754,C358,$H$8:$H$754,"Serviço"),IF(H358="SUBETAPA",SUMIFS($N$8:$N$754,$B$8:$B$754,B358,$C$8:$C$754,C358,$D$8:$D$754,D358,$H$8:$H$754,"Serviço"),0))))</f>
        <v/>
      </c>
      <c r="O1141" s="50">
        <f>N358/CAPA!C$10</f>
        <v/>
      </c>
      <c r="P1141" s="134" t="n"/>
      <c r="Q1141" s="52" t="n"/>
      <c r="R1141" s="52" t="n"/>
      <c r="S1141" s="1" t="n"/>
      <c r="T1141" s="1" t="n"/>
      <c r="U1141" s="1" t="n"/>
      <c r="V1141" s="1" t="n"/>
      <c r="W1141" s="1" t="n"/>
      <c r="X1141" s="1" t="n"/>
      <c r="Y1141" s="1" t="n"/>
    </row>
    <row r="1142">
      <c r="A1142" s="121">
        <f>IF($H359="UNIDADE CONSTRUTIVA",OFFSET(A359,-1,0)+1,LARGE(A$3:A358,1))</f>
        <v/>
      </c>
      <c r="B1142" s="121">
        <f>IF(H359="UNIDADE CONSTRUTIVA",0,IF(H359="CÉLULA CONSTRUTIVA",OFFSET(B359,-1,0)+1,OFFSET(B359,-1,0)))</f>
        <v/>
      </c>
      <c r="C1142" s="121">
        <f>IF(H359="CÉLULA CONSTRUTIVA",0,IF(H359="ETAPA",OFFSET(C359,-1,0)+1,OFFSET(C359,-1,0)))</f>
        <v/>
      </c>
      <c r="D1142" s="122">
        <f>IF(H359="ETAPA",0,IF(H359="SUBETAPA",OFFSET(D359,-1,0)+1,OFFSET(D359,-1,0)))</f>
        <v/>
      </c>
      <c r="E1142" s="122">
        <f>IF(H359="Subetapa",0,IF(H359="serviço",OFFSET(E359,-1,0)+1,OFFSET(E359,-1,0)))</f>
        <v/>
      </c>
      <c r="F1142" s="123" t="n"/>
      <c r="G1142" s="135" t="inlineStr">
        <is>
          <t>ESQUADRIAS, VIDROS E FERRAGENS</t>
        </is>
      </c>
      <c r="H1142" s="44" t="inlineStr">
        <is>
          <t>SERVIÇO</t>
        </is>
      </c>
      <c r="I1142" s="45">
        <f>IF(H359="Unidade Construtiva",TEXT(A359,"00"),IF(H359="Célula Construtiva",TEXT(B359,"00"),IF(H359="Etapa",CONCATENATE(TEXT(B359,"00"),".",TEXT(C359,"000")),IF(H359="Subetapa",CONCATENATE(TEXT(B359,"00"),".",TEXT(C359,"000"),".",TEXT(D359,"000")),IF(H359="Serviço",CONCATENATE(TEXT(B359,"00"),".",TEXT(C359,"000"),".",TEXT(D359,"000"),".",TEXT(E359,"000")),"")))))</f>
        <v/>
      </c>
      <c r="J1142" s="51" t="inlineStr">
        <is>
          <t>Fechadura eletronica</t>
        </is>
      </c>
      <c r="K1142" s="47" t="inlineStr">
        <is>
          <t>un</t>
        </is>
      </c>
      <c r="L1142" s="48">
        <f>CAPA!F6</f>
        <v/>
      </c>
      <c r="M1142" s="48">
        <f>_xlfn.XLOOKUP($J359,CPU!$D$1:$D$31540,CPU!$H$1:$H$31540)</f>
        <v/>
      </c>
      <c r="N1142" s="49">
        <f>IF(H359="Serviço",M359*L359,IF(H359="CÉLULA CONSTRUTIVA",SUMIFS($N$8:$N$754,$B$8:$B$754,B359,$H$8:$H$754,"Serviço"),IF(H359="ETAPA",SUMIFS($N$8:$N$754,$B$8:$B$754,B359,$C$8:$C$754,C359,$H$8:$H$754,"Serviço"),IF(H359="SUBETAPA",SUMIFS($N$8:$N$754,$B$8:$B$754,B359,$C$8:$C$754,C359,$D$8:$D$754,D359,$H$8:$H$754,"Serviço"),0))))</f>
        <v/>
      </c>
      <c r="O1142" s="50" t="inlineStr">
        <is>
          <t>Entrada de cada apartamento</t>
        </is>
      </c>
      <c r="P1142" s="134" t="n"/>
      <c r="Q1142" s="52" t="n"/>
      <c r="R1142" s="52" t="n"/>
      <c r="S1142" s="1" t="n"/>
      <c r="T1142" s="1" t="n"/>
      <c r="U1142" s="1" t="n"/>
      <c r="V1142" s="1" t="n"/>
      <c r="W1142" s="1" t="n"/>
      <c r="X1142" s="1" t="n"/>
      <c r="Y1142" s="1" t="n"/>
    </row>
    <row r="1143">
      <c r="A1143" s="121">
        <f>IF($H360="UNIDADE CONSTRUTIVA",OFFSET(A360,-1,0)+1,LARGE(A$3:A359,1))</f>
        <v/>
      </c>
      <c r="B1143" s="121">
        <f>IF(H360="UNIDADE CONSTRUTIVA",0,IF(H360="CÉLULA CONSTRUTIVA",OFFSET(B360,-1,0)+1,OFFSET(B360,-1,0)))</f>
        <v/>
      </c>
      <c r="C1143" s="121">
        <f>IF(H360="CÉLULA CONSTRUTIVA",0,IF(H360="ETAPA",OFFSET(C360,-1,0)+1,OFFSET(C360,-1,0)))</f>
        <v/>
      </c>
      <c r="D1143" s="122">
        <f>IF(H360="ETAPA",0,IF(H360="SUBETAPA",OFFSET(D360,-1,0)+1,OFFSET(D360,-1,0)))</f>
        <v/>
      </c>
      <c r="E1143" s="122">
        <f>IF(H360="Subetapa",0,IF(H360="serviço",OFFSET(E360,-1,0)+1,OFFSET(E360,-1,0)))</f>
        <v/>
      </c>
      <c r="F1143" s="123" t="n"/>
      <c r="G1143" s="135" t="n"/>
      <c r="H1143" s="44" t="inlineStr">
        <is>
          <t>SUBETAPA</t>
        </is>
      </c>
      <c r="I1143" s="45">
        <f>IF(H360="Unidade Construtiva",TEXT(A360,"00"),IF(H360="Célula Construtiva",TEXT(B360,"00"),IF(H360="Etapa",CONCATENATE(TEXT(B360,"00"),".",TEXT(C360,"000")),IF(H360="Subetapa",CONCATENATE(TEXT(B360,"00"),".",TEXT(C360,"000"),".",TEXT(D360,"000")),IF(H360="Serviço",CONCATENATE(TEXT(B360,"00"),".",TEXT(C360,"000"),".",TEXT(D360,"000"),".",TEXT(E360,"000")),"")))))</f>
        <v/>
      </c>
      <c r="J1143" s="51" t="inlineStr">
        <is>
          <t>Mão de obra</t>
        </is>
      </c>
      <c r="K1143" s="47" t="n"/>
      <c r="L1143" s="48" t="n"/>
      <c r="M1143" s="48" t="n"/>
      <c r="N1143" s="49">
        <f>IF(H360="Serviço",M360*L360,IF(H360="CÉLULA CONSTRUTIVA",SUMIFS($N$8:$N$754,$B$8:$B$754,B360,$H$8:$H$754,"Serviço"),IF(H360="ETAPA",SUMIFS($N$8:$N$754,$B$8:$B$754,B360,$C$8:$C$754,C360,$H$8:$H$754,"Serviço"),IF(H360="SUBETAPA",SUMIFS($N$8:$N$754,$B$8:$B$754,B360,$C$8:$C$754,C360,$D$8:$D$754,D360,$H$8:$H$754,"Serviço"),0))))</f>
        <v/>
      </c>
      <c r="O1143" s="50">
        <f>N360/CAPA!C$10</f>
        <v/>
      </c>
      <c r="P1143" s="134" t="n"/>
      <c r="Q1143" s="52" t="n"/>
      <c r="R1143" s="52" t="n"/>
      <c r="S1143" s="1" t="n"/>
      <c r="T1143" s="1" t="n"/>
      <c r="U1143" s="1" t="n"/>
      <c r="V1143" s="1" t="n"/>
      <c r="W1143" s="1" t="n"/>
      <c r="X1143" s="1" t="n"/>
      <c r="Y1143" s="1" t="n"/>
    </row>
    <row r="1144">
      <c r="A1144" s="121">
        <f>IF($H361="UNIDADE CONSTRUTIVA",OFFSET(A361,-1,0)+1,LARGE(A$3:A360,1))</f>
        <v/>
      </c>
      <c r="B1144" s="121">
        <f>IF(H361="UNIDADE CONSTRUTIVA",0,IF(H361="CÉLULA CONSTRUTIVA",OFFSET(B361,-1,0)+1,OFFSET(B361,-1,0)))</f>
        <v/>
      </c>
      <c r="C1144" s="121">
        <f>IF(H361="CÉLULA CONSTRUTIVA",0,IF(H361="ETAPA",OFFSET(C361,-1,0)+1,OFFSET(C361,-1,0)))</f>
        <v/>
      </c>
      <c r="D1144" s="122">
        <f>IF(H361="ETAPA",0,IF(H361="SUBETAPA",OFFSET(D361,-1,0)+1,OFFSET(D361,-1,0)))</f>
        <v/>
      </c>
      <c r="E1144" s="122">
        <f>IF(H361="Subetapa",0,IF(H361="serviço",OFFSET(E361,-1,0)+1,OFFSET(E361,-1,0)))</f>
        <v/>
      </c>
      <c r="F1144" s="123" t="n"/>
      <c r="G1144" s="135" t="inlineStr">
        <is>
          <t>ESQUADRIAS, VIDROS E FERRAGENS</t>
        </is>
      </c>
      <c r="H1144" s="44" t="inlineStr">
        <is>
          <t>SERVIÇO</t>
        </is>
      </c>
      <c r="I1144" s="45">
        <f>IF(H361="Unidade Construtiva",TEXT(A361,"00"),IF(H361="Célula Construtiva",TEXT(B361,"00"),IF(H361="Etapa",CONCATENATE(TEXT(B361,"00"),".",TEXT(C361,"000")),IF(H361="Subetapa",CONCATENATE(TEXT(B361,"00"),".",TEXT(C361,"000"),".",TEXT(D361,"000")),IF(H361="Serviço",CONCATENATE(TEXT(B361,"00"),".",TEXT(C361,"000"),".",TEXT(D361,"000"),".",TEXT(E361,"000")),"")))))</f>
        <v/>
      </c>
      <c r="J1144" s="51" t="inlineStr">
        <is>
          <t>Mão de obra para instalação de portas de madeira</t>
        </is>
      </c>
      <c r="K1144" s="47" t="inlineStr">
        <is>
          <t>un</t>
        </is>
      </c>
      <c r="L1144" s="48">
        <f>SUM(L353:L357)</f>
        <v/>
      </c>
      <c r="M1144" s="48">
        <f>_xlfn.XLOOKUP($J361,CPU!$D$1:$D$31540,CPU!$H$1:$H$31540)</f>
        <v/>
      </c>
      <c r="N1144" s="49">
        <f>IF(H361="Serviço",M361*L361,IF(H361="CÉLULA CONSTRUTIVA",SUMIFS($N$8:$N$754,$B$8:$B$754,B361,$H$8:$H$754,"Serviço"),IF(H361="ETAPA",SUMIFS($N$8:$N$754,$B$8:$B$754,B361,$C$8:$C$754,C361,$H$8:$H$754,"Serviço"),IF(H361="SUBETAPA",SUMIFS($N$8:$N$754,$B$8:$B$754,B361,$C$8:$C$754,C361,$D$8:$D$754,D361,$H$8:$H$754,"Serviço"),0))))</f>
        <v/>
      </c>
      <c r="O1144" s="50" t="n"/>
      <c r="P1144" s="134" t="n"/>
      <c r="Q1144" s="52" t="n"/>
      <c r="R1144" s="52" t="n"/>
      <c r="S1144" s="1" t="n"/>
      <c r="T1144" s="1" t="n"/>
      <c r="U1144" s="1" t="n"/>
      <c r="V1144" s="1" t="n"/>
      <c r="W1144" s="1" t="n"/>
      <c r="X1144" s="1" t="n"/>
      <c r="Y1144" s="1" t="n"/>
    </row>
    <row r="1145">
      <c r="A1145" s="121">
        <f>IF($H362="UNIDADE CONSTRUTIVA",OFFSET(A362,-1,0)+1,LARGE(A$3:A361,1))</f>
        <v/>
      </c>
      <c r="B1145" s="121">
        <f>IF(H362="UNIDADE CONSTRUTIVA",0,IF(H362="CÉLULA CONSTRUTIVA",OFFSET(B362,-1,0)+1,OFFSET(B362,-1,0)))</f>
        <v/>
      </c>
      <c r="C1145" s="121">
        <f>IF(H362="CÉLULA CONSTRUTIVA",0,IF(H362="ETAPA",OFFSET(C362,-1,0)+1,OFFSET(C362,-1,0)))</f>
        <v/>
      </c>
      <c r="D1145" s="122">
        <f>IF(H362="ETAPA",0,IF(H362="SUBETAPA",OFFSET(D362,-1,0)+1,OFFSET(D362,-1,0)))</f>
        <v/>
      </c>
      <c r="E1145" s="122">
        <f>IF(H362="Subetapa",0,IF(H362="serviço",OFFSET(E362,-1,0)+1,OFFSET(E362,-1,0)))</f>
        <v/>
      </c>
      <c r="F1145" s="123" t="n"/>
      <c r="G1145" s="135" t="n"/>
      <c r="H1145" s="44" t="inlineStr">
        <is>
          <t>ETAPA</t>
        </is>
      </c>
      <c r="I1145" s="45">
        <f>IF(H362="Unidade Construtiva",TEXT(A362,"00"),IF(H362="Célula Construtiva",TEXT(B362,"00"),IF(H362="Etapa",CONCATENATE(TEXT(B362,"00"),".",TEXT(C362,"000")),IF(H362="Subetapa",CONCATENATE(TEXT(B362,"00"),".",TEXT(C362,"000"),".",TEXT(D362,"000")),IF(H362="Serviço",CONCATENATE(TEXT(B362,"00"),".",TEXT(C362,"000"),".",TEXT(D362,"000"),".",TEXT(E362,"000")),"")))))</f>
        <v/>
      </c>
      <c r="J1145" s="51" t="inlineStr">
        <is>
          <t>ESQUADRIAS METÁLICAS</t>
        </is>
      </c>
      <c r="K1145" s="47" t="n"/>
      <c r="L1145" s="48" t="n"/>
      <c r="M1145" s="48" t="n"/>
      <c r="N1145" s="49">
        <f>IF(H362="Serviço",M362*L362,IF(H362="CÉLULA CONSTRUTIVA",SUMIFS($N$8:$N$754,$B$8:$B$754,B362,$H$8:$H$754,"Serviço"),IF(H362="ETAPA",SUMIFS($N$8:$N$754,$B$8:$B$754,B362,$C$8:$C$754,C362,$H$8:$H$754,"Serviço"),IF(H362="SUBETAPA",SUMIFS($N$8:$N$754,$B$8:$B$754,B362,$C$8:$C$754,C362,$D$8:$D$754,D362,$H$8:$H$754,"Serviço"),0))))</f>
        <v/>
      </c>
      <c r="O1145" s="50">
        <f>N362/CAPA!C$10</f>
        <v/>
      </c>
      <c r="P1145" s="134" t="n"/>
      <c r="Q1145" s="52" t="n"/>
      <c r="R1145" s="52" t="n"/>
      <c r="S1145" s="1" t="n"/>
      <c r="T1145" s="1" t="n"/>
      <c r="U1145" s="1" t="n"/>
      <c r="V1145" s="1" t="n"/>
      <c r="W1145" s="1" t="n"/>
      <c r="X1145" s="1" t="n"/>
      <c r="Y1145" s="1" t="n"/>
    </row>
    <row r="1146">
      <c r="A1146" s="121">
        <f>IF($H363="UNIDADE CONSTRUTIVA",OFFSET(A363,-1,0)+1,LARGE(A$3:A362,1))</f>
        <v/>
      </c>
      <c r="B1146" s="121">
        <f>IF(H363="UNIDADE CONSTRUTIVA",0,IF(H363="CÉLULA CONSTRUTIVA",OFFSET(B363,-1,0)+1,OFFSET(B363,-1,0)))</f>
        <v/>
      </c>
      <c r="C1146" s="121">
        <f>IF(H363="CÉLULA CONSTRUTIVA",0,IF(H363="ETAPA",OFFSET(C363,-1,0)+1,OFFSET(C363,-1,0)))</f>
        <v/>
      </c>
      <c r="D1146" s="122">
        <f>IF(H363="ETAPA",0,IF(H363="SUBETAPA",OFFSET(D363,-1,0)+1,OFFSET(D363,-1,0)))</f>
        <v/>
      </c>
      <c r="E1146" s="122">
        <f>IF(H363="Subetapa",0,IF(H363="serviço",OFFSET(E363,-1,0)+1,OFFSET(E363,-1,0)))</f>
        <v/>
      </c>
      <c r="F1146" s="123" t="n"/>
      <c r="G1146" s="135" t="n"/>
      <c r="H1146" s="44" t="inlineStr">
        <is>
          <t>SUBETAPA</t>
        </is>
      </c>
      <c r="I1146" s="45">
        <f>IF(H363="Unidade Construtiva",TEXT(A363,"00"),IF(H363="Célula Construtiva",TEXT(B363,"00"),IF(H363="Etapa",CONCATENATE(TEXT(B363,"00"),".",TEXT(C363,"000")),IF(H363="Subetapa",CONCATENATE(TEXT(B363,"00"),".",TEXT(C363,"000"),".",TEXT(D363,"000")),IF(H363="Serviço",CONCATENATE(TEXT(B363,"00"),".",TEXT(C363,"000"),".",TEXT(D363,"000"),".",TEXT(E363,"000")),"")))))</f>
        <v/>
      </c>
      <c r="J1146" s="51" t="inlineStr">
        <is>
          <t>Esquadrias metálicas</t>
        </is>
      </c>
      <c r="K1146" s="47" t="n"/>
      <c r="L1146" s="48" t="n"/>
      <c r="M1146" s="48" t="n"/>
      <c r="N1146" s="49">
        <f>IF(H363="Serviço",M363*L363,IF(H363="CÉLULA CONSTRUTIVA",SUMIFS($N$8:$N$754,$B$8:$B$754,B363,$H$8:$H$754,"Serviço"),IF(H363="ETAPA",SUMIFS($N$8:$N$754,$B$8:$B$754,B363,$C$8:$C$754,C363,$H$8:$H$754,"Serviço"),IF(H363="SUBETAPA",SUMIFS($N$8:$N$754,$B$8:$B$754,B363,$C$8:$C$754,C363,$D$8:$D$754,D363,$H$8:$H$754,"Serviço"),0))))</f>
        <v/>
      </c>
      <c r="O1146" s="50">
        <f>N363/CAPA!C$10</f>
        <v/>
      </c>
      <c r="P1146" s="134" t="n"/>
      <c r="Q1146" s="52" t="n"/>
      <c r="R1146" s="52" t="n"/>
      <c r="S1146" s="1" t="n"/>
      <c r="T1146" s="1" t="n"/>
      <c r="U1146" s="1" t="n"/>
      <c r="V1146" s="1" t="n"/>
      <c r="W1146" s="1" t="n"/>
      <c r="X1146" s="1" t="n"/>
      <c r="Y1146" s="1" t="n"/>
    </row>
    <row r="1147">
      <c r="A1147" s="121">
        <f>IF($H364="UNIDADE CONSTRUTIVA",OFFSET(A364,-1,0)+1,LARGE(A$3:A363,1))</f>
        <v/>
      </c>
      <c r="B1147" s="121">
        <f>IF(H364="UNIDADE CONSTRUTIVA",0,IF(H364="CÉLULA CONSTRUTIVA",OFFSET(B364,-1,0)+1,OFFSET(B364,-1,0)))</f>
        <v/>
      </c>
      <c r="C1147" s="121">
        <f>IF(H364="CÉLULA CONSTRUTIVA",0,IF(H364="ETAPA",OFFSET(C364,-1,0)+1,OFFSET(C364,-1,0)))</f>
        <v/>
      </c>
      <c r="D1147" s="122">
        <f>IF(H364="ETAPA",0,IF(H364="SUBETAPA",OFFSET(D364,-1,0)+1,OFFSET(D364,-1,0)))</f>
        <v/>
      </c>
      <c r="E1147" s="122">
        <f>IF(H364="Subetapa",0,IF(H364="serviço",OFFSET(E364,-1,0)+1,OFFSET(E364,-1,0)))</f>
        <v/>
      </c>
      <c r="F1147" s="123" t="n"/>
      <c r="G1147" s="135" t="inlineStr">
        <is>
          <t>ESQUADRIAS, VIDROS E FERRAGENS</t>
        </is>
      </c>
      <c r="H1147" s="44" t="inlineStr">
        <is>
          <t>SERVIÇO</t>
        </is>
      </c>
      <c r="I1147" s="45">
        <f>IF(H364="Unidade Construtiva",TEXT(A364,"00"),IF(H364="Célula Construtiva",TEXT(B364,"00"),IF(H364="Etapa",CONCATENATE(TEXT(B364,"00"),".",TEXT(C364,"000")),IF(H364="Subetapa",CONCATENATE(TEXT(B364,"00"),".",TEXT(C364,"000"),".",TEXT(D364,"000")),IF(H364="Serviço",CONCATENATE(TEXT(B364,"00"),".",TEXT(C364,"000"),".",TEXT(D364,"000"),".",TEXT(E364,"000")),"")))))</f>
        <v/>
      </c>
      <c r="J1147" s="51" t="inlineStr">
        <is>
          <t>Contramarco de aço galvanizado Fixados com Argamassa</t>
        </is>
      </c>
      <c r="K1147" s="47" t="inlineStr">
        <is>
          <t>m</t>
        </is>
      </c>
      <c r="L1147" s="48">
        <f>'Arquitetura Visus'!D453+'Arquitetura Visus'!D455</f>
        <v/>
      </c>
      <c r="M1147" s="48">
        <f>_xlfn.XLOOKUP($J364,CPU!$D$1:$D$31540,CPU!$H$1:$H$31540)</f>
        <v/>
      </c>
      <c r="N1147" s="49">
        <f>IF(H364="Serviço",M364*L364,IF(H364="CÉLULA CONSTRUTIVA",SUMIFS($N$8:$N$754,$B$8:$B$754,B364,$H$8:$H$754,"Serviço"),IF(H364="ETAPA",SUMIFS($N$8:$N$754,$B$8:$B$754,B364,$C$8:$C$754,C364,$H$8:$H$754,"Serviço"),IF(H364="SUBETAPA",SUMIFS($N$8:$N$754,$B$8:$B$754,B364,$C$8:$C$754,C364,$D$8:$D$754,D364,$H$8:$H$754,"Serviço"),0))))</f>
        <v/>
      </c>
      <c r="O1147" s="50" t="n"/>
      <c r="P1147" s="134" t="n"/>
      <c r="Q1147" s="52" t="n"/>
      <c r="R1147" s="52" t="n"/>
      <c r="S1147" s="1" t="n"/>
      <c r="T1147" s="1" t="n"/>
      <c r="U1147" s="1" t="n"/>
      <c r="V1147" s="1" t="n"/>
      <c r="W1147" s="1" t="n"/>
      <c r="X1147" s="1" t="n"/>
      <c r="Y1147" s="1" t="n"/>
    </row>
    <row r="1148">
      <c r="A1148" s="121">
        <f>IF($H365="UNIDADE CONSTRUTIVA",OFFSET(A365,-1,0)+1,LARGE(A$3:A362,1))</f>
        <v/>
      </c>
      <c r="B1148" s="121">
        <f>IF(H365="UNIDADE CONSTRUTIVA",0,IF(H365="CÉLULA CONSTRUTIVA",OFFSET(B365,-1,0)+1,OFFSET(B365,-1,0)))</f>
        <v/>
      </c>
      <c r="C1148" s="121">
        <f>IF(H365="CÉLULA CONSTRUTIVA",0,IF(H365="ETAPA",OFFSET(C365,-1,0)+1,OFFSET(C365,-1,0)))</f>
        <v/>
      </c>
      <c r="D1148" s="122">
        <f>IF(H365="ETAPA",0,IF(H365="SUBETAPA",OFFSET(D365,-1,0)+1,OFFSET(D365,-1,0)))</f>
        <v/>
      </c>
      <c r="E1148" s="122">
        <f>IF(H365="Subetapa",0,IF(H365="serviço",OFFSET(E365,-1,0)+1,OFFSET(E365,-1,0)))</f>
        <v/>
      </c>
      <c r="F1148" s="123" t="n"/>
      <c r="G1148" s="135" t="inlineStr">
        <is>
          <t>ESQUADRIAS, VIDROS E FERRAGENS</t>
        </is>
      </c>
      <c r="H1148" s="44" t="inlineStr">
        <is>
          <t>SERVIÇO</t>
        </is>
      </c>
      <c r="I1148" s="45">
        <f>IF(H365="Unidade Construtiva",TEXT(A365,"00"),IF(H365="Célula Construtiva",TEXT(B365,"00"),IF(H365="Etapa",CONCATENATE(TEXT(B365,"00"),".",TEXT(C365,"000")),IF(H365="Subetapa",CONCATENATE(TEXT(B365,"00"),".",TEXT(C365,"000"),".",TEXT(D365,"000")),IF(H365="Serviço",CONCATENATE(TEXT(B365,"00"),".",TEXT(C365,"000"),".",TEXT(D365,"000"),".",TEXT(E365,"000")),"")))))</f>
        <v/>
      </c>
      <c r="J1148" s="51" t="inlineStr">
        <is>
          <t>Brise metálico - fornecimento e instalação</t>
        </is>
      </c>
      <c r="K1148" s="47" t="inlineStr">
        <is>
          <t>m2</t>
        </is>
      </c>
      <c r="L1148" s="48">
        <f>'Arquitetura Visus'!D468</f>
        <v/>
      </c>
      <c r="M1148" s="48">
        <f>_xlfn.XLOOKUP($J365,CPU!$D$1:$D$31540,CPU!$H$1:$H$31540)</f>
        <v/>
      </c>
      <c r="N1148" s="49">
        <f>IF(H365="Serviço",M365*L365,IF(H365="CÉLULA CONSTRUTIVA",SUMIFS($N$8:$N$754,$B$8:$B$754,B365,$H$8:$H$754,"Serviço"),IF(H365="ETAPA",SUMIFS($N$8:$N$754,$B$8:$B$754,B365,$C$8:$C$754,C365,$H$8:$H$754,"Serviço"),IF(H365="SUBETAPA",SUMIFS($N$8:$N$754,$B$8:$B$754,B365,$C$8:$C$754,C365,$D$8:$D$754,D365,$H$8:$H$754,"Serviço"),0))))</f>
        <v/>
      </c>
      <c r="O1148" s="50" t="inlineStr">
        <is>
          <t>Instalado na fachada</t>
        </is>
      </c>
      <c r="P1148" s="134" t="n"/>
      <c r="Q1148" s="52" t="n"/>
      <c r="R1148" s="52" t="n"/>
      <c r="S1148" s="1" t="n"/>
      <c r="T1148" s="1" t="n"/>
      <c r="U1148" s="1" t="n"/>
      <c r="V1148" s="1" t="n"/>
      <c r="W1148" s="1" t="n"/>
      <c r="X1148" s="1" t="n"/>
      <c r="Y1148" s="1" t="n"/>
    </row>
    <row r="1149">
      <c r="A1149" s="121">
        <f>IF($H366="UNIDADE CONSTRUTIVA",OFFSET(A366,-1,0)+1,LARGE(A$3:A363,1))</f>
        <v/>
      </c>
      <c r="B1149" s="121">
        <f>IF(H366="UNIDADE CONSTRUTIVA",0,IF(H366="CÉLULA CONSTRUTIVA",OFFSET(B366,-1,0)+1,OFFSET(B366,-1,0)))</f>
        <v/>
      </c>
      <c r="C1149" s="121">
        <f>IF(H366="CÉLULA CONSTRUTIVA",0,IF(H366="ETAPA",OFFSET(C366,-1,0)+1,OFFSET(C366,-1,0)))</f>
        <v/>
      </c>
      <c r="D1149" s="122">
        <f>IF(H366="ETAPA",0,IF(H366="SUBETAPA",OFFSET(D366,-1,0)+1,OFFSET(D366,-1,0)))</f>
        <v/>
      </c>
      <c r="E1149" s="122">
        <f>IF(H366="Subetapa",0,IF(H366="serviço",OFFSET(E366,-1,0)+1,OFFSET(E366,-1,0)))</f>
        <v/>
      </c>
      <c r="F1149" s="123" t="n"/>
      <c r="G1149" s="135" t="inlineStr">
        <is>
          <t>ESQUADRIAS, VIDROS E FERRAGENS</t>
        </is>
      </c>
      <c r="H1149" s="44" t="inlineStr">
        <is>
          <t>SERVIÇO</t>
        </is>
      </c>
      <c r="I1149" s="45">
        <f>IF(H366="Unidade Construtiva",TEXT(A366,"00"),IF(H366="Célula Construtiva",TEXT(B366,"00"),IF(H366="Etapa",CONCATENATE(TEXT(B366,"00"),".",TEXT(C366,"000")),IF(H366="Subetapa",CONCATENATE(TEXT(B366,"00"),".",TEXT(C366,"000"),".",TEXT(D366,"000")),IF(H366="Serviço",CONCATENATE(TEXT(B366,"00"),".",TEXT(C366,"000"),".",TEXT(D366,"000"),".",TEXT(E366,"000")),"")))))</f>
        <v/>
      </c>
      <c r="J1149" s="51" t="inlineStr">
        <is>
          <t>Esquadria de tela de aço galvanizado</t>
        </is>
      </c>
      <c r="K1149" s="47" t="inlineStr">
        <is>
          <t>m2</t>
        </is>
      </c>
      <c r="L1149" s="48">
        <f>'Arquitetura Visus'!D447</f>
        <v/>
      </c>
      <c r="M1149" s="48">
        <f>_xlfn.XLOOKUP($J366,CPU!$D$1:$D$31540,CPU!$H$1:$H$31540)</f>
        <v/>
      </c>
      <c r="N1149" s="49">
        <f>IF(H366="Serviço",M366*L366,IF(H366="CÉLULA CONSTRUTIVA",SUMIFS($N$8:$N$754,$B$8:$B$754,B366,$H$8:$H$754,"Serviço"),IF(H366="ETAPA",SUMIFS($N$8:$N$754,$B$8:$B$754,B366,$C$8:$C$754,C366,$H$8:$H$754,"Serviço"),IF(H366="SUBETAPA",SUMIFS($N$8:$N$754,$B$8:$B$754,B366,$C$8:$C$754,C366,$D$8:$D$754,D366,$H$8:$H$754,"Serviço"),0))))</f>
        <v/>
      </c>
      <c r="O1149" s="50" t="inlineStr">
        <is>
          <t>Incluso caixilho + vidro + tela integrada</t>
        </is>
      </c>
      <c r="P1149" s="134" t="n"/>
      <c r="Q1149" s="52" t="n"/>
      <c r="R1149" s="52" t="n"/>
      <c r="S1149" s="1" t="n"/>
      <c r="T1149" s="1" t="n"/>
      <c r="U1149" s="1" t="n"/>
      <c r="V1149" s="1" t="n"/>
      <c r="W1149" s="1" t="n"/>
      <c r="X1149" s="1" t="n"/>
      <c r="Y1149" s="1" t="n"/>
    </row>
    <row r="1150">
      <c r="A1150" s="121">
        <f>IF($H367="UNIDADE CONSTRUTIVA",OFFSET(A367,-1,0)+1,LARGE(A$3:A364,1))</f>
        <v/>
      </c>
      <c r="B1150" s="121">
        <f>IF(H367="UNIDADE CONSTRUTIVA",0,IF(H367="CÉLULA CONSTRUTIVA",OFFSET(B367,-1,0)+1,OFFSET(B367,-1,0)))</f>
        <v/>
      </c>
      <c r="C1150" s="121">
        <f>IF(H367="CÉLULA CONSTRUTIVA",0,IF(H367="ETAPA",OFFSET(C367,-1,0)+1,OFFSET(C367,-1,0)))</f>
        <v/>
      </c>
      <c r="D1150" s="122">
        <f>IF(H367="ETAPA",0,IF(H367="SUBETAPA",OFFSET(D367,-1,0)+1,OFFSET(D367,-1,0)))</f>
        <v/>
      </c>
      <c r="E1150" s="122">
        <f>IF(H367="Subetapa",0,IF(H367="serviço",OFFSET(E367,-1,0)+1,OFFSET(E367,-1,0)))</f>
        <v/>
      </c>
      <c r="F1150" s="123" t="n"/>
      <c r="G1150" s="135" t="inlineStr">
        <is>
          <t>ESQUADRIAS, VIDROS E FERRAGENS</t>
        </is>
      </c>
      <c r="H1150" s="44" t="inlineStr">
        <is>
          <t>SERVIÇO</t>
        </is>
      </c>
      <c r="I1150" s="45">
        <f>IF(H367="Unidade Construtiva",TEXT(A367,"00"),IF(H367="Célula Construtiva",TEXT(B367,"00"),IF(H367="Etapa",CONCATENATE(TEXT(B367,"00"),".",TEXT(C367,"000")),IF(H367="Subetapa",CONCATENATE(TEXT(B367,"00"),".",TEXT(C367,"000"),".",TEXT(D367,"000")),IF(H367="Serviço",CONCATENATE(TEXT(B367,"00"),".",TEXT(C367,"000"),".",TEXT(D367,"000"),".",TEXT(E367,"000")),"")))))</f>
        <v/>
      </c>
      <c r="J1150" s="51" t="inlineStr">
        <is>
          <t>Porta corta-fogo, 1 folha, 80x210 cm</t>
        </is>
      </c>
      <c r="K1150" s="47" t="inlineStr">
        <is>
          <t>un</t>
        </is>
      </c>
      <c r="L1150" s="48">
        <f>'Arquitetura Visus'!D449</f>
        <v/>
      </c>
      <c r="M1150" s="48">
        <f>_xlfn.XLOOKUP($J367,CPU!$D$1:$D$31540,CPU!$H$1:$H$31540)</f>
        <v/>
      </c>
      <c r="N1150" s="49">
        <f>IF(H367="Serviço",M367*L367,IF(H367="CÉLULA CONSTRUTIVA",SUMIFS($N$8:$N$754,$B$8:$B$754,B367,$H$8:$H$754,"Serviço"),IF(H367="ETAPA",SUMIFS($N$8:$N$754,$B$8:$B$754,B367,$C$8:$C$754,C367,$H$8:$H$754,"Serviço"),IF(H367="SUBETAPA",SUMIFS($N$8:$N$754,$B$8:$B$754,B367,$C$8:$C$754,C367,$D$8:$D$754,D367,$H$8:$H$754,"Serviço"),0))))</f>
        <v/>
      </c>
      <c r="O1150" s="50" t="n"/>
      <c r="P1150" s="134" t="n"/>
      <c r="Q1150" s="52" t="n"/>
      <c r="R1150" s="52" t="n"/>
      <c r="S1150" s="1" t="n"/>
      <c r="T1150" s="1" t="n"/>
      <c r="U1150" s="1" t="n"/>
      <c r="V1150" s="1" t="n"/>
      <c r="W1150" s="1" t="n"/>
      <c r="X1150" s="1" t="n"/>
      <c r="Y1150" s="1" t="n"/>
    </row>
    <row r="1151">
      <c r="A1151" s="121">
        <f>IF($H368="UNIDADE CONSTRUTIVA",OFFSET(A368,-1,0)+1,LARGE(A$3:A366,1))</f>
        <v/>
      </c>
      <c r="B1151" s="121">
        <f>IF(H368="UNIDADE CONSTRUTIVA",0,IF(H368="CÉLULA CONSTRUTIVA",OFFSET(B368,-1,0)+1,OFFSET(B368,-1,0)))</f>
        <v/>
      </c>
      <c r="C1151" s="121">
        <f>IF(H368="CÉLULA CONSTRUTIVA",0,IF(H368="ETAPA",OFFSET(C368,-1,0)+1,OFFSET(C368,-1,0)))</f>
        <v/>
      </c>
      <c r="D1151" s="122">
        <f>IF(H368="ETAPA",0,IF(H368="SUBETAPA",OFFSET(D368,-1,0)+1,OFFSET(D368,-1,0)))</f>
        <v/>
      </c>
      <c r="E1151" s="122">
        <f>IF(H368="Subetapa",0,IF(H368="serviço",OFFSET(E368,-1,0)+1,OFFSET(E368,-1,0)))</f>
        <v/>
      </c>
      <c r="F1151" s="123" t="n"/>
      <c r="G1151" s="135" t="inlineStr">
        <is>
          <t>ESQUADRIAS, VIDROS E FERRAGENS</t>
        </is>
      </c>
      <c r="H1151" s="44" t="inlineStr">
        <is>
          <t>SERVIÇO</t>
        </is>
      </c>
      <c r="I1151" s="45">
        <f>IF(H368="Unidade Construtiva",TEXT(A368,"00"),IF(H368="Célula Construtiva",TEXT(B368,"00"),IF(H368="Etapa",CONCATENATE(TEXT(B368,"00"),".",TEXT(C368,"000")),IF(H368="Subetapa",CONCATENATE(TEXT(B368,"00"),".",TEXT(C368,"000"),".",TEXT(D368,"000")),IF(H368="Serviço",CONCATENATE(TEXT(B368,"00"),".",TEXT(C368,"000"),".",TEXT(D368,"000"),".",TEXT(E368,"000")),"")))))</f>
        <v/>
      </c>
      <c r="J1151" s="51" t="inlineStr">
        <is>
          <t>Porta corta-fogo, 1 folha, 90x210 cm</t>
        </is>
      </c>
      <c r="K1151" s="47" t="inlineStr">
        <is>
          <t>un</t>
        </is>
      </c>
      <c r="L1151" s="48" t="n">
        <v>4</v>
      </c>
      <c r="M1151" s="48">
        <f>_xlfn.XLOOKUP($J368,CPU!$D$1:$D$31540,CPU!$H$1:$H$31540)</f>
        <v/>
      </c>
      <c r="N1151" s="49">
        <f>IF(H368="Serviço",M368*L368,IF(H368="CÉLULA CONSTRUTIVA",SUMIFS($N$8:$N$754,$B$8:$B$754,B368,$H$8:$H$754,"Serviço"),IF(H368="ETAPA",SUMIFS($N$8:$N$754,$B$8:$B$754,B368,$C$8:$C$754,C368,$H$8:$H$754,"Serviço"),IF(H368="SUBETAPA",SUMIFS($N$8:$N$754,$B$8:$B$754,B368,$C$8:$C$754,C368,$D$8:$D$754,D368,$H$8:$H$754,"Serviço"),0))))</f>
        <v/>
      </c>
      <c r="O1151" s="50" t="n"/>
      <c r="P1151" s="134" t="n"/>
      <c r="Q1151" s="52" t="n"/>
      <c r="R1151" s="52" t="n"/>
      <c r="S1151" s="1" t="n"/>
      <c r="T1151" s="1" t="n"/>
      <c r="U1151" s="1" t="n"/>
      <c r="V1151" s="1" t="n"/>
      <c r="W1151" s="1" t="n"/>
      <c r="X1151" s="1" t="n"/>
      <c r="Y1151" s="1" t="n"/>
    </row>
    <row r="1152">
      <c r="A1152" s="121">
        <f>IF($H369="UNIDADE CONSTRUTIVA",OFFSET(A369,-1,0)+1,LARGE(A$3:A364,1))</f>
        <v/>
      </c>
      <c r="B1152" s="121">
        <f>IF(H369="UNIDADE CONSTRUTIVA",0,IF(H369="CÉLULA CONSTRUTIVA",OFFSET(B369,-1,0)+1,OFFSET(B369,-1,0)))</f>
        <v/>
      </c>
      <c r="C1152" s="121">
        <f>IF(H369="CÉLULA CONSTRUTIVA",0,IF(H369="ETAPA",OFFSET(C369,-1,0)+1,OFFSET(C369,-1,0)))</f>
        <v/>
      </c>
      <c r="D1152" s="122">
        <f>IF(H369="ETAPA",0,IF(H369="SUBETAPA",OFFSET(D369,-1,0)+1,OFFSET(D369,-1,0)))</f>
        <v/>
      </c>
      <c r="E1152" s="122">
        <f>IF(H369="Subetapa",0,IF(H369="serviço",OFFSET(E369,-1,0)+1,OFFSET(E369,-1,0)))</f>
        <v/>
      </c>
      <c r="F1152" s="123" t="n"/>
      <c r="G1152" s="135" t="n"/>
      <c r="H1152" s="44" t="inlineStr">
        <is>
          <t>SUBETAPA</t>
        </is>
      </c>
      <c r="I1152" s="45">
        <f>IF(H369="Unidade Construtiva",TEXT(A369,"00"),IF(H369="Célula Construtiva",TEXT(B369,"00"),IF(H369="Etapa",CONCATENATE(TEXT(B369,"00"),".",TEXT(C369,"000")),IF(H369="Subetapa",CONCATENATE(TEXT(B369,"00"),".",TEXT(C369,"000"),".",TEXT(D369,"000")),IF(H369="Serviço",CONCATENATE(TEXT(B369,"00"),".",TEXT(C369,"000"),".",TEXT(D369,"000"),".",TEXT(E369,"000")),"")))))</f>
        <v/>
      </c>
      <c r="J1152" s="51" t="inlineStr">
        <is>
          <t>Serralheria</t>
        </is>
      </c>
      <c r="K1152" s="47" t="n"/>
      <c r="L1152" s="48" t="n"/>
      <c r="M1152" s="48" t="n"/>
      <c r="N1152" s="49">
        <f>IF(H369="Serviço",M369*L369,IF(H369="CÉLULA CONSTRUTIVA",SUMIFS($N$8:$N$754,$B$8:$B$754,B369,$H$8:$H$754,"Serviço"),IF(H369="ETAPA",SUMIFS($N$8:$N$754,$B$8:$B$754,B369,$C$8:$C$754,C369,$H$8:$H$754,"Serviço"),IF(H369="SUBETAPA",SUMIFS($N$8:$N$754,$B$8:$B$754,B369,$C$8:$C$754,C369,$D$8:$D$754,D369,$H$8:$H$754,"Serviço"),0))))</f>
        <v/>
      </c>
      <c r="O1152" s="50">
        <f>N369/CAPA!C$10</f>
        <v/>
      </c>
      <c r="P1152" s="134" t="n"/>
      <c r="Q1152" s="52" t="n"/>
      <c r="R1152" s="52" t="n"/>
      <c r="S1152" s="1" t="n"/>
      <c r="T1152" s="1" t="n"/>
      <c r="U1152" s="1" t="n"/>
      <c r="V1152" s="1" t="n"/>
      <c r="W1152" s="1" t="n"/>
      <c r="X1152" s="1" t="n"/>
      <c r="Y1152" s="1" t="n"/>
    </row>
    <row r="1153">
      <c r="A1153" s="121">
        <f>IF($H370="UNIDADE CONSTRUTIVA",OFFSET(A370,-1,0)+1,LARGE(A$3:A369,1))</f>
        <v/>
      </c>
      <c r="B1153" s="121">
        <f>IF(H370="UNIDADE CONSTRUTIVA",0,IF(H370="CÉLULA CONSTRUTIVA",OFFSET(B370,-1,0)+1,OFFSET(B370,-1,0)))</f>
        <v/>
      </c>
      <c r="C1153" s="121">
        <f>IF(H370="CÉLULA CONSTRUTIVA",0,IF(H370="ETAPA",OFFSET(C370,-1,0)+1,OFFSET(C370,-1,0)))</f>
        <v/>
      </c>
      <c r="D1153" s="122">
        <f>IF(H370="ETAPA",0,IF(H370="SUBETAPA",OFFSET(D370,-1,0)+1,OFFSET(D370,-1,0)))</f>
        <v/>
      </c>
      <c r="E1153" s="122">
        <f>IF(H370="Subetapa",0,IF(H370="serviço",OFFSET(E370,-1,0)+1,OFFSET(E370,-1,0)))</f>
        <v/>
      </c>
      <c r="F1153" s="123" t="n"/>
      <c r="G1153" s="135" t="inlineStr">
        <is>
          <t>ESQUADRIAS, VIDROS E FERRAGENS</t>
        </is>
      </c>
      <c r="H1153" s="44" t="inlineStr">
        <is>
          <t>SERVIÇO</t>
        </is>
      </c>
      <c r="I1153" s="45">
        <f>IF(H370="Unidade Construtiva",TEXT(A370,"00"),IF(H370="Célula Construtiva",TEXT(B370,"00"),IF(H370="Etapa",CONCATENATE(TEXT(B370,"00"),".",TEXT(C370,"000")),IF(H370="Subetapa",CONCATENATE(TEXT(B370,"00"),".",TEXT(C370,"000"),".",TEXT(D370,"000")),IF(H370="Serviço",CONCATENATE(TEXT(B370,"00"),".",TEXT(C370,"000"),".",TEXT(D370,"000"),".",TEXT(E370,"000")),"")))))</f>
        <v/>
      </c>
      <c r="J1153" s="51" t="inlineStr">
        <is>
          <t>Guarda Corpo metálico (gradil), h=1,00m  - fornecimento e instalação</t>
        </is>
      </c>
      <c r="K1153" s="47" t="inlineStr">
        <is>
          <t>m</t>
        </is>
      </c>
      <c r="L1153" s="48">
        <f>'Arquitetura Visus'!D444</f>
        <v/>
      </c>
      <c r="M1153" s="48">
        <f>_xlfn.XLOOKUP($J370,CPU!$D$1:$D$31540,CPU!$H$1:$H$31540)</f>
        <v/>
      </c>
      <c r="N1153" s="49">
        <f>IF(H370="Serviço",M370*L370,IF(H370="CÉLULA CONSTRUTIVA",SUMIFS($N$8:$N$754,$B$8:$B$754,B370,$H$8:$H$754,"Serviço"),IF(H370="ETAPA",SUMIFS($N$8:$N$754,$B$8:$B$754,B370,$C$8:$C$754,C370,$H$8:$H$754,"Serviço"),IF(H370="SUBETAPA",SUMIFS($N$8:$N$754,$B$8:$B$754,B370,$C$8:$C$754,C370,$D$8:$D$754,D370,$H$8:$H$754,"Serviço"),0))))</f>
        <v/>
      </c>
      <c r="O1153" s="50" t="n"/>
      <c r="P1153" s="134" t="n"/>
      <c r="Q1153" s="52" t="n"/>
      <c r="R1153" s="52" t="n"/>
      <c r="S1153" s="1" t="n"/>
      <c r="T1153" s="1" t="n"/>
      <c r="U1153" s="1" t="n"/>
      <c r="V1153" s="1" t="n"/>
      <c r="W1153" s="1" t="n"/>
      <c r="X1153" s="1" t="n"/>
      <c r="Y1153" s="1" t="n"/>
    </row>
    <row r="1154">
      <c r="A1154" s="121">
        <f>IF($H371="UNIDADE CONSTRUTIVA",OFFSET(A371,-1,0)+1,LARGE(A$3:A370,1))</f>
        <v/>
      </c>
      <c r="B1154" s="121">
        <f>IF(H371="UNIDADE CONSTRUTIVA",0,IF(H371="CÉLULA CONSTRUTIVA",OFFSET(B371,-1,0)+1,OFFSET(B371,-1,0)))</f>
        <v/>
      </c>
      <c r="C1154" s="121">
        <f>IF(H371="CÉLULA CONSTRUTIVA",0,IF(H371="ETAPA",OFFSET(C371,-1,0)+1,OFFSET(C371,-1,0)))</f>
        <v/>
      </c>
      <c r="D1154" s="122">
        <f>IF(H371="ETAPA",0,IF(H371="SUBETAPA",OFFSET(D371,-1,0)+1,OFFSET(D371,-1,0)))</f>
        <v/>
      </c>
      <c r="E1154" s="122">
        <f>IF(H371="Subetapa",0,IF(H371="serviço",OFFSET(E371,-1,0)+1,OFFSET(E371,-1,0)))</f>
        <v/>
      </c>
      <c r="F1154" s="123" t="n"/>
      <c r="G1154" s="135" t="inlineStr">
        <is>
          <t>ESQUADRIAS, VIDROS E FERRAGENS</t>
        </is>
      </c>
      <c r="H1154" s="44" t="inlineStr">
        <is>
          <t>SERVIÇO</t>
        </is>
      </c>
      <c r="I1154" s="45">
        <f>IF(H371="Unidade Construtiva",TEXT(A371,"00"),IF(H371="Célula Construtiva",TEXT(B371,"00"),IF(H371="Etapa",CONCATENATE(TEXT(B371,"00"),".",TEXT(C371,"000")),IF(H371="Subetapa",CONCATENATE(TEXT(B371,"00"),".",TEXT(C371,"000"),".",TEXT(D371,"000")),IF(H371="Serviço",CONCATENATE(TEXT(B371,"00"),".",TEXT(C371,"000"),".",TEXT(D371,"000"),".",TEXT(E371,"000")),"")))))</f>
        <v/>
      </c>
      <c r="J1154" s="51" t="inlineStr">
        <is>
          <t>Guarda Corpo metálico (gradil), h=0,90m  - fornecimento e instalação</t>
        </is>
      </c>
      <c r="K1154" s="47" t="inlineStr">
        <is>
          <t>m</t>
        </is>
      </c>
      <c r="L1154" s="48">
        <f>'Arquitetura Visus'!D445</f>
        <v/>
      </c>
      <c r="M1154" s="48">
        <f>_xlfn.XLOOKUP($J371,CPU!$D$1:$D$31540,CPU!$H$1:$H$31540)</f>
        <v/>
      </c>
      <c r="N1154" s="49">
        <f>IF(H371="Serviço",M371*L371,IF(H371="CÉLULA CONSTRUTIVA",SUMIFS($N$8:$N$754,$B$8:$B$754,B371,$H$8:$H$754,"Serviço"),IF(H371="ETAPA",SUMIFS($N$8:$N$754,$B$8:$B$754,B371,$C$8:$C$754,C371,$H$8:$H$754,"Serviço"),IF(H371="SUBETAPA",SUMIFS($N$8:$N$754,$B$8:$B$754,B371,$C$8:$C$754,C371,$D$8:$D$754,D371,$H$8:$H$754,"Serviço"),0))))</f>
        <v/>
      </c>
      <c r="O1154" s="50" t="n"/>
      <c r="P1154" s="134" t="n"/>
      <c r="Q1154" s="52" t="n"/>
      <c r="R1154" s="52" t="n"/>
      <c r="S1154" s="1" t="n"/>
      <c r="T1154" s="1" t="n"/>
      <c r="U1154" s="1" t="n"/>
      <c r="V1154" s="1" t="n"/>
      <c r="W1154" s="1" t="n"/>
      <c r="X1154" s="1" t="n"/>
      <c r="Y1154" s="1" t="n"/>
    </row>
    <row r="1155">
      <c r="A1155" s="121">
        <f>IF($H372="UNIDADE CONSTRUTIVA",OFFSET(A372,-1,0)+1,LARGE(A$3:A371,1))</f>
        <v/>
      </c>
      <c r="B1155" s="121">
        <f>IF(H372="UNIDADE CONSTRUTIVA",0,IF(H372="CÉLULA CONSTRUTIVA",OFFSET(B372,-1,0)+1,OFFSET(B372,-1,0)))</f>
        <v/>
      </c>
      <c r="C1155" s="121">
        <f>IF(H372="CÉLULA CONSTRUTIVA",0,IF(H372="ETAPA",OFFSET(C372,-1,0)+1,OFFSET(C372,-1,0)))</f>
        <v/>
      </c>
      <c r="D1155" s="122">
        <f>IF(H372="ETAPA",0,IF(H372="SUBETAPA",OFFSET(D372,-1,0)+1,OFFSET(D372,-1,0)))</f>
        <v/>
      </c>
      <c r="E1155" s="122">
        <f>IF(H372="Subetapa",0,IF(H372="serviço",OFFSET(E372,-1,0)+1,OFFSET(E372,-1,0)))</f>
        <v/>
      </c>
      <c r="F1155" s="123" t="n"/>
      <c r="G1155" s="135" t="inlineStr">
        <is>
          <t>ESQUADRIAS, VIDROS E FERRAGENS</t>
        </is>
      </c>
      <c r="H1155" s="44" t="inlineStr">
        <is>
          <t>SERVIÇO</t>
        </is>
      </c>
      <c r="I1155" s="45">
        <f>IF(H372="Unidade Construtiva",TEXT(A372,"00"),IF(H372="Célula Construtiva",TEXT(B372,"00"),IF(H372="Etapa",CONCATENATE(TEXT(B372,"00"),".",TEXT(C372,"000")),IF(H372="Subetapa",CONCATENATE(TEXT(B372,"00"),".",TEXT(C372,"000"),".",TEXT(D372,"000")),IF(H372="Serviço",CONCATENATE(TEXT(B372,"00"),".",TEXT(C372,"000"),".",TEXT(D372,"000"),".",TEXT(E372,"000")),"")))))</f>
        <v/>
      </c>
      <c r="J1155" s="51" t="inlineStr">
        <is>
          <t>Escada de marinheiro</t>
        </is>
      </c>
      <c r="K1155" s="47" t="inlineStr">
        <is>
          <t>un</t>
        </is>
      </c>
      <c r="L1155" s="48" t="n">
        <v>1</v>
      </c>
      <c r="M1155" s="48">
        <f>_xlfn.XLOOKUP($J372,CPU!$D$1:$D$31540,CPU!$H$1:$H$31540)</f>
        <v/>
      </c>
      <c r="N1155" s="49">
        <f>IF(H372="Serviço",M372*L372,IF(H372="CÉLULA CONSTRUTIVA",SUMIFS($N$8:$N$754,$B$8:$B$754,B372,$H$8:$H$754,"Serviço"),IF(H372="ETAPA",SUMIFS($N$8:$N$754,$B$8:$B$754,B372,$C$8:$C$754,C372,$H$8:$H$754,"Serviço"),IF(H372="SUBETAPA",SUMIFS($N$8:$N$754,$B$8:$B$754,B372,$C$8:$C$754,C372,$D$8:$D$754,D372,$H$8:$H$754,"Serviço"),0))))</f>
        <v/>
      </c>
      <c r="O1155" s="50" t="n"/>
      <c r="P1155" s="134" t="n"/>
      <c r="Q1155" s="52" t="n"/>
      <c r="R1155" s="52" t="n"/>
      <c r="S1155" s="1" t="n"/>
      <c r="T1155" s="1" t="n"/>
      <c r="U1155" s="1" t="n"/>
      <c r="V1155" s="1" t="n"/>
      <c r="W1155" s="1" t="n"/>
      <c r="X1155" s="1" t="n"/>
      <c r="Y1155" s="1" t="n"/>
    </row>
    <row r="1156">
      <c r="A1156" s="121">
        <f>IF($H373="UNIDADE CONSTRUTIVA",OFFSET(A373,-1,0)+1,LARGE(A$3:A368,1))</f>
        <v/>
      </c>
      <c r="B1156" s="121">
        <f>IF(H373="UNIDADE CONSTRUTIVA",0,IF(H373="CÉLULA CONSTRUTIVA",OFFSET(B373,-1,0)+1,OFFSET(B373,-1,0)))</f>
        <v/>
      </c>
      <c r="C1156" s="121">
        <f>IF(H373="CÉLULA CONSTRUTIVA",0,IF(H373="ETAPA",OFFSET(C373,-1,0)+1,OFFSET(C373,-1,0)))</f>
        <v/>
      </c>
      <c r="D1156" s="122">
        <f>IF(H373="ETAPA",0,IF(H373="SUBETAPA",OFFSET(D373,-1,0)+1,OFFSET(D373,-1,0)))</f>
        <v/>
      </c>
      <c r="E1156" s="122">
        <f>IF(H373="Subetapa",0,IF(H373="serviço",OFFSET(E373,-1,0)+1,OFFSET(E373,-1,0)))</f>
        <v/>
      </c>
      <c r="F1156" s="123" t="n"/>
      <c r="G1156" s="135" t="n"/>
      <c r="H1156" s="44" t="inlineStr">
        <is>
          <t>SUBETAPA</t>
        </is>
      </c>
      <c r="I1156" s="45">
        <f>IF(H373="Unidade Construtiva",TEXT(A373,"00"),IF(H373="Célula Construtiva",TEXT(B373,"00"),IF(H373="Etapa",CONCATENATE(TEXT(B373,"00"),".",TEXT(C373,"000")),IF(H373="Subetapa",CONCATENATE(TEXT(B373,"00"),".",TEXT(C373,"000"),".",TEXT(D373,"000")),IF(H373="Serviço",CONCATENATE(TEXT(B373,"00"),".",TEXT(C373,"000"),".",TEXT(D373,"000"),".",TEXT(E373,"000")),"")))))</f>
        <v/>
      </c>
      <c r="J1156" s="51" t="inlineStr">
        <is>
          <t>Mão de obra</t>
        </is>
      </c>
      <c r="K1156" s="47" t="n"/>
      <c r="L1156" s="48" t="n"/>
      <c r="M1156" s="48" t="n"/>
      <c r="N1156" s="49">
        <f>IF(H373="Serviço",M373*L373,IF(H373="CÉLULA CONSTRUTIVA",SUMIFS($N$8:$N$754,$B$8:$B$754,B373,$H$8:$H$754,"Serviço"),IF(H373="ETAPA",SUMIFS($N$8:$N$754,$B$8:$B$754,B373,$C$8:$C$754,C373,$H$8:$H$754,"Serviço"),IF(H373="SUBETAPA",SUMIFS($N$8:$N$754,$B$8:$B$754,B373,$C$8:$C$754,C373,$D$8:$D$754,D373,$H$8:$H$754,"Serviço"),0))))</f>
        <v/>
      </c>
      <c r="O1156" s="50">
        <f>N373/CAPA!C$10</f>
        <v/>
      </c>
      <c r="P1156" s="134" t="n"/>
      <c r="Q1156" s="52" t="n"/>
      <c r="R1156" s="52" t="n"/>
      <c r="S1156" s="1" t="n"/>
      <c r="T1156" s="1" t="n"/>
      <c r="U1156" s="1" t="n"/>
      <c r="V1156" s="1" t="n"/>
      <c r="W1156" s="1" t="n"/>
      <c r="X1156" s="1" t="n"/>
      <c r="Y1156" s="1" t="n"/>
    </row>
    <row r="1157">
      <c r="A1157" s="121">
        <f>IF($H374="UNIDADE CONSTRUTIVA",OFFSET(A374,-1,0)+1,LARGE(A$3:A373,1))</f>
        <v/>
      </c>
      <c r="B1157" s="121">
        <f>IF(H374="UNIDADE CONSTRUTIVA",0,IF(H374="CÉLULA CONSTRUTIVA",OFFSET(B374,-1,0)+1,OFFSET(B374,-1,0)))</f>
        <v/>
      </c>
      <c r="C1157" s="121">
        <f>IF(H374="CÉLULA CONSTRUTIVA",0,IF(H374="ETAPA",OFFSET(C374,-1,0)+1,OFFSET(C374,-1,0)))</f>
        <v/>
      </c>
      <c r="D1157" s="122">
        <f>IF(H374="ETAPA",0,IF(H374="SUBETAPA",OFFSET(D374,-1,0)+1,OFFSET(D374,-1,0)))</f>
        <v/>
      </c>
      <c r="E1157" s="122">
        <f>IF(H374="Subetapa",0,IF(H374="serviço",OFFSET(E374,-1,0)+1,OFFSET(E374,-1,0)))</f>
        <v/>
      </c>
      <c r="F1157" s="123" t="n"/>
      <c r="G1157" s="135" t="inlineStr">
        <is>
          <t>ESQUADRIAS, VIDROS E FERRAGENS</t>
        </is>
      </c>
      <c r="H1157" s="44" t="inlineStr">
        <is>
          <t>SERVIÇO</t>
        </is>
      </c>
      <c r="I1157" s="45">
        <f>IF(H374="Unidade Construtiva",TEXT(A374,"00"),IF(H374="Célula Construtiva",TEXT(B374,"00"),IF(H374="Etapa",CONCATENATE(TEXT(B374,"00"),".",TEXT(C374,"000")),IF(H374="Subetapa",CONCATENATE(TEXT(B374,"00"),".",TEXT(C374,"000"),".",TEXT(D374,"000")),IF(H374="Serviço",CONCATENATE(TEXT(B374,"00"),".",TEXT(C374,"000"),".",TEXT(D374,"000"),".",TEXT(E374,"000")),"")))))</f>
        <v/>
      </c>
      <c r="J1157" s="51" t="inlineStr">
        <is>
          <t>Mão de obra para instalação de portas corta-fogo</t>
        </is>
      </c>
      <c r="K1157" s="47" t="inlineStr">
        <is>
          <t>un</t>
        </is>
      </c>
      <c r="L1157" s="48">
        <f>L367+L368</f>
        <v/>
      </c>
      <c r="M1157" s="48">
        <f>_xlfn.XLOOKUP($J374,CPU!$D$1:$D$31540,CPU!$H$1:$H$31540)</f>
        <v/>
      </c>
      <c r="N1157" s="49">
        <f>IF(H374="Serviço",M374*L374,IF(H374="CÉLULA CONSTRUTIVA",SUMIFS($N$8:$N$754,$B$8:$B$754,B374,$H$8:$H$754,"Serviço"),IF(H374="ETAPA",SUMIFS($N$8:$N$754,$B$8:$B$754,B374,$C$8:$C$754,C374,$H$8:$H$754,"Serviço"),IF(H374="SUBETAPA",SUMIFS($N$8:$N$754,$B$8:$B$754,B374,$C$8:$C$754,C374,$D$8:$D$754,D374,$H$8:$H$754,"Serviço"),0))))</f>
        <v/>
      </c>
      <c r="O1157" s="50" t="n"/>
      <c r="P1157" s="134" t="n"/>
      <c r="Q1157" s="52" t="n"/>
      <c r="R1157" s="52" t="n"/>
      <c r="S1157" s="1" t="n"/>
      <c r="T1157" s="1" t="n"/>
      <c r="U1157" s="1" t="n"/>
      <c r="V1157" s="1" t="n"/>
      <c r="W1157" s="1" t="n"/>
      <c r="X1157" s="1" t="n"/>
      <c r="Y1157" s="1" t="n"/>
    </row>
    <row r="1158">
      <c r="A1158" s="105">
        <f>IF($H375="UNIDADE CONSTRUTIVA",OFFSET(A375,-1,0)+1,LARGE(A$3:A374,1))</f>
        <v/>
      </c>
      <c r="B1158" s="105">
        <f>IF(H375="UNIDADE CONSTRUTIVA",0,IF(H375="CÉLULA CONSTRUTIVA",OFFSET(B375,-1,0)+1,OFFSET(B375,-1,0)))</f>
        <v/>
      </c>
      <c r="C1158" s="105">
        <f>IF(H375="CÉLULA CONSTRUTIVA",0,IF(H375="ETAPA",OFFSET(C375,-1,0)+1,OFFSET(C375,-1,0)))</f>
        <v/>
      </c>
      <c r="D1158" s="106">
        <f>IF(H375="ETAPA",0,IF(H375="SUBETAPA",OFFSET(D375,-1,0)+1,OFFSET(D375,-1,0)))</f>
        <v/>
      </c>
      <c r="E1158" s="106">
        <f>IF(H375="Subetapa",0,IF(H375="serviço",OFFSET(E375,-1,0)+1,OFFSET(E375,-1,0)))</f>
        <v/>
      </c>
      <c r="F1158" s="150" t="n"/>
      <c r="G1158" s="151" t="n"/>
      <c r="H1158" s="137" t="inlineStr">
        <is>
          <t>CÉLULA CONSTRUTIVA</t>
        </is>
      </c>
      <c r="I1158" s="138">
        <f>IF(H375="Unidade Construtiva",TEXT(A375,"00"),IF(H375="Célula Construtiva",TEXT(B375,"00"),IF(H375="Etapa",CONCATENATE(TEXT(B375,"00"),".",TEXT(C375,"000")),IF(H375="Subetapa",CONCATENATE(TEXT(B375,"00"),".",TEXT(C375,"000"),".",TEXT(D375,"000")),IF(H375="Serviço",CONCATENATE(TEXT(B375,"00"),".",TEXT(C375,"000"),".",TEXT(D375,"000"),".",TEXT(E375,"000")),"")))))</f>
        <v/>
      </c>
      <c r="J1158" s="160" t="inlineStr">
        <is>
          <t>LOUÇAS E METAIS</t>
        </is>
      </c>
      <c r="K1158" s="140" t="n"/>
      <c r="L1158" s="141" t="n"/>
      <c r="M1158" s="141" t="n"/>
      <c r="N1158" s="142">
        <f>IF(H375="Serviço",M375*L375,IF(H375="CÉLULA CONSTRUTIVA",SUMIFS($N$8:$N$754,$B$8:$B$754,B375,$H$8:$H$754,"Serviço"),IF(H375="ETAPA",SUMIFS($N$8:$N$754,$B$8:$B$754,B375,$C$8:$C$754,C375,$H$8:$H$754,"Serviço"),IF(H375="SUBETAPA",SUMIFS($N$8:$N$754,$B$8:$B$754,B375,$C$8:$C$754,C375,$D$8:$D$754,D375,$H$8:$H$754,"Serviço"),0))))</f>
        <v/>
      </c>
      <c r="O1158" s="143">
        <f>N375/[7]CAPA!$C$10</f>
        <v/>
      </c>
      <c r="P1158" s="155" t="n"/>
      <c r="Q1158" s="155" t="n"/>
      <c r="R1158" s="144" t="n"/>
      <c r="S1158" s="152" t="n"/>
      <c r="T1158" s="152" t="n"/>
      <c r="U1158" s="152" t="n"/>
      <c r="V1158" s="152" t="n"/>
      <c r="W1158" s="152" t="n"/>
      <c r="X1158" s="152" t="n"/>
      <c r="Y1158" s="152" t="n"/>
    </row>
    <row r="1159">
      <c r="A1159" s="34">
        <f>IF($H376="UNIDADE CONSTRUTIVA",OFFSET(A376,-1,0)+1,LARGE(A$3:A375,1))</f>
        <v/>
      </c>
      <c r="B1159" s="34">
        <f>IF(H376="UNIDADE CONSTRUTIVA",0,IF(H376="CÉLULA CONSTRUTIVA",OFFSET(B376,-1,0)+1,OFFSET(B376,-1,0)))</f>
        <v/>
      </c>
      <c r="C1159" s="34">
        <f>IF(H376="CÉLULA CONSTRUTIVA",0,IF(H376="ETAPA",OFFSET(C376,-1,0)+1,OFFSET(C376,-1,0)))</f>
        <v/>
      </c>
      <c r="D1159" s="35">
        <f>IF(H376="ETAPA",0,IF(H376="SUBETAPA",OFFSET(D376,-1,0)+1,OFFSET(D376,-1,0)))</f>
        <v/>
      </c>
      <c r="E1159" s="35">
        <f>IF(H376="Subetapa",0,IF(H376="serviço",OFFSET(E376,-1,0)+1,OFFSET(E376,-1,0)))</f>
        <v/>
      </c>
      <c r="F1159" s="123" t="n"/>
      <c r="G1159" s="135" t="n"/>
      <c r="H1159" s="44" t="inlineStr">
        <is>
          <t>ETAPA</t>
        </is>
      </c>
      <c r="I1159" s="45">
        <f>IF(H376="Unidade Construtiva",TEXT(A376,"00"),IF(H376="Célula Construtiva",TEXT(B376,"00"),IF(H376="Etapa",CONCATENATE(TEXT(B376,"00"),".",TEXT(C376,"000")),IF(H376="Subetapa",CONCATENATE(TEXT(B376,"00"),".",TEXT(C376,"000"),".",TEXT(D376,"000")),IF(H376="Serviço",CONCATENATE(TEXT(B376,"00"),".",TEXT(C376,"000"),".",TEXT(D376,"000"),".",TEXT(E376,"000")),"")))))</f>
        <v/>
      </c>
      <c r="J1159" s="51" t="inlineStr">
        <is>
          <t>LOUÇAS E METAIS</t>
        </is>
      </c>
      <c r="K1159" s="47" t="n"/>
      <c r="L1159" s="48" t="n"/>
      <c r="M1159" s="48" t="n"/>
      <c r="N1159" s="49">
        <f>IF(H376="Serviço",M376*L376,IF(H376="CÉLULA CONSTRUTIVA",SUMIFS($N$8:$N$754,$B$8:$B$754,B376,$H$8:$H$754,"Serviço"),IF(H376="ETAPA",SUMIFS($N$8:$N$754,$B$8:$B$754,B376,$C$8:$C$754,C376,$H$8:$H$754,"Serviço"),IF(H376="SUBETAPA",SUMIFS($N$8:$N$754,$B$8:$B$754,B376,$C$8:$C$754,C376,$D$8:$D$754,D376,$H$8:$H$754,"Serviço"),0))))</f>
        <v/>
      </c>
      <c r="O1159" s="50">
        <f>N376/[8]CAPA!C$10</f>
        <v/>
      </c>
      <c r="P1159" s="156" t="n"/>
      <c r="Q1159" s="52" t="n"/>
      <c r="R1159" s="52" t="n"/>
      <c r="S1159" s="1" t="n"/>
      <c r="T1159" s="1" t="n"/>
      <c r="U1159" s="1" t="n"/>
      <c r="V1159" s="1" t="n"/>
      <c r="W1159" s="1" t="n"/>
      <c r="X1159" s="1" t="n"/>
      <c r="Y1159" s="1" t="n"/>
    </row>
    <row r="1160">
      <c r="A1160" s="34">
        <f>IF($H377="UNIDADE CONSTRUTIVA",OFFSET(A377,-1,0)+1,LARGE(A$3:A376,1))</f>
        <v/>
      </c>
      <c r="B1160" s="34">
        <f>IF(H377="UNIDADE CONSTRUTIVA",0,IF(H377="CÉLULA CONSTRUTIVA",OFFSET(B377,-1,0)+1,OFFSET(B377,-1,0)))</f>
        <v/>
      </c>
      <c r="C1160" s="34">
        <f>IF(H377="CÉLULA CONSTRUTIVA",0,IF(H377="ETAPA",OFFSET(C377,-1,0)+1,OFFSET(C377,-1,0)))</f>
        <v/>
      </c>
      <c r="D1160" s="35">
        <f>IF(H377="ETAPA",0,IF(H377="SUBETAPA",OFFSET(D377,-1,0)+1,OFFSET(D377,-1,0)))</f>
        <v/>
      </c>
      <c r="E1160" s="35">
        <f>IF(H377="Subetapa",0,IF(H377="serviço",OFFSET(E377,-1,0)+1,OFFSET(E377,-1,0)))</f>
        <v/>
      </c>
      <c r="F1160" s="123" t="n"/>
      <c r="G1160" s="135" t="n"/>
      <c r="H1160" s="44" t="inlineStr">
        <is>
          <t>SUBETAPA</t>
        </is>
      </c>
      <c r="I1160" s="45">
        <f>IF(H377="Unidade Construtiva",TEXT(A377,"00"),IF(H377="Célula Construtiva",TEXT(B377,"00"),IF(H377="Etapa",CONCATENATE(TEXT(B377,"00"),".",TEXT(C377,"000")),IF(H377="Subetapa",CONCATENATE(TEXT(B377,"00"),".",TEXT(C377,"000"),".",TEXT(D377,"000")),IF(H377="Serviço",CONCATENATE(TEXT(B377,"00"),".",TEXT(C377,"000"),".",TEXT(D377,"000"),".",TEXT(E377,"000")),"")))))</f>
        <v/>
      </c>
      <c r="J1160" s="51" t="inlineStr">
        <is>
          <t>Louças</t>
        </is>
      </c>
      <c r="K1160" s="47" t="n"/>
      <c r="L1160" s="48" t="n"/>
      <c r="M1160" s="48" t="n"/>
      <c r="N1160" s="49">
        <f>IF(H377="Serviço",M377*L377,IF(H377="CÉLULA CONSTRUTIVA",SUMIFS($N$8:$N$754,$B$8:$B$754,B377,$H$8:$H$754,"Serviço"),IF(H377="ETAPA",SUMIFS($N$8:$N$754,$B$8:$B$754,B377,$C$8:$C$754,C377,$H$8:$H$754,"Serviço"),IF(H377="SUBETAPA",SUMIFS($N$8:$N$754,$B$8:$B$754,B377,$C$8:$C$754,C377,$D$8:$D$754,D377,$H$8:$H$754,"Serviço"),0))))</f>
        <v/>
      </c>
      <c r="O1160" s="50">
        <f>N377/[8]CAPA!C$10</f>
        <v/>
      </c>
      <c r="P1160" s="156" t="n"/>
      <c r="Q1160" s="52" t="n"/>
      <c r="R1160" s="52" t="n"/>
      <c r="S1160" s="1" t="n"/>
      <c r="T1160" s="1" t="n"/>
      <c r="U1160" s="1" t="n"/>
      <c r="V1160" s="1" t="n"/>
      <c r="W1160" s="1" t="n"/>
      <c r="X1160" s="1" t="n"/>
      <c r="Y1160" s="1" t="n"/>
    </row>
    <row r="1161">
      <c r="A1161" s="34">
        <f>IF($H378="UNIDADE CONSTRUTIVA",OFFSET(A378,-1,0)+1,LARGE(A$3:A377,1))</f>
        <v/>
      </c>
      <c r="B1161" s="34">
        <f>IF(H378="UNIDADE CONSTRUTIVA",0,IF(H378="CÉLULA CONSTRUTIVA",OFFSET(B378,-1,0)+1,OFFSET(B378,-1,0)))</f>
        <v/>
      </c>
      <c r="C1161" s="34">
        <f>IF(H378="CÉLULA CONSTRUTIVA",0,IF(H378="ETAPA",OFFSET(C378,-1,0)+1,OFFSET(C378,-1,0)))</f>
        <v/>
      </c>
      <c r="D1161" s="35">
        <f>IF(H378="ETAPA",0,IF(H378="SUBETAPA",OFFSET(D378,-1,0)+1,OFFSET(D378,-1,0)))</f>
        <v/>
      </c>
      <c r="E1161" s="35">
        <f>IF(H378="Subetapa",0,IF(H378="serviço",OFFSET(E378,-1,0)+1,OFFSET(E378,-1,0)))</f>
        <v/>
      </c>
      <c r="F1161" s="123" t="n"/>
      <c r="G1161" s="135" t="inlineStr">
        <is>
          <t>LOUÇAS E METAIS</t>
        </is>
      </c>
      <c r="H1161" s="44" t="inlineStr">
        <is>
          <t>SERVIÇO</t>
        </is>
      </c>
      <c r="I1161" s="45">
        <f>IF(H378="Unidade Construtiva",TEXT(A378,"00"),IF(H378="Célula Construtiva",TEXT(B378,"00"),IF(H378="Etapa",CONCATENATE(TEXT(B378,"00"),".",TEXT(C378,"000")),IF(H378="Subetapa",CONCATENATE(TEXT(B378,"00"),".",TEXT(C378,"000"),".",TEXT(D378,"000")),IF(H378="Serviço",CONCATENATE(TEXT(B378,"00"),".",TEXT(C378,"000"),".",TEXT(D378,"000"),".",TEXT(E378,"000")),"")))))</f>
        <v/>
      </c>
      <c r="J1161" s="51" t="inlineStr">
        <is>
          <t xml:space="preserve">Louças </t>
        </is>
      </c>
      <c r="K1161" s="47" t="inlineStr">
        <is>
          <t>vb</t>
        </is>
      </c>
      <c r="L1161" s="48" t="n">
        <v>1</v>
      </c>
      <c r="M1161" s="48">
        <f>'Louças e Metais'!Q49</f>
        <v/>
      </c>
      <c r="N1161" s="49">
        <f>IF(H378="Serviço",M378*L378,IF(H378="CÉLULA CONSTRUTIVA",SUMIFS($N$8:$N$754,$B$8:$B$754,B378,$H$8:$H$754,"Serviço"),IF(H378="ETAPA",SUMIFS($N$8:$N$754,$B$8:$B$754,B378,$C$8:$C$754,C378,$H$8:$H$754,"Serviço"),IF(H378="SUBETAPA",SUMIFS($N$8:$N$754,$B$8:$B$754,B378,$C$8:$C$754,C378,$D$8:$D$754,D378,$H$8:$H$754,"Serviço"),0))))</f>
        <v/>
      </c>
      <c r="O1161" s="50" t="inlineStr">
        <is>
          <t>Estimado com base nos projetos disponibilizados</t>
        </is>
      </c>
      <c r="P1161" s="156" t="n"/>
      <c r="Q1161" s="52" t="n"/>
      <c r="R1161" s="52" t="n"/>
      <c r="S1161" s="1" t="n"/>
      <c r="T1161" s="1" t="n"/>
      <c r="U1161" s="1" t="n"/>
      <c r="V1161" s="1" t="n"/>
      <c r="W1161" s="1" t="n"/>
      <c r="X1161" s="1" t="n"/>
      <c r="Y1161" s="1" t="n"/>
    </row>
    <row r="1162">
      <c r="A1162" s="34">
        <f>IF($H379="UNIDADE CONSTRUTIVA",OFFSET(A379,-1,0)+1,LARGE(A$3:A378,1))</f>
        <v/>
      </c>
      <c r="B1162" s="34">
        <f>IF(H379="UNIDADE CONSTRUTIVA",0,IF(H379="CÉLULA CONSTRUTIVA",OFFSET(B379,-1,0)+1,OFFSET(B379,-1,0)))</f>
        <v/>
      </c>
      <c r="C1162" s="34">
        <f>IF(H379="CÉLULA CONSTRUTIVA",0,IF(H379="ETAPA",OFFSET(C379,-1,0)+1,OFFSET(C379,-1,0)))</f>
        <v/>
      </c>
      <c r="D1162" s="35">
        <f>IF(H379="ETAPA",0,IF(H379="SUBETAPA",OFFSET(D379,-1,0)+1,OFFSET(D379,-1,0)))</f>
        <v/>
      </c>
      <c r="E1162" s="35">
        <f>IF(H379="Subetapa",0,IF(H379="serviço",OFFSET(E379,-1,0)+1,OFFSET(E379,-1,0)))</f>
        <v/>
      </c>
      <c r="F1162" s="123" t="n"/>
      <c r="G1162" s="135" t="n"/>
      <c r="H1162" s="44" t="inlineStr">
        <is>
          <t>SUBETAPA</t>
        </is>
      </c>
      <c r="I1162" s="45">
        <f>IF(H379="Unidade Construtiva",TEXT(A379,"00"),IF(H379="Célula Construtiva",TEXT(B379,"00"),IF(H379="Etapa",CONCATENATE(TEXT(B379,"00"),".",TEXT(C379,"000")),IF(H379="Subetapa",CONCATENATE(TEXT(B379,"00"),".",TEXT(C379,"000"),".",TEXT(D379,"000")),IF(H379="Serviço",CONCATENATE(TEXT(B379,"00"),".",TEXT(C379,"000"),".",TEXT(D379,"000"),".",TEXT(E379,"000")),"")))))</f>
        <v/>
      </c>
      <c r="J1162" s="51" t="inlineStr">
        <is>
          <t>Metais e acessórios</t>
        </is>
      </c>
      <c r="K1162" s="47" t="n"/>
      <c r="L1162" s="48" t="n"/>
      <c r="M1162" s="48" t="n"/>
      <c r="N1162" s="49">
        <f>IF(H379="Serviço",M379*L379,IF(H379="CÉLULA CONSTRUTIVA",SUMIFS($N$8:$N$754,$B$8:$B$754,B379,$H$8:$H$754,"Serviço"),IF(H379="ETAPA",SUMIFS($N$8:$N$754,$B$8:$B$754,B379,$C$8:$C$754,C379,$H$8:$H$754,"Serviço"),IF(H379="SUBETAPA",SUMIFS($N$8:$N$754,$B$8:$B$754,B379,$C$8:$C$754,C379,$D$8:$D$754,D379,$H$8:$H$754,"Serviço"),0))))</f>
        <v/>
      </c>
      <c r="O1162" s="50">
        <f>N379/[8]CAPA!C$10</f>
        <v/>
      </c>
      <c r="P1162" s="156" t="n"/>
      <c r="Q1162" s="52" t="n"/>
      <c r="R1162" s="52" t="n"/>
      <c r="S1162" s="1" t="n"/>
      <c r="T1162" s="1" t="n"/>
      <c r="U1162" s="1" t="n"/>
      <c r="V1162" s="1" t="n"/>
      <c r="W1162" s="1" t="n"/>
      <c r="X1162" s="1" t="n"/>
      <c r="Y1162" s="1" t="n"/>
    </row>
    <row r="1163">
      <c r="A1163" s="34">
        <f>IF($H380="UNIDADE CONSTRUTIVA",OFFSET(A380,-1,0)+1,LARGE(A$3:A379,1))</f>
        <v/>
      </c>
      <c r="B1163" s="34">
        <f>IF(H380="UNIDADE CONSTRUTIVA",0,IF(H380="CÉLULA CONSTRUTIVA",OFFSET(B380,-1,0)+1,OFFSET(B380,-1,0)))</f>
        <v/>
      </c>
      <c r="C1163" s="34">
        <f>IF(H380="CÉLULA CONSTRUTIVA",0,IF(H380="ETAPA",OFFSET(C380,-1,0)+1,OFFSET(C380,-1,0)))</f>
        <v/>
      </c>
      <c r="D1163" s="35">
        <f>IF(H380="ETAPA",0,IF(H380="SUBETAPA",OFFSET(D380,-1,0)+1,OFFSET(D380,-1,0)))</f>
        <v/>
      </c>
      <c r="E1163" s="35">
        <f>IF(H380="Subetapa",0,IF(H380="serviço",OFFSET(E380,-1,0)+1,OFFSET(E380,-1,0)))</f>
        <v/>
      </c>
      <c r="F1163" s="123" t="n"/>
      <c r="G1163" s="135" t="inlineStr">
        <is>
          <t>LOUÇAS E METAIS</t>
        </is>
      </c>
      <c r="H1163" s="44" t="inlineStr">
        <is>
          <t>SERVIÇO</t>
        </is>
      </c>
      <c r="I1163" s="45">
        <f>IF(H380="Unidade Construtiva",TEXT(A380,"00"),IF(H380="Célula Construtiva",TEXT(B380,"00"),IF(H380="Etapa",CONCATENATE(TEXT(B380,"00"),".",TEXT(C380,"000")),IF(H380="Subetapa",CONCATENATE(TEXT(B380,"00"),".",TEXT(C380,"000"),".",TEXT(D380,"000")),IF(H380="Serviço",CONCATENATE(TEXT(B380,"00"),".",TEXT(C380,"000"),".",TEXT(D380,"000"),".",TEXT(E380,"000")),"")))))</f>
        <v/>
      </c>
      <c r="J1163" s="51" t="inlineStr">
        <is>
          <t>Acabamentos e acessórios</t>
        </is>
      </c>
      <c r="K1163" s="47" t="inlineStr">
        <is>
          <t>vb</t>
        </is>
      </c>
      <c r="L1163" s="48" t="n">
        <v>1</v>
      </c>
      <c r="M1163" s="48">
        <f>'Louças e Metais'!Q50</f>
        <v/>
      </c>
      <c r="N1163" s="49">
        <f>IF(H380="Serviço",M380*L380,IF(H380="CÉLULA CONSTRUTIVA",SUMIFS($N$8:$N$754,$B$8:$B$754,B380,$H$8:$H$754,"Serviço"),IF(H380="ETAPA",SUMIFS($N$8:$N$754,$B$8:$B$754,B380,$C$8:$C$754,C380,$H$8:$H$754,"Serviço"),IF(H380="SUBETAPA",SUMIFS($N$8:$N$754,$B$8:$B$754,B380,$C$8:$C$754,C380,$D$8:$D$754,D380,$H$8:$H$754,"Serviço"),0))))</f>
        <v/>
      </c>
      <c r="O1163" s="50" t="inlineStr">
        <is>
          <t>Estimado com base nos projetos disponibilizados</t>
        </is>
      </c>
      <c r="P1163" s="156" t="n"/>
      <c r="Q1163" s="52" t="n"/>
      <c r="R1163" s="52" t="n"/>
      <c r="S1163" s="1" t="n"/>
      <c r="T1163" s="1" t="n"/>
      <c r="U1163" s="1" t="n"/>
      <c r="V1163" s="1" t="n"/>
      <c r="W1163" s="1" t="n"/>
      <c r="X1163" s="1" t="n"/>
      <c r="Y1163" s="1" t="n"/>
    </row>
    <row r="1164">
      <c r="A1164" s="34">
        <f>IF($H381="UNIDADE CONSTRUTIVA",OFFSET(A381,-1,0)+1,LARGE(A$3:A380,1))</f>
        <v/>
      </c>
      <c r="B1164" s="34">
        <f>IF(H381="UNIDADE CONSTRUTIVA",0,IF(H381="CÉLULA CONSTRUTIVA",OFFSET(B381,-1,0)+1,OFFSET(B381,-1,0)))</f>
        <v/>
      </c>
      <c r="C1164" s="34">
        <f>IF(H381="CÉLULA CONSTRUTIVA",0,IF(H381="ETAPA",OFFSET(C381,-1,0)+1,OFFSET(C381,-1,0)))</f>
        <v/>
      </c>
      <c r="D1164" s="35">
        <f>IF(H381="ETAPA",0,IF(H381="SUBETAPA",OFFSET(D381,-1,0)+1,OFFSET(D381,-1,0)))</f>
        <v/>
      </c>
      <c r="E1164" s="35">
        <f>IF(H381="Subetapa",0,IF(H381="serviço",OFFSET(E381,-1,0)+1,OFFSET(E381,-1,0)))</f>
        <v/>
      </c>
      <c r="F1164" s="123" t="n"/>
      <c r="G1164" s="135" t="n"/>
      <c r="H1164" s="44" t="inlineStr">
        <is>
          <t>SUBETAPA</t>
        </is>
      </c>
      <c r="I1164" s="45">
        <f>IF(H381="Unidade Construtiva",TEXT(A381,"00"),IF(H381="Célula Construtiva",TEXT(B381,"00"),IF(H381="Etapa",CONCATENATE(TEXT(B381,"00"),".",TEXT(C381,"000")),IF(H381="Subetapa",CONCATENATE(TEXT(B381,"00"),".",TEXT(C381,"000"),".",TEXT(D381,"000")),IF(H381="Serviço",CONCATENATE(TEXT(B381,"00"),".",TEXT(C381,"000"),".",TEXT(D381,"000"),".",TEXT(E381,"000")),"")))))</f>
        <v/>
      </c>
      <c r="J1164" s="51" t="inlineStr">
        <is>
          <t>Bancadas, pias e divisórias</t>
        </is>
      </c>
      <c r="K1164" s="47" t="n"/>
      <c r="L1164" s="48" t="n"/>
      <c r="M1164" s="48" t="n"/>
      <c r="N1164" s="49">
        <f>IF(H381="Serviço",M381*L381,IF(H381="CÉLULA CONSTRUTIVA",SUMIFS($N$8:$N$754,$B$8:$B$754,B381,$H$8:$H$754,"Serviço"),IF(H381="ETAPA",SUMIFS($N$8:$N$754,$B$8:$B$754,B381,$C$8:$C$754,C381,$H$8:$H$754,"Serviço"),IF(H381="SUBETAPA",SUMIFS($N$8:$N$754,$B$8:$B$754,B381,$C$8:$C$754,C381,$D$8:$D$754,D381,$H$8:$H$754,"Serviço"),0))))</f>
        <v/>
      </c>
      <c r="O1164" s="50">
        <f>N381/[8]CAPA!C$10</f>
        <v/>
      </c>
      <c r="P1164" s="156" t="n"/>
      <c r="Q1164" s="52" t="n"/>
      <c r="R1164" s="52" t="n"/>
      <c r="S1164" s="1" t="n"/>
      <c r="T1164" s="1" t="n"/>
      <c r="U1164" s="1" t="n"/>
      <c r="V1164" s="1" t="n"/>
      <c r="W1164" s="1" t="n"/>
      <c r="X1164" s="1" t="n"/>
      <c r="Y1164" s="1" t="n"/>
    </row>
    <row r="1165">
      <c r="A1165" s="34">
        <f>IF($H382="UNIDADE CONSTRUTIVA",OFFSET(A382,-1,0)+1,LARGE(A$3:A381,1))</f>
        <v/>
      </c>
      <c r="B1165" s="34">
        <f>IF(H382="UNIDADE CONSTRUTIVA",0,IF(H382="CÉLULA CONSTRUTIVA",OFFSET(B382,-1,0)+1,OFFSET(B382,-1,0)))</f>
        <v/>
      </c>
      <c r="C1165" s="34">
        <f>IF(H382="CÉLULA CONSTRUTIVA",0,IF(H382="ETAPA",OFFSET(C382,-1,0)+1,OFFSET(C382,-1,0)))</f>
        <v/>
      </c>
      <c r="D1165" s="35">
        <f>IF(H382="ETAPA",0,IF(H382="SUBETAPA",OFFSET(D382,-1,0)+1,OFFSET(D382,-1,0)))</f>
        <v/>
      </c>
      <c r="E1165" s="35">
        <f>IF(H382="Subetapa",0,IF(H382="serviço",OFFSET(E382,-1,0)+1,OFFSET(E382,-1,0)))</f>
        <v/>
      </c>
      <c r="F1165" s="123" t="n"/>
      <c r="G1165" s="135" t="inlineStr">
        <is>
          <t>LOUÇAS E METAIS</t>
        </is>
      </c>
      <c r="H1165" s="44" t="inlineStr">
        <is>
          <t>SERVIÇO</t>
        </is>
      </c>
      <c r="I1165" s="45">
        <f>IF(H382="Unidade Construtiva",TEXT(A382,"00"),IF(H382="Célula Construtiva",TEXT(B382,"00"),IF(H382="Etapa",CONCATENATE(TEXT(B382,"00"),".",TEXT(C382,"000")),IF(H382="Subetapa",CONCATENATE(TEXT(B382,"00"),".",TEXT(C382,"000"),".",TEXT(D382,"000")),IF(H382="Serviço",CONCATENATE(TEXT(B382,"00"),".",TEXT(C382,"000"),".",TEXT(D382,"000"),".",TEXT(E382,"000")),"")))))</f>
        <v/>
      </c>
      <c r="J1165" s="51" t="inlineStr">
        <is>
          <t>Bancadas de granito</t>
        </is>
      </c>
      <c r="K1165" s="47" t="inlineStr">
        <is>
          <t>vb</t>
        </is>
      </c>
      <c r="L1165" s="48" t="n">
        <v>1</v>
      </c>
      <c r="M1165" s="48">
        <f>'Louças e Metais'!Q51</f>
        <v/>
      </c>
      <c r="N1165" s="49">
        <f>IF(H382="Serviço",M382*L382,IF(H382="CÉLULA CONSTRUTIVA",SUMIFS($N$8:$N$754,$B$8:$B$754,B382,$H$8:$H$754,"Serviço"),IF(H382="ETAPA",SUMIFS($N$8:$N$754,$B$8:$B$754,B382,$C$8:$C$754,C382,$H$8:$H$754,"Serviço"),IF(H382="SUBETAPA",SUMIFS($N$8:$N$754,$B$8:$B$754,B382,$C$8:$C$754,C382,$D$8:$D$754,D382,$H$8:$H$754,"Serviço"),0))))</f>
        <v/>
      </c>
      <c r="O1165" s="50" t="inlineStr">
        <is>
          <t>Estimado com base nos projetos disponibilizados</t>
        </is>
      </c>
      <c r="P1165" s="156" t="n"/>
      <c r="Q1165" s="52" t="n"/>
      <c r="R1165" s="52" t="n"/>
      <c r="S1165" s="1" t="n"/>
      <c r="T1165" s="1" t="n"/>
      <c r="U1165" s="1" t="n"/>
      <c r="V1165" s="1" t="n"/>
      <c r="W1165" s="1" t="n"/>
      <c r="X1165" s="1" t="n"/>
      <c r="Y1165" s="1" t="n"/>
    </row>
    <row r="1166">
      <c r="A1166" s="34">
        <f>IF($H383="UNIDADE CONSTRUTIVA",OFFSET(A383,-1,0)+1,LARGE(A$3:A382,1))</f>
        <v/>
      </c>
      <c r="B1166" s="34">
        <f>IF(H383="UNIDADE CONSTRUTIVA",0,IF(H383="CÉLULA CONSTRUTIVA",OFFSET(B383,-1,0)+1,OFFSET(B383,-1,0)))</f>
        <v/>
      </c>
      <c r="C1166" s="34">
        <f>IF(H383="CÉLULA CONSTRUTIVA",0,IF(H383="ETAPA",OFFSET(C383,-1,0)+1,OFFSET(C383,-1,0)))</f>
        <v/>
      </c>
      <c r="D1166" s="35">
        <f>IF(H383="ETAPA",0,IF(H383="SUBETAPA",OFFSET(D383,-1,0)+1,OFFSET(D383,-1,0)))</f>
        <v/>
      </c>
      <c r="E1166" s="35">
        <f>IF(H383="Subetapa",0,IF(H383="serviço",OFFSET(E383,-1,0)+1,OFFSET(E383,-1,0)))</f>
        <v/>
      </c>
      <c r="F1166" s="123" t="n"/>
      <c r="G1166" s="135" t="n"/>
      <c r="H1166" s="44" t="inlineStr">
        <is>
          <t>SUBETAPA</t>
        </is>
      </c>
      <c r="I1166" s="45">
        <f>IF(H383="Unidade Construtiva",TEXT(A383,"00"),IF(H383="Célula Construtiva",TEXT(B383,"00"),IF(H383="Etapa",CONCATENATE(TEXT(B383,"00"),".",TEXT(C383,"000")),IF(H383="Subetapa",CONCATENATE(TEXT(B383,"00"),".",TEXT(C383,"000"),".",TEXT(D383,"000")),IF(H383="Serviço",CONCATENATE(TEXT(B383,"00"),".",TEXT(C383,"000"),".",TEXT(D383,"000"),".",TEXT(E383,"000")),"")))))</f>
        <v/>
      </c>
      <c r="J1166" s="51" t="inlineStr">
        <is>
          <t>Mão de obra</t>
        </is>
      </c>
      <c r="K1166" s="47" t="n"/>
      <c r="L1166" s="48" t="n"/>
      <c r="M1166" s="48" t="n"/>
      <c r="N1166" s="49">
        <f>IF(H383="Serviço",M383*L383,IF(H383="CÉLULA CONSTRUTIVA",SUMIFS($N$8:$N$754,$B$8:$B$754,B383,$H$8:$H$754,"Serviço"),IF(H383="ETAPA",SUMIFS($N$8:$N$754,$B$8:$B$754,B383,$C$8:$C$754,C383,$H$8:$H$754,"Serviço"),IF(H383="SUBETAPA",SUMIFS($N$8:$N$754,$B$8:$B$754,B383,$C$8:$C$754,C383,$D$8:$D$754,D383,$H$8:$H$754,"Serviço"),0))))</f>
        <v/>
      </c>
      <c r="O1166" s="50">
        <f>N383/[8]CAPA!C$10</f>
        <v/>
      </c>
      <c r="P1166" s="156" t="n"/>
      <c r="Q1166" s="52" t="n"/>
      <c r="R1166" s="52" t="n"/>
      <c r="S1166" s="1" t="n"/>
      <c r="T1166" s="1" t="n"/>
      <c r="U1166" s="1" t="n"/>
      <c r="V1166" s="1" t="n"/>
      <c r="W1166" s="1" t="n"/>
      <c r="X1166" s="1" t="n"/>
      <c r="Y1166" s="1" t="n"/>
    </row>
    <row r="1167">
      <c r="A1167" s="34">
        <f>IF($H384="UNIDADE CONSTRUTIVA",OFFSET(A384,-1,0)+1,LARGE(A$3:A383,1))</f>
        <v/>
      </c>
      <c r="B1167" s="34">
        <f>IF(H384="UNIDADE CONSTRUTIVA",0,IF(H384="CÉLULA CONSTRUTIVA",OFFSET(B384,-1,0)+1,OFFSET(B384,-1,0)))</f>
        <v/>
      </c>
      <c r="C1167" s="34">
        <f>IF(H384="CÉLULA CONSTRUTIVA",0,IF(H384="ETAPA",OFFSET(C384,-1,0)+1,OFFSET(C384,-1,0)))</f>
        <v/>
      </c>
      <c r="D1167" s="35">
        <f>IF(H384="ETAPA",0,IF(H384="SUBETAPA",OFFSET(D384,-1,0)+1,OFFSET(D384,-1,0)))</f>
        <v/>
      </c>
      <c r="E1167" s="35">
        <f>IF(H384="Subetapa",0,IF(H384="serviço",OFFSET(E384,-1,0)+1,OFFSET(E384,-1,0)))</f>
        <v/>
      </c>
      <c r="F1167" s="123" t="n"/>
      <c r="G1167" s="135" t="inlineStr">
        <is>
          <t>LOUÇAS E METAIS</t>
        </is>
      </c>
      <c r="H1167" s="44" t="inlineStr">
        <is>
          <t>SERVIÇO</t>
        </is>
      </c>
      <c r="I1167" s="45">
        <f>IF(H384="Unidade Construtiva",TEXT(A384,"00"),IF(H384="Célula Construtiva",TEXT(B384,"00"),IF(H384="Etapa",CONCATENATE(TEXT(B384,"00"),".",TEXT(C384,"000")),IF(H384="Subetapa",CONCATENATE(TEXT(B384,"00"),".",TEXT(C384,"000"),".",TEXT(D384,"000")),IF(H384="Serviço",CONCATENATE(TEXT(B384,"00"),".",TEXT(C384,"000"),".",TEXT(D384,"000"),".",TEXT(E384,"000")),"")))))</f>
        <v/>
      </c>
      <c r="J1167" s="51" t="inlineStr">
        <is>
          <t>Instalação de louças e metais sanitários</t>
        </is>
      </c>
      <c r="K1167" s="47" t="inlineStr">
        <is>
          <t>vb</t>
        </is>
      </c>
      <c r="L1167" s="48" t="n">
        <v>1</v>
      </c>
      <c r="M1167" s="48">
        <f>6*CAPA!C10</f>
        <v/>
      </c>
      <c r="N1167" s="49">
        <f>IF(H384="Serviço",M384*L384,IF(H384="CÉLULA CONSTRUTIVA",SUMIFS($N$8:$N$754,$B$8:$B$754,B384,$H$8:$H$754,"Serviço"),IF(H384="ETAPA",SUMIFS($N$8:$N$754,$B$8:$B$754,B384,$C$8:$C$754,C384,$H$8:$H$754,"Serviço"),IF(H384="SUBETAPA",SUMIFS($N$8:$N$754,$B$8:$B$754,B384,$C$8:$C$754,C384,$D$8:$D$754,D384,$H$8:$H$754,"Serviço"),0))))</f>
        <v/>
      </c>
      <c r="O1167" s="50" t="n"/>
      <c r="P1167" s="156" t="n"/>
      <c r="Q1167" s="52" t="n"/>
      <c r="R1167" s="52" t="n"/>
      <c r="S1167" s="1" t="n"/>
      <c r="T1167" s="1" t="n"/>
      <c r="U1167" s="1" t="n"/>
      <c r="V1167" s="1" t="n"/>
      <c r="W1167" s="1" t="n"/>
      <c r="X1167" s="1" t="n"/>
      <c r="Y1167" s="1" t="n"/>
    </row>
    <row r="1168">
      <c r="A1168" s="34">
        <f>IF($H385="UNIDADE CONSTRUTIVA",OFFSET(A385,-1,0)+1,LARGE(A$3:A370,1))</f>
        <v/>
      </c>
      <c r="B1168" s="34">
        <f>IF(H385="UNIDADE CONSTRUTIVA",0,IF(H385="CÉLULA CONSTRUTIVA",OFFSET(B385,-1,0)+1,OFFSET(B385,-1,0)))</f>
        <v/>
      </c>
      <c r="C1168" s="34">
        <f>IF(H385="CÉLULA CONSTRUTIVA",0,IF(H385="ETAPA",OFFSET(C385,-1,0)+1,OFFSET(C385,-1,0)))</f>
        <v/>
      </c>
      <c r="D1168" s="35">
        <f>IF(H385="ETAPA",0,IF(H385="SUBETAPA",OFFSET(D385,-1,0)+1,OFFSET(D385,-1,0)))</f>
        <v/>
      </c>
      <c r="E1168" s="35">
        <f>IF(H385="Subetapa",0,IF(H385="serviço",OFFSET(E385,-1,0)+1,OFFSET(E385,-1,0)))</f>
        <v/>
      </c>
      <c r="F1168" s="123" t="n"/>
      <c r="G1168" s="135" t="n"/>
      <c r="H1168" s="44" t="inlineStr">
        <is>
          <t>CÉLULA CONSTRUTIVA</t>
        </is>
      </c>
      <c r="I1168" s="45">
        <f>IF(H385="Unidade Construtiva",TEXT(A385,"00"),IF(H385="Célula Construtiva",TEXT(B385,"00"),IF(H385="Etapa",CONCATENATE(TEXT(B385,"00"),".",TEXT(C385,"000")),IF(H385="Subetapa",CONCATENATE(TEXT(B385,"00"),".",TEXT(C385,"000"),".",TEXT(D385,"000")),IF(H385="Serviço",CONCATENATE(TEXT(B385,"00"),".",TEXT(C385,"000"),".",TEXT(D385,"000"),".",TEXT(E385,"000")),"")))))</f>
        <v/>
      </c>
      <c r="J1168" s="51" t="inlineStr">
        <is>
          <t>COBERTURA</t>
        </is>
      </c>
      <c r="K1168" s="47" t="n"/>
      <c r="L1168" s="48" t="n"/>
      <c r="M1168" s="48" t="n"/>
      <c r="N1168" s="49">
        <f>IF(H385="Serviço",M385*L385,IF(H385="CÉLULA CONSTRUTIVA",SUMIFS($N$8:$N$754,$B$8:$B$754,B385,$H$8:$H$754,"Serviço"),IF(H385="ETAPA",SUMIFS($N$8:$N$754,$B$8:$B$754,B385,$C$8:$C$754,C385,$H$8:$H$754,"Serviço"),IF(H385="SUBETAPA",SUMIFS($N$8:$N$754,$B$8:$B$754,B385,$C$8:$C$754,C385,$D$8:$D$754,D385,$H$8:$H$754,"Serviço"),0))))</f>
        <v/>
      </c>
      <c r="O1168" s="50">
        <f>N385/CAPA!C$10</f>
        <v/>
      </c>
      <c r="P1168" s="134" t="n"/>
      <c r="Q1168" s="115" t="n"/>
      <c r="R1168" s="52" t="n"/>
      <c r="S1168" s="1" t="n"/>
      <c r="T1168" s="1" t="n"/>
      <c r="U1168" s="1" t="n"/>
      <c r="V1168" s="1" t="n"/>
      <c r="W1168" s="1" t="n"/>
      <c r="X1168" s="1" t="n"/>
      <c r="Y1168" s="1" t="n"/>
    </row>
    <row r="1169">
      <c r="A1169" s="34">
        <f>IF($H386="UNIDADE CONSTRUTIVA",OFFSET(A386,-1,0)+1,LARGE(A$3:A330,1))</f>
        <v/>
      </c>
      <c r="B1169" s="34">
        <f>IF(H386="UNIDADE CONSTRUTIVA",0,IF(H386="CÉLULA CONSTRUTIVA",OFFSET(B386,-1,0)+1,OFFSET(B386,-1,0)))</f>
        <v/>
      </c>
      <c r="C1169" s="34">
        <f>IF(H386="CÉLULA CONSTRUTIVA",0,IF(H386="ETAPA",OFFSET(C386,-1,0)+1,OFFSET(C386,-1,0)))</f>
        <v/>
      </c>
      <c r="D1169" s="35">
        <f>IF(H386="ETAPA",0,IF(H386="SUBETAPA",OFFSET(D386,-1,0)+1,OFFSET(D386,-1,0)))</f>
        <v/>
      </c>
      <c r="E1169" s="35">
        <f>IF(H386="Subetapa",0,IF(H386="serviço",OFFSET(E386,-1,0)+1,OFFSET(E386,-1,0)))</f>
        <v/>
      </c>
      <c r="F1169" s="123" t="n"/>
      <c r="G1169" s="135" t="n"/>
      <c r="H1169" s="44" t="inlineStr">
        <is>
          <t>ETAPA</t>
        </is>
      </c>
      <c r="I1169" s="45">
        <f>IF(H386="Unidade Construtiva",TEXT(A386,"00"),IF(H386="Célula Construtiva",TEXT(B386,"00"),IF(H386="Etapa",CONCATENATE(TEXT(B386,"00"),".",TEXT(C386,"000")),IF(H386="Subetapa",CONCATENATE(TEXT(B386,"00"),".",TEXT(C386,"000"),".",TEXT(D386,"000")),IF(H386="Serviço",CONCATENATE(TEXT(B386,"00"),".",TEXT(C386,"000"),".",TEXT(D386,"000"),".",TEXT(E386,"000")),"")))))</f>
        <v/>
      </c>
      <c r="J1169" s="51" t="inlineStr">
        <is>
          <t>COBERTURA</t>
        </is>
      </c>
      <c r="K1169" s="47" t="n"/>
      <c r="L1169" s="48" t="n"/>
      <c r="M1169" s="48" t="n"/>
      <c r="N1169" s="49">
        <f>IF(H386="Serviço",M386*L386,IF(H386="CÉLULA CONSTRUTIVA",SUMIFS($N$8:$N$754,$B$8:$B$754,B386,$H$8:$H$754,"Serviço"),IF(H386="ETAPA",SUMIFS($N$8:$N$754,$B$8:$B$754,B386,$C$8:$C$754,C386,$H$8:$H$754,"Serviço"),IF(H386="SUBETAPA",SUMIFS($N$8:$N$754,$B$8:$B$754,B386,$C$8:$C$754,C386,$D$8:$D$754,D386,$H$8:$H$754,"Serviço"),0))))</f>
        <v/>
      </c>
      <c r="O1169" s="50">
        <f>N386/CAPA!C$10</f>
        <v/>
      </c>
      <c r="P1169" s="134" t="n"/>
      <c r="Q1169" s="52" t="n"/>
      <c r="R1169" s="52" t="n"/>
      <c r="S1169" s="1" t="n"/>
      <c r="T1169" s="1" t="n"/>
      <c r="U1169" s="1" t="n"/>
      <c r="V1169" s="1" t="n"/>
      <c r="W1169" s="1" t="n"/>
      <c r="X1169" s="1" t="n"/>
      <c r="Y1169" s="1" t="n"/>
    </row>
    <row r="1170">
      <c r="A1170" s="34">
        <f>IF($H387="UNIDADE CONSTRUTIVA",OFFSET(A387,-1,0)+1,LARGE(A$3:A370,1))</f>
        <v/>
      </c>
      <c r="B1170" s="34">
        <f>IF(H387="UNIDADE CONSTRUTIVA",0,IF(H387="CÉLULA CONSTRUTIVA",OFFSET(B387,-1,0)+1,OFFSET(B387,-1,0)))</f>
        <v/>
      </c>
      <c r="C1170" s="34">
        <f>IF(H387="CÉLULA CONSTRUTIVA",0,IF(H387="ETAPA",OFFSET(C387,-1,0)+1,OFFSET(C387,-1,0)))</f>
        <v/>
      </c>
      <c r="D1170" s="35">
        <f>IF(H387="ETAPA",0,IF(H387="SUBETAPA",OFFSET(D387,-1,0)+1,OFFSET(D387,-1,0)))</f>
        <v/>
      </c>
      <c r="E1170" s="35">
        <f>IF(H387="Subetapa",0,IF(H387="serviço",OFFSET(E387,-1,0)+1,OFFSET(E387,-1,0)))</f>
        <v/>
      </c>
      <c r="F1170" s="123" t="n"/>
      <c r="G1170" s="135" t="n"/>
      <c r="H1170" s="44" t="inlineStr">
        <is>
          <t>SUBETAPA</t>
        </is>
      </c>
      <c r="I1170" s="45">
        <f>IF(H387="Unidade Construtiva",TEXT(A387,"00"),IF(H387="Célula Construtiva",TEXT(B387,"00"),IF(H387="Etapa",CONCATENATE(TEXT(B387,"00"),".",TEXT(C387,"000")),IF(H387="Subetapa",CONCATENATE(TEXT(B387,"00"),".",TEXT(C387,"000"),".",TEXT(D387,"000")),IF(H387="Serviço",CONCATENATE(TEXT(B387,"00"),".",TEXT(C387,"000"),".",TEXT(D387,"000"),".",TEXT(E387,"000")),"")))))</f>
        <v/>
      </c>
      <c r="J1170" s="51" t="inlineStr">
        <is>
          <t>Estrutura e trama para cobertura</t>
        </is>
      </c>
      <c r="K1170" s="47" t="n"/>
      <c r="L1170" s="48" t="n"/>
      <c r="M1170" s="48" t="n"/>
      <c r="N1170" s="49">
        <f>IF(H387="Serviço",M387*L387,IF(H387="CÉLULA CONSTRUTIVA",SUMIFS($N$8:$N$754,$B$8:$B$754,B387,$H$8:$H$754,"Serviço"),IF(H387="ETAPA",SUMIFS($N$8:$N$754,$B$8:$B$754,B387,$C$8:$C$754,C387,$H$8:$H$754,"Serviço"),IF(H387="SUBETAPA",SUMIFS($N$8:$N$754,$B$8:$B$754,B387,$C$8:$C$754,C387,$D$8:$D$754,D387,$H$8:$H$754,"Serviço"),0))))</f>
        <v/>
      </c>
      <c r="O1170" s="50">
        <f>N387/CAPA!C$10</f>
        <v/>
      </c>
      <c r="P1170" s="134" t="n"/>
      <c r="Q1170" s="52" t="n"/>
      <c r="R1170" s="52" t="n"/>
      <c r="S1170" s="1" t="n"/>
      <c r="T1170" s="1" t="n"/>
      <c r="U1170" s="1" t="n"/>
      <c r="V1170" s="1" t="n"/>
      <c r="W1170" s="1" t="n"/>
      <c r="X1170" s="1" t="n"/>
      <c r="Y1170" s="1" t="n"/>
    </row>
    <row r="1171">
      <c r="A1171" s="34">
        <f>IF($H388="UNIDADE CONSTRUTIVA",OFFSET(A388,-1,0)+1,LARGE(A$3:A387,1))</f>
        <v/>
      </c>
      <c r="B1171" s="34">
        <f>IF(H388="UNIDADE CONSTRUTIVA",0,IF(H388="CÉLULA CONSTRUTIVA",OFFSET(B388,-1,0)+1,OFFSET(B388,-1,0)))</f>
        <v/>
      </c>
      <c r="C1171" s="34">
        <f>IF(H388="CÉLULA CONSTRUTIVA",0,IF(H388="ETAPA",OFFSET(C388,-1,0)+1,OFFSET(C388,-1,0)))</f>
        <v/>
      </c>
      <c r="D1171" s="35">
        <f>IF(H388="ETAPA",0,IF(H388="SUBETAPA",OFFSET(D388,-1,0)+1,OFFSET(D388,-1,0)))</f>
        <v/>
      </c>
      <c r="E1171" s="35">
        <f>IF(H388="Subetapa",0,IF(H388="serviço",OFFSET(E388,-1,0)+1,OFFSET(E388,-1,0)))</f>
        <v/>
      </c>
      <c r="F1171" s="123" t="n"/>
      <c r="G1171" s="135" t="inlineStr">
        <is>
          <t>COBERTURA</t>
        </is>
      </c>
      <c r="H1171" s="44" t="inlineStr">
        <is>
          <t>SERVIÇO</t>
        </is>
      </c>
      <c r="I1171" s="45">
        <f>IF(H388="Unidade Construtiva",TEXT(A388,"00"),IF(H388="Célula Construtiva",TEXT(B388,"00"),IF(H388="Etapa",CONCATENATE(TEXT(B388,"00"),".",TEXT(C388,"000")),IF(H388="Subetapa",CONCATENATE(TEXT(B388,"00"),".",TEXT(C388,"000"),".",TEXT(D388,"000")),IF(H388="Serviço",CONCATENATE(TEXT(B388,"00"),".",TEXT(C388,"000"),".",TEXT(D388,"000"),".",TEXT(E388,"000")),"")))))</f>
        <v/>
      </c>
      <c r="J1171" s="161" t="inlineStr">
        <is>
          <t>Estrutura metálica para cobertura</t>
        </is>
      </c>
      <c r="K1171" s="47" t="inlineStr">
        <is>
          <t>m2</t>
        </is>
      </c>
      <c r="L1171" s="48">
        <f>'Arquitetura Visus'!D464</f>
        <v/>
      </c>
      <c r="M1171" s="48">
        <f>_xlfn.XLOOKUP($J388,CPU!$D$1:$D$31540,CPU!$H$1:$H$31540)</f>
        <v/>
      </c>
      <c r="N1171" s="49">
        <f>IF(H388="Serviço",M388*L388,IF(H388="CÉLULA CONSTRUTIVA",SUMIFS($N$8:$N$754,$B$8:$B$754,B388,$H$8:$H$754,"Serviço"),IF(H388="ETAPA",SUMIFS($N$8:$N$754,$B$8:$B$754,B388,$C$8:$C$754,C388,$H$8:$H$754,"Serviço"),IF(H388="SUBETAPA",SUMIFS($N$8:$N$754,$B$8:$B$754,B388,$C$8:$C$754,C388,$D$8:$D$754,D388,$H$8:$H$754,"Serviço"),0))))</f>
        <v/>
      </c>
      <c r="O1171" s="50" t="n"/>
      <c r="P1171" s="134" t="n"/>
      <c r="Q1171" s="52" t="n"/>
      <c r="R1171" s="52" t="n"/>
      <c r="S1171" s="1" t="n"/>
      <c r="T1171" s="1" t="n"/>
      <c r="U1171" s="1" t="n"/>
      <c r="V1171" s="1" t="n"/>
      <c r="W1171" s="1" t="n"/>
      <c r="X1171" s="1" t="n"/>
      <c r="Y1171" s="1" t="n"/>
    </row>
    <row r="1172">
      <c r="A1172" s="34">
        <f>IF($H389="UNIDADE CONSTRUTIVA",OFFSET(A389,-1,0)+1,LARGE(A$3:A386,1))</f>
        <v/>
      </c>
      <c r="B1172" s="34">
        <f>IF(H389="UNIDADE CONSTRUTIVA",0,IF(H389="CÉLULA CONSTRUTIVA",OFFSET(B389,-1,0)+1,OFFSET(B389,-1,0)))</f>
        <v/>
      </c>
      <c r="C1172" s="34">
        <f>IF(H389="CÉLULA CONSTRUTIVA",0,IF(H389="ETAPA",OFFSET(C389,-1,0)+1,OFFSET(C389,-1,0)))</f>
        <v/>
      </c>
      <c r="D1172" s="35">
        <f>IF(H389="ETAPA",0,IF(H389="SUBETAPA",OFFSET(D389,-1,0)+1,OFFSET(D389,-1,0)))</f>
        <v/>
      </c>
      <c r="E1172" s="35">
        <f>IF(H389="Subetapa",0,IF(H389="serviço",OFFSET(E389,-1,0)+1,OFFSET(E389,-1,0)))</f>
        <v/>
      </c>
      <c r="F1172" s="123" t="n"/>
      <c r="G1172" s="135" t="n"/>
      <c r="H1172" s="44" t="inlineStr">
        <is>
          <t>SUBETAPA</t>
        </is>
      </c>
      <c r="I1172" s="45">
        <f>IF(H389="Unidade Construtiva",TEXT(A389,"00"),IF(H389="Célula Construtiva",TEXT(B389,"00"),IF(H389="Etapa",CONCATENATE(TEXT(B389,"00"),".",TEXT(C389,"000")),IF(H389="Subetapa",CONCATENATE(TEXT(B389,"00"),".",TEXT(C389,"000"),".",TEXT(D389,"000")),IF(H389="Serviço",CONCATENATE(TEXT(B389,"00"),".",TEXT(C389,"000"),".",TEXT(D389,"000"),".",TEXT(E389,"000")),"")))))</f>
        <v/>
      </c>
      <c r="J1172" s="51" t="inlineStr">
        <is>
          <t>Telhamento para cobertura</t>
        </is>
      </c>
      <c r="K1172" s="47" t="n"/>
      <c r="L1172" s="48" t="n"/>
      <c r="M1172" s="48" t="n"/>
      <c r="N1172" s="49">
        <f>IF(H389="Serviço",M389*L389,IF(H389="CÉLULA CONSTRUTIVA",SUMIFS($N$8:$N$754,$B$8:$B$754,B389,$H$8:$H$754,"Serviço"),IF(H389="ETAPA",SUMIFS($N$8:$N$754,$B$8:$B$754,B389,$C$8:$C$754,C389,$H$8:$H$754,"Serviço"),IF(H389="SUBETAPA",SUMIFS($N$8:$N$754,$B$8:$B$754,B389,$C$8:$C$754,C389,$D$8:$D$754,D389,$H$8:$H$754,"Serviço"),0))))</f>
        <v/>
      </c>
      <c r="O1172" s="50">
        <f>N389/CAPA!C$10</f>
        <v/>
      </c>
      <c r="P1172" s="134" t="n"/>
      <c r="Q1172" s="52" t="n"/>
      <c r="R1172" s="52" t="n"/>
      <c r="S1172" s="1" t="n"/>
      <c r="T1172" s="1" t="n"/>
      <c r="U1172" s="1" t="n"/>
      <c r="V1172" s="1" t="n"/>
      <c r="W1172" s="1" t="n"/>
      <c r="X1172" s="1" t="n"/>
      <c r="Y1172" s="1" t="n"/>
    </row>
    <row r="1173">
      <c r="A1173" s="34">
        <f>IF($H390="UNIDADE CONSTRUTIVA",OFFSET(A390,-1,0)+1,LARGE(A$3:A389,1))</f>
        <v/>
      </c>
      <c r="B1173" s="34">
        <f>IF(H390="UNIDADE CONSTRUTIVA",0,IF(H390="CÉLULA CONSTRUTIVA",OFFSET(B390,-1,0)+1,OFFSET(B390,-1,0)))</f>
        <v/>
      </c>
      <c r="C1173" s="34">
        <f>IF(H390="CÉLULA CONSTRUTIVA",0,IF(H390="ETAPA",OFFSET(C390,-1,0)+1,OFFSET(C390,-1,0)))</f>
        <v/>
      </c>
      <c r="D1173" s="35">
        <f>IF(H390="ETAPA",0,IF(H390="SUBETAPA",OFFSET(D390,-1,0)+1,OFFSET(D390,-1,0)))</f>
        <v/>
      </c>
      <c r="E1173" s="35">
        <f>IF(H390="Subetapa",0,IF(H390="serviço",OFFSET(E390,-1,0)+1,OFFSET(E390,-1,0)))</f>
        <v/>
      </c>
      <c r="F1173" s="123" t="n"/>
      <c r="G1173" s="135" t="inlineStr">
        <is>
          <t>COBERTURA</t>
        </is>
      </c>
      <c r="H1173" s="44" t="inlineStr">
        <is>
          <t>SERVIÇO</t>
        </is>
      </c>
      <c r="I1173" s="45">
        <f>IF(H390="Unidade Construtiva",TEXT(A390,"00"),IF(H390="Célula Construtiva",TEXT(B390,"00"),IF(H390="Etapa",CONCATENATE(TEXT(B390,"00"),".",TEXT(C390,"000")),IF(H390="Subetapa",CONCATENATE(TEXT(B390,"00"),".",TEXT(C390,"000"),".",TEXT(D390,"000")),IF(H390="Serviço",CONCATENATE(TEXT(B390,"00"),".",TEXT(C390,"000"),".",TEXT(D390,"000"),".",TEXT(E390,"000")),"")))))</f>
        <v/>
      </c>
      <c r="J1173" s="161" t="inlineStr">
        <is>
          <t>Telhamento para cobertura em Fibrocimento</t>
        </is>
      </c>
      <c r="K1173" s="47" t="inlineStr">
        <is>
          <t>m2</t>
        </is>
      </c>
      <c r="L1173" s="48">
        <f>'Arquitetura Visus'!D464</f>
        <v/>
      </c>
      <c r="M1173" s="48">
        <f>_xlfn.XLOOKUP($J390,CPU!$D$1:$D$31540,CPU!$H$1:$H$31540)</f>
        <v/>
      </c>
      <c r="N1173" s="49">
        <f>IF(H390="Serviço",M390*L390,IF(H390="CÉLULA CONSTRUTIVA",SUMIFS($N$8:$N$754,$B$8:$B$754,B390,$H$8:$H$754,"Serviço"),IF(H390="ETAPA",SUMIFS($N$8:$N$754,$B$8:$B$754,B390,$C$8:$C$754,C390,$H$8:$H$754,"Serviço"),IF(H390="SUBETAPA",SUMIFS($N$8:$N$754,$B$8:$B$754,B390,$C$8:$C$754,C390,$D$8:$D$754,D390,$H$8:$H$754,"Serviço"),0))))</f>
        <v/>
      </c>
      <c r="O1173" s="50" t="n"/>
      <c r="P1173" s="134" t="n"/>
      <c r="Q1173" s="52" t="n"/>
      <c r="R1173" s="52" t="n"/>
      <c r="S1173" s="1" t="n"/>
      <c r="T1173" s="1" t="n"/>
      <c r="U1173" s="1" t="n"/>
      <c r="V1173" s="1" t="n"/>
      <c r="W1173" s="1" t="n"/>
      <c r="X1173" s="1" t="n"/>
      <c r="Y1173" s="1" t="n"/>
    </row>
    <row r="1174">
      <c r="A1174" s="34">
        <f>IF($H391="UNIDADE CONSTRUTIVA",OFFSET(A391,-1,0)+1,LARGE(A$3:A390,1))</f>
        <v/>
      </c>
      <c r="B1174" s="34">
        <f>IF(H391="UNIDADE CONSTRUTIVA",0,IF(H391="CÉLULA CONSTRUTIVA",OFFSET(B391,-1,0)+1,OFFSET(B391,-1,0)))</f>
        <v/>
      </c>
      <c r="C1174" s="34">
        <f>IF(H391="CÉLULA CONSTRUTIVA",0,IF(H391="ETAPA",OFFSET(C391,-1,0)+1,OFFSET(C391,-1,0)))</f>
        <v/>
      </c>
      <c r="D1174" s="35">
        <f>IF(H391="ETAPA",0,IF(H391="SUBETAPA",OFFSET(D391,-1,0)+1,OFFSET(D391,-1,0)))</f>
        <v/>
      </c>
      <c r="E1174" s="35">
        <f>IF(H391="Subetapa",0,IF(H391="serviço",OFFSET(E391,-1,0)+1,OFFSET(E391,-1,0)))</f>
        <v/>
      </c>
      <c r="F1174" s="123" t="n"/>
      <c r="G1174" s="135" t="n"/>
      <c r="H1174" s="44" t="inlineStr">
        <is>
          <t>SUBETAPA</t>
        </is>
      </c>
      <c r="I1174" s="45">
        <f>IF(H391="Unidade Construtiva",TEXT(A391,"00"),IF(H391="Célula Construtiva",TEXT(B391,"00"),IF(H391="Etapa",CONCATENATE(TEXT(B391,"00"),".",TEXT(C391,"000")),IF(H391="Subetapa",CONCATENATE(TEXT(B391,"00"),".",TEXT(C391,"000"),".",TEXT(D391,"000")),IF(H391="Serviço",CONCATENATE(TEXT(B391,"00"),".",TEXT(C391,"000"),".",TEXT(D391,"000"),".",TEXT(E391,"000")),"")))))</f>
        <v/>
      </c>
      <c r="J1174" s="51" t="inlineStr">
        <is>
          <t>Serviços complementares</t>
        </is>
      </c>
      <c r="K1174" s="47" t="n"/>
      <c r="L1174" s="48" t="n"/>
      <c r="M1174" s="48" t="n"/>
      <c r="N1174" s="49">
        <f>IF(H391="Serviço",M391*L391,IF(H391="CÉLULA CONSTRUTIVA",SUMIFS($N$8:$N$754,$B$8:$B$754,B391,$H$8:$H$754,"Serviço"),IF(H391="ETAPA",SUMIFS($N$8:$N$754,$B$8:$B$754,B391,$C$8:$C$754,C391,$H$8:$H$754,"Serviço"),IF(H391="SUBETAPA",SUMIFS($N$8:$N$754,$B$8:$B$754,B391,$C$8:$C$754,C391,$D$8:$D$754,D391,$H$8:$H$754,"Serviço"),0))))</f>
        <v/>
      </c>
      <c r="O1174" s="50">
        <f>N391/CAPA!C$10</f>
        <v/>
      </c>
      <c r="P1174" s="134" t="n"/>
      <c r="Q1174" s="52" t="n"/>
      <c r="R1174" s="52" t="n"/>
      <c r="S1174" s="1" t="n"/>
      <c r="T1174" s="1" t="n"/>
      <c r="U1174" s="1" t="n"/>
      <c r="V1174" s="1" t="n"/>
      <c r="W1174" s="1" t="n"/>
      <c r="X1174" s="1" t="n"/>
      <c r="Y1174" s="1" t="n"/>
    </row>
    <row r="1175">
      <c r="A1175" s="34">
        <f>IF($H392="UNIDADE CONSTRUTIVA",OFFSET(A392,-1,0)+1,LARGE(A$3:A389,1))</f>
        <v/>
      </c>
      <c r="B1175" s="34">
        <f>IF(H392="UNIDADE CONSTRUTIVA",0,IF(H392="CÉLULA CONSTRUTIVA",OFFSET(B392,-1,0)+1,OFFSET(B392,-1,0)))</f>
        <v/>
      </c>
      <c r="C1175" s="34">
        <f>IF(H392="CÉLULA CONSTRUTIVA",0,IF(H392="ETAPA",OFFSET(C392,-1,0)+1,OFFSET(C392,-1,0)))</f>
        <v/>
      </c>
      <c r="D1175" s="35">
        <f>IF(H392="ETAPA",0,IF(H392="SUBETAPA",OFFSET(D392,-1,0)+1,OFFSET(D392,-1,0)))</f>
        <v/>
      </c>
      <c r="E1175" s="35">
        <f>IF(H392="Subetapa",0,IF(H392="serviço",OFFSET(E392,-1,0)+1,OFFSET(E392,-1,0)))</f>
        <v/>
      </c>
      <c r="F1175" s="123" t="n"/>
      <c r="G1175" s="135" t="inlineStr">
        <is>
          <t>COBERTURA</t>
        </is>
      </c>
      <c r="H1175" s="44" t="inlineStr">
        <is>
          <t>SERVIÇO</t>
        </is>
      </c>
      <c r="I1175" s="45">
        <f>IF(H392="Unidade Construtiva",TEXT(A392,"00"),IF(H392="Célula Construtiva",TEXT(B392,"00"),IF(H392="Etapa",CONCATENATE(TEXT(B392,"00"),".",TEXT(C392,"000")),IF(H392="Subetapa",CONCATENATE(TEXT(B392,"00"),".",TEXT(C392,"000"),".",TEXT(D392,"000")),IF(H392="Serviço",CONCATENATE(TEXT(B392,"00"),".",TEXT(C392,"000"),".",TEXT(D392,"000"),".",TEXT(E392,"000")),"")))))</f>
        <v/>
      </c>
      <c r="J1175" s="161" t="inlineStr">
        <is>
          <t>Rufo em alumínio</t>
        </is>
      </c>
      <c r="K1175" s="47" t="inlineStr">
        <is>
          <t>m2</t>
        </is>
      </c>
      <c r="L1175" s="48">
        <f>'Arquitetura Visus'!D468*0.25</f>
        <v/>
      </c>
      <c r="M1175" s="48">
        <f>_xlfn.XLOOKUP($J392,CPU!$D$1:$D$31540,CPU!$H$1:$H$31540)</f>
        <v/>
      </c>
      <c r="N1175" s="49">
        <f>IF(H392="Serviço",M392*L392,IF(H392="CÉLULA CONSTRUTIVA",SUMIFS($N$8:$N$754,$B$8:$B$754,B392,$H$8:$H$754,"Serviço"),IF(H392="ETAPA",SUMIFS($N$8:$N$754,$B$8:$B$754,B392,$C$8:$C$754,C392,$H$8:$H$754,"Serviço"),IF(H392="SUBETAPA",SUMIFS($N$8:$N$754,$B$8:$B$754,B392,$C$8:$C$754,C392,$D$8:$D$754,D392,$H$8:$H$754,"Serviço"),0))))</f>
        <v/>
      </c>
      <c r="O1175" s="50" t="n"/>
      <c r="P1175" s="134" t="n"/>
      <c r="Q1175" s="52" t="n"/>
      <c r="R1175" s="52" t="n"/>
      <c r="S1175" s="1" t="n"/>
      <c r="T1175" s="1" t="n"/>
      <c r="U1175" s="1" t="n"/>
      <c r="V1175" s="1" t="n"/>
      <c r="W1175" s="1" t="n"/>
      <c r="X1175" s="1" t="n"/>
      <c r="Y1175" s="1" t="n"/>
    </row>
    <row r="1176">
      <c r="A1176" s="34">
        <f>IF($H393="UNIDADE CONSTRUTIVA",OFFSET(A393,-1,0)+1,LARGE(A$3:A390,1))</f>
        <v/>
      </c>
      <c r="B1176" s="34">
        <f>IF(H393="UNIDADE CONSTRUTIVA",0,IF(H393="CÉLULA CONSTRUTIVA",OFFSET(B393,-1,0)+1,OFFSET(B393,-1,0)))</f>
        <v/>
      </c>
      <c r="C1176" s="34">
        <f>IF(H393="CÉLULA CONSTRUTIVA",0,IF(H393="ETAPA",OFFSET(C393,-1,0)+1,OFFSET(C393,-1,0)))</f>
        <v/>
      </c>
      <c r="D1176" s="35">
        <f>IF(H393="ETAPA",0,IF(H393="SUBETAPA",OFFSET(D393,-1,0)+1,OFFSET(D393,-1,0)))</f>
        <v/>
      </c>
      <c r="E1176" s="35">
        <f>IF(H393="Subetapa",0,IF(H393="serviço",OFFSET(E393,-1,0)+1,OFFSET(E393,-1,0)))</f>
        <v/>
      </c>
      <c r="F1176" s="123" t="n"/>
      <c r="G1176" s="135" t="inlineStr">
        <is>
          <t>COBERTURA</t>
        </is>
      </c>
      <c r="H1176" s="44" t="inlineStr">
        <is>
          <t>SERVIÇO</t>
        </is>
      </c>
      <c r="I1176" s="45">
        <f>IF(H393="Unidade Construtiva",TEXT(A393,"00"),IF(H393="Célula Construtiva",TEXT(B393,"00"),IF(H393="Etapa",CONCATENATE(TEXT(B393,"00"),".",TEXT(C393,"000")),IF(H393="Subetapa",CONCATENATE(TEXT(B393,"00"),".",TEXT(C393,"000"),".",TEXT(D393,"000")),IF(H393="Serviço",CONCATENATE(TEXT(B393,"00"),".",TEXT(C393,"000"),".",TEXT(D393,"000"),".",TEXT(E393,"000")),"")))))</f>
        <v/>
      </c>
      <c r="J1176" s="161" t="inlineStr">
        <is>
          <t>Calha em aço galvanizado - 25,0 cm</t>
        </is>
      </c>
      <c r="K1176" s="47" t="inlineStr">
        <is>
          <t>m</t>
        </is>
      </c>
      <c r="L1176" s="48">
        <f>'Arquitetura Visus'!D459</f>
        <v/>
      </c>
      <c r="M1176" s="48">
        <f>_xlfn.XLOOKUP($J393,CPU!$D$1:$D$31540,CPU!$H$1:$H$31540)</f>
        <v/>
      </c>
      <c r="N1176" s="49">
        <f>IF(H393="Serviço",M393*L393,IF(H393="CÉLULA CONSTRUTIVA",SUMIFS($N$8:$N$754,$B$8:$B$754,B393,$H$8:$H$754,"Serviço"),IF(H393="ETAPA",SUMIFS($N$8:$N$754,$B$8:$B$754,B393,$C$8:$C$754,C393,$H$8:$H$754,"Serviço"),IF(H393="SUBETAPA",SUMIFS($N$8:$N$754,$B$8:$B$754,B393,$C$8:$C$754,C393,$D$8:$D$754,D393,$H$8:$H$754,"Serviço"),0))))</f>
        <v/>
      </c>
      <c r="O1176" s="50" t="n"/>
      <c r="P1176" s="134" t="n"/>
      <c r="Q1176" s="52" t="n"/>
      <c r="R1176" s="52" t="n"/>
      <c r="S1176" s="1" t="n"/>
      <c r="T1176" s="1" t="n"/>
      <c r="U1176" s="1" t="n"/>
      <c r="V1176" s="1" t="n"/>
      <c r="W1176" s="1" t="n"/>
      <c r="X1176" s="1" t="n"/>
      <c r="Y1176" s="1" t="n"/>
    </row>
    <row r="1177">
      <c r="A1177" s="34">
        <f>IF($H394="UNIDADE CONSTRUTIVA",OFFSET(A394,-1,0)+1,LARGE(A$3:A390,1))</f>
        <v/>
      </c>
      <c r="B1177" s="34">
        <f>IF(H394="UNIDADE CONSTRUTIVA",0,IF(H394="CÉLULA CONSTRUTIVA",OFFSET(B394,-1,0)+1,OFFSET(B394,-1,0)))</f>
        <v/>
      </c>
      <c r="C1177" s="34">
        <f>IF(H394="CÉLULA CONSTRUTIVA",0,IF(H394="ETAPA",OFFSET(C394,-1,0)+1,OFFSET(C394,-1,0)))</f>
        <v/>
      </c>
      <c r="D1177" s="35">
        <f>IF(H394="ETAPA",0,IF(H394="SUBETAPA",OFFSET(D394,-1,0)+1,OFFSET(D394,-1,0)))</f>
        <v/>
      </c>
      <c r="E1177" s="35">
        <f>IF(H394="Subetapa",0,IF(H394="serviço",OFFSET(E394,-1,0)+1,OFFSET(E394,-1,0)))</f>
        <v/>
      </c>
      <c r="F1177" s="123" t="n"/>
      <c r="G1177" s="135" t="n"/>
      <c r="H1177" s="44" t="inlineStr">
        <is>
          <t>SUBETAPA</t>
        </is>
      </c>
      <c r="I1177" s="45">
        <f>IF(H394="Unidade Construtiva",TEXT(A394,"00"),IF(H394="Célula Construtiva",TEXT(B394,"00"),IF(H394="Etapa",CONCATENATE(TEXT(B394,"00"),".",TEXT(C394,"000")),IF(H394="Subetapa",CONCATENATE(TEXT(B394,"00"),".",TEXT(C394,"000"),".",TEXT(D394,"000")),IF(H394="Serviço",CONCATENATE(TEXT(B394,"00"),".",TEXT(C394,"000"),".",TEXT(D394,"000"),".",TEXT(E394,"000")),"")))))</f>
        <v/>
      </c>
      <c r="J1177" s="51" t="inlineStr">
        <is>
          <t>Mão de obra</t>
        </is>
      </c>
      <c r="K1177" s="47" t="n"/>
      <c r="L1177" s="48" t="n"/>
      <c r="M1177" s="48" t="n"/>
      <c r="N1177" s="49">
        <f>IF(H394="Serviço",M394*L394,IF(H394="CÉLULA CONSTRUTIVA",SUMIFS($N$8:$N$754,$B$8:$B$754,B394,$H$8:$H$754,"Serviço"),IF(H394="ETAPA",SUMIFS($N$8:$N$754,$B$8:$B$754,B394,$C$8:$C$754,C394,$H$8:$H$754,"Serviço"),IF(H394="SUBETAPA",SUMIFS($N$8:$N$754,$B$8:$B$754,B394,$C$8:$C$754,C394,$D$8:$D$754,D394,$H$8:$H$754,"Serviço"),0))))</f>
        <v/>
      </c>
      <c r="O1177" s="50">
        <f>N394/CAPA!C$10</f>
        <v/>
      </c>
      <c r="P1177" s="134" t="n"/>
      <c r="Q1177" s="52" t="n"/>
      <c r="R1177" s="52" t="n"/>
      <c r="S1177" s="1" t="n"/>
      <c r="T1177" s="1" t="n"/>
      <c r="U1177" s="1" t="n"/>
      <c r="V1177" s="1" t="n"/>
      <c r="W1177" s="1" t="n"/>
      <c r="X1177" s="1" t="n"/>
      <c r="Y1177" s="1" t="n"/>
    </row>
    <row r="1178">
      <c r="A1178" s="34">
        <f>IF($H395="UNIDADE CONSTRUTIVA",OFFSET(A395,-1,0)+1,LARGE(A$3:A394,1))</f>
        <v/>
      </c>
      <c r="B1178" s="34">
        <f>IF(H395="UNIDADE CONSTRUTIVA",0,IF(H395="CÉLULA CONSTRUTIVA",OFFSET(B395,-1,0)+1,OFFSET(B395,-1,0)))</f>
        <v/>
      </c>
      <c r="C1178" s="34">
        <f>IF(H395="CÉLULA CONSTRUTIVA",0,IF(H395="ETAPA",OFFSET(C395,-1,0)+1,OFFSET(C395,-1,0)))</f>
        <v/>
      </c>
      <c r="D1178" s="35">
        <f>IF(H395="ETAPA",0,IF(H395="SUBETAPA",OFFSET(D395,-1,0)+1,OFFSET(D395,-1,0)))</f>
        <v/>
      </c>
      <c r="E1178" s="35">
        <f>IF(H395="Subetapa",0,IF(H395="serviço",OFFSET(E395,-1,0)+1,OFFSET(E395,-1,0)))</f>
        <v/>
      </c>
      <c r="F1178" s="123" t="n"/>
      <c r="G1178" s="135" t="inlineStr">
        <is>
          <t>COBERTURA</t>
        </is>
      </c>
      <c r="H1178" s="44" t="inlineStr">
        <is>
          <t>SERVIÇO</t>
        </is>
      </c>
      <c r="I1178" s="45">
        <f>IF(H395="Unidade Construtiva",TEXT(A395,"00"),IF(H395="Célula Construtiva",TEXT(B395,"00"),IF(H395="Etapa",CONCATENATE(TEXT(B395,"00"),".",TEXT(C395,"000")),IF(H395="Subetapa",CONCATENATE(TEXT(B395,"00"),".",TEXT(C395,"000"),".",TEXT(D395,"000")),IF(H395="Serviço",CONCATENATE(TEXT(B395,"00"),".",TEXT(C395,"000"),".",TEXT(D395,"000"),".",TEXT(E395,"000")),"")))))</f>
        <v/>
      </c>
      <c r="J1178" s="161" t="inlineStr">
        <is>
          <t>Mão de obra coberturas</t>
        </is>
      </c>
      <c r="K1178" s="47" t="inlineStr">
        <is>
          <t>m2</t>
        </is>
      </c>
      <c r="L1178" s="48">
        <f>L390</f>
        <v/>
      </c>
      <c r="M1178" s="48">
        <f>_xlfn.XLOOKUP($J395,CPU!$D$1:$D$31540,CPU!$H$1:$H$31540)</f>
        <v/>
      </c>
      <c r="N1178" s="49">
        <f>IF(H395="Serviço",M395*L395,IF(H395="CÉLULA CONSTRUTIVA",SUMIFS($N$8:$N$754,$B$8:$B$754,B395,$H$8:$H$754,"Serviço"),IF(H395="ETAPA",SUMIFS($N$8:$N$754,$B$8:$B$754,B395,$C$8:$C$754,C395,$H$8:$H$754,"Serviço"),IF(H395="SUBETAPA",SUMIFS($N$8:$N$754,$B$8:$B$754,B395,$C$8:$C$754,C395,$D$8:$D$754,D395,$H$8:$H$754,"Serviço"),0))))</f>
        <v/>
      </c>
      <c r="O1178" s="50" t="n"/>
      <c r="P1178" s="134" t="n"/>
      <c r="Q1178" s="52" t="n"/>
      <c r="R1178" s="52" t="n"/>
      <c r="S1178" s="1" t="n"/>
      <c r="T1178" s="1" t="n"/>
      <c r="U1178" s="1" t="n"/>
      <c r="V1178" s="1" t="n"/>
      <c r="W1178" s="1" t="n"/>
      <c r="X1178" s="1" t="n"/>
      <c r="Y1178" s="1" t="n"/>
    </row>
    <row r="1179">
      <c r="A1179" s="34">
        <f>IF($H396="UNIDADE CONSTRUTIVA",OFFSET(A396,-1,0)+1,LARGE(A$3:A370,1))</f>
        <v/>
      </c>
      <c r="B1179" s="34">
        <f>IF(H396="UNIDADE CONSTRUTIVA",0,IF(H396="CÉLULA CONSTRUTIVA",OFFSET(B396,-1,0)+1,OFFSET(B396,-1,0)))</f>
        <v/>
      </c>
      <c r="C1179" s="34">
        <f>IF(H396="CÉLULA CONSTRUTIVA",0,IF(H396="ETAPA",OFFSET(C396,-1,0)+1,OFFSET(C396,-1,0)))</f>
        <v/>
      </c>
      <c r="D1179" s="35">
        <f>IF(H396="ETAPA",0,IF(H396="SUBETAPA",OFFSET(D396,-1,0)+1,OFFSET(D396,-1,0)))</f>
        <v/>
      </c>
      <c r="E1179" s="35">
        <f>IF(H396="Subetapa",0,IF(H396="serviço",OFFSET(E396,-1,0)+1,OFFSET(E396,-1,0)))</f>
        <v/>
      </c>
      <c r="F1179" s="123" t="n"/>
      <c r="G1179" s="135" t="n"/>
      <c r="H1179" s="44" t="inlineStr">
        <is>
          <t>CÉLULA CONSTRUTIVA</t>
        </is>
      </c>
      <c r="I1179" s="45">
        <f>IF(H396="Unidade Construtiva",TEXT(A396,"00"),IF(H396="Célula Construtiva",TEXT(B396,"00"),IF(H396="Etapa",CONCATENATE(TEXT(B396,"00"),".",TEXT(C396,"000")),IF(H396="Subetapa",CONCATENATE(TEXT(B396,"00"),".",TEXT(C396,"000"),".",TEXT(D396,"000")),IF(H396="Serviço",CONCATENATE(TEXT(B396,"00"),".",TEXT(C396,"000"),".",TEXT(D396,"000"),".",TEXT(E396,"000")),"")))))</f>
        <v/>
      </c>
      <c r="J1179" s="51" t="inlineStr">
        <is>
          <t>REVESTIMENTOS E ACABAMENTOS EM FACHADA</t>
        </is>
      </c>
      <c r="K1179" s="47" t="n"/>
      <c r="L1179" s="48" t="n"/>
      <c r="M1179" s="48" t="n"/>
      <c r="N1179" s="49">
        <f>IF(H396="Serviço",M396*L396,IF(H396="CÉLULA CONSTRUTIVA",SUMIFS($N$8:$N$754,$B$8:$B$754,B396,$H$8:$H$754,"Serviço"),IF(H396="ETAPA",SUMIFS($N$8:$N$754,$B$8:$B$754,B396,$C$8:$C$754,C396,$H$8:$H$754,"Serviço"),IF(H396="SUBETAPA",SUMIFS($N$8:$N$754,$B$8:$B$754,B396,$C$8:$C$754,C396,$D$8:$D$754,D396,$H$8:$H$754,"Serviço"),0))))</f>
        <v/>
      </c>
      <c r="O1179" s="50">
        <f>N396/CAPA!C$10</f>
        <v/>
      </c>
      <c r="P1179" s="134" t="n"/>
      <c r="Q1179" s="115" t="n"/>
      <c r="R1179" s="52" t="n"/>
      <c r="S1179" s="1" t="n"/>
      <c r="T1179" s="1" t="n"/>
      <c r="U1179" s="1" t="n"/>
      <c r="V1179" s="1" t="n"/>
      <c r="W1179" s="1" t="n"/>
      <c r="X1179" s="1" t="n"/>
      <c r="Y1179" s="1" t="n"/>
    </row>
    <row r="1180">
      <c r="A1180" s="34">
        <f>IF($H397="UNIDADE CONSTRUTIVA",OFFSET(A397,-1,0)+1,LARGE(A$3:A340,1))</f>
        <v/>
      </c>
      <c r="B1180" s="34">
        <f>IF(H397="UNIDADE CONSTRUTIVA",0,IF(H397="CÉLULA CONSTRUTIVA",OFFSET(B397,-1,0)+1,OFFSET(B397,-1,0)))</f>
        <v/>
      </c>
      <c r="C1180" s="34">
        <f>IF(H397="CÉLULA CONSTRUTIVA",0,IF(H397="ETAPA",OFFSET(C397,-1,0)+1,OFFSET(C397,-1,0)))</f>
        <v/>
      </c>
      <c r="D1180" s="35">
        <f>IF(H397="ETAPA",0,IF(H397="SUBETAPA",OFFSET(D397,-1,0)+1,OFFSET(D397,-1,0)))</f>
        <v/>
      </c>
      <c r="E1180" s="35">
        <f>IF(H397="Subetapa",0,IF(H397="serviço",OFFSET(E397,-1,0)+1,OFFSET(E397,-1,0)))</f>
        <v/>
      </c>
      <c r="F1180" s="123" t="n"/>
      <c r="G1180" s="135" t="n"/>
      <c r="H1180" s="44" t="inlineStr">
        <is>
          <t>ETAPA</t>
        </is>
      </c>
      <c r="I1180" s="45">
        <f>IF(H397="Unidade Construtiva",TEXT(A397,"00"),IF(H397="Célula Construtiva",TEXT(B397,"00"),IF(H397="Etapa",CONCATENATE(TEXT(B397,"00"),".",TEXT(C397,"000")),IF(H397="Subetapa",CONCATENATE(TEXT(B397,"00"),".",TEXT(C397,"000"),".",TEXT(D397,"000")),IF(H397="Serviço",CONCATENATE(TEXT(B397,"00"),".",TEXT(C397,"000"),".",TEXT(D397,"000"),".",TEXT(E397,"000")),"")))))</f>
        <v/>
      </c>
      <c r="J1180" s="51" t="inlineStr">
        <is>
          <t>REVESTIMENTOS E ACABAMENTOS EM FACHADA</t>
        </is>
      </c>
      <c r="K1180" s="47" t="n"/>
      <c r="L1180" s="48" t="n"/>
      <c r="M1180" s="48" t="n"/>
      <c r="N1180" s="49">
        <f>IF(H397="Serviço",M397*L397,IF(H397="CÉLULA CONSTRUTIVA",SUMIFS($N$8:$N$754,$B$8:$B$754,B397,$H$8:$H$754,"Serviço"),IF(H397="ETAPA",SUMIFS($N$8:$N$754,$B$8:$B$754,B397,$C$8:$C$754,C397,$H$8:$H$754,"Serviço"),IF(H397="SUBETAPA",SUMIFS($N$8:$N$754,$B$8:$B$754,B397,$C$8:$C$754,C397,$D$8:$D$754,D397,$H$8:$H$754,"Serviço"),0))))</f>
        <v/>
      </c>
      <c r="O1180" s="50">
        <f>N397/CAPA!C$10</f>
        <v/>
      </c>
      <c r="P1180" s="134" t="n"/>
      <c r="Q1180" s="52" t="n"/>
      <c r="R1180" s="52" t="n"/>
      <c r="S1180" s="1" t="n"/>
      <c r="T1180" s="1" t="n"/>
      <c r="U1180" s="1" t="n"/>
      <c r="V1180" s="1" t="n"/>
      <c r="W1180" s="1" t="n"/>
      <c r="X1180" s="1" t="n"/>
      <c r="Y1180" s="1" t="n"/>
    </row>
    <row r="1181">
      <c r="A1181" s="34">
        <f>IF($H398="UNIDADE CONSTRUTIVA",OFFSET(A398,-1,0)+1,LARGE(A$3:A397,1))</f>
        <v/>
      </c>
      <c r="B1181" s="34">
        <f>IF(H398="UNIDADE CONSTRUTIVA",0,IF(H398="CÉLULA CONSTRUTIVA",OFFSET(B398,-1,0)+1,OFFSET(B398,-1,0)))</f>
        <v/>
      </c>
      <c r="C1181" s="34">
        <f>IF(H398="CÉLULA CONSTRUTIVA",0,IF(H398="ETAPA",OFFSET(C398,-1,0)+1,OFFSET(C398,-1,0)))</f>
        <v/>
      </c>
      <c r="D1181" s="35">
        <f>IF(H398="ETAPA",0,IF(H398="SUBETAPA",OFFSET(D398,-1,0)+1,OFFSET(D398,-1,0)))</f>
        <v/>
      </c>
      <c r="E1181" s="35">
        <f>IF(H398="Subetapa",0,IF(H398="serviço",OFFSET(E398,-1,0)+1,OFFSET(E398,-1,0)))</f>
        <v/>
      </c>
      <c r="F1181" s="123" t="n"/>
      <c r="G1181" s="135" t="n"/>
      <c r="H1181" s="44" t="inlineStr">
        <is>
          <t>SUBETAPA</t>
        </is>
      </c>
      <c r="I1181" s="45">
        <f>IF(H398="Unidade Construtiva",TEXT(A398,"00"),IF(H398="Célula Construtiva",TEXT(B398,"00"),IF(H398="Etapa",CONCATENATE(TEXT(B398,"00"),".",TEXT(C398,"000")),IF(H398="Subetapa",CONCATENATE(TEXT(B398,"00"),".",TEXT(C398,"000"),".",TEXT(D398,"000")),IF(H398="Serviço",CONCATENATE(TEXT(B398,"00"),".",TEXT(C398,"000"),".",TEXT(D398,"000"),".",TEXT(E398,"000")),"")))))</f>
        <v/>
      </c>
      <c r="J1181" s="51" t="inlineStr">
        <is>
          <t>Revestimento argamassado em fachada</t>
        </is>
      </c>
      <c r="K1181" s="47" t="n"/>
      <c r="L1181" s="48" t="n"/>
      <c r="M1181" s="48" t="n"/>
      <c r="N1181" s="49">
        <f>IF(H398="Serviço",M398*L398,IF(H398="CÉLULA CONSTRUTIVA",SUMIFS($N$8:$N$754,$B$8:$B$754,B398,$H$8:$H$754,"Serviço"),IF(H398="ETAPA",SUMIFS($N$8:$N$754,$B$8:$B$754,B398,$C$8:$C$754,C398,$H$8:$H$754,"Serviço"),IF(H398="SUBETAPA",SUMIFS($N$8:$N$754,$B$8:$B$754,B398,$C$8:$C$754,C398,$D$8:$D$754,D398,$H$8:$H$754,"Serviço"),0))))</f>
        <v/>
      </c>
      <c r="O1181" s="50">
        <f>N398/CAPA!C$10</f>
        <v/>
      </c>
      <c r="P1181" s="134" t="n"/>
      <c r="Q1181" s="52" t="n"/>
      <c r="R1181" s="52" t="n"/>
      <c r="S1181" s="1" t="n"/>
      <c r="T1181" s="1" t="n"/>
      <c r="U1181" s="1" t="n"/>
      <c r="V1181" s="1" t="n"/>
      <c r="W1181" s="1" t="n"/>
      <c r="X1181" s="1" t="n"/>
      <c r="Y1181" s="1" t="n"/>
    </row>
    <row r="1182">
      <c r="A1182" s="34">
        <f>IF($H399="UNIDADE CONSTRUTIVA",OFFSET(A399,-1,0)+1,LARGE(A$3:A398,1))</f>
        <v/>
      </c>
      <c r="B1182" s="34">
        <f>IF(H399="UNIDADE CONSTRUTIVA",0,IF(H399="CÉLULA CONSTRUTIVA",OFFSET(B399,-1,0)+1,OFFSET(B399,-1,0)))</f>
        <v/>
      </c>
      <c r="C1182" s="34">
        <f>IF(H399="CÉLULA CONSTRUTIVA",0,IF(H399="ETAPA",OFFSET(C399,-1,0)+1,OFFSET(C399,-1,0)))</f>
        <v/>
      </c>
      <c r="D1182" s="35">
        <f>IF(H399="ETAPA",0,IF(H399="SUBETAPA",OFFSET(D399,-1,0)+1,OFFSET(D399,-1,0)))</f>
        <v/>
      </c>
      <c r="E1182" s="35">
        <f>IF(H399="Subetapa",0,IF(H399="serviço",OFFSET(E399,-1,0)+1,OFFSET(E399,-1,0)))</f>
        <v/>
      </c>
      <c r="F1182" s="123" t="n"/>
      <c r="G1182" s="135" t="inlineStr">
        <is>
          <t>REVESTIMENTOS E ACABAMENTOS EM FACHADA</t>
        </is>
      </c>
      <c r="H1182" s="44" t="inlineStr">
        <is>
          <t>SERVIÇO</t>
        </is>
      </c>
      <c r="I1182" s="45">
        <f>IF(H399="Unidade Construtiva",TEXT(A399,"00"),IF(H399="Célula Construtiva",TEXT(B399,"00"),IF(H399="Etapa",CONCATENATE(TEXT(B399,"00"),".",TEXT(C399,"000")),IF(H399="Subetapa",CONCATENATE(TEXT(B399,"00"),".",TEXT(C399,"000"),".",TEXT(D399,"000")),IF(H399="Serviço",CONCATENATE(TEXT(B399,"00"),".",TEXT(C399,"000"),".",TEXT(D399,"000"),".",TEXT(E399,"000")),"")))))</f>
        <v/>
      </c>
      <c r="J1182" s="161" t="inlineStr">
        <is>
          <t>Chapisco aplicados em alvenaria, com argamassa estabilizada, aplicação convencional</t>
        </is>
      </c>
      <c r="K1182" s="47" t="inlineStr">
        <is>
          <t>m2</t>
        </is>
      </c>
      <c r="L1182" s="48">
        <f>'Arquitetura Visus'!D479+'Arquitetura Visus'!D481</f>
        <v/>
      </c>
      <c r="M1182" s="48">
        <f>_xlfn.XLOOKUP($J399,CPU!$D$1:$D$31540,CPU!$H$1:$H$31540)</f>
        <v/>
      </c>
      <c r="N1182" s="49">
        <f>IF(H399="Serviço",M399*L399,IF(H399="CÉLULA CONSTRUTIVA",SUMIFS($N$8:$N$754,$B$8:$B$754,B399,$H$8:$H$754,"Serviço"),IF(H399="ETAPA",SUMIFS($N$8:$N$754,$B$8:$B$754,B399,$C$8:$C$754,C399,$H$8:$H$754,"Serviço"),IF(H399="SUBETAPA",SUMIFS($N$8:$N$754,$B$8:$B$754,B399,$C$8:$C$754,C399,$D$8:$D$754,D399,$H$8:$H$754,"Serviço"),0))))</f>
        <v/>
      </c>
      <c r="O1182" s="50" t="n"/>
      <c r="P1182" s="134" t="n"/>
      <c r="Q1182" s="52" t="n"/>
      <c r="R1182" s="52" t="n"/>
      <c r="S1182" s="1" t="n"/>
      <c r="T1182" s="1" t="n"/>
      <c r="U1182" s="1" t="n"/>
      <c r="V1182" s="1" t="n"/>
      <c r="W1182" s="1" t="n"/>
      <c r="X1182" s="1" t="n"/>
      <c r="Y1182" s="1" t="n"/>
    </row>
    <row r="1183">
      <c r="A1183" s="34">
        <f>IF($H400="UNIDADE CONSTRUTIVA",OFFSET(A400,-1,0)+1,LARGE(A$3:A399,1))</f>
        <v/>
      </c>
      <c r="B1183" s="34">
        <f>IF(H400="UNIDADE CONSTRUTIVA",0,IF(H400="CÉLULA CONSTRUTIVA",OFFSET(B400,-1,0)+1,OFFSET(B400,-1,0)))</f>
        <v/>
      </c>
      <c r="C1183" s="34">
        <f>IF(H400="CÉLULA CONSTRUTIVA",0,IF(H400="ETAPA",OFFSET(C400,-1,0)+1,OFFSET(C400,-1,0)))</f>
        <v/>
      </c>
      <c r="D1183" s="35">
        <f>IF(H400="ETAPA",0,IF(H400="SUBETAPA",OFFSET(D400,-1,0)+1,OFFSET(D400,-1,0)))</f>
        <v/>
      </c>
      <c r="E1183" s="35">
        <f>IF(H400="Subetapa",0,IF(H400="serviço",OFFSET(E400,-1,0)+1,OFFSET(E400,-1,0)))</f>
        <v/>
      </c>
      <c r="F1183" s="123" t="n"/>
      <c r="G1183" s="135" t="inlineStr">
        <is>
          <t>REVESTIMENTOS E ACABAMENTOS EM FACHADA</t>
        </is>
      </c>
      <c r="H1183" s="44" t="inlineStr">
        <is>
          <t>SERVIÇO</t>
        </is>
      </c>
      <c r="I1183" s="45">
        <f>IF(H400="Unidade Construtiva",TEXT(A400,"00"),IF(H400="Célula Construtiva",TEXT(B400,"00"),IF(H400="Etapa",CONCATENATE(TEXT(B400,"00"),".",TEXT(C400,"000")),IF(H400="Subetapa",CONCATENATE(TEXT(B400,"00"),".",TEXT(C400,"000"),".",TEXT(D400,"000")),IF(H400="Serviço",CONCATENATE(TEXT(B400,"00"),".",TEXT(C400,"000"),".",TEXT(D400,"000"),".",TEXT(E400,"000")),"")))))</f>
        <v/>
      </c>
      <c r="J1183" s="51" t="inlineStr">
        <is>
          <t>Emboço interno em argamassa estabilizada, espessura de 2,5cm, com execução de taliscas</t>
        </is>
      </c>
      <c r="K1183" s="47" t="inlineStr">
        <is>
          <t>m2</t>
        </is>
      </c>
      <c r="L1183" s="48">
        <f>'Arquitetura Visus'!D484+'Arquitetura Visus'!D486</f>
        <v/>
      </c>
      <c r="M1183" s="48">
        <f>_xlfn.XLOOKUP($J400,CPU!$D$1:$D$31540,CPU!$H$1:$H$31540)</f>
        <v/>
      </c>
      <c r="N1183" s="49">
        <f>IF(H400="Serviço",M400*L400,IF(H400="CÉLULA CONSTRUTIVA",SUMIFS($N$8:$N$754,$B$8:$B$754,B400,$H$8:$H$754,"Serviço"),IF(H400="ETAPA",SUMIFS($N$8:$N$754,$B$8:$B$754,B400,$C$8:$C$754,C400,$H$8:$H$754,"Serviço"),IF(H400="SUBETAPA",SUMIFS($N$8:$N$754,$B$8:$B$754,B400,$C$8:$C$754,C400,$D$8:$D$754,D400,$H$8:$H$754,"Serviço"),0))))</f>
        <v/>
      </c>
      <c r="O1183" s="50" t="n"/>
      <c r="P1183" s="134" t="n"/>
      <c r="Q1183" s="162" t="n"/>
      <c r="R1183" s="52" t="n"/>
      <c r="S1183" s="1" t="n"/>
      <c r="T1183" s="1" t="n"/>
      <c r="U1183" s="1" t="n"/>
      <c r="V1183" s="1" t="n"/>
      <c r="W1183" s="1" t="n"/>
      <c r="X1183" s="1" t="n"/>
      <c r="Y1183" s="1" t="n"/>
    </row>
    <row r="1184">
      <c r="A1184" s="34">
        <f>IF($H401="UNIDADE CONSTRUTIVA",OFFSET(A401,-1,0)+1,LARGE(A$3:A399,1))</f>
        <v/>
      </c>
      <c r="B1184" s="34">
        <f>IF(H401="UNIDADE CONSTRUTIVA",0,IF(H401="CÉLULA CONSTRUTIVA",OFFSET(B401,-1,0)+1,OFFSET(B401,-1,0)))</f>
        <v/>
      </c>
      <c r="C1184" s="34">
        <f>IF(H401="CÉLULA CONSTRUTIVA",0,IF(H401="ETAPA",OFFSET(C401,-1,0)+1,OFFSET(C401,-1,0)))</f>
        <v/>
      </c>
      <c r="D1184" s="35">
        <f>IF(H401="ETAPA",0,IF(H401="SUBETAPA",OFFSET(D401,-1,0)+1,OFFSET(D401,-1,0)))</f>
        <v/>
      </c>
      <c r="E1184" s="35">
        <f>IF(H401="Subetapa",0,IF(H401="serviço",OFFSET(E401,-1,0)+1,OFFSET(E401,-1,0)))</f>
        <v/>
      </c>
      <c r="F1184" s="123" t="n"/>
      <c r="G1184" s="135" t="inlineStr">
        <is>
          <t>REVESTIMENTOS E ACABAMENTOS EM FACHADA</t>
        </is>
      </c>
      <c r="H1184" s="44" t="inlineStr">
        <is>
          <t>SERVIÇO</t>
        </is>
      </c>
      <c r="I1184" s="45">
        <f>IF(H401="Unidade Construtiva",TEXT(A401,"00"),IF(H401="Célula Construtiva",TEXT(B401,"00"),IF(H401="Etapa",CONCATENATE(TEXT(B401,"00"),".",TEXT(C401,"000")),IF(H401="Subetapa",CONCATENATE(TEXT(B401,"00"),".",TEXT(C401,"000"),".",TEXT(D401,"000")),IF(H401="Serviço",CONCATENATE(TEXT(B401,"00"),".",TEXT(C401,"000"),".",TEXT(D401,"000"),".",TEXT(E401,"000")),"")))))</f>
        <v/>
      </c>
      <c r="J1184" s="51" t="inlineStr">
        <is>
          <t>Reboco interno em argamassa estabilizada, espessura de 0,5cm, com execução desempenado fino</t>
        </is>
      </c>
      <c r="K1184" s="47" t="inlineStr">
        <is>
          <t>m2</t>
        </is>
      </c>
      <c r="L1184" s="48">
        <f>'Arquitetura Visus'!D508</f>
        <v/>
      </c>
      <c r="M1184" s="48">
        <f>_xlfn.XLOOKUP($J401,CPU!$D$1:$D$31540,CPU!$H$1:$H$31540)</f>
        <v/>
      </c>
      <c r="N1184" s="49">
        <f>IF(H401="Serviço",M401*L401,IF(H401="CÉLULA CONSTRUTIVA",SUMIFS($N$8:$N$754,$B$8:$B$754,B401,$H$8:$H$754,"Serviço"),IF(H401="ETAPA",SUMIFS($N$8:$N$754,$B$8:$B$754,B401,$C$8:$C$754,C401,$H$8:$H$754,"Serviço"),IF(H401="SUBETAPA",SUMIFS($N$8:$N$754,$B$8:$B$754,B401,$C$8:$C$754,C401,$D$8:$D$754,D401,$H$8:$H$754,"Serviço"),0))))</f>
        <v/>
      </c>
      <c r="O1184" s="50" t="n"/>
      <c r="P1184" s="134" t="n"/>
      <c r="Q1184" s="162" t="n"/>
      <c r="R1184" s="52" t="n"/>
      <c r="S1184" s="1" t="n"/>
      <c r="T1184" s="1" t="n"/>
      <c r="U1184" s="1" t="n"/>
      <c r="V1184" s="1" t="n"/>
      <c r="W1184" s="1" t="n"/>
      <c r="X1184" s="1" t="n"/>
      <c r="Y1184" s="1" t="n"/>
    </row>
    <row r="1185">
      <c r="A1185" s="34">
        <f>IF($H402="UNIDADE CONSTRUTIVA",OFFSET(A402,-1,0)+1,LARGE(A$3:A401,1))</f>
        <v/>
      </c>
      <c r="B1185" s="34">
        <f>IF(H402="UNIDADE CONSTRUTIVA",0,IF(H402="CÉLULA CONSTRUTIVA",OFFSET(B402,-1,0)+1,OFFSET(B402,-1,0)))</f>
        <v/>
      </c>
      <c r="C1185" s="34">
        <f>IF(H402="CÉLULA CONSTRUTIVA",0,IF(H402="ETAPA",OFFSET(C402,-1,0)+1,OFFSET(C402,-1,0)))</f>
        <v/>
      </c>
      <c r="D1185" s="35">
        <f>IF(H402="ETAPA",0,IF(H402="SUBETAPA",OFFSET(D402,-1,0)+1,OFFSET(D402,-1,0)))</f>
        <v/>
      </c>
      <c r="E1185" s="35">
        <f>IF(H402="Subetapa",0,IF(H402="serviço",OFFSET(E402,-1,0)+1,OFFSET(E402,-1,0)))</f>
        <v/>
      </c>
      <c r="F1185" s="123" t="n"/>
      <c r="G1185" s="135" t="n"/>
      <c r="H1185" s="44" t="inlineStr">
        <is>
          <t>SUBETAPA</t>
        </is>
      </c>
      <c r="I1185" s="45">
        <f>IF(H402="Unidade Construtiva",TEXT(A402,"00"),IF(H402="Célula Construtiva",TEXT(B402,"00"),IF(H402="Etapa",CONCATENATE(TEXT(B402,"00"),".",TEXT(C402,"000")),IF(H402="Subetapa",CONCATENATE(TEXT(B402,"00"),".",TEXT(C402,"000"),".",TEXT(D402,"000")),IF(H402="Serviço",CONCATENATE(TEXT(B402,"00"),".",TEXT(C402,"000"),".",TEXT(D402,"000"),".",TEXT(E402,"000")),"")))))</f>
        <v/>
      </c>
      <c r="J1185" s="51" t="inlineStr">
        <is>
          <t>ACM e Leds em fachada</t>
        </is>
      </c>
      <c r="K1185" s="47" t="n"/>
      <c r="L1185" s="48" t="n"/>
      <c r="M1185" s="48" t="n"/>
      <c r="N1185" s="49">
        <f>IF(H402="Serviço",M402*L402,IF(H402="CÉLULA CONSTRUTIVA",SUMIFS($N$8:$N$754,$B$8:$B$754,B402,$H$8:$H$754,"Serviço"),IF(H402="ETAPA",SUMIFS($N$8:$N$754,$B$8:$B$754,B402,$C$8:$C$754,C402,$H$8:$H$754,"Serviço"),IF(H402="SUBETAPA",SUMIFS($N$8:$N$754,$B$8:$B$754,B402,$C$8:$C$754,C402,$D$8:$D$754,D402,$H$8:$H$754,"Serviço"),0))))</f>
        <v/>
      </c>
      <c r="O1185" s="50">
        <f>N402/CAPA!C$10</f>
        <v/>
      </c>
      <c r="P1185" s="134" t="n"/>
      <c r="Q1185" s="52" t="n"/>
      <c r="R1185" s="52" t="n"/>
      <c r="S1185" s="1" t="n"/>
      <c r="T1185" s="1" t="n"/>
      <c r="U1185" s="1" t="n"/>
      <c r="V1185" s="1" t="n"/>
      <c r="W1185" s="1" t="n"/>
      <c r="X1185" s="1" t="n"/>
      <c r="Y1185" s="1" t="n"/>
    </row>
    <row r="1186">
      <c r="A1186" s="34">
        <f>IF($H403="UNIDADE CONSTRUTIVA",OFFSET(A403,-1,0)+1,LARGE(A$3:A402,1))</f>
        <v/>
      </c>
      <c r="B1186" s="34">
        <f>IF(H403="UNIDADE CONSTRUTIVA",0,IF(H403="CÉLULA CONSTRUTIVA",OFFSET(B403,-1,0)+1,OFFSET(B403,-1,0)))</f>
        <v/>
      </c>
      <c r="C1186" s="34">
        <f>IF(H403="CÉLULA CONSTRUTIVA",0,IF(H403="ETAPA",OFFSET(C403,-1,0)+1,OFFSET(C403,-1,0)))</f>
        <v/>
      </c>
      <c r="D1186" s="35">
        <f>IF(H403="ETAPA",0,IF(H403="SUBETAPA",OFFSET(D403,-1,0)+1,OFFSET(D403,-1,0)))</f>
        <v/>
      </c>
      <c r="E1186" s="35">
        <f>IF(H403="Subetapa",0,IF(H403="serviço",OFFSET(E403,-1,0)+1,OFFSET(E403,-1,0)))</f>
        <v/>
      </c>
      <c r="F1186" s="123" t="n"/>
      <c r="G1186" s="135" t="inlineStr">
        <is>
          <t>REVESTIMENTOS E ACABAMENTOS EM FACHADA</t>
        </is>
      </c>
      <c r="H1186" s="44" t="inlineStr">
        <is>
          <t>SERVIÇO</t>
        </is>
      </c>
      <c r="I1186" s="45">
        <f>IF(H403="Unidade Construtiva",TEXT(A403,"00"),IF(H403="Célula Construtiva",TEXT(B403,"00"),IF(H403="Etapa",CONCATENATE(TEXT(B403,"00"),".",TEXT(C403,"000")),IF(H403="Subetapa",CONCATENATE(TEXT(B403,"00"),".",TEXT(C403,"000"),".",TEXT(D403,"000")),IF(H403="Serviço",CONCATENATE(TEXT(B403,"00"),".",TEXT(C403,"000"),".",TEXT(D403,"000"),".",TEXT(E403,"000")),"")))))</f>
        <v/>
      </c>
      <c r="J1186" s="161" t="inlineStr">
        <is>
          <t>Revestimento em ACM, cor bronze, aplicação em Fachada - Material e  Mão de Obra</t>
        </is>
      </c>
      <c r="K1186" s="47" t="inlineStr">
        <is>
          <t>m2</t>
        </is>
      </c>
      <c r="L1186" s="48">
        <f>SUM('Arquitetura Visus'!D470:D474)</f>
        <v/>
      </c>
      <c r="M1186" s="48">
        <f>_xlfn.XLOOKUP($J403,CPU!$D$1:$D$31540,CPU!$H$1:$H$31540)</f>
        <v/>
      </c>
      <c r="N1186" s="49">
        <f>IF(H403="Serviço",M403*L403,IF(H403="CÉLULA CONSTRUTIVA",SUMIFS($N$8:$N$754,$B$8:$B$754,B403,$H$8:$H$754,"Serviço"),IF(H403="ETAPA",SUMIFS($N$8:$N$754,$B$8:$B$754,B403,$C$8:$C$754,C403,$H$8:$H$754,"Serviço"),IF(H403="SUBETAPA",SUMIFS($N$8:$N$754,$B$8:$B$754,B403,$C$8:$C$754,C403,$D$8:$D$754,D403,$H$8:$H$754,"Serviço"),0))))</f>
        <v/>
      </c>
      <c r="O1186" s="50" t="n"/>
      <c r="P1186" s="134" t="n"/>
      <c r="Q1186" s="52" t="n"/>
      <c r="R1186" s="52" t="n"/>
      <c r="S1186" s="1" t="n"/>
      <c r="T1186" s="1" t="n"/>
      <c r="U1186" s="1" t="n"/>
      <c r="V1186" s="1" t="n"/>
      <c r="W1186" s="1" t="n"/>
      <c r="X1186" s="1" t="n"/>
      <c r="Y1186" s="1" t="n"/>
    </row>
    <row r="1187">
      <c r="A1187" s="34">
        <f>IF($H404="UNIDADE CONSTRUTIVA",OFFSET(A404,-1,0)+1,LARGE(A$3:A403,1))</f>
        <v/>
      </c>
      <c r="B1187" s="34">
        <f>IF(H404="UNIDADE CONSTRUTIVA",0,IF(H404="CÉLULA CONSTRUTIVA",OFFSET(B404,-1,0)+1,OFFSET(B404,-1,0)))</f>
        <v/>
      </c>
      <c r="C1187" s="34">
        <f>IF(H404="CÉLULA CONSTRUTIVA",0,IF(H404="ETAPA",OFFSET(C404,-1,0)+1,OFFSET(C404,-1,0)))</f>
        <v/>
      </c>
      <c r="D1187" s="35">
        <f>IF(H404="ETAPA",0,IF(H404="SUBETAPA",OFFSET(D404,-1,0)+1,OFFSET(D404,-1,0)))</f>
        <v/>
      </c>
      <c r="E1187" s="35">
        <f>IF(H404="Subetapa",0,IF(H404="serviço",OFFSET(E404,-1,0)+1,OFFSET(E404,-1,0)))</f>
        <v/>
      </c>
      <c r="F1187" s="123" t="n"/>
      <c r="G1187" s="135" t="inlineStr">
        <is>
          <t>REVESTIMENTOS E ACABAMENTOS EM FACHADA</t>
        </is>
      </c>
      <c r="H1187" s="44" t="inlineStr">
        <is>
          <t>SERVIÇO</t>
        </is>
      </c>
      <c r="I1187" s="45">
        <f>IF(H404="Unidade Construtiva",TEXT(A404,"00"),IF(H404="Célula Construtiva",TEXT(B404,"00"),IF(H404="Etapa",CONCATENATE(TEXT(B404,"00"),".",TEXT(C404,"000")),IF(H404="Subetapa",CONCATENATE(TEXT(B404,"00"),".",TEXT(C404,"000"),".",TEXT(D404,"000")),IF(H404="Serviço",CONCATENATE(TEXT(B404,"00"),".",TEXT(C404,"000"),".",TEXT(D404,"000"),".",TEXT(E404,"000")),"")))))</f>
        <v/>
      </c>
      <c r="J1187" s="161" t="inlineStr">
        <is>
          <t>Instalação de leds em fachada</t>
        </is>
      </c>
      <c r="K1187" s="47" t="inlineStr">
        <is>
          <t>m</t>
        </is>
      </c>
      <c r="L1187" s="48">
        <f>SUM(CAPA!G23:G38)*5+SUM(CAPA!F23:F41)/3</f>
        <v/>
      </c>
      <c r="M1187" s="48" t="n">
        <v>800</v>
      </c>
      <c r="N1187" s="49">
        <f>IF(H404="Serviço",M404*L404,IF(H404="CÉLULA CONSTRUTIVA",SUMIFS($N$8:$N$754,$B$8:$B$754,B404,$H$8:$H$754,"Serviço"),IF(H404="ETAPA",SUMIFS($N$8:$N$754,$B$8:$B$754,B404,$C$8:$C$754,C404,$H$8:$H$754,"Serviço"),IF(H404="SUBETAPA",SUMIFS($N$8:$N$754,$B$8:$B$754,B404,$C$8:$C$754,C404,$D$8:$D$754,D404,$H$8:$H$754,"Serviço"),0))))</f>
        <v/>
      </c>
      <c r="O1187" s="50" t="inlineStr">
        <is>
          <t>Estimativa com base na imagem comercial</t>
        </is>
      </c>
      <c r="P1187" s="134" t="n"/>
      <c r="Q1187" s="52" t="n"/>
      <c r="R1187" s="52" t="n"/>
      <c r="S1187" s="1" t="n"/>
      <c r="T1187" s="1" t="n"/>
      <c r="U1187" s="1" t="n"/>
      <c r="V1187" s="1" t="n"/>
      <c r="W1187" s="1" t="n"/>
      <c r="X1187" s="1" t="n"/>
      <c r="Y1187" s="1" t="n"/>
    </row>
    <row r="1188">
      <c r="A1188" s="34">
        <f>IF($H405="UNIDADE CONSTRUTIVA",OFFSET(A405,-1,0)+1,LARGE(A$3:A399,1))</f>
        <v/>
      </c>
      <c r="B1188" s="34">
        <f>IF(H405="UNIDADE CONSTRUTIVA",0,IF(H405="CÉLULA CONSTRUTIVA",OFFSET(B405,-1,0)+1,OFFSET(B405,-1,0)))</f>
        <v/>
      </c>
      <c r="C1188" s="34">
        <f>IF(H405="CÉLULA CONSTRUTIVA",0,IF(H405="ETAPA",OFFSET(C405,-1,0)+1,OFFSET(C405,-1,0)))</f>
        <v/>
      </c>
      <c r="D1188" s="35">
        <f>IF(H405="ETAPA",0,IF(H405="SUBETAPA",OFFSET(D405,-1,0)+1,OFFSET(D405,-1,0)))</f>
        <v/>
      </c>
      <c r="E1188" s="35">
        <f>IF(H405="Subetapa",0,IF(H405="serviço",OFFSET(E405,-1,0)+1,OFFSET(E405,-1,0)))</f>
        <v/>
      </c>
      <c r="F1188" s="123" t="n"/>
      <c r="G1188" s="135" t="n"/>
      <c r="H1188" s="44" t="inlineStr">
        <is>
          <t>SUBETAPA</t>
        </is>
      </c>
      <c r="I1188" s="45">
        <f>IF(H405="Unidade Construtiva",TEXT(A405,"00"),IF(H405="Célula Construtiva",TEXT(B405,"00"),IF(H405="Etapa",CONCATENATE(TEXT(B405,"00"),".",TEXT(C405,"000")),IF(H405="Subetapa",CONCATENATE(TEXT(B405,"00"),".",TEXT(C405,"000"),".",TEXT(D405,"000")),IF(H405="Serviço",CONCATENATE(TEXT(B405,"00"),".",TEXT(C405,"000"),".",TEXT(D405,"000"),".",TEXT(E405,"000")),"")))))</f>
        <v/>
      </c>
      <c r="J1188" s="161" t="inlineStr">
        <is>
          <t>Tratamentos de fachada</t>
        </is>
      </c>
      <c r="K1188" s="47" t="n"/>
      <c r="L1188" s="48" t="n"/>
      <c r="M1188" s="48" t="n"/>
      <c r="N1188" s="49">
        <f>IF(H405="Serviço",M405*L405,IF(H405="CÉLULA CONSTRUTIVA",SUMIFS($N$8:$N$754,$B$8:$B$754,B405,$H$8:$H$754,"Serviço"),IF(H405="ETAPA",SUMIFS($N$8:$N$754,$B$8:$B$754,B405,$C$8:$C$754,C405,$H$8:$H$754,"Serviço"),IF(H405="SUBETAPA",SUMIFS($N$8:$N$754,$B$8:$B$754,B405,$C$8:$C$754,C405,$D$8:$D$754,D405,$H$8:$H$754,"Serviço"),0))))</f>
        <v/>
      </c>
      <c r="O1188" s="50">
        <f>N405/CAPA!C$10</f>
        <v/>
      </c>
      <c r="P1188" s="134" t="n"/>
      <c r="Q1188" s="52" t="n"/>
      <c r="R1188" s="52" t="n"/>
      <c r="S1188" s="1" t="n"/>
      <c r="T1188" s="1" t="n"/>
      <c r="U1188" s="1" t="n"/>
      <c r="V1188" s="1" t="n"/>
      <c r="W1188" s="1" t="n"/>
      <c r="X1188" s="1" t="n"/>
      <c r="Y1188" s="1" t="n"/>
    </row>
    <row r="1189">
      <c r="A1189" s="34">
        <f>IF($H406="UNIDADE CONSTRUTIVA",OFFSET(A406,-1,0)+1,LARGE(A$3:A405,1))</f>
        <v/>
      </c>
      <c r="B1189" s="34">
        <f>IF(H406="UNIDADE CONSTRUTIVA",0,IF(H406="CÉLULA CONSTRUTIVA",OFFSET(B406,-1,0)+1,OFFSET(B406,-1,0)))</f>
        <v/>
      </c>
      <c r="C1189" s="34">
        <f>IF(H406="CÉLULA CONSTRUTIVA",0,IF(H406="ETAPA",OFFSET(C406,-1,0)+1,OFFSET(C406,-1,0)))</f>
        <v/>
      </c>
      <c r="D1189" s="35">
        <f>IF(H406="ETAPA",0,IF(H406="SUBETAPA",OFFSET(D406,-1,0)+1,OFFSET(D406,-1,0)))</f>
        <v/>
      </c>
      <c r="E1189" s="35">
        <f>IF(H406="Subetapa",0,IF(H406="serviço",OFFSET(E406,-1,0)+1,OFFSET(E406,-1,0)))</f>
        <v/>
      </c>
      <c r="F1189" s="123" t="n"/>
      <c r="G1189" s="135" t="inlineStr">
        <is>
          <t>REVESTIMENTOS E ACABAMENTOS EM FACHADA</t>
        </is>
      </c>
      <c r="H1189" s="44" t="inlineStr">
        <is>
          <t>SERVIÇO</t>
        </is>
      </c>
      <c r="I1189" s="45">
        <f>IF(H406="Unidade Construtiva",TEXT(A406,"00"),IF(H406="Célula Construtiva",TEXT(B406,"00"),IF(H406="Etapa",CONCATENATE(TEXT(B406,"00"),".",TEXT(C406,"000")),IF(H406="Subetapa",CONCATENATE(TEXT(B406,"00"),".",TEXT(C406,"000"),".",TEXT(D406,"000")),IF(H406="Serviço",CONCATENATE(TEXT(B406,"00"),".",TEXT(C406,"000"),".",TEXT(D406,"000"),".",TEXT(E406,"000")),"")))))</f>
        <v/>
      </c>
      <c r="J1189" s="161" t="inlineStr">
        <is>
          <t>Friso horizontal no emboço da fachada</t>
        </is>
      </c>
      <c r="K1189" s="47" t="inlineStr">
        <is>
          <t>m</t>
        </is>
      </c>
      <c r="L1189" s="48">
        <f>SUM(CAPA!F20:F41)</f>
        <v/>
      </c>
      <c r="M1189" s="48" t="n">
        <v>30</v>
      </c>
      <c r="N1189" s="49">
        <f>IF(H406="Serviço",M406*L406,IF(H406="CÉLULA CONSTRUTIVA",SUMIFS($N$8:$N$754,$B$8:$B$754,B406,$H$8:$H$754,"Serviço"),IF(H406="ETAPA",SUMIFS($N$8:$N$754,$B$8:$B$754,B406,$C$8:$C$754,C406,$H$8:$H$754,"Serviço"),IF(H406="SUBETAPA",SUMIFS($N$8:$N$754,$B$8:$B$754,B406,$C$8:$C$754,C406,$D$8:$D$754,D406,$H$8:$H$754,"Serviço"),0))))</f>
        <v/>
      </c>
      <c r="O1189" s="50" t="inlineStr">
        <is>
          <t>A cada pavimento</t>
        </is>
      </c>
      <c r="P1189" s="134" t="n"/>
      <c r="Q1189" s="52" t="n"/>
      <c r="R1189" s="52" t="n"/>
      <c r="S1189" s="1" t="n"/>
      <c r="T1189" s="1" t="n"/>
      <c r="U1189" s="1" t="n"/>
      <c r="V1189" s="1" t="n"/>
      <c r="W1189" s="1" t="n"/>
      <c r="X1189" s="1" t="n"/>
      <c r="Y1189" s="1" t="n"/>
    </row>
    <row r="1190">
      <c r="A1190" s="34">
        <f>IF($H407="UNIDADE CONSTRUTIVA",OFFSET(A407,-1,0)+1,LARGE(A$3:A401,1))</f>
        <v/>
      </c>
      <c r="B1190" s="34">
        <f>IF(H407="UNIDADE CONSTRUTIVA",0,IF(H407="CÉLULA CONSTRUTIVA",OFFSET(B407,-1,0)+1,OFFSET(B407,-1,0)))</f>
        <v/>
      </c>
      <c r="C1190" s="34">
        <f>IF(H407="CÉLULA CONSTRUTIVA",0,IF(H407="ETAPA",OFFSET(C407,-1,0)+1,OFFSET(C407,-1,0)))</f>
        <v/>
      </c>
      <c r="D1190" s="35">
        <f>IF(H407="ETAPA",0,IF(H407="SUBETAPA",OFFSET(D407,-1,0)+1,OFFSET(D407,-1,0)))</f>
        <v/>
      </c>
      <c r="E1190" s="35">
        <f>IF(H407="Subetapa",0,IF(H407="serviço",OFFSET(E407,-1,0)+1,OFFSET(E407,-1,0)))</f>
        <v/>
      </c>
      <c r="F1190" s="123" t="n"/>
      <c r="G1190" s="135" t="n"/>
      <c r="H1190" s="44" t="inlineStr">
        <is>
          <t>SUBETAPA</t>
        </is>
      </c>
      <c r="I1190" s="45">
        <f>IF(H407="Unidade Construtiva",TEXT(A407,"00"),IF(H407="Célula Construtiva",TEXT(B407,"00"),IF(H407="Etapa",CONCATENATE(TEXT(B407,"00"),".",TEXT(C407,"000")),IF(H407="Subetapa",CONCATENATE(TEXT(B407,"00"),".",TEXT(C407,"000"),".",TEXT(D407,"000")),IF(H407="Serviço",CONCATENATE(TEXT(B407,"00"),".",TEXT(C407,"000"),".",TEXT(D407,"000"),".",TEXT(E407,"000")),"")))))</f>
        <v/>
      </c>
      <c r="J1190" s="161" t="inlineStr">
        <is>
          <t xml:space="preserve">Mão de obra </t>
        </is>
      </c>
      <c r="K1190" s="47" t="n"/>
      <c r="L1190" s="48" t="n"/>
      <c r="M1190" s="48" t="n"/>
      <c r="N1190" s="49">
        <f>IF(H407="Serviço",M407*L407,IF(H407="CÉLULA CONSTRUTIVA",SUMIFS($N$8:$N$754,$B$8:$B$754,B407,$H$8:$H$754,"Serviço"),IF(H407="ETAPA",SUMIFS($N$8:$N$754,$B$8:$B$754,B407,$C$8:$C$754,C407,$H$8:$H$754,"Serviço"),IF(H407="SUBETAPA",SUMIFS($N$8:$N$754,$B$8:$B$754,B407,$C$8:$C$754,C407,$D$8:$D$754,D407,$H$8:$H$754,"Serviço"),0))))</f>
        <v/>
      </c>
      <c r="O1190" s="50">
        <f>N407/CAPA!C$10</f>
        <v/>
      </c>
      <c r="P1190" s="134" t="n"/>
      <c r="Q1190" s="52" t="n"/>
      <c r="R1190" s="52" t="n"/>
      <c r="S1190" s="1" t="n"/>
      <c r="T1190" s="1" t="n"/>
      <c r="U1190" s="1" t="n"/>
      <c r="V1190" s="1" t="n"/>
      <c r="W1190" s="1" t="n"/>
      <c r="X1190" s="1" t="n"/>
      <c r="Y1190" s="1" t="n"/>
    </row>
    <row r="1191">
      <c r="A1191" s="34">
        <f>IF($H408="UNIDADE CONSTRUTIVA",OFFSET(A408,-1,0)+1,LARGE(A$3:A407,1))</f>
        <v/>
      </c>
      <c r="B1191" s="34">
        <f>IF(H408="UNIDADE CONSTRUTIVA",0,IF(H408="CÉLULA CONSTRUTIVA",OFFSET(B408,-1,0)+1,OFFSET(B408,-1,0)))</f>
        <v/>
      </c>
      <c r="C1191" s="34">
        <f>IF(H408="CÉLULA CONSTRUTIVA",0,IF(H408="ETAPA",OFFSET(C408,-1,0)+1,OFFSET(C408,-1,0)))</f>
        <v/>
      </c>
      <c r="D1191" s="35">
        <f>IF(H408="ETAPA",0,IF(H408="SUBETAPA",OFFSET(D408,-1,0)+1,OFFSET(D408,-1,0)))</f>
        <v/>
      </c>
      <c r="E1191" s="35">
        <f>IF(H408="Subetapa",0,IF(H408="serviço",OFFSET(E408,-1,0)+1,OFFSET(E408,-1,0)))</f>
        <v/>
      </c>
      <c r="F1191" s="123" t="n"/>
      <c r="G1191" s="135" t="inlineStr">
        <is>
          <t>REVESTIMENTOS E ACABAMENTOS EM FACHADA</t>
        </is>
      </c>
      <c r="H1191" s="44" t="inlineStr">
        <is>
          <t>SERVIÇO</t>
        </is>
      </c>
      <c r="I1191" s="45">
        <f>IF(H408="Unidade Construtiva",TEXT(A408,"00"),IF(H408="Célula Construtiva",TEXT(B408,"00"),IF(H408="Etapa",CONCATENATE(TEXT(B408,"00"),".",TEXT(C408,"000")),IF(H408="Subetapa",CONCATENATE(TEXT(B408,"00"),".",TEXT(C408,"000"),".",TEXT(D408,"000")),IF(H408="Serviço",CONCATENATE(TEXT(B408,"00"),".",TEXT(C408,"000"),".",TEXT(D408,"000"),".",TEXT(E408,"000")),"")))))</f>
        <v/>
      </c>
      <c r="J1191" s="161" t="inlineStr">
        <is>
          <t>Mao de obra para reboco externo - inclui chapisco</t>
        </is>
      </c>
      <c r="K1191" s="47" t="inlineStr">
        <is>
          <t>m2</t>
        </is>
      </c>
      <c r="L1191" s="48">
        <f>'Arquitetura Visus'!D510</f>
        <v/>
      </c>
      <c r="M1191" s="48">
        <f>_xlfn.XLOOKUP($J408,CPU!$D$1:$D$31540,CPU!$H$1:$H$31540)</f>
        <v/>
      </c>
      <c r="N1191" s="49">
        <f>IF(H408="Serviço",M408*L408,IF(H408="CÉLULA CONSTRUTIVA",SUMIFS($N$8:$N$754,$B$8:$B$754,B408,$H$8:$H$754,"Serviço"),IF(H408="ETAPA",SUMIFS($N$8:$N$754,$B$8:$B$754,B408,$C$8:$C$754,C408,$H$8:$H$754,"Serviço"),IF(H408="SUBETAPA",SUMIFS($N$8:$N$754,$B$8:$B$754,B408,$C$8:$C$754,C408,$D$8:$D$754,D408,$H$8:$H$754,"Serviço"),0))))</f>
        <v/>
      </c>
      <c r="O1191" s="50" t="n"/>
      <c r="P1191" s="134" t="n"/>
      <c r="Q1191" s="52" t="n"/>
      <c r="R1191" s="52" t="n"/>
      <c r="S1191" s="1" t="n"/>
      <c r="T1191" s="1" t="n"/>
      <c r="U1191" s="1" t="n"/>
      <c r="V1191" s="1" t="n"/>
      <c r="W1191" s="1" t="n"/>
      <c r="X1191" s="1" t="n"/>
      <c r="Y1191" s="1" t="n"/>
    </row>
    <row r="1192">
      <c r="A1192" s="34">
        <f>IF($H409="UNIDADE CONSTRUTIVA",OFFSET(A409,-1,0)+1,LARGE(A$3:A357,1))</f>
        <v/>
      </c>
      <c r="B1192" s="34">
        <f>IF(H409="UNIDADE CONSTRUTIVA",0,IF(H409="CÉLULA CONSTRUTIVA",OFFSET(B409,-1,0)+1,OFFSET(B409,-1,0)))</f>
        <v/>
      </c>
      <c r="C1192" s="34">
        <f>IF(H409="CÉLULA CONSTRUTIVA",0,IF(H409="ETAPA",OFFSET(C409,-1,0)+1,OFFSET(C409,-1,0)))</f>
        <v/>
      </c>
      <c r="D1192" s="35">
        <f>IF(H409="ETAPA",0,IF(H409="SUBETAPA",OFFSET(D409,-1,0)+1,OFFSET(D409,-1,0)))</f>
        <v/>
      </c>
      <c r="E1192" s="35">
        <f>IF(H409="Subetapa",0,IF(H409="serviço",OFFSET(E409,-1,0)+1,OFFSET(E409,-1,0)))</f>
        <v/>
      </c>
      <c r="F1192" s="123" t="n"/>
      <c r="G1192" s="135" t="n"/>
      <c r="H1192" s="44" t="inlineStr">
        <is>
          <t>ETAPA</t>
        </is>
      </c>
      <c r="I1192" s="45">
        <f>IF(H409="Unidade Construtiva",TEXT(A409,"00"),IF(H409="Célula Construtiva",TEXT(B409,"00"),IF(H409="Etapa",CONCATENATE(TEXT(B409,"00"),".",TEXT(C409,"000")),IF(H409="Subetapa",CONCATENATE(TEXT(B409,"00"),".",TEXT(C409,"000"),".",TEXT(D409,"000")),IF(H409="Serviço",CONCATENATE(TEXT(B409,"00"),".",TEXT(C409,"000"),".",TEXT(D409,"000"),".",TEXT(E409,"000")),"")))))</f>
        <v/>
      </c>
      <c r="J1192" s="51" t="inlineStr">
        <is>
          <t>PINTURA FACHADA</t>
        </is>
      </c>
      <c r="K1192" s="47" t="n"/>
      <c r="L1192" s="48" t="n"/>
      <c r="M1192" s="48" t="n"/>
      <c r="N1192" s="49">
        <f>IF(H409="Serviço",M409*L409,IF(H409="CÉLULA CONSTRUTIVA",SUMIFS($N$8:$N$754,$B$8:$B$754,B409,$H$8:$H$754,"Serviço"),IF(H409="ETAPA",SUMIFS($N$8:$N$754,$B$8:$B$754,B409,$C$8:$C$754,C409,$H$8:$H$754,"Serviço"),IF(H409="SUBETAPA",SUMIFS($N$8:$N$754,$B$8:$B$754,B409,$C$8:$C$754,C409,$D$8:$D$754,D409,$H$8:$H$754,"Serviço"),0))))</f>
        <v/>
      </c>
      <c r="O1192" s="50">
        <f>N409/CAPA!C$10</f>
        <v/>
      </c>
      <c r="P1192" s="134" t="n"/>
      <c r="Q1192" s="52" t="n"/>
      <c r="R1192" s="52" t="n"/>
      <c r="S1192" s="1" t="n"/>
      <c r="T1192" s="1" t="n"/>
      <c r="U1192" s="1" t="n"/>
      <c r="V1192" s="1" t="n"/>
      <c r="W1192" s="1" t="n"/>
      <c r="X1192" s="1" t="n"/>
      <c r="Y1192" s="1" t="n"/>
    </row>
    <row r="1193">
      <c r="A1193" s="34">
        <f>IF($H410="UNIDADE CONSTRUTIVA",OFFSET(A410,-1,0)+1,LARGE(A$3:A409,1))</f>
        <v/>
      </c>
      <c r="B1193" s="34">
        <f>IF(H410="UNIDADE CONSTRUTIVA",0,IF(H410="CÉLULA CONSTRUTIVA",OFFSET(B410,-1,0)+1,OFFSET(B410,-1,0)))</f>
        <v/>
      </c>
      <c r="C1193" s="34">
        <f>IF(H410="CÉLULA CONSTRUTIVA",0,IF(H410="ETAPA",OFFSET(C410,-1,0)+1,OFFSET(C410,-1,0)))</f>
        <v/>
      </c>
      <c r="D1193" s="35">
        <f>IF(H410="ETAPA",0,IF(H410="SUBETAPA",OFFSET(D410,-1,0)+1,OFFSET(D410,-1,0)))</f>
        <v/>
      </c>
      <c r="E1193" s="35">
        <f>IF(H410="Subetapa",0,IF(H410="serviço",OFFSET(E410,-1,0)+1,OFFSET(E410,-1,0)))</f>
        <v/>
      </c>
      <c r="F1193" s="123" t="n"/>
      <c r="G1193" s="135" t="n"/>
      <c r="H1193" s="44" t="inlineStr">
        <is>
          <t>SUBETAPA</t>
        </is>
      </c>
      <c r="I1193" s="45">
        <f>IF(H410="Unidade Construtiva",TEXT(A410,"00"),IF(H410="Célula Construtiva",TEXT(B410,"00"),IF(H410="Etapa",CONCATENATE(TEXT(B410,"00"),".",TEXT(C410,"000")),IF(H410="Subetapa",CONCATENATE(TEXT(B410,"00"),".",TEXT(C410,"000"),".",TEXT(D410,"000")),IF(H410="Serviço",CONCATENATE(TEXT(B410,"00"),".",TEXT(C410,"000"),".",TEXT(D410,"000"),".",TEXT(E410,"000")),"")))))</f>
        <v/>
      </c>
      <c r="J1193" s="51" t="inlineStr">
        <is>
          <t>Pintura e textura em fachada</t>
        </is>
      </c>
      <c r="K1193" s="47" t="n"/>
      <c r="L1193" s="48" t="n"/>
      <c r="M1193" s="48" t="n"/>
      <c r="N1193" s="49">
        <f>IF(H410="Serviço",M410*L410,IF(H410="CÉLULA CONSTRUTIVA",SUMIFS($N$8:$N$754,$B$8:$B$754,B410,$H$8:$H$754,"Serviço"),IF(H410="ETAPA",SUMIFS($N$8:$N$754,$B$8:$B$754,B410,$C$8:$C$754,C410,$H$8:$H$754,"Serviço"),IF(H410="SUBETAPA",SUMIFS($N$8:$N$754,$B$8:$B$754,B410,$C$8:$C$754,C410,$D$8:$D$754,D410,$H$8:$H$754,"Serviço"),0))))</f>
        <v/>
      </c>
      <c r="O1193" s="50">
        <f>N410/CAPA!C$10</f>
        <v/>
      </c>
      <c r="P1193" s="134" t="n"/>
      <c r="Q1193" s="52" t="n"/>
      <c r="R1193" s="52" t="n"/>
      <c r="S1193" s="1" t="n"/>
      <c r="T1193" s="1" t="n"/>
      <c r="U1193" s="1" t="n"/>
      <c r="V1193" s="1" t="n"/>
      <c r="W1193" s="1" t="n"/>
      <c r="X1193" s="1" t="n"/>
      <c r="Y1193" s="1" t="n"/>
    </row>
    <row r="1194">
      <c r="A1194" s="34">
        <f>IF($H411="UNIDADE CONSTRUTIVA",OFFSET(A411,-1,0)+1,LARGE(A$3:A410,1))</f>
        <v/>
      </c>
      <c r="B1194" s="34">
        <f>IF(H411="UNIDADE CONSTRUTIVA",0,IF(H411="CÉLULA CONSTRUTIVA",OFFSET(B411,-1,0)+1,OFFSET(B411,-1,0)))</f>
        <v/>
      </c>
      <c r="C1194" s="34">
        <f>IF(H411="CÉLULA CONSTRUTIVA",0,IF(H411="ETAPA",OFFSET(C411,-1,0)+1,OFFSET(C411,-1,0)))</f>
        <v/>
      </c>
      <c r="D1194" s="35">
        <f>IF(H411="ETAPA",0,IF(H411="SUBETAPA",OFFSET(D411,-1,0)+1,OFFSET(D411,-1,0)))</f>
        <v/>
      </c>
      <c r="E1194" s="35">
        <f>IF(H411="Subetapa",0,IF(H411="serviço",OFFSET(E411,-1,0)+1,OFFSET(E411,-1,0)))</f>
        <v/>
      </c>
      <c r="F1194" s="123" t="n"/>
      <c r="G1194" s="135" t="inlineStr">
        <is>
          <t>REVESTIMENTOS E ACABAMENTOS EM FACHADA</t>
        </is>
      </c>
      <c r="H1194" s="44" t="inlineStr">
        <is>
          <t>SERVIÇO</t>
        </is>
      </c>
      <c r="I1194" s="45">
        <f>IF(H411="Unidade Construtiva",TEXT(A411,"00"),IF(H411="Célula Construtiva",TEXT(B411,"00"),IF(H411="Etapa",CONCATENATE(TEXT(B411,"00"),".",TEXT(C411,"000")),IF(H411="Subetapa",CONCATENATE(TEXT(B411,"00"),".",TEXT(C411,"000"),".",TEXT(D411,"000")),IF(H411="Serviço",CONCATENATE(TEXT(B411,"00"),".",TEXT(C411,"000"),".",TEXT(D411,"000"),".",TEXT(E411,"000")),"")))))</f>
        <v/>
      </c>
      <c r="J1194" s="161" t="inlineStr">
        <is>
          <t>Textura acrílica, acabamento suave, aplicação em paredes externas - 1 demão - Tranquilidade (incluso selador e pintura)</t>
        </is>
      </c>
      <c r="K1194" s="47" t="inlineStr">
        <is>
          <t>m2</t>
        </is>
      </c>
      <c r="L1194" s="48">
        <f>'Arquitetura Visus'!D498+'Arquitetura Visus'!D499+'Arquitetura Visus'!D500+'Arquitetura Visus'!D501</f>
        <v/>
      </c>
      <c r="M1194" s="48">
        <f>_xlfn.XLOOKUP($J411,CPU!$D$1:$D$31540,CPU!$H$1:$H$31540)</f>
        <v/>
      </c>
      <c r="N1194" s="49">
        <f>IF(H411="Serviço",M411*L411,IF(H411="CÉLULA CONSTRUTIVA",SUMIFS($N$8:$N$754,$B$8:$B$754,B411,$H$8:$H$754,"Serviço"),IF(H411="ETAPA",SUMIFS($N$8:$N$754,$B$8:$B$754,B411,$C$8:$C$754,C411,$H$8:$H$754,"Serviço"),IF(H411="SUBETAPA",SUMIFS($N$8:$N$754,$B$8:$B$754,B411,$C$8:$C$754,C411,$D$8:$D$754,D411,$H$8:$H$754,"Serviço"),0))))</f>
        <v/>
      </c>
      <c r="O1194" s="50" t="inlineStr">
        <is>
          <t>Paredes e placas cimentícias dos forros das sacadas</t>
        </is>
      </c>
      <c r="P1194" s="136" t="n"/>
      <c r="Q1194" s="52" t="n"/>
      <c r="R1194" s="52" t="n"/>
      <c r="S1194" s="1" t="n"/>
      <c r="T1194" s="1" t="n"/>
      <c r="U1194" s="1" t="n"/>
      <c r="V1194" s="1" t="n"/>
      <c r="W1194" s="1" t="n"/>
      <c r="X1194" s="1" t="n"/>
      <c r="Y1194" s="1" t="n"/>
    </row>
    <row r="1195">
      <c r="A1195" s="34">
        <f>IF($H412="UNIDADE CONSTRUTIVA",OFFSET(A412,-1,0)+1,LARGE(A$3:A411,1))</f>
        <v/>
      </c>
      <c r="B1195" s="34">
        <f>IF(H412="UNIDADE CONSTRUTIVA",0,IF(H412="CÉLULA CONSTRUTIVA",OFFSET(B412,-1,0)+1,OFFSET(B412,-1,0)))</f>
        <v/>
      </c>
      <c r="C1195" s="34">
        <f>IF(H412="CÉLULA CONSTRUTIVA",0,IF(H412="ETAPA",OFFSET(C412,-1,0)+1,OFFSET(C412,-1,0)))</f>
        <v/>
      </c>
      <c r="D1195" s="35">
        <f>IF(H412="ETAPA",0,IF(H412="SUBETAPA",OFFSET(D412,-1,0)+1,OFFSET(D412,-1,0)))</f>
        <v/>
      </c>
      <c r="E1195" s="35">
        <f>IF(H412="Subetapa",0,IF(H412="serviço",OFFSET(E412,-1,0)+1,OFFSET(E412,-1,0)))</f>
        <v/>
      </c>
      <c r="F1195" s="123" t="n"/>
      <c r="G1195" s="135" t="inlineStr">
        <is>
          <t>REVESTIMENTOS E ACABAMENTOS EM FACHADA</t>
        </is>
      </c>
      <c r="H1195" s="44" t="inlineStr">
        <is>
          <t>SERVIÇO</t>
        </is>
      </c>
      <c r="I1195" s="45">
        <f>IF(H412="Unidade Construtiva",TEXT(A412,"00"),IF(H412="Célula Construtiva",TEXT(B412,"00"),IF(H412="Etapa",CONCATENATE(TEXT(B412,"00"),".",TEXT(C412,"000")),IF(H412="Subetapa",CONCATENATE(TEXT(B412,"00"),".",TEXT(C412,"000"),".",TEXT(D412,"000")),IF(H412="Serviço",CONCATENATE(TEXT(B412,"00"),".",TEXT(C412,"000"),".",TEXT(D412,"000"),".",TEXT(E412,"000")),"")))))</f>
        <v/>
      </c>
      <c r="J1195" s="161" t="inlineStr">
        <is>
          <t>Textura acrílica, acabamento suave, aplicação em paredes externas - 1 demão - Carvão mineral (incluso selador e pintura)</t>
        </is>
      </c>
      <c r="K1195" s="47" t="inlineStr">
        <is>
          <t>m2</t>
        </is>
      </c>
      <c r="L1195" s="48">
        <f>'Arquitetura Visus'!D494+'Arquitetura Visus'!D495+'Arquitetura Visus'!D496+'Arquitetura Visus'!D497</f>
        <v/>
      </c>
      <c r="M1195" s="48">
        <f>_xlfn.XLOOKUP($J412,CPU!$D$1:$D$31540,CPU!$H$1:$H$31540)</f>
        <v/>
      </c>
      <c r="N1195" s="49">
        <f>IF(H412="Serviço",M412*L412,IF(H412="CÉLULA CONSTRUTIVA",SUMIFS($N$8:$N$754,$B$8:$B$754,B412,$H$8:$H$754,"Serviço"),IF(H412="ETAPA",SUMIFS($N$8:$N$754,$B$8:$B$754,B412,$C$8:$C$754,C412,$H$8:$H$754,"Serviço"),IF(H412="SUBETAPA",SUMIFS($N$8:$N$754,$B$8:$B$754,B412,$C$8:$C$754,C412,$D$8:$D$754,D412,$H$8:$H$754,"Serviço"),0))))</f>
        <v/>
      </c>
      <c r="O1195" s="50" t="n"/>
      <c r="P1195" s="134" t="n"/>
      <c r="Q1195" s="52" t="n"/>
      <c r="R1195" s="52" t="n"/>
      <c r="S1195" s="1" t="n"/>
      <c r="T1195" s="1" t="n"/>
      <c r="U1195" s="1" t="n"/>
      <c r="V1195" s="1" t="n"/>
      <c r="W1195" s="1" t="n"/>
      <c r="X1195" s="1" t="n"/>
      <c r="Y1195" s="1" t="n"/>
    </row>
    <row r="1196">
      <c r="A1196" s="34">
        <f>IF($H413="UNIDADE CONSTRUTIVA",OFFSET(A413,-1,0)+1,LARGE(A$3:A412,1))</f>
        <v/>
      </c>
      <c r="B1196" s="34">
        <f>IF(H413="UNIDADE CONSTRUTIVA",0,IF(H413="CÉLULA CONSTRUTIVA",OFFSET(B413,-1,0)+1,OFFSET(B413,-1,0)))</f>
        <v/>
      </c>
      <c r="C1196" s="34">
        <f>IF(H413="CÉLULA CONSTRUTIVA",0,IF(H413="ETAPA",OFFSET(C413,-1,0)+1,OFFSET(C413,-1,0)))</f>
        <v/>
      </c>
      <c r="D1196" s="35">
        <f>IF(H413="ETAPA",0,IF(H413="SUBETAPA",OFFSET(D413,-1,0)+1,OFFSET(D413,-1,0)))</f>
        <v/>
      </c>
      <c r="E1196" s="35">
        <f>IF(H413="Subetapa",0,IF(H413="serviço",OFFSET(E413,-1,0)+1,OFFSET(E413,-1,0)))</f>
        <v/>
      </c>
      <c r="F1196" s="123" t="n"/>
      <c r="G1196" s="135" t="inlineStr">
        <is>
          <t>REVESTIMENTOS E ACABAMENTOS EM FACHADA</t>
        </is>
      </c>
      <c r="H1196" s="44" t="inlineStr">
        <is>
          <t>SERVIÇO</t>
        </is>
      </c>
      <c r="I1196" s="45">
        <f>IF(H413="Unidade Construtiva",TEXT(A413,"00"),IF(H413="Célula Construtiva",TEXT(B413,"00"),IF(H413="Etapa",CONCATENATE(TEXT(B413,"00"),".",TEXT(C413,"000")),IF(H413="Subetapa",CONCATENATE(TEXT(B413,"00"),".",TEXT(C413,"000"),".",TEXT(D413,"000")),IF(H413="Serviço",CONCATENATE(TEXT(B413,"00"),".",TEXT(C413,"000"),".",TEXT(D413,"000"),".",TEXT(E413,"000")),"")))))</f>
        <v/>
      </c>
      <c r="J1196" s="161" t="inlineStr">
        <is>
          <t>Textura acrílica, acabamento suave, aplicação em paredes externas - 1 demão - Branco  (incluso selador e pintura)</t>
        </is>
      </c>
      <c r="K1196" s="47" t="inlineStr">
        <is>
          <t>m2</t>
        </is>
      </c>
      <c r="L1196" s="48">
        <f>'Arquitetura Visus'!D489+'Arquitetura Visus'!D490+'Arquitetura Visus'!D491+'Arquitetura Visus'!D492+'Arquitetura Visus'!D493-'Arquitetura Visus'!D489</f>
        <v/>
      </c>
      <c r="M1196" s="48">
        <f>_xlfn.XLOOKUP($J413,CPU!$D$1:$D$31540,CPU!$H$1:$H$31540)</f>
        <v/>
      </c>
      <c r="N1196" s="49">
        <f>IF(H413="Serviço",M413*L413,IF(H413="CÉLULA CONSTRUTIVA",SUMIFS($N$8:$N$754,$B$8:$B$754,B413,$H$8:$H$754,"Serviço"),IF(H413="ETAPA",SUMIFS($N$8:$N$754,$B$8:$B$754,B413,$C$8:$C$754,C413,$H$8:$H$754,"Serviço"),IF(H413="SUBETAPA",SUMIFS($N$8:$N$754,$B$8:$B$754,B413,$C$8:$C$754,C413,$D$8:$D$754,D413,$H$8:$H$754,"Serviço"),0))))</f>
        <v/>
      </c>
      <c r="O1196" s="50" t="n"/>
      <c r="P1196" s="134" t="n"/>
      <c r="Q1196" s="162" t="n"/>
      <c r="R1196" s="52" t="n"/>
      <c r="S1196" s="1" t="n"/>
      <c r="T1196" s="1" t="n"/>
      <c r="U1196" s="1" t="n"/>
      <c r="V1196" s="1" t="n"/>
      <c r="W1196" s="1" t="n"/>
      <c r="X1196" s="1" t="n"/>
      <c r="Y1196" s="1" t="n"/>
    </row>
    <row r="1197">
      <c r="A1197" s="34">
        <f>IF($H414="UNIDADE CONSTRUTIVA",OFFSET(A414,-1,0)+1,LARGE(A$3:A413,1))</f>
        <v/>
      </c>
      <c r="B1197" s="34">
        <f>IF(H414="UNIDADE CONSTRUTIVA",0,IF(H414="CÉLULA CONSTRUTIVA",OFFSET(B414,-1,0)+1,OFFSET(B414,-1,0)))</f>
        <v/>
      </c>
      <c r="C1197" s="34">
        <f>IF(H414="CÉLULA CONSTRUTIVA",0,IF(H414="ETAPA",OFFSET(C414,-1,0)+1,OFFSET(C414,-1,0)))</f>
        <v/>
      </c>
      <c r="D1197" s="35">
        <f>IF(H414="ETAPA",0,IF(H414="SUBETAPA",OFFSET(D414,-1,0)+1,OFFSET(D414,-1,0)))</f>
        <v/>
      </c>
      <c r="E1197" s="35">
        <f>IF(H414="Subetapa",0,IF(H414="serviço",OFFSET(E414,-1,0)+1,OFFSET(E414,-1,0)))</f>
        <v/>
      </c>
      <c r="F1197" s="123" t="n"/>
      <c r="G1197" s="135" t="n"/>
      <c r="H1197" s="44" t="inlineStr">
        <is>
          <t>SUBETAPA</t>
        </is>
      </c>
      <c r="I1197" s="45">
        <f>IF(H414="Unidade Construtiva",TEXT(A414,"00"),IF(H414="Célula Construtiva",TEXT(B414,"00"),IF(H414="Etapa",CONCATENATE(TEXT(B414,"00"),".",TEXT(C414,"000")),IF(H414="Subetapa",CONCATENATE(TEXT(B414,"00"),".",TEXT(C414,"000"),".",TEXT(D414,"000")),IF(H414="Serviço",CONCATENATE(TEXT(B414,"00"),".",TEXT(C414,"000"),".",TEXT(D414,"000"),".",TEXT(E414,"000")),"")))))</f>
        <v/>
      </c>
      <c r="J1197" s="161" t="inlineStr">
        <is>
          <t>Mão de obra</t>
        </is>
      </c>
      <c r="K1197" s="47" t="n"/>
      <c r="L1197" s="48" t="n"/>
      <c r="M1197" s="48" t="n"/>
      <c r="N1197" s="49">
        <f>IF(H414="Serviço",M414*L414,IF(H414="CÉLULA CONSTRUTIVA",SUMIFS($N$8:$N$754,$B$8:$B$754,B414,$H$8:$H$754,"Serviço"),IF(H414="ETAPA",SUMIFS($N$8:$N$754,$B$8:$B$754,B414,$C$8:$C$754,C414,$H$8:$H$754,"Serviço"),IF(H414="SUBETAPA",SUMIFS($N$8:$N$754,$B$8:$B$754,B414,$C$8:$C$754,C414,$D$8:$D$754,D414,$H$8:$H$754,"Serviço"),0))))</f>
        <v/>
      </c>
      <c r="O1197" s="50">
        <f>N414/CAPA!C$10</f>
        <v/>
      </c>
      <c r="P1197" s="134" t="n"/>
      <c r="Q1197" s="52" t="n"/>
      <c r="R1197" s="52" t="n"/>
      <c r="S1197" s="1" t="n"/>
      <c r="T1197" s="1" t="n"/>
      <c r="U1197" s="1" t="n"/>
      <c r="V1197" s="1" t="n"/>
      <c r="W1197" s="1" t="n"/>
      <c r="X1197" s="1" t="n"/>
      <c r="Y1197" s="1" t="n"/>
    </row>
    <row r="1198">
      <c r="A1198" s="34">
        <f>IF($H415="UNIDADE CONSTRUTIVA",OFFSET(A415,-1,0)+1,LARGE(A$3:A414,1))</f>
        <v/>
      </c>
      <c r="B1198" s="34">
        <f>IF(H415="UNIDADE CONSTRUTIVA",0,IF(H415="CÉLULA CONSTRUTIVA",OFFSET(B415,-1,0)+1,OFFSET(B415,-1,0)))</f>
        <v/>
      </c>
      <c r="C1198" s="34">
        <f>IF(H415="CÉLULA CONSTRUTIVA",0,IF(H415="ETAPA",OFFSET(C415,-1,0)+1,OFFSET(C415,-1,0)))</f>
        <v/>
      </c>
      <c r="D1198" s="35">
        <f>IF(H415="ETAPA",0,IF(H415="SUBETAPA",OFFSET(D415,-1,0)+1,OFFSET(D415,-1,0)))</f>
        <v/>
      </c>
      <c r="E1198" s="35">
        <f>IF(H415="Subetapa",0,IF(H415="serviço",OFFSET(E415,-1,0)+1,OFFSET(E415,-1,0)))</f>
        <v/>
      </c>
      <c r="F1198" s="123" t="n"/>
      <c r="G1198" s="135" t="inlineStr">
        <is>
          <t>REVESTIMENTOS E ACABAMENTOS EM FACHADA</t>
        </is>
      </c>
      <c r="H1198" s="44" t="inlineStr">
        <is>
          <t>SERVIÇO</t>
        </is>
      </c>
      <c r="I1198" s="45">
        <f>IF(H415="Unidade Construtiva",TEXT(A415,"00"),IF(H415="Célula Construtiva",TEXT(B415,"00"),IF(H415="Etapa",CONCATENATE(TEXT(B415,"00"),".",TEXT(C415,"000")),IF(H415="Subetapa",CONCATENATE(TEXT(B415,"00"),".",TEXT(C415,"000"),".",TEXT(D415,"000")),IF(H415="Serviço",CONCATENATE(TEXT(B415,"00"),".",TEXT(C415,"000"),".",TEXT(D415,"000"),".",TEXT(E415,"000")),"")))))</f>
        <v/>
      </c>
      <c r="J1198" s="161" t="inlineStr">
        <is>
          <t>Mão de obra para aplicação de textura em paredes externas - 1 demão</t>
        </is>
      </c>
      <c r="K1198" s="47" t="inlineStr">
        <is>
          <t>m2</t>
        </is>
      </c>
      <c r="L1198" s="48">
        <f>'Arquitetura Visus'!D511</f>
        <v/>
      </c>
      <c r="M1198" s="48">
        <f>_xlfn.XLOOKUP($J415,CPU!$D$1:$D$31540,CPU!$H$1:$H$31540)</f>
        <v/>
      </c>
      <c r="N1198" s="49">
        <f>IF(H415="Serviço",M415*L415,IF(H415="CÉLULA CONSTRUTIVA",SUMIFS($N$8:$N$754,$B$8:$B$754,B415,$H$8:$H$754,"Serviço"),IF(H415="ETAPA",SUMIFS($N$8:$N$754,$B$8:$B$754,B415,$C$8:$C$754,C415,$H$8:$H$754,"Serviço"),IF(H415="SUBETAPA",SUMIFS($N$8:$N$754,$B$8:$B$754,B415,$C$8:$C$754,C415,$D$8:$D$754,D415,$H$8:$H$754,"Serviço"),0))))</f>
        <v/>
      </c>
      <c r="O1198" s="50" t="n"/>
      <c r="P1198" s="134" t="n"/>
      <c r="Q1198" s="52" t="n"/>
      <c r="R1198" s="52" t="n"/>
      <c r="S1198" s="1" t="n"/>
      <c r="T1198" s="1" t="n"/>
      <c r="U1198" s="1" t="n"/>
      <c r="V1198" s="1" t="n"/>
      <c r="W1198" s="1" t="n"/>
      <c r="X1198" s="1" t="n"/>
      <c r="Y1198" s="1" t="n"/>
    </row>
    <row r="1199">
      <c r="A1199" s="34">
        <f>IF($H416="UNIDADE CONSTRUTIVA",OFFSET(A416,-1,0)+1,LARGE(A$3:A414,1))</f>
        <v/>
      </c>
      <c r="B1199" s="34">
        <f>IF(H416="UNIDADE CONSTRUTIVA",0,IF(H416="CÉLULA CONSTRUTIVA",OFFSET(B416,-1,0)+1,OFFSET(B416,-1,0)))</f>
        <v/>
      </c>
      <c r="C1199" s="34">
        <f>IF(H416="CÉLULA CONSTRUTIVA",0,IF(H416="ETAPA",OFFSET(C416,-1,0)+1,OFFSET(C416,-1,0)))</f>
        <v/>
      </c>
      <c r="D1199" s="35">
        <f>IF(H416="ETAPA",0,IF(H416="SUBETAPA",OFFSET(D416,-1,0)+1,OFFSET(D416,-1,0)))</f>
        <v/>
      </c>
      <c r="E1199" s="35">
        <f>IF(H416="Subetapa",0,IF(H416="serviço",OFFSET(E416,-1,0)+1,OFFSET(E416,-1,0)))</f>
        <v/>
      </c>
      <c r="F1199" s="123" t="n"/>
      <c r="G1199" s="135" t="inlineStr">
        <is>
          <t>REVESTIMENTOS E ACABAMENTOS EM FACHADA</t>
        </is>
      </c>
      <c r="H1199" s="44" t="inlineStr">
        <is>
          <t>SERVIÇO</t>
        </is>
      </c>
      <c r="I1199" s="45">
        <f>IF(H416="Unidade Construtiva",TEXT(A416,"00"),IF(H416="Célula Construtiva",TEXT(B416,"00"),IF(H416="Etapa",CONCATENATE(TEXT(B416,"00"),".",TEXT(C416,"000")),IF(H416="Subetapa",CONCATENATE(TEXT(B416,"00"),".",TEXT(C416,"000"),".",TEXT(D416,"000")),IF(H416="Serviço",CONCATENATE(TEXT(B416,"00"),".",TEXT(C416,"000"),".",TEXT(D416,"000"),".",TEXT(E416,"000")),"")))))</f>
        <v/>
      </c>
      <c r="J1199" s="161" t="inlineStr">
        <is>
          <t>Mão de obra para aplicação de Pintura em paredes externas - 1 demãos</t>
        </is>
      </c>
      <c r="K1199" s="47" t="inlineStr">
        <is>
          <t>m2</t>
        </is>
      </c>
      <c r="L1199" s="48">
        <f>L415</f>
        <v/>
      </c>
      <c r="M1199" s="48">
        <f>_xlfn.XLOOKUP($J416,CPU!$D$1:$D$31540,CPU!$H$1:$H$31540)</f>
        <v/>
      </c>
      <c r="N1199" s="49">
        <f>IF(H416="Serviço",M416*L416,IF(H416="CÉLULA CONSTRUTIVA",SUMIFS($N$8:$N$754,$B$8:$B$754,B416,$H$8:$H$754,"Serviço"),IF(H416="ETAPA",SUMIFS($N$8:$N$754,$B$8:$B$754,B416,$C$8:$C$754,C416,$H$8:$H$754,"Serviço"),IF(H416="SUBETAPA",SUMIFS($N$8:$N$754,$B$8:$B$754,B416,$C$8:$C$754,C416,$D$8:$D$754,D416,$H$8:$H$754,"Serviço"),0))))</f>
        <v/>
      </c>
      <c r="O1199" s="50" t="n"/>
      <c r="P1199" s="134" t="n"/>
      <c r="Q1199" s="52" t="n"/>
      <c r="R1199" s="52" t="n"/>
      <c r="S1199" s="1" t="n"/>
      <c r="T1199" s="1" t="n"/>
      <c r="U1199" s="1" t="n"/>
      <c r="V1199" s="1" t="n"/>
      <c r="W1199" s="1" t="n"/>
      <c r="X1199" s="1" t="n"/>
      <c r="Y1199" s="1" t="n"/>
    </row>
    <row r="1200">
      <c r="A1200" s="34">
        <f>IF($H417="UNIDADE CONSTRUTIVA",OFFSET(A417,-1,0)+1,LARGE(A$3:A408,1))</f>
        <v/>
      </c>
      <c r="B1200" s="34">
        <f>IF(H417="UNIDADE CONSTRUTIVA",0,IF(H417="CÉLULA CONSTRUTIVA",OFFSET(B417,-1,0)+1,OFFSET(B417,-1,0)))</f>
        <v/>
      </c>
      <c r="C1200" s="34">
        <f>IF(H417="CÉLULA CONSTRUTIVA",0,IF(H417="ETAPA",OFFSET(C417,-1,0)+1,OFFSET(C417,-1,0)))</f>
        <v/>
      </c>
      <c r="D1200" s="35">
        <f>IF(H417="ETAPA",0,IF(H417="SUBETAPA",OFFSET(D417,-1,0)+1,OFFSET(D417,-1,0)))</f>
        <v/>
      </c>
      <c r="E1200" s="35">
        <f>IF(H417="Subetapa",0,IF(H417="serviço",OFFSET(E417,-1,0)+1,OFFSET(E417,-1,0)))</f>
        <v/>
      </c>
      <c r="F1200" s="123" t="n"/>
      <c r="G1200" s="135" t="n"/>
      <c r="H1200" s="44" t="inlineStr">
        <is>
          <t>CÉLULA CONSTRUTIVA</t>
        </is>
      </c>
      <c r="I1200" s="45">
        <f>IF(H417="Unidade Construtiva",TEXT(A417,"00"),IF(H417="Célula Construtiva",TEXT(B417,"00"),IF(H417="Etapa",CONCATENATE(TEXT(B417,"00"),".",TEXT(C417,"000")),IF(H417="Subetapa",CONCATENATE(TEXT(B417,"00"),".",TEXT(C417,"000"),".",TEXT(D417,"000")),IF(H417="Serviço",CONCATENATE(TEXT(B417,"00"),".",TEXT(C417,"000"),".",TEXT(D417,"000"),".",TEXT(E417,"000")),"")))))</f>
        <v/>
      </c>
      <c r="J1200" s="51" t="inlineStr">
        <is>
          <t>SERVIÇOS COMPLEMENTARES E FINAIS</t>
        </is>
      </c>
      <c r="K1200" s="47" t="n"/>
      <c r="L1200" s="48" t="n"/>
      <c r="M1200" s="48" t="n"/>
      <c r="N1200" s="49">
        <f>IF(H417="Serviço",M417*L417,IF(H417="CÉLULA CONSTRUTIVA",SUMIFS($N$8:$N$754,$B$8:$B$754,B417,$H$8:$H$754,"Serviço"),IF(H417="ETAPA",SUMIFS($N$8:$N$754,$B$8:$B$754,B417,$C$8:$C$754,C417,$H$8:$H$754,"Serviço"),IF(H417="SUBETAPA",SUMIFS($N$8:$N$754,$B$8:$B$754,B417,$C$8:$C$754,C417,$D$8:$D$754,D417,$H$8:$H$754,"Serviço"),0))))</f>
        <v/>
      </c>
      <c r="O1200" s="50">
        <f>N417/CAPA!C$10</f>
        <v/>
      </c>
      <c r="P1200" s="134" t="n"/>
      <c r="Q1200" s="115" t="n"/>
      <c r="R1200" s="52" t="n"/>
      <c r="S1200" s="1" t="n"/>
      <c r="T1200" s="1" t="n"/>
      <c r="U1200" s="1" t="n"/>
      <c r="V1200" s="1" t="n"/>
      <c r="W1200" s="1" t="n"/>
      <c r="X1200" s="1" t="n"/>
      <c r="Y1200" s="1" t="n"/>
    </row>
    <row r="1201">
      <c r="A1201" s="34">
        <f>IF($H418="UNIDADE CONSTRUTIVA",OFFSET(A418,-1,0)+1,LARGE(A$3:A408,1))</f>
        <v/>
      </c>
      <c r="B1201" s="34">
        <f>IF(H418="UNIDADE CONSTRUTIVA",0,IF(H418="CÉLULA CONSTRUTIVA",OFFSET(B418,-1,0)+1,OFFSET(B418,-1,0)))</f>
        <v/>
      </c>
      <c r="C1201" s="34">
        <f>IF(H418="CÉLULA CONSTRUTIVA",0,IF(H418="ETAPA",OFFSET(C418,-1,0)+1,OFFSET(C418,-1,0)))</f>
        <v/>
      </c>
      <c r="D1201" s="35">
        <f>IF(H418="ETAPA",0,IF(H418="SUBETAPA",OFFSET(D418,-1,0)+1,OFFSET(D418,-1,0)))</f>
        <v/>
      </c>
      <c r="E1201" s="35">
        <f>IF(H418="Subetapa",0,IF(H418="serviço",OFFSET(E418,-1,0)+1,OFFSET(E418,-1,0)))</f>
        <v/>
      </c>
      <c r="F1201" s="123" t="n"/>
      <c r="G1201" s="135" t="n"/>
      <c r="H1201" s="44" t="inlineStr">
        <is>
          <t>ETAPA</t>
        </is>
      </c>
      <c r="I1201" s="45">
        <f>IF(H418="Unidade Construtiva",TEXT(A418,"00"),IF(H418="Célula Construtiva",TEXT(B418,"00"),IF(H418="Etapa",CONCATENATE(TEXT(B418,"00"),".",TEXT(C418,"000")),IF(H418="Subetapa",CONCATENATE(TEXT(B418,"00"),".",TEXT(C418,"000"),".",TEXT(D418,"000")),IF(H418="Serviço",CONCATENATE(TEXT(B418,"00"),".",TEXT(C418,"000"),".",TEXT(D418,"000"),".",TEXT(E418,"000")),"")))))</f>
        <v/>
      </c>
      <c r="J1201" s="51" t="inlineStr">
        <is>
          <t>SERVIÇOS COMPLEMENTARES EXTERNOS</t>
        </is>
      </c>
      <c r="K1201" s="47" t="n"/>
      <c r="L1201" s="48" t="n"/>
      <c r="M1201" s="48" t="n"/>
      <c r="N1201" s="49">
        <f>IF(H418="Serviço",M418*L418,IF(H418="CÉLULA CONSTRUTIVA",SUMIFS($N$8:$N$754,$B$8:$B$754,B418,$H$8:$H$754,"Serviço"),IF(H418="ETAPA",SUMIFS($N$8:$N$754,$B$8:$B$754,B418,$C$8:$C$754,C418,$H$8:$H$754,"Serviço"),IF(H418="SUBETAPA",SUMIFS($N$8:$N$754,$B$8:$B$754,B418,$C$8:$C$754,C418,$D$8:$D$754,D418,$H$8:$H$754,"Serviço"),0))))</f>
        <v/>
      </c>
      <c r="O1201" s="50">
        <f>N418/CAPA!C$10</f>
        <v/>
      </c>
      <c r="P1201" s="134" t="n"/>
      <c r="Q1201" s="52" t="n"/>
      <c r="R1201" s="52" t="n"/>
      <c r="S1201" s="1" t="n"/>
      <c r="T1201" s="1" t="n"/>
      <c r="U1201" s="1" t="n"/>
      <c r="V1201" s="1" t="n"/>
      <c r="W1201" s="1" t="n"/>
      <c r="X1201" s="1" t="n"/>
      <c r="Y1201" s="1" t="n"/>
    </row>
    <row r="1202">
      <c r="A1202" s="34">
        <f>IF($H419="UNIDADE CONSTRUTIVA",OFFSET(A419,-1,0)+1,LARGE(A$3:A418,1))</f>
        <v/>
      </c>
      <c r="B1202" s="34">
        <f>IF(H419="UNIDADE CONSTRUTIVA",0,IF(H419="CÉLULA CONSTRUTIVA",OFFSET(B419,-1,0)+1,OFFSET(B419,-1,0)))</f>
        <v/>
      </c>
      <c r="C1202" s="34">
        <f>IF(H419="CÉLULA CONSTRUTIVA",0,IF(H419="ETAPA",OFFSET(C419,-1,0)+1,OFFSET(C419,-1,0)))</f>
        <v/>
      </c>
      <c r="D1202" s="35">
        <f>IF(H419="ETAPA",0,IF(H419="SUBETAPA",OFFSET(D419,-1,0)+1,OFFSET(D419,-1,0)))</f>
        <v/>
      </c>
      <c r="E1202" s="35">
        <f>IF(H419="Subetapa",0,IF(H419="serviço",OFFSET(E419,-1,0)+1,OFFSET(E419,-1,0)))</f>
        <v/>
      </c>
      <c r="F1202" s="123" t="n"/>
      <c r="G1202" s="135" t="n"/>
      <c r="H1202" s="44" t="inlineStr">
        <is>
          <t>SUBETAPA</t>
        </is>
      </c>
      <c r="I1202" s="45">
        <f>IF(H419="Unidade Construtiva",TEXT(A419,"00"),IF(H419="Célula Construtiva",TEXT(B419,"00"),IF(H419="Etapa",CONCATENATE(TEXT(B419,"00"),".",TEXT(C419,"000")),IF(H419="Subetapa",CONCATENATE(TEXT(B419,"00"),".",TEXT(C419,"000"),".",TEXT(D419,"000")),IF(H419="Serviço",CONCATENATE(TEXT(B419,"00"),".",TEXT(C419,"000"),".",TEXT(D419,"000"),".",TEXT(E419,"000")),"")))))</f>
        <v/>
      </c>
      <c r="J1202" s="51" t="inlineStr">
        <is>
          <t>Calçadas e Passeios</t>
        </is>
      </c>
      <c r="K1202" s="47" t="n"/>
      <c r="L1202" s="48" t="n"/>
      <c r="M1202" s="48" t="n"/>
      <c r="N1202" s="49">
        <f>IF(H419="Serviço",M419*L419,IF(H419="CÉLULA CONSTRUTIVA",SUMIFS($N$8:$N$754,$B$8:$B$754,B419,$H$8:$H$754,"Serviço"),IF(H419="ETAPA",SUMIFS($N$8:$N$754,$B$8:$B$754,B419,$C$8:$C$754,C419,$H$8:$H$754,"Serviço"),IF(H419="SUBETAPA",SUMIFS($N$8:$N$754,$B$8:$B$754,B419,$C$8:$C$754,C419,$D$8:$D$754,D419,$H$8:$H$754,"Serviço"),0))))</f>
        <v/>
      </c>
      <c r="O1202" s="50">
        <f>N419/CAPA!C$10</f>
        <v/>
      </c>
      <c r="P1202" s="134" t="n"/>
      <c r="Q1202" s="52" t="n"/>
      <c r="R1202" s="52" t="n"/>
      <c r="S1202" s="1" t="n"/>
      <c r="T1202" s="1" t="n"/>
      <c r="U1202" s="1" t="n"/>
      <c r="V1202" s="1" t="n"/>
      <c r="W1202" s="1" t="n"/>
      <c r="X1202" s="1" t="n"/>
      <c r="Y1202" s="1" t="n"/>
    </row>
    <row r="1203">
      <c r="A1203" s="34">
        <f>IF($H420="UNIDADE CONSTRUTIVA",OFFSET(A420,-1,0)+1,LARGE(A$3:A418,1))</f>
        <v/>
      </c>
      <c r="B1203" s="34">
        <f>IF(H420="UNIDADE CONSTRUTIVA",0,IF(H420="CÉLULA CONSTRUTIVA",OFFSET(B420,-1,0)+1,OFFSET(B420,-1,0)))</f>
        <v/>
      </c>
      <c r="C1203" s="34">
        <f>IF(H420="CÉLULA CONSTRUTIVA",0,IF(H420="ETAPA",OFFSET(C420,-1,0)+1,OFFSET(C420,-1,0)))</f>
        <v/>
      </c>
      <c r="D1203" s="35">
        <f>IF(H420="ETAPA",0,IF(H420="SUBETAPA",OFFSET(D420,-1,0)+1,OFFSET(D420,-1,0)))</f>
        <v/>
      </c>
      <c r="E1203" s="35">
        <f>IF(H420="Subetapa",0,IF(H420="serviço",OFFSET(E420,-1,0)+1,OFFSET(E420,-1,0)))</f>
        <v/>
      </c>
      <c r="F1203" s="123" t="n"/>
      <c r="G1203" s="135" t="inlineStr">
        <is>
          <t>SERVIÇOS COMPLEMENTARES E FINAIS</t>
        </is>
      </c>
      <c r="H1203" s="44" t="inlineStr">
        <is>
          <t>SERVIÇO</t>
        </is>
      </c>
      <c r="I1203" s="45">
        <f>IF(H420="Unidade Construtiva",TEXT(A420,"00"),IF(H420="Célula Construtiva",TEXT(B420,"00"),IF(H420="Etapa",CONCATENATE(TEXT(B420,"00"),".",TEXT(C420,"000")),IF(H420="Subetapa",CONCATENATE(TEXT(B420,"00"),".",TEXT(C420,"000"),".",TEXT(D420,"000")),IF(H420="Serviço",CONCATENATE(TEXT(B420,"00"),".",TEXT(C420,"000"),".",TEXT(D420,"000"),".",TEXT(E420,"000")),"")))))</f>
        <v/>
      </c>
      <c r="J1203" s="51" t="inlineStr">
        <is>
          <t>Piso de concreto, acabamento estampado, espessura 6 cm</t>
        </is>
      </c>
      <c r="K1203" s="47" t="inlineStr">
        <is>
          <t>m2</t>
        </is>
      </c>
      <c r="L1203" s="48">
        <f>'Arquitetura Visus'!D243+'Arquitetura Visus'!D254</f>
        <v/>
      </c>
      <c r="M1203" s="48">
        <f>_xlfn.XLOOKUP($J420,CPU!$D$1:$D$31540,CPU!$H$1:$H$31540)</f>
        <v/>
      </c>
      <c r="N1203" s="49">
        <f>IF(H420="Serviço",M420*L420,IF(H420="CÉLULA CONSTRUTIVA",SUMIFS($N$8:$N$754,$B$8:$B$754,B420,$H$8:$H$754,"Serviço"),IF(H420="ETAPA",SUMIFS($N$8:$N$754,$B$8:$B$754,B420,$C$8:$C$754,C420,$H$8:$H$754,"Serviço"),IF(H420="SUBETAPA",SUMIFS($N$8:$N$754,$B$8:$B$754,B420,$C$8:$C$754,C420,$D$8:$D$754,D420,$H$8:$H$754,"Serviço"),0))))</f>
        <v/>
      </c>
      <c r="O1203" s="50" t="n"/>
      <c r="P1203" s="134" t="n"/>
      <c r="Q1203" s="52" t="n"/>
      <c r="R1203" s="52" t="n"/>
      <c r="S1203" s="1" t="n"/>
      <c r="T1203" s="1" t="n"/>
      <c r="U1203" s="1" t="n"/>
      <c r="V1203" s="1" t="n"/>
      <c r="W1203" s="1" t="n"/>
      <c r="X1203" s="1" t="n"/>
      <c r="Y1203" s="1" t="n"/>
    </row>
    <row r="1204">
      <c r="A1204" s="34">
        <f>IF($H421="UNIDADE CONSTRUTIVA",OFFSET(A421,-1,0)+1,LARGE(A$3:A419,1))</f>
        <v/>
      </c>
      <c r="B1204" s="34">
        <f>IF(H421="UNIDADE CONSTRUTIVA",0,IF(H421="CÉLULA CONSTRUTIVA",OFFSET(B421,-1,0)+1,OFFSET(B421,-1,0)))</f>
        <v/>
      </c>
      <c r="C1204" s="34">
        <f>IF(H421="CÉLULA CONSTRUTIVA",0,IF(H421="ETAPA",OFFSET(C421,-1,0)+1,OFFSET(C421,-1,0)))</f>
        <v/>
      </c>
      <c r="D1204" s="35">
        <f>IF(H421="ETAPA",0,IF(H421="SUBETAPA",OFFSET(D421,-1,0)+1,OFFSET(D421,-1,0)))</f>
        <v/>
      </c>
      <c r="E1204" s="35">
        <f>IF(H421="Subetapa",0,IF(H421="serviço",OFFSET(E421,-1,0)+1,OFFSET(E421,-1,0)))</f>
        <v/>
      </c>
      <c r="F1204" s="123" t="n"/>
      <c r="G1204" s="135" t="inlineStr">
        <is>
          <t>SERVIÇOS COMPLEMENTARES E FINAIS</t>
        </is>
      </c>
      <c r="H1204" s="44" t="inlineStr">
        <is>
          <t>SERVIÇO</t>
        </is>
      </c>
      <c r="I1204" s="45">
        <f>IF(H421="Unidade Construtiva",TEXT(A421,"00"),IF(H421="Célula Construtiva",TEXT(B421,"00"),IF(H421="Etapa",CONCATENATE(TEXT(B421,"00"),".",TEXT(C421,"000")),IF(H421="Subetapa",CONCATENATE(TEXT(B421,"00"),".",TEXT(C421,"000"),".",TEXT(D421,"000")),IF(H421="Serviço",CONCATENATE(TEXT(B421,"00"),".",TEXT(C421,"000"),".",TEXT(D421,"000"),".",TEXT(E421,"000")),"")))))</f>
        <v/>
      </c>
      <c r="J1204" s="51" t="inlineStr">
        <is>
          <t>Mão de obra execução Piso de concreto</t>
        </is>
      </c>
      <c r="K1204" s="47" t="inlineStr">
        <is>
          <t>m2</t>
        </is>
      </c>
      <c r="L1204" s="48">
        <f>L420</f>
        <v/>
      </c>
      <c r="M1204" s="48">
        <f>_xlfn.XLOOKUP($J421,CPU!$D$1:$D$31540,CPU!$H$1:$H$31540)</f>
        <v/>
      </c>
      <c r="N1204" s="49">
        <f>IF(H421="Serviço",M421*L421,IF(H421="CÉLULA CONSTRUTIVA",SUMIFS($N$8:$N$754,$B$8:$B$754,B421,$H$8:$H$754,"Serviço"),IF(H421="ETAPA",SUMIFS($N$8:$N$754,$B$8:$B$754,B421,$C$8:$C$754,C421,$H$8:$H$754,"Serviço"),IF(H421="SUBETAPA",SUMIFS($N$8:$N$754,$B$8:$B$754,B421,$C$8:$C$754,C421,$D$8:$D$754,D421,$H$8:$H$754,"Serviço"),0))))</f>
        <v/>
      </c>
      <c r="O1204" s="50" t="n"/>
      <c r="P1204" s="134" t="n"/>
      <c r="Q1204" s="52" t="n"/>
      <c r="R1204" s="52" t="n"/>
      <c r="S1204" s="1" t="n"/>
      <c r="T1204" s="1" t="n"/>
      <c r="U1204" s="1" t="n"/>
      <c r="V1204" s="1" t="n"/>
      <c r="W1204" s="1" t="n"/>
      <c r="X1204" s="1" t="n"/>
      <c r="Y1204" s="1" t="n"/>
    </row>
    <row r="1205">
      <c r="A1205" s="34">
        <f>IF($H422="UNIDADE CONSTRUTIVA",OFFSET(A422,-1,0)+1,LARGE(A$3:A417,1))</f>
        <v/>
      </c>
      <c r="B1205" s="34">
        <f>IF(H422="UNIDADE CONSTRUTIVA",0,IF(H422="CÉLULA CONSTRUTIVA",OFFSET(B422,-1,0)+1,OFFSET(B422,-1,0)))</f>
        <v/>
      </c>
      <c r="C1205" s="34">
        <f>IF(H422="CÉLULA CONSTRUTIVA",0,IF(H422="ETAPA",OFFSET(C422,-1,0)+1,OFFSET(C422,-1,0)))</f>
        <v/>
      </c>
      <c r="D1205" s="35">
        <f>IF(H422="ETAPA",0,IF(H422="SUBETAPA",OFFSET(D422,-1,0)+1,OFFSET(D422,-1,0)))</f>
        <v/>
      </c>
      <c r="E1205" s="35">
        <f>IF(H422="Subetapa",0,IF(H422="serviço",OFFSET(E422,-1,0)+1,OFFSET(E422,-1,0)))</f>
        <v/>
      </c>
      <c r="F1205" s="123" t="n"/>
      <c r="G1205" s="135" t="n"/>
      <c r="H1205" s="44" t="inlineStr">
        <is>
          <t>ETAPA</t>
        </is>
      </c>
      <c r="I1205" s="45">
        <f>IF(H422="Unidade Construtiva",TEXT(A422,"00"),IF(H422="Célula Construtiva",TEXT(B422,"00"),IF(H422="Etapa",CONCATENATE(TEXT(B422,"00"),".",TEXT(C422,"000")),IF(H422="Subetapa",CONCATENATE(TEXT(B422,"00"),".",TEXT(C422,"000"),".",TEXT(D422,"000")),IF(H422="Serviço",CONCATENATE(TEXT(B422,"00"),".",TEXT(C422,"000"),".",TEXT(D422,"000"),".",TEXT(E422,"000")),"")))))</f>
        <v/>
      </c>
      <c r="J1205" s="51" t="inlineStr">
        <is>
          <t>SERVIÇOS COMPLEMENTARES E FINAIS</t>
        </is>
      </c>
      <c r="K1205" s="47" t="n"/>
      <c r="L1205" s="48" t="n"/>
      <c r="M1205" s="48" t="n"/>
      <c r="N1205" s="49">
        <f>IF(H422="Serviço",M422*L422,IF(H422="CÉLULA CONSTRUTIVA",SUMIFS($N$8:$N$754,$B$8:$B$754,B422,$H$8:$H$754,"Serviço"),IF(H422="ETAPA",SUMIFS($N$8:$N$754,$B$8:$B$754,B422,$C$8:$C$754,C422,$H$8:$H$754,"Serviço"),IF(H422="SUBETAPA",SUMIFS($N$8:$N$754,$B$8:$B$754,B422,$C$8:$C$754,C422,$D$8:$D$754,D422,$H$8:$H$754,"Serviço"),0))))</f>
        <v/>
      </c>
      <c r="O1205" s="50">
        <f>N422/CAPA!C$10</f>
        <v/>
      </c>
      <c r="P1205" s="134" t="n"/>
      <c r="Q1205" s="52" t="n"/>
      <c r="R1205" s="52" t="n"/>
      <c r="S1205" s="1" t="n"/>
      <c r="T1205" s="1" t="n"/>
      <c r="U1205" s="1" t="n"/>
      <c r="V1205" s="1" t="n"/>
      <c r="W1205" s="1" t="n"/>
      <c r="X1205" s="1" t="n"/>
      <c r="Y1205" s="1" t="n"/>
    </row>
    <row r="1206">
      <c r="A1206" s="34">
        <f>IF($H423="UNIDADE CONSTRUTIVA",OFFSET(A423,-1,0)+1,LARGE(A$3:A422,1))</f>
        <v/>
      </c>
      <c r="B1206" s="34">
        <f>IF(H423="UNIDADE CONSTRUTIVA",0,IF(H423="CÉLULA CONSTRUTIVA",OFFSET(B423,-1,0)+1,OFFSET(B423,-1,0)))</f>
        <v/>
      </c>
      <c r="C1206" s="34">
        <f>IF(H423="CÉLULA CONSTRUTIVA",0,IF(H423="ETAPA",OFFSET(C423,-1,0)+1,OFFSET(C423,-1,0)))</f>
        <v/>
      </c>
      <c r="D1206" s="35">
        <f>IF(H423="ETAPA",0,IF(H423="SUBETAPA",OFFSET(D423,-1,0)+1,OFFSET(D423,-1,0)))</f>
        <v/>
      </c>
      <c r="E1206" s="35">
        <f>IF(H423="Subetapa",0,IF(H423="serviço",OFFSET(E423,-1,0)+1,OFFSET(E423,-1,0)))</f>
        <v/>
      </c>
      <c r="F1206" s="123" t="n"/>
      <c r="G1206" s="135" t="n"/>
      <c r="H1206" s="44" t="inlineStr">
        <is>
          <t>SUBETAPA</t>
        </is>
      </c>
      <c r="I1206" s="45">
        <f>IF(H423="Unidade Construtiva",TEXT(A423,"00"),IF(H423="Célula Construtiva",TEXT(B423,"00"),IF(H423="Etapa",CONCATENATE(TEXT(B423,"00"),".",TEXT(C423,"000")),IF(H423="Subetapa",CONCATENATE(TEXT(B423,"00"),".",TEXT(C423,"000"),".",TEXT(D423,"000")),IF(H423="Serviço",CONCATENATE(TEXT(B423,"00"),".",TEXT(C423,"000"),".",TEXT(D423,"000"),".",TEXT(E423,"000")),"")))))</f>
        <v/>
      </c>
      <c r="J1206" s="51" t="inlineStr">
        <is>
          <t xml:space="preserve">Mobiliário e decoração </t>
        </is>
      </c>
      <c r="K1206" s="47" t="n"/>
      <c r="L1206" s="48" t="n"/>
      <c r="M1206" s="48" t="n"/>
      <c r="N1206" s="49">
        <f>IF(H423="Serviço",M423*L423,IF(H423="CÉLULA CONSTRUTIVA",SUMIFS($N$118:$N$438,$B$118:$B$438,B423,$H$118:$H$438,"Serviço"),IF(H423="ETAPA",SUMIFS($N$118:$N$438,$B$118:$B$438,B423,$C$118:$C$438,C423,$H$118:$H$438,"Serviço"),IF(H423="SUBETAPA",SUMIFS($N$118:$N$438,$B$118:$B$438,B423,$C$118:$C$438,C423,$D$118:$D$438,D423,$H$118:$H$438,"Serviço"),0))))</f>
        <v/>
      </c>
      <c r="O1206" s="50">
        <f>N423/CAPA!C$10</f>
        <v/>
      </c>
      <c r="P1206" s="134" t="n"/>
      <c r="Q1206" s="52" t="n"/>
      <c r="R1206" s="52" t="n"/>
      <c r="S1206" s="1" t="n"/>
      <c r="T1206" s="1" t="n"/>
      <c r="U1206" s="1" t="n"/>
      <c r="V1206" s="1" t="n"/>
      <c r="W1206" s="1" t="n"/>
      <c r="X1206" s="1" t="n"/>
      <c r="Y1206" s="1" t="n"/>
    </row>
    <row r="1207">
      <c r="A1207" s="34">
        <f>IF($H424="UNIDADE CONSTRUTIVA",OFFSET(A424,-1,0)+1,LARGE(A$3:A423,1))</f>
        <v/>
      </c>
      <c r="B1207" s="34">
        <f>IF(H424="UNIDADE CONSTRUTIVA",0,IF(H424="CÉLULA CONSTRUTIVA",OFFSET(B424,-1,0)+1,OFFSET(B424,-1,0)))</f>
        <v/>
      </c>
      <c r="C1207" s="34">
        <f>IF(H424="CÉLULA CONSTRUTIVA",0,IF(H424="ETAPA",OFFSET(C424,-1,0)+1,OFFSET(C424,-1,0)))</f>
        <v/>
      </c>
      <c r="D1207" s="35">
        <f>IF(H424="ETAPA",0,IF(H424="SUBETAPA",OFFSET(D424,-1,0)+1,OFFSET(D424,-1,0)))</f>
        <v/>
      </c>
      <c r="E1207" s="35">
        <f>IF(H424="Subetapa",0,IF(H424="serviço",OFFSET(E424,-1,0)+1,OFFSET(E424,-1,0)))</f>
        <v/>
      </c>
      <c r="F1207" s="123" t="n"/>
      <c r="G1207" s="135" t="inlineStr">
        <is>
          <t>SERVIÇOS COMPLEMENTARES E FINAIS</t>
        </is>
      </c>
      <c r="H1207" s="44" t="inlineStr">
        <is>
          <t>SERVIÇO</t>
        </is>
      </c>
      <c r="I1207" s="45">
        <f>IF(H424="Unidade Construtiva",TEXT(A424,"00"),IF(H424="Célula Construtiva",TEXT(B424,"00"),IF(H424="Etapa",CONCATENATE(TEXT(B424,"00"),".",TEXT(C424,"000")),IF(H424="Subetapa",CONCATENATE(TEXT(B424,"00"),".",TEXT(C424,"000"),".",TEXT(D424,"000")),IF(H424="Serviço",CONCATENATE(TEXT(B424,"00"),".",TEXT(C424,"000"),".",TEXT(D424,"000"),".",TEXT(E424,"000")),"")))))</f>
        <v/>
      </c>
      <c r="J1207" s="51" t="inlineStr">
        <is>
          <t xml:space="preserve">Mobiliário e decoração </t>
        </is>
      </c>
      <c r="K1207" s="47" t="inlineStr">
        <is>
          <t>vb</t>
        </is>
      </c>
      <c r="L1207" s="48" t="n">
        <v>1</v>
      </c>
      <c r="M1207" s="48">
        <f>Mobiliário!M6</f>
        <v/>
      </c>
      <c r="N1207" s="49">
        <f>IF(H424="Serviço",M424*L424,IF(H424="CÉLULA CONSTRUTIVA",SUMIFS($N$118:$N$438,$B$118:$B$438,B424,$H$118:$H$438,"Serviço"),IF(H424="ETAPA",SUMIFS($N$118:$N$438,$B$118:$B$438,B424,$C$118:$C$438,C424,$H$118:$H$438,"Serviço"),IF(H424="SUBETAPA",SUMIFS($N$118:$N$438,$B$118:$B$438,B424,$C$118:$C$438,C424,$D$118:$D$438,D424,$H$118:$H$438,"Serviço"),0))))</f>
        <v/>
      </c>
      <c r="O1207" s="50" t="inlineStr">
        <is>
          <t>Estimativa com bases na imagens comerciais</t>
        </is>
      </c>
      <c r="P1207" s="134" t="n"/>
      <c r="Q1207" s="52" t="n"/>
      <c r="R1207" s="52" t="n"/>
      <c r="S1207" s="1" t="n"/>
      <c r="T1207" s="1" t="n"/>
      <c r="U1207" s="1" t="n"/>
      <c r="V1207" s="1" t="n"/>
      <c r="W1207" s="1" t="n"/>
      <c r="X1207" s="1" t="n"/>
      <c r="Y1207" s="1" t="n"/>
    </row>
    <row r="1208">
      <c r="A1208" s="34">
        <f>IF($H425="UNIDADE CONSTRUTIVA",OFFSET(A425,-1,0)+1,LARGE(A$3:A424,1))</f>
        <v/>
      </c>
      <c r="B1208" s="34">
        <f>IF(H425="UNIDADE CONSTRUTIVA",0,IF(H425="CÉLULA CONSTRUTIVA",OFFSET(B425,-1,0)+1,OFFSET(B425,-1,0)))</f>
        <v/>
      </c>
      <c r="C1208" s="34">
        <f>IF(H425="CÉLULA CONSTRUTIVA",0,IF(H425="ETAPA",OFFSET(C425,-1,0)+1,OFFSET(C425,-1,0)))</f>
        <v/>
      </c>
      <c r="D1208" s="35">
        <f>IF(H425="ETAPA",0,IF(H425="SUBETAPA",OFFSET(D425,-1,0)+1,OFFSET(D425,-1,0)))</f>
        <v/>
      </c>
      <c r="E1208" s="35">
        <f>IF(H425="Subetapa",0,IF(H425="serviço",OFFSET(E425,-1,0)+1,OFFSET(E425,-1,0)))</f>
        <v/>
      </c>
      <c r="F1208" s="123" t="n"/>
      <c r="G1208" s="135" t="n"/>
      <c r="H1208" s="44" t="inlineStr">
        <is>
          <t>SUBETAPA</t>
        </is>
      </c>
      <c r="I1208" s="45">
        <f>IF(H425="Unidade Construtiva",TEXT(A425,"00"),IF(H425="Célula Construtiva",TEXT(B425,"00"),IF(H425="Etapa",CONCATENATE(TEXT(B425,"00"),".",TEXT(C425,"000")),IF(H425="Subetapa",CONCATENATE(TEXT(B425,"00"),".",TEXT(C425,"000"),".",TEXT(D425,"000")),IF(H425="Serviço",CONCATENATE(TEXT(B425,"00"),".",TEXT(C425,"000"),".",TEXT(D425,"000"),".",TEXT(E425,"000")),"")))))</f>
        <v/>
      </c>
      <c r="J1208" s="51" t="inlineStr">
        <is>
          <t>Comunicação visual</t>
        </is>
      </c>
      <c r="K1208" s="47" t="n"/>
      <c r="L1208" s="48" t="n"/>
      <c r="M1208" s="48" t="n"/>
      <c r="N1208" s="49">
        <f>IF(H425="Serviço",M425*L425,IF(H425="CÉLULA CONSTRUTIVA",SUMIFS($N$118:$N$438,$B$118:$B$438,B425,$H$118:$H$438,"Serviço"),IF(H425="ETAPA",SUMIFS($N$118:$N$438,$B$118:$B$438,B425,$C$118:$C$438,C425,$H$118:$H$438,"Serviço"),IF(H425="SUBETAPA",SUMIFS($N$118:$N$438,$B$118:$B$438,B425,$C$118:$C$438,C425,$D$118:$D$438,D425,$H$118:$H$438,"Serviço"),0))))</f>
        <v/>
      </c>
      <c r="O1208" s="50">
        <f>N425/CAPA!C$10</f>
        <v/>
      </c>
      <c r="P1208" s="134" t="n"/>
      <c r="Q1208" s="52" t="n"/>
      <c r="R1208" s="52" t="n"/>
      <c r="S1208" s="1" t="n"/>
      <c r="T1208" s="1" t="n"/>
      <c r="U1208" s="1" t="n"/>
      <c r="V1208" s="1" t="n"/>
      <c r="W1208" s="1" t="n"/>
      <c r="X1208" s="1" t="n"/>
      <c r="Y1208" s="1" t="n"/>
    </row>
    <row r="1209">
      <c r="A1209" s="34">
        <f>IF($H426="UNIDADE CONSTRUTIVA",OFFSET(A426,-1,0)+1,LARGE(A$3:A425,1))</f>
        <v/>
      </c>
      <c r="B1209" s="34">
        <f>IF(H426="UNIDADE CONSTRUTIVA",0,IF(H426="CÉLULA CONSTRUTIVA",OFFSET(B426,-1,0)+1,OFFSET(B426,-1,0)))</f>
        <v/>
      </c>
      <c r="C1209" s="34">
        <f>IF(H426="CÉLULA CONSTRUTIVA",0,IF(H426="ETAPA",OFFSET(C426,-1,0)+1,OFFSET(C426,-1,0)))</f>
        <v/>
      </c>
      <c r="D1209" s="35">
        <f>IF(H426="ETAPA",0,IF(H426="SUBETAPA",OFFSET(D426,-1,0)+1,OFFSET(D426,-1,0)))</f>
        <v/>
      </c>
      <c r="E1209" s="35">
        <f>IF(H426="Subetapa",0,IF(H426="serviço",OFFSET(E426,-1,0)+1,OFFSET(E426,-1,0)))</f>
        <v/>
      </c>
      <c r="F1209" s="123" t="n"/>
      <c r="G1209" s="135" t="inlineStr">
        <is>
          <t>SERVIÇOS COMPLEMENTARES E FINAIS</t>
        </is>
      </c>
      <c r="H1209" s="44" t="inlineStr">
        <is>
          <t>SERVIÇO</t>
        </is>
      </c>
      <c r="I1209" s="45">
        <f>IF(H426="Unidade Construtiva",TEXT(A426,"00"),IF(H426="Célula Construtiva",TEXT(B426,"00"),IF(H426="Etapa",CONCATENATE(TEXT(B426,"00"),".",TEXT(C426,"000")),IF(H426="Subetapa",CONCATENATE(TEXT(B426,"00"),".",TEXT(C426,"000"),".",TEXT(D426,"000")),IF(H426="Serviço",CONCATENATE(TEXT(B426,"00"),".",TEXT(C426,"000"),".",TEXT(D426,"000"),".",TEXT(E426,"000")),"")))))</f>
        <v/>
      </c>
      <c r="J1209" s="51" t="inlineStr">
        <is>
          <t>Comunicação visual</t>
        </is>
      </c>
      <c r="K1209" s="47" t="inlineStr">
        <is>
          <t>vb</t>
        </is>
      </c>
      <c r="L1209" s="48" t="n">
        <v>1</v>
      </c>
      <c r="M1209" s="48">
        <f>CAPA!$C$10*11</f>
        <v/>
      </c>
      <c r="N1209" s="49">
        <f>IF(H426="Serviço",M426*L426,IF(H426="CÉLULA CONSTRUTIVA",SUMIFS($N$118:$N$438,$B$118:$B$438,B426,$H$118:$H$438,"Serviço"),IF(H426="ETAPA",SUMIFS($N$118:$N$438,$B$118:$B$438,B426,$C$118:$C$438,C426,$H$118:$H$438,"Serviço"),IF(H426="SUBETAPA",SUMIFS($N$118:$N$438,$B$118:$B$438,B426,$C$118:$C$438,C426,$D$118:$D$438,D426,$H$118:$H$438,"Serviço"),0))))</f>
        <v/>
      </c>
      <c r="O1209" s="50" t="inlineStr">
        <is>
          <t>Estimativa</t>
        </is>
      </c>
      <c r="P1209" s="134" t="n"/>
      <c r="Q1209" s="52" t="n"/>
      <c r="R1209" s="52" t="n"/>
      <c r="S1209" s="1" t="n"/>
      <c r="T1209" s="1" t="n"/>
      <c r="U1209" s="1" t="n"/>
      <c r="V1209" s="1" t="n"/>
      <c r="W1209" s="1" t="n"/>
      <c r="X1209" s="1" t="n"/>
      <c r="Y1209" s="1" t="n"/>
    </row>
    <row r="1210">
      <c r="A1210" s="34">
        <f>IF($H427="UNIDADE CONSTRUTIVA",OFFSET(A427,-1,0)+1,LARGE(A$3:A424,1))</f>
        <v/>
      </c>
      <c r="B1210" s="34">
        <f>IF(H427="UNIDADE CONSTRUTIVA",0,IF(H427="CÉLULA CONSTRUTIVA",OFFSET(B427,-1,0)+1,OFFSET(B427,-1,0)))</f>
        <v/>
      </c>
      <c r="C1210" s="34">
        <f>IF(H427="CÉLULA CONSTRUTIVA",0,IF(H427="ETAPA",OFFSET(C427,-1,0)+1,OFFSET(C427,-1,0)))</f>
        <v/>
      </c>
      <c r="D1210" s="35">
        <f>IF(H427="ETAPA",0,IF(H427="SUBETAPA",OFFSET(D427,-1,0)+1,OFFSET(D427,-1,0)))</f>
        <v/>
      </c>
      <c r="E1210" s="35">
        <f>IF(H427="Subetapa",0,IF(H427="serviço",OFFSET(E427,-1,0)+1,OFFSET(E427,-1,0)))</f>
        <v/>
      </c>
      <c r="F1210" s="123" t="n"/>
      <c r="G1210" s="135" t="n"/>
      <c r="H1210" s="44" t="inlineStr">
        <is>
          <t>SUBETAPA</t>
        </is>
      </c>
      <c r="I1210" s="45">
        <f>IF(H427="Unidade Construtiva",TEXT(A427,"00"),IF(H427="Célula Construtiva",TEXT(B427,"00"),IF(H427="Etapa",CONCATENATE(TEXT(B427,"00"),".",TEXT(C427,"000")),IF(H427="Subetapa",CONCATENATE(TEXT(B427,"00"),".",TEXT(C427,"000"),".",TEXT(D427,"000")),IF(H427="Serviço",CONCATENATE(TEXT(B427,"00"),".",TEXT(C427,"000"),".",TEXT(D427,"000"),".",TEXT(E427,"000")),"")))))</f>
        <v/>
      </c>
      <c r="J1210" s="51" t="inlineStr">
        <is>
          <t>Paisagismo</t>
        </is>
      </c>
      <c r="K1210" s="47" t="n"/>
      <c r="L1210" s="48" t="n"/>
      <c r="M1210" s="48" t="n"/>
      <c r="N1210" s="49">
        <f>IF(H427="Serviço",M427*L427,IF(H427="CÉLULA CONSTRUTIVA",SUMIFS($N$118:$N$438,$B$118:$B$438,B427,$H$118:$H$438,"Serviço"),IF(H427="ETAPA",SUMIFS($N$118:$N$438,$B$118:$B$438,B427,$C$118:$C$438,C427,$H$118:$H$438,"Serviço"),IF(H427="SUBETAPA",SUMIFS($N$118:$N$438,$B$118:$B$438,B427,$C$118:$C$438,C427,$D$118:$D$438,D427,$H$118:$H$438,"Serviço"),0))))</f>
        <v/>
      </c>
      <c r="O1210" s="50">
        <f>N427/CAPA!C$10</f>
        <v/>
      </c>
      <c r="P1210" s="134" t="n"/>
      <c r="Q1210" s="52" t="n"/>
      <c r="R1210" s="52" t="n"/>
      <c r="S1210" s="1" t="n"/>
      <c r="T1210" s="1" t="n"/>
      <c r="U1210" s="1" t="n"/>
      <c r="V1210" s="1" t="n"/>
      <c r="W1210" s="1" t="n"/>
      <c r="X1210" s="1" t="n"/>
      <c r="Y1210" s="1" t="n"/>
    </row>
    <row r="1211">
      <c r="A1211" s="34">
        <f>IF($H428="UNIDADE CONSTRUTIVA",OFFSET(A428,-1,0)+1,LARGE(A$3:A427,1))</f>
        <v/>
      </c>
      <c r="B1211" s="34">
        <f>IF(H428="UNIDADE CONSTRUTIVA",0,IF(H428="CÉLULA CONSTRUTIVA",OFFSET(B428,-1,0)+1,OFFSET(B428,-1,0)))</f>
        <v/>
      </c>
      <c r="C1211" s="34">
        <f>IF(H428="CÉLULA CONSTRUTIVA",0,IF(H428="ETAPA",OFFSET(C428,-1,0)+1,OFFSET(C428,-1,0)))</f>
        <v/>
      </c>
      <c r="D1211" s="35">
        <f>IF(H428="ETAPA",0,IF(H428="SUBETAPA",OFFSET(D428,-1,0)+1,OFFSET(D428,-1,0)))</f>
        <v/>
      </c>
      <c r="E1211" s="35">
        <f>IF(H428="Subetapa",0,IF(H428="serviço",OFFSET(E428,-1,0)+1,OFFSET(E428,-1,0)))</f>
        <v/>
      </c>
      <c r="F1211" s="123" t="n"/>
      <c r="G1211" s="135" t="inlineStr">
        <is>
          <t>SERVIÇOS COMPLEMENTARES E FINAIS</t>
        </is>
      </c>
      <c r="H1211" s="44" t="inlineStr">
        <is>
          <t>SERVIÇO</t>
        </is>
      </c>
      <c r="I1211" s="45">
        <f>IF(H428="Unidade Construtiva",TEXT(A428,"00"),IF(H428="Célula Construtiva",TEXT(B428,"00"),IF(H428="Etapa",CONCATENATE(TEXT(B428,"00"),".",TEXT(C428,"000")),IF(H428="Subetapa",CONCATENATE(TEXT(B428,"00"),".",TEXT(C428,"000"),".",TEXT(D428,"000")),IF(H428="Serviço",CONCATENATE(TEXT(B428,"00"),".",TEXT(C428,"000"),".",TEXT(D428,"000"),".",TEXT(E428,"000")),"")))))</f>
        <v/>
      </c>
      <c r="J1211" s="51" t="inlineStr">
        <is>
          <t xml:space="preserve">Paisagismo </t>
        </is>
      </c>
      <c r="K1211" s="47" t="inlineStr">
        <is>
          <t>vb</t>
        </is>
      </c>
      <c r="L1211" s="48" t="n">
        <v>1</v>
      </c>
      <c r="M1211" s="48">
        <f>CAPA!$C$10*10</f>
        <v/>
      </c>
      <c r="N1211" s="49">
        <f>IF(H428="Serviço",M428*L428,IF(H428="CÉLULA CONSTRUTIVA",SUMIFS($N$118:$N$438,$B$118:$B$438,B428,$H$118:$H$438,"Serviço"),IF(H428="ETAPA",SUMIFS($N$118:$N$438,$B$118:$B$438,B428,$C$118:$C$438,C428,$H$118:$H$438,"Serviço"),IF(H428="SUBETAPA",SUMIFS($N$118:$N$438,$B$118:$B$438,B428,$C$118:$C$438,C428,$D$118:$D$438,D428,$H$118:$H$438,"Serviço"),0))))</f>
        <v/>
      </c>
      <c r="O1211" s="50" t="inlineStr">
        <is>
          <t>Estimativa</t>
        </is>
      </c>
      <c r="P1211" s="134" t="n"/>
      <c r="Q1211" s="52" t="n"/>
      <c r="R1211" s="52" t="n"/>
      <c r="S1211" s="1" t="n"/>
      <c r="T1211" s="1" t="n"/>
      <c r="U1211" s="1" t="n"/>
      <c r="V1211" s="1" t="n"/>
      <c r="W1211" s="1" t="n"/>
      <c r="X1211" s="1" t="n"/>
      <c r="Y1211" s="1" t="n"/>
    </row>
    <row r="1212">
      <c r="A1212" s="34">
        <f>IF($H429="UNIDADE CONSTRUTIVA",OFFSET(A429,-1,0)+1,LARGE(A$3:A428,1))</f>
        <v/>
      </c>
      <c r="B1212" s="34">
        <f>IF(H429="UNIDADE CONSTRUTIVA",0,IF(H429="CÉLULA CONSTRUTIVA",OFFSET(B429,-1,0)+1,OFFSET(B429,-1,0)))</f>
        <v/>
      </c>
      <c r="C1212" s="34">
        <f>IF(H429="CÉLULA CONSTRUTIVA",0,IF(H429="ETAPA",OFFSET(C429,-1,0)+1,OFFSET(C429,-1,0)))</f>
        <v/>
      </c>
      <c r="D1212" s="35">
        <f>IF(H429="ETAPA",0,IF(H429="SUBETAPA",OFFSET(D429,-1,0)+1,OFFSET(D429,-1,0)))</f>
        <v/>
      </c>
      <c r="E1212" s="35">
        <f>IF(H429="Subetapa",0,IF(H429="serviço",OFFSET(E429,-1,0)+1,OFFSET(E429,-1,0)))</f>
        <v/>
      </c>
      <c r="F1212" s="123" t="n"/>
      <c r="G1212" s="135" t="inlineStr">
        <is>
          <t>SERVIÇOS COMPLEMENTARES E FINAIS</t>
        </is>
      </c>
      <c r="H1212" s="44" t="inlineStr">
        <is>
          <t>SERVIÇO</t>
        </is>
      </c>
      <c r="I1212" s="45">
        <f>IF(H429="Unidade Construtiva",TEXT(A429,"00"),IF(H429="Célula Construtiva",TEXT(B429,"00"),IF(H429="Etapa",CONCATENATE(TEXT(B429,"00"),".",TEXT(C429,"000")),IF(H429="Subetapa",CONCATENATE(TEXT(B429,"00"),".",TEXT(C429,"000"),".",TEXT(D429,"000")),IF(H429="Serviço",CONCATENATE(TEXT(B429,"00"),".",TEXT(C429,"000"),".",TEXT(D429,"000"),".",TEXT(E429,"000")),"")))))</f>
        <v/>
      </c>
      <c r="J1212" s="51" t="inlineStr">
        <is>
          <t>Irrigação do Paisagismo</t>
        </is>
      </c>
      <c r="K1212" s="47" t="inlineStr">
        <is>
          <t>vb</t>
        </is>
      </c>
      <c r="L1212" s="48" t="n">
        <v>1</v>
      </c>
      <c r="M1212" s="48">
        <f>CAPA!$C$10*3</f>
        <v/>
      </c>
      <c r="N1212" s="49">
        <f>IF(H429="Serviço",M429*L429,IF(H429="CÉLULA CONSTRUTIVA",SUMIFS($N$118:$N$438,$B$118:$B$438,B429,$H$118:$H$438,"Serviço"),IF(H429="ETAPA",SUMIFS($N$118:$N$438,$B$118:$B$438,B429,$C$118:$C$438,C429,$H$118:$H$438,"Serviço"),IF(H429="SUBETAPA",SUMIFS($N$118:$N$438,$B$118:$B$438,B429,$C$118:$C$438,C429,$D$118:$D$438,D429,$H$118:$H$438,"Serviço"),0))))</f>
        <v/>
      </c>
      <c r="O1212" s="50" t="inlineStr">
        <is>
          <t>Estimativa</t>
        </is>
      </c>
      <c r="P1212" s="134" t="n"/>
      <c r="Q1212" s="52" t="n"/>
      <c r="R1212" s="52" t="n"/>
      <c r="S1212" s="1" t="n"/>
      <c r="T1212" s="1" t="n"/>
      <c r="U1212" s="1" t="n"/>
      <c r="V1212" s="1" t="n"/>
      <c r="W1212" s="1" t="n"/>
      <c r="X1212" s="1" t="n"/>
      <c r="Y1212" s="1" t="n"/>
    </row>
    <row r="1213">
      <c r="A1213" s="34">
        <f>IF($H430="UNIDADE CONSTRUTIVA",OFFSET(A430,-1,0)+1,LARGE(A$3:A427,1))</f>
        <v/>
      </c>
      <c r="B1213" s="34">
        <f>IF(H430="UNIDADE CONSTRUTIVA",0,IF(H430="CÉLULA CONSTRUTIVA",OFFSET(B430,-1,0)+1,OFFSET(B430,-1,0)))</f>
        <v/>
      </c>
      <c r="C1213" s="34">
        <f>IF(H430="CÉLULA CONSTRUTIVA",0,IF(H430="ETAPA",OFFSET(C430,-1,0)+1,OFFSET(C430,-1,0)))</f>
        <v/>
      </c>
      <c r="D1213" s="35">
        <f>IF(H430="ETAPA",0,IF(H430="SUBETAPA",OFFSET(D430,-1,0)+1,OFFSET(D430,-1,0)))</f>
        <v/>
      </c>
      <c r="E1213" s="35">
        <f>IF(H430="Subetapa",0,IF(H430="serviço",OFFSET(E430,-1,0)+1,OFFSET(E430,-1,0)))</f>
        <v/>
      </c>
      <c r="F1213" s="123" t="n"/>
      <c r="G1213" s="135" t="n"/>
      <c r="H1213" s="44" t="inlineStr">
        <is>
          <t>SUBETAPA</t>
        </is>
      </c>
      <c r="I1213" s="45">
        <f>IF(H430="Unidade Construtiva",TEXT(A430,"00"),IF(H430="Célula Construtiva",TEXT(B430,"00"),IF(H430="Etapa",CONCATENATE(TEXT(B430,"00"),".",TEXT(C430,"000")),IF(H430="Subetapa",CONCATENATE(TEXT(B430,"00"),".",TEXT(C430,"000"),".",TEXT(D430,"000")),IF(H430="Serviço",CONCATENATE(TEXT(B430,"00"),".",TEXT(C430,"000"),".",TEXT(D430,"000"),".",TEXT(E430,"000")),"")))))</f>
        <v/>
      </c>
      <c r="J1213" s="51" t="inlineStr">
        <is>
          <t>Serviços finais</t>
        </is>
      </c>
      <c r="K1213" s="47" t="n"/>
      <c r="L1213" s="48" t="n"/>
      <c r="M1213" s="48" t="n"/>
      <c r="N1213" s="49">
        <f>IF(H430="Serviço",M430*L430,IF(H430="CÉLULA CONSTRUTIVA",SUMIFS($N$118:$N$438,$B$118:$B$438,B430,$H$118:$H$438,"Serviço"),IF(H430="ETAPA",SUMIFS($N$118:$N$438,$B$118:$B$438,B430,$C$118:$C$438,C430,$H$118:$H$438,"Serviço"),IF(H430="SUBETAPA",SUMIFS($N$118:$N$438,$B$118:$B$438,B430,$C$118:$C$438,C430,$D$118:$D$438,D430,$H$118:$H$438,"Serviço"),0))))</f>
        <v/>
      </c>
      <c r="O1213" s="50">
        <f>N430/CAPA!C$10</f>
        <v/>
      </c>
      <c r="P1213" s="134" t="n"/>
      <c r="Q1213" s="52" t="n"/>
      <c r="R1213" s="52" t="n"/>
      <c r="S1213" s="1" t="n"/>
      <c r="T1213" s="1" t="n"/>
      <c r="U1213" s="1" t="n"/>
      <c r="V1213" s="1" t="n"/>
      <c r="W1213" s="1" t="n"/>
      <c r="X1213" s="1" t="n"/>
      <c r="Y1213" s="1" t="n"/>
    </row>
    <row r="1214">
      <c r="A1214" s="34">
        <f>IF($H431="UNIDADE CONSTRUTIVA",OFFSET(A431,-1,0)+1,LARGE(A$3:A430,1))</f>
        <v/>
      </c>
      <c r="B1214" s="34">
        <f>IF(H431="UNIDADE CONSTRUTIVA",0,IF(H431="CÉLULA CONSTRUTIVA",OFFSET(B431,-1,0)+1,OFFSET(B431,-1,0)))</f>
        <v/>
      </c>
      <c r="C1214" s="34">
        <f>IF(H431="CÉLULA CONSTRUTIVA",0,IF(H431="ETAPA",OFFSET(C431,-1,0)+1,OFFSET(C431,-1,0)))</f>
        <v/>
      </c>
      <c r="D1214" s="35">
        <f>IF(H431="ETAPA",0,IF(H431="SUBETAPA",OFFSET(D431,-1,0)+1,OFFSET(D431,-1,0)))</f>
        <v/>
      </c>
      <c r="E1214" s="35">
        <f>IF(H431="Subetapa",0,IF(H431="serviço",OFFSET(E431,-1,0)+1,OFFSET(E431,-1,0)))</f>
        <v/>
      </c>
      <c r="F1214" s="123" t="n"/>
      <c r="G1214" s="135" t="inlineStr">
        <is>
          <t>SERVIÇOS COMPLEMENTARES E FINAIS</t>
        </is>
      </c>
      <c r="H1214" s="44" t="inlineStr">
        <is>
          <t>SERVIÇO</t>
        </is>
      </c>
      <c r="I1214" s="45">
        <f>IF(H431="Unidade Construtiva",TEXT(A431,"00"),IF(H431="Célula Construtiva",TEXT(B431,"00"),IF(H431="Etapa",CONCATENATE(TEXT(B431,"00"),".",TEXT(C431,"000")),IF(H431="Subetapa",CONCATENATE(TEXT(B431,"00"),".",TEXT(C431,"000"),".",TEXT(D431,"000")),IF(H431="Serviço",CONCATENATE(TEXT(B431,"00"),".",TEXT(C431,"000"),".",TEXT(D431,"000"),".",TEXT(E431,"000")),"")))))</f>
        <v/>
      </c>
      <c r="J1214" s="51" t="inlineStr">
        <is>
          <t>Desmobilização</t>
        </is>
      </c>
      <c r="K1214" s="47" t="inlineStr">
        <is>
          <t>vb</t>
        </is>
      </c>
      <c r="L1214" s="48" t="n">
        <v>1</v>
      </c>
      <c r="M1214" s="48">
        <f>CAPA!$C$10*5</f>
        <v/>
      </c>
      <c r="N1214" s="49">
        <f>IF(H431="Serviço",M431*L431,IF(H431="CÉLULA CONSTRUTIVA",SUMIFS($N$118:$N$438,$B$118:$B$438,B431,$H$118:$H$438,"Serviço"),IF(H431="ETAPA",SUMIFS($N$118:$N$438,$B$118:$B$438,B431,$C$118:$C$438,C431,$H$118:$H$438,"Serviço"),IF(H431="SUBETAPA",SUMIFS($N$118:$N$438,$B$118:$B$438,B431,$C$118:$C$438,C431,$D$118:$D$438,D431,$H$118:$H$438,"Serviço"),0))))</f>
        <v/>
      </c>
      <c r="O1214" s="50" t="inlineStr">
        <is>
          <t>Estimativa</t>
        </is>
      </c>
      <c r="P1214" s="134" t="n"/>
      <c r="Q1214" s="52" t="n"/>
      <c r="R1214" s="52" t="n"/>
      <c r="S1214" s="1" t="n"/>
      <c r="T1214" s="1" t="n"/>
      <c r="U1214" s="1" t="n"/>
      <c r="V1214" s="1" t="n"/>
      <c r="W1214" s="1" t="n"/>
      <c r="X1214" s="1" t="n"/>
      <c r="Y1214" s="1" t="n"/>
    </row>
    <row r="1215">
      <c r="A1215" s="34">
        <f>IF($H432="UNIDADE CONSTRUTIVA",OFFSET(A432,-1,0)+1,LARGE(A$3:A431,1))</f>
        <v/>
      </c>
      <c r="B1215" s="34">
        <f>IF(H432="UNIDADE CONSTRUTIVA",0,IF(H432="CÉLULA CONSTRUTIVA",OFFSET(B432,-1,0)+1,OFFSET(B432,-1,0)))</f>
        <v/>
      </c>
      <c r="C1215" s="34">
        <f>IF(H432="CÉLULA CONSTRUTIVA",0,IF(H432="ETAPA",OFFSET(C432,-1,0)+1,OFFSET(C432,-1,0)))</f>
        <v/>
      </c>
      <c r="D1215" s="35">
        <f>IF(H432="ETAPA",0,IF(H432="SUBETAPA",OFFSET(D432,-1,0)+1,OFFSET(D432,-1,0)))</f>
        <v/>
      </c>
      <c r="E1215" s="35">
        <f>IF(H432="Subetapa",0,IF(H432="serviço",OFFSET(E432,-1,0)+1,OFFSET(E432,-1,0)))</f>
        <v/>
      </c>
      <c r="F1215" s="123" t="n"/>
      <c r="G1215" s="135" t="inlineStr">
        <is>
          <t>SERVIÇOS COMPLEMENTARES E FINAIS</t>
        </is>
      </c>
      <c r="H1215" s="44" t="inlineStr">
        <is>
          <t>SERVIÇO</t>
        </is>
      </c>
      <c r="I1215" s="45">
        <f>IF(H432="Unidade Construtiva",TEXT(A432,"00"),IF(H432="Célula Construtiva",TEXT(B432,"00"),IF(H432="Etapa",CONCATENATE(TEXT(B432,"00"),".",TEXT(C432,"000")),IF(H432="Subetapa",CONCATENATE(TEXT(B432,"00"),".",TEXT(C432,"000"),".",TEXT(D432,"000")),IF(H432="Serviço",CONCATENATE(TEXT(B432,"00"),".",TEXT(C432,"000"),".",TEXT(D432,"000"),".",TEXT(E432,"000")),"")))))</f>
        <v/>
      </c>
      <c r="J1215" s="51" t="inlineStr">
        <is>
          <t>Limpeza final</t>
        </is>
      </c>
      <c r="K1215" s="47" t="inlineStr">
        <is>
          <t>vb</t>
        </is>
      </c>
      <c r="L1215" s="48" t="n">
        <v>1</v>
      </c>
      <c r="M1215" s="48">
        <f>CAPA!$C$10*25</f>
        <v/>
      </c>
      <c r="N1215" s="49">
        <f>IF(H432="Serviço",M432*L432,IF(H432="CÉLULA CONSTRUTIVA",SUMIFS($N$118:$N$438,$B$118:$B$438,B432,$H$118:$H$438,"Serviço"),IF(H432="ETAPA",SUMIFS($N$118:$N$438,$B$118:$B$438,B432,$C$118:$C$438,C432,$H$118:$H$438,"Serviço"),IF(H432="SUBETAPA",SUMIFS($N$118:$N$438,$B$118:$B$438,B432,$C$118:$C$438,C432,$D$118:$D$438,D432,$H$118:$H$438,"Serviço"),0))))</f>
        <v/>
      </c>
      <c r="O1215" s="50" t="inlineStr">
        <is>
          <t>Estimativa</t>
        </is>
      </c>
      <c r="P1215" s="134" t="n"/>
      <c r="Q1215" s="52" t="n"/>
      <c r="R1215" s="52" t="n"/>
      <c r="S1215" s="1" t="n"/>
      <c r="T1215" s="1" t="n"/>
      <c r="U1215" s="1" t="n"/>
      <c r="V1215" s="1" t="n"/>
      <c r="W1215" s="1" t="n"/>
      <c r="X1215" s="1" t="n"/>
      <c r="Y1215" s="1" t="n"/>
    </row>
    <row r="1216">
      <c r="A1216" s="34">
        <f>IF($H433="UNIDADE CONSTRUTIVA",OFFSET(A433,-1,0)+1,LARGE(A$3:A431,1))</f>
        <v/>
      </c>
      <c r="B1216" s="34">
        <f>IF(H433="UNIDADE CONSTRUTIVA",0,IF(H433="CÉLULA CONSTRUTIVA",OFFSET(B433,-1,0)+1,OFFSET(B433,-1,0)))</f>
        <v/>
      </c>
      <c r="C1216" s="34">
        <f>IF(H433="CÉLULA CONSTRUTIVA",0,IF(H433="ETAPA",OFFSET(C433,-1,0)+1,OFFSET(C433,-1,0)))</f>
        <v/>
      </c>
      <c r="D1216" s="35">
        <f>IF(H433="ETAPA",0,IF(H433="SUBETAPA",OFFSET(D433,-1,0)+1,OFFSET(D433,-1,0)))</f>
        <v/>
      </c>
      <c r="E1216" s="35">
        <f>IF(H433="Subetapa",0,IF(H433="serviço",OFFSET(E433,-1,0)+1,OFFSET(E433,-1,0)))</f>
        <v/>
      </c>
      <c r="F1216" s="123" t="n"/>
      <c r="G1216" s="135" t="n"/>
      <c r="H1216" s="44" t="inlineStr">
        <is>
          <t>SUBETAPA</t>
        </is>
      </c>
      <c r="I1216" s="45">
        <f>IF(H433="Unidade Construtiva",TEXT(A433,"00"),IF(H433="Célula Construtiva",TEXT(B433,"00"),IF(H433="Etapa",CONCATENATE(TEXT(B433,"00"),".",TEXT(C433,"000")),IF(H433="Subetapa",CONCATENATE(TEXT(B433,"00"),".",TEXT(C433,"000"),".",TEXT(D433,"000")),IF(H433="Serviço",CONCATENATE(TEXT(B433,"00"),".",TEXT(C433,"000"),".",TEXT(D433,"000"),".",TEXT(E433,"000")),"")))))</f>
        <v/>
      </c>
      <c r="J1216" s="51" t="inlineStr">
        <is>
          <t>Ligações definitivas</t>
        </is>
      </c>
      <c r="K1216" s="47" t="n"/>
      <c r="L1216" s="48" t="n"/>
      <c r="M1216" s="48" t="n"/>
      <c r="N1216" s="49">
        <f>IF(H433="Serviço",M433*L433,IF(H433="CÉLULA CONSTRUTIVA",SUMIFS($N$118:$N$438,$B$118:$B$438,B433,$H$118:$H$438,"Serviço"),IF(H433="ETAPA",SUMIFS($N$118:$N$438,$B$118:$B$438,B433,$C$118:$C$438,C433,$H$118:$H$438,"Serviço"),IF(H433="SUBETAPA",SUMIFS($N$118:$N$438,$B$118:$B$438,B433,$C$118:$C$438,C433,$D$118:$D$438,D433,$H$118:$H$438,"Serviço"),0))))</f>
        <v/>
      </c>
      <c r="O1216" s="50">
        <f>N433/CAPA!C$10</f>
        <v/>
      </c>
      <c r="P1216" s="134" t="n"/>
      <c r="Q1216" s="52" t="n"/>
      <c r="R1216" s="52" t="n"/>
      <c r="S1216" s="1" t="n"/>
      <c r="T1216" s="1" t="n"/>
      <c r="U1216" s="1" t="n"/>
      <c r="V1216" s="1" t="n"/>
      <c r="W1216" s="1" t="n"/>
      <c r="X1216" s="1" t="n"/>
      <c r="Y1216" s="1" t="n"/>
    </row>
    <row r="1217">
      <c r="A1217" s="34">
        <f>IF($H434="UNIDADE CONSTRUTIVA",OFFSET(A434,-1,0)+1,LARGE(A$3:A433,1))</f>
        <v/>
      </c>
      <c r="B1217" s="34">
        <f>IF(H434="UNIDADE CONSTRUTIVA",0,IF(H434="CÉLULA CONSTRUTIVA",OFFSET(B434,-1,0)+1,OFFSET(B434,-1,0)))</f>
        <v/>
      </c>
      <c r="C1217" s="34">
        <f>IF(H434="CÉLULA CONSTRUTIVA",0,IF(H434="ETAPA",OFFSET(C434,-1,0)+1,OFFSET(C434,-1,0)))</f>
        <v/>
      </c>
      <c r="D1217" s="35">
        <f>IF(H434="ETAPA",0,IF(H434="SUBETAPA",OFFSET(D434,-1,0)+1,OFFSET(D434,-1,0)))</f>
        <v/>
      </c>
      <c r="E1217" s="35">
        <f>IF(H434="Subetapa",0,IF(H434="serviço",OFFSET(E434,-1,0)+1,OFFSET(E434,-1,0)))</f>
        <v/>
      </c>
      <c r="F1217" s="123" t="n"/>
      <c r="G1217" s="135" t="inlineStr">
        <is>
          <t>SERVIÇOS COMPLEMENTARES E FINAIS</t>
        </is>
      </c>
      <c r="H1217" s="44" t="inlineStr">
        <is>
          <t>SERVIÇO</t>
        </is>
      </c>
      <c r="I1217" s="45">
        <f>IF(H434="Unidade Construtiva",TEXT(A434,"00"),IF(H434="Célula Construtiva",TEXT(B434,"00"),IF(H434="Etapa",CONCATENATE(TEXT(B434,"00"),".",TEXT(C434,"000")),IF(H434="Subetapa",CONCATENATE(TEXT(B434,"00"),".",TEXT(C434,"000"),".",TEXT(D434,"000")),IF(H434="Serviço",CONCATENATE(TEXT(B434,"00"),".",TEXT(C434,"000"),".",TEXT(D434,"000"),".",TEXT(E434,"000")),"")))))</f>
        <v/>
      </c>
      <c r="J1217" s="51" t="inlineStr">
        <is>
          <t>Ligações definitivas</t>
        </is>
      </c>
      <c r="K1217" s="47" t="inlineStr">
        <is>
          <t>vb</t>
        </is>
      </c>
      <c r="L1217" s="48" t="n">
        <v>1</v>
      </c>
      <c r="M1217" s="48">
        <f>CAPA!$C$10*4</f>
        <v/>
      </c>
      <c r="N1217" s="49">
        <f>IF(H434="Serviço",M434*L434,IF(H434="CÉLULA CONSTRUTIVA",SUMIFS($N$118:$N$438,$B$118:$B$438,B434,$H$118:$H$438,"Serviço"),IF(H434="ETAPA",SUMIFS($N$118:$N$438,$B$118:$B$438,B434,$C$118:$C$438,C434,$H$118:$H$438,"Serviço"),IF(H434="SUBETAPA",SUMIFS($N$118:$N$438,$B$118:$B$438,B434,$C$118:$C$438,C434,$D$118:$D$438,D434,$H$118:$H$438,"Serviço"),0))))</f>
        <v/>
      </c>
      <c r="O1217" s="50" t="inlineStr">
        <is>
          <t>Estimativa</t>
        </is>
      </c>
      <c r="P1217" s="134" t="n"/>
      <c r="Q1217" s="52" t="n"/>
      <c r="R1217" s="52" t="n"/>
      <c r="S1217" s="56" t="n"/>
      <c r="T1217" s="56" t="n"/>
      <c r="U1217" s="1" t="n"/>
      <c r="V1217" s="1" t="n"/>
      <c r="W1217" s="1" t="n"/>
      <c r="X1217" s="1" t="n"/>
      <c r="Y1217" s="1" t="n"/>
    </row>
    <row r="1218">
      <c r="A1218" s="34">
        <f>IF($H435="UNIDADE CONSTRUTIVA",OFFSET(A435,-1,0)+1,LARGE(A$3:A434,1))</f>
        <v/>
      </c>
      <c r="B1218" s="34">
        <f>IF(H435="UNIDADE CONSTRUTIVA",0,IF(H435="CÉLULA CONSTRUTIVA",OFFSET(B435,-1,0)+1,OFFSET(B435,-1,0)))</f>
        <v/>
      </c>
      <c r="C1218" s="34">
        <f>IF(H435="CÉLULA CONSTRUTIVA",0,IF(H435="ETAPA",OFFSET(C435,-1,0)+1,OFFSET(C435,-1,0)))</f>
        <v/>
      </c>
      <c r="D1218" s="35">
        <f>IF(H435="ETAPA",0,IF(H435="SUBETAPA",OFFSET(D435,-1,0)+1,OFFSET(D435,-1,0)))</f>
        <v/>
      </c>
      <c r="E1218" s="35">
        <f>IF(H435="Subetapa",0,IF(H435="serviço",OFFSET(E435,-1,0)+1,OFFSET(E435,-1,0)))</f>
        <v/>
      </c>
      <c r="F1218" s="147" t="n"/>
      <c r="G1218" s="135" t="n"/>
      <c r="H1218" s="44" t="inlineStr">
        <is>
          <t>CÉLULA CONSTRUTIVA</t>
        </is>
      </c>
      <c r="I1218" s="45">
        <f>IF(H435="Unidade Construtiva",TEXT(A435,"00"),IF(H435="Célula Construtiva",TEXT(B435,"00"),IF(H435="Etapa",CONCATENATE(TEXT(B435,"00"),".",TEXT(C435,"000")),IF(H435="Subetapa",CONCATENATE(TEXT(B435,"00"),".",TEXT(C435,"000"),".",TEXT(D435,"000")),IF(H435="Serviço",CONCATENATE(TEXT(B435,"00"),".",TEXT(C435,"000"),".",TEXT(D435,"000"),".",TEXT(E435,"000")),"")))))</f>
        <v/>
      </c>
      <c r="J1218" s="51" t="inlineStr">
        <is>
          <t>IMPREVISTOS E CONTINGÊNCIAS</t>
        </is>
      </c>
      <c r="K1218" s="47" t="n"/>
      <c r="L1218" s="48" t="n"/>
      <c r="M1218" s="48" t="n"/>
      <c r="N1218" s="49">
        <f>IF(H435="Serviço",M435*L435,IF(H435="CÉLULA CONSTRUTIVA",SUMIFS($N$118:$N$438,$B$118:$B$438,B435,$H$118:$H$438,"Serviço"),IF(H435="ETAPA",SUMIFS($N$118:$N$438,$B$118:$B$438,B435,$C$118:$C$438,C435,$H$118:$H$438,"Serviço"),IF(H435="SUBETAPA",SUMIFS($N$118:$N$438,$B$118:$B$438,B435,$C$118:$C$438,C435,$D$118:$D$438,D435,$H$118:$H$438,"Serviço"),0))))</f>
        <v/>
      </c>
      <c r="O1218" s="50">
        <f>N435/CAPA!$C$10</f>
        <v/>
      </c>
      <c r="P1218" s="134" t="n"/>
      <c r="Q1218" s="115" t="n"/>
      <c r="R1218" s="52" t="n"/>
      <c r="S1218" s="1" t="n"/>
      <c r="T1218" s="1" t="n"/>
      <c r="U1218" s="1" t="n"/>
      <c r="V1218" s="1" t="n"/>
      <c r="W1218" s="1" t="n"/>
      <c r="X1218" s="1" t="n"/>
      <c r="Y1218" s="1" t="n"/>
    </row>
    <row r="1219">
      <c r="A1219" s="34">
        <f>IF($H436="UNIDADE CONSTRUTIVA",OFFSET(A436,-1,0)+1,LARGE(A$3:A435,1))</f>
        <v/>
      </c>
      <c r="B1219" s="34">
        <f>IF(H436="UNIDADE CONSTRUTIVA",0,IF(H436="CÉLULA CONSTRUTIVA",OFFSET(B436,-1,0)+1,OFFSET(B436,-1,0)))</f>
        <v/>
      </c>
      <c r="C1219" s="34">
        <f>IF(H436="CÉLULA CONSTRUTIVA",0,IF(H436="ETAPA",OFFSET(C436,-1,0)+1,OFFSET(C436,-1,0)))</f>
        <v/>
      </c>
      <c r="D1219" s="35">
        <f>IF(H436="ETAPA",0,IF(H436="SUBETAPA",OFFSET(D436,-1,0)+1,OFFSET(D436,-1,0)))</f>
        <v/>
      </c>
      <c r="E1219" s="35">
        <f>IF(H436="Subetapa",0,IF(H436="serviço",OFFSET(E436,-1,0)+1,OFFSET(E436,-1,0)))</f>
        <v/>
      </c>
      <c r="F1219" s="123" t="n"/>
      <c r="G1219" s="135" t="n"/>
      <c r="H1219" s="44" t="inlineStr">
        <is>
          <t>ETAPA</t>
        </is>
      </c>
      <c r="I1219" s="45">
        <f>IF(H436="Unidade Construtiva",TEXT(A436,"00"),IF(H436="Célula Construtiva",TEXT(B436,"00"),IF(H436="Etapa",CONCATENATE(TEXT(B436,"00"),".",TEXT(C436,"000")),IF(H436="Subetapa",CONCATENATE(TEXT(B436,"00"),".",TEXT(C436,"000"),".",TEXT(D436,"000")),IF(H436="Serviço",CONCATENATE(TEXT(B436,"00"),".",TEXT(C436,"000"),".",TEXT(D436,"000"),".",TEXT(E436,"000")),"")))))</f>
        <v/>
      </c>
      <c r="J1219" s="51" t="inlineStr">
        <is>
          <t>IMPREVISTOS E CONTINGÊNCIAS</t>
        </is>
      </c>
      <c r="K1219" s="47" t="n"/>
      <c r="L1219" s="48" t="n"/>
      <c r="M1219" s="48" t="n"/>
      <c r="N1219" s="49">
        <f>IF(H436="Serviço",M436*L436,IF(H436="CÉLULA CONSTRUTIVA",SUMIFS($N$118:$N$438,$B$118:$B$438,B436,$H$118:$H$438,"Serviço"),IF(H436="ETAPA",SUMIFS($N$118:$N$438,$B$118:$B$438,B436,$C$118:$C$438,C436,$H$118:$H$438,"Serviço"),IF(H436="SUBETAPA",SUMIFS($N$118:$N$438,$B$118:$B$438,B436,$C$118:$C$438,C436,$D$118:$D$438,D436,$H$118:$H$438,"Serviço"),0))))</f>
        <v/>
      </c>
      <c r="O1219" s="50">
        <f>N436/CAPA!C$10</f>
        <v/>
      </c>
      <c r="P1219" s="134" t="n"/>
      <c r="Q1219" s="52" t="n"/>
      <c r="R1219" s="52" t="n"/>
      <c r="S1219" s="1" t="n"/>
      <c r="T1219" s="1" t="n"/>
      <c r="U1219" s="1" t="n"/>
      <c r="V1219" s="1" t="n"/>
      <c r="W1219" s="1" t="n"/>
      <c r="X1219" s="1" t="n"/>
      <c r="Y1219" s="1" t="n"/>
    </row>
    <row r="1220">
      <c r="A1220" s="34">
        <f>IF($H437="UNIDADE CONSTRUTIVA",OFFSET(A437,-1,0)+1,LARGE(A$3:A436,1))</f>
        <v/>
      </c>
      <c r="B1220" s="34">
        <f>IF(H437="UNIDADE CONSTRUTIVA",0,IF(H437="CÉLULA CONSTRUTIVA",OFFSET(B437,-1,0)+1,OFFSET(B437,-1,0)))</f>
        <v/>
      </c>
      <c r="C1220" s="34">
        <f>IF(H437="CÉLULA CONSTRUTIVA",0,IF(H437="ETAPA",OFFSET(C437,-1,0)+1,OFFSET(C437,-1,0)))</f>
        <v/>
      </c>
      <c r="D1220" s="35">
        <f>IF(H437="ETAPA",0,IF(H437="SUBETAPA",OFFSET(D437,-1,0)+1,OFFSET(D437,-1,0)))</f>
        <v/>
      </c>
      <c r="E1220" s="35">
        <f>IF(H437="Subetapa",0,IF(H437="serviço",OFFSET(E437,-1,0)+1,OFFSET(E437,-1,0)))</f>
        <v/>
      </c>
      <c r="F1220" s="123" t="n"/>
      <c r="G1220" s="135" t="n"/>
      <c r="H1220" s="44" t="inlineStr">
        <is>
          <t>SUBETAPA</t>
        </is>
      </c>
      <c r="I1220" s="45">
        <f>IF(H437="Unidade Construtiva",TEXT(A437,"00"),IF(H437="Célula Construtiva",TEXT(B437,"00"),IF(H437="Etapa",CONCATENATE(TEXT(B437,"00"),".",TEXT(C437,"000")),IF(H437="Subetapa",CONCATENATE(TEXT(B437,"00"),".",TEXT(C437,"000"),".",TEXT(D437,"000")),IF(H437="Serviço",CONCATENATE(TEXT(B437,"00"),".",TEXT(C437,"000"),".",TEXT(D437,"000"),".",TEXT(E437,"000")),"")))))</f>
        <v/>
      </c>
      <c r="J1220" s="51" t="inlineStr">
        <is>
          <t>Imprevistos e contingências</t>
        </is>
      </c>
      <c r="K1220" s="47" t="n"/>
      <c r="L1220" s="48" t="n"/>
      <c r="M1220" s="48" t="n"/>
      <c r="N1220" s="49">
        <f>IF(H437="Serviço",M437*L437,IF(H437="CÉLULA CONSTRUTIVA",SUMIFS($N$118:$N$438,$B$118:$B$438,B437,$H$118:$H$438,"Serviço"),IF(H437="ETAPA",SUMIFS($N$118:$N$438,$B$118:$B$438,B437,$C$118:$C$438,C437,$H$118:$H$438,"Serviço"),IF(H437="SUBETAPA",SUMIFS($N$118:$N$438,$B$118:$B$438,B437,$C$118:$C$438,C437,$D$118:$D$438,D437,$H$118:$H$438,"Serviço"),0))))</f>
        <v/>
      </c>
      <c r="O1220" s="50">
        <f>N437/CAPA!C$10</f>
        <v/>
      </c>
      <c r="P1220" s="134" t="n"/>
      <c r="Q1220" s="52" t="n"/>
      <c r="R1220" s="52" t="n"/>
      <c r="S1220" s="56" t="n"/>
      <c r="T1220" s="56" t="n"/>
      <c r="U1220" s="1" t="n"/>
      <c r="V1220" s="1" t="n"/>
      <c r="W1220" s="1" t="n"/>
      <c r="X1220" s="1" t="n"/>
      <c r="Y1220" s="1" t="n"/>
    </row>
    <row r="1221">
      <c r="A1221" s="34">
        <f>IF($H438="UNIDADE CONSTRUTIVA",OFFSET(A438,-1,0)+1,LARGE(A$3:A437,1))</f>
        <v/>
      </c>
      <c r="B1221" s="34">
        <f>IF(H438="UNIDADE CONSTRUTIVA",0,IF(H438="CÉLULA CONSTRUTIVA",OFFSET(B438,-1,0)+1,OFFSET(B438,-1,0)))</f>
        <v/>
      </c>
      <c r="C1221" s="34">
        <f>IF(H438="CÉLULA CONSTRUTIVA",0,IF(H438="ETAPA",OFFSET(C438,-1,0)+1,OFFSET(C438,-1,0)))</f>
        <v/>
      </c>
      <c r="D1221" s="35">
        <f>IF(H438="ETAPA",0,IF(H438="SUBETAPA",OFFSET(D438,-1,0)+1,OFFSET(D438,-1,0)))</f>
        <v/>
      </c>
      <c r="E1221" s="35">
        <f>IF(H438="Subetapa",0,IF(H438="serviço",OFFSET(E438,-1,0)+1,OFFSET(E438,-1,0)))</f>
        <v/>
      </c>
      <c r="F1221" s="123" t="n"/>
      <c r="G1221" s="135" t="inlineStr">
        <is>
          <t xml:space="preserve">IMPREVISTOS E CONTINGÊNCIAS </t>
        </is>
      </c>
      <c r="H1221" s="44" t="inlineStr">
        <is>
          <t>SERVIÇO</t>
        </is>
      </c>
      <c r="I1221" s="45">
        <f>IF(H438="Unidade Construtiva",TEXT(A438,"00"),IF(H438="Célula Construtiva",TEXT(B438,"00"),IF(H438="Etapa",CONCATENATE(TEXT(B438,"00"),".",TEXT(C438,"000")),IF(H438="Subetapa",CONCATENATE(TEXT(B438,"00"),".",TEXT(C438,"000"),".",TEXT(D438,"000")),IF(H438="Serviço",CONCATENATE(TEXT(B438,"00"),".",TEXT(C438,"000"),".",TEXT(D438,"000"),".",TEXT(E438,"000")),"")))))</f>
        <v/>
      </c>
      <c r="J1221" s="51" t="inlineStr">
        <is>
          <t>Imprevistos e contingências</t>
        </is>
      </c>
      <c r="K1221" s="47" t="inlineStr">
        <is>
          <t>vb</t>
        </is>
      </c>
      <c r="L1221" s="48" t="n">
        <v>1</v>
      </c>
      <c r="M1221" s="48">
        <f>SUMIFS($N$7:$N$434,$H$7:$H$434,"SERVIÇO")*0.02</f>
        <v/>
      </c>
      <c r="N1221" s="49">
        <f>IF(H438="Serviço",M438*L438,IF(H438="CÉLULA CONSTRUTIVA",SUMIFS($N$118:$N$438,$B$118:$B$438,B438,$H$118:$H$438,"Serviço"),IF(H438="ETAPA",SUMIFS($N$118:$N$438,$B$118:$B$438,B438,$C$118:$C$438,C438,$H$118:$H$438,"Serviço"),IF(H438="SUBETAPA",SUMIFS($N$118:$N$438,$B$118:$B$438,B438,$C$118:$C$438,C438,$D$118:$D$438,D438,$H$118:$H$438,"Serviço"),0))))</f>
        <v/>
      </c>
      <c r="O1221" s="50" t="inlineStr">
        <is>
          <t>Considerando 2% do custo raso</t>
        </is>
      </c>
      <c r="P1221" s="134" t="n"/>
      <c r="Q1221" s="52" t="n"/>
      <c r="R1221" s="52" t="n"/>
      <c r="S1221" s="56" t="n"/>
      <c r="T1221" s="56" t="n"/>
      <c r="U1221" s="1" t="n"/>
      <c r="V1221" s="1" t="n"/>
      <c r="W1221" s="1" t="n"/>
      <c r="X1221" s="1" t="n"/>
      <c r="Y1221" s="1" t="n"/>
    </row>
    <row r="1222">
      <c r="A1222" s="34">
        <f>IF($H439="UNIDADE CONSTRUTIVA",OFFSET(A439,-1,0)+1,LARGE(A$3:A438,1))</f>
        <v/>
      </c>
      <c r="B1222" s="34">
        <f>IF(H439="UNIDADE CONSTRUTIVA",0,IF(H439="CÉLULA CONSTRUTIVA",OFFSET(B439,-1,0)+1,OFFSET(B439,-1,0)))</f>
        <v/>
      </c>
      <c r="C1222" s="34">
        <f>IF(H439="CÉLULA CONSTRUTIVA",0,IF(H439="ETAPA",OFFSET(C439,-1,0)+1,OFFSET(C439,-1,0)))</f>
        <v/>
      </c>
      <c r="D1222" s="35">
        <f>IF(H439="ETAPA",0,IF(H439="SUBETAPA",OFFSET(D439,-1,0)+1,OFFSET(D439,-1,0)))</f>
        <v/>
      </c>
      <c r="E1222" s="35">
        <f>IF(H439="Subetapa",0,IF(H439="serviço",OFFSET(E439,-1,0)+1,OFFSET(E439,-1,0)))</f>
        <v/>
      </c>
      <c r="F1222" s="1" t="n"/>
      <c r="G1222" s="167" t="n"/>
      <c r="H1222" s="167" t="n"/>
      <c r="I1222" s="167" t="n"/>
      <c r="J1222" s="168" t="n"/>
      <c r="K1222" s="169" t="n"/>
      <c r="L1222" s="1" t="n"/>
      <c r="M1222" s="170">
        <f>SUMIFS($N$7:$N$439,$H$7:$H$439,N439)</f>
        <v/>
      </c>
      <c r="N1222" s="171" t="inlineStr">
        <is>
          <t>CÉLULA CONSTRUTIVA</t>
        </is>
      </c>
      <c r="O1222" s="168" t="n"/>
      <c r="P1222" s="104" t="n"/>
      <c r="Q1222" s="1" t="n"/>
      <c r="R1222" s="1" t="n"/>
      <c r="S1222" s="1" t="n"/>
      <c r="T1222" s="1" t="n"/>
      <c r="U1222" s="1" t="n"/>
      <c r="V1222" s="1" t="n"/>
      <c r="W1222" s="1" t="n"/>
      <c r="X1222" s="1" t="n"/>
      <c r="Y1222" s="1" t="n"/>
    </row>
    <row r="1223">
      <c r="A1223" s="34">
        <f>IF($H440="UNIDADE CONSTRUTIVA",OFFSET(A440,-1,0)+1,LARGE(A$3:A439,1))</f>
        <v/>
      </c>
      <c r="B1223" s="34" t="n"/>
      <c r="C1223" s="34" t="n"/>
      <c r="D1223" s="35" t="n"/>
      <c r="E1223" s="35" t="n"/>
      <c r="F1223" s="1" t="n"/>
      <c r="G1223" s="167" t="n"/>
      <c r="H1223" s="167" t="n"/>
      <c r="I1223" s="167" t="n"/>
      <c r="J1223" s="168" t="n"/>
      <c r="K1223" s="169" t="n"/>
      <c r="L1223" s="172" t="n"/>
      <c r="M1223" s="170">
        <f>SUMIFS($N$7:$N$439,$H$7:$H$439,N440)</f>
        <v/>
      </c>
      <c r="N1223" s="171" t="inlineStr">
        <is>
          <t>ETAPA</t>
        </is>
      </c>
      <c r="O1223" s="168" t="n"/>
      <c r="P1223" s="173" t="n"/>
      <c r="Q1223" s="1" t="n"/>
      <c r="R1223" s="1" t="n"/>
      <c r="S1223" s="1" t="n"/>
      <c r="T1223" s="1" t="n"/>
      <c r="U1223" s="1" t="n"/>
      <c r="V1223" s="1" t="n"/>
      <c r="W1223" s="1" t="n"/>
      <c r="X1223" s="1" t="n"/>
      <c r="Y1223" s="1" t="n"/>
    </row>
    <row r="1224">
      <c r="A1224" s="34">
        <f>IF($H441="UNIDADE CONSTRUTIVA",OFFSET(A441,-1,0)+1,LARGE(A$3:A440,1))</f>
        <v/>
      </c>
      <c r="B1224" s="34" t="n"/>
      <c r="C1224" s="34" t="n"/>
      <c r="D1224" s="35" t="n"/>
      <c r="E1224" s="35" t="n"/>
      <c r="F1224" s="1" t="n"/>
      <c r="G1224" s="167" t="n"/>
      <c r="H1224" s="167" t="n"/>
      <c r="I1224" s="167" t="n"/>
      <c r="J1224" s="168" t="n"/>
      <c r="K1224" s="169" t="n"/>
      <c r="L1224" s="172" t="n"/>
      <c r="M1224" s="170">
        <f>SUMIFS($N$7:$N$439,$H$7:$H$439,N441)</f>
        <v/>
      </c>
      <c r="N1224" s="171" t="inlineStr">
        <is>
          <t>SUBETAPA</t>
        </is>
      </c>
      <c r="O1224" s="168" t="n"/>
      <c r="P1224" s="173" t="n"/>
      <c r="Q1224" s="1" t="n"/>
      <c r="R1224" s="1" t="n"/>
      <c r="S1224" s="1" t="n"/>
      <c r="T1224" s="1" t="n"/>
      <c r="U1224" s="1" t="n"/>
      <c r="V1224" s="1" t="n"/>
      <c r="W1224" s="1" t="n"/>
      <c r="X1224" s="1" t="n"/>
      <c r="Y1224" s="1" t="n"/>
    </row>
    <row r="1225">
      <c r="A1225" s="34">
        <f>IF($H442="UNIDADE CONSTRUTIVA",OFFSET(A442,-1,0)+1,LARGE(A$3:A441,1))</f>
        <v/>
      </c>
      <c r="B1225" s="34" t="n"/>
      <c r="C1225" s="34" t="n"/>
      <c r="D1225" s="35" t="n"/>
      <c r="E1225" s="35" t="n"/>
      <c r="F1225" s="1" t="n"/>
      <c r="G1225" s="167" t="n"/>
      <c r="H1225" s="167" t="n"/>
      <c r="I1225" s="167" t="n"/>
      <c r="J1225" s="168" t="n"/>
      <c r="K1225" s="174" t="n"/>
      <c r="L1225" s="172" t="n"/>
      <c r="M1225" s="170">
        <f>SUMIFS($N$7:$N$439,$H$7:$H$439,N442)</f>
        <v/>
      </c>
      <c r="N1225" s="171" t="inlineStr">
        <is>
          <t>SERVIÇO</t>
        </is>
      </c>
      <c r="O1225" s="168" t="n"/>
      <c r="P1225" s="173" t="n"/>
      <c r="Q1225" s="1" t="n"/>
      <c r="R1225" s="1" t="n"/>
      <c r="S1225" s="1" t="n"/>
      <c r="T1225" s="1" t="n"/>
      <c r="U1225" s="1" t="n"/>
      <c r="V1225" s="1" t="n"/>
      <c r="W1225" s="1" t="n"/>
      <c r="X1225" s="1" t="n"/>
      <c r="Y1225" s="1" t="n"/>
    </row>
    <row r="1226">
      <c r="A1226" s="34">
        <f>IF($H443="UNIDADE CONSTRUTIVA",OFFSET(A443,-1,0)+1,LARGE(A$3:A442,1))</f>
        <v/>
      </c>
      <c r="B1226" s="34" t="n"/>
      <c r="C1226" s="34" t="n"/>
      <c r="D1226" s="35" t="n"/>
      <c r="E1226" s="35" t="n"/>
      <c r="F1226" s="1" t="n"/>
      <c r="G1226" s="167" t="n"/>
      <c r="H1226" s="167" t="n"/>
      <c r="I1226" s="167" t="n"/>
      <c r="J1226" s="168" t="n"/>
      <c r="K1226" s="169" t="n"/>
      <c r="L1226" s="172" t="n"/>
      <c r="M1226" s="170">
        <f>CAPA!J76</f>
        <v/>
      </c>
      <c r="N1226" s="171" t="inlineStr">
        <is>
          <t>OBRA</t>
        </is>
      </c>
      <c r="O1226" s="168" t="n"/>
      <c r="P1226" s="173" t="n"/>
      <c r="Q1226" s="1" t="n"/>
      <c r="R1226" s="1" t="n"/>
      <c r="S1226" s="1" t="n"/>
      <c r="T1226" s="1" t="n"/>
      <c r="U1226" s="1" t="n"/>
      <c r="V1226" s="1" t="n"/>
      <c r="W1226" s="1" t="n"/>
      <c r="X1226" s="1" t="n"/>
      <c r="Y1226" s="1" t="n"/>
    </row>
    <row r="1227">
      <c r="A1227" s="34">
        <f>IF($H444="UNIDADE CONSTRUTIVA",OFFSET(A444,-1,0)+1,LARGE(A$3:A443,1))</f>
        <v/>
      </c>
      <c r="B1227" s="34" t="n"/>
      <c r="C1227" s="34" t="n"/>
      <c r="D1227" s="35" t="n"/>
      <c r="E1227" s="35" t="n"/>
      <c r="F1227" s="1" t="n"/>
      <c r="G1227" s="167" t="n"/>
      <c r="H1227" s="167" t="n"/>
      <c r="I1227" s="167" t="n"/>
      <c r="J1227" s="168" t="n"/>
      <c r="K1227" s="169" t="n"/>
      <c r="L1227" s="172" t="n"/>
      <c r="M1227" s="170" t="n"/>
      <c r="N1227" s="175" t="n"/>
      <c r="O1227" s="168" t="n"/>
      <c r="P1227" s="173" t="n"/>
      <c r="Q1227" s="1" t="n"/>
      <c r="R1227" s="1" t="n"/>
      <c r="S1227" s="1" t="n"/>
      <c r="T1227" s="1" t="n"/>
      <c r="U1227" s="1" t="n"/>
      <c r="V1227" s="1" t="n"/>
      <c r="W1227" s="1" t="n"/>
      <c r="X1227" s="1" t="n"/>
      <c r="Y1227" s="1" t="n"/>
    </row>
    <row r="1228">
      <c r="A1228" s="34">
        <f>IF($H445="UNIDADE CONSTRUTIVA",OFFSET(A445,-1,0)+1,LARGE(A$3:A444,1))</f>
        <v/>
      </c>
      <c r="B1228" s="34" t="n"/>
      <c r="C1228" s="34" t="n"/>
      <c r="D1228" s="35" t="n"/>
      <c r="E1228" s="35" t="n"/>
      <c r="F1228" s="1" t="n"/>
      <c r="G1228" s="167" t="n"/>
      <c r="H1228" s="167" t="n"/>
      <c r="I1228" s="167" t="n"/>
      <c r="J1228" s="168" t="n"/>
      <c r="K1228" s="169" t="n"/>
      <c r="L1228" s="172" t="n"/>
      <c r="M1228" s="170" t="n"/>
      <c r="N1228" s="175" t="n"/>
      <c r="O1228" s="168" t="n"/>
      <c r="P1228" s="173" t="n"/>
      <c r="Q1228" s="1" t="n"/>
      <c r="R1228" s="1" t="n"/>
      <c r="S1228" s="1" t="n"/>
      <c r="T1228" s="1" t="n"/>
      <c r="U1228" s="1" t="n"/>
      <c r="V1228" s="1" t="n"/>
      <c r="W1228" s="1" t="n"/>
      <c r="X1228" s="1" t="n"/>
      <c r="Y1228" s="1" t="n"/>
    </row>
    <row r="1229">
      <c r="A1229" s="34">
        <f>IF($H446="UNIDADE CONSTRUTIVA",OFFSET(A446,-1,0)+1,LARGE(A$3:A445,1))</f>
        <v/>
      </c>
      <c r="B1229" s="34" t="n"/>
      <c r="C1229" s="34" t="n"/>
      <c r="D1229" s="35" t="n"/>
      <c r="E1229" s="35" t="n"/>
      <c r="F1229" s="1" t="n"/>
      <c r="G1229" s="167" t="n"/>
      <c r="H1229" s="167" t="n"/>
      <c r="I1229" s="167" t="n"/>
      <c r="J1229" s="168" t="n"/>
      <c r="K1229" s="169" t="n"/>
      <c r="L1229" s="172" t="n"/>
      <c r="M1229" s="172" t="n"/>
      <c r="N1229" s="175" t="n"/>
      <c r="O1229" s="168" t="n"/>
      <c r="P1229" s="173" t="n"/>
      <c r="Q1229" s="1" t="n"/>
      <c r="R1229" s="1" t="n"/>
      <c r="S1229" s="1" t="n"/>
      <c r="T1229" s="1" t="n"/>
      <c r="U1229" s="1" t="n"/>
      <c r="V1229" s="1" t="n"/>
      <c r="W1229" s="1" t="n"/>
      <c r="X1229" s="1" t="n"/>
      <c r="Y1229" s="1" t="n"/>
    </row>
    <row r="1230">
      <c r="A1230" s="34">
        <f>IF($H447="UNIDADE CONSTRUTIVA",OFFSET(A447,-1,0)+1,LARGE(A$3:A446,1))</f>
        <v/>
      </c>
      <c r="B1230" s="34" t="n"/>
      <c r="C1230" s="34" t="n"/>
      <c r="D1230" s="35" t="n"/>
      <c r="E1230" s="35" t="n"/>
      <c r="F1230" s="1" t="n"/>
      <c r="G1230" s="167" t="n"/>
      <c r="H1230" s="167" t="n"/>
      <c r="I1230" s="167" t="n"/>
      <c r="J1230" s="168" t="n"/>
      <c r="K1230" s="169" t="n"/>
      <c r="L1230" s="172" t="n"/>
      <c r="M1230" s="172" t="n"/>
      <c r="N1230" s="175" t="n"/>
      <c r="O1230" s="168" t="n"/>
      <c r="P1230" s="173" t="n"/>
      <c r="Q1230" s="1" t="n"/>
      <c r="R1230" s="1" t="n"/>
      <c r="S1230" s="1" t="n"/>
      <c r="T1230" s="1" t="n"/>
      <c r="U1230" s="1" t="n"/>
      <c r="V1230" s="1" t="n"/>
      <c r="W1230" s="1" t="n"/>
      <c r="X1230" s="1" t="n"/>
      <c r="Y1230" s="1" t="n"/>
    </row>
    <row r="1231">
      <c r="A1231" s="34">
        <f>IF($H448="UNIDADE CONSTRUTIVA",OFFSET(A448,-1,0)+1,LARGE(A$3:A447,1))</f>
        <v/>
      </c>
      <c r="B1231" s="34" t="n"/>
      <c r="C1231" s="34" t="n"/>
      <c r="D1231" s="35" t="n"/>
      <c r="E1231" s="35" t="n"/>
      <c r="F1231" s="1" t="n"/>
      <c r="G1231" s="167" t="n"/>
      <c r="H1231" s="167" t="n"/>
      <c r="I1231" s="167" t="n"/>
      <c r="J1231" s="168" t="n"/>
      <c r="K1231" s="169" t="n"/>
      <c r="L1231" s="172" t="n"/>
      <c r="M1231" s="172" t="n"/>
      <c r="N1231" s="175" t="n"/>
      <c r="O1231" s="168" t="n"/>
      <c r="P1231" s="173" t="n"/>
      <c r="Q1231" s="1" t="n"/>
      <c r="R1231" s="1" t="n"/>
      <c r="S1231" s="1" t="n"/>
      <c r="T1231" s="1" t="n"/>
      <c r="U1231" s="1" t="n"/>
      <c r="V1231" s="1" t="n"/>
      <c r="W1231" s="1" t="n"/>
      <c r="X1231" s="1" t="n"/>
      <c r="Y1231" s="1" t="n"/>
    </row>
    <row r="1232">
      <c r="A1232" s="34">
        <f>IF($H449="UNIDADE CONSTRUTIVA",OFFSET(A449,-1,0)+1,LARGE(A$3:A448,1))</f>
        <v/>
      </c>
      <c r="B1232" s="34" t="n"/>
      <c r="C1232" s="34" t="n"/>
      <c r="D1232" s="35" t="n"/>
      <c r="E1232" s="35" t="n"/>
      <c r="F1232" s="1" t="n"/>
      <c r="G1232" s="167" t="n"/>
      <c r="H1232" s="167" t="n"/>
      <c r="I1232" s="167" t="n"/>
      <c r="J1232" s="168" t="n"/>
      <c r="K1232" s="169" t="n"/>
      <c r="L1232" s="172" t="n"/>
      <c r="M1232" s="172" t="n"/>
      <c r="N1232" s="175" t="n"/>
      <c r="O1232" s="168" t="n"/>
      <c r="P1232" s="173" t="n"/>
      <c r="Q1232" s="1" t="n"/>
      <c r="R1232" s="1" t="n"/>
      <c r="S1232" s="1" t="n"/>
      <c r="T1232" s="1" t="n"/>
      <c r="U1232" s="1" t="n"/>
      <c r="V1232" s="1" t="n"/>
      <c r="W1232" s="1" t="n"/>
      <c r="X1232" s="1" t="n"/>
      <c r="Y1232" s="1" t="n"/>
    </row>
    <row r="1233">
      <c r="A1233" s="34">
        <f>IF($H450="UNIDADE CONSTRUTIVA",OFFSET(A450,-1,0)+1,LARGE(A$3:A449,1))</f>
        <v/>
      </c>
      <c r="B1233" s="34" t="n"/>
      <c r="C1233" s="34" t="n"/>
      <c r="D1233" s="35" t="n"/>
      <c r="E1233" s="35" t="n"/>
      <c r="F1233" s="1" t="n"/>
      <c r="G1233" s="167" t="n"/>
      <c r="H1233" s="167" t="n"/>
      <c r="I1233" s="167" t="n"/>
      <c r="J1233" s="168" t="n"/>
      <c r="K1233" s="169" t="n"/>
      <c r="L1233" s="176" t="n"/>
      <c r="M1233" s="172" t="n"/>
      <c r="N1233" s="175" t="n"/>
      <c r="O1233" s="168" t="n"/>
      <c r="P1233" s="173" t="n"/>
      <c r="Q1233" s="1" t="n"/>
      <c r="R1233" s="1" t="n"/>
      <c r="S1233" s="1" t="n"/>
      <c r="T1233" s="1" t="n"/>
      <c r="U1233" s="1" t="n"/>
      <c r="V1233" s="1" t="n"/>
      <c r="W1233" s="1" t="n"/>
      <c r="X1233" s="1" t="n"/>
      <c r="Y1233" s="1" t="n"/>
    </row>
    <row r="1234">
      <c r="A1234" s="34">
        <f>IF($H451="UNIDADE CONSTRUTIVA",OFFSET(A451,-1,0)+1,LARGE(A$3:A450,1))</f>
        <v/>
      </c>
      <c r="B1234" s="34" t="n"/>
      <c r="C1234" s="34" t="n"/>
      <c r="D1234" s="35" t="n"/>
      <c r="E1234" s="35" t="n"/>
      <c r="F1234" s="1" t="n"/>
      <c r="G1234" s="167" t="n"/>
      <c r="H1234" s="167" t="n"/>
      <c r="I1234" s="167" t="n"/>
      <c r="J1234" s="168" t="n"/>
      <c r="K1234" s="169" t="n"/>
      <c r="L1234" s="172" t="n"/>
      <c r="M1234" s="172" t="n"/>
      <c r="N1234" s="175" t="n"/>
      <c r="O1234" s="168" t="n"/>
      <c r="P1234" s="173" t="n"/>
      <c r="Q1234" s="1" t="n"/>
      <c r="R1234" s="1" t="n"/>
      <c r="S1234" s="1" t="n"/>
      <c r="T1234" s="1" t="n"/>
      <c r="U1234" s="1" t="n"/>
      <c r="V1234" s="1" t="n"/>
      <c r="W1234" s="1" t="n"/>
      <c r="X1234" s="1" t="n"/>
      <c r="Y1234" s="1" t="n"/>
    </row>
    <row r="1235">
      <c r="A1235" s="34">
        <f>IF($H452="UNIDADE CONSTRUTIVA",OFFSET(A452,-1,0)+1,LARGE(A$3:A451,1))</f>
        <v/>
      </c>
      <c r="B1235" s="34" t="n"/>
      <c r="C1235" s="34" t="n"/>
      <c r="D1235" s="35" t="n"/>
      <c r="E1235" s="35" t="n"/>
      <c r="F1235" s="1" t="n"/>
      <c r="G1235" s="167" t="n"/>
      <c r="H1235" s="167" t="n"/>
      <c r="I1235" s="167" t="n"/>
      <c r="J1235" s="168" t="n"/>
      <c r="K1235" s="169" t="n"/>
      <c r="L1235" s="172" t="n"/>
      <c r="M1235" s="172" t="n"/>
      <c r="N1235" s="175" t="n"/>
      <c r="O1235" s="168" t="n"/>
      <c r="P1235" s="173" t="n"/>
      <c r="Q1235" s="1" t="n"/>
      <c r="R1235" s="1" t="n"/>
      <c r="S1235" s="1" t="n"/>
      <c r="T1235" s="1" t="n"/>
      <c r="U1235" s="1" t="n"/>
      <c r="V1235" s="1" t="n"/>
      <c r="W1235" s="1" t="n"/>
      <c r="X1235" s="1" t="n"/>
      <c r="Y1235" s="1" t="n"/>
    </row>
    <row r="1236">
      <c r="A1236" s="34">
        <f>IF($H453="UNIDADE CONSTRUTIVA",OFFSET(A453,-1,0)+1,LARGE(A$3:A452,1))</f>
        <v/>
      </c>
      <c r="B1236" s="34" t="n"/>
      <c r="C1236" s="34" t="n"/>
      <c r="D1236" s="35" t="n"/>
      <c r="E1236" s="35" t="n"/>
      <c r="F1236" s="1" t="n"/>
      <c r="G1236" s="167" t="n"/>
      <c r="H1236" s="167" t="n"/>
      <c r="I1236" s="167" t="n"/>
      <c r="J1236" s="168" t="n"/>
      <c r="K1236" s="169" t="n"/>
      <c r="L1236" s="172" t="n"/>
      <c r="M1236" s="172" t="n"/>
      <c r="N1236" s="175" t="n"/>
      <c r="O1236" s="168" t="n"/>
      <c r="P1236" s="173" t="n"/>
      <c r="Q1236" s="1" t="n"/>
      <c r="R1236" s="1" t="n"/>
      <c r="S1236" s="1" t="n"/>
      <c r="T1236" s="1" t="n"/>
      <c r="U1236" s="1" t="n"/>
      <c r="V1236" s="1" t="n"/>
      <c r="W1236" s="1" t="n"/>
      <c r="X1236" s="1" t="n"/>
      <c r="Y1236" s="1" t="n"/>
    </row>
    <row r="1237">
      <c r="A1237" s="34">
        <f>IF($H454="UNIDADE CONSTRUTIVA",OFFSET(A454,-1,0)+1,LARGE(A$3:A453,1))</f>
        <v/>
      </c>
      <c r="B1237" s="34" t="n"/>
      <c r="C1237" s="34" t="n"/>
      <c r="D1237" s="35" t="n"/>
      <c r="E1237" s="35" t="n"/>
      <c r="F1237" s="1" t="n"/>
      <c r="G1237" s="167" t="n"/>
      <c r="H1237" s="167" t="n"/>
      <c r="I1237" s="167" t="n"/>
      <c r="J1237" s="168" t="n"/>
      <c r="K1237" s="169" t="n"/>
      <c r="L1237" s="172" t="n"/>
      <c r="M1237" s="172" t="n"/>
      <c r="N1237" s="175" t="n"/>
      <c r="O1237" s="168" t="n"/>
      <c r="P1237" s="173" t="n"/>
      <c r="Q1237" s="1" t="n"/>
      <c r="R1237" s="1" t="n"/>
      <c r="S1237" s="1" t="n"/>
      <c r="T1237" s="1" t="n"/>
      <c r="U1237" s="1" t="n"/>
      <c r="V1237" s="1" t="n"/>
      <c r="W1237" s="1" t="n"/>
      <c r="X1237" s="1" t="n"/>
      <c r="Y1237" s="1" t="n"/>
    </row>
    <row r="1238">
      <c r="A1238" s="34">
        <f>IF($H455="UNIDADE CONSTRUTIVA",OFFSET(A455,-1,0)+1,LARGE(A$3:A454,1))</f>
        <v/>
      </c>
      <c r="B1238" s="34" t="n"/>
      <c r="C1238" s="34" t="n"/>
      <c r="D1238" s="35" t="n"/>
      <c r="E1238" s="35" t="n"/>
      <c r="F1238" s="1" t="n"/>
      <c r="G1238" s="167" t="n"/>
      <c r="H1238" s="167" t="n"/>
      <c r="I1238" s="167" t="n"/>
      <c r="J1238" s="168" t="n"/>
      <c r="K1238" s="169" t="n"/>
      <c r="L1238" s="172" t="n"/>
      <c r="M1238" s="172" t="n"/>
      <c r="N1238" s="175" t="n"/>
      <c r="O1238" s="168" t="n"/>
      <c r="P1238" s="173" t="n"/>
      <c r="Q1238" s="1" t="n"/>
      <c r="R1238" s="1" t="n"/>
      <c r="S1238" s="1" t="n"/>
      <c r="T1238" s="1" t="n"/>
      <c r="U1238" s="1" t="n"/>
      <c r="V1238" s="1" t="n"/>
      <c r="W1238" s="1" t="n"/>
      <c r="X1238" s="1" t="n"/>
      <c r="Y1238" s="1" t="n"/>
    </row>
    <row r="1239">
      <c r="A1239" s="34">
        <f>IF($H456="UNIDADE CONSTRUTIVA",OFFSET(A456,-1,0)+1,LARGE(A$3:A455,1))</f>
        <v/>
      </c>
      <c r="B1239" s="34" t="n"/>
      <c r="C1239" s="34" t="n"/>
      <c r="D1239" s="35" t="n"/>
      <c r="E1239" s="35" t="n"/>
      <c r="F1239" s="1" t="n"/>
      <c r="G1239" s="167" t="n"/>
      <c r="H1239" s="167" t="n"/>
      <c r="I1239" s="167" t="n"/>
      <c r="J1239" s="168" t="n"/>
      <c r="K1239" s="169" t="n"/>
      <c r="L1239" s="172" t="n"/>
      <c r="M1239" s="172" t="n"/>
      <c r="N1239" s="175" t="n"/>
      <c r="O1239" s="168" t="n"/>
      <c r="P1239" s="173" t="n"/>
      <c r="Q1239" s="1" t="n"/>
      <c r="R1239" s="1" t="n"/>
      <c r="S1239" s="1" t="n"/>
      <c r="T1239" s="1" t="n"/>
      <c r="U1239" s="1" t="n"/>
      <c r="V1239" s="1" t="n"/>
      <c r="W1239" s="1" t="n"/>
      <c r="X1239" s="1" t="n"/>
      <c r="Y1239" s="1" t="n"/>
    </row>
    <row r="1240">
      <c r="A1240" s="34">
        <f>IF($H457="UNIDADE CONSTRUTIVA",OFFSET(A457,-1,0)+1,LARGE(A$3:A456,1))</f>
        <v/>
      </c>
      <c r="B1240" s="34" t="n"/>
      <c r="C1240" s="34" t="n"/>
      <c r="D1240" s="35" t="n"/>
      <c r="E1240" s="35" t="n"/>
      <c r="F1240" s="1" t="n"/>
      <c r="G1240" s="167" t="n"/>
      <c r="H1240" s="167" t="n"/>
      <c r="I1240" s="167" t="n"/>
      <c r="J1240" s="168" t="n"/>
      <c r="K1240" s="169" t="n"/>
      <c r="L1240" s="172" t="n"/>
      <c r="M1240" s="172" t="n"/>
      <c r="N1240" s="175" t="n"/>
      <c r="O1240" s="168" t="n"/>
      <c r="P1240" s="173" t="n"/>
      <c r="Q1240" s="1" t="n"/>
      <c r="R1240" s="1" t="n"/>
      <c r="S1240" s="1" t="n"/>
      <c r="T1240" s="1" t="n"/>
      <c r="U1240" s="1" t="n"/>
      <c r="V1240" s="1" t="n"/>
      <c r="W1240" s="1" t="n"/>
      <c r="X1240" s="1" t="n"/>
      <c r="Y1240" s="1" t="n"/>
    </row>
    <row r="1241">
      <c r="A1241" s="34">
        <f>IF($H458="UNIDADE CONSTRUTIVA",OFFSET(A458,-1,0)+1,LARGE(A$3:A457,1))</f>
        <v/>
      </c>
      <c r="B1241" s="34" t="n"/>
      <c r="C1241" s="34" t="n"/>
      <c r="D1241" s="35" t="n"/>
      <c r="E1241" s="35" t="n"/>
      <c r="F1241" s="1" t="n"/>
      <c r="G1241" s="167" t="n"/>
      <c r="H1241" s="167" t="n"/>
      <c r="I1241" s="167" t="n"/>
      <c r="J1241" s="168" t="n"/>
      <c r="K1241" s="169" t="n"/>
      <c r="L1241" s="172" t="n"/>
      <c r="M1241" s="172" t="n"/>
      <c r="N1241" s="175" t="n"/>
      <c r="O1241" s="168" t="n"/>
      <c r="P1241" s="173" t="n"/>
      <c r="Q1241" s="1" t="n"/>
      <c r="R1241" s="1" t="n"/>
      <c r="S1241" s="1" t="n"/>
      <c r="T1241" s="1" t="n"/>
      <c r="U1241" s="1" t="n"/>
      <c r="V1241" s="1" t="n"/>
      <c r="W1241" s="1" t="n"/>
      <c r="X1241" s="1" t="n"/>
      <c r="Y1241" s="1" t="n"/>
    </row>
    <row r="1242">
      <c r="A1242" s="34">
        <f>IF($H459="UNIDADE CONSTRUTIVA",OFFSET(A459,-1,0)+1,LARGE(A$3:A458,1))</f>
        <v/>
      </c>
      <c r="B1242" s="34" t="n"/>
      <c r="C1242" s="34" t="n"/>
      <c r="D1242" s="35" t="n"/>
      <c r="E1242" s="35" t="n"/>
      <c r="F1242" s="1" t="n"/>
      <c r="G1242" s="167" t="n"/>
      <c r="H1242" s="167" t="n"/>
      <c r="I1242" s="167" t="n"/>
      <c r="J1242" s="168" t="n"/>
      <c r="K1242" s="169" t="n"/>
      <c r="L1242" s="172" t="n"/>
      <c r="M1242" s="172" t="n"/>
      <c r="N1242" s="175" t="n"/>
      <c r="O1242" s="168" t="n"/>
      <c r="P1242" s="173" t="n"/>
      <c r="Q1242" s="1" t="n"/>
      <c r="R1242" s="1" t="n"/>
      <c r="S1242" s="1" t="n"/>
      <c r="T1242" s="1" t="n"/>
      <c r="U1242" s="1" t="n"/>
      <c r="V1242" s="1" t="n"/>
      <c r="W1242" s="1" t="n"/>
      <c r="X1242" s="1" t="n"/>
      <c r="Y1242" s="1" t="n"/>
    </row>
    <row r="1243">
      <c r="A1243" s="34">
        <f>IF($H460="UNIDADE CONSTRUTIVA",OFFSET(A460,-1,0)+1,LARGE(A$3:A459,1))</f>
        <v/>
      </c>
      <c r="B1243" s="34" t="n"/>
      <c r="C1243" s="34" t="n"/>
      <c r="D1243" s="35" t="n"/>
      <c r="E1243" s="35" t="n"/>
      <c r="F1243" s="1" t="n"/>
      <c r="G1243" s="167" t="n"/>
      <c r="H1243" s="167" t="n"/>
      <c r="I1243" s="167" t="n"/>
      <c r="J1243" s="168" t="n"/>
      <c r="K1243" s="169" t="n"/>
      <c r="L1243" s="172" t="n"/>
      <c r="M1243" s="172" t="n"/>
      <c r="N1243" s="175" t="n"/>
      <c r="O1243" s="168" t="n"/>
      <c r="P1243" s="173" t="n"/>
      <c r="Q1243" s="1" t="n"/>
      <c r="R1243" s="1" t="n"/>
      <c r="S1243" s="1" t="n"/>
      <c r="T1243" s="1" t="n"/>
      <c r="U1243" s="1" t="n"/>
      <c r="V1243" s="1" t="n"/>
      <c r="W1243" s="1" t="n"/>
      <c r="X1243" s="1" t="n"/>
      <c r="Y1243" s="1" t="n"/>
    </row>
    <row r="1244">
      <c r="A1244" s="34">
        <f>IF($H461="UNIDADE CONSTRUTIVA",OFFSET(A461,-1,0)+1,LARGE(A$3:A460,1))</f>
        <v/>
      </c>
      <c r="B1244" s="34" t="n"/>
      <c r="C1244" s="34" t="n"/>
      <c r="D1244" s="35" t="n"/>
      <c r="E1244" s="35" t="n"/>
      <c r="F1244" s="1" t="n"/>
      <c r="G1244" s="167" t="n"/>
      <c r="H1244" s="167" t="n"/>
      <c r="I1244" s="167" t="n"/>
      <c r="J1244" s="168" t="n"/>
      <c r="K1244" s="169" t="n"/>
      <c r="L1244" s="172" t="n"/>
      <c r="M1244" s="172" t="n"/>
      <c r="N1244" s="175" t="n"/>
      <c r="O1244" s="168" t="n"/>
      <c r="P1244" s="173" t="n"/>
      <c r="Q1244" s="1" t="n"/>
      <c r="R1244" s="1" t="n"/>
      <c r="S1244" s="1" t="n"/>
      <c r="T1244" s="1" t="n"/>
      <c r="U1244" s="1" t="n"/>
      <c r="V1244" s="1" t="n"/>
      <c r="W1244" s="1" t="n"/>
      <c r="X1244" s="1" t="n"/>
      <c r="Y1244" s="1" t="n"/>
    </row>
    <row r="1245">
      <c r="A1245" s="34">
        <f>IF($H462="UNIDADE CONSTRUTIVA",OFFSET(A462,-1,0)+1,LARGE(A$3:A461,1))</f>
        <v/>
      </c>
      <c r="B1245" s="34" t="n"/>
      <c r="C1245" s="34" t="n"/>
      <c r="D1245" s="35" t="n"/>
      <c r="E1245" s="35" t="n"/>
      <c r="F1245" s="1" t="n"/>
      <c r="G1245" s="167" t="n"/>
      <c r="H1245" s="167" t="n"/>
      <c r="I1245" s="167" t="n"/>
      <c r="J1245" s="168" t="n"/>
      <c r="K1245" s="169" t="n"/>
      <c r="L1245" s="172" t="n"/>
      <c r="M1245" s="172" t="n"/>
      <c r="N1245" s="175" t="n"/>
      <c r="O1245" s="168" t="n"/>
      <c r="P1245" s="173" t="n"/>
      <c r="Q1245" s="1" t="n"/>
      <c r="R1245" s="1" t="n"/>
      <c r="S1245" s="1" t="n"/>
      <c r="T1245" s="1" t="n"/>
      <c r="U1245" s="1" t="n"/>
      <c r="V1245" s="1" t="n"/>
      <c r="W1245" s="1" t="n"/>
      <c r="X1245" s="1" t="n"/>
      <c r="Y1245" s="1" t="n"/>
    </row>
    <row r="1246">
      <c r="A1246" s="34">
        <f>IF($H463="UNIDADE CONSTRUTIVA",OFFSET(A463,-1,0)+1,LARGE(A$3:A462,1))</f>
        <v/>
      </c>
      <c r="B1246" s="34" t="n"/>
      <c r="C1246" s="34" t="n"/>
      <c r="D1246" s="35" t="n"/>
      <c r="E1246" s="35" t="n"/>
      <c r="F1246" s="1" t="n"/>
      <c r="G1246" s="167" t="n"/>
      <c r="H1246" s="167" t="n"/>
      <c r="I1246" s="167" t="n"/>
      <c r="J1246" s="168" t="n"/>
      <c r="K1246" s="169" t="n"/>
      <c r="L1246" s="172" t="n"/>
      <c r="M1246" s="172" t="n"/>
      <c r="N1246" s="175" t="n"/>
      <c r="O1246" s="168" t="n"/>
      <c r="P1246" s="173" t="n"/>
      <c r="Q1246" s="1" t="n"/>
      <c r="R1246" s="1" t="n"/>
      <c r="S1246" s="1" t="n"/>
      <c r="T1246" s="1" t="n"/>
      <c r="U1246" s="1" t="n"/>
      <c r="V1246" s="1" t="n"/>
      <c r="W1246" s="1" t="n"/>
      <c r="X1246" s="1" t="n"/>
      <c r="Y1246" s="1" t="n"/>
    </row>
    <row r="1247">
      <c r="A1247" s="34">
        <f>IF($H464="UNIDADE CONSTRUTIVA",OFFSET(A464,-1,0)+1,LARGE(A$3:A463,1))</f>
        <v/>
      </c>
      <c r="B1247" s="34" t="n"/>
      <c r="C1247" s="34" t="n"/>
      <c r="D1247" s="35" t="n"/>
      <c r="E1247" s="35" t="n"/>
      <c r="F1247" s="1" t="n"/>
      <c r="G1247" s="167" t="n"/>
      <c r="H1247" s="167" t="n"/>
      <c r="I1247" s="167" t="n"/>
      <c r="J1247" s="168" t="n"/>
      <c r="K1247" s="169" t="n"/>
      <c r="L1247" s="172" t="n"/>
      <c r="M1247" s="172" t="n"/>
      <c r="N1247" s="175" t="n"/>
      <c r="O1247" s="168" t="n"/>
      <c r="P1247" s="173" t="n"/>
      <c r="Q1247" s="1" t="n"/>
      <c r="R1247" s="1" t="n"/>
      <c r="S1247" s="1" t="n"/>
      <c r="T1247" s="1" t="n"/>
      <c r="U1247" s="1" t="n"/>
      <c r="V1247" s="1" t="n"/>
      <c r="W1247" s="1" t="n"/>
      <c r="X1247" s="1" t="n"/>
      <c r="Y1247" s="1" t="n"/>
    </row>
    <row r="1248">
      <c r="A1248" s="34">
        <f>IF($H465="UNIDADE CONSTRUTIVA",OFFSET(A465,-1,0)+1,LARGE(A$3:A464,1))</f>
        <v/>
      </c>
      <c r="B1248" s="34" t="n"/>
      <c r="C1248" s="34" t="n"/>
      <c r="D1248" s="35" t="n"/>
      <c r="E1248" s="35" t="n"/>
      <c r="F1248" s="1" t="n"/>
      <c r="G1248" s="167" t="n"/>
      <c r="H1248" s="167" t="n"/>
      <c r="I1248" s="167" t="n"/>
      <c r="J1248" s="168" t="n"/>
      <c r="K1248" s="169" t="n"/>
      <c r="L1248" s="172" t="n"/>
      <c r="M1248" s="172" t="n"/>
      <c r="N1248" s="175" t="n"/>
      <c r="O1248" s="168" t="n"/>
      <c r="P1248" s="173" t="n"/>
      <c r="Q1248" s="1" t="n"/>
      <c r="R1248" s="1" t="n"/>
      <c r="S1248" s="1" t="n"/>
      <c r="T1248" s="1" t="n"/>
      <c r="U1248" s="1" t="n"/>
      <c r="V1248" s="1" t="n"/>
      <c r="W1248" s="1" t="n"/>
      <c r="X1248" s="1" t="n"/>
      <c r="Y1248" s="1" t="n"/>
    </row>
    <row r="1249">
      <c r="A1249" s="34">
        <f>IF($H466="UNIDADE CONSTRUTIVA",OFFSET(A466,-1,0)+1,LARGE(A$3:A465,1))</f>
        <v/>
      </c>
      <c r="B1249" s="34" t="n"/>
      <c r="C1249" s="34" t="n"/>
      <c r="D1249" s="35" t="n"/>
      <c r="E1249" s="35" t="n"/>
      <c r="F1249" s="1" t="n"/>
      <c r="G1249" s="167" t="n"/>
      <c r="H1249" s="167" t="n"/>
      <c r="I1249" s="167" t="n"/>
      <c r="J1249" s="168" t="n"/>
      <c r="K1249" s="169" t="n"/>
      <c r="L1249" s="172" t="n"/>
      <c r="M1249" s="172" t="n"/>
      <c r="N1249" s="175" t="n"/>
      <c r="O1249" s="168" t="n"/>
      <c r="P1249" s="173" t="n"/>
      <c r="Q1249" s="1" t="n"/>
      <c r="R1249" s="1" t="n"/>
      <c r="S1249" s="1" t="n"/>
      <c r="T1249" s="1" t="n"/>
      <c r="U1249" s="1" t="n"/>
      <c r="V1249" s="1" t="n"/>
      <c r="W1249" s="1" t="n"/>
      <c r="X1249" s="1" t="n"/>
      <c r="Y1249" s="1" t="n"/>
    </row>
    <row r="1250">
      <c r="A1250" s="34">
        <f>IF($H467="UNIDADE CONSTRUTIVA",OFFSET(A467,-1,0)+1,LARGE(A$3:A466,1))</f>
        <v/>
      </c>
      <c r="B1250" s="34" t="n"/>
      <c r="C1250" s="34" t="n"/>
      <c r="D1250" s="35" t="n"/>
      <c r="E1250" s="35" t="n"/>
      <c r="F1250" s="1" t="n"/>
      <c r="G1250" s="167" t="n"/>
      <c r="H1250" s="167" t="n"/>
      <c r="I1250" s="167" t="n"/>
      <c r="J1250" s="168" t="n"/>
      <c r="K1250" s="169" t="n"/>
      <c r="L1250" s="172" t="n"/>
      <c r="M1250" s="172" t="n"/>
      <c r="N1250" s="175" t="n"/>
      <c r="O1250" s="168" t="n"/>
      <c r="P1250" s="173" t="n"/>
      <c r="Q1250" s="1" t="n"/>
      <c r="R1250" s="1" t="n"/>
      <c r="S1250" s="1" t="n"/>
      <c r="T1250" s="1" t="n"/>
      <c r="U1250" s="1" t="n"/>
      <c r="V1250" s="1" t="n"/>
      <c r="W1250" s="1" t="n"/>
      <c r="X1250" s="1" t="n"/>
      <c r="Y1250" s="1" t="n"/>
    </row>
    <row r="1251">
      <c r="A1251" s="34">
        <f>IF($H468="UNIDADE CONSTRUTIVA",OFFSET(A468,-1,0)+1,LARGE(A$3:A467,1))</f>
        <v/>
      </c>
      <c r="B1251" s="34" t="n"/>
      <c r="C1251" s="34" t="n"/>
      <c r="D1251" s="35" t="n"/>
      <c r="E1251" s="35" t="n"/>
      <c r="F1251" s="1" t="n"/>
      <c r="G1251" s="167" t="n"/>
      <c r="H1251" s="167" t="n"/>
      <c r="I1251" s="167" t="n"/>
      <c r="J1251" s="168" t="n"/>
      <c r="K1251" s="169" t="n"/>
      <c r="L1251" s="172" t="n"/>
      <c r="M1251" s="172" t="n"/>
      <c r="N1251" s="175" t="n"/>
      <c r="O1251" s="168" t="n"/>
      <c r="P1251" s="173" t="n"/>
      <c r="Q1251" s="1" t="n"/>
      <c r="R1251" s="1" t="n"/>
      <c r="S1251" s="1" t="n"/>
      <c r="T1251" s="1" t="n"/>
      <c r="U1251" s="1" t="n"/>
      <c r="V1251" s="1" t="n"/>
      <c r="W1251" s="1" t="n"/>
      <c r="X1251" s="1" t="n"/>
      <c r="Y1251" s="1" t="n"/>
    </row>
    <row r="1252">
      <c r="A1252" s="34">
        <f>IF($H469="UNIDADE CONSTRUTIVA",OFFSET(A469,-1,0)+1,LARGE(A$3:A468,1))</f>
        <v/>
      </c>
      <c r="B1252" s="34" t="n"/>
      <c r="C1252" s="34" t="n"/>
      <c r="D1252" s="35" t="n"/>
      <c r="E1252" s="35" t="n"/>
      <c r="F1252" s="1" t="n"/>
      <c r="G1252" s="167" t="n"/>
      <c r="H1252" s="167" t="n"/>
      <c r="I1252" s="167" t="n"/>
      <c r="J1252" s="168" t="n"/>
      <c r="K1252" s="169" t="n"/>
      <c r="L1252" s="172" t="n"/>
      <c r="M1252" s="172" t="n"/>
      <c r="N1252" s="175" t="n"/>
      <c r="O1252" s="168" t="n"/>
      <c r="P1252" s="173" t="n"/>
      <c r="Q1252" s="1" t="n"/>
      <c r="R1252" s="1" t="n"/>
      <c r="S1252" s="1" t="n"/>
      <c r="T1252" s="1" t="n"/>
      <c r="U1252" s="1" t="n"/>
      <c r="V1252" s="1" t="n"/>
      <c r="W1252" s="1" t="n"/>
      <c r="X1252" s="1" t="n"/>
      <c r="Y1252" s="1" t="n"/>
    </row>
    <row r="1253">
      <c r="A1253" s="34">
        <f>IF($H470="UNIDADE CONSTRUTIVA",OFFSET(A470,-1,0)+1,LARGE(A$3:A469,1))</f>
        <v/>
      </c>
      <c r="B1253" s="34" t="n"/>
      <c r="C1253" s="34" t="n"/>
      <c r="D1253" s="35" t="n"/>
      <c r="E1253" s="35" t="n"/>
      <c r="F1253" s="1" t="n"/>
      <c r="G1253" s="167" t="n"/>
      <c r="H1253" s="167" t="n"/>
      <c r="I1253" s="167" t="n"/>
      <c r="J1253" s="168" t="n"/>
      <c r="K1253" s="169" t="n"/>
      <c r="L1253" s="172" t="n"/>
      <c r="M1253" s="172" t="n"/>
      <c r="N1253" s="175" t="n"/>
      <c r="O1253" s="168" t="n"/>
      <c r="P1253" s="173" t="n"/>
      <c r="Q1253" s="1" t="n"/>
      <c r="R1253" s="1" t="n"/>
      <c r="S1253" s="1" t="n"/>
      <c r="T1253" s="1" t="n"/>
      <c r="U1253" s="1" t="n"/>
      <c r="V1253" s="1" t="n"/>
      <c r="W1253" s="1" t="n"/>
      <c r="X1253" s="1" t="n"/>
      <c r="Y1253" s="1" t="n"/>
    </row>
    <row r="1254">
      <c r="A1254" s="34">
        <f>IF($H471="UNIDADE CONSTRUTIVA",OFFSET(A471,-1,0)+1,LARGE(A$3:A470,1))</f>
        <v/>
      </c>
      <c r="B1254" s="34" t="n"/>
      <c r="C1254" s="34" t="n"/>
      <c r="D1254" s="35" t="n"/>
      <c r="E1254" s="35" t="n"/>
      <c r="F1254" s="1" t="n"/>
      <c r="G1254" s="167" t="n"/>
      <c r="H1254" s="167" t="n"/>
      <c r="I1254" s="167" t="n"/>
      <c r="J1254" s="168" t="n"/>
      <c r="K1254" s="169" t="n"/>
      <c r="L1254" s="172" t="n"/>
      <c r="M1254" s="172" t="n"/>
      <c r="N1254" s="175" t="n"/>
      <c r="O1254" s="168" t="n"/>
      <c r="P1254" s="173" t="n"/>
      <c r="Q1254" s="1" t="n"/>
      <c r="R1254" s="1" t="n"/>
      <c r="S1254" s="1" t="n"/>
      <c r="T1254" s="1" t="n"/>
      <c r="U1254" s="1" t="n"/>
      <c r="V1254" s="1" t="n"/>
      <c r="W1254" s="1" t="n"/>
      <c r="X1254" s="1" t="n"/>
      <c r="Y1254" s="1" t="n"/>
    </row>
    <row r="1255">
      <c r="A1255" s="34">
        <f>IF($H472="UNIDADE CONSTRUTIVA",OFFSET(A472,-1,0)+1,LARGE(A$3:A471,1))</f>
        <v/>
      </c>
      <c r="B1255" s="34" t="n"/>
      <c r="C1255" s="34" t="n"/>
      <c r="D1255" s="35" t="n"/>
      <c r="E1255" s="35" t="n"/>
      <c r="F1255" s="1" t="n"/>
      <c r="G1255" s="167" t="n"/>
      <c r="H1255" s="167" t="n"/>
      <c r="I1255" s="167" t="n"/>
      <c r="J1255" s="168" t="n"/>
      <c r="K1255" s="169" t="n"/>
      <c r="L1255" s="172" t="n"/>
      <c r="M1255" s="172" t="n"/>
      <c r="N1255" s="175" t="n"/>
      <c r="O1255" s="168" t="n"/>
      <c r="P1255" s="173" t="n"/>
      <c r="Q1255" s="1" t="n"/>
      <c r="R1255" s="1" t="n"/>
      <c r="S1255" s="1" t="n"/>
      <c r="T1255" s="1" t="n"/>
      <c r="U1255" s="1" t="n"/>
      <c r="V1255" s="1" t="n"/>
      <c r="W1255" s="1" t="n"/>
      <c r="X1255" s="1" t="n"/>
      <c r="Y1255" s="1" t="n"/>
    </row>
    <row r="1256">
      <c r="A1256" s="34">
        <f>IF($H473="UNIDADE CONSTRUTIVA",OFFSET(A473,-1,0)+1,LARGE(A$3:A472,1))</f>
        <v/>
      </c>
      <c r="B1256" s="34" t="n"/>
      <c r="C1256" s="34" t="n"/>
      <c r="D1256" s="35" t="n"/>
      <c r="E1256" s="35" t="n"/>
      <c r="F1256" s="1" t="n"/>
      <c r="G1256" s="167" t="n"/>
      <c r="H1256" s="167" t="n"/>
      <c r="I1256" s="167" t="n"/>
      <c r="J1256" s="168" t="n"/>
      <c r="K1256" s="169" t="n"/>
      <c r="L1256" s="172" t="n"/>
      <c r="M1256" s="172" t="n"/>
      <c r="N1256" s="175" t="n"/>
      <c r="O1256" s="168" t="n"/>
      <c r="P1256" s="173" t="n"/>
      <c r="Q1256" s="1" t="n"/>
      <c r="R1256" s="1" t="n"/>
      <c r="S1256" s="1" t="n"/>
      <c r="T1256" s="1" t="n"/>
      <c r="U1256" s="1" t="n"/>
      <c r="V1256" s="1" t="n"/>
      <c r="W1256" s="1" t="n"/>
      <c r="X1256" s="1" t="n"/>
      <c r="Y1256" s="1" t="n"/>
    </row>
    <row r="1257">
      <c r="A1257" s="34">
        <f>IF($H474="UNIDADE CONSTRUTIVA",OFFSET(A474,-1,0)+1,LARGE(A$3:A473,1))</f>
        <v/>
      </c>
      <c r="B1257" s="34" t="n"/>
      <c r="C1257" s="34" t="n"/>
      <c r="D1257" s="35" t="n"/>
      <c r="E1257" s="35" t="n"/>
      <c r="F1257" s="1" t="n"/>
      <c r="G1257" s="167" t="n"/>
      <c r="H1257" s="167" t="n"/>
      <c r="I1257" s="167" t="n"/>
      <c r="J1257" s="168" t="n"/>
      <c r="K1257" s="169" t="n"/>
      <c r="L1257" s="172" t="n"/>
      <c r="M1257" s="172" t="n"/>
      <c r="N1257" s="175" t="n"/>
      <c r="O1257" s="168" t="n"/>
      <c r="P1257" s="173" t="n"/>
      <c r="Q1257" s="1" t="n"/>
      <c r="R1257" s="1" t="n"/>
      <c r="S1257" s="1" t="n"/>
      <c r="T1257" s="1" t="n"/>
      <c r="U1257" s="1" t="n"/>
      <c r="V1257" s="1" t="n"/>
      <c r="W1257" s="1" t="n"/>
      <c r="X1257" s="1" t="n"/>
      <c r="Y1257" s="1" t="n"/>
    </row>
    <row r="1258">
      <c r="A1258" s="34">
        <f>IF($H475="UNIDADE CONSTRUTIVA",OFFSET(A475,-1,0)+1,LARGE(A$3:A474,1))</f>
        <v/>
      </c>
      <c r="B1258" s="34" t="n"/>
      <c r="C1258" s="34" t="n"/>
      <c r="D1258" s="35" t="n"/>
      <c r="E1258" s="35" t="n"/>
      <c r="F1258" s="1" t="n"/>
      <c r="G1258" s="167" t="n"/>
      <c r="H1258" s="167" t="n"/>
      <c r="I1258" s="167" t="n"/>
      <c r="J1258" s="168" t="n"/>
      <c r="K1258" s="169" t="n"/>
      <c r="L1258" s="172" t="n"/>
      <c r="M1258" s="172" t="n"/>
      <c r="N1258" s="175" t="n"/>
      <c r="O1258" s="168" t="n"/>
      <c r="P1258" s="173" t="n"/>
      <c r="Q1258" s="1" t="n"/>
      <c r="R1258" s="1" t="n"/>
      <c r="S1258" s="1" t="n"/>
      <c r="T1258" s="1" t="n"/>
      <c r="U1258" s="1" t="n"/>
      <c r="V1258" s="1" t="n"/>
      <c r="W1258" s="1" t="n"/>
      <c r="X1258" s="1" t="n"/>
      <c r="Y1258" s="1" t="n"/>
    </row>
    <row r="1259">
      <c r="A1259" s="34">
        <f>IF($H476="UNIDADE CONSTRUTIVA",OFFSET(A476,-1,0)+1,LARGE(A$3:A475,1))</f>
        <v/>
      </c>
      <c r="B1259" s="34" t="n"/>
      <c r="C1259" s="34" t="n"/>
      <c r="D1259" s="35" t="n"/>
      <c r="E1259" s="35" t="n"/>
      <c r="F1259" s="1" t="n"/>
      <c r="G1259" s="167" t="n"/>
      <c r="H1259" s="167" t="n"/>
      <c r="I1259" s="167" t="n"/>
      <c r="J1259" s="168" t="n"/>
      <c r="K1259" s="169" t="n"/>
      <c r="L1259" s="172" t="n"/>
      <c r="M1259" s="172" t="n"/>
      <c r="N1259" s="175" t="n"/>
      <c r="O1259" s="168" t="n"/>
      <c r="P1259" s="173" t="n"/>
      <c r="Q1259" s="1" t="n"/>
      <c r="R1259" s="1" t="n"/>
      <c r="S1259" s="1" t="n"/>
      <c r="T1259" s="1" t="n"/>
      <c r="U1259" s="1" t="n"/>
      <c r="V1259" s="1" t="n"/>
      <c r="W1259" s="1" t="n"/>
      <c r="X1259" s="1" t="n"/>
      <c r="Y1259" s="1" t="n"/>
    </row>
    <row r="1260">
      <c r="A1260" s="34">
        <f>IF($H477="UNIDADE CONSTRUTIVA",OFFSET(A477,-1,0)+1,LARGE(A$3:A476,1))</f>
        <v/>
      </c>
      <c r="B1260" s="34" t="n"/>
      <c r="C1260" s="34" t="n"/>
      <c r="D1260" s="35" t="n"/>
      <c r="E1260" s="35" t="n"/>
      <c r="F1260" s="1" t="n"/>
      <c r="G1260" s="167" t="n"/>
      <c r="H1260" s="167" t="n"/>
      <c r="I1260" s="167" t="n"/>
      <c r="J1260" s="168" t="n"/>
      <c r="K1260" s="169" t="n"/>
      <c r="L1260" s="172" t="n"/>
      <c r="M1260" s="172" t="n"/>
      <c r="N1260" s="175" t="n"/>
      <c r="O1260" s="168" t="n"/>
      <c r="P1260" s="173" t="n"/>
      <c r="Q1260" s="1" t="n"/>
      <c r="R1260" s="1" t="n"/>
      <c r="S1260" s="1" t="n"/>
      <c r="T1260" s="1" t="n"/>
      <c r="U1260" s="1" t="n"/>
      <c r="V1260" s="1" t="n"/>
      <c r="W1260" s="1" t="n"/>
      <c r="X1260" s="1" t="n"/>
      <c r="Y1260" s="1" t="n"/>
    </row>
    <row r="1261">
      <c r="A1261" s="34">
        <f>IF($H478="UNIDADE CONSTRUTIVA",OFFSET(A478,-1,0)+1,LARGE(A$3:A477,1))</f>
        <v/>
      </c>
      <c r="B1261" s="34" t="n"/>
      <c r="C1261" s="34" t="n"/>
      <c r="D1261" s="35" t="n"/>
      <c r="E1261" s="35" t="n"/>
      <c r="F1261" s="1" t="n"/>
      <c r="G1261" s="167" t="n"/>
      <c r="H1261" s="167" t="n"/>
      <c r="I1261" s="167" t="n"/>
      <c r="J1261" s="168" t="n"/>
      <c r="K1261" s="169" t="n"/>
      <c r="L1261" s="172" t="n"/>
      <c r="M1261" s="172" t="n"/>
      <c r="N1261" s="175" t="n"/>
      <c r="O1261" s="168" t="n"/>
      <c r="P1261" s="173" t="n"/>
      <c r="Q1261" s="1" t="n"/>
      <c r="R1261" s="1" t="n"/>
      <c r="S1261" s="1" t="n"/>
      <c r="T1261" s="1" t="n"/>
      <c r="U1261" s="1" t="n"/>
      <c r="V1261" s="1" t="n"/>
      <c r="W1261" s="1" t="n"/>
      <c r="X1261" s="1" t="n"/>
      <c r="Y1261" s="1" t="n"/>
    </row>
    <row r="1262">
      <c r="A1262" s="34">
        <f>IF($H479="UNIDADE CONSTRUTIVA",OFFSET(A479,-1,0)+1,LARGE(A$3:A478,1))</f>
        <v/>
      </c>
      <c r="B1262" s="34" t="n"/>
      <c r="C1262" s="34" t="n"/>
      <c r="D1262" s="35" t="n"/>
      <c r="E1262" s="35" t="n"/>
      <c r="F1262" s="1" t="n"/>
      <c r="G1262" s="167" t="n"/>
      <c r="H1262" s="167" t="n"/>
      <c r="I1262" s="167" t="n"/>
      <c r="J1262" s="168" t="n"/>
      <c r="K1262" s="169" t="n"/>
      <c r="L1262" s="172" t="n"/>
      <c r="M1262" s="172" t="n"/>
      <c r="N1262" s="175" t="n"/>
      <c r="O1262" s="168" t="n"/>
      <c r="P1262" s="173" t="n"/>
      <c r="Q1262" s="1" t="n"/>
      <c r="R1262" s="1" t="n"/>
      <c r="S1262" s="1" t="n"/>
      <c r="T1262" s="1" t="n"/>
      <c r="U1262" s="1" t="n"/>
      <c r="V1262" s="1" t="n"/>
      <c r="W1262" s="1" t="n"/>
      <c r="X1262" s="1" t="n"/>
      <c r="Y1262" s="1" t="n"/>
    </row>
    <row r="1263">
      <c r="A1263" s="34">
        <f>IF($H480="UNIDADE CONSTRUTIVA",OFFSET(A480,-1,0)+1,LARGE(A$3:A479,1))</f>
        <v/>
      </c>
      <c r="B1263" s="34" t="n"/>
      <c r="C1263" s="34" t="n"/>
      <c r="D1263" s="35" t="n"/>
      <c r="E1263" s="35" t="n"/>
      <c r="F1263" s="1" t="n"/>
      <c r="G1263" s="167" t="n"/>
      <c r="H1263" s="167" t="n"/>
      <c r="I1263" s="167" t="n"/>
      <c r="J1263" s="168" t="n"/>
      <c r="K1263" s="169" t="n"/>
      <c r="L1263" s="172" t="n"/>
      <c r="M1263" s="172" t="n"/>
      <c r="N1263" s="175" t="n"/>
      <c r="O1263" s="168" t="n"/>
      <c r="P1263" s="173" t="n"/>
      <c r="Q1263" s="1" t="n"/>
      <c r="R1263" s="1" t="n"/>
      <c r="S1263" s="1" t="n"/>
      <c r="T1263" s="1" t="n"/>
      <c r="U1263" s="1" t="n"/>
      <c r="V1263" s="1" t="n"/>
      <c r="W1263" s="1" t="n"/>
      <c r="X1263" s="1" t="n"/>
      <c r="Y1263" s="1" t="n"/>
    </row>
    <row r="1264">
      <c r="A1264" s="34">
        <f>IF($H481="UNIDADE CONSTRUTIVA",OFFSET(A481,-1,0)+1,LARGE(A$3:A480,1))</f>
        <v/>
      </c>
      <c r="B1264" s="34" t="n"/>
      <c r="C1264" s="34" t="n"/>
      <c r="D1264" s="35" t="n"/>
      <c r="E1264" s="35" t="n"/>
      <c r="F1264" s="1" t="n"/>
      <c r="G1264" s="167" t="n"/>
      <c r="H1264" s="167" t="n"/>
      <c r="I1264" s="167" t="n"/>
      <c r="J1264" s="168" t="n"/>
      <c r="K1264" s="169" t="n"/>
      <c r="L1264" s="172" t="n"/>
      <c r="M1264" s="172" t="n"/>
      <c r="N1264" s="175" t="n"/>
      <c r="O1264" s="168" t="n"/>
      <c r="P1264" s="173" t="n"/>
      <c r="Q1264" s="1" t="n"/>
      <c r="R1264" s="1" t="n"/>
      <c r="S1264" s="1" t="n"/>
      <c r="T1264" s="1" t="n"/>
      <c r="U1264" s="1" t="n"/>
      <c r="V1264" s="1" t="n"/>
      <c r="W1264" s="1" t="n"/>
      <c r="X1264" s="1" t="n"/>
      <c r="Y1264" s="1" t="n"/>
    </row>
    <row r="1265">
      <c r="A1265" s="34">
        <f>IF($H482="UNIDADE CONSTRUTIVA",OFFSET(A482,-1,0)+1,LARGE(A$3:A481,1))</f>
        <v/>
      </c>
      <c r="B1265" s="34" t="n"/>
      <c r="C1265" s="34" t="n"/>
      <c r="D1265" s="35" t="n"/>
      <c r="E1265" s="35" t="n"/>
      <c r="F1265" s="1" t="n"/>
      <c r="G1265" s="167" t="n"/>
      <c r="H1265" s="167" t="n"/>
      <c r="I1265" s="167" t="n"/>
      <c r="J1265" s="168" t="n"/>
      <c r="K1265" s="169" t="n"/>
      <c r="L1265" s="172" t="n"/>
      <c r="M1265" s="172" t="n"/>
      <c r="N1265" s="175" t="n"/>
      <c r="O1265" s="168" t="n"/>
      <c r="P1265" s="173" t="n"/>
      <c r="Q1265" s="1" t="n"/>
      <c r="R1265" s="1" t="n"/>
      <c r="S1265" s="1" t="n"/>
      <c r="T1265" s="1" t="n"/>
      <c r="U1265" s="1" t="n"/>
      <c r="V1265" s="1" t="n"/>
      <c r="W1265" s="1" t="n"/>
      <c r="X1265" s="1" t="n"/>
      <c r="Y1265" s="1" t="n"/>
    </row>
    <row r="1266">
      <c r="A1266" s="34">
        <f>IF($H483="UNIDADE CONSTRUTIVA",OFFSET(A483,-1,0)+1,LARGE(A$3:A482,1))</f>
        <v/>
      </c>
      <c r="B1266" s="34" t="n"/>
      <c r="C1266" s="34" t="n"/>
      <c r="D1266" s="35" t="n"/>
      <c r="E1266" s="35" t="n"/>
      <c r="F1266" s="1" t="n"/>
      <c r="G1266" s="167" t="n"/>
      <c r="H1266" s="167" t="n"/>
      <c r="I1266" s="167" t="n"/>
      <c r="J1266" s="168" t="n"/>
      <c r="K1266" s="169" t="n"/>
      <c r="L1266" s="172" t="n"/>
      <c r="M1266" s="172" t="n"/>
      <c r="N1266" s="175" t="n"/>
      <c r="O1266" s="168" t="n"/>
      <c r="P1266" s="173" t="n"/>
      <c r="Q1266" s="1" t="n"/>
      <c r="R1266" s="1" t="n"/>
      <c r="S1266" s="1" t="n"/>
      <c r="T1266" s="1" t="n"/>
      <c r="U1266" s="1" t="n"/>
      <c r="V1266" s="1" t="n"/>
      <c r="W1266" s="1" t="n"/>
      <c r="X1266" s="1" t="n"/>
      <c r="Y1266" s="1" t="n"/>
    </row>
    <row r="1267">
      <c r="A1267" s="34">
        <f>IF($H484="UNIDADE CONSTRUTIVA",OFFSET(A484,-1,0)+1,LARGE(A$3:A483,1))</f>
        <v/>
      </c>
      <c r="B1267" s="34" t="n"/>
      <c r="C1267" s="34" t="n"/>
      <c r="D1267" s="35" t="n"/>
      <c r="E1267" s="35" t="n"/>
      <c r="F1267" s="1" t="n"/>
      <c r="G1267" s="167" t="n"/>
      <c r="H1267" s="167" t="n"/>
      <c r="I1267" s="167" t="n"/>
      <c r="J1267" s="168" t="n"/>
      <c r="K1267" s="169" t="n"/>
      <c r="L1267" s="172" t="n"/>
      <c r="M1267" s="172" t="n"/>
      <c r="N1267" s="175" t="n"/>
      <c r="O1267" s="168" t="n"/>
      <c r="P1267" s="173" t="n"/>
      <c r="Q1267" s="1" t="n"/>
      <c r="R1267" s="1" t="n"/>
      <c r="S1267" s="1" t="n"/>
      <c r="T1267" s="1" t="n"/>
      <c r="U1267" s="1" t="n"/>
      <c r="V1267" s="1" t="n"/>
      <c r="W1267" s="1" t="n"/>
      <c r="X1267" s="1" t="n"/>
      <c r="Y1267" s="1" t="n"/>
    </row>
    <row r="1268">
      <c r="A1268" s="34">
        <f>IF($H485="UNIDADE CONSTRUTIVA",OFFSET(A485,-1,0)+1,LARGE(A$3:A484,1))</f>
        <v/>
      </c>
      <c r="B1268" s="34" t="n"/>
      <c r="C1268" s="34" t="n"/>
      <c r="D1268" s="35" t="n"/>
      <c r="E1268" s="35" t="n"/>
      <c r="F1268" s="1" t="n"/>
      <c r="G1268" s="167" t="n"/>
      <c r="H1268" s="167" t="n"/>
      <c r="I1268" s="167" t="n"/>
      <c r="J1268" s="168" t="n"/>
      <c r="K1268" s="169" t="n"/>
      <c r="L1268" s="172" t="n"/>
      <c r="M1268" s="172" t="n"/>
      <c r="N1268" s="175" t="n"/>
      <c r="O1268" s="168" t="n"/>
      <c r="P1268" s="173" t="n"/>
      <c r="Q1268" s="1" t="n"/>
      <c r="R1268" s="1" t="n"/>
      <c r="S1268" s="1" t="n"/>
      <c r="T1268" s="1" t="n"/>
      <c r="U1268" s="1" t="n"/>
      <c r="V1268" s="1" t="n"/>
      <c r="W1268" s="1" t="n"/>
      <c r="X1268" s="1" t="n"/>
      <c r="Y1268" s="1" t="n"/>
    </row>
    <row r="1269">
      <c r="A1269" s="34">
        <f>IF($H486="UNIDADE CONSTRUTIVA",OFFSET(A486,-1,0)+1,LARGE(A$3:A485,1))</f>
        <v/>
      </c>
      <c r="B1269" s="34" t="n"/>
      <c r="C1269" s="34" t="n"/>
      <c r="D1269" s="35" t="n"/>
      <c r="E1269" s="35" t="n"/>
      <c r="F1269" s="1" t="n"/>
      <c r="G1269" s="167" t="n"/>
      <c r="H1269" s="167" t="n"/>
      <c r="I1269" s="167" t="n"/>
      <c r="J1269" s="168" t="n"/>
      <c r="K1269" s="169" t="n"/>
      <c r="L1269" s="172" t="n"/>
      <c r="M1269" s="172" t="n"/>
      <c r="N1269" s="175" t="n"/>
      <c r="O1269" s="168" t="n"/>
      <c r="P1269" s="173" t="n"/>
      <c r="Q1269" s="1" t="n"/>
      <c r="R1269" s="1" t="n"/>
      <c r="S1269" s="1" t="n"/>
      <c r="T1269" s="1" t="n"/>
      <c r="U1269" s="1" t="n"/>
      <c r="V1269" s="1" t="n"/>
      <c r="W1269" s="1" t="n"/>
      <c r="X1269" s="1" t="n"/>
      <c r="Y1269" s="1" t="n"/>
    </row>
    <row r="1270">
      <c r="A1270" s="34">
        <f>IF($H487="UNIDADE CONSTRUTIVA",OFFSET(A487,-1,0)+1,LARGE(A$3:A486,1))</f>
        <v/>
      </c>
      <c r="B1270" s="34" t="n"/>
      <c r="C1270" s="34" t="n"/>
      <c r="D1270" s="35" t="n"/>
      <c r="E1270" s="35" t="n"/>
      <c r="F1270" s="1" t="n"/>
      <c r="G1270" s="167" t="n"/>
      <c r="H1270" s="167" t="n"/>
      <c r="I1270" s="167" t="n"/>
      <c r="J1270" s="168" t="n"/>
      <c r="K1270" s="169" t="n"/>
      <c r="L1270" s="172" t="n"/>
      <c r="M1270" s="172" t="n"/>
      <c r="N1270" s="175" t="n"/>
      <c r="O1270" s="168" t="n"/>
      <c r="P1270" s="173" t="n"/>
      <c r="Q1270" s="1" t="n"/>
      <c r="R1270" s="1" t="n"/>
      <c r="S1270" s="1" t="n"/>
      <c r="T1270" s="1" t="n"/>
      <c r="U1270" s="1" t="n"/>
      <c r="V1270" s="1" t="n"/>
      <c r="W1270" s="1" t="n"/>
      <c r="X1270" s="1" t="n"/>
      <c r="Y1270" s="1" t="n"/>
    </row>
    <row r="1271">
      <c r="A1271" s="34">
        <f>IF($H488="UNIDADE CONSTRUTIVA",OFFSET(A488,-1,0)+1,LARGE(A$3:A487,1))</f>
        <v/>
      </c>
      <c r="B1271" s="34" t="n"/>
      <c r="C1271" s="34" t="n"/>
      <c r="D1271" s="35" t="n"/>
      <c r="E1271" s="35" t="n"/>
      <c r="F1271" s="1" t="n"/>
      <c r="G1271" s="167" t="n"/>
      <c r="H1271" s="167" t="n"/>
      <c r="I1271" s="167" t="n"/>
      <c r="J1271" s="168" t="n"/>
      <c r="K1271" s="169" t="n"/>
      <c r="L1271" s="172" t="n"/>
      <c r="M1271" s="172" t="n"/>
      <c r="N1271" s="175" t="n"/>
      <c r="O1271" s="168" t="n"/>
      <c r="P1271" s="173" t="n"/>
      <c r="Q1271" s="1" t="n"/>
      <c r="R1271" s="1" t="n"/>
      <c r="S1271" s="1" t="n"/>
      <c r="T1271" s="1" t="n"/>
      <c r="U1271" s="1" t="n"/>
      <c r="V1271" s="1" t="n"/>
      <c r="W1271" s="1" t="n"/>
      <c r="X1271" s="1" t="n"/>
      <c r="Y1271" s="1" t="n"/>
    </row>
    <row r="1272">
      <c r="A1272" s="34">
        <f>IF($H489="UNIDADE CONSTRUTIVA",OFFSET(A489,-1,0)+1,LARGE(A$3:A488,1))</f>
        <v/>
      </c>
      <c r="B1272" s="34" t="n"/>
      <c r="C1272" s="34" t="n"/>
      <c r="D1272" s="35" t="n"/>
      <c r="E1272" s="35" t="n"/>
      <c r="F1272" s="1" t="n"/>
      <c r="G1272" s="167" t="n"/>
      <c r="H1272" s="167" t="n"/>
      <c r="I1272" s="167" t="n"/>
      <c r="J1272" s="168" t="n"/>
      <c r="K1272" s="169" t="n"/>
      <c r="L1272" s="172" t="n"/>
      <c r="M1272" s="172" t="n"/>
      <c r="N1272" s="175" t="n"/>
      <c r="O1272" s="168" t="n"/>
      <c r="P1272" s="173" t="n"/>
      <c r="Q1272" s="1" t="n"/>
      <c r="R1272" s="1" t="n"/>
      <c r="S1272" s="1" t="n"/>
      <c r="T1272" s="1" t="n"/>
      <c r="U1272" s="1" t="n"/>
      <c r="V1272" s="1" t="n"/>
      <c r="W1272" s="1" t="n"/>
      <c r="X1272" s="1" t="n"/>
      <c r="Y1272" s="1" t="n"/>
    </row>
    <row r="1273">
      <c r="A1273" s="34">
        <f>IF($H490="UNIDADE CONSTRUTIVA",OFFSET(A490,-1,0)+1,LARGE(A$3:A489,1))</f>
        <v/>
      </c>
      <c r="B1273" s="34" t="n"/>
      <c r="C1273" s="34" t="n"/>
      <c r="D1273" s="35" t="n"/>
      <c r="E1273" s="35" t="n"/>
      <c r="F1273" s="1" t="n"/>
      <c r="G1273" s="167" t="n"/>
      <c r="H1273" s="167" t="n"/>
      <c r="I1273" s="167" t="n"/>
      <c r="J1273" s="168" t="n"/>
      <c r="K1273" s="169" t="n"/>
      <c r="L1273" s="172" t="n"/>
      <c r="M1273" s="172" t="n"/>
      <c r="N1273" s="175" t="n"/>
      <c r="O1273" s="168" t="n"/>
      <c r="P1273" s="173" t="n"/>
      <c r="Q1273" s="1" t="n"/>
      <c r="R1273" s="1" t="n"/>
      <c r="S1273" s="1" t="n"/>
      <c r="T1273" s="1" t="n"/>
      <c r="U1273" s="1" t="n"/>
      <c r="V1273" s="1" t="n"/>
      <c r="W1273" s="1" t="n"/>
      <c r="X1273" s="1" t="n"/>
      <c r="Y1273" s="1" t="n"/>
    </row>
    <row r="1274">
      <c r="A1274" s="34">
        <f>IF($H491="UNIDADE CONSTRUTIVA",OFFSET(A491,-1,0)+1,LARGE(A$3:A490,1))</f>
        <v/>
      </c>
      <c r="B1274" s="34" t="n"/>
      <c r="C1274" s="34" t="n"/>
      <c r="D1274" s="35" t="n"/>
      <c r="E1274" s="35" t="n"/>
      <c r="F1274" s="1" t="n"/>
      <c r="G1274" s="167" t="n"/>
      <c r="H1274" s="167" t="n"/>
      <c r="I1274" s="167" t="n"/>
      <c r="J1274" s="168" t="n"/>
      <c r="K1274" s="169" t="n"/>
      <c r="L1274" s="172" t="n"/>
      <c r="M1274" s="172" t="n"/>
      <c r="N1274" s="175" t="n"/>
      <c r="O1274" s="168" t="n"/>
      <c r="P1274" s="173" t="n"/>
      <c r="Q1274" s="1" t="n"/>
      <c r="R1274" s="1" t="n"/>
      <c r="S1274" s="1" t="n"/>
      <c r="T1274" s="1" t="n"/>
      <c r="U1274" s="1" t="n"/>
      <c r="V1274" s="1" t="n"/>
      <c r="W1274" s="1" t="n"/>
      <c r="X1274" s="1" t="n"/>
      <c r="Y1274" s="1" t="n"/>
    </row>
    <row r="1275">
      <c r="A1275" s="34">
        <f>IF($H492="UNIDADE CONSTRUTIVA",OFFSET(A492,-1,0)+1,LARGE(A$3:A491,1))</f>
        <v/>
      </c>
      <c r="B1275" s="34" t="n"/>
      <c r="C1275" s="34" t="n"/>
      <c r="D1275" s="35" t="n"/>
      <c r="E1275" s="35" t="n"/>
      <c r="F1275" s="1" t="n"/>
      <c r="G1275" s="167" t="n"/>
      <c r="H1275" s="167" t="n"/>
      <c r="I1275" s="167" t="n"/>
      <c r="J1275" s="168" t="n"/>
      <c r="K1275" s="169" t="n"/>
      <c r="L1275" s="172" t="n"/>
      <c r="M1275" s="172" t="n"/>
      <c r="N1275" s="175" t="n"/>
      <c r="O1275" s="168" t="n"/>
      <c r="P1275" s="173" t="n"/>
      <c r="Q1275" s="1" t="n"/>
      <c r="R1275" s="1" t="n"/>
      <c r="S1275" s="1" t="n"/>
      <c r="T1275" s="1" t="n"/>
      <c r="U1275" s="1" t="n"/>
      <c r="V1275" s="1" t="n"/>
      <c r="W1275" s="1" t="n"/>
      <c r="X1275" s="1" t="n"/>
      <c r="Y1275" s="1" t="n"/>
    </row>
    <row r="1276">
      <c r="A1276" s="34">
        <f>IF($H493="UNIDADE CONSTRUTIVA",OFFSET(A493,-1,0)+1,LARGE(A$3:A492,1))</f>
        <v/>
      </c>
      <c r="B1276" s="34" t="n"/>
      <c r="C1276" s="34" t="n"/>
      <c r="D1276" s="35" t="n"/>
      <c r="E1276" s="35" t="n"/>
      <c r="F1276" s="1" t="n"/>
      <c r="G1276" s="167" t="n"/>
      <c r="H1276" s="167" t="n"/>
      <c r="I1276" s="167" t="n"/>
      <c r="J1276" s="168" t="n"/>
      <c r="K1276" s="169" t="n"/>
      <c r="L1276" s="172" t="n"/>
      <c r="M1276" s="172" t="n"/>
      <c r="N1276" s="175" t="n"/>
      <c r="O1276" s="168" t="n"/>
      <c r="P1276" s="173" t="n"/>
      <c r="Q1276" s="1" t="n"/>
      <c r="R1276" s="1" t="n"/>
      <c r="S1276" s="1" t="n"/>
      <c r="T1276" s="1" t="n"/>
      <c r="U1276" s="1" t="n"/>
      <c r="V1276" s="1" t="n"/>
      <c r="W1276" s="1" t="n"/>
      <c r="X1276" s="1" t="n"/>
      <c r="Y1276" s="1" t="n"/>
    </row>
    <row r="1277">
      <c r="A1277" s="34">
        <f>IF($H494="UNIDADE CONSTRUTIVA",OFFSET(A494,-1,0)+1,LARGE(A$3:A493,1))</f>
        <v/>
      </c>
      <c r="B1277" s="34" t="n"/>
      <c r="C1277" s="34" t="n"/>
      <c r="D1277" s="35" t="n"/>
      <c r="E1277" s="35" t="n"/>
      <c r="F1277" s="1" t="n"/>
      <c r="G1277" s="167" t="n"/>
      <c r="H1277" s="167" t="n"/>
      <c r="I1277" s="167" t="n"/>
      <c r="J1277" s="168" t="n"/>
      <c r="K1277" s="169" t="n"/>
      <c r="L1277" s="172" t="n"/>
      <c r="M1277" s="172" t="n"/>
      <c r="N1277" s="175" t="n"/>
      <c r="O1277" s="168" t="n"/>
      <c r="P1277" s="173" t="n"/>
      <c r="Q1277" s="1" t="n"/>
      <c r="R1277" s="1" t="n"/>
      <c r="S1277" s="1" t="n"/>
      <c r="T1277" s="1" t="n"/>
      <c r="U1277" s="1" t="n"/>
      <c r="V1277" s="1" t="n"/>
      <c r="W1277" s="1" t="n"/>
      <c r="X1277" s="1" t="n"/>
      <c r="Y1277" s="1" t="n"/>
    </row>
    <row r="1278">
      <c r="A1278" s="34">
        <f>IF($H495="UNIDADE CONSTRUTIVA",OFFSET(A495,-1,0)+1,LARGE(A$3:A494,1))</f>
        <v/>
      </c>
      <c r="B1278" s="34" t="n"/>
      <c r="C1278" s="34" t="n"/>
      <c r="D1278" s="35" t="n"/>
      <c r="E1278" s="35" t="n"/>
      <c r="F1278" s="1" t="n"/>
      <c r="G1278" s="167" t="n"/>
      <c r="H1278" s="167" t="n"/>
      <c r="I1278" s="167" t="n"/>
      <c r="J1278" s="168" t="n"/>
      <c r="K1278" s="169" t="n"/>
      <c r="L1278" s="172" t="n"/>
      <c r="M1278" s="172" t="n"/>
      <c r="N1278" s="175" t="n"/>
      <c r="O1278" s="168" t="n"/>
      <c r="P1278" s="173" t="n"/>
      <c r="Q1278" s="1" t="n"/>
      <c r="R1278" s="1" t="n"/>
      <c r="S1278" s="1" t="n"/>
      <c r="T1278" s="1" t="n"/>
      <c r="U1278" s="1" t="n"/>
      <c r="V1278" s="1" t="n"/>
      <c r="W1278" s="1" t="n"/>
      <c r="X1278" s="1" t="n"/>
      <c r="Y1278" s="1" t="n"/>
    </row>
    <row r="1279">
      <c r="A1279" s="34">
        <f>IF($H496="UNIDADE CONSTRUTIVA",OFFSET(A496,-1,0)+1,LARGE(A$3:A495,1))</f>
        <v/>
      </c>
      <c r="B1279" s="34" t="n"/>
      <c r="C1279" s="34" t="n"/>
      <c r="D1279" s="35" t="n"/>
      <c r="E1279" s="35" t="n"/>
      <c r="F1279" s="1" t="n"/>
      <c r="G1279" s="167" t="n"/>
      <c r="H1279" s="167" t="n"/>
      <c r="I1279" s="167" t="n"/>
      <c r="J1279" s="168" t="n"/>
      <c r="K1279" s="169" t="n"/>
      <c r="L1279" s="172" t="n"/>
      <c r="M1279" s="172" t="n"/>
      <c r="N1279" s="175" t="n"/>
      <c r="O1279" s="168" t="n"/>
      <c r="P1279" s="173" t="n"/>
      <c r="Q1279" s="1" t="n"/>
      <c r="R1279" s="1" t="n"/>
      <c r="S1279" s="1" t="n"/>
      <c r="T1279" s="1" t="n"/>
      <c r="U1279" s="1" t="n"/>
      <c r="V1279" s="1" t="n"/>
      <c r="W1279" s="1" t="n"/>
      <c r="X1279" s="1" t="n"/>
      <c r="Y1279" s="1" t="n"/>
    </row>
    <row r="1280">
      <c r="A1280" s="34">
        <f>IF($H497="UNIDADE CONSTRUTIVA",OFFSET(A497,-1,0)+1,LARGE(A$3:A496,1))</f>
        <v/>
      </c>
      <c r="B1280" s="34" t="n"/>
      <c r="C1280" s="34" t="n"/>
      <c r="D1280" s="35" t="n"/>
      <c r="E1280" s="35" t="n"/>
      <c r="F1280" s="1" t="n"/>
      <c r="G1280" s="167" t="n"/>
      <c r="H1280" s="167" t="n"/>
      <c r="I1280" s="167" t="n"/>
      <c r="J1280" s="168" t="n"/>
      <c r="K1280" s="169" t="n"/>
      <c r="L1280" s="172" t="n"/>
      <c r="M1280" s="172" t="n"/>
      <c r="N1280" s="175" t="n"/>
      <c r="O1280" s="168" t="n"/>
      <c r="P1280" s="173" t="n"/>
      <c r="Q1280" s="1" t="n"/>
      <c r="R1280" s="1" t="n"/>
      <c r="S1280" s="1" t="n"/>
      <c r="T1280" s="1" t="n"/>
      <c r="U1280" s="1" t="n"/>
      <c r="V1280" s="1" t="n"/>
      <c r="W1280" s="1" t="n"/>
      <c r="X1280" s="1" t="n"/>
      <c r="Y1280" s="1" t="n"/>
    </row>
    <row r="1281">
      <c r="A1281" s="34">
        <f>IF($H498="UNIDADE CONSTRUTIVA",OFFSET(A498,-1,0)+1,LARGE(A$3:A497,1))</f>
        <v/>
      </c>
      <c r="B1281" s="34" t="n"/>
      <c r="C1281" s="34" t="n"/>
      <c r="D1281" s="35" t="n"/>
      <c r="E1281" s="35" t="n"/>
      <c r="F1281" s="1" t="n"/>
      <c r="G1281" s="167" t="n"/>
      <c r="H1281" s="167" t="n"/>
      <c r="I1281" s="167" t="n"/>
      <c r="J1281" s="168" t="n"/>
      <c r="K1281" s="169" t="n"/>
      <c r="L1281" s="172" t="n"/>
      <c r="M1281" s="172" t="n"/>
      <c r="N1281" s="175" t="n"/>
      <c r="O1281" s="168" t="n"/>
      <c r="P1281" s="173" t="n"/>
      <c r="Q1281" s="1" t="n"/>
      <c r="R1281" s="1" t="n"/>
      <c r="S1281" s="1" t="n"/>
      <c r="T1281" s="1" t="n"/>
      <c r="U1281" s="1" t="n"/>
      <c r="V1281" s="1" t="n"/>
      <c r="W1281" s="1" t="n"/>
      <c r="X1281" s="1" t="n"/>
      <c r="Y1281" s="1" t="n"/>
    </row>
    <row r="1282">
      <c r="A1282" s="34">
        <f>IF($H499="UNIDADE CONSTRUTIVA",OFFSET(A499,-1,0)+1,LARGE(A$3:A498,1))</f>
        <v/>
      </c>
      <c r="B1282" s="34" t="n"/>
      <c r="C1282" s="34" t="n"/>
      <c r="D1282" s="35" t="n"/>
      <c r="E1282" s="35" t="n"/>
      <c r="F1282" s="1" t="n"/>
      <c r="G1282" s="167" t="n"/>
      <c r="H1282" s="167" t="n"/>
      <c r="I1282" s="167" t="n"/>
      <c r="J1282" s="168" t="n"/>
      <c r="K1282" s="169" t="n"/>
      <c r="L1282" s="172" t="n"/>
      <c r="M1282" s="172" t="n"/>
      <c r="N1282" s="175" t="n"/>
      <c r="O1282" s="168" t="n"/>
      <c r="P1282" s="173" t="n"/>
      <c r="Q1282" s="1" t="n"/>
      <c r="R1282" s="1" t="n"/>
      <c r="S1282" s="1" t="n"/>
      <c r="T1282" s="1" t="n"/>
      <c r="U1282" s="1" t="n"/>
      <c r="V1282" s="1" t="n"/>
      <c r="W1282" s="1" t="n"/>
      <c r="X1282" s="1" t="n"/>
      <c r="Y1282" s="1" t="n"/>
    </row>
    <row r="1283">
      <c r="A1283" s="34">
        <f>IF($H500="UNIDADE CONSTRUTIVA",OFFSET(A500,-1,0)+1,LARGE(A$3:A499,1))</f>
        <v/>
      </c>
      <c r="B1283" s="34" t="n"/>
      <c r="C1283" s="34" t="n"/>
      <c r="D1283" s="35" t="n"/>
      <c r="E1283" s="35" t="n"/>
      <c r="F1283" s="1" t="n"/>
      <c r="G1283" s="167" t="n"/>
      <c r="H1283" s="167" t="n"/>
      <c r="I1283" s="167" t="n"/>
      <c r="J1283" s="168" t="n"/>
      <c r="K1283" s="169" t="n"/>
      <c r="L1283" s="172" t="n"/>
      <c r="M1283" s="172" t="n"/>
      <c r="N1283" s="175" t="n"/>
      <c r="O1283" s="168" t="n"/>
      <c r="P1283" s="173" t="n"/>
      <c r="Q1283" s="1" t="n"/>
      <c r="R1283" s="1" t="n"/>
      <c r="S1283" s="1" t="n"/>
      <c r="T1283" s="1" t="n"/>
      <c r="U1283" s="1" t="n"/>
      <c r="V1283" s="1" t="n"/>
      <c r="W1283" s="1" t="n"/>
      <c r="X1283" s="1" t="n"/>
      <c r="Y1283" s="1" t="n"/>
    </row>
    <row r="1284">
      <c r="A1284" s="34">
        <f>IF($H501="UNIDADE CONSTRUTIVA",OFFSET(A501,-1,0)+1,LARGE(A$3:A500,1))</f>
        <v/>
      </c>
      <c r="B1284" s="34" t="n"/>
      <c r="C1284" s="34" t="n"/>
      <c r="D1284" s="35" t="n"/>
      <c r="E1284" s="35" t="n"/>
      <c r="F1284" s="1" t="n"/>
      <c r="G1284" s="167" t="n"/>
      <c r="H1284" s="167" t="n"/>
      <c r="I1284" s="167" t="n"/>
      <c r="J1284" s="168" t="n"/>
      <c r="K1284" s="169" t="n"/>
      <c r="L1284" s="172" t="n"/>
      <c r="M1284" s="172" t="n"/>
      <c r="N1284" s="175" t="n"/>
      <c r="O1284" s="168" t="n"/>
      <c r="P1284" s="173" t="n"/>
      <c r="Q1284" s="1" t="n"/>
      <c r="R1284" s="1" t="n"/>
      <c r="S1284" s="1" t="n"/>
      <c r="T1284" s="1" t="n"/>
      <c r="U1284" s="1" t="n"/>
      <c r="V1284" s="1" t="n"/>
      <c r="W1284" s="1" t="n"/>
      <c r="X1284" s="1" t="n"/>
      <c r="Y1284" s="1" t="n"/>
    </row>
    <row r="1285">
      <c r="A1285" s="34">
        <f>IF($H502="UNIDADE CONSTRUTIVA",OFFSET(A502,-1,0)+1,LARGE(A$3:A501,1))</f>
        <v/>
      </c>
      <c r="B1285" s="34" t="n"/>
      <c r="C1285" s="34" t="n"/>
      <c r="D1285" s="35" t="n"/>
      <c r="E1285" s="35" t="n"/>
      <c r="F1285" s="1" t="n"/>
      <c r="G1285" s="167" t="n"/>
      <c r="H1285" s="167" t="n"/>
      <c r="I1285" s="167" t="n"/>
      <c r="J1285" s="168" t="n"/>
      <c r="K1285" s="169" t="n"/>
      <c r="L1285" s="172" t="n"/>
      <c r="M1285" s="172" t="n"/>
      <c r="N1285" s="175" t="n"/>
      <c r="O1285" s="168" t="n"/>
      <c r="P1285" s="173" t="n"/>
      <c r="Q1285" s="1" t="n"/>
      <c r="R1285" s="1" t="n"/>
      <c r="S1285" s="1" t="n"/>
      <c r="T1285" s="1" t="n"/>
      <c r="U1285" s="1" t="n"/>
      <c r="V1285" s="1" t="n"/>
      <c r="W1285" s="1" t="n"/>
      <c r="X1285" s="1" t="n"/>
      <c r="Y1285" s="1" t="n"/>
    </row>
    <row r="1286">
      <c r="A1286" s="34">
        <f>IF($H503="UNIDADE CONSTRUTIVA",OFFSET(A503,-1,0)+1,LARGE(A$3:A502,1))</f>
        <v/>
      </c>
      <c r="B1286" s="34" t="n"/>
      <c r="C1286" s="34" t="n"/>
      <c r="D1286" s="35" t="n"/>
      <c r="E1286" s="35" t="n"/>
      <c r="F1286" s="1" t="n"/>
      <c r="G1286" s="167" t="n"/>
      <c r="H1286" s="167" t="n"/>
      <c r="I1286" s="167" t="n"/>
      <c r="J1286" s="168" t="n"/>
      <c r="K1286" s="169" t="n"/>
      <c r="L1286" s="172" t="n"/>
      <c r="M1286" s="172" t="n"/>
      <c r="N1286" s="175" t="n"/>
      <c r="O1286" s="168" t="n"/>
      <c r="P1286" s="173" t="n"/>
      <c r="Q1286" s="1" t="n"/>
      <c r="R1286" s="1" t="n"/>
      <c r="S1286" s="1" t="n"/>
      <c r="T1286" s="1" t="n"/>
      <c r="U1286" s="1" t="n"/>
      <c r="V1286" s="1" t="n"/>
      <c r="W1286" s="1" t="n"/>
      <c r="X1286" s="1" t="n"/>
      <c r="Y1286" s="1" t="n"/>
    </row>
    <row r="1287">
      <c r="A1287" s="34">
        <f>IF($H504="UNIDADE CONSTRUTIVA",OFFSET(A504,-1,0)+1,LARGE(A$3:A503,1))</f>
        <v/>
      </c>
      <c r="B1287" s="34" t="n"/>
      <c r="C1287" s="34" t="n"/>
      <c r="D1287" s="35" t="n"/>
      <c r="E1287" s="35" t="n"/>
      <c r="F1287" s="1" t="n"/>
      <c r="G1287" s="167" t="n"/>
      <c r="H1287" s="167" t="n"/>
      <c r="I1287" s="167" t="n"/>
      <c r="J1287" s="168" t="n"/>
      <c r="K1287" s="169" t="n"/>
      <c r="L1287" s="172" t="n"/>
      <c r="M1287" s="172" t="n"/>
      <c r="N1287" s="175" t="n"/>
      <c r="O1287" s="168" t="n"/>
      <c r="P1287" s="173" t="n"/>
      <c r="Q1287" s="1" t="n"/>
      <c r="R1287" s="1" t="n"/>
      <c r="S1287" s="1" t="n"/>
      <c r="T1287" s="1" t="n"/>
      <c r="U1287" s="1" t="n"/>
      <c r="V1287" s="1" t="n"/>
      <c r="W1287" s="1" t="n"/>
      <c r="X1287" s="1" t="n"/>
      <c r="Y1287" s="1" t="n"/>
    </row>
    <row r="1288">
      <c r="A1288" s="34">
        <f>IF($H505="UNIDADE CONSTRUTIVA",OFFSET(A505,-1,0)+1,LARGE(A$3:A504,1))</f>
        <v/>
      </c>
      <c r="B1288" s="34" t="n"/>
      <c r="C1288" s="34" t="n"/>
      <c r="D1288" s="35" t="n"/>
      <c r="E1288" s="35" t="n"/>
      <c r="F1288" s="1" t="n"/>
      <c r="G1288" s="167" t="n"/>
      <c r="H1288" s="167" t="n"/>
      <c r="I1288" s="167" t="n"/>
      <c r="J1288" s="168" t="n"/>
      <c r="K1288" s="169" t="n"/>
      <c r="L1288" s="172" t="n"/>
      <c r="M1288" s="172" t="n"/>
      <c r="N1288" s="175" t="n"/>
      <c r="O1288" s="168" t="n"/>
      <c r="P1288" s="173" t="n"/>
      <c r="Q1288" s="1" t="n"/>
      <c r="R1288" s="1" t="n"/>
      <c r="S1288" s="1" t="n"/>
      <c r="T1288" s="1" t="n"/>
      <c r="U1288" s="1" t="n"/>
      <c r="V1288" s="1" t="n"/>
      <c r="W1288" s="1" t="n"/>
      <c r="X1288" s="1" t="n"/>
      <c r="Y1288" s="1" t="n"/>
    </row>
    <row r="1289">
      <c r="A1289" s="34">
        <f>IF($H506="UNIDADE CONSTRUTIVA",OFFSET(A506,-1,0)+1,LARGE(A$3:A505,1))</f>
        <v/>
      </c>
      <c r="B1289" s="34" t="n"/>
      <c r="C1289" s="34" t="n"/>
      <c r="D1289" s="35" t="n"/>
      <c r="E1289" s="35" t="n"/>
      <c r="F1289" s="1" t="n"/>
      <c r="G1289" s="167" t="n"/>
      <c r="H1289" s="167" t="n"/>
      <c r="I1289" s="167" t="n"/>
      <c r="J1289" s="168" t="n"/>
      <c r="K1289" s="169" t="n"/>
      <c r="L1289" s="172" t="n"/>
      <c r="M1289" s="172" t="n"/>
      <c r="N1289" s="175" t="n"/>
      <c r="O1289" s="168" t="n"/>
      <c r="P1289" s="173" t="n"/>
      <c r="Q1289" s="1" t="n"/>
      <c r="R1289" s="1" t="n"/>
      <c r="S1289" s="1" t="n"/>
      <c r="T1289" s="1" t="n"/>
      <c r="U1289" s="1" t="n"/>
      <c r="V1289" s="1" t="n"/>
      <c r="W1289" s="1" t="n"/>
      <c r="X1289" s="1" t="n"/>
      <c r="Y1289" s="1" t="n"/>
    </row>
    <row r="1290">
      <c r="A1290" s="34">
        <f>IF($H507="UNIDADE CONSTRUTIVA",OFFSET(A507,-1,0)+1,LARGE(A$3:A506,1))</f>
        <v/>
      </c>
      <c r="B1290" s="34" t="n"/>
      <c r="C1290" s="34" t="n"/>
      <c r="D1290" s="35" t="n"/>
      <c r="E1290" s="35" t="n"/>
      <c r="F1290" s="1" t="n"/>
      <c r="G1290" s="167" t="n"/>
      <c r="H1290" s="167" t="n"/>
      <c r="I1290" s="167" t="n"/>
      <c r="J1290" s="168" t="n"/>
      <c r="K1290" s="169" t="n"/>
      <c r="L1290" s="172" t="n"/>
      <c r="M1290" s="172" t="n"/>
      <c r="N1290" s="175" t="n"/>
      <c r="O1290" s="168" t="n"/>
      <c r="P1290" s="173" t="n"/>
      <c r="Q1290" s="1" t="n"/>
      <c r="R1290" s="1" t="n"/>
      <c r="S1290" s="1" t="n"/>
      <c r="T1290" s="1" t="n"/>
      <c r="U1290" s="1" t="n"/>
      <c r="V1290" s="1" t="n"/>
      <c r="W1290" s="1" t="n"/>
      <c r="X1290" s="1" t="n"/>
      <c r="Y1290" s="1" t="n"/>
    </row>
    <row r="1291">
      <c r="A1291" s="34">
        <f>IF($H508="UNIDADE CONSTRUTIVA",OFFSET(A508,-1,0)+1,LARGE(A$3:A507,1))</f>
        <v/>
      </c>
      <c r="B1291" s="34" t="n"/>
      <c r="C1291" s="34" t="n"/>
      <c r="D1291" s="35" t="n"/>
      <c r="E1291" s="35" t="n"/>
      <c r="F1291" s="1" t="n"/>
      <c r="G1291" s="167" t="n"/>
      <c r="H1291" s="167" t="n"/>
      <c r="I1291" s="167" t="n"/>
      <c r="J1291" s="168" t="n"/>
      <c r="K1291" s="169" t="n"/>
      <c r="L1291" s="172" t="n"/>
      <c r="M1291" s="172" t="n"/>
      <c r="N1291" s="175" t="n"/>
      <c r="O1291" s="168" t="n"/>
      <c r="P1291" s="173" t="n"/>
      <c r="Q1291" s="1" t="n"/>
      <c r="R1291" s="1" t="n"/>
      <c r="S1291" s="1" t="n"/>
      <c r="T1291" s="1" t="n"/>
      <c r="U1291" s="1" t="n"/>
      <c r="V1291" s="1" t="n"/>
      <c r="W1291" s="1" t="n"/>
      <c r="X1291" s="1" t="n"/>
      <c r="Y1291" s="1" t="n"/>
    </row>
    <row r="1292">
      <c r="A1292" s="34">
        <f>IF($H509="UNIDADE CONSTRUTIVA",OFFSET(A509,-1,0)+1,LARGE(A$3:A508,1))</f>
        <v/>
      </c>
      <c r="B1292" s="34" t="n"/>
      <c r="C1292" s="34" t="n"/>
      <c r="D1292" s="35" t="n"/>
      <c r="E1292" s="35" t="n"/>
      <c r="F1292" s="1" t="n"/>
      <c r="G1292" s="167" t="n"/>
      <c r="H1292" s="167" t="n"/>
      <c r="I1292" s="167" t="n"/>
      <c r="J1292" s="168" t="n"/>
      <c r="K1292" s="169" t="n"/>
      <c r="L1292" s="172" t="n"/>
      <c r="M1292" s="172" t="n"/>
      <c r="N1292" s="175" t="n"/>
      <c r="O1292" s="168" t="n"/>
      <c r="P1292" s="173" t="n"/>
      <c r="Q1292" s="1" t="n"/>
      <c r="R1292" s="1" t="n"/>
      <c r="S1292" s="1" t="n"/>
      <c r="T1292" s="1" t="n"/>
      <c r="U1292" s="1" t="n"/>
      <c r="V1292" s="1" t="n"/>
      <c r="W1292" s="1" t="n"/>
      <c r="X1292" s="1" t="n"/>
      <c r="Y1292" s="1" t="n"/>
    </row>
    <row r="1293">
      <c r="A1293" s="34">
        <f>IF($H510="UNIDADE CONSTRUTIVA",OFFSET(A510,-1,0)+1,LARGE(A$3:A509,1))</f>
        <v/>
      </c>
      <c r="B1293" s="34" t="n"/>
      <c r="C1293" s="34" t="n"/>
      <c r="D1293" s="35" t="n"/>
      <c r="E1293" s="35" t="n"/>
      <c r="F1293" s="1" t="n"/>
      <c r="G1293" s="167" t="n"/>
      <c r="H1293" s="167" t="n"/>
      <c r="I1293" s="167" t="n"/>
      <c r="J1293" s="168" t="n"/>
      <c r="K1293" s="169" t="n"/>
      <c r="L1293" s="172" t="n"/>
      <c r="M1293" s="172" t="n"/>
      <c r="N1293" s="175" t="n"/>
      <c r="O1293" s="168" t="n"/>
      <c r="P1293" s="173" t="n"/>
      <c r="Q1293" s="1" t="n"/>
      <c r="R1293" s="1" t="n"/>
      <c r="S1293" s="1" t="n"/>
      <c r="T1293" s="1" t="n"/>
      <c r="U1293" s="1" t="n"/>
      <c r="V1293" s="1" t="n"/>
      <c r="W1293" s="1" t="n"/>
      <c r="X1293" s="1" t="n"/>
      <c r="Y1293" s="1" t="n"/>
    </row>
    <row r="1294">
      <c r="A1294" s="34">
        <f>IF($H511="UNIDADE CONSTRUTIVA",OFFSET(A511,-1,0)+1,LARGE(A$3:A510,1))</f>
        <v/>
      </c>
      <c r="B1294" s="34" t="n"/>
      <c r="C1294" s="34" t="n"/>
      <c r="D1294" s="35" t="n"/>
      <c r="E1294" s="35" t="n"/>
      <c r="F1294" s="1" t="n"/>
      <c r="G1294" s="167" t="n"/>
      <c r="H1294" s="167" t="n"/>
      <c r="I1294" s="167" t="n"/>
      <c r="J1294" s="168" t="n"/>
      <c r="K1294" s="169" t="n"/>
      <c r="L1294" s="172" t="n"/>
      <c r="M1294" s="172" t="n"/>
      <c r="N1294" s="175" t="n"/>
      <c r="O1294" s="168" t="n"/>
      <c r="P1294" s="173" t="n"/>
      <c r="Q1294" s="1" t="n"/>
      <c r="R1294" s="1" t="n"/>
      <c r="S1294" s="1" t="n"/>
      <c r="T1294" s="1" t="n"/>
      <c r="U1294" s="1" t="n"/>
      <c r="V1294" s="1" t="n"/>
      <c r="W1294" s="1" t="n"/>
      <c r="X1294" s="1" t="n"/>
      <c r="Y1294" s="1" t="n"/>
    </row>
    <row r="1295">
      <c r="A1295" s="34">
        <f>IF($H512="UNIDADE CONSTRUTIVA",OFFSET(A512,-1,0)+1,LARGE(A$3:A511,1))</f>
        <v/>
      </c>
      <c r="B1295" s="34" t="n"/>
      <c r="C1295" s="34" t="n"/>
      <c r="D1295" s="35" t="n"/>
      <c r="E1295" s="35" t="n"/>
      <c r="F1295" s="1" t="n"/>
      <c r="G1295" s="167" t="n"/>
      <c r="H1295" s="167" t="n"/>
      <c r="I1295" s="167" t="n"/>
      <c r="J1295" s="168" t="n"/>
      <c r="K1295" s="169" t="n"/>
      <c r="L1295" s="172" t="n"/>
      <c r="M1295" s="172" t="n"/>
      <c r="N1295" s="175" t="n"/>
      <c r="O1295" s="168" t="n"/>
      <c r="P1295" s="173" t="n"/>
      <c r="Q1295" s="1" t="n"/>
      <c r="R1295" s="1" t="n"/>
      <c r="S1295" s="1" t="n"/>
      <c r="T1295" s="1" t="n"/>
      <c r="U1295" s="1" t="n"/>
      <c r="V1295" s="1" t="n"/>
      <c r="W1295" s="1" t="n"/>
      <c r="X1295" s="1" t="n"/>
      <c r="Y1295" s="1" t="n"/>
    </row>
    <row r="1296">
      <c r="A1296" s="34">
        <f>IF($H513="UNIDADE CONSTRUTIVA",OFFSET(A513,-1,0)+1,LARGE(A$3:A512,1))</f>
        <v/>
      </c>
      <c r="B1296" s="34" t="n"/>
      <c r="C1296" s="34" t="n"/>
      <c r="D1296" s="35" t="n"/>
      <c r="E1296" s="35" t="n"/>
      <c r="F1296" s="1" t="n"/>
      <c r="G1296" s="167" t="n"/>
      <c r="H1296" s="167" t="n"/>
      <c r="I1296" s="167" t="n"/>
      <c r="J1296" s="168" t="n"/>
      <c r="K1296" s="169" t="n"/>
      <c r="L1296" s="172" t="n"/>
      <c r="M1296" s="172" t="n"/>
      <c r="N1296" s="175" t="n"/>
      <c r="O1296" s="168" t="n"/>
      <c r="P1296" s="173" t="n"/>
      <c r="Q1296" s="1" t="n"/>
      <c r="R1296" s="1" t="n"/>
      <c r="S1296" s="1" t="n"/>
      <c r="T1296" s="1" t="n"/>
      <c r="U1296" s="1" t="n"/>
      <c r="V1296" s="1" t="n"/>
      <c r="W1296" s="1" t="n"/>
      <c r="X1296" s="1" t="n"/>
      <c r="Y1296" s="1" t="n"/>
    </row>
    <row r="1297">
      <c r="A1297" s="34">
        <f>IF($H514="UNIDADE CONSTRUTIVA",OFFSET(A514,-1,0)+1,LARGE(A$3:A513,1))</f>
        <v/>
      </c>
      <c r="B1297" s="34" t="n"/>
      <c r="C1297" s="34" t="n"/>
      <c r="D1297" s="35" t="n"/>
      <c r="E1297" s="35" t="n"/>
      <c r="F1297" s="1" t="n"/>
      <c r="G1297" s="167" t="n"/>
      <c r="H1297" s="167" t="n"/>
      <c r="I1297" s="167" t="n"/>
      <c r="J1297" s="168" t="n"/>
      <c r="K1297" s="169" t="n"/>
      <c r="L1297" s="172" t="n"/>
      <c r="M1297" s="172" t="n"/>
      <c r="N1297" s="175" t="n"/>
      <c r="O1297" s="168" t="n"/>
      <c r="P1297" s="173" t="n"/>
      <c r="Q1297" s="1" t="n"/>
      <c r="R1297" s="1" t="n"/>
      <c r="S1297" s="1" t="n"/>
      <c r="T1297" s="1" t="n"/>
      <c r="U1297" s="1" t="n"/>
      <c r="V1297" s="1" t="n"/>
      <c r="W1297" s="1" t="n"/>
      <c r="X1297" s="1" t="n"/>
      <c r="Y1297" s="1" t="n"/>
    </row>
    <row r="1298">
      <c r="A1298" s="34">
        <f>IF($H515="UNIDADE CONSTRUTIVA",OFFSET(A515,-1,0)+1,LARGE(A$3:A514,1))</f>
        <v/>
      </c>
      <c r="B1298" s="34" t="n"/>
      <c r="C1298" s="34" t="n"/>
      <c r="D1298" s="35" t="n"/>
      <c r="E1298" s="35" t="n"/>
      <c r="F1298" s="1" t="n"/>
      <c r="G1298" s="167" t="n"/>
      <c r="H1298" s="167" t="n"/>
      <c r="I1298" s="167" t="n"/>
      <c r="J1298" s="168" t="n"/>
      <c r="K1298" s="169" t="n"/>
      <c r="L1298" s="172" t="n"/>
      <c r="M1298" s="172" t="n"/>
      <c r="N1298" s="175" t="n"/>
      <c r="O1298" s="168" t="n"/>
      <c r="P1298" s="173" t="n"/>
      <c r="Q1298" s="1" t="n"/>
      <c r="R1298" s="1" t="n"/>
      <c r="S1298" s="1" t="n"/>
      <c r="T1298" s="1" t="n"/>
      <c r="U1298" s="1" t="n"/>
      <c r="V1298" s="1" t="n"/>
      <c r="W1298" s="1" t="n"/>
      <c r="X1298" s="1" t="n"/>
      <c r="Y1298" s="1" t="n"/>
    </row>
    <row r="1299">
      <c r="A1299" s="34">
        <f>IF($H516="UNIDADE CONSTRUTIVA",OFFSET(A516,-1,0)+1,LARGE(A$3:A515,1))</f>
        <v/>
      </c>
      <c r="B1299" s="34" t="n"/>
      <c r="C1299" s="34" t="n"/>
      <c r="D1299" s="35" t="n"/>
      <c r="E1299" s="35" t="n"/>
      <c r="F1299" s="1" t="n"/>
      <c r="G1299" s="167" t="n"/>
      <c r="H1299" s="167" t="n"/>
      <c r="I1299" s="167" t="n"/>
      <c r="J1299" s="168" t="n"/>
      <c r="K1299" s="169" t="n"/>
      <c r="L1299" s="172" t="n"/>
      <c r="M1299" s="172" t="n"/>
      <c r="N1299" s="175" t="n"/>
      <c r="O1299" s="168" t="n"/>
      <c r="P1299" s="173" t="n"/>
      <c r="Q1299" s="1" t="n"/>
      <c r="R1299" s="1" t="n"/>
      <c r="S1299" s="1" t="n"/>
      <c r="T1299" s="1" t="n"/>
      <c r="U1299" s="1" t="n"/>
      <c r="V1299" s="1" t="n"/>
      <c r="W1299" s="1" t="n"/>
      <c r="X1299" s="1" t="n"/>
      <c r="Y1299" s="1" t="n"/>
    </row>
    <row r="1300">
      <c r="A1300" s="34">
        <f>IF($H517="UNIDADE CONSTRUTIVA",OFFSET(A517,-1,0)+1,LARGE(A$3:A516,1))</f>
        <v/>
      </c>
      <c r="B1300" s="34" t="n"/>
      <c r="C1300" s="34" t="n"/>
      <c r="D1300" s="35" t="n"/>
      <c r="E1300" s="35" t="n"/>
      <c r="F1300" s="1" t="n"/>
      <c r="G1300" s="167" t="n"/>
      <c r="H1300" s="167" t="n"/>
      <c r="I1300" s="167" t="n"/>
      <c r="J1300" s="168" t="n"/>
      <c r="K1300" s="169" t="n"/>
      <c r="L1300" s="172" t="n"/>
      <c r="M1300" s="172" t="n"/>
      <c r="N1300" s="175" t="n"/>
      <c r="O1300" s="168" t="n"/>
      <c r="P1300" s="173" t="n"/>
      <c r="Q1300" s="1" t="n"/>
      <c r="R1300" s="1" t="n"/>
      <c r="S1300" s="1" t="n"/>
      <c r="T1300" s="1" t="n"/>
      <c r="U1300" s="1" t="n"/>
      <c r="V1300" s="1" t="n"/>
      <c r="W1300" s="1" t="n"/>
      <c r="X1300" s="1" t="n"/>
      <c r="Y1300" s="1" t="n"/>
    </row>
    <row r="1301">
      <c r="A1301" s="34">
        <f>IF($H518="UNIDADE CONSTRUTIVA",OFFSET(A518,-1,0)+1,LARGE(A$3:A517,1))</f>
        <v/>
      </c>
      <c r="B1301" s="34" t="n"/>
      <c r="C1301" s="34" t="n"/>
      <c r="D1301" s="35" t="n"/>
      <c r="E1301" s="35" t="n"/>
      <c r="F1301" s="1" t="n"/>
      <c r="G1301" s="167" t="n"/>
      <c r="H1301" s="167" t="n"/>
      <c r="I1301" s="167" t="n"/>
      <c r="J1301" s="168" t="n"/>
      <c r="K1301" s="169" t="n"/>
      <c r="L1301" s="172" t="n"/>
      <c r="M1301" s="172" t="n"/>
      <c r="N1301" s="175" t="n"/>
      <c r="O1301" s="168" t="n"/>
      <c r="P1301" s="173" t="n"/>
      <c r="Q1301" s="1" t="n"/>
      <c r="R1301" s="1" t="n"/>
      <c r="S1301" s="1" t="n"/>
      <c r="T1301" s="1" t="n"/>
      <c r="U1301" s="1" t="n"/>
      <c r="V1301" s="1" t="n"/>
      <c r="W1301" s="1" t="n"/>
      <c r="X1301" s="1" t="n"/>
      <c r="Y1301" s="1" t="n"/>
    </row>
    <row r="1302">
      <c r="A1302" s="34">
        <f>IF($H519="UNIDADE CONSTRUTIVA",OFFSET(A519,-1,0)+1,LARGE(A$3:A518,1))</f>
        <v/>
      </c>
      <c r="B1302" s="34" t="n"/>
      <c r="C1302" s="34" t="n"/>
      <c r="D1302" s="35" t="n"/>
      <c r="E1302" s="35" t="n"/>
      <c r="F1302" s="1" t="n"/>
      <c r="G1302" s="167" t="n"/>
      <c r="H1302" s="167" t="n"/>
      <c r="I1302" s="167" t="n"/>
      <c r="J1302" s="168" t="n"/>
      <c r="K1302" s="169" t="n"/>
      <c r="L1302" s="172" t="n"/>
      <c r="M1302" s="172" t="n"/>
      <c r="N1302" s="175" t="n"/>
      <c r="O1302" s="168" t="n"/>
      <c r="P1302" s="173" t="n"/>
      <c r="Q1302" s="1" t="n"/>
      <c r="R1302" s="1" t="n"/>
      <c r="S1302" s="1" t="n"/>
      <c r="T1302" s="1" t="n"/>
      <c r="U1302" s="1" t="n"/>
      <c r="V1302" s="1" t="n"/>
      <c r="W1302" s="1" t="n"/>
      <c r="X1302" s="1" t="n"/>
      <c r="Y1302" s="1" t="n"/>
    </row>
    <row r="1303">
      <c r="A1303" s="34">
        <f>IF($H520="UNIDADE CONSTRUTIVA",OFFSET(A520,-1,0)+1,LARGE(A$3:A519,1))</f>
        <v/>
      </c>
      <c r="B1303" s="34" t="n"/>
      <c r="C1303" s="34" t="n"/>
      <c r="D1303" s="35" t="n"/>
      <c r="E1303" s="35" t="n"/>
      <c r="F1303" s="1" t="n"/>
      <c r="G1303" s="167" t="n"/>
      <c r="H1303" s="167" t="n"/>
      <c r="I1303" s="167" t="n"/>
      <c r="J1303" s="168" t="n"/>
      <c r="K1303" s="169" t="n"/>
      <c r="L1303" s="172" t="n"/>
      <c r="M1303" s="172" t="n"/>
      <c r="N1303" s="175" t="n"/>
      <c r="O1303" s="168" t="n"/>
      <c r="P1303" s="173" t="n"/>
      <c r="Q1303" s="1" t="n"/>
      <c r="R1303" s="1" t="n"/>
      <c r="S1303" s="1" t="n"/>
      <c r="T1303" s="1" t="n"/>
      <c r="U1303" s="1" t="n"/>
      <c r="V1303" s="1" t="n"/>
      <c r="W1303" s="1" t="n"/>
      <c r="X1303" s="1" t="n"/>
      <c r="Y1303" s="1" t="n"/>
    </row>
    <row r="1304">
      <c r="A1304" s="34">
        <f>IF($H521="UNIDADE CONSTRUTIVA",OFFSET(A521,-1,0)+1,LARGE(A$3:A520,1))</f>
        <v/>
      </c>
      <c r="B1304" s="34" t="n"/>
      <c r="C1304" s="34" t="n"/>
      <c r="D1304" s="35" t="n"/>
      <c r="E1304" s="35" t="n"/>
      <c r="F1304" s="1" t="n"/>
      <c r="G1304" s="167" t="n"/>
      <c r="H1304" s="167" t="n"/>
      <c r="I1304" s="167" t="n"/>
      <c r="J1304" s="168" t="n"/>
      <c r="K1304" s="169" t="n"/>
      <c r="L1304" s="172" t="n"/>
      <c r="M1304" s="172" t="n"/>
      <c r="N1304" s="175" t="n"/>
      <c r="O1304" s="168" t="n"/>
      <c r="P1304" s="173" t="n"/>
      <c r="Q1304" s="1" t="n"/>
      <c r="R1304" s="1" t="n"/>
      <c r="S1304" s="1" t="n"/>
      <c r="T1304" s="1" t="n"/>
      <c r="U1304" s="1" t="n"/>
      <c r="V1304" s="1" t="n"/>
      <c r="W1304" s="1" t="n"/>
      <c r="X1304" s="1" t="n"/>
      <c r="Y1304" s="1" t="n"/>
    </row>
    <row r="1305">
      <c r="A1305" s="34">
        <f>IF($H522="UNIDADE CONSTRUTIVA",OFFSET(A522,-1,0)+1,LARGE(A$3:A521,1))</f>
        <v/>
      </c>
      <c r="B1305" s="34" t="n"/>
      <c r="C1305" s="34" t="n"/>
      <c r="D1305" s="35" t="n"/>
      <c r="E1305" s="35" t="n"/>
      <c r="F1305" s="1" t="n"/>
      <c r="G1305" s="167" t="n"/>
      <c r="H1305" s="167" t="n"/>
      <c r="I1305" s="167" t="n"/>
      <c r="J1305" s="168" t="n"/>
      <c r="K1305" s="169" t="n"/>
      <c r="L1305" s="172" t="n"/>
      <c r="M1305" s="172" t="n"/>
      <c r="N1305" s="175" t="n"/>
      <c r="O1305" s="168" t="n"/>
      <c r="P1305" s="173" t="n"/>
      <c r="Q1305" s="1" t="n"/>
      <c r="R1305" s="1" t="n"/>
      <c r="S1305" s="1" t="n"/>
      <c r="T1305" s="1" t="n"/>
      <c r="U1305" s="1" t="n"/>
      <c r="V1305" s="1" t="n"/>
      <c r="W1305" s="1" t="n"/>
      <c r="X1305" s="1" t="n"/>
      <c r="Y1305" s="1" t="n"/>
    </row>
    <row r="1306">
      <c r="A1306" s="34">
        <f>IF($H523="UNIDADE CONSTRUTIVA",OFFSET(A523,-1,0)+1,LARGE(A$3:A522,1))</f>
        <v/>
      </c>
      <c r="B1306" s="34" t="n"/>
      <c r="C1306" s="34" t="n"/>
      <c r="D1306" s="35" t="n"/>
      <c r="E1306" s="35" t="n"/>
      <c r="F1306" s="1" t="n"/>
      <c r="G1306" s="167" t="n"/>
      <c r="H1306" s="167" t="n"/>
      <c r="I1306" s="167" t="n"/>
      <c r="J1306" s="168" t="n"/>
      <c r="K1306" s="169" t="n"/>
      <c r="L1306" s="172" t="n"/>
      <c r="M1306" s="172" t="n"/>
      <c r="N1306" s="175" t="n"/>
      <c r="O1306" s="168" t="n"/>
      <c r="P1306" s="173" t="n"/>
      <c r="Q1306" s="1" t="n"/>
      <c r="R1306" s="1" t="n"/>
      <c r="S1306" s="1" t="n"/>
      <c r="T1306" s="1" t="n"/>
      <c r="U1306" s="1" t="n"/>
      <c r="V1306" s="1" t="n"/>
      <c r="W1306" s="1" t="n"/>
      <c r="X1306" s="1" t="n"/>
      <c r="Y1306" s="1" t="n"/>
    </row>
    <row r="1307">
      <c r="A1307" s="34">
        <f>IF($H524="UNIDADE CONSTRUTIVA",OFFSET(A524,-1,0)+1,LARGE(A$3:A523,1))</f>
        <v/>
      </c>
      <c r="B1307" s="34" t="n"/>
      <c r="C1307" s="34" t="n"/>
      <c r="D1307" s="35" t="n"/>
      <c r="E1307" s="35" t="n"/>
      <c r="F1307" s="1" t="n"/>
      <c r="G1307" s="167" t="n"/>
      <c r="H1307" s="167" t="n"/>
      <c r="I1307" s="167" t="n"/>
      <c r="J1307" s="168" t="n"/>
      <c r="K1307" s="169" t="n"/>
      <c r="L1307" s="172" t="n"/>
      <c r="M1307" s="172" t="n"/>
      <c r="N1307" s="175" t="n"/>
      <c r="O1307" s="168" t="n"/>
      <c r="P1307" s="173" t="n"/>
      <c r="Q1307" s="1" t="n"/>
      <c r="R1307" s="1" t="n"/>
      <c r="S1307" s="1" t="n"/>
      <c r="T1307" s="1" t="n"/>
      <c r="U1307" s="1" t="n"/>
      <c r="V1307" s="1" t="n"/>
      <c r="W1307" s="1" t="n"/>
      <c r="X1307" s="1" t="n"/>
      <c r="Y1307" s="1" t="n"/>
    </row>
    <row r="1308">
      <c r="A1308" s="34">
        <f>IF($H525="UNIDADE CONSTRUTIVA",OFFSET(A525,-1,0)+1,LARGE(A$3:A524,1))</f>
        <v/>
      </c>
      <c r="B1308" s="34" t="n"/>
      <c r="C1308" s="34" t="n"/>
      <c r="D1308" s="35" t="n"/>
      <c r="E1308" s="35" t="n"/>
      <c r="F1308" s="1" t="n"/>
      <c r="G1308" s="167" t="n"/>
      <c r="H1308" s="167" t="n"/>
      <c r="I1308" s="167" t="n"/>
      <c r="J1308" s="168" t="n"/>
      <c r="K1308" s="169" t="n"/>
      <c r="L1308" s="172" t="n"/>
      <c r="M1308" s="172" t="n"/>
      <c r="N1308" s="175" t="n"/>
      <c r="O1308" s="168" t="n"/>
      <c r="P1308" s="173" t="n"/>
      <c r="Q1308" s="1" t="n"/>
      <c r="R1308" s="1" t="n"/>
      <c r="S1308" s="1" t="n"/>
      <c r="T1308" s="1" t="n"/>
      <c r="U1308" s="1" t="n"/>
      <c r="V1308" s="1" t="n"/>
      <c r="W1308" s="1" t="n"/>
      <c r="X1308" s="1" t="n"/>
      <c r="Y1308" s="1" t="n"/>
    </row>
    <row r="1309">
      <c r="A1309" s="34">
        <f>IF($H526="UNIDADE CONSTRUTIVA",OFFSET(A526,-1,0)+1,LARGE(A$3:A525,1))</f>
        <v/>
      </c>
      <c r="B1309" s="34" t="n"/>
      <c r="C1309" s="34" t="n"/>
      <c r="D1309" s="35" t="n"/>
      <c r="E1309" s="35" t="n"/>
      <c r="F1309" s="1" t="n"/>
      <c r="G1309" s="167" t="n"/>
      <c r="H1309" s="167" t="n"/>
      <c r="I1309" s="167" t="n"/>
      <c r="J1309" s="168" t="n"/>
      <c r="K1309" s="169" t="n"/>
      <c r="L1309" s="172" t="n"/>
      <c r="M1309" s="172" t="n"/>
      <c r="N1309" s="175" t="n"/>
      <c r="O1309" s="168" t="n"/>
      <c r="P1309" s="173" t="n"/>
      <c r="Q1309" s="1" t="n"/>
      <c r="R1309" s="1" t="n"/>
      <c r="S1309" s="1" t="n"/>
      <c r="T1309" s="1" t="n"/>
      <c r="U1309" s="1" t="n"/>
      <c r="V1309" s="1" t="n"/>
      <c r="W1309" s="1" t="n"/>
      <c r="X1309" s="1" t="n"/>
      <c r="Y1309" s="1" t="n"/>
    </row>
    <row r="1310">
      <c r="A1310" s="34">
        <f>IF($H527="UNIDADE CONSTRUTIVA",OFFSET(A527,-1,0)+1,LARGE(A$3:A526,1))</f>
        <v/>
      </c>
      <c r="B1310" s="34" t="n"/>
      <c r="C1310" s="34" t="n"/>
      <c r="D1310" s="35" t="n"/>
      <c r="E1310" s="35" t="n"/>
      <c r="F1310" s="1" t="n"/>
      <c r="G1310" s="167" t="n"/>
      <c r="H1310" s="167" t="n"/>
      <c r="I1310" s="167" t="n"/>
      <c r="J1310" s="168" t="n"/>
      <c r="K1310" s="169" t="n"/>
      <c r="L1310" s="172" t="n"/>
      <c r="M1310" s="172" t="n"/>
      <c r="N1310" s="175" t="n"/>
      <c r="O1310" s="168" t="n"/>
      <c r="P1310" s="173" t="n"/>
      <c r="Q1310" s="1" t="n"/>
      <c r="R1310" s="1" t="n"/>
      <c r="S1310" s="1" t="n"/>
      <c r="T1310" s="1" t="n"/>
      <c r="U1310" s="1" t="n"/>
      <c r="V1310" s="1" t="n"/>
      <c r="W1310" s="1" t="n"/>
      <c r="X1310" s="1" t="n"/>
      <c r="Y1310" s="1" t="n"/>
    </row>
    <row r="1311">
      <c r="A1311" s="34">
        <f>IF($H528="UNIDADE CONSTRUTIVA",OFFSET(A528,-1,0)+1,LARGE(A$3:A527,1))</f>
        <v/>
      </c>
      <c r="B1311" s="34" t="n"/>
      <c r="C1311" s="34" t="n"/>
      <c r="D1311" s="35" t="n"/>
      <c r="E1311" s="35" t="n"/>
      <c r="F1311" s="1" t="n"/>
      <c r="G1311" s="167" t="n"/>
      <c r="H1311" s="167" t="n"/>
      <c r="I1311" s="167" t="n"/>
      <c r="J1311" s="168" t="n"/>
      <c r="K1311" s="169" t="n"/>
      <c r="L1311" s="172" t="n"/>
      <c r="M1311" s="172" t="n"/>
      <c r="N1311" s="175" t="n"/>
      <c r="O1311" s="168" t="n"/>
      <c r="P1311" s="173" t="n"/>
      <c r="Q1311" s="1" t="n"/>
      <c r="R1311" s="1" t="n"/>
      <c r="S1311" s="1" t="n"/>
      <c r="T1311" s="1" t="n"/>
      <c r="U1311" s="1" t="n"/>
      <c r="V1311" s="1" t="n"/>
      <c r="W1311" s="1" t="n"/>
      <c r="X1311" s="1" t="n"/>
      <c r="Y1311" s="1" t="n"/>
    </row>
    <row r="1312">
      <c r="A1312" s="34">
        <f>IF($H529="UNIDADE CONSTRUTIVA",OFFSET(A529,-1,0)+1,LARGE(A$3:A528,1))</f>
        <v/>
      </c>
      <c r="B1312" s="34" t="n"/>
      <c r="C1312" s="34" t="n"/>
      <c r="D1312" s="35" t="n"/>
      <c r="E1312" s="35" t="n"/>
      <c r="F1312" s="1" t="n"/>
      <c r="G1312" s="167" t="n"/>
      <c r="H1312" s="167" t="n"/>
      <c r="I1312" s="167" t="n"/>
      <c r="J1312" s="168" t="n"/>
      <c r="K1312" s="169" t="n"/>
      <c r="L1312" s="172" t="n"/>
      <c r="M1312" s="172" t="n"/>
      <c r="N1312" s="175" t="n"/>
      <c r="O1312" s="168" t="n"/>
      <c r="P1312" s="173" t="n"/>
      <c r="Q1312" s="1" t="n"/>
      <c r="R1312" s="1" t="n"/>
      <c r="S1312" s="1" t="n"/>
      <c r="T1312" s="1" t="n"/>
      <c r="U1312" s="1" t="n"/>
      <c r="V1312" s="1" t="n"/>
      <c r="W1312" s="1" t="n"/>
      <c r="X1312" s="1" t="n"/>
      <c r="Y1312" s="1" t="n"/>
    </row>
    <row r="1313">
      <c r="A1313" s="34">
        <f>IF($H530="UNIDADE CONSTRUTIVA",OFFSET(A530,-1,0)+1,LARGE(A$3:A529,1))</f>
        <v/>
      </c>
      <c r="B1313" s="34" t="n"/>
      <c r="C1313" s="34" t="n"/>
      <c r="D1313" s="35" t="n"/>
      <c r="E1313" s="35" t="n"/>
      <c r="F1313" s="1" t="n"/>
      <c r="G1313" s="167" t="n"/>
      <c r="H1313" s="167" t="n"/>
      <c r="I1313" s="167" t="n"/>
      <c r="J1313" s="168" t="n"/>
      <c r="K1313" s="169" t="n"/>
      <c r="L1313" s="172" t="n"/>
      <c r="M1313" s="172" t="n"/>
      <c r="N1313" s="175" t="n"/>
      <c r="O1313" s="168" t="n"/>
      <c r="P1313" s="173" t="n"/>
      <c r="Q1313" s="1" t="n"/>
      <c r="R1313" s="1" t="n"/>
      <c r="S1313" s="1" t="n"/>
      <c r="T1313" s="1" t="n"/>
      <c r="U1313" s="1" t="n"/>
      <c r="V1313" s="1" t="n"/>
      <c r="W1313" s="1" t="n"/>
      <c r="X1313" s="1" t="n"/>
      <c r="Y1313" s="1" t="n"/>
    </row>
    <row r="1314">
      <c r="A1314" s="34">
        <f>IF($H531="UNIDADE CONSTRUTIVA",OFFSET(A531,-1,0)+1,LARGE(A$3:A530,1))</f>
        <v/>
      </c>
      <c r="B1314" s="34" t="n"/>
      <c r="C1314" s="34" t="n"/>
      <c r="D1314" s="35" t="n"/>
      <c r="E1314" s="35" t="n"/>
      <c r="F1314" s="1" t="n"/>
      <c r="G1314" s="167" t="n"/>
      <c r="H1314" s="167" t="n"/>
      <c r="I1314" s="167" t="n"/>
      <c r="J1314" s="168" t="n"/>
      <c r="K1314" s="169" t="n"/>
      <c r="L1314" s="172" t="n"/>
      <c r="M1314" s="172" t="n"/>
      <c r="N1314" s="175" t="n"/>
      <c r="O1314" s="168" t="n"/>
      <c r="P1314" s="173" t="n"/>
      <c r="Q1314" s="1" t="n"/>
      <c r="R1314" s="1" t="n"/>
      <c r="S1314" s="1" t="n"/>
      <c r="T1314" s="1" t="n"/>
      <c r="U1314" s="1" t="n"/>
      <c r="V1314" s="1" t="n"/>
      <c r="W1314" s="1" t="n"/>
      <c r="X1314" s="1" t="n"/>
      <c r="Y1314" s="1" t="n"/>
    </row>
    <row r="1315">
      <c r="A1315" s="34">
        <f>IF($H532="UNIDADE CONSTRUTIVA",OFFSET(A532,-1,0)+1,LARGE(A$3:A531,1))</f>
        <v/>
      </c>
      <c r="B1315" s="34" t="n"/>
      <c r="C1315" s="34" t="n"/>
      <c r="D1315" s="35" t="n"/>
      <c r="E1315" s="35" t="n"/>
      <c r="F1315" s="1" t="n"/>
      <c r="G1315" s="167" t="n"/>
      <c r="H1315" s="167" t="n"/>
      <c r="I1315" s="167" t="n"/>
      <c r="J1315" s="168" t="n"/>
      <c r="K1315" s="169" t="n"/>
      <c r="L1315" s="172" t="n"/>
      <c r="M1315" s="172" t="n"/>
      <c r="N1315" s="175" t="n"/>
      <c r="O1315" s="168" t="n"/>
      <c r="P1315" s="173" t="n"/>
      <c r="Q1315" s="1" t="n"/>
      <c r="R1315" s="1" t="n"/>
      <c r="S1315" s="1" t="n"/>
      <c r="T1315" s="1" t="n"/>
      <c r="U1315" s="1" t="n"/>
      <c r="V1315" s="1" t="n"/>
      <c r="W1315" s="1" t="n"/>
      <c r="X1315" s="1" t="n"/>
      <c r="Y1315" s="1" t="n"/>
    </row>
    <row r="1316">
      <c r="A1316" s="34">
        <f>IF($H533="UNIDADE CONSTRUTIVA",OFFSET(A533,-1,0)+1,LARGE(A$3:A532,1))</f>
        <v/>
      </c>
      <c r="B1316" s="34" t="n"/>
      <c r="C1316" s="34" t="n"/>
      <c r="D1316" s="35" t="n"/>
      <c r="E1316" s="35" t="n"/>
      <c r="F1316" s="1" t="n"/>
      <c r="G1316" s="167" t="n"/>
      <c r="H1316" s="167" t="n"/>
      <c r="I1316" s="167" t="n"/>
      <c r="J1316" s="168" t="n"/>
      <c r="K1316" s="169" t="n"/>
      <c r="L1316" s="172" t="n"/>
      <c r="M1316" s="172" t="n"/>
      <c r="N1316" s="175" t="n"/>
      <c r="O1316" s="168" t="n"/>
      <c r="P1316" s="173" t="n"/>
      <c r="Q1316" s="1" t="n"/>
      <c r="R1316" s="1" t="n"/>
      <c r="S1316" s="1" t="n"/>
      <c r="T1316" s="1" t="n"/>
      <c r="U1316" s="1" t="n"/>
      <c r="V1316" s="1" t="n"/>
      <c r="W1316" s="1" t="n"/>
      <c r="X1316" s="1" t="n"/>
      <c r="Y1316" s="1" t="n"/>
    </row>
    <row r="1317">
      <c r="A1317" s="34">
        <f>IF($H534="UNIDADE CONSTRUTIVA",OFFSET(A534,-1,0)+1,LARGE(A$3:A533,1))</f>
        <v/>
      </c>
      <c r="B1317" s="34" t="n"/>
      <c r="C1317" s="34" t="n"/>
      <c r="D1317" s="35" t="n"/>
      <c r="E1317" s="35" t="n"/>
      <c r="F1317" s="1" t="n"/>
      <c r="G1317" s="167" t="n"/>
      <c r="H1317" s="167" t="n"/>
      <c r="I1317" s="167" t="n"/>
      <c r="J1317" s="168" t="n"/>
      <c r="K1317" s="169" t="n"/>
      <c r="L1317" s="172" t="n"/>
      <c r="M1317" s="172" t="n"/>
      <c r="N1317" s="175" t="n"/>
      <c r="O1317" s="168" t="n"/>
      <c r="P1317" s="173" t="n"/>
      <c r="Q1317" s="1" t="n"/>
      <c r="R1317" s="1" t="n"/>
      <c r="S1317" s="1" t="n"/>
      <c r="T1317" s="1" t="n"/>
      <c r="U1317" s="1" t="n"/>
      <c r="V1317" s="1" t="n"/>
      <c r="W1317" s="1" t="n"/>
      <c r="X1317" s="1" t="n"/>
      <c r="Y1317" s="1" t="n"/>
    </row>
    <row r="1318">
      <c r="A1318" s="34">
        <f>IF($H535="UNIDADE CONSTRUTIVA",OFFSET(A535,-1,0)+1,LARGE(A$3:A534,1))</f>
        <v/>
      </c>
      <c r="B1318" s="34" t="n"/>
      <c r="C1318" s="34" t="n"/>
      <c r="D1318" s="35" t="n"/>
      <c r="E1318" s="35" t="n"/>
      <c r="F1318" s="1" t="n"/>
      <c r="G1318" s="167" t="n"/>
      <c r="H1318" s="167" t="n"/>
      <c r="I1318" s="167" t="n"/>
      <c r="J1318" s="168" t="n"/>
      <c r="K1318" s="169" t="n"/>
      <c r="L1318" s="172" t="n"/>
      <c r="M1318" s="172" t="n"/>
      <c r="N1318" s="175" t="n"/>
      <c r="O1318" s="168" t="n"/>
      <c r="P1318" s="173" t="n"/>
      <c r="Q1318" s="1" t="n"/>
      <c r="R1318" s="1" t="n"/>
      <c r="S1318" s="1" t="n"/>
      <c r="T1318" s="1" t="n"/>
      <c r="U1318" s="1" t="n"/>
      <c r="V1318" s="1" t="n"/>
      <c r="W1318" s="1" t="n"/>
      <c r="X1318" s="1" t="n"/>
      <c r="Y1318" s="1" t="n"/>
    </row>
    <row r="1319">
      <c r="A1319" s="34">
        <f>IF($H536="UNIDADE CONSTRUTIVA",OFFSET(A536,-1,0)+1,LARGE(A$3:A535,1))</f>
        <v/>
      </c>
      <c r="B1319" s="34" t="n"/>
      <c r="C1319" s="34" t="n"/>
      <c r="D1319" s="35" t="n"/>
      <c r="E1319" s="35" t="n"/>
      <c r="F1319" s="1" t="n"/>
      <c r="G1319" s="167" t="n"/>
      <c r="H1319" s="167" t="n"/>
      <c r="I1319" s="167" t="n"/>
      <c r="J1319" s="168" t="n"/>
      <c r="K1319" s="169" t="n"/>
      <c r="L1319" s="172" t="n"/>
      <c r="M1319" s="172" t="n"/>
      <c r="N1319" s="175" t="n"/>
      <c r="O1319" s="168" t="n"/>
      <c r="P1319" s="173" t="n"/>
      <c r="Q1319" s="1" t="n"/>
      <c r="R1319" s="1" t="n"/>
      <c r="S1319" s="1" t="n"/>
      <c r="T1319" s="1" t="n"/>
      <c r="U1319" s="1" t="n"/>
      <c r="V1319" s="1" t="n"/>
      <c r="W1319" s="1" t="n"/>
      <c r="X1319" s="1" t="n"/>
      <c r="Y1319" s="1" t="n"/>
    </row>
    <row r="1320">
      <c r="A1320" s="34">
        <f>IF($H537="UNIDADE CONSTRUTIVA",OFFSET(A537,-1,0)+1,LARGE(A$3:A536,1))</f>
        <v/>
      </c>
      <c r="B1320" s="34" t="n"/>
      <c r="C1320" s="34" t="n"/>
      <c r="D1320" s="35" t="n"/>
      <c r="E1320" s="35" t="n"/>
      <c r="F1320" s="1" t="n"/>
      <c r="G1320" s="167" t="n"/>
      <c r="H1320" s="167" t="n"/>
      <c r="I1320" s="167" t="n"/>
      <c r="J1320" s="168" t="n"/>
      <c r="K1320" s="169" t="n"/>
      <c r="L1320" s="172" t="n"/>
      <c r="M1320" s="172" t="n"/>
      <c r="N1320" s="175" t="n"/>
      <c r="O1320" s="168" t="n"/>
      <c r="P1320" s="173" t="n"/>
      <c r="Q1320" s="1" t="n"/>
      <c r="R1320" s="1" t="n"/>
      <c r="S1320" s="1" t="n"/>
      <c r="T1320" s="1" t="n"/>
      <c r="U1320" s="1" t="n"/>
      <c r="V1320" s="1" t="n"/>
      <c r="W1320" s="1" t="n"/>
      <c r="X1320" s="1" t="n"/>
      <c r="Y1320" s="1" t="n"/>
    </row>
    <row r="1321">
      <c r="A1321" s="34">
        <f>IF($H538="UNIDADE CONSTRUTIVA",OFFSET(A538,-1,0)+1,LARGE(A$3:A537,1))</f>
        <v/>
      </c>
      <c r="B1321" s="34" t="n"/>
      <c r="C1321" s="34" t="n"/>
      <c r="D1321" s="35" t="n"/>
      <c r="E1321" s="35" t="n"/>
      <c r="F1321" s="1" t="n"/>
      <c r="G1321" s="167" t="n"/>
      <c r="H1321" s="167" t="n"/>
      <c r="I1321" s="167" t="n"/>
      <c r="J1321" s="168" t="n"/>
      <c r="K1321" s="169" t="n"/>
      <c r="L1321" s="172" t="n"/>
      <c r="M1321" s="172" t="n"/>
      <c r="N1321" s="175" t="n"/>
      <c r="O1321" s="168" t="n"/>
      <c r="P1321" s="173" t="n"/>
      <c r="Q1321" s="1" t="n"/>
      <c r="R1321" s="1" t="n"/>
      <c r="S1321" s="1" t="n"/>
      <c r="T1321" s="1" t="n"/>
      <c r="U1321" s="1" t="n"/>
      <c r="V1321" s="1" t="n"/>
      <c r="W1321" s="1" t="n"/>
      <c r="X1321" s="1" t="n"/>
      <c r="Y1321" s="1" t="n"/>
    </row>
    <row r="1322">
      <c r="A1322" s="34">
        <f>IF($H539="UNIDADE CONSTRUTIVA",OFFSET(A539,-1,0)+1,LARGE(A$3:A538,1))</f>
        <v/>
      </c>
      <c r="B1322" s="34" t="n"/>
      <c r="C1322" s="34" t="n"/>
      <c r="D1322" s="35" t="n"/>
      <c r="E1322" s="35" t="n"/>
      <c r="F1322" s="1" t="n"/>
      <c r="G1322" s="167" t="n"/>
      <c r="H1322" s="167" t="n"/>
      <c r="I1322" s="167" t="n"/>
      <c r="J1322" s="168" t="n"/>
      <c r="K1322" s="169" t="n"/>
      <c r="L1322" s="172" t="n"/>
      <c r="M1322" s="172" t="n"/>
      <c r="N1322" s="175" t="n"/>
      <c r="O1322" s="168" t="n"/>
      <c r="P1322" s="173" t="n"/>
      <c r="Q1322" s="1" t="n"/>
      <c r="R1322" s="1" t="n"/>
      <c r="S1322" s="1" t="n"/>
      <c r="T1322" s="1" t="n"/>
      <c r="U1322" s="1" t="n"/>
      <c r="V1322" s="1" t="n"/>
      <c r="W1322" s="1" t="n"/>
      <c r="X1322" s="1" t="n"/>
      <c r="Y1322" s="1" t="n"/>
    </row>
    <row r="1323">
      <c r="A1323" s="34">
        <f>IF($H540="UNIDADE CONSTRUTIVA",OFFSET(A540,-1,0)+1,LARGE(A$3:A539,1))</f>
        <v/>
      </c>
      <c r="B1323" s="34" t="n"/>
      <c r="C1323" s="34" t="n"/>
      <c r="D1323" s="35" t="n"/>
      <c r="E1323" s="35" t="n"/>
      <c r="F1323" s="1" t="n"/>
      <c r="G1323" s="167" t="n"/>
      <c r="H1323" s="167" t="n"/>
      <c r="I1323" s="167" t="n"/>
      <c r="J1323" s="168" t="n"/>
      <c r="K1323" s="169" t="n"/>
      <c r="L1323" s="172" t="n"/>
      <c r="M1323" s="172" t="n"/>
      <c r="N1323" s="175" t="n"/>
      <c r="O1323" s="168" t="n"/>
      <c r="P1323" s="173" t="n"/>
      <c r="Q1323" s="1" t="n"/>
      <c r="R1323" s="1" t="n"/>
      <c r="S1323" s="1" t="n"/>
      <c r="T1323" s="1" t="n"/>
      <c r="U1323" s="1" t="n"/>
      <c r="V1323" s="1" t="n"/>
      <c r="W1323" s="1" t="n"/>
      <c r="X1323" s="1" t="n"/>
      <c r="Y1323" s="1" t="n"/>
    </row>
    <row r="1324">
      <c r="A1324" s="34">
        <f>IF($H541="UNIDADE CONSTRUTIVA",OFFSET(A541,-1,0)+1,LARGE(A$3:A540,1))</f>
        <v/>
      </c>
      <c r="B1324" s="34" t="n"/>
      <c r="C1324" s="34" t="n"/>
      <c r="D1324" s="35" t="n"/>
      <c r="E1324" s="35" t="n"/>
      <c r="F1324" s="1" t="n"/>
      <c r="G1324" s="167" t="n"/>
      <c r="H1324" s="167" t="n"/>
      <c r="I1324" s="167" t="n"/>
      <c r="J1324" s="168" t="n"/>
      <c r="K1324" s="169" t="n"/>
      <c r="L1324" s="172" t="n"/>
      <c r="M1324" s="172" t="n"/>
      <c r="N1324" s="175" t="n"/>
      <c r="O1324" s="168" t="n"/>
      <c r="P1324" s="173" t="n"/>
      <c r="Q1324" s="1" t="n"/>
      <c r="R1324" s="1" t="n"/>
      <c r="S1324" s="1" t="n"/>
      <c r="T1324" s="1" t="n"/>
      <c r="U1324" s="1" t="n"/>
      <c r="V1324" s="1" t="n"/>
      <c r="W1324" s="1" t="n"/>
      <c r="X1324" s="1" t="n"/>
      <c r="Y1324" s="1" t="n"/>
    </row>
    <row r="1325">
      <c r="A1325" s="34">
        <f>IF($H542="UNIDADE CONSTRUTIVA",OFFSET(A542,-1,0)+1,LARGE(A$3:A541,1))</f>
        <v/>
      </c>
      <c r="B1325" s="34" t="n"/>
      <c r="C1325" s="34" t="n"/>
      <c r="D1325" s="35" t="n"/>
      <c r="E1325" s="35" t="n"/>
      <c r="F1325" s="1" t="n"/>
      <c r="G1325" s="167" t="n"/>
      <c r="H1325" s="167" t="n"/>
      <c r="I1325" s="167" t="n"/>
      <c r="J1325" s="168" t="n"/>
      <c r="K1325" s="169" t="n"/>
      <c r="L1325" s="172" t="n"/>
      <c r="M1325" s="172" t="n"/>
      <c r="N1325" s="175" t="n"/>
      <c r="O1325" s="168" t="n"/>
      <c r="P1325" s="173" t="n"/>
      <c r="Q1325" s="1" t="n"/>
      <c r="R1325" s="1" t="n"/>
      <c r="S1325" s="1" t="n"/>
      <c r="T1325" s="1" t="n"/>
      <c r="U1325" s="1" t="n"/>
      <c r="V1325" s="1" t="n"/>
      <c r="W1325" s="1" t="n"/>
      <c r="X1325" s="1" t="n"/>
      <c r="Y1325" s="1" t="n"/>
    </row>
    <row r="1326">
      <c r="A1326" s="34">
        <f>IF($H543="UNIDADE CONSTRUTIVA",OFFSET(A543,-1,0)+1,LARGE(A$3:A542,1))</f>
        <v/>
      </c>
      <c r="B1326" s="34" t="n"/>
      <c r="C1326" s="34" t="n"/>
      <c r="D1326" s="35" t="n"/>
      <c r="E1326" s="35" t="n"/>
      <c r="F1326" s="1" t="n"/>
      <c r="G1326" s="167" t="n"/>
      <c r="H1326" s="167" t="n"/>
      <c r="I1326" s="167" t="n"/>
      <c r="J1326" s="168" t="n"/>
      <c r="K1326" s="169" t="n"/>
      <c r="L1326" s="172" t="n"/>
      <c r="M1326" s="172" t="n"/>
      <c r="N1326" s="175" t="n"/>
      <c r="O1326" s="168" t="n"/>
      <c r="P1326" s="173" t="n"/>
      <c r="Q1326" s="1" t="n"/>
      <c r="R1326" s="1" t="n"/>
      <c r="S1326" s="1" t="n"/>
      <c r="T1326" s="1" t="n"/>
      <c r="U1326" s="1" t="n"/>
      <c r="V1326" s="1" t="n"/>
      <c r="W1326" s="1" t="n"/>
      <c r="X1326" s="1" t="n"/>
      <c r="Y1326" s="1" t="n"/>
    </row>
    <row r="1327">
      <c r="A1327" s="34">
        <f>IF($H544="UNIDADE CONSTRUTIVA",OFFSET(A544,-1,0)+1,LARGE(A$3:A543,1))</f>
        <v/>
      </c>
      <c r="B1327" s="34" t="n"/>
      <c r="C1327" s="34" t="n"/>
      <c r="D1327" s="35" t="n"/>
      <c r="E1327" s="35" t="n"/>
      <c r="F1327" s="1" t="n"/>
      <c r="G1327" s="167" t="n"/>
      <c r="H1327" s="167" t="n"/>
      <c r="I1327" s="167" t="n"/>
      <c r="J1327" s="168" t="n"/>
      <c r="K1327" s="169" t="n"/>
      <c r="L1327" s="172" t="n"/>
      <c r="M1327" s="172" t="n"/>
      <c r="N1327" s="175" t="n"/>
      <c r="O1327" s="168" t="n"/>
      <c r="P1327" s="173" t="n"/>
      <c r="Q1327" s="1" t="n"/>
      <c r="R1327" s="1" t="n"/>
      <c r="S1327" s="1" t="n"/>
      <c r="T1327" s="1" t="n"/>
      <c r="U1327" s="1" t="n"/>
      <c r="V1327" s="1" t="n"/>
      <c r="W1327" s="1" t="n"/>
      <c r="X1327" s="1" t="n"/>
      <c r="Y1327" s="1" t="n"/>
    </row>
    <row r="1328">
      <c r="A1328" s="34">
        <f>IF($H545="UNIDADE CONSTRUTIVA",OFFSET(A545,-1,0)+1,LARGE(A$3:A544,1))</f>
        <v/>
      </c>
      <c r="B1328" s="34" t="n"/>
      <c r="C1328" s="34" t="n"/>
      <c r="D1328" s="35" t="n"/>
      <c r="E1328" s="35" t="n"/>
      <c r="F1328" s="1" t="n"/>
      <c r="G1328" s="167" t="n"/>
      <c r="H1328" s="167" t="n"/>
      <c r="I1328" s="167" t="n"/>
      <c r="J1328" s="168" t="n"/>
      <c r="K1328" s="169" t="n"/>
      <c r="L1328" s="172" t="n"/>
      <c r="M1328" s="172" t="n"/>
      <c r="N1328" s="175" t="n"/>
      <c r="O1328" s="168" t="n"/>
      <c r="P1328" s="173" t="n"/>
      <c r="Q1328" s="1" t="n"/>
      <c r="R1328" s="1" t="n"/>
      <c r="S1328" s="1" t="n"/>
      <c r="T1328" s="1" t="n"/>
      <c r="U1328" s="1" t="n"/>
      <c r="V1328" s="1" t="n"/>
      <c r="W1328" s="1" t="n"/>
      <c r="X1328" s="1" t="n"/>
      <c r="Y1328" s="1" t="n"/>
    </row>
    <row r="1329">
      <c r="A1329" s="34">
        <f>IF($H546="UNIDADE CONSTRUTIVA",OFFSET(A546,-1,0)+1,LARGE(A$3:A545,1))</f>
        <v/>
      </c>
      <c r="B1329" s="34" t="n"/>
      <c r="C1329" s="34" t="n"/>
      <c r="D1329" s="35" t="n"/>
      <c r="E1329" s="35" t="n"/>
      <c r="F1329" s="1" t="n"/>
      <c r="G1329" s="167" t="n"/>
      <c r="H1329" s="167" t="n"/>
      <c r="I1329" s="167" t="n"/>
      <c r="J1329" s="168" t="n"/>
      <c r="K1329" s="169" t="n"/>
      <c r="L1329" s="172" t="n"/>
      <c r="M1329" s="172" t="n"/>
      <c r="N1329" s="175" t="n"/>
      <c r="O1329" s="168" t="n"/>
      <c r="P1329" s="173" t="n"/>
      <c r="Q1329" s="1" t="n"/>
      <c r="R1329" s="1" t="n"/>
      <c r="S1329" s="1" t="n"/>
      <c r="T1329" s="1" t="n"/>
      <c r="U1329" s="1" t="n"/>
      <c r="V1329" s="1" t="n"/>
      <c r="W1329" s="1" t="n"/>
      <c r="X1329" s="1" t="n"/>
      <c r="Y1329" s="1" t="n"/>
    </row>
    <row r="1330">
      <c r="A1330" s="34">
        <f>IF($H547="UNIDADE CONSTRUTIVA",OFFSET(A547,-1,0)+1,LARGE(A$3:A546,1))</f>
        <v/>
      </c>
      <c r="B1330" s="34" t="n"/>
      <c r="C1330" s="34" t="n"/>
      <c r="D1330" s="35" t="n"/>
      <c r="E1330" s="35" t="n"/>
      <c r="F1330" s="1" t="n"/>
      <c r="G1330" s="167" t="n"/>
      <c r="H1330" s="167" t="n"/>
      <c r="I1330" s="167" t="n"/>
      <c r="J1330" s="168" t="n"/>
      <c r="K1330" s="169" t="n"/>
      <c r="L1330" s="172" t="n"/>
      <c r="M1330" s="172" t="n"/>
      <c r="N1330" s="175" t="n"/>
      <c r="O1330" s="168" t="n"/>
      <c r="P1330" s="173" t="n"/>
      <c r="Q1330" s="1" t="n"/>
      <c r="R1330" s="1" t="n"/>
      <c r="S1330" s="1" t="n"/>
      <c r="T1330" s="1" t="n"/>
      <c r="U1330" s="1" t="n"/>
      <c r="V1330" s="1" t="n"/>
      <c r="W1330" s="1" t="n"/>
      <c r="X1330" s="1" t="n"/>
      <c r="Y1330" s="1" t="n"/>
    </row>
    <row r="1331">
      <c r="A1331" s="34">
        <f>IF($H548="UNIDADE CONSTRUTIVA",OFFSET(A548,-1,0)+1,LARGE(A$3:A547,1))</f>
        <v/>
      </c>
      <c r="B1331" s="34" t="n"/>
      <c r="C1331" s="34" t="n"/>
      <c r="D1331" s="35" t="n"/>
      <c r="E1331" s="35" t="n"/>
      <c r="F1331" s="1" t="n"/>
      <c r="G1331" s="167" t="n"/>
      <c r="H1331" s="167" t="n"/>
      <c r="I1331" s="167" t="n"/>
      <c r="J1331" s="168" t="n"/>
      <c r="K1331" s="169" t="n"/>
      <c r="L1331" s="172" t="n"/>
      <c r="M1331" s="172" t="n"/>
      <c r="N1331" s="175" t="n"/>
      <c r="O1331" s="168" t="n"/>
      <c r="P1331" s="173" t="n"/>
      <c r="Q1331" s="1" t="n"/>
      <c r="R1331" s="1" t="n"/>
      <c r="S1331" s="1" t="n"/>
      <c r="T1331" s="1" t="n"/>
      <c r="U1331" s="1" t="n"/>
      <c r="V1331" s="1" t="n"/>
      <c r="W1331" s="1" t="n"/>
      <c r="X1331" s="1" t="n"/>
      <c r="Y1331" s="1" t="n"/>
    </row>
    <row r="1332">
      <c r="A1332" s="34">
        <f>IF($H549="UNIDADE CONSTRUTIVA",OFFSET(A549,-1,0)+1,LARGE(A$3:A548,1))</f>
        <v/>
      </c>
      <c r="B1332" s="34" t="n"/>
      <c r="C1332" s="34" t="n"/>
      <c r="D1332" s="35" t="n"/>
      <c r="E1332" s="35" t="n"/>
      <c r="F1332" s="1" t="n"/>
      <c r="G1332" s="167" t="n"/>
      <c r="H1332" s="167" t="n"/>
      <c r="I1332" s="167" t="n"/>
      <c r="J1332" s="168" t="n"/>
      <c r="K1332" s="169" t="n"/>
      <c r="L1332" s="172" t="n"/>
      <c r="M1332" s="172" t="n"/>
      <c r="N1332" s="175" t="n"/>
      <c r="O1332" s="168" t="n"/>
      <c r="P1332" s="173" t="n"/>
      <c r="Q1332" s="1" t="n"/>
      <c r="R1332" s="1" t="n"/>
      <c r="S1332" s="1" t="n"/>
      <c r="T1332" s="1" t="n"/>
      <c r="U1332" s="1" t="n"/>
      <c r="V1332" s="1" t="n"/>
      <c r="W1332" s="1" t="n"/>
      <c r="X1332" s="1" t="n"/>
      <c r="Y1332" s="1" t="n"/>
    </row>
    <row r="1333">
      <c r="A1333" s="34">
        <f>IF($H550="UNIDADE CONSTRUTIVA",OFFSET(A550,-1,0)+1,LARGE(A$3:A549,1))</f>
        <v/>
      </c>
      <c r="B1333" s="34" t="n"/>
      <c r="C1333" s="34" t="n"/>
      <c r="D1333" s="35" t="n"/>
      <c r="E1333" s="35" t="n"/>
      <c r="F1333" s="1" t="n"/>
      <c r="G1333" s="167" t="n"/>
      <c r="H1333" s="167" t="n"/>
      <c r="I1333" s="167" t="n"/>
      <c r="J1333" s="168" t="n"/>
      <c r="K1333" s="169" t="n"/>
      <c r="L1333" s="172" t="n"/>
      <c r="M1333" s="172" t="n"/>
      <c r="N1333" s="175" t="n"/>
      <c r="O1333" s="168" t="n"/>
      <c r="P1333" s="173" t="n"/>
      <c r="Q1333" s="1" t="n"/>
      <c r="R1333" s="1" t="n"/>
      <c r="S1333" s="1" t="n"/>
      <c r="T1333" s="1" t="n"/>
      <c r="U1333" s="1" t="n"/>
      <c r="V1333" s="1" t="n"/>
      <c r="W1333" s="1" t="n"/>
      <c r="X1333" s="1" t="n"/>
      <c r="Y1333" s="1" t="n"/>
    </row>
    <row r="1334">
      <c r="A1334" s="34">
        <f>IF($H551="UNIDADE CONSTRUTIVA",OFFSET(A551,-1,0)+1,LARGE(A$3:A550,1))</f>
        <v/>
      </c>
      <c r="B1334" s="34" t="n"/>
      <c r="C1334" s="34" t="n"/>
      <c r="D1334" s="35" t="n"/>
      <c r="E1334" s="35" t="n"/>
      <c r="F1334" s="1" t="n"/>
      <c r="G1334" s="167" t="n"/>
      <c r="H1334" s="167" t="n"/>
      <c r="I1334" s="167" t="n"/>
      <c r="J1334" s="168" t="n"/>
      <c r="K1334" s="169" t="n"/>
      <c r="L1334" s="172" t="n"/>
      <c r="M1334" s="172" t="n"/>
      <c r="N1334" s="175" t="n"/>
      <c r="O1334" s="168" t="n"/>
      <c r="P1334" s="173" t="n"/>
      <c r="Q1334" s="1" t="n"/>
      <c r="R1334" s="1" t="n"/>
      <c r="S1334" s="1" t="n"/>
      <c r="T1334" s="1" t="n"/>
      <c r="U1334" s="1" t="n"/>
      <c r="V1334" s="1" t="n"/>
      <c r="W1334" s="1" t="n"/>
      <c r="X1334" s="1" t="n"/>
      <c r="Y1334" s="1" t="n"/>
    </row>
    <row r="1335">
      <c r="A1335" s="34">
        <f>IF($H552="UNIDADE CONSTRUTIVA",OFFSET(A552,-1,0)+1,LARGE(A$3:A551,1))</f>
        <v/>
      </c>
      <c r="B1335" s="34" t="n"/>
      <c r="C1335" s="34" t="n"/>
      <c r="D1335" s="35" t="n"/>
      <c r="E1335" s="35" t="n"/>
      <c r="F1335" s="1" t="n"/>
      <c r="G1335" s="167" t="n"/>
      <c r="H1335" s="167" t="n"/>
      <c r="I1335" s="167" t="n"/>
      <c r="J1335" s="168" t="n"/>
      <c r="K1335" s="169" t="n"/>
      <c r="L1335" s="172" t="n"/>
      <c r="M1335" s="172" t="n"/>
      <c r="N1335" s="175" t="n"/>
      <c r="O1335" s="168" t="n"/>
      <c r="P1335" s="173" t="n"/>
      <c r="Q1335" s="1" t="n"/>
      <c r="R1335" s="1" t="n"/>
      <c r="S1335" s="1" t="n"/>
      <c r="T1335" s="1" t="n"/>
      <c r="U1335" s="1" t="n"/>
      <c r="V1335" s="1" t="n"/>
      <c r="W1335" s="1" t="n"/>
      <c r="X1335" s="1" t="n"/>
      <c r="Y1335" s="1" t="n"/>
    </row>
    <row r="1336">
      <c r="A1336" s="34">
        <f>IF($H553="UNIDADE CONSTRUTIVA",OFFSET(A553,-1,0)+1,LARGE(A$3:A552,1))</f>
        <v/>
      </c>
      <c r="B1336" s="34" t="n"/>
      <c r="C1336" s="34" t="n"/>
      <c r="D1336" s="35" t="n"/>
      <c r="E1336" s="35" t="n"/>
      <c r="F1336" s="1" t="n"/>
      <c r="G1336" s="167" t="n"/>
      <c r="H1336" s="167" t="n"/>
      <c r="I1336" s="167" t="n"/>
      <c r="J1336" s="168" t="n"/>
      <c r="K1336" s="169" t="n"/>
      <c r="L1336" s="172" t="n"/>
      <c r="M1336" s="172" t="n"/>
      <c r="N1336" s="175" t="n"/>
      <c r="O1336" s="168" t="n"/>
      <c r="P1336" s="173" t="n"/>
      <c r="Q1336" s="1" t="n"/>
      <c r="R1336" s="1" t="n"/>
      <c r="S1336" s="1" t="n"/>
      <c r="T1336" s="1" t="n"/>
      <c r="U1336" s="1" t="n"/>
      <c r="V1336" s="1" t="n"/>
      <c r="W1336" s="1" t="n"/>
      <c r="X1336" s="1" t="n"/>
      <c r="Y1336" s="1" t="n"/>
    </row>
    <row r="1337">
      <c r="A1337" s="34">
        <f>IF($H554="UNIDADE CONSTRUTIVA",OFFSET(A554,-1,0)+1,LARGE(A$3:A553,1))</f>
        <v/>
      </c>
      <c r="B1337" s="34" t="n"/>
      <c r="C1337" s="34" t="n"/>
      <c r="D1337" s="35" t="n"/>
      <c r="E1337" s="35" t="n"/>
      <c r="F1337" s="1" t="n"/>
      <c r="G1337" s="167" t="n"/>
      <c r="H1337" s="167" t="n"/>
      <c r="I1337" s="167" t="n"/>
      <c r="J1337" s="168" t="n"/>
      <c r="K1337" s="169" t="n"/>
      <c r="L1337" s="172" t="n"/>
      <c r="M1337" s="172" t="n"/>
      <c r="N1337" s="175" t="n"/>
      <c r="O1337" s="168" t="n"/>
      <c r="P1337" s="173" t="n"/>
      <c r="Q1337" s="1" t="n"/>
      <c r="R1337" s="1" t="n"/>
      <c r="S1337" s="1" t="n"/>
      <c r="T1337" s="1" t="n"/>
      <c r="U1337" s="1" t="n"/>
      <c r="V1337" s="1" t="n"/>
      <c r="W1337" s="1" t="n"/>
      <c r="X1337" s="1" t="n"/>
      <c r="Y1337" s="1" t="n"/>
    </row>
    <row r="1338">
      <c r="A1338" s="34">
        <f>IF($H555="UNIDADE CONSTRUTIVA",OFFSET(A555,-1,0)+1,LARGE(A$3:A554,1))</f>
        <v/>
      </c>
      <c r="B1338" s="34" t="n"/>
      <c r="C1338" s="34" t="n"/>
      <c r="D1338" s="35" t="n"/>
      <c r="E1338" s="35" t="n"/>
      <c r="F1338" s="1" t="n"/>
      <c r="G1338" s="167" t="n"/>
      <c r="H1338" s="167" t="n"/>
      <c r="I1338" s="167" t="n"/>
      <c r="J1338" s="168" t="n"/>
      <c r="K1338" s="169" t="n"/>
      <c r="L1338" s="172" t="n"/>
      <c r="M1338" s="172" t="n"/>
      <c r="N1338" s="175" t="n"/>
      <c r="O1338" s="168" t="n"/>
      <c r="P1338" s="173" t="n"/>
      <c r="Q1338" s="1" t="n"/>
      <c r="R1338" s="1" t="n"/>
      <c r="S1338" s="1" t="n"/>
      <c r="T1338" s="1" t="n"/>
      <c r="U1338" s="1" t="n"/>
      <c r="V1338" s="1" t="n"/>
      <c r="W1338" s="1" t="n"/>
      <c r="X1338" s="1" t="n"/>
      <c r="Y1338" s="1" t="n"/>
    </row>
    <row r="1339">
      <c r="A1339" s="34">
        <f>IF($H556="UNIDADE CONSTRUTIVA",OFFSET(A556,-1,0)+1,LARGE(A$3:A555,1))</f>
        <v/>
      </c>
      <c r="B1339" s="34" t="n"/>
      <c r="C1339" s="34" t="n"/>
      <c r="D1339" s="35" t="n"/>
      <c r="E1339" s="35" t="n"/>
      <c r="F1339" s="1" t="n"/>
      <c r="G1339" s="167" t="n"/>
      <c r="H1339" s="167" t="n"/>
      <c r="I1339" s="167" t="n"/>
      <c r="J1339" s="168" t="n"/>
      <c r="K1339" s="169" t="n"/>
      <c r="L1339" s="172" t="n"/>
      <c r="M1339" s="172" t="n"/>
      <c r="N1339" s="175" t="n"/>
      <c r="O1339" s="168" t="n"/>
      <c r="P1339" s="173" t="n"/>
      <c r="Q1339" s="1" t="n"/>
      <c r="R1339" s="1" t="n"/>
      <c r="S1339" s="1" t="n"/>
      <c r="T1339" s="1" t="n"/>
      <c r="U1339" s="1" t="n"/>
      <c r="V1339" s="1" t="n"/>
      <c r="W1339" s="1" t="n"/>
      <c r="X1339" s="1" t="n"/>
      <c r="Y1339" s="1" t="n"/>
    </row>
    <row r="1340">
      <c r="A1340" s="34">
        <f>IF($H557="UNIDADE CONSTRUTIVA",OFFSET(A557,-1,0)+1,LARGE(A$3:A556,1))</f>
        <v/>
      </c>
      <c r="B1340" s="34" t="n"/>
      <c r="C1340" s="34" t="n"/>
      <c r="D1340" s="35" t="n"/>
      <c r="E1340" s="35" t="n"/>
      <c r="F1340" s="1" t="n"/>
      <c r="G1340" s="167" t="n"/>
      <c r="H1340" s="167" t="n"/>
      <c r="I1340" s="167" t="n"/>
      <c r="J1340" s="168" t="n"/>
      <c r="K1340" s="169" t="n"/>
      <c r="L1340" s="172" t="n"/>
      <c r="M1340" s="172" t="n"/>
      <c r="N1340" s="175" t="n"/>
      <c r="O1340" s="168" t="n"/>
      <c r="P1340" s="173" t="n"/>
      <c r="Q1340" s="1" t="n"/>
      <c r="R1340" s="1" t="n"/>
      <c r="S1340" s="1" t="n"/>
      <c r="T1340" s="1" t="n"/>
      <c r="U1340" s="1" t="n"/>
      <c r="V1340" s="1" t="n"/>
      <c r="W1340" s="1" t="n"/>
      <c r="X1340" s="1" t="n"/>
      <c r="Y1340" s="1" t="n"/>
    </row>
    <row r="1341">
      <c r="A1341" s="34">
        <f>IF($H558="UNIDADE CONSTRUTIVA",OFFSET(A558,-1,0)+1,LARGE(A$3:A557,1))</f>
        <v/>
      </c>
      <c r="B1341" s="34" t="n"/>
      <c r="C1341" s="34" t="n"/>
      <c r="D1341" s="35" t="n"/>
      <c r="E1341" s="35" t="n"/>
      <c r="F1341" s="1" t="n"/>
      <c r="G1341" s="167" t="n"/>
      <c r="H1341" s="167" t="n"/>
      <c r="I1341" s="167" t="n"/>
      <c r="J1341" s="168" t="n"/>
      <c r="K1341" s="169" t="n"/>
      <c r="L1341" s="172" t="n"/>
      <c r="M1341" s="172" t="n"/>
      <c r="N1341" s="175" t="n"/>
      <c r="O1341" s="168" t="n"/>
      <c r="P1341" s="173" t="n"/>
      <c r="Q1341" s="1" t="n"/>
      <c r="R1341" s="1" t="n"/>
      <c r="S1341" s="1" t="n"/>
      <c r="T1341" s="1" t="n"/>
      <c r="U1341" s="1" t="n"/>
      <c r="V1341" s="1" t="n"/>
      <c r="W1341" s="1" t="n"/>
      <c r="X1341" s="1" t="n"/>
      <c r="Y1341" s="1" t="n"/>
    </row>
    <row r="1342">
      <c r="A1342" s="34">
        <f>IF($H559="UNIDADE CONSTRUTIVA",OFFSET(A559,-1,0)+1,LARGE(A$3:A558,1))</f>
        <v/>
      </c>
      <c r="B1342" s="34" t="n"/>
      <c r="C1342" s="34" t="n"/>
      <c r="D1342" s="35" t="n"/>
      <c r="E1342" s="35" t="n"/>
      <c r="F1342" s="1" t="n"/>
      <c r="G1342" s="167" t="n"/>
      <c r="H1342" s="167" t="n"/>
      <c r="I1342" s="167" t="n"/>
      <c r="J1342" s="168" t="n"/>
      <c r="K1342" s="169" t="n"/>
      <c r="L1342" s="172" t="n"/>
      <c r="M1342" s="172" t="n"/>
      <c r="N1342" s="175" t="n"/>
      <c r="O1342" s="168" t="n"/>
      <c r="P1342" s="173" t="n"/>
      <c r="Q1342" s="1" t="n"/>
      <c r="R1342" s="1" t="n"/>
      <c r="S1342" s="1" t="n"/>
      <c r="T1342" s="1" t="n"/>
      <c r="U1342" s="1" t="n"/>
      <c r="V1342" s="1" t="n"/>
      <c r="W1342" s="1" t="n"/>
      <c r="X1342" s="1" t="n"/>
      <c r="Y1342" s="1" t="n"/>
    </row>
    <row r="1343">
      <c r="A1343" s="34">
        <f>IF($H560="UNIDADE CONSTRUTIVA",OFFSET(A560,-1,0)+1,LARGE(A$3:A559,1))</f>
        <v/>
      </c>
      <c r="B1343" s="34" t="n"/>
      <c r="C1343" s="34" t="n"/>
      <c r="D1343" s="35" t="n"/>
      <c r="E1343" s="35" t="n"/>
      <c r="F1343" s="1" t="n"/>
      <c r="G1343" s="167" t="n"/>
      <c r="H1343" s="167" t="n"/>
      <c r="I1343" s="167" t="n"/>
      <c r="J1343" s="168" t="n"/>
      <c r="K1343" s="169" t="n"/>
      <c r="L1343" s="172" t="n"/>
      <c r="M1343" s="172" t="n"/>
      <c r="N1343" s="175" t="n"/>
      <c r="O1343" s="168" t="n"/>
      <c r="P1343" s="173" t="n"/>
      <c r="Q1343" s="1" t="n"/>
      <c r="R1343" s="1" t="n"/>
      <c r="S1343" s="1" t="n"/>
      <c r="T1343" s="1" t="n"/>
      <c r="U1343" s="1" t="n"/>
      <c r="V1343" s="1" t="n"/>
      <c r="W1343" s="1" t="n"/>
      <c r="X1343" s="1" t="n"/>
      <c r="Y1343" s="1" t="n"/>
    </row>
    <row r="1344">
      <c r="A1344" s="34">
        <f>IF($H561="UNIDADE CONSTRUTIVA",OFFSET(A561,-1,0)+1,LARGE(A$3:A560,1))</f>
        <v/>
      </c>
      <c r="B1344" s="34" t="n"/>
      <c r="C1344" s="34" t="n"/>
      <c r="D1344" s="35" t="n"/>
      <c r="E1344" s="35" t="n"/>
      <c r="F1344" s="1" t="n"/>
      <c r="G1344" s="167" t="n"/>
      <c r="H1344" s="167" t="n"/>
      <c r="I1344" s="167" t="n"/>
      <c r="J1344" s="168" t="n"/>
      <c r="K1344" s="169" t="n"/>
      <c r="L1344" s="172" t="n"/>
      <c r="M1344" s="172" t="n"/>
      <c r="N1344" s="175" t="n"/>
      <c r="O1344" s="168" t="n"/>
      <c r="P1344" s="173" t="n"/>
      <c r="Q1344" s="1" t="n"/>
      <c r="R1344" s="1" t="n"/>
      <c r="S1344" s="1" t="n"/>
      <c r="T1344" s="1" t="n"/>
      <c r="U1344" s="1" t="n"/>
      <c r="V1344" s="1" t="n"/>
      <c r="W1344" s="1" t="n"/>
      <c r="X1344" s="1" t="n"/>
      <c r="Y1344" s="1" t="n"/>
    </row>
    <row r="1345">
      <c r="A1345" s="34">
        <f>IF($H562="UNIDADE CONSTRUTIVA",OFFSET(A562,-1,0)+1,LARGE(A$3:A561,1))</f>
        <v/>
      </c>
      <c r="B1345" s="34" t="n"/>
      <c r="C1345" s="34" t="n"/>
      <c r="D1345" s="35" t="n"/>
      <c r="E1345" s="35" t="n"/>
      <c r="F1345" s="1" t="n"/>
      <c r="G1345" s="167" t="n"/>
      <c r="H1345" s="167" t="n"/>
      <c r="I1345" s="167" t="n"/>
      <c r="J1345" s="168" t="n"/>
      <c r="K1345" s="169" t="n"/>
      <c r="L1345" s="172" t="n"/>
      <c r="M1345" s="172" t="n"/>
      <c r="N1345" s="175" t="n"/>
      <c r="O1345" s="168" t="n"/>
      <c r="P1345" s="173" t="n"/>
      <c r="Q1345" s="1" t="n"/>
      <c r="R1345" s="1" t="n"/>
      <c r="S1345" s="1" t="n"/>
      <c r="T1345" s="1" t="n"/>
      <c r="U1345" s="1" t="n"/>
      <c r="V1345" s="1" t="n"/>
      <c r="W1345" s="1" t="n"/>
      <c r="X1345" s="1" t="n"/>
      <c r="Y1345" s="1" t="n"/>
    </row>
    <row r="1346">
      <c r="A1346" s="34">
        <f>IF($H563="UNIDADE CONSTRUTIVA",OFFSET(A563,-1,0)+1,LARGE(A$3:A562,1))</f>
        <v/>
      </c>
      <c r="B1346" s="34" t="n"/>
      <c r="C1346" s="34" t="n"/>
      <c r="D1346" s="35" t="n"/>
      <c r="E1346" s="35" t="n"/>
      <c r="F1346" s="1" t="n"/>
      <c r="G1346" s="167" t="n"/>
      <c r="H1346" s="167" t="n"/>
      <c r="I1346" s="167" t="n"/>
      <c r="J1346" s="168" t="n"/>
      <c r="K1346" s="169" t="n"/>
      <c r="L1346" s="172" t="n"/>
      <c r="M1346" s="172" t="n"/>
      <c r="N1346" s="175" t="n"/>
      <c r="O1346" s="168" t="n"/>
      <c r="P1346" s="173" t="n"/>
      <c r="Q1346" s="1" t="n"/>
      <c r="R1346" s="1" t="n"/>
      <c r="S1346" s="1" t="n"/>
      <c r="T1346" s="1" t="n"/>
      <c r="U1346" s="1" t="n"/>
      <c r="V1346" s="1" t="n"/>
      <c r="W1346" s="1" t="n"/>
      <c r="X1346" s="1" t="n"/>
      <c r="Y1346" s="1" t="n"/>
    </row>
    <row r="1347">
      <c r="A1347" s="34">
        <f>IF($H564="UNIDADE CONSTRUTIVA",OFFSET(A564,-1,0)+1,LARGE(A$3:A563,1))</f>
        <v/>
      </c>
      <c r="B1347" s="34" t="n"/>
      <c r="C1347" s="34" t="n"/>
      <c r="D1347" s="35" t="n"/>
      <c r="E1347" s="35" t="n"/>
      <c r="F1347" s="1" t="n"/>
      <c r="G1347" s="167" t="n"/>
      <c r="H1347" s="167" t="n"/>
      <c r="I1347" s="167" t="n"/>
      <c r="J1347" s="168" t="n"/>
      <c r="K1347" s="169" t="n"/>
      <c r="L1347" s="172" t="n"/>
      <c r="M1347" s="172" t="n"/>
      <c r="N1347" s="175" t="n"/>
      <c r="O1347" s="168" t="n"/>
      <c r="P1347" s="173" t="n"/>
      <c r="Q1347" s="1" t="n"/>
      <c r="R1347" s="1" t="n"/>
      <c r="S1347" s="1" t="n"/>
      <c r="T1347" s="1" t="n"/>
      <c r="U1347" s="1" t="n"/>
      <c r="V1347" s="1" t="n"/>
      <c r="W1347" s="1" t="n"/>
      <c r="X1347" s="1" t="n"/>
      <c r="Y1347" s="1" t="n"/>
    </row>
    <row r="1348">
      <c r="A1348" s="34">
        <f>IF($H565="UNIDADE CONSTRUTIVA",OFFSET(A565,-1,0)+1,LARGE(A$3:A564,1))</f>
        <v/>
      </c>
      <c r="B1348" s="34" t="n"/>
      <c r="C1348" s="34" t="n"/>
      <c r="D1348" s="35" t="n"/>
      <c r="E1348" s="35" t="n"/>
      <c r="F1348" s="1" t="n"/>
      <c r="G1348" s="167" t="n"/>
      <c r="H1348" s="167" t="n"/>
      <c r="I1348" s="167" t="n"/>
      <c r="J1348" s="168" t="n"/>
      <c r="K1348" s="169" t="n"/>
      <c r="L1348" s="172" t="n"/>
      <c r="M1348" s="172" t="n"/>
      <c r="N1348" s="175" t="n"/>
      <c r="O1348" s="168" t="n"/>
      <c r="P1348" s="173" t="n"/>
      <c r="Q1348" s="1" t="n"/>
      <c r="R1348" s="1" t="n"/>
      <c r="S1348" s="1" t="n"/>
      <c r="T1348" s="1" t="n"/>
      <c r="U1348" s="1" t="n"/>
      <c r="V1348" s="1" t="n"/>
      <c r="W1348" s="1" t="n"/>
      <c r="X1348" s="1" t="n"/>
      <c r="Y1348" s="1" t="n"/>
    </row>
    <row r="1349">
      <c r="A1349" s="34">
        <f>IF($H566="UNIDADE CONSTRUTIVA",OFFSET(A566,-1,0)+1,LARGE(A$3:A565,1))</f>
        <v/>
      </c>
      <c r="B1349" s="34" t="n"/>
      <c r="C1349" s="34" t="n"/>
      <c r="D1349" s="35" t="n"/>
      <c r="E1349" s="35" t="n"/>
      <c r="F1349" s="1" t="n"/>
      <c r="G1349" s="167" t="n"/>
      <c r="H1349" s="167" t="n"/>
      <c r="I1349" s="167" t="n"/>
      <c r="J1349" s="168" t="n"/>
      <c r="K1349" s="169" t="n"/>
      <c r="L1349" s="172" t="n"/>
      <c r="M1349" s="172" t="n"/>
      <c r="N1349" s="175" t="n"/>
      <c r="O1349" s="168" t="n"/>
      <c r="P1349" s="173" t="n"/>
      <c r="Q1349" s="1" t="n"/>
      <c r="R1349" s="1" t="n"/>
      <c r="S1349" s="1" t="n"/>
      <c r="T1349" s="1" t="n"/>
      <c r="U1349" s="1" t="n"/>
      <c r="V1349" s="1" t="n"/>
      <c r="W1349" s="1" t="n"/>
      <c r="X1349" s="1" t="n"/>
      <c r="Y1349" s="1" t="n"/>
    </row>
    <row r="1350">
      <c r="A1350" s="34">
        <f>IF($H567="UNIDADE CONSTRUTIVA",OFFSET(A567,-1,0)+1,LARGE(A$3:A566,1))</f>
        <v/>
      </c>
      <c r="B1350" s="34" t="n"/>
      <c r="C1350" s="34" t="n"/>
      <c r="D1350" s="35" t="n"/>
      <c r="E1350" s="35" t="n"/>
      <c r="F1350" s="1" t="n"/>
      <c r="G1350" s="167" t="n"/>
      <c r="H1350" s="167" t="n"/>
      <c r="I1350" s="167" t="n"/>
      <c r="J1350" s="168" t="n"/>
      <c r="K1350" s="169" t="n"/>
      <c r="L1350" s="172" t="n"/>
      <c r="M1350" s="172" t="n"/>
      <c r="N1350" s="175" t="n"/>
      <c r="O1350" s="168" t="n"/>
      <c r="P1350" s="173" t="n"/>
      <c r="Q1350" s="1" t="n"/>
      <c r="R1350" s="1" t="n"/>
      <c r="S1350" s="1" t="n"/>
      <c r="T1350" s="1" t="n"/>
      <c r="U1350" s="1" t="n"/>
      <c r="V1350" s="1" t="n"/>
      <c r="W1350" s="1" t="n"/>
      <c r="X1350" s="1" t="n"/>
      <c r="Y1350" s="1" t="n"/>
    </row>
    <row r="1351">
      <c r="A1351" s="34">
        <f>IF($H568="UNIDADE CONSTRUTIVA",OFFSET(A568,-1,0)+1,LARGE(A$3:A567,1))</f>
        <v/>
      </c>
      <c r="B1351" s="34" t="n"/>
      <c r="C1351" s="34" t="n"/>
      <c r="D1351" s="35" t="n"/>
      <c r="E1351" s="35" t="n"/>
      <c r="F1351" s="1" t="n"/>
      <c r="G1351" s="167" t="n"/>
      <c r="H1351" s="167" t="n"/>
      <c r="I1351" s="167" t="n"/>
      <c r="J1351" s="168" t="n"/>
      <c r="K1351" s="169" t="n"/>
      <c r="L1351" s="172" t="n"/>
      <c r="M1351" s="172" t="n"/>
      <c r="N1351" s="175" t="n"/>
      <c r="O1351" s="168" t="n"/>
      <c r="P1351" s="173" t="n"/>
      <c r="Q1351" s="1" t="n"/>
      <c r="R1351" s="1" t="n"/>
      <c r="S1351" s="1" t="n"/>
      <c r="T1351" s="1" t="n"/>
      <c r="U1351" s="1" t="n"/>
      <c r="V1351" s="1" t="n"/>
      <c r="W1351" s="1" t="n"/>
      <c r="X1351" s="1" t="n"/>
      <c r="Y1351" s="1" t="n"/>
    </row>
    <row r="1352">
      <c r="A1352" s="34">
        <f>IF($H569="UNIDADE CONSTRUTIVA",OFFSET(A569,-1,0)+1,LARGE(A$3:A568,1))</f>
        <v/>
      </c>
      <c r="B1352" s="34" t="n"/>
      <c r="C1352" s="34" t="n"/>
      <c r="D1352" s="35" t="n"/>
      <c r="E1352" s="35" t="n"/>
      <c r="F1352" s="1" t="n"/>
      <c r="G1352" s="167" t="n"/>
      <c r="H1352" s="167" t="n"/>
      <c r="I1352" s="167" t="n"/>
      <c r="J1352" s="168" t="n"/>
      <c r="K1352" s="169" t="n"/>
      <c r="L1352" s="172" t="n"/>
      <c r="M1352" s="172" t="n"/>
      <c r="N1352" s="175" t="n"/>
      <c r="O1352" s="168" t="n"/>
      <c r="P1352" s="173" t="n"/>
      <c r="Q1352" s="1" t="n"/>
      <c r="R1352" s="1" t="n"/>
      <c r="S1352" s="1" t="n"/>
      <c r="T1352" s="1" t="n"/>
      <c r="U1352" s="1" t="n"/>
      <c r="V1352" s="1" t="n"/>
      <c r="W1352" s="1" t="n"/>
      <c r="X1352" s="1" t="n"/>
      <c r="Y1352" s="1" t="n"/>
    </row>
    <row r="1353">
      <c r="A1353" s="34">
        <f>IF($H570="UNIDADE CONSTRUTIVA",OFFSET(A570,-1,0)+1,LARGE(A$3:A569,1))</f>
        <v/>
      </c>
      <c r="B1353" s="34" t="n"/>
      <c r="C1353" s="34" t="n"/>
      <c r="D1353" s="35" t="n"/>
      <c r="E1353" s="35" t="n"/>
      <c r="F1353" s="1" t="n"/>
      <c r="G1353" s="167" t="n"/>
      <c r="H1353" s="167" t="n"/>
      <c r="I1353" s="167" t="n"/>
      <c r="J1353" s="168" t="n"/>
      <c r="K1353" s="169" t="n"/>
      <c r="L1353" s="172" t="n"/>
      <c r="M1353" s="172" t="n"/>
      <c r="N1353" s="175" t="n"/>
      <c r="O1353" s="168" t="n"/>
      <c r="P1353" s="173" t="n"/>
      <c r="Q1353" s="1" t="n"/>
      <c r="R1353" s="1" t="n"/>
      <c r="S1353" s="1" t="n"/>
      <c r="T1353" s="1" t="n"/>
      <c r="U1353" s="1" t="n"/>
      <c r="V1353" s="1" t="n"/>
      <c r="W1353" s="1" t="n"/>
      <c r="X1353" s="1" t="n"/>
      <c r="Y1353" s="1" t="n"/>
    </row>
    <row r="1354">
      <c r="A1354" s="34">
        <f>IF($H571="UNIDADE CONSTRUTIVA",OFFSET(A571,-1,0)+1,LARGE(A$3:A570,1))</f>
        <v/>
      </c>
      <c r="B1354" s="34" t="n"/>
      <c r="C1354" s="34" t="n"/>
      <c r="D1354" s="35" t="n"/>
      <c r="E1354" s="35" t="n"/>
      <c r="F1354" s="1" t="n"/>
      <c r="G1354" s="167" t="n"/>
      <c r="H1354" s="167" t="n"/>
      <c r="I1354" s="167" t="n"/>
      <c r="J1354" s="168" t="n"/>
      <c r="K1354" s="169" t="n"/>
      <c r="L1354" s="172" t="n"/>
      <c r="M1354" s="172" t="n"/>
      <c r="N1354" s="175" t="n"/>
      <c r="O1354" s="168" t="n"/>
      <c r="P1354" s="173" t="n"/>
      <c r="Q1354" s="1" t="n"/>
      <c r="R1354" s="1" t="n"/>
      <c r="S1354" s="1" t="n"/>
      <c r="T1354" s="1" t="n"/>
      <c r="U1354" s="1" t="n"/>
      <c r="V1354" s="1" t="n"/>
      <c r="W1354" s="1" t="n"/>
      <c r="X1354" s="1" t="n"/>
      <c r="Y1354" s="1" t="n"/>
    </row>
    <row r="1355">
      <c r="A1355" s="34">
        <f>IF($H572="UNIDADE CONSTRUTIVA",OFFSET(A572,-1,0)+1,LARGE(A$3:A571,1))</f>
        <v/>
      </c>
      <c r="B1355" s="34" t="n"/>
      <c r="C1355" s="34" t="n"/>
      <c r="D1355" s="35" t="n"/>
      <c r="E1355" s="35" t="n"/>
      <c r="F1355" s="1" t="n"/>
      <c r="G1355" s="167" t="n"/>
      <c r="H1355" s="167" t="n"/>
      <c r="I1355" s="167" t="n"/>
      <c r="J1355" s="168" t="n"/>
      <c r="K1355" s="169" t="n"/>
      <c r="L1355" s="172" t="n"/>
      <c r="M1355" s="172" t="n"/>
      <c r="N1355" s="175" t="n"/>
      <c r="O1355" s="168" t="n"/>
      <c r="P1355" s="173" t="n"/>
      <c r="Q1355" s="1" t="n"/>
      <c r="R1355" s="1" t="n"/>
      <c r="S1355" s="1" t="n"/>
      <c r="T1355" s="1" t="n"/>
      <c r="U1355" s="1" t="n"/>
      <c r="V1355" s="1" t="n"/>
      <c r="W1355" s="1" t="n"/>
      <c r="X1355" s="1" t="n"/>
      <c r="Y1355" s="1" t="n"/>
    </row>
    <row r="1356">
      <c r="A1356" s="34">
        <f>IF($H573="UNIDADE CONSTRUTIVA",OFFSET(A573,-1,0)+1,LARGE(A$3:A572,1))</f>
        <v/>
      </c>
      <c r="B1356" s="34" t="n"/>
      <c r="C1356" s="34" t="n"/>
      <c r="D1356" s="35" t="n"/>
      <c r="E1356" s="35" t="n"/>
      <c r="F1356" s="1" t="n"/>
      <c r="G1356" s="167" t="n"/>
      <c r="H1356" s="167" t="n"/>
      <c r="I1356" s="167" t="n"/>
      <c r="J1356" s="168" t="n"/>
      <c r="K1356" s="169" t="n"/>
      <c r="L1356" s="172" t="n"/>
      <c r="M1356" s="172" t="n"/>
      <c r="N1356" s="175" t="n"/>
      <c r="O1356" s="168" t="n"/>
      <c r="P1356" s="173" t="n"/>
      <c r="Q1356" s="1" t="n"/>
      <c r="R1356" s="1" t="n"/>
      <c r="S1356" s="1" t="n"/>
      <c r="T1356" s="1" t="n"/>
      <c r="U1356" s="1" t="n"/>
      <c r="V1356" s="1" t="n"/>
      <c r="W1356" s="1" t="n"/>
      <c r="X1356" s="1" t="n"/>
      <c r="Y1356" s="1" t="n"/>
    </row>
    <row r="1357">
      <c r="A1357" s="34">
        <f>IF($H574="UNIDADE CONSTRUTIVA",OFFSET(A574,-1,0)+1,LARGE(A$3:A573,1))</f>
        <v/>
      </c>
      <c r="B1357" s="34" t="n"/>
      <c r="C1357" s="34" t="n"/>
      <c r="D1357" s="35" t="n"/>
      <c r="E1357" s="35" t="n"/>
      <c r="F1357" s="1" t="n"/>
      <c r="G1357" s="167" t="n"/>
      <c r="H1357" s="167" t="n"/>
      <c r="I1357" s="167" t="n"/>
      <c r="J1357" s="168" t="n"/>
      <c r="K1357" s="169" t="n"/>
      <c r="L1357" s="172" t="n"/>
      <c r="M1357" s="172" t="n"/>
      <c r="N1357" s="175" t="n"/>
      <c r="O1357" s="168" t="n"/>
      <c r="P1357" s="173" t="n"/>
      <c r="Q1357" s="1" t="n"/>
      <c r="R1357" s="1" t="n"/>
      <c r="S1357" s="1" t="n"/>
      <c r="T1357" s="1" t="n"/>
      <c r="U1357" s="1" t="n"/>
      <c r="V1357" s="1" t="n"/>
      <c r="W1357" s="1" t="n"/>
      <c r="X1357" s="1" t="n"/>
      <c r="Y1357" s="1" t="n"/>
    </row>
    <row r="1358">
      <c r="A1358" s="34">
        <f>IF($H575="UNIDADE CONSTRUTIVA",OFFSET(A575,-1,0)+1,LARGE(A$3:A574,1))</f>
        <v/>
      </c>
      <c r="B1358" s="34" t="n"/>
      <c r="C1358" s="34" t="n"/>
      <c r="D1358" s="35" t="n"/>
      <c r="E1358" s="35" t="n"/>
      <c r="F1358" s="1" t="n"/>
      <c r="G1358" s="167" t="n"/>
      <c r="H1358" s="167" t="n"/>
      <c r="I1358" s="167" t="n"/>
      <c r="J1358" s="168" t="n"/>
      <c r="K1358" s="169" t="n"/>
      <c r="L1358" s="172" t="n"/>
      <c r="M1358" s="172" t="n"/>
      <c r="N1358" s="175" t="n"/>
      <c r="O1358" s="168" t="n"/>
      <c r="P1358" s="173" t="n"/>
      <c r="Q1358" s="1" t="n"/>
      <c r="R1358" s="1" t="n"/>
      <c r="S1358" s="1" t="n"/>
      <c r="T1358" s="1" t="n"/>
      <c r="U1358" s="1" t="n"/>
      <c r="V1358" s="1" t="n"/>
      <c r="W1358" s="1" t="n"/>
      <c r="X1358" s="1" t="n"/>
      <c r="Y1358" s="1" t="n"/>
    </row>
    <row r="1359">
      <c r="A1359" s="34">
        <f>IF($H576="UNIDADE CONSTRUTIVA",OFFSET(A576,-1,0)+1,LARGE(A$3:A575,1))</f>
        <v/>
      </c>
      <c r="B1359" s="34" t="n"/>
      <c r="C1359" s="34" t="n"/>
      <c r="D1359" s="35" t="n"/>
      <c r="E1359" s="35" t="n"/>
      <c r="F1359" s="1" t="n"/>
      <c r="G1359" s="167" t="n"/>
      <c r="H1359" s="167" t="n"/>
      <c r="I1359" s="167" t="n"/>
      <c r="J1359" s="168" t="n"/>
      <c r="K1359" s="169" t="n"/>
      <c r="L1359" s="172" t="n"/>
      <c r="M1359" s="172" t="n"/>
      <c r="N1359" s="175" t="n"/>
      <c r="O1359" s="168" t="n"/>
      <c r="P1359" s="173" t="n"/>
      <c r="Q1359" s="1" t="n"/>
      <c r="R1359" s="1" t="n"/>
      <c r="S1359" s="1" t="n"/>
      <c r="T1359" s="1" t="n"/>
      <c r="U1359" s="1" t="n"/>
      <c r="V1359" s="1" t="n"/>
      <c r="W1359" s="1" t="n"/>
      <c r="X1359" s="1" t="n"/>
      <c r="Y1359" s="1" t="n"/>
    </row>
    <row r="1360">
      <c r="A1360" s="34">
        <f>IF($H577="UNIDADE CONSTRUTIVA",OFFSET(A577,-1,0)+1,LARGE(A$3:A576,1))</f>
        <v/>
      </c>
      <c r="B1360" s="34" t="n"/>
      <c r="C1360" s="34" t="n"/>
      <c r="D1360" s="35" t="n"/>
      <c r="E1360" s="35" t="n"/>
      <c r="F1360" s="1" t="n"/>
      <c r="G1360" s="167" t="n"/>
      <c r="H1360" s="167" t="n"/>
      <c r="I1360" s="167" t="n"/>
      <c r="J1360" s="168" t="n"/>
      <c r="K1360" s="169" t="n"/>
      <c r="L1360" s="172" t="n"/>
      <c r="M1360" s="172" t="n"/>
      <c r="N1360" s="175" t="n"/>
      <c r="O1360" s="168" t="n"/>
      <c r="P1360" s="173" t="n"/>
      <c r="Q1360" s="1" t="n"/>
      <c r="R1360" s="1" t="n"/>
      <c r="S1360" s="1" t="n"/>
      <c r="T1360" s="1" t="n"/>
      <c r="U1360" s="1" t="n"/>
      <c r="V1360" s="1" t="n"/>
      <c r="W1360" s="1" t="n"/>
      <c r="X1360" s="1" t="n"/>
      <c r="Y1360" s="1" t="n"/>
    </row>
    <row r="1361">
      <c r="A1361" s="34">
        <f>IF($H578="UNIDADE CONSTRUTIVA",OFFSET(A578,-1,0)+1,LARGE(A$3:A577,1))</f>
        <v/>
      </c>
      <c r="B1361" s="34" t="n"/>
      <c r="C1361" s="34" t="n"/>
      <c r="D1361" s="35" t="n"/>
      <c r="E1361" s="35" t="n"/>
      <c r="F1361" s="1" t="n"/>
      <c r="G1361" s="167" t="n"/>
      <c r="H1361" s="167" t="n"/>
      <c r="I1361" s="167" t="n"/>
      <c r="J1361" s="168" t="n"/>
      <c r="K1361" s="169" t="n"/>
      <c r="L1361" s="172" t="n"/>
      <c r="M1361" s="172" t="n"/>
      <c r="N1361" s="175" t="n"/>
      <c r="O1361" s="168" t="n"/>
      <c r="P1361" s="173" t="n"/>
      <c r="Q1361" s="1" t="n"/>
      <c r="R1361" s="1" t="n"/>
      <c r="S1361" s="1" t="n"/>
      <c r="T1361" s="1" t="n"/>
      <c r="U1361" s="1" t="n"/>
      <c r="V1361" s="1" t="n"/>
      <c r="W1361" s="1" t="n"/>
      <c r="X1361" s="1" t="n"/>
      <c r="Y1361" s="1" t="n"/>
    </row>
    <row r="1362">
      <c r="A1362" s="34">
        <f>IF($H579="UNIDADE CONSTRUTIVA",OFFSET(A579,-1,0)+1,LARGE(A$3:A578,1))</f>
        <v/>
      </c>
      <c r="B1362" s="34" t="n"/>
      <c r="C1362" s="34" t="n"/>
      <c r="D1362" s="35" t="n"/>
      <c r="E1362" s="35" t="n"/>
      <c r="F1362" s="1" t="n"/>
      <c r="G1362" s="167" t="n"/>
      <c r="H1362" s="167" t="n"/>
      <c r="I1362" s="167" t="n"/>
      <c r="J1362" s="168" t="n"/>
      <c r="K1362" s="169" t="n"/>
      <c r="L1362" s="172" t="n"/>
      <c r="M1362" s="172" t="n"/>
      <c r="N1362" s="175" t="n"/>
      <c r="O1362" s="168" t="n"/>
      <c r="P1362" s="173" t="n"/>
      <c r="Q1362" s="1" t="n"/>
      <c r="R1362" s="1" t="n"/>
      <c r="S1362" s="1" t="n"/>
      <c r="T1362" s="1" t="n"/>
      <c r="U1362" s="1" t="n"/>
      <c r="V1362" s="1" t="n"/>
      <c r="W1362" s="1" t="n"/>
      <c r="X1362" s="1" t="n"/>
      <c r="Y1362" s="1" t="n"/>
    </row>
    <row r="1363">
      <c r="A1363" s="34">
        <f>IF($H580="UNIDADE CONSTRUTIVA",OFFSET(A580,-1,0)+1,LARGE(A$3:A579,1))</f>
        <v/>
      </c>
      <c r="B1363" s="34" t="n"/>
      <c r="C1363" s="34" t="n"/>
      <c r="D1363" s="35" t="n"/>
      <c r="E1363" s="35" t="n"/>
      <c r="F1363" s="1" t="n"/>
      <c r="G1363" s="167" t="n"/>
      <c r="H1363" s="167" t="n"/>
      <c r="I1363" s="167" t="n"/>
      <c r="J1363" s="168" t="n"/>
      <c r="K1363" s="169" t="n"/>
      <c r="L1363" s="172" t="n"/>
      <c r="M1363" s="172" t="n"/>
      <c r="N1363" s="175" t="n"/>
      <c r="O1363" s="168" t="n"/>
      <c r="P1363" s="173" t="n"/>
      <c r="Q1363" s="1" t="n"/>
      <c r="R1363" s="1" t="n"/>
      <c r="S1363" s="1" t="n"/>
      <c r="T1363" s="1" t="n"/>
      <c r="U1363" s="1" t="n"/>
      <c r="V1363" s="1" t="n"/>
      <c r="W1363" s="1" t="n"/>
      <c r="X1363" s="1" t="n"/>
      <c r="Y1363" s="1" t="n"/>
    </row>
    <row r="1364">
      <c r="A1364" s="34">
        <f>IF($H581="UNIDADE CONSTRUTIVA",OFFSET(A581,-1,0)+1,LARGE(A$3:A580,1))</f>
        <v/>
      </c>
      <c r="B1364" s="34" t="n"/>
      <c r="C1364" s="34" t="n"/>
      <c r="D1364" s="35" t="n"/>
      <c r="E1364" s="35" t="n"/>
      <c r="F1364" s="1" t="n"/>
      <c r="G1364" s="167" t="n"/>
      <c r="H1364" s="167" t="n"/>
      <c r="I1364" s="167" t="n"/>
      <c r="J1364" s="168" t="n"/>
      <c r="K1364" s="169" t="n"/>
      <c r="L1364" s="172" t="n"/>
      <c r="M1364" s="172" t="n"/>
      <c r="N1364" s="175" t="n"/>
      <c r="O1364" s="168" t="n"/>
      <c r="P1364" s="173" t="n"/>
      <c r="Q1364" s="1" t="n"/>
      <c r="R1364" s="1" t="n"/>
      <c r="S1364" s="1" t="n"/>
      <c r="T1364" s="1" t="n"/>
      <c r="U1364" s="1" t="n"/>
      <c r="V1364" s="1" t="n"/>
      <c r="W1364" s="1" t="n"/>
      <c r="X1364" s="1" t="n"/>
      <c r="Y1364" s="1" t="n"/>
    </row>
    <row r="1365">
      <c r="A1365" s="34">
        <f>IF($H582="UNIDADE CONSTRUTIVA",OFFSET(A582,-1,0)+1,LARGE(A$3:A581,1))</f>
        <v/>
      </c>
      <c r="B1365" s="34" t="n"/>
      <c r="C1365" s="34" t="n"/>
      <c r="D1365" s="35" t="n"/>
      <c r="E1365" s="35" t="n"/>
      <c r="F1365" s="1" t="n"/>
      <c r="G1365" s="167" t="n"/>
      <c r="H1365" s="167" t="n"/>
      <c r="I1365" s="167" t="n"/>
      <c r="J1365" s="168" t="n"/>
      <c r="K1365" s="169" t="n"/>
      <c r="L1365" s="172" t="n"/>
      <c r="M1365" s="172" t="n"/>
      <c r="N1365" s="175" t="n"/>
      <c r="O1365" s="168" t="n"/>
      <c r="P1365" s="173" t="n"/>
      <c r="Q1365" s="1" t="n"/>
      <c r="R1365" s="1" t="n"/>
      <c r="S1365" s="1" t="n"/>
      <c r="T1365" s="1" t="n"/>
      <c r="U1365" s="1" t="n"/>
      <c r="V1365" s="1" t="n"/>
      <c r="W1365" s="1" t="n"/>
      <c r="X1365" s="1" t="n"/>
      <c r="Y1365" s="1" t="n"/>
    </row>
    <row r="1366">
      <c r="A1366" s="34">
        <f>IF($H583="UNIDADE CONSTRUTIVA",OFFSET(A583,-1,0)+1,LARGE(A$3:A582,1))</f>
        <v/>
      </c>
      <c r="B1366" s="34" t="n"/>
      <c r="C1366" s="34" t="n"/>
      <c r="D1366" s="35" t="n"/>
      <c r="E1366" s="35" t="n"/>
      <c r="F1366" s="1" t="n"/>
      <c r="G1366" s="167" t="n"/>
      <c r="H1366" s="167" t="n"/>
      <c r="I1366" s="167" t="n"/>
      <c r="J1366" s="168" t="n"/>
      <c r="K1366" s="169" t="n"/>
      <c r="L1366" s="172" t="n"/>
      <c r="M1366" s="172" t="n"/>
      <c r="N1366" s="175" t="n"/>
      <c r="O1366" s="168" t="n"/>
      <c r="P1366" s="173" t="n"/>
      <c r="Q1366" s="1" t="n"/>
      <c r="R1366" s="1" t="n"/>
      <c r="S1366" s="1" t="n"/>
      <c r="T1366" s="1" t="n"/>
      <c r="U1366" s="1" t="n"/>
      <c r="V1366" s="1" t="n"/>
      <c r="W1366" s="1" t="n"/>
      <c r="X1366" s="1" t="n"/>
      <c r="Y1366" s="1" t="n"/>
    </row>
    <row r="1367">
      <c r="A1367" s="34">
        <f>IF($H584="UNIDADE CONSTRUTIVA",OFFSET(A584,-1,0)+1,LARGE(A$3:A583,1))</f>
        <v/>
      </c>
      <c r="B1367" s="34" t="n"/>
      <c r="C1367" s="34" t="n"/>
      <c r="D1367" s="35" t="n"/>
      <c r="E1367" s="35" t="n"/>
      <c r="F1367" s="1" t="n"/>
      <c r="G1367" s="167" t="n"/>
      <c r="H1367" s="167" t="n"/>
      <c r="I1367" s="167" t="n"/>
      <c r="J1367" s="168" t="n"/>
      <c r="K1367" s="169" t="n"/>
      <c r="L1367" s="172" t="n"/>
      <c r="M1367" s="172" t="n"/>
      <c r="N1367" s="175" t="n"/>
      <c r="O1367" s="168" t="n"/>
      <c r="P1367" s="173" t="n"/>
      <c r="Q1367" s="1" t="n"/>
      <c r="R1367" s="1" t="n"/>
      <c r="S1367" s="1" t="n"/>
      <c r="T1367" s="1" t="n"/>
      <c r="U1367" s="1" t="n"/>
      <c r="V1367" s="1" t="n"/>
      <c r="W1367" s="1" t="n"/>
      <c r="X1367" s="1" t="n"/>
      <c r="Y1367" s="1" t="n"/>
    </row>
    <row r="1368">
      <c r="A1368" s="34">
        <f>IF($H585="UNIDADE CONSTRUTIVA",OFFSET(A585,-1,0)+1,LARGE(A$3:A584,1))</f>
        <v/>
      </c>
      <c r="B1368" s="34" t="n"/>
      <c r="C1368" s="34" t="n"/>
      <c r="D1368" s="35" t="n"/>
      <c r="E1368" s="35" t="n"/>
      <c r="F1368" s="1" t="n"/>
      <c r="G1368" s="167" t="n"/>
      <c r="H1368" s="167" t="n"/>
      <c r="I1368" s="167" t="n"/>
      <c r="J1368" s="168" t="n"/>
      <c r="K1368" s="169" t="n"/>
      <c r="L1368" s="172" t="n"/>
      <c r="M1368" s="172" t="n"/>
      <c r="N1368" s="175" t="n"/>
      <c r="O1368" s="168" t="n"/>
      <c r="P1368" s="173" t="n"/>
      <c r="Q1368" s="1" t="n"/>
      <c r="R1368" s="1" t="n"/>
      <c r="S1368" s="1" t="n"/>
      <c r="T1368" s="1" t="n"/>
      <c r="U1368" s="1" t="n"/>
      <c r="V1368" s="1" t="n"/>
      <c r="W1368" s="1" t="n"/>
      <c r="X1368" s="1" t="n"/>
      <c r="Y1368" s="1" t="n"/>
    </row>
    <row r="1369">
      <c r="A1369" s="34">
        <f>IF($H586="UNIDADE CONSTRUTIVA",OFFSET(A586,-1,0)+1,LARGE(A$3:A585,1))</f>
        <v/>
      </c>
      <c r="B1369" s="34" t="n"/>
      <c r="C1369" s="34" t="n"/>
      <c r="D1369" s="35" t="n"/>
      <c r="E1369" s="35" t="n"/>
      <c r="F1369" s="1" t="n"/>
      <c r="G1369" s="167" t="n"/>
      <c r="H1369" s="167" t="n"/>
      <c r="I1369" s="167" t="n"/>
      <c r="J1369" s="168" t="n"/>
      <c r="K1369" s="169" t="n"/>
      <c r="L1369" s="172" t="n"/>
      <c r="M1369" s="172" t="n"/>
      <c r="N1369" s="175" t="n"/>
      <c r="O1369" s="168" t="n"/>
      <c r="P1369" s="173" t="n"/>
      <c r="Q1369" s="1" t="n"/>
      <c r="R1369" s="1" t="n"/>
      <c r="S1369" s="1" t="n"/>
      <c r="T1369" s="1" t="n"/>
      <c r="U1369" s="1" t="n"/>
      <c r="V1369" s="1" t="n"/>
      <c r="W1369" s="1" t="n"/>
      <c r="X1369" s="1" t="n"/>
      <c r="Y1369" s="1" t="n"/>
    </row>
    <row r="1370">
      <c r="A1370" s="34">
        <f>IF($H587="UNIDADE CONSTRUTIVA",OFFSET(A587,-1,0)+1,LARGE(A$3:A586,1))</f>
        <v/>
      </c>
      <c r="B1370" s="34" t="n"/>
      <c r="C1370" s="34" t="n"/>
      <c r="D1370" s="35" t="n"/>
      <c r="E1370" s="35" t="n"/>
      <c r="F1370" s="1" t="n"/>
      <c r="G1370" s="167" t="n"/>
      <c r="H1370" s="167" t="n"/>
      <c r="I1370" s="167" t="n"/>
      <c r="J1370" s="168" t="n"/>
      <c r="K1370" s="169" t="n"/>
      <c r="L1370" s="172" t="n"/>
      <c r="M1370" s="172" t="n"/>
      <c r="N1370" s="175" t="n"/>
      <c r="O1370" s="168" t="n"/>
      <c r="P1370" s="173" t="n"/>
      <c r="Q1370" s="1" t="n"/>
      <c r="R1370" s="1" t="n"/>
      <c r="S1370" s="1" t="n"/>
      <c r="T1370" s="1" t="n"/>
      <c r="U1370" s="1" t="n"/>
      <c r="V1370" s="1" t="n"/>
      <c r="W1370" s="1" t="n"/>
      <c r="X1370" s="1" t="n"/>
      <c r="Y1370" s="1" t="n"/>
    </row>
    <row r="1371">
      <c r="A1371" s="34">
        <f>IF($H588="UNIDADE CONSTRUTIVA",OFFSET(A588,-1,0)+1,LARGE(A$3:A587,1))</f>
        <v/>
      </c>
      <c r="B1371" s="34" t="n"/>
      <c r="C1371" s="34" t="n"/>
      <c r="D1371" s="35" t="n"/>
      <c r="E1371" s="35" t="n"/>
      <c r="F1371" s="1" t="n"/>
      <c r="G1371" s="167" t="n"/>
      <c r="H1371" s="167" t="n"/>
      <c r="I1371" s="167" t="n"/>
      <c r="J1371" s="168" t="n"/>
      <c r="K1371" s="169" t="n"/>
      <c r="L1371" s="172" t="n"/>
      <c r="M1371" s="172" t="n"/>
      <c r="N1371" s="175" t="n"/>
      <c r="O1371" s="168" t="n"/>
      <c r="P1371" s="173" t="n"/>
      <c r="Q1371" s="1" t="n"/>
      <c r="R1371" s="1" t="n"/>
      <c r="S1371" s="1" t="n"/>
      <c r="T1371" s="1" t="n"/>
      <c r="U1371" s="1" t="n"/>
      <c r="V1371" s="1" t="n"/>
      <c r="W1371" s="1" t="n"/>
      <c r="X1371" s="1" t="n"/>
      <c r="Y1371" s="1" t="n"/>
    </row>
    <row r="1372">
      <c r="A1372" s="34">
        <f>IF($H589="UNIDADE CONSTRUTIVA",OFFSET(A589,-1,0)+1,LARGE(A$3:A588,1))</f>
        <v/>
      </c>
      <c r="B1372" s="34" t="n"/>
      <c r="C1372" s="34" t="n"/>
      <c r="D1372" s="35" t="n"/>
      <c r="E1372" s="35" t="n"/>
      <c r="F1372" s="1" t="n"/>
      <c r="G1372" s="167" t="n"/>
      <c r="H1372" s="167" t="n"/>
      <c r="I1372" s="167" t="n"/>
      <c r="J1372" s="168" t="n"/>
      <c r="K1372" s="169" t="n"/>
      <c r="L1372" s="172" t="n"/>
      <c r="M1372" s="172" t="n"/>
      <c r="N1372" s="175" t="n"/>
      <c r="O1372" s="168" t="n"/>
      <c r="P1372" s="173" t="n"/>
      <c r="Q1372" s="1" t="n"/>
      <c r="R1372" s="1" t="n"/>
      <c r="S1372" s="1" t="n"/>
      <c r="T1372" s="1" t="n"/>
      <c r="U1372" s="1" t="n"/>
      <c r="V1372" s="1" t="n"/>
      <c r="W1372" s="1" t="n"/>
      <c r="X1372" s="1" t="n"/>
      <c r="Y1372" s="1" t="n"/>
    </row>
    <row r="1373">
      <c r="A1373" s="34">
        <f>IF($H590="UNIDADE CONSTRUTIVA",OFFSET(A590,-1,0)+1,LARGE(A$3:A589,1))</f>
        <v/>
      </c>
      <c r="B1373" s="34" t="n"/>
      <c r="C1373" s="34" t="n"/>
      <c r="D1373" s="35" t="n"/>
      <c r="E1373" s="35" t="n"/>
      <c r="F1373" s="1" t="n"/>
      <c r="G1373" s="167" t="n"/>
      <c r="H1373" s="167" t="n"/>
      <c r="I1373" s="167" t="n"/>
      <c r="J1373" s="168" t="n"/>
      <c r="K1373" s="169" t="n"/>
      <c r="L1373" s="172" t="n"/>
      <c r="M1373" s="172" t="n"/>
      <c r="N1373" s="175" t="n"/>
      <c r="O1373" s="168" t="n"/>
      <c r="P1373" s="173" t="n"/>
      <c r="Q1373" s="1" t="n"/>
      <c r="R1373" s="1" t="n"/>
      <c r="S1373" s="1" t="n"/>
      <c r="T1373" s="1" t="n"/>
      <c r="U1373" s="1" t="n"/>
      <c r="V1373" s="1" t="n"/>
      <c r="W1373" s="1" t="n"/>
      <c r="X1373" s="1" t="n"/>
      <c r="Y1373" s="1" t="n"/>
    </row>
    <row r="1374">
      <c r="A1374" s="34">
        <f>IF($H591="UNIDADE CONSTRUTIVA",OFFSET(A591,-1,0)+1,LARGE(A$3:A590,1))</f>
        <v/>
      </c>
      <c r="B1374" s="34" t="n"/>
      <c r="C1374" s="34" t="n"/>
      <c r="D1374" s="35" t="n"/>
      <c r="E1374" s="35" t="n"/>
      <c r="F1374" s="1" t="n"/>
      <c r="G1374" s="167" t="n"/>
      <c r="H1374" s="167" t="n"/>
      <c r="I1374" s="167" t="n"/>
      <c r="J1374" s="168" t="n"/>
      <c r="K1374" s="169" t="n"/>
      <c r="L1374" s="172" t="n"/>
      <c r="M1374" s="172" t="n"/>
      <c r="N1374" s="175" t="n"/>
      <c r="O1374" s="168" t="n"/>
      <c r="P1374" s="173" t="n"/>
      <c r="Q1374" s="1" t="n"/>
      <c r="R1374" s="1" t="n"/>
      <c r="S1374" s="1" t="n"/>
      <c r="T1374" s="1" t="n"/>
      <c r="U1374" s="1" t="n"/>
      <c r="V1374" s="1" t="n"/>
      <c r="W1374" s="1" t="n"/>
      <c r="X1374" s="1" t="n"/>
      <c r="Y1374" s="1" t="n"/>
    </row>
    <row r="1375">
      <c r="A1375" s="34">
        <f>IF($H592="UNIDADE CONSTRUTIVA",OFFSET(A592,-1,0)+1,LARGE(A$3:A591,1))</f>
        <v/>
      </c>
      <c r="B1375" s="34" t="n"/>
      <c r="C1375" s="34" t="n"/>
      <c r="D1375" s="35" t="n"/>
      <c r="E1375" s="35" t="n"/>
      <c r="F1375" s="1" t="n"/>
      <c r="G1375" s="167" t="n"/>
      <c r="H1375" s="167" t="n"/>
      <c r="I1375" s="167" t="n"/>
      <c r="J1375" s="168" t="n"/>
      <c r="K1375" s="169" t="n"/>
      <c r="L1375" s="172" t="n"/>
      <c r="M1375" s="172" t="n"/>
      <c r="N1375" s="175" t="n"/>
      <c r="O1375" s="168" t="n"/>
      <c r="P1375" s="173" t="n"/>
      <c r="Q1375" s="1" t="n"/>
      <c r="R1375" s="1" t="n"/>
      <c r="S1375" s="1" t="n"/>
      <c r="T1375" s="1" t="n"/>
      <c r="U1375" s="1" t="n"/>
      <c r="V1375" s="1" t="n"/>
      <c r="W1375" s="1" t="n"/>
      <c r="X1375" s="1" t="n"/>
      <c r="Y1375" s="1" t="n"/>
    </row>
    <row r="1376">
      <c r="A1376" s="34">
        <f>IF($H593="UNIDADE CONSTRUTIVA",OFFSET(A593,-1,0)+1,LARGE(A$3:A592,1))</f>
        <v/>
      </c>
      <c r="B1376" s="34" t="n"/>
      <c r="C1376" s="34" t="n"/>
      <c r="D1376" s="35" t="n"/>
      <c r="E1376" s="35" t="n"/>
      <c r="F1376" s="1" t="n"/>
      <c r="G1376" s="167" t="n"/>
      <c r="H1376" s="167" t="n"/>
      <c r="I1376" s="167" t="n"/>
      <c r="J1376" s="168" t="n"/>
      <c r="K1376" s="169" t="n"/>
      <c r="L1376" s="172" t="n"/>
      <c r="M1376" s="172" t="n"/>
      <c r="N1376" s="175" t="n"/>
      <c r="O1376" s="168" t="n"/>
      <c r="P1376" s="173" t="n"/>
      <c r="Q1376" s="1" t="n"/>
      <c r="R1376" s="1" t="n"/>
      <c r="S1376" s="1" t="n"/>
      <c r="T1376" s="1" t="n"/>
      <c r="U1376" s="1" t="n"/>
      <c r="V1376" s="1" t="n"/>
      <c r="W1376" s="1" t="n"/>
      <c r="X1376" s="1" t="n"/>
      <c r="Y1376" s="1" t="n"/>
    </row>
    <row r="1377">
      <c r="A1377" s="34">
        <f>IF($H594="UNIDADE CONSTRUTIVA",OFFSET(A594,-1,0)+1,LARGE(A$3:A593,1))</f>
        <v/>
      </c>
      <c r="B1377" s="34" t="n"/>
      <c r="C1377" s="34" t="n"/>
      <c r="D1377" s="35" t="n"/>
      <c r="E1377" s="35" t="n"/>
      <c r="F1377" s="1" t="n"/>
      <c r="G1377" s="167" t="n"/>
      <c r="H1377" s="167" t="n"/>
      <c r="I1377" s="167" t="n"/>
      <c r="J1377" s="168" t="n"/>
      <c r="K1377" s="169" t="n"/>
      <c r="L1377" s="172" t="n"/>
      <c r="M1377" s="172" t="n"/>
      <c r="N1377" s="175" t="n"/>
      <c r="O1377" s="168" t="n"/>
      <c r="P1377" s="173" t="n"/>
      <c r="Q1377" s="1" t="n"/>
      <c r="R1377" s="1" t="n"/>
      <c r="S1377" s="1" t="n"/>
      <c r="T1377" s="1" t="n"/>
      <c r="U1377" s="1" t="n"/>
      <c r="V1377" s="1" t="n"/>
      <c r="W1377" s="1" t="n"/>
      <c r="X1377" s="1" t="n"/>
      <c r="Y1377" s="1" t="n"/>
    </row>
    <row r="1378">
      <c r="A1378" s="34">
        <f>IF($H595="UNIDADE CONSTRUTIVA",OFFSET(A595,-1,0)+1,LARGE(A$3:A594,1))</f>
        <v/>
      </c>
      <c r="B1378" s="34" t="n"/>
      <c r="C1378" s="34" t="n"/>
      <c r="D1378" s="35" t="n"/>
      <c r="E1378" s="35" t="n"/>
      <c r="F1378" s="1" t="n"/>
      <c r="G1378" s="167" t="n"/>
      <c r="H1378" s="167" t="n"/>
      <c r="I1378" s="167" t="n"/>
      <c r="J1378" s="168" t="n"/>
      <c r="K1378" s="169" t="n"/>
      <c r="L1378" s="172" t="n"/>
      <c r="M1378" s="172" t="n"/>
      <c r="N1378" s="175" t="n"/>
      <c r="O1378" s="168" t="n"/>
      <c r="P1378" s="173" t="n"/>
      <c r="Q1378" s="1" t="n"/>
      <c r="R1378" s="1" t="n"/>
      <c r="S1378" s="1" t="n"/>
      <c r="T1378" s="1" t="n"/>
      <c r="U1378" s="1" t="n"/>
      <c r="V1378" s="1" t="n"/>
      <c r="W1378" s="1" t="n"/>
      <c r="X1378" s="1" t="n"/>
      <c r="Y1378" s="1" t="n"/>
    </row>
    <row r="1379">
      <c r="A1379" s="34">
        <f>IF($H596="UNIDADE CONSTRUTIVA",OFFSET(A596,-1,0)+1,LARGE(A$3:A595,1))</f>
        <v/>
      </c>
      <c r="B1379" s="34" t="n"/>
      <c r="C1379" s="34" t="n"/>
      <c r="D1379" s="35" t="n"/>
      <c r="E1379" s="35" t="n"/>
      <c r="F1379" s="1" t="n"/>
      <c r="G1379" s="167" t="n"/>
      <c r="H1379" s="167" t="n"/>
      <c r="I1379" s="167" t="n"/>
      <c r="J1379" s="168" t="n"/>
      <c r="K1379" s="169" t="n"/>
      <c r="L1379" s="172" t="n"/>
      <c r="M1379" s="172" t="n"/>
      <c r="N1379" s="175" t="n"/>
      <c r="O1379" s="168" t="n"/>
      <c r="P1379" s="173" t="n"/>
      <c r="Q1379" s="1" t="n"/>
      <c r="R1379" s="1" t="n"/>
      <c r="S1379" s="1" t="n"/>
      <c r="T1379" s="1" t="n"/>
      <c r="U1379" s="1" t="n"/>
      <c r="V1379" s="1" t="n"/>
      <c r="W1379" s="1" t="n"/>
      <c r="X1379" s="1" t="n"/>
      <c r="Y1379" s="1" t="n"/>
    </row>
    <row r="1380">
      <c r="A1380" s="34">
        <f>IF($H597="UNIDADE CONSTRUTIVA",OFFSET(A597,-1,0)+1,LARGE(A$3:A596,1))</f>
        <v/>
      </c>
      <c r="B1380" s="34" t="n"/>
      <c r="C1380" s="34" t="n"/>
      <c r="D1380" s="35" t="n"/>
      <c r="E1380" s="35" t="n"/>
      <c r="F1380" s="1" t="n"/>
      <c r="G1380" s="167" t="n"/>
      <c r="H1380" s="167" t="n"/>
      <c r="I1380" s="167" t="n"/>
      <c r="J1380" s="168" t="n"/>
      <c r="K1380" s="169" t="n"/>
      <c r="L1380" s="172" t="n"/>
      <c r="M1380" s="172" t="n"/>
      <c r="N1380" s="175" t="n"/>
      <c r="O1380" s="168" t="n"/>
      <c r="P1380" s="173" t="n"/>
      <c r="Q1380" s="1" t="n"/>
      <c r="R1380" s="1" t="n"/>
      <c r="S1380" s="1" t="n"/>
      <c r="T1380" s="1" t="n"/>
      <c r="U1380" s="1" t="n"/>
      <c r="V1380" s="1" t="n"/>
      <c r="W1380" s="1" t="n"/>
      <c r="X1380" s="1" t="n"/>
      <c r="Y1380" s="1" t="n"/>
    </row>
    <row r="1381">
      <c r="A1381" s="34">
        <f>IF($H598="UNIDADE CONSTRUTIVA",OFFSET(A598,-1,0)+1,LARGE(A$3:A597,1))</f>
        <v/>
      </c>
      <c r="B1381" s="34" t="n"/>
      <c r="C1381" s="34" t="n"/>
      <c r="D1381" s="35" t="n"/>
      <c r="E1381" s="35" t="n"/>
      <c r="F1381" s="1" t="n"/>
      <c r="G1381" s="167" t="n"/>
      <c r="H1381" s="167" t="n"/>
      <c r="I1381" s="167" t="n"/>
      <c r="J1381" s="168" t="n"/>
      <c r="K1381" s="169" t="n"/>
      <c r="L1381" s="172" t="n"/>
      <c r="M1381" s="172" t="n"/>
      <c r="N1381" s="175" t="n"/>
      <c r="O1381" s="168" t="n"/>
      <c r="P1381" s="173" t="n"/>
      <c r="Q1381" s="1" t="n"/>
      <c r="R1381" s="1" t="n"/>
      <c r="S1381" s="1" t="n"/>
      <c r="T1381" s="1" t="n"/>
      <c r="U1381" s="1" t="n"/>
      <c r="V1381" s="1" t="n"/>
      <c r="W1381" s="1" t="n"/>
      <c r="X1381" s="1" t="n"/>
      <c r="Y1381" s="1" t="n"/>
    </row>
    <row r="1382">
      <c r="A1382" s="34">
        <f>IF($H599="UNIDADE CONSTRUTIVA",OFFSET(A599,-1,0)+1,LARGE(A$3:A598,1))</f>
        <v/>
      </c>
      <c r="B1382" s="34" t="n"/>
      <c r="C1382" s="34" t="n"/>
      <c r="D1382" s="35" t="n"/>
      <c r="E1382" s="35" t="n"/>
      <c r="F1382" s="1" t="n"/>
      <c r="G1382" s="167" t="n"/>
      <c r="H1382" s="167" t="n"/>
      <c r="I1382" s="167" t="n"/>
      <c r="J1382" s="168" t="n"/>
      <c r="K1382" s="169" t="n"/>
      <c r="L1382" s="172" t="n"/>
      <c r="M1382" s="172" t="n"/>
      <c r="N1382" s="175" t="n"/>
      <c r="O1382" s="168" t="n"/>
      <c r="P1382" s="173" t="n"/>
      <c r="Q1382" s="1" t="n"/>
      <c r="R1382" s="1" t="n"/>
      <c r="S1382" s="1" t="n"/>
      <c r="T1382" s="1" t="n"/>
      <c r="U1382" s="1" t="n"/>
      <c r="V1382" s="1" t="n"/>
      <c r="W1382" s="1" t="n"/>
      <c r="X1382" s="1" t="n"/>
      <c r="Y1382" s="1" t="n"/>
    </row>
    <row r="1383">
      <c r="A1383" s="34">
        <f>IF($H600="UNIDADE CONSTRUTIVA",OFFSET(A600,-1,0)+1,LARGE(A$3:A599,1))</f>
        <v/>
      </c>
      <c r="B1383" s="34" t="n"/>
      <c r="C1383" s="34" t="n"/>
      <c r="D1383" s="35" t="n"/>
      <c r="E1383" s="35" t="n"/>
      <c r="F1383" s="1" t="n"/>
      <c r="G1383" s="167" t="n"/>
      <c r="H1383" s="167" t="n"/>
      <c r="I1383" s="167" t="n"/>
      <c r="J1383" s="168" t="n"/>
      <c r="K1383" s="169" t="n"/>
      <c r="L1383" s="172" t="n"/>
      <c r="M1383" s="172" t="n"/>
      <c r="N1383" s="175" t="n"/>
      <c r="O1383" s="168" t="n"/>
      <c r="P1383" s="173" t="n"/>
      <c r="Q1383" s="1" t="n"/>
      <c r="R1383" s="1" t="n"/>
      <c r="S1383" s="1" t="n"/>
      <c r="T1383" s="1" t="n"/>
      <c r="U1383" s="1" t="n"/>
      <c r="V1383" s="1" t="n"/>
      <c r="W1383" s="1" t="n"/>
      <c r="X1383" s="1" t="n"/>
      <c r="Y1383" s="1" t="n"/>
    </row>
    <row r="1384">
      <c r="A1384" s="34">
        <f>IF($H601="UNIDADE CONSTRUTIVA",OFFSET(A601,-1,0)+1,LARGE(A$3:A600,1))</f>
        <v/>
      </c>
      <c r="B1384" s="34" t="n"/>
      <c r="C1384" s="34" t="n"/>
      <c r="D1384" s="35" t="n"/>
      <c r="E1384" s="35" t="n"/>
      <c r="F1384" s="1" t="n"/>
      <c r="G1384" s="167" t="n"/>
      <c r="H1384" s="167" t="n"/>
      <c r="I1384" s="167" t="n"/>
      <c r="J1384" s="168" t="n"/>
      <c r="K1384" s="169" t="n"/>
      <c r="L1384" s="172" t="n"/>
      <c r="M1384" s="172" t="n"/>
      <c r="N1384" s="175" t="n"/>
      <c r="O1384" s="168" t="n"/>
      <c r="P1384" s="173" t="n"/>
      <c r="Q1384" s="1" t="n"/>
      <c r="R1384" s="1" t="n"/>
      <c r="S1384" s="1" t="n"/>
      <c r="T1384" s="1" t="n"/>
      <c r="U1384" s="1" t="n"/>
      <c r="V1384" s="1" t="n"/>
      <c r="W1384" s="1" t="n"/>
      <c r="X1384" s="1" t="n"/>
      <c r="Y1384" s="1" t="n"/>
    </row>
    <row r="1385">
      <c r="A1385" s="34">
        <f>IF($H602="UNIDADE CONSTRUTIVA",OFFSET(A602,-1,0)+1,LARGE(A$3:A601,1))</f>
        <v/>
      </c>
      <c r="B1385" s="34" t="n"/>
      <c r="C1385" s="34" t="n"/>
      <c r="D1385" s="35" t="n"/>
      <c r="E1385" s="35" t="n"/>
      <c r="F1385" s="1" t="n"/>
      <c r="G1385" s="167" t="n"/>
      <c r="H1385" s="167" t="n"/>
      <c r="I1385" s="167" t="n"/>
      <c r="J1385" s="168" t="n"/>
      <c r="K1385" s="169" t="n"/>
      <c r="L1385" s="172" t="n"/>
      <c r="M1385" s="172" t="n"/>
      <c r="N1385" s="175" t="n"/>
      <c r="O1385" s="168" t="n"/>
      <c r="P1385" s="173" t="n"/>
      <c r="Q1385" s="1" t="n"/>
      <c r="R1385" s="1" t="n"/>
      <c r="S1385" s="1" t="n"/>
      <c r="T1385" s="1" t="n"/>
      <c r="U1385" s="1" t="n"/>
      <c r="V1385" s="1" t="n"/>
      <c r="W1385" s="1" t="n"/>
      <c r="X1385" s="1" t="n"/>
      <c r="Y1385" s="1" t="n"/>
    </row>
    <row r="1386">
      <c r="A1386" s="34">
        <f>IF($H603="UNIDADE CONSTRUTIVA",OFFSET(A603,-1,0)+1,LARGE(A$3:A602,1))</f>
        <v/>
      </c>
      <c r="B1386" s="34" t="n"/>
      <c r="C1386" s="34" t="n"/>
      <c r="D1386" s="35" t="n"/>
      <c r="E1386" s="35" t="n"/>
      <c r="F1386" s="1" t="n"/>
      <c r="G1386" s="167" t="n"/>
      <c r="H1386" s="167" t="n"/>
      <c r="I1386" s="167" t="n"/>
      <c r="J1386" s="168" t="n"/>
      <c r="K1386" s="169" t="n"/>
      <c r="L1386" s="172" t="n"/>
      <c r="M1386" s="172" t="n"/>
      <c r="N1386" s="175" t="n"/>
      <c r="O1386" s="168" t="n"/>
      <c r="P1386" s="173" t="n"/>
      <c r="Q1386" s="1" t="n"/>
      <c r="R1386" s="1" t="n"/>
      <c r="S1386" s="1" t="n"/>
      <c r="T1386" s="1" t="n"/>
      <c r="U1386" s="1" t="n"/>
      <c r="V1386" s="1" t="n"/>
      <c r="W1386" s="1" t="n"/>
      <c r="X1386" s="1" t="n"/>
      <c r="Y1386" s="1" t="n"/>
    </row>
    <row r="1387">
      <c r="A1387" s="34">
        <f>IF($H604="UNIDADE CONSTRUTIVA",OFFSET(A604,-1,0)+1,LARGE(A$3:A603,1))</f>
        <v/>
      </c>
      <c r="B1387" s="34" t="n"/>
      <c r="C1387" s="34" t="n"/>
      <c r="D1387" s="35" t="n"/>
      <c r="E1387" s="35" t="n"/>
      <c r="F1387" s="1" t="n"/>
      <c r="G1387" s="167" t="n"/>
      <c r="H1387" s="167" t="n"/>
      <c r="I1387" s="167" t="n"/>
      <c r="J1387" s="168" t="n"/>
      <c r="K1387" s="169" t="n"/>
      <c r="L1387" s="172" t="n"/>
      <c r="M1387" s="172" t="n"/>
      <c r="N1387" s="175" t="n"/>
      <c r="O1387" s="168" t="n"/>
      <c r="P1387" s="173" t="n"/>
      <c r="Q1387" s="1" t="n"/>
      <c r="R1387" s="1" t="n"/>
      <c r="S1387" s="1" t="n"/>
      <c r="T1387" s="1" t="n"/>
      <c r="U1387" s="1" t="n"/>
      <c r="V1387" s="1" t="n"/>
      <c r="W1387" s="1" t="n"/>
      <c r="X1387" s="1" t="n"/>
      <c r="Y1387" s="1" t="n"/>
    </row>
    <row r="1388">
      <c r="A1388" s="34">
        <f>IF($H605="UNIDADE CONSTRUTIVA",OFFSET(A605,-1,0)+1,LARGE(A$3:A604,1))</f>
        <v/>
      </c>
      <c r="B1388" s="34" t="n"/>
      <c r="C1388" s="34" t="n"/>
      <c r="D1388" s="35" t="n"/>
      <c r="E1388" s="35" t="n"/>
      <c r="F1388" s="1" t="n"/>
      <c r="G1388" s="167" t="n"/>
      <c r="H1388" s="167" t="n"/>
      <c r="I1388" s="167" t="n"/>
      <c r="J1388" s="168" t="n"/>
      <c r="K1388" s="169" t="n"/>
      <c r="L1388" s="172" t="n"/>
      <c r="M1388" s="172" t="n"/>
      <c r="N1388" s="175" t="n"/>
      <c r="O1388" s="168" t="n"/>
      <c r="P1388" s="173" t="n"/>
      <c r="Q1388" s="1" t="n"/>
      <c r="R1388" s="1" t="n"/>
      <c r="S1388" s="1" t="n"/>
      <c r="T1388" s="1" t="n"/>
      <c r="U1388" s="1" t="n"/>
      <c r="V1388" s="1" t="n"/>
      <c r="W1388" s="1" t="n"/>
      <c r="X1388" s="1" t="n"/>
      <c r="Y1388" s="1" t="n"/>
    </row>
    <row r="1389">
      <c r="A1389" s="34">
        <f>IF($H606="UNIDADE CONSTRUTIVA",OFFSET(A606,-1,0)+1,LARGE(A$3:A605,1))</f>
        <v/>
      </c>
      <c r="B1389" s="34" t="n"/>
      <c r="C1389" s="34" t="n"/>
      <c r="D1389" s="35" t="n"/>
      <c r="E1389" s="35" t="n"/>
      <c r="F1389" s="1" t="n"/>
      <c r="G1389" s="167" t="n"/>
      <c r="H1389" s="167" t="n"/>
      <c r="I1389" s="167" t="n"/>
      <c r="J1389" s="168" t="n"/>
      <c r="K1389" s="169" t="n"/>
      <c r="L1389" s="172" t="n"/>
      <c r="M1389" s="172" t="n"/>
      <c r="N1389" s="175" t="n"/>
      <c r="O1389" s="168" t="n"/>
      <c r="P1389" s="173" t="n"/>
      <c r="Q1389" s="1" t="n"/>
      <c r="R1389" s="1" t="n"/>
      <c r="S1389" s="1" t="n"/>
      <c r="T1389" s="1" t="n"/>
      <c r="U1389" s="1" t="n"/>
      <c r="V1389" s="1" t="n"/>
      <c r="W1389" s="1" t="n"/>
      <c r="X1389" s="1" t="n"/>
      <c r="Y1389" s="1" t="n"/>
    </row>
    <row r="1390">
      <c r="A1390" s="34">
        <f>IF($H607="UNIDADE CONSTRUTIVA",OFFSET(A607,-1,0)+1,LARGE(A$3:A606,1))</f>
        <v/>
      </c>
      <c r="B1390" s="34" t="n"/>
      <c r="C1390" s="34" t="n"/>
      <c r="D1390" s="35" t="n"/>
      <c r="E1390" s="35" t="n"/>
      <c r="F1390" s="1" t="n"/>
      <c r="G1390" s="167" t="n"/>
      <c r="H1390" s="167" t="n"/>
      <c r="I1390" s="167" t="n"/>
      <c r="J1390" s="168" t="n"/>
      <c r="K1390" s="169" t="n"/>
      <c r="L1390" s="172" t="n"/>
      <c r="M1390" s="172" t="n"/>
      <c r="N1390" s="175" t="n"/>
      <c r="O1390" s="168" t="n"/>
      <c r="P1390" s="173" t="n"/>
      <c r="Q1390" s="1" t="n"/>
      <c r="R1390" s="1" t="n"/>
      <c r="S1390" s="1" t="n"/>
      <c r="T1390" s="1" t="n"/>
      <c r="U1390" s="1" t="n"/>
      <c r="V1390" s="1" t="n"/>
      <c r="W1390" s="1" t="n"/>
      <c r="X1390" s="1" t="n"/>
      <c r="Y1390" s="1" t="n"/>
    </row>
    <row r="1391">
      <c r="A1391" s="34">
        <f>IF($H608="UNIDADE CONSTRUTIVA",OFFSET(A608,-1,0)+1,LARGE(A$3:A607,1))</f>
        <v/>
      </c>
      <c r="B1391" s="34" t="n"/>
      <c r="C1391" s="34" t="n"/>
      <c r="D1391" s="35" t="n"/>
      <c r="E1391" s="35" t="n"/>
      <c r="F1391" s="1" t="n"/>
      <c r="G1391" s="167" t="n"/>
      <c r="H1391" s="167" t="n"/>
      <c r="I1391" s="167" t="n"/>
      <c r="J1391" s="168" t="n"/>
      <c r="K1391" s="169" t="n"/>
      <c r="L1391" s="172" t="n"/>
      <c r="M1391" s="172" t="n"/>
      <c r="N1391" s="175" t="n"/>
      <c r="O1391" s="168" t="n"/>
      <c r="P1391" s="173" t="n"/>
      <c r="Q1391" s="1" t="n"/>
      <c r="R1391" s="1" t="n"/>
      <c r="S1391" s="1" t="n"/>
      <c r="T1391" s="1" t="n"/>
      <c r="U1391" s="1" t="n"/>
      <c r="V1391" s="1" t="n"/>
      <c r="W1391" s="1" t="n"/>
      <c r="X1391" s="1" t="n"/>
      <c r="Y1391" s="1" t="n"/>
    </row>
    <row r="1392">
      <c r="A1392" s="34">
        <f>IF($H609="UNIDADE CONSTRUTIVA",OFFSET(A609,-1,0)+1,LARGE(A$3:A608,1))</f>
        <v/>
      </c>
      <c r="B1392" s="34" t="n"/>
      <c r="C1392" s="34" t="n"/>
      <c r="D1392" s="35" t="n"/>
      <c r="E1392" s="35" t="n"/>
      <c r="F1392" s="1" t="n"/>
      <c r="G1392" s="167" t="n"/>
      <c r="H1392" s="167" t="n"/>
      <c r="I1392" s="167" t="n"/>
      <c r="J1392" s="168" t="n"/>
      <c r="K1392" s="169" t="n"/>
      <c r="L1392" s="172" t="n"/>
      <c r="M1392" s="172" t="n"/>
      <c r="N1392" s="175" t="n"/>
      <c r="O1392" s="168" t="n"/>
      <c r="P1392" s="173" t="n"/>
      <c r="Q1392" s="1" t="n"/>
      <c r="R1392" s="1" t="n"/>
      <c r="S1392" s="1" t="n"/>
      <c r="T1392" s="1" t="n"/>
      <c r="U1392" s="1" t="n"/>
      <c r="V1392" s="1" t="n"/>
      <c r="W1392" s="1" t="n"/>
      <c r="X1392" s="1" t="n"/>
      <c r="Y1392" s="1" t="n"/>
    </row>
    <row r="1393">
      <c r="A1393" s="34">
        <f>IF($H610="UNIDADE CONSTRUTIVA",OFFSET(A610,-1,0)+1,LARGE(A$3:A609,1))</f>
        <v/>
      </c>
      <c r="B1393" s="34" t="n"/>
      <c r="C1393" s="34" t="n"/>
      <c r="D1393" s="35" t="n"/>
      <c r="E1393" s="35" t="n"/>
      <c r="F1393" s="1" t="n"/>
      <c r="G1393" s="167" t="n"/>
      <c r="H1393" s="167" t="n"/>
      <c r="I1393" s="167" t="n"/>
      <c r="J1393" s="168" t="n"/>
      <c r="K1393" s="169" t="n"/>
      <c r="L1393" s="172" t="n"/>
      <c r="M1393" s="172" t="n"/>
      <c r="N1393" s="175" t="n"/>
      <c r="O1393" s="168" t="n"/>
      <c r="P1393" s="173" t="n"/>
      <c r="Q1393" s="1" t="n"/>
      <c r="R1393" s="1" t="n"/>
      <c r="S1393" s="1" t="n"/>
      <c r="T1393" s="1" t="n"/>
      <c r="U1393" s="1" t="n"/>
      <c r="V1393" s="1" t="n"/>
      <c r="W1393" s="1" t="n"/>
      <c r="X1393" s="1" t="n"/>
      <c r="Y1393" s="1" t="n"/>
    </row>
    <row r="1394">
      <c r="A1394" s="34">
        <f>IF($H611="UNIDADE CONSTRUTIVA",OFFSET(A611,-1,0)+1,LARGE(A$3:A610,1))</f>
        <v/>
      </c>
      <c r="B1394" s="34" t="n"/>
      <c r="C1394" s="34" t="n"/>
      <c r="D1394" s="35" t="n"/>
      <c r="E1394" s="35" t="n"/>
      <c r="F1394" s="1" t="n"/>
      <c r="G1394" s="167" t="n"/>
      <c r="H1394" s="167" t="n"/>
      <c r="I1394" s="167" t="n"/>
      <c r="J1394" s="168" t="n"/>
      <c r="K1394" s="169" t="n"/>
      <c r="L1394" s="172" t="n"/>
      <c r="M1394" s="172" t="n"/>
      <c r="N1394" s="175" t="n"/>
      <c r="O1394" s="168" t="n"/>
      <c r="P1394" s="173" t="n"/>
      <c r="Q1394" s="1" t="n"/>
      <c r="R1394" s="1" t="n"/>
      <c r="S1394" s="1" t="n"/>
      <c r="T1394" s="1" t="n"/>
      <c r="U1394" s="1" t="n"/>
      <c r="V1394" s="1" t="n"/>
      <c r="W1394" s="1" t="n"/>
      <c r="X1394" s="1" t="n"/>
      <c r="Y1394" s="1" t="n"/>
    </row>
    <row r="1395">
      <c r="A1395" s="34">
        <f>IF($H612="UNIDADE CONSTRUTIVA",OFFSET(A612,-1,0)+1,LARGE(A$3:A611,1))</f>
        <v/>
      </c>
      <c r="B1395" s="34" t="n"/>
      <c r="C1395" s="34" t="n"/>
      <c r="D1395" s="35" t="n"/>
      <c r="E1395" s="35" t="n"/>
      <c r="F1395" s="1" t="n"/>
      <c r="G1395" s="167" t="n"/>
      <c r="H1395" s="167" t="n"/>
      <c r="I1395" s="167" t="n"/>
      <c r="J1395" s="168" t="n"/>
      <c r="K1395" s="169" t="n"/>
      <c r="L1395" s="172" t="n"/>
      <c r="M1395" s="172" t="n"/>
      <c r="N1395" s="175" t="n"/>
      <c r="O1395" s="168" t="n"/>
      <c r="P1395" s="173" t="n"/>
      <c r="Q1395" s="1" t="n"/>
      <c r="R1395" s="1" t="n"/>
      <c r="S1395" s="1" t="n"/>
      <c r="T1395" s="1" t="n"/>
      <c r="U1395" s="1" t="n"/>
      <c r="V1395" s="1" t="n"/>
      <c r="W1395" s="1" t="n"/>
      <c r="X1395" s="1" t="n"/>
      <c r="Y1395" s="1" t="n"/>
    </row>
    <row r="1396">
      <c r="A1396" s="34">
        <f>IF($H613="UNIDADE CONSTRUTIVA",OFFSET(A613,-1,0)+1,LARGE(A$3:A612,1))</f>
        <v/>
      </c>
      <c r="B1396" s="34" t="n"/>
      <c r="C1396" s="34" t="n"/>
      <c r="D1396" s="35" t="n"/>
      <c r="E1396" s="35" t="n"/>
      <c r="F1396" s="1" t="n"/>
      <c r="G1396" s="167" t="n"/>
      <c r="H1396" s="167" t="n"/>
      <c r="I1396" s="167" t="n"/>
      <c r="J1396" s="168" t="n"/>
      <c r="K1396" s="169" t="n"/>
      <c r="L1396" s="172" t="n"/>
      <c r="M1396" s="172" t="n"/>
      <c r="N1396" s="175" t="n"/>
      <c r="O1396" s="168" t="n"/>
      <c r="P1396" s="173" t="n"/>
      <c r="Q1396" s="1" t="n"/>
      <c r="R1396" s="1" t="n"/>
      <c r="S1396" s="1" t="n"/>
      <c r="T1396" s="1" t="n"/>
      <c r="U1396" s="1" t="n"/>
      <c r="V1396" s="1" t="n"/>
      <c r="W1396" s="1" t="n"/>
      <c r="X1396" s="1" t="n"/>
      <c r="Y1396" s="1" t="n"/>
    </row>
    <row r="1397">
      <c r="A1397" s="34">
        <f>IF($H614="UNIDADE CONSTRUTIVA",OFFSET(A614,-1,0)+1,LARGE(A$3:A613,1))</f>
        <v/>
      </c>
      <c r="B1397" s="34" t="n"/>
      <c r="C1397" s="34" t="n"/>
      <c r="D1397" s="35" t="n"/>
      <c r="E1397" s="35" t="n"/>
      <c r="F1397" s="1" t="n"/>
      <c r="G1397" s="167" t="n"/>
      <c r="H1397" s="167" t="n"/>
      <c r="I1397" s="167" t="n"/>
      <c r="J1397" s="168" t="n"/>
      <c r="K1397" s="169" t="n"/>
      <c r="L1397" s="172" t="n"/>
      <c r="M1397" s="172" t="n"/>
      <c r="N1397" s="175" t="n"/>
      <c r="O1397" s="168" t="n"/>
      <c r="P1397" s="173" t="n"/>
      <c r="Q1397" s="1" t="n"/>
      <c r="R1397" s="1" t="n"/>
      <c r="S1397" s="1" t="n"/>
      <c r="T1397" s="1" t="n"/>
      <c r="U1397" s="1" t="n"/>
      <c r="V1397" s="1" t="n"/>
      <c r="W1397" s="1" t="n"/>
      <c r="X1397" s="1" t="n"/>
      <c r="Y1397" s="1" t="n"/>
    </row>
    <row r="1398">
      <c r="A1398" s="34">
        <f>IF($H615="UNIDADE CONSTRUTIVA",OFFSET(A615,-1,0)+1,LARGE(A$3:A614,1))</f>
        <v/>
      </c>
      <c r="B1398" s="34" t="n"/>
      <c r="C1398" s="34" t="n"/>
      <c r="D1398" s="35" t="n"/>
      <c r="E1398" s="35" t="n"/>
      <c r="F1398" s="1" t="n"/>
      <c r="G1398" s="167" t="n"/>
      <c r="H1398" s="167" t="n"/>
      <c r="I1398" s="167" t="n"/>
      <c r="J1398" s="168" t="n"/>
      <c r="K1398" s="169" t="n"/>
      <c r="L1398" s="172" t="n"/>
      <c r="M1398" s="172" t="n"/>
      <c r="N1398" s="175" t="n"/>
      <c r="O1398" s="168" t="n"/>
      <c r="P1398" s="173" t="n"/>
      <c r="Q1398" s="1" t="n"/>
      <c r="R1398" s="1" t="n"/>
      <c r="S1398" s="1" t="n"/>
      <c r="T1398" s="1" t="n"/>
      <c r="U1398" s="1" t="n"/>
      <c r="V1398" s="1" t="n"/>
      <c r="W1398" s="1" t="n"/>
      <c r="X1398" s="1" t="n"/>
      <c r="Y1398" s="1" t="n"/>
    </row>
    <row r="1399">
      <c r="A1399" s="34">
        <f>IF($H616="UNIDADE CONSTRUTIVA",OFFSET(A616,-1,0)+1,LARGE(A$3:A615,1))</f>
        <v/>
      </c>
      <c r="B1399" s="34" t="n"/>
      <c r="C1399" s="34" t="n"/>
      <c r="D1399" s="35" t="n"/>
      <c r="E1399" s="35" t="n"/>
      <c r="F1399" s="1" t="n"/>
      <c r="G1399" s="167" t="n"/>
      <c r="H1399" s="167" t="n"/>
      <c r="I1399" s="167" t="n"/>
      <c r="J1399" s="168" t="n"/>
      <c r="K1399" s="169" t="n"/>
      <c r="L1399" s="172" t="n"/>
      <c r="M1399" s="172" t="n"/>
      <c r="N1399" s="175" t="n"/>
      <c r="O1399" s="168" t="n"/>
      <c r="P1399" s="173" t="n"/>
      <c r="Q1399" s="1" t="n"/>
      <c r="R1399" s="1" t="n"/>
      <c r="S1399" s="1" t="n"/>
      <c r="T1399" s="1" t="n"/>
      <c r="U1399" s="1" t="n"/>
      <c r="V1399" s="1" t="n"/>
      <c r="W1399" s="1" t="n"/>
      <c r="X1399" s="1" t="n"/>
      <c r="Y1399" s="1" t="n"/>
    </row>
    <row r="1400">
      <c r="A1400" s="34">
        <f>IF($H617="UNIDADE CONSTRUTIVA",OFFSET(A617,-1,0)+1,LARGE(A$3:A616,1))</f>
        <v/>
      </c>
      <c r="B1400" s="34" t="n"/>
      <c r="C1400" s="34" t="n"/>
      <c r="D1400" s="35" t="n"/>
      <c r="E1400" s="35" t="n"/>
      <c r="F1400" s="1" t="n"/>
      <c r="G1400" s="167" t="n"/>
      <c r="H1400" s="167" t="n"/>
      <c r="I1400" s="167" t="n"/>
      <c r="J1400" s="168" t="n"/>
      <c r="K1400" s="169" t="n"/>
      <c r="L1400" s="172" t="n"/>
      <c r="M1400" s="172" t="n"/>
      <c r="N1400" s="175" t="n"/>
      <c r="O1400" s="168" t="n"/>
      <c r="P1400" s="173" t="n"/>
      <c r="Q1400" s="1" t="n"/>
      <c r="R1400" s="1" t="n"/>
      <c r="S1400" s="1" t="n"/>
      <c r="T1400" s="1" t="n"/>
      <c r="U1400" s="1" t="n"/>
      <c r="V1400" s="1" t="n"/>
      <c r="W1400" s="1" t="n"/>
      <c r="X1400" s="1" t="n"/>
      <c r="Y1400" s="1" t="n"/>
    </row>
    <row r="1401">
      <c r="A1401" s="34">
        <f>IF($H618="UNIDADE CONSTRUTIVA",OFFSET(A618,-1,0)+1,LARGE(A$3:A617,1))</f>
        <v/>
      </c>
      <c r="B1401" s="34" t="n"/>
      <c r="C1401" s="34" t="n"/>
      <c r="D1401" s="35" t="n"/>
      <c r="E1401" s="35" t="n"/>
      <c r="F1401" s="1" t="n"/>
      <c r="G1401" s="167" t="n"/>
      <c r="H1401" s="167" t="n"/>
      <c r="I1401" s="167" t="n"/>
      <c r="J1401" s="168" t="n"/>
      <c r="K1401" s="169" t="n"/>
      <c r="L1401" s="172" t="n"/>
      <c r="M1401" s="172" t="n"/>
      <c r="N1401" s="175" t="n"/>
      <c r="O1401" s="168" t="n"/>
      <c r="P1401" s="173" t="n"/>
      <c r="Q1401" s="1" t="n"/>
      <c r="R1401" s="1" t="n"/>
      <c r="S1401" s="1" t="n"/>
      <c r="T1401" s="1" t="n"/>
      <c r="U1401" s="1" t="n"/>
      <c r="V1401" s="1" t="n"/>
      <c r="W1401" s="1" t="n"/>
      <c r="X1401" s="1" t="n"/>
      <c r="Y1401" s="1" t="n"/>
    </row>
    <row r="1402">
      <c r="A1402" s="34">
        <f>IF($H619="UNIDADE CONSTRUTIVA",OFFSET(A619,-1,0)+1,LARGE(A$3:A618,1))</f>
        <v/>
      </c>
      <c r="B1402" s="34" t="n"/>
      <c r="C1402" s="34" t="n"/>
      <c r="D1402" s="35" t="n"/>
      <c r="E1402" s="35" t="n"/>
      <c r="F1402" s="1" t="n"/>
      <c r="G1402" s="167" t="n"/>
      <c r="H1402" s="167" t="n"/>
      <c r="I1402" s="167" t="n"/>
      <c r="J1402" s="168" t="n"/>
      <c r="K1402" s="169" t="n"/>
      <c r="L1402" s="172" t="n"/>
      <c r="M1402" s="172" t="n"/>
      <c r="N1402" s="175" t="n"/>
      <c r="O1402" s="168" t="n"/>
      <c r="P1402" s="173" t="n"/>
      <c r="Q1402" s="1" t="n"/>
      <c r="R1402" s="1" t="n"/>
      <c r="S1402" s="1" t="n"/>
      <c r="T1402" s="1" t="n"/>
      <c r="U1402" s="1" t="n"/>
      <c r="V1402" s="1" t="n"/>
      <c r="W1402" s="1" t="n"/>
      <c r="X1402" s="1" t="n"/>
      <c r="Y1402" s="1" t="n"/>
    </row>
    <row r="1403">
      <c r="A1403" s="34">
        <f>IF($H620="UNIDADE CONSTRUTIVA",OFFSET(A620,-1,0)+1,LARGE(A$3:A619,1))</f>
        <v/>
      </c>
      <c r="B1403" s="34" t="n"/>
      <c r="C1403" s="34" t="n"/>
      <c r="D1403" s="35" t="n"/>
      <c r="E1403" s="35" t="n"/>
      <c r="F1403" s="1" t="n"/>
      <c r="G1403" s="167" t="n"/>
      <c r="H1403" s="167" t="n"/>
      <c r="I1403" s="167" t="n"/>
      <c r="J1403" s="168" t="n"/>
      <c r="K1403" s="169" t="n"/>
      <c r="L1403" s="172" t="n"/>
      <c r="M1403" s="172" t="n"/>
      <c r="N1403" s="175" t="n"/>
      <c r="O1403" s="168" t="n"/>
      <c r="P1403" s="173" t="n"/>
      <c r="Q1403" s="1" t="n"/>
      <c r="R1403" s="1" t="n"/>
      <c r="S1403" s="1" t="n"/>
      <c r="T1403" s="1" t="n"/>
      <c r="U1403" s="1" t="n"/>
      <c r="V1403" s="1" t="n"/>
      <c r="W1403" s="1" t="n"/>
      <c r="X1403" s="1" t="n"/>
      <c r="Y1403" s="1" t="n"/>
    </row>
    <row r="1404">
      <c r="A1404" s="34">
        <f>IF($H621="UNIDADE CONSTRUTIVA",OFFSET(A621,-1,0)+1,LARGE(A$3:A620,1))</f>
        <v/>
      </c>
      <c r="B1404" s="34" t="n"/>
      <c r="C1404" s="34" t="n"/>
      <c r="D1404" s="35" t="n"/>
      <c r="E1404" s="35" t="n"/>
      <c r="F1404" s="1" t="n"/>
      <c r="G1404" s="167" t="n"/>
      <c r="H1404" s="167" t="n"/>
      <c r="I1404" s="167" t="n"/>
      <c r="J1404" s="168" t="n"/>
      <c r="K1404" s="169" t="n"/>
      <c r="L1404" s="172" t="n"/>
      <c r="M1404" s="172" t="n"/>
      <c r="N1404" s="175" t="n"/>
      <c r="O1404" s="168" t="n"/>
      <c r="P1404" s="173" t="n"/>
      <c r="Q1404" s="1" t="n"/>
      <c r="R1404" s="1" t="n"/>
      <c r="S1404" s="1" t="n"/>
      <c r="T1404" s="1" t="n"/>
      <c r="U1404" s="1" t="n"/>
      <c r="V1404" s="1" t="n"/>
      <c r="W1404" s="1" t="n"/>
      <c r="X1404" s="1" t="n"/>
      <c r="Y1404" s="1" t="n"/>
    </row>
    <row r="1405">
      <c r="A1405" s="34">
        <f>IF($H622="UNIDADE CONSTRUTIVA",OFFSET(A622,-1,0)+1,LARGE(A$3:A621,1))</f>
        <v/>
      </c>
      <c r="B1405" s="34" t="n"/>
      <c r="C1405" s="34" t="n"/>
      <c r="D1405" s="35" t="n"/>
      <c r="E1405" s="35" t="n"/>
      <c r="F1405" s="1" t="n"/>
      <c r="G1405" s="167" t="n"/>
      <c r="H1405" s="167" t="n"/>
      <c r="I1405" s="167" t="n"/>
      <c r="J1405" s="168" t="n"/>
      <c r="K1405" s="169" t="n"/>
      <c r="L1405" s="172" t="n"/>
      <c r="M1405" s="172" t="n"/>
      <c r="N1405" s="175" t="n"/>
      <c r="O1405" s="168" t="n"/>
      <c r="P1405" s="173" t="n"/>
      <c r="Q1405" s="1" t="n"/>
      <c r="R1405" s="1" t="n"/>
      <c r="S1405" s="1" t="n"/>
      <c r="T1405" s="1" t="n"/>
      <c r="U1405" s="1" t="n"/>
      <c r="V1405" s="1" t="n"/>
      <c r="W1405" s="1" t="n"/>
      <c r="X1405" s="1" t="n"/>
      <c r="Y1405" s="1" t="n"/>
    </row>
    <row r="1406">
      <c r="A1406" s="34">
        <f>IF($H623="UNIDADE CONSTRUTIVA",OFFSET(A623,-1,0)+1,LARGE(A$3:A622,1))</f>
        <v/>
      </c>
      <c r="B1406" s="34" t="n"/>
      <c r="C1406" s="34" t="n"/>
      <c r="D1406" s="35" t="n"/>
      <c r="E1406" s="35" t="n"/>
      <c r="F1406" s="1" t="n"/>
      <c r="G1406" s="167" t="n"/>
      <c r="H1406" s="167" t="n"/>
      <c r="I1406" s="167" t="n"/>
      <c r="J1406" s="168" t="n"/>
      <c r="K1406" s="169" t="n"/>
      <c r="L1406" s="172" t="n"/>
      <c r="M1406" s="172" t="n"/>
      <c r="N1406" s="175" t="n"/>
      <c r="O1406" s="168" t="n"/>
      <c r="P1406" s="173" t="n"/>
      <c r="Q1406" s="1" t="n"/>
      <c r="R1406" s="1" t="n"/>
      <c r="S1406" s="1" t="n"/>
      <c r="T1406" s="1" t="n"/>
      <c r="U1406" s="1" t="n"/>
      <c r="V1406" s="1" t="n"/>
      <c r="W1406" s="1" t="n"/>
      <c r="X1406" s="1" t="n"/>
      <c r="Y1406" s="1" t="n"/>
    </row>
    <row r="1407">
      <c r="A1407" s="34">
        <f>IF($H624="UNIDADE CONSTRUTIVA",OFFSET(A624,-1,0)+1,LARGE(A$3:A623,1))</f>
        <v/>
      </c>
      <c r="B1407" s="34" t="n"/>
      <c r="C1407" s="34" t="n"/>
      <c r="D1407" s="35" t="n"/>
      <c r="E1407" s="35" t="n"/>
      <c r="F1407" s="1" t="n"/>
      <c r="G1407" s="167" t="n"/>
      <c r="H1407" s="167" t="n"/>
      <c r="I1407" s="167" t="n"/>
      <c r="J1407" s="168" t="n"/>
      <c r="K1407" s="169" t="n"/>
      <c r="L1407" s="172" t="n"/>
      <c r="M1407" s="172" t="n"/>
      <c r="N1407" s="175" t="n"/>
      <c r="O1407" s="168" t="n"/>
      <c r="P1407" s="173" t="n"/>
      <c r="Q1407" s="1" t="n"/>
      <c r="R1407" s="1" t="n"/>
      <c r="S1407" s="1" t="n"/>
      <c r="T1407" s="1" t="n"/>
      <c r="U1407" s="1" t="n"/>
      <c r="V1407" s="1" t="n"/>
      <c r="W1407" s="1" t="n"/>
      <c r="X1407" s="1" t="n"/>
      <c r="Y1407" s="1" t="n"/>
    </row>
    <row r="1408">
      <c r="A1408" s="34">
        <f>IF($H625="UNIDADE CONSTRUTIVA",OFFSET(A625,-1,0)+1,LARGE(A$3:A624,1))</f>
        <v/>
      </c>
      <c r="B1408" s="34" t="n"/>
      <c r="C1408" s="34" t="n"/>
      <c r="D1408" s="35" t="n"/>
      <c r="E1408" s="35" t="n"/>
      <c r="F1408" s="1" t="n"/>
      <c r="G1408" s="167" t="n"/>
      <c r="H1408" s="167" t="n"/>
      <c r="I1408" s="167" t="n"/>
      <c r="J1408" s="168" t="n"/>
      <c r="K1408" s="169" t="n"/>
      <c r="L1408" s="172" t="n"/>
      <c r="M1408" s="172" t="n"/>
      <c r="N1408" s="175" t="n"/>
      <c r="O1408" s="168" t="n"/>
      <c r="P1408" s="173" t="n"/>
      <c r="Q1408" s="1" t="n"/>
      <c r="R1408" s="1" t="n"/>
      <c r="S1408" s="1" t="n"/>
      <c r="T1408" s="1" t="n"/>
      <c r="U1408" s="1" t="n"/>
      <c r="V1408" s="1" t="n"/>
      <c r="W1408" s="1" t="n"/>
      <c r="X1408" s="1" t="n"/>
      <c r="Y1408" s="1" t="n"/>
    </row>
    <row r="1409">
      <c r="A1409" s="34">
        <f>IF($H626="UNIDADE CONSTRUTIVA",OFFSET(A626,-1,0)+1,LARGE(A$3:A625,1))</f>
        <v/>
      </c>
      <c r="B1409" s="34" t="n"/>
      <c r="C1409" s="34" t="n"/>
      <c r="D1409" s="35" t="n"/>
      <c r="E1409" s="35" t="n"/>
      <c r="F1409" s="1" t="n"/>
      <c r="G1409" s="167" t="n"/>
      <c r="H1409" s="167" t="n"/>
      <c r="I1409" s="167" t="n"/>
      <c r="J1409" s="168" t="n"/>
      <c r="K1409" s="169" t="n"/>
      <c r="L1409" s="172" t="n"/>
      <c r="M1409" s="172" t="n"/>
      <c r="N1409" s="175" t="n"/>
      <c r="O1409" s="168" t="n"/>
      <c r="P1409" s="173" t="n"/>
      <c r="Q1409" s="1" t="n"/>
      <c r="R1409" s="1" t="n"/>
      <c r="S1409" s="1" t="n"/>
      <c r="T1409" s="1" t="n"/>
      <c r="U1409" s="1" t="n"/>
      <c r="V1409" s="1" t="n"/>
      <c r="W1409" s="1" t="n"/>
      <c r="X1409" s="1" t="n"/>
      <c r="Y1409" s="1" t="n"/>
    </row>
    <row r="1410">
      <c r="A1410" s="34">
        <f>IF($H627="UNIDADE CONSTRUTIVA",OFFSET(A627,-1,0)+1,LARGE(A$3:A626,1))</f>
        <v/>
      </c>
      <c r="B1410" s="34" t="n"/>
      <c r="C1410" s="34" t="n"/>
      <c r="D1410" s="35" t="n"/>
      <c r="E1410" s="35" t="n"/>
      <c r="F1410" s="1" t="n"/>
      <c r="G1410" s="167" t="n"/>
      <c r="H1410" s="167" t="n"/>
      <c r="I1410" s="167" t="n"/>
      <c r="J1410" s="168" t="n"/>
      <c r="K1410" s="169" t="n"/>
      <c r="L1410" s="172" t="n"/>
      <c r="M1410" s="172" t="n"/>
      <c r="N1410" s="175" t="n"/>
      <c r="O1410" s="168" t="n"/>
      <c r="P1410" s="173" t="n"/>
      <c r="Q1410" s="1" t="n"/>
      <c r="R1410" s="1" t="n"/>
      <c r="S1410" s="1" t="n"/>
      <c r="T1410" s="1" t="n"/>
      <c r="U1410" s="1" t="n"/>
      <c r="V1410" s="1" t="n"/>
      <c r="W1410" s="1" t="n"/>
      <c r="X1410" s="1" t="n"/>
      <c r="Y1410" s="1" t="n"/>
    </row>
    <row r="1411">
      <c r="A1411" s="34">
        <f>IF($H628="UNIDADE CONSTRUTIVA",OFFSET(A628,-1,0)+1,LARGE(A$3:A627,1))</f>
        <v/>
      </c>
      <c r="B1411" s="34" t="n"/>
      <c r="C1411" s="34" t="n"/>
      <c r="D1411" s="35" t="n"/>
      <c r="E1411" s="35" t="n"/>
      <c r="F1411" s="1" t="n"/>
      <c r="G1411" s="167" t="n"/>
      <c r="H1411" s="167" t="n"/>
      <c r="I1411" s="167" t="n"/>
      <c r="J1411" s="168" t="n"/>
      <c r="K1411" s="169" t="n"/>
      <c r="L1411" s="172" t="n"/>
      <c r="M1411" s="172" t="n"/>
      <c r="N1411" s="175" t="n"/>
      <c r="O1411" s="168" t="n"/>
      <c r="P1411" s="173" t="n"/>
      <c r="Q1411" s="1" t="n"/>
      <c r="R1411" s="1" t="n"/>
      <c r="S1411" s="1" t="n"/>
      <c r="T1411" s="1" t="n"/>
      <c r="U1411" s="1" t="n"/>
      <c r="V1411" s="1" t="n"/>
      <c r="W1411" s="1" t="n"/>
      <c r="X1411" s="1" t="n"/>
      <c r="Y1411" s="1" t="n"/>
    </row>
    <row r="1412">
      <c r="A1412" s="34">
        <f>IF($H629="UNIDADE CONSTRUTIVA",OFFSET(A629,-1,0)+1,LARGE(A$3:A628,1))</f>
        <v/>
      </c>
      <c r="B1412" s="34" t="n"/>
      <c r="C1412" s="34" t="n"/>
      <c r="D1412" s="35" t="n"/>
      <c r="E1412" s="35" t="n"/>
      <c r="F1412" s="1" t="n"/>
      <c r="G1412" s="167" t="n"/>
      <c r="H1412" s="167" t="n"/>
      <c r="I1412" s="167" t="n"/>
      <c r="J1412" s="168" t="n"/>
      <c r="K1412" s="169" t="n"/>
      <c r="L1412" s="172" t="n"/>
      <c r="M1412" s="172" t="n"/>
      <c r="N1412" s="175" t="n"/>
      <c r="O1412" s="168" t="n"/>
      <c r="P1412" s="173" t="n"/>
      <c r="Q1412" s="1" t="n"/>
      <c r="R1412" s="1" t="n"/>
      <c r="S1412" s="1" t="n"/>
      <c r="T1412" s="1" t="n"/>
      <c r="U1412" s="1" t="n"/>
      <c r="V1412" s="1" t="n"/>
      <c r="W1412" s="1" t="n"/>
      <c r="X1412" s="1" t="n"/>
      <c r="Y1412" s="1" t="n"/>
    </row>
    <row r="1413">
      <c r="A1413" s="34">
        <f>IF($H630="UNIDADE CONSTRUTIVA",OFFSET(A630,-1,0)+1,LARGE(A$3:A629,1))</f>
        <v/>
      </c>
      <c r="B1413" s="34" t="n"/>
      <c r="C1413" s="34" t="n"/>
      <c r="D1413" s="35" t="n"/>
      <c r="E1413" s="35" t="n"/>
      <c r="F1413" s="1" t="n"/>
      <c r="G1413" s="167" t="n"/>
      <c r="H1413" s="167" t="n"/>
      <c r="I1413" s="167" t="n"/>
      <c r="J1413" s="168" t="n"/>
      <c r="K1413" s="169" t="n"/>
      <c r="L1413" s="172" t="n"/>
      <c r="M1413" s="172" t="n"/>
      <c r="N1413" s="175" t="n"/>
      <c r="O1413" s="168" t="n"/>
      <c r="P1413" s="173" t="n"/>
      <c r="Q1413" s="1" t="n"/>
      <c r="R1413" s="1" t="n"/>
      <c r="S1413" s="1" t="n"/>
      <c r="T1413" s="1" t="n"/>
      <c r="U1413" s="1" t="n"/>
      <c r="V1413" s="1" t="n"/>
      <c r="W1413" s="1" t="n"/>
      <c r="X1413" s="1" t="n"/>
      <c r="Y1413" s="1" t="n"/>
    </row>
    <row r="1414">
      <c r="A1414" s="34">
        <f>IF($H631="UNIDADE CONSTRUTIVA",OFFSET(A631,-1,0)+1,LARGE(A$3:A630,1))</f>
        <v/>
      </c>
      <c r="B1414" s="34" t="n"/>
      <c r="C1414" s="34" t="n"/>
      <c r="D1414" s="35" t="n"/>
      <c r="E1414" s="35" t="n"/>
      <c r="F1414" s="1" t="n"/>
      <c r="G1414" s="167" t="n"/>
      <c r="H1414" s="167" t="n"/>
      <c r="I1414" s="167" t="n"/>
      <c r="J1414" s="168" t="n"/>
      <c r="K1414" s="169" t="n"/>
      <c r="L1414" s="172" t="n"/>
      <c r="M1414" s="172" t="n"/>
      <c r="N1414" s="175" t="n"/>
      <c r="O1414" s="168" t="n"/>
      <c r="P1414" s="173" t="n"/>
      <c r="Q1414" s="1" t="n"/>
      <c r="R1414" s="1" t="n"/>
      <c r="S1414" s="1" t="n"/>
      <c r="T1414" s="1" t="n"/>
      <c r="U1414" s="1" t="n"/>
      <c r="V1414" s="1" t="n"/>
      <c r="W1414" s="1" t="n"/>
      <c r="X1414" s="1" t="n"/>
      <c r="Y1414" s="1" t="n"/>
    </row>
    <row r="1415">
      <c r="A1415" s="34">
        <f>IF($H632="UNIDADE CONSTRUTIVA",OFFSET(A632,-1,0)+1,LARGE(A$3:A631,1))</f>
        <v/>
      </c>
      <c r="B1415" s="34" t="n"/>
      <c r="C1415" s="34" t="n"/>
      <c r="D1415" s="35" t="n"/>
      <c r="E1415" s="35" t="n"/>
      <c r="F1415" s="1" t="n"/>
      <c r="G1415" s="167" t="n"/>
      <c r="H1415" s="167" t="n"/>
      <c r="I1415" s="167" t="n"/>
      <c r="J1415" s="168" t="n"/>
      <c r="K1415" s="169" t="n"/>
      <c r="L1415" s="172" t="n"/>
      <c r="M1415" s="172" t="n"/>
      <c r="N1415" s="175" t="n"/>
      <c r="O1415" s="168" t="n"/>
      <c r="P1415" s="173" t="n"/>
      <c r="Q1415" s="1" t="n"/>
      <c r="R1415" s="1" t="n"/>
      <c r="S1415" s="1" t="n"/>
      <c r="T1415" s="1" t="n"/>
      <c r="U1415" s="1" t="n"/>
      <c r="V1415" s="1" t="n"/>
      <c r="W1415" s="1" t="n"/>
      <c r="X1415" s="1" t="n"/>
      <c r="Y1415" s="1" t="n"/>
    </row>
    <row r="1416">
      <c r="A1416" s="34">
        <f>IF($H633="UNIDADE CONSTRUTIVA",OFFSET(A633,-1,0)+1,LARGE(A$3:A632,1))</f>
        <v/>
      </c>
      <c r="B1416" s="34" t="n"/>
      <c r="C1416" s="34" t="n"/>
      <c r="D1416" s="35" t="n"/>
      <c r="E1416" s="35" t="n"/>
      <c r="F1416" s="1" t="n"/>
      <c r="G1416" s="167" t="n"/>
      <c r="H1416" s="167" t="n"/>
      <c r="I1416" s="167" t="n"/>
      <c r="J1416" s="168" t="n"/>
      <c r="K1416" s="169" t="n"/>
      <c r="L1416" s="172" t="n"/>
      <c r="M1416" s="172" t="n"/>
      <c r="N1416" s="175" t="n"/>
      <c r="O1416" s="168" t="n"/>
      <c r="P1416" s="173" t="n"/>
      <c r="Q1416" s="1" t="n"/>
      <c r="R1416" s="1" t="n"/>
      <c r="S1416" s="1" t="n"/>
      <c r="T1416" s="1" t="n"/>
      <c r="U1416" s="1" t="n"/>
      <c r="V1416" s="1" t="n"/>
      <c r="W1416" s="1" t="n"/>
      <c r="X1416" s="1" t="n"/>
      <c r="Y1416" s="1" t="n"/>
    </row>
    <row r="1417">
      <c r="A1417" s="34">
        <f>IF($H634="UNIDADE CONSTRUTIVA",OFFSET(A634,-1,0)+1,LARGE(A$3:A633,1))</f>
        <v/>
      </c>
      <c r="B1417" s="34" t="n"/>
      <c r="C1417" s="34" t="n"/>
      <c r="D1417" s="35" t="n"/>
      <c r="E1417" s="35" t="n"/>
      <c r="F1417" s="1" t="n"/>
      <c r="G1417" s="167" t="n"/>
      <c r="H1417" s="167" t="n"/>
      <c r="I1417" s="167" t="n"/>
      <c r="J1417" s="168" t="n"/>
      <c r="K1417" s="169" t="n"/>
      <c r="L1417" s="172" t="n"/>
      <c r="M1417" s="172" t="n"/>
      <c r="N1417" s="175" t="n"/>
      <c r="O1417" s="168" t="n"/>
      <c r="P1417" s="173" t="n"/>
      <c r="Q1417" s="1" t="n"/>
      <c r="R1417" s="1" t="n"/>
      <c r="S1417" s="1" t="n"/>
      <c r="T1417" s="1" t="n"/>
      <c r="U1417" s="1" t="n"/>
      <c r="V1417" s="1" t="n"/>
      <c r="W1417" s="1" t="n"/>
      <c r="X1417" s="1" t="n"/>
      <c r="Y1417" s="1" t="n"/>
    </row>
    <row r="1418">
      <c r="A1418" s="34">
        <f>IF($H635="UNIDADE CONSTRUTIVA",OFFSET(A635,-1,0)+1,LARGE(A$3:A634,1))</f>
        <v/>
      </c>
      <c r="B1418" s="34" t="n"/>
      <c r="C1418" s="34" t="n"/>
      <c r="D1418" s="35" t="n"/>
      <c r="E1418" s="35" t="n"/>
      <c r="F1418" s="1" t="n"/>
      <c r="G1418" s="167" t="n"/>
      <c r="H1418" s="167" t="n"/>
      <c r="I1418" s="167" t="n"/>
      <c r="J1418" s="168" t="n"/>
      <c r="K1418" s="169" t="n"/>
      <c r="L1418" s="172" t="n"/>
      <c r="M1418" s="172" t="n"/>
      <c r="N1418" s="175" t="n"/>
      <c r="O1418" s="168" t="n"/>
      <c r="P1418" s="173" t="n"/>
      <c r="Q1418" s="1" t="n"/>
      <c r="R1418" s="1" t="n"/>
      <c r="S1418" s="1" t="n"/>
      <c r="T1418" s="1" t="n"/>
      <c r="U1418" s="1" t="n"/>
      <c r="V1418" s="1" t="n"/>
      <c r="W1418" s="1" t="n"/>
      <c r="X1418" s="1" t="n"/>
      <c r="Y1418" s="1" t="n"/>
    </row>
    <row r="1419">
      <c r="A1419" s="34">
        <f>IF($H636="UNIDADE CONSTRUTIVA",OFFSET(A636,-1,0)+1,LARGE(A$3:A635,1))</f>
        <v/>
      </c>
      <c r="B1419" s="34" t="n"/>
      <c r="C1419" s="34" t="n"/>
      <c r="D1419" s="35" t="n"/>
      <c r="E1419" s="35" t="n"/>
      <c r="F1419" s="1" t="n"/>
      <c r="G1419" s="167" t="n"/>
      <c r="H1419" s="167" t="n"/>
      <c r="I1419" s="167" t="n"/>
      <c r="J1419" s="168" t="n"/>
      <c r="K1419" s="169" t="n"/>
      <c r="L1419" s="172" t="n"/>
      <c r="M1419" s="172" t="n"/>
      <c r="N1419" s="175" t="n"/>
      <c r="O1419" s="168" t="n"/>
      <c r="P1419" s="173" t="n"/>
      <c r="Q1419" s="1" t="n"/>
      <c r="R1419" s="1" t="n"/>
      <c r="S1419" s="1" t="n"/>
      <c r="T1419" s="1" t="n"/>
      <c r="U1419" s="1" t="n"/>
      <c r="V1419" s="1" t="n"/>
      <c r="W1419" s="1" t="n"/>
      <c r="X1419" s="1" t="n"/>
      <c r="Y1419" s="1" t="n"/>
    </row>
    <row r="1420">
      <c r="A1420" s="34">
        <f>IF($H637="UNIDADE CONSTRUTIVA",OFFSET(A637,-1,0)+1,LARGE(A$3:A636,1))</f>
        <v/>
      </c>
      <c r="B1420" s="34" t="n"/>
      <c r="C1420" s="34" t="n"/>
      <c r="D1420" s="35" t="n"/>
      <c r="E1420" s="35" t="n"/>
      <c r="F1420" s="1" t="n"/>
      <c r="G1420" s="167" t="n"/>
      <c r="H1420" s="167" t="n"/>
      <c r="I1420" s="167" t="n"/>
      <c r="J1420" s="168" t="n"/>
      <c r="K1420" s="169" t="n"/>
      <c r="L1420" s="172" t="n"/>
      <c r="M1420" s="172" t="n"/>
      <c r="N1420" s="175" t="n"/>
      <c r="O1420" s="168" t="n"/>
      <c r="P1420" s="173" t="n"/>
      <c r="Q1420" s="1" t="n"/>
      <c r="R1420" s="1" t="n"/>
      <c r="S1420" s="1" t="n"/>
      <c r="T1420" s="1" t="n"/>
      <c r="U1420" s="1" t="n"/>
      <c r="V1420" s="1" t="n"/>
      <c r="W1420" s="1" t="n"/>
      <c r="X1420" s="1" t="n"/>
      <c r="Y1420" s="1" t="n"/>
    </row>
    <row r="1421">
      <c r="A1421" s="34">
        <f>IF($H638="UNIDADE CONSTRUTIVA",OFFSET(A638,-1,0)+1,LARGE(A$3:A637,1))</f>
        <v/>
      </c>
      <c r="B1421" s="34" t="n"/>
      <c r="C1421" s="34" t="n"/>
      <c r="D1421" s="35" t="n"/>
      <c r="E1421" s="35" t="n"/>
      <c r="F1421" s="1" t="n"/>
      <c r="G1421" s="167" t="n"/>
      <c r="H1421" s="167" t="n"/>
      <c r="I1421" s="167" t="n"/>
      <c r="J1421" s="168" t="n"/>
      <c r="K1421" s="169" t="n"/>
      <c r="L1421" s="172" t="n"/>
      <c r="M1421" s="172" t="n"/>
      <c r="N1421" s="175" t="n"/>
      <c r="O1421" s="168" t="n"/>
      <c r="P1421" s="173" t="n"/>
      <c r="Q1421" s="1" t="n"/>
      <c r="R1421" s="1" t="n"/>
      <c r="S1421" s="1" t="n"/>
      <c r="T1421" s="1" t="n"/>
      <c r="U1421" s="1" t="n"/>
      <c r="V1421" s="1" t="n"/>
      <c r="W1421" s="1" t="n"/>
      <c r="X1421" s="1" t="n"/>
      <c r="Y1421" s="1" t="n"/>
    </row>
    <row r="1422">
      <c r="A1422" s="34">
        <f>IF($H639="UNIDADE CONSTRUTIVA",OFFSET(A639,-1,0)+1,LARGE(A$3:A638,1))</f>
        <v/>
      </c>
      <c r="B1422" s="34" t="n"/>
      <c r="C1422" s="34" t="n"/>
      <c r="D1422" s="35" t="n"/>
      <c r="E1422" s="35" t="n"/>
      <c r="F1422" s="1" t="n"/>
      <c r="G1422" s="167" t="n"/>
      <c r="H1422" s="167" t="n"/>
      <c r="I1422" s="167" t="n"/>
      <c r="J1422" s="168" t="n"/>
      <c r="K1422" s="169" t="n"/>
      <c r="L1422" s="172" t="n"/>
      <c r="M1422" s="172" t="n"/>
      <c r="N1422" s="175" t="n"/>
      <c r="O1422" s="168" t="n"/>
      <c r="P1422" s="173" t="n"/>
      <c r="Q1422" s="1" t="n"/>
      <c r="R1422" s="1" t="n"/>
      <c r="S1422" s="1" t="n"/>
      <c r="T1422" s="1" t="n"/>
      <c r="U1422" s="1" t="n"/>
      <c r="V1422" s="1" t="n"/>
      <c r="W1422" s="1" t="n"/>
      <c r="X1422" s="1" t="n"/>
      <c r="Y1422" s="1" t="n"/>
    </row>
    <row r="1423">
      <c r="A1423" s="34">
        <f>IF($H640="UNIDADE CONSTRUTIVA",OFFSET(A640,-1,0)+1,LARGE(A$3:A639,1))</f>
        <v/>
      </c>
      <c r="B1423" s="34" t="n"/>
      <c r="C1423" s="34" t="n"/>
      <c r="D1423" s="35" t="n"/>
      <c r="E1423" s="35" t="n"/>
      <c r="F1423" s="1" t="n"/>
      <c r="G1423" s="167" t="n"/>
      <c r="H1423" s="167" t="n"/>
      <c r="I1423" s="167" t="n"/>
      <c r="J1423" s="168" t="n"/>
      <c r="K1423" s="169" t="n"/>
      <c r="L1423" s="172" t="n"/>
      <c r="M1423" s="172" t="n"/>
      <c r="N1423" s="175" t="n"/>
      <c r="O1423" s="168" t="n"/>
      <c r="P1423" s="173" t="n"/>
      <c r="Q1423" s="1" t="n"/>
      <c r="R1423" s="1" t="n"/>
      <c r="S1423" s="1" t="n"/>
      <c r="T1423" s="1" t="n"/>
      <c r="U1423" s="1" t="n"/>
      <c r="V1423" s="1" t="n"/>
      <c r="W1423" s="1" t="n"/>
      <c r="X1423" s="1" t="n"/>
      <c r="Y1423" s="1" t="n"/>
    </row>
    <row r="1424">
      <c r="A1424" s="34">
        <f>IF($H641="UNIDADE CONSTRUTIVA",OFFSET(A641,-1,0)+1,LARGE(A$3:A640,1))</f>
        <v/>
      </c>
      <c r="B1424" s="34" t="n"/>
      <c r="C1424" s="34" t="n"/>
      <c r="D1424" s="35" t="n"/>
      <c r="E1424" s="35" t="n"/>
      <c r="F1424" s="1" t="n"/>
      <c r="G1424" s="167" t="n"/>
      <c r="H1424" s="167" t="n"/>
      <c r="I1424" s="167" t="n"/>
      <c r="J1424" s="168" t="n"/>
      <c r="K1424" s="169" t="n"/>
      <c r="L1424" s="172" t="n"/>
      <c r="M1424" s="172" t="n"/>
      <c r="N1424" s="175" t="n"/>
      <c r="O1424" s="168" t="n"/>
      <c r="P1424" s="173" t="n"/>
      <c r="Q1424" s="1" t="n"/>
      <c r="R1424" s="1" t="n"/>
      <c r="S1424" s="1" t="n"/>
      <c r="T1424" s="1" t="n"/>
      <c r="U1424" s="1" t="n"/>
      <c r="V1424" s="1" t="n"/>
      <c r="W1424" s="1" t="n"/>
      <c r="X1424" s="1" t="n"/>
      <c r="Y1424" s="1" t="n"/>
    </row>
    <row r="1425">
      <c r="A1425" s="34">
        <f>IF($H642="UNIDADE CONSTRUTIVA",OFFSET(A642,-1,0)+1,LARGE(A$3:A641,1))</f>
        <v/>
      </c>
      <c r="B1425" s="34" t="n"/>
      <c r="C1425" s="34" t="n"/>
      <c r="D1425" s="35" t="n"/>
      <c r="E1425" s="35" t="n"/>
      <c r="F1425" s="1" t="n"/>
      <c r="G1425" s="167" t="n"/>
      <c r="H1425" s="167" t="n"/>
      <c r="I1425" s="167" t="n"/>
      <c r="J1425" s="168" t="n"/>
      <c r="K1425" s="169" t="n"/>
      <c r="L1425" s="172" t="n"/>
      <c r="M1425" s="172" t="n"/>
      <c r="N1425" s="175" t="n"/>
      <c r="O1425" s="168" t="n"/>
      <c r="P1425" s="173" t="n"/>
      <c r="Q1425" s="1" t="n"/>
      <c r="R1425" s="1" t="n"/>
      <c r="S1425" s="1" t="n"/>
      <c r="T1425" s="1" t="n"/>
      <c r="U1425" s="1" t="n"/>
      <c r="V1425" s="1" t="n"/>
      <c r="W1425" s="1" t="n"/>
      <c r="X1425" s="1" t="n"/>
      <c r="Y1425" s="1" t="n"/>
    </row>
    <row r="1426">
      <c r="A1426" s="34">
        <f>IF($H643="UNIDADE CONSTRUTIVA",OFFSET(A643,-1,0)+1,LARGE(A$3:A642,1))</f>
        <v/>
      </c>
      <c r="B1426" s="34" t="n"/>
      <c r="C1426" s="34" t="n"/>
      <c r="D1426" s="35" t="n"/>
      <c r="E1426" s="35" t="n"/>
      <c r="F1426" s="1" t="n"/>
      <c r="G1426" s="167" t="n"/>
      <c r="H1426" s="167" t="n"/>
      <c r="I1426" s="167" t="n"/>
      <c r="J1426" s="168" t="n"/>
      <c r="K1426" s="169" t="n"/>
      <c r="L1426" s="172" t="n"/>
      <c r="M1426" s="172" t="n"/>
      <c r="N1426" s="175" t="n"/>
      <c r="O1426" s="168" t="n"/>
      <c r="P1426" s="173" t="n"/>
      <c r="Q1426" s="1" t="n"/>
      <c r="R1426" s="1" t="n"/>
      <c r="S1426" s="1" t="n"/>
      <c r="T1426" s="1" t="n"/>
      <c r="U1426" s="1" t="n"/>
      <c r="V1426" s="1" t="n"/>
      <c r="W1426" s="1" t="n"/>
      <c r="X1426" s="1" t="n"/>
      <c r="Y1426" s="1" t="n"/>
    </row>
    <row r="1427">
      <c r="A1427" s="34">
        <f>IF($H644="UNIDADE CONSTRUTIVA",OFFSET(A644,-1,0)+1,LARGE(A$3:A643,1))</f>
        <v/>
      </c>
      <c r="B1427" s="34" t="n"/>
      <c r="C1427" s="34" t="n"/>
      <c r="D1427" s="35" t="n"/>
      <c r="E1427" s="35" t="n"/>
      <c r="F1427" s="1" t="n"/>
      <c r="G1427" s="167" t="n"/>
      <c r="H1427" s="167" t="n"/>
      <c r="I1427" s="167" t="n"/>
      <c r="J1427" s="168" t="n"/>
      <c r="K1427" s="169" t="n"/>
      <c r="L1427" s="172" t="n"/>
      <c r="M1427" s="172" t="n"/>
      <c r="N1427" s="175" t="n"/>
      <c r="O1427" s="168" t="n"/>
      <c r="P1427" s="173" t="n"/>
      <c r="Q1427" s="1" t="n"/>
      <c r="R1427" s="1" t="n"/>
      <c r="S1427" s="1" t="n"/>
      <c r="T1427" s="1" t="n"/>
      <c r="U1427" s="1" t="n"/>
      <c r="V1427" s="1" t="n"/>
      <c r="W1427" s="1" t="n"/>
      <c r="X1427" s="1" t="n"/>
      <c r="Y1427" s="1" t="n"/>
    </row>
    <row r="1428">
      <c r="A1428" s="34">
        <f>IF($H645="UNIDADE CONSTRUTIVA",OFFSET(A645,-1,0)+1,LARGE(A$3:A644,1))</f>
        <v/>
      </c>
      <c r="B1428" s="34" t="n"/>
      <c r="C1428" s="34" t="n"/>
      <c r="D1428" s="35" t="n"/>
      <c r="E1428" s="35" t="n"/>
      <c r="F1428" s="1" t="n"/>
      <c r="G1428" s="167" t="n"/>
      <c r="H1428" s="167" t="n"/>
      <c r="I1428" s="167" t="n"/>
      <c r="J1428" s="168" t="n"/>
      <c r="K1428" s="169" t="n"/>
      <c r="L1428" s="172" t="n"/>
      <c r="M1428" s="172" t="n"/>
      <c r="N1428" s="175" t="n"/>
      <c r="O1428" s="168" t="n"/>
      <c r="P1428" s="173" t="n"/>
      <c r="Q1428" s="1" t="n"/>
      <c r="R1428" s="1" t="n"/>
      <c r="S1428" s="1" t="n"/>
      <c r="T1428" s="1" t="n"/>
      <c r="U1428" s="1" t="n"/>
      <c r="V1428" s="1" t="n"/>
      <c r="W1428" s="1" t="n"/>
      <c r="X1428" s="1" t="n"/>
      <c r="Y1428" s="1" t="n"/>
    </row>
    <row r="1429">
      <c r="A1429" s="34">
        <f>IF($H646="UNIDADE CONSTRUTIVA",OFFSET(A646,-1,0)+1,LARGE(A$3:A645,1))</f>
        <v/>
      </c>
      <c r="B1429" s="34" t="n"/>
      <c r="C1429" s="34" t="n"/>
      <c r="D1429" s="35" t="n"/>
      <c r="E1429" s="35" t="n"/>
      <c r="F1429" s="1" t="n"/>
      <c r="G1429" s="167" t="n"/>
      <c r="H1429" s="167" t="n"/>
      <c r="I1429" s="167" t="n"/>
      <c r="J1429" s="168" t="n"/>
      <c r="K1429" s="169" t="n"/>
      <c r="L1429" s="172" t="n"/>
      <c r="M1429" s="172" t="n"/>
      <c r="N1429" s="175" t="n"/>
      <c r="O1429" s="168" t="n"/>
      <c r="P1429" s="173" t="n"/>
      <c r="Q1429" s="1" t="n"/>
      <c r="R1429" s="1" t="n"/>
      <c r="S1429" s="1" t="n"/>
      <c r="T1429" s="1" t="n"/>
      <c r="U1429" s="1" t="n"/>
      <c r="V1429" s="1" t="n"/>
      <c r="W1429" s="1" t="n"/>
      <c r="X1429" s="1" t="n"/>
      <c r="Y1429" s="1" t="n"/>
    </row>
    <row r="1430">
      <c r="A1430" s="34">
        <f>IF($H647="UNIDADE CONSTRUTIVA",OFFSET(A647,-1,0)+1,LARGE(A$3:A646,1))</f>
        <v/>
      </c>
      <c r="B1430" s="34" t="n"/>
      <c r="C1430" s="34" t="n"/>
      <c r="D1430" s="35" t="n"/>
      <c r="E1430" s="35" t="n"/>
      <c r="F1430" s="1" t="n"/>
      <c r="G1430" s="167" t="n"/>
      <c r="H1430" s="167" t="n"/>
      <c r="I1430" s="167" t="n"/>
      <c r="J1430" s="168" t="n"/>
      <c r="K1430" s="169" t="n"/>
      <c r="L1430" s="172" t="n"/>
      <c r="M1430" s="172" t="n"/>
      <c r="N1430" s="175" t="n"/>
      <c r="O1430" s="168" t="n"/>
      <c r="P1430" s="173" t="n"/>
      <c r="Q1430" s="1" t="n"/>
      <c r="R1430" s="1" t="n"/>
      <c r="S1430" s="1" t="n"/>
      <c r="T1430" s="1" t="n"/>
      <c r="U1430" s="1" t="n"/>
      <c r="V1430" s="1" t="n"/>
      <c r="W1430" s="1" t="n"/>
      <c r="X1430" s="1" t="n"/>
      <c r="Y1430" s="1" t="n"/>
    </row>
    <row r="1431">
      <c r="A1431" s="34">
        <f>IF($H648="UNIDADE CONSTRUTIVA",OFFSET(A648,-1,0)+1,LARGE(A$3:A647,1))</f>
        <v/>
      </c>
      <c r="B1431" s="34" t="n"/>
      <c r="C1431" s="34" t="n"/>
      <c r="D1431" s="35" t="n"/>
      <c r="E1431" s="35" t="n"/>
      <c r="F1431" s="1" t="n"/>
      <c r="G1431" s="167" t="n"/>
      <c r="H1431" s="167" t="n"/>
      <c r="I1431" s="167" t="n"/>
      <c r="J1431" s="168" t="n"/>
      <c r="K1431" s="169" t="n"/>
      <c r="L1431" s="172" t="n"/>
      <c r="M1431" s="172" t="n"/>
      <c r="N1431" s="175" t="n"/>
      <c r="O1431" s="168" t="n"/>
      <c r="P1431" s="173" t="n"/>
      <c r="Q1431" s="1" t="n"/>
      <c r="R1431" s="1" t="n"/>
      <c r="S1431" s="1" t="n"/>
      <c r="T1431" s="1" t="n"/>
      <c r="U1431" s="1" t="n"/>
      <c r="V1431" s="1" t="n"/>
      <c r="W1431" s="1" t="n"/>
      <c r="X1431" s="1" t="n"/>
      <c r="Y1431" s="1" t="n"/>
    </row>
    <row r="1432">
      <c r="A1432" s="34">
        <f>IF($H649="UNIDADE CONSTRUTIVA",OFFSET(A649,-1,0)+1,LARGE(A$3:A648,1))</f>
        <v/>
      </c>
      <c r="B1432" s="34" t="n"/>
      <c r="C1432" s="34" t="n"/>
      <c r="D1432" s="35" t="n"/>
      <c r="E1432" s="35" t="n"/>
      <c r="F1432" s="1" t="n"/>
      <c r="G1432" s="167" t="n"/>
      <c r="H1432" s="167" t="n"/>
      <c r="I1432" s="167" t="n"/>
      <c r="J1432" s="168" t="n"/>
      <c r="K1432" s="169" t="n"/>
      <c r="L1432" s="172" t="n"/>
      <c r="M1432" s="172" t="n"/>
      <c r="N1432" s="175" t="n"/>
      <c r="O1432" s="168" t="n"/>
      <c r="P1432" s="173" t="n"/>
      <c r="Q1432" s="1" t="n"/>
      <c r="R1432" s="1" t="n"/>
      <c r="S1432" s="1" t="n"/>
      <c r="T1432" s="1" t="n"/>
      <c r="U1432" s="1" t="n"/>
      <c r="V1432" s="1" t="n"/>
      <c r="W1432" s="1" t="n"/>
      <c r="X1432" s="1" t="n"/>
      <c r="Y1432" s="1" t="n"/>
    </row>
    <row r="1433">
      <c r="A1433" s="34">
        <f>IF($H650="UNIDADE CONSTRUTIVA",OFFSET(A650,-1,0)+1,LARGE(A$3:A649,1))</f>
        <v/>
      </c>
      <c r="B1433" s="34" t="n"/>
      <c r="C1433" s="34" t="n"/>
      <c r="D1433" s="35" t="n"/>
      <c r="E1433" s="35" t="n"/>
      <c r="F1433" s="1" t="n"/>
      <c r="G1433" s="167" t="n"/>
      <c r="H1433" s="167" t="n"/>
      <c r="I1433" s="167" t="n"/>
      <c r="J1433" s="168" t="n"/>
      <c r="K1433" s="169" t="n"/>
      <c r="L1433" s="172" t="n"/>
      <c r="M1433" s="172" t="n"/>
      <c r="N1433" s="175" t="n"/>
      <c r="O1433" s="168" t="n"/>
      <c r="P1433" s="173" t="n"/>
      <c r="Q1433" s="1" t="n"/>
      <c r="R1433" s="1" t="n"/>
      <c r="S1433" s="1" t="n"/>
      <c r="T1433" s="1" t="n"/>
      <c r="U1433" s="1" t="n"/>
      <c r="V1433" s="1" t="n"/>
      <c r="W1433" s="1" t="n"/>
      <c r="X1433" s="1" t="n"/>
      <c r="Y1433" s="1" t="n"/>
    </row>
    <row r="1434">
      <c r="A1434" s="34">
        <f>IF($H651="UNIDADE CONSTRUTIVA",OFFSET(A651,-1,0)+1,LARGE(A$3:A650,1))</f>
        <v/>
      </c>
      <c r="B1434" s="34" t="n"/>
      <c r="C1434" s="34" t="n"/>
      <c r="D1434" s="35" t="n"/>
      <c r="E1434" s="35" t="n"/>
      <c r="F1434" s="1" t="n"/>
      <c r="G1434" s="167" t="n"/>
      <c r="H1434" s="167" t="n"/>
      <c r="I1434" s="167" t="n"/>
      <c r="J1434" s="168" t="n"/>
      <c r="K1434" s="169" t="n"/>
      <c r="L1434" s="172" t="n"/>
      <c r="M1434" s="172" t="n"/>
      <c r="N1434" s="175" t="n"/>
      <c r="O1434" s="168" t="n"/>
      <c r="P1434" s="173" t="n"/>
      <c r="Q1434" s="1" t="n"/>
      <c r="R1434" s="1" t="n"/>
      <c r="S1434" s="1" t="n"/>
      <c r="T1434" s="1" t="n"/>
      <c r="U1434" s="1" t="n"/>
      <c r="V1434" s="1" t="n"/>
      <c r="W1434" s="1" t="n"/>
      <c r="X1434" s="1" t="n"/>
      <c r="Y1434" s="1" t="n"/>
    </row>
    <row r="1435">
      <c r="A1435" s="34">
        <f>IF($H652="UNIDADE CONSTRUTIVA",OFFSET(A652,-1,0)+1,LARGE(A$3:A651,1))</f>
        <v/>
      </c>
      <c r="B1435" s="34" t="n"/>
      <c r="C1435" s="34" t="n"/>
      <c r="D1435" s="35" t="n"/>
      <c r="E1435" s="35" t="n"/>
      <c r="F1435" s="1" t="n"/>
      <c r="G1435" s="167" t="n"/>
      <c r="H1435" s="167" t="n"/>
      <c r="I1435" s="167" t="n"/>
      <c r="J1435" s="168" t="n"/>
      <c r="K1435" s="169" t="n"/>
      <c r="L1435" s="172" t="n"/>
      <c r="M1435" s="172" t="n"/>
      <c r="N1435" s="175" t="n"/>
      <c r="O1435" s="168" t="n"/>
      <c r="P1435" s="173" t="n"/>
      <c r="Q1435" s="1" t="n"/>
      <c r="R1435" s="1" t="n"/>
      <c r="S1435" s="1" t="n"/>
      <c r="T1435" s="1" t="n"/>
      <c r="U1435" s="1" t="n"/>
      <c r="V1435" s="1" t="n"/>
      <c r="W1435" s="1" t="n"/>
      <c r="X1435" s="1" t="n"/>
      <c r="Y1435" s="1" t="n"/>
    </row>
    <row r="1436">
      <c r="A1436" s="34">
        <f>IF($H653="UNIDADE CONSTRUTIVA",OFFSET(A653,-1,0)+1,LARGE(A$3:A652,1))</f>
        <v/>
      </c>
      <c r="B1436" s="34" t="n"/>
      <c r="C1436" s="34" t="n"/>
      <c r="D1436" s="35" t="n"/>
      <c r="E1436" s="35" t="n"/>
      <c r="F1436" s="1" t="n"/>
      <c r="G1436" s="167" t="n"/>
      <c r="H1436" s="167" t="n"/>
      <c r="I1436" s="167" t="n"/>
      <c r="J1436" s="168" t="n"/>
      <c r="K1436" s="169" t="n"/>
      <c r="L1436" s="172" t="n"/>
      <c r="M1436" s="172" t="n"/>
      <c r="N1436" s="175" t="n"/>
      <c r="O1436" s="168" t="n"/>
      <c r="P1436" s="173" t="n"/>
      <c r="Q1436" s="1" t="n"/>
      <c r="R1436" s="1" t="n"/>
      <c r="S1436" s="1" t="n"/>
      <c r="T1436" s="1" t="n"/>
      <c r="U1436" s="1" t="n"/>
      <c r="V1436" s="1" t="n"/>
      <c r="W1436" s="1" t="n"/>
      <c r="X1436" s="1" t="n"/>
      <c r="Y1436" s="1" t="n"/>
    </row>
    <row r="1437">
      <c r="A1437" s="34">
        <f>IF($H654="UNIDADE CONSTRUTIVA",OFFSET(A654,-1,0)+1,LARGE(A$3:A653,1))</f>
        <v/>
      </c>
      <c r="B1437" s="34" t="n"/>
      <c r="C1437" s="34" t="n"/>
      <c r="D1437" s="35" t="n"/>
      <c r="E1437" s="35" t="n"/>
      <c r="F1437" s="1" t="n"/>
      <c r="G1437" s="167" t="n"/>
      <c r="H1437" s="167" t="n"/>
      <c r="I1437" s="167" t="n"/>
      <c r="J1437" s="168" t="n"/>
      <c r="K1437" s="169" t="n"/>
      <c r="L1437" s="172" t="n"/>
      <c r="M1437" s="172" t="n"/>
      <c r="N1437" s="175" t="n"/>
      <c r="O1437" s="168" t="n"/>
      <c r="P1437" s="173" t="n"/>
      <c r="Q1437" s="1" t="n"/>
      <c r="R1437" s="1" t="n"/>
      <c r="S1437" s="1" t="n"/>
      <c r="T1437" s="1" t="n"/>
      <c r="U1437" s="1" t="n"/>
      <c r="V1437" s="1" t="n"/>
      <c r="W1437" s="1" t="n"/>
      <c r="X1437" s="1" t="n"/>
      <c r="Y1437" s="1" t="n"/>
    </row>
    <row r="1438">
      <c r="A1438" s="34">
        <f>IF($H655="UNIDADE CONSTRUTIVA",OFFSET(A655,-1,0)+1,LARGE(A$3:A654,1))</f>
        <v/>
      </c>
      <c r="B1438" s="34" t="n"/>
      <c r="C1438" s="34" t="n"/>
      <c r="D1438" s="35" t="n"/>
      <c r="E1438" s="35" t="n"/>
      <c r="F1438" s="1" t="n"/>
      <c r="G1438" s="167" t="n"/>
      <c r="H1438" s="167" t="n"/>
      <c r="I1438" s="167" t="n"/>
      <c r="J1438" s="168" t="n"/>
      <c r="K1438" s="169" t="n"/>
      <c r="L1438" s="172" t="n"/>
      <c r="M1438" s="172" t="n"/>
      <c r="N1438" s="175" t="n"/>
      <c r="O1438" s="168" t="n"/>
      <c r="P1438" s="173" t="n"/>
      <c r="Q1438" s="1" t="n"/>
      <c r="R1438" s="1" t="n"/>
      <c r="S1438" s="1" t="n"/>
      <c r="T1438" s="1" t="n"/>
      <c r="U1438" s="1" t="n"/>
      <c r="V1438" s="1" t="n"/>
      <c r="W1438" s="1" t="n"/>
      <c r="X1438" s="1" t="n"/>
      <c r="Y1438" s="1" t="n"/>
    </row>
    <row r="1439">
      <c r="A1439" s="34">
        <f>IF($H656="UNIDADE CONSTRUTIVA",OFFSET(A656,-1,0)+1,LARGE(A$3:A655,1))</f>
        <v/>
      </c>
      <c r="B1439" s="34" t="n"/>
      <c r="C1439" s="34" t="n"/>
      <c r="D1439" s="35" t="n"/>
      <c r="E1439" s="35" t="n"/>
      <c r="F1439" s="1" t="n"/>
      <c r="G1439" s="167" t="n"/>
      <c r="H1439" s="167" t="n"/>
      <c r="I1439" s="167" t="n"/>
      <c r="J1439" s="168" t="n"/>
      <c r="K1439" s="169" t="n"/>
      <c r="L1439" s="172" t="n"/>
      <c r="M1439" s="172" t="n"/>
      <c r="N1439" s="175" t="n"/>
      <c r="O1439" s="168" t="n"/>
      <c r="P1439" s="173" t="n"/>
      <c r="Q1439" s="1" t="n"/>
      <c r="R1439" s="1" t="n"/>
      <c r="S1439" s="1" t="n"/>
      <c r="T1439" s="1" t="n"/>
      <c r="U1439" s="1" t="n"/>
      <c r="V1439" s="1" t="n"/>
      <c r="W1439" s="1" t="n"/>
      <c r="X1439" s="1" t="n"/>
      <c r="Y1439" s="1" t="n"/>
    </row>
    <row r="1440">
      <c r="A1440" s="34">
        <f>IF($H657="UNIDADE CONSTRUTIVA",OFFSET(A657,-1,0)+1,LARGE(A$3:A656,1))</f>
        <v/>
      </c>
      <c r="B1440" s="34" t="n"/>
      <c r="C1440" s="34" t="n"/>
      <c r="D1440" s="35" t="n"/>
      <c r="E1440" s="35" t="n"/>
      <c r="F1440" s="1" t="n"/>
      <c r="G1440" s="167" t="n"/>
      <c r="H1440" s="167" t="n"/>
      <c r="I1440" s="167" t="n"/>
      <c r="J1440" s="168" t="n"/>
      <c r="K1440" s="169" t="n"/>
      <c r="L1440" s="172" t="n"/>
      <c r="M1440" s="172" t="n"/>
      <c r="N1440" s="175" t="n"/>
      <c r="O1440" s="168" t="n"/>
      <c r="P1440" s="173" t="n"/>
      <c r="Q1440" s="1" t="n"/>
      <c r="R1440" s="1" t="n"/>
      <c r="S1440" s="1" t="n"/>
      <c r="T1440" s="1" t="n"/>
      <c r="U1440" s="1" t="n"/>
      <c r="V1440" s="1" t="n"/>
      <c r="W1440" s="1" t="n"/>
      <c r="X1440" s="1" t="n"/>
      <c r="Y1440" s="1" t="n"/>
    </row>
    <row r="1441">
      <c r="A1441" s="34">
        <f>IF($H658="UNIDADE CONSTRUTIVA",OFFSET(A658,-1,0)+1,LARGE(A$3:A657,1))</f>
        <v/>
      </c>
      <c r="B1441" s="34" t="n"/>
      <c r="C1441" s="34" t="n"/>
      <c r="D1441" s="35" t="n"/>
      <c r="E1441" s="35" t="n"/>
      <c r="F1441" s="1" t="n"/>
      <c r="G1441" s="167" t="n"/>
      <c r="H1441" s="167" t="n"/>
      <c r="I1441" s="167" t="n"/>
      <c r="J1441" s="168" t="n"/>
      <c r="K1441" s="169" t="n"/>
      <c r="L1441" s="172" t="n"/>
      <c r="M1441" s="172" t="n"/>
      <c r="N1441" s="175" t="n"/>
      <c r="O1441" s="168" t="n"/>
      <c r="P1441" s="173" t="n"/>
      <c r="Q1441" s="1" t="n"/>
      <c r="R1441" s="1" t="n"/>
      <c r="S1441" s="1" t="n"/>
      <c r="T1441" s="1" t="n"/>
      <c r="U1441" s="1" t="n"/>
      <c r="V1441" s="1" t="n"/>
      <c r="W1441" s="1" t="n"/>
      <c r="X1441" s="1" t="n"/>
      <c r="Y1441" s="1" t="n"/>
    </row>
    <row r="1442">
      <c r="A1442" s="34">
        <f>IF($H659="UNIDADE CONSTRUTIVA",OFFSET(A659,-1,0)+1,LARGE(A$3:A658,1))</f>
        <v/>
      </c>
      <c r="B1442" s="34" t="n"/>
      <c r="C1442" s="34" t="n"/>
      <c r="D1442" s="35" t="n"/>
      <c r="E1442" s="35" t="n"/>
      <c r="F1442" s="1" t="n"/>
      <c r="G1442" s="167" t="n"/>
      <c r="H1442" s="167" t="n"/>
      <c r="I1442" s="167" t="n"/>
      <c r="J1442" s="168" t="n"/>
      <c r="K1442" s="169" t="n"/>
      <c r="L1442" s="172" t="n"/>
      <c r="M1442" s="172" t="n"/>
      <c r="N1442" s="175" t="n"/>
      <c r="O1442" s="168" t="n"/>
      <c r="P1442" s="173" t="n"/>
      <c r="Q1442" s="1" t="n"/>
      <c r="R1442" s="1" t="n"/>
      <c r="S1442" s="1" t="n"/>
      <c r="T1442" s="1" t="n"/>
      <c r="U1442" s="1" t="n"/>
      <c r="V1442" s="1" t="n"/>
      <c r="W1442" s="1" t="n"/>
      <c r="X1442" s="1" t="n"/>
      <c r="Y1442" s="1" t="n"/>
    </row>
    <row r="1443">
      <c r="A1443" s="34">
        <f>IF($H660="UNIDADE CONSTRUTIVA",OFFSET(A660,-1,0)+1,LARGE(A$3:A659,1))</f>
        <v/>
      </c>
      <c r="B1443" s="34" t="n"/>
      <c r="C1443" s="34" t="n"/>
      <c r="D1443" s="35" t="n"/>
      <c r="E1443" s="35" t="n"/>
      <c r="F1443" s="1" t="n"/>
      <c r="G1443" s="167" t="n"/>
      <c r="H1443" s="167" t="n"/>
      <c r="I1443" s="167" t="n"/>
      <c r="J1443" s="168" t="n"/>
      <c r="K1443" s="169" t="n"/>
      <c r="L1443" s="172" t="n"/>
      <c r="M1443" s="172" t="n"/>
      <c r="N1443" s="175" t="n"/>
      <c r="O1443" s="168" t="n"/>
      <c r="P1443" s="173" t="n"/>
      <c r="Q1443" s="1" t="n"/>
      <c r="R1443" s="1" t="n"/>
      <c r="S1443" s="1" t="n"/>
      <c r="T1443" s="1" t="n"/>
      <c r="U1443" s="1" t="n"/>
      <c r="V1443" s="1" t="n"/>
      <c r="W1443" s="1" t="n"/>
      <c r="X1443" s="1" t="n"/>
      <c r="Y1443" s="1" t="n"/>
    </row>
    <row r="1444">
      <c r="A1444" s="34">
        <f>IF($H661="UNIDADE CONSTRUTIVA",OFFSET(A661,-1,0)+1,LARGE(A$3:A660,1))</f>
        <v/>
      </c>
      <c r="B1444" s="34" t="n"/>
      <c r="C1444" s="34" t="n"/>
      <c r="D1444" s="35" t="n"/>
      <c r="E1444" s="35" t="n"/>
      <c r="F1444" s="1" t="n"/>
      <c r="G1444" s="167" t="n"/>
      <c r="H1444" s="167" t="n"/>
      <c r="I1444" s="167" t="n"/>
      <c r="J1444" s="168" t="n"/>
      <c r="K1444" s="169" t="n"/>
      <c r="L1444" s="172" t="n"/>
      <c r="M1444" s="172" t="n"/>
      <c r="N1444" s="175" t="n"/>
      <c r="O1444" s="168" t="n"/>
      <c r="P1444" s="173" t="n"/>
      <c r="Q1444" s="1" t="n"/>
      <c r="R1444" s="1" t="n"/>
      <c r="S1444" s="1" t="n"/>
      <c r="T1444" s="1" t="n"/>
      <c r="U1444" s="1" t="n"/>
      <c r="V1444" s="1" t="n"/>
      <c r="W1444" s="1" t="n"/>
      <c r="X1444" s="1" t="n"/>
      <c r="Y1444" s="1" t="n"/>
    </row>
    <row r="1445">
      <c r="A1445" s="34">
        <f>IF($H662="UNIDADE CONSTRUTIVA",OFFSET(A662,-1,0)+1,LARGE(A$3:A661,1))</f>
        <v/>
      </c>
      <c r="B1445" s="34" t="n"/>
      <c r="C1445" s="34" t="n"/>
      <c r="D1445" s="35" t="n"/>
      <c r="E1445" s="35" t="n"/>
      <c r="F1445" s="1" t="n"/>
      <c r="G1445" s="167" t="n"/>
      <c r="H1445" s="167" t="n"/>
      <c r="I1445" s="167" t="n"/>
      <c r="J1445" s="168" t="n"/>
      <c r="K1445" s="169" t="n"/>
      <c r="L1445" s="172" t="n"/>
      <c r="M1445" s="172" t="n"/>
      <c r="N1445" s="175" t="n"/>
      <c r="O1445" s="168" t="n"/>
      <c r="P1445" s="173" t="n"/>
      <c r="Q1445" s="1" t="n"/>
      <c r="R1445" s="1" t="n"/>
      <c r="S1445" s="1" t="n"/>
      <c r="T1445" s="1" t="n"/>
      <c r="U1445" s="1" t="n"/>
      <c r="V1445" s="1" t="n"/>
      <c r="W1445" s="1" t="n"/>
      <c r="X1445" s="1" t="n"/>
      <c r="Y1445" s="1" t="n"/>
    </row>
    <row r="1446">
      <c r="A1446" s="34">
        <f>IF($H663="UNIDADE CONSTRUTIVA",OFFSET(A663,-1,0)+1,LARGE(A$3:A662,1))</f>
        <v/>
      </c>
      <c r="B1446" s="34" t="n"/>
      <c r="C1446" s="34" t="n"/>
      <c r="D1446" s="35" t="n"/>
      <c r="E1446" s="35" t="n"/>
      <c r="F1446" s="1" t="n"/>
      <c r="G1446" s="167" t="n"/>
      <c r="H1446" s="167" t="n"/>
      <c r="I1446" s="167" t="n"/>
      <c r="J1446" s="168" t="n"/>
      <c r="K1446" s="169" t="n"/>
      <c r="L1446" s="172" t="n"/>
      <c r="M1446" s="172" t="n"/>
      <c r="N1446" s="175" t="n"/>
      <c r="O1446" s="168" t="n"/>
      <c r="P1446" s="173" t="n"/>
      <c r="Q1446" s="1" t="n"/>
      <c r="R1446" s="1" t="n"/>
      <c r="S1446" s="1" t="n"/>
      <c r="T1446" s="1" t="n"/>
      <c r="U1446" s="1" t="n"/>
      <c r="V1446" s="1" t="n"/>
      <c r="W1446" s="1" t="n"/>
      <c r="X1446" s="1" t="n"/>
      <c r="Y1446" s="1" t="n"/>
    </row>
    <row r="1447">
      <c r="A1447" s="34">
        <f>IF($H664="UNIDADE CONSTRUTIVA",OFFSET(A664,-1,0)+1,LARGE(A$3:A663,1))</f>
        <v/>
      </c>
      <c r="B1447" s="34" t="n"/>
      <c r="C1447" s="34" t="n"/>
      <c r="D1447" s="35" t="n"/>
      <c r="E1447" s="35" t="n"/>
      <c r="F1447" s="1" t="n"/>
      <c r="G1447" s="167" t="n"/>
      <c r="H1447" s="167" t="n"/>
      <c r="I1447" s="167" t="n"/>
      <c r="J1447" s="168" t="n"/>
      <c r="K1447" s="169" t="n"/>
      <c r="L1447" s="172" t="n"/>
      <c r="M1447" s="172" t="n"/>
      <c r="N1447" s="175" t="n"/>
      <c r="O1447" s="168" t="n"/>
      <c r="P1447" s="173" t="n"/>
      <c r="Q1447" s="1" t="n"/>
      <c r="R1447" s="1" t="n"/>
      <c r="S1447" s="1" t="n"/>
      <c r="T1447" s="1" t="n"/>
      <c r="U1447" s="1" t="n"/>
      <c r="V1447" s="1" t="n"/>
      <c r="W1447" s="1" t="n"/>
      <c r="X1447" s="1" t="n"/>
      <c r="Y1447" s="1" t="n"/>
    </row>
    <row r="1448">
      <c r="A1448" s="34">
        <f>IF($H665="UNIDADE CONSTRUTIVA",OFFSET(A665,-1,0)+1,LARGE(A$3:A664,1))</f>
        <v/>
      </c>
      <c r="B1448" s="34" t="n"/>
      <c r="C1448" s="34" t="n"/>
      <c r="D1448" s="35" t="n"/>
      <c r="E1448" s="35" t="n"/>
      <c r="F1448" s="1" t="n"/>
      <c r="G1448" s="167" t="n"/>
      <c r="H1448" s="167" t="n"/>
      <c r="I1448" s="167" t="n"/>
      <c r="J1448" s="168" t="n"/>
      <c r="K1448" s="169" t="n"/>
      <c r="L1448" s="172" t="n"/>
      <c r="M1448" s="172" t="n"/>
      <c r="N1448" s="175" t="n"/>
      <c r="O1448" s="168" t="n"/>
      <c r="P1448" s="173" t="n"/>
      <c r="Q1448" s="1" t="n"/>
      <c r="R1448" s="1" t="n"/>
      <c r="S1448" s="1" t="n"/>
      <c r="T1448" s="1" t="n"/>
      <c r="U1448" s="1" t="n"/>
      <c r="V1448" s="1" t="n"/>
      <c r="W1448" s="1" t="n"/>
      <c r="X1448" s="1" t="n"/>
      <c r="Y1448" s="1" t="n"/>
    </row>
    <row r="1449">
      <c r="A1449" s="34">
        <f>IF($H666="UNIDADE CONSTRUTIVA",OFFSET(A666,-1,0)+1,LARGE(A$3:A665,1))</f>
        <v/>
      </c>
      <c r="B1449" s="34" t="n"/>
      <c r="C1449" s="34" t="n"/>
      <c r="D1449" s="35" t="n"/>
      <c r="E1449" s="35" t="n"/>
      <c r="F1449" s="1" t="n"/>
      <c r="G1449" s="167" t="n"/>
      <c r="H1449" s="167" t="n"/>
      <c r="I1449" s="167" t="n"/>
      <c r="J1449" s="168" t="n"/>
      <c r="K1449" s="169" t="n"/>
      <c r="L1449" s="172" t="n"/>
      <c r="M1449" s="172" t="n"/>
      <c r="N1449" s="175" t="n"/>
      <c r="O1449" s="168" t="n"/>
      <c r="P1449" s="173" t="n"/>
      <c r="Q1449" s="1" t="n"/>
      <c r="R1449" s="1" t="n"/>
      <c r="S1449" s="1" t="n"/>
      <c r="T1449" s="1" t="n"/>
      <c r="U1449" s="1" t="n"/>
      <c r="V1449" s="1" t="n"/>
      <c r="W1449" s="1" t="n"/>
      <c r="X1449" s="1" t="n"/>
      <c r="Y1449" s="1" t="n"/>
    </row>
    <row r="1450">
      <c r="A1450" s="34">
        <f>IF($H667="UNIDADE CONSTRUTIVA",OFFSET(A667,-1,0)+1,LARGE(A$3:A666,1))</f>
        <v/>
      </c>
      <c r="B1450" s="34" t="n"/>
      <c r="C1450" s="34" t="n"/>
      <c r="D1450" s="35" t="n"/>
      <c r="E1450" s="35" t="n"/>
      <c r="F1450" s="1" t="n"/>
      <c r="G1450" s="167" t="n"/>
      <c r="H1450" s="167" t="n"/>
      <c r="I1450" s="167" t="n"/>
      <c r="J1450" s="168" t="n"/>
      <c r="K1450" s="169" t="n"/>
      <c r="L1450" s="172" t="n"/>
      <c r="M1450" s="172" t="n"/>
      <c r="N1450" s="175" t="n"/>
      <c r="O1450" s="168" t="n"/>
      <c r="P1450" s="173" t="n"/>
      <c r="Q1450" s="1" t="n"/>
      <c r="R1450" s="1" t="n"/>
      <c r="S1450" s="1" t="n"/>
      <c r="T1450" s="1" t="n"/>
      <c r="U1450" s="1" t="n"/>
      <c r="V1450" s="1" t="n"/>
      <c r="W1450" s="1" t="n"/>
      <c r="X1450" s="1" t="n"/>
      <c r="Y1450" s="1" t="n"/>
    </row>
    <row r="1451">
      <c r="A1451" s="34">
        <f>IF($H668="UNIDADE CONSTRUTIVA",OFFSET(A668,-1,0)+1,LARGE(A$3:A667,1))</f>
        <v/>
      </c>
      <c r="B1451" s="34" t="n"/>
      <c r="C1451" s="34" t="n"/>
      <c r="D1451" s="35" t="n"/>
      <c r="E1451" s="35" t="n"/>
      <c r="F1451" s="1" t="n"/>
      <c r="G1451" s="167" t="n"/>
      <c r="H1451" s="167" t="n"/>
      <c r="I1451" s="167" t="n"/>
      <c r="J1451" s="168" t="n"/>
      <c r="K1451" s="169" t="n"/>
      <c r="L1451" s="172" t="n"/>
      <c r="M1451" s="172" t="n"/>
      <c r="N1451" s="175" t="n"/>
      <c r="O1451" s="168" t="n"/>
      <c r="P1451" s="173" t="n"/>
      <c r="Q1451" s="1" t="n"/>
      <c r="R1451" s="1" t="n"/>
      <c r="S1451" s="1" t="n"/>
      <c r="T1451" s="1" t="n"/>
      <c r="U1451" s="1" t="n"/>
      <c r="V1451" s="1" t="n"/>
      <c r="W1451" s="1" t="n"/>
      <c r="X1451" s="1" t="n"/>
      <c r="Y1451" s="1" t="n"/>
    </row>
    <row r="1452">
      <c r="A1452" s="34">
        <f>IF($H669="UNIDADE CONSTRUTIVA",OFFSET(A669,-1,0)+1,LARGE(A$3:A668,1))</f>
        <v/>
      </c>
      <c r="B1452" s="34" t="n"/>
      <c r="C1452" s="34" t="n"/>
      <c r="D1452" s="35" t="n"/>
      <c r="E1452" s="35" t="n"/>
      <c r="F1452" s="1" t="n"/>
      <c r="G1452" s="167" t="n"/>
      <c r="H1452" s="167" t="n"/>
      <c r="I1452" s="167" t="n"/>
      <c r="J1452" s="168" t="n"/>
      <c r="K1452" s="169" t="n"/>
      <c r="L1452" s="172" t="n"/>
      <c r="M1452" s="172" t="n"/>
      <c r="N1452" s="175" t="n"/>
      <c r="O1452" s="168" t="n"/>
      <c r="P1452" s="173" t="n"/>
      <c r="Q1452" s="1" t="n"/>
      <c r="R1452" s="1" t="n"/>
      <c r="S1452" s="1" t="n"/>
      <c r="T1452" s="1" t="n"/>
      <c r="U1452" s="1" t="n"/>
      <c r="V1452" s="1" t="n"/>
      <c r="W1452" s="1" t="n"/>
      <c r="X1452" s="1" t="n"/>
      <c r="Y1452" s="1" t="n"/>
    </row>
    <row r="1453">
      <c r="A1453" s="34">
        <f>IF($H670="UNIDADE CONSTRUTIVA",OFFSET(A670,-1,0)+1,LARGE(A$3:A669,1))</f>
        <v/>
      </c>
      <c r="B1453" s="34" t="n"/>
      <c r="C1453" s="34" t="n"/>
      <c r="D1453" s="35" t="n"/>
      <c r="E1453" s="35" t="n"/>
      <c r="F1453" s="1" t="n"/>
      <c r="G1453" s="167" t="n"/>
      <c r="H1453" s="167" t="n"/>
      <c r="I1453" s="167" t="n"/>
      <c r="J1453" s="168" t="n"/>
      <c r="K1453" s="169" t="n"/>
      <c r="L1453" s="172" t="n"/>
      <c r="M1453" s="172" t="n"/>
      <c r="N1453" s="175" t="n"/>
      <c r="O1453" s="168" t="n"/>
      <c r="P1453" s="173" t="n"/>
      <c r="Q1453" s="1" t="n"/>
      <c r="R1453" s="1" t="n"/>
      <c r="S1453" s="1" t="n"/>
      <c r="T1453" s="1" t="n"/>
      <c r="U1453" s="1" t="n"/>
      <c r="V1453" s="1" t="n"/>
      <c r="W1453" s="1" t="n"/>
      <c r="X1453" s="1" t="n"/>
      <c r="Y1453" s="1" t="n"/>
    </row>
    <row r="1454">
      <c r="A1454" s="34">
        <f>IF($H671="UNIDADE CONSTRUTIVA",OFFSET(A671,-1,0)+1,LARGE(A$3:A670,1))</f>
        <v/>
      </c>
      <c r="B1454" s="34" t="n"/>
      <c r="C1454" s="34" t="n"/>
      <c r="D1454" s="35" t="n"/>
      <c r="E1454" s="35" t="n"/>
      <c r="F1454" s="1" t="n"/>
      <c r="G1454" s="167" t="n"/>
      <c r="H1454" s="167" t="n"/>
      <c r="I1454" s="167" t="n"/>
      <c r="J1454" s="168" t="n"/>
      <c r="K1454" s="169" t="n"/>
      <c r="L1454" s="172" t="n"/>
      <c r="M1454" s="172" t="n"/>
      <c r="N1454" s="175" t="n"/>
      <c r="O1454" s="168" t="n"/>
      <c r="P1454" s="173" t="n"/>
      <c r="Q1454" s="1" t="n"/>
      <c r="R1454" s="1" t="n"/>
      <c r="S1454" s="1" t="n"/>
      <c r="T1454" s="1" t="n"/>
      <c r="U1454" s="1" t="n"/>
      <c r="V1454" s="1" t="n"/>
      <c r="W1454" s="1" t="n"/>
      <c r="X1454" s="1" t="n"/>
      <c r="Y1454" s="1" t="n"/>
    </row>
    <row r="1455">
      <c r="A1455" s="34">
        <f>IF($H672="UNIDADE CONSTRUTIVA",OFFSET(A672,-1,0)+1,LARGE(A$3:A671,1))</f>
        <v/>
      </c>
      <c r="B1455" s="34" t="n"/>
      <c r="C1455" s="34" t="n"/>
      <c r="D1455" s="35" t="n"/>
      <c r="E1455" s="35" t="n"/>
      <c r="F1455" s="1" t="n"/>
      <c r="G1455" s="167" t="n"/>
      <c r="H1455" s="167" t="n"/>
      <c r="I1455" s="167" t="n"/>
      <c r="J1455" s="168" t="n"/>
      <c r="K1455" s="169" t="n"/>
      <c r="L1455" s="172" t="n"/>
      <c r="M1455" s="172" t="n"/>
      <c r="N1455" s="175" t="n"/>
      <c r="O1455" s="168" t="n"/>
      <c r="P1455" s="173" t="n"/>
      <c r="Q1455" s="1" t="n"/>
      <c r="R1455" s="1" t="n"/>
      <c r="S1455" s="1" t="n"/>
      <c r="T1455" s="1" t="n"/>
      <c r="U1455" s="1" t="n"/>
      <c r="V1455" s="1" t="n"/>
      <c r="W1455" s="1" t="n"/>
      <c r="X1455" s="1" t="n"/>
      <c r="Y1455" s="1" t="n"/>
    </row>
    <row r="1456">
      <c r="A1456" s="34">
        <f>IF($H673="UNIDADE CONSTRUTIVA",OFFSET(A673,-1,0)+1,LARGE(A$3:A672,1))</f>
        <v/>
      </c>
      <c r="B1456" s="34" t="n"/>
      <c r="C1456" s="34" t="n"/>
      <c r="D1456" s="35" t="n"/>
      <c r="E1456" s="35" t="n"/>
      <c r="F1456" s="1" t="n"/>
      <c r="G1456" s="167" t="n"/>
      <c r="H1456" s="167" t="n"/>
      <c r="I1456" s="167" t="n"/>
      <c r="J1456" s="168" t="n"/>
      <c r="K1456" s="169" t="n"/>
      <c r="L1456" s="172" t="n"/>
      <c r="M1456" s="172" t="n"/>
      <c r="N1456" s="175" t="n"/>
      <c r="O1456" s="168" t="n"/>
      <c r="P1456" s="173" t="n"/>
      <c r="Q1456" s="1" t="n"/>
      <c r="R1456" s="1" t="n"/>
      <c r="S1456" s="1" t="n"/>
      <c r="T1456" s="1" t="n"/>
      <c r="U1456" s="1" t="n"/>
      <c r="V1456" s="1" t="n"/>
      <c r="W1456" s="1" t="n"/>
      <c r="X1456" s="1" t="n"/>
      <c r="Y1456" s="1" t="n"/>
    </row>
    <row r="1457">
      <c r="A1457" s="34">
        <f>IF($H674="UNIDADE CONSTRUTIVA",OFFSET(A674,-1,0)+1,LARGE(A$3:A673,1))</f>
        <v/>
      </c>
      <c r="B1457" s="34" t="n"/>
      <c r="C1457" s="34" t="n"/>
      <c r="D1457" s="35" t="n"/>
      <c r="E1457" s="35" t="n"/>
      <c r="F1457" s="1" t="n"/>
      <c r="G1457" s="167" t="n"/>
      <c r="H1457" s="167" t="n"/>
      <c r="I1457" s="167" t="n"/>
      <c r="J1457" s="168" t="n"/>
      <c r="K1457" s="169" t="n"/>
      <c r="L1457" s="172" t="n"/>
      <c r="M1457" s="172" t="n"/>
      <c r="N1457" s="175" t="n"/>
      <c r="O1457" s="168" t="n"/>
      <c r="P1457" s="173" t="n"/>
      <c r="Q1457" s="1" t="n"/>
      <c r="R1457" s="1" t="n"/>
      <c r="S1457" s="1" t="n"/>
      <c r="T1457" s="1" t="n"/>
      <c r="U1457" s="1" t="n"/>
      <c r="V1457" s="1" t="n"/>
      <c r="W1457" s="1" t="n"/>
      <c r="X1457" s="1" t="n"/>
      <c r="Y1457" s="1" t="n"/>
    </row>
    <row r="1458">
      <c r="A1458" s="34">
        <f>IF($H675="UNIDADE CONSTRUTIVA",OFFSET(A675,-1,0)+1,LARGE(A$3:A674,1))</f>
        <v/>
      </c>
      <c r="B1458" s="34" t="n"/>
      <c r="C1458" s="34" t="n"/>
      <c r="D1458" s="35" t="n"/>
      <c r="E1458" s="35" t="n"/>
      <c r="F1458" s="1" t="n"/>
      <c r="G1458" s="167" t="n"/>
      <c r="H1458" s="167" t="n"/>
      <c r="I1458" s="167" t="n"/>
      <c r="J1458" s="168" t="n"/>
      <c r="K1458" s="169" t="n"/>
      <c r="L1458" s="172" t="n"/>
      <c r="M1458" s="172" t="n"/>
      <c r="N1458" s="175" t="n"/>
      <c r="O1458" s="168" t="n"/>
      <c r="P1458" s="173" t="n"/>
      <c r="Q1458" s="1" t="n"/>
      <c r="R1458" s="1" t="n"/>
      <c r="S1458" s="1" t="n"/>
      <c r="T1458" s="1" t="n"/>
      <c r="U1458" s="1" t="n"/>
      <c r="V1458" s="1" t="n"/>
      <c r="W1458" s="1" t="n"/>
      <c r="X1458" s="1" t="n"/>
      <c r="Y1458" s="1" t="n"/>
    </row>
    <row r="1459">
      <c r="A1459" s="34">
        <f>IF($H676="UNIDADE CONSTRUTIVA",OFFSET(A676,-1,0)+1,LARGE(A$3:A675,1))</f>
        <v/>
      </c>
      <c r="B1459" s="34" t="n"/>
      <c r="C1459" s="34" t="n"/>
      <c r="D1459" s="35" t="n"/>
      <c r="E1459" s="35" t="n"/>
      <c r="F1459" s="1" t="n"/>
      <c r="G1459" s="167" t="n"/>
      <c r="H1459" s="167" t="n"/>
      <c r="I1459" s="167" t="n"/>
      <c r="J1459" s="168" t="n"/>
      <c r="K1459" s="169" t="n"/>
      <c r="L1459" s="172" t="n"/>
      <c r="M1459" s="172" t="n"/>
      <c r="N1459" s="175" t="n"/>
      <c r="O1459" s="168" t="n"/>
      <c r="P1459" s="173" t="n"/>
      <c r="Q1459" s="1" t="n"/>
      <c r="R1459" s="1" t="n"/>
      <c r="S1459" s="1" t="n"/>
      <c r="T1459" s="1" t="n"/>
      <c r="U1459" s="1" t="n"/>
      <c r="V1459" s="1" t="n"/>
      <c r="W1459" s="1" t="n"/>
      <c r="X1459" s="1" t="n"/>
      <c r="Y1459" s="1" t="n"/>
    </row>
    <row r="1460">
      <c r="A1460" s="34">
        <f>IF($H677="UNIDADE CONSTRUTIVA",OFFSET(A677,-1,0)+1,LARGE(A$3:A676,1))</f>
        <v/>
      </c>
      <c r="B1460" s="34" t="n"/>
      <c r="C1460" s="34" t="n"/>
      <c r="D1460" s="35" t="n"/>
      <c r="E1460" s="35" t="n"/>
      <c r="F1460" s="1" t="n"/>
      <c r="G1460" s="167" t="n"/>
      <c r="H1460" s="167" t="n"/>
      <c r="I1460" s="167" t="n"/>
      <c r="J1460" s="168" t="n"/>
      <c r="K1460" s="169" t="n"/>
      <c r="L1460" s="172" t="n"/>
      <c r="M1460" s="172" t="n"/>
      <c r="N1460" s="175" t="n"/>
      <c r="O1460" s="168" t="n"/>
      <c r="P1460" s="173" t="n"/>
      <c r="Q1460" s="1" t="n"/>
      <c r="R1460" s="1" t="n"/>
      <c r="S1460" s="1" t="n"/>
      <c r="T1460" s="1" t="n"/>
      <c r="U1460" s="1" t="n"/>
      <c r="V1460" s="1" t="n"/>
      <c r="W1460" s="1" t="n"/>
      <c r="X1460" s="1" t="n"/>
      <c r="Y1460" s="1" t="n"/>
    </row>
    <row r="1461">
      <c r="A1461" s="34">
        <f>IF($H678="UNIDADE CONSTRUTIVA",OFFSET(A678,-1,0)+1,LARGE(A$3:A677,1))</f>
        <v/>
      </c>
      <c r="B1461" s="34" t="n"/>
      <c r="C1461" s="34" t="n"/>
      <c r="D1461" s="35" t="n"/>
      <c r="E1461" s="35" t="n"/>
      <c r="F1461" s="1" t="n"/>
      <c r="G1461" s="167" t="n"/>
      <c r="H1461" s="167" t="n"/>
      <c r="I1461" s="167" t="n"/>
      <c r="J1461" s="168" t="n"/>
      <c r="K1461" s="169" t="n"/>
      <c r="L1461" s="172" t="n"/>
      <c r="M1461" s="172" t="n"/>
      <c r="N1461" s="175" t="n"/>
      <c r="O1461" s="168" t="n"/>
      <c r="P1461" s="173" t="n"/>
      <c r="Q1461" s="1" t="n"/>
      <c r="R1461" s="1" t="n"/>
      <c r="S1461" s="1" t="n"/>
      <c r="T1461" s="1" t="n"/>
      <c r="U1461" s="1" t="n"/>
      <c r="V1461" s="1" t="n"/>
      <c r="W1461" s="1" t="n"/>
      <c r="X1461" s="1" t="n"/>
      <c r="Y1461" s="1" t="n"/>
    </row>
    <row r="1462">
      <c r="A1462" s="34">
        <f>IF($H679="UNIDADE CONSTRUTIVA",OFFSET(A679,-1,0)+1,LARGE(A$3:A678,1))</f>
        <v/>
      </c>
      <c r="B1462" s="34" t="n"/>
      <c r="C1462" s="34" t="n"/>
      <c r="D1462" s="35" t="n"/>
      <c r="E1462" s="35" t="n"/>
      <c r="F1462" s="1" t="n"/>
      <c r="G1462" s="167" t="n"/>
      <c r="H1462" s="167" t="n"/>
      <c r="I1462" s="167" t="n"/>
      <c r="J1462" s="168" t="n"/>
      <c r="K1462" s="169" t="n"/>
      <c r="L1462" s="172" t="n"/>
      <c r="M1462" s="172" t="n"/>
      <c r="N1462" s="175" t="n"/>
      <c r="O1462" s="168" t="n"/>
      <c r="P1462" s="173" t="n"/>
      <c r="Q1462" s="1" t="n"/>
      <c r="R1462" s="1" t="n"/>
      <c r="S1462" s="1" t="n"/>
      <c r="T1462" s="1" t="n"/>
      <c r="U1462" s="1" t="n"/>
      <c r="V1462" s="1" t="n"/>
      <c r="W1462" s="1" t="n"/>
      <c r="X1462" s="1" t="n"/>
      <c r="Y1462" s="1" t="n"/>
    </row>
    <row r="1463">
      <c r="A1463" s="34">
        <f>IF($H680="UNIDADE CONSTRUTIVA",OFFSET(A680,-1,0)+1,LARGE(A$3:A679,1))</f>
        <v/>
      </c>
      <c r="B1463" s="34" t="n"/>
      <c r="C1463" s="34" t="n"/>
      <c r="D1463" s="35" t="n"/>
      <c r="E1463" s="35" t="n"/>
      <c r="F1463" s="1" t="n"/>
      <c r="G1463" s="167" t="n"/>
      <c r="H1463" s="167" t="n"/>
      <c r="I1463" s="167" t="n"/>
      <c r="J1463" s="168" t="n"/>
      <c r="K1463" s="169" t="n"/>
      <c r="L1463" s="172" t="n"/>
      <c r="M1463" s="172" t="n"/>
      <c r="N1463" s="175" t="n"/>
      <c r="O1463" s="168" t="n"/>
      <c r="P1463" s="173" t="n"/>
      <c r="Q1463" s="1" t="n"/>
      <c r="R1463" s="1" t="n"/>
      <c r="S1463" s="1" t="n"/>
      <c r="T1463" s="1" t="n"/>
      <c r="U1463" s="1" t="n"/>
      <c r="V1463" s="1" t="n"/>
      <c r="W1463" s="1" t="n"/>
      <c r="X1463" s="1" t="n"/>
      <c r="Y1463" s="1" t="n"/>
    </row>
    <row r="1464">
      <c r="A1464" s="34">
        <f>IF($H681="UNIDADE CONSTRUTIVA",OFFSET(A681,-1,0)+1,LARGE(A$3:A680,1))</f>
        <v/>
      </c>
      <c r="B1464" s="34" t="n"/>
      <c r="C1464" s="34" t="n"/>
      <c r="D1464" s="35" t="n"/>
      <c r="E1464" s="35" t="n"/>
      <c r="F1464" s="1" t="n"/>
      <c r="G1464" s="167" t="n"/>
      <c r="H1464" s="167" t="n"/>
      <c r="I1464" s="167" t="n"/>
      <c r="J1464" s="168" t="n"/>
      <c r="K1464" s="169" t="n"/>
      <c r="L1464" s="172" t="n"/>
      <c r="M1464" s="172" t="n"/>
      <c r="N1464" s="175" t="n"/>
      <c r="O1464" s="168" t="n"/>
      <c r="P1464" s="173" t="n"/>
      <c r="Q1464" s="1" t="n"/>
      <c r="R1464" s="1" t="n"/>
      <c r="S1464" s="1" t="n"/>
      <c r="T1464" s="1" t="n"/>
      <c r="U1464" s="1" t="n"/>
      <c r="V1464" s="1" t="n"/>
      <c r="W1464" s="1" t="n"/>
      <c r="X1464" s="1" t="n"/>
      <c r="Y1464" s="1" t="n"/>
    </row>
    <row r="1465">
      <c r="A1465" s="34">
        <f>IF($H682="UNIDADE CONSTRUTIVA",OFFSET(A682,-1,0)+1,LARGE(A$3:A681,1))</f>
        <v/>
      </c>
      <c r="B1465" s="34" t="n"/>
      <c r="C1465" s="34" t="n"/>
      <c r="D1465" s="35" t="n"/>
      <c r="E1465" s="35" t="n"/>
      <c r="F1465" s="1" t="n"/>
      <c r="G1465" s="167" t="n"/>
      <c r="H1465" s="167" t="n"/>
      <c r="I1465" s="167" t="n"/>
      <c r="J1465" s="168" t="n"/>
      <c r="K1465" s="169" t="n"/>
      <c r="L1465" s="172" t="n"/>
      <c r="M1465" s="172" t="n"/>
      <c r="N1465" s="175" t="n"/>
      <c r="O1465" s="168" t="n"/>
      <c r="P1465" s="173" t="n"/>
      <c r="Q1465" s="1" t="n"/>
      <c r="R1465" s="1" t="n"/>
      <c r="S1465" s="1" t="n"/>
      <c r="T1465" s="1" t="n"/>
      <c r="U1465" s="1" t="n"/>
      <c r="V1465" s="1" t="n"/>
      <c r="W1465" s="1" t="n"/>
      <c r="X1465" s="1" t="n"/>
      <c r="Y1465" s="1" t="n"/>
    </row>
    <row r="1466">
      <c r="A1466" s="34">
        <f>IF($H683="UNIDADE CONSTRUTIVA",OFFSET(A683,-1,0)+1,LARGE(A$3:A682,1))</f>
        <v/>
      </c>
      <c r="B1466" s="34" t="n"/>
      <c r="C1466" s="34" t="n"/>
      <c r="D1466" s="35" t="n"/>
      <c r="E1466" s="35" t="n"/>
      <c r="F1466" s="1" t="n"/>
      <c r="G1466" s="167" t="n"/>
      <c r="H1466" s="167" t="n"/>
      <c r="I1466" s="167" t="n"/>
      <c r="J1466" s="168" t="n"/>
      <c r="K1466" s="169" t="n"/>
      <c r="L1466" s="172" t="n"/>
      <c r="M1466" s="172" t="n"/>
      <c r="N1466" s="175" t="n"/>
      <c r="O1466" s="168" t="n"/>
      <c r="P1466" s="173" t="n"/>
      <c r="Q1466" s="1" t="n"/>
      <c r="R1466" s="1" t="n"/>
      <c r="S1466" s="1" t="n"/>
      <c r="T1466" s="1" t="n"/>
      <c r="U1466" s="1" t="n"/>
      <c r="V1466" s="1" t="n"/>
      <c r="W1466" s="1" t="n"/>
      <c r="X1466" s="1" t="n"/>
      <c r="Y1466" s="1" t="n"/>
    </row>
    <row r="1467">
      <c r="A1467" s="34">
        <f>IF($H684="UNIDADE CONSTRUTIVA",OFFSET(A684,-1,0)+1,LARGE(A$3:A683,1))</f>
        <v/>
      </c>
      <c r="B1467" s="34" t="n"/>
      <c r="C1467" s="34" t="n"/>
      <c r="D1467" s="35" t="n"/>
      <c r="E1467" s="35" t="n"/>
      <c r="F1467" s="1" t="n"/>
      <c r="G1467" s="167" t="n"/>
      <c r="H1467" s="167" t="n"/>
      <c r="I1467" s="167" t="n"/>
      <c r="J1467" s="168" t="n"/>
      <c r="K1467" s="169" t="n"/>
      <c r="L1467" s="172" t="n"/>
      <c r="M1467" s="172" t="n"/>
      <c r="N1467" s="175" t="n"/>
      <c r="O1467" s="168" t="n"/>
      <c r="P1467" s="173" t="n"/>
      <c r="Q1467" s="1" t="n"/>
      <c r="R1467" s="1" t="n"/>
      <c r="S1467" s="1" t="n"/>
      <c r="T1467" s="1" t="n"/>
      <c r="U1467" s="1" t="n"/>
      <c r="V1467" s="1" t="n"/>
      <c r="W1467" s="1" t="n"/>
      <c r="X1467" s="1" t="n"/>
      <c r="Y1467" s="1" t="n"/>
    </row>
    <row r="1468">
      <c r="A1468" s="34">
        <f>IF($H685="UNIDADE CONSTRUTIVA",OFFSET(A685,-1,0)+1,LARGE(A$3:A684,1))</f>
        <v/>
      </c>
      <c r="B1468" s="34" t="n"/>
      <c r="C1468" s="34" t="n"/>
      <c r="D1468" s="35" t="n"/>
      <c r="E1468" s="35" t="n"/>
      <c r="F1468" s="1" t="n"/>
      <c r="G1468" s="167" t="n"/>
      <c r="H1468" s="167" t="n"/>
      <c r="I1468" s="167" t="n"/>
      <c r="J1468" s="168" t="n"/>
      <c r="K1468" s="169" t="n"/>
      <c r="L1468" s="172" t="n"/>
      <c r="M1468" s="172" t="n"/>
      <c r="N1468" s="175" t="n"/>
      <c r="O1468" s="168" t="n"/>
      <c r="P1468" s="173" t="n"/>
      <c r="Q1468" s="1" t="n"/>
      <c r="R1468" s="1" t="n"/>
      <c r="S1468" s="1" t="n"/>
      <c r="T1468" s="1" t="n"/>
      <c r="U1468" s="1" t="n"/>
      <c r="V1468" s="1" t="n"/>
      <c r="W1468" s="1" t="n"/>
      <c r="X1468" s="1" t="n"/>
      <c r="Y1468" s="1" t="n"/>
    </row>
    <row r="1469">
      <c r="A1469" s="34">
        <f>IF($H686="UNIDADE CONSTRUTIVA",OFFSET(A686,-1,0)+1,LARGE(A$3:A685,1))</f>
        <v/>
      </c>
      <c r="B1469" s="34" t="n"/>
      <c r="C1469" s="34" t="n"/>
      <c r="D1469" s="35" t="n"/>
      <c r="E1469" s="35" t="n"/>
      <c r="F1469" s="1" t="n"/>
      <c r="G1469" s="167" t="n"/>
      <c r="H1469" s="167" t="n"/>
      <c r="I1469" s="167" t="n"/>
      <c r="J1469" s="168" t="n"/>
      <c r="K1469" s="169" t="n"/>
      <c r="L1469" s="172" t="n"/>
      <c r="M1469" s="172" t="n"/>
      <c r="N1469" s="175" t="n"/>
      <c r="O1469" s="168" t="n"/>
      <c r="P1469" s="173" t="n"/>
      <c r="Q1469" s="1" t="n"/>
      <c r="R1469" s="1" t="n"/>
      <c r="S1469" s="1" t="n"/>
      <c r="T1469" s="1" t="n"/>
      <c r="U1469" s="1" t="n"/>
      <c r="V1469" s="1" t="n"/>
      <c r="W1469" s="1" t="n"/>
      <c r="X1469" s="1" t="n"/>
      <c r="Y1469" s="1" t="n"/>
    </row>
    <row r="1470">
      <c r="A1470" s="34">
        <f>IF($H687="UNIDADE CONSTRUTIVA",OFFSET(A687,-1,0)+1,LARGE(A$3:A686,1))</f>
        <v/>
      </c>
      <c r="B1470" s="34" t="n"/>
      <c r="C1470" s="34" t="n"/>
      <c r="D1470" s="35" t="n"/>
      <c r="E1470" s="35" t="n"/>
      <c r="F1470" s="1" t="n"/>
      <c r="G1470" s="167" t="n"/>
      <c r="H1470" s="167" t="n"/>
      <c r="I1470" s="167" t="n"/>
      <c r="J1470" s="168" t="n"/>
      <c r="K1470" s="169" t="n"/>
      <c r="L1470" s="172" t="n"/>
      <c r="M1470" s="172" t="n"/>
      <c r="N1470" s="175" t="n"/>
      <c r="O1470" s="168" t="n"/>
      <c r="P1470" s="173" t="n"/>
      <c r="Q1470" s="1" t="n"/>
      <c r="R1470" s="1" t="n"/>
      <c r="S1470" s="1" t="n"/>
      <c r="T1470" s="1" t="n"/>
      <c r="U1470" s="1" t="n"/>
      <c r="V1470" s="1" t="n"/>
      <c r="W1470" s="1" t="n"/>
      <c r="X1470" s="1" t="n"/>
      <c r="Y1470" s="1" t="n"/>
    </row>
    <row r="1471">
      <c r="A1471" s="34">
        <f>IF($H688="UNIDADE CONSTRUTIVA",OFFSET(A688,-1,0)+1,LARGE(A$3:A687,1))</f>
        <v/>
      </c>
      <c r="B1471" s="34" t="n"/>
      <c r="C1471" s="34" t="n"/>
      <c r="D1471" s="35" t="n"/>
      <c r="E1471" s="35" t="n"/>
      <c r="F1471" s="1" t="n"/>
      <c r="G1471" s="167" t="n"/>
      <c r="H1471" s="167" t="n"/>
      <c r="I1471" s="167" t="n"/>
      <c r="J1471" s="168" t="n"/>
      <c r="K1471" s="169" t="n"/>
      <c r="L1471" s="172" t="n"/>
      <c r="M1471" s="172" t="n"/>
      <c r="N1471" s="175" t="n"/>
      <c r="O1471" s="168" t="n"/>
      <c r="P1471" s="173" t="n"/>
      <c r="Q1471" s="1" t="n"/>
      <c r="R1471" s="1" t="n"/>
      <c r="S1471" s="1" t="n"/>
      <c r="T1471" s="1" t="n"/>
      <c r="U1471" s="1" t="n"/>
      <c r="V1471" s="1" t="n"/>
      <c r="W1471" s="1" t="n"/>
      <c r="X1471" s="1" t="n"/>
      <c r="Y1471" s="1" t="n"/>
    </row>
    <row r="1472">
      <c r="A1472" s="34">
        <f>IF($H689="UNIDADE CONSTRUTIVA",OFFSET(A689,-1,0)+1,LARGE(A$3:A688,1))</f>
        <v/>
      </c>
      <c r="B1472" s="34" t="n"/>
      <c r="C1472" s="34" t="n"/>
      <c r="D1472" s="35" t="n"/>
      <c r="E1472" s="35" t="n"/>
      <c r="F1472" s="1" t="n"/>
      <c r="G1472" s="167" t="n"/>
      <c r="H1472" s="167" t="n"/>
      <c r="I1472" s="167" t="n"/>
      <c r="J1472" s="168" t="n"/>
      <c r="K1472" s="169" t="n"/>
      <c r="L1472" s="172" t="n"/>
      <c r="M1472" s="172" t="n"/>
      <c r="N1472" s="175" t="n"/>
      <c r="O1472" s="168" t="n"/>
      <c r="P1472" s="173" t="n"/>
      <c r="Q1472" s="1" t="n"/>
      <c r="R1472" s="1" t="n"/>
      <c r="S1472" s="1" t="n"/>
      <c r="T1472" s="1" t="n"/>
      <c r="U1472" s="1" t="n"/>
      <c r="V1472" s="1" t="n"/>
      <c r="W1472" s="1" t="n"/>
      <c r="X1472" s="1" t="n"/>
      <c r="Y1472" s="1" t="n"/>
    </row>
    <row r="1473">
      <c r="A1473" s="34">
        <f>IF($H690="UNIDADE CONSTRUTIVA",OFFSET(A690,-1,0)+1,LARGE(A$3:A689,1))</f>
        <v/>
      </c>
      <c r="B1473" s="34" t="n"/>
      <c r="C1473" s="34" t="n"/>
      <c r="D1473" s="35" t="n"/>
      <c r="E1473" s="35" t="n"/>
      <c r="F1473" s="1" t="n"/>
      <c r="G1473" s="167" t="n"/>
      <c r="H1473" s="167" t="n"/>
      <c r="I1473" s="167" t="n"/>
      <c r="J1473" s="168" t="n"/>
      <c r="K1473" s="169" t="n"/>
      <c r="L1473" s="172" t="n"/>
      <c r="M1473" s="172" t="n"/>
      <c r="N1473" s="175" t="n"/>
      <c r="O1473" s="168" t="n"/>
      <c r="P1473" s="173" t="n"/>
      <c r="Q1473" s="1" t="n"/>
      <c r="R1473" s="1" t="n"/>
      <c r="S1473" s="1" t="n"/>
      <c r="T1473" s="1" t="n"/>
      <c r="U1473" s="1" t="n"/>
      <c r="V1473" s="1" t="n"/>
      <c r="W1473" s="1" t="n"/>
      <c r="X1473" s="1" t="n"/>
      <c r="Y1473" s="1" t="n"/>
    </row>
    <row r="1474">
      <c r="A1474" s="34">
        <f>IF($H691="UNIDADE CONSTRUTIVA",OFFSET(A691,-1,0)+1,LARGE(A$3:A690,1))</f>
        <v/>
      </c>
      <c r="B1474" s="34" t="n"/>
      <c r="C1474" s="34" t="n"/>
      <c r="D1474" s="35" t="n"/>
      <c r="E1474" s="35" t="n"/>
      <c r="F1474" s="1" t="n"/>
      <c r="G1474" s="167" t="n"/>
      <c r="H1474" s="167" t="n"/>
      <c r="I1474" s="167" t="n"/>
      <c r="J1474" s="168" t="n"/>
      <c r="K1474" s="169" t="n"/>
      <c r="L1474" s="172" t="n"/>
      <c r="M1474" s="172" t="n"/>
      <c r="N1474" s="175" t="n"/>
      <c r="O1474" s="168" t="n"/>
      <c r="P1474" s="173" t="n"/>
      <c r="Q1474" s="1" t="n"/>
      <c r="R1474" s="1" t="n"/>
      <c r="S1474" s="1" t="n"/>
      <c r="T1474" s="1" t="n"/>
      <c r="U1474" s="1" t="n"/>
      <c r="V1474" s="1" t="n"/>
      <c r="W1474" s="1" t="n"/>
      <c r="X1474" s="1" t="n"/>
      <c r="Y1474" s="1" t="n"/>
    </row>
    <row r="1475">
      <c r="A1475" s="34">
        <f>IF($H692="UNIDADE CONSTRUTIVA",OFFSET(A692,-1,0)+1,LARGE(A$3:A691,1))</f>
        <v/>
      </c>
      <c r="B1475" s="34" t="n"/>
      <c r="C1475" s="34" t="n"/>
      <c r="D1475" s="35" t="n"/>
      <c r="E1475" s="35" t="n"/>
      <c r="F1475" s="1" t="n"/>
      <c r="G1475" s="167" t="n"/>
      <c r="H1475" s="167" t="n"/>
      <c r="I1475" s="167" t="n"/>
      <c r="J1475" s="168" t="n"/>
      <c r="K1475" s="169" t="n"/>
      <c r="L1475" s="172" t="n"/>
      <c r="M1475" s="172" t="n"/>
      <c r="N1475" s="175" t="n"/>
      <c r="O1475" s="168" t="n"/>
      <c r="P1475" s="173" t="n"/>
      <c r="Q1475" s="1" t="n"/>
      <c r="R1475" s="1" t="n"/>
      <c r="S1475" s="1" t="n"/>
      <c r="T1475" s="1" t="n"/>
      <c r="U1475" s="1" t="n"/>
      <c r="V1475" s="1" t="n"/>
      <c r="W1475" s="1" t="n"/>
      <c r="X1475" s="1" t="n"/>
      <c r="Y1475" s="1" t="n"/>
    </row>
    <row r="1476">
      <c r="A1476" s="34">
        <f>IF($H693="UNIDADE CONSTRUTIVA",OFFSET(A693,-1,0)+1,LARGE(A$3:A692,1))</f>
        <v/>
      </c>
      <c r="B1476" s="34" t="n"/>
      <c r="C1476" s="34" t="n"/>
      <c r="D1476" s="35" t="n"/>
      <c r="E1476" s="35" t="n"/>
      <c r="F1476" s="1" t="n"/>
      <c r="G1476" s="167" t="n"/>
      <c r="H1476" s="167" t="n"/>
      <c r="I1476" s="167" t="n"/>
      <c r="J1476" s="168" t="n"/>
      <c r="K1476" s="169" t="n"/>
      <c r="L1476" s="172" t="n"/>
      <c r="M1476" s="172" t="n"/>
      <c r="N1476" s="175" t="n"/>
      <c r="O1476" s="168" t="n"/>
      <c r="P1476" s="173" t="n"/>
      <c r="Q1476" s="1" t="n"/>
      <c r="R1476" s="1" t="n"/>
      <c r="S1476" s="1" t="n"/>
      <c r="T1476" s="1" t="n"/>
      <c r="U1476" s="1" t="n"/>
      <c r="V1476" s="1" t="n"/>
      <c r="W1476" s="1" t="n"/>
      <c r="X1476" s="1" t="n"/>
      <c r="Y1476" s="1" t="n"/>
    </row>
    <row r="1477">
      <c r="A1477" s="34">
        <f>IF($H694="UNIDADE CONSTRUTIVA",OFFSET(A694,-1,0)+1,LARGE(A$3:A693,1))</f>
        <v/>
      </c>
      <c r="B1477" s="34" t="n"/>
      <c r="C1477" s="34" t="n"/>
      <c r="D1477" s="35" t="n"/>
      <c r="E1477" s="35" t="n"/>
      <c r="F1477" s="1" t="n"/>
      <c r="G1477" s="167" t="n"/>
      <c r="H1477" s="167" t="n"/>
      <c r="I1477" s="167" t="n"/>
      <c r="J1477" s="168" t="n"/>
      <c r="K1477" s="169" t="n"/>
      <c r="L1477" s="172" t="n"/>
      <c r="M1477" s="172" t="n"/>
      <c r="N1477" s="175" t="n"/>
      <c r="O1477" s="168" t="n"/>
      <c r="P1477" s="173" t="n"/>
      <c r="Q1477" s="1" t="n"/>
      <c r="R1477" s="1" t="n"/>
      <c r="S1477" s="1" t="n"/>
      <c r="T1477" s="1" t="n"/>
      <c r="U1477" s="1" t="n"/>
      <c r="V1477" s="1" t="n"/>
      <c r="W1477" s="1" t="n"/>
      <c r="X1477" s="1" t="n"/>
      <c r="Y1477" s="1" t="n"/>
    </row>
    <row r="1478">
      <c r="A1478" s="34">
        <f>IF($H695="UNIDADE CONSTRUTIVA",OFFSET(A695,-1,0)+1,LARGE(A$3:A694,1))</f>
        <v/>
      </c>
      <c r="B1478" s="34" t="n"/>
      <c r="C1478" s="34" t="n"/>
      <c r="D1478" s="35" t="n"/>
      <c r="E1478" s="35" t="n"/>
      <c r="F1478" s="1" t="n"/>
      <c r="G1478" s="167" t="n"/>
      <c r="H1478" s="167" t="n"/>
      <c r="I1478" s="167" t="n"/>
      <c r="J1478" s="168" t="n"/>
      <c r="K1478" s="169" t="n"/>
      <c r="L1478" s="172" t="n"/>
      <c r="M1478" s="172" t="n"/>
      <c r="N1478" s="175" t="n"/>
      <c r="O1478" s="168" t="n"/>
      <c r="P1478" s="173" t="n"/>
      <c r="Q1478" s="1" t="n"/>
      <c r="R1478" s="1" t="n"/>
      <c r="S1478" s="1" t="n"/>
      <c r="T1478" s="1" t="n"/>
      <c r="U1478" s="1" t="n"/>
      <c r="V1478" s="1" t="n"/>
      <c r="W1478" s="1" t="n"/>
      <c r="X1478" s="1" t="n"/>
      <c r="Y1478" s="1" t="n"/>
    </row>
    <row r="1479">
      <c r="A1479" s="34">
        <f>IF($H696="UNIDADE CONSTRUTIVA",OFFSET(A696,-1,0)+1,LARGE(A$3:A695,1))</f>
        <v/>
      </c>
      <c r="B1479" s="34" t="n"/>
      <c r="C1479" s="34" t="n"/>
      <c r="D1479" s="35" t="n"/>
      <c r="E1479" s="35" t="n"/>
      <c r="F1479" s="1" t="n"/>
      <c r="G1479" s="167" t="n"/>
      <c r="H1479" s="167" t="n"/>
      <c r="I1479" s="167" t="n"/>
      <c r="J1479" s="168" t="n"/>
      <c r="K1479" s="169" t="n"/>
      <c r="L1479" s="172" t="n"/>
      <c r="M1479" s="172" t="n"/>
      <c r="N1479" s="175" t="n"/>
      <c r="O1479" s="168" t="n"/>
      <c r="P1479" s="173" t="n"/>
      <c r="Q1479" s="1" t="n"/>
      <c r="R1479" s="1" t="n"/>
      <c r="S1479" s="1" t="n"/>
      <c r="T1479" s="1" t="n"/>
      <c r="U1479" s="1" t="n"/>
      <c r="V1479" s="1" t="n"/>
      <c r="W1479" s="1" t="n"/>
      <c r="X1479" s="1" t="n"/>
      <c r="Y1479" s="1" t="n"/>
    </row>
    <row r="1480">
      <c r="A1480" s="34">
        <f>IF($H697="UNIDADE CONSTRUTIVA",OFFSET(A697,-1,0)+1,LARGE(A$3:A696,1))</f>
        <v/>
      </c>
      <c r="B1480" s="34" t="n"/>
      <c r="C1480" s="34" t="n"/>
      <c r="D1480" s="35" t="n"/>
      <c r="E1480" s="35" t="n"/>
      <c r="F1480" s="1" t="n"/>
      <c r="G1480" s="167" t="n"/>
      <c r="H1480" s="167" t="n"/>
      <c r="I1480" s="167" t="n"/>
      <c r="J1480" s="168" t="n"/>
      <c r="K1480" s="169" t="n"/>
      <c r="L1480" s="172" t="n"/>
      <c r="M1480" s="172" t="n"/>
      <c r="N1480" s="175" t="n"/>
      <c r="O1480" s="168" t="n"/>
      <c r="P1480" s="173" t="n"/>
      <c r="Q1480" s="1" t="n"/>
      <c r="R1480" s="1" t="n"/>
      <c r="S1480" s="1" t="n"/>
      <c r="T1480" s="1" t="n"/>
      <c r="U1480" s="1" t="n"/>
      <c r="V1480" s="1" t="n"/>
      <c r="W1480" s="1" t="n"/>
      <c r="X1480" s="1" t="n"/>
      <c r="Y1480" s="1" t="n"/>
    </row>
    <row r="1481">
      <c r="A1481" s="34">
        <f>IF($H698="UNIDADE CONSTRUTIVA",OFFSET(A698,-1,0)+1,LARGE(A$3:A697,1))</f>
        <v/>
      </c>
      <c r="B1481" s="34" t="n"/>
      <c r="C1481" s="34" t="n"/>
      <c r="D1481" s="35" t="n"/>
      <c r="E1481" s="35" t="n"/>
      <c r="F1481" s="1" t="n"/>
      <c r="G1481" s="167" t="n"/>
      <c r="H1481" s="167" t="n"/>
      <c r="I1481" s="167" t="n"/>
      <c r="J1481" s="168" t="n"/>
      <c r="K1481" s="169" t="n"/>
      <c r="L1481" s="172" t="n"/>
      <c r="M1481" s="172" t="n"/>
      <c r="N1481" s="175" t="n"/>
      <c r="O1481" s="168" t="n"/>
      <c r="P1481" s="173" t="n"/>
      <c r="Q1481" s="1" t="n"/>
      <c r="R1481" s="1" t="n"/>
      <c r="S1481" s="1" t="n"/>
      <c r="T1481" s="1" t="n"/>
      <c r="U1481" s="1" t="n"/>
      <c r="V1481" s="1" t="n"/>
      <c r="W1481" s="1" t="n"/>
      <c r="X1481" s="1" t="n"/>
      <c r="Y1481" s="1" t="n"/>
    </row>
    <row r="1482">
      <c r="A1482" s="34">
        <f>IF($H699="UNIDADE CONSTRUTIVA",OFFSET(A699,-1,0)+1,LARGE(A$3:A698,1))</f>
        <v/>
      </c>
      <c r="B1482" s="34" t="n"/>
      <c r="C1482" s="34" t="n"/>
      <c r="D1482" s="35" t="n"/>
      <c r="E1482" s="35" t="n"/>
      <c r="F1482" s="1" t="n"/>
      <c r="G1482" s="167" t="n"/>
      <c r="H1482" s="167" t="n"/>
      <c r="I1482" s="167" t="n"/>
      <c r="J1482" s="168" t="n"/>
      <c r="K1482" s="169" t="n"/>
      <c r="L1482" s="172" t="n"/>
      <c r="M1482" s="172" t="n"/>
      <c r="N1482" s="175" t="n"/>
      <c r="O1482" s="168" t="n"/>
      <c r="P1482" s="173" t="n"/>
      <c r="Q1482" s="1" t="n"/>
      <c r="R1482" s="1" t="n"/>
      <c r="S1482" s="1" t="n"/>
      <c r="T1482" s="1" t="n"/>
      <c r="U1482" s="1" t="n"/>
      <c r="V1482" s="1" t="n"/>
      <c r="W1482" s="1" t="n"/>
      <c r="X1482" s="1" t="n"/>
      <c r="Y1482" s="1" t="n"/>
    </row>
    <row r="1483">
      <c r="A1483" s="34">
        <f>IF($H700="UNIDADE CONSTRUTIVA",OFFSET(A700,-1,0)+1,LARGE(A$3:A699,1))</f>
        <v/>
      </c>
      <c r="B1483" s="34" t="n"/>
      <c r="C1483" s="34" t="n"/>
      <c r="D1483" s="35" t="n"/>
      <c r="E1483" s="35" t="n"/>
      <c r="F1483" s="1" t="n"/>
      <c r="G1483" s="167" t="n"/>
      <c r="H1483" s="167" t="n"/>
      <c r="I1483" s="167" t="n"/>
      <c r="J1483" s="168" t="n"/>
      <c r="K1483" s="169" t="n"/>
      <c r="L1483" s="172" t="n"/>
      <c r="M1483" s="172" t="n"/>
      <c r="N1483" s="175" t="n"/>
      <c r="O1483" s="168" t="n"/>
      <c r="P1483" s="173" t="n"/>
      <c r="Q1483" s="1" t="n"/>
      <c r="R1483" s="1" t="n"/>
      <c r="S1483" s="1" t="n"/>
      <c r="T1483" s="1" t="n"/>
      <c r="U1483" s="1" t="n"/>
      <c r="V1483" s="1" t="n"/>
      <c r="W1483" s="1" t="n"/>
      <c r="X1483" s="1" t="n"/>
      <c r="Y1483" s="1" t="n"/>
    </row>
    <row r="1484">
      <c r="A1484" s="34">
        <f>IF($H701="UNIDADE CONSTRUTIVA",OFFSET(A701,-1,0)+1,LARGE(A$3:A700,1))</f>
        <v/>
      </c>
      <c r="B1484" s="34" t="n"/>
      <c r="C1484" s="34" t="n"/>
      <c r="D1484" s="35" t="n"/>
      <c r="E1484" s="35" t="n"/>
      <c r="F1484" s="1" t="n"/>
      <c r="G1484" s="167" t="n"/>
      <c r="H1484" s="167" t="n"/>
      <c r="I1484" s="167" t="n"/>
      <c r="J1484" s="168" t="n"/>
      <c r="K1484" s="169" t="n"/>
      <c r="L1484" s="172" t="n"/>
      <c r="M1484" s="172" t="n"/>
      <c r="N1484" s="175" t="n"/>
      <c r="O1484" s="168" t="n"/>
      <c r="P1484" s="173" t="n"/>
      <c r="Q1484" s="1" t="n"/>
      <c r="R1484" s="1" t="n"/>
      <c r="S1484" s="1" t="n"/>
      <c r="T1484" s="1" t="n"/>
      <c r="U1484" s="1" t="n"/>
      <c r="V1484" s="1" t="n"/>
      <c r="W1484" s="1" t="n"/>
      <c r="X1484" s="1" t="n"/>
      <c r="Y1484" s="1" t="n"/>
    </row>
    <row r="1485">
      <c r="A1485" s="34">
        <f>IF($H702="UNIDADE CONSTRUTIVA",OFFSET(A702,-1,0)+1,LARGE(A$3:A701,1))</f>
        <v/>
      </c>
      <c r="B1485" s="34" t="n"/>
      <c r="C1485" s="34" t="n"/>
      <c r="D1485" s="35" t="n"/>
      <c r="E1485" s="35" t="n"/>
      <c r="F1485" s="1" t="n"/>
      <c r="G1485" s="167" t="n"/>
      <c r="H1485" s="167" t="n"/>
      <c r="I1485" s="167" t="n"/>
      <c r="J1485" s="168" t="n"/>
      <c r="K1485" s="169" t="n"/>
      <c r="L1485" s="172" t="n"/>
      <c r="M1485" s="172" t="n"/>
      <c r="N1485" s="175" t="n"/>
      <c r="O1485" s="168" t="n"/>
      <c r="P1485" s="173" t="n"/>
      <c r="Q1485" s="1" t="n"/>
      <c r="R1485" s="1" t="n"/>
      <c r="S1485" s="1" t="n"/>
      <c r="T1485" s="1" t="n"/>
      <c r="U1485" s="1" t="n"/>
      <c r="V1485" s="1" t="n"/>
      <c r="W1485" s="1" t="n"/>
      <c r="X1485" s="1" t="n"/>
      <c r="Y1485" s="1" t="n"/>
    </row>
    <row r="1486">
      <c r="A1486" s="34">
        <f>IF($H703="UNIDADE CONSTRUTIVA",OFFSET(A703,-1,0)+1,LARGE(A$3:A702,1))</f>
        <v/>
      </c>
      <c r="B1486" s="34" t="n"/>
      <c r="C1486" s="34" t="n"/>
      <c r="D1486" s="35" t="n"/>
      <c r="E1486" s="35" t="n"/>
      <c r="F1486" s="1" t="n"/>
      <c r="G1486" s="167" t="n"/>
      <c r="H1486" s="167" t="n"/>
      <c r="I1486" s="167" t="n"/>
      <c r="J1486" s="168" t="n"/>
      <c r="K1486" s="169" t="n"/>
      <c r="L1486" s="172" t="n"/>
      <c r="M1486" s="172" t="n"/>
      <c r="N1486" s="175" t="n"/>
      <c r="O1486" s="168" t="n"/>
      <c r="P1486" s="173" t="n"/>
      <c r="Q1486" s="1" t="n"/>
      <c r="R1486" s="1" t="n"/>
      <c r="S1486" s="1" t="n"/>
      <c r="T1486" s="1" t="n"/>
      <c r="U1486" s="1" t="n"/>
      <c r="V1486" s="1" t="n"/>
      <c r="W1486" s="1" t="n"/>
      <c r="X1486" s="1" t="n"/>
      <c r="Y1486" s="1" t="n"/>
    </row>
    <row r="1487">
      <c r="A1487" s="34">
        <f>IF($H704="UNIDADE CONSTRUTIVA",OFFSET(A704,-1,0)+1,LARGE(A$3:A703,1))</f>
        <v/>
      </c>
      <c r="B1487" s="34" t="n"/>
      <c r="C1487" s="34" t="n"/>
      <c r="D1487" s="35" t="n"/>
      <c r="E1487" s="35" t="n"/>
      <c r="F1487" s="1" t="n"/>
      <c r="G1487" s="167" t="n"/>
      <c r="H1487" s="167" t="n"/>
      <c r="I1487" s="167" t="n"/>
      <c r="J1487" s="168" t="n"/>
      <c r="K1487" s="169" t="n"/>
      <c r="L1487" s="172" t="n"/>
      <c r="M1487" s="172" t="n"/>
      <c r="N1487" s="175" t="n"/>
      <c r="O1487" s="168" t="n"/>
      <c r="P1487" s="173" t="n"/>
      <c r="Q1487" s="1" t="n"/>
      <c r="R1487" s="1" t="n"/>
      <c r="S1487" s="1" t="n"/>
      <c r="T1487" s="1" t="n"/>
      <c r="U1487" s="1" t="n"/>
      <c r="V1487" s="1" t="n"/>
      <c r="W1487" s="1" t="n"/>
      <c r="X1487" s="1" t="n"/>
      <c r="Y1487" s="1" t="n"/>
    </row>
    <row r="1488">
      <c r="A1488" s="34">
        <f>IF($H705="UNIDADE CONSTRUTIVA",OFFSET(A705,-1,0)+1,LARGE(A$3:A704,1))</f>
        <v/>
      </c>
      <c r="B1488" s="34" t="n"/>
      <c r="C1488" s="34" t="n"/>
      <c r="D1488" s="35" t="n"/>
      <c r="E1488" s="35" t="n"/>
      <c r="F1488" s="1" t="n"/>
      <c r="G1488" s="167" t="n"/>
      <c r="H1488" s="167" t="n"/>
      <c r="I1488" s="167" t="n"/>
      <c r="J1488" s="168" t="n"/>
      <c r="K1488" s="169" t="n"/>
      <c r="L1488" s="172" t="n"/>
      <c r="M1488" s="172" t="n"/>
      <c r="N1488" s="175" t="n"/>
      <c r="O1488" s="168" t="n"/>
      <c r="P1488" s="173" t="n"/>
      <c r="Q1488" s="1" t="n"/>
      <c r="R1488" s="1" t="n"/>
      <c r="S1488" s="1" t="n"/>
      <c r="T1488" s="1" t="n"/>
      <c r="U1488" s="1" t="n"/>
      <c r="V1488" s="1" t="n"/>
      <c r="W1488" s="1" t="n"/>
      <c r="X1488" s="1" t="n"/>
      <c r="Y1488" s="1" t="n"/>
    </row>
    <row r="1489">
      <c r="A1489" s="34">
        <f>IF($H706="UNIDADE CONSTRUTIVA",OFFSET(A706,-1,0)+1,LARGE(A$3:A705,1))</f>
        <v/>
      </c>
      <c r="B1489" s="34" t="n"/>
      <c r="C1489" s="34" t="n"/>
      <c r="D1489" s="35" t="n"/>
      <c r="E1489" s="35" t="n"/>
      <c r="F1489" s="1" t="n"/>
      <c r="G1489" s="167" t="n"/>
      <c r="H1489" s="167" t="n"/>
      <c r="I1489" s="167" t="n"/>
      <c r="J1489" s="168" t="n"/>
      <c r="K1489" s="169" t="n"/>
      <c r="L1489" s="172" t="n"/>
      <c r="M1489" s="172" t="n"/>
      <c r="N1489" s="175" t="n"/>
      <c r="O1489" s="168" t="n"/>
      <c r="P1489" s="173" t="n"/>
      <c r="Q1489" s="1" t="n"/>
      <c r="R1489" s="1" t="n"/>
      <c r="S1489" s="1" t="n"/>
      <c r="T1489" s="1" t="n"/>
      <c r="U1489" s="1" t="n"/>
      <c r="V1489" s="1" t="n"/>
      <c r="W1489" s="1" t="n"/>
      <c r="X1489" s="1" t="n"/>
      <c r="Y1489" s="1" t="n"/>
    </row>
    <row r="1490">
      <c r="A1490" s="34">
        <f>IF($H707="UNIDADE CONSTRUTIVA",OFFSET(A707,-1,0)+1,LARGE(A$3:A706,1))</f>
        <v/>
      </c>
      <c r="B1490" s="34" t="n"/>
      <c r="C1490" s="34" t="n"/>
      <c r="D1490" s="35" t="n"/>
      <c r="E1490" s="35" t="n"/>
      <c r="F1490" s="1" t="n"/>
      <c r="G1490" s="167" t="n"/>
      <c r="H1490" s="167" t="n"/>
      <c r="I1490" s="167" t="n"/>
      <c r="J1490" s="168" t="n"/>
      <c r="K1490" s="169" t="n"/>
      <c r="L1490" s="172" t="n"/>
      <c r="M1490" s="172" t="n"/>
      <c r="N1490" s="175" t="n"/>
      <c r="O1490" s="168" t="n"/>
      <c r="P1490" s="173" t="n"/>
      <c r="Q1490" s="1" t="n"/>
      <c r="R1490" s="1" t="n"/>
      <c r="S1490" s="1" t="n"/>
      <c r="T1490" s="1" t="n"/>
      <c r="U1490" s="1" t="n"/>
      <c r="V1490" s="1" t="n"/>
      <c r="W1490" s="1" t="n"/>
      <c r="X1490" s="1" t="n"/>
      <c r="Y1490" s="1" t="n"/>
    </row>
    <row r="1491">
      <c r="A1491" s="34">
        <f>IF($H708="UNIDADE CONSTRUTIVA",OFFSET(A708,-1,0)+1,LARGE(A$3:A707,1))</f>
        <v/>
      </c>
      <c r="B1491" s="34" t="n"/>
      <c r="C1491" s="34" t="n"/>
      <c r="D1491" s="35" t="n"/>
      <c r="E1491" s="35" t="n"/>
      <c r="F1491" s="1" t="n"/>
      <c r="G1491" s="167" t="n"/>
      <c r="H1491" s="167" t="n"/>
      <c r="I1491" s="167" t="n"/>
      <c r="J1491" s="168" t="n"/>
      <c r="K1491" s="169" t="n"/>
      <c r="L1491" s="172" t="n"/>
      <c r="M1491" s="172" t="n"/>
      <c r="N1491" s="175" t="n"/>
      <c r="O1491" s="168" t="n"/>
      <c r="P1491" s="173" t="n"/>
      <c r="Q1491" s="1" t="n"/>
      <c r="R1491" s="1" t="n"/>
      <c r="S1491" s="1" t="n"/>
      <c r="T1491" s="1" t="n"/>
      <c r="U1491" s="1" t="n"/>
      <c r="V1491" s="1" t="n"/>
      <c r="W1491" s="1" t="n"/>
      <c r="X1491" s="1" t="n"/>
      <c r="Y1491" s="1" t="n"/>
    </row>
    <row r="1492">
      <c r="A1492" s="34">
        <f>IF($H709="UNIDADE CONSTRUTIVA",OFFSET(A709,-1,0)+1,LARGE(A$3:A708,1))</f>
        <v/>
      </c>
      <c r="B1492" s="34" t="n"/>
      <c r="C1492" s="34" t="n"/>
      <c r="D1492" s="35" t="n"/>
      <c r="E1492" s="35" t="n"/>
      <c r="F1492" s="1" t="n"/>
      <c r="G1492" s="167" t="n"/>
      <c r="H1492" s="167" t="n"/>
      <c r="I1492" s="167" t="n"/>
      <c r="J1492" s="168" t="n"/>
      <c r="K1492" s="169" t="n"/>
      <c r="L1492" s="172" t="n"/>
      <c r="M1492" s="172" t="n"/>
      <c r="N1492" s="175" t="n"/>
      <c r="O1492" s="168" t="n"/>
      <c r="P1492" s="173" t="n"/>
      <c r="Q1492" s="1" t="n"/>
      <c r="R1492" s="1" t="n"/>
      <c r="S1492" s="1" t="n"/>
      <c r="T1492" s="1" t="n"/>
      <c r="U1492" s="1" t="n"/>
      <c r="V1492" s="1" t="n"/>
      <c r="W1492" s="1" t="n"/>
      <c r="X1492" s="1" t="n"/>
      <c r="Y1492" s="1" t="n"/>
    </row>
    <row r="1493">
      <c r="A1493" s="34">
        <f>IF($H710="UNIDADE CONSTRUTIVA",OFFSET(A710,-1,0)+1,LARGE(A$3:A709,1))</f>
        <v/>
      </c>
      <c r="B1493" s="34" t="n"/>
      <c r="C1493" s="34" t="n"/>
      <c r="D1493" s="35" t="n"/>
      <c r="E1493" s="35" t="n"/>
      <c r="F1493" s="1" t="n"/>
      <c r="G1493" s="167" t="n"/>
      <c r="H1493" s="167" t="n"/>
      <c r="I1493" s="167" t="n"/>
      <c r="J1493" s="168" t="n"/>
      <c r="K1493" s="169" t="n"/>
      <c r="L1493" s="172" t="n"/>
      <c r="M1493" s="172" t="n"/>
      <c r="N1493" s="175" t="n"/>
      <c r="O1493" s="168" t="n"/>
      <c r="P1493" s="173" t="n"/>
      <c r="Q1493" s="1" t="n"/>
      <c r="R1493" s="1" t="n"/>
      <c r="S1493" s="1" t="n"/>
      <c r="T1493" s="1" t="n"/>
      <c r="U1493" s="1" t="n"/>
      <c r="V1493" s="1" t="n"/>
      <c r="W1493" s="1" t="n"/>
      <c r="X1493" s="1" t="n"/>
      <c r="Y1493" s="1" t="n"/>
    </row>
    <row r="1494">
      <c r="A1494" s="34">
        <f>IF($H711="UNIDADE CONSTRUTIVA",OFFSET(A711,-1,0)+1,LARGE(A$3:A710,1))</f>
        <v/>
      </c>
      <c r="B1494" s="34" t="n"/>
      <c r="C1494" s="34" t="n"/>
      <c r="D1494" s="35" t="n"/>
      <c r="E1494" s="35" t="n"/>
      <c r="F1494" s="1" t="n"/>
      <c r="G1494" s="167" t="n"/>
      <c r="H1494" s="167" t="n"/>
      <c r="I1494" s="167" t="n"/>
      <c r="J1494" s="168" t="n"/>
      <c r="K1494" s="169" t="n"/>
      <c r="L1494" s="172" t="n"/>
      <c r="M1494" s="172" t="n"/>
      <c r="N1494" s="175" t="n"/>
      <c r="O1494" s="168" t="n"/>
      <c r="P1494" s="173" t="n"/>
      <c r="Q1494" s="1" t="n"/>
      <c r="R1494" s="1" t="n"/>
      <c r="S1494" s="1" t="n"/>
      <c r="T1494" s="1" t="n"/>
      <c r="U1494" s="1" t="n"/>
      <c r="V1494" s="1" t="n"/>
      <c r="W1494" s="1" t="n"/>
      <c r="X1494" s="1" t="n"/>
      <c r="Y1494" s="1" t="n"/>
    </row>
    <row r="1495">
      <c r="A1495" s="34">
        <f>IF($H712="UNIDADE CONSTRUTIVA",OFFSET(A712,-1,0)+1,LARGE(A$3:A711,1))</f>
        <v/>
      </c>
      <c r="B1495" s="34" t="n"/>
      <c r="C1495" s="34" t="n"/>
      <c r="D1495" s="35" t="n"/>
      <c r="E1495" s="35" t="n"/>
      <c r="F1495" s="1" t="n"/>
      <c r="G1495" s="167" t="n"/>
      <c r="H1495" s="167" t="n"/>
      <c r="I1495" s="167" t="n"/>
      <c r="J1495" s="168" t="n"/>
      <c r="K1495" s="169" t="n"/>
      <c r="L1495" s="172" t="n"/>
      <c r="M1495" s="172" t="n"/>
      <c r="N1495" s="175" t="n"/>
      <c r="O1495" s="168" t="n"/>
      <c r="P1495" s="173" t="n"/>
      <c r="Q1495" s="1" t="n"/>
      <c r="R1495" s="1" t="n"/>
      <c r="S1495" s="1" t="n"/>
      <c r="T1495" s="1" t="n"/>
      <c r="U1495" s="1" t="n"/>
      <c r="V1495" s="1" t="n"/>
      <c r="W1495" s="1" t="n"/>
      <c r="X1495" s="1" t="n"/>
      <c r="Y1495" s="1" t="n"/>
    </row>
    <row r="1496">
      <c r="A1496" s="34">
        <f>IF($H713="UNIDADE CONSTRUTIVA",OFFSET(A713,-1,0)+1,LARGE(A$3:A712,1))</f>
        <v/>
      </c>
      <c r="B1496" s="34" t="n"/>
      <c r="C1496" s="34" t="n"/>
      <c r="D1496" s="35" t="n"/>
      <c r="E1496" s="35" t="n"/>
      <c r="F1496" s="1" t="n"/>
      <c r="G1496" s="167" t="n"/>
      <c r="H1496" s="167" t="n"/>
      <c r="I1496" s="167" t="n"/>
      <c r="J1496" s="168" t="n"/>
      <c r="K1496" s="169" t="n"/>
      <c r="L1496" s="172" t="n"/>
      <c r="M1496" s="172" t="n"/>
      <c r="N1496" s="175" t="n"/>
      <c r="O1496" s="168" t="n"/>
      <c r="P1496" s="173" t="n"/>
      <c r="Q1496" s="1" t="n"/>
      <c r="R1496" s="1" t="n"/>
      <c r="S1496" s="1" t="n"/>
      <c r="T1496" s="1" t="n"/>
      <c r="U1496" s="1" t="n"/>
      <c r="V1496" s="1" t="n"/>
      <c r="W1496" s="1" t="n"/>
      <c r="X1496" s="1" t="n"/>
      <c r="Y1496" s="1" t="n"/>
    </row>
    <row r="1497">
      <c r="A1497" s="34">
        <f>IF($H714="UNIDADE CONSTRUTIVA",OFFSET(A714,-1,0)+1,LARGE(A$3:A713,1))</f>
        <v/>
      </c>
      <c r="B1497" s="34" t="n"/>
      <c r="C1497" s="34" t="n"/>
      <c r="D1497" s="35" t="n"/>
      <c r="E1497" s="35" t="n"/>
      <c r="F1497" s="1" t="n"/>
      <c r="G1497" s="167" t="n"/>
      <c r="H1497" s="167" t="n"/>
      <c r="I1497" s="167" t="n"/>
      <c r="J1497" s="168" t="n"/>
      <c r="K1497" s="169" t="n"/>
      <c r="L1497" s="172" t="n"/>
      <c r="M1497" s="172" t="n"/>
      <c r="N1497" s="175" t="n"/>
      <c r="O1497" s="168" t="n"/>
      <c r="P1497" s="173" t="n"/>
      <c r="Q1497" s="1" t="n"/>
      <c r="R1497" s="1" t="n"/>
      <c r="S1497" s="1" t="n"/>
      <c r="T1497" s="1" t="n"/>
      <c r="U1497" s="1" t="n"/>
      <c r="V1497" s="1" t="n"/>
      <c r="W1497" s="1" t="n"/>
      <c r="X1497" s="1" t="n"/>
      <c r="Y1497" s="1" t="n"/>
    </row>
    <row r="1498">
      <c r="A1498" s="34">
        <f>IF($H715="UNIDADE CONSTRUTIVA",OFFSET(A715,-1,0)+1,LARGE(A$3:A714,1))</f>
        <v/>
      </c>
      <c r="B1498" s="34" t="n"/>
      <c r="C1498" s="34" t="n"/>
      <c r="D1498" s="35" t="n"/>
      <c r="E1498" s="35" t="n"/>
      <c r="F1498" s="1" t="n"/>
      <c r="G1498" s="167" t="n"/>
      <c r="H1498" s="167" t="n"/>
      <c r="I1498" s="167" t="n"/>
      <c r="J1498" s="168" t="n"/>
      <c r="K1498" s="169" t="n"/>
      <c r="L1498" s="172" t="n"/>
      <c r="M1498" s="172" t="n"/>
      <c r="N1498" s="175" t="n"/>
      <c r="O1498" s="168" t="n"/>
      <c r="P1498" s="173" t="n"/>
      <c r="Q1498" s="1" t="n"/>
      <c r="R1498" s="1" t="n"/>
      <c r="S1498" s="1" t="n"/>
      <c r="T1498" s="1" t="n"/>
      <c r="U1498" s="1" t="n"/>
      <c r="V1498" s="1" t="n"/>
      <c r="W1498" s="1" t="n"/>
      <c r="X1498" s="1" t="n"/>
      <c r="Y1498" s="1" t="n"/>
    </row>
    <row r="1499">
      <c r="A1499" s="34">
        <f>IF($H716="UNIDADE CONSTRUTIVA",OFFSET(A716,-1,0)+1,LARGE(A$3:A715,1))</f>
        <v/>
      </c>
      <c r="B1499" s="34" t="n"/>
      <c r="C1499" s="34" t="n"/>
      <c r="D1499" s="35" t="n"/>
      <c r="E1499" s="35" t="n"/>
      <c r="F1499" s="1" t="n"/>
      <c r="G1499" s="167" t="n"/>
      <c r="H1499" s="167" t="n"/>
      <c r="I1499" s="167" t="n"/>
      <c r="J1499" s="168" t="n"/>
      <c r="K1499" s="169" t="n"/>
      <c r="L1499" s="172" t="n"/>
      <c r="M1499" s="172" t="n"/>
      <c r="N1499" s="175" t="n"/>
      <c r="O1499" s="168" t="n"/>
      <c r="P1499" s="173" t="n"/>
      <c r="Q1499" s="1" t="n"/>
      <c r="R1499" s="1" t="n"/>
      <c r="S1499" s="1" t="n"/>
      <c r="T1499" s="1" t="n"/>
      <c r="U1499" s="1" t="n"/>
      <c r="V1499" s="1" t="n"/>
      <c r="W1499" s="1" t="n"/>
      <c r="X1499" s="1" t="n"/>
      <c r="Y1499" s="1" t="n"/>
    </row>
    <row r="1500">
      <c r="A1500" s="34">
        <f>IF($H717="UNIDADE CONSTRUTIVA",OFFSET(A717,-1,0)+1,LARGE(A$3:A716,1))</f>
        <v/>
      </c>
      <c r="B1500" s="34" t="n"/>
      <c r="C1500" s="34" t="n"/>
      <c r="D1500" s="35" t="n"/>
      <c r="E1500" s="35" t="n"/>
      <c r="F1500" s="1" t="n"/>
      <c r="G1500" s="167" t="n"/>
      <c r="H1500" s="167" t="n"/>
      <c r="I1500" s="167" t="n"/>
      <c r="J1500" s="168" t="n"/>
      <c r="K1500" s="169" t="n"/>
      <c r="L1500" s="172" t="n"/>
      <c r="M1500" s="172" t="n"/>
      <c r="N1500" s="175" t="n"/>
      <c r="O1500" s="168" t="n"/>
      <c r="P1500" s="173" t="n"/>
      <c r="Q1500" s="1" t="n"/>
      <c r="R1500" s="1" t="n"/>
      <c r="S1500" s="1" t="n"/>
      <c r="T1500" s="1" t="n"/>
      <c r="U1500" s="1" t="n"/>
      <c r="V1500" s="1" t="n"/>
      <c r="W1500" s="1" t="n"/>
      <c r="X1500" s="1" t="n"/>
      <c r="Y1500" s="1" t="n"/>
    </row>
    <row r="1501">
      <c r="A1501" s="34">
        <f>IF($H718="UNIDADE CONSTRUTIVA",OFFSET(A718,-1,0)+1,LARGE(A$3:A717,1))</f>
        <v/>
      </c>
      <c r="B1501" s="34" t="n"/>
      <c r="C1501" s="34" t="n"/>
      <c r="D1501" s="35" t="n"/>
      <c r="E1501" s="35" t="n"/>
      <c r="F1501" s="1" t="n"/>
      <c r="G1501" s="167" t="n"/>
      <c r="H1501" s="167" t="n"/>
      <c r="I1501" s="167" t="n"/>
      <c r="J1501" s="168" t="n"/>
      <c r="K1501" s="169" t="n"/>
      <c r="L1501" s="172" t="n"/>
      <c r="M1501" s="172" t="n"/>
      <c r="N1501" s="175" t="n"/>
      <c r="O1501" s="168" t="n"/>
      <c r="P1501" s="173" t="n"/>
      <c r="Q1501" s="1" t="n"/>
      <c r="R1501" s="1" t="n"/>
      <c r="S1501" s="1" t="n"/>
      <c r="T1501" s="1" t="n"/>
      <c r="U1501" s="1" t="n"/>
      <c r="V1501" s="1" t="n"/>
      <c r="W1501" s="1" t="n"/>
      <c r="X1501" s="1" t="n"/>
      <c r="Y1501" s="1" t="n"/>
    </row>
    <row r="1502">
      <c r="A1502" s="34">
        <f>IF($H719="UNIDADE CONSTRUTIVA",OFFSET(A719,-1,0)+1,LARGE(A$3:A718,1))</f>
        <v/>
      </c>
      <c r="B1502" s="34" t="n"/>
      <c r="C1502" s="34" t="n"/>
      <c r="D1502" s="35" t="n"/>
      <c r="E1502" s="35" t="n"/>
      <c r="F1502" s="1" t="n"/>
      <c r="G1502" s="167" t="n"/>
      <c r="H1502" s="167" t="n"/>
      <c r="I1502" s="167" t="n"/>
      <c r="J1502" s="168" t="n"/>
      <c r="K1502" s="169" t="n"/>
      <c r="L1502" s="172" t="n"/>
      <c r="M1502" s="172" t="n"/>
      <c r="N1502" s="175" t="n"/>
      <c r="O1502" s="168" t="n"/>
      <c r="P1502" s="173" t="n"/>
      <c r="Q1502" s="1" t="n"/>
      <c r="R1502" s="1" t="n"/>
      <c r="S1502" s="1" t="n"/>
      <c r="T1502" s="1" t="n"/>
      <c r="U1502" s="1" t="n"/>
      <c r="V1502" s="1" t="n"/>
      <c r="W1502" s="1" t="n"/>
      <c r="X1502" s="1" t="n"/>
      <c r="Y1502" s="1" t="n"/>
    </row>
    <row r="1503">
      <c r="A1503" s="34">
        <f>IF($H720="UNIDADE CONSTRUTIVA",OFFSET(A720,-1,0)+1,LARGE(A$3:A719,1))</f>
        <v/>
      </c>
      <c r="B1503" s="34" t="n"/>
      <c r="C1503" s="34" t="n"/>
      <c r="D1503" s="35" t="n"/>
      <c r="E1503" s="35" t="n"/>
      <c r="F1503" s="1" t="n"/>
      <c r="G1503" s="167" t="n"/>
      <c r="H1503" s="167" t="n"/>
      <c r="I1503" s="167" t="n"/>
      <c r="J1503" s="168" t="n"/>
      <c r="K1503" s="169" t="n"/>
      <c r="L1503" s="172" t="n"/>
      <c r="M1503" s="172" t="n"/>
      <c r="N1503" s="175" t="n"/>
      <c r="O1503" s="168" t="n"/>
      <c r="P1503" s="173" t="n"/>
      <c r="Q1503" s="1" t="n"/>
      <c r="R1503" s="1" t="n"/>
      <c r="S1503" s="1" t="n"/>
      <c r="T1503" s="1" t="n"/>
      <c r="U1503" s="1" t="n"/>
      <c r="V1503" s="1" t="n"/>
      <c r="W1503" s="1" t="n"/>
      <c r="X1503" s="1" t="n"/>
      <c r="Y1503" s="1" t="n"/>
    </row>
    <row r="1504">
      <c r="A1504" s="34">
        <f>IF($H721="UNIDADE CONSTRUTIVA",OFFSET(A721,-1,0)+1,LARGE(A$3:A720,1))</f>
        <v/>
      </c>
      <c r="B1504" s="34" t="n"/>
      <c r="C1504" s="34" t="n"/>
      <c r="D1504" s="35" t="n"/>
      <c r="E1504" s="35" t="n"/>
      <c r="F1504" s="1" t="n"/>
      <c r="G1504" s="167" t="n"/>
      <c r="H1504" s="167" t="n"/>
      <c r="I1504" s="167" t="n"/>
      <c r="J1504" s="168" t="n"/>
      <c r="K1504" s="169" t="n"/>
      <c r="L1504" s="172" t="n"/>
      <c r="M1504" s="172" t="n"/>
      <c r="N1504" s="175" t="n"/>
      <c r="O1504" s="168" t="n"/>
      <c r="P1504" s="173" t="n"/>
      <c r="Q1504" s="1" t="n"/>
      <c r="R1504" s="1" t="n"/>
      <c r="S1504" s="1" t="n"/>
      <c r="T1504" s="1" t="n"/>
      <c r="U1504" s="1" t="n"/>
      <c r="V1504" s="1" t="n"/>
      <c r="W1504" s="1" t="n"/>
      <c r="X1504" s="1" t="n"/>
      <c r="Y1504" s="1" t="n"/>
    </row>
    <row r="1505">
      <c r="A1505" s="34">
        <f>IF($H722="UNIDADE CONSTRUTIVA",OFFSET(A722,-1,0)+1,LARGE(A$3:A721,1))</f>
        <v/>
      </c>
      <c r="B1505" s="34" t="n"/>
      <c r="C1505" s="34" t="n"/>
      <c r="D1505" s="35" t="n"/>
      <c r="E1505" s="35" t="n"/>
      <c r="F1505" s="1" t="n"/>
      <c r="G1505" s="167" t="n"/>
      <c r="H1505" s="167" t="n"/>
      <c r="I1505" s="167" t="n"/>
      <c r="J1505" s="168" t="n"/>
      <c r="K1505" s="169" t="n"/>
      <c r="L1505" s="172" t="n"/>
      <c r="M1505" s="172" t="n"/>
      <c r="N1505" s="175" t="n"/>
      <c r="O1505" s="168" t="n"/>
      <c r="P1505" s="173" t="n"/>
      <c r="Q1505" s="1" t="n"/>
      <c r="R1505" s="1" t="n"/>
      <c r="S1505" s="1" t="n"/>
      <c r="T1505" s="1" t="n"/>
      <c r="U1505" s="1" t="n"/>
      <c r="V1505" s="1" t="n"/>
      <c r="W1505" s="1" t="n"/>
      <c r="X1505" s="1" t="n"/>
      <c r="Y1505" s="1" t="n"/>
    </row>
    <row r="1506">
      <c r="A1506" s="34">
        <f>IF($H723="UNIDADE CONSTRUTIVA",OFFSET(A723,-1,0)+1,LARGE(A$3:A722,1))</f>
        <v/>
      </c>
      <c r="B1506" s="34" t="n"/>
      <c r="C1506" s="34" t="n"/>
      <c r="D1506" s="35" t="n"/>
      <c r="E1506" s="35" t="n"/>
      <c r="F1506" s="1" t="n"/>
      <c r="G1506" s="167" t="n"/>
      <c r="H1506" s="167" t="n"/>
      <c r="I1506" s="167" t="n"/>
      <c r="J1506" s="168" t="n"/>
      <c r="K1506" s="169" t="n"/>
      <c r="L1506" s="172" t="n"/>
      <c r="M1506" s="172" t="n"/>
      <c r="N1506" s="175" t="n"/>
      <c r="O1506" s="168" t="n"/>
      <c r="P1506" s="173" t="n"/>
      <c r="Q1506" s="1" t="n"/>
      <c r="R1506" s="1" t="n"/>
      <c r="S1506" s="1" t="n"/>
      <c r="T1506" s="1" t="n"/>
      <c r="U1506" s="1" t="n"/>
      <c r="V1506" s="1" t="n"/>
      <c r="W1506" s="1" t="n"/>
      <c r="X1506" s="1" t="n"/>
      <c r="Y1506" s="1" t="n"/>
    </row>
    <row r="1507">
      <c r="A1507" s="34">
        <f>IF($H724="UNIDADE CONSTRUTIVA",OFFSET(A724,-1,0)+1,LARGE(A$3:A723,1))</f>
        <v/>
      </c>
      <c r="B1507" s="34" t="n"/>
      <c r="C1507" s="34" t="n"/>
      <c r="D1507" s="35" t="n"/>
      <c r="E1507" s="35" t="n"/>
      <c r="F1507" s="1" t="n"/>
      <c r="G1507" s="167" t="n"/>
      <c r="H1507" s="167" t="n"/>
      <c r="I1507" s="167" t="n"/>
      <c r="J1507" s="168" t="n"/>
      <c r="K1507" s="169" t="n"/>
      <c r="L1507" s="172" t="n"/>
      <c r="M1507" s="172" t="n"/>
      <c r="N1507" s="175" t="n"/>
      <c r="O1507" s="168" t="n"/>
      <c r="P1507" s="173" t="n"/>
      <c r="Q1507" s="1" t="n"/>
      <c r="R1507" s="1" t="n"/>
      <c r="S1507" s="1" t="n"/>
      <c r="T1507" s="1" t="n"/>
      <c r="U1507" s="1" t="n"/>
      <c r="V1507" s="1" t="n"/>
      <c r="W1507" s="1" t="n"/>
      <c r="X1507" s="1" t="n"/>
      <c r="Y1507" s="1" t="n"/>
    </row>
    <row r="1508">
      <c r="A1508" s="34">
        <f>IF($H725="UNIDADE CONSTRUTIVA",OFFSET(A725,-1,0)+1,LARGE(A$3:A724,1))</f>
        <v/>
      </c>
      <c r="B1508" s="34" t="n"/>
      <c r="C1508" s="34" t="n"/>
      <c r="D1508" s="35" t="n"/>
      <c r="E1508" s="35" t="n"/>
      <c r="F1508" s="1" t="n"/>
      <c r="G1508" s="167" t="n"/>
      <c r="H1508" s="167" t="n"/>
      <c r="I1508" s="167" t="n"/>
      <c r="J1508" s="168" t="n"/>
      <c r="K1508" s="169" t="n"/>
      <c r="L1508" s="172" t="n"/>
      <c r="M1508" s="172" t="n"/>
      <c r="N1508" s="175" t="n"/>
      <c r="O1508" s="168" t="n"/>
      <c r="P1508" s="173" t="n"/>
      <c r="Q1508" s="1" t="n"/>
      <c r="R1508" s="1" t="n"/>
      <c r="S1508" s="1" t="n"/>
      <c r="T1508" s="1" t="n"/>
      <c r="U1508" s="1" t="n"/>
      <c r="V1508" s="1" t="n"/>
      <c r="W1508" s="1" t="n"/>
      <c r="X1508" s="1" t="n"/>
      <c r="Y1508" s="1" t="n"/>
    </row>
    <row r="1509">
      <c r="A1509" s="34">
        <f>IF($H726="UNIDADE CONSTRUTIVA",OFFSET(A726,-1,0)+1,LARGE(A$3:A725,1))</f>
        <v/>
      </c>
      <c r="B1509" s="34" t="n"/>
      <c r="C1509" s="34" t="n"/>
      <c r="D1509" s="35" t="n"/>
      <c r="E1509" s="35" t="n"/>
      <c r="F1509" s="1" t="n"/>
      <c r="G1509" s="167" t="n"/>
      <c r="H1509" s="167" t="n"/>
      <c r="I1509" s="167" t="n"/>
      <c r="J1509" s="168" t="n"/>
      <c r="K1509" s="169" t="n"/>
      <c r="L1509" s="172" t="n"/>
      <c r="M1509" s="172" t="n"/>
      <c r="N1509" s="175" t="n"/>
      <c r="O1509" s="168" t="n"/>
      <c r="P1509" s="173" t="n"/>
      <c r="Q1509" s="1" t="n"/>
      <c r="R1509" s="1" t="n"/>
      <c r="S1509" s="1" t="n"/>
      <c r="T1509" s="1" t="n"/>
      <c r="U1509" s="1" t="n"/>
      <c r="V1509" s="1" t="n"/>
      <c r="W1509" s="1" t="n"/>
      <c r="X1509" s="1" t="n"/>
      <c r="Y1509" s="1" t="n"/>
    </row>
    <row r="1510">
      <c r="A1510" s="34">
        <f>IF($H727="UNIDADE CONSTRUTIVA",OFFSET(A727,-1,0)+1,LARGE(A$3:A726,1))</f>
        <v/>
      </c>
      <c r="B1510" s="34" t="n"/>
      <c r="C1510" s="34" t="n"/>
      <c r="D1510" s="35" t="n"/>
      <c r="E1510" s="35" t="n"/>
      <c r="F1510" s="1" t="n"/>
      <c r="G1510" s="167" t="n"/>
      <c r="H1510" s="167" t="n"/>
      <c r="I1510" s="167" t="n"/>
      <c r="J1510" s="168" t="n"/>
      <c r="K1510" s="169" t="n"/>
      <c r="L1510" s="172" t="n"/>
      <c r="M1510" s="172" t="n"/>
      <c r="N1510" s="175" t="n"/>
      <c r="O1510" s="168" t="n"/>
      <c r="P1510" s="173" t="n"/>
      <c r="Q1510" s="1" t="n"/>
      <c r="R1510" s="1" t="n"/>
      <c r="S1510" s="1" t="n"/>
      <c r="T1510" s="1" t="n"/>
      <c r="U1510" s="1" t="n"/>
      <c r="V1510" s="1" t="n"/>
      <c r="W1510" s="1" t="n"/>
      <c r="X1510" s="1" t="n"/>
      <c r="Y1510" s="1" t="n"/>
    </row>
    <row r="1511">
      <c r="A1511" s="34">
        <f>IF($H728="UNIDADE CONSTRUTIVA",OFFSET(A728,-1,0)+1,LARGE(A$3:A727,1))</f>
        <v/>
      </c>
      <c r="B1511" s="34" t="n"/>
      <c r="C1511" s="34" t="n"/>
      <c r="D1511" s="35" t="n"/>
      <c r="E1511" s="35" t="n"/>
      <c r="F1511" s="1" t="n"/>
      <c r="G1511" s="167" t="n"/>
      <c r="H1511" s="167" t="n"/>
      <c r="I1511" s="167" t="n"/>
      <c r="J1511" s="168" t="n"/>
      <c r="K1511" s="169" t="n"/>
      <c r="L1511" s="172" t="n"/>
      <c r="M1511" s="172" t="n"/>
      <c r="N1511" s="175" t="n"/>
      <c r="O1511" s="168" t="n"/>
      <c r="P1511" s="173" t="n"/>
      <c r="Q1511" s="1" t="n"/>
      <c r="R1511" s="1" t="n"/>
      <c r="S1511" s="1" t="n"/>
      <c r="T1511" s="1" t="n"/>
      <c r="U1511" s="1" t="n"/>
      <c r="V1511" s="1" t="n"/>
      <c r="W1511" s="1" t="n"/>
      <c r="X1511" s="1" t="n"/>
      <c r="Y1511" s="1" t="n"/>
    </row>
    <row r="1512">
      <c r="A1512" s="34">
        <f>IF($H729="UNIDADE CONSTRUTIVA",OFFSET(A729,-1,0)+1,LARGE(A$3:A728,1))</f>
        <v/>
      </c>
      <c r="B1512" s="34" t="n"/>
      <c r="C1512" s="34" t="n"/>
      <c r="D1512" s="35" t="n"/>
      <c r="E1512" s="35" t="n"/>
      <c r="F1512" s="1" t="n"/>
      <c r="G1512" s="167" t="n"/>
      <c r="H1512" s="167" t="n"/>
      <c r="I1512" s="167" t="n"/>
      <c r="J1512" s="168" t="n"/>
      <c r="K1512" s="169" t="n"/>
      <c r="L1512" s="172" t="n"/>
      <c r="M1512" s="172" t="n"/>
      <c r="N1512" s="175" t="n"/>
      <c r="O1512" s="168" t="n"/>
      <c r="P1512" s="173" t="n"/>
      <c r="Q1512" s="1" t="n"/>
      <c r="R1512" s="1" t="n"/>
      <c r="S1512" s="1" t="n"/>
      <c r="T1512" s="1" t="n"/>
      <c r="U1512" s="1" t="n"/>
      <c r="V1512" s="1" t="n"/>
      <c r="W1512" s="1" t="n"/>
      <c r="X1512" s="1" t="n"/>
      <c r="Y1512" s="1" t="n"/>
    </row>
    <row r="1513">
      <c r="A1513" s="34">
        <f>IF($H730="UNIDADE CONSTRUTIVA",OFFSET(A730,-1,0)+1,LARGE(A$3:A729,1))</f>
        <v/>
      </c>
      <c r="B1513" s="34" t="n"/>
      <c r="C1513" s="34" t="n"/>
      <c r="D1513" s="35" t="n"/>
      <c r="E1513" s="35" t="n"/>
      <c r="F1513" s="1" t="n"/>
      <c r="G1513" s="167" t="n"/>
      <c r="H1513" s="167" t="n"/>
      <c r="I1513" s="167" t="n"/>
      <c r="J1513" s="168" t="n"/>
      <c r="K1513" s="169" t="n"/>
      <c r="L1513" s="172" t="n"/>
      <c r="M1513" s="172" t="n"/>
      <c r="N1513" s="175" t="n"/>
      <c r="O1513" s="168" t="n"/>
      <c r="P1513" s="173" t="n"/>
      <c r="Q1513" s="1" t="n"/>
      <c r="R1513" s="1" t="n"/>
      <c r="S1513" s="1" t="n"/>
      <c r="T1513" s="1" t="n"/>
      <c r="U1513" s="1" t="n"/>
      <c r="V1513" s="1" t="n"/>
      <c r="W1513" s="1" t="n"/>
      <c r="X1513" s="1" t="n"/>
      <c r="Y1513" s="1" t="n"/>
    </row>
    <row r="1514">
      <c r="A1514" s="34">
        <f>IF($H731="UNIDADE CONSTRUTIVA",OFFSET(A731,-1,0)+1,LARGE(A$3:A730,1))</f>
        <v/>
      </c>
      <c r="B1514" s="34" t="n"/>
      <c r="C1514" s="34" t="n"/>
      <c r="D1514" s="35" t="n"/>
      <c r="E1514" s="35" t="n"/>
      <c r="F1514" s="1" t="n"/>
      <c r="G1514" s="167" t="n"/>
      <c r="H1514" s="167" t="n"/>
      <c r="I1514" s="167" t="n"/>
      <c r="J1514" s="168" t="n"/>
      <c r="K1514" s="169" t="n"/>
      <c r="L1514" s="172" t="n"/>
      <c r="M1514" s="172" t="n"/>
      <c r="N1514" s="175" t="n"/>
      <c r="O1514" s="168" t="n"/>
      <c r="P1514" s="173" t="n"/>
      <c r="Q1514" s="1" t="n"/>
      <c r="R1514" s="1" t="n"/>
      <c r="S1514" s="1" t="n"/>
      <c r="T1514" s="1" t="n"/>
      <c r="U1514" s="1" t="n"/>
      <c r="V1514" s="1" t="n"/>
      <c r="W1514" s="1" t="n"/>
      <c r="X1514" s="1" t="n"/>
      <c r="Y1514" s="1" t="n"/>
    </row>
    <row r="1515">
      <c r="A1515" s="34">
        <f>IF($H732="UNIDADE CONSTRUTIVA",OFFSET(A732,-1,0)+1,LARGE(A$3:A731,1))</f>
        <v/>
      </c>
      <c r="B1515" s="34" t="n"/>
      <c r="C1515" s="34" t="n"/>
      <c r="D1515" s="35" t="n"/>
      <c r="E1515" s="35" t="n"/>
      <c r="F1515" s="1" t="n"/>
      <c r="G1515" s="167" t="n"/>
      <c r="H1515" s="167" t="n"/>
      <c r="I1515" s="167" t="n"/>
      <c r="J1515" s="168" t="n"/>
      <c r="K1515" s="169" t="n"/>
      <c r="L1515" s="172" t="n"/>
      <c r="M1515" s="172" t="n"/>
      <c r="N1515" s="175" t="n"/>
      <c r="O1515" s="168" t="n"/>
      <c r="P1515" s="173" t="n"/>
      <c r="Q1515" s="1" t="n"/>
      <c r="R1515" s="1" t="n"/>
      <c r="S1515" s="1" t="n"/>
      <c r="T1515" s="1" t="n"/>
      <c r="U1515" s="1" t="n"/>
      <c r="V1515" s="1" t="n"/>
      <c r="W1515" s="1" t="n"/>
      <c r="X1515" s="1" t="n"/>
      <c r="Y1515" s="1" t="n"/>
    </row>
    <row r="1516">
      <c r="A1516" s="34">
        <f>IF($H733="UNIDADE CONSTRUTIVA",OFFSET(A733,-1,0)+1,LARGE(A$3:A732,1))</f>
        <v/>
      </c>
      <c r="B1516" s="34" t="n"/>
      <c r="C1516" s="34" t="n"/>
      <c r="D1516" s="35" t="n"/>
      <c r="E1516" s="35" t="n"/>
      <c r="F1516" s="1" t="n"/>
      <c r="G1516" s="167" t="n"/>
      <c r="H1516" s="167" t="n"/>
      <c r="I1516" s="167" t="n"/>
      <c r="J1516" s="168" t="n"/>
      <c r="K1516" s="169" t="n"/>
      <c r="L1516" s="172" t="n"/>
      <c r="M1516" s="172" t="n"/>
      <c r="N1516" s="175" t="n"/>
      <c r="O1516" s="168" t="n"/>
      <c r="P1516" s="173" t="n"/>
      <c r="Q1516" s="1" t="n"/>
      <c r="R1516" s="1" t="n"/>
      <c r="S1516" s="1" t="n"/>
      <c r="T1516" s="1" t="n"/>
      <c r="U1516" s="1" t="n"/>
      <c r="V1516" s="1" t="n"/>
      <c r="W1516" s="1" t="n"/>
      <c r="X1516" s="1" t="n"/>
      <c r="Y1516" s="1" t="n"/>
    </row>
    <row r="1517">
      <c r="A1517" s="34">
        <f>IF($H734="UNIDADE CONSTRUTIVA",OFFSET(A734,-1,0)+1,LARGE(A$3:A733,1))</f>
        <v/>
      </c>
      <c r="B1517" s="34" t="n"/>
      <c r="C1517" s="34" t="n"/>
      <c r="D1517" s="35" t="n"/>
      <c r="E1517" s="35" t="n"/>
      <c r="F1517" s="1" t="n"/>
      <c r="G1517" s="167" t="n"/>
      <c r="H1517" s="167" t="n"/>
      <c r="I1517" s="167" t="n"/>
      <c r="J1517" s="168" t="n"/>
      <c r="K1517" s="169" t="n"/>
      <c r="L1517" s="172" t="n"/>
      <c r="M1517" s="172" t="n"/>
      <c r="N1517" s="175" t="n"/>
      <c r="O1517" s="168" t="n"/>
      <c r="P1517" s="173" t="n"/>
      <c r="Q1517" s="1" t="n"/>
      <c r="R1517" s="1" t="n"/>
      <c r="S1517" s="1" t="n"/>
      <c r="T1517" s="1" t="n"/>
      <c r="U1517" s="1" t="n"/>
      <c r="V1517" s="1" t="n"/>
      <c r="W1517" s="1" t="n"/>
      <c r="X1517" s="1" t="n"/>
      <c r="Y1517" s="1" t="n"/>
    </row>
    <row r="1518">
      <c r="A1518" s="34">
        <f>IF($H735="UNIDADE CONSTRUTIVA",OFFSET(A735,-1,0)+1,LARGE(A$3:A734,1))</f>
        <v/>
      </c>
      <c r="B1518" s="34" t="n"/>
      <c r="C1518" s="34" t="n"/>
      <c r="D1518" s="35" t="n"/>
      <c r="E1518" s="35" t="n"/>
      <c r="F1518" s="1" t="n"/>
      <c r="G1518" s="167" t="n"/>
      <c r="H1518" s="167" t="n"/>
      <c r="I1518" s="167" t="n"/>
      <c r="J1518" s="168" t="n"/>
      <c r="K1518" s="169" t="n"/>
      <c r="L1518" s="172" t="n"/>
      <c r="M1518" s="172" t="n"/>
      <c r="N1518" s="175" t="n"/>
      <c r="O1518" s="168" t="n"/>
      <c r="P1518" s="173" t="n"/>
      <c r="Q1518" s="1" t="n"/>
      <c r="R1518" s="1" t="n"/>
      <c r="S1518" s="1" t="n"/>
      <c r="T1518" s="1" t="n"/>
      <c r="U1518" s="1" t="n"/>
      <c r="V1518" s="1" t="n"/>
      <c r="W1518" s="1" t="n"/>
      <c r="X1518" s="1" t="n"/>
      <c r="Y1518" s="1" t="n"/>
    </row>
    <row r="1519">
      <c r="A1519" s="34">
        <f>IF($H736="UNIDADE CONSTRUTIVA",OFFSET(A736,-1,0)+1,LARGE(A$3:A735,1))</f>
        <v/>
      </c>
      <c r="B1519" s="34" t="n"/>
      <c r="C1519" s="34" t="n"/>
      <c r="D1519" s="35" t="n"/>
      <c r="E1519" s="35" t="n"/>
      <c r="F1519" s="1" t="n"/>
      <c r="G1519" s="167" t="n"/>
      <c r="H1519" s="167" t="n"/>
      <c r="I1519" s="167" t="n"/>
      <c r="J1519" s="168" t="n"/>
      <c r="K1519" s="169" t="n"/>
      <c r="L1519" s="172" t="n"/>
      <c r="M1519" s="172" t="n"/>
      <c r="N1519" s="175" t="n"/>
      <c r="O1519" s="168" t="n"/>
      <c r="P1519" s="173" t="n"/>
      <c r="Q1519" s="1" t="n"/>
      <c r="R1519" s="1" t="n"/>
      <c r="S1519" s="1" t="n"/>
      <c r="T1519" s="1" t="n"/>
      <c r="U1519" s="1" t="n"/>
      <c r="V1519" s="1" t="n"/>
      <c r="W1519" s="1" t="n"/>
      <c r="X1519" s="1" t="n"/>
      <c r="Y1519" s="1" t="n"/>
    </row>
    <row r="1520">
      <c r="A1520" s="34">
        <f>IF($H737="UNIDADE CONSTRUTIVA",OFFSET(A737,-1,0)+1,LARGE(A$3:A736,1))</f>
        <v/>
      </c>
      <c r="B1520" s="34" t="n"/>
      <c r="C1520" s="34" t="n"/>
      <c r="D1520" s="35" t="n"/>
      <c r="E1520" s="35" t="n"/>
      <c r="F1520" s="1" t="n"/>
      <c r="G1520" s="167" t="n"/>
      <c r="H1520" s="167" t="n"/>
      <c r="I1520" s="167" t="n"/>
      <c r="J1520" s="168" t="n"/>
      <c r="K1520" s="169" t="n"/>
      <c r="L1520" s="172" t="n"/>
      <c r="M1520" s="172" t="n"/>
      <c r="N1520" s="175" t="n"/>
      <c r="O1520" s="168" t="n"/>
      <c r="P1520" s="173" t="n"/>
      <c r="Q1520" s="1" t="n"/>
      <c r="R1520" s="1" t="n"/>
      <c r="S1520" s="1" t="n"/>
      <c r="T1520" s="1" t="n"/>
      <c r="U1520" s="1" t="n"/>
      <c r="V1520" s="1" t="n"/>
      <c r="W1520" s="1" t="n"/>
      <c r="X1520" s="1" t="n"/>
      <c r="Y1520" s="1" t="n"/>
    </row>
    <row r="1521">
      <c r="A1521" s="34">
        <f>IF($H738="UNIDADE CONSTRUTIVA",OFFSET(A738,-1,0)+1,LARGE(A$3:A737,1))</f>
        <v/>
      </c>
      <c r="B1521" s="34" t="n"/>
      <c r="C1521" s="34" t="n"/>
      <c r="D1521" s="35" t="n"/>
      <c r="E1521" s="35" t="n"/>
      <c r="F1521" s="1" t="n"/>
      <c r="G1521" s="167" t="n"/>
      <c r="H1521" s="167" t="n"/>
      <c r="I1521" s="167" t="n"/>
      <c r="J1521" s="168" t="n"/>
      <c r="K1521" s="169" t="n"/>
      <c r="L1521" s="172" t="n"/>
      <c r="M1521" s="172" t="n"/>
      <c r="N1521" s="175" t="n"/>
      <c r="O1521" s="168" t="n"/>
      <c r="P1521" s="173" t="n"/>
      <c r="Q1521" s="1" t="n"/>
      <c r="R1521" s="1" t="n"/>
      <c r="S1521" s="1" t="n"/>
      <c r="T1521" s="1" t="n"/>
      <c r="U1521" s="1" t="n"/>
      <c r="V1521" s="1" t="n"/>
      <c r="W1521" s="1" t="n"/>
      <c r="X1521" s="1" t="n"/>
      <c r="Y1521" s="1" t="n"/>
    </row>
    <row r="1522">
      <c r="A1522" s="34">
        <f>IF($H739="UNIDADE CONSTRUTIVA",OFFSET(A739,-1,0)+1,LARGE(A$3:A738,1))</f>
        <v/>
      </c>
      <c r="B1522" s="34" t="n"/>
      <c r="C1522" s="34" t="n"/>
      <c r="D1522" s="35" t="n"/>
      <c r="E1522" s="35" t="n"/>
      <c r="F1522" s="1" t="n"/>
      <c r="G1522" s="167" t="n"/>
      <c r="H1522" s="167" t="n"/>
      <c r="I1522" s="167" t="n"/>
      <c r="J1522" s="168" t="n"/>
      <c r="K1522" s="169" t="n"/>
      <c r="L1522" s="172" t="n"/>
      <c r="M1522" s="172" t="n"/>
      <c r="N1522" s="175" t="n"/>
      <c r="O1522" s="168" t="n"/>
      <c r="P1522" s="173" t="n"/>
      <c r="Q1522" s="1" t="n"/>
      <c r="R1522" s="1" t="n"/>
      <c r="S1522" s="1" t="n"/>
      <c r="T1522" s="1" t="n"/>
      <c r="U1522" s="1" t="n"/>
      <c r="V1522" s="1" t="n"/>
      <c r="W1522" s="1" t="n"/>
      <c r="X1522" s="1" t="n"/>
      <c r="Y1522" s="1" t="n"/>
    </row>
    <row r="1523">
      <c r="A1523" s="34">
        <f>IF($H740="UNIDADE CONSTRUTIVA",OFFSET(A740,-1,0)+1,LARGE(A$3:A739,1))</f>
        <v/>
      </c>
      <c r="B1523" s="34" t="n"/>
      <c r="C1523" s="34" t="n"/>
      <c r="D1523" s="35" t="n"/>
      <c r="E1523" s="35" t="n"/>
      <c r="F1523" s="1" t="n"/>
      <c r="G1523" s="167" t="n"/>
      <c r="H1523" s="167" t="n"/>
      <c r="I1523" s="167" t="n"/>
      <c r="J1523" s="168" t="n"/>
      <c r="K1523" s="169" t="n"/>
      <c r="L1523" s="172" t="n"/>
      <c r="M1523" s="172" t="n"/>
      <c r="N1523" s="175" t="n"/>
      <c r="O1523" s="168" t="n"/>
      <c r="P1523" s="173" t="n"/>
      <c r="Q1523" s="1" t="n"/>
      <c r="R1523" s="1" t="n"/>
      <c r="S1523" s="1" t="n"/>
      <c r="T1523" s="1" t="n"/>
      <c r="U1523" s="1" t="n"/>
      <c r="V1523" s="1" t="n"/>
      <c r="W1523" s="1" t="n"/>
      <c r="X1523" s="1" t="n"/>
      <c r="Y1523" s="1" t="n"/>
    </row>
    <row r="1524">
      <c r="A1524" s="34">
        <f>IF($H741="UNIDADE CONSTRUTIVA",OFFSET(A741,-1,0)+1,LARGE(A$3:A740,1))</f>
        <v/>
      </c>
      <c r="B1524" s="34" t="n"/>
      <c r="C1524" s="34" t="n"/>
      <c r="D1524" s="35" t="n"/>
      <c r="E1524" s="35" t="n"/>
      <c r="F1524" s="1" t="n"/>
      <c r="G1524" s="167" t="n"/>
      <c r="H1524" s="167" t="n"/>
      <c r="I1524" s="167" t="n"/>
      <c r="J1524" s="168" t="n"/>
      <c r="K1524" s="169" t="n"/>
      <c r="L1524" s="172" t="n"/>
      <c r="M1524" s="172" t="n"/>
      <c r="N1524" s="175" t="n"/>
      <c r="O1524" s="168" t="n"/>
      <c r="P1524" s="173" t="n"/>
      <c r="Q1524" s="1" t="n"/>
      <c r="R1524" s="1" t="n"/>
      <c r="S1524" s="1" t="n"/>
      <c r="T1524" s="1" t="n"/>
      <c r="U1524" s="1" t="n"/>
      <c r="V1524" s="1" t="n"/>
      <c r="W1524" s="1" t="n"/>
      <c r="X1524" s="1" t="n"/>
      <c r="Y1524" s="1" t="n"/>
    </row>
    <row r="1525">
      <c r="A1525" s="34">
        <f>IF($H742="UNIDADE CONSTRUTIVA",OFFSET(A742,-1,0)+1,LARGE(A$3:A741,1))</f>
        <v/>
      </c>
      <c r="B1525" s="34" t="n"/>
      <c r="C1525" s="34" t="n"/>
      <c r="D1525" s="35" t="n"/>
      <c r="E1525" s="35" t="n"/>
      <c r="F1525" s="1" t="n"/>
      <c r="G1525" s="167" t="n"/>
      <c r="H1525" s="167" t="n"/>
      <c r="I1525" s="167" t="n"/>
      <c r="J1525" s="168" t="n"/>
      <c r="K1525" s="169" t="n"/>
      <c r="L1525" s="172" t="n"/>
      <c r="M1525" s="172" t="n"/>
      <c r="N1525" s="175" t="n"/>
      <c r="O1525" s="168" t="n"/>
      <c r="P1525" s="173" t="n"/>
      <c r="Q1525" s="1" t="n"/>
      <c r="R1525" s="1" t="n"/>
      <c r="S1525" s="1" t="n"/>
      <c r="T1525" s="1" t="n"/>
      <c r="U1525" s="1" t="n"/>
      <c r="V1525" s="1" t="n"/>
      <c r="W1525" s="1" t="n"/>
      <c r="X1525" s="1" t="n"/>
      <c r="Y1525" s="1" t="n"/>
    </row>
    <row r="1526">
      <c r="A1526" s="34">
        <f>IF($H743="UNIDADE CONSTRUTIVA",OFFSET(A743,-1,0)+1,LARGE(A$3:A742,1))</f>
        <v/>
      </c>
      <c r="B1526" s="34" t="n"/>
      <c r="C1526" s="34" t="n"/>
      <c r="D1526" s="35" t="n"/>
      <c r="E1526" s="35" t="n"/>
      <c r="F1526" s="1" t="n"/>
      <c r="G1526" s="167" t="n"/>
      <c r="H1526" s="167" t="n"/>
      <c r="I1526" s="167" t="n"/>
      <c r="J1526" s="168" t="n"/>
      <c r="K1526" s="169" t="n"/>
      <c r="L1526" s="172" t="n"/>
      <c r="M1526" s="172" t="n"/>
      <c r="N1526" s="175" t="n"/>
      <c r="O1526" s="168" t="n"/>
      <c r="P1526" s="173" t="n"/>
      <c r="Q1526" s="1" t="n"/>
      <c r="R1526" s="1" t="n"/>
      <c r="S1526" s="1" t="n"/>
      <c r="T1526" s="1" t="n"/>
      <c r="U1526" s="1" t="n"/>
      <c r="V1526" s="1" t="n"/>
      <c r="W1526" s="1" t="n"/>
      <c r="X1526" s="1" t="n"/>
      <c r="Y1526" s="1" t="n"/>
    </row>
    <row r="1527">
      <c r="A1527" s="34">
        <f>IF($H744="UNIDADE CONSTRUTIVA",OFFSET(A744,-1,0)+1,LARGE(A$3:A743,1))</f>
        <v/>
      </c>
      <c r="B1527" s="34" t="n"/>
      <c r="C1527" s="34" t="n"/>
      <c r="D1527" s="35" t="n"/>
      <c r="E1527" s="35" t="n"/>
      <c r="F1527" s="1" t="n"/>
      <c r="G1527" s="167" t="n"/>
      <c r="H1527" s="167" t="n"/>
      <c r="I1527" s="167" t="n"/>
      <c r="J1527" s="168" t="n"/>
      <c r="K1527" s="169" t="n"/>
      <c r="L1527" s="172" t="n"/>
      <c r="M1527" s="172" t="n"/>
      <c r="N1527" s="175" t="n"/>
      <c r="O1527" s="168" t="n"/>
      <c r="P1527" s="173" t="n"/>
      <c r="Q1527" s="1" t="n"/>
      <c r="R1527" s="1" t="n"/>
      <c r="S1527" s="1" t="n"/>
      <c r="T1527" s="1" t="n"/>
      <c r="U1527" s="1" t="n"/>
      <c r="V1527" s="1" t="n"/>
      <c r="W1527" s="1" t="n"/>
      <c r="X1527" s="1" t="n"/>
      <c r="Y1527" s="1" t="n"/>
    </row>
    <row r="1528">
      <c r="A1528" s="34">
        <f>IF($H745="UNIDADE CONSTRUTIVA",OFFSET(A745,-1,0)+1,LARGE(A$3:A744,1))</f>
        <v/>
      </c>
      <c r="B1528" s="34" t="n"/>
      <c r="C1528" s="34" t="n"/>
      <c r="D1528" s="35" t="n"/>
      <c r="E1528" s="35" t="n"/>
      <c r="F1528" s="1" t="n"/>
      <c r="G1528" s="167" t="n"/>
      <c r="H1528" s="167" t="n"/>
      <c r="I1528" s="167" t="n"/>
      <c r="J1528" s="168" t="n"/>
      <c r="K1528" s="169" t="n"/>
      <c r="L1528" s="172" t="n"/>
      <c r="M1528" s="172" t="n"/>
      <c r="N1528" s="175" t="n"/>
      <c r="O1528" s="168" t="n"/>
      <c r="P1528" s="173" t="n"/>
      <c r="Q1528" s="1" t="n"/>
      <c r="R1528" s="1" t="n"/>
      <c r="S1528" s="1" t="n"/>
      <c r="T1528" s="1" t="n"/>
      <c r="U1528" s="1" t="n"/>
      <c r="V1528" s="1" t="n"/>
      <c r="W1528" s="1" t="n"/>
      <c r="X1528" s="1" t="n"/>
      <c r="Y1528" s="1" t="n"/>
    </row>
    <row r="1529">
      <c r="A1529" s="34">
        <f>IF($H746="UNIDADE CONSTRUTIVA",OFFSET(A746,-1,0)+1,LARGE(A$3:A745,1))</f>
        <v/>
      </c>
      <c r="B1529" s="34" t="n"/>
      <c r="C1529" s="34" t="n"/>
      <c r="D1529" s="35" t="n"/>
      <c r="E1529" s="35" t="n"/>
      <c r="F1529" s="1" t="n"/>
      <c r="G1529" s="167" t="n"/>
      <c r="H1529" s="167" t="n"/>
      <c r="I1529" s="167" t="n"/>
      <c r="J1529" s="168" t="n"/>
      <c r="K1529" s="169" t="n"/>
      <c r="L1529" s="172" t="n"/>
      <c r="M1529" s="172" t="n"/>
      <c r="N1529" s="175" t="n"/>
      <c r="O1529" s="168" t="n"/>
      <c r="P1529" s="173" t="n"/>
      <c r="Q1529" s="1" t="n"/>
      <c r="R1529" s="1" t="n"/>
      <c r="S1529" s="1" t="n"/>
      <c r="T1529" s="1" t="n"/>
      <c r="U1529" s="1" t="n"/>
      <c r="V1529" s="1" t="n"/>
      <c r="W1529" s="1" t="n"/>
      <c r="X1529" s="1" t="n"/>
      <c r="Y1529" s="1" t="n"/>
    </row>
    <row r="1530">
      <c r="A1530" s="34">
        <f>IF($H747="UNIDADE CONSTRUTIVA",OFFSET(A747,-1,0)+1,LARGE(A$3:A746,1))</f>
        <v/>
      </c>
      <c r="B1530" s="34" t="n"/>
      <c r="C1530" s="34" t="n"/>
      <c r="D1530" s="35" t="n"/>
      <c r="E1530" s="35" t="n"/>
      <c r="F1530" s="1" t="n"/>
      <c r="G1530" s="167" t="n"/>
      <c r="H1530" s="167" t="n"/>
      <c r="I1530" s="167" t="n"/>
      <c r="J1530" s="168" t="n"/>
      <c r="K1530" s="169" t="n"/>
      <c r="L1530" s="172" t="n"/>
      <c r="M1530" s="172" t="n"/>
      <c r="N1530" s="175" t="n"/>
      <c r="O1530" s="168" t="n"/>
      <c r="P1530" s="173" t="n"/>
      <c r="Q1530" s="1" t="n"/>
      <c r="R1530" s="1" t="n"/>
      <c r="S1530" s="1" t="n"/>
      <c r="T1530" s="1" t="n"/>
      <c r="U1530" s="1" t="n"/>
      <c r="V1530" s="1" t="n"/>
      <c r="W1530" s="1" t="n"/>
      <c r="X1530" s="1" t="n"/>
      <c r="Y1530" s="1" t="n"/>
    </row>
    <row r="1531">
      <c r="A1531" s="34">
        <f>IF($H748="UNIDADE CONSTRUTIVA",OFFSET(A748,-1,0)+1,LARGE(A$3:A747,1))</f>
        <v/>
      </c>
      <c r="B1531" s="34" t="n"/>
      <c r="C1531" s="34" t="n"/>
      <c r="D1531" s="35" t="n"/>
      <c r="E1531" s="35" t="n"/>
      <c r="F1531" s="1" t="n"/>
      <c r="G1531" s="167" t="n"/>
      <c r="H1531" s="167" t="n"/>
      <c r="I1531" s="167" t="n"/>
      <c r="J1531" s="168" t="n"/>
      <c r="K1531" s="169" t="n"/>
      <c r="L1531" s="172" t="n"/>
      <c r="M1531" s="172" t="n"/>
      <c r="N1531" s="175" t="n"/>
      <c r="O1531" s="168" t="n"/>
      <c r="P1531" s="173" t="n"/>
      <c r="Q1531" s="1" t="n"/>
      <c r="R1531" s="1" t="n"/>
      <c r="S1531" s="1" t="n"/>
      <c r="T1531" s="1" t="n"/>
      <c r="U1531" s="1" t="n"/>
      <c r="V1531" s="1" t="n"/>
      <c r="W1531" s="1" t="n"/>
      <c r="X1531" s="1" t="n"/>
      <c r="Y1531" s="1" t="n"/>
    </row>
    <row r="1532">
      <c r="A1532" s="34">
        <f>IF($H749="UNIDADE CONSTRUTIVA",OFFSET(A749,-1,0)+1,LARGE(A$3:A748,1))</f>
        <v/>
      </c>
      <c r="B1532" s="34" t="n"/>
      <c r="C1532" s="34" t="n"/>
      <c r="D1532" s="35" t="n"/>
      <c r="E1532" s="35" t="n"/>
      <c r="F1532" s="1" t="n"/>
      <c r="G1532" s="167" t="n"/>
      <c r="H1532" s="167" t="n"/>
      <c r="I1532" s="167" t="n"/>
      <c r="J1532" s="168" t="n"/>
      <c r="K1532" s="169" t="n"/>
      <c r="L1532" s="172" t="n"/>
      <c r="M1532" s="172" t="n"/>
      <c r="N1532" s="175" t="n"/>
      <c r="O1532" s="168" t="n"/>
      <c r="P1532" s="173" t="n"/>
      <c r="Q1532" s="1" t="n"/>
      <c r="R1532" s="1" t="n"/>
      <c r="S1532" s="1" t="n"/>
      <c r="T1532" s="1" t="n"/>
      <c r="U1532" s="1" t="n"/>
      <c r="V1532" s="1" t="n"/>
      <c r="W1532" s="1" t="n"/>
      <c r="X1532" s="1" t="n"/>
      <c r="Y1532" s="1" t="n"/>
    </row>
    <row r="1533">
      <c r="A1533" s="34">
        <f>IF($H750="UNIDADE CONSTRUTIVA",OFFSET(A750,-1,0)+1,LARGE(A$3:A749,1))</f>
        <v/>
      </c>
      <c r="B1533" s="34" t="n"/>
      <c r="C1533" s="34" t="n"/>
      <c r="D1533" s="35" t="n"/>
      <c r="E1533" s="35" t="n"/>
      <c r="F1533" s="1" t="n"/>
      <c r="G1533" s="167" t="n"/>
      <c r="H1533" s="167" t="n"/>
      <c r="I1533" s="167" t="n"/>
      <c r="J1533" s="168" t="n"/>
      <c r="K1533" s="169" t="n"/>
      <c r="L1533" s="172" t="n"/>
      <c r="M1533" s="172" t="n"/>
      <c r="N1533" s="175" t="n"/>
      <c r="O1533" s="168" t="n"/>
      <c r="P1533" s="173" t="n"/>
      <c r="Q1533" s="1" t="n"/>
      <c r="R1533" s="1" t="n"/>
      <c r="S1533" s="1" t="n"/>
      <c r="T1533" s="1" t="n"/>
      <c r="U1533" s="1" t="n"/>
      <c r="V1533" s="1" t="n"/>
      <c r="W1533" s="1" t="n"/>
      <c r="X1533" s="1" t="n"/>
      <c r="Y1533" s="1" t="n"/>
    </row>
    <row r="1534">
      <c r="A1534" s="34">
        <f>IF($H751="UNIDADE CONSTRUTIVA",OFFSET(A751,-1,0)+1,LARGE(A$3:A750,1))</f>
        <v/>
      </c>
      <c r="B1534" s="34" t="n"/>
      <c r="C1534" s="34" t="n"/>
      <c r="D1534" s="35" t="n"/>
      <c r="E1534" s="35" t="n"/>
      <c r="F1534" s="1" t="n"/>
      <c r="G1534" s="167" t="n"/>
      <c r="H1534" s="167" t="n"/>
      <c r="I1534" s="167" t="n"/>
      <c r="J1534" s="168" t="n"/>
      <c r="K1534" s="169" t="n"/>
      <c r="L1534" s="172" t="n"/>
      <c r="M1534" s="172" t="n"/>
      <c r="N1534" s="175" t="n"/>
      <c r="O1534" s="168" t="n"/>
      <c r="P1534" s="173" t="n"/>
      <c r="Q1534" s="1" t="n"/>
      <c r="R1534" s="1" t="n"/>
      <c r="S1534" s="1" t="n"/>
      <c r="T1534" s="1" t="n"/>
      <c r="U1534" s="1" t="n"/>
      <c r="V1534" s="1" t="n"/>
      <c r="W1534" s="1" t="n"/>
      <c r="X1534" s="1" t="n"/>
      <c r="Y1534" s="1" t="n"/>
    </row>
    <row r="1535">
      <c r="A1535" s="34">
        <f>IF($H752="UNIDADE CONSTRUTIVA",OFFSET(A752,-1,0)+1,LARGE(A$3:A751,1))</f>
        <v/>
      </c>
      <c r="B1535" s="34" t="n"/>
      <c r="C1535" s="34" t="n"/>
      <c r="D1535" s="35" t="n"/>
      <c r="E1535" s="35" t="n"/>
      <c r="F1535" s="1" t="n"/>
      <c r="G1535" s="167" t="n"/>
      <c r="H1535" s="167" t="n"/>
      <c r="I1535" s="167" t="n"/>
      <c r="J1535" s="168" t="n"/>
      <c r="K1535" s="169" t="n"/>
      <c r="L1535" s="172" t="n"/>
      <c r="M1535" s="172" t="n"/>
      <c r="N1535" s="175" t="n"/>
      <c r="O1535" s="168" t="n"/>
      <c r="P1535" s="173" t="n"/>
      <c r="Q1535" s="1" t="n"/>
      <c r="R1535" s="1" t="n"/>
      <c r="S1535" s="1" t="n"/>
      <c r="T1535" s="1" t="n"/>
      <c r="U1535" s="1" t="n"/>
      <c r="V1535" s="1" t="n"/>
      <c r="W1535" s="1" t="n"/>
      <c r="X1535" s="1" t="n"/>
      <c r="Y1535" s="1" t="n"/>
    </row>
    <row r="1536">
      <c r="A1536" s="34">
        <f>IF($H753="UNIDADE CONSTRUTIVA",OFFSET(A753,-1,0)+1,LARGE(A$3:A752,1))</f>
        <v/>
      </c>
      <c r="B1536" s="34" t="n"/>
      <c r="C1536" s="34" t="n"/>
      <c r="D1536" s="35" t="n"/>
      <c r="E1536" s="35" t="n"/>
      <c r="F1536" s="1" t="n"/>
      <c r="G1536" s="167" t="n"/>
      <c r="H1536" s="167" t="n"/>
      <c r="I1536" s="167" t="n"/>
      <c r="J1536" s="168" t="n"/>
      <c r="K1536" s="169" t="n"/>
      <c r="L1536" s="172" t="n"/>
      <c r="M1536" s="172" t="n"/>
      <c r="N1536" s="175" t="n"/>
      <c r="O1536" s="168" t="n"/>
      <c r="P1536" s="173" t="n"/>
      <c r="Q1536" s="1" t="n"/>
      <c r="R1536" s="1" t="n"/>
      <c r="S1536" s="1" t="n"/>
      <c r="T1536" s="1" t="n"/>
      <c r="U1536" s="1" t="n"/>
      <c r="V1536" s="1" t="n"/>
      <c r="W1536" s="1" t="n"/>
      <c r="X1536" s="1" t="n"/>
      <c r="Y1536" s="1" t="n"/>
    </row>
    <row r="1537">
      <c r="A1537" s="34">
        <f>IF($H754="UNIDADE CONSTRUTIVA",OFFSET(A754,-1,0)+1,LARGE(A$3:A753,1))</f>
        <v/>
      </c>
      <c r="B1537" s="34" t="n"/>
      <c r="C1537" s="34" t="n"/>
      <c r="D1537" s="35" t="n"/>
      <c r="E1537" s="35" t="n"/>
      <c r="F1537" s="1" t="n"/>
      <c r="G1537" s="167" t="n"/>
      <c r="H1537" s="167" t="n"/>
      <c r="I1537" s="167" t="n"/>
      <c r="J1537" s="168" t="n"/>
      <c r="K1537" s="169" t="n"/>
      <c r="L1537" s="172" t="n"/>
      <c r="M1537" s="172" t="n"/>
      <c r="N1537" s="175" t="n"/>
      <c r="O1537" s="168" t="n"/>
      <c r="P1537" s="173" t="n"/>
      <c r="Q1537" s="1" t="n"/>
      <c r="R1537" s="1" t="n"/>
      <c r="S1537" s="1" t="n"/>
      <c r="T1537" s="1" t="n"/>
      <c r="U1537" s="1" t="n"/>
      <c r="V1537" s="1" t="n"/>
      <c r="W1537" s="1" t="n"/>
      <c r="X1537" s="1" t="n"/>
      <c r="Y1537" s="1" t="n"/>
    </row>
    <row r="1538">
      <c r="A1538" s="34">
        <f>IF($H755="UNIDADE CONSTRUTIVA",OFFSET(A755,-1,0)+1,LARGE(A$3:A754,1))</f>
        <v/>
      </c>
      <c r="B1538" s="34" t="n"/>
      <c r="C1538" s="34" t="n"/>
      <c r="D1538" s="35" t="n"/>
      <c r="E1538" s="35" t="n"/>
      <c r="F1538" s="1" t="n"/>
      <c r="G1538" s="167" t="n"/>
      <c r="H1538" s="167" t="n"/>
      <c r="I1538" s="167" t="n"/>
      <c r="J1538" s="168" t="n"/>
      <c r="K1538" s="169" t="n"/>
      <c r="L1538" s="172" t="n"/>
      <c r="M1538" s="172" t="n"/>
      <c r="N1538" s="175" t="n"/>
      <c r="O1538" s="168" t="n"/>
      <c r="P1538" s="173" t="n"/>
      <c r="Q1538" s="1" t="n"/>
      <c r="R1538" s="1" t="n"/>
      <c r="S1538" s="1" t="n"/>
      <c r="T1538" s="1" t="n"/>
      <c r="U1538" s="1" t="n"/>
      <c r="V1538" s="1" t="n"/>
      <c r="W1538" s="1" t="n"/>
      <c r="X1538" s="1" t="n"/>
      <c r="Y1538" s="1" t="n"/>
    </row>
    <row r="1539">
      <c r="A1539" s="34">
        <f>IF($H756="UNIDADE CONSTRUTIVA",OFFSET(A756,-1,0)+1,LARGE(A$3:A755,1))</f>
        <v/>
      </c>
      <c r="B1539" s="34" t="n"/>
      <c r="C1539" s="34" t="n"/>
      <c r="D1539" s="35" t="n"/>
      <c r="E1539" s="35" t="n"/>
      <c r="F1539" s="1" t="n"/>
      <c r="G1539" s="167" t="n"/>
      <c r="H1539" s="167" t="n"/>
      <c r="I1539" s="167" t="n"/>
      <c r="J1539" s="168" t="n"/>
      <c r="K1539" s="169" t="n"/>
      <c r="L1539" s="172" t="n"/>
      <c r="M1539" s="172" t="n"/>
      <c r="N1539" s="175" t="n"/>
      <c r="O1539" s="168" t="n"/>
      <c r="P1539" s="173" t="n"/>
      <c r="Q1539" s="1" t="n"/>
      <c r="R1539" s="1" t="n"/>
      <c r="S1539" s="1" t="n"/>
      <c r="T1539" s="1" t="n"/>
      <c r="U1539" s="1" t="n"/>
      <c r="V1539" s="1" t="n"/>
      <c r="W1539" s="1" t="n"/>
      <c r="X1539" s="1" t="n"/>
      <c r="Y1539" s="1" t="n"/>
    </row>
    <row r="1540">
      <c r="A1540" s="34">
        <f>IF($H757="UNIDADE CONSTRUTIVA",OFFSET(A757,-1,0)+1,LARGE(A$3:A756,1))</f>
        <v/>
      </c>
      <c r="B1540" s="34" t="n"/>
      <c r="C1540" s="34" t="n"/>
      <c r="D1540" s="35" t="n"/>
      <c r="E1540" s="35" t="n"/>
      <c r="F1540" s="1" t="n"/>
      <c r="G1540" s="167" t="n"/>
      <c r="H1540" s="167" t="n"/>
      <c r="I1540" s="167" t="n"/>
      <c r="J1540" s="168" t="n"/>
      <c r="K1540" s="169" t="n"/>
      <c r="L1540" s="172" t="n"/>
      <c r="M1540" s="172" t="n"/>
      <c r="N1540" s="175" t="n"/>
      <c r="O1540" s="168" t="n"/>
      <c r="P1540" s="173" t="n"/>
      <c r="Q1540" s="1" t="n"/>
      <c r="R1540" s="1" t="n"/>
      <c r="S1540" s="1" t="n"/>
      <c r="T1540" s="1" t="n"/>
      <c r="U1540" s="1" t="n"/>
      <c r="V1540" s="1" t="n"/>
      <c r="W1540" s="1" t="n"/>
      <c r="X1540" s="1" t="n"/>
      <c r="Y1540" s="1" t="n"/>
    </row>
    <row r="1541">
      <c r="A1541" s="34">
        <f>IF($H758="UNIDADE CONSTRUTIVA",OFFSET(A758,-1,0)+1,LARGE(A$3:A757,1))</f>
        <v/>
      </c>
      <c r="B1541" s="34" t="n"/>
      <c r="C1541" s="34" t="n"/>
      <c r="D1541" s="35" t="n"/>
      <c r="E1541" s="35" t="n"/>
      <c r="F1541" s="1" t="n"/>
      <c r="G1541" s="167" t="n"/>
      <c r="H1541" s="167" t="n"/>
      <c r="I1541" s="167" t="n"/>
      <c r="J1541" s="168" t="n"/>
      <c r="K1541" s="169" t="n"/>
      <c r="L1541" s="172" t="n"/>
      <c r="M1541" s="172" t="n"/>
      <c r="N1541" s="175" t="n"/>
      <c r="O1541" s="168" t="n"/>
      <c r="P1541" s="173" t="n"/>
      <c r="Q1541" s="1" t="n"/>
      <c r="R1541" s="1" t="n"/>
      <c r="S1541" s="1" t="n"/>
      <c r="T1541" s="1" t="n"/>
      <c r="U1541" s="1" t="n"/>
      <c r="V1541" s="1" t="n"/>
      <c r="W1541" s="1" t="n"/>
      <c r="X1541" s="1" t="n"/>
      <c r="Y1541" s="1" t="n"/>
    </row>
    <row r="1542">
      <c r="A1542" s="34">
        <f>IF($H759="UNIDADE CONSTRUTIVA",OFFSET(A759,-1,0)+1,LARGE(A$3:A758,1))</f>
        <v/>
      </c>
      <c r="B1542" s="34" t="n"/>
      <c r="C1542" s="34" t="n"/>
      <c r="D1542" s="35" t="n"/>
      <c r="E1542" s="35" t="n"/>
      <c r="F1542" s="1" t="n"/>
      <c r="G1542" s="167" t="n"/>
      <c r="H1542" s="167" t="n"/>
      <c r="I1542" s="167" t="n"/>
      <c r="J1542" s="168" t="n"/>
      <c r="K1542" s="169" t="n"/>
      <c r="L1542" s="172" t="n"/>
      <c r="M1542" s="172" t="n"/>
      <c r="N1542" s="175" t="n"/>
      <c r="O1542" s="168" t="n"/>
      <c r="P1542" s="173" t="n"/>
      <c r="Q1542" s="1" t="n"/>
      <c r="R1542" s="1" t="n"/>
      <c r="S1542" s="1" t="n"/>
      <c r="T1542" s="1" t="n"/>
      <c r="U1542" s="1" t="n"/>
      <c r="V1542" s="1" t="n"/>
      <c r="W1542" s="1" t="n"/>
      <c r="X1542" s="1" t="n"/>
      <c r="Y1542" s="1" t="n"/>
    </row>
    <row r="1543">
      <c r="A1543" s="34">
        <f>IF($H760="UNIDADE CONSTRUTIVA",OFFSET(A760,-1,0)+1,LARGE(A$3:A759,1))</f>
        <v/>
      </c>
      <c r="B1543" s="34" t="n"/>
      <c r="C1543" s="34" t="n"/>
      <c r="D1543" s="35" t="n"/>
      <c r="E1543" s="35" t="n"/>
      <c r="F1543" s="1" t="n"/>
      <c r="G1543" s="167" t="n"/>
      <c r="H1543" s="167" t="n"/>
      <c r="I1543" s="167" t="n"/>
      <c r="J1543" s="168" t="n"/>
      <c r="K1543" s="169" t="n"/>
      <c r="L1543" s="172" t="n"/>
      <c r="M1543" s="172" t="n"/>
      <c r="N1543" s="175" t="n"/>
      <c r="O1543" s="168" t="n"/>
      <c r="P1543" s="173" t="n"/>
      <c r="Q1543" s="1" t="n"/>
      <c r="R1543" s="1" t="n"/>
      <c r="S1543" s="1" t="n"/>
      <c r="T1543" s="1" t="n"/>
      <c r="U1543" s="1" t="n"/>
      <c r="V1543" s="1" t="n"/>
      <c r="W1543" s="1" t="n"/>
      <c r="X1543" s="1" t="n"/>
      <c r="Y1543" s="1" t="n"/>
    </row>
    <row r="1544">
      <c r="A1544" s="34">
        <f>IF($H761="UNIDADE CONSTRUTIVA",OFFSET(A761,-1,0)+1,LARGE(A$3:A760,1))</f>
        <v/>
      </c>
      <c r="B1544" s="34" t="n"/>
      <c r="C1544" s="34" t="n"/>
      <c r="D1544" s="35" t="n"/>
      <c r="E1544" s="35" t="n"/>
      <c r="F1544" s="1" t="n"/>
      <c r="G1544" s="167" t="n"/>
      <c r="H1544" s="167" t="n"/>
      <c r="I1544" s="167" t="n"/>
      <c r="J1544" s="168" t="n"/>
      <c r="K1544" s="169" t="n"/>
      <c r="L1544" s="172" t="n"/>
      <c r="M1544" s="172" t="n"/>
      <c r="N1544" s="175" t="n"/>
      <c r="O1544" s="168" t="n"/>
      <c r="P1544" s="173" t="n"/>
      <c r="Q1544" s="1" t="n"/>
      <c r="R1544" s="1" t="n"/>
      <c r="S1544" s="1" t="n"/>
      <c r="T1544" s="1" t="n"/>
      <c r="U1544" s="1" t="n"/>
      <c r="V1544" s="1" t="n"/>
      <c r="W1544" s="1" t="n"/>
      <c r="X1544" s="1" t="n"/>
      <c r="Y1544" s="1" t="n"/>
    </row>
    <row r="1545">
      <c r="A1545" s="34">
        <f>IF($H762="UNIDADE CONSTRUTIVA",OFFSET(A762,-1,0)+1,LARGE(A$3:A761,1))</f>
        <v/>
      </c>
      <c r="B1545" s="34" t="n"/>
      <c r="C1545" s="34" t="n"/>
      <c r="D1545" s="35" t="n"/>
      <c r="E1545" s="35" t="n"/>
      <c r="F1545" s="1" t="n"/>
      <c r="G1545" s="167" t="n"/>
      <c r="H1545" s="167" t="n"/>
      <c r="I1545" s="167" t="n"/>
      <c r="J1545" s="168" t="n"/>
      <c r="K1545" s="169" t="n"/>
      <c r="L1545" s="172" t="n"/>
      <c r="M1545" s="172" t="n"/>
      <c r="N1545" s="175" t="n"/>
      <c r="O1545" s="168" t="n"/>
      <c r="P1545" s="173" t="n"/>
      <c r="Q1545" s="1" t="n"/>
      <c r="R1545" s="1" t="n"/>
      <c r="S1545" s="1" t="n"/>
      <c r="T1545" s="1" t="n"/>
      <c r="U1545" s="1" t="n"/>
      <c r="V1545" s="1" t="n"/>
      <c r="W1545" s="1" t="n"/>
      <c r="X1545" s="1" t="n"/>
      <c r="Y1545" s="1" t="n"/>
    </row>
    <row r="1546">
      <c r="A1546" s="34">
        <f>IF($H763="UNIDADE CONSTRUTIVA",OFFSET(A763,-1,0)+1,LARGE(A$3:A762,1))</f>
        <v/>
      </c>
      <c r="B1546" s="34" t="n"/>
      <c r="C1546" s="34" t="n"/>
      <c r="D1546" s="35" t="n"/>
      <c r="E1546" s="35" t="n"/>
      <c r="F1546" s="1" t="n"/>
      <c r="G1546" s="167" t="n"/>
      <c r="H1546" s="167" t="n"/>
      <c r="I1546" s="167" t="n"/>
      <c r="J1546" s="168" t="n"/>
      <c r="K1546" s="169" t="n"/>
      <c r="L1546" s="172" t="n"/>
      <c r="M1546" s="172" t="n"/>
      <c r="N1546" s="175" t="n"/>
      <c r="O1546" s="168" t="n"/>
      <c r="P1546" s="173" t="n"/>
      <c r="Q1546" s="1" t="n"/>
      <c r="R1546" s="1" t="n"/>
      <c r="S1546" s="1" t="n"/>
      <c r="T1546" s="1" t="n"/>
      <c r="U1546" s="1" t="n"/>
      <c r="V1546" s="1" t="n"/>
      <c r="W1546" s="1" t="n"/>
      <c r="X1546" s="1" t="n"/>
      <c r="Y1546" s="1" t="n"/>
    </row>
    <row r="1547">
      <c r="A1547" s="34">
        <f>IF($H764="UNIDADE CONSTRUTIVA",OFFSET(A764,-1,0)+1,LARGE(A$3:A763,1))</f>
        <v/>
      </c>
      <c r="B1547" s="34" t="n"/>
      <c r="C1547" s="34" t="n"/>
      <c r="D1547" s="35" t="n"/>
      <c r="E1547" s="35" t="n"/>
      <c r="F1547" s="1" t="n"/>
      <c r="G1547" s="167" t="n"/>
      <c r="H1547" s="167" t="n"/>
      <c r="I1547" s="167" t="n"/>
      <c r="J1547" s="168" t="n"/>
      <c r="K1547" s="169" t="n"/>
      <c r="L1547" s="172" t="n"/>
      <c r="M1547" s="172" t="n"/>
      <c r="N1547" s="175" t="n"/>
      <c r="O1547" s="168" t="n"/>
      <c r="P1547" s="173" t="n"/>
      <c r="Q1547" s="1" t="n"/>
      <c r="R1547" s="1" t="n"/>
      <c r="S1547" s="1" t="n"/>
      <c r="T1547" s="1" t="n"/>
      <c r="U1547" s="1" t="n"/>
      <c r="V1547" s="1" t="n"/>
      <c r="W1547" s="1" t="n"/>
      <c r="X1547" s="1" t="n"/>
      <c r="Y1547" s="1" t="n"/>
    </row>
    <row r="1548">
      <c r="A1548" s="34">
        <f>IF($H765="UNIDADE CONSTRUTIVA",OFFSET(A765,-1,0)+1,LARGE(A$3:A764,1))</f>
        <v/>
      </c>
      <c r="B1548" s="34" t="n"/>
      <c r="C1548" s="34" t="n"/>
      <c r="D1548" s="35" t="n"/>
      <c r="E1548" s="35" t="n"/>
      <c r="F1548" s="1" t="n"/>
      <c r="G1548" s="167" t="n"/>
      <c r="H1548" s="167" t="n"/>
      <c r="I1548" s="167" t="n"/>
      <c r="J1548" s="168" t="n"/>
      <c r="K1548" s="169" t="n"/>
      <c r="L1548" s="172" t="n"/>
      <c r="M1548" s="172" t="n"/>
      <c r="N1548" s="175" t="n"/>
      <c r="O1548" s="168" t="n"/>
      <c r="P1548" s="173" t="n"/>
      <c r="Q1548" s="1" t="n"/>
      <c r="R1548" s="1" t="n"/>
      <c r="S1548" s="1" t="n"/>
      <c r="T1548" s="1" t="n"/>
      <c r="U1548" s="1" t="n"/>
      <c r="V1548" s="1" t="n"/>
      <c r="W1548" s="1" t="n"/>
      <c r="X1548" s="1" t="n"/>
      <c r="Y1548" s="1" t="n"/>
    </row>
    <row r="1549">
      <c r="A1549" s="34">
        <f>IF($H766="UNIDADE CONSTRUTIVA",OFFSET(A766,-1,0)+1,LARGE(A$3:A765,1))</f>
        <v/>
      </c>
      <c r="B1549" s="34" t="n"/>
      <c r="C1549" s="34" t="n"/>
      <c r="D1549" s="35" t="n"/>
      <c r="E1549" s="35" t="n"/>
      <c r="F1549" s="1" t="n"/>
      <c r="G1549" s="167" t="n"/>
      <c r="H1549" s="167" t="n"/>
      <c r="I1549" s="167" t="n"/>
      <c r="J1549" s="168" t="n"/>
      <c r="K1549" s="169" t="n"/>
      <c r="L1549" s="172" t="n"/>
      <c r="M1549" s="172" t="n"/>
      <c r="N1549" s="175" t="n"/>
      <c r="O1549" s="168" t="n"/>
      <c r="P1549" s="173" t="n"/>
      <c r="Q1549" s="1" t="n"/>
      <c r="R1549" s="1" t="n"/>
      <c r="S1549" s="1" t="n"/>
      <c r="T1549" s="1" t="n"/>
      <c r="U1549" s="1" t="n"/>
      <c r="V1549" s="1" t="n"/>
      <c r="W1549" s="1" t="n"/>
      <c r="X1549" s="1" t="n"/>
      <c r="Y1549" s="1" t="n"/>
    </row>
    <row r="1550">
      <c r="A1550" s="34">
        <f>IF($H767="UNIDADE CONSTRUTIVA",OFFSET(A767,-1,0)+1,LARGE(A$3:A766,1))</f>
        <v/>
      </c>
      <c r="B1550" s="34" t="n"/>
      <c r="C1550" s="34" t="n"/>
      <c r="D1550" s="35" t="n"/>
      <c r="E1550" s="35" t="n"/>
      <c r="F1550" s="1" t="n"/>
      <c r="G1550" s="167" t="n"/>
      <c r="H1550" s="167" t="n"/>
      <c r="I1550" s="167" t="n"/>
      <c r="J1550" s="168" t="n"/>
      <c r="K1550" s="169" t="n"/>
      <c r="L1550" s="172" t="n"/>
      <c r="M1550" s="172" t="n"/>
      <c r="N1550" s="175" t="n"/>
      <c r="O1550" s="168" t="n"/>
      <c r="P1550" s="173" t="n"/>
      <c r="Q1550" s="1" t="n"/>
      <c r="R1550" s="1" t="n"/>
      <c r="S1550" s="1" t="n"/>
      <c r="T1550" s="1" t="n"/>
      <c r="U1550" s="1" t="n"/>
      <c r="V1550" s="1" t="n"/>
      <c r="W1550" s="1" t="n"/>
      <c r="X1550" s="1" t="n"/>
      <c r="Y1550" s="1" t="n"/>
    </row>
    <row r="1551">
      <c r="A1551" s="34">
        <f>IF($H768="UNIDADE CONSTRUTIVA",OFFSET(A768,-1,0)+1,LARGE(A$3:A767,1))</f>
        <v/>
      </c>
      <c r="B1551" s="34" t="n"/>
      <c r="C1551" s="34" t="n"/>
      <c r="D1551" s="35" t="n"/>
      <c r="E1551" s="35" t="n"/>
      <c r="F1551" s="1" t="n"/>
      <c r="G1551" s="167" t="n"/>
      <c r="H1551" s="167" t="n"/>
      <c r="I1551" s="167" t="n"/>
      <c r="J1551" s="168" t="n"/>
      <c r="K1551" s="169" t="n"/>
      <c r="L1551" s="172" t="n"/>
      <c r="M1551" s="172" t="n"/>
      <c r="N1551" s="175" t="n"/>
      <c r="O1551" s="168" t="n"/>
      <c r="P1551" s="173" t="n"/>
      <c r="Q1551" s="1" t="n"/>
      <c r="R1551" s="1" t="n"/>
      <c r="S1551" s="1" t="n"/>
      <c r="T1551" s="1" t="n"/>
      <c r="U1551" s="1" t="n"/>
      <c r="V1551" s="1" t="n"/>
      <c r="W1551" s="1" t="n"/>
      <c r="X1551" s="1" t="n"/>
      <c r="Y1551" s="1" t="n"/>
    </row>
    <row r="1552">
      <c r="A1552" s="34">
        <f>IF($H769="UNIDADE CONSTRUTIVA",OFFSET(A769,-1,0)+1,LARGE(A$3:A768,1))</f>
        <v/>
      </c>
      <c r="B1552" s="34" t="n"/>
      <c r="C1552" s="34" t="n"/>
      <c r="D1552" s="35" t="n"/>
      <c r="E1552" s="35" t="n"/>
      <c r="F1552" s="1" t="n"/>
      <c r="G1552" s="167" t="n"/>
      <c r="H1552" s="167" t="n"/>
      <c r="I1552" s="167" t="n"/>
      <c r="J1552" s="168" t="n"/>
      <c r="K1552" s="169" t="n"/>
      <c r="L1552" s="172" t="n"/>
      <c r="M1552" s="172" t="n"/>
      <c r="N1552" s="175" t="n"/>
      <c r="O1552" s="168" t="n"/>
      <c r="P1552" s="173" t="n"/>
      <c r="Q1552" s="1" t="n"/>
      <c r="R1552" s="1" t="n"/>
      <c r="S1552" s="1" t="n"/>
      <c r="T1552" s="1" t="n"/>
      <c r="U1552" s="1" t="n"/>
      <c r="V1552" s="1" t="n"/>
      <c r="W1552" s="1" t="n"/>
      <c r="X1552" s="1" t="n"/>
      <c r="Y1552" s="1" t="n"/>
    </row>
    <row r="1553">
      <c r="A1553" s="34">
        <f>IF($H770="UNIDADE CONSTRUTIVA",OFFSET(A770,-1,0)+1,LARGE(A$3:A769,1))</f>
        <v/>
      </c>
      <c r="B1553" s="34" t="n"/>
      <c r="C1553" s="34" t="n"/>
      <c r="D1553" s="35" t="n"/>
      <c r="E1553" s="35" t="n"/>
      <c r="F1553" s="1" t="n"/>
      <c r="G1553" s="167" t="n"/>
      <c r="H1553" s="167" t="n"/>
      <c r="I1553" s="167" t="n"/>
      <c r="J1553" s="168" t="n"/>
      <c r="K1553" s="169" t="n"/>
      <c r="L1553" s="172" t="n"/>
      <c r="M1553" s="172" t="n"/>
      <c r="N1553" s="175" t="n"/>
      <c r="O1553" s="168" t="n"/>
      <c r="P1553" s="173" t="n"/>
      <c r="Q1553" s="1" t="n"/>
      <c r="R1553" s="1" t="n"/>
      <c r="S1553" s="1" t="n"/>
      <c r="T1553" s="1" t="n"/>
      <c r="U1553" s="1" t="n"/>
      <c r="V1553" s="1" t="n"/>
      <c r="W1553" s="1" t="n"/>
      <c r="X1553" s="1" t="n"/>
      <c r="Y1553" s="1" t="n"/>
    </row>
    <row r="1554">
      <c r="A1554" s="34">
        <f>IF($H771="UNIDADE CONSTRUTIVA",OFFSET(A771,-1,0)+1,LARGE(A$3:A770,1))</f>
        <v/>
      </c>
      <c r="B1554" s="34" t="n"/>
      <c r="C1554" s="34" t="n"/>
      <c r="D1554" s="35" t="n"/>
      <c r="E1554" s="35" t="n"/>
      <c r="F1554" s="1" t="n"/>
      <c r="G1554" s="167" t="n"/>
      <c r="H1554" s="167" t="n"/>
      <c r="I1554" s="167" t="n"/>
      <c r="J1554" s="168" t="n"/>
      <c r="K1554" s="169" t="n"/>
      <c r="L1554" s="172" t="n"/>
      <c r="M1554" s="172" t="n"/>
      <c r="N1554" s="175" t="n"/>
      <c r="O1554" s="168" t="n"/>
      <c r="P1554" s="173" t="n"/>
      <c r="Q1554" s="1" t="n"/>
      <c r="R1554" s="1" t="n"/>
      <c r="S1554" s="1" t="n"/>
      <c r="T1554" s="1" t="n"/>
      <c r="U1554" s="1" t="n"/>
      <c r="V1554" s="1" t="n"/>
      <c r="W1554" s="1" t="n"/>
      <c r="X1554" s="1" t="n"/>
      <c r="Y1554" s="1" t="n"/>
    </row>
    <row r="1555">
      <c r="A1555" s="34">
        <f>IF($H772="UNIDADE CONSTRUTIVA",OFFSET(A772,-1,0)+1,LARGE(A$3:A771,1))</f>
        <v/>
      </c>
      <c r="B1555" s="34" t="n"/>
      <c r="C1555" s="34" t="n"/>
      <c r="D1555" s="35" t="n"/>
      <c r="E1555" s="35" t="n"/>
      <c r="F1555" s="1" t="n"/>
      <c r="G1555" s="167" t="n"/>
      <c r="H1555" s="167" t="n"/>
      <c r="I1555" s="167" t="n"/>
      <c r="J1555" s="168" t="n"/>
      <c r="K1555" s="169" t="n"/>
      <c r="L1555" s="172" t="n"/>
      <c r="M1555" s="172" t="n"/>
      <c r="N1555" s="175" t="n"/>
      <c r="O1555" s="168" t="n"/>
      <c r="P1555" s="173" t="n"/>
      <c r="Q1555" s="1" t="n"/>
      <c r="R1555" s="1" t="n"/>
      <c r="S1555" s="1" t="n"/>
      <c r="T1555" s="1" t="n"/>
      <c r="U1555" s="1" t="n"/>
      <c r="V1555" s="1" t="n"/>
      <c r="W1555" s="1" t="n"/>
      <c r="X1555" s="1" t="n"/>
      <c r="Y1555" s="1" t="n"/>
    </row>
    <row r="1556">
      <c r="A1556" s="34">
        <f>IF($H773="UNIDADE CONSTRUTIVA",OFFSET(A773,-1,0)+1,LARGE(A$3:A772,1))</f>
        <v/>
      </c>
      <c r="B1556" s="34" t="n"/>
      <c r="C1556" s="34" t="n"/>
      <c r="D1556" s="35" t="n"/>
      <c r="E1556" s="35" t="n"/>
      <c r="F1556" s="1" t="n"/>
      <c r="G1556" s="167" t="n"/>
      <c r="H1556" s="167" t="n"/>
      <c r="I1556" s="167" t="n"/>
      <c r="J1556" s="168" t="n"/>
      <c r="K1556" s="169" t="n"/>
      <c r="L1556" s="172" t="n"/>
      <c r="M1556" s="172" t="n"/>
      <c r="N1556" s="175" t="n"/>
      <c r="O1556" s="168" t="n"/>
      <c r="P1556" s="173" t="n"/>
      <c r="Q1556" s="1" t="n"/>
      <c r="R1556" s="1" t="n"/>
      <c r="S1556" s="1" t="n"/>
      <c r="T1556" s="1" t="n"/>
      <c r="U1556" s="1" t="n"/>
      <c r="V1556" s="1" t="n"/>
      <c r="W1556" s="1" t="n"/>
      <c r="X1556" s="1" t="n"/>
      <c r="Y1556" s="1" t="n"/>
    </row>
    <row r="1557">
      <c r="A1557" s="34">
        <f>IF($H774="UNIDADE CONSTRUTIVA",OFFSET(A774,-1,0)+1,LARGE(A$3:A773,1))</f>
        <v/>
      </c>
      <c r="B1557" s="34" t="n"/>
      <c r="C1557" s="34" t="n"/>
      <c r="D1557" s="35" t="n"/>
      <c r="E1557" s="35" t="n"/>
      <c r="F1557" s="1" t="n"/>
      <c r="G1557" s="167" t="n"/>
      <c r="H1557" s="167" t="n"/>
      <c r="I1557" s="167" t="n"/>
      <c r="J1557" s="168" t="n"/>
      <c r="K1557" s="169" t="n"/>
      <c r="L1557" s="172" t="n"/>
      <c r="M1557" s="172" t="n"/>
      <c r="N1557" s="175" t="n"/>
      <c r="O1557" s="168" t="n"/>
      <c r="P1557" s="173" t="n"/>
      <c r="Q1557" s="1" t="n"/>
      <c r="R1557" s="1" t="n"/>
      <c r="S1557" s="1" t="n"/>
      <c r="T1557" s="1" t="n"/>
      <c r="U1557" s="1" t="n"/>
      <c r="V1557" s="1" t="n"/>
      <c r="W1557" s="1" t="n"/>
      <c r="X1557" s="1" t="n"/>
      <c r="Y1557" s="1" t="n"/>
    </row>
    <row r="1558">
      <c r="A1558" s="34">
        <f>IF($H775="UNIDADE CONSTRUTIVA",OFFSET(A775,-1,0)+1,LARGE(A$3:A774,1))</f>
        <v/>
      </c>
      <c r="B1558" s="34" t="n"/>
      <c r="C1558" s="34" t="n"/>
      <c r="D1558" s="35" t="n"/>
      <c r="E1558" s="35" t="n"/>
      <c r="F1558" s="1" t="n"/>
      <c r="G1558" s="167" t="n"/>
      <c r="H1558" s="167" t="n"/>
      <c r="I1558" s="167" t="n"/>
      <c r="J1558" s="168" t="n"/>
      <c r="K1558" s="169" t="n"/>
      <c r="L1558" s="172" t="n"/>
      <c r="M1558" s="172" t="n"/>
      <c r="N1558" s="175" t="n"/>
      <c r="O1558" s="168" t="n"/>
      <c r="P1558" s="173" t="n"/>
      <c r="Q1558" s="1" t="n"/>
      <c r="R1558" s="1" t="n"/>
      <c r="S1558" s="1" t="n"/>
      <c r="T1558" s="1" t="n"/>
      <c r="U1558" s="1" t="n"/>
      <c r="V1558" s="1" t="n"/>
      <c r="W1558" s="1" t="n"/>
      <c r="X1558" s="1" t="n"/>
      <c r="Y1558" s="1" t="n"/>
    </row>
    <row r="1559">
      <c r="A1559" s="34">
        <f>IF($H776="UNIDADE CONSTRUTIVA",OFFSET(A776,-1,0)+1,LARGE(A$3:A775,1))</f>
        <v/>
      </c>
      <c r="B1559" s="34" t="n"/>
      <c r="C1559" s="34" t="n"/>
      <c r="D1559" s="35" t="n"/>
      <c r="E1559" s="35" t="n"/>
      <c r="F1559" s="1" t="n"/>
      <c r="G1559" s="167" t="n"/>
      <c r="H1559" s="167" t="n"/>
      <c r="I1559" s="167" t="n"/>
      <c r="J1559" s="168" t="n"/>
      <c r="K1559" s="169" t="n"/>
      <c r="L1559" s="172" t="n"/>
      <c r="M1559" s="172" t="n"/>
      <c r="N1559" s="175" t="n"/>
      <c r="O1559" s="168" t="n"/>
      <c r="P1559" s="173" t="n"/>
      <c r="Q1559" s="1" t="n"/>
      <c r="R1559" s="1" t="n"/>
      <c r="S1559" s="1" t="n"/>
      <c r="T1559" s="1" t="n"/>
      <c r="U1559" s="1" t="n"/>
      <c r="V1559" s="1" t="n"/>
      <c r="W1559" s="1" t="n"/>
      <c r="X1559" s="1" t="n"/>
      <c r="Y1559" s="1" t="n"/>
    </row>
    <row r="1560">
      <c r="A1560" s="34">
        <f>IF($H777="UNIDADE CONSTRUTIVA",OFFSET(A777,-1,0)+1,LARGE(A$3:A776,1))</f>
        <v/>
      </c>
      <c r="B1560" s="34" t="n"/>
      <c r="C1560" s="34" t="n"/>
      <c r="D1560" s="35" t="n"/>
      <c r="E1560" s="35" t="n"/>
      <c r="F1560" s="1" t="n"/>
      <c r="G1560" s="167" t="n"/>
      <c r="H1560" s="167" t="n"/>
      <c r="I1560" s="167" t="n"/>
      <c r="J1560" s="168" t="n"/>
      <c r="K1560" s="169" t="n"/>
      <c r="L1560" s="172" t="n"/>
      <c r="M1560" s="172" t="n"/>
      <c r="N1560" s="175" t="n"/>
      <c r="O1560" s="168" t="n"/>
      <c r="P1560" s="173" t="n"/>
      <c r="Q1560" s="1" t="n"/>
      <c r="R1560" s="1" t="n"/>
      <c r="S1560" s="1" t="n"/>
      <c r="T1560" s="1" t="n"/>
      <c r="U1560" s="1" t="n"/>
      <c r="V1560" s="1" t="n"/>
      <c r="W1560" s="1" t="n"/>
      <c r="X1560" s="1" t="n"/>
      <c r="Y1560" s="1" t="n"/>
    </row>
    <row r="1561">
      <c r="A1561" s="34">
        <f>IF($H778="UNIDADE CONSTRUTIVA",OFFSET(A778,-1,0)+1,LARGE(A$3:A777,1))</f>
        <v/>
      </c>
      <c r="B1561" s="34" t="n"/>
      <c r="C1561" s="34" t="n"/>
      <c r="D1561" s="35" t="n"/>
      <c r="E1561" s="35" t="n"/>
      <c r="F1561" s="1" t="n"/>
      <c r="G1561" s="167" t="n"/>
      <c r="H1561" s="167" t="n"/>
      <c r="I1561" s="167" t="n"/>
      <c r="J1561" s="168" t="n"/>
      <c r="K1561" s="169" t="n"/>
      <c r="L1561" s="172" t="n"/>
      <c r="M1561" s="172" t="n"/>
      <c r="N1561" s="175" t="n"/>
      <c r="O1561" s="168" t="n"/>
      <c r="P1561" s="173" t="n"/>
      <c r="Q1561" s="1" t="n"/>
      <c r="R1561" s="1" t="n"/>
      <c r="S1561" s="1" t="n"/>
      <c r="T1561" s="1" t="n"/>
      <c r="U1561" s="1" t="n"/>
      <c r="V1561" s="1" t="n"/>
      <c r="W1561" s="1" t="n"/>
      <c r="X1561" s="1" t="n"/>
      <c r="Y1561" s="1" t="n"/>
    </row>
    <row r="1562">
      <c r="A1562" s="34">
        <f>IF($H779="UNIDADE CONSTRUTIVA",OFFSET(A779,-1,0)+1,LARGE(A$3:A778,1))</f>
        <v/>
      </c>
      <c r="B1562" s="34" t="n"/>
      <c r="C1562" s="34" t="n"/>
      <c r="D1562" s="35" t="n"/>
      <c r="E1562" s="35" t="n"/>
      <c r="F1562" s="1" t="n"/>
      <c r="G1562" s="167" t="n"/>
      <c r="H1562" s="167" t="n"/>
      <c r="I1562" s="167" t="n"/>
      <c r="J1562" s="168" t="n"/>
      <c r="K1562" s="169" t="n"/>
      <c r="L1562" s="172" t="n"/>
      <c r="M1562" s="172" t="n"/>
      <c r="N1562" s="175" t="n"/>
      <c r="O1562" s="168" t="n"/>
      <c r="P1562" s="173" t="n"/>
      <c r="Q1562" s="1" t="n"/>
      <c r="R1562" s="1" t="n"/>
      <c r="S1562" s="1" t="n"/>
      <c r="T1562" s="1" t="n"/>
      <c r="U1562" s="1" t="n"/>
      <c r="V1562" s="1" t="n"/>
      <c r="W1562" s="1" t="n"/>
      <c r="X1562" s="1" t="n"/>
      <c r="Y1562" s="1" t="n"/>
    </row>
    <row r="1563">
      <c r="A1563" s="34">
        <f>IF($H780="UNIDADE CONSTRUTIVA",OFFSET(A780,-1,0)+1,LARGE(A$3:A779,1))</f>
        <v/>
      </c>
      <c r="B1563" s="34" t="n"/>
      <c r="C1563" s="34" t="n"/>
      <c r="D1563" s="35" t="n"/>
      <c r="E1563" s="35" t="n"/>
      <c r="F1563" s="1" t="n"/>
      <c r="G1563" s="167" t="n"/>
      <c r="H1563" s="167" t="n"/>
      <c r="I1563" s="167" t="n"/>
      <c r="J1563" s="168" t="n"/>
      <c r="K1563" s="169" t="n"/>
      <c r="L1563" s="172" t="n"/>
      <c r="M1563" s="172" t="n"/>
      <c r="N1563" s="175" t="n"/>
      <c r="O1563" s="168" t="n"/>
      <c r="P1563" s="173" t="n"/>
      <c r="Q1563" s="1" t="n"/>
      <c r="R1563" s="1" t="n"/>
      <c r="S1563" s="1" t="n"/>
      <c r="T1563" s="1" t="n"/>
      <c r="U1563" s="1" t="n"/>
      <c r="V1563" s="1" t="n"/>
      <c r="W1563" s="1" t="n"/>
      <c r="X1563" s="1" t="n"/>
      <c r="Y1563" s="1" t="n"/>
    </row>
    <row r="1564">
      <c r="A1564" s="34">
        <f>IF($H781="UNIDADE CONSTRUTIVA",OFFSET(A781,-1,0)+1,LARGE(A$3:A780,1))</f>
        <v/>
      </c>
      <c r="B1564" s="34" t="n"/>
      <c r="C1564" s="34" t="n"/>
      <c r="D1564" s="35" t="n"/>
      <c r="E1564" s="35" t="n"/>
      <c r="F1564" s="1" t="n"/>
      <c r="G1564" s="167" t="n"/>
      <c r="H1564" s="167" t="n"/>
      <c r="I1564" s="167" t="n"/>
      <c r="J1564" s="168" t="n"/>
      <c r="K1564" s="169" t="n"/>
      <c r="L1564" s="172" t="n"/>
      <c r="M1564" s="172" t="n"/>
      <c r="N1564" s="175" t="n"/>
      <c r="O1564" s="168" t="n"/>
      <c r="P1564" s="173" t="n"/>
      <c r="Q1564" s="1" t="n"/>
      <c r="R1564" s="1" t="n"/>
      <c r="S1564" s="1" t="n"/>
      <c r="T1564" s="1" t="n"/>
      <c r="U1564" s="1" t="n"/>
      <c r="V1564" s="1" t="n"/>
      <c r="W1564" s="1" t="n"/>
      <c r="X1564" s="1" t="n"/>
      <c r="Y1564" s="1" t="n"/>
    </row>
    <row r="1565">
      <c r="A1565" s="34">
        <f>IF($H782="UNIDADE CONSTRUTIVA",OFFSET(A782,-1,0)+1,LARGE(A$3:A781,1))</f>
        <v/>
      </c>
      <c r="B1565" s="34" t="n"/>
      <c r="C1565" s="34" t="n"/>
      <c r="D1565" s="35" t="n"/>
      <c r="E1565" s="35" t="n"/>
      <c r="F1565" s="1" t="n"/>
      <c r="G1565" s="167" t="n"/>
      <c r="H1565" s="167" t="n"/>
      <c r="I1565" s="167" t="n"/>
      <c r="J1565" s="168" t="n"/>
      <c r="K1565" s="169" t="n"/>
      <c r="L1565" s="172" t="n"/>
      <c r="M1565" s="172" t="n"/>
      <c r="N1565" s="175" t="n"/>
      <c r="O1565" s="168" t="n"/>
      <c r="P1565" s="173" t="n"/>
      <c r="Q1565" s="1" t="n"/>
      <c r="R1565" s="1" t="n"/>
      <c r="S1565" s="1" t="n"/>
      <c r="T1565" s="1" t="n"/>
      <c r="U1565" s="1" t="n"/>
      <c r="V1565" s="1" t="n"/>
      <c r="W1565" s="1" t="n"/>
      <c r="X1565" s="1" t="n"/>
      <c r="Y1565" s="1" t="n"/>
    </row>
    <row r="1566">
      <c r="A1566" s="34">
        <f>IF($H783="UNIDADE CONSTRUTIVA",OFFSET(A783,-1,0)+1,LARGE(A$3:A782,1))</f>
        <v/>
      </c>
      <c r="B1566" s="34" t="n"/>
      <c r="C1566" s="34" t="n"/>
      <c r="D1566" s="35" t="n"/>
      <c r="E1566" s="35" t="n"/>
      <c r="F1566" s="1" t="n"/>
      <c r="G1566" s="167" t="n"/>
      <c r="H1566" s="167" t="n"/>
      <c r="I1566" s="167" t="n"/>
      <c r="J1566" s="168" t="n"/>
      <c r="K1566" s="169" t="n"/>
      <c r="L1566" s="172" t="n"/>
      <c r="M1566" s="172" t="n"/>
      <c r="N1566" s="175" t="n"/>
      <c r="O1566" s="168" t="n"/>
      <c r="P1566" s="173" t="n"/>
      <c r="Q1566" s="1" t="n"/>
      <c r="R1566" s="1" t="n"/>
      <c r="S1566" s="1" t="n"/>
      <c r="T1566" s="1" t="n"/>
      <c r="U1566" s="1" t="n"/>
      <c r="V1566" s="1" t="n"/>
      <c r="W1566" s="1" t="n"/>
      <c r="X1566" s="1" t="n"/>
      <c r="Y1566" s="1" t="n"/>
    </row>
    <row r="1567">
      <c r="A1567" s="34">
        <f>IF($H784="UNIDADE CONSTRUTIVA",OFFSET(A784,-1,0)+1,LARGE(A$3:A783,1))</f>
        <v/>
      </c>
      <c r="B1567" s="34" t="n"/>
      <c r="C1567" s="34" t="n"/>
      <c r="D1567" s="35" t="n"/>
      <c r="E1567" s="35" t="n"/>
      <c r="F1567" s="1" t="n"/>
      <c r="G1567" s="167" t="n"/>
      <c r="H1567" s="167" t="n"/>
      <c r="I1567" s="167" t="n"/>
      <c r="J1567" s="168" t="n"/>
      <c r="K1567" s="169" t="n"/>
      <c r="L1567" s="172" t="n"/>
      <c r="M1567" s="172" t="n"/>
      <c r="N1567" s="175" t="n"/>
      <c r="O1567" s="168" t="n"/>
      <c r="P1567" s="173" t="n"/>
      <c r="Q1567" s="1" t="n"/>
      <c r="R1567" s="1" t="n"/>
      <c r="S1567" s="1" t="n"/>
      <c r="T1567" s="1" t="n"/>
      <c r="U1567" s="1" t="n"/>
      <c r="V1567" s="1" t="n"/>
      <c r="W1567" s="1" t="n"/>
      <c r="X1567" s="1" t="n"/>
      <c r="Y1567" s="1" t="n"/>
    </row>
    <row r="1568">
      <c r="A1568" s="34">
        <f>IF($H785="UNIDADE CONSTRUTIVA",OFFSET(A785,-1,0)+1,LARGE(A$3:A784,1))</f>
        <v/>
      </c>
      <c r="B1568" s="34" t="n"/>
      <c r="C1568" s="34" t="n"/>
      <c r="D1568" s="35" t="n"/>
      <c r="E1568" s="35" t="n"/>
      <c r="F1568" s="1" t="n"/>
      <c r="G1568" s="167" t="n"/>
      <c r="H1568" s="167" t="n"/>
      <c r="I1568" s="167" t="n"/>
      <c r="J1568" s="168" t="n"/>
      <c r="K1568" s="169" t="n"/>
      <c r="L1568" s="172" t="n"/>
      <c r="M1568" s="172" t="n"/>
      <c r="N1568" s="175" t="n"/>
      <c r="O1568" s="168" t="n"/>
      <c r="P1568" s="173" t="n"/>
      <c r="Q1568" s="1" t="n"/>
      <c r="R1568" s="1" t="n"/>
      <c r="S1568" s="1" t="n"/>
      <c r="T1568" s="1" t="n"/>
      <c r="U1568" s="1" t="n"/>
      <c r="V1568" s="1" t="n"/>
      <c r="W1568" s="1" t="n"/>
      <c r="X1568" s="1" t="n"/>
      <c r="Y1568" s="1" t="n"/>
    </row>
    <row r="1569">
      <c r="A1569" s="34">
        <f>IF($H786="UNIDADE CONSTRUTIVA",OFFSET(A786,-1,0)+1,LARGE(A$3:A785,1))</f>
        <v/>
      </c>
      <c r="B1569" s="34" t="n"/>
      <c r="C1569" s="34" t="n"/>
      <c r="D1569" s="35" t="n"/>
      <c r="E1569" s="35" t="n"/>
      <c r="F1569" s="1" t="n"/>
      <c r="G1569" s="167" t="n"/>
      <c r="H1569" s="167" t="n"/>
      <c r="I1569" s="167" t="n"/>
      <c r="J1569" s="168" t="n"/>
      <c r="K1569" s="169" t="n"/>
      <c r="L1569" s="172" t="n"/>
      <c r="M1569" s="172" t="n"/>
      <c r="N1569" s="175" t="n"/>
      <c r="O1569" s="168" t="n"/>
      <c r="P1569" s="173" t="n"/>
      <c r="Q1569" s="1" t="n"/>
      <c r="R1569" s="1" t="n"/>
      <c r="S1569" s="1" t="n"/>
      <c r="T1569" s="1" t="n"/>
      <c r="U1569" s="1" t="n"/>
      <c r="V1569" s="1" t="n"/>
      <c r="W1569" s="1" t="n"/>
      <c r="X1569" s="1" t="n"/>
      <c r="Y1569" s="1" t="n"/>
    </row>
    <row r="1570">
      <c r="A1570" s="34">
        <f>IF($H787="UNIDADE CONSTRUTIVA",OFFSET(A787,-1,0)+1,LARGE(A$3:A786,1))</f>
        <v/>
      </c>
      <c r="B1570" s="34" t="n"/>
      <c r="C1570" s="34" t="n"/>
      <c r="D1570" s="35" t="n"/>
      <c r="E1570" s="35" t="n"/>
      <c r="F1570" s="1" t="n"/>
      <c r="G1570" s="167" t="n"/>
      <c r="H1570" s="167" t="n"/>
      <c r="I1570" s="167" t="n"/>
      <c r="J1570" s="168" t="n"/>
      <c r="K1570" s="169" t="n"/>
      <c r="L1570" s="172" t="n"/>
      <c r="M1570" s="172" t="n"/>
      <c r="N1570" s="175" t="n"/>
      <c r="O1570" s="168" t="n"/>
      <c r="P1570" s="173" t="n"/>
      <c r="Q1570" s="1" t="n"/>
      <c r="R1570" s="1" t="n"/>
      <c r="S1570" s="1" t="n"/>
      <c r="T1570" s="1" t="n"/>
      <c r="U1570" s="1" t="n"/>
      <c r="V1570" s="1" t="n"/>
      <c r="W1570" s="1" t="n"/>
      <c r="X1570" s="1" t="n"/>
      <c r="Y1570" s="1" t="n"/>
    </row>
    <row r="1571">
      <c r="A1571" s="34">
        <f>IF($H788="UNIDADE CONSTRUTIVA",OFFSET(A788,-1,0)+1,LARGE(A$3:A787,1))</f>
        <v/>
      </c>
      <c r="B1571" s="34" t="n"/>
      <c r="C1571" s="34" t="n"/>
      <c r="D1571" s="35" t="n"/>
      <c r="E1571" s="35" t="n"/>
      <c r="F1571" s="1" t="n"/>
      <c r="G1571" s="167" t="n"/>
      <c r="H1571" s="167" t="n"/>
      <c r="I1571" s="167" t="n"/>
      <c r="J1571" s="168" t="n"/>
      <c r="K1571" s="169" t="n"/>
      <c r="L1571" s="172" t="n"/>
      <c r="M1571" s="172" t="n"/>
      <c r="N1571" s="175" t="n"/>
      <c r="O1571" s="168" t="n"/>
      <c r="P1571" s="173" t="n"/>
      <c r="Q1571" s="1" t="n"/>
      <c r="R1571" s="1" t="n"/>
      <c r="S1571" s="1" t="n"/>
      <c r="T1571" s="1" t="n"/>
      <c r="U1571" s="1" t="n"/>
      <c r="V1571" s="1" t="n"/>
      <c r="W1571" s="1" t="n"/>
      <c r="X1571" s="1" t="n"/>
      <c r="Y1571" s="1" t="n"/>
    </row>
    <row r="1572">
      <c r="A1572" s="34">
        <f>IF($H789="UNIDADE CONSTRUTIVA",OFFSET(A789,-1,0)+1,LARGE(A$3:A788,1))</f>
        <v/>
      </c>
      <c r="B1572" s="34" t="n"/>
      <c r="C1572" s="34" t="n"/>
      <c r="D1572" s="35" t="n"/>
      <c r="E1572" s="35" t="n"/>
      <c r="F1572" s="1" t="n"/>
      <c r="G1572" s="167" t="n"/>
      <c r="H1572" s="167" t="n"/>
      <c r="I1572" s="167" t="n"/>
      <c r="J1572" s="168" t="n"/>
      <c r="K1572" s="169" t="n"/>
      <c r="L1572" s="172" t="n"/>
      <c r="M1572" s="172" t="n"/>
      <c r="N1572" s="175" t="n"/>
      <c r="O1572" s="168" t="n"/>
      <c r="P1572" s="173" t="n"/>
      <c r="Q1572" s="1" t="n"/>
      <c r="R1572" s="1" t="n"/>
      <c r="S1572" s="1" t="n"/>
      <c r="T1572" s="1" t="n"/>
      <c r="U1572" s="1" t="n"/>
      <c r="V1572" s="1" t="n"/>
      <c r="W1572" s="1" t="n"/>
      <c r="X1572" s="1" t="n"/>
      <c r="Y1572" s="1" t="n"/>
    </row>
    <row r="1573">
      <c r="A1573" s="34">
        <f>IF($H790="UNIDADE CONSTRUTIVA",OFFSET(A790,-1,0)+1,LARGE(A$3:A789,1))</f>
        <v/>
      </c>
      <c r="B1573" s="34" t="n"/>
      <c r="C1573" s="34" t="n"/>
      <c r="D1573" s="35" t="n"/>
      <c r="E1573" s="35" t="n"/>
      <c r="F1573" s="1" t="n"/>
      <c r="G1573" s="167" t="n"/>
      <c r="H1573" s="167" t="n"/>
      <c r="I1573" s="167" t="n"/>
      <c r="J1573" s="168" t="n"/>
      <c r="K1573" s="169" t="n"/>
      <c r="L1573" s="172" t="n"/>
      <c r="M1573" s="172" t="n"/>
      <c r="N1573" s="175" t="n"/>
      <c r="O1573" s="168" t="n"/>
      <c r="P1573" s="173" t="n"/>
      <c r="Q1573" s="1" t="n"/>
      <c r="R1573" s="1" t="n"/>
      <c r="S1573" s="1" t="n"/>
      <c r="T1573" s="1" t="n"/>
      <c r="U1573" s="1" t="n"/>
      <c r="V1573" s="1" t="n"/>
      <c r="W1573" s="1" t="n"/>
      <c r="X1573" s="1" t="n"/>
      <c r="Y1573" s="1" t="n"/>
    </row>
    <row r="1574">
      <c r="A1574" s="34">
        <f>IF($H791="UNIDADE CONSTRUTIVA",OFFSET(A791,-1,0)+1,LARGE(A$3:A790,1))</f>
        <v/>
      </c>
      <c r="B1574" s="34" t="n"/>
      <c r="C1574" s="34" t="n"/>
      <c r="D1574" s="35" t="n"/>
      <c r="E1574" s="35" t="n"/>
      <c r="F1574" s="1" t="n"/>
      <c r="G1574" s="167" t="n"/>
      <c r="H1574" s="167" t="n"/>
      <c r="I1574" s="167" t="n"/>
      <c r="J1574" s="168" t="n"/>
      <c r="K1574" s="169" t="n"/>
      <c r="L1574" s="172" t="n"/>
      <c r="M1574" s="172" t="n"/>
      <c r="N1574" s="175" t="n"/>
      <c r="O1574" s="168" t="n"/>
      <c r="P1574" s="173" t="n"/>
      <c r="Q1574" s="1" t="n"/>
      <c r="R1574" s="1" t="n"/>
      <c r="S1574" s="1" t="n"/>
      <c r="T1574" s="1" t="n"/>
      <c r="U1574" s="1" t="n"/>
      <c r="V1574" s="1" t="n"/>
      <c r="W1574" s="1" t="n"/>
      <c r="X1574" s="1" t="n"/>
      <c r="Y1574" s="1" t="n"/>
    </row>
    <row r="1575">
      <c r="A1575" s="34">
        <f>IF($H792="UNIDADE CONSTRUTIVA",OFFSET(A792,-1,0)+1,LARGE(A$3:A791,1))</f>
        <v/>
      </c>
      <c r="B1575" s="34" t="n"/>
      <c r="C1575" s="34" t="n"/>
      <c r="D1575" s="35" t="n"/>
      <c r="E1575" s="35" t="n"/>
      <c r="F1575" s="1" t="n"/>
      <c r="G1575" s="167" t="n"/>
      <c r="H1575" s="167" t="n"/>
      <c r="I1575" s="167" t="n"/>
      <c r="J1575" s="168" t="n"/>
      <c r="K1575" s="169" t="n"/>
      <c r="L1575" s="172" t="n"/>
      <c r="M1575" s="172" t="n"/>
      <c r="N1575" s="175" t="n"/>
      <c r="O1575" s="168" t="n"/>
      <c r="P1575" s="173" t="n"/>
      <c r="Q1575" s="1" t="n"/>
      <c r="R1575" s="1" t="n"/>
      <c r="S1575" s="1" t="n"/>
      <c r="T1575" s="1" t="n"/>
      <c r="U1575" s="1" t="n"/>
      <c r="V1575" s="1" t="n"/>
      <c r="W1575" s="1" t="n"/>
      <c r="X1575" s="1" t="n"/>
      <c r="Y1575" s="1" t="n"/>
    </row>
    <row r="1576">
      <c r="A1576" s="34">
        <f>IF($H793="UNIDADE CONSTRUTIVA",OFFSET(A793,-1,0)+1,LARGE(A$3:A792,1))</f>
        <v/>
      </c>
      <c r="B1576" s="34" t="n"/>
      <c r="C1576" s="34" t="n"/>
      <c r="D1576" s="35" t="n"/>
      <c r="E1576" s="35" t="n"/>
      <c r="F1576" s="1" t="n"/>
      <c r="G1576" s="167" t="n"/>
      <c r="H1576" s="167" t="n"/>
      <c r="I1576" s="167" t="n"/>
      <c r="J1576" s="168" t="n"/>
      <c r="K1576" s="169" t="n"/>
      <c r="L1576" s="172" t="n"/>
      <c r="M1576" s="172" t="n"/>
      <c r="N1576" s="175" t="n"/>
      <c r="O1576" s="168" t="n"/>
      <c r="P1576" s="173" t="n"/>
      <c r="Q1576" s="1" t="n"/>
      <c r="R1576" s="1" t="n"/>
      <c r="S1576" s="1" t="n"/>
      <c r="T1576" s="1" t="n"/>
      <c r="U1576" s="1" t="n"/>
      <c r="V1576" s="1" t="n"/>
      <c r="W1576" s="1" t="n"/>
      <c r="X1576" s="1" t="n"/>
      <c r="Y1576" s="1" t="n"/>
    </row>
    <row r="1577">
      <c r="A1577" s="34">
        <f>IF($H794="UNIDADE CONSTRUTIVA",OFFSET(A794,-1,0)+1,LARGE(A$3:A793,1))</f>
        <v/>
      </c>
      <c r="B1577" s="34" t="n"/>
      <c r="C1577" s="34" t="n"/>
      <c r="D1577" s="35" t="n"/>
      <c r="E1577" s="35" t="n"/>
      <c r="F1577" s="1" t="n"/>
      <c r="G1577" s="167" t="n"/>
      <c r="H1577" s="167" t="n"/>
      <c r="I1577" s="167" t="n"/>
      <c r="J1577" s="168" t="n"/>
      <c r="K1577" s="169" t="n"/>
      <c r="L1577" s="172" t="n"/>
      <c r="M1577" s="172" t="n"/>
      <c r="N1577" s="175" t="n"/>
      <c r="O1577" s="168" t="n"/>
      <c r="P1577" s="173" t="n"/>
      <c r="Q1577" s="1" t="n"/>
      <c r="R1577" s="1" t="n"/>
      <c r="S1577" s="1" t="n"/>
      <c r="T1577" s="1" t="n"/>
      <c r="U1577" s="1" t="n"/>
      <c r="V1577" s="1" t="n"/>
      <c r="W1577" s="1" t="n"/>
      <c r="X1577" s="1" t="n"/>
      <c r="Y1577" s="1" t="n"/>
    </row>
    <row r="1578">
      <c r="A1578" s="34">
        <f>IF($H795="UNIDADE CONSTRUTIVA",OFFSET(A795,-1,0)+1,LARGE(A$3:A794,1))</f>
        <v/>
      </c>
      <c r="B1578" s="34" t="n"/>
      <c r="C1578" s="34" t="n"/>
      <c r="D1578" s="35" t="n"/>
      <c r="E1578" s="35" t="n"/>
      <c r="F1578" s="1" t="n"/>
      <c r="G1578" s="167" t="n"/>
      <c r="H1578" s="167" t="n"/>
      <c r="I1578" s="167" t="n"/>
      <c r="J1578" s="168" t="n"/>
      <c r="K1578" s="169" t="n"/>
      <c r="L1578" s="172" t="n"/>
      <c r="M1578" s="172" t="n"/>
      <c r="N1578" s="175" t="n"/>
      <c r="O1578" s="168" t="n"/>
      <c r="P1578" s="173" t="n"/>
      <c r="Q1578" s="1" t="n"/>
      <c r="R1578" s="1" t="n"/>
      <c r="S1578" s="1" t="n"/>
      <c r="T1578" s="1" t="n"/>
      <c r="U1578" s="1" t="n"/>
      <c r="V1578" s="1" t="n"/>
      <c r="W1578" s="1" t="n"/>
      <c r="X1578" s="1" t="n"/>
      <c r="Y1578" s="1" t="n"/>
    </row>
    <row r="1579">
      <c r="A1579" s="34">
        <f>IF($H796="UNIDADE CONSTRUTIVA",OFFSET(A796,-1,0)+1,LARGE(A$3:A795,1))</f>
        <v/>
      </c>
      <c r="B1579" s="34" t="n"/>
      <c r="C1579" s="34" t="n"/>
      <c r="D1579" s="35" t="n"/>
      <c r="E1579" s="35" t="n"/>
      <c r="F1579" s="1" t="n"/>
      <c r="G1579" s="167" t="n"/>
      <c r="H1579" s="167" t="n"/>
      <c r="I1579" s="167" t="n"/>
      <c r="J1579" s="168" t="n"/>
      <c r="K1579" s="169" t="n"/>
      <c r="L1579" s="172" t="n"/>
      <c r="M1579" s="172" t="n"/>
      <c r="N1579" s="175" t="n"/>
      <c r="O1579" s="168" t="n"/>
      <c r="P1579" s="173" t="n"/>
      <c r="Q1579" s="1" t="n"/>
      <c r="R1579" s="1" t="n"/>
      <c r="S1579" s="1" t="n"/>
      <c r="T1579" s="1" t="n"/>
      <c r="U1579" s="1" t="n"/>
      <c r="V1579" s="1" t="n"/>
      <c r="W1579" s="1" t="n"/>
      <c r="X1579" s="1" t="n"/>
      <c r="Y1579" s="1" t="n"/>
    </row>
    <row r="1580">
      <c r="A1580" s="34">
        <f>IF($H797="UNIDADE CONSTRUTIVA",OFFSET(A797,-1,0)+1,LARGE(A$3:A796,1))</f>
        <v/>
      </c>
      <c r="B1580" s="34" t="n"/>
      <c r="C1580" s="34" t="n"/>
      <c r="D1580" s="35" t="n"/>
      <c r="E1580" s="35" t="n"/>
      <c r="F1580" s="1" t="n"/>
      <c r="G1580" s="167" t="n"/>
      <c r="H1580" s="167" t="n"/>
      <c r="I1580" s="167" t="n"/>
      <c r="J1580" s="168" t="n"/>
      <c r="K1580" s="169" t="n"/>
      <c r="L1580" s="172" t="n"/>
      <c r="M1580" s="172" t="n"/>
      <c r="N1580" s="175" t="n"/>
      <c r="O1580" s="168" t="n"/>
      <c r="P1580" s="173" t="n"/>
      <c r="Q1580" s="1" t="n"/>
      <c r="R1580" s="1" t="n"/>
      <c r="S1580" s="1" t="n"/>
      <c r="T1580" s="1" t="n"/>
      <c r="U1580" s="1" t="n"/>
      <c r="V1580" s="1" t="n"/>
      <c r="W1580" s="1" t="n"/>
      <c r="X1580" s="1" t="n"/>
      <c r="Y1580" s="1" t="n"/>
    </row>
    <row r="1581">
      <c r="A1581" s="34">
        <f>IF($H798="UNIDADE CONSTRUTIVA",OFFSET(A798,-1,0)+1,LARGE(A$3:A797,1))</f>
        <v/>
      </c>
      <c r="B1581" s="34" t="n"/>
      <c r="C1581" s="34" t="n"/>
      <c r="D1581" s="35" t="n"/>
      <c r="E1581" s="35" t="n"/>
      <c r="F1581" s="1" t="n"/>
      <c r="G1581" s="167" t="n"/>
      <c r="H1581" s="167" t="n"/>
      <c r="I1581" s="167" t="n"/>
      <c r="J1581" s="168" t="n"/>
      <c r="K1581" s="169" t="n"/>
      <c r="L1581" s="172" t="n"/>
      <c r="M1581" s="172" t="n"/>
      <c r="N1581" s="175" t="n"/>
      <c r="O1581" s="168" t="n"/>
      <c r="P1581" s="173" t="n"/>
      <c r="Q1581" s="1" t="n"/>
      <c r="R1581" s="1" t="n"/>
      <c r="S1581" s="1" t="n"/>
      <c r="T1581" s="1" t="n"/>
      <c r="U1581" s="1" t="n"/>
      <c r="V1581" s="1" t="n"/>
      <c r="W1581" s="1" t="n"/>
      <c r="X1581" s="1" t="n"/>
      <c r="Y1581" s="1" t="n"/>
    </row>
    <row r="1582">
      <c r="A1582" s="34">
        <f>IF($H799="UNIDADE CONSTRUTIVA",OFFSET(A799,-1,0)+1,LARGE(A$3:A798,1))</f>
        <v/>
      </c>
      <c r="B1582" s="34" t="n"/>
      <c r="C1582" s="34" t="n"/>
      <c r="D1582" s="35" t="n"/>
      <c r="E1582" s="35" t="n"/>
      <c r="F1582" s="1" t="n"/>
      <c r="G1582" s="167" t="n"/>
      <c r="H1582" s="167" t="n"/>
      <c r="I1582" s="167" t="n"/>
      <c r="J1582" s="168" t="n"/>
      <c r="K1582" s="169" t="n"/>
      <c r="L1582" s="172" t="n"/>
      <c r="M1582" s="172" t="n"/>
      <c r="N1582" s="175" t="n"/>
      <c r="O1582" s="168" t="n"/>
      <c r="P1582" s="173" t="n"/>
      <c r="Q1582" s="1" t="n"/>
      <c r="R1582" s="1" t="n"/>
      <c r="S1582" s="1" t="n"/>
      <c r="T1582" s="1" t="n"/>
      <c r="U1582" s="1" t="n"/>
      <c r="V1582" s="1" t="n"/>
      <c r="W1582" s="1" t="n"/>
      <c r="X1582" s="1" t="n"/>
      <c r="Y1582" s="1" t="n"/>
    </row>
    <row r="1583">
      <c r="A1583" s="34">
        <f>IF($H800="UNIDADE CONSTRUTIVA",OFFSET(A800,-1,0)+1,LARGE(A$3:A799,1))</f>
        <v/>
      </c>
      <c r="B1583" s="34" t="n"/>
      <c r="C1583" s="34" t="n"/>
      <c r="D1583" s="35" t="n"/>
      <c r="E1583" s="35" t="n"/>
      <c r="F1583" s="1" t="n"/>
      <c r="G1583" s="167" t="n"/>
      <c r="H1583" s="167" t="n"/>
      <c r="I1583" s="167" t="n"/>
      <c r="J1583" s="168" t="n"/>
      <c r="K1583" s="169" t="n"/>
      <c r="L1583" s="172" t="n"/>
      <c r="M1583" s="172" t="n"/>
      <c r="N1583" s="175" t="n"/>
      <c r="O1583" s="168" t="n"/>
      <c r="P1583" s="173" t="n"/>
      <c r="Q1583" s="1" t="n"/>
      <c r="R1583" s="1" t="n"/>
      <c r="S1583" s="1" t="n"/>
      <c r="T1583" s="1" t="n"/>
      <c r="U1583" s="1" t="n"/>
      <c r="V1583" s="1" t="n"/>
      <c r="W1583" s="1" t="n"/>
      <c r="X1583" s="1" t="n"/>
      <c r="Y1583" s="1" t="n"/>
    </row>
    <row r="1584">
      <c r="A1584" s="34">
        <f>IF($H801="UNIDADE CONSTRUTIVA",OFFSET(A801,-1,0)+1,LARGE(A$3:A800,1))</f>
        <v/>
      </c>
      <c r="B1584" s="34" t="n"/>
      <c r="C1584" s="34" t="n"/>
      <c r="D1584" s="35" t="n"/>
      <c r="E1584" s="35" t="n"/>
      <c r="F1584" s="1" t="n"/>
      <c r="G1584" s="167" t="n"/>
      <c r="H1584" s="167" t="n"/>
      <c r="I1584" s="167" t="n"/>
      <c r="J1584" s="168" t="n"/>
      <c r="K1584" s="169" t="n"/>
      <c r="L1584" s="172" t="n"/>
      <c r="M1584" s="172" t="n"/>
      <c r="N1584" s="175" t="n"/>
      <c r="O1584" s="168" t="n"/>
      <c r="P1584" s="173" t="n"/>
      <c r="Q1584" s="1" t="n"/>
      <c r="R1584" s="1" t="n"/>
      <c r="S1584" s="1" t="n"/>
      <c r="T1584" s="1" t="n"/>
      <c r="U1584" s="1" t="n"/>
      <c r="V1584" s="1" t="n"/>
      <c r="W1584" s="1" t="n"/>
      <c r="X1584" s="1" t="n"/>
      <c r="Y1584" s="1" t="n"/>
    </row>
    <row r="1585">
      <c r="A1585" s="34">
        <f>IF($H802="UNIDADE CONSTRUTIVA",OFFSET(A802,-1,0)+1,LARGE(A$3:A801,1))</f>
        <v/>
      </c>
      <c r="B1585" s="34" t="n"/>
      <c r="C1585" s="34" t="n"/>
      <c r="D1585" s="35" t="n"/>
      <c r="E1585" s="35" t="n"/>
      <c r="F1585" s="1" t="n"/>
      <c r="G1585" s="167" t="n"/>
      <c r="H1585" s="167" t="n"/>
      <c r="I1585" s="167" t="n"/>
      <c r="J1585" s="168" t="n"/>
      <c r="K1585" s="169" t="n"/>
      <c r="L1585" s="172" t="n"/>
      <c r="M1585" s="172" t="n"/>
      <c r="N1585" s="175" t="n"/>
      <c r="O1585" s="168" t="n"/>
      <c r="P1585" s="173" t="n"/>
      <c r="Q1585" s="1" t="n"/>
      <c r="R1585" s="1" t="n"/>
      <c r="S1585" s="1" t="n"/>
      <c r="T1585" s="1" t="n"/>
      <c r="U1585" s="1" t="n"/>
      <c r="V1585" s="1" t="n"/>
      <c r="W1585" s="1" t="n"/>
      <c r="X1585" s="1" t="n"/>
      <c r="Y1585" s="1" t="n"/>
    </row>
    <row r="1586">
      <c r="A1586" s="34">
        <f>IF($H803="UNIDADE CONSTRUTIVA",OFFSET(A803,-1,0)+1,LARGE(A$3:A802,1))</f>
        <v/>
      </c>
      <c r="B1586" s="34" t="n"/>
      <c r="C1586" s="34" t="n"/>
      <c r="D1586" s="35" t="n"/>
      <c r="E1586" s="35" t="n"/>
      <c r="F1586" s="1" t="n"/>
      <c r="G1586" s="167" t="n"/>
      <c r="H1586" s="167" t="n"/>
      <c r="I1586" s="167" t="n"/>
      <c r="J1586" s="168" t="n"/>
      <c r="K1586" s="169" t="n"/>
      <c r="L1586" s="172" t="n"/>
      <c r="M1586" s="172" t="n"/>
      <c r="N1586" s="175" t="n"/>
      <c r="O1586" s="168" t="n"/>
      <c r="P1586" s="173" t="n"/>
      <c r="Q1586" s="1" t="n"/>
      <c r="R1586" s="1" t="n"/>
      <c r="S1586" s="1" t="n"/>
      <c r="T1586" s="1" t="n"/>
      <c r="U1586" s="1" t="n"/>
      <c r="V1586" s="1" t="n"/>
      <c r="W1586" s="1" t="n"/>
      <c r="X1586" s="1" t="n"/>
      <c r="Y1586" s="1" t="n"/>
    </row>
    <row r="1587">
      <c r="A1587" s="34">
        <f>IF($H804="UNIDADE CONSTRUTIVA",OFFSET(A804,-1,0)+1,LARGE(A$3:A803,1))</f>
        <v/>
      </c>
      <c r="B1587" s="34" t="n"/>
      <c r="C1587" s="34" t="n"/>
      <c r="D1587" s="35" t="n"/>
      <c r="E1587" s="35" t="n"/>
      <c r="F1587" s="1" t="n"/>
      <c r="G1587" s="167" t="n"/>
      <c r="H1587" s="167" t="n"/>
      <c r="I1587" s="167" t="n"/>
      <c r="J1587" s="168" t="n"/>
      <c r="K1587" s="169" t="n"/>
      <c r="L1587" s="172" t="n"/>
      <c r="M1587" s="172" t="n"/>
      <c r="N1587" s="175" t="n"/>
      <c r="O1587" s="168" t="n"/>
      <c r="P1587" s="173" t="n"/>
      <c r="Q1587" s="1" t="n"/>
      <c r="R1587" s="1" t="n"/>
      <c r="S1587" s="1" t="n"/>
      <c r="T1587" s="1" t="n"/>
      <c r="U1587" s="1" t="n"/>
      <c r="V1587" s="1" t="n"/>
      <c r="W1587" s="1" t="n"/>
      <c r="X1587" s="1" t="n"/>
      <c r="Y1587" s="1" t="n"/>
    </row>
    <row r="1588">
      <c r="A1588" s="34">
        <f>IF($H805="UNIDADE CONSTRUTIVA",OFFSET(A805,-1,0)+1,LARGE(A$3:A804,1))</f>
        <v/>
      </c>
      <c r="B1588" s="34" t="n"/>
      <c r="C1588" s="34" t="n"/>
      <c r="D1588" s="35" t="n"/>
      <c r="E1588" s="35" t="n"/>
      <c r="F1588" s="1" t="n"/>
      <c r="G1588" s="167" t="n"/>
      <c r="H1588" s="167" t="n"/>
      <c r="I1588" s="167" t="n"/>
      <c r="J1588" s="168" t="n"/>
      <c r="K1588" s="169" t="n"/>
      <c r="L1588" s="172" t="n"/>
      <c r="M1588" s="172" t="n"/>
      <c r="N1588" s="175" t="n"/>
      <c r="O1588" s="168" t="n"/>
      <c r="P1588" s="173" t="n"/>
      <c r="Q1588" s="1" t="n"/>
      <c r="R1588" s="1" t="n"/>
      <c r="S1588" s="1" t="n"/>
      <c r="T1588" s="1" t="n"/>
      <c r="U1588" s="1" t="n"/>
      <c r="V1588" s="1" t="n"/>
      <c r="W1588" s="1" t="n"/>
      <c r="X1588" s="1" t="n"/>
      <c r="Y1588" s="1" t="n"/>
    </row>
    <row r="1589">
      <c r="A1589" s="34">
        <f>IF($H806="UNIDADE CONSTRUTIVA",OFFSET(A806,-1,0)+1,LARGE(A$3:A805,1))</f>
        <v/>
      </c>
      <c r="B1589" s="34" t="n"/>
      <c r="C1589" s="34" t="n"/>
      <c r="D1589" s="35" t="n"/>
      <c r="E1589" s="35" t="n"/>
      <c r="F1589" s="1" t="n"/>
      <c r="G1589" s="167" t="n"/>
      <c r="H1589" s="167" t="n"/>
      <c r="I1589" s="167" t="n"/>
      <c r="J1589" s="168" t="n"/>
      <c r="K1589" s="169" t="n"/>
      <c r="L1589" s="172" t="n"/>
      <c r="M1589" s="172" t="n"/>
      <c r="N1589" s="175" t="n"/>
      <c r="O1589" s="168" t="n"/>
      <c r="P1589" s="173" t="n"/>
      <c r="Q1589" s="1" t="n"/>
      <c r="R1589" s="1" t="n"/>
      <c r="S1589" s="1" t="n"/>
      <c r="T1589" s="1" t="n"/>
      <c r="U1589" s="1" t="n"/>
      <c r="V1589" s="1" t="n"/>
      <c r="W1589" s="1" t="n"/>
      <c r="X1589" s="1" t="n"/>
      <c r="Y1589" s="1" t="n"/>
    </row>
    <row r="1590">
      <c r="A1590" s="34">
        <f>IF($H807="UNIDADE CONSTRUTIVA",OFFSET(A807,-1,0)+1,LARGE(A$3:A806,1))</f>
        <v/>
      </c>
      <c r="B1590" s="34" t="n"/>
      <c r="C1590" s="34" t="n"/>
      <c r="D1590" s="35" t="n"/>
      <c r="E1590" s="35" t="n"/>
      <c r="F1590" s="1" t="n"/>
      <c r="G1590" s="167" t="n"/>
      <c r="H1590" s="167" t="n"/>
      <c r="I1590" s="167" t="n"/>
      <c r="J1590" s="168" t="n"/>
      <c r="K1590" s="169" t="n"/>
      <c r="L1590" s="172" t="n"/>
      <c r="M1590" s="172" t="n"/>
      <c r="N1590" s="175" t="n"/>
      <c r="O1590" s="168" t="n"/>
      <c r="P1590" s="173" t="n"/>
      <c r="Q1590" s="1" t="n"/>
      <c r="R1590" s="1" t="n"/>
      <c r="S1590" s="1" t="n"/>
      <c r="T1590" s="1" t="n"/>
      <c r="U1590" s="1" t="n"/>
      <c r="V1590" s="1" t="n"/>
      <c r="W1590" s="1" t="n"/>
      <c r="X1590" s="1" t="n"/>
      <c r="Y1590" s="1" t="n"/>
    </row>
    <row r="1591">
      <c r="A1591" s="34">
        <f>IF($H808="UNIDADE CONSTRUTIVA",OFFSET(A808,-1,0)+1,LARGE(A$3:A807,1))</f>
        <v/>
      </c>
      <c r="B1591" s="34" t="n"/>
      <c r="C1591" s="34" t="n"/>
      <c r="D1591" s="35" t="n"/>
      <c r="E1591" s="35" t="n"/>
      <c r="F1591" s="1" t="n"/>
      <c r="G1591" s="167" t="n"/>
      <c r="H1591" s="167" t="n"/>
      <c r="I1591" s="167" t="n"/>
      <c r="J1591" s="168" t="n"/>
      <c r="K1591" s="169" t="n"/>
      <c r="L1591" s="172" t="n"/>
      <c r="M1591" s="172" t="n"/>
      <c r="N1591" s="175" t="n"/>
      <c r="O1591" s="168" t="n"/>
      <c r="P1591" s="173" t="n"/>
      <c r="Q1591" s="1" t="n"/>
      <c r="R1591" s="1" t="n"/>
      <c r="S1591" s="1" t="n"/>
      <c r="T1591" s="1" t="n"/>
      <c r="U1591" s="1" t="n"/>
      <c r="V1591" s="1" t="n"/>
      <c r="W1591" s="1" t="n"/>
      <c r="X1591" s="1" t="n"/>
      <c r="Y1591" s="1" t="n"/>
    </row>
    <row r="1592">
      <c r="A1592" s="34">
        <f>IF($H809="UNIDADE CONSTRUTIVA",OFFSET(A809,-1,0)+1,LARGE(A$3:A808,1))</f>
        <v/>
      </c>
      <c r="B1592" s="34" t="n"/>
      <c r="C1592" s="34" t="n"/>
      <c r="D1592" s="35" t="n"/>
      <c r="E1592" s="35" t="n"/>
      <c r="F1592" s="1" t="n"/>
      <c r="G1592" s="167" t="n"/>
      <c r="H1592" s="167" t="n"/>
      <c r="I1592" s="167" t="n"/>
      <c r="J1592" s="168" t="n"/>
      <c r="K1592" s="169" t="n"/>
      <c r="L1592" s="172" t="n"/>
      <c r="M1592" s="172" t="n"/>
      <c r="N1592" s="175" t="n"/>
      <c r="O1592" s="168" t="n"/>
      <c r="P1592" s="173" t="n"/>
      <c r="Q1592" s="1" t="n"/>
      <c r="R1592" s="1" t="n"/>
      <c r="S1592" s="1" t="n"/>
      <c r="T1592" s="1" t="n"/>
      <c r="U1592" s="1" t="n"/>
      <c r="V1592" s="1" t="n"/>
      <c r="W1592" s="1" t="n"/>
      <c r="X1592" s="1" t="n"/>
      <c r="Y1592" s="1" t="n"/>
    </row>
    <row r="1593">
      <c r="A1593" s="34">
        <f>IF($H810="UNIDADE CONSTRUTIVA",OFFSET(A810,-1,0)+1,LARGE(A$3:A809,1))</f>
        <v/>
      </c>
      <c r="B1593" s="34" t="n"/>
      <c r="C1593" s="34" t="n"/>
      <c r="D1593" s="35" t="n"/>
      <c r="E1593" s="35" t="n"/>
      <c r="F1593" s="1" t="n"/>
      <c r="G1593" s="167" t="n"/>
      <c r="H1593" s="167" t="n"/>
      <c r="I1593" s="167" t="n"/>
      <c r="J1593" s="168" t="n"/>
      <c r="K1593" s="169" t="n"/>
      <c r="L1593" s="172" t="n"/>
      <c r="M1593" s="172" t="n"/>
      <c r="N1593" s="175" t="n"/>
      <c r="O1593" s="168" t="n"/>
      <c r="P1593" s="173" t="n"/>
      <c r="Q1593" s="1" t="n"/>
      <c r="R1593" s="1" t="n"/>
      <c r="S1593" s="1" t="n"/>
      <c r="T1593" s="1" t="n"/>
      <c r="U1593" s="1" t="n"/>
      <c r="V1593" s="1" t="n"/>
      <c r="W1593" s="1" t="n"/>
      <c r="X1593" s="1" t="n"/>
      <c r="Y1593" s="1" t="n"/>
    </row>
    <row r="1594">
      <c r="A1594" s="34">
        <f>IF($H811="UNIDADE CONSTRUTIVA",OFFSET(A811,-1,0)+1,LARGE(A$3:A810,1))</f>
        <v/>
      </c>
      <c r="B1594" s="34" t="n"/>
      <c r="C1594" s="34" t="n"/>
      <c r="D1594" s="35" t="n"/>
      <c r="E1594" s="35" t="n"/>
      <c r="F1594" s="1" t="n"/>
      <c r="G1594" s="167" t="n"/>
      <c r="H1594" s="167" t="n"/>
      <c r="I1594" s="167" t="n"/>
      <c r="J1594" s="168" t="n"/>
      <c r="K1594" s="169" t="n"/>
      <c r="L1594" s="172" t="n"/>
      <c r="M1594" s="172" t="n"/>
      <c r="N1594" s="175" t="n"/>
      <c r="O1594" s="168" t="n"/>
      <c r="P1594" s="173" t="n"/>
      <c r="Q1594" s="1" t="n"/>
      <c r="R1594" s="1" t="n"/>
      <c r="S1594" s="1" t="n"/>
      <c r="T1594" s="1" t="n"/>
      <c r="U1594" s="1" t="n"/>
      <c r="V1594" s="1" t="n"/>
      <c r="W1594" s="1" t="n"/>
      <c r="X1594" s="1" t="n"/>
      <c r="Y1594" s="1" t="n"/>
    </row>
    <row r="1595">
      <c r="A1595" s="34">
        <f>IF($H812="UNIDADE CONSTRUTIVA",OFFSET(A812,-1,0)+1,LARGE(A$3:A811,1))</f>
        <v/>
      </c>
      <c r="B1595" s="34" t="n"/>
      <c r="C1595" s="34" t="n"/>
      <c r="D1595" s="35" t="n"/>
      <c r="E1595" s="35" t="n"/>
      <c r="F1595" s="1" t="n"/>
      <c r="G1595" s="167" t="n"/>
      <c r="H1595" s="167" t="n"/>
      <c r="I1595" s="167" t="n"/>
      <c r="J1595" s="168" t="n"/>
      <c r="K1595" s="169" t="n"/>
      <c r="L1595" s="172" t="n"/>
      <c r="M1595" s="172" t="n"/>
      <c r="N1595" s="175" t="n"/>
      <c r="O1595" s="168" t="n"/>
      <c r="P1595" s="173" t="n"/>
      <c r="Q1595" s="1" t="n"/>
      <c r="R1595" s="1" t="n"/>
      <c r="S1595" s="1" t="n"/>
      <c r="T1595" s="1" t="n"/>
      <c r="U1595" s="1" t="n"/>
      <c r="V1595" s="1" t="n"/>
      <c r="W1595" s="1" t="n"/>
      <c r="X1595" s="1" t="n"/>
      <c r="Y1595" s="1" t="n"/>
    </row>
    <row r="1596">
      <c r="A1596" s="34">
        <f>IF($H813="UNIDADE CONSTRUTIVA",OFFSET(A813,-1,0)+1,LARGE(A$3:A812,1))</f>
        <v/>
      </c>
      <c r="B1596" s="34" t="n"/>
      <c r="C1596" s="34" t="n"/>
      <c r="D1596" s="35" t="n"/>
      <c r="E1596" s="35" t="n"/>
      <c r="F1596" s="1" t="n"/>
      <c r="G1596" s="167" t="n"/>
      <c r="H1596" s="167" t="n"/>
      <c r="I1596" s="167" t="n"/>
      <c r="J1596" s="168" t="n"/>
      <c r="K1596" s="169" t="n"/>
      <c r="L1596" s="172" t="n"/>
      <c r="M1596" s="172" t="n"/>
      <c r="N1596" s="175" t="n"/>
      <c r="O1596" s="168" t="n"/>
      <c r="P1596" s="173" t="n"/>
      <c r="Q1596" s="1" t="n"/>
      <c r="R1596" s="1" t="n"/>
      <c r="S1596" s="1" t="n"/>
      <c r="T1596" s="1" t="n"/>
      <c r="U1596" s="1" t="n"/>
      <c r="V1596" s="1" t="n"/>
      <c r="W1596" s="1" t="n"/>
      <c r="X1596" s="1" t="n"/>
      <c r="Y1596" s="1" t="n"/>
    </row>
    <row r="1597">
      <c r="A1597" s="34">
        <f>IF($H814="UNIDADE CONSTRUTIVA",OFFSET(A814,-1,0)+1,LARGE(A$3:A813,1))</f>
        <v/>
      </c>
      <c r="B1597" s="34" t="n"/>
      <c r="C1597" s="34" t="n"/>
      <c r="D1597" s="35" t="n"/>
      <c r="E1597" s="35" t="n"/>
      <c r="F1597" s="1" t="n"/>
      <c r="G1597" s="167" t="n"/>
      <c r="H1597" s="167" t="n"/>
      <c r="I1597" s="167" t="n"/>
      <c r="J1597" s="168" t="n"/>
      <c r="K1597" s="169" t="n"/>
      <c r="L1597" s="172" t="n"/>
      <c r="M1597" s="172" t="n"/>
      <c r="N1597" s="175" t="n"/>
      <c r="O1597" s="168" t="n"/>
      <c r="P1597" s="173" t="n"/>
      <c r="Q1597" s="1" t="n"/>
      <c r="R1597" s="1" t="n"/>
      <c r="S1597" s="1" t="n"/>
      <c r="T1597" s="1" t="n"/>
      <c r="U1597" s="1" t="n"/>
      <c r="V1597" s="1" t="n"/>
      <c r="W1597" s="1" t="n"/>
      <c r="X1597" s="1" t="n"/>
      <c r="Y1597" s="1" t="n"/>
    </row>
    <row r="1598">
      <c r="A1598" s="34">
        <f>IF($H815="UNIDADE CONSTRUTIVA",OFFSET(A815,-1,0)+1,LARGE(A$3:A814,1))</f>
        <v/>
      </c>
      <c r="B1598" s="34" t="n"/>
      <c r="C1598" s="34" t="n"/>
      <c r="D1598" s="35" t="n"/>
      <c r="E1598" s="35" t="n"/>
      <c r="F1598" s="1" t="n"/>
      <c r="G1598" s="167" t="n"/>
      <c r="H1598" s="167" t="n"/>
      <c r="I1598" s="167" t="n"/>
      <c r="J1598" s="168" t="n"/>
      <c r="K1598" s="169" t="n"/>
      <c r="L1598" s="172" t="n"/>
      <c r="M1598" s="172" t="n"/>
      <c r="N1598" s="175" t="n"/>
      <c r="O1598" s="168" t="n"/>
      <c r="P1598" s="173" t="n"/>
      <c r="Q1598" s="1" t="n"/>
      <c r="R1598" s="1" t="n"/>
      <c r="S1598" s="1" t="n"/>
      <c r="T1598" s="1" t="n"/>
      <c r="U1598" s="1" t="n"/>
      <c r="V1598" s="1" t="n"/>
      <c r="W1598" s="1" t="n"/>
      <c r="X1598" s="1" t="n"/>
      <c r="Y1598" s="1" t="n"/>
    </row>
    <row r="1599">
      <c r="A1599" s="34">
        <f>IF($H816="UNIDADE CONSTRUTIVA",OFFSET(A816,-1,0)+1,LARGE(A$3:A815,1))</f>
        <v/>
      </c>
      <c r="B1599" s="34" t="n"/>
      <c r="C1599" s="34" t="n"/>
      <c r="D1599" s="35" t="n"/>
      <c r="E1599" s="35" t="n"/>
      <c r="F1599" s="1" t="n"/>
      <c r="G1599" s="167" t="n"/>
      <c r="H1599" s="167" t="n"/>
      <c r="I1599" s="167" t="n"/>
      <c r="J1599" s="168" t="n"/>
      <c r="K1599" s="169" t="n"/>
      <c r="L1599" s="172" t="n"/>
      <c r="M1599" s="172" t="n"/>
      <c r="N1599" s="175" t="n"/>
      <c r="O1599" s="168" t="n"/>
      <c r="P1599" s="173" t="n"/>
      <c r="Q1599" s="1" t="n"/>
      <c r="R1599" s="1" t="n"/>
      <c r="S1599" s="1" t="n"/>
      <c r="T1599" s="1" t="n"/>
      <c r="U1599" s="1" t="n"/>
      <c r="V1599" s="1" t="n"/>
      <c r="W1599" s="1" t="n"/>
      <c r="X1599" s="1" t="n"/>
      <c r="Y1599" s="1" t="n"/>
    </row>
    <row r="1600">
      <c r="A1600" s="34">
        <f>IF($H817="UNIDADE CONSTRUTIVA",OFFSET(A817,-1,0)+1,LARGE(A$3:A816,1))</f>
        <v/>
      </c>
      <c r="B1600" s="34" t="n"/>
      <c r="C1600" s="34" t="n"/>
      <c r="D1600" s="35" t="n"/>
      <c r="E1600" s="35" t="n"/>
      <c r="F1600" s="1" t="n"/>
      <c r="G1600" s="167" t="n"/>
      <c r="H1600" s="167" t="n"/>
      <c r="I1600" s="167" t="n"/>
      <c r="J1600" s="168" t="n"/>
      <c r="K1600" s="169" t="n"/>
      <c r="L1600" s="172" t="n"/>
      <c r="M1600" s="172" t="n"/>
      <c r="N1600" s="175" t="n"/>
      <c r="O1600" s="168" t="n"/>
      <c r="P1600" s="173" t="n"/>
      <c r="Q1600" s="1" t="n"/>
      <c r="R1600" s="1" t="n"/>
      <c r="S1600" s="1" t="n"/>
      <c r="T1600" s="1" t="n"/>
      <c r="U1600" s="1" t="n"/>
      <c r="V1600" s="1" t="n"/>
      <c r="W1600" s="1" t="n"/>
      <c r="X1600" s="1" t="n"/>
      <c r="Y1600" s="1" t="n"/>
    </row>
    <row r="1601">
      <c r="A1601" s="34">
        <f>IF($H818="UNIDADE CONSTRUTIVA",OFFSET(A818,-1,0)+1,LARGE(A$3:A817,1))</f>
        <v/>
      </c>
      <c r="B1601" s="34" t="n"/>
      <c r="C1601" s="34" t="n"/>
      <c r="D1601" s="35" t="n"/>
      <c r="E1601" s="35" t="n"/>
      <c r="F1601" s="1" t="n"/>
      <c r="G1601" s="167" t="n"/>
      <c r="H1601" s="167" t="n"/>
      <c r="I1601" s="167" t="n"/>
      <c r="J1601" s="168" t="n"/>
      <c r="K1601" s="169" t="n"/>
      <c r="L1601" s="172" t="n"/>
      <c r="M1601" s="172" t="n"/>
      <c r="N1601" s="175" t="n"/>
      <c r="O1601" s="168" t="n"/>
      <c r="P1601" s="173" t="n"/>
      <c r="Q1601" s="1" t="n"/>
      <c r="R1601" s="1" t="n"/>
      <c r="S1601" s="1" t="n"/>
      <c r="T1601" s="1" t="n"/>
      <c r="U1601" s="1" t="n"/>
      <c r="V1601" s="1" t="n"/>
      <c r="W1601" s="1" t="n"/>
      <c r="X1601" s="1" t="n"/>
      <c r="Y1601" s="1" t="n"/>
    </row>
    <row r="1602">
      <c r="A1602" s="34">
        <f>IF($H819="UNIDADE CONSTRUTIVA",OFFSET(A819,-1,0)+1,LARGE(A$3:A818,1))</f>
        <v/>
      </c>
      <c r="B1602" s="34" t="n"/>
      <c r="C1602" s="34" t="n"/>
      <c r="D1602" s="35" t="n"/>
      <c r="E1602" s="35" t="n"/>
      <c r="F1602" s="1" t="n"/>
      <c r="G1602" s="167" t="n"/>
      <c r="H1602" s="167" t="n"/>
      <c r="I1602" s="167" t="n"/>
      <c r="J1602" s="168" t="n"/>
      <c r="K1602" s="169" t="n"/>
      <c r="L1602" s="172" t="n"/>
      <c r="M1602" s="172" t="n"/>
      <c r="N1602" s="175" t="n"/>
      <c r="O1602" s="168" t="n"/>
      <c r="P1602" s="173" t="n"/>
      <c r="Q1602" s="1" t="n"/>
      <c r="R1602" s="1" t="n"/>
      <c r="S1602" s="1" t="n"/>
      <c r="T1602" s="1" t="n"/>
      <c r="U1602" s="1" t="n"/>
      <c r="V1602" s="1" t="n"/>
      <c r="W1602" s="1" t="n"/>
      <c r="X1602" s="1" t="n"/>
      <c r="Y1602" s="1" t="n"/>
    </row>
    <row r="1603">
      <c r="A1603" s="34">
        <f>IF($H820="UNIDADE CONSTRUTIVA",OFFSET(A820,-1,0)+1,LARGE(A$3:A819,1))</f>
        <v/>
      </c>
      <c r="B1603" s="34" t="n"/>
      <c r="C1603" s="34" t="n"/>
      <c r="D1603" s="35" t="n"/>
      <c r="E1603" s="35" t="n"/>
      <c r="F1603" s="1" t="n"/>
      <c r="G1603" s="167" t="n"/>
      <c r="H1603" s="167" t="n"/>
      <c r="I1603" s="167" t="n"/>
      <c r="J1603" s="168" t="n"/>
      <c r="K1603" s="169" t="n"/>
      <c r="L1603" s="172" t="n"/>
      <c r="M1603" s="172" t="n"/>
      <c r="N1603" s="175" t="n"/>
      <c r="O1603" s="168" t="n"/>
      <c r="P1603" s="173" t="n"/>
      <c r="Q1603" s="1" t="n"/>
      <c r="R1603" s="1" t="n"/>
      <c r="S1603" s="1" t="n"/>
      <c r="T1603" s="1" t="n"/>
      <c r="U1603" s="1" t="n"/>
      <c r="V1603" s="1" t="n"/>
      <c r="W1603" s="1" t="n"/>
      <c r="X1603" s="1" t="n"/>
      <c r="Y1603" s="1" t="n"/>
    </row>
    <row r="1604">
      <c r="A1604" s="34">
        <f>IF($H821="UNIDADE CONSTRUTIVA",OFFSET(A821,-1,0)+1,LARGE(A$3:A820,1))</f>
        <v/>
      </c>
      <c r="B1604" s="34" t="n"/>
      <c r="C1604" s="34" t="n"/>
      <c r="D1604" s="35" t="n"/>
      <c r="E1604" s="35" t="n"/>
      <c r="F1604" s="1" t="n"/>
      <c r="G1604" s="167" t="n"/>
      <c r="H1604" s="167" t="n"/>
      <c r="I1604" s="167" t="n"/>
      <c r="J1604" s="168" t="n"/>
      <c r="K1604" s="169" t="n"/>
      <c r="L1604" s="172" t="n"/>
      <c r="M1604" s="172" t="n"/>
      <c r="N1604" s="175" t="n"/>
      <c r="O1604" s="168" t="n"/>
      <c r="P1604" s="173" t="n"/>
      <c r="Q1604" s="1" t="n"/>
      <c r="R1604" s="1" t="n"/>
      <c r="S1604" s="1" t="n"/>
      <c r="T1604" s="1" t="n"/>
      <c r="U1604" s="1" t="n"/>
      <c r="V1604" s="1" t="n"/>
      <c r="W1604" s="1" t="n"/>
      <c r="X1604" s="1" t="n"/>
      <c r="Y1604" s="1" t="n"/>
    </row>
    <row r="1605">
      <c r="A1605" s="34">
        <f>IF($H822="UNIDADE CONSTRUTIVA",OFFSET(A822,-1,0)+1,LARGE(A$3:A821,1))</f>
        <v/>
      </c>
      <c r="B1605" s="34" t="n"/>
      <c r="C1605" s="34" t="n"/>
      <c r="D1605" s="35" t="n"/>
      <c r="E1605" s="35" t="n"/>
      <c r="F1605" s="1" t="n"/>
      <c r="G1605" s="167" t="n"/>
      <c r="H1605" s="167" t="n"/>
      <c r="I1605" s="167" t="n"/>
      <c r="J1605" s="168" t="n"/>
      <c r="K1605" s="169" t="n"/>
      <c r="L1605" s="172" t="n"/>
      <c r="M1605" s="172" t="n"/>
      <c r="N1605" s="175" t="n"/>
      <c r="O1605" s="168" t="n"/>
      <c r="P1605" s="173" t="n"/>
      <c r="Q1605" s="1" t="n"/>
      <c r="R1605" s="1" t="n"/>
      <c r="S1605" s="1" t="n"/>
      <c r="T1605" s="1" t="n"/>
      <c r="U1605" s="1" t="n"/>
      <c r="V1605" s="1" t="n"/>
      <c r="W1605" s="1" t="n"/>
      <c r="X1605" s="1" t="n"/>
      <c r="Y1605" s="1" t="n"/>
    </row>
    <row r="1606">
      <c r="A1606" s="34">
        <f>IF($H823="UNIDADE CONSTRUTIVA",OFFSET(A823,-1,0)+1,LARGE(A$3:A822,1))</f>
        <v/>
      </c>
      <c r="B1606" s="34" t="n"/>
      <c r="C1606" s="34" t="n"/>
      <c r="D1606" s="35" t="n"/>
      <c r="E1606" s="35" t="n"/>
      <c r="F1606" s="1" t="n"/>
      <c r="G1606" s="167" t="n"/>
      <c r="H1606" s="167" t="n"/>
      <c r="I1606" s="167" t="n"/>
      <c r="J1606" s="168" t="n"/>
      <c r="K1606" s="169" t="n"/>
      <c r="L1606" s="172" t="n"/>
      <c r="M1606" s="172" t="n"/>
      <c r="N1606" s="175" t="n"/>
      <c r="O1606" s="168" t="n"/>
      <c r="P1606" s="173" t="n"/>
      <c r="Q1606" s="1" t="n"/>
      <c r="R1606" s="1" t="n"/>
      <c r="S1606" s="1" t="n"/>
      <c r="T1606" s="1" t="n"/>
      <c r="U1606" s="1" t="n"/>
      <c r="V1606" s="1" t="n"/>
      <c r="W1606" s="1" t="n"/>
      <c r="X1606" s="1" t="n"/>
      <c r="Y1606" s="1" t="n"/>
    </row>
    <row r="1607">
      <c r="A1607" s="34">
        <f>IF($H824="UNIDADE CONSTRUTIVA",OFFSET(A824,-1,0)+1,LARGE(A$3:A823,1))</f>
        <v/>
      </c>
      <c r="B1607" s="34" t="n"/>
      <c r="C1607" s="34" t="n"/>
      <c r="D1607" s="35" t="n"/>
      <c r="E1607" s="35" t="n"/>
      <c r="F1607" s="1" t="n"/>
      <c r="G1607" s="167" t="n"/>
      <c r="H1607" s="167" t="n"/>
      <c r="I1607" s="167" t="n"/>
      <c r="J1607" s="168" t="n"/>
      <c r="K1607" s="169" t="n"/>
      <c r="L1607" s="172" t="n"/>
      <c r="M1607" s="172" t="n"/>
      <c r="N1607" s="175" t="n"/>
      <c r="O1607" s="168" t="n"/>
      <c r="P1607" s="173" t="n"/>
      <c r="Q1607" s="1" t="n"/>
      <c r="R1607" s="1" t="n"/>
      <c r="S1607" s="1" t="n"/>
      <c r="T1607" s="1" t="n"/>
      <c r="U1607" s="1" t="n"/>
      <c r="V1607" s="1" t="n"/>
      <c r="W1607" s="1" t="n"/>
      <c r="X1607" s="1" t="n"/>
      <c r="Y1607" s="1" t="n"/>
    </row>
    <row r="1608">
      <c r="A1608" s="34">
        <f>IF($H825="UNIDADE CONSTRUTIVA",OFFSET(A825,-1,0)+1,LARGE(A$3:A824,1))</f>
        <v/>
      </c>
      <c r="B1608" s="34" t="n"/>
      <c r="C1608" s="34" t="n"/>
      <c r="D1608" s="35" t="n"/>
      <c r="E1608" s="35" t="n"/>
      <c r="F1608" s="1" t="n"/>
      <c r="G1608" s="167" t="n"/>
      <c r="H1608" s="167" t="n"/>
      <c r="I1608" s="167" t="n"/>
      <c r="J1608" s="168" t="n"/>
      <c r="K1608" s="169" t="n"/>
      <c r="L1608" s="172" t="n"/>
      <c r="M1608" s="172" t="n"/>
      <c r="N1608" s="175" t="n"/>
      <c r="O1608" s="168" t="n"/>
      <c r="P1608" s="173" t="n"/>
      <c r="Q1608" s="1" t="n"/>
      <c r="R1608" s="1" t="n"/>
      <c r="S1608" s="1" t="n"/>
      <c r="T1608" s="1" t="n"/>
      <c r="U1608" s="1" t="n"/>
      <c r="V1608" s="1" t="n"/>
      <c r="W1608" s="1" t="n"/>
      <c r="X1608" s="1" t="n"/>
      <c r="Y1608" s="1" t="n"/>
    </row>
    <row r="1609">
      <c r="A1609" s="34">
        <f>IF($H826="UNIDADE CONSTRUTIVA",OFFSET(A826,-1,0)+1,LARGE(A$3:A825,1))</f>
        <v/>
      </c>
      <c r="B1609" s="34" t="n"/>
      <c r="C1609" s="34" t="n"/>
      <c r="D1609" s="35" t="n"/>
      <c r="E1609" s="35" t="n"/>
      <c r="F1609" s="1" t="n"/>
      <c r="G1609" s="167" t="n"/>
      <c r="H1609" s="167" t="n"/>
      <c r="I1609" s="167" t="n"/>
      <c r="J1609" s="168" t="n"/>
      <c r="K1609" s="169" t="n"/>
      <c r="L1609" s="172" t="n"/>
      <c r="M1609" s="172" t="n"/>
      <c r="N1609" s="175" t="n"/>
      <c r="O1609" s="168" t="n"/>
      <c r="P1609" s="173" t="n"/>
      <c r="Q1609" s="1" t="n"/>
      <c r="R1609" s="1" t="n"/>
      <c r="S1609" s="1" t="n"/>
      <c r="T1609" s="1" t="n"/>
      <c r="U1609" s="1" t="n"/>
      <c r="V1609" s="1" t="n"/>
      <c r="W1609" s="1" t="n"/>
      <c r="X1609" s="1" t="n"/>
      <c r="Y1609" s="1" t="n"/>
    </row>
    <row r="1610">
      <c r="A1610" s="34">
        <f>IF($H827="UNIDADE CONSTRUTIVA",OFFSET(A827,-1,0)+1,LARGE(A$3:A826,1))</f>
        <v/>
      </c>
      <c r="B1610" s="34" t="n"/>
      <c r="C1610" s="34" t="n"/>
      <c r="D1610" s="35" t="n"/>
      <c r="E1610" s="35" t="n"/>
      <c r="F1610" s="1" t="n"/>
      <c r="G1610" s="167" t="n"/>
      <c r="H1610" s="167" t="n"/>
      <c r="I1610" s="167" t="n"/>
      <c r="J1610" s="168" t="n"/>
      <c r="K1610" s="169" t="n"/>
      <c r="L1610" s="172" t="n"/>
      <c r="M1610" s="172" t="n"/>
      <c r="N1610" s="175" t="n"/>
      <c r="O1610" s="168" t="n"/>
      <c r="P1610" s="173" t="n"/>
      <c r="Q1610" s="1" t="n"/>
      <c r="R1610" s="1" t="n"/>
      <c r="S1610" s="1" t="n"/>
      <c r="T1610" s="1" t="n"/>
      <c r="U1610" s="1" t="n"/>
      <c r="V1610" s="1" t="n"/>
      <c r="W1610" s="1" t="n"/>
      <c r="X1610" s="1" t="n"/>
      <c r="Y1610" s="1" t="n"/>
    </row>
    <row r="1611">
      <c r="A1611" s="34">
        <f>IF($H828="UNIDADE CONSTRUTIVA",OFFSET(A828,-1,0)+1,LARGE(A$3:A827,1))</f>
        <v/>
      </c>
      <c r="B1611" s="34" t="n"/>
      <c r="C1611" s="34" t="n"/>
      <c r="D1611" s="35" t="n"/>
      <c r="E1611" s="35" t="n"/>
      <c r="F1611" s="1" t="n"/>
      <c r="G1611" s="167" t="n"/>
      <c r="H1611" s="167" t="n"/>
      <c r="I1611" s="167" t="n"/>
      <c r="J1611" s="168" t="n"/>
      <c r="K1611" s="169" t="n"/>
      <c r="L1611" s="172" t="n"/>
      <c r="M1611" s="172" t="n"/>
      <c r="N1611" s="175" t="n"/>
      <c r="O1611" s="168" t="n"/>
      <c r="P1611" s="173" t="n"/>
      <c r="Q1611" s="1" t="n"/>
      <c r="R1611" s="1" t="n"/>
      <c r="S1611" s="1" t="n"/>
      <c r="T1611" s="1" t="n"/>
      <c r="U1611" s="1" t="n"/>
      <c r="V1611" s="1" t="n"/>
      <c r="W1611" s="1" t="n"/>
      <c r="X1611" s="1" t="n"/>
      <c r="Y1611" s="1" t="n"/>
    </row>
    <row r="1612">
      <c r="A1612" s="34">
        <f>IF($H829="UNIDADE CONSTRUTIVA",OFFSET(A829,-1,0)+1,LARGE(A$3:A828,1))</f>
        <v/>
      </c>
      <c r="B1612" s="34" t="n"/>
      <c r="C1612" s="34" t="n"/>
      <c r="D1612" s="35" t="n"/>
      <c r="E1612" s="35" t="n"/>
      <c r="F1612" s="1" t="n"/>
      <c r="G1612" s="167" t="n"/>
      <c r="H1612" s="167" t="n"/>
      <c r="I1612" s="167" t="n"/>
      <c r="J1612" s="168" t="n"/>
      <c r="K1612" s="169" t="n"/>
      <c r="L1612" s="172" t="n"/>
      <c r="M1612" s="172" t="n"/>
      <c r="N1612" s="175" t="n"/>
      <c r="O1612" s="168" t="n"/>
      <c r="P1612" s="173" t="n"/>
      <c r="Q1612" s="1" t="n"/>
      <c r="R1612" s="1" t="n"/>
      <c r="S1612" s="1" t="n"/>
      <c r="T1612" s="1" t="n"/>
      <c r="U1612" s="1" t="n"/>
      <c r="V1612" s="1" t="n"/>
      <c r="W1612" s="1" t="n"/>
      <c r="X1612" s="1" t="n"/>
      <c r="Y1612" s="1" t="n"/>
    </row>
    <row r="1613">
      <c r="A1613" s="34">
        <f>IF($H830="UNIDADE CONSTRUTIVA",OFFSET(A830,-1,0)+1,LARGE(A$3:A829,1))</f>
        <v/>
      </c>
      <c r="B1613" s="34" t="n"/>
      <c r="C1613" s="34" t="n"/>
      <c r="D1613" s="35" t="n"/>
      <c r="E1613" s="35" t="n"/>
      <c r="F1613" s="1" t="n"/>
      <c r="G1613" s="167" t="n"/>
      <c r="H1613" s="167" t="n"/>
      <c r="I1613" s="167" t="n"/>
      <c r="J1613" s="168" t="n"/>
      <c r="K1613" s="169" t="n"/>
      <c r="L1613" s="172" t="n"/>
      <c r="M1613" s="172" t="n"/>
      <c r="N1613" s="175" t="n"/>
      <c r="O1613" s="168" t="n"/>
      <c r="P1613" s="173" t="n"/>
      <c r="Q1613" s="1" t="n"/>
      <c r="R1613" s="1" t="n"/>
      <c r="S1613" s="1" t="n"/>
      <c r="T1613" s="1" t="n"/>
      <c r="U1613" s="1" t="n"/>
      <c r="V1613" s="1" t="n"/>
      <c r="W1613" s="1" t="n"/>
      <c r="X1613" s="1" t="n"/>
      <c r="Y1613" s="1" t="n"/>
    </row>
    <row r="1614">
      <c r="A1614" s="34">
        <f>IF($H831="UNIDADE CONSTRUTIVA",OFFSET(A831,-1,0)+1,LARGE(A$3:A830,1))</f>
        <v/>
      </c>
      <c r="B1614" s="34" t="n"/>
      <c r="C1614" s="34" t="n"/>
      <c r="D1614" s="35" t="n"/>
      <c r="E1614" s="35" t="n"/>
      <c r="F1614" s="1" t="n"/>
      <c r="G1614" s="167" t="n"/>
      <c r="H1614" s="167" t="n"/>
      <c r="I1614" s="167" t="n"/>
      <c r="J1614" s="168" t="n"/>
      <c r="K1614" s="169" t="n"/>
      <c r="L1614" s="172" t="n"/>
      <c r="M1614" s="172" t="n"/>
      <c r="N1614" s="175" t="n"/>
      <c r="O1614" s="168" t="n"/>
      <c r="P1614" s="173" t="n"/>
      <c r="Q1614" s="1" t="n"/>
      <c r="R1614" s="1" t="n"/>
      <c r="S1614" s="1" t="n"/>
      <c r="T1614" s="1" t="n"/>
      <c r="U1614" s="1" t="n"/>
      <c r="V1614" s="1" t="n"/>
      <c r="W1614" s="1" t="n"/>
      <c r="X1614" s="1" t="n"/>
      <c r="Y1614" s="1" t="n"/>
    </row>
    <row r="1615">
      <c r="A1615" s="34">
        <f>IF($H832="UNIDADE CONSTRUTIVA",OFFSET(A832,-1,0)+1,LARGE(A$3:A831,1))</f>
        <v/>
      </c>
      <c r="B1615" s="34" t="n"/>
      <c r="C1615" s="34" t="n"/>
      <c r="D1615" s="35" t="n"/>
      <c r="E1615" s="35" t="n"/>
      <c r="F1615" s="1" t="n"/>
      <c r="G1615" s="167" t="n"/>
      <c r="H1615" s="167" t="n"/>
      <c r="I1615" s="167" t="n"/>
      <c r="J1615" s="168" t="n"/>
      <c r="K1615" s="169" t="n"/>
      <c r="L1615" s="172" t="n"/>
      <c r="M1615" s="172" t="n"/>
      <c r="N1615" s="175" t="n"/>
      <c r="O1615" s="168" t="n"/>
      <c r="P1615" s="173" t="n"/>
      <c r="Q1615" s="1" t="n"/>
      <c r="R1615" s="1" t="n"/>
      <c r="S1615" s="1" t="n"/>
      <c r="T1615" s="1" t="n"/>
      <c r="U1615" s="1" t="n"/>
      <c r="V1615" s="1" t="n"/>
      <c r="W1615" s="1" t="n"/>
      <c r="X1615" s="1" t="n"/>
      <c r="Y1615" s="1" t="n"/>
    </row>
    <row r="1616">
      <c r="A1616" s="34">
        <f>IF($H833="UNIDADE CONSTRUTIVA",OFFSET(A833,-1,0)+1,LARGE(A$3:A832,1))</f>
        <v/>
      </c>
      <c r="B1616" s="34" t="n"/>
      <c r="C1616" s="34" t="n"/>
      <c r="D1616" s="35" t="n"/>
      <c r="E1616" s="35" t="n"/>
      <c r="F1616" s="1" t="n"/>
      <c r="G1616" s="167" t="n"/>
      <c r="H1616" s="167" t="n"/>
      <c r="I1616" s="167" t="n"/>
      <c r="J1616" s="168" t="n"/>
      <c r="K1616" s="169" t="n"/>
      <c r="L1616" s="172" t="n"/>
      <c r="M1616" s="172" t="n"/>
      <c r="N1616" s="175" t="n"/>
      <c r="O1616" s="168" t="n"/>
      <c r="P1616" s="173" t="n"/>
      <c r="Q1616" s="1" t="n"/>
      <c r="R1616" s="1" t="n"/>
      <c r="S1616" s="1" t="n"/>
      <c r="T1616" s="1" t="n"/>
      <c r="U1616" s="1" t="n"/>
      <c r="V1616" s="1" t="n"/>
      <c r="W1616" s="1" t="n"/>
      <c r="X1616" s="1" t="n"/>
      <c r="Y1616" s="1" t="n"/>
    </row>
    <row r="1617">
      <c r="A1617" s="34">
        <f>IF($H834="UNIDADE CONSTRUTIVA",OFFSET(A834,-1,0)+1,LARGE(A$3:A833,1))</f>
        <v/>
      </c>
      <c r="B1617" s="34" t="n"/>
      <c r="C1617" s="34" t="n"/>
      <c r="D1617" s="35" t="n"/>
      <c r="E1617" s="35" t="n"/>
      <c r="F1617" s="1" t="n"/>
      <c r="G1617" s="167" t="n"/>
      <c r="H1617" s="167" t="n"/>
      <c r="I1617" s="167" t="n"/>
      <c r="J1617" s="168" t="n"/>
      <c r="K1617" s="169" t="n"/>
      <c r="L1617" s="172" t="n"/>
      <c r="M1617" s="172" t="n"/>
      <c r="N1617" s="175" t="n"/>
      <c r="O1617" s="168" t="n"/>
      <c r="P1617" s="173" t="n"/>
      <c r="Q1617" s="1" t="n"/>
      <c r="R1617" s="1" t="n"/>
      <c r="S1617" s="1" t="n"/>
      <c r="T1617" s="1" t="n"/>
      <c r="U1617" s="1" t="n"/>
      <c r="V1617" s="1" t="n"/>
      <c r="W1617" s="1" t="n"/>
      <c r="X1617" s="1" t="n"/>
      <c r="Y1617" s="1" t="n"/>
    </row>
    <row r="1618">
      <c r="A1618" s="34">
        <f>IF($H835="UNIDADE CONSTRUTIVA",OFFSET(A835,-1,0)+1,LARGE(A$3:A834,1))</f>
        <v/>
      </c>
      <c r="B1618" s="34" t="n"/>
      <c r="C1618" s="34" t="n"/>
      <c r="D1618" s="35" t="n"/>
      <c r="E1618" s="35" t="n"/>
      <c r="F1618" s="1" t="n"/>
      <c r="G1618" s="167" t="n"/>
      <c r="H1618" s="167" t="n"/>
      <c r="I1618" s="167" t="n"/>
      <c r="J1618" s="168" t="n"/>
      <c r="K1618" s="169" t="n"/>
      <c r="L1618" s="172" t="n"/>
      <c r="M1618" s="172" t="n"/>
      <c r="N1618" s="175" t="n"/>
      <c r="O1618" s="168" t="n"/>
      <c r="P1618" s="173" t="n"/>
      <c r="Q1618" s="1" t="n"/>
      <c r="R1618" s="1" t="n"/>
      <c r="S1618" s="1" t="n"/>
      <c r="T1618" s="1" t="n"/>
      <c r="U1618" s="1" t="n"/>
      <c r="V1618" s="1" t="n"/>
      <c r="W1618" s="1" t="n"/>
      <c r="X1618" s="1" t="n"/>
      <c r="Y1618" s="1" t="n"/>
    </row>
    <row r="1619">
      <c r="A1619" s="34">
        <f>IF($H836="UNIDADE CONSTRUTIVA",OFFSET(A836,-1,0)+1,LARGE(A$3:A835,1))</f>
        <v/>
      </c>
      <c r="B1619" s="34" t="n"/>
      <c r="C1619" s="34" t="n"/>
      <c r="D1619" s="35" t="n"/>
      <c r="E1619" s="35" t="n"/>
      <c r="F1619" s="1" t="n"/>
      <c r="G1619" s="167" t="n"/>
      <c r="H1619" s="167" t="n"/>
      <c r="I1619" s="167" t="n"/>
      <c r="J1619" s="168" t="n"/>
      <c r="K1619" s="169" t="n"/>
      <c r="L1619" s="172" t="n"/>
      <c r="M1619" s="172" t="n"/>
      <c r="N1619" s="175" t="n"/>
      <c r="O1619" s="168" t="n"/>
      <c r="P1619" s="173" t="n"/>
      <c r="Q1619" s="1" t="n"/>
      <c r="R1619" s="1" t="n"/>
      <c r="S1619" s="1" t="n"/>
      <c r="T1619" s="1" t="n"/>
      <c r="U1619" s="1" t="n"/>
      <c r="V1619" s="1" t="n"/>
      <c r="W1619" s="1" t="n"/>
      <c r="X1619" s="1" t="n"/>
      <c r="Y1619" s="1" t="n"/>
    </row>
    <row r="1620">
      <c r="A1620" s="34">
        <f>IF($H837="UNIDADE CONSTRUTIVA",OFFSET(A837,-1,0)+1,LARGE(A$3:A836,1))</f>
        <v/>
      </c>
      <c r="B1620" s="34" t="n"/>
      <c r="C1620" s="34" t="n"/>
      <c r="D1620" s="35" t="n"/>
      <c r="E1620" s="35" t="n"/>
      <c r="F1620" s="1" t="n"/>
      <c r="G1620" s="167" t="n"/>
      <c r="H1620" s="167" t="n"/>
      <c r="I1620" s="167" t="n"/>
      <c r="J1620" s="168" t="n"/>
      <c r="K1620" s="169" t="n"/>
      <c r="L1620" s="172" t="n"/>
      <c r="M1620" s="172" t="n"/>
      <c r="N1620" s="175" t="n"/>
      <c r="O1620" s="168" t="n"/>
      <c r="P1620" s="173" t="n"/>
      <c r="Q1620" s="1" t="n"/>
      <c r="R1620" s="1" t="n"/>
      <c r="S1620" s="1" t="n"/>
      <c r="T1620" s="1" t="n"/>
      <c r="U1620" s="1" t="n"/>
      <c r="V1620" s="1" t="n"/>
      <c r="W1620" s="1" t="n"/>
      <c r="X1620" s="1" t="n"/>
      <c r="Y1620" s="1" t="n"/>
    </row>
    <row r="1621">
      <c r="A1621" s="34">
        <f>IF($H838="UNIDADE CONSTRUTIVA",OFFSET(A838,-1,0)+1,LARGE(A$3:A837,1))</f>
        <v/>
      </c>
      <c r="B1621" s="34" t="n"/>
      <c r="C1621" s="34" t="n"/>
      <c r="D1621" s="35" t="n"/>
      <c r="E1621" s="35" t="n"/>
      <c r="F1621" s="1" t="n"/>
      <c r="G1621" s="167" t="n"/>
      <c r="H1621" s="167" t="n"/>
      <c r="I1621" s="167" t="n"/>
      <c r="J1621" s="168" t="n"/>
      <c r="K1621" s="169" t="n"/>
      <c r="L1621" s="172" t="n"/>
      <c r="M1621" s="172" t="n"/>
      <c r="N1621" s="175" t="n"/>
      <c r="O1621" s="168" t="n"/>
      <c r="P1621" s="173" t="n"/>
      <c r="Q1621" s="1" t="n"/>
      <c r="R1621" s="1" t="n"/>
      <c r="S1621" s="1" t="n"/>
      <c r="T1621" s="1" t="n"/>
      <c r="U1621" s="1" t="n"/>
      <c r="V1621" s="1" t="n"/>
      <c r="W1621" s="1" t="n"/>
      <c r="X1621" s="1" t="n"/>
      <c r="Y1621" s="1" t="n"/>
    </row>
    <row r="1622">
      <c r="A1622" s="34">
        <f>IF($H839="UNIDADE CONSTRUTIVA",OFFSET(A839,-1,0)+1,LARGE(A$3:A838,1))</f>
        <v/>
      </c>
      <c r="B1622" s="34" t="n"/>
      <c r="C1622" s="34" t="n"/>
      <c r="D1622" s="35" t="n"/>
      <c r="E1622" s="35" t="n"/>
      <c r="F1622" s="1" t="n"/>
      <c r="G1622" s="167" t="n"/>
      <c r="H1622" s="167" t="n"/>
      <c r="I1622" s="167" t="n"/>
      <c r="J1622" s="168" t="n"/>
      <c r="K1622" s="169" t="n"/>
      <c r="L1622" s="172" t="n"/>
      <c r="M1622" s="172" t="n"/>
      <c r="N1622" s="175" t="n"/>
      <c r="O1622" s="168" t="n"/>
      <c r="P1622" s="173" t="n"/>
      <c r="Q1622" s="1" t="n"/>
      <c r="R1622" s="1" t="n"/>
      <c r="S1622" s="1" t="n"/>
      <c r="T1622" s="1" t="n"/>
      <c r="U1622" s="1" t="n"/>
      <c r="V1622" s="1" t="n"/>
      <c r="W1622" s="1" t="n"/>
      <c r="X1622" s="1" t="n"/>
      <c r="Y1622" s="1" t="n"/>
    </row>
    <row r="1623">
      <c r="A1623" s="34">
        <f>IF($H840="UNIDADE CONSTRUTIVA",OFFSET(A840,-1,0)+1,LARGE(A$3:A839,1))</f>
        <v/>
      </c>
      <c r="B1623" s="34" t="n"/>
      <c r="C1623" s="34" t="n"/>
      <c r="D1623" s="35" t="n"/>
      <c r="E1623" s="35" t="n"/>
      <c r="F1623" s="1" t="n"/>
      <c r="G1623" s="167" t="n"/>
      <c r="H1623" s="167" t="n"/>
      <c r="I1623" s="167" t="n"/>
      <c r="J1623" s="168" t="n"/>
      <c r="K1623" s="169" t="n"/>
      <c r="L1623" s="172" t="n"/>
      <c r="M1623" s="172" t="n"/>
      <c r="N1623" s="175" t="n"/>
      <c r="O1623" s="168" t="n"/>
      <c r="P1623" s="173" t="n"/>
      <c r="Q1623" s="1" t="n"/>
      <c r="R1623" s="1" t="n"/>
      <c r="S1623" s="1" t="n"/>
      <c r="T1623" s="1" t="n"/>
      <c r="U1623" s="1" t="n"/>
      <c r="V1623" s="1" t="n"/>
      <c r="W1623" s="1" t="n"/>
      <c r="X1623" s="1" t="n"/>
      <c r="Y1623" s="1" t="n"/>
    </row>
    <row r="1624">
      <c r="A1624" s="34">
        <f>IF($H841="UNIDADE CONSTRUTIVA",OFFSET(A841,-1,0)+1,LARGE(A$3:A840,1))</f>
        <v/>
      </c>
      <c r="B1624" s="34" t="n"/>
      <c r="C1624" s="34" t="n"/>
      <c r="D1624" s="35" t="n"/>
      <c r="E1624" s="35" t="n"/>
      <c r="F1624" s="1" t="n"/>
      <c r="G1624" s="167" t="n"/>
      <c r="H1624" s="167" t="n"/>
      <c r="I1624" s="167" t="n"/>
      <c r="J1624" s="168" t="n"/>
      <c r="K1624" s="169" t="n"/>
      <c r="L1624" s="172" t="n"/>
      <c r="M1624" s="172" t="n"/>
      <c r="N1624" s="175" t="n"/>
      <c r="O1624" s="168" t="n"/>
      <c r="P1624" s="173" t="n"/>
      <c r="Q1624" s="1" t="n"/>
      <c r="R1624" s="1" t="n"/>
      <c r="S1624" s="1" t="n"/>
      <c r="T1624" s="1" t="n"/>
      <c r="U1624" s="1" t="n"/>
      <c r="V1624" s="1" t="n"/>
      <c r="W1624" s="1" t="n"/>
      <c r="X1624" s="1" t="n"/>
      <c r="Y1624" s="1" t="n"/>
    </row>
    <row r="1625">
      <c r="A1625" s="34">
        <f>IF($H842="UNIDADE CONSTRUTIVA",OFFSET(A842,-1,0)+1,LARGE(A$3:A841,1))</f>
        <v/>
      </c>
      <c r="B1625" s="34" t="n"/>
      <c r="C1625" s="34" t="n"/>
      <c r="D1625" s="35" t="n"/>
      <c r="E1625" s="35" t="n"/>
      <c r="F1625" s="1" t="n"/>
      <c r="G1625" s="167" t="n"/>
      <c r="H1625" s="167" t="n"/>
      <c r="I1625" s="167" t="n"/>
      <c r="J1625" s="168" t="n"/>
      <c r="K1625" s="169" t="n"/>
      <c r="L1625" s="172" t="n"/>
      <c r="M1625" s="172" t="n"/>
      <c r="N1625" s="175" t="n"/>
      <c r="O1625" s="168" t="n"/>
      <c r="P1625" s="173" t="n"/>
      <c r="Q1625" s="1" t="n"/>
      <c r="R1625" s="1" t="n"/>
      <c r="S1625" s="1" t="n"/>
      <c r="T1625" s="1" t="n"/>
      <c r="U1625" s="1" t="n"/>
      <c r="V1625" s="1" t="n"/>
      <c r="W1625" s="1" t="n"/>
      <c r="X1625" s="1" t="n"/>
      <c r="Y1625" s="1" t="n"/>
    </row>
    <row r="1626">
      <c r="A1626" s="34">
        <f>IF($H843="UNIDADE CONSTRUTIVA",OFFSET(A843,-1,0)+1,LARGE(A$3:A842,1))</f>
        <v/>
      </c>
      <c r="B1626" s="34" t="n"/>
      <c r="C1626" s="34" t="n"/>
      <c r="D1626" s="35" t="n"/>
      <c r="E1626" s="35" t="n"/>
      <c r="F1626" s="1" t="n"/>
      <c r="G1626" s="167" t="n"/>
      <c r="H1626" s="167" t="n"/>
      <c r="I1626" s="167" t="n"/>
      <c r="J1626" s="168" t="n"/>
      <c r="K1626" s="169" t="n"/>
      <c r="L1626" s="172" t="n"/>
      <c r="M1626" s="172" t="n"/>
      <c r="N1626" s="175" t="n"/>
      <c r="O1626" s="168" t="n"/>
      <c r="P1626" s="173" t="n"/>
      <c r="Q1626" s="1" t="n"/>
      <c r="R1626" s="1" t="n"/>
      <c r="S1626" s="1" t="n"/>
      <c r="T1626" s="1" t="n"/>
      <c r="U1626" s="1" t="n"/>
      <c r="V1626" s="1" t="n"/>
      <c r="W1626" s="1" t="n"/>
      <c r="X1626" s="1" t="n"/>
      <c r="Y1626" s="1" t="n"/>
    </row>
    <row r="1627">
      <c r="A1627" s="34">
        <f>IF($H844="UNIDADE CONSTRUTIVA",OFFSET(A844,-1,0)+1,LARGE(A$3:A843,1))</f>
        <v/>
      </c>
      <c r="B1627" s="34" t="n"/>
      <c r="C1627" s="34" t="n"/>
      <c r="D1627" s="35" t="n"/>
      <c r="E1627" s="35" t="n"/>
      <c r="F1627" s="1" t="n"/>
      <c r="G1627" s="167" t="n"/>
      <c r="H1627" s="167" t="n"/>
      <c r="I1627" s="167" t="n"/>
      <c r="J1627" s="168" t="n"/>
      <c r="K1627" s="169" t="n"/>
      <c r="L1627" s="172" t="n"/>
      <c r="M1627" s="172" t="n"/>
      <c r="N1627" s="175" t="n"/>
      <c r="O1627" s="168" t="n"/>
      <c r="P1627" s="173" t="n"/>
      <c r="Q1627" s="1" t="n"/>
      <c r="R1627" s="1" t="n"/>
      <c r="S1627" s="1" t="n"/>
      <c r="T1627" s="1" t="n"/>
      <c r="U1627" s="1" t="n"/>
      <c r="V1627" s="1" t="n"/>
      <c r="W1627" s="1" t="n"/>
      <c r="X1627" s="1" t="n"/>
      <c r="Y1627" s="1" t="n"/>
    </row>
    <row r="1628">
      <c r="A1628" s="34">
        <f>IF($H845="UNIDADE CONSTRUTIVA",OFFSET(A845,-1,0)+1,LARGE(A$3:A844,1))</f>
        <v/>
      </c>
      <c r="B1628" s="34" t="n"/>
      <c r="C1628" s="34" t="n"/>
      <c r="D1628" s="35" t="n"/>
      <c r="E1628" s="35" t="n"/>
      <c r="F1628" s="1" t="n"/>
      <c r="G1628" s="167" t="n"/>
      <c r="H1628" s="167" t="n"/>
      <c r="I1628" s="167" t="n"/>
      <c r="J1628" s="168" t="n"/>
      <c r="K1628" s="169" t="n"/>
      <c r="L1628" s="172" t="n"/>
      <c r="M1628" s="172" t="n"/>
      <c r="N1628" s="175" t="n"/>
      <c r="O1628" s="168" t="n"/>
      <c r="P1628" s="173" t="n"/>
      <c r="Q1628" s="1" t="n"/>
      <c r="R1628" s="1" t="n"/>
      <c r="S1628" s="1" t="n"/>
      <c r="T1628" s="1" t="n"/>
      <c r="U1628" s="1" t="n"/>
      <c r="V1628" s="1" t="n"/>
      <c r="W1628" s="1" t="n"/>
      <c r="X1628" s="1" t="n"/>
      <c r="Y1628" s="1" t="n"/>
    </row>
    <row r="1629">
      <c r="A1629" s="34">
        <f>IF($H846="UNIDADE CONSTRUTIVA",OFFSET(A846,-1,0)+1,LARGE(A$3:A845,1))</f>
        <v/>
      </c>
      <c r="B1629" s="34" t="n"/>
      <c r="C1629" s="34" t="n"/>
      <c r="D1629" s="35" t="n"/>
      <c r="E1629" s="35" t="n"/>
      <c r="F1629" s="1" t="n"/>
      <c r="G1629" s="167" t="n"/>
      <c r="H1629" s="167" t="n"/>
      <c r="I1629" s="167" t="n"/>
      <c r="J1629" s="168" t="n"/>
      <c r="K1629" s="169" t="n"/>
      <c r="L1629" s="172" t="n"/>
      <c r="M1629" s="172" t="n"/>
      <c r="N1629" s="175" t="n"/>
      <c r="O1629" s="168" t="n"/>
      <c r="P1629" s="173" t="n"/>
      <c r="Q1629" s="1" t="n"/>
      <c r="R1629" s="1" t="n"/>
      <c r="S1629" s="1" t="n"/>
      <c r="T1629" s="1" t="n"/>
      <c r="U1629" s="1" t="n"/>
      <c r="V1629" s="1" t="n"/>
      <c r="W1629" s="1" t="n"/>
      <c r="X1629" s="1" t="n"/>
      <c r="Y1629" s="1" t="n"/>
    </row>
    <row r="1630">
      <c r="A1630" s="34">
        <f>IF($H847="UNIDADE CONSTRUTIVA",OFFSET(A847,-1,0)+1,LARGE(A$3:A846,1))</f>
        <v/>
      </c>
      <c r="B1630" s="34" t="n"/>
      <c r="C1630" s="34" t="n"/>
      <c r="D1630" s="35" t="n"/>
      <c r="E1630" s="35" t="n"/>
      <c r="F1630" s="1" t="n"/>
      <c r="G1630" s="167" t="n"/>
      <c r="H1630" s="167" t="n"/>
      <c r="I1630" s="167" t="n"/>
      <c r="J1630" s="168" t="n"/>
      <c r="K1630" s="169" t="n"/>
      <c r="L1630" s="172" t="n"/>
      <c r="M1630" s="172" t="n"/>
      <c r="N1630" s="175" t="n"/>
      <c r="O1630" s="168" t="n"/>
      <c r="P1630" s="173" t="n"/>
      <c r="Q1630" s="1" t="n"/>
      <c r="R1630" s="1" t="n"/>
      <c r="S1630" s="1" t="n"/>
      <c r="T1630" s="1" t="n"/>
      <c r="U1630" s="1" t="n"/>
      <c r="V1630" s="1" t="n"/>
      <c r="W1630" s="1" t="n"/>
      <c r="X1630" s="1" t="n"/>
      <c r="Y1630" s="1" t="n"/>
    </row>
    <row r="1631">
      <c r="A1631" s="34">
        <f>IF($H848="UNIDADE CONSTRUTIVA",OFFSET(A848,-1,0)+1,LARGE(A$3:A847,1))</f>
        <v/>
      </c>
      <c r="B1631" s="34" t="n"/>
      <c r="C1631" s="34" t="n"/>
      <c r="D1631" s="35" t="n"/>
      <c r="E1631" s="35" t="n"/>
      <c r="F1631" s="1" t="n"/>
      <c r="G1631" s="167" t="n"/>
      <c r="H1631" s="167" t="n"/>
      <c r="I1631" s="167" t="n"/>
      <c r="J1631" s="168" t="n"/>
      <c r="K1631" s="169" t="n"/>
      <c r="L1631" s="172" t="n"/>
      <c r="M1631" s="172" t="n"/>
      <c r="N1631" s="175" t="n"/>
      <c r="O1631" s="168" t="n"/>
      <c r="P1631" s="173" t="n"/>
      <c r="Q1631" s="1" t="n"/>
      <c r="R1631" s="1" t="n"/>
      <c r="S1631" s="1" t="n"/>
      <c r="T1631" s="1" t="n"/>
      <c r="U1631" s="1" t="n"/>
      <c r="V1631" s="1" t="n"/>
      <c r="W1631" s="1" t="n"/>
      <c r="X1631" s="1" t="n"/>
      <c r="Y1631" s="1" t="n"/>
    </row>
    <row r="1632">
      <c r="A1632" s="34">
        <f>IF($H849="UNIDADE CONSTRUTIVA",OFFSET(A849,-1,0)+1,LARGE(A$3:A848,1))</f>
        <v/>
      </c>
      <c r="B1632" s="34" t="n"/>
      <c r="C1632" s="34" t="n"/>
      <c r="D1632" s="35" t="n"/>
      <c r="E1632" s="35" t="n"/>
      <c r="F1632" s="1" t="n"/>
      <c r="G1632" s="167" t="n"/>
      <c r="H1632" s="167" t="n"/>
      <c r="I1632" s="167" t="n"/>
      <c r="J1632" s="168" t="n"/>
      <c r="K1632" s="169" t="n"/>
      <c r="L1632" s="172" t="n"/>
      <c r="M1632" s="172" t="n"/>
      <c r="N1632" s="175" t="n"/>
      <c r="O1632" s="168" t="n"/>
      <c r="P1632" s="173" t="n"/>
      <c r="Q1632" s="1" t="n"/>
      <c r="R1632" s="1" t="n"/>
      <c r="S1632" s="1" t="n"/>
      <c r="T1632" s="1" t="n"/>
      <c r="U1632" s="1" t="n"/>
      <c r="V1632" s="1" t="n"/>
      <c r="W1632" s="1" t="n"/>
      <c r="X1632" s="1" t="n"/>
      <c r="Y1632" s="1" t="n"/>
    </row>
    <row r="1633">
      <c r="A1633" s="34">
        <f>IF($H850="UNIDADE CONSTRUTIVA",OFFSET(A850,-1,0)+1,LARGE(A$3:A849,1))</f>
        <v/>
      </c>
      <c r="B1633" s="34" t="n"/>
      <c r="C1633" s="34" t="n"/>
      <c r="D1633" s="35" t="n"/>
      <c r="E1633" s="35" t="n"/>
      <c r="F1633" s="1" t="n"/>
      <c r="G1633" s="167" t="n"/>
      <c r="H1633" s="167" t="n"/>
      <c r="I1633" s="167" t="n"/>
      <c r="J1633" s="168" t="n"/>
      <c r="K1633" s="169" t="n"/>
      <c r="L1633" s="172" t="n"/>
      <c r="M1633" s="172" t="n"/>
      <c r="N1633" s="175" t="n"/>
      <c r="O1633" s="168" t="n"/>
      <c r="P1633" s="173" t="n"/>
      <c r="Q1633" s="1" t="n"/>
      <c r="R1633" s="1" t="n"/>
      <c r="S1633" s="1" t="n"/>
      <c r="T1633" s="1" t="n"/>
      <c r="U1633" s="1" t="n"/>
      <c r="V1633" s="1" t="n"/>
      <c r="W1633" s="1" t="n"/>
      <c r="X1633" s="1" t="n"/>
      <c r="Y1633" s="1" t="n"/>
    </row>
    <row r="1634">
      <c r="A1634" s="34">
        <f>IF($H851="UNIDADE CONSTRUTIVA",OFFSET(A851,-1,0)+1,LARGE(A$3:A850,1))</f>
        <v/>
      </c>
      <c r="B1634" s="34" t="n"/>
      <c r="C1634" s="34" t="n"/>
      <c r="D1634" s="35" t="n"/>
      <c r="E1634" s="35" t="n"/>
      <c r="F1634" s="1" t="n"/>
      <c r="G1634" s="167" t="n"/>
      <c r="H1634" s="167" t="n"/>
      <c r="I1634" s="167" t="n"/>
      <c r="J1634" s="168" t="n"/>
      <c r="K1634" s="169" t="n"/>
      <c r="L1634" s="172" t="n"/>
      <c r="M1634" s="172" t="n"/>
      <c r="N1634" s="175" t="n"/>
      <c r="O1634" s="168" t="n"/>
      <c r="P1634" s="173" t="n"/>
      <c r="Q1634" s="1" t="n"/>
      <c r="R1634" s="1" t="n"/>
      <c r="S1634" s="1" t="n"/>
      <c r="T1634" s="1" t="n"/>
      <c r="U1634" s="1" t="n"/>
      <c r="V1634" s="1" t="n"/>
      <c r="W1634" s="1" t="n"/>
      <c r="X1634" s="1" t="n"/>
      <c r="Y1634" s="1" t="n"/>
    </row>
    <row r="1635">
      <c r="A1635" s="34">
        <f>IF($H852="UNIDADE CONSTRUTIVA",OFFSET(A852,-1,0)+1,LARGE(A$3:A851,1))</f>
        <v/>
      </c>
      <c r="B1635" s="34" t="n"/>
      <c r="C1635" s="34" t="n"/>
      <c r="D1635" s="35" t="n"/>
      <c r="E1635" s="35" t="n"/>
      <c r="F1635" s="1" t="n"/>
      <c r="G1635" s="167" t="n"/>
      <c r="H1635" s="167" t="n"/>
      <c r="I1635" s="167" t="n"/>
      <c r="J1635" s="168" t="n"/>
      <c r="K1635" s="169" t="n"/>
      <c r="L1635" s="172" t="n"/>
      <c r="M1635" s="172" t="n"/>
      <c r="N1635" s="175" t="n"/>
      <c r="O1635" s="168" t="n"/>
      <c r="P1635" s="173" t="n"/>
      <c r="Q1635" s="1" t="n"/>
      <c r="R1635" s="1" t="n"/>
      <c r="S1635" s="1" t="n"/>
      <c r="T1635" s="1" t="n"/>
      <c r="U1635" s="1" t="n"/>
      <c r="V1635" s="1" t="n"/>
      <c r="W1635" s="1" t="n"/>
      <c r="X1635" s="1" t="n"/>
      <c r="Y1635" s="1" t="n"/>
    </row>
    <row r="1636">
      <c r="A1636" s="34">
        <f>IF($H853="UNIDADE CONSTRUTIVA",OFFSET(A853,-1,0)+1,LARGE(A$3:A852,1))</f>
        <v/>
      </c>
      <c r="B1636" s="34" t="n"/>
      <c r="C1636" s="34" t="n"/>
      <c r="D1636" s="35" t="n"/>
      <c r="E1636" s="35" t="n"/>
      <c r="F1636" s="1" t="n"/>
      <c r="G1636" s="167" t="n"/>
      <c r="H1636" s="167" t="n"/>
      <c r="I1636" s="167" t="n"/>
      <c r="J1636" s="168" t="n"/>
      <c r="K1636" s="169" t="n"/>
      <c r="L1636" s="172" t="n"/>
      <c r="M1636" s="172" t="n"/>
      <c r="N1636" s="175" t="n"/>
      <c r="O1636" s="168" t="n"/>
      <c r="P1636" s="173" t="n"/>
      <c r="Q1636" s="1" t="n"/>
      <c r="R1636" s="1" t="n"/>
      <c r="S1636" s="1" t="n"/>
      <c r="T1636" s="1" t="n"/>
      <c r="U1636" s="1" t="n"/>
      <c r="V1636" s="1" t="n"/>
      <c r="W1636" s="1" t="n"/>
      <c r="X1636" s="1" t="n"/>
      <c r="Y1636" s="1" t="n"/>
    </row>
    <row r="1637">
      <c r="A1637" s="34">
        <f>IF($H854="UNIDADE CONSTRUTIVA",OFFSET(A854,-1,0)+1,LARGE(A$3:A853,1))</f>
        <v/>
      </c>
      <c r="B1637" s="34" t="n"/>
      <c r="C1637" s="34" t="n"/>
      <c r="D1637" s="35" t="n"/>
      <c r="E1637" s="35" t="n"/>
      <c r="F1637" s="1" t="n"/>
      <c r="G1637" s="167" t="n"/>
      <c r="H1637" s="167" t="n"/>
      <c r="I1637" s="167" t="n"/>
      <c r="J1637" s="168" t="n"/>
      <c r="K1637" s="169" t="n"/>
      <c r="L1637" s="172" t="n"/>
      <c r="M1637" s="172" t="n"/>
      <c r="N1637" s="175" t="n"/>
      <c r="O1637" s="168" t="n"/>
      <c r="P1637" s="173" t="n"/>
      <c r="Q1637" s="1" t="n"/>
      <c r="R1637" s="1" t="n"/>
      <c r="S1637" s="1" t="n"/>
      <c r="T1637" s="1" t="n"/>
      <c r="U1637" s="1" t="n"/>
      <c r="V1637" s="1" t="n"/>
      <c r="W1637" s="1" t="n"/>
      <c r="X1637" s="1" t="n"/>
      <c r="Y1637" s="1" t="n"/>
    </row>
    <row r="1638">
      <c r="A1638" s="34">
        <f>IF($H855="UNIDADE CONSTRUTIVA",OFFSET(A855,-1,0)+1,LARGE(A$3:A854,1))</f>
        <v/>
      </c>
      <c r="B1638" s="34" t="n"/>
      <c r="C1638" s="34" t="n"/>
      <c r="D1638" s="35" t="n"/>
      <c r="E1638" s="35" t="n"/>
      <c r="F1638" s="1" t="n"/>
      <c r="G1638" s="167" t="n"/>
      <c r="H1638" s="167" t="n"/>
      <c r="I1638" s="167" t="n"/>
      <c r="J1638" s="168" t="n"/>
      <c r="K1638" s="169" t="n"/>
      <c r="L1638" s="172" t="n"/>
      <c r="M1638" s="172" t="n"/>
      <c r="N1638" s="175" t="n"/>
      <c r="O1638" s="168" t="n"/>
      <c r="P1638" s="173" t="n"/>
      <c r="Q1638" s="1" t="n"/>
      <c r="R1638" s="1" t="n"/>
      <c r="S1638" s="1" t="n"/>
      <c r="T1638" s="1" t="n"/>
      <c r="U1638" s="1" t="n"/>
      <c r="V1638" s="1" t="n"/>
      <c r="W1638" s="1" t="n"/>
      <c r="X1638" s="1" t="n"/>
      <c r="Y1638" s="1" t="n"/>
    </row>
    <row r="1639">
      <c r="A1639" s="34">
        <f>IF($H856="UNIDADE CONSTRUTIVA",OFFSET(A856,-1,0)+1,LARGE(A$3:A855,1))</f>
        <v/>
      </c>
      <c r="B1639" s="34" t="n"/>
      <c r="C1639" s="34" t="n"/>
      <c r="D1639" s="35" t="n"/>
      <c r="E1639" s="35" t="n"/>
      <c r="F1639" s="1" t="n"/>
      <c r="G1639" s="167" t="n"/>
      <c r="H1639" s="167" t="n"/>
      <c r="I1639" s="167" t="n"/>
      <c r="J1639" s="168" t="n"/>
      <c r="K1639" s="169" t="n"/>
      <c r="L1639" s="172" t="n"/>
      <c r="M1639" s="172" t="n"/>
      <c r="N1639" s="175" t="n"/>
      <c r="O1639" s="168" t="n"/>
      <c r="P1639" s="173" t="n"/>
      <c r="Q1639" s="1" t="n"/>
      <c r="R1639" s="1" t="n"/>
      <c r="S1639" s="1" t="n"/>
      <c r="T1639" s="1" t="n"/>
      <c r="U1639" s="1" t="n"/>
      <c r="V1639" s="1" t="n"/>
      <c r="W1639" s="1" t="n"/>
      <c r="X1639" s="1" t="n"/>
      <c r="Y1639" s="1" t="n"/>
    </row>
    <row r="1640">
      <c r="A1640" s="34">
        <f>IF($H857="UNIDADE CONSTRUTIVA",OFFSET(A857,-1,0)+1,LARGE(A$3:A856,1))</f>
        <v/>
      </c>
      <c r="B1640" s="34" t="n"/>
      <c r="C1640" s="34" t="n"/>
      <c r="D1640" s="35" t="n"/>
      <c r="E1640" s="35" t="n"/>
      <c r="F1640" s="1" t="n"/>
      <c r="G1640" s="167" t="n"/>
      <c r="H1640" s="167" t="n"/>
      <c r="I1640" s="167" t="n"/>
      <c r="J1640" s="168" t="n"/>
      <c r="K1640" s="169" t="n"/>
      <c r="L1640" s="172" t="n"/>
      <c r="M1640" s="172" t="n"/>
      <c r="N1640" s="175" t="n"/>
      <c r="O1640" s="168" t="n"/>
      <c r="P1640" s="173" t="n"/>
      <c r="Q1640" s="1" t="n"/>
      <c r="R1640" s="1" t="n"/>
      <c r="S1640" s="1" t="n"/>
      <c r="T1640" s="1" t="n"/>
      <c r="U1640" s="1" t="n"/>
      <c r="V1640" s="1" t="n"/>
      <c r="W1640" s="1" t="n"/>
      <c r="X1640" s="1" t="n"/>
      <c r="Y1640" s="1" t="n"/>
    </row>
    <row r="1641">
      <c r="A1641" s="34">
        <f>IF($H858="UNIDADE CONSTRUTIVA",OFFSET(A858,-1,0)+1,LARGE(A$3:A857,1))</f>
        <v/>
      </c>
      <c r="B1641" s="34" t="n"/>
      <c r="C1641" s="34" t="n"/>
      <c r="D1641" s="35" t="n"/>
      <c r="E1641" s="35" t="n"/>
      <c r="F1641" s="1" t="n"/>
      <c r="G1641" s="167" t="n"/>
      <c r="H1641" s="167" t="n"/>
      <c r="I1641" s="167" t="n"/>
      <c r="J1641" s="168" t="n"/>
      <c r="K1641" s="169" t="n"/>
      <c r="L1641" s="172" t="n"/>
      <c r="M1641" s="172" t="n"/>
      <c r="N1641" s="175" t="n"/>
      <c r="O1641" s="168" t="n"/>
      <c r="P1641" s="173" t="n"/>
      <c r="Q1641" s="1" t="n"/>
      <c r="R1641" s="1" t="n"/>
      <c r="S1641" s="1" t="n"/>
      <c r="T1641" s="1" t="n"/>
      <c r="U1641" s="1" t="n"/>
      <c r="V1641" s="1" t="n"/>
      <c r="W1641" s="1" t="n"/>
      <c r="X1641" s="1" t="n"/>
      <c r="Y1641" s="1" t="n"/>
    </row>
    <row r="1642">
      <c r="A1642" s="34">
        <f>IF($H859="UNIDADE CONSTRUTIVA",OFFSET(A859,-1,0)+1,LARGE(A$3:A858,1))</f>
        <v/>
      </c>
      <c r="B1642" s="34" t="n"/>
      <c r="C1642" s="34" t="n"/>
      <c r="D1642" s="35" t="n"/>
      <c r="E1642" s="35" t="n"/>
      <c r="F1642" s="1" t="n"/>
      <c r="G1642" s="167" t="n"/>
      <c r="H1642" s="167" t="n"/>
      <c r="I1642" s="167" t="n"/>
      <c r="J1642" s="168" t="n"/>
      <c r="K1642" s="169" t="n"/>
      <c r="L1642" s="172" t="n"/>
      <c r="M1642" s="172" t="n"/>
      <c r="N1642" s="175" t="n"/>
      <c r="O1642" s="168" t="n"/>
      <c r="P1642" s="173" t="n"/>
      <c r="Q1642" s="1" t="n"/>
      <c r="R1642" s="1" t="n"/>
      <c r="S1642" s="1" t="n"/>
      <c r="T1642" s="1" t="n"/>
      <c r="U1642" s="1" t="n"/>
      <c r="V1642" s="1" t="n"/>
      <c r="W1642" s="1" t="n"/>
      <c r="X1642" s="1" t="n"/>
      <c r="Y1642" s="1" t="n"/>
    </row>
    <row r="1643">
      <c r="A1643" s="34">
        <f>IF($H860="UNIDADE CONSTRUTIVA",OFFSET(A860,-1,0)+1,LARGE(A$3:A859,1))</f>
        <v/>
      </c>
      <c r="B1643" s="34" t="n"/>
      <c r="C1643" s="34" t="n"/>
      <c r="D1643" s="35" t="n"/>
      <c r="E1643" s="35" t="n"/>
      <c r="F1643" s="1" t="n"/>
      <c r="G1643" s="167" t="n"/>
      <c r="H1643" s="167" t="n"/>
      <c r="I1643" s="167" t="n"/>
      <c r="J1643" s="168" t="n"/>
      <c r="K1643" s="169" t="n"/>
      <c r="L1643" s="172" t="n"/>
      <c r="M1643" s="172" t="n"/>
      <c r="N1643" s="175" t="n"/>
      <c r="O1643" s="168" t="n"/>
      <c r="P1643" s="173" t="n"/>
      <c r="Q1643" s="1" t="n"/>
      <c r="R1643" s="1" t="n"/>
      <c r="S1643" s="1" t="n"/>
      <c r="T1643" s="1" t="n"/>
      <c r="U1643" s="1" t="n"/>
      <c r="V1643" s="1" t="n"/>
      <c r="W1643" s="1" t="n"/>
      <c r="X1643" s="1" t="n"/>
      <c r="Y1643" s="1" t="n"/>
    </row>
    <row r="1644">
      <c r="A1644" s="34">
        <f>IF($H861="UNIDADE CONSTRUTIVA",OFFSET(A861,-1,0)+1,LARGE(A$3:A860,1))</f>
        <v/>
      </c>
      <c r="B1644" s="34" t="n"/>
      <c r="C1644" s="34" t="n"/>
      <c r="D1644" s="35" t="n"/>
      <c r="E1644" s="35" t="n"/>
      <c r="F1644" s="1" t="n"/>
      <c r="G1644" s="167" t="n"/>
      <c r="H1644" s="167" t="n"/>
      <c r="I1644" s="167" t="n"/>
      <c r="J1644" s="168" t="n"/>
      <c r="K1644" s="169" t="n"/>
      <c r="L1644" s="172" t="n"/>
      <c r="M1644" s="172" t="n"/>
      <c r="N1644" s="175" t="n"/>
      <c r="O1644" s="168" t="n"/>
      <c r="P1644" s="173" t="n"/>
      <c r="Q1644" s="1" t="n"/>
      <c r="R1644" s="1" t="n"/>
      <c r="S1644" s="1" t="n"/>
      <c r="T1644" s="1" t="n"/>
      <c r="U1644" s="1" t="n"/>
      <c r="V1644" s="1" t="n"/>
      <c r="W1644" s="1" t="n"/>
      <c r="X1644" s="1" t="n"/>
      <c r="Y1644" s="1" t="n"/>
    </row>
    <row r="1645">
      <c r="A1645" s="34">
        <f>IF($H862="UNIDADE CONSTRUTIVA",OFFSET(A862,-1,0)+1,LARGE(A$3:A861,1))</f>
        <v/>
      </c>
      <c r="B1645" s="34" t="n"/>
      <c r="C1645" s="34" t="n"/>
      <c r="D1645" s="35" t="n"/>
      <c r="E1645" s="35" t="n"/>
      <c r="F1645" s="1" t="n"/>
      <c r="G1645" s="167" t="n"/>
      <c r="H1645" s="167" t="n"/>
      <c r="I1645" s="167" t="n"/>
      <c r="J1645" s="168" t="n"/>
      <c r="K1645" s="169" t="n"/>
      <c r="L1645" s="172" t="n"/>
      <c r="M1645" s="172" t="n"/>
      <c r="N1645" s="175" t="n"/>
      <c r="O1645" s="168" t="n"/>
      <c r="P1645" s="173" t="n"/>
      <c r="Q1645" s="1" t="n"/>
      <c r="R1645" s="1" t="n"/>
      <c r="S1645" s="1" t="n"/>
      <c r="T1645" s="1" t="n"/>
      <c r="U1645" s="1" t="n"/>
      <c r="V1645" s="1" t="n"/>
      <c r="W1645" s="1" t="n"/>
      <c r="X1645" s="1" t="n"/>
      <c r="Y1645" s="1" t="n"/>
    </row>
    <row r="1646">
      <c r="A1646" s="34">
        <f>IF($H863="UNIDADE CONSTRUTIVA",OFFSET(A863,-1,0)+1,LARGE(A$3:A862,1))</f>
        <v/>
      </c>
      <c r="B1646" s="34" t="n"/>
      <c r="C1646" s="34" t="n"/>
      <c r="D1646" s="35" t="n"/>
      <c r="E1646" s="35" t="n"/>
      <c r="F1646" s="1" t="n"/>
      <c r="G1646" s="167" t="n"/>
      <c r="H1646" s="167" t="n"/>
      <c r="I1646" s="167" t="n"/>
      <c r="J1646" s="168" t="n"/>
      <c r="K1646" s="169" t="n"/>
      <c r="L1646" s="172" t="n"/>
      <c r="M1646" s="172" t="n"/>
      <c r="N1646" s="175" t="n"/>
      <c r="O1646" s="168" t="n"/>
      <c r="P1646" s="173" t="n"/>
      <c r="Q1646" s="1" t="n"/>
      <c r="R1646" s="1" t="n"/>
      <c r="S1646" s="1" t="n"/>
      <c r="T1646" s="1" t="n"/>
      <c r="U1646" s="1" t="n"/>
      <c r="V1646" s="1" t="n"/>
      <c r="W1646" s="1" t="n"/>
      <c r="X1646" s="1" t="n"/>
      <c r="Y1646" s="1" t="n"/>
    </row>
    <row r="1647">
      <c r="A1647" s="34">
        <f>IF($H864="UNIDADE CONSTRUTIVA",OFFSET(A864,-1,0)+1,LARGE(A$3:A863,1))</f>
        <v/>
      </c>
      <c r="B1647" s="34" t="n"/>
      <c r="C1647" s="34" t="n"/>
      <c r="D1647" s="35" t="n"/>
      <c r="E1647" s="35" t="n"/>
      <c r="F1647" s="1" t="n"/>
      <c r="G1647" s="167" t="n"/>
      <c r="H1647" s="167" t="n"/>
      <c r="I1647" s="167" t="n"/>
      <c r="J1647" s="168" t="n"/>
      <c r="K1647" s="169" t="n"/>
      <c r="L1647" s="172" t="n"/>
      <c r="M1647" s="172" t="n"/>
      <c r="N1647" s="175" t="n"/>
      <c r="O1647" s="168" t="n"/>
      <c r="P1647" s="173" t="n"/>
      <c r="Q1647" s="1" t="n"/>
      <c r="R1647" s="1" t="n"/>
      <c r="S1647" s="1" t="n"/>
      <c r="T1647" s="1" t="n"/>
      <c r="U1647" s="1" t="n"/>
      <c r="V1647" s="1" t="n"/>
      <c r="W1647" s="1" t="n"/>
      <c r="X1647" s="1" t="n"/>
      <c r="Y1647" s="1" t="n"/>
    </row>
    <row r="1648">
      <c r="A1648" s="34">
        <f>IF($H865="UNIDADE CONSTRUTIVA",OFFSET(A865,-1,0)+1,LARGE(A$3:A864,1))</f>
        <v/>
      </c>
      <c r="B1648" s="34" t="n"/>
      <c r="C1648" s="34" t="n"/>
      <c r="D1648" s="35" t="n"/>
      <c r="E1648" s="35" t="n"/>
      <c r="F1648" s="1" t="n"/>
      <c r="G1648" s="167" t="n"/>
      <c r="H1648" s="167" t="n"/>
      <c r="I1648" s="167" t="n"/>
      <c r="J1648" s="168" t="n"/>
      <c r="K1648" s="169" t="n"/>
      <c r="L1648" s="172" t="n"/>
      <c r="M1648" s="172" t="n"/>
      <c r="N1648" s="175" t="n"/>
      <c r="O1648" s="168" t="n"/>
      <c r="P1648" s="173" t="n"/>
      <c r="Q1648" s="1" t="n"/>
      <c r="R1648" s="1" t="n"/>
      <c r="S1648" s="1" t="n"/>
      <c r="T1648" s="1" t="n"/>
      <c r="U1648" s="1" t="n"/>
      <c r="V1648" s="1" t="n"/>
      <c r="W1648" s="1" t="n"/>
      <c r="X1648" s="1" t="n"/>
      <c r="Y1648" s="1" t="n"/>
    </row>
    <row r="1649">
      <c r="A1649" s="34">
        <f>IF($H866="UNIDADE CONSTRUTIVA",OFFSET(A866,-1,0)+1,LARGE(A$3:A865,1))</f>
        <v/>
      </c>
      <c r="B1649" s="34" t="n"/>
      <c r="C1649" s="34" t="n"/>
      <c r="D1649" s="35" t="n"/>
      <c r="E1649" s="35" t="n"/>
      <c r="F1649" s="1" t="n"/>
      <c r="G1649" s="167" t="n"/>
      <c r="H1649" s="167" t="n"/>
      <c r="I1649" s="167" t="n"/>
      <c r="J1649" s="168" t="n"/>
      <c r="K1649" s="169" t="n"/>
      <c r="L1649" s="172" t="n"/>
      <c r="M1649" s="172" t="n"/>
      <c r="N1649" s="175" t="n"/>
      <c r="O1649" s="168" t="n"/>
      <c r="P1649" s="173" t="n"/>
      <c r="Q1649" s="1" t="n"/>
      <c r="R1649" s="1" t="n"/>
      <c r="S1649" s="1" t="n"/>
      <c r="T1649" s="1" t="n"/>
      <c r="U1649" s="1" t="n"/>
      <c r="V1649" s="1" t="n"/>
      <c r="W1649" s="1" t="n"/>
      <c r="X1649" s="1" t="n"/>
      <c r="Y1649" s="1" t="n"/>
    </row>
    <row r="1650">
      <c r="A1650" s="34">
        <f>IF($H867="UNIDADE CONSTRUTIVA",OFFSET(A867,-1,0)+1,LARGE(A$3:A866,1))</f>
        <v/>
      </c>
      <c r="B1650" s="34" t="n"/>
      <c r="C1650" s="34" t="n"/>
      <c r="D1650" s="35" t="n"/>
      <c r="E1650" s="35" t="n"/>
      <c r="F1650" s="1" t="n"/>
      <c r="G1650" s="167" t="n"/>
      <c r="H1650" s="167" t="n"/>
      <c r="I1650" s="167" t="n"/>
      <c r="J1650" s="168" t="n"/>
      <c r="K1650" s="169" t="n"/>
      <c r="L1650" s="172" t="n"/>
      <c r="M1650" s="172" t="n"/>
      <c r="N1650" s="175" t="n"/>
      <c r="O1650" s="168" t="n"/>
      <c r="P1650" s="173" t="n"/>
      <c r="Q1650" s="1" t="n"/>
      <c r="R1650" s="1" t="n"/>
      <c r="S1650" s="1" t="n"/>
      <c r="T1650" s="1" t="n"/>
      <c r="U1650" s="1" t="n"/>
      <c r="V1650" s="1" t="n"/>
      <c r="W1650" s="1" t="n"/>
      <c r="X1650" s="1" t="n"/>
      <c r="Y1650" s="1" t="n"/>
    </row>
    <row r="1651">
      <c r="A1651" s="34">
        <f>IF($H868="UNIDADE CONSTRUTIVA",OFFSET(A868,-1,0)+1,LARGE(A$3:A867,1))</f>
        <v/>
      </c>
      <c r="B1651" s="34" t="n"/>
      <c r="C1651" s="34" t="n"/>
      <c r="D1651" s="35" t="n"/>
      <c r="E1651" s="35" t="n"/>
      <c r="F1651" s="1" t="n"/>
      <c r="G1651" s="167" t="n"/>
      <c r="H1651" s="167" t="n"/>
      <c r="I1651" s="167" t="n"/>
      <c r="J1651" s="168" t="n"/>
      <c r="K1651" s="169" t="n"/>
      <c r="L1651" s="172" t="n"/>
      <c r="M1651" s="172" t="n"/>
      <c r="N1651" s="175" t="n"/>
      <c r="O1651" s="168" t="n"/>
      <c r="P1651" s="173" t="n"/>
      <c r="Q1651" s="1" t="n"/>
      <c r="R1651" s="1" t="n"/>
      <c r="S1651" s="1" t="n"/>
      <c r="T1651" s="1" t="n"/>
      <c r="U1651" s="1" t="n"/>
      <c r="V1651" s="1" t="n"/>
      <c r="W1651" s="1" t="n"/>
      <c r="X1651" s="1" t="n"/>
      <c r="Y1651" s="1" t="n"/>
    </row>
    <row r="1652">
      <c r="A1652" s="34">
        <f>IF($H869="UNIDADE CONSTRUTIVA",OFFSET(A869,-1,0)+1,LARGE(A$3:A868,1))</f>
        <v/>
      </c>
      <c r="B1652" s="34" t="n"/>
      <c r="C1652" s="34" t="n"/>
      <c r="D1652" s="35" t="n"/>
      <c r="E1652" s="35" t="n"/>
      <c r="F1652" s="1" t="n"/>
      <c r="G1652" s="167" t="n"/>
      <c r="H1652" s="167" t="n"/>
      <c r="I1652" s="167" t="n"/>
      <c r="J1652" s="168" t="n"/>
      <c r="K1652" s="169" t="n"/>
      <c r="L1652" s="172" t="n"/>
      <c r="M1652" s="172" t="n"/>
      <c r="N1652" s="175" t="n"/>
      <c r="O1652" s="168" t="n"/>
      <c r="P1652" s="173" t="n"/>
      <c r="Q1652" s="1" t="n"/>
      <c r="R1652" s="1" t="n"/>
      <c r="S1652" s="1" t="n"/>
      <c r="T1652" s="1" t="n"/>
      <c r="U1652" s="1" t="n"/>
      <c r="V1652" s="1" t="n"/>
      <c r="W1652" s="1" t="n"/>
      <c r="X1652" s="1" t="n"/>
      <c r="Y1652" s="1" t="n"/>
    </row>
    <row r="1653">
      <c r="A1653" s="34">
        <f>IF($H870="UNIDADE CONSTRUTIVA",OFFSET(A870,-1,0)+1,LARGE(A$3:A869,1))</f>
        <v/>
      </c>
      <c r="B1653" s="34" t="n"/>
      <c r="C1653" s="34" t="n"/>
      <c r="D1653" s="35" t="n"/>
      <c r="E1653" s="35" t="n"/>
      <c r="F1653" s="1" t="n"/>
      <c r="G1653" s="167" t="n"/>
      <c r="H1653" s="167" t="n"/>
      <c r="I1653" s="167" t="n"/>
      <c r="J1653" s="168" t="n"/>
      <c r="K1653" s="169" t="n"/>
      <c r="L1653" s="172" t="n"/>
      <c r="M1653" s="172" t="n"/>
      <c r="N1653" s="175" t="n"/>
      <c r="O1653" s="168" t="n"/>
      <c r="P1653" s="173" t="n"/>
      <c r="Q1653" s="1" t="n"/>
      <c r="R1653" s="1" t="n"/>
      <c r="S1653" s="1" t="n"/>
      <c r="T1653" s="1" t="n"/>
      <c r="U1653" s="1" t="n"/>
      <c r="V1653" s="1" t="n"/>
      <c r="W1653" s="1" t="n"/>
      <c r="X1653" s="1" t="n"/>
      <c r="Y1653" s="1" t="n"/>
    </row>
    <row r="1654">
      <c r="A1654" s="34">
        <f>IF($H871="UNIDADE CONSTRUTIVA",OFFSET(A871,-1,0)+1,LARGE(A$3:A870,1))</f>
        <v/>
      </c>
      <c r="B1654" s="34" t="n"/>
      <c r="C1654" s="34" t="n"/>
      <c r="D1654" s="35" t="n"/>
      <c r="E1654" s="35" t="n"/>
      <c r="F1654" s="1" t="n"/>
      <c r="G1654" s="167" t="n"/>
      <c r="H1654" s="167" t="n"/>
      <c r="I1654" s="167" t="n"/>
      <c r="J1654" s="168" t="n"/>
      <c r="K1654" s="169" t="n"/>
      <c r="L1654" s="172" t="n"/>
      <c r="M1654" s="172" t="n"/>
      <c r="N1654" s="175" t="n"/>
      <c r="O1654" s="168" t="n"/>
      <c r="P1654" s="173" t="n"/>
      <c r="Q1654" s="1" t="n"/>
      <c r="R1654" s="1" t="n"/>
      <c r="S1654" s="1" t="n"/>
      <c r="T1654" s="1" t="n"/>
      <c r="U1654" s="1" t="n"/>
      <c r="V1654" s="1" t="n"/>
      <c r="W1654" s="1" t="n"/>
      <c r="X1654" s="1" t="n"/>
      <c r="Y1654" s="1" t="n"/>
    </row>
    <row r="1655">
      <c r="A1655" s="34">
        <f>IF($H872="UNIDADE CONSTRUTIVA",OFFSET(A872,-1,0)+1,LARGE(A$3:A871,1))</f>
        <v/>
      </c>
      <c r="B1655" s="34" t="n"/>
      <c r="C1655" s="34" t="n"/>
      <c r="D1655" s="35" t="n"/>
      <c r="E1655" s="35" t="n"/>
      <c r="F1655" s="1" t="n"/>
      <c r="G1655" s="167" t="n"/>
      <c r="H1655" s="167" t="n"/>
      <c r="I1655" s="167" t="n"/>
      <c r="J1655" s="168" t="n"/>
      <c r="K1655" s="169" t="n"/>
      <c r="L1655" s="172" t="n"/>
      <c r="M1655" s="172" t="n"/>
      <c r="N1655" s="175" t="n"/>
      <c r="O1655" s="168" t="n"/>
      <c r="P1655" s="173" t="n"/>
      <c r="Q1655" s="1" t="n"/>
      <c r="R1655" s="1" t="n"/>
      <c r="S1655" s="1" t="n"/>
      <c r="T1655" s="1" t="n"/>
      <c r="U1655" s="1" t="n"/>
      <c r="V1655" s="1" t="n"/>
      <c r="W1655" s="1" t="n"/>
      <c r="X1655" s="1" t="n"/>
      <c r="Y1655" s="1" t="n"/>
    </row>
    <row r="1656">
      <c r="A1656" s="34">
        <f>IF($H873="UNIDADE CONSTRUTIVA",OFFSET(A873,-1,0)+1,LARGE(A$3:A872,1))</f>
        <v/>
      </c>
      <c r="B1656" s="34" t="n"/>
      <c r="C1656" s="34" t="n"/>
      <c r="D1656" s="35" t="n"/>
      <c r="E1656" s="35" t="n"/>
      <c r="F1656" s="1" t="n"/>
      <c r="G1656" s="167" t="n"/>
      <c r="H1656" s="167" t="n"/>
      <c r="I1656" s="167" t="n"/>
      <c r="J1656" s="168" t="n"/>
      <c r="K1656" s="169" t="n"/>
      <c r="L1656" s="172" t="n"/>
      <c r="M1656" s="172" t="n"/>
      <c r="N1656" s="175" t="n"/>
      <c r="O1656" s="168" t="n"/>
      <c r="P1656" s="173" t="n"/>
      <c r="Q1656" s="1" t="n"/>
      <c r="R1656" s="1" t="n"/>
      <c r="S1656" s="1" t="n"/>
      <c r="T1656" s="1" t="n"/>
      <c r="U1656" s="1" t="n"/>
      <c r="V1656" s="1" t="n"/>
      <c r="W1656" s="1" t="n"/>
      <c r="X1656" s="1" t="n"/>
      <c r="Y1656" s="1" t="n"/>
    </row>
    <row r="1657">
      <c r="A1657" s="34">
        <f>IF($H874="UNIDADE CONSTRUTIVA",OFFSET(A874,-1,0)+1,LARGE(A$3:A873,1))</f>
        <v/>
      </c>
      <c r="B1657" s="34" t="n"/>
      <c r="C1657" s="34" t="n"/>
      <c r="D1657" s="35" t="n"/>
      <c r="E1657" s="35" t="n"/>
      <c r="F1657" s="1" t="n"/>
      <c r="G1657" s="167" t="n"/>
      <c r="H1657" s="167" t="n"/>
      <c r="I1657" s="167" t="n"/>
      <c r="J1657" s="168" t="n"/>
      <c r="K1657" s="169" t="n"/>
      <c r="L1657" s="172" t="n"/>
      <c r="M1657" s="172" t="n"/>
      <c r="N1657" s="175" t="n"/>
      <c r="O1657" s="168" t="n"/>
      <c r="P1657" s="173" t="n"/>
      <c r="Q1657" s="1" t="n"/>
      <c r="R1657" s="1" t="n"/>
      <c r="S1657" s="1" t="n"/>
      <c r="T1657" s="1" t="n"/>
      <c r="U1657" s="1" t="n"/>
      <c r="V1657" s="1" t="n"/>
      <c r="W1657" s="1" t="n"/>
      <c r="X1657" s="1" t="n"/>
      <c r="Y1657" s="1" t="n"/>
    </row>
    <row r="1658">
      <c r="A1658" s="34">
        <f>IF($H875="UNIDADE CONSTRUTIVA",OFFSET(A875,-1,0)+1,LARGE(A$3:A874,1))</f>
        <v/>
      </c>
      <c r="B1658" s="34" t="n"/>
      <c r="C1658" s="34" t="n"/>
      <c r="D1658" s="35" t="n"/>
      <c r="E1658" s="35" t="n"/>
      <c r="F1658" s="1" t="n"/>
      <c r="G1658" s="167" t="n"/>
      <c r="H1658" s="167" t="n"/>
      <c r="I1658" s="167" t="n"/>
      <c r="J1658" s="168" t="n"/>
      <c r="K1658" s="169" t="n"/>
      <c r="L1658" s="172" t="n"/>
      <c r="M1658" s="172" t="n"/>
      <c r="N1658" s="175" t="n"/>
      <c r="O1658" s="168" t="n"/>
      <c r="P1658" s="173" t="n"/>
      <c r="Q1658" s="1" t="n"/>
      <c r="R1658" s="1" t="n"/>
      <c r="S1658" s="1" t="n"/>
      <c r="T1658" s="1" t="n"/>
      <c r="U1658" s="1" t="n"/>
      <c r="V1658" s="1" t="n"/>
      <c r="W1658" s="1" t="n"/>
      <c r="X1658" s="1" t="n"/>
      <c r="Y1658" s="1" t="n"/>
    </row>
    <row r="1659">
      <c r="A1659" s="34">
        <f>IF($H876="UNIDADE CONSTRUTIVA",OFFSET(A876,-1,0)+1,LARGE(A$3:A875,1))</f>
        <v/>
      </c>
      <c r="B1659" s="34" t="n"/>
      <c r="C1659" s="34" t="n"/>
      <c r="D1659" s="35" t="n"/>
      <c r="E1659" s="35" t="n"/>
      <c r="F1659" s="1" t="n"/>
      <c r="G1659" s="167" t="n"/>
      <c r="H1659" s="167" t="n"/>
      <c r="I1659" s="167" t="n"/>
      <c r="J1659" s="168" t="n"/>
      <c r="K1659" s="169" t="n"/>
      <c r="L1659" s="172" t="n"/>
      <c r="M1659" s="172" t="n"/>
      <c r="N1659" s="175" t="n"/>
      <c r="O1659" s="168" t="n"/>
      <c r="P1659" s="173" t="n"/>
      <c r="Q1659" s="1" t="n"/>
      <c r="R1659" s="1" t="n"/>
      <c r="S1659" s="1" t="n"/>
      <c r="T1659" s="1" t="n"/>
      <c r="U1659" s="1" t="n"/>
      <c r="V1659" s="1" t="n"/>
      <c r="W1659" s="1" t="n"/>
      <c r="X1659" s="1" t="n"/>
      <c r="Y1659" s="1" t="n"/>
    </row>
    <row r="1660">
      <c r="A1660" s="34">
        <f>IF($H877="UNIDADE CONSTRUTIVA",OFFSET(A877,-1,0)+1,LARGE(A$3:A876,1))</f>
        <v/>
      </c>
      <c r="B1660" s="34" t="n"/>
      <c r="C1660" s="34" t="n"/>
      <c r="D1660" s="35" t="n"/>
      <c r="E1660" s="35" t="n"/>
      <c r="F1660" s="1" t="n"/>
      <c r="G1660" s="167" t="n"/>
      <c r="H1660" s="167" t="n"/>
      <c r="I1660" s="167" t="n"/>
      <c r="J1660" s="168" t="n"/>
      <c r="K1660" s="169" t="n"/>
      <c r="L1660" s="172" t="n"/>
      <c r="M1660" s="172" t="n"/>
      <c r="N1660" s="175" t="n"/>
      <c r="O1660" s="168" t="n"/>
      <c r="P1660" s="173" t="n"/>
      <c r="Q1660" s="1" t="n"/>
      <c r="R1660" s="1" t="n"/>
      <c r="S1660" s="1" t="n"/>
      <c r="T1660" s="1" t="n"/>
      <c r="U1660" s="1" t="n"/>
      <c r="V1660" s="1" t="n"/>
      <c r="W1660" s="1" t="n"/>
      <c r="X1660" s="1" t="n"/>
      <c r="Y1660" s="1" t="n"/>
    </row>
    <row r="1661">
      <c r="A1661" s="34">
        <f>IF($H878="UNIDADE CONSTRUTIVA",OFFSET(A878,-1,0)+1,LARGE(A$3:A877,1))</f>
        <v/>
      </c>
      <c r="B1661" s="34" t="n"/>
      <c r="C1661" s="34" t="n"/>
      <c r="D1661" s="35" t="n"/>
      <c r="E1661" s="35" t="n"/>
      <c r="F1661" s="1" t="n"/>
      <c r="G1661" s="167" t="n"/>
      <c r="H1661" s="167" t="n"/>
      <c r="I1661" s="167" t="n"/>
      <c r="J1661" s="168" t="n"/>
      <c r="K1661" s="169" t="n"/>
      <c r="L1661" s="172" t="n"/>
      <c r="M1661" s="172" t="n"/>
      <c r="N1661" s="175" t="n"/>
      <c r="O1661" s="168" t="n"/>
      <c r="P1661" s="173" t="n"/>
      <c r="Q1661" s="1" t="n"/>
      <c r="R1661" s="1" t="n"/>
      <c r="S1661" s="1" t="n"/>
      <c r="T1661" s="1" t="n"/>
      <c r="U1661" s="1" t="n"/>
      <c r="V1661" s="1" t="n"/>
      <c r="W1661" s="1" t="n"/>
      <c r="X1661" s="1" t="n"/>
      <c r="Y1661" s="1" t="n"/>
    </row>
    <row r="1662">
      <c r="A1662" s="34">
        <f>IF($H879="UNIDADE CONSTRUTIVA",OFFSET(A879,-1,0)+1,LARGE(A$3:A878,1))</f>
        <v/>
      </c>
      <c r="B1662" s="34" t="n"/>
      <c r="C1662" s="34" t="n"/>
      <c r="D1662" s="35" t="n"/>
      <c r="E1662" s="35" t="n"/>
      <c r="F1662" s="1" t="n"/>
      <c r="G1662" s="167" t="n"/>
      <c r="H1662" s="167" t="n"/>
      <c r="I1662" s="167" t="n"/>
      <c r="J1662" s="168" t="n"/>
      <c r="K1662" s="169" t="n"/>
      <c r="L1662" s="172" t="n"/>
      <c r="M1662" s="172" t="n"/>
      <c r="N1662" s="175" t="n"/>
      <c r="O1662" s="168" t="n"/>
      <c r="P1662" s="173" t="n"/>
      <c r="Q1662" s="1" t="n"/>
      <c r="R1662" s="1" t="n"/>
      <c r="S1662" s="1" t="n"/>
      <c r="T1662" s="1" t="n"/>
      <c r="U1662" s="1" t="n"/>
      <c r="V1662" s="1" t="n"/>
      <c r="W1662" s="1" t="n"/>
      <c r="X1662" s="1" t="n"/>
      <c r="Y1662" s="1" t="n"/>
    </row>
    <row r="1663">
      <c r="A1663" s="34">
        <f>IF($H880="UNIDADE CONSTRUTIVA",OFFSET(A880,-1,0)+1,LARGE(A$3:A879,1))</f>
        <v/>
      </c>
      <c r="B1663" s="34" t="n"/>
      <c r="C1663" s="34" t="n"/>
      <c r="D1663" s="35" t="n"/>
      <c r="E1663" s="35" t="n"/>
      <c r="F1663" s="1" t="n"/>
      <c r="G1663" s="167" t="n"/>
      <c r="H1663" s="167" t="n"/>
      <c r="I1663" s="167" t="n"/>
      <c r="J1663" s="168" t="n"/>
      <c r="K1663" s="169" t="n"/>
      <c r="L1663" s="172" t="n"/>
      <c r="M1663" s="172" t="n"/>
      <c r="N1663" s="175" t="n"/>
      <c r="O1663" s="168" t="n"/>
      <c r="P1663" s="173" t="n"/>
      <c r="Q1663" s="1" t="n"/>
      <c r="R1663" s="1" t="n"/>
      <c r="S1663" s="1" t="n"/>
      <c r="T1663" s="1" t="n"/>
      <c r="U1663" s="1" t="n"/>
      <c r="V1663" s="1" t="n"/>
      <c r="W1663" s="1" t="n"/>
      <c r="X1663" s="1" t="n"/>
      <c r="Y1663" s="1" t="n"/>
    </row>
    <row r="1664">
      <c r="A1664" s="34">
        <f>IF($H881="UNIDADE CONSTRUTIVA",OFFSET(A881,-1,0)+1,LARGE(A$3:A880,1))</f>
        <v/>
      </c>
      <c r="B1664" s="34" t="n"/>
      <c r="C1664" s="34" t="n"/>
      <c r="D1664" s="35" t="n"/>
      <c r="E1664" s="35" t="n"/>
      <c r="F1664" s="1" t="n"/>
      <c r="G1664" s="167" t="n"/>
      <c r="H1664" s="167" t="n"/>
      <c r="I1664" s="167" t="n"/>
      <c r="J1664" s="168" t="n"/>
      <c r="K1664" s="169" t="n"/>
      <c r="L1664" s="172" t="n"/>
      <c r="M1664" s="172" t="n"/>
      <c r="N1664" s="175" t="n"/>
      <c r="O1664" s="168" t="n"/>
      <c r="P1664" s="173" t="n"/>
      <c r="Q1664" s="1" t="n"/>
      <c r="R1664" s="1" t="n"/>
      <c r="S1664" s="1" t="n"/>
      <c r="T1664" s="1" t="n"/>
      <c r="U1664" s="1" t="n"/>
      <c r="V1664" s="1" t="n"/>
      <c r="W1664" s="1" t="n"/>
      <c r="X1664" s="1" t="n"/>
      <c r="Y1664" s="1" t="n"/>
    </row>
    <row r="1665">
      <c r="A1665" s="34">
        <f>IF($H882="UNIDADE CONSTRUTIVA",OFFSET(A882,-1,0)+1,LARGE(A$3:A881,1))</f>
        <v/>
      </c>
      <c r="B1665" s="34" t="n"/>
      <c r="C1665" s="34" t="n"/>
      <c r="D1665" s="35" t="n"/>
      <c r="E1665" s="35" t="n"/>
      <c r="F1665" s="1" t="n"/>
      <c r="G1665" s="167" t="n"/>
      <c r="H1665" s="167" t="n"/>
      <c r="I1665" s="167" t="n"/>
      <c r="J1665" s="168" t="n"/>
      <c r="K1665" s="169" t="n"/>
      <c r="L1665" s="172" t="n"/>
      <c r="M1665" s="172" t="n"/>
      <c r="N1665" s="175" t="n"/>
      <c r="O1665" s="168" t="n"/>
      <c r="P1665" s="173" t="n"/>
      <c r="Q1665" s="1" t="n"/>
      <c r="R1665" s="1" t="n"/>
      <c r="S1665" s="1" t="n"/>
      <c r="T1665" s="1" t="n"/>
      <c r="U1665" s="1" t="n"/>
      <c r="V1665" s="1" t="n"/>
      <c r="W1665" s="1" t="n"/>
      <c r="X1665" s="1" t="n"/>
      <c r="Y1665" s="1" t="n"/>
    </row>
    <row r="1666">
      <c r="A1666" s="34">
        <f>IF($H883="UNIDADE CONSTRUTIVA",OFFSET(A883,-1,0)+1,LARGE(A$3:A882,1))</f>
        <v/>
      </c>
      <c r="B1666" s="34" t="n"/>
      <c r="C1666" s="34" t="n"/>
      <c r="D1666" s="35" t="n"/>
      <c r="E1666" s="35" t="n"/>
      <c r="F1666" s="1" t="n"/>
      <c r="G1666" s="167" t="n"/>
      <c r="H1666" s="167" t="n"/>
      <c r="I1666" s="167" t="n"/>
      <c r="J1666" s="168" t="n"/>
      <c r="K1666" s="169" t="n"/>
      <c r="L1666" s="172" t="n"/>
      <c r="M1666" s="172" t="n"/>
      <c r="N1666" s="175" t="n"/>
      <c r="O1666" s="168" t="n"/>
      <c r="P1666" s="173" t="n"/>
      <c r="Q1666" s="1" t="n"/>
      <c r="R1666" s="1" t="n"/>
      <c r="S1666" s="1" t="n"/>
      <c r="T1666" s="1" t="n"/>
      <c r="U1666" s="1" t="n"/>
      <c r="V1666" s="1" t="n"/>
      <c r="W1666" s="1" t="n"/>
      <c r="X1666" s="1" t="n"/>
      <c r="Y1666" s="1" t="n"/>
    </row>
    <row r="1667">
      <c r="A1667" s="34">
        <f>IF($H884="UNIDADE CONSTRUTIVA",OFFSET(A884,-1,0)+1,LARGE(A$3:A883,1))</f>
        <v/>
      </c>
      <c r="B1667" s="34" t="n"/>
      <c r="C1667" s="34" t="n"/>
      <c r="D1667" s="35" t="n"/>
      <c r="E1667" s="35" t="n"/>
      <c r="F1667" s="1" t="n"/>
      <c r="G1667" s="167" t="n"/>
      <c r="H1667" s="167" t="n"/>
      <c r="I1667" s="167" t="n"/>
      <c r="J1667" s="168" t="n"/>
      <c r="K1667" s="169" t="n"/>
      <c r="L1667" s="172" t="n"/>
      <c r="M1667" s="172" t="n"/>
      <c r="N1667" s="175" t="n"/>
      <c r="O1667" s="168" t="n"/>
      <c r="P1667" s="173" t="n"/>
      <c r="Q1667" s="1" t="n"/>
      <c r="R1667" s="1" t="n"/>
      <c r="S1667" s="1" t="n"/>
      <c r="T1667" s="1" t="n"/>
      <c r="U1667" s="1" t="n"/>
      <c r="V1667" s="1" t="n"/>
      <c r="W1667" s="1" t="n"/>
      <c r="X1667" s="1" t="n"/>
      <c r="Y1667" s="1" t="n"/>
    </row>
    <row r="1668">
      <c r="A1668" s="34">
        <f>IF($H885="UNIDADE CONSTRUTIVA",OFFSET(A885,-1,0)+1,LARGE(A$3:A884,1))</f>
        <v/>
      </c>
      <c r="B1668" s="34" t="n"/>
      <c r="C1668" s="34" t="n"/>
      <c r="D1668" s="35" t="n"/>
      <c r="E1668" s="35" t="n"/>
      <c r="F1668" s="1" t="n"/>
      <c r="G1668" s="167" t="n"/>
      <c r="H1668" s="167" t="n"/>
      <c r="I1668" s="167" t="n"/>
      <c r="J1668" s="168" t="n"/>
      <c r="K1668" s="169" t="n"/>
      <c r="L1668" s="172" t="n"/>
      <c r="M1668" s="172" t="n"/>
      <c r="N1668" s="175" t="n"/>
      <c r="O1668" s="168" t="n"/>
      <c r="P1668" s="173" t="n"/>
      <c r="Q1668" s="1" t="n"/>
      <c r="R1668" s="1" t="n"/>
      <c r="S1668" s="1" t="n"/>
      <c r="T1668" s="1" t="n"/>
      <c r="U1668" s="1" t="n"/>
      <c r="V1668" s="1" t="n"/>
      <c r="W1668" s="1" t="n"/>
      <c r="X1668" s="1" t="n"/>
      <c r="Y1668" s="1" t="n"/>
    </row>
    <row r="1669">
      <c r="A1669" s="34">
        <f>IF($H886="UNIDADE CONSTRUTIVA",OFFSET(A886,-1,0)+1,LARGE(A$3:A885,1))</f>
        <v/>
      </c>
      <c r="B1669" s="34" t="n"/>
      <c r="C1669" s="34" t="n"/>
      <c r="D1669" s="35" t="n"/>
      <c r="E1669" s="35" t="n"/>
      <c r="F1669" s="1" t="n"/>
      <c r="G1669" s="167" t="n"/>
      <c r="H1669" s="167" t="n"/>
      <c r="I1669" s="167" t="n"/>
      <c r="J1669" s="168" t="n"/>
      <c r="K1669" s="169" t="n"/>
      <c r="L1669" s="172" t="n"/>
      <c r="M1669" s="172" t="n"/>
      <c r="N1669" s="175" t="n"/>
      <c r="O1669" s="168" t="n"/>
      <c r="P1669" s="173" t="n"/>
      <c r="Q1669" s="1" t="n"/>
      <c r="R1669" s="1" t="n"/>
      <c r="S1669" s="1" t="n"/>
      <c r="T1669" s="1" t="n"/>
      <c r="U1669" s="1" t="n"/>
      <c r="V1669" s="1" t="n"/>
      <c r="W1669" s="1" t="n"/>
      <c r="X1669" s="1" t="n"/>
      <c r="Y1669" s="1" t="n"/>
    </row>
    <row r="1670">
      <c r="A1670" s="34">
        <f>IF($H887="UNIDADE CONSTRUTIVA",OFFSET(A887,-1,0)+1,LARGE(A$3:A886,1))</f>
        <v/>
      </c>
      <c r="B1670" s="34" t="n"/>
      <c r="C1670" s="34" t="n"/>
      <c r="D1670" s="35" t="n"/>
      <c r="E1670" s="35" t="n"/>
      <c r="F1670" s="1" t="n"/>
      <c r="G1670" s="167" t="n"/>
      <c r="H1670" s="167" t="n"/>
      <c r="I1670" s="167" t="n"/>
      <c r="J1670" s="168" t="n"/>
      <c r="K1670" s="169" t="n"/>
      <c r="L1670" s="172" t="n"/>
      <c r="M1670" s="172" t="n"/>
      <c r="N1670" s="175" t="n"/>
      <c r="O1670" s="168" t="n"/>
      <c r="P1670" s="173" t="n"/>
      <c r="Q1670" s="1" t="n"/>
      <c r="R1670" s="1" t="n"/>
      <c r="S1670" s="1" t="n"/>
      <c r="T1670" s="1" t="n"/>
      <c r="U1670" s="1" t="n"/>
      <c r="V1670" s="1" t="n"/>
      <c r="W1670" s="1" t="n"/>
      <c r="X1670" s="1" t="n"/>
      <c r="Y1670" s="1" t="n"/>
    </row>
    <row r="1671">
      <c r="A1671" s="34">
        <f>IF($H888="UNIDADE CONSTRUTIVA",OFFSET(A888,-1,0)+1,LARGE(A$3:A887,1))</f>
        <v/>
      </c>
      <c r="B1671" s="34" t="n"/>
      <c r="C1671" s="34" t="n"/>
      <c r="D1671" s="35" t="n"/>
      <c r="E1671" s="35" t="n"/>
      <c r="F1671" s="1" t="n"/>
      <c r="G1671" s="167" t="n"/>
      <c r="H1671" s="167" t="n"/>
      <c r="I1671" s="167" t="n"/>
      <c r="J1671" s="168" t="n"/>
      <c r="K1671" s="169" t="n"/>
      <c r="L1671" s="172" t="n"/>
      <c r="M1671" s="172" t="n"/>
      <c r="N1671" s="175" t="n"/>
      <c r="O1671" s="168" t="n"/>
      <c r="P1671" s="173" t="n"/>
      <c r="Q1671" s="1" t="n"/>
      <c r="R1671" s="1" t="n"/>
      <c r="S1671" s="1" t="n"/>
      <c r="T1671" s="1" t="n"/>
      <c r="U1671" s="1" t="n"/>
      <c r="V1671" s="1" t="n"/>
      <c r="W1671" s="1" t="n"/>
      <c r="X1671" s="1" t="n"/>
      <c r="Y1671" s="1" t="n"/>
    </row>
    <row r="1672">
      <c r="A1672" s="34">
        <f>IF($H889="UNIDADE CONSTRUTIVA",OFFSET(A889,-1,0)+1,LARGE(A$3:A888,1))</f>
        <v/>
      </c>
      <c r="B1672" s="34" t="n"/>
      <c r="C1672" s="34" t="n"/>
      <c r="D1672" s="35" t="n"/>
      <c r="E1672" s="35" t="n"/>
      <c r="F1672" s="1" t="n"/>
      <c r="G1672" s="167" t="n"/>
      <c r="H1672" s="167" t="n"/>
      <c r="I1672" s="167" t="n"/>
      <c r="J1672" s="168" t="n"/>
      <c r="K1672" s="169" t="n"/>
      <c r="L1672" s="172" t="n"/>
      <c r="M1672" s="172" t="n"/>
      <c r="N1672" s="175" t="n"/>
      <c r="O1672" s="168" t="n"/>
      <c r="P1672" s="173" t="n"/>
      <c r="Q1672" s="1" t="n"/>
      <c r="R1672" s="1" t="n"/>
      <c r="S1672" s="1" t="n"/>
      <c r="T1672" s="1" t="n"/>
      <c r="U1672" s="1" t="n"/>
      <c r="V1672" s="1" t="n"/>
      <c r="W1672" s="1" t="n"/>
      <c r="X1672" s="1" t="n"/>
      <c r="Y1672" s="1" t="n"/>
    </row>
    <row r="1673">
      <c r="A1673" s="34">
        <f>IF($H890="UNIDADE CONSTRUTIVA",OFFSET(A890,-1,0)+1,LARGE(A$3:A889,1))</f>
        <v/>
      </c>
      <c r="B1673" s="34" t="n"/>
      <c r="C1673" s="34" t="n"/>
      <c r="D1673" s="35" t="n"/>
      <c r="E1673" s="35" t="n"/>
      <c r="F1673" s="1" t="n"/>
      <c r="G1673" s="167" t="n"/>
      <c r="H1673" s="167" t="n"/>
      <c r="I1673" s="167" t="n"/>
      <c r="J1673" s="168" t="n"/>
      <c r="K1673" s="169" t="n"/>
      <c r="L1673" s="172" t="n"/>
      <c r="M1673" s="172" t="n"/>
      <c r="N1673" s="175" t="n"/>
      <c r="O1673" s="168" t="n"/>
      <c r="P1673" s="173" t="n"/>
      <c r="Q1673" s="1" t="n"/>
      <c r="R1673" s="1" t="n"/>
      <c r="S1673" s="1" t="n"/>
      <c r="T1673" s="1" t="n"/>
      <c r="U1673" s="1" t="n"/>
      <c r="V1673" s="1" t="n"/>
      <c r="W1673" s="1" t="n"/>
      <c r="X1673" s="1" t="n"/>
      <c r="Y1673" s="1" t="n"/>
    </row>
    <row r="1674">
      <c r="A1674" s="34">
        <f>IF($H891="UNIDADE CONSTRUTIVA",OFFSET(A891,-1,0)+1,LARGE(A$3:A890,1))</f>
        <v/>
      </c>
      <c r="B1674" s="34" t="n"/>
      <c r="C1674" s="34" t="n"/>
      <c r="D1674" s="35" t="n"/>
      <c r="E1674" s="35" t="n"/>
      <c r="F1674" s="1" t="n"/>
      <c r="G1674" s="167" t="n"/>
      <c r="H1674" s="167" t="n"/>
      <c r="I1674" s="167" t="n"/>
      <c r="J1674" s="168" t="n"/>
      <c r="K1674" s="169" t="n"/>
      <c r="L1674" s="172" t="n"/>
      <c r="M1674" s="172" t="n"/>
      <c r="N1674" s="175" t="n"/>
      <c r="O1674" s="168" t="n"/>
      <c r="P1674" s="173" t="n"/>
      <c r="Q1674" s="1" t="n"/>
      <c r="R1674" s="1" t="n"/>
      <c r="S1674" s="1" t="n"/>
      <c r="T1674" s="1" t="n"/>
      <c r="U1674" s="1" t="n"/>
      <c r="V1674" s="1" t="n"/>
      <c r="W1674" s="1" t="n"/>
      <c r="X1674" s="1" t="n"/>
      <c r="Y1674" s="1" t="n"/>
    </row>
    <row r="1675">
      <c r="A1675" s="34">
        <f>IF($H892="UNIDADE CONSTRUTIVA",OFFSET(A892,-1,0)+1,LARGE(A$3:A891,1))</f>
        <v/>
      </c>
      <c r="B1675" s="34" t="n"/>
      <c r="C1675" s="34" t="n"/>
      <c r="D1675" s="35" t="n"/>
      <c r="E1675" s="35" t="n"/>
      <c r="F1675" s="1" t="n"/>
      <c r="G1675" s="167" t="n"/>
      <c r="H1675" s="167" t="n"/>
      <c r="I1675" s="167" t="n"/>
      <c r="J1675" s="168" t="n"/>
      <c r="K1675" s="169" t="n"/>
      <c r="L1675" s="172" t="n"/>
      <c r="M1675" s="172" t="n"/>
      <c r="N1675" s="175" t="n"/>
      <c r="O1675" s="168" t="n"/>
      <c r="P1675" s="173" t="n"/>
      <c r="Q1675" s="1" t="n"/>
      <c r="R1675" s="1" t="n"/>
      <c r="S1675" s="1" t="n"/>
      <c r="T1675" s="1" t="n"/>
      <c r="U1675" s="1" t="n"/>
      <c r="V1675" s="1" t="n"/>
      <c r="W1675" s="1" t="n"/>
      <c r="X1675" s="1" t="n"/>
      <c r="Y1675" s="1" t="n"/>
    </row>
    <row r="1676">
      <c r="A1676" s="34">
        <f>IF($H893="UNIDADE CONSTRUTIVA",OFFSET(A893,-1,0)+1,LARGE(A$3:A892,1))</f>
        <v/>
      </c>
      <c r="B1676" s="34" t="n"/>
      <c r="C1676" s="34" t="n"/>
      <c r="D1676" s="35" t="n"/>
      <c r="E1676" s="35" t="n"/>
      <c r="F1676" s="1" t="n"/>
      <c r="G1676" s="167" t="n"/>
      <c r="H1676" s="167" t="n"/>
      <c r="I1676" s="167" t="n"/>
      <c r="J1676" s="168" t="n"/>
      <c r="K1676" s="169" t="n"/>
      <c r="L1676" s="172" t="n"/>
      <c r="M1676" s="172" t="n"/>
      <c r="N1676" s="175" t="n"/>
      <c r="O1676" s="168" t="n"/>
      <c r="P1676" s="173" t="n"/>
      <c r="Q1676" s="1" t="n"/>
      <c r="R1676" s="1" t="n"/>
      <c r="S1676" s="1" t="n"/>
      <c r="T1676" s="1" t="n"/>
      <c r="U1676" s="1" t="n"/>
      <c r="V1676" s="1" t="n"/>
      <c r="W1676" s="1" t="n"/>
      <c r="X1676" s="1" t="n"/>
      <c r="Y1676" s="1" t="n"/>
    </row>
    <row r="1677">
      <c r="A1677" s="34">
        <f>IF($H894="UNIDADE CONSTRUTIVA",OFFSET(A894,-1,0)+1,LARGE(A$3:A893,1))</f>
        <v/>
      </c>
      <c r="B1677" s="34" t="n"/>
      <c r="C1677" s="34" t="n"/>
      <c r="D1677" s="35" t="n"/>
      <c r="E1677" s="35" t="n"/>
      <c r="F1677" s="1" t="n"/>
      <c r="G1677" s="167" t="n"/>
      <c r="H1677" s="167" t="n"/>
      <c r="I1677" s="167" t="n"/>
      <c r="J1677" s="168" t="n"/>
      <c r="K1677" s="169" t="n"/>
      <c r="L1677" s="172" t="n"/>
      <c r="M1677" s="172" t="n"/>
      <c r="N1677" s="175" t="n"/>
      <c r="O1677" s="168" t="n"/>
      <c r="P1677" s="173" t="n"/>
      <c r="Q1677" s="1" t="n"/>
      <c r="R1677" s="1" t="n"/>
      <c r="S1677" s="1" t="n"/>
      <c r="T1677" s="1" t="n"/>
      <c r="U1677" s="1" t="n"/>
      <c r="V1677" s="1" t="n"/>
      <c r="W1677" s="1" t="n"/>
      <c r="X1677" s="1" t="n"/>
      <c r="Y1677" s="1" t="n"/>
    </row>
    <row r="1678">
      <c r="A1678" s="34">
        <f>IF($H895="UNIDADE CONSTRUTIVA",OFFSET(A895,-1,0)+1,LARGE(A$3:A894,1))</f>
        <v/>
      </c>
      <c r="B1678" s="34" t="n"/>
      <c r="C1678" s="34" t="n"/>
      <c r="D1678" s="35" t="n"/>
      <c r="E1678" s="35" t="n"/>
      <c r="F1678" s="1" t="n"/>
      <c r="G1678" s="167" t="n"/>
      <c r="H1678" s="167" t="n"/>
      <c r="I1678" s="167" t="n"/>
      <c r="J1678" s="168" t="n"/>
      <c r="K1678" s="169" t="n"/>
      <c r="L1678" s="172" t="n"/>
      <c r="M1678" s="172" t="n"/>
      <c r="N1678" s="175" t="n"/>
      <c r="O1678" s="168" t="n"/>
      <c r="P1678" s="173" t="n"/>
      <c r="Q1678" s="1" t="n"/>
      <c r="R1678" s="1" t="n"/>
      <c r="S1678" s="1" t="n"/>
      <c r="T1678" s="1" t="n"/>
      <c r="U1678" s="1" t="n"/>
      <c r="V1678" s="1" t="n"/>
      <c r="W1678" s="1" t="n"/>
      <c r="X1678" s="1" t="n"/>
      <c r="Y1678" s="1" t="n"/>
    </row>
    <row r="1679">
      <c r="A1679" s="34">
        <f>IF($H896="UNIDADE CONSTRUTIVA",OFFSET(A896,-1,0)+1,LARGE(A$3:A895,1))</f>
        <v/>
      </c>
      <c r="B1679" s="34" t="n"/>
      <c r="C1679" s="34" t="n"/>
      <c r="D1679" s="35" t="n"/>
      <c r="E1679" s="35" t="n"/>
      <c r="F1679" s="1" t="n"/>
      <c r="G1679" s="167" t="n"/>
      <c r="H1679" s="167" t="n"/>
      <c r="I1679" s="167" t="n"/>
      <c r="J1679" s="168" t="n"/>
      <c r="K1679" s="169" t="n"/>
      <c r="L1679" s="172" t="n"/>
      <c r="M1679" s="172" t="n"/>
      <c r="N1679" s="175" t="n"/>
      <c r="O1679" s="168" t="n"/>
      <c r="P1679" s="173" t="n"/>
      <c r="Q1679" s="1" t="n"/>
      <c r="R1679" s="1" t="n"/>
      <c r="S1679" s="1" t="n"/>
      <c r="T1679" s="1" t="n"/>
      <c r="U1679" s="1" t="n"/>
      <c r="V1679" s="1" t="n"/>
      <c r="W1679" s="1" t="n"/>
      <c r="X1679" s="1" t="n"/>
      <c r="Y1679" s="1" t="n"/>
    </row>
    <row r="1680">
      <c r="A1680" s="34">
        <f>IF($H897="UNIDADE CONSTRUTIVA",OFFSET(A897,-1,0)+1,LARGE(A$3:A896,1))</f>
        <v/>
      </c>
      <c r="B1680" s="34" t="n"/>
      <c r="C1680" s="34" t="n"/>
      <c r="D1680" s="35" t="n"/>
      <c r="E1680" s="35" t="n"/>
      <c r="F1680" s="1" t="n"/>
      <c r="G1680" s="167" t="n"/>
      <c r="H1680" s="167" t="n"/>
      <c r="I1680" s="167" t="n"/>
      <c r="J1680" s="168" t="n"/>
      <c r="K1680" s="169" t="n"/>
      <c r="L1680" s="172" t="n"/>
      <c r="M1680" s="172" t="n"/>
      <c r="N1680" s="175" t="n"/>
      <c r="O1680" s="168" t="n"/>
      <c r="P1680" s="173" t="n"/>
      <c r="Q1680" s="1" t="n"/>
      <c r="R1680" s="1" t="n"/>
      <c r="S1680" s="1" t="n"/>
      <c r="T1680" s="1" t="n"/>
      <c r="U1680" s="1" t="n"/>
      <c r="V1680" s="1" t="n"/>
      <c r="W1680" s="1" t="n"/>
      <c r="X1680" s="1" t="n"/>
      <c r="Y1680" s="1" t="n"/>
    </row>
    <row r="1681">
      <c r="A1681" s="34">
        <f>IF($H898="UNIDADE CONSTRUTIVA",OFFSET(A898,-1,0)+1,LARGE(A$3:A897,1))</f>
        <v/>
      </c>
      <c r="B1681" s="34" t="n"/>
      <c r="C1681" s="34" t="n"/>
      <c r="D1681" s="35" t="n"/>
      <c r="E1681" s="35" t="n"/>
      <c r="F1681" s="1" t="n"/>
      <c r="G1681" s="167" t="n"/>
      <c r="H1681" s="167" t="n"/>
      <c r="I1681" s="167" t="n"/>
      <c r="J1681" s="168" t="n"/>
      <c r="K1681" s="169" t="n"/>
      <c r="L1681" s="172" t="n"/>
      <c r="M1681" s="172" t="n"/>
      <c r="N1681" s="175" t="n"/>
      <c r="O1681" s="168" t="n"/>
      <c r="P1681" s="173" t="n"/>
      <c r="Q1681" s="1" t="n"/>
      <c r="R1681" s="1" t="n"/>
      <c r="S1681" s="1" t="n"/>
      <c r="T1681" s="1" t="n"/>
      <c r="U1681" s="1" t="n"/>
      <c r="V1681" s="1" t="n"/>
      <c r="W1681" s="1" t="n"/>
      <c r="X1681" s="1" t="n"/>
      <c r="Y1681" s="1" t="n"/>
    </row>
    <row r="1682">
      <c r="A1682" s="34">
        <f>IF($H899="UNIDADE CONSTRUTIVA",OFFSET(A899,-1,0)+1,LARGE(A$3:A898,1))</f>
        <v/>
      </c>
      <c r="B1682" s="34" t="n"/>
      <c r="C1682" s="34" t="n"/>
      <c r="D1682" s="35" t="n"/>
      <c r="E1682" s="35" t="n"/>
      <c r="F1682" s="1" t="n"/>
      <c r="G1682" s="167" t="n"/>
      <c r="H1682" s="167" t="n"/>
      <c r="I1682" s="167" t="n"/>
      <c r="J1682" s="168" t="n"/>
      <c r="K1682" s="169" t="n"/>
      <c r="L1682" s="172" t="n"/>
      <c r="M1682" s="172" t="n"/>
      <c r="N1682" s="175" t="n"/>
      <c r="O1682" s="168" t="n"/>
      <c r="P1682" s="173" t="n"/>
      <c r="Q1682" s="1" t="n"/>
      <c r="R1682" s="1" t="n"/>
      <c r="S1682" s="1" t="n"/>
      <c r="T1682" s="1" t="n"/>
      <c r="U1682" s="1" t="n"/>
      <c r="V1682" s="1" t="n"/>
      <c r="W1682" s="1" t="n"/>
      <c r="X1682" s="1" t="n"/>
      <c r="Y1682" s="1" t="n"/>
    </row>
    <row r="1683">
      <c r="A1683" s="34">
        <f>IF($H900="UNIDADE CONSTRUTIVA",OFFSET(A900,-1,0)+1,LARGE(A$3:A899,1))</f>
        <v/>
      </c>
      <c r="B1683" s="34" t="n"/>
      <c r="C1683" s="34" t="n"/>
      <c r="D1683" s="35" t="n"/>
      <c r="E1683" s="35" t="n"/>
      <c r="F1683" s="1" t="n"/>
      <c r="G1683" s="167" t="n"/>
      <c r="H1683" s="167" t="n"/>
      <c r="I1683" s="167" t="n"/>
      <c r="J1683" s="168" t="n"/>
      <c r="K1683" s="169" t="n"/>
      <c r="L1683" s="172" t="n"/>
      <c r="M1683" s="172" t="n"/>
      <c r="N1683" s="175" t="n"/>
      <c r="O1683" s="168" t="n"/>
      <c r="P1683" s="173" t="n"/>
      <c r="Q1683" s="1" t="n"/>
      <c r="R1683" s="1" t="n"/>
      <c r="S1683" s="1" t="n"/>
      <c r="T1683" s="1" t="n"/>
      <c r="U1683" s="1" t="n"/>
      <c r="V1683" s="1" t="n"/>
      <c r="W1683" s="1" t="n"/>
      <c r="X1683" s="1" t="n"/>
      <c r="Y1683" s="1" t="n"/>
    </row>
    <row r="1684">
      <c r="A1684" s="34">
        <f>IF($H901="UNIDADE CONSTRUTIVA",OFFSET(A901,-1,0)+1,LARGE(A$3:A900,1))</f>
        <v/>
      </c>
      <c r="B1684" s="34" t="n"/>
      <c r="C1684" s="34" t="n"/>
      <c r="D1684" s="35" t="n"/>
      <c r="E1684" s="35" t="n"/>
      <c r="F1684" s="1" t="n"/>
      <c r="G1684" s="167" t="n"/>
      <c r="H1684" s="167" t="n"/>
      <c r="I1684" s="167" t="n"/>
      <c r="J1684" s="168" t="n"/>
      <c r="K1684" s="169" t="n"/>
      <c r="L1684" s="172" t="n"/>
      <c r="M1684" s="172" t="n"/>
      <c r="N1684" s="175" t="n"/>
      <c r="O1684" s="168" t="n"/>
      <c r="P1684" s="173" t="n"/>
      <c r="Q1684" s="1" t="n"/>
      <c r="R1684" s="1" t="n"/>
      <c r="S1684" s="1" t="n"/>
      <c r="T1684" s="1" t="n"/>
      <c r="U1684" s="1" t="n"/>
      <c r="V1684" s="1" t="n"/>
      <c r="W1684" s="1" t="n"/>
      <c r="X1684" s="1" t="n"/>
      <c r="Y1684" s="1" t="n"/>
    </row>
    <row r="1685">
      <c r="A1685" s="34">
        <f>IF($H902="UNIDADE CONSTRUTIVA",OFFSET(A902,-1,0)+1,LARGE(A$3:A901,1))</f>
        <v/>
      </c>
      <c r="B1685" s="34" t="n"/>
      <c r="C1685" s="34" t="n"/>
      <c r="D1685" s="35" t="n"/>
      <c r="E1685" s="35" t="n"/>
      <c r="F1685" s="1" t="n"/>
      <c r="G1685" s="167" t="n"/>
      <c r="H1685" s="167" t="n"/>
      <c r="I1685" s="167" t="n"/>
      <c r="J1685" s="168" t="n"/>
      <c r="K1685" s="169" t="n"/>
      <c r="L1685" s="172" t="n"/>
      <c r="M1685" s="172" t="n"/>
      <c r="N1685" s="175" t="n"/>
      <c r="O1685" s="168" t="n"/>
      <c r="P1685" s="173" t="n"/>
      <c r="Q1685" s="1" t="n"/>
      <c r="R1685" s="1" t="n"/>
      <c r="S1685" s="1" t="n"/>
      <c r="T1685" s="1" t="n"/>
      <c r="U1685" s="1" t="n"/>
      <c r="V1685" s="1" t="n"/>
      <c r="W1685" s="1" t="n"/>
      <c r="X1685" s="1" t="n"/>
      <c r="Y1685" s="1" t="n"/>
    </row>
    <row r="1686">
      <c r="A1686" s="34">
        <f>IF($H903="UNIDADE CONSTRUTIVA",OFFSET(A903,-1,0)+1,LARGE(A$3:A902,1))</f>
        <v/>
      </c>
      <c r="B1686" s="34" t="n"/>
      <c r="C1686" s="34" t="n"/>
      <c r="D1686" s="35" t="n"/>
      <c r="E1686" s="35" t="n"/>
      <c r="F1686" s="1" t="n"/>
      <c r="G1686" s="167" t="n"/>
      <c r="H1686" s="167" t="n"/>
      <c r="I1686" s="167" t="n"/>
      <c r="J1686" s="168" t="n"/>
      <c r="K1686" s="169" t="n"/>
      <c r="L1686" s="172" t="n"/>
      <c r="M1686" s="172" t="n"/>
      <c r="N1686" s="175" t="n"/>
      <c r="O1686" s="168" t="n"/>
      <c r="P1686" s="173" t="n"/>
      <c r="Q1686" s="1" t="n"/>
      <c r="R1686" s="1" t="n"/>
      <c r="S1686" s="1" t="n"/>
      <c r="T1686" s="1" t="n"/>
      <c r="U1686" s="1" t="n"/>
      <c r="V1686" s="1" t="n"/>
      <c r="W1686" s="1" t="n"/>
      <c r="X1686" s="1" t="n"/>
      <c r="Y1686" s="1" t="n"/>
    </row>
    <row r="1687">
      <c r="A1687" s="34">
        <f>IF($H904="UNIDADE CONSTRUTIVA",OFFSET(A904,-1,0)+1,LARGE(A$3:A903,1))</f>
        <v/>
      </c>
      <c r="B1687" s="34" t="n"/>
      <c r="C1687" s="34" t="n"/>
      <c r="D1687" s="35" t="n"/>
      <c r="E1687" s="35" t="n"/>
      <c r="F1687" s="1" t="n"/>
      <c r="G1687" s="167" t="n"/>
      <c r="H1687" s="167" t="n"/>
      <c r="I1687" s="167" t="n"/>
      <c r="J1687" s="168" t="n"/>
      <c r="K1687" s="169" t="n"/>
      <c r="L1687" s="172" t="n"/>
      <c r="M1687" s="172" t="n"/>
      <c r="N1687" s="175" t="n"/>
      <c r="O1687" s="168" t="n"/>
      <c r="P1687" s="173" t="n"/>
      <c r="Q1687" s="1" t="n"/>
      <c r="R1687" s="1" t="n"/>
      <c r="S1687" s="1" t="n"/>
      <c r="T1687" s="1" t="n"/>
      <c r="U1687" s="1" t="n"/>
      <c r="V1687" s="1" t="n"/>
      <c r="W1687" s="1" t="n"/>
      <c r="X1687" s="1" t="n"/>
      <c r="Y1687" s="1" t="n"/>
    </row>
    <row r="1688">
      <c r="A1688" s="34">
        <f>IF($H905="UNIDADE CONSTRUTIVA",OFFSET(A905,-1,0)+1,LARGE(A$3:A904,1))</f>
        <v/>
      </c>
      <c r="B1688" s="34" t="n"/>
      <c r="C1688" s="34" t="n"/>
      <c r="D1688" s="35" t="n"/>
      <c r="E1688" s="35" t="n"/>
      <c r="F1688" s="1" t="n"/>
      <c r="G1688" s="167" t="n"/>
      <c r="H1688" s="167" t="n"/>
      <c r="I1688" s="167" t="n"/>
      <c r="J1688" s="168" t="n"/>
      <c r="K1688" s="169" t="n"/>
      <c r="L1688" s="172" t="n"/>
      <c r="M1688" s="172" t="n"/>
      <c r="N1688" s="175" t="n"/>
      <c r="O1688" s="168" t="n"/>
      <c r="P1688" s="173" t="n"/>
      <c r="Q1688" s="1" t="n"/>
      <c r="R1688" s="1" t="n"/>
      <c r="S1688" s="1" t="n"/>
      <c r="T1688" s="1" t="n"/>
      <c r="U1688" s="1" t="n"/>
      <c r="V1688" s="1" t="n"/>
      <c r="W1688" s="1" t="n"/>
      <c r="X1688" s="1" t="n"/>
      <c r="Y1688" s="1" t="n"/>
    </row>
    <row r="1689">
      <c r="A1689" s="34">
        <f>IF($H906="UNIDADE CONSTRUTIVA",OFFSET(A906,-1,0)+1,LARGE(A$3:A905,1))</f>
        <v/>
      </c>
      <c r="B1689" s="34" t="n"/>
      <c r="C1689" s="34" t="n"/>
      <c r="D1689" s="35" t="n"/>
      <c r="E1689" s="35" t="n"/>
      <c r="F1689" s="1" t="n"/>
      <c r="G1689" s="167" t="n"/>
      <c r="H1689" s="167" t="n"/>
      <c r="I1689" s="167" t="n"/>
      <c r="J1689" s="168" t="n"/>
      <c r="K1689" s="169" t="n"/>
      <c r="L1689" s="172" t="n"/>
      <c r="M1689" s="172" t="n"/>
      <c r="N1689" s="175" t="n"/>
      <c r="O1689" s="168" t="n"/>
      <c r="P1689" s="173" t="n"/>
      <c r="Q1689" s="1" t="n"/>
      <c r="R1689" s="1" t="n"/>
      <c r="S1689" s="1" t="n"/>
      <c r="T1689" s="1" t="n"/>
      <c r="U1689" s="1" t="n"/>
      <c r="V1689" s="1" t="n"/>
      <c r="W1689" s="1" t="n"/>
      <c r="X1689" s="1" t="n"/>
      <c r="Y1689" s="1" t="n"/>
    </row>
    <row r="1690">
      <c r="A1690" s="34">
        <f>IF($H907="UNIDADE CONSTRUTIVA",OFFSET(A907,-1,0)+1,LARGE(A$3:A906,1))</f>
        <v/>
      </c>
      <c r="B1690" s="34" t="n"/>
      <c r="C1690" s="34" t="n"/>
      <c r="D1690" s="35" t="n"/>
      <c r="E1690" s="35" t="n"/>
      <c r="F1690" s="1" t="n"/>
      <c r="G1690" s="167" t="n"/>
      <c r="H1690" s="167" t="n"/>
      <c r="I1690" s="167" t="n"/>
      <c r="J1690" s="168" t="n"/>
      <c r="K1690" s="169" t="n"/>
      <c r="L1690" s="172" t="n"/>
      <c r="M1690" s="172" t="n"/>
      <c r="N1690" s="175" t="n"/>
      <c r="O1690" s="168" t="n"/>
      <c r="P1690" s="173" t="n"/>
      <c r="Q1690" s="1" t="n"/>
      <c r="R1690" s="1" t="n"/>
      <c r="S1690" s="1" t="n"/>
      <c r="T1690" s="1" t="n"/>
      <c r="U1690" s="1" t="n"/>
      <c r="V1690" s="1" t="n"/>
      <c r="W1690" s="1" t="n"/>
      <c r="X1690" s="1" t="n"/>
      <c r="Y1690" s="1" t="n"/>
    </row>
    <row r="1691">
      <c r="A1691" s="34">
        <f>IF($H908="UNIDADE CONSTRUTIVA",OFFSET(A908,-1,0)+1,LARGE(A$3:A907,1))</f>
        <v/>
      </c>
      <c r="B1691" s="34" t="n"/>
      <c r="C1691" s="34" t="n"/>
      <c r="D1691" s="35" t="n"/>
      <c r="E1691" s="35" t="n"/>
      <c r="F1691" s="1" t="n"/>
      <c r="G1691" s="167" t="n"/>
      <c r="H1691" s="167" t="n"/>
      <c r="I1691" s="167" t="n"/>
      <c r="J1691" s="168" t="n"/>
      <c r="K1691" s="169" t="n"/>
      <c r="L1691" s="172" t="n"/>
      <c r="M1691" s="172" t="n"/>
      <c r="N1691" s="175" t="n"/>
      <c r="O1691" s="168" t="n"/>
      <c r="P1691" s="173" t="n"/>
      <c r="Q1691" s="1" t="n"/>
      <c r="R1691" s="1" t="n"/>
      <c r="S1691" s="1" t="n"/>
      <c r="T1691" s="1" t="n"/>
      <c r="U1691" s="1" t="n"/>
      <c r="V1691" s="1" t="n"/>
      <c r="W1691" s="1" t="n"/>
      <c r="X1691" s="1" t="n"/>
      <c r="Y1691" s="1" t="n"/>
    </row>
    <row r="1692">
      <c r="A1692" s="34">
        <f>IF($H909="UNIDADE CONSTRUTIVA",OFFSET(A909,-1,0)+1,LARGE(A$3:A908,1))</f>
        <v/>
      </c>
      <c r="B1692" s="34" t="n"/>
      <c r="C1692" s="34" t="n"/>
      <c r="D1692" s="35" t="n"/>
      <c r="E1692" s="35" t="n"/>
      <c r="F1692" s="1" t="n"/>
      <c r="G1692" s="167" t="n"/>
      <c r="H1692" s="167" t="n"/>
      <c r="I1692" s="167" t="n"/>
      <c r="J1692" s="168" t="n"/>
      <c r="K1692" s="169" t="n"/>
      <c r="L1692" s="172" t="n"/>
      <c r="M1692" s="172" t="n"/>
      <c r="N1692" s="175" t="n"/>
      <c r="O1692" s="168" t="n"/>
      <c r="P1692" s="173" t="n"/>
      <c r="Q1692" s="1" t="n"/>
      <c r="R1692" s="1" t="n"/>
      <c r="S1692" s="1" t="n"/>
      <c r="T1692" s="1" t="n"/>
      <c r="U1692" s="1" t="n"/>
      <c r="V1692" s="1" t="n"/>
      <c r="W1692" s="1" t="n"/>
      <c r="X1692" s="1" t="n"/>
      <c r="Y1692" s="1" t="n"/>
    </row>
    <row r="1693">
      <c r="A1693" s="34">
        <f>IF($H910="UNIDADE CONSTRUTIVA",OFFSET(A910,-1,0)+1,LARGE(A$3:A909,1))</f>
        <v/>
      </c>
      <c r="B1693" s="34" t="n"/>
      <c r="C1693" s="34" t="n"/>
      <c r="D1693" s="35" t="n"/>
      <c r="E1693" s="35" t="n"/>
      <c r="F1693" s="1" t="n"/>
      <c r="G1693" s="167" t="n"/>
      <c r="H1693" s="167" t="n"/>
      <c r="I1693" s="167" t="n"/>
      <c r="J1693" s="168" t="n"/>
      <c r="K1693" s="169" t="n"/>
      <c r="L1693" s="172" t="n"/>
      <c r="M1693" s="172" t="n"/>
      <c r="N1693" s="175" t="n"/>
      <c r="O1693" s="168" t="n"/>
      <c r="P1693" s="173" t="n"/>
      <c r="Q1693" s="1" t="n"/>
      <c r="R1693" s="1" t="n"/>
      <c r="S1693" s="1" t="n"/>
      <c r="T1693" s="1" t="n"/>
      <c r="U1693" s="1" t="n"/>
      <c r="V1693" s="1" t="n"/>
      <c r="W1693" s="1" t="n"/>
      <c r="X1693" s="1" t="n"/>
      <c r="Y1693" s="1" t="n"/>
    </row>
    <row r="1694">
      <c r="A1694" s="34">
        <f>IF($H911="UNIDADE CONSTRUTIVA",OFFSET(A911,-1,0)+1,LARGE(A$3:A910,1))</f>
        <v/>
      </c>
      <c r="B1694" s="34" t="n"/>
      <c r="C1694" s="34" t="n"/>
      <c r="D1694" s="35" t="n"/>
      <c r="E1694" s="35" t="n"/>
      <c r="F1694" s="1" t="n"/>
      <c r="G1694" s="167" t="n"/>
      <c r="H1694" s="167" t="n"/>
      <c r="I1694" s="167" t="n"/>
      <c r="J1694" s="168" t="n"/>
      <c r="K1694" s="169" t="n"/>
      <c r="L1694" s="172" t="n"/>
      <c r="M1694" s="172" t="n"/>
      <c r="N1694" s="175" t="n"/>
      <c r="O1694" s="168" t="n"/>
      <c r="P1694" s="173" t="n"/>
      <c r="Q1694" s="1" t="n"/>
      <c r="R1694" s="1" t="n"/>
      <c r="S1694" s="1" t="n"/>
      <c r="T1694" s="1" t="n"/>
      <c r="U1694" s="1" t="n"/>
      <c r="V1694" s="1" t="n"/>
      <c r="W1694" s="1" t="n"/>
      <c r="X1694" s="1" t="n"/>
      <c r="Y1694" s="1" t="n"/>
    </row>
    <row r="1695">
      <c r="A1695" s="34">
        <f>IF($H912="UNIDADE CONSTRUTIVA",OFFSET(A912,-1,0)+1,LARGE(A$3:A911,1))</f>
        <v/>
      </c>
      <c r="B1695" s="34" t="n"/>
      <c r="C1695" s="34" t="n"/>
      <c r="D1695" s="35" t="n"/>
      <c r="E1695" s="35" t="n"/>
      <c r="F1695" s="1" t="n"/>
      <c r="G1695" s="167" t="n"/>
      <c r="H1695" s="167" t="n"/>
      <c r="I1695" s="167" t="n"/>
      <c r="J1695" s="168" t="n"/>
      <c r="K1695" s="169" t="n"/>
      <c r="L1695" s="172" t="n"/>
      <c r="M1695" s="172" t="n"/>
      <c r="N1695" s="175" t="n"/>
      <c r="O1695" s="168" t="n"/>
      <c r="P1695" s="173" t="n"/>
      <c r="Q1695" s="1" t="n"/>
      <c r="R1695" s="1" t="n"/>
      <c r="S1695" s="1" t="n"/>
      <c r="T1695" s="1" t="n"/>
      <c r="U1695" s="1" t="n"/>
      <c r="V1695" s="1" t="n"/>
      <c r="W1695" s="1" t="n"/>
      <c r="X1695" s="1" t="n"/>
      <c r="Y1695" s="1" t="n"/>
    </row>
    <row r="1696">
      <c r="A1696" s="34">
        <f>IF($H913="UNIDADE CONSTRUTIVA",OFFSET(A913,-1,0)+1,LARGE(A$3:A912,1))</f>
        <v/>
      </c>
      <c r="B1696" s="34" t="n"/>
      <c r="C1696" s="34" t="n"/>
      <c r="D1696" s="35" t="n"/>
      <c r="E1696" s="35" t="n"/>
      <c r="F1696" s="1" t="n"/>
      <c r="G1696" s="167" t="n"/>
      <c r="H1696" s="167" t="n"/>
      <c r="I1696" s="167" t="n"/>
      <c r="J1696" s="168" t="n"/>
      <c r="K1696" s="169" t="n"/>
      <c r="L1696" s="172" t="n"/>
      <c r="M1696" s="172" t="n"/>
      <c r="N1696" s="175" t="n"/>
      <c r="O1696" s="168" t="n"/>
      <c r="P1696" s="173" t="n"/>
      <c r="Q1696" s="1" t="n"/>
      <c r="R1696" s="1" t="n"/>
      <c r="S1696" s="1" t="n"/>
      <c r="T1696" s="1" t="n"/>
      <c r="U1696" s="1" t="n"/>
      <c r="V1696" s="1" t="n"/>
      <c r="W1696" s="1" t="n"/>
      <c r="X1696" s="1" t="n"/>
      <c r="Y1696" s="1" t="n"/>
    </row>
    <row r="1697">
      <c r="A1697" s="34">
        <f>IF($H914="UNIDADE CONSTRUTIVA",OFFSET(A914,-1,0)+1,LARGE(A$3:A913,1))</f>
        <v/>
      </c>
      <c r="B1697" s="34" t="n"/>
      <c r="C1697" s="34" t="n"/>
      <c r="D1697" s="35" t="n"/>
      <c r="E1697" s="35" t="n"/>
      <c r="F1697" s="1" t="n"/>
      <c r="G1697" s="167" t="n"/>
      <c r="H1697" s="167" t="n"/>
      <c r="I1697" s="167" t="n"/>
      <c r="J1697" s="168" t="n"/>
      <c r="K1697" s="169" t="n"/>
      <c r="L1697" s="172" t="n"/>
      <c r="M1697" s="172" t="n"/>
      <c r="N1697" s="175" t="n"/>
      <c r="O1697" s="168" t="n"/>
      <c r="P1697" s="173" t="n"/>
      <c r="Q1697" s="1" t="n"/>
      <c r="R1697" s="1" t="n"/>
      <c r="S1697" s="1" t="n"/>
      <c r="T1697" s="1" t="n"/>
      <c r="U1697" s="1" t="n"/>
      <c r="V1697" s="1" t="n"/>
      <c r="W1697" s="1" t="n"/>
      <c r="X1697" s="1" t="n"/>
      <c r="Y1697" s="1" t="n"/>
    </row>
    <row r="1698">
      <c r="A1698" s="34">
        <f>IF($H915="UNIDADE CONSTRUTIVA",OFFSET(A915,-1,0)+1,LARGE(A$3:A914,1))</f>
        <v/>
      </c>
      <c r="B1698" s="34" t="n"/>
      <c r="C1698" s="34" t="n"/>
      <c r="D1698" s="35" t="n"/>
      <c r="E1698" s="35" t="n"/>
      <c r="F1698" s="1" t="n"/>
      <c r="G1698" s="167" t="n"/>
      <c r="H1698" s="167" t="n"/>
      <c r="I1698" s="167" t="n"/>
      <c r="J1698" s="168" t="n"/>
      <c r="K1698" s="169" t="n"/>
      <c r="L1698" s="172" t="n"/>
      <c r="M1698" s="172" t="n"/>
      <c r="N1698" s="175" t="n"/>
      <c r="O1698" s="168" t="n"/>
      <c r="P1698" s="173" t="n"/>
      <c r="Q1698" s="1" t="n"/>
      <c r="R1698" s="1" t="n"/>
      <c r="S1698" s="1" t="n"/>
      <c r="T1698" s="1" t="n"/>
      <c r="U1698" s="1" t="n"/>
      <c r="V1698" s="1" t="n"/>
      <c r="W1698" s="1" t="n"/>
      <c r="X1698" s="1" t="n"/>
      <c r="Y1698" s="1" t="n"/>
    </row>
    <row r="1699">
      <c r="A1699" s="34">
        <f>IF($H916="UNIDADE CONSTRUTIVA",OFFSET(A916,-1,0)+1,LARGE(A$3:A915,1))</f>
        <v/>
      </c>
      <c r="B1699" s="34" t="n"/>
      <c r="C1699" s="34" t="n"/>
      <c r="D1699" s="35" t="n"/>
      <c r="E1699" s="35" t="n"/>
      <c r="F1699" s="1" t="n"/>
      <c r="G1699" s="167" t="n"/>
      <c r="H1699" s="167" t="n"/>
      <c r="I1699" s="167" t="n"/>
      <c r="J1699" s="168" t="n"/>
      <c r="K1699" s="169" t="n"/>
      <c r="L1699" s="172" t="n"/>
      <c r="M1699" s="172" t="n"/>
      <c r="N1699" s="175" t="n"/>
      <c r="O1699" s="168" t="n"/>
      <c r="P1699" s="173" t="n"/>
      <c r="Q1699" s="1" t="n"/>
      <c r="R1699" s="1" t="n"/>
      <c r="S1699" s="1" t="n"/>
      <c r="T1699" s="1" t="n"/>
      <c r="U1699" s="1" t="n"/>
      <c r="V1699" s="1" t="n"/>
      <c r="W1699" s="1" t="n"/>
      <c r="X1699" s="1" t="n"/>
      <c r="Y1699" s="1" t="n"/>
    </row>
    <row r="1700">
      <c r="A1700" s="34">
        <f>IF($H917="UNIDADE CONSTRUTIVA",OFFSET(A917,-1,0)+1,LARGE(A$3:A916,1))</f>
        <v/>
      </c>
      <c r="B1700" s="34" t="n"/>
      <c r="C1700" s="34" t="n"/>
      <c r="D1700" s="35" t="n"/>
      <c r="E1700" s="35" t="n"/>
      <c r="F1700" s="1" t="n"/>
      <c r="G1700" s="167" t="n"/>
      <c r="H1700" s="167" t="n"/>
      <c r="I1700" s="167" t="n"/>
      <c r="J1700" s="168" t="n"/>
      <c r="K1700" s="169" t="n"/>
      <c r="L1700" s="172" t="n"/>
      <c r="M1700" s="172" t="n"/>
      <c r="N1700" s="175" t="n"/>
      <c r="O1700" s="168" t="n"/>
      <c r="P1700" s="173" t="n"/>
      <c r="Q1700" s="1" t="n"/>
      <c r="R1700" s="1" t="n"/>
      <c r="S1700" s="1" t="n"/>
      <c r="T1700" s="1" t="n"/>
      <c r="U1700" s="1" t="n"/>
      <c r="V1700" s="1" t="n"/>
      <c r="W1700" s="1" t="n"/>
      <c r="X1700" s="1" t="n"/>
      <c r="Y1700" s="1" t="n"/>
    </row>
    <row r="1701">
      <c r="A1701" s="34">
        <f>IF($H918="UNIDADE CONSTRUTIVA",OFFSET(A918,-1,0)+1,LARGE(A$3:A917,1))</f>
        <v/>
      </c>
      <c r="B1701" s="34" t="n"/>
      <c r="C1701" s="34" t="n"/>
      <c r="D1701" s="35" t="n"/>
      <c r="E1701" s="35" t="n"/>
      <c r="F1701" s="1" t="n"/>
      <c r="G1701" s="167" t="n"/>
      <c r="H1701" s="167" t="n"/>
      <c r="I1701" s="167" t="n"/>
      <c r="J1701" s="168" t="n"/>
      <c r="K1701" s="169" t="n"/>
      <c r="L1701" s="172" t="n"/>
      <c r="M1701" s="172" t="n"/>
      <c r="N1701" s="175" t="n"/>
      <c r="O1701" s="168" t="n"/>
      <c r="P1701" s="173" t="n"/>
      <c r="Q1701" s="1" t="n"/>
      <c r="R1701" s="1" t="n"/>
      <c r="S1701" s="1" t="n"/>
      <c r="T1701" s="1" t="n"/>
      <c r="U1701" s="1" t="n"/>
      <c r="V1701" s="1" t="n"/>
      <c r="W1701" s="1" t="n"/>
      <c r="X1701" s="1" t="n"/>
      <c r="Y1701" s="1" t="n"/>
    </row>
    <row r="1702">
      <c r="A1702" s="34">
        <f>IF($H919="UNIDADE CONSTRUTIVA",OFFSET(A919,-1,0)+1,LARGE(A$3:A918,1))</f>
        <v/>
      </c>
      <c r="B1702" s="34" t="n"/>
      <c r="C1702" s="34" t="n"/>
      <c r="D1702" s="35" t="n"/>
      <c r="E1702" s="35" t="n"/>
      <c r="F1702" s="1" t="n"/>
      <c r="G1702" s="167" t="n"/>
      <c r="H1702" s="167" t="n"/>
      <c r="I1702" s="167" t="n"/>
      <c r="J1702" s="168" t="n"/>
      <c r="K1702" s="169" t="n"/>
      <c r="L1702" s="172" t="n"/>
      <c r="M1702" s="172" t="n"/>
      <c r="N1702" s="175" t="n"/>
      <c r="O1702" s="168" t="n"/>
      <c r="P1702" s="173" t="n"/>
      <c r="Q1702" s="1" t="n"/>
      <c r="R1702" s="1" t="n"/>
      <c r="S1702" s="1" t="n"/>
      <c r="T1702" s="1" t="n"/>
      <c r="U1702" s="1" t="n"/>
      <c r="V1702" s="1" t="n"/>
      <c r="W1702" s="1" t="n"/>
      <c r="X1702" s="1" t="n"/>
      <c r="Y1702" s="1" t="n"/>
    </row>
    <row r="1703">
      <c r="A1703" s="34">
        <f>IF($H920="UNIDADE CONSTRUTIVA",OFFSET(A920,-1,0)+1,LARGE(A$3:A919,1))</f>
        <v/>
      </c>
      <c r="B1703" s="34" t="n"/>
      <c r="C1703" s="34" t="n"/>
      <c r="D1703" s="35" t="n"/>
      <c r="E1703" s="35" t="n"/>
      <c r="F1703" s="1" t="n"/>
      <c r="G1703" s="167" t="n"/>
      <c r="H1703" s="167" t="n"/>
      <c r="I1703" s="167" t="n"/>
      <c r="J1703" s="168" t="n"/>
      <c r="K1703" s="169" t="n"/>
      <c r="L1703" s="172" t="n"/>
      <c r="M1703" s="172" t="n"/>
      <c r="N1703" s="175" t="n"/>
      <c r="O1703" s="168" t="n"/>
      <c r="P1703" s="173" t="n"/>
      <c r="Q1703" s="1" t="n"/>
      <c r="R1703" s="1" t="n"/>
      <c r="S1703" s="1" t="n"/>
      <c r="T1703" s="1" t="n"/>
      <c r="U1703" s="1" t="n"/>
      <c r="V1703" s="1" t="n"/>
      <c r="W1703" s="1" t="n"/>
      <c r="X1703" s="1" t="n"/>
      <c r="Y1703" s="1" t="n"/>
    </row>
    <row r="1704">
      <c r="A1704" s="34">
        <f>IF($H921="UNIDADE CONSTRUTIVA",OFFSET(A921,-1,0)+1,LARGE(A$3:A920,1))</f>
        <v/>
      </c>
      <c r="B1704" s="34" t="n"/>
      <c r="C1704" s="34" t="n"/>
      <c r="D1704" s="35" t="n"/>
      <c r="E1704" s="35" t="n"/>
      <c r="F1704" s="1" t="n"/>
      <c r="G1704" s="167" t="n"/>
      <c r="H1704" s="167" t="n"/>
      <c r="I1704" s="167" t="n"/>
      <c r="J1704" s="168" t="n"/>
      <c r="K1704" s="169" t="n"/>
      <c r="L1704" s="172" t="n"/>
      <c r="M1704" s="172" t="n"/>
      <c r="N1704" s="175" t="n"/>
      <c r="O1704" s="168" t="n"/>
      <c r="P1704" s="173" t="n"/>
      <c r="Q1704" s="1" t="n"/>
      <c r="R1704" s="1" t="n"/>
      <c r="S1704" s="1" t="n"/>
      <c r="T1704" s="1" t="n"/>
      <c r="U1704" s="1" t="n"/>
      <c r="V1704" s="1" t="n"/>
      <c r="W1704" s="1" t="n"/>
      <c r="X1704" s="1" t="n"/>
      <c r="Y1704" s="1" t="n"/>
    </row>
    <row r="1705">
      <c r="A1705" s="34">
        <f>IF($H922="UNIDADE CONSTRUTIVA",OFFSET(A922,-1,0)+1,LARGE(A$3:A921,1))</f>
        <v/>
      </c>
      <c r="B1705" s="34" t="n"/>
      <c r="C1705" s="34" t="n"/>
      <c r="D1705" s="35" t="n"/>
      <c r="E1705" s="35" t="n"/>
      <c r="F1705" s="1" t="n"/>
      <c r="G1705" s="167" t="n"/>
      <c r="H1705" s="167" t="n"/>
      <c r="I1705" s="167" t="n"/>
      <c r="J1705" s="168" t="n"/>
      <c r="K1705" s="169" t="n"/>
      <c r="L1705" s="172" t="n"/>
      <c r="M1705" s="172" t="n"/>
      <c r="N1705" s="175" t="n"/>
      <c r="O1705" s="168" t="n"/>
      <c r="P1705" s="173" t="n"/>
      <c r="Q1705" s="1" t="n"/>
      <c r="R1705" s="1" t="n"/>
      <c r="S1705" s="1" t="n"/>
      <c r="T1705" s="1" t="n"/>
      <c r="U1705" s="1" t="n"/>
      <c r="V1705" s="1" t="n"/>
      <c r="W1705" s="1" t="n"/>
      <c r="X1705" s="1" t="n"/>
      <c r="Y1705" s="1" t="n"/>
    </row>
    <row r="1706">
      <c r="A1706" s="34">
        <f>IF($H923="UNIDADE CONSTRUTIVA",OFFSET(A923,-1,0)+1,LARGE(A$3:A922,1))</f>
        <v/>
      </c>
      <c r="B1706" s="34" t="n"/>
      <c r="C1706" s="34" t="n"/>
      <c r="D1706" s="35" t="n"/>
      <c r="E1706" s="35" t="n"/>
      <c r="F1706" s="1" t="n"/>
      <c r="G1706" s="167" t="n"/>
      <c r="H1706" s="167" t="n"/>
      <c r="I1706" s="167" t="n"/>
      <c r="J1706" s="168" t="n"/>
      <c r="K1706" s="169" t="n"/>
      <c r="L1706" s="172" t="n"/>
      <c r="M1706" s="172" t="n"/>
      <c r="N1706" s="175" t="n"/>
      <c r="O1706" s="168" t="n"/>
      <c r="P1706" s="173" t="n"/>
      <c r="Q1706" s="1" t="n"/>
      <c r="R1706" s="1" t="n"/>
      <c r="S1706" s="1" t="n"/>
      <c r="T1706" s="1" t="n"/>
      <c r="U1706" s="1" t="n"/>
      <c r="V1706" s="1" t="n"/>
      <c r="W1706" s="1" t="n"/>
      <c r="X1706" s="1" t="n"/>
      <c r="Y1706" s="1" t="n"/>
    </row>
    <row r="1707">
      <c r="A1707" s="34">
        <f>IF($H924="UNIDADE CONSTRUTIVA",OFFSET(A924,-1,0)+1,LARGE(A$3:A923,1))</f>
        <v/>
      </c>
      <c r="B1707" s="34" t="n"/>
      <c r="C1707" s="34" t="n"/>
      <c r="D1707" s="35" t="n"/>
      <c r="E1707" s="35" t="n"/>
      <c r="F1707" s="1" t="n"/>
      <c r="G1707" s="167" t="n"/>
      <c r="H1707" s="167" t="n"/>
      <c r="I1707" s="167" t="n"/>
      <c r="J1707" s="168" t="n"/>
      <c r="K1707" s="169" t="n"/>
      <c r="L1707" s="172" t="n"/>
      <c r="M1707" s="172" t="n"/>
      <c r="N1707" s="175" t="n"/>
      <c r="O1707" s="168" t="n"/>
      <c r="P1707" s="173" t="n"/>
      <c r="Q1707" s="1" t="n"/>
      <c r="R1707" s="1" t="n"/>
      <c r="S1707" s="1" t="n"/>
      <c r="T1707" s="1" t="n"/>
      <c r="U1707" s="1" t="n"/>
      <c r="V1707" s="1" t="n"/>
      <c r="W1707" s="1" t="n"/>
      <c r="X1707" s="1" t="n"/>
      <c r="Y1707" s="1" t="n"/>
    </row>
    <row r="1708">
      <c r="A1708" s="34">
        <f>IF($H925="UNIDADE CONSTRUTIVA",OFFSET(A925,-1,0)+1,LARGE(A$3:A924,1))</f>
        <v/>
      </c>
      <c r="B1708" s="34" t="n"/>
      <c r="C1708" s="34" t="n"/>
      <c r="D1708" s="35" t="n"/>
      <c r="E1708" s="35" t="n"/>
      <c r="F1708" s="1" t="n"/>
      <c r="G1708" s="167" t="n"/>
      <c r="H1708" s="167" t="n"/>
      <c r="I1708" s="167" t="n"/>
      <c r="J1708" s="168" t="n"/>
      <c r="K1708" s="169" t="n"/>
      <c r="L1708" s="172" t="n"/>
      <c r="M1708" s="172" t="n"/>
      <c r="N1708" s="175" t="n"/>
      <c r="O1708" s="168" t="n"/>
      <c r="P1708" s="173" t="n"/>
      <c r="Q1708" s="1" t="n"/>
      <c r="R1708" s="1" t="n"/>
      <c r="S1708" s="1" t="n"/>
      <c r="T1708" s="1" t="n"/>
      <c r="U1708" s="1" t="n"/>
      <c r="V1708" s="1" t="n"/>
      <c r="W1708" s="1" t="n"/>
      <c r="X1708" s="1" t="n"/>
      <c r="Y1708" s="1" t="n"/>
    </row>
    <row r="1709">
      <c r="A1709" s="34">
        <f>IF($H926="UNIDADE CONSTRUTIVA",OFFSET(A926,-1,0)+1,LARGE(A$3:A925,1))</f>
        <v/>
      </c>
      <c r="B1709" s="34" t="n"/>
      <c r="C1709" s="34" t="n"/>
      <c r="D1709" s="35" t="n"/>
      <c r="E1709" s="35" t="n"/>
      <c r="F1709" s="1" t="n"/>
      <c r="G1709" s="167" t="n"/>
      <c r="H1709" s="167" t="n"/>
      <c r="I1709" s="167" t="n"/>
      <c r="J1709" s="168" t="n"/>
      <c r="K1709" s="169" t="n"/>
      <c r="L1709" s="172" t="n"/>
      <c r="M1709" s="172" t="n"/>
      <c r="N1709" s="175" t="n"/>
      <c r="O1709" s="168" t="n"/>
      <c r="P1709" s="173" t="n"/>
      <c r="Q1709" s="1" t="n"/>
      <c r="R1709" s="1" t="n"/>
      <c r="S1709" s="1" t="n"/>
      <c r="T1709" s="1" t="n"/>
      <c r="U1709" s="1" t="n"/>
      <c r="V1709" s="1" t="n"/>
      <c r="W1709" s="1" t="n"/>
      <c r="X1709" s="1" t="n"/>
      <c r="Y1709" s="1" t="n"/>
    </row>
    <row r="1710">
      <c r="A1710" s="34">
        <f>IF($H927="UNIDADE CONSTRUTIVA",OFFSET(A927,-1,0)+1,LARGE(A$3:A926,1))</f>
        <v/>
      </c>
      <c r="B1710" s="34" t="n"/>
      <c r="C1710" s="34" t="n"/>
      <c r="D1710" s="35" t="n"/>
      <c r="E1710" s="35" t="n"/>
      <c r="F1710" s="1" t="n"/>
      <c r="G1710" s="167" t="n"/>
      <c r="H1710" s="167" t="n"/>
      <c r="I1710" s="167" t="n"/>
      <c r="J1710" s="168" t="n"/>
      <c r="K1710" s="169" t="n"/>
      <c r="L1710" s="172" t="n"/>
      <c r="M1710" s="172" t="n"/>
      <c r="N1710" s="175" t="n"/>
      <c r="O1710" s="168" t="n"/>
      <c r="P1710" s="173" t="n"/>
      <c r="Q1710" s="1" t="n"/>
      <c r="R1710" s="1" t="n"/>
      <c r="S1710" s="1" t="n"/>
      <c r="T1710" s="1" t="n"/>
      <c r="U1710" s="1" t="n"/>
      <c r="V1710" s="1" t="n"/>
      <c r="W1710" s="1" t="n"/>
      <c r="X1710" s="1" t="n"/>
      <c r="Y1710" s="1" t="n"/>
    </row>
    <row r="1711">
      <c r="A1711" s="34">
        <f>IF($H928="UNIDADE CONSTRUTIVA",OFFSET(A928,-1,0)+1,LARGE(A$3:A927,1))</f>
        <v/>
      </c>
      <c r="B1711" s="34" t="n"/>
      <c r="C1711" s="34" t="n"/>
      <c r="D1711" s="35" t="n"/>
      <c r="E1711" s="35" t="n"/>
      <c r="F1711" s="1" t="n"/>
      <c r="G1711" s="167" t="n"/>
      <c r="H1711" s="167" t="n"/>
      <c r="I1711" s="167" t="n"/>
      <c r="J1711" s="168" t="n"/>
      <c r="K1711" s="169" t="n"/>
      <c r="L1711" s="172" t="n"/>
      <c r="M1711" s="172" t="n"/>
      <c r="N1711" s="175" t="n"/>
      <c r="O1711" s="168" t="n"/>
      <c r="P1711" s="173" t="n"/>
      <c r="Q1711" s="1" t="n"/>
      <c r="R1711" s="1" t="n"/>
      <c r="S1711" s="1" t="n"/>
      <c r="T1711" s="1" t="n"/>
      <c r="U1711" s="1" t="n"/>
      <c r="V1711" s="1" t="n"/>
      <c r="W1711" s="1" t="n"/>
      <c r="X1711" s="1" t="n"/>
      <c r="Y1711" s="1" t="n"/>
    </row>
    <row r="1712">
      <c r="A1712" s="34">
        <f>IF($H929="UNIDADE CONSTRUTIVA",OFFSET(A929,-1,0)+1,LARGE(A$3:A928,1))</f>
        <v/>
      </c>
      <c r="B1712" s="34" t="n"/>
      <c r="C1712" s="34" t="n"/>
      <c r="D1712" s="35" t="n"/>
      <c r="E1712" s="35" t="n"/>
      <c r="F1712" s="1" t="n"/>
      <c r="G1712" s="167" t="n"/>
      <c r="H1712" s="167" t="n"/>
      <c r="I1712" s="167" t="n"/>
      <c r="J1712" s="168" t="n"/>
      <c r="K1712" s="169" t="n"/>
      <c r="L1712" s="172" t="n"/>
      <c r="M1712" s="172" t="n"/>
      <c r="N1712" s="175" t="n"/>
      <c r="O1712" s="168" t="n"/>
      <c r="P1712" s="173" t="n"/>
      <c r="Q1712" s="1" t="n"/>
      <c r="R1712" s="1" t="n"/>
      <c r="S1712" s="1" t="n"/>
      <c r="T1712" s="1" t="n"/>
      <c r="U1712" s="1" t="n"/>
      <c r="V1712" s="1" t="n"/>
      <c r="W1712" s="1" t="n"/>
      <c r="X1712" s="1" t="n"/>
      <c r="Y1712" s="1" t="n"/>
    </row>
    <row r="1713">
      <c r="A1713" s="34">
        <f>IF($H930="UNIDADE CONSTRUTIVA",OFFSET(A930,-1,0)+1,LARGE(A$3:A929,1))</f>
        <v/>
      </c>
      <c r="B1713" s="34" t="n"/>
      <c r="C1713" s="34" t="n"/>
      <c r="D1713" s="35" t="n"/>
      <c r="E1713" s="35" t="n"/>
      <c r="F1713" s="1" t="n"/>
      <c r="G1713" s="167" t="n"/>
      <c r="H1713" s="167" t="n"/>
      <c r="I1713" s="167" t="n"/>
      <c r="J1713" s="168" t="n"/>
      <c r="K1713" s="169" t="n"/>
      <c r="L1713" s="172" t="n"/>
      <c r="M1713" s="172" t="n"/>
      <c r="N1713" s="175" t="n"/>
      <c r="O1713" s="168" t="n"/>
      <c r="P1713" s="173" t="n"/>
      <c r="Q1713" s="1" t="n"/>
      <c r="R1713" s="1" t="n"/>
      <c r="S1713" s="1" t="n"/>
      <c r="T1713" s="1" t="n"/>
      <c r="U1713" s="1" t="n"/>
      <c r="V1713" s="1" t="n"/>
      <c r="W1713" s="1" t="n"/>
      <c r="X1713" s="1" t="n"/>
      <c r="Y1713" s="1" t="n"/>
    </row>
    <row r="1714">
      <c r="A1714" s="34">
        <f>IF($H931="UNIDADE CONSTRUTIVA",OFFSET(A931,-1,0)+1,LARGE(A$3:A930,1))</f>
        <v/>
      </c>
      <c r="B1714" s="34" t="n"/>
      <c r="C1714" s="34" t="n"/>
      <c r="D1714" s="35" t="n"/>
      <c r="E1714" s="35" t="n"/>
      <c r="F1714" s="1" t="n"/>
      <c r="G1714" s="167" t="n"/>
      <c r="H1714" s="167" t="n"/>
      <c r="I1714" s="167" t="n"/>
      <c r="J1714" s="168" t="n"/>
      <c r="K1714" s="169" t="n"/>
      <c r="L1714" s="172" t="n"/>
      <c r="M1714" s="172" t="n"/>
      <c r="N1714" s="175" t="n"/>
      <c r="O1714" s="168" t="n"/>
      <c r="P1714" s="173" t="n"/>
      <c r="Q1714" s="1" t="n"/>
      <c r="R1714" s="1" t="n"/>
      <c r="S1714" s="1" t="n"/>
      <c r="T1714" s="1" t="n"/>
      <c r="U1714" s="1" t="n"/>
      <c r="V1714" s="1" t="n"/>
      <c r="W1714" s="1" t="n"/>
      <c r="X1714" s="1" t="n"/>
      <c r="Y1714" s="1" t="n"/>
    </row>
    <row r="1715">
      <c r="A1715" s="34">
        <f>IF($H932="UNIDADE CONSTRUTIVA",OFFSET(A932,-1,0)+1,LARGE(A$3:A931,1))</f>
        <v/>
      </c>
      <c r="B1715" s="34" t="n"/>
      <c r="C1715" s="34" t="n"/>
      <c r="D1715" s="35" t="n"/>
      <c r="E1715" s="35" t="n"/>
      <c r="F1715" s="1" t="n"/>
      <c r="G1715" s="167" t="n"/>
      <c r="H1715" s="167" t="n"/>
      <c r="I1715" s="167" t="n"/>
      <c r="J1715" s="168" t="n"/>
      <c r="K1715" s="169" t="n"/>
      <c r="L1715" s="172" t="n"/>
      <c r="M1715" s="172" t="n"/>
      <c r="N1715" s="175" t="n"/>
      <c r="O1715" s="168" t="n"/>
      <c r="P1715" s="173" t="n"/>
      <c r="Q1715" s="1" t="n"/>
      <c r="R1715" s="1" t="n"/>
      <c r="S1715" s="1" t="n"/>
      <c r="T1715" s="1" t="n"/>
      <c r="U1715" s="1" t="n"/>
      <c r="V1715" s="1" t="n"/>
      <c r="W1715" s="1" t="n"/>
      <c r="X1715" s="1" t="n"/>
      <c r="Y1715" s="1" t="n"/>
    </row>
    <row r="1716">
      <c r="A1716" s="34">
        <f>IF($H933="UNIDADE CONSTRUTIVA",OFFSET(A933,-1,0)+1,LARGE(A$3:A932,1))</f>
        <v/>
      </c>
      <c r="B1716" s="34" t="n"/>
      <c r="C1716" s="34" t="n"/>
      <c r="D1716" s="35" t="n"/>
      <c r="E1716" s="35" t="n"/>
      <c r="F1716" s="1" t="n"/>
      <c r="G1716" s="167" t="n"/>
      <c r="H1716" s="167" t="n"/>
      <c r="I1716" s="167" t="n"/>
      <c r="J1716" s="168" t="n"/>
      <c r="K1716" s="169" t="n"/>
      <c r="L1716" s="172" t="n"/>
      <c r="M1716" s="172" t="n"/>
      <c r="N1716" s="175" t="n"/>
      <c r="O1716" s="168" t="n"/>
      <c r="P1716" s="173" t="n"/>
      <c r="Q1716" s="1" t="n"/>
      <c r="R1716" s="1" t="n"/>
      <c r="S1716" s="1" t="n"/>
      <c r="T1716" s="1" t="n"/>
      <c r="U1716" s="1" t="n"/>
      <c r="V1716" s="1" t="n"/>
      <c r="W1716" s="1" t="n"/>
      <c r="X1716" s="1" t="n"/>
      <c r="Y1716" s="1" t="n"/>
    </row>
    <row r="1717">
      <c r="A1717" s="34">
        <f>IF($H934="UNIDADE CONSTRUTIVA",OFFSET(A934,-1,0)+1,LARGE(A$3:A933,1))</f>
        <v/>
      </c>
      <c r="B1717" s="34" t="n"/>
      <c r="C1717" s="34" t="n"/>
      <c r="D1717" s="35" t="n"/>
      <c r="E1717" s="35" t="n"/>
      <c r="F1717" s="1" t="n"/>
      <c r="G1717" s="167" t="n"/>
      <c r="H1717" s="167" t="n"/>
      <c r="I1717" s="167" t="n"/>
      <c r="J1717" s="168" t="n"/>
      <c r="K1717" s="169" t="n"/>
      <c r="L1717" s="172" t="n"/>
      <c r="M1717" s="172" t="n"/>
      <c r="N1717" s="175" t="n"/>
      <c r="O1717" s="168" t="n"/>
      <c r="P1717" s="173" t="n"/>
      <c r="Q1717" s="1" t="n"/>
      <c r="R1717" s="1" t="n"/>
      <c r="S1717" s="1" t="n"/>
      <c r="T1717" s="1" t="n"/>
      <c r="U1717" s="1" t="n"/>
      <c r="V1717" s="1" t="n"/>
      <c r="W1717" s="1" t="n"/>
      <c r="X1717" s="1" t="n"/>
      <c r="Y1717" s="1" t="n"/>
    </row>
    <row r="1718">
      <c r="A1718" s="34">
        <f>IF($H935="UNIDADE CONSTRUTIVA",OFFSET(A935,-1,0)+1,LARGE(A$3:A934,1))</f>
        <v/>
      </c>
      <c r="B1718" s="34" t="n"/>
      <c r="C1718" s="34" t="n"/>
      <c r="D1718" s="35" t="n"/>
      <c r="E1718" s="35" t="n"/>
      <c r="F1718" s="1" t="n"/>
      <c r="G1718" s="167" t="n"/>
      <c r="H1718" s="167" t="n"/>
      <c r="I1718" s="167" t="n"/>
      <c r="J1718" s="168" t="n"/>
      <c r="K1718" s="169" t="n"/>
      <c r="L1718" s="172" t="n"/>
      <c r="M1718" s="172" t="n"/>
      <c r="N1718" s="175" t="n"/>
      <c r="O1718" s="168" t="n"/>
      <c r="P1718" s="173" t="n"/>
      <c r="Q1718" s="1" t="n"/>
      <c r="R1718" s="1" t="n"/>
      <c r="S1718" s="1" t="n"/>
      <c r="T1718" s="1" t="n"/>
      <c r="U1718" s="1" t="n"/>
      <c r="V1718" s="1" t="n"/>
      <c r="W1718" s="1" t="n"/>
      <c r="X1718" s="1" t="n"/>
      <c r="Y1718" s="1" t="n"/>
    </row>
    <row r="1719">
      <c r="A1719" s="34">
        <f>IF($H936="UNIDADE CONSTRUTIVA",OFFSET(A936,-1,0)+1,LARGE(A$3:A935,1))</f>
        <v/>
      </c>
      <c r="B1719" s="34" t="n"/>
      <c r="C1719" s="34" t="n"/>
      <c r="D1719" s="35" t="n"/>
      <c r="E1719" s="35" t="n"/>
      <c r="F1719" s="1" t="n"/>
      <c r="G1719" s="167" t="n"/>
      <c r="H1719" s="167" t="n"/>
      <c r="I1719" s="167" t="n"/>
      <c r="J1719" s="168" t="n"/>
      <c r="K1719" s="169" t="n"/>
      <c r="L1719" s="172" t="n"/>
      <c r="M1719" s="172" t="n"/>
      <c r="N1719" s="175" t="n"/>
      <c r="O1719" s="168" t="n"/>
      <c r="P1719" s="173" t="n"/>
      <c r="Q1719" s="1" t="n"/>
      <c r="R1719" s="1" t="n"/>
      <c r="S1719" s="1" t="n"/>
      <c r="T1719" s="1" t="n"/>
      <c r="U1719" s="1" t="n"/>
      <c r="V1719" s="1" t="n"/>
      <c r="W1719" s="1" t="n"/>
      <c r="X1719" s="1" t="n"/>
      <c r="Y1719" s="1" t="n"/>
    </row>
    <row r="1720">
      <c r="A1720" s="34">
        <f>IF($H937="UNIDADE CONSTRUTIVA",OFFSET(A937,-1,0)+1,LARGE(A$3:A936,1))</f>
        <v/>
      </c>
      <c r="B1720" s="34" t="n"/>
      <c r="C1720" s="34" t="n"/>
      <c r="D1720" s="35" t="n"/>
      <c r="E1720" s="35" t="n"/>
      <c r="F1720" s="1" t="n"/>
      <c r="G1720" s="167" t="n"/>
      <c r="H1720" s="167" t="n"/>
      <c r="I1720" s="167" t="n"/>
      <c r="J1720" s="168" t="n"/>
      <c r="K1720" s="169" t="n"/>
      <c r="L1720" s="172" t="n"/>
      <c r="M1720" s="172" t="n"/>
      <c r="N1720" s="175" t="n"/>
      <c r="O1720" s="168" t="n"/>
      <c r="P1720" s="173" t="n"/>
      <c r="Q1720" s="1" t="n"/>
      <c r="R1720" s="1" t="n"/>
      <c r="S1720" s="1" t="n"/>
      <c r="T1720" s="1" t="n"/>
      <c r="U1720" s="1" t="n"/>
      <c r="V1720" s="1" t="n"/>
      <c r="W1720" s="1" t="n"/>
      <c r="X1720" s="1" t="n"/>
      <c r="Y1720" s="1" t="n"/>
    </row>
    <row r="1721">
      <c r="A1721" s="34">
        <f>IF($H938="UNIDADE CONSTRUTIVA",OFFSET(A938,-1,0)+1,LARGE(A$3:A937,1))</f>
        <v/>
      </c>
      <c r="B1721" s="34" t="n"/>
      <c r="C1721" s="34" t="n"/>
      <c r="D1721" s="35" t="n"/>
      <c r="E1721" s="35" t="n"/>
      <c r="F1721" s="1" t="n"/>
      <c r="G1721" s="167" t="n"/>
      <c r="H1721" s="167" t="n"/>
      <c r="I1721" s="167" t="n"/>
      <c r="J1721" s="168" t="n"/>
      <c r="K1721" s="169" t="n"/>
      <c r="L1721" s="172" t="n"/>
      <c r="M1721" s="172" t="n"/>
      <c r="N1721" s="175" t="n"/>
      <c r="O1721" s="168" t="n"/>
      <c r="P1721" s="173" t="n"/>
      <c r="Q1721" s="1" t="n"/>
      <c r="R1721" s="1" t="n"/>
      <c r="S1721" s="1" t="n"/>
      <c r="T1721" s="1" t="n"/>
      <c r="U1721" s="1" t="n"/>
      <c r="V1721" s="1" t="n"/>
      <c r="W1721" s="1" t="n"/>
      <c r="X1721" s="1" t="n"/>
      <c r="Y1721" s="1" t="n"/>
    </row>
    <row r="1722">
      <c r="A1722" s="34">
        <f>IF($H939="UNIDADE CONSTRUTIVA",OFFSET(A939,-1,0)+1,LARGE(A$3:A938,1))</f>
        <v/>
      </c>
      <c r="B1722" s="34" t="n"/>
      <c r="C1722" s="34" t="n"/>
      <c r="D1722" s="35" t="n"/>
      <c r="E1722" s="35" t="n"/>
      <c r="F1722" s="1" t="n"/>
      <c r="G1722" s="167" t="n"/>
      <c r="H1722" s="167" t="n"/>
      <c r="I1722" s="167" t="n"/>
      <c r="J1722" s="168" t="n"/>
      <c r="K1722" s="169" t="n"/>
      <c r="L1722" s="172" t="n"/>
      <c r="M1722" s="172" t="n"/>
      <c r="N1722" s="175" t="n"/>
      <c r="O1722" s="168" t="n"/>
      <c r="P1722" s="173" t="n"/>
      <c r="Q1722" s="1" t="n"/>
      <c r="R1722" s="1" t="n"/>
      <c r="S1722" s="1" t="n"/>
      <c r="T1722" s="1" t="n"/>
      <c r="U1722" s="1" t="n"/>
      <c r="V1722" s="1" t="n"/>
      <c r="W1722" s="1" t="n"/>
      <c r="X1722" s="1" t="n"/>
      <c r="Y1722" s="1" t="n"/>
    </row>
    <row r="1723">
      <c r="A1723" s="34">
        <f>IF($H940="UNIDADE CONSTRUTIVA",OFFSET(A940,-1,0)+1,LARGE(A$3:A939,1))</f>
        <v/>
      </c>
      <c r="B1723" s="34" t="n"/>
      <c r="C1723" s="34" t="n"/>
      <c r="D1723" s="35" t="n"/>
      <c r="E1723" s="35" t="n"/>
      <c r="F1723" s="1" t="n"/>
      <c r="G1723" s="167" t="n"/>
      <c r="H1723" s="167" t="n"/>
      <c r="I1723" s="167" t="n"/>
      <c r="J1723" s="168" t="n"/>
      <c r="K1723" s="169" t="n"/>
      <c r="L1723" s="172" t="n"/>
      <c r="M1723" s="172" t="n"/>
      <c r="N1723" s="175" t="n"/>
      <c r="O1723" s="168" t="n"/>
      <c r="P1723" s="173" t="n"/>
      <c r="Q1723" s="1" t="n"/>
      <c r="R1723" s="1" t="n"/>
      <c r="S1723" s="1" t="n"/>
      <c r="T1723" s="1" t="n"/>
      <c r="U1723" s="1" t="n"/>
      <c r="V1723" s="1" t="n"/>
      <c r="W1723" s="1" t="n"/>
      <c r="X1723" s="1" t="n"/>
      <c r="Y1723" s="1" t="n"/>
    </row>
    <row r="1724">
      <c r="A1724" s="34">
        <f>IF($H941="UNIDADE CONSTRUTIVA",OFFSET(A941,-1,0)+1,LARGE(A$3:A940,1))</f>
        <v/>
      </c>
      <c r="B1724" s="34" t="n"/>
      <c r="C1724" s="34" t="n"/>
      <c r="D1724" s="35" t="n"/>
      <c r="E1724" s="35" t="n"/>
      <c r="F1724" s="1" t="n"/>
      <c r="G1724" s="167" t="n"/>
      <c r="H1724" s="167" t="n"/>
      <c r="I1724" s="167" t="n"/>
      <c r="J1724" s="168" t="n"/>
      <c r="K1724" s="169" t="n"/>
      <c r="L1724" s="172" t="n"/>
      <c r="M1724" s="172" t="n"/>
      <c r="N1724" s="175" t="n"/>
      <c r="O1724" s="168" t="n"/>
      <c r="P1724" s="173" t="n"/>
      <c r="Q1724" s="1" t="n"/>
      <c r="R1724" s="1" t="n"/>
      <c r="S1724" s="1" t="n"/>
      <c r="T1724" s="1" t="n"/>
      <c r="U1724" s="1" t="n"/>
      <c r="V1724" s="1" t="n"/>
      <c r="W1724" s="1" t="n"/>
      <c r="X1724" s="1" t="n"/>
      <c r="Y1724" s="1" t="n"/>
    </row>
    <row r="1725">
      <c r="A1725" s="34">
        <f>IF($H942="UNIDADE CONSTRUTIVA",OFFSET(A942,-1,0)+1,LARGE(A$3:A941,1))</f>
        <v/>
      </c>
      <c r="B1725" s="34" t="n"/>
      <c r="C1725" s="34" t="n"/>
      <c r="D1725" s="35" t="n"/>
      <c r="E1725" s="35" t="n"/>
      <c r="F1725" s="1" t="n"/>
      <c r="G1725" s="167" t="n"/>
      <c r="H1725" s="167" t="n"/>
      <c r="I1725" s="167" t="n"/>
      <c r="J1725" s="168" t="n"/>
      <c r="K1725" s="169" t="n"/>
      <c r="L1725" s="172" t="n"/>
      <c r="M1725" s="172" t="n"/>
      <c r="N1725" s="175" t="n"/>
      <c r="O1725" s="168" t="n"/>
      <c r="P1725" s="173" t="n"/>
      <c r="Q1725" s="1" t="n"/>
      <c r="R1725" s="1" t="n"/>
      <c r="S1725" s="1" t="n"/>
      <c r="T1725" s="1" t="n"/>
      <c r="U1725" s="1" t="n"/>
      <c r="V1725" s="1" t="n"/>
      <c r="W1725" s="1" t="n"/>
      <c r="X1725" s="1" t="n"/>
      <c r="Y1725" s="1" t="n"/>
    </row>
    <row r="1726">
      <c r="A1726" s="34">
        <f>IF($H943="UNIDADE CONSTRUTIVA",OFFSET(A943,-1,0)+1,LARGE(A$3:A942,1))</f>
        <v/>
      </c>
      <c r="B1726" s="34" t="n"/>
      <c r="C1726" s="34" t="n"/>
      <c r="D1726" s="35" t="n"/>
      <c r="E1726" s="35" t="n"/>
      <c r="F1726" s="1" t="n"/>
      <c r="G1726" s="167" t="n"/>
      <c r="H1726" s="167" t="n"/>
      <c r="I1726" s="167" t="n"/>
      <c r="J1726" s="168" t="n"/>
      <c r="K1726" s="169" t="n"/>
      <c r="L1726" s="172" t="n"/>
      <c r="M1726" s="172" t="n"/>
      <c r="N1726" s="175" t="n"/>
      <c r="O1726" s="168" t="n"/>
      <c r="P1726" s="173" t="n"/>
      <c r="Q1726" s="1" t="n"/>
      <c r="R1726" s="1" t="n"/>
      <c r="S1726" s="1" t="n"/>
      <c r="T1726" s="1" t="n"/>
      <c r="U1726" s="1" t="n"/>
      <c r="V1726" s="1" t="n"/>
      <c r="W1726" s="1" t="n"/>
      <c r="X1726" s="1" t="n"/>
      <c r="Y1726" s="1" t="n"/>
    </row>
    <row r="1727">
      <c r="A1727" s="34">
        <f>IF($H944="UNIDADE CONSTRUTIVA",OFFSET(A944,-1,0)+1,LARGE(A$3:A943,1))</f>
        <v/>
      </c>
      <c r="B1727" s="34" t="n"/>
      <c r="C1727" s="34" t="n"/>
      <c r="D1727" s="35" t="n"/>
      <c r="E1727" s="35" t="n"/>
      <c r="F1727" s="1" t="n"/>
      <c r="G1727" s="167" t="n"/>
      <c r="H1727" s="167" t="n"/>
      <c r="I1727" s="167" t="n"/>
      <c r="J1727" s="168" t="n"/>
      <c r="K1727" s="169" t="n"/>
      <c r="L1727" s="172" t="n"/>
      <c r="M1727" s="172" t="n"/>
      <c r="N1727" s="175" t="n"/>
      <c r="O1727" s="168" t="n"/>
      <c r="P1727" s="173" t="n"/>
      <c r="Q1727" s="1" t="n"/>
      <c r="R1727" s="1" t="n"/>
      <c r="S1727" s="1" t="n"/>
      <c r="T1727" s="1" t="n"/>
      <c r="U1727" s="1" t="n"/>
      <c r="V1727" s="1" t="n"/>
      <c r="W1727" s="1" t="n"/>
      <c r="X1727" s="1" t="n"/>
      <c r="Y1727" s="1" t="n"/>
    </row>
    <row r="1728">
      <c r="A1728" s="34">
        <f>IF($H945="UNIDADE CONSTRUTIVA",OFFSET(A945,-1,0)+1,LARGE(A$3:A944,1))</f>
        <v/>
      </c>
      <c r="B1728" s="34" t="n"/>
      <c r="C1728" s="34" t="n"/>
      <c r="D1728" s="35" t="n"/>
      <c r="E1728" s="35" t="n"/>
      <c r="F1728" s="1" t="n"/>
      <c r="G1728" s="167" t="n"/>
      <c r="H1728" s="167" t="n"/>
      <c r="I1728" s="167" t="n"/>
      <c r="J1728" s="168" t="n"/>
      <c r="K1728" s="169" t="n"/>
      <c r="L1728" s="172" t="n"/>
      <c r="M1728" s="172" t="n"/>
      <c r="N1728" s="175" t="n"/>
      <c r="O1728" s="168" t="n"/>
      <c r="P1728" s="173" t="n"/>
      <c r="Q1728" s="1" t="n"/>
      <c r="R1728" s="1" t="n"/>
      <c r="S1728" s="1" t="n"/>
      <c r="T1728" s="1" t="n"/>
      <c r="U1728" s="1" t="n"/>
      <c r="V1728" s="1" t="n"/>
      <c r="W1728" s="1" t="n"/>
      <c r="X1728" s="1" t="n"/>
      <c r="Y1728" s="1" t="n"/>
    </row>
    <row r="1729">
      <c r="A1729" s="34">
        <f>IF($H946="UNIDADE CONSTRUTIVA",OFFSET(A946,-1,0)+1,LARGE(A$3:A945,1))</f>
        <v/>
      </c>
      <c r="B1729" s="34" t="n"/>
      <c r="C1729" s="34" t="n"/>
      <c r="D1729" s="35" t="n"/>
      <c r="E1729" s="35" t="n"/>
      <c r="F1729" s="1" t="n"/>
      <c r="G1729" s="167" t="n"/>
      <c r="H1729" s="167" t="n"/>
      <c r="I1729" s="167" t="n"/>
      <c r="J1729" s="168" t="n"/>
      <c r="K1729" s="169" t="n"/>
      <c r="L1729" s="172" t="n"/>
      <c r="M1729" s="172" t="n"/>
      <c r="N1729" s="175" t="n"/>
      <c r="O1729" s="168" t="n"/>
      <c r="P1729" s="173" t="n"/>
      <c r="Q1729" s="1" t="n"/>
      <c r="R1729" s="1" t="n"/>
      <c r="S1729" s="1" t="n"/>
      <c r="T1729" s="1" t="n"/>
      <c r="U1729" s="1" t="n"/>
      <c r="V1729" s="1" t="n"/>
      <c r="W1729" s="1" t="n"/>
      <c r="X1729" s="1" t="n"/>
      <c r="Y1729" s="1" t="n"/>
    </row>
    <row r="1730">
      <c r="A1730" s="34">
        <f>IF($H947="UNIDADE CONSTRUTIVA",OFFSET(A947,-1,0)+1,LARGE(A$3:A946,1))</f>
        <v/>
      </c>
      <c r="B1730" s="34" t="n"/>
      <c r="C1730" s="34" t="n"/>
      <c r="D1730" s="35" t="n"/>
      <c r="E1730" s="35" t="n"/>
      <c r="F1730" s="1" t="n"/>
      <c r="G1730" s="167" t="n"/>
      <c r="H1730" s="167" t="n"/>
      <c r="I1730" s="167" t="n"/>
      <c r="J1730" s="168" t="n"/>
      <c r="K1730" s="169" t="n"/>
      <c r="L1730" s="172" t="n"/>
      <c r="M1730" s="172" t="n"/>
      <c r="N1730" s="175" t="n"/>
      <c r="O1730" s="168" t="n"/>
      <c r="P1730" s="173" t="n"/>
      <c r="Q1730" s="1" t="n"/>
      <c r="R1730" s="1" t="n"/>
      <c r="S1730" s="1" t="n"/>
      <c r="T1730" s="1" t="n"/>
      <c r="U1730" s="1" t="n"/>
      <c r="V1730" s="1" t="n"/>
      <c r="W1730" s="1" t="n"/>
      <c r="X1730" s="1" t="n"/>
      <c r="Y1730" s="1" t="n"/>
    </row>
    <row r="1731">
      <c r="A1731" s="34">
        <f>IF($H948="UNIDADE CONSTRUTIVA",OFFSET(A948,-1,0)+1,LARGE(A$3:A947,1))</f>
        <v/>
      </c>
      <c r="B1731" s="34" t="n"/>
      <c r="C1731" s="34" t="n"/>
      <c r="D1731" s="35" t="n"/>
      <c r="E1731" s="35" t="n"/>
      <c r="F1731" s="1" t="n"/>
      <c r="G1731" s="167" t="n"/>
      <c r="H1731" s="167" t="n"/>
      <c r="I1731" s="167" t="n"/>
      <c r="J1731" s="168" t="n"/>
      <c r="K1731" s="169" t="n"/>
      <c r="L1731" s="172" t="n"/>
      <c r="M1731" s="172" t="n"/>
      <c r="N1731" s="175" t="n"/>
      <c r="O1731" s="168" t="n"/>
      <c r="P1731" s="173" t="n"/>
      <c r="Q1731" s="1" t="n"/>
      <c r="R1731" s="1" t="n"/>
      <c r="S1731" s="1" t="n"/>
      <c r="T1731" s="1" t="n"/>
      <c r="U1731" s="1" t="n"/>
      <c r="V1731" s="1" t="n"/>
      <c r="W1731" s="1" t="n"/>
      <c r="X1731" s="1" t="n"/>
      <c r="Y1731" s="1" t="n"/>
    </row>
    <row r="1732">
      <c r="A1732" s="34">
        <f>IF($H949="UNIDADE CONSTRUTIVA",OFFSET(A949,-1,0)+1,LARGE(A$3:A948,1))</f>
        <v/>
      </c>
      <c r="B1732" s="34" t="n"/>
      <c r="C1732" s="34" t="n"/>
      <c r="D1732" s="35" t="n"/>
      <c r="E1732" s="35" t="n"/>
      <c r="F1732" s="1" t="n"/>
      <c r="G1732" s="167" t="n"/>
      <c r="H1732" s="167" t="n"/>
      <c r="I1732" s="167" t="n"/>
      <c r="J1732" s="168" t="n"/>
      <c r="K1732" s="169" t="n"/>
      <c r="L1732" s="172" t="n"/>
      <c r="M1732" s="172" t="n"/>
      <c r="N1732" s="175" t="n"/>
      <c r="O1732" s="168" t="n"/>
      <c r="P1732" s="173" t="n"/>
      <c r="Q1732" s="1" t="n"/>
      <c r="R1732" s="1" t="n"/>
      <c r="S1732" s="1" t="n"/>
      <c r="T1732" s="1" t="n"/>
      <c r="U1732" s="1" t="n"/>
      <c r="V1732" s="1" t="n"/>
      <c r="W1732" s="1" t="n"/>
      <c r="X1732" s="1" t="n"/>
      <c r="Y1732" s="1" t="n"/>
    </row>
    <row r="1733">
      <c r="A1733" s="34">
        <f>IF($H950="UNIDADE CONSTRUTIVA",OFFSET(A950,-1,0)+1,LARGE(A$3:A949,1))</f>
        <v/>
      </c>
      <c r="B1733" s="34" t="n"/>
      <c r="C1733" s="34" t="n"/>
      <c r="D1733" s="35" t="n"/>
      <c r="E1733" s="35" t="n"/>
      <c r="F1733" s="1" t="n"/>
      <c r="G1733" s="167" t="n"/>
      <c r="H1733" s="167" t="n"/>
      <c r="I1733" s="167" t="n"/>
      <c r="J1733" s="168" t="n"/>
      <c r="K1733" s="169" t="n"/>
      <c r="L1733" s="172" t="n"/>
      <c r="M1733" s="172" t="n"/>
      <c r="N1733" s="175" t="n"/>
      <c r="O1733" s="168" t="n"/>
      <c r="P1733" s="173" t="n"/>
      <c r="Q1733" s="1" t="n"/>
      <c r="R1733" s="1" t="n"/>
      <c r="S1733" s="1" t="n"/>
      <c r="T1733" s="1" t="n"/>
      <c r="U1733" s="1" t="n"/>
      <c r="V1733" s="1" t="n"/>
      <c r="W1733" s="1" t="n"/>
      <c r="X1733" s="1" t="n"/>
      <c r="Y1733" s="1" t="n"/>
    </row>
    <row r="1734">
      <c r="A1734" s="34">
        <f>IF($H951="UNIDADE CONSTRUTIVA",OFFSET(A951,-1,0)+1,LARGE(A$3:A950,1))</f>
        <v/>
      </c>
      <c r="B1734" s="34" t="n"/>
      <c r="C1734" s="34" t="n"/>
      <c r="D1734" s="35" t="n"/>
      <c r="E1734" s="35" t="n"/>
      <c r="F1734" s="1" t="n"/>
      <c r="G1734" s="167" t="n"/>
      <c r="H1734" s="167" t="n"/>
      <c r="I1734" s="167" t="n"/>
      <c r="J1734" s="168" t="n"/>
      <c r="K1734" s="169" t="n"/>
      <c r="L1734" s="172" t="n"/>
      <c r="M1734" s="172" t="n"/>
      <c r="N1734" s="175" t="n"/>
      <c r="O1734" s="168" t="n"/>
      <c r="P1734" s="173" t="n"/>
      <c r="Q1734" s="1" t="n"/>
      <c r="R1734" s="1" t="n"/>
      <c r="S1734" s="1" t="n"/>
      <c r="T1734" s="1" t="n"/>
      <c r="U1734" s="1" t="n"/>
      <c r="V1734" s="1" t="n"/>
      <c r="W1734" s="1" t="n"/>
      <c r="X1734" s="1" t="n"/>
      <c r="Y1734" s="1" t="n"/>
    </row>
    <row r="1735">
      <c r="A1735" s="34">
        <f>IF($H952="UNIDADE CONSTRUTIVA",OFFSET(A952,-1,0)+1,LARGE(A$3:A951,1))</f>
        <v/>
      </c>
      <c r="B1735" s="34" t="n"/>
      <c r="C1735" s="34" t="n"/>
      <c r="D1735" s="35" t="n"/>
      <c r="E1735" s="35" t="n"/>
      <c r="F1735" s="1" t="n"/>
      <c r="G1735" s="167" t="n"/>
      <c r="H1735" s="167" t="n"/>
      <c r="I1735" s="167" t="n"/>
      <c r="J1735" s="168" t="n"/>
      <c r="K1735" s="169" t="n"/>
      <c r="L1735" s="172" t="n"/>
      <c r="M1735" s="172" t="n"/>
      <c r="N1735" s="175" t="n"/>
      <c r="O1735" s="168" t="n"/>
      <c r="P1735" s="173" t="n"/>
      <c r="Q1735" s="1" t="n"/>
      <c r="R1735" s="1" t="n"/>
      <c r="S1735" s="1" t="n"/>
      <c r="T1735" s="1" t="n"/>
      <c r="U1735" s="1" t="n"/>
      <c r="V1735" s="1" t="n"/>
      <c r="W1735" s="1" t="n"/>
      <c r="X1735" s="1" t="n"/>
      <c r="Y1735" s="1" t="n"/>
    </row>
    <row r="1736">
      <c r="A1736" s="34">
        <f>IF($H953="UNIDADE CONSTRUTIVA",OFFSET(A953,-1,0)+1,LARGE(A$3:A952,1))</f>
        <v/>
      </c>
      <c r="B1736" s="34" t="n"/>
      <c r="C1736" s="34" t="n"/>
      <c r="D1736" s="35" t="n"/>
      <c r="E1736" s="35" t="n"/>
      <c r="F1736" s="1" t="n"/>
      <c r="G1736" s="167" t="n"/>
      <c r="H1736" s="167" t="n"/>
      <c r="I1736" s="167" t="n"/>
      <c r="J1736" s="168" t="n"/>
      <c r="K1736" s="169" t="n"/>
      <c r="L1736" s="172" t="n"/>
      <c r="M1736" s="172" t="n"/>
      <c r="N1736" s="175" t="n"/>
      <c r="O1736" s="168" t="n"/>
      <c r="P1736" s="173" t="n"/>
      <c r="Q1736" s="1" t="n"/>
      <c r="R1736" s="1" t="n"/>
      <c r="S1736" s="1" t="n"/>
      <c r="T1736" s="1" t="n"/>
      <c r="U1736" s="1" t="n"/>
      <c r="V1736" s="1" t="n"/>
      <c r="W1736" s="1" t="n"/>
      <c r="X1736" s="1" t="n"/>
      <c r="Y1736" s="1" t="n"/>
    </row>
    <row r="1737">
      <c r="A1737" s="34">
        <f>IF($H954="UNIDADE CONSTRUTIVA",OFFSET(A954,-1,0)+1,LARGE(A$3:A953,1))</f>
        <v/>
      </c>
      <c r="B1737" s="34" t="n"/>
      <c r="C1737" s="34" t="n"/>
      <c r="D1737" s="35" t="n"/>
      <c r="E1737" s="35" t="n"/>
      <c r="F1737" s="1" t="n"/>
      <c r="G1737" s="167" t="n"/>
      <c r="H1737" s="167" t="n"/>
      <c r="I1737" s="167" t="n"/>
      <c r="J1737" s="168" t="n"/>
      <c r="K1737" s="169" t="n"/>
      <c r="L1737" s="172" t="n"/>
      <c r="M1737" s="172" t="n"/>
      <c r="N1737" s="175" t="n"/>
      <c r="O1737" s="168" t="n"/>
      <c r="P1737" s="173" t="n"/>
      <c r="Q1737" s="1" t="n"/>
      <c r="R1737" s="1" t="n"/>
      <c r="S1737" s="1" t="n"/>
      <c r="T1737" s="1" t="n"/>
      <c r="U1737" s="1" t="n"/>
      <c r="V1737" s="1" t="n"/>
      <c r="W1737" s="1" t="n"/>
      <c r="X1737" s="1" t="n"/>
      <c r="Y1737" s="1" t="n"/>
    </row>
    <row r="1738">
      <c r="A1738" s="34">
        <f>IF($H955="UNIDADE CONSTRUTIVA",OFFSET(A955,-1,0)+1,LARGE(A$3:A954,1))</f>
        <v/>
      </c>
      <c r="B1738" s="34" t="n"/>
      <c r="C1738" s="34" t="n"/>
      <c r="D1738" s="35" t="n"/>
      <c r="E1738" s="35" t="n"/>
      <c r="F1738" s="1" t="n"/>
      <c r="G1738" s="167" t="n"/>
      <c r="H1738" s="167" t="n"/>
      <c r="I1738" s="167" t="n"/>
      <c r="J1738" s="168" t="n"/>
      <c r="K1738" s="169" t="n"/>
      <c r="L1738" s="172" t="n"/>
      <c r="M1738" s="172" t="n"/>
      <c r="N1738" s="175" t="n"/>
      <c r="O1738" s="168" t="n"/>
      <c r="P1738" s="173" t="n"/>
      <c r="Q1738" s="1" t="n"/>
      <c r="R1738" s="1" t="n"/>
      <c r="S1738" s="1" t="n"/>
      <c r="T1738" s="1" t="n"/>
      <c r="U1738" s="1" t="n"/>
      <c r="V1738" s="1" t="n"/>
      <c r="W1738" s="1" t="n"/>
      <c r="X1738" s="1" t="n"/>
      <c r="Y1738" s="1" t="n"/>
    </row>
    <row r="1739">
      <c r="A1739" s="34">
        <f>IF($H956="UNIDADE CONSTRUTIVA",OFFSET(A956,-1,0)+1,LARGE(A$3:A955,1))</f>
        <v/>
      </c>
      <c r="B1739" s="34" t="n"/>
      <c r="C1739" s="34" t="n"/>
      <c r="D1739" s="35" t="n"/>
      <c r="E1739" s="35" t="n"/>
      <c r="F1739" s="1" t="n"/>
      <c r="G1739" s="167" t="n"/>
      <c r="H1739" s="167" t="n"/>
      <c r="I1739" s="167" t="n"/>
      <c r="J1739" s="168" t="n"/>
      <c r="K1739" s="169" t="n"/>
      <c r="L1739" s="172" t="n"/>
      <c r="M1739" s="172" t="n"/>
      <c r="N1739" s="175" t="n"/>
      <c r="O1739" s="168" t="n"/>
      <c r="P1739" s="173" t="n"/>
      <c r="Q1739" s="1" t="n"/>
      <c r="R1739" s="1" t="n"/>
      <c r="S1739" s="1" t="n"/>
      <c r="T1739" s="1" t="n"/>
      <c r="U1739" s="1" t="n"/>
      <c r="V1739" s="1" t="n"/>
      <c r="W1739" s="1" t="n"/>
      <c r="X1739" s="1" t="n"/>
      <c r="Y1739" s="1" t="n"/>
    </row>
    <row r="1740">
      <c r="A1740" s="34">
        <f>IF($H957="UNIDADE CONSTRUTIVA",OFFSET(A957,-1,0)+1,LARGE(A$3:A956,1))</f>
        <v/>
      </c>
      <c r="B1740" s="34" t="n"/>
      <c r="C1740" s="34" t="n"/>
      <c r="D1740" s="35" t="n"/>
      <c r="E1740" s="35" t="n"/>
      <c r="F1740" s="1" t="n"/>
      <c r="G1740" s="167" t="n"/>
      <c r="H1740" s="167" t="n"/>
      <c r="I1740" s="167" t="n"/>
      <c r="J1740" s="168" t="n"/>
      <c r="K1740" s="169" t="n"/>
      <c r="L1740" s="172" t="n"/>
      <c r="M1740" s="172" t="n"/>
      <c r="N1740" s="175" t="n"/>
      <c r="O1740" s="168" t="n"/>
      <c r="P1740" s="173" t="n"/>
      <c r="Q1740" s="1" t="n"/>
      <c r="R1740" s="1" t="n"/>
      <c r="S1740" s="1" t="n"/>
      <c r="T1740" s="1" t="n"/>
      <c r="U1740" s="1" t="n"/>
      <c r="V1740" s="1" t="n"/>
      <c r="W1740" s="1" t="n"/>
      <c r="X1740" s="1" t="n"/>
      <c r="Y1740" s="1" t="n"/>
    </row>
    <row r="1741">
      <c r="A1741" s="34">
        <f>IF($H958="UNIDADE CONSTRUTIVA",OFFSET(A958,-1,0)+1,LARGE(A$3:A957,1))</f>
        <v/>
      </c>
      <c r="B1741" s="34" t="n"/>
      <c r="C1741" s="34" t="n"/>
      <c r="D1741" s="35" t="n"/>
      <c r="E1741" s="35" t="n"/>
      <c r="F1741" s="1" t="n"/>
      <c r="G1741" s="167" t="n"/>
      <c r="H1741" s="167" t="n"/>
      <c r="I1741" s="167" t="n"/>
      <c r="J1741" s="168" t="n"/>
      <c r="K1741" s="169" t="n"/>
      <c r="L1741" s="172" t="n"/>
      <c r="M1741" s="172" t="n"/>
      <c r="N1741" s="175" t="n"/>
      <c r="O1741" s="168" t="n"/>
      <c r="P1741" s="173" t="n"/>
      <c r="Q1741" s="1" t="n"/>
      <c r="R1741" s="1" t="n"/>
      <c r="S1741" s="1" t="n"/>
      <c r="T1741" s="1" t="n"/>
      <c r="U1741" s="1" t="n"/>
      <c r="V1741" s="1" t="n"/>
      <c r="W1741" s="1" t="n"/>
      <c r="X1741" s="1" t="n"/>
      <c r="Y1741" s="1" t="n"/>
    </row>
    <row r="1742">
      <c r="A1742" s="34">
        <f>IF($H959="UNIDADE CONSTRUTIVA",OFFSET(A959,-1,0)+1,LARGE(A$3:A958,1))</f>
        <v/>
      </c>
      <c r="B1742" s="34" t="n"/>
      <c r="C1742" s="34" t="n"/>
      <c r="D1742" s="35" t="n"/>
      <c r="E1742" s="35" t="n"/>
      <c r="F1742" s="1" t="n"/>
      <c r="G1742" s="167" t="n"/>
      <c r="H1742" s="167" t="n"/>
      <c r="I1742" s="167" t="n"/>
      <c r="J1742" s="168" t="n"/>
      <c r="K1742" s="169" t="n"/>
      <c r="L1742" s="172" t="n"/>
      <c r="M1742" s="172" t="n"/>
      <c r="N1742" s="175" t="n"/>
      <c r="O1742" s="168" t="n"/>
      <c r="P1742" s="173" t="n"/>
      <c r="Q1742" s="1" t="n"/>
      <c r="R1742" s="1" t="n"/>
      <c r="S1742" s="1" t="n"/>
      <c r="T1742" s="1" t="n"/>
      <c r="U1742" s="1" t="n"/>
      <c r="V1742" s="1" t="n"/>
      <c r="W1742" s="1" t="n"/>
      <c r="X1742" s="1" t="n"/>
      <c r="Y1742" s="1" t="n"/>
    </row>
    <row r="1743">
      <c r="A1743" s="34">
        <f>IF($H960="UNIDADE CONSTRUTIVA",OFFSET(A960,-1,0)+1,LARGE(A$3:A959,1))</f>
        <v/>
      </c>
      <c r="B1743" s="34" t="n"/>
      <c r="C1743" s="34" t="n"/>
      <c r="D1743" s="35" t="n"/>
      <c r="E1743" s="35" t="n"/>
      <c r="F1743" s="1" t="n"/>
      <c r="G1743" s="167" t="n"/>
      <c r="H1743" s="167" t="n"/>
      <c r="I1743" s="167" t="n"/>
      <c r="J1743" s="168" t="n"/>
      <c r="K1743" s="169" t="n"/>
      <c r="L1743" s="172" t="n"/>
      <c r="M1743" s="172" t="n"/>
      <c r="N1743" s="175" t="n"/>
      <c r="O1743" s="168" t="n"/>
      <c r="P1743" s="173" t="n"/>
      <c r="Q1743" s="1" t="n"/>
      <c r="R1743" s="1" t="n"/>
      <c r="S1743" s="1" t="n"/>
      <c r="T1743" s="1" t="n"/>
      <c r="U1743" s="1" t="n"/>
      <c r="V1743" s="1" t="n"/>
      <c r="W1743" s="1" t="n"/>
      <c r="X1743" s="1" t="n"/>
      <c r="Y1743" s="1" t="n"/>
    </row>
    <row r="1744">
      <c r="A1744" s="34">
        <f>IF($H961="UNIDADE CONSTRUTIVA",OFFSET(A961,-1,0)+1,LARGE(A$3:A960,1))</f>
        <v/>
      </c>
      <c r="B1744" s="34" t="n"/>
      <c r="C1744" s="34" t="n"/>
      <c r="D1744" s="35" t="n"/>
      <c r="E1744" s="35" t="n"/>
      <c r="F1744" s="1" t="n"/>
      <c r="G1744" s="167" t="n"/>
      <c r="H1744" s="167" t="n"/>
      <c r="I1744" s="167" t="n"/>
      <c r="J1744" s="168" t="n"/>
      <c r="K1744" s="169" t="n"/>
      <c r="L1744" s="172" t="n"/>
      <c r="M1744" s="172" t="n"/>
      <c r="N1744" s="175" t="n"/>
      <c r="O1744" s="168" t="n"/>
      <c r="P1744" s="173" t="n"/>
      <c r="Q1744" s="1" t="n"/>
      <c r="R1744" s="1" t="n"/>
      <c r="S1744" s="1" t="n"/>
      <c r="T1744" s="1" t="n"/>
      <c r="U1744" s="1" t="n"/>
      <c r="V1744" s="1" t="n"/>
      <c r="W1744" s="1" t="n"/>
      <c r="X1744" s="1" t="n"/>
      <c r="Y1744" s="1" t="n"/>
    </row>
    <row r="1745">
      <c r="A1745" s="34">
        <f>IF($H962="UNIDADE CONSTRUTIVA",OFFSET(A962,-1,0)+1,LARGE(A$3:A961,1))</f>
        <v/>
      </c>
      <c r="B1745" s="34" t="n"/>
      <c r="C1745" s="34" t="n"/>
      <c r="D1745" s="35" t="n"/>
      <c r="E1745" s="35" t="n"/>
      <c r="F1745" s="1" t="n"/>
      <c r="G1745" s="167" t="n"/>
      <c r="H1745" s="167" t="n"/>
      <c r="I1745" s="167" t="n"/>
      <c r="J1745" s="168" t="n"/>
      <c r="K1745" s="169" t="n"/>
      <c r="L1745" s="172" t="n"/>
      <c r="M1745" s="172" t="n"/>
      <c r="N1745" s="175" t="n"/>
      <c r="O1745" s="168" t="n"/>
      <c r="P1745" s="173" t="n"/>
      <c r="Q1745" s="1" t="n"/>
      <c r="R1745" s="1" t="n"/>
      <c r="S1745" s="1" t="n"/>
      <c r="T1745" s="1" t="n"/>
      <c r="U1745" s="1" t="n"/>
      <c r="V1745" s="1" t="n"/>
      <c r="W1745" s="1" t="n"/>
      <c r="X1745" s="1" t="n"/>
      <c r="Y1745" s="1" t="n"/>
    </row>
    <row r="1746">
      <c r="A1746" s="34">
        <f>IF($H963="UNIDADE CONSTRUTIVA",OFFSET(A963,-1,0)+1,LARGE(A$3:A962,1))</f>
        <v/>
      </c>
      <c r="B1746" s="34" t="n"/>
      <c r="C1746" s="34" t="n"/>
      <c r="D1746" s="35" t="n"/>
      <c r="E1746" s="35" t="n"/>
      <c r="F1746" s="1" t="n"/>
      <c r="G1746" s="167" t="n"/>
      <c r="H1746" s="167" t="n"/>
      <c r="I1746" s="167" t="n"/>
      <c r="J1746" s="168" t="n"/>
      <c r="K1746" s="169" t="n"/>
      <c r="L1746" s="172" t="n"/>
      <c r="M1746" s="172" t="n"/>
      <c r="N1746" s="175" t="n"/>
      <c r="O1746" s="168" t="n"/>
      <c r="P1746" s="173" t="n"/>
      <c r="Q1746" s="1" t="n"/>
      <c r="R1746" s="1" t="n"/>
      <c r="S1746" s="1" t="n"/>
      <c r="T1746" s="1" t="n"/>
      <c r="U1746" s="1" t="n"/>
      <c r="V1746" s="1" t="n"/>
      <c r="W1746" s="1" t="n"/>
      <c r="X1746" s="1" t="n"/>
      <c r="Y1746" s="1" t="n"/>
    </row>
    <row r="1747">
      <c r="A1747" s="34">
        <f>IF($H964="UNIDADE CONSTRUTIVA",OFFSET(A964,-1,0)+1,LARGE(A$3:A963,1))</f>
        <v/>
      </c>
      <c r="B1747" s="34" t="n"/>
      <c r="C1747" s="34" t="n"/>
      <c r="D1747" s="35" t="n"/>
      <c r="E1747" s="35" t="n"/>
      <c r="F1747" s="1" t="n"/>
      <c r="G1747" s="167" t="n"/>
      <c r="H1747" s="167" t="n"/>
      <c r="I1747" s="167" t="n"/>
      <c r="J1747" s="168" t="n"/>
      <c r="K1747" s="169" t="n"/>
      <c r="L1747" s="172" t="n"/>
      <c r="M1747" s="172" t="n"/>
      <c r="N1747" s="175" t="n"/>
      <c r="O1747" s="168" t="n"/>
      <c r="P1747" s="173" t="n"/>
      <c r="Q1747" s="1" t="n"/>
      <c r="R1747" s="1" t="n"/>
      <c r="S1747" s="1" t="n"/>
      <c r="T1747" s="1" t="n"/>
      <c r="U1747" s="1" t="n"/>
      <c r="V1747" s="1" t="n"/>
      <c r="W1747" s="1" t="n"/>
      <c r="X1747" s="1" t="n"/>
      <c r="Y1747" s="1" t="n"/>
    </row>
    <row r="1748">
      <c r="A1748" s="34">
        <f>IF($H965="UNIDADE CONSTRUTIVA",OFFSET(A965,-1,0)+1,LARGE(A$3:A964,1))</f>
        <v/>
      </c>
      <c r="B1748" s="34" t="n"/>
      <c r="C1748" s="34" t="n"/>
      <c r="D1748" s="35" t="n"/>
      <c r="E1748" s="35" t="n"/>
      <c r="F1748" s="1" t="n"/>
      <c r="G1748" s="167" t="n"/>
      <c r="H1748" s="167" t="n"/>
      <c r="I1748" s="167" t="n"/>
      <c r="J1748" s="168" t="n"/>
      <c r="K1748" s="169" t="n"/>
      <c r="L1748" s="172" t="n"/>
      <c r="M1748" s="172" t="n"/>
      <c r="N1748" s="175" t="n"/>
      <c r="O1748" s="168" t="n"/>
      <c r="P1748" s="173" t="n"/>
      <c r="Q1748" s="1" t="n"/>
      <c r="R1748" s="1" t="n"/>
      <c r="S1748" s="1" t="n"/>
      <c r="T1748" s="1" t="n"/>
      <c r="U1748" s="1" t="n"/>
      <c r="V1748" s="1" t="n"/>
      <c r="W1748" s="1" t="n"/>
      <c r="X1748" s="1" t="n"/>
      <c r="Y1748" s="1" t="n"/>
    </row>
    <row r="1749">
      <c r="A1749" s="34">
        <f>IF($H966="UNIDADE CONSTRUTIVA",OFFSET(A966,-1,0)+1,LARGE(A$3:A965,1))</f>
        <v/>
      </c>
      <c r="B1749" s="34" t="n"/>
      <c r="C1749" s="34" t="n"/>
      <c r="D1749" s="35" t="n"/>
      <c r="E1749" s="35" t="n"/>
      <c r="F1749" s="1" t="n"/>
      <c r="G1749" s="167" t="n"/>
      <c r="H1749" s="167" t="n"/>
      <c r="I1749" s="167" t="n"/>
      <c r="J1749" s="168" t="n"/>
      <c r="K1749" s="169" t="n"/>
      <c r="L1749" s="172" t="n"/>
      <c r="M1749" s="172" t="n"/>
      <c r="N1749" s="175" t="n"/>
      <c r="O1749" s="168" t="n"/>
      <c r="P1749" s="173" t="n"/>
      <c r="Q1749" s="1" t="n"/>
      <c r="R1749" s="1" t="n"/>
      <c r="S1749" s="1" t="n"/>
      <c r="T1749" s="1" t="n"/>
      <c r="U1749" s="1" t="n"/>
      <c r="V1749" s="1" t="n"/>
      <c r="W1749" s="1" t="n"/>
      <c r="X1749" s="1" t="n"/>
      <c r="Y1749" s="1" t="n"/>
    </row>
    <row r="1750">
      <c r="A1750" s="34">
        <f>IF($H967="UNIDADE CONSTRUTIVA",OFFSET(A967,-1,0)+1,LARGE(A$3:A966,1))</f>
        <v/>
      </c>
      <c r="B1750" s="34" t="n"/>
      <c r="C1750" s="34" t="n"/>
      <c r="D1750" s="35" t="n"/>
      <c r="E1750" s="35" t="n"/>
      <c r="F1750" s="1" t="n"/>
      <c r="G1750" s="167" t="n"/>
      <c r="H1750" s="167" t="n"/>
      <c r="I1750" s="167" t="n"/>
      <c r="J1750" s="168" t="n"/>
      <c r="K1750" s="169" t="n"/>
      <c r="L1750" s="172" t="n"/>
      <c r="M1750" s="172" t="n"/>
      <c r="N1750" s="175" t="n"/>
      <c r="O1750" s="168" t="n"/>
      <c r="P1750" s="173" t="n"/>
      <c r="Q1750" s="1" t="n"/>
      <c r="R1750" s="1" t="n"/>
      <c r="S1750" s="1" t="n"/>
      <c r="T1750" s="1" t="n"/>
      <c r="U1750" s="1" t="n"/>
      <c r="V1750" s="1" t="n"/>
      <c r="W1750" s="1" t="n"/>
      <c r="X1750" s="1" t="n"/>
      <c r="Y1750" s="1" t="n"/>
    </row>
    <row r="1751">
      <c r="A1751" s="34">
        <f>IF($H968="UNIDADE CONSTRUTIVA",OFFSET(A968,-1,0)+1,LARGE(A$3:A967,1))</f>
        <v/>
      </c>
      <c r="B1751" s="34" t="n"/>
      <c r="C1751" s="34" t="n"/>
      <c r="D1751" s="35" t="n"/>
      <c r="E1751" s="35" t="n"/>
      <c r="F1751" s="1" t="n"/>
      <c r="G1751" s="167" t="n"/>
      <c r="H1751" s="167" t="n"/>
      <c r="I1751" s="167" t="n"/>
      <c r="J1751" s="168" t="n"/>
      <c r="K1751" s="169" t="n"/>
      <c r="L1751" s="172" t="n"/>
      <c r="M1751" s="172" t="n"/>
      <c r="N1751" s="175" t="n"/>
      <c r="O1751" s="168" t="n"/>
      <c r="P1751" s="173" t="n"/>
      <c r="Q1751" s="1" t="n"/>
      <c r="R1751" s="1" t="n"/>
      <c r="S1751" s="1" t="n"/>
      <c r="T1751" s="1" t="n"/>
      <c r="U1751" s="1" t="n"/>
      <c r="V1751" s="1" t="n"/>
      <c r="W1751" s="1" t="n"/>
      <c r="X1751" s="1" t="n"/>
      <c r="Y1751" s="1" t="n"/>
    </row>
    <row r="1752">
      <c r="A1752" s="34">
        <f>IF($H969="UNIDADE CONSTRUTIVA",OFFSET(A969,-1,0)+1,LARGE(A$3:A968,1))</f>
        <v/>
      </c>
      <c r="B1752" s="34" t="n"/>
      <c r="C1752" s="34" t="n"/>
      <c r="D1752" s="35" t="n"/>
      <c r="E1752" s="35" t="n"/>
      <c r="F1752" s="1" t="n"/>
      <c r="G1752" s="167" t="n"/>
      <c r="H1752" s="167" t="n"/>
      <c r="I1752" s="167" t="n"/>
      <c r="J1752" s="168" t="n"/>
      <c r="K1752" s="169" t="n"/>
      <c r="L1752" s="172" t="n"/>
      <c r="M1752" s="172" t="n"/>
      <c r="N1752" s="175" t="n"/>
      <c r="O1752" s="168" t="n"/>
      <c r="P1752" s="173" t="n"/>
      <c r="Q1752" s="1" t="n"/>
      <c r="R1752" s="1" t="n"/>
      <c r="S1752" s="1" t="n"/>
      <c r="T1752" s="1" t="n"/>
      <c r="U1752" s="1" t="n"/>
      <c r="V1752" s="1" t="n"/>
      <c r="W1752" s="1" t="n"/>
      <c r="X1752" s="1" t="n"/>
      <c r="Y1752" s="1" t="n"/>
    </row>
    <row r="1753">
      <c r="A1753" s="34">
        <f>IF($H970="UNIDADE CONSTRUTIVA",OFFSET(A970,-1,0)+1,LARGE(A$3:A969,1))</f>
        <v/>
      </c>
      <c r="B1753" s="34" t="n"/>
      <c r="C1753" s="34" t="n"/>
      <c r="D1753" s="35" t="n"/>
      <c r="E1753" s="35" t="n"/>
      <c r="F1753" s="1" t="n"/>
      <c r="G1753" s="167" t="n"/>
      <c r="H1753" s="167" t="n"/>
      <c r="I1753" s="167" t="n"/>
      <c r="J1753" s="168" t="n"/>
      <c r="K1753" s="169" t="n"/>
      <c r="L1753" s="172" t="n"/>
      <c r="M1753" s="172" t="n"/>
      <c r="N1753" s="175" t="n"/>
      <c r="O1753" s="168" t="n"/>
      <c r="P1753" s="173" t="n"/>
      <c r="Q1753" s="1" t="n"/>
      <c r="R1753" s="1" t="n"/>
      <c r="S1753" s="1" t="n"/>
      <c r="T1753" s="1" t="n"/>
      <c r="U1753" s="1" t="n"/>
      <c r="V1753" s="1" t="n"/>
      <c r="W1753" s="1" t="n"/>
      <c r="X1753" s="1" t="n"/>
      <c r="Y1753" s="1" t="n"/>
    </row>
    <row r="1754">
      <c r="A1754" s="34">
        <f>IF($H971="UNIDADE CONSTRUTIVA",OFFSET(A971,-1,0)+1,LARGE(A$3:A970,1))</f>
        <v/>
      </c>
      <c r="B1754" s="34" t="n"/>
      <c r="C1754" s="34" t="n"/>
      <c r="D1754" s="35" t="n"/>
      <c r="E1754" s="35" t="n"/>
      <c r="F1754" s="1" t="n"/>
      <c r="G1754" s="167" t="n"/>
      <c r="H1754" s="167" t="n"/>
      <c r="I1754" s="167" t="n"/>
      <c r="J1754" s="168" t="n"/>
      <c r="K1754" s="169" t="n"/>
      <c r="L1754" s="172" t="n"/>
      <c r="M1754" s="172" t="n"/>
      <c r="N1754" s="175" t="n"/>
      <c r="O1754" s="168" t="n"/>
      <c r="P1754" s="173" t="n"/>
      <c r="Q1754" s="1" t="n"/>
      <c r="R1754" s="1" t="n"/>
      <c r="S1754" s="1" t="n"/>
      <c r="T1754" s="1" t="n"/>
      <c r="U1754" s="1" t="n"/>
      <c r="V1754" s="1" t="n"/>
      <c r="W1754" s="1" t="n"/>
      <c r="X1754" s="1" t="n"/>
      <c r="Y1754" s="1" t="n"/>
    </row>
    <row r="1755">
      <c r="A1755" s="34">
        <f>IF($H972="UNIDADE CONSTRUTIVA",OFFSET(A972,-1,0)+1,LARGE(A$3:A971,1))</f>
        <v/>
      </c>
      <c r="B1755" s="34" t="n"/>
      <c r="C1755" s="34" t="n"/>
      <c r="D1755" s="35" t="n"/>
      <c r="E1755" s="35" t="n"/>
      <c r="F1755" s="1" t="n"/>
      <c r="G1755" s="167" t="n"/>
      <c r="H1755" s="167" t="n"/>
      <c r="I1755" s="167" t="n"/>
      <c r="J1755" s="168" t="n"/>
      <c r="K1755" s="169" t="n"/>
      <c r="L1755" s="172" t="n"/>
      <c r="M1755" s="172" t="n"/>
      <c r="N1755" s="175" t="n"/>
      <c r="O1755" s="168" t="n"/>
      <c r="P1755" s="173" t="n"/>
      <c r="Q1755" s="1" t="n"/>
      <c r="R1755" s="1" t="n"/>
      <c r="S1755" s="1" t="n"/>
      <c r="T1755" s="1" t="n"/>
      <c r="U1755" s="1" t="n"/>
      <c r="V1755" s="1" t="n"/>
      <c r="W1755" s="1" t="n"/>
      <c r="X1755" s="1" t="n"/>
      <c r="Y1755" s="1" t="n"/>
    </row>
    <row r="1756">
      <c r="A1756" s="34">
        <f>IF($H973="UNIDADE CONSTRUTIVA",OFFSET(A973,-1,0)+1,LARGE(A$3:A972,1))</f>
        <v/>
      </c>
      <c r="B1756" s="34" t="n"/>
      <c r="C1756" s="34" t="n"/>
      <c r="D1756" s="35" t="n"/>
      <c r="E1756" s="35" t="n"/>
      <c r="F1756" s="1" t="n"/>
      <c r="G1756" s="167" t="n"/>
      <c r="H1756" s="167" t="n"/>
      <c r="I1756" s="167" t="n"/>
      <c r="J1756" s="168" t="n"/>
      <c r="K1756" s="169" t="n"/>
      <c r="L1756" s="172" t="n"/>
      <c r="M1756" s="172" t="n"/>
      <c r="N1756" s="175" t="n"/>
      <c r="O1756" s="168" t="n"/>
      <c r="P1756" s="173" t="n"/>
      <c r="Q1756" s="1" t="n"/>
      <c r="R1756" s="1" t="n"/>
      <c r="S1756" s="1" t="n"/>
      <c r="T1756" s="1" t="n"/>
      <c r="U1756" s="1" t="n"/>
      <c r="V1756" s="1" t="n"/>
      <c r="W1756" s="1" t="n"/>
      <c r="X1756" s="1" t="n"/>
      <c r="Y1756" s="1" t="n"/>
    </row>
    <row r="1757">
      <c r="A1757" s="34">
        <f>IF($H974="UNIDADE CONSTRUTIVA",OFFSET(A974,-1,0)+1,LARGE(A$3:A973,1))</f>
        <v/>
      </c>
      <c r="B1757" s="34" t="n"/>
      <c r="C1757" s="34" t="n"/>
      <c r="D1757" s="35" t="n"/>
      <c r="E1757" s="35" t="n"/>
      <c r="F1757" s="1" t="n"/>
      <c r="G1757" s="167" t="n"/>
      <c r="H1757" s="167" t="n"/>
      <c r="I1757" s="167" t="n"/>
      <c r="J1757" s="168" t="n"/>
      <c r="K1757" s="169" t="n"/>
      <c r="L1757" s="172" t="n"/>
      <c r="M1757" s="172" t="n"/>
      <c r="N1757" s="175" t="n"/>
      <c r="O1757" s="168" t="n"/>
      <c r="P1757" s="173" t="n"/>
      <c r="Q1757" s="1" t="n"/>
      <c r="R1757" s="1" t="n"/>
      <c r="S1757" s="1" t="n"/>
      <c r="T1757" s="1" t="n"/>
      <c r="U1757" s="1" t="n"/>
      <c r="V1757" s="1" t="n"/>
      <c r="W1757" s="1" t="n"/>
      <c r="X1757" s="1" t="n"/>
      <c r="Y1757" s="1" t="n"/>
    </row>
    <row r="1758">
      <c r="A1758" s="34">
        <f>IF($H975="UNIDADE CONSTRUTIVA",OFFSET(A975,-1,0)+1,LARGE(A$3:A974,1))</f>
        <v/>
      </c>
      <c r="B1758" s="34" t="n"/>
      <c r="C1758" s="34" t="n"/>
      <c r="D1758" s="35" t="n"/>
      <c r="E1758" s="35" t="n"/>
      <c r="F1758" s="1" t="n"/>
      <c r="G1758" s="167" t="n"/>
      <c r="H1758" s="167" t="n"/>
      <c r="I1758" s="167" t="n"/>
      <c r="J1758" s="168" t="n"/>
      <c r="K1758" s="169" t="n"/>
      <c r="L1758" s="172" t="n"/>
      <c r="M1758" s="172" t="n"/>
      <c r="N1758" s="175" t="n"/>
      <c r="O1758" s="168" t="n"/>
      <c r="P1758" s="173" t="n"/>
      <c r="Q1758" s="1" t="n"/>
      <c r="R1758" s="1" t="n"/>
      <c r="S1758" s="1" t="n"/>
      <c r="T1758" s="1" t="n"/>
      <c r="U1758" s="1" t="n"/>
      <c r="V1758" s="1" t="n"/>
      <c r="W1758" s="1" t="n"/>
      <c r="X1758" s="1" t="n"/>
      <c r="Y1758" s="1" t="n"/>
    </row>
    <row r="1759">
      <c r="A1759" s="34">
        <f>IF($H976="UNIDADE CONSTRUTIVA",OFFSET(A976,-1,0)+1,LARGE(A$3:A975,1))</f>
        <v/>
      </c>
      <c r="B1759" s="34" t="n"/>
      <c r="C1759" s="34" t="n"/>
      <c r="D1759" s="35" t="n"/>
      <c r="E1759" s="35" t="n"/>
      <c r="F1759" s="1" t="n"/>
      <c r="G1759" s="167" t="n"/>
      <c r="H1759" s="167" t="n"/>
      <c r="I1759" s="167" t="n"/>
      <c r="J1759" s="168" t="n"/>
      <c r="K1759" s="169" t="n"/>
      <c r="L1759" s="172" t="n"/>
      <c r="M1759" s="172" t="n"/>
      <c r="N1759" s="175" t="n"/>
      <c r="O1759" s="168" t="n"/>
      <c r="P1759" s="173" t="n"/>
      <c r="Q1759" s="1" t="n"/>
      <c r="R1759" s="1" t="n"/>
      <c r="S1759" s="1" t="n"/>
      <c r="T1759" s="1" t="n"/>
      <c r="U1759" s="1" t="n"/>
      <c r="V1759" s="1" t="n"/>
      <c r="W1759" s="1" t="n"/>
      <c r="X1759" s="1" t="n"/>
      <c r="Y1759" s="1" t="n"/>
    </row>
    <row r="1760">
      <c r="A1760" s="34">
        <f>IF($H977="UNIDADE CONSTRUTIVA",OFFSET(A977,-1,0)+1,LARGE(A$3:A976,1))</f>
        <v/>
      </c>
      <c r="B1760" s="34" t="n"/>
      <c r="C1760" s="34" t="n"/>
      <c r="D1760" s="35" t="n"/>
      <c r="E1760" s="35" t="n"/>
      <c r="F1760" s="1" t="n"/>
      <c r="G1760" s="167" t="n"/>
      <c r="H1760" s="167" t="n"/>
      <c r="I1760" s="167" t="n"/>
      <c r="J1760" s="168" t="n"/>
      <c r="K1760" s="169" t="n"/>
      <c r="L1760" s="172" t="n"/>
      <c r="M1760" s="172" t="n"/>
      <c r="N1760" s="175" t="n"/>
      <c r="O1760" s="168" t="n"/>
      <c r="P1760" s="173" t="n"/>
      <c r="Q1760" s="1" t="n"/>
      <c r="R1760" s="1" t="n"/>
      <c r="S1760" s="1" t="n"/>
      <c r="T1760" s="1" t="n"/>
      <c r="U1760" s="1" t="n"/>
      <c r="V1760" s="1" t="n"/>
      <c r="W1760" s="1" t="n"/>
      <c r="X1760" s="1" t="n"/>
      <c r="Y1760" s="1" t="n"/>
    </row>
    <row r="1761">
      <c r="A1761" s="34">
        <f>IF($H978="UNIDADE CONSTRUTIVA",OFFSET(A978,-1,0)+1,LARGE(A$3:A977,1))</f>
        <v/>
      </c>
      <c r="B1761" s="34" t="n"/>
      <c r="C1761" s="34" t="n"/>
      <c r="D1761" s="35" t="n"/>
      <c r="E1761" s="35" t="n"/>
      <c r="F1761" s="1" t="n"/>
      <c r="G1761" s="167" t="n"/>
      <c r="H1761" s="167" t="n"/>
      <c r="I1761" s="167" t="n"/>
      <c r="J1761" s="168" t="n"/>
      <c r="K1761" s="169" t="n"/>
      <c r="L1761" s="172" t="n"/>
      <c r="M1761" s="172" t="n"/>
      <c r="N1761" s="175" t="n"/>
      <c r="O1761" s="168" t="n"/>
      <c r="P1761" s="173" t="n"/>
      <c r="Q1761" s="1" t="n"/>
      <c r="R1761" s="1" t="n"/>
      <c r="S1761" s="1" t="n"/>
      <c r="T1761" s="1" t="n"/>
      <c r="U1761" s="1" t="n"/>
      <c r="V1761" s="1" t="n"/>
      <c r="W1761" s="1" t="n"/>
      <c r="X1761" s="1" t="n"/>
      <c r="Y1761" s="1" t="n"/>
    </row>
    <row r="1762">
      <c r="A1762" s="34">
        <f>IF($H979="UNIDADE CONSTRUTIVA",OFFSET(A979,-1,0)+1,LARGE(A$3:A978,1))</f>
        <v/>
      </c>
      <c r="B1762" s="34" t="n"/>
      <c r="C1762" s="34" t="n"/>
      <c r="D1762" s="35" t="n"/>
      <c r="E1762" s="35" t="n"/>
      <c r="F1762" s="1" t="n"/>
      <c r="G1762" s="167" t="n"/>
      <c r="H1762" s="167" t="n"/>
      <c r="I1762" s="167" t="n"/>
      <c r="J1762" s="168" t="n"/>
      <c r="K1762" s="169" t="n"/>
      <c r="L1762" s="172" t="n"/>
      <c r="M1762" s="172" t="n"/>
      <c r="N1762" s="175" t="n"/>
      <c r="O1762" s="168" t="n"/>
      <c r="P1762" s="173" t="n"/>
      <c r="Q1762" s="1" t="n"/>
      <c r="R1762" s="1" t="n"/>
      <c r="S1762" s="1" t="n"/>
      <c r="T1762" s="1" t="n"/>
      <c r="U1762" s="1" t="n"/>
      <c r="V1762" s="1" t="n"/>
      <c r="W1762" s="1" t="n"/>
      <c r="X1762" s="1" t="n"/>
      <c r="Y1762" s="1" t="n"/>
    </row>
    <row r="1763">
      <c r="A1763" s="34">
        <f>IF($H980="UNIDADE CONSTRUTIVA",OFFSET(A980,-1,0)+1,LARGE(A$3:A979,1))</f>
        <v/>
      </c>
      <c r="B1763" s="34" t="n"/>
      <c r="C1763" s="34" t="n"/>
      <c r="D1763" s="35" t="n"/>
      <c r="E1763" s="35" t="n"/>
      <c r="F1763" s="1" t="n"/>
      <c r="G1763" s="167" t="n"/>
      <c r="H1763" s="167" t="n"/>
      <c r="I1763" s="167" t="n"/>
      <c r="J1763" s="168" t="n"/>
      <c r="K1763" s="169" t="n"/>
      <c r="L1763" s="172" t="n"/>
      <c r="M1763" s="172" t="n"/>
      <c r="N1763" s="175" t="n"/>
      <c r="O1763" s="168" t="n"/>
      <c r="P1763" s="173" t="n"/>
      <c r="Q1763" s="1" t="n"/>
      <c r="R1763" s="1" t="n"/>
      <c r="S1763" s="1" t="n"/>
      <c r="T1763" s="1" t="n"/>
      <c r="U1763" s="1" t="n"/>
      <c r="V1763" s="1" t="n"/>
      <c r="W1763" s="1" t="n"/>
      <c r="X1763" s="1" t="n"/>
      <c r="Y1763" s="1" t="n"/>
    </row>
    <row r="1764">
      <c r="A1764" s="34">
        <f>IF($H981="UNIDADE CONSTRUTIVA",OFFSET(A981,-1,0)+1,LARGE(A$3:A980,1))</f>
        <v/>
      </c>
      <c r="B1764" s="34" t="n"/>
      <c r="C1764" s="34" t="n"/>
      <c r="D1764" s="35" t="n"/>
      <c r="E1764" s="35" t="n"/>
      <c r="F1764" s="1" t="n"/>
      <c r="G1764" s="167" t="n"/>
      <c r="H1764" s="167" t="n"/>
      <c r="I1764" s="167" t="n"/>
      <c r="J1764" s="168" t="n"/>
      <c r="K1764" s="169" t="n"/>
      <c r="L1764" s="172" t="n"/>
      <c r="M1764" s="172" t="n"/>
      <c r="N1764" s="175" t="n"/>
      <c r="O1764" s="168" t="n"/>
      <c r="P1764" s="173" t="n"/>
      <c r="Q1764" s="1" t="n"/>
      <c r="R1764" s="1" t="n"/>
      <c r="S1764" s="1" t="n"/>
      <c r="T1764" s="1" t="n"/>
      <c r="U1764" s="1" t="n"/>
      <c r="V1764" s="1" t="n"/>
      <c r="W1764" s="1" t="n"/>
      <c r="X1764" s="1" t="n"/>
      <c r="Y1764" s="1" t="n"/>
    </row>
    <row r="1765">
      <c r="A1765" s="34">
        <f>IF($H982="UNIDADE CONSTRUTIVA",OFFSET(A982,-1,0)+1,LARGE(A$3:A981,1))</f>
        <v/>
      </c>
      <c r="B1765" s="34" t="n"/>
      <c r="C1765" s="34" t="n"/>
      <c r="D1765" s="35" t="n"/>
      <c r="E1765" s="35" t="n"/>
      <c r="F1765" s="1" t="n"/>
      <c r="G1765" s="167" t="n"/>
      <c r="H1765" s="167" t="n"/>
      <c r="I1765" s="167" t="n"/>
      <c r="J1765" s="168" t="n"/>
      <c r="K1765" s="169" t="n"/>
      <c r="L1765" s="172" t="n"/>
      <c r="M1765" s="172" t="n"/>
      <c r="N1765" s="175" t="n"/>
      <c r="O1765" s="168" t="n"/>
      <c r="P1765" s="173" t="n"/>
      <c r="Q1765" s="1" t="n"/>
      <c r="R1765" s="1" t="n"/>
      <c r="S1765" s="1" t="n"/>
      <c r="T1765" s="1" t="n"/>
      <c r="U1765" s="1" t="n"/>
      <c r="V1765" s="1" t="n"/>
      <c r="W1765" s="1" t="n"/>
      <c r="X1765" s="1" t="n"/>
      <c r="Y1765" s="1" t="n"/>
    </row>
    <row r="1766">
      <c r="A1766" s="34">
        <f>IF($H983="UNIDADE CONSTRUTIVA",OFFSET(A983,-1,0)+1,LARGE(A$3:A982,1))</f>
        <v/>
      </c>
      <c r="B1766" s="34" t="n"/>
      <c r="C1766" s="34" t="n"/>
      <c r="D1766" s="35" t="n"/>
      <c r="E1766" s="35" t="n"/>
      <c r="F1766" s="1" t="n"/>
      <c r="G1766" s="167" t="n"/>
      <c r="H1766" s="167" t="n"/>
      <c r="I1766" s="167" t="n"/>
      <c r="J1766" s="168" t="n"/>
      <c r="K1766" s="169" t="n"/>
      <c r="L1766" s="172" t="n"/>
      <c r="M1766" s="172" t="n"/>
      <c r="N1766" s="175" t="n"/>
      <c r="O1766" s="168" t="n"/>
      <c r="P1766" s="173" t="n"/>
      <c r="Q1766" s="1" t="n"/>
      <c r="R1766" s="1" t="n"/>
      <c r="S1766" s="1" t="n"/>
      <c r="T1766" s="1" t="n"/>
      <c r="U1766" s="1" t="n"/>
      <c r="V1766" s="1" t="n"/>
      <c r="W1766" s="1" t="n"/>
      <c r="X1766" s="1" t="n"/>
      <c r="Y1766" s="1" t="n"/>
    </row>
    <row r="1767">
      <c r="A1767" s="34">
        <f>IF($H984="UNIDADE CONSTRUTIVA",OFFSET(A984,-1,0)+1,LARGE(A$3:A983,1))</f>
        <v/>
      </c>
      <c r="B1767" s="34" t="n"/>
      <c r="C1767" s="34" t="n"/>
      <c r="D1767" s="35" t="n"/>
      <c r="E1767" s="35" t="n"/>
      <c r="F1767" s="1" t="n"/>
      <c r="G1767" s="167" t="n"/>
      <c r="H1767" s="167" t="n"/>
      <c r="I1767" s="167" t="n"/>
      <c r="J1767" s="168" t="n"/>
      <c r="K1767" s="169" t="n"/>
      <c r="L1767" s="172" t="n"/>
      <c r="M1767" s="172" t="n"/>
      <c r="N1767" s="175" t="n"/>
      <c r="O1767" s="168" t="n"/>
      <c r="P1767" s="173" t="n"/>
      <c r="Q1767" s="1" t="n"/>
      <c r="R1767" s="1" t="n"/>
      <c r="S1767" s="1" t="n"/>
      <c r="T1767" s="1" t="n"/>
      <c r="U1767" s="1" t="n"/>
      <c r="V1767" s="1" t="n"/>
      <c r="W1767" s="1" t="n"/>
      <c r="X1767" s="1" t="n"/>
      <c r="Y1767" s="1" t="n"/>
    </row>
    <row r="1768">
      <c r="A1768" s="34">
        <f>IF($H985="UNIDADE CONSTRUTIVA",OFFSET(A985,-1,0)+1,LARGE(A$3:A984,1))</f>
        <v/>
      </c>
      <c r="B1768" s="34" t="n"/>
      <c r="C1768" s="34" t="n"/>
      <c r="D1768" s="35" t="n"/>
      <c r="E1768" s="35" t="n"/>
      <c r="F1768" s="1" t="n"/>
      <c r="G1768" s="167" t="n"/>
      <c r="H1768" s="167" t="n"/>
      <c r="I1768" s="167" t="n"/>
      <c r="J1768" s="168" t="n"/>
      <c r="K1768" s="169" t="n"/>
      <c r="L1768" s="172" t="n"/>
      <c r="M1768" s="172" t="n"/>
      <c r="N1768" s="175" t="n"/>
      <c r="O1768" s="168" t="n"/>
      <c r="P1768" s="173" t="n"/>
      <c r="Q1768" s="1" t="n"/>
      <c r="R1768" s="1" t="n"/>
      <c r="S1768" s="1" t="n"/>
      <c r="T1768" s="1" t="n"/>
      <c r="U1768" s="1" t="n"/>
      <c r="V1768" s="1" t="n"/>
      <c r="W1768" s="1" t="n"/>
      <c r="X1768" s="1" t="n"/>
      <c r="Y1768" s="1" t="n"/>
    </row>
    <row r="1769">
      <c r="A1769" s="34">
        <f>IF($H986="UNIDADE CONSTRUTIVA",OFFSET(A986,-1,0)+1,LARGE(A$3:A985,1))</f>
        <v/>
      </c>
      <c r="B1769" s="34" t="n"/>
      <c r="C1769" s="34" t="n"/>
      <c r="D1769" s="35" t="n"/>
      <c r="E1769" s="35" t="n"/>
      <c r="F1769" s="1" t="n"/>
      <c r="G1769" s="167" t="n"/>
      <c r="H1769" s="167" t="n"/>
      <c r="I1769" s="167" t="n"/>
      <c r="J1769" s="168" t="n"/>
      <c r="K1769" s="169" t="n"/>
      <c r="L1769" s="172" t="n"/>
      <c r="M1769" s="172" t="n"/>
      <c r="N1769" s="175" t="n"/>
      <c r="O1769" s="168" t="n"/>
      <c r="P1769" s="173" t="n"/>
      <c r="Q1769" s="1" t="n"/>
      <c r="R1769" s="1" t="n"/>
      <c r="S1769" s="1" t="n"/>
      <c r="T1769" s="1" t="n"/>
      <c r="U1769" s="1" t="n"/>
      <c r="V1769" s="1" t="n"/>
      <c r="W1769" s="1" t="n"/>
      <c r="X1769" s="1" t="n"/>
      <c r="Y1769" s="1" t="n"/>
    </row>
    <row r="1770">
      <c r="A1770" s="34">
        <f>IF($H987="UNIDADE CONSTRUTIVA",OFFSET(A987,-1,0)+1,LARGE(A$3:A986,1))</f>
        <v/>
      </c>
      <c r="B1770" s="34" t="n"/>
      <c r="C1770" s="34" t="n"/>
      <c r="D1770" s="35" t="n"/>
      <c r="E1770" s="35" t="n"/>
      <c r="F1770" s="1" t="n"/>
      <c r="G1770" s="167" t="n"/>
      <c r="H1770" s="167" t="n"/>
      <c r="I1770" s="167" t="n"/>
      <c r="J1770" s="168" t="n"/>
      <c r="K1770" s="169" t="n"/>
      <c r="L1770" s="172" t="n"/>
      <c r="M1770" s="172" t="n"/>
      <c r="N1770" s="175" t="n"/>
      <c r="O1770" s="168" t="n"/>
      <c r="P1770" s="173" t="n"/>
      <c r="Q1770" s="1" t="n"/>
      <c r="R1770" s="1" t="n"/>
      <c r="S1770" s="1" t="n"/>
      <c r="T1770" s="1" t="n"/>
      <c r="U1770" s="1" t="n"/>
      <c r="V1770" s="1" t="n"/>
      <c r="W1770" s="1" t="n"/>
      <c r="X1770" s="1" t="n"/>
      <c r="Y1770" s="1" t="n"/>
    </row>
    <row r="1771">
      <c r="A1771" s="34">
        <f>IF($H988="UNIDADE CONSTRUTIVA",OFFSET(A988,-1,0)+1,LARGE(A$3:A987,1))</f>
        <v/>
      </c>
      <c r="B1771" s="34" t="n"/>
      <c r="C1771" s="34" t="n"/>
      <c r="D1771" s="35" t="n"/>
      <c r="E1771" s="35" t="n"/>
      <c r="F1771" s="1" t="n"/>
      <c r="G1771" s="167" t="n"/>
      <c r="H1771" s="167" t="n"/>
      <c r="I1771" s="167" t="n"/>
      <c r="J1771" s="168" t="n"/>
      <c r="K1771" s="169" t="n"/>
      <c r="L1771" s="172" t="n"/>
      <c r="M1771" s="172" t="n"/>
      <c r="N1771" s="175" t="n"/>
      <c r="O1771" s="168" t="n"/>
      <c r="P1771" s="173" t="n"/>
      <c r="Q1771" s="1" t="n"/>
      <c r="R1771" s="1" t="n"/>
      <c r="S1771" s="1" t="n"/>
      <c r="T1771" s="1" t="n"/>
      <c r="U1771" s="1" t="n"/>
      <c r="V1771" s="1" t="n"/>
      <c r="W1771" s="1" t="n"/>
      <c r="X1771" s="1" t="n"/>
      <c r="Y1771" s="1" t="n"/>
    </row>
    <row r="1772">
      <c r="A1772" s="34">
        <f>IF($H989="UNIDADE CONSTRUTIVA",OFFSET(A989,-1,0)+1,LARGE(A$3:A988,1))</f>
        <v/>
      </c>
      <c r="B1772" s="34" t="n"/>
      <c r="C1772" s="34" t="n"/>
      <c r="D1772" s="35" t="n"/>
      <c r="E1772" s="35" t="n"/>
      <c r="F1772" s="1" t="n"/>
      <c r="G1772" s="167" t="n"/>
      <c r="H1772" s="167" t="n"/>
      <c r="I1772" s="167" t="n"/>
      <c r="J1772" s="168" t="n"/>
      <c r="K1772" s="169" t="n"/>
      <c r="L1772" s="172" t="n"/>
      <c r="M1772" s="172" t="n"/>
      <c r="N1772" s="175" t="n"/>
      <c r="O1772" s="168" t="n"/>
      <c r="P1772" s="173" t="n"/>
      <c r="Q1772" s="1" t="n"/>
      <c r="R1772" s="1" t="n"/>
      <c r="S1772" s="1" t="n"/>
      <c r="T1772" s="1" t="n"/>
      <c r="U1772" s="1" t="n"/>
      <c r="V1772" s="1" t="n"/>
      <c r="W1772" s="1" t="n"/>
      <c r="X1772" s="1" t="n"/>
      <c r="Y1772" s="1" t="n"/>
    </row>
    <row r="1773">
      <c r="A1773" s="34">
        <f>IF($H990="UNIDADE CONSTRUTIVA",OFFSET(A990,-1,0)+1,LARGE(A$3:A989,1))</f>
        <v/>
      </c>
      <c r="B1773" s="34" t="n"/>
      <c r="C1773" s="34" t="n"/>
      <c r="D1773" s="35" t="n"/>
      <c r="E1773" s="35" t="n"/>
      <c r="F1773" s="1" t="n"/>
      <c r="G1773" s="167" t="n"/>
      <c r="H1773" s="167" t="n"/>
      <c r="I1773" s="167" t="n"/>
      <c r="J1773" s="168" t="n"/>
      <c r="K1773" s="169" t="n"/>
      <c r="L1773" s="172" t="n"/>
      <c r="M1773" s="172" t="n"/>
      <c r="N1773" s="175" t="n"/>
      <c r="O1773" s="168" t="n"/>
      <c r="P1773" s="173" t="n"/>
      <c r="Q1773" s="1" t="n"/>
      <c r="R1773" s="1" t="n"/>
      <c r="S1773" s="1" t="n"/>
      <c r="T1773" s="1" t="n"/>
      <c r="U1773" s="1" t="n"/>
      <c r="V1773" s="1" t="n"/>
      <c r="W1773" s="1" t="n"/>
      <c r="X1773" s="1" t="n"/>
      <c r="Y1773" s="1" t="n"/>
    </row>
    <row r="1774">
      <c r="A1774" s="34">
        <f>IF($H991="UNIDADE CONSTRUTIVA",OFFSET(A991,-1,0)+1,LARGE(A$3:A990,1))</f>
        <v/>
      </c>
      <c r="B1774" s="34" t="n"/>
      <c r="C1774" s="34" t="n"/>
      <c r="D1774" s="35" t="n"/>
      <c r="E1774" s="35" t="n"/>
      <c r="F1774" s="1" t="n"/>
      <c r="G1774" s="167" t="n"/>
      <c r="H1774" s="167" t="n"/>
      <c r="I1774" s="167" t="n"/>
      <c r="J1774" s="168" t="n"/>
      <c r="K1774" s="169" t="n"/>
      <c r="L1774" s="172" t="n"/>
      <c r="M1774" s="172" t="n"/>
      <c r="N1774" s="175" t="n"/>
      <c r="O1774" s="168" t="n"/>
      <c r="P1774" s="173" t="n"/>
      <c r="Q1774" s="1" t="n"/>
      <c r="R1774" s="1" t="n"/>
      <c r="S1774" s="1" t="n"/>
      <c r="T1774" s="1" t="n"/>
      <c r="U1774" s="1" t="n"/>
      <c r="V1774" s="1" t="n"/>
      <c r="W1774" s="1" t="n"/>
      <c r="X1774" s="1" t="n"/>
      <c r="Y1774" s="1" t="n"/>
    </row>
    <row r="1775">
      <c r="A1775" s="34">
        <f>IF($H992="UNIDADE CONSTRUTIVA",OFFSET(A992,-1,0)+1,LARGE(A$3:A991,1))</f>
        <v/>
      </c>
      <c r="B1775" s="34" t="n"/>
      <c r="C1775" s="34" t="n"/>
      <c r="D1775" s="35" t="n"/>
      <c r="E1775" s="35" t="n"/>
      <c r="F1775" s="1" t="n"/>
      <c r="G1775" s="167" t="n"/>
      <c r="H1775" s="167" t="n"/>
      <c r="I1775" s="167" t="n"/>
      <c r="J1775" s="168" t="n"/>
      <c r="K1775" s="169" t="n"/>
      <c r="L1775" s="172" t="n"/>
      <c r="M1775" s="172" t="n"/>
      <c r="N1775" s="175" t="n"/>
      <c r="O1775" s="168" t="n"/>
      <c r="P1775" s="173" t="n"/>
      <c r="Q1775" s="1" t="n"/>
      <c r="R1775" s="1" t="n"/>
      <c r="S1775" s="1" t="n"/>
      <c r="T1775" s="1" t="n"/>
      <c r="U1775" s="1" t="n"/>
      <c r="V1775" s="1" t="n"/>
      <c r="W1775" s="1" t="n"/>
      <c r="X1775" s="1" t="n"/>
      <c r="Y1775" s="1" t="n"/>
    </row>
    <row r="1776">
      <c r="A1776" s="34">
        <f>IF($H993="UNIDADE CONSTRUTIVA",OFFSET(A993,-1,0)+1,LARGE(A$3:A992,1))</f>
        <v/>
      </c>
      <c r="B1776" s="34" t="n"/>
      <c r="C1776" s="34" t="n"/>
      <c r="D1776" s="35" t="n"/>
      <c r="E1776" s="35" t="n"/>
      <c r="F1776" s="1" t="n"/>
      <c r="G1776" s="167" t="n"/>
      <c r="H1776" s="167" t="n"/>
      <c r="I1776" s="167" t="n"/>
      <c r="J1776" s="168" t="n"/>
      <c r="K1776" s="169" t="n"/>
      <c r="L1776" s="172" t="n"/>
      <c r="M1776" s="172" t="n"/>
      <c r="N1776" s="175" t="n"/>
      <c r="O1776" s="168" t="n"/>
      <c r="P1776" s="173" t="n"/>
      <c r="Q1776" s="1" t="n"/>
      <c r="R1776" s="1" t="n"/>
      <c r="S1776" s="1" t="n"/>
      <c r="T1776" s="1" t="n"/>
      <c r="U1776" s="1" t="n"/>
      <c r="V1776" s="1" t="n"/>
      <c r="W1776" s="1" t="n"/>
      <c r="X1776" s="1" t="n"/>
      <c r="Y1776" s="1" t="n"/>
    </row>
    <row r="1777">
      <c r="A1777" s="34">
        <f>IF($H994="UNIDADE CONSTRUTIVA",OFFSET(A994,-1,0)+1,LARGE(A$3:A993,1))</f>
        <v/>
      </c>
      <c r="B1777" s="34" t="n"/>
      <c r="C1777" s="34" t="n"/>
      <c r="D1777" s="35" t="n"/>
      <c r="E1777" s="35" t="n"/>
      <c r="F1777" s="1" t="n"/>
      <c r="G1777" s="167" t="n"/>
      <c r="H1777" s="167" t="n"/>
      <c r="I1777" s="167" t="n"/>
      <c r="J1777" s="168" t="n"/>
      <c r="K1777" s="169" t="n"/>
      <c r="L1777" s="172" t="n"/>
      <c r="M1777" s="172" t="n"/>
      <c r="N1777" s="175" t="n"/>
      <c r="O1777" s="168" t="n"/>
      <c r="P1777" s="173" t="n"/>
      <c r="Q1777" s="1" t="n"/>
      <c r="R1777" s="1" t="n"/>
      <c r="S1777" s="1" t="n"/>
      <c r="T1777" s="1" t="n"/>
      <c r="U1777" s="1" t="n"/>
      <c r="V1777" s="1" t="n"/>
      <c r="W1777" s="1" t="n"/>
      <c r="X1777" s="1" t="n"/>
      <c r="Y1777" s="1" t="n"/>
    </row>
    <row r="1778">
      <c r="A1778" s="34">
        <f>IF($H995="UNIDADE CONSTRUTIVA",OFFSET(A995,-1,0)+1,LARGE(A$3:A994,1))</f>
        <v/>
      </c>
      <c r="B1778" s="34" t="n"/>
      <c r="C1778" s="34" t="n"/>
      <c r="D1778" s="35" t="n"/>
      <c r="E1778" s="35" t="n"/>
      <c r="F1778" s="1" t="n"/>
      <c r="G1778" s="167" t="n"/>
      <c r="H1778" s="167" t="n"/>
      <c r="I1778" s="167" t="n"/>
      <c r="J1778" s="168" t="n"/>
      <c r="K1778" s="169" t="n"/>
      <c r="L1778" s="172" t="n"/>
      <c r="M1778" s="172" t="n"/>
      <c r="N1778" s="175" t="n"/>
      <c r="O1778" s="168" t="n"/>
      <c r="P1778" s="173" t="n"/>
      <c r="Q1778" s="1" t="n"/>
      <c r="R1778" s="1" t="n"/>
      <c r="S1778" s="1" t="n"/>
      <c r="T1778" s="1" t="n"/>
      <c r="U1778" s="1" t="n"/>
      <c r="V1778" s="1" t="n"/>
      <c r="W1778" s="1" t="n"/>
      <c r="X1778" s="1" t="n"/>
      <c r="Y1778" s="1" t="n"/>
    </row>
    <row r="1779">
      <c r="A1779" s="34">
        <f>IF($H996="UNIDADE CONSTRUTIVA",OFFSET(A996,-1,0)+1,LARGE(A$3:A995,1))</f>
        <v/>
      </c>
      <c r="B1779" s="34" t="n"/>
      <c r="C1779" s="34" t="n"/>
      <c r="D1779" s="35" t="n"/>
      <c r="E1779" s="35" t="n"/>
      <c r="F1779" s="1" t="n"/>
      <c r="G1779" s="167" t="n"/>
      <c r="H1779" s="167" t="n"/>
      <c r="I1779" s="167" t="n"/>
      <c r="J1779" s="168" t="n"/>
      <c r="K1779" s="169" t="n"/>
      <c r="L1779" s="172" t="n"/>
      <c r="M1779" s="172" t="n"/>
      <c r="N1779" s="175" t="n"/>
      <c r="O1779" s="168" t="n"/>
      <c r="P1779" s="173" t="n"/>
      <c r="Q1779" s="1" t="n"/>
      <c r="R1779" s="1" t="n"/>
      <c r="S1779" s="1" t="n"/>
      <c r="T1779" s="1" t="n"/>
      <c r="U1779" s="1" t="n"/>
      <c r="V1779" s="1" t="n"/>
      <c r="W1779" s="1" t="n"/>
      <c r="X1779" s="1" t="n"/>
      <c r="Y1779" s="1" t="n"/>
    </row>
    <row r="1780">
      <c r="A1780" s="34">
        <f>IF($H997="UNIDADE CONSTRUTIVA",OFFSET(A997,-1,0)+1,LARGE(A$3:A996,1))</f>
        <v/>
      </c>
      <c r="B1780" s="34" t="n"/>
      <c r="C1780" s="34" t="n"/>
      <c r="D1780" s="35" t="n"/>
      <c r="E1780" s="35" t="n"/>
      <c r="F1780" s="1" t="n"/>
      <c r="G1780" s="167" t="n"/>
      <c r="H1780" s="167" t="n"/>
      <c r="I1780" s="167" t="n"/>
      <c r="J1780" s="168" t="n"/>
      <c r="K1780" s="169" t="n"/>
      <c r="L1780" s="172" t="n"/>
      <c r="M1780" s="172" t="n"/>
      <c r="N1780" s="175" t="n"/>
      <c r="O1780" s="168" t="n"/>
      <c r="P1780" s="173" t="n"/>
      <c r="Q1780" s="1" t="n"/>
      <c r="R1780" s="1" t="n"/>
      <c r="S1780" s="1" t="n"/>
      <c r="T1780" s="1" t="n"/>
      <c r="U1780" s="1" t="n"/>
      <c r="V1780" s="1" t="n"/>
      <c r="W1780" s="1" t="n"/>
      <c r="X1780" s="1" t="n"/>
      <c r="Y1780" s="1" t="n"/>
    </row>
    <row r="1781">
      <c r="A1781" s="34">
        <f>IF($H998="UNIDADE CONSTRUTIVA",OFFSET(A998,-1,0)+1,LARGE(A$3:A997,1))</f>
        <v/>
      </c>
      <c r="B1781" s="34" t="n"/>
      <c r="C1781" s="34" t="n"/>
      <c r="D1781" s="35" t="n"/>
      <c r="E1781" s="35" t="n"/>
      <c r="F1781" s="1" t="n"/>
      <c r="G1781" s="167" t="n"/>
      <c r="H1781" s="167" t="n"/>
      <c r="I1781" s="167" t="n"/>
      <c r="J1781" s="168" t="n"/>
      <c r="K1781" s="169" t="n"/>
      <c r="L1781" s="172" t="n"/>
      <c r="M1781" s="172" t="n"/>
      <c r="N1781" s="175" t="n"/>
      <c r="O1781" s="168" t="n"/>
      <c r="P1781" s="173" t="n"/>
      <c r="Q1781" s="1" t="n"/>
      <c r="R1781" s="1" t="n"/>
      <c r="S1781" s="1" t="n"/>
      <c r="T1781" s="1" t="n"/>
      <c r="U1781" s="1" t="n"/>
      <c r="V1781" s="1" t="n"/>
      <c r="W1781" s="1" t="n"/>
      <c r="X1781" s="1" t="n"/>
      <c r="Y1781" s="1" t="n"/>
    </row>
    <row r="1782">
      <c r="A1782" s="34">
        <f>IF($H999="UNIDADE CONSTRUTIVA",OFFSET(A999,-1,0)+1,LARGE(A$3:A998,1))</f>
        <v/>
      </c>
      <c r="B1782" s="34" t="n"/>
      <c r="C1782" s="34" t="n"/>
      <c r="D1782" s="35" t="n"/>
      <c r="E1782" s="35" t="n"/>
      <c r="F1782" s="1" t="n"/>
      <c r="G1782" s="167" t="n"/>
      <c r="H1782" s="167" t="n"/>
      <c r="I1782" s="167" t="n"/>
      <c r="J1782" s="168" t="n"/>
      <c r="K1782" s="169" t="n"/>
      <c r="L1782" s="172" t="n"/>
      <c r="M1782" s="172" t="n"/>
      <c r="N1782" s="175" t="n"/>
      <c r="O1782" s="168" t="n"/>
      <c r="P1782" s="173" t="n"/>
      <c r="Q1782" s="1" t="n"/>
      <c r="R1782" s="1" t="n"/>
      <c r="S1782" s="1" t="n"/>
      <c r="T1782" s="1" t="n"/>
      <c r="U1782" s="1" t="n"/>
      <c r="V1782" s="1" t="n"/>
      <c r="W1782" s="1" t="n"/>
      <c r="X1782" s="1" t="n"/>
      <c r="Y1782" s="1" t="n"/>
    </row>
    <row r="1783">
      <c r="A1783" s="34">
        <f>IF($H1000="UNIDADE CONSTRUTIVA",OFFSET(A1000,-1,0)+1,LARGE(A$3:A999,1))</f>
        <v/>
      </c>
      <c r="B1783" s="34" t="n"/>
      <c r="C1783" s="34" t="n"/>
      <c r="D1783" s="35" t="n"/>
      <c r="E1783" s="35" t="n"/>
      <c r="F1783" s="1" t="n"/>
      <c r="G1783" s="167" t="n"/>
      <c r="H1783" s="167" t="n"/>
      <c r="I1783" s="167" t="n"/>
      <c r="J1783" s="168" t="n"/>
      <c r="K1783" s="169" t="n"/>
      <c r="L1783" s="172" t="n"/>
      <c r="M1783" s="172" t="n"/>
      <c r="N1783" s="175" t="n"/>
      <c r="O1783" s="168" t="n"/>
      <c r="P1783" s="173" t="n"/>
      <c r="Q1783" s="1" t="n"/>
      <c r="R1783" s="1" t="n"/>
      <c r="S1783" s="1" t="n"/>
      <c r="T1783" s="1" t="n"/>
      <c r="U1783" s="1" t="n"/>
      <c r="V1783" s="1" t="n"/>
      <c r="W1783" s="1" t="n"/>
      <c r="X1783" s="1" t="n"/>
      <c r="Y1783" s="1" t="n"/>
    </row>
    <row r="1784">
      <c r="A1784" s="34">
        <f>IF($H1001="UNIDADE CONSTRUTIVA",OFFSET(A1001,-1,0)+1,LARGE(A$3:A1000,1))</f>
        <v/>
      </c>
      <c r="B1784" s="34" t="n"/>
      <c r="C1784" s="34" t="n"/>
      <c r="D1784" s="35" t="n"/>
      <c r="E1784" s="35" t="n"/>
      <c r="F1784" s="1" t="n"/>
      <c r="G1784" s="167" t="n"/>
      <c r="H1784" s="167" t="n"/>
      <c r="I1784" s="167" t="n"/>
      <c r="J1784" s="168" t="n"/>
      <c r="K1784" s="169" t="n"/>
      <c r="L1784" s="172" t="n"/>
      <c r="M1784" s="172" t="n"/>
      <c r="N1784" s="175" t="n"/>
      <c r="O1784" s="168" t="n"/>
      <c r="P1784" s="173" t="n"/>
      <c r="Q1784" s="1" t="n"/>
      <c r="R1784" s="1" t="n"/>
      <c r="S1784" s="1" t="n"/>
      <c r="T1784" s="1" t="n"/>
      <c r="U1784" s="1" t="n"/>
      <c r="V1784" s="1" t="n"/>
      <c r="W1784" s="1" t="n"/>
      <c r="X1784" s="1" t="n"/>
      <c r="Y1784" s="1" t="n"/>
    </row>
    <row r="1785">
      <c r="A1785" s="34">
        <f>IF($H1002="UNIDADE CONSTRUTIVA",OFFSET(A1002,-1,0)+1,LARGE(A$3:A1001,1))</f>
        <v/>
      </c>
      <c r="B1785" s="34" t="n"/>
      <c r="C1785" s="34" t="n"/>
      <c r="D1785" s="35" t="n"/>
      <c r="E1785" s="35" t="n"/>
      <c r="F1785" s="1" t="n"/>
      <c r="G1785" s="167" t="n"/>
      <c r="H1785" s="167" t="n"/>
      <c r="I1785" s="167" t="n"/>
      <c r="J1785" s="168" t="n"/>
      <c r="K1785" s="169" t="n"/>
      <c r="L1785" s="172" t="n"/>
      <c r="M1785" s="172" t="n"/>
      <c r="N1785" s="175" t="n"/>
      <c r="O1785" s="168" t="n"/>
      <c r="P1785" s="173" t="n"/>
      <c r="Q1785" s="1" t="n"/>
      <c r="R1785" s="1" t="n"/>
      <c r="S1785" s="1" t="n"/>
      <c r="T1785" s="1" t="n"/>
      <c r="U1785" s="1" t="n"/>
      <c r="V1785" s="1" t="n"/>
      <c r="W1785" s="1" t="n"/>
      <c r="X1785" s="1" t="n"/>
      <c r="Y1785" s="1" t="n"/>
    </row>
    <row r="1786">
      <c r="A1786" s="34">
        <f>IF($H1003="UNIDADE CONSTRUTIVA",OFFSET(A1003,-1,0)+1,LARGE(A$3:A1002,1))</f>
        <v/>
      </c>
      <c r="B1786" s="34" t="n"/>
      <c r="C1786" s="34" t="n"/>
      <c r="D1786" s="35" t="n"/>
      <c r="E1786" s="35" t="n"/>
      <c r="F1786" s="1" t="n"/>
      <c r="G1786" s="167" t="n"/>
      <c r="H1786" s="167" t="n"/>
      <c r="I1786" s="167" t="n"/>
      <c r="J1786" s="168" t="n"/>
      <c r="K1786" s="169" t="n"/>
      <c r="L1786" s="172" t="n"/>
      <c r="M1786" s="172" t="n"/>
      <c r="N1786" s="175" t="n"/>
      <c r="O1786" s="168" t="n"/>
      <c r="P1786" s="173" t="n"/>
      <c r="Q1786" s="1" t="n"/>
      <c r="R1786" s="1" t="n"/>
      <c r="S1786" s="1" t="n"/>
      <c r="T1786" s="1" t="n"/>
      <c r="U1786" s="1" t="n"/>
      <c r="V1786" s="1" t="n"/>
      <c r="W1786" s="1" t="n"/>
      <c r="X1786" s="1" t="n"/>
      <c r="Y1786" s="1" t="n"/>
    </row>
    <row r="1787">
      <c r="A1787" s="34">
        <f>IF($H1004="UNIDADE CONSTRUTIVA",OFFSET(A1004,-1,0)+1,LARGE(A$3:A1003,1))</f>
        <v/>
      </c>
      <c r="B1787" s="34" t="n"/>
      <c r="C1787" s="34" t="n"/>
      <c r="D1787" s="35" t="n"/>
      <c r="E1787" s="35" t="n"/>
      <c r="F1787" s="1" t="n"/>
      <c r="G1787" s="167" t="n"/>
      <c r="H1787" s="167" t="n"/>
      <c r="I1787" s="167" t="n"/>
      <c r="J1787" s="168" t="n"/>
      <c r="K1787" s="169" t="n"/>
      <c r="L1787" s="172" t="n"/>
      <c r="M1787" s="172" t="n"/>
      <c r="N1787" s="175" t="n"/>
      <c r="O1787" s="168" t="n"/>
      <c r="P1787" s="173" t="n"/>
      <c r="Q1787" s="1" t="n"/>
      <c r="R1787" s="1" t="n"/>
      <c r="S1787" s="1" t="n"/>
      <c r="T1787" s="1" t="n"/>
      <c r="U1787" s="1" t="n"/>
      <c r="V1787" s="1" t="n"/>
      <c r="W1787" s="1" t="n"/>
      <c r="X1787" s="1" t="n"/>
      <c r="Y1787" s="1" t="n"/>
    </row>
    <row r="1788">
      <c r="A1788" s="34">
        <f>IF($H1005="UNIDADE CONSTRUTIVA",OFFSET(A1005,-1,0)+1,LARGE(A$3:A1004,1))</f>
        <v/>
      </c>
      <c r="B1788" s="34" t="n"/>
      <c r="C1788" s="34" t="n"/>
      <c r="D1788" s="35" t="n"/>
      <c r="E1788" s="35" t="n"/>
      <c r="F1788" s="1" t="n"/>
      <c r="G1788" s="167" t="n"/>
      <c r="H1788" s="167" t="n"/>
      <c r="I1788" s="167" t="n"/>
      <c r="J1788" s="168" t="n"/>
      <c r="K1788" s="169" t="n"/>
      <c r="L1788" s="172" t="n"/>
      <c r="M1788" s="172" t="n"/>
      <c r="N1788" s="175" t="n"/>
      <c r="O1788" s="168" t="n"/>
      <c r="P1788" s="173" t="n"/>
      <c r="Q1788" s="1" t="n"/>
      <c r="R1788" s="1" t="n"/>
      <c r="S1788" s="1" t="n"/>
      <c r="T1788" s="1" t="n"/>
      <c r="U1788" s="1" t="n"/>
      <c r="V1788" s="1" t="n"/>
      <c r="W1788" s="1" t="n"/>
      <c r="X1788" s="1" t="n"/>
      <c r="Y1788" s="1" t="n"/>
    </row>
    <row r="1789">
      <c r="A1789" s="34">
        <f>IF($H1006="UNIDADE CONSTRUTIVA",OFFSET(A1006,-1,0)+1,LARGE(A$3:A1005,1))</f>
        <v/>
      </c>
      <c r="B1789" s="34" t="n"/>
      <c r="C1789" s="34" t="n"/>
      <c r="D1789" s="35" t="n"/>
      <c r="E1789" s="35" t="n"/>
      <c r="F1789" s="1" t="n"/>
      <c r="G1789" s="167" t="n"/>
      <c r="H1789" s="167" t="n"/>
      <c r="I1789" s="167" t="n"/>
      <c r="J1789" s="168" t="n"/>
      <c r="K1789" s="169" t="n"/>
      <c r="L1789" s="172" t="n"/>
      <c r="M1789" s="172" t="n"/>
      <c r="N1789" s="175" t="n"/>
      <c r="O1789" s="168" t="n"/>
      <c r="P1789" s="173" t="n"/>
      <c r="Q1789" s="1" t="n"/>
      <c r="R1789" s="1" t="n"/>
      <c r="S1789" s="1" t="n"/>
      <c r="T1789" s="1" t="n"/>
      <c r="U1789" s="1" t="n"/>
      <c r="V1789" s="1" t="n"/>
      <c r="W1789" s="1" t="n"/>
      <c r="X1789" s="1" t="n"/>
      <c r="Y1789" s="1" t="n"/>
    </row>
    <row r="1790">
      <c r="A1790" s="34">
        <f>IF($H1007="UNIDADE CONSTRUTIVA",OFFSET(A1007,-1,0)+1,LARGE(A$3:A1006,1))</f>
        <v/>
      </c>
      <c r="B1790" s="34" t="n"/>
      <c r="C1790" s="34" t="n"/>
      <c r="D1790" s="35" t="n"/>
      <c r="E1790" s="35" t="n"/>
      <c r="F1790" s="1" t="n"/>
      <c r="G1790" s="167" t="n"/>
      <c r="H1790" s="167" t="n"/>
      <c r="I1790" s="167" t="n"/>
      <c r="J1790" s="168" t="n"/>
      <c r="K1790" s="169" t="n"/>
      <c r="L1790" s="172" t="n"/>
      <c r="M1790" s="172" t="n"/>
      <c r="N1790" s="175" t="n"/>
      <c r="O1790" s="168" t="n"/>
      <c r="P1790" s="173" t="n"/>
      <c r="Q1790" s="1" t="n"/>
      <c r="R1790" s="1" t="n"/>
      <c r="S1790" s="1" t="n"/>
      <c r="T1790" s="1" t="n"/>
      <c r="U1790" s="1" t="n"/>
      <c r="V1790" s="1" t="n"/>
      <c r="W1790" s="1" t="n"/>
      <c r="X1790" s="1" t="n"/>
      <c r="Y1790" s="1" t="n"/>
    </row>
    <row r="1791">
      <c r="A1791" s="34">
        <f>IF($H1008="UNIDADE CONSTRUTIVA",OFFSET(A1008,-1,0)+1,LARGE(A$3:A1007,1))</f>
        <v/>
      </c>
      <c r="B1791" s="34" t="n"/>
      <c r="C1791" s="34" t="n"/>
      <c r="D1791" s="35" t="n"/>
      <c r="E1791" s="35" t="n"/>
      <c r="F1791" s="1" t="n"/>
      <c r="G1791" s="167" t="n"/>
      <c r="H1791" s="167" t="n"/>
      <c r="I1791" s="167" t="n"/>
      <c r="J1791" s="168" t="n"/>
      <c r="K1791" s="169" t="n"/>
      <c r="L1791" s="172" t="n"/>
      <c r="M1791" s="172" t="n"/>
      <c r="N1791" s="175" t="n"/>
      <c r="O1791" s="168" t="n"/>
      <c r="P1791" s="173" t="n"/>
      <c r="Q1791" s="1" t="n"/>
      <c r="R1791" s="1" t="n"/>
      <c r="S1791" s="1" t="n"/>
      <c r="T1791" s="1" t="n"/>
      <c r="U1791" s="1" t="n"/>
      <c r="V1791" s="1" t="n"/>
      <c r="W1791" s="1" t="n"/>
      <c r="X1791" s="1" t="n"/>
      <c r="Y1791" s="1" t="n"/>
    </row>
    <row r="1792">
      <c r="A1792" s="34">
        <f>IF($H1009="UNIDADE CONSTRUTIVA",OFFSET(A1009,-1,0)+1,LARGE(A$3:A1008,1))</f>
        <v/>
      </c>
      <c r="B1792" s="34" t="n"/>
      <c r="C1792" s="34" t="n"/>
      <c r="D1792" s="35" t="n"/>
      <c r="E1792" s="35" t="n"/>
      <c r="F1792" s="1" t="n"/>
      <c r="G1792" s="167" t="n"/>
      <c r="H1792" s="167" t="n"/>
      <c r="I1792" s="167" t="n"/>
      <c r="J1792" s="168" t="n"/>
      <c r="K1792" s="169" t="n"/>
      <c r="L1792" s="172" t="n"/>
      <c r="M1792" s="172" t="n"/>
      <c r="N1792" s="175" t="n"/>
      <c r="O1792" s="168" t="n"/>
      <c r="P1792" s="173" t="n"/>
      <c r="Q1792" s="1" t="n"/>
      <c r="R1792" s="1" t="n"/>
      <c r="S1792" s="1" t="n"/>
      <c r="T1792" s="1" t="n"/>
      <c r="U1792" s="1" t="n"/>
      <c r="V1792" s="1" t="n"/>
      <c r="W1792" s="1" t="n"/>
      <c r="X1792" s="1" t="n"/>
      <c r="Y1792" s="1" t="n"/>
    </row>
    <row r="1793">
      <c r="A1793" s="34">
        <f>IF($H1010="UNIDADE CONSTRUTIVA",OFFSET(A1010,-1,0)+1,LARGE(A$3:A1009,1))</f>
        <v/>
      </c>
      <c r="B1793" s="34" t="n"/>
      <c r="C1793" s="34" t="n"/>
      <c r="D1793" s="35" t="n"/>
      <c r="E1793" s="35" t="n"/>
      <c r="F1793" s="1" t="n"/>
      <c r="G1793" s="167" t="n"/>
      <c r="H1793" s="167" t="n"/>
      <c r="I1793" s="167" t="n"/>
      <c r="J1793" s="168" t="n"/>
      <c r="K1793" s="169" t="n"/>
      <c r="L1793" s="172" t="n"/>
      <c r="M1793" s="172" t="n"/>
      <c r="N1793" s="175" t="n"/>
      <c r="O1793" s="168" t="n"/>
      <c r="P1793" s="173" t="n"/>
      <c r="Q1793" s="1" t="n"/>
      <c r="R1793" s="1" t="n"/>
      <c r="S1793" s="1" t="n"/>
      <c r="T1793" s="1" t="n"/>
      <c r="U1793" s="1" t="n"/>
      <c r="V1793" s="1" t="n"/>
      <c r="W1793" s="1" t="n"/>
      <c r="X1793" s="1" t="n"/>
      <c r="Y1793" s="1" t="n"/>
    </row>
    <row r="1794">
      <c r="A1794" s="34">
        <f>IF($H1011="UNIDADE CONSTRUTIVA",OFFSET(A1011,-1,0)+1,LARGE(A$3:A1010,1))</f>
        <v/>
      </c>
      <c r="B1794" s="34" t="n"/>
      <c r="C1794" s="34" t="n"/>
      <c r="D1794" s="35" t="n"/>
      <c r="E1794" s="35" t="n"/>
      <c r="F1794" s="1" t="n"/>
      <c r="G1794" s="167" t="n"/>
      <c r="H1794" s="167" t="n"/>
      <c r="I1794" s="167" t="n"/>
      <c r="J1794" s="168" t="n"/>
      <c r="K1794" s="169" t="n"/>
      <c r="L1794" s="172" t="n"/>
      <c r="M1794" s="172" t="n"/>
      <c r="N1794" s="175" t="n"/>
      <c r="O1794" s="168" t="n"/>
      <c r="P1794" s="173" t="n"/>
      <c r="Q1794" s="1" t="n"/>
      <c r="R1794" s="1" t="n"/>
      <c r="S1794" s="1" t="n"/>
      <c r="T1794" s="1" t="n"/>
      <c r="U1794" s="1" t="n"/>
      <c r="V1794" s="1" t="n"/>
      <c r="W1794" s="1" t="n"/>
      <c r="X1794" s="1" t="n"/>
      <c r="Y1794" s="1" t="n"/>
    </row>
    <row r="1795">
      <c r="A1795" s="34">
        <f>IF($H1012="UNIDADE CONSTRUTIVA",OFFSET(A1012,-1,0)+1,LARGE(A$3:A1011,1))</f>
        <v/>
      </c>
      <c r="B1795" s="34" t="n"/>
      <c r="C1795" s="34" t="n"/>
      <c r="D1795" s="35" t="n"/>
      <c r="E1795" s="35" t="n"/>
      <c r="F1795" s="1" t="n"/>
      <c r="G1795" s="167" t="n"/>
      <c r="H1795" s="167" t="n"/>
      <c r="I1795" s="167" t="n"/>
      <c r="J1795" s="168" t="n"/>
      <c r="K1795" s="169" t="n"/>
      <c r="L1795" s="172" t="n"/>
      <c r="M1795" s="172" t="n"/>
      <c r="N1795" s="175" t="n"/>
      <c r="O1795" s="168" t="n"/>
      <c r="P1795" s="173" t="n"/>
      <c r="Q1795" s="1" t="n"/>
      <c r="R1795" s="1" t="n"/>
      <c r="S1795" s="1" t="n"/>
      <c r="T1795" s="1" t="n"/>
      <c r="U1795" s="1" t="n"/>
      <c r="V1795" s="1" t="n"/>
      <c r="W1795" s="1" t="n"/>
      <c r="X1795" s="1" t="n"/>
      <c r="Y1795" s="1" t="n"/>
    </row>
    <row r="1796">
      <c r="A1796" s="34">
        <f>IF($H1013="UNIDADE CONSTRUTIVA",OFFSET(A1013,-1,0)+1,LARGE(A$3:A1012,1))</f>
        <v/>
      </c>
      <c r="B1796" s="34" t="n"/>
      <c r="C1796" s="34" t="n"/>
      <c r="D1796" s="35" t="n"/>
      <c r="E1796" s="35" t="n"/>
      <c r="F1796" s="1" t="n"/>
      <c r="G1796" s="167" t="n"/>
      <c r="H1796" s="167" t="n"/>
      <c r="I1796" s="167" t="n"/>
      <c r="J1796" s="168" t="n"/>
      <c r="K1796" s="169" t="n"/>
      <c r="L1796" s="172" t="n"/>
      <c r="M1796" s="172" t="n"/>
      <c r="N1796" s="175" t="n"/>
      <c r="O1796" s="168" t="n"/>
      <c r="P1796" s="173" t="n"/>
      <c r="Q1796" s="1" t="n"/>
      <c r="R1796" s="1" t="n"/>
      <c r="S1796" s="1" t="n"/>
      <c r="T1796" s="1" t="n"/>
      <c r="U1796" s="1" t="n"/>
      <c r="V1796" s="1" t="n"/>
      <c r="W1796" s="1" t="n"/>
      <c r="X1796" s="1" t="n"/>
      <c r="Y1796" s="1" t="n"/>
    </row>
    <row r="1797">
      <c r="A1797" s="34">
        <f>IF($H1014="UNIDADE CONSTRUTIVA",OFFSET(A1014,-1,0)+1,LARGE(A$3:A1013,1))</f>
        <v/>
      </c>
      <c r="B1797" s="34" t="n"/>
      <c r="C1797" s="34" t="n"/>
      <c r="D1797" s="35" t="n"/>
      <c r="E1797" s="35" t="n"/>
      <c r="F1797" s="1" t="n"/>
      <c r="G1797" s="167" t="n"/>
      <c r="H1797" s="167" t="n"/>
      <c r="I1797" s="167" t="n"/>
      <c r="J1797" s="168" t="n"/>
      <c r="K1797" s="169" t="n"/>
      <c r="L1797" s="172" t="n"/>
      <c r="M1797" s="172" t="n"/>
      <c r="N1797" s="175" t="n"/>
      <c r="O1797" s="168" t="n"/>
      <c r="P1797" s="173" t="n"/>
      <c r="Q1797" s="1" t="n"/>
      <c r="R1797" s="1" t="n"/>
      <c r="S1797" s="1" t="n"/>
      <c r="T1797" s="1" t="n"/>
      <c r="U1797" s="1" t="n"/>
      <c r="V1797" s="1" t="n"/>
      <c r="W1797" s="1" t="n"/>
      <c r="X1797" s="1" t="n"/>
      <c r="Y1797" s="1" t="n"/>
    </row>
    <row r="1798">
      <c r="A1798" s="34">
        <f>IF($H1015="UNIDADE CONSTRUTIVA",OFFSET(A1015,-1,0)+1,LARGE(A$3:A1014,1))</f>
        <v/>
      </c>
      <c r="B1798" s="34" t="n"/>
      <c r="C1798" s="34" t="n"/>
      <c r="D1798" s="35" t="n"/>
      <c r="E1798" s="35" t="n"/>
      <c r="F1798" s="1" t="n"/>
      <c r="G1798" s="167" t="n"/>
      <c r="H1798" s="167" t="n"/>
      <c r="I1798" s="167" t="n"/>
      <c r="J1798" s="168" t="n"/>
      <c r="K1798" s="169" t="n"/>
      <c r="L1798" s="172" t="n"/>
      <c r="M1798" s="172" t="n"/>
      <c r="N1798" s="175" t="n"/>
      <c r="O1798" s="168" t="n"/>
      <c r="P1798" s="173" t="n"/>
      <c r="Q1798" s="1" t="n"/>
      <c r="R1798" s="1" t="n"/>
      <c r="S1798" s="1" t="n"/>
      <c r="T1798" s="1" t="n"/>
      <c r="U1798" s="1" t="n"/>
      <c r="V1798" s="1" t="n"/>
      <c r="W1798" s="1" t="n"/>
      <c r="X1798" s="1" t="n"/>
      <c r="Y1798" s="1" t="n"/>
    </row>
    <row r="1799">
      <c r="A1799" s="34">
        <f>IF($H1016="UNIDADE CONSTRUTIVA",OFFSET(A1016,-1,0)+1,LARGE(A$3:A1015,1))</f>
        <v/>
      </c>
      <c r="B1799" s="34" t="n"/>
      <c r="C1799" s="34" t="n"/>
      <c r="D1799" s="35" t="n"/>
      <c r="E1799" s="35" t="n"/>
      <c r="F1799" s="1" t="n"/>
      <c r="G1799" s="167" t="n"/>
      <c r="H1799" s="167" t="n"/>
      <c r="I1799" s="167" t="n"/>
      <c r="J1799" s="168" t="n"/>
      <c r="K1799" s="169" t="n"/>
      <c r="L1799" s="172" t="n"/>
      <c r="M1799" s="172" t="n"/>
      <c r="N1799" s="175" t="n"/>
      <c r="O1799" s="168" t="n"/>
      <c r="P1799" s="173" t="n"/>
      <c r="Q1799" s="1" t="n"/>
      <c r="R1799" s="1" t="n"/>
      <c r="S1799" s="1" t="n"/>
      <c r="T1799" s="1" t="n"/>
      <c r="U1799" s="1" t="n"/>
      <c r="V1799" s="1" t="n"/>
      <c r="W1799" s="1" t="n"/>
      <c r="X1799" s="1" t="n"/>
      <c r="Y1799" s="1" t="n"/>
    </row>
    <row r="1800">
      <c r="A1800" s="34">
        <f>IF($H1017="UNIDADE CONSTRUTIVA",OFFSET(A1017,-1,0)+1,LARGE(A$3:A1016,1))</f>
        <v/>
      </c>
      <c r="B1800" s="34" t="n"/>
      <c r="C1800" s="34" t="n"/>
      <c r="D1800" s="35" t="n"/>
      <c r="E1800" s="35" t="n"/>
      <c r="F1800" s="1" t="n"/>
      <c r="G1800" s="167" t="n"/>
      <c r="H1800" s="167" t="n"/>
      <c r="I1800" s="167" t="n"/>
      <c r="J1800" s="168" t="n"/>
      <c r="K1800" s="169" t="n"/>
      <c r="L1800" s="172" t="n"/>
      <c r="M1800" s="172" t="n"/>
      <c r="N1800" s="175" t="n"/>
      <c r="O1800" s="168" t="n"/>
      <c r="P1800" s="173" t="n"/>
      <c r="Q1800" s="1" t="n"/>
      <c r="R1800" s="1" t="n"/>
      <c r="S1800" s="1" t="n"/>
      <c r="T1800" s="1" t="n"/>
      <c r="U1800" s="1" t="n"/>
      <c r="V1800" s="1" t="n"/>
      <c r="W1800" s="1" t="n"/>
      <c r="X1800" s="1" t="n"/>
      <c r="Y1800" s="1" t="n"/>
    </row>
    <row r="1801">
      <c r="A1801" s="34">
        <f>IF($H1018="UNIDADE CONSTRUTIVA",OFFSET(A1018,-1,0)+1,LARGE(A$3:A1017,1))</f>
        <v/>
      </c>
      <c r="B1801" s="34" t="n"/>
      <c r="C1801" s="34" t="n"/>
      <c r="D1801" s="35" t="n"/>
      <c r="E1801" s="35" t="n"/>
      <c r="F1801" s="1" t="n"/>
      <c r="G1801" s="167" t="n"/>
      <c r="H1801" s="167" t="n"/>
      <c r="I1801" s="167" t="n"/>
      <c r="J1801" s="168" t="n"/>
      <c r="K1801" s="169" t="n"/>
      <c r="L1801" s="172" t="n"/>
      <c r="M1801" s="172" t="n"/>
      <c r="N1801" s="175" t="n"/>
      <c r="O1801" s="168" t="n"/>
      <c r="P1801" s="173" t="n"/>
      <c r="Q1801" s="1" t="n"/>
      <c r="R1801" s="1" t="n"/>
      <c r="S1801" s="1" t="n"/>
      <c r="T1801" s="1" t="n"/>
      <c r="U1801" s="1" t="n"/>
      <c r="V1801" s="1" t="n"/>
      <c r="W1801" s="1" t="n"/>
      <c r="X1801" s="1" t="n"/>
      <c r="Y1801" s="1" t="n"/>
    </row>
    <row r="1802">
      <c r="A1802" s="34">
        <f>IF($H1019="UNIDADE CONSTRUTIVA",OFFSET(A1019,-1,0)+1,LARGE(A$3:A1018,1))</f>
        <v/>
      </c>
      <c r="B1802" s="34" t="n"/>
      <c r="C1802" s="34" t="n"/>
      <c r="D1802" s="35" t="n"/>
      <c r="E1802" s="35" t="n"/>
      <c r="F1802" s="1" t="n"/>
      <c r="G1802" s="167" t="n"/>
      <c r="H1802" s="167" t="n"/>
      <c r="I1802" s="167" t="n"/>
      <c r="J1802" s="168" t="n"/>
      <c r="K1802" s="169" t="n"/>
      <c r="L1802" s="172" t="n"/>
      <c r="M1802" s="172" t="n"/>
      <c r="N1802" s="175" t="n"/>
      <c r="O1802" s="168" t="n"/>
      <c r="P1802" s="173" t="n"/>
      <c r="Q1802" s="1" t="n"/>
      <c r="R1802" s="1" t="n"/>
      <c r="S1802" s="1" t="n"/>
      <c r="T1802" s="1" t="n"/>
      <c r="U1802" s="1" t="n"/>
      <c r="V1802" s="1" t="n"/>
      <c r="W1802" s="1" t="n"/>
      <c r="X1802" s="1" t="n"/>
      <c r="Y1802" s="1" t="n"/>
    </row>
    <row r="1803">
      <c r="A1803" s="34">
        <f>IF($H1020="UNIDADE CONSTRUTIVA",OFFSET(A1020,-1,0)+1,LARGE(A$3:A1019,1))</f>
        <v/>
      </c>
      <c r="B1803" s="34" t="n"/>
      <c r="C1803" s="34" t="n"/>
      <c r="D1803" s="35" t="n"/>
      <c r="E1803" s="35" t="n"/>
      <c r="F1803" s="1" t="n"/>
      <c r="G1803" s="167" t="n"/>
      <c r="H1803" s="167" t="n"/>
      <c r="I1803" s="167" t="n"/>
      <c r="J1803" s="168" t="n"/>
      <c r="K1803" s="169" t="n"/>
      <c r="L1803" s="172" t="n"/>
      <c r="M1803" s="172" t="n"/>
      <c r="N1803" s="175" t="n"/>
      <c r="O1803" s="168" t="n"/>
      <c r="P1803" s="173" t="n"/>
      <c r="Q1803" s="1" t="n"/>
      <c r="R1803" s="1" t="n"/>
      <c r="S1803" s="1" t="n"/>
      <c r="T1803" s="1" t="n"/>
      <c r="U1803" s="1" t="n"/>
      <c r="V1803" s="1" t="n"/>
      <c r="W1803" s="1" t="n"/>
      <c r="X1803" s="1" t="n"/>
      <c r="Y1803" s="1" t="n"/>
    </row>
    <row r="1804">
      <c r="A1804" s="34">
        <f>IF($H1021="UNIDADE CONSTRUTIVA",OFFSET(A1021,-1,0)+1,LARGE(A$3:A1020,1))</f>
        <v/>
      </c>
      <c r="B1804" s="34" t="n"/>
      <c r="C1804" s="34" t="n"/>
      <c r="D1804" s="35" t="n"/>
      <c r="E1804" s="35" t="n"/>
      <c r="F1804" s="1" t="n"/>
      <c r="G1804" s="167" t="n"/>
      <c r="H1804" s="167" t="n"/>
      <c r="I1804" s="167" t="n"/>
      <c r="J1804" s="168" t="n"/>
      <c r="K1804" s="169" t="n"/>
      <c r="L1804" s="172" t="n"/>
      <c r="M1804" s="172" t="n"/>
      <c r="N1804" s="175" t="n"/>
      <c r="O1804" s="168" t="n"/>
      <c r="P1804" s="173" t="n"/>
      <c r="Q1804" s="1" t="n"/>
      <c r="R1804" s="1" t="n"/>
      <c r="S1804" s="1" t="n"/>
      <c r="T1804" s="1" t="n"/>
      <c r="U1804" s="1" t="n"/>
      <c r="V1804" s="1" t="n"/>
      <c r="W1804" s="1" t="n"/>
      <c r="X1804" s="1" t="n"/>
      <c r="Y1804" s="1" t="n"/>
    </row>
    <row r="1805">
      <c r="A1805" s="34">
        <f>IF($H1022="UNIDADE CONSTRUTIVA",OFFSET(A1022,-1,0)+1,LARGE(A$3:A1021,1))</f>
        <v/>
      </c>
      <c r="B1805" s="34" t="n"/>
      <c r="C1805" s="34" t="n"/>
      <c r="D1805" s="35" t="n"/>
      <c r="E1805" s="35" t="n"/>
      <c r="F1805" s="1" t="n"/>
      <c r="G1805" s="167" t="n"/>
      <c r="H1805" s="167" t="n"/>
      <c r="I1805" s="167" t="n"/>
      <c r="J1805" s="168" t="n"/>
      <c r="K1805" s="169" t="n"/>
      <c r="L1805" s="172" t="n"/>
      <c r="M1805" s="172" t="n"/>
      <c r="N1805" s="175" t="n"/>
      <c r="O1805" s="168" t="n"/>
      <c r="P1805" s="173" t="n"/>
      <c r="Q1805" s="1" t="n"/>
      <c r="R1805" s="1" t="n"/>
      <c r="S1805" s="1" t="n"/>
      <c r="T1805" s="1" t="n"/>
      <c r="U1805" s="1" t="n"/>
      <c r="V1805" s="1" t="n"/>
      <c r="W1805" s="1" t="n"/>
      <c r="X1805" s="1" t="n"/>
      <c r="Y1805" s="1" t="n"/>
    </row>
    <row r="1806">
      <c r="A1806" s="34">
        <f>IF($H1023="UNIDADE CONSTRUTIVA",OFFSET(A1023,-1,0)+1,LARGE(A$3:A1022,1))</f>
        <v/>
      </c>
      <c r="B1806" s="34" t="n"/>
      <c r="C1806" s="34" t="n"/>
      <c r="D1806" s="35" t="n"/>
      <c r="E1806" s="35" t="n"/>
      <c r="F1806" s="1" t="n"/>
      <c r="G1806" s="167" t="n"/>
      <c r="H1806" s="167" t="n"/>
      <c r="I1806" s="167" t="n"/>
      <c r="J1806" s="168" t="n"/>
      <c r="K1806" s="169" t="n"/>
      <c r="L1806" s="172" t="n"/>
      <c r="M1806" s="172" t="n"/>
      <c r="N1806" s="175" t="n"/>
      <c r="O1806" s="168" t="n"/>
      <c r="P1806" s="173" t="n"/>
      <c r="Q1806" s="1" t="n"/>
      <c r="R1806" s="1" t="n"/>
      <c r="S1806" s="1" t="n"/>
      <c r="T1806" s="1" t="n"/>
      <c r="U1806" s="1" t="n"/>
      <c r="V1806" s="1" t="n"/>
      <c r="W1806" s="1" t="n"/>
      <c r="X1806" s="1" t="n"/>
      <c r="Y1806" s="1" t="n"/>
    </row>
    <row r="1807">
      <c r="A1807" s="34">
        <f>IF($H1024="UNIDADE CONSTRUTIVA",OFFSET(A1024,-1,0)+1,LARGE(A$3:A1023,1))</f>
        <v/>
      </c>
      <c r="B1807" s="34" t="n"/>
      <c r="C1807" s="34" t="n"/>
      <c r="D1807" s="35" t="n"/>
      <c r="E1807" s="35" t="n"/>
      <c r="F1807" s="1" t="n"/>
      <c r="G1807" s="167" t="n"/>
      <c r="H1807" s="167" t="n"/>
      <c r="I1807" s="167" t="n"/>
      <c r="J1807" s="168" t="n"/>
      <c r="K1807" s="169" t="n"/>
      <c r="L1807" s="172" t="n"/>
      <c r="M1807" s="172" t="n"/>
      <c r="N1807" s="175" t="n"/>
      <c r="O1807" s="168" t="n"/>
      <c r="P1807" s="173" t="n"/>
      <c r="Q1807" s="1" t="n"/>
      <c r="R1807" s="1" t="n"/>
      <c r="S1807" s="1" t="n"/>
      <c r="T1807" s="1" t="n"/>
      <c r="U1807" s="1" t="n"/>
      <c r="V1807" s="1" t="n"/>
      <c r="W1807" s="1" t="n"/>
      <c r="X1807" s="1" t="n"/>
      <c r="Y1807" s="1" t="n"/>
    </row>
    <row r="1808">
      <c r="A1808" s="34">
        <f>IF($H1025="UNIDADE CONSTRUTIVA",OFFSET(A1025,-1,0)+1,LARGE(A$3:A1024,1))</f>
        <v/>
      </c>
      <c r="B1808" s="34" t="n"/>
      <c r="C1808" s="34" t="n"/>
      <c r="D1808" s="35" t="n"/>
      <c r="E1808" s="35" t="n"/>
      <c r="F1808" s="1" t="n"/>
      <c r="G1808" s="167" t="n"/>
      <c r="H1808" s="167" t="n"/>
      <c r="I1808" s="167" t="n"/>
      <c r="J1808" s="168" t="n"/>
      <c r="K1808" s="169" t="n"/>
      <c r="L1808" s="172" t="n"/>
      <c r="M1808" s="172" t="n"/>
      <c r="N1808" s="175" t="n"/>
      <c r="O1808" s="168" t="n"/>
      <c r="P1808" s="173" t="n"/>
      <c r="Q1808" s="1" t="n"/>
      <c r="R1808" s="1" t="n"/>
      <c r="S1808" s="1" t="n"/>
      <c r="T1808" s="1" t="n"/>
      <c r="U1808" s="1" t="n"/>
      <c r="V1808" s="1" t="n"/>
      <c r="W1808" s="1" t="n"/>
      <c r="X1808" s="1" t="n"/>
      <c r="Y1808" s="1" t="n"/>
    </row>
    <row r="1809">
      <c r="A1809" s="34">
        <f>IF($H1026="UNIDADE CONSTRUTIVA",OFFSET(A1026,-1,0)+1,LARGE(A$3:A1025,1))</f>
        <v/>
      </c>
      <c r="B1809" s="34" t="n"/>
      <c r="C1809" s="34" t="n"/>
      <c r="D1809" s="35" t="n"/>
      <c r="E1809" s="35" t="n"/>
      <c r="F1809" s="1" t="n"/>
      <c r="G1809" s="167" t="n"/>
      <c r="H1809" s="167" t="n"/>
      <c r="I1809" s="167" t="n"/>
      <c r="J1809" s="168" t="n"/>
      <c r="K1809" s="169" t="n"/>
      <c r="L1809" s="172" t="n"/>
      <c r="M1809" s="172" t="n"/>
      <c r="N1809" s="175" t="n"/>
      <c r="O1809" s="168" t="n"/>
      <c r="P1809" s="173" t="n"/>
      <c r="Q1809" s="1" t="n"/>
      <c r="R1809" s="1" t="n"/>
      <c r="S1809" s="1" t="n"/>
      <c r="T1809" s="1" t="n"/>
      <c r="U1809" s="1" t="n"/>
      <c r="V1809" s="1" t="n"/>
      <c r="W1809" s="1" t="n"/>
      <c r="X1809" s="1" t="n"/>
      <c r="Y1809" s="1" t="n"/>
    </row>
    <row r="1810">
      <c r="A1810" s="34">
        <f>IF($H1027="UNIDADE CONSTRUTIVA",OFFSET(A1027,-1,0)+1,LARGE(A$3:A1026,1))</f>
        <v/>
      </c>
      <c r="B1810" s="34" t="n"/>
      <c r="C1810" s="34" t="n"/>
      <c r="D1810" s="35" t="n"/>
      <c r="E1810" s="35" t="n"/>
      <c r="F1810" s="1" t="n"/>
      <c r="G1810" s="167" t="n"/>
      <c r="H1810" s="167" t="n"/>
      <c r="I1810" s="167" t="n"/>
      <c r="J1810" s="168" t="n"/>
      <c r="K1810" s="169" t="n"/>
      <c r="L1810" s="172" t="n"/>
      <c r="M1810" s="172" t="n"/>
      <c r="N1810" s="175" t="n"/>
      <c r="O1810" s="168" t="n"/>
      <c r="P1810" s="173" t="n"/>
      <c r="Q1810" s="1" t="n"/>
      <c r="R1810" s="1" t="n"/>
      <c r="S1810" s="1" t="n"/>
      <c r="T1810" s="1" t="n"/>
      <c r="U1810" s="1" t="n"/>
      <c r="V1810" s="1" t="n"/>
      <c r="W1810" s="1" t="n"/>
      <c r="X1810" s="1" t="n"/>
      <c r="Y1810" s="1" t="n"/>
    </row>
    <row r="1811">
      <c r="A1811" s="34">
        <f>IF($H1028="UNIDADE CONSTRUTIVA",OFFSET(A1028,-1,0)+1,LARGE(A$3:A1027,1))</f>
        <v/>
      </c>
      <c r="B1811" s="34" t="n"/>
      <c r="C1811" s="34" t="n"/>
      <c r="D1811" s="35" t="n"/>
      <c r="E1811" s="35" t="n"/>
      <c r="F1811" s="1" t="n"/>
      <c r="G1811" s="167" t="n"/>
      <c r="H1811" s="167" t="n"/>
      <c r="I1811" s="167" t="n"/>
      <c r="J1811" s="168" t="n"/>
      <c r="K1811" s="169" t="n"/>
      <c r="L1811" s="172" t="n"/>
      <c r="M1811" s="172" t="n"/>
      <c r="N1811" s="175" t="n"/>
      <c r="O1811" s="168" t="n"/>
      <c r="P1811" s="173" t="n"/>
      <c r="Q1811" s="1" t="n"/>
      <c r="R1811" s="1" t="n"/>
      <c r="S1811" s="1" t="n"/>
      <c r="T1811" s="1" t="n"/>
      <c r="U1811" s="1" t="n"/>
      <c r="V1811" s="1" t="n"/>
      <c r="W1811" s="1" t="n"/>
      <c r="X1811" s="1" t="n"/>
      <c r="Y1811" s="1" t="n"/>
    </row>
    <row r="1812">
      <c r="A1812" s="34">
        <f>IF($H1029="UNIDADE CONSTRUTIVA",OFFSET(A1029,-1,0)+1,LARGE(A$3:A1028,1))</f>
        <v/>
      </c>
      <c r="B1812" s="34" t="n"/>
      <c r="C1812" s="34" t="n"/>
      <c r="D1812" s="35" t="n"/>
      <c r="E1812" s="35" t="n"/>
      <c r="F1812" s="1" t="n"/>
      <c r="G1812" s="167" t="n"/>
      <c r="H1812" s="167" t="n"/>
      <c r="I1812" s="167" t="n"/>
      <c r="J1812" s="168" t="n"/>
      <c r="K1812" s="169" t="n"/>
      <c r="L1812" s="172" t="n"/>
      <c r="M1812" s="172" t="n"/>
      <c r="N1812" s="175" t="n"/>
      <c r="O1812" s="168" t="n"/>
      <c r="P1812" s="173" t="n"/>
      <c r="Q1812" s="1" t="n"/>
      <c r="R1812" s="1" t="n"/>
      <c r="S1812" s="1" t="n"/>
      <c r="T1812" s="1" t="n"/>
      <c r="U1812" s="1" t="n"/>
      <c r="V1812" s="1" t="n"/>
      <c r="W1812" s="1" t="n"/>
      <c r="X1812" s="1" t="n"/>
      <c r="Y1812" s="1" t="n"/>
    </row>
    <row r="1813">
      <c r="A1813" s="34">
        <f>IF($H1030="UNIDADE CONSTRUTIVA",OFFSET(A1030,-1,0)+1,LARGE(A$3:A1029,1))</f>
        <v/>
      </c>
      <c r="B1813" s="34" t="n"/>
      <c r="C1813" s="34" t="n"/>
      <c r="D1813" s="35" t="n"/>
      <c r="E1813" s="35" t="n"/>
      <c r="F1813" s="1" t="n"/>
      <c r="G1813" s="167" t="n"/>
      <c r="H1813" s="167" t="n"/>
      <c r="I1813" s="167" t="n"/>
      <c r="J1813" s="168" t="n"/>
      <c r="K1813" s="169" t="n"/>
      <c r="L1813" s="172" t="n"/>
      <c r="M1813" s="172" t="n"/>
      <c r="N1813" s="175" t="n"/>
      <c r="O1813" s="168" t="n"/>
      <c r="P1813" s="173" t="n"/>
      <c r="Q1813" s="1" t="n"/>
      <c r="R1813" s="1" t="n"/>
      <c r="S1813" s="1" t="n"/>
      <c r="T1813" s="1" t="n"/>
      <c r="U1813" s="1" t="n"/>
      <c r="V1813" s="1" t="n"/>
      <c r="W1813" s="1" t="n"/>
      <c r="X1813" s="1" t="n"/>
      <c r="Y1813" s="1" t="n"/>
    </row>
    <row r="1814">
      <c r="A1814" s="34">
        <f>IF($H1031="UNIDADE CONSTRUTIVA",OFFSET(A1031,-1,0)+1,LARGE(A$3:A1030,1))</f>
        <v/>
      </c>
      <c r="B1814" s="34" t="n"/>
      <c r="C1814" s="34" t="n"/>
      <c r="D1814" s="35" t="n"/>
      <c r="E1814" s="35" t="n"/>
      <c r="F1814" s="1" t="n"/>
      <c r="G1814" s="167" t="n"/>
      <c r="H1814" s="167" t="n"/>
      <c r="I1814" s="167" t="n"/>
      <c r="J1814" s="168" t="n"/>
      <c r="K1814" s="169" t="n"/>
      <c r="L1814" s="172" t="n"/>
      <c r="M1814" s="172" t="n"/>
      <c r="N1814" s="175" t="n"/>
      <c r="O1814" s="168" t="n"/>
      <c r="P1814" s="173" t="n"/>
      <c r="Q1814" s="1" t="n"/>
      <c r="R1814" s="1" t="n"/>
      <c r="S1814" s="1" t="n"/>
      <c r="T1814" s="1" t="n"/>
      <c r="U1814" s="1" t="n"/>
      <c r="V1814" s="1" t="n"/>
      <c r="W1814" s="1" t="n"/>
      <c r="X1814" s="1" t="n"/>
      <c r="Y1814" s="1" t="n"/>
    </row>
    <row r="1815">
      <c r="A1815" s="34">
        <f>IF($H1032="UNIDADE CONSTRUTIVA",OFFSET(A1032,-1,0)+1,LARGE(A$3:A1031,1))</f>
        <v/>
      </c>
      <c r="B1815" s="34" t="n"/>
      <c r="C1815" s="34" t="n"/>
      <c r="D1815" s="35" t="n"/>
      <c r="E1815" s="35" t="n"/>
      <c r="F1815" s="1" t="n"/>
      <c r="G1815" s="167" t="n"/>
      <c r="H1815" s="167" t="n"/>
      <c r="I1815" s="167" t="n"/>
      <c r="J1815" s="168" t="n"/>
      <c r="K1815" s="169" t="n"/>
      <c r="L1815" s="172" t="n"/>
      <c r="M1815" s="172" t="n"/>
      <c r="N1815" s="175" t="n"/>
      <c r="O1815" s="168" t="n"/>
      <c r="P1815" s="173" t="n"/>
      <c r="Q1815" s="1" t="n"/>
      <c r="R1815" s="1" t="n"/>
      <c r="S1815" s="1" t="n"/>
      <c r="T1815" s="1" t="n"/>
      <c r="U1815" s="1" t="n"/>
      <c r="V1815" s="1" t="n"/>
      <c r="W1815" s="1" t="n"/>
      <c r="X1815" s="1" t="n"/>
      <c r="Y1815" s="1" t="n"/>
    </row>
    <row r="1816">
      <c r="A1816" s="34">
        <f>IF($H1033="UNIDADE CONSTRUTIVA",OFFSET(A1033,-1,0)+1,LARGE(A$3:A1032,1))</f>
        <v/>
      </c>
      <c r="B1816" s="34" t="n"/>
      <c r="C1816" s="34" t="n"/>
      <c r="D1816" s="35" t="n"/>
      <c r="E1816" s="35" t="n"/>
      <c r="F1816" s="1" t="n"/>
      <c r="G1816" s="167" t="n"/>
      <c r="H1816" s="167" t="n"/>
      <c r="I1816" s="167" t="n"/>
      <c r="J1816" s="168" t="n"/>
      <c r="K1816" s="169" t="n"/>
      <c r="L1816" s="172" t="n"/>
      <c r="M1816" s="172" t="n"/>
      <c r="N1816" s="175" t="n"/>
      <c r="O1816" s="168" t="n"/>
      <c r="P1816" s="173" t="n"/>
      <c r="Q1816" s="1" t="n"/>
      <c r="R1816" s="1" t="n"/>
      <c r="S1816" s="1" t="n"/>
      <c r="T1816" s="1" t="n"/>
      <c r="U1816" s="1" t="n"/>
      <c r="V1816" s="1" t="n"/>
      <c r="W1816" s="1" t="n"/>
      <c r="X1816" s="1" t="n"/>
      <c r="Y1816" s="1" t="n"/>
    </row>
    <row r="1817">
      <c r="A1817" s="34">
        <f>IF($H1034="UNIDADE CONSTRUTIVA",OFFSET(A1034,-1,0)+1,LARGE(A$3:A1033,1))</f>
        <v/>
      </c>
      <c r="B1817" s="34" t="n"/>
      <c r="C1817" s="34" t="n"/>
      <c r="D1817" s="35" t="n"/>
      <c r="E1817" s="35" t="n"/>
      <c r="F1817" s="1" t="n"/>
      <c r="G1817" s="167" t="n"/>
      <c r="H1817" s="167" t="n"/>
      <c r="I1817" s="167" t="n"/>
      <c r="J1817" s="168" t="n"/>
      <c r="K1817" s="169" t="n"/>
      <c r="L1817" s="172" t="n"/>
      <c r="M1817" s="172" t="n"/>
      <c r="N1817" s="175" t="n"/>
      <c r="O1817" s="168" t="n"/>
      <c r="P1817" s="173" t="n"/>
      <c r="Q1817" s="1" t="n"/>
      <c r="R1817" s="1" t="n"/>
      <c r="S1817" s="1" t="n"/>
      <c r="T1817" s="1" t="n"/>
      <c r="U1817" s="1" t="n"/>
      <c r="V1817" s="1" t="n"/>
      <c r="W1817" s="1" t="n"/>
      <c r="X1817" s="1" t="n"/>
      <c r="Y1817" s="1" t="n"/>
    </row>
    <row r="1818">
      <c r="A1818" s="34">
        <f>IF($H1035="UNIDADE CONSTRUTIVA",OFFSET(A1035,-1,0)+1,LARGE(A$3:A1034,1))</f>
        <v/>
      </c>
      <c r="B1818" s="34" t="n"/>
      <c r="C1818" s="34" t="n"/>
      <c r="D1818" s="35" t="n"/>
      <c r="E1818" s="35" t="n"/>
      <c r="F1818" s="1" t="n"/>
      <c r="G1818" s="167" t="n"/>
      <c r="H1818" s="167" t="n"/>
      <c r="I1818" s="167" t="n"/>
      <c r="J1818" s="168" t="n"/>
      <c r="K1818" s="169" t="n"/>
      <c r="L1818" s="172" t="n"/>
      <c r="M1818" s="172" t="n"/>
      <c r="N1818" s="175" t="n"/>
      <c r="O1818" s="168" t="n"/>
      <c r="P1818" s="173" t="n"/>
      <c r="Q1818" s="1" t="n"/>
      <c r="R1818" s="1" t="n"/>
      <c r="S1818" s="1" t="n"/>
      <c r="T1818" s="1" t="n"/>
      <c r="U1818" s="1" t="n"/>
      <c r="V1818" s="1" t="n"/>
      <c r="W1818" s="1" t="n"/>
      <c r="X1818" s="1" t="n"/>
      <c r="Y1818" s="1" t="n"/>
    </row>
    <row r="1819">
      <c r="A1819" s="34">
        <f>IF($H1036="UNIDADE CONSTRUTIVA",OFFSET(A1036,-1,0)+1,LARGE(A$3:A1035,1))</f>
        <v/>
      </c>
      <c r="B1819" s="34" t="n"/>
      <c r="C1819" s="34" t="n"/>
      <c r="D1819" s="35" t="n"/>
      <c r="E1819" s="35" t="n"/>
      <c r="F1819" s="1" t="n"/>
      <c r="G1819" s="167" t="n"/>
      <c r="H1819" s="167" t="n"/>
      <c r="I1819" s="167" t="n"/>
      <c r="J1819" s="168" t="n"/>
      <c r="K1819" s="169" t="n"/>
      <c r="L1819" s="172" t="n"/>
      <c r="M1819" s="172" t="n"/>
      <c r="N1819" s="175" t="n"/>
      <c r="O1819" s="168" t="n"/>
      <c r="P1819" s="173" t="n"/>
      <c r="Q1819" s="1" t="n"/>
      <c r="R1819" s="1" t="n"/>
      <c r="S1819" s="1" t="n"/>
      <c r="T1819" s="1" t="n"/>
      <c r="U1819" s="1" t="n"/>
      <c r="V1819" s="1" t="n"/>
      <c r="W1819" s="1" t="n"/>
      <c r="X1819" s="1" t="n"/>
      <c r="Y1819" s="1" t="n"/>
    </row>
    <row r="1820">
      <c r="A1820" s="34">
        <f>IF($H1037="UNIDADE CONSTRUTIVA",OFFSET(A1037,-1,0)+1,LARGE(A$3:A1036,1))</f>
        <v/>
      </c>
      <c r="B1820" s="34" t="n"/>
      <c r="C1820" s="34" t="n"/>
      <c r="D1820" s="35" t="n"/>
      <c r="E1820" s="35" t="n"/>
      <c r="F1820" s="1" t="n"/>
      <c r="G1820" s="167" t="n"/>
      <c r="H1820" s="167" t="n"/>
      <c r="I1820" s="167" t="n"/>
      <c r="J1820" s="168" t="n"/>
      <c r="K1820" s="169" t="n"/>
      <c r="L1820" s="172" t="n"/>
      <c r="M1820" s="172" t="n"/>
      <c r="N1820" s="175" t="n"/>
      <c r="O1820" s="168" t="n"/>
      <c r="P1820" s="173" t="n"/>
      <c r="Q1820" s="1" t="n"/>
      <c r="R1820" s="1" t="n"/>
      <c r="S1820" s="1" t="n"/>
      <c r="T1820" s="1" t="n"/>
      <c r="U1820" s="1" t="n"/>
      <c r="V1820" s="1" t="n"/>
      <c r="W1820" s="1" t="n"/>
      <c r="X1820" s="1" t="n"/>
      <c r="Y1820" s="1" t="n"/>
    </row>
    <row r="1821">
      <c r="A1821" s="34">
        <f>IF($H1038="UNIDADE CONSTRUTIVA",OFFSET(A1038,-1,0)+1,LARGE(A$3:A1037,1))</f>
        <v/>
      </c>
      <c r="B1821" s="34" t="n"/>
      <c r="C1821" s="34" t="n"/>
      <c r="D1821" s="35" t="n"/>
      <c r="E1821" s="35" t="n"/>
      <c r="F1821" s="1" t="n"/>
      <c r="G1821" s="167" t="n"/>
      <c r="H1821" s="167" t="n"/>
      <c r="I1821" s="167" t="n"/>
      <c r="J1821" s="168" t="n"/>
      <c r="K1821" s="169" t="n"/>
      <c r="L1821" s="172" t="n"/>
      <c r="M1821" s="172" t="n"/>
      <c r="N1821" s="175" t="n"/>
      <c r="O1821" s="168" t="n"/>
      <c r="P1821" s="173" t="n"/>
      <c r="Q1821" s="1" t="n"/>
      <c r="R1821" s="1" t="n"/>
      <c r="S1821" s="1" t="n"/>
      <c r="T1821" s="1" t="n"/>
      <c r="U1821" s="1" t="n"/>
      <c r="V1821" s="1" t="n"/>
      <c r="W1821" s="1" t="n"/>
      <c r="X1821" s="1" t="n"/>
      <c r="Y1821" s="1" t="n"/>
    </row>
    <row r="1822">
      <c r="A1822" s="34">
        <f>IF($H1039="UNIDADE CONSTRUTIVA",OFFSET(A1039,-1,0)+1,LARGE(A$3:A1038,1))</f>
        <v/>
      </c>
      <c r="B1822" s="34" t="n"/>
      <c r="C1822" s="34" t="n"/>
      <c r="D1822" s="35" t="n"/>
      <c r="E1822" s="35" t="n"/>
      <c r="F1822" s="1" t="n"/>
      <c r="G1822" s="167" t="n"/>
      <c r="H1822" s="167" t="n"/>
      <c r="I1822" s="167" t="n"/>
      <c r="J1822" s="168" t="n"/>
      <c r="K1822" s="169" t="n"/>
      <c r="L1822" s="172" t="n"/>
      <c r="M1822" s="172" t="n"/>
      <c r="N1822" s="175" t="n"/>
      <c r="O1822" s="168" t="n"/>
      <c r="P1822" s="173" t="n"/>
      <c r="Q1822" s="1" t="n"/>
      <c r="R1822" s="1" t="n"/>
      <c r="S1822" s="1" t="n"/>
      <c r="T1822" s="1" t="n"/>
      <c r="U1822" s="1" t="n"/>
      <c r="V1822" s="1" t="n"/>
      <c r="W1822" s="1" t="n"/>
      <c r="X1822" s="1" t="n"/>
      <c r="Y1822" s="1" t="n"/>
    </row>
    <row r="1823">
      <c r="A1823" s="34">
        <f>IF($H1040="UNIDADE CONSTRUTIVA",OFFSET(A1040,-1,0)+1,LARGE(A$3:A1039,1))</f>
        <v/>
      </c>
      <c r="B1823" s="34" t="n"/>
      <c r="C1823" s="34" t="n"/>
      <c r="D1823" s="35" t="n"/>
      <c r="E1823" s="35" t="n"/>
      <c r="F1823" s="1" t="n"/>
      <c r="G1823" s="167" t="n"/>
      <c r="H1823" s="167" t="n"/>
      <c r="I1823" s="167" t="n"/>
      <c r="J1823" s="168" t="n"/>
      <c r="K1823" s="169" t="n"/>
      <c r="L1823" s="172" t="n"/>
      <c r="M1823" s="172" t="n"/>
      <c r="N1823" s="175" t="n"/>
      <c r="O1823" s="168" t="n"/>
      <c r="P1823" s="173" t="n"/>
      <c r="Q1823" s="1" t="n"/>
      <c r="R1823" s="1" t="n"/>
      <c r="S1823" s="1" t="n"/>
      <c r="T1823" s="1" t="n"/>
      <c r="U1823" s="1" t="n"/>
      <c r="V1823" s="1" t="n"/>
      <c r="W1823" s="1" t="n"/>
      <c r="X1823" s="1" t="n"/>
      <c r="Y1823" s="1" t="n"/>
    </row>
    <row r="1824">
      <c r="A1824" s="34">
        <f>IF($H1041="UNIDADE CONSTRUTIVA",OFFSET(A1041,-1,0)+1,LARGE(A$3:A1040,1))</f>
        <v/>
      </c>
      <c r="B1824" s="34" t="n"/>
      <c r="C1824" s="34" t="n"/>
      <c r="D1824" s="35" t="n"/>
      <c r="E1824" s="35" t="n"/>
      <c r="F1824" s="1" t="n"/>
      <c r="G1824" s="167" t="n"/>
      <c r="H1824" s="167" t="n"/>
      <c r="I1824" s="167" t="n"/>
      <c r="J1824" s="168" t="n"/>
      <c r="K1824" s="169" t="n"/>
      <c r="L1824" s="172" t="n"/>
      <c r="M1824" s="172" t="n"/>
      <c r="N1824" s="175" t="n"/>
      <c r="O1824" s="168" t="n"/>
      <c r="P1824" s="173" t="n"/>
      <c r="Q1824" s="1" t="n"/>
      <c r="R1824" s="1" t="n"/>
      <c r="S1824" s="1" t="n"/>
      <c r="T1824" s="1" t="n"/>
      <c r="U1824" s="1" t="n"/>
      <c r="V1824" s="1" t="n"/>
      <c r="W1824" s="1" t="n"/>
      <c r="X1824" s="1" t="n"/>
      <c r="Y1824" s="1" t="n"/>
    </row>
    <row r="1825">
      <c r="A1825" s="34">
        <f>IF($H1042="UNIDADE CONSTRUTIVA",OFFSET(A1042,-1,0)+1,LARGE(A$3:A1041,1))</f>
        <v/>
      </c>
      <c r="B1825" s="34" t="n"/>
      <c r="C1825" s="34" t="n"/>
      <c r="D1825" s="35" t="n"/>
      <c r="E1825" s="35" t="n"/>
      <c r="F1825" s="1" t="n"/>
      <c r="G1825" s="167" t="n"/>
      <c r="H1825" s="167" t="n"/>
      <c r="I1825" s="167" t="n"/>
      <c r="J1825" s="168" t="n"/>
      <c r="K1825" s="169" t="n"/>
      <c r="L1825" s="172" t="n"/>
      <c r="M1825" s="172" t="n"/>
      <c r="N1825" s="175" t="n"/>
      <c r="O1825" s="168" t="n"/>
      <c r="P1825" s="173" t="n"/>
      <c r="Q1825" s="1" t="n"/>
      <c r="R1825" s="1" t="n"/>
      <c r="S1825" s="1" t="n"/>
      <c r="T1825" s="1" t="n"/>
      <c r="U1825" s="1" t="n"/>
      <c r="V1825" s="1" t="n"/>
      <c r="W1825" s="1" t="n"/>
      <c r="X1825" s="1" t="n"/>
      <c r="Y1825" s="1" t="n"/>
    </row>
    <row r="1826">
      <c r="A1826" s="34">
        <f>IF($H1043="UNIDADE CONSTRUTIVA",OFFSET(A1043,-1,0)+1,LARGE(A$3:A1042,1))</f>
        <v/>
      </c>
      <c r="B1826" s="34" t="n"/>
      <c r="C1826" s="34" t="n"/>
      <c r="D1826" s="35" t="n"/>
      <c r="E1826" s="35" t="n"/>
      <c r="F1826" s="1" t="n"/>
      <c r="G1826" s="167" t="n"/>
      <c r="H1826" s="167" t="n"/>
      <c r="I1826" s="167" t="n"/>
      <c r="J1826" s="168" t="n"/>
      <c r="K1826" s="169" t="n"/>
      <c r="L1826" s="172" t="n"/>
      <c r="M1826" s="172" t="n"/>
      <c r="N1826" s="175" t="n"/>
      <c r="O1826" s="168" t="n"/>
      <c r="P1826" s="173" t="n"/>
      <c r="Q1826" s="1" t="n"/>
      <c r="R1826" s="1" t="n"/>
      <c r="S1826" s="1" t="n"/>
      <c r="T1826" s="1" t="n"/>
      <c r="U1826" s="1" t="n"/>
      <c r="V1826" s="1" t="n"/>
      <c r="W1826" s="1" t="n"/>
      <c r="X1826" s="1" t="n"/>
      <c r="Y1826" s="1" t="n"/>
    </row>
    <row r="1827">
      <c r="A1827" s="34">
        <f>IF($H1044="UNIDADE CONSTRUTIVA",OFFSET(A1044,-1,0)+1,LARGE(A$3:A1043,1))</f>
        <v/>
      </c>
      <c r="B1827" s="34" t="n"/>
      <c r="C1827" s="34" t="n"/>
      <c r="D1827" s="35" t="n"/>
      <c r="E1827" s="35" t="n"/>
      <c r="F1827" s="1" t="n"/>
      <c r="G1827" s="167" t="n"/>
      <c r="H1827" s="167" t="n"/>
      <c r="I1827" s="167" t="n"/>
      <c r="J1827" s="168" t="n"/>
      <c r="K1827" s="169" t="n"/>
      <c r="L1827" s="172" t="n"/>
      <c r="M1827" s="172" t="n"/>
      <c r="N1827" s="175" t="n"/>
      <c r="O1827" s="168" t="n"/>
      <c r="P1827" s="173" t="n"/>
      <c r="Q1827" s="1" t="n"/>
      <c r="R1827" s="1" t="n"/>
      <c r="S1827" s="1" t="n"/>
      <c r="T1827" s="1" t="n"/>
      <c r="U1827" s="1" t="n"/>
      <c r="V1827" s="1" t="n"/>
      <c r="W1827" s="1" t="n"/>
      <c r="X1827" s="1" t="n"/>
      <c r="Y1827" s="1" t="n"/>
    </row>
    <row r="1828">
      <c r="A1828" s="34">
        <f>IF($H1045="UNIDADE CONSTRUTIVA",OFFSET(A1045,-1,0)+1,LARGE(A$3:A1044,1))</f>
        <v/>
      </c>
      <c r="B1828" s="34" t="n"/>
      <c r="C1828" s="34" t="n"/>
      <c r="D1828" s="35" t="n"/>
      <c r="E1828" s="35" t="n"/>
      <c r="F1828" s="1" t="n"/>
      <c r="G1828" s="167" t="n"/>
      <c r="H1828" s="167" t="n"/>
      <c r="I1828" s="167" t="n"/>
      <c r="J1828" s="168" t="n"/>
      <c r="K1828" s="169" t="n"/>
      <c r="L1828" s="172" t="n"/>
      <c r="M1828" s="172" t="n"/>
      <c r="N1828" s="175" t="n"/>
      <c r="O1828" s="168" t="n"/>
      <c r="P1828" s="173" t="n"/>
      <c r="Q1828" s="1" t="n"/>
      <c r="R1828" s="1" t="n"/>
      <c r="S1828" s="1" t="n"/>
      <c r="T1828" s="1" t="n"/>
      <c r="U1828" s="1" t="n"/>
      <c r="V1828" s="1" t="n"/>
      <c r="W1828" s="1" t="n"/>
      <c r="X1828" s="1" t="n"/>
      <c r="Y1828" s="1" t="n"/>
    </row>
    <row r="1829">
      <c r="A1829" s="34">
        <f>IF($H1046="UNIDADE CONSTRUTIVA",OFFSET(A1046,-1,0)+1,LARGE(A$3:A1045,1))</f>
        <v/>
      </c>
      <c r="B1829" s="34" t="n"/>
      <c r="C1829" s="34" t="n"/>
      <c r="D1829" s="35" t="n"/>
      <c r="E1829" s="35" t="n"/>
      <c r="F1829" s="1" t="n"/>
      <c r="G1829" s="167" t="n"/>
      <c r="H1829" s="167" t="n"/>
      <c r="I1829" s="167" t="n"/>
      <c r="J1829" s="168" t="n"/>
      <c r="K1829" s="169" t="n"/>
      <c r="L1829" s="172" t="n"/>
      <c r="M1829" s="172" t="n"/>
      <c r="N1829" s="175" t="n"/>
      <c r="O1829" s="168" t="n"/>
      <c r="P1829" s="173" t="n"/>
      <c r="Q1829" s="1" t="n"/>
      <c r="R1829" s="1" t="n"/>
      <c r="S1829" s="1" t="n"/>
      <c r="T1829" s="1" t="n"/>
      <c r="U1829" s="1" t="n"/>
      <c r="V1829" s="1" t="n"/>
      <c r="W1829" s="1" t="n"/>
      <c r="X1829" s="1" t="n"/>
      <c r="Y1829" s="1" t="n"/>
    </row>
    <row r="1830">
      <c r="A1830" s="34">
        <f>IF($H1047="UNIDADE CONSTRUTIVA",OFFSET(A1047,-1,0)+1,LARGE(A$3:A1046,1))</f>
        <v/>
      </c>
      <c r="B1830" s="34" t="n"/>
      <c r="C1830" s="34" t="n"/>
      <c r="D1830" s="35" t="n"/>
      <c r="E1830" s="35" t="n"/>
      <c r="F1830" s="1" t="n"/>
      <c r="G1830" s="167" t="n"/>
      <c r="H1830" s="167" t="n"/>
      <c r="I1830" s="167" t="n"/>
      <c r="J1830" s="168" t="n"/>
      <c r="K1830" s="169" t="n"/>
      <c r="L1830" s="172" t="n"/>
      <c r="M1830" s="172" t="n"/>
      <c r="N1830" s="175" t="n"/>
      <c r="O1830" s="168" t="n"/>
      <c r="P1830" s="173" t="n"/>
      <c r="Q1830" s="1" t="n"/>
      <c r="R1830" s="1" t="n"/>
      <c r="S1830" s="1" t="n"/>
      <c r="T1830" s="1" t="n"/>
      <c r="U1830" s="1" t="n"/>
      <c r="V1830" s="1" t="n"/>
      <c r="W1830" s="1" t="n"/>
      <c r="X1830" s="1" t="n"/>
      <c r="Y1830" s="1" t="n"/>
    </row>
    <row r="1831">
      <c r="A1831" s="34">
        <f>IF($H1048="UNIDADE CONSTRUTIVA",OFFSET(A1048,-1,0)+1,LARGE(A$3:A1047,1))</f>
        <v/>
      </c>
      <c r="B1831" s="34" t="n"/>
      <c r="C1831" s="34" t="n"/>
      <c r="D1831" s="35" t="n"/>
      <c r="E1831" s="35" t="n"/>
      <c r="F1831" s="1" t="n"/>
      <c r="G1831" s="167" t="n"/>
      <c r="H1831" s="167" t="n"/>
      <c r="I1831" s="167" t="n"/>
      <c r="J1831" s="168" t="n"/>
      <c r="K1831" s="169" t="n"/>
      <c r="L1831" s="172" t="n"/>
      <c r="M1831" s="172" t="n"/>
      <c r="N1831" s="175" t="n"/>
      <c r="O1831" s="168" t="n"/>
      <c r="P1831" s="173" t="n"/>
      <c r="Q1831" s="1" t="n"/>
      <c r="R1831" s="1" t="n"/>
      <c r="S1831" s="1" t="n"/>
      <c r="T1831" s="1" t="n"/>
      <c r="U1831" s="1" t="n"/>
      <c r="V1831" s="1" t="n"/>
      <c r="W1831" s="1" t="n"/>
      <c r="X1831" s="1" t="n"/>
      <c r="Y1831" s="1" t="n"/>
    </row>
    <row r="1832">
      <c r="A1832" s="34">
        <f>IF($H1049="UNIDADE CONSTRUTIVA",OFFSET(A1049,-1,0)+1,LARGE(A$3:A1048,1))</f>
        <v/>
      </c>
      <c r="B1832" s="34" t="n"/>
      <c r="C1832" s="34" t="n"/>
      <c r="D1832" s="35" t="n"/>
      <c r="E1832" s="35" t="n"/>
      <c r="F1832" s="1" t="n"/>
      <c r="G1832" s="167" t="n"/>
      <c r="H1832" s="167" t="n"/>
      <c r="I1832" s="167" t="n"/>
      <c r="J1832" s="168" t="n"/>
      <c r="K1832" s="169" t="n"/>
      <c r="L1832" s="172" t="n"/>
      <c r="M1832" s="172" t="n"/>
      <c r="N1832" s="175" t="n"/>
      <c r="O1832" s="168" t="n"/>
      <c r="P1832" s="173" t="n"/>
      <c r="Q1832" s="1" t="n"/>
      <c r="R1832" s="1" t="n"/>
      <c r="S1832" s="1" t="n"/>
      <c r="T1832" s="1" t="n"/>
      <c r="U1832" s="1" t="n"/>
      <c r="V1832" s="1" t="n"/>
      <c r="W1832" s="1" t="n"/>
      <c r="X1832" s="1" t="n"/>
      <c r="Y1832" s="1" t="n"/>
    </row>
    <row r="1833">
      <c r="A1833" s="34">
        <f>IF($H1050="UNIDADE CONSTRUTIVA",OFFSET(A1050,-1,0)+1,LARGE(A$3:A1049,1))</f>
        <v/>
      </c>
      <c r="B1833" s="34" t="n"/>
      <c r="C1833" s="34" t="n"/>
      <c r="D1833" s="35" t="n"/>
      <c r="E1833" s="35" t="n"/>
      <c r="F1833" s="1" t="n"/>
      <c r="G1833" s="167" t="n"/>
      <c r="H1833" s="167" t="n"/>
      <c r="I1833" s="167" t="n"/>
      <c r="J1833" s="168" t="n"/>
      <c r="K1833" s="169" t="n"/>
      <c r="L1833" s="172" t="n"/>
      <c r="M1833" s="172" t="n"/>
      <c r="N1833" s="175" t="n"/>
      <c r="O1833" s="168" t="n"/>
      <c r="P1833" s="173" t="n"/>
      <c r="Q1833" s="1" t="n"/>
      <c r="R1833" s="1" t="n"/>
      <c r="S1833" s="1" t="n"/>
      <c r="T1833" s="1" t="n"/>
      <c r="U1833" s="1" t="n"/>
      <c r="V1833" s="1" t="n"/>
      <c r="W1833" s="1" t="n"/>
      <c r="X1833" s="1" t="n"/>
      <c r="Y1833" s="1" t="n"/>
    </row>
    <row r="1834">
      <c r="A1834" s="34">
        <f>IF($H1051="UNIDADE CONSTRUTIVA",OFFSET(A1051,-1,0)+1,LARGE(A$3:A1050,1))</f>
        <v/>
      </c>
      <c r="B1834" s="34" t="n"/>
      <c r="C1834" s="34" t="n"/>
      <c r="D1834" s="35" t="n"/>
      <c r="E1834" s="35" t="n"/>
      <c r="F1834" s="1" t="n"/>
      <c r="G1834" s="167" t="n"/>
      <c r="H1834" s="167" t="n"/>
      <c r="I1834" s="167" t="n"/>
      <c r="J1834" s="168" t="n"/>
      <c r="K1834" s="169" t="n"/>
      <c r="L1834" s="172" t="n"/>
      <c r="M1834" s="172" t="n"/>
      <c r="N1834" s="175" t="n"/>
      <c r="O1834" s="168" t="n"/>
      <c r="P1834" s="173" t="n"/>
      <c r="Q1834" s="1" t="n"/>
      <c r="R1834" s="1" t="n"/>
      <c r="S1834" s="1" t="n"/>
      <c r="T1834" s="1" t="n"/>
      <c r="U1834" s="1" t="n"/>
      <c r="V1834" s="1" t="n"/>
      <c r="W1834" s="1" t="n"/>
      <c r="X1834" s="1" t="n"/>
      <c r="Y1834" s="1" t="n"/>
    </row>
    <row r="1835">
      <c r="A1835" s="34">
        <f>IF($H1052="UNIDADE CONSTRUTIVA",OFFSET(A1052,-1,0)+1,LARGE(A$3:A1051,1))</f>
        <v/>
      </c>
      <c r="B1835" s="34" t="n"/>
      <c r="C1835" s="34" t="n"/>
      <c r="D1835" s="35" t="n"/>
      <c r="E1835" s="35" t="n"/>
      <c r="F1835" s="1" t="n"/>
      <c r="G1835" s="167" t="n"/>
      <c r="H1835" s="167" t="n"/>
      <c r="I1835" s="167" t="n"/>
      <c r="J1835" s="168" t="n"/>
      <c r="K1835" s="169" t="n"/>
      <c r="L1835" s="172" t="n"/>
      <c r="M1835" s="172" t="n"/>
      <c r="N1835" s="175" t="n"/>
      <c r="O1835" s="168" t="n"/>
      <c r="P1835" s="173" t="n"/>
      <c r="Q1835" s="1" t="n"/>
      <c r="R1835" s="1" t="n"/>
      <c r="S1835" s="1" t="n"/>
      <c r="T1835" s="1" t="n"/>
      <c r="U1835" s="1" t="n"/>
      <c r="V1835" s="1" t="n"/>
      <c r="W1835" s="1" t="n"/>
      <c r="X1835" s="1" t="n"/>
      <c r="Y1835" s="1" t="n"/>
    </row>
    <row r="1836">
      <c r="A1836" s="34">
        <f>IF($H1053="UNIDADE CONSTRUTIVA",OFFSET(A1053,-1,0)+1,LARGE(A$3:A1052,1))</f>
        <v/>
      </c>
      <c r="B1836" s="34" t="n"/>
      <c r="C1836" s="34" t="n"/>
      <c r="D1836" s="35" t="n"/>
      <c r="E1836" s="35" t="n"/>
      <c r="F1836" s="1" t="n"/>
      <c r="G1836" s="167" t="n"/>
      <c r="H1836" s="167" t="n"/>
      <c r="I1836" s="167" t="n"/>
      <c r="J1836" s="168" t="n"/>
      <c r="K1836" s="169" t="n"/>
      <c r="L1836" s="172" t="n"/>
      <c r="M1836" s="172" t="n"/>
      <c r="N1836" s="175" t="n"/>
      <c r="O1836" s="168" t="n"/>
      <c r="P1836" s="173" t="n"/>
      <c r="Q1836" s="1" t="n"/>
      <c r="R1836" s="1" t="n"/>
      <c r="S1836" s="1" t="n"/>
      <c r="T1836" s="1" t="n"/>
      <c r="U1836" s="1" t="n"/>
      <c r="V1836" s="1" t="n"/>
      <c r="W1836" s="1" t="n"/>
      <c r="X1836" s="1" t="n"/>
      <c r="Y1836" s="1" t="n"/>
    </row>
    <row r="1837">
      <c r="A1837" s="34">
        <f>IF($H1054="UNIDADE CONSTRUTIVA",OFFSET(A1054,-1,0)+1,LARGE(A$3:A1053,1))</f>
        <v/>
      </c>
      <c r="B1837" s="34" t="n"/>
      <c r="C1837" s="34" t="n"/>
      <c r="D1837" s="35" t="n"/>
      <c r="E1837" s="35" t="n"/>
      <c r="F1837" s="1" t="n"/>
      <c r="G1837" s="167" t="n"/>
      <c r="H1837" s="167" t="n"/>
      <c r="I1837" s="167" t="n"/>
      <c r="J1837" s="168" t="n"/>
      <c r="K1837" s="169" t="n"/>
      <c r="L1837" s="172" t="n"/>
      <c r="M1837" s="172" t="n"/>
      <c r="N1837" s="175" t="n"/>
      <c r="O1837" s="168" t="n"/>
      <c r="P1837" s="173" t="n"/>
      <c r="Q1837" s="1" t="n"/>
      <c r="R1837" s="1" t="n"/>
      <c r="S1837" s="1" t="n"/>
      <c r="T1837" s="1" t="n"/>
      <c r="U1837" s="1" t="n"/>
      <c r="V1837" s="1" t="n"/>
      <c r="W1837" s="1" t="n"/>
      <c r="X1837" s="1" t="n"/>
      <c r="Y1837" s="1" t="n"/>
    </row>
    <row r="1838">
      <c r="A1838" s="34">
        <f>IF($H1055="UNIDADE CONSTRUTIVA",OFFSET(A1055,-1,0)+1,LARGE(A$3:A1054,1))</f>
        <v/>
      </c>
      <c r="B1838" s="34" t="n"/>
      <c r="C1838" s="34" t="n"/>
      <c r="D1838" s="35" t="n"/>
      <c r="E1838" s="35" t="n"/>
      <c r="F1838" s="1" t="n"/>
      <c r="G1838" s="167" t="n"/>
      <c r="H1838" s="167" t="n"/>
      <c r="I1838" s="167" t="n"/>
      <c r="J1838" s="168" t="n"/>
      <c r="K1838" s="169" t="n"/>
      <c r="L1838" s="172" t="n"/>
      <c r="M1838" s="172" t="n"/>
      <c r="N1838" s="175" t="n"/>
      <c r="O1838" s="168" t="n"/>
      <c r="P1838" s="173" t="n"/>
      <c r="Q1838" s="1" t="n"/>
      <c r="R1838" s="1" t="n"/>
      <c r="S1838" s="1" t="n"/>
      <c r="T1838" s="1" t="n"/>
      <c r="U1838" s="1" t="n"/>
      <c r="V1838" s="1" t="n"/>
      <c r="W1838" s="1" t="n"/>
      <c r="X1838" s="1" t="n"/>
      <c r="Y1838" s="1" t="n"/>
    </row>
    <row r="1839">
      <c r="A1839" s="34">
        <f>IF($H1056="UNIDADE CONSTRUTIVA",OFFSET(A1056,-1,0)+1,LARGE(A$3:A1055,1))</f>
        <v/>
      </c>
      <c r="B1839" s="34" t="n"/>
      <c r="C1839" s="34" t="n"/>
      <c r="D1839" s="35" t="n"/>
      <c r="E1839" s="35" t="n"/>
      <c r="F1839" s="1" t="n"/>
      <c r="G1839" s="167" t="n"/>
      <c r="H1839" s="167" t="n"/>
      <c r="I1839" s="167" t="n"/>
      <c r="J1839" s="168" t="n"/>
      <c r="K1839" s="169" t="n"/>
      <c r="L1839" s="172" t="n"/>
      <c r="M1839" s="172" t="n"/>
      <c r="N1839" s="175" t="n"/>
      <c r="O1839" s="168" t="n"/>
      <c r="P1839" s="173" t="n"/>
      <c r="Q1839" s="1" t="n"/>
      <c r="R1839" s="1" t="n"/>
      <c r="S1839" s="1" t="n"/>
      <c r="T1839" s="1" t="n"/>
      <c r="U1839" s="1" t="n"/>
      <c r="V1839" s="1" t="n"/>
      <c r="W1839" s="1" t="n"/>
      <c r="X1839" s="1" t="n"/>
      <c r="Y1839" s="1" t="n"/>
    </row>
    <row r="1840">
      <c r="A1840" s="34">
        <f>IF($H1057="UNIDADE CONSTRUTIVA",OFFSET(A1057,-1,0)+1,LARGE(A$3:A1056,1))</f>
        <v/>
      </c>
      <c r="B1840" s="34" t="n"/>
      <c r="C1840" s="34" t="n"/>
      <c r="D1840" s="35" t="n"/>
      <c r="E1840" s="35" t="n"/>
      <c r="F1840" s="1" t="n"/>
      <c r="G1840" s="167" t="n"/>
      <c r="H1840" s="167" t="n"/>
      <c r="I1840" s="167" t="n"/>
      <c r="J1840" s="168" t="n"/>
      <c r="K1840" s="169" t="n"/>
      <c r="L1840" s="172" t="n"/>
      <c r="M1840" s="172" t="n"/>
      <c r="N1840" s="175" t="n"/>
      <c r="O1840" s="168" t="n"/>
      <c r="P1840" s="173" t="n"/>
      <c r="Q1840" s="1" t="n"/>
      <c r="R1840" s="1" t="n"/>
      <c r="S1840" s="1" t="n"/>
      <c r="T1840" s="1" t="n"/>
      <c r="U1840" s="1" t="n"/>
      <c r="V1840" s="1" t="n"/>
      <c r="W1840" s="1" t="n"/>
      <c r="X1840" s="1" t="n"/>
      <c r="Y1840" s="1" t="n"/>
    </row>
    <row r="1841">
      <c r="A1841" s="34">
        <f>IF($H1058="UNIDADE CONSTRUTIVA",OFFSET(A1058,-1,0)+1,LARGE(A$3:A1057,1))</f>
        <v/>
      </c>
      <c r="B1841" s="34" t="n"/>
      <c r="C1841" s="34" t="n"/>
      <c r="D1841" s="35" t="n"/>
      <c r="E1841" s="35" t="n"/>
      <c r="F1841" s="1" t="n"/>
      <c r="G1841" s="167" t="n"/>
      <c r="H1841" s="167" t="n"/>
      <c r="I1841" s="167" t="n"/>
      <c r="J1841" s="168" t="n"/>
      <c r="K1841" s="169" t="n"/>
      <c r="L1841" s="172" t="n"/>
      <c r="M1841" s="172" t="n"/>
      <c r="N1841" s="175" t="n"/>
      <c r="O1841" s="168" t="n"/>
      <c r="P1841" s="173" t="n"/>
      <c r="Q1841" s="1" t="n"/>
      <c r="R1841" s="1" t="n"/>
      <c r="S1841" s="1" t="n"/>
      <c r="T1841" s="1" t="n"/>
      <c r="U1841" s="1" t="n"/>
      <c r="V1841" s="1" t="n"/>
      <c r="W1841" s="1" t="n"/>
      <c r="X1841" s="1" t="n"/>
      <c r="Y1841" s="1" t="n"/>
    </row>
    <row r="1842">
      <c r="A1842" s="34">
        <f>IF($H1059="UNIDADE CONSTRUTIVA",OFFSET(A1059,-1,0)+1,LARGE(A$3:A1058,1))</f>
        <v/>
      </c>
      <c r="B1842" s="34" t="n"/>
      <c r="C1842" s="34" t="n"/>
      <c r="D1842" s="35" t="n"/>
      <c r="E1842" s="35" t="n"/>
      <c r="F1842" s="1" t="n"/>
      <c r="G1842" s="167" t="n"/>
      <c r="H1842" s="167" t="n"/>
      <c r="I1842" s="167" t="n"/>
      <c r="J1842" s="168" t="n"/>
      <c r="K1842" s="169" t="n"/>
      <c r="L1842" s="172" t="n"/>
      <c r="M1842" s="172" t="n"/>
      <c r="N1842" s="175" t="n"/>
      <c r="O1842" s="168" t="n"/>
      <c r="P1842" s="173" t="n"/>
      <c r="Q1842" s="1" t="n"/>
      <c r="R1842" s="1" t="n"/>
      <c r="S1842" s="1" t="n"/>
      <c r="T1842" s="1" t="n"/>
      <c r="U1842" s="1" t="n"/>
      <c r="V1842" s="1" t="n"/>
      <c r="W1842" s="1" t="n"/>
      <c r="X1842" s="1" t="n"/>
      <c r="Y1842" s="1" t="n"/>
    </row>
    <row r="1843">
      <c r="A1843" s="34">
        <f>IF($H1060="UNIDADE CONSTRUTIVA",OFFSET(A1060,-1,0)+1,LARGE(A$3:A1059,1))</f>
        <v/>
      </c>
      <c r="B1843" s="34" t="n"/>
      <c r="C1843" s="34" t="n"/>
      <c r="D1843" s="35" t="n"/>
      <c r="E1843" s="35" t="n"/>
      <c r="F1843" s="1" t="n"/>
      <c r="G1843" s="167" t="n"/>
      <c r="H1843" s="167" t="n"/>
      <c r="I1843" s="167" t="n"/>
      <c r="J1843" s="168" t="n"/>
      <c r="K1843" s="169" t="n"/>
      <c r="L1843" s="172" t="n"/>
      <c r="M1843" s="172" t="n"/>
      <c r="N1843" s="175" t="n"/>
      <c r="O1843" s="168" t="n"/>
      <c r="P1843" s="173" t="n"/>
      <c r="Q1843" s="1" t="n"/>
      <c r="R1843" s="1" t="n"/>
      <c r="S1843" s="1" t="n"/>
      <c r="T1843" s="1" t="n"/>
      <c r="U1843" s="1" t="n"/>
      <c r="V1843" s="1" t="n"/>
      <c r="W1843" s="1" t="n"/>
      <c r="X1843" s="1" t="n"/>
      <c r="Y1843" s="1" t="n"/>
    </row>
    <row r="1844">
      <c r="A1844" s="34">
        <f>IF($H1061="UNIDADE CONSTRUTIVA",OFFSET(A1061,-1,0)+1,LARGE(A$3:A1060,1))</f>
        <v/>
      </c>
      <c r="B1844" s="34" t="n"/>
      <c r="C1844" s="34" t="n"/>
      <c r="D1844" s="35" t="n"/>
      <c r="E1844" s="35" t="n"/>
      <c r="F1844" s="1" t="n"/>
      <c r="G1844" s="167" t="n"/>
      <c r="H1844" s="167" t="n"/>
      <c r="I1844" s="167" t="n"/>
      <c r="J1844" s="168" t="n"/>
      <c r="K1844" s="169" t="n"/>
      <c r="L1844" s="172" t="n"/>
      <c r="M1844" s="172" t="n"/>
      <c r="N1844" s="175" t="n"/>
      <c r="O1844" s="168" t="n"/>
      <c r="P1844" s="173" t="n"/>
      <c r="Q1844" s="1" t="n"/>
      <c r="R1844" s="1" t="n"/>
      <c r="S1844" s="1" t="n"/>
      <c r="T1844" s="1" t="n"/>
      <c r="U1844" s="1" t="n"/>
      <c r="V1844" s="1" t="n"/>
      <c r="W1844" s="1" t="n"/>
      <c r="X1844" s="1" t="n"/>
      <c r="Y1844" s="1" t="n"/>
    </row>
    <row r="1845">
      <c r="A1845" s="34">
        <f>IF($H1062="UNIDADE CONSTRUTIVA",OFFSET(A1062,-1,0)+1,LARGE(A$3:A1061,1))</f>
        <v/>
      </c>
      <c r="B1845" s="34" t="n"/>
      <c r="C1845" s="34" t="n"/>
      <c r="D1845" s="35" t="n"/>
      <c r="E1845" s="35" t="n"/>
      <c r="F1845" s="1" t="n"/>
      <c r="G1845" s="167" t="n"/>
      <c r="H1845" s="167" t="n"/>
      <c r="I1845" s="167" t="n"/>
      <c r="J1845" s="168" t="n"/>
      <c r="K1845" s="169" t="n"/>
      <c r="L1845" s="172" t="n"/>
      <c r="M1845" s="172" t="n"/>
      <c r="N1845" s="175" t="n"/>
      <c r="O1845" s="168" t="n"/>
      <c r="P1845" s="173" t="n"/>
      <c r="Q1845" s="1" t="n"/>
      <c r="R1845" s="1" t="n"/>
      <c r="S1845" s="1" t="n"/>
      <c r="T1845" s="1" t="n"/>
      <c r="U1845" s="1" t="n"/>
      <c r="V1845" s="1" t="n"/>
      <c r="W1845" s="1" t="n"/>
      <c r="X1845" s="1" t="n"/>
      <c r="Y1845" s="1" t="n"/>
    </row>
    <row r="1846">
      <c r="A1846" s="34">
        <f>IF($H1063="UNIDADE CONSTRUTIVA",OFFSET(A1063,-1,0)+1,LARGE(A$3:A1062,1))</f>
        <v/>
      </c>
      <c r="B1846" s="34" t="n"/>
      <c r="C1846" s="34" t="n"/>
      <c r="D1846" s="35" t="n"/>
      <c r="E1846" s="35" t="n"/>
      <c r="F1846" s="1" t="n"/>
      <c r="G1846" s="167" t="n"/>
      <c r="H1846" s="167" t="n"/>
      <c r="I1846" s="167" t="n"/>
      <c r="J1846" s="168" t="n"/>
      <c r="K1846" s="169" t="n"/>
      <c r="L1846" s="172" t="n"/>
      <c r="M1846" s="172" t="n"/>
      <c r="N1846" s="175" t="n"/>
      <c r="O1846" s="168" t="n"/>
      <c r="P1846" s="173" t="n"/>
      <c r="Q1846" s="1" t="n"/>
      <c r="R1846" s="1" t="n"/>
      <c r="S1846" s="1" t="n"/>
      <c r="T1846" s="1" t="n"/>
      <c r="U1846" s="1" t="n"/>
      <c r="V1846" s="1" t="n"/>
      <c r="W1846" s="1" t="n"/>
      <c r="X1846" s="1" t="n"/>
      <c r="Y1846" s="1" t="n"/>
    </row>
    <row r="1847">
      <c r="A1847" s="34">
        <f>IF($H1064="UNIDADE CONSTRUTIVA",OFFSET(A1064,-1,0)+1,LARGE(A$3:A1063,1))</f>
        <v/>
      </c>
      <c r="B1847" s="34" t="n"/>
      <c r="C1847" s="34" t="n"/>
      <c r="D1847" s="35" t="n"/>
      <c r="E1847" s="35" t="n"/>
      <c r="F1847" s="1" t="n"/>
      <c r="G1847" s="167" t="n"/>
      <c r="H1847" s="167" t="n"/>
      <c r="I1847" s="167" t="n"/>
      <c r="J1847" s="168" t="n"/>
      <c r="K1847" s="169" t="n"/>
      <c r="L1847" s="172" t="n"/>
      <c r="M1847" s="172" t="n"/>
      <c r="N1847" s="175" t="n"/>
      <c r="O1847" s="168" t="n"/>
      <c r="P1847" s="173" t="n"/>
      <c r="Q1847" s="1" t="n"/>
      <c r="R1847" s="1" t="n"/>
      <c r="S1847" s="1" t="n"/>
      <c r="T1847" s="1" t="n"/>
      <c r="U1847" s="1" t="n"/>
      <c r="V1847" s="1" t="n"/>
      <c r="W1847" s="1" t="n"/>
      <c r="X1847" s="1" t="n"/>
      <c r="Y1847" s="1" t="n"/>
    </row>
    <row r="1848">
      <c r="A1848" s="34">
        <f>IF($H1065="UNIDADE CONSTRUTIVA",OFFSET(A1065,-1,0)+1,LARGE(A$3:A1064,1))</f>
        <v/>
      </c>
      <c r="B1848" s="34" t="n"/>
      <c r="C1848" s="34" t="n"/>
      <c r="D1848" s="35" t="n"/>
      <c r="E1848" s="35" t="n"/>
      <c r="F1848" s="1" t="n"/>
      <c r="G1848" s="167" t="n"/>
      <c r="H1848" s="167" t="n"/>
      <c r="I1848" s="167" t="n"/>
      <c r="J1848" s="168" t="n"/>
      <c r="K1848" s="169" t="n"/>
      <c r="L1848" s="172" t="n"/>
      <c r="M1848" s="172" t="n"/>
      <c r="N1848" s="175" t="n"/>
      <c r="O1848" s="168" t="n"/>
      <c r="P1848" s="173" t="n"/>
      <c r="Q1848" s="1" t="n"/>
      <c r="R1848" s="1" t="n"/>
      <c r="S1848" s="1" t="n"/>
      <c r="T1848" s="1" t="n"/>
      <c r="U1848" s="1" t="n"/>
      <c r="V1848" s="1" t="n"/>
      <c r="W1848" s="1" t="n"/>
      <c r="X1848" s="1" t="n"/>
      <c r="Y1848" s="1" t="n"/>
    </row>
    <row r="1849">
      <c r="A1849" s="34">
        <f>IF($H1066="UNIDADE CONSTRUTIVA",OFFSET(A1066,-1,0)+1,LARGE(A$3:A1065,1))</f>
        <v/>
      </c>
      <c r="B1849" s="34" t="n"/>
      <c r="C1849" s="34" t="n"/>
      <c r="D1849" s="35" t="n"/>
      <c r="E1849" s="35" t="n"/>
      <c r="F1849" s="1" t="n"/>
      <c r="G1849" s="167" t="n"/>
      <c r="H1849" s="167" t="n"/>
      <c r="I1849" s="167" t="n"/>
      <c r="J1849" s="168" t="n"/>
      <c r="K1849" s="169" t="n"/>
      <c r="L1849" s="172" t="n"/>
      <c r="M1849" s="172" t="n"/>
      <c r="N1849" s="175" t="n"/>
      <c r="O1849" s="168" t="n"/>
      <c r="P1849" s="173" t="n"/>
      <c r="Q1849" s="1" t="n"/>
      <c r="R1849" s="1" t="n"/>
      <c r="S1849" s="1" t="n"/>
      <c r="T1849" s="1" t="n"/>
      <c r="U1849" s="1" t="n"/>
      <c r="V1849" s="1" t="n"/>
      <c r="W1849" s="1" t="n"/>
      <c r="X1849" s="1" t="n"/>
      <c r="Y1849" s="1" t="n"/>
    </row>
    <row r="1850">
      <c r="A1850" s="34">
        <f>IF($H1067="UNIDADE CONSTRUTIVA",OFFSET(A1067,-1,0)+1,LARGE(A$3:A1066,1))</f>
        <v/>
      </c>
      <c r="B1850" s="34" t="n"/>
      <c r="C1850" s="34" t="n"/>
      <c r="D1850" s="35" t="n"/>
      <c r="E1850" s="35" t="n"/>
      <c r="F1850" s="1" t="n"/>
      <c r="G1850" s="167" t="n"/>
      <c r="H1850" s="167" t="n"/>
      <c r="I1850" s="167" t="n"/>
      <c r="J1850" s="168" t="n"/>
      <c r="K1850" s="169" t="n"/>
      <c r="L1850" s="172" t="n"/>
      <c r="M1850" s="172" t="n"/>
      <c r="N1850" s="175" t="n"/>
      <c r="O1850" s="168" t="n"/>
      <c r="P1850" s="173" t="n"/>
      <c r="Q1850" s="1" t="n"/>
      <c r="R1850" s="1" t="n"/>
      <c r="S1850" s="1" t="n"/>
      <c r="T1850" s="1" t="n"/>
      <c r="U1850" s="1" t="n"/>
      <c r="V1850" s="1" t="n"/>
      <c r="W1850" s="1" t="n"/>
      <c r="X1850" s="1" t="n"/>
      <c r="Y1850" s="1" t="n"/>
    </row>
    <row r="1851">
      <c r="A1851" s="34">
        <f>IF($H1068="UNIDADE CONSTRUTIVA",OFFSET(A1068,-1,0)+1,LARGE(A$3:A1067,1))</f>
        <v/>
      </c>
      <c r="B1851" s="34" t="n"/>
      <c r="C1851" s="34" t="n"/>
      <c r="D1851" s="35" t="n"/>
      <c r="E1851" s="35" t="n"/>
      <c r="F1851" s="1" t="n"/>
      <c r="G1851" s="167" t="n"/>
      <c r="H1851" s="167" t="n"/>
      <c r="I1851" s="167" t="n"/>
      <c r="J1851" s="168" t="n"/>
      <c r="K1851" s="169" t="n"/>
      <c r="L1851" s="172" t="n"/>
      <c r="M1851" s="172" t="n"/>
      <c r="N1851" s="175" t="n"/>
      <c r="O1851" s="168" t="n"/>
      <c r="P1851" s="173" t="n"/>
      <c r="Q1851" s="1" t="n"/>
      <c r="R1851" s="1" t="n"/>
      <c r="S1851" s="1" t="n"/>
      <c r="T1851" s="1" t="n"/>
      <c r="U1851" s="1" t="n"/>
      <c r="V1851" s="1" t="n"/>
      <c r="W1851" s="1" t="n"/>
      <c r="X1851" s="1" t="n"/>
      <c r="Y1851" s="1" t="n"/>
    </row>
    <row r="1852">
      <c r="A1852" s="34">
        <f>IF($H1069="UNIDADE CONSTRUTIVA",OFFSET(A1069,-1,0)+1,LARGE(A$3:A1068,1))</f>
        <v/>
      </c>
      <c r="B1852" s="34" t="n"/>
      <c r="C1852" s="34" t="n"/>
      <c r="D1852" s="35" t="n"/>
      <c r="E1852" s="35" t="n"/>
      <c r="F1852" s="1" t="n"/>
      <c r="G1852" s="167" t="n"/>
      <c r="H1852" s="167" t="n"/>
      <c r="I1852" s="167" t="n"/>
      <c r="J1852" s="168" t="n"/>
      <c r="K1852" s="169" t="n"/>
      <c r="L1852" s="172" t="n"/>
      <c r="M1852" s="172" t="n"/>
      <c r="N1852" s="175" t="n"/>
      <c r="O1852" s="168" t="n"/>
      <c r="P1852" s="173" t="n"/>
      <c r="Q1852" s="1" t="n"/>
      <c r="R1852" s="1" t="n"/>
      <c r="S1852" s="1" t="n"/>
      <c r="T1852" s="1" t="n"/>
      <c r="U1852" s="1" t="n"/>
      <c r="V1852" s="1" t="n"/>
      <c r="W1852" s="1" t="n"/>
      <c r="X1852" s="1" t="n"/>
      <c r="Y1852" s="1" t="n"/>
    </row>
    <row r="1853">
      <c r="A1853" s="34">
        <f>IF($H1070="UNIDADE CONSTRUTIVA",OFFSET(A1070,-1,0)+1,LARGE(A$3:A1069,1))</f>
        <v/>
      </c>
      <c r="B1853" s="34" t="n"/>
      <c r="C1853" s="34" t="n"/>
      <c r="D1853" s="35" t="n"/>
      <c r="E1853" s="35" t="n"/>
      <c r="F1853" s="1" t="n"/>
      <c r="G1853" s="167" t="n"/>
      <c r="H1853" s="167" t="n"/>
      <c r="I1853" s="167" t="n"/>
      <c r="J1853" s="168" t="n"/>
      <c r="K1853" s="169" t="n"/>
      <c r="L1853" s="172" t="n"/>
      <c r="M1853" s="172" t="n"/>
      <c r="N1853" s="175" t="n"/>
      <c r="O1853" s="168" t="n"/>
      <c r="P1853" s="173" t="n"/>
      <c r="Q1853" s="1" t="n"/>
      <c r="R1853" s="1" t="n"/>
      <c r="S1853" s="1" t="n"/>
      <c r="T1853" s="1" t="n"/>
      <c r="U1853" s="1" t="n"/>
      <c r="V1853" s="1" t="n"/>
      <c r="W1853" s="1" t="n"/>
      <c r="X1853" s="1" t="n"/>
      <c r="Y1853" s="1" t="n"/>
    </row>
    <row r="1854">
      <c r="A1854" s="34">
        <f>IF($H1071="UNIDADE CONSTRUTIVA",OFFSET(A1071,-1,0)+1,LARGE(A$3:A1070,1))</f>
        <v/>
      </c>
      <c r="B1854" s="34" t="n"/>
      <c r="C1854" s="34" t="n"/>
      <c r="D1854" s="35" t="n"/>
      <c r="E1854" s="35" t="n"/>
      <c r="F1854" s="1" t="n"/>
      <c r="G1854" s="167" t="n"/>
      <c r="H1854" s="167" t="n"/>
      <c r="I1854" s="167" t="n"/>
      <c r="J1854" s="168" t="n"/>
      <c r="K1854" s="169" t="n"/>
      <c r="L1854" s="172" t="n"/>
      <c r="M1854" s="172" t="n"/>
      <c r="N1854" s="175" t="n"/>
      <c r="O1854" s="168" t="n"/>
      <c r="P1854" s="173" t="n"/>
      <c r="Q1854" s="1" t="n"/>
      <c r="R1854" s="1" t="n"/>
      <c r="S1854" s="1" t="n"/>
      <c r="T1854" s="1" t="n"/>
      <c r="U1854" s="1" t="n"/>
      <c r="V1854" s="1" t="n"/>
      <c r="W1854" s="1" t="n"/>
      <c r="X1854" s="1" t="n"/>
      <c r="Y1854" s="1" t="n"/>
    </row>
    <row r="1855">
      <c r="A1855" s="34">
        <f>IF($H1072="UNIDADE CONSTRUTIVA",OFFSET(A1072,-1,0)+1,LARGE(A$3:A1071,1))</f>
        <v/>
      </c>
      <c r="B1855" s="34" t="n"/>
      <c r="C1855" s="34" t="n"/>
      <c r="D1855" s="35" t="n"/>
      <c r="E1855" s="35" t="n"/>
      <c r="F1855" s="1" t="n"/>
      <c r="G1855" s="167" t="n"/>
      <c r="H1855" s="167" t="n"/>
      <c r="I1855" s="167" t="n"/>
      <c r="J1855" s="168" t="n"/>
      <c r="K1855" s="169" t="n"/>
      <c r="L1855" s="172" t="n"/>
      <c r="M1855" s="172" t="n"/>
      <c r="N1855" s="175" t="n"/>
      <c r="O1855" s="168" t="n"/>
      <c r="P1855" s="173" t="n"/>
      <c r="Q1855" s="1" t="n"/>
      <c r="R1855" s="1" t="n"/>
      <c r="S1855" s="1" t="n"/>
      <c r="T1855" s="1" t="n"/>
      <c r="U1855" s="1" t="n"/>
      <c r="V1855" s="1" t="n"/>
      <c r="W1855" s="1" t="n"/>
      <c r="X1855" s="1" t="n"/>
      <c r="Y1855" s="1" t="n"/>
    </row>
    <row r="1856">
      <c r="A1856" s="34">
        <f>IF($H1073="UNIDADE CONSTRUTIVA",OFFSET(A1073,-1,0)+1,LARGE(A$3:A1072,1))</f>
        <v/>
      </c>
      <c r="B1856" s="34" t="n"/>
      <c r="C1856" s="34" t="n"/>
      <c r="D1856" s="35" t="n"/>
      <c r="E1856" s="35" t="n"/>
      <c r="F1856" s="1" t="n"/>
      <c r="G1856" s="167" t="n"/>
      <c r="H1856" s="167" t="n"/>
      <c r="I1856" s="167" t="n"/>
      <c r="J1856" s="168" t="n"/>
      <c r="K1856" s="169" t="n"/>
      <c r="L1856" s="172" t="n"/>
      <c r="M1856" s="172" t="n"/>
      <c r="N1856" s="175" t="n"/>
      <c r="O1856" s="168" t="n"/>
      <c r="P1856" s="173" t="n"/>
      <c r="Q1856" s="1" t="n"/>
      <c r="R1856" s="1" t="n"/>
      <c r="S1856" s="1" t="n"/>
      <c r="T1856" s="1" t="n"/>
      <c r="U1856" s="1" t="n"/>
      <c r="V1856" s="1" t="n"/>
      <c r="W1856" s="1" t="n"/>
      <c r="X1856" s="1" t="n"/>
      <c r="Y1856" s="1" t="n"/>
    </row>
    <row r="1857">
      <c r="A1857" s="1" t="n"/>
      <c r="B1857" s="34" t="n"/>
      <c r="C1857" s="34" t="n"/>
      <c r="D1857" s="35" t="n"/>
      <c r="E1857" s="35" t="n"/>
      <c r="F1857" s="1" t="n"/>
      <c r="G1857" s="1" t="n"/>
      <c r="H1857" s="1" t="n"/>
      <c r="I1857" s="1" t="n"/>
      <c r="J1857" s="1" t="n"/>
      <c r="K1857" s="1" t="n"/>
      <c r="L1857" s="1" t="n"/>
      <c r="M1857" s="1" t="n"/>
      <c r="N1857" s="1" t="n"/>
      <c r="O1857" s="1" t="n"/>
      <c r="P1857" s="1" t="n"/>
      <c r="Q1857" s="1" t="n"/>
      <c r="R1857" s="1" t="n"/>
      <c r="S1857" s="1" t="n"/>
      <c r="T1857" s="1" t="n"/>
      <c r="U1857" s="1" t="n"/>
      <c r="V1857" s="1" t="n"/>
      <c r="W1857" s="1" t="n"/>
      <c r="X1857" s="1" t="n"/>
      <c r="Y185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2026-04-02T17:04:08Z</dcterms:created>
  <dcterms:modified xmlns:dcterms="http://purl.org/dc/terms/" xmlns:xsi="http://www.w3.org/2001/XMLSchema-instance" xsi:type="dcterms:W3CDTF">2026-04-02T17:04:12Z</dcterms:modified>
</cp:coreProperties>
</file>