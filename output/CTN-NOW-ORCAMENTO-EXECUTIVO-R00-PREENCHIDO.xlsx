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OBRA" sheetId="1" state="visible" r:id="rId1"/>
    <sheet xmlns:r="http://schemas.openxmlformats.org/officeDocument/2006/relationships" name="EPC's" sheetId="2" state="visible" r:id="rId2"/>
    <sheet xmlns:r="http://schemas.openxmlformats.org/officeDocument/2006/relationships" name="ORÇAMENTO" sheetId="3" state="visible" r:id="rId3"/>
    <sheet xmlns:r="http://schemas.openxmlformats.org/officeDocument/2006/relationships" name="Planilha1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#REF!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 hidden="1">3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>#REF!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17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>#REF!</definedName>
    <definedName name="bdfjghf" hidden="1">{#N/A,#N/A,FALSE,"Plan1";#N/A,#N/A,FALSE,"Plan2"}</definedName>
    <definedName name="BDI">#REF!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{#N/A,#N/A,FALSE,"Plan1";#N/A,#N/A,FALSE,"Plan2"}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>#REF!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{#N/A,#N/A,FALSE,"Plan1";#N/A,#N/A,FALSE,"Plan2"}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>#REF!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{#N/A,#N/A,FALSE,"Plan1";#N/A,#N/A,FALSE,"Plan2"}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>#REF!</definedName>
    <definedName name="SISTEM1">#REF!</definedName>
    <definedName name="SISTEM2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hidden="1">IF(#REF!="Ativa",OFFSET(INDEX(rng_list_classificacao,MATCH(#REF!,rng_list_classificacao,0)),1,0,COUNTA(rng_list_classificacao)-1),#REF!)</definedName>
    <definedName name="vld_regional" hidden="1">OFFSET(INDEX(rng_list_regional,MATCH(#REF!,rng_list_regional,0)),1,0,COUNTA(rng_list_regional)-1)</definedName>
    <definedName name="vld_segmento" hidden="1">IF(#REF!="Ativa",OFFSET(INDEX(rng_list_segmento,MATCH(#REF!,rng_list_segmento,0)),1,0,COUNTA(rng_list_segmento)-1),#REF!)</definedName>
    <definedName name="vld_sociedade" hidden="1">OFFSET(INDEX(rng_list_sociedade,MATCH(#REF!,rng_list_sociedade,0)),1,0,COUNTA(rng_list_sociedade)-1)</definedName>
    <definedName name="vld_status_empresa" hidden="1">OFFSET(INDEX(rng_list_status_empresa,MATCH(#REF!,rng_list_status_empresa,0)),1,0,COUNTA(rng_list_status_empresa)-1)</definedName>
    <definedName name="vld_status_lancamento" hidden="1">IF(#REF!="Ativa",OFFSET(INDEX(rng_list_status_lancamento,MATCH(#REF!,rng_list_status_lancamento,0)),1,0,COUNTA(rng_list_status_lancamento)-1),#REF!)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#REF!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>#REF!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  <definedName name="_xlnm._FilterDatabase" localSheetId="2" hidden="1">'ORÇAMENTO'!$A$11:$P$298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0#"/>
    <numFmt numFmtId="167" formatCode="00#"/>
    <numFmt numFmtId="168" formatCode="00#\ &quot;UC&quot;"/>
    <numFmt numFmtId="169" formatCode="_-* #,##0.00_-;\-* #,##0.00_-;_-* &quot;-&quot;??_-;_-@"/>
    <numFmt numFmtId="170" formatCode="_-* #.##0.00_-;\-* #.##0.00_-;_-* &quot;-&quot;??_-;_-@_-"/>
  </numFmts>
  <fonts count="45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Poppins"/>
      <sz val="10"/>
    </font>
    <font>
      <name val="Poppins"/>
      <color indexed="8"/>
      <sz val="10"/>
    </font>
    <font>
      <name val="Calibri"/>
      <family val="2"/>
      <color theme="1"/>
      <sz val="11"/>
      <scheme val="minor"/>
    </font>
    <font>
      <name val="Poppins"/>
      <b val="1"/>
      <color theme="0"/>
      <sz val="10"/>
    </font>
    <font>
      <name val="Poppins"/>
      <b val="1"/>
      <color rgb="FF010000"/>
      <sz val="10"/>
    </font>
    <font>
      <name val="Poppins"/>
      <b val="1"/>
      <color rgb="FF121212"/>
      <sz val="10"/>
    </font>
    <font>
      <name val="Poppins"/>
      <b val="1"/>
      <color rgb="FF121212"/>
      <sz val="20"/>
    </font>
    <font>
      <name val="Arial"/>
      <family val="2"/>
      <sz val="8"/>
    </font>
    <font>
      <name val="Poppins"/>
      <color rgb="FF121212"/>
      <sz val="10"/>
    </font>
    <font>
      <name val="Poppins"/>
      <color theme="1"/>
      <sz val="11"/>
    </font>
    <font>
      <name val="Poppins"/>
      <b val="1"/>
      <color theme="0"/>
      <sz val="14"/>
    </font>
    <font>
      <name val="Poppins"/>
      <b val="1"/>
      <color rgb="FF002060"/>
      <sz val="14"/>
    </font>
    <font>
      <name val="Poppins"/>
      <color rgb="FF121212"/>
      <sz val="11"/>
    </font>
    <font>
      <name val="Poppins"/>
      <color rgb="FF121212"/>
      <sz val="8"/>
    </font>
    <font>
      <name val="Poppins"/>
      <b val="1"/>
      <color theme="0"/>
      <sz val="8"/>
    </font>
    <font>
      <name val="Poppins"/>
      <b val="1"/>
      <color rgb="FF002060"/>
      <sz val="8"/>
    </font>
    <font>
      <name val="Calibri"/>
      <family val="2"/>
      <color theme="1"/>
      <sz val="8"/>
      <scheme val="minor"/>
    </font>
    <font>
      <name val="Poppins"/>
      <color theme="1"/>
      <sz val="8"/>
    </font>
    <font>
      <name val="Poppins"/>
      <color rgb="FF010000"/>
      <sz val="10"/>
    </font>
    <font>
      <name val="Arial"/>
      <family val="2"/>
      <sz val="10"/>
    </font>
    <font>
      <name val="Calibri"/>
      <family val="2"/>
      <color theme="0" tint="-0.499984740745262"/>
      <sz val="11"/>
      <scheme val="minor"/>
    </font>
    <font>
      <name val="Calibri"/>
      <family val="2"/>
      <color theme="0" tint="-0.499984740745262"/>
      <sz val="8"/>
      <scheme val="minor"/>
    </font>
    <font>
      <name val="Arial"/>
      <family val="2"/>
      <color theme="0" tint="-0.499984740745262"/>
      <sz val="8"/>
    </font>
    <font>
      <name val="Arial"/>
      <family val="2"/>
      <color theme="0" tint="-0.499984740745262"/>
      <sz val="10"/>
    </font>
    <font>
      <name val="Arial"/>
      <family val="2"/>
      <b val="1"/>
      <color theme="0"/>
      <sz val="8"/>
    </font>
    <font>
      <name val="Poppins"/>
      <b val="1"/>
      <color rgb="FFFF0000"/>
      <sz val="10"/>
    </font>
    <font>
      <name val="Poppins"/>
      <color rgb="FFFF0000"/>
      <sz val="10"/>
    </font>
    <font>
      <name val="Poppins"/>
      <color theme="0"/>
      <sz val="10"/>
    </font>
    <font>
      <name val="Poppins"/>
      <color rgb="FF121212"/>
      <sz val="20"/>
    </font>
    <font>
      <name val="Poppins"/>
      <color theme="1"/>
      <sz val="10"/>
    </font>
    <font>
      <name val="Poppins"/>
      <color theme="0" tint="-0.499984740745262"/>
      <sz val="8"/>
    </font>
    <font>
      <name val="Poppins"/>
      <b val="1"/>
      <color theme="0" tint="-0.499984740745262"/>
      <sz val="10"/>
    </font>
    <font>
      <name val="Poppins"/>
      <b val="1"/>
      <sz val="10"/>
    </font>
    <font>
      <name val="Poppins"/>
      <b val="1"/>
      <color rgb="FFFF0000"/>
      <sz val="8.5"/>
    </font>
    <font>
      <name val="Poppins"/>
      <b val="1"/>
      <color theme="0"/>
      <sz val="11"/>
    </font>
    <font>
      <name val="Poppins"/>
      <sz val="11"/>
    </font>
    <font>
      <name val="Poppins"/>
      <b val="1"/>
      <color theme="1"/>
      <sz val="10"/>
    </font>
    <font>
      <name val="Poppins"/>
      <b val="1"/>
      <color rgb="FF121212"/>
      <sz val="14"/>
    </font>
    <font>
      <name val="Roboto"/>
      <sz val="10"/>
    </font>
  </fonts>
  <fills count="1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2121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3F3F3F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rgb="FF3F3F3F"/>
        <bgColor rgb="FF3F3F3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333333"/>
        <bgColor rgb="FFFFFFFF"/>
      </patternFill>
    </fill>
    <fill>
      <patternFill patternType="solid">
        <fgColor rgb="FF333333"/>
        <bgColor indexed="64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rgb="FFFFFFFF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0" tint="-0.3499862666707358"/>
      </left>
      <right style="hair">
        <color theme="0" tint="-0.3499862666707358"/>
      </right>
      <top style="hair">
        <color theme="0" tint="-0.3499862666707358"/>
      </top>
      <bottom style="hair">
        <color theme="0" tint="-0.3499862666707358"/>
      </bottom>
      <diagonal/>
    </border>
    <border>
      <left/>
      <right/>
      <top style="hair">
        <color theme="0" tint="-0.3499862666707358"/>
      </top>
      <bottom style="thin">
        <color indexed="64"/>
      </bottom>
      <diagonal/>
    </border>
    <border>
      <left/>
      <right style="thin">
        <color indexed="64"/>
      </right>
      <top style="hair">
        <color theme="0" tint="-0.349986266670735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43" fontId="25" fillId="0" borderId="0"/>
    <xf numFmtId="0" fontId="8" fillId="0" borderId="0"/>
    <xf numFmtId="43" fontId="8" fillId="0" borderId="0"/>
    <xf numFmtId="0" fontId="25" fillId="0" borderId="0"/>
    <xf numFmtId="43" fontId="25" fillId="0" borderId="0"/>
    <xf numFmtId="44" fontId="25" fillId="0" borderId="0"/>
    <xf numFmtId="0" fontId="8" fillId="0" borderId="0"/>
    <xf numFmtId="43" fontId="8" fillId="0" borderId="0"/>
    <xf numFmtId="44" fontId="25" fillId="0" borderId="0"/>
    <xf numFmtId="9" fontId="25" fillId="0" borderId="0"/>
    <xf numFmtId="0" fontId="8" fillId="0" borderId="0"/>
    <xf numFmtId="44" fontId="8" fillId="0" borderId="0"/>
    <xf numFmtId="9" fontId="8" fillId="0" borderId="0"/>
    <xf numFmtId="0" fontId="8" fillId="0" borderId="0"/>
    <xf numFmtId="9" fontId="8" fillId="0" borderId="0"/>
    <xf numFmtId="170" fontId="8" fillId="0" borderId="0"/>
    <xf numFmtId="43" fontId="25" fillId="0" borderId="0"/>
    <xf numFmtId="43" fontId="8" fillId="0" borderId="0"/>
  </cellStyleXfs>
  <cellXfs count="368">
    <xf numFmtId="0" fontId="0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wrapText="1"/>
    </xf>
    <xf numFmtId="0" fontId="6" fillId="0" borderId="0" applyAlignment="1" pivotButton="0" quotePrefix="0" xfId="0">
      <alignment horizontal="center"/>
    </xf>
    <xf numFmtId="0" fontId="8" fillId="0" borderId="0" pivotButton="0" quotePrefix="0" xfId="2"/>
    <xf numFmtId="0" fontId="14" fillId="6" borderId="17" applyAlignment="1" pivotButton="0" quotePrefix="0" xfId="2">
      <alignment horizontal="left" vertical="center" wrapText="1"/>
    </xf>
    <xf numFmtId="0" fontId="14" fillId="6" borderId="0" applyAlignment="1" pivotButton="0" quotePrefix="0" xfId="2">
      <alignment horizontal="left" vertical="center" wrapText="1"/>
    </xf>
    <xf numFmtId="0" fontId="14" fillId="6" borderId="0" applyAlignment="1" pivotButton="0" quotePrefix="0" xfId="2">
      <alignment horizontal="center" vertical="center" wrapText="1"/>
    </xf>
    <xf numFmtId="164" fontId="14" fillId="6" borderId="0" applyAlignment="1" pivotButton="0" quotePrefix="0" xfId="3">
      <alignment horizontal="left" vertical="center" wrapText="1"/>
    </xf>
    <xf numFmtId="0" fontId="18" fillId="6" borderId="18" pivotButton="0" quotePrefix="0" xfId="2"/>
    <xf numFmtId="0" fontId="19" fillId="6" borderId="17" pivotButton="0" quotePrefix="0" xfId="2"/>
    <xf numFmtId="0" fontId="20" fillId="8" borderId="2" applyAlignment="1" pivotButton="0" quotePrefix="0" xfId="2">
      <alignment horizontal="center" vertical="center"/>
    </xf>
    <xf numFmtId="0" fontId="20" fillId="8" borderId="5" applyAlignment="1" pivotButton="0" quotePrefix="0" xfId="2">
      <alignment horizontal="center" vertical="center" wrapText="1"/>
    </xf>
    <xf numFmtId="164" fontId="20" fillId="8" borderId="6" applyAlignment="1" pivotButton="0" quotePrefix="0" xfId="3">
      <alignment horizontal="center" vertical="center" wrapText="1"/>
    </xf>
    <xf numFmtId="0" fontId="19" fillId="6" borderId="19" applyAlignment="1" pivotButton="0" quotePrefix="0" xfId="2">
      <alignment vertical="center" wrapText="1"/>
    </xf>
    <xf numFmtId="164" fontId="19" fillId="6" borderId="20" applyAlignment="1" pivotButton="0" quotePrefix="0" xfId="3">
      <alignment horizontal="center" vertical="center" wrapText="1"/>
    </xf>
    <xf numFmtId="0" fontId="19" fillId="6" borderId="22" applyAlignment="1" pivotButton="0" quotePrefix="0" xfId="2">
      <alignment vertical="center" wrapText="1"/>
    </xf>
    <xf numFmtId="164" fontId="19" fillId="6" borderId="23" applyAlignment="1" pivotButton="0" quotePrefix="0" xfId="3">
      <alignment horizontal="center" vertical="center" wrapText="1"/>
    </xf>
    <xf numFmtId="164" fontId="18" fillId="6" borderId="18" pivotButton="0" quotePrefix="0" xfId="2"/>
    <xf numFmtId="0" fontId="19" fillId="6" borderId="24" applyAlignment="1" pivotButton="0" quotePrefix="0" xfId="2">
      <alignment vertical="center" wrapText="1"/>
    </xf>
    <xf numFmtId="164" fontId="19" fillId="6" borderId="25" applyAlignment="1" pivotButton="0" quotePrefix="0" xfId="3">
      <alignment horizontal="center" vertical="center" wrapText="1"/>
    </xf>
    <xf numFmtId="0" fontId="18" fillId="6" borderId="26" pivotButton="0" quotePrefix="0" xfId="2"/>
    <xf numFmtId="0" fontId="18" fillId="6" borderId="27" applyAlignment="1" pivotButton="0" quotePrefix="0" xfId="2">
      <alignment horizontal="center"/>
    </xf>
    <xf numFmtId="164" fontId="18" fillId="6" borderId="27" applyAlignment="1" pivotButton="0" quotePrefix="0" xfId="3">
      <alignment horizontal="center"/>
    </xf>
    <xf numFmtId="0" fontId="15" fillId="0" borderId="0" pivotButton="0" quotePrefix="0" xfId="2"/>
    <xf numFmtId="0" fontId="15" fillId="0" borderId="0" applyAlignment="1" pivotButton="0" quotePrefix="0" xfId="2">
      <alignment horizontal="center"/>
    </xf>
    <xf numFmtId="164" fontId="15" fillId="0" borderId="0" applyAlignment="1" pivotButton="0" quotePrefix="0" xfId="3">
      <alignment horizontal="center"/>
    </xf>
    <xf numFmtId="0" fontId="5" fillId="0" borderId="0" pivotButton="0" quotePrefix="0" xfId="4"/>
    <xf numFmtId="0" fontId="19" fillId="6" borderId="19" applyAlignment="1" pivotButton="0" quotePrefix="0" xfId="4">
      <alignment vertical="center" wrapText="1"/>
    </xf>
    <xf numFmtId="0" fontId="20" fillId="10" borderId="4" applyAlignment="1" pivotButton="0" quotePrefix="0" xfId="4">
      <alignment vertical="center" wrapText="1"/>
    </xf>
    <xf numFmtId="0" fontId="19" fillId="6" borderId="32" applyAlignment="1" pivotButton="0" quotePrefix="0" xfId="4">
      <alignment vertical="center" wrapText="1"/>
    </xf>
    <xf numFmtId="0" fontId="19" fillId="6" borderId="29" pivotButton="0" quotePrefix="0" xfId="4"/>
    <xf numFmtId="0" fontId="18" fillId="6" borderId="30" applyAlignment="1" pivotButton="0" quotePrefix="0" xfId="4">
      <alignment horizontal="center"/>
    </xf>
    <xf numFmtId="0" fontId="19" fillId="6" borderId="30" applyAlignment="1" pivotButton="0" quotePrefix="0" xfId="4">
      <alignment horizontal="center"/>
    </xf>
    <xf numFmtId="0" fontId="18" fillId="6" borderId="31" pivotButton="0" quotePrefix="0" xfId="4"/>
    <xf numFmtId="0" fontId="18" fillId="6" borderId="17" pivotButton="0" quotePrefix="0" xfId="4"/>
    <xf numFmtId="0" fontId="18" fillId="6" borderId="0" applyAlignment="1" pivotButton="0" quotePrefix="0" xfId="4">
      <alignment horizontal="center"/>
    </xf>
    <xf numFmtId="0" fontId="19" fillId="6" borderId="0" applyAlignment="1" pivotButton="0" quotePrefix="0" xfId="4">
      <alignment horizontal="center"/>
    </xf>
    <xf numFmtId="0" fontId="18" fillId="6" borderId="18" pivotButton="0" quotePrefix="0" xfId="4"/>
    <xf numFmtId="0" fontId="20" fillId="8" borderId="2" applyAlignment="1" pivotButton="0" quotePrefix="0" xfId="4">
      <alignment horizontal="center" vertical="center"/>
    </xf>
    <xf numFmtId="0" fontId="20" fillId="8" borderId="5" applyAlignment="1" pivotButton="0" quotePrefix="0" xfId="4">
      <alignment horizontal="center" vertical="center" wrapText="1"/>
    </xf>
    <xf numFmtId="0" fontId="20" fillId="10" borderId="3" applyAlignment="1" pivotButton="0" quotePrefix="0" xfId="4">
      <alignment vertical="center" wrapText="1"/>
    </xf>
    <xf numFmtId="0" fontId="20" fillId="8" borderId="41" applyAlignment="1" pivotButton="0" quotePrefix="0" xfId="4">
      <alignment horizontal="center" vertical="center"/>
    </xf>
    <xf numFmtId="0" fontId="20" fillId="8" borderId="42" applyAlignment="1" pivotButton="0" quotePrefix="0" xfId="4">
      <alignment horizontal="center" vertical="center" wrapText="1"/>
    </xf>
    <xf numFmtId="0" fontId="18" fillId="6" borderId="26" pivotButton="0" quotePrefix="0" xfId="4"/>
    <xf numFmtId="0" fontId="18" fillId="6" borderId="27" applyAlignment="1" pivotButton="0" quotePrefix="0" xfId="4">
      <alignment horizontal="center"/>
    </xf>
    <xf numFmtId="0" fontId="19" fillId="6" borderId="27" applyAlignment="1" pivotButton="0" quotePrefix="0" xfId="4">
      <alignment horizontal="center"/>
    </xf>
    <xf numFmtId="0" fontId="18" fillId="6" borderId="28" pivotButton="0" quotePrefix="0" xfId="4"/>
    <xf numFmtId="0" fontId="13" fillId="0" borderId="0" pivotButton="0" quotePrefix="0" xfId="0"/>
    <xf numFmtId="165" fontId="13" fillId="0" borderId="0" pivotButton="0" quotePrefix="0" xfId="0"/>
    <xf numFmtId="164" fontId="6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166" fontId="28" fillId="0" borderId="0" applyAlignment="1" pivotButton="0" quotePrefix="0" xfId="4">
      <alignment horizontal="left" vertical="center"/>
    </xf>
    <xf numFmtId="167" fontId="28" fillId="0" borderId="0" applyAlignment="1" pivotButton="0" quotePrefix="0" xfId="4">
      <alignment horizontal="left" vertical="center"/>
    </xf>
    <xf numFmtId="0" fontId="29" fillId="0" borderId="0" applyAlignment="1" pivotButton="0" quotePrefix="0" xfId="4">
      <alignment vertical="center"/>
    </xf>
    <xf numFmtId="0" fontId="29" fillId="0" borderId="0" applyAlignment="1" pivotButton="0" quotePrefix="0" xfId="4">
      <alignment horizontal="left" vertical="center"/>
    </xf>
    <xf numFmtId="4" fontId="13" fillId="0" borderId="0" pivotButton="0" quotePrefix="0" xfId="0"/>
    <xf numFmtId="0" fontId="4" fillId="0" borderId="0" pivotButton="0" quotePrefix="0" xfId="0"/>
    <xf numFmtId="0" fontId="13" fillId="0" borderId="0" applyAlignment="1" pivotButton="0" quotePrefix="0" xfId="0">
      <alignment horizontal="center" vertical="center"/>
    </xf>
    <xf numFmtId="165" fontId="13" fillId="0" borderId="0" pivotButton="0" quotePrefix="0" xfId="9"/>
    <xf numFmtId="0" fontId="30" fillId="13" borderId="0" pivotButton="0" quotePrefix="0" xfId="0"/>
    <xf numFmtId="0" fontId="30" fillId="1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9" fontId="6" fillId="0" borderId="0" applyAlignment="1" pivotButton="0" quotePrefix="0" xfId="10">
      <alignment horizontal="center"/>
    </xf>
    <xf numFmtId="0" fontId="4" fillId="0" borderId="46" pivotButton="0" quotePrefix="0" xfId="0"/>
    <xf numFmtId="168" fontId="10" fillId="14" borderId="1" applyAlignment="1" pivotButton="0" quotePrefix="1" xfId="0">
      <alignment horizontal="left" vertical="center" wrapText="1"/>
    </xf>
    <xf numFmtId="0" fontId="9" fillId="14" borderId="30" applyAlignment="1" pivotButton="0" quotePrefix="0" xfId="0">
      <alignment vertical="center"/>
    </xf>
    <xf numFmtId="0" fontId="6" fillId="0" borderId="0" applyAlignment="1" pivotButton="0" quotePrefix="0" xfId="0">
      <alignment horizontal="left"/>
    </xf>
    <xf numFmtId="0" fontId="34" fillId="0" borderId="0" applyAlignment="1" pivotButton="0" quotePrefix="0" xfId="0">
      <alignment horizontal="center" vertical="center" wrapText="1"/>
    </xf>
    <xf numFmtId="9" fontId="34" fillId="0" borderId="0" applyAlignment="1" pivotButton="0" quotePrefix="0" xfId="10">
      <alignment horizontal="center" vertical="center" wrapText="1"/>
    </xf>
    <xf numFmtId="0" fontId="4" fillId="0" borderId="4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8" fontId="24" fillId="0" borderId="46" applyAlignment="1" pivotButton="0" quotePrefix="0" xfId="0">
      <alignment horizontal="left" vertical="center" wrapText="1"/>
    </xf>
    <xf numFmtId="10" fontId="24" fillId="0" borderId="10" applyAlignment="1" pivotButton="0" quotePrefix="0" xfId="10">
      <alignment horizontal="center" vertical="center"/>
    </xf>
    <xf numFmtId="0" fontId="24" fillId="0" borderId="52" applyAlignment="1" pivotButton="0" quotePrefix="0" xfId="0">
      <alignment horizontal="left" vertical="center" wrapText="1"/>
    </xf>
    <xf numFmtId="168" fontId="24" fillId="0" borderId="52" applyAlignment="1" pivotButton="0" quotePrefix="0" xfId="0">
      <alignment horizontal="left" vertical="center" wrapText="1"/>
    </xf>
    <xf numFmtId="0" fontId="24" fillId="0" borderId="52" applyAlignment="1" pivotButton="0" quotePrefix="0" xfId="0">
      <alignment horizontal="center" vertical="center"/>
    </xf>
    <xf numFmtId="164" fontId="24" fillId="0" borderId="52" applyAlignment="1" pivotButton="0" quotePrefix="0" xfId="1">
      <alignment horizontal="right" vertical="center"/>
    </xf>
    <xf numFmtId="10" fontId="24" fillId="0" borderId="52" applyAlignment="1" pivotButton="0" quotePrefix="0" xfId="10">
      <alignment horizontal="center" vertical="center"/>
    </xf>
    <xf numFmtId="0" fontId="34" fillId="0" borderId="0" applyAlignment="1" pivotButton="0" quotePrefix="0" xfId="0">
      <alignment horizontal="left" vertical="center" wrapText="1"/>
    </xf>
    <xf numFmtId="164" fontId="24" fillId="0" borderId="52" applyAlignment="1" pivotButton="0" quotePrefix="0" xfId="1">
      <alignment horizontal="left" vertical="center" wrapText="1"/>
    </xf>
    <xf numFmtId="168" fontId="10" fillId="14" borderId="47" applyAlignment="1" pivotButton="0" quotePrefix="1" xfId="0">
      <alignment horizontal="left" vertical="center" wrapText="1"/>
    </xf>
    <xf numFmtId="164" fontId="9" fillId="14" borderId="53" applyAlignment="1" pivotButton="0" quotePrefix="0" xfId="1">
      <alignment horizontal="right" vertical="center"/>
    </xf>
    <xf numFmtId="164" fontId="9" fillId="14" borderId="54" applyAlignment="1" pivotButton="0" quotePrefix="0" xfId="1">
      <alignment horizontal="left" vertical="center" wrapText="1"/>
    </xf>
    <xf numFmtId="4" fontId="34" fillId="0" borderId="0" applyAlignment="1" pivotButton="0" quotePrefix="0" xfId="0">
      <alignment horizontal="center" vertical="center" wrapText="1"/>
    </xf>
    <xf numFmtId="4" fontId="32" fillId="2" borderId="0" applyAlignment="1" pivotButton="0" quotePrefix="0" xfId="0">
      <alignment vertical="top"/>
    </xf>
    <xf numFmtId="4" fontId="24" fillId="0" borderId="52" applyAlignment="1" pivotButton="0" quotePrefix="0" xfId="1">
      <alignment horizontal="right" vertical="center"/>
    </xf>
    <xf numFmtId="4" fontId="9" fillId="14" borderId="30" applyAlignment="1" pivotButton="0" quotePrefix="0" xfId="0">
      <alignment vertical="center"/>
    </xf>
    <xf numFmtId="4" fontId="6" fillId="0" borderId="0" pivotButton="0" quotePrefix="0" xfId="0"/>
    <xf numFmtId="4" fontId="13" fillId="0" borderId="0" applyAlignment="1" pivotButton="0" quotePrefix="0" xfId="0">
      <alignment horizontal="center" vertical="center"/>
    </xf>
    <xf numFmtId="4" fontId="30" fillId="13" borderId="0" applyAlignment="1" pivotButton="0" quotePrefix="0" xfId="0">
      <alignment horizontal="center" vertical="center"/>
    </xf>
    <xf numFmtId="0" fontId="24" fillId="0" borderId="52" applyAlignment="1" pivotButton="0" quotePrefix="0" xfId="0">
      <alignment horizontal="left" vertical="center"/>
    </xf>
    <xf numFmtId="0" fontId="34" fillId="0" borderId="0" applyAlignment="1" pivotButton="0" quotePrefix="0" xfId="0">
      <alignment horizontal="center" vertical="center"/>
    </xf>
    <xf numFmtId="0" fontId="7" fillId="2" borderId="0" pivotButton="0" quotePrefix="0" xfId="0"/>
    <xf numFmtId="0" fontId="24" fillId="0" borderId="45" applyAlignment="1" pivotButton="0" quotePrefix="0" xfId="0">
      <alignment horizontal="left" vertical="center"/>
    </xf>
    <xf numFmtId="0" fontId="9" fillId="14" borderId="53" applyAlignment="1" pivotButton="0" quotePrefix="0" xfId="0">
      <alignment vertical="center"/>
    </xf>
    <xf numFmtId="4" fontId="24" fillId="0" borderId="10" applyAlignment="1" pivotButton="0" quotePrefix="0" xfId="1">
      <alignment horizontal="right" vertical="center"/>
    </xf>
    <xf numFmtId="166" fontId="36" fillId="0" borderId="0" applyAlignment="1" pivotButton="0" quotePrefix="0" xfId="4">
      <alignment horizontal="left" vertical="center"/>
    </xf>
    <xf numFmtId="167" fontId="36" fillId="0" borderId="0" applyAlignment="1" pivotButton="0" quotePrefix="0" xfId="4">
      <alignment horizontal="left" vertical="center"/>
    </xf>
    <xf numFmtId="0" fontId="6" fillId="0" borderId="46" pivotButton="0" quotePrefix="0" xfId="0"/>
    <xf numFmtId="0" fontId="37" fillId="0" borderId="0" applyAlignment="1" pivotButton="0" quotePrefix="0" xfId="4">
      <alignment vertical="center"/>
    </xf>
    <xf numFmtId="0" fontId="37" fillId="0" borderId="0" applyAlignment="1" pivotButton="0" quotePrefix="0" xfId="4">
      <alignment horizontal="left" vertical="center"/>
    </xf>
    <xf numFmtId="0" fontId="38" fillId="0" borderId="0" pivotButton="0" quotePrefix="0" xfId="0"/>
    <xf numFmtId="0" fontId="32" fillId="0" borderId="52" applyAlignment="1" pivotButton="0" quotePrefix="0" xfId="0">
      <alignment horizontal="left" vertical="center" wrapText="1"/>
    </xf>
    <xf numFmtId="164" fontId="32" fillId="0" borderId="52" applyAlignment="1" pivotButton="0" quotePrefix="0" xfId="1">
      <alignment horizontal="left" vertical="center" wrapText="1"/>
    </xf>
    <xf numFmtId="4" fontId="4" fillId="0" borderId="0" pivotButton="0" quotePrefix="0" xfId="0"/>
    <xf numFmtId="168" fontId="6" fillId="0" borderId="52" applyAlignment="1" pivotButton="0" quotePrefix="0" xfId="0">
      <alignment horizontal="left" vertical="center" wrapText="1"/>
    </xf>
    <xf numFmtId="0" fontId="6" fillId="0" borderId="52" applyAlignment="1" pivotButton="0" quotePrefix="0" xfId="0">
      <alignment horizontal="left" vertical="center"/>
    </xf>
    <xf numFmtId="0" fontId="6" fillId="0" borderId="52" applyAlignment="1" pivotButton="0" quotePrefix="0" xfId="0">
      <alignment horizontal="center" vertical="center"/>
    </xf>
    <xf numFmtId="164" fontId="6" fillId="0" borderId="52" applyAlignment="1" pivotButton="0" quotePrefix="0" xfId="1">
      <alignment horizontal="right" vertical="center"/>
    </xf>
    <xf numFmtId="4" fontId="6" fillId="0" borderId="52" applyAlignment="1" pivotButton="0" quotePrefix="0" xfId="1">
      <alignment horizontal="right" vertical="center"/>
    </xf>
    <xf numFmtId="4" fontId="24" fillId="0" borderId="0" applyAlignment="1" pivotButton="0" quotePrefix="0" xfId="1">
      <alignment horizontal="right" vertical="center"/>
    </xf>
    <xf numFmtId="0" fontId="9" fillId="3" borderId="55" applyAlignment="1" pivotButton="0" quotePrefix="0" xfId="0">
      <alignment horizontal="center" vertical="center" wrapText="1"/>
    </xf>
    <xf numFmtId="0" fontId="9" fillId="3" borderId="55" applyAlignment="1" pivotButton="0" quotePrefix="0" xfId="0">
      <alignment horizontal="center" vertical="center"/>
    </xf>
    <xf numFmtId="0" fontId="33" fillId="3" borderId="55" applyAlignment="1" pivotButton="0" quotePrefix="0" xfId="0">
      <alignment horizontal="center" vertical="center" wrapText="1"/>
    </xf>
    <xf numFmtId="164" fontId="9" fillId="3" borderId="55" applyAlignment="1" pivotButton="0" quotePrefix="0" xfId="1">
      <alignment horizontal="center" vertical="center" wrapText="1"/>
    </xf>
    <xf numFmtId="4" fontId="9" fillId="3" borderId="55" applyAlignment="1" pivotButton="0" quotePrefix="0" xfId="1">
      <alignment horizontal="center" vertical="center" wrapText="1"/>
    </xf>
    <xf numFmtId="9" fontId="9" fillId="3" borderId="55" applyAlignment="1" pivotButton="0" quotePrefix="0" xfId="10">
      <alignment horizontal="center" vertical="center" wrapText="1"/>
    </xf>
    <xf numFmtId="164" fontId="9" fillId="3" borderId="50" applyAlignment="1" pivotButton="0" quotePrefix="0" xfId="1">
      <alignment horizontal="center" vertical="center" wrapText="1"/>
    </xf>
    <xf numFmtId="0" fontId="24" fillId="0" borderId="46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center" vertical="center"/>
    </xf>
    <xf numFmtId="164" fontId="24" fillId="0" borderId="0" applyAlignment="1" pivotButton="0" quotePrefix="0" xfId="1">
      <alignment horizontal="right" vertical="center"/>
    </xf>
    <xf numFmtId="164" fontId="24" fillId="0" borderId="18" applyAlignment="1" pivotButton="0" quotePrefix="0" xfId="1">
      <alignment horizontal="left" vertical="center" wrapText="1"/>
    </xf>
    <xf numFmtId="164" fontId="33" fillId="16" borderId="15" applyAlignment="1" pivotButton="0" quotePrefix="0" xfId="1">
      <alignment vertical="top"/>
    </xf>
    <xf numFmtId="164" fontId="33" fillId="16" borderId="44" applyAlignment="1" pivotButton="0" quotePrefix="0" xfId="1">
      <alignment vertical="top"/>
    </xf>
    <xf numFmtId="165" fontId="34" fillId="0" borderId="0" applyAlignment="1" pivotButton="0" quotePrefix="0" xfId="9">
      <alignment horizontal="center" vertical="center" wrapText="1"/>
    </xf>
    <xf numFmtId="165" fontId="9" fillId="3" borderId="49" applyAlignment="1" pivotButton="0" quotePrefix="0" xfId="9">
      <alignment horizontal="center" vertical="center" wrapText="1"/>
    </xf>
    <xf numFmtId="165" fontId="33" fillId="16" borderId="15" applyAlignment="1" pivotButton="0" quotePrefix="0" xfId="9">
      <alignment vertical="top"/>
    </xf>
    <xf numFmtId="165" fontId="24" fillId="0" borderId="0" applyAlignment="1" pivotButton="0" quotePrefix="0" xfId="9">
      <alignment horizontal="right" vertical="center"/>
    </xf>
    <xf numFmtId="165" fontId="24" fillId="0" borderId="52" applyAlignment="1" pivotButton="0" quotePrefix="0" xfId="9">
      <alignment horizontal="right" vertical="center"/>
    </xf>
    <xf numFmtId="165" fontId="9" fillId="14" borderId="53" applyAlignment="1" pivotButton="0" quotePrefix="0" xfId="9">
      <alignment horizontal="right" vertical="center"/>
    </xf>
    <xf numFmtId="165" fontId="6" fillId="0" borderId="0" pivotButton="0" quotePrefix="0" xfId="9"/>
    <xf numFmtId="165" fontId="6" fillId="0" borderId="52" applyAlignment="1" pivotButton="0" quotePrefix="0" xfId="9">
      <alignment horizontal="right" vertical="center"/>
    </xf>
    <xf numFmtId="10" fontId="6" fillId="0" borderId="52" applyAlignment="1" pivotButton="0" quotePrefix="0" xfId="10">
      <alignment horizontal="center" vertical="center"/>
    </xf>
    <xf numFmtId="169" fontId="40" fillId="11" borderId="7" applyAlignment="1" pivotButton="0" quotePrefix="0" xfId="14">
      <alignment horizontal="center" vertical="center"/>
    </xf>
    <xf numFmtId="17" fontId="40" fillId="11" borderId="7" applyAlignment="1" pivotButton="0" quotePrefix="0" xfId="14">
      <alignment horizontal="center" vertical="center"/>
    </xf>
    <xf numFmtId="169" fontId="40" fillId="11" borderId="7" applyAlignment="1" pivotButton="0" quotePrefix="0" xfId="14">
      <alignment horizontal="left" vertical="center"/>
    </xf>
    <xf numFmtId="0" fontId="40" fillId="11" borderId="7" applyAlignment="1" pivotButton="0" quotePrefix="0" xfId="14">
      <alignment horizontal="left" vertical="center"/>
    </xf>
    <xf numFmtId="9" fontId="40" fillId="11" borderId="7" applyAlignment="1" pivotButton="0" quotePrefix="0" xfId="14">
      <alignment horizontal="center" vertical="center"/>
    </xf>
    <xf numFmtId="4" fontId="15" fillId="9" borderId="56" applyAlignment="1" pivotButton="0" quotePrefix="0" xfId="14">
      <alignment horizontal="center" vertical="center"/>
    </xf>
    <xf numFmtId="169" fontId="15" fillId="9" borderId="57" applyAlignment="1" pivotButton="0" quotePrefix="0" xfId="14">
      <alignment horizontal="left" vertical="center"/>
    </xf>
    <xf numFmtId="10" fontId="15" fillId="9" borderId="57" applyAlignment="1" pivotButton="0" quotePrefix="0" xfId="14">
      <alignment horizontal="center" vertical="center"/>
    </xf>
    <xf numFmtId="169" fontId="41" fillId="9" borderId="57" applyAlignment="1" pivotButton="0" quotePrefix="0" xfId="14">
      <alignment horizontal="left" vertical="center"/>
    </xf>
    <xf numFmtId="0" fontId="15" fillId="9" borderId="58" applyAlignment="1" pivotButton="0" quotePrefix="0" xfId="14">
      <alignment horizontal="left" vertical="center"/>
    </xf>
    <xf numFmtId="4" fontId="15" fillId="17" borderId="59" applyAlignment="1" pivotButton="0" quotePrefix="0" xfId="14">
      <alignment horizontal="center" vertical="center"/>
    </xf>
    <xf numFmtId="169" fontId="41" fillId="17" borderId="60" applyAlignment="1" pivotButton="0" quotePrefix="0" xfId="14">
      <alignment horizontal="left" vertical="center"/>
    </xf>
    <xf numFmtId="10" fontId="15" fillId="17" borderId="60" applyAlignment="1" pivotButton="0" quotePrefix="0" xfId="14">
      <alignment horizontal="center" vertical="center"/>
    </xf>
    <xf numFmtId="0" fontId="15" fillId="17" borderId="61" applyAlignment="1" pivotButton="0" quotePrefix="0" xfId="14">
      <alignment horizontal="left" vertical="center"/>
    </xf>
    <xf numFmtId="0" fontId="40" fillId="11" borderId="7" applyAlignment="1" pivotButton="0" quotePrefix="0" xfId="14">
      <alignment horizontal="center" vertical="center"/>
    </xf>
    <xf numFmtId="49" fontId="35" fillId="0" borderId="17" applyAlignment="1" pivotButton="0" quotePrefix="0" xfId="14">
      <alignment vertical="center"/>
    </xf>
    <xf numFmtId="0" fontId="35" fillId="18" borderId="0" applyAlignment="1" pivotButton="0" quotePrefix="0" xfId="14">
      <alignment vertical="center"/>
    </xf>
    <xf numFmtId="170" fontId="35" fillId="18" borderId="0" applyAlignment="1" pivotButton="0" quotePrefix="0" xfId="16">
      <alignment vertical="center"/>
    </xf>
    <xf numFmtId="0" fontId="44" fillId="6" borderId="18" applyAlignment="1" pivotButton="0" quotePrefix="0" xfId="14">
      <alignment vertical="center"/>
    </xf>
    <xf numFmtId="49" fontId="9" fillId="4" borderId="62" applyAlignment="1" pivotButton="0" quotePrefix="0" xfId="14">
      <alignment vertical="center"/>
    </xf>
    <xf numFmtId="0" fontId="42" fillId="6" borderId="14" applyAlignment="1" pivotButton="0" quotePrefix="0" xfId="14">
      <alignment vertical="center"/>
    </xf>
    <xf numFmtId="0" fontId="42" fillId="6" borderId="15" applyAlignment="1" pivotButton="0" quotePrefix="0" xfId="14">
      <alignment vertical="center"/>
    </xf>
    <xf numFmtId="164" fontId="42" fillId="6" borderId="15" applyAlignment="1" pivotButton="0" quotePrefix="0" xfId="17">
      <alignment vertical="center"/>
    </xf>
    <xf numFmtId="0" fontId="44" fillId="6" borderId="63" applyAlignment="1" pivotButton="0" quotePrefix="0" xfId="14">
      <alignment vertical="center"/>
    </xf>
    <xf numFmtId="49" fontId="9" fillId="4" borderId="64" applyAlignment="1" pivotButton="0" quotePrefix="0" xfId="14">
      <alignment vertical="center"/>
    </xf>
    <xf numFmtId="14" fontId="42" fillId="6" borderId="14" applyAlignment="1" pivotButton="0" quotePrefix="0" xfId="14">
      <alignment horizontal="left" vertical="center"/>
    </xf>
    <xf numFmtId="14" fontId="42" fillId="6" borderId="15" applyAlignment="1" pivotButton="0" quotePrefix="0" xfId="14">
      <alignment vertical="center"/>
    </xf>
    <xf numFmtId="49" fontId="9" fillId="4" borderId="65" applyAlignment="1" pivotButton="0" quotePrefix="0" xfId="14">
      <alignment horizontal="left" vertical="center"/>
    </xf>
    <xf numFmtId="169" fontId="19" fillId="9" borderId="66" applyAlignment="1" pivotButton="0" quotePrefix="0" xfId="0">
      <alignment vertical="center" wrapText="1"/>
    </xf>
    <xf numFmtId="169" fontId="19" fillId="9" borderId="67" applyAlignment="1" pivotButton="0" quotePrefix="0" xfId="0">
      <alignment vertical="center" wrapText="1"/>
    </xf>
    <xf numFmtId="169" fontId="23" fillId="9" borderId="67" applyAlignment="1" pivotButton="0" quotePrefix="0" xfId="0">
      <alignment vertical="center" wrapText="1"/>
    </xf>
    <xf numFmtId="169" fontId="19" fillId="9" borderId="68" applyAlignment="1" pivotButton="0" quotePrefix="0" xfId="0">
      <alignment vertical="center" wrapText="1"/>
    </xf>
    <xf numFmtId="0" fontId="11" fillId="5" borderId="2" applyAlignment="1" pivotButton="0" quotePrefix="0" xfId="4">
      <alignment vertical="center" wrapText="1"/>
    </xf>
    <xf numFmtId="0" fontId="14" fillId="6" borderId="11" applyAlignment="1" pivotButton="0" quotePrefix="0" xfId="4">
      <alignment horizontal="left" vertical="center" wrapText="1"/>
    </xf>
    <xf numFmtId="0" fontId="14" fillId="6" borderId="12" applyAlignment="1" pivotButton="0" quotePrefix="0" xfId="4">
      <alignment horizontal="center" vertical="center" wrapText="1"/>
    </xf>
    <xf numFmtId="164" fontId="14" fillId="6" borderId="12" applyAlignment="1" pivotButton="0" quotePrefix="0" xfId="18">
      <alignment horizontal="left" vertical="center" wrapText="1"/>
    </xf>
    <xf numFmtId="0" fontId="19" fillId="6" borderId="12" applyAlignment="1" pivotButton="0" quotePrefix="0" xfId="4">
      <alignment horizontal="center" vertical="center" wrapText="1"/>
    </xf>
    <xf numFmtId="0" fontId="15" fillId="6" borderId="13" pivotButton="0" quotePrefix="0" xfId="4"/>
    <xf numFmtId="0" fontId="11" fillId="5" borderId="3" applyAlignment="1" pivotButton="0" quotePrefix="0" xfId="4">
      <alignment vertical="center" wrapText="1"/>
    </xf>
    <xf numFmtId="0" fontId="14" fillId="6" borderId="14" applyAlignment="1" pivotButton="0" quotePrefix="0" xfId="4">
      <alignment horizontal="left" vertical="center" wrapText="1"/>
    </xf>
    <xf numFmtId="0" fontId="14" fillId="6" borderId="15" applyAlignment="1" pivotButton="0" quotePrefix="0" xfId="4">
      <alignment horizontal="center" vertical="center" wrapText="1"/>
    </xf>
    <xf numFmtId="164" fontId="14" fillId="6" borderId="15" applyAlignment="1" pivotButton="0" quotePrefix="0" xfId="18">
      <alignment horizontal="left" vertical="center" wrapText="1"/>
    </xf>
    <xf numFmtId="0" fontId="19" fillId="6" borderId="15" applyAlignment="1" pivotButton="0" quotePrefix="0" xfId="4">
      <alignment horizontal="center" vertical="center" wrapText="1"/>
    </xf>
    <xf numFmtId="0" fontId="15" fillId="6" borderId="16" pivotButton="0" quotePrefix="0" xfId="4"/>
    <xf numFmtId="0" fontId="17" fillId="6" borderId="17" applyAlignment="1" pivotButton="0" quotePrefix="0" xfId="4">
      <alignment vertical="center" wrapText="1"/>
    </xf>
    <xf numFmtId="0" fontId="17" fillId="6" borderId="0" applyAlignment="1" pivotButton="0" quotePrefix="0" xfId="4">
      <alignment horizontal="center" vertical="center" wrapText="1"/>
    </xf>
    <xf numFmtId="164" fontId="17" fillId="6" borderId="0" applyAlignment="1" pivotButton="0" quotePrefix="0" xfId="18">
      <alignment horizontal="center" vertical="center" wrapText="1"/>
    </xf>
    <xf numFmtId="0" fontId="21" fillId="6" borderId="0" applyAlignment="1" pivotButton="0" quotePrefix="0" xfId="4">
      <alignment horizontal="center" vertical="center" wrapText="1"/>
    </xf>
    <xf numFmtId="0" fontId="15" fillId="6" borderId="18" pivotButton="0" quotePrefix="0" xfId="4"/>
    <xf numFmtId="0" fontId="14" fillId="6" borderId="17" applyAlignment="1" pivotButton="0" quotePrefix="0" xfId="4">
      <alignment horizontal="left" vertical="center" wrapText="1"/>
    </xf>
    <xf numFmtId="0" fontId="14" fillId="6" borderId="0" applyAlignment="1" pivotButton="0" quotePrefix="0" xfId="4">
      <alignment horizontal="left" vertical="center" wrapText="1"/>
    </xf>
    <xf numFmtId="0" fontId="14" fillId="6" borderId="0" applyAlignment="1" pivotButton="0" quotePrefix="0" xfId="4">
      <alignment horizontal="center" vertical="center" wrapText="1"/>
    </xf>
    <xf numFmtId="164" fontId="14" fillId="6" borderId="0" applyAlignment="1" pivotButton="0" quotePrefix="0" xfId="18">
      <alignment horizontal="left" vertical="center" wrapText="1"/>
    </xf>
    <xf numFmtId="0" fontId="19" fillId="6" borderId="0" applyAlignment="1" pivotButton="0" quotePrefix="0" xfId="4">
      <alignment horizontal="center" vertical="center" wrapText="1"/>
    </xf>
    <xf numFmtId="164" fontId="18" fillId="6" borderId="30" applyAlignment="1" pivotButton="0" quotePrefix="0" xfId="18">
      <alignment horizontal="center"/>
    </xf>
    <xf numFmtId="0" fontId="19" fillId="6" borderId="17" pivotButton="0" quotePrefix="0" xfId="4"/>
    <xf numFmtId="164" fontId="18" fillId="6" borderId="0" applyAlignment="1" pivotButton="0" quotePrefix="0" xfId="18">
      <alignment horizontal="center"/>
    </xf>
    <xf numFmtId="164" fontId="20" fillId="8" borderId="6" applyAlignment="1" pivotButton="0" quotePrefix="0" xfId="18">
      <alignment horizontal="center" vertical="center" wrapText="1"/>
    </xf>
    <xf numFmtId="0" fontId="19" fillId="9" borderId="69" applyAlignment="1" pivotButton="0" quotePrefix="0" xfId="0">
      <alignment vertical="center" wrapText="1"/>
    </xf>
    <xf numFmtId="164" fontId="19" fillId="6" borderId="23" applyAlignment="1" pivotButton="0" quotePrefix="0" xfId="18">
      <alignment horizontal="center" vertical="center" wrapText="1"/>
    </xf>
    <xf numFmtId="164" fontId="20" fillId="10" borderId="9" applyAlignment="1" pivotButton="0" quotePrefix="0" xfId="18">
      <alignment horizontal="center" vertical="center" wrapText="1"/>
    </xf>
    <xf numFmtId="169" fontId="20" fillId="12" borderId="70" applyAlignment="1" pivotButton="0" quotePrefix="0" xfId="0">
      <alignment vertical="center" wrapText="1"/>
    </xf>
    <xf numFmtId="0" fontId="19" fillId="9" borderId="35" applyAlignment="1" pivotButton="0" quotePrefix="0" xfId="0">
      <alignment vertical="center" wrapText="1"/>
    </xf>
    <xf numFmtId="169" fontId="19" fillId="9" borderId="36" applyAlignment="1" pivotButton="0" quotePrefix="0" xfId="0">
      <alignment horizontal="center" vertical="center" wrapText="1"/>
    </xf>
    <xf numFmtId="0" fontId="19" fillId="9" borderId="71" applyAlignment="1" pivotButton="0" quotePrefix="0" xfId="0">
      <alignment vertical="center" wrapText="1"/>
    </xf>
    <xf numFmtId="169" fontId="19" fillId="9" borderId="72" applyAlignment="1" pivotButton="0" quotePrefix="0" xfId="0">
      <alignment horizontal="center" vertical="center" wrapText="1"/>
    </xf>
    <xf numFmtId="169" fontId="19" fillId="9" borderId="37" applyAlignment="1" pivotButton="0" quotePrefix="0" xfId="0">
      <alignment vertical="center" wrapText="1"/>
    </xf>
    <xf numFmtId="164" fontId="20" fillId="10" borderId="7" applyAlignment="1" pivotButton="0" quotePrefix="0" xfId="18">
      <alignment horizontal="center" vertical="center" wrapText="1"/>
    </xf>
    <xf numFmtId="169" fontId="20" fillId="12" borderId="40" applyAlignment="1" pivotButton="0" quotePrefix="0" xfId="0">
      <alignment vertical="center" wrapText="1"/>
    </xf>
    <xf numFmtId="164" fontId="19" fillId="6" borderId="0" applyAlignment="1" pivotButton="0" quotePrefix="0" xfId="18">
      <alignment horizontal="center"/>
    </xf>
    <xf numFmtId="0" fontId="19" fillId="6" borderId="18" pivotButton="0" quotePrefix="0" xfId="4"/>
    <xf numFmtId="0" fontId="22" fillId="0" borderId="0" pivotButton="0" quotePrefix="0" xfId="4"/>
    <xf numFmtId="0" fontId="19" fillId="9" borderId="73" applyAlignment="1" pivotButton="0" quotePrefix="0" xfId="0">
      <alignment vertical="center" wrapText="1"/>
    </xf>
    <xf numFmtId="169" fontId="19" fillId="9" borderId="74" applyAlignment="1" pivotButton="0" quotePrefix="0" xfId="0">
      <alignment horizontal="center" vertical="center" wrapText="1"/>
    </xf>
    <xf numFmtId="169" fontId="19" fillId="9" borderId="75" applyAlignment="1" pivotButton="0" quotePrefix="0" xfId="0">
      <alignment vertical="center" wrapText="1"/>
    </xf>
    <xf numFmtId="0" fontId="20" fillId="12" borderId="38" applyAlignment="1" pivotButton="0" quotePrefix="0" xfId="0">
      <alignment vertical="center" wrapText="1"/>
    </xf>
    <xf numFmtId="169" fontId="20" fillId="12" borderId="39" applyAlignment="1" pivotButton="0" quotePrefix="0" xfId="0">
      <alignment horizontal="center" vertical="center" wrapText="1"/>
    </xf>
    <xf numFmtId="164" fontId="20" fillId="8" borderId="43" applyAlignment="1" pivotButton="0" quotePrefix="0" xfId="18">
      <alignment horizontal="center" vertical="center" wrapText="1"/>
    </xf>
    <xf numFmtId="169" fontId="19" fillId="9" borderId="76" applyAlignment="1" pivotButton="0" quotePrefix="0" xfId="0">
      <alignment horizontal="center" vertical="center" wrapText="1"/>
    </xf>
    <xf numFmtId="0" fontId="20" fillId="12" borderId="71" applyAlignment="1" pivotButton="0" quotePrefix="0" xfId="0">
      <alignment vertical="center" wrapText="1"/>
    </xf>
    <xf numFmtId="169" fontId="20" fillId="12" borderId="72" applyAlignment="1" pivotButton="0" quotePrefix="0" xfId="0">
      <alignment horizontal="center" vertical="center" wrapText="1"/>
    </xf>
    <xf numFmtId="169" fontId="20" fillId="12" borderId="37" applyAlignment="1" pivotButton="0" quotePrefix="0" xfId="0">
      <alignment vertical="center" wrapText="1"/>
    </xf>
    <xf numFmtId="164" fontId="19" fillId="6" borderId="20" applyAlignment="1" pivotButton="0" quotePrefix="0" xfId="18">
      <alignment horizontal="center" vertical="center" wrapText="1"/>
    </xf>
    <xf numFmtId="164" fontId="19" fillId="6" borderId="21" applyAlignment="1" pivotButton="0" quotePrefix="0" xfId="18">
      <alignment vertical="center" wrapText="1"/>
    </xf>
    <xf numFmtId="164" fontId="20" fillId="10" borderId="8" applyAlignment="1" pivotButton="0" quotePrefix="0" xfId="18">
      <alignment vertical="center" wrapText="1"/>
    </xf>
    <xf numFmtId="164" fontId="19" fillId="6" borderId="33" applyAlignment="1" pivotButton="0" quotePrefix="0" xfId="18">
      <alignment horizontal="center" vertical="center" wrapText="1"/>
    </xf>
    <xf numFmtId="164" fontId="19" fillId="6" borderId="34" applyAlignment="1" pivotButton="0" quotePrefix="0" xfId="18">
      <alignment vertical="center" wrapText="1"/>
    </xf>
    <xf numFmtId="164" fontId="18" fillId="6" borderId="27" applyAlignment="1" pivotButton="0" quotePrefix="0" xfId="18">
      <alignment horizontal="center"/>
    </xf>
    <xf numFmtId="0" fontId="15" fillId="6" borderId="0" pivotButton="0" quotePrefix="0" xfId="4"/>
    <xf numFmtId="0" fontId="15" fillId="6" borderId="0" applyAlignment="1" pivotButton="0" quotePrefix="0" xfId="4">
      <alignment horizontal="center"/>
    </xf>
    <xf numFmtId="164" fontId="15" fillId="6" borderId="0" applyAlignment="1" pivotButton="0" quotePrefix="0" xfId="18">
      <alignment horizontal="center"/>
    </xf>
    <xf numFmtId="0" fontId="23" fillId="6" borderId="0" applyAlignment="1" pivotButton="0" quotePrefix="0" xfId="4">
      <alignment horizontal="center"/>
    </xf>
    <xf numFmtId="0" fontId="15" fillId="0" borderId="0" pivotButton="0" quotePrefix="0" xfId="4"/>
    <xf numFmtId="0" fontId="15" fillId="0" borderId="0" applyAlignment="1" pivotButton="0" quotePrefix="0" xfId="4">
      <alignment horizontal="center"/>
    </xf>
    <xf numFmtId="164" fontId="15" fillId="0" borderId="0" applyAlignment="1" pivotButton="0" quotePrefix="0" xfId="18">
      <alignment horizontal="center"/>
    </xf>
    <xf numFmtId="0" fontId="23" fillId="0" borderId="0" applyAlignment="1" pivotButton="0" quotePrefix="0" xfId="4">
      <alignment horizontal="center"/>
    </xf>
    <xf numFmtId="49" fontId="9" fillId="4" borderId="0" applyAlignment="1" pivotButton="0" quotePrefix="0" xfId="0">
      <alignment horizontal="left" vertical="top"/>
    </xf>
    <xf numFmtId="49" fontId="9" fillId="4" borderId="15" applyAlignment="1" pivotButton="0" quotePrefix="0" xfId="0">
      <alignment horizontal="left" vertical="top"/>
    </xf>
    <xf numFmtId="14" fontId="35" fillId="0" borderId="15" applyAlignment="1" pivotButton="0" quotePrefix="0" xfId="0">
      <alignment horizontal="left" vertical="top"/>
    </xf>
    <xf numFmtId="165" fontId="6" fillId="0" borderId="0" pivotButton="0" quotePrefix="0" xfId="0"/>
    <xf numFmtId="0" fontId="43" fillId="0" borderId="2" applyAlignment="1" pivotButton="0" quotePrefix="0" xfId="14">
      <alignment horizontal="left" vertical="center"/>
    </xf>
    <xf numFmtId="0" fontId="43" fillId="0" borderId="5" applyAlignment="1" pivotButton="0" quotePrefix="0" xfId="14">
      <alignment horizontal="left" vertical="center"/>
    </xf>
    <xf numFmtId="0" fontId="43" fillId="0" borderId="6" applyAlignment="1" pivotButton="0" quotePrefix="0" xfId="14">
      <alignment horizontal="left" vertical="center"/>
    </xf>
    <xf numFmtId="0" fontId="43" fillId="0" borderId="3" applyAlignment="1" pivotButton="0" quotePrefix="0" xfId="14">
      <alignment horizontal="left" vertical="center"/>
    </xf>
    <xf numFmtId="0" fontId="43" fillId="0" borderId="7" applyAlignment="1" pivotButton="0" quotePrefix="0" xfId="14">
      <alignment horizontal="left" vertical="center"/>
    </xf>
    <xf numFmtId="0" fontId="43" fillId="0" borderId="8" applyAlignment="1" pivotButton="0" quotePrefix="0" xfId="14">
      <alignment horizontal="left" vertical="center"/>
    </xf>
    <xf numFmtId="0" fontId="16" fillId="7" borderId="3" applyAlignment="1" pivotButton="0" quotePrefix="0" xfId="4">
      <alignment horizontal="center" vertical="center" wrapText="1"/>
    </xf>
    <xf numFmtId="0" fontId="16" fillId="7" borderId="7" applyAlignment="1" pivotButton="0" quotePrefix="0" xfId="4">
      <alignment horizontal="center" vertical="center" wrapText="1"/>
    </xf>
    <xf numFmtId="0" fontId="16" fillId="7" borderId="8" applyAlignment="1" pivotButton="0" quotePrefix="0" xfId="4">
      <alignment horizontal="center" vertical="center" wrapText="1"/>
    </xf>
    <xf numFmtId="0" fontId="16" fillId="3" borderId="3" applyAlignment="1" pivotButton="0" quotePrefix="0" xfId="4">
      <alignment horizontal="center" vertical="center" wrapText="1"/>
    </xf>
    <xf numFmtId="0" fontId="16" fillId="3" borderId="7" applyAlignment="1" pivotButton="0" quotePrefix="0" xfId="4">
      <alignment horizontal="center" vertical="center" wrapText="1"/>
    </xf>
    <xf numFmtId="0" fontId="16" fillId="3" borderId="8" applyAlignment="1" pivotButton="0" quotePrefix="0" xfId="4">
      <alignment horizontal="center" vertical="center" wrapText="1"/>
    </xf>
    <xf numFmtId="9" fontId="12" fillId="0" borderId="49" applyAlignment="1" pivotButton="0" quotePrefix="0" xfId="10">
      <alignment horizontal="center" vertical="center"/>
    </xf>
    <xf numFmtId="9" fontId="12" fillId="0" borderId="51" applyAlignment="1" pivotButton="0" quotePrefix="0" xfId="10">
      <alignment horizontal="center" vertical="center"/>
    </xf>
    <xf numFmtId="9" fontId="12" fillId="0" borderId="50" applyAlignment="1" pivotButton="0" quotePrefix="0" xfId="10">
      <alignment horizontal="center" vertical="center"/>
    </xf>
    <xf numFmtId="9" fontId="12" fillId="0" borderId="47" applyAlignment="1" pivotButton="0" quotePrefix="0" xfId="10">
      <alignment horizontal="center" vertical="center"/>
    </xf>
    <xf numFmtId="9" fontId="12" fillId="0" borderId="30" applyAlignment="1" pivotButton="0" quotePrefix="0" xfId="10">
      <alignment horizontal="center" vertical="center"/>
    </xf>
    <xf numFmtId="9" fontId="12" fillId="0" borderId="48" applyAlignment="1" pivotButton="0" quotePrefix="0" xfId="10">
      <alignment horizontal="center" vertical="center"/>
    </xf>
    <xf numFmtId="164" fontId="31" fillId="2" borderId="30" applyAlignment="1" pivotButton="0" quotePrefix="0" xfId="0">
      <alignment horizontal="center" vertical="top"/>
    </xf>
    <xf numFmtId="49" fontId="9" fillId="4" borderId="14" applyAlignment="1" pivotButton="0" quotePrefix="0" xfId="0">
      <alignment horizontal="left" vertical="top"/>
    </xf>
    <xf numFmtId="49" fontId="9" fillId="4" borderId="44" applyAlignment="1" pivotButton="0" quotePrefix="0" xfId="0">
      <alignment horizontal="left" vertical="top"/>
    </xf>
    <xf numFmtId="164" fontId="35" fillId="0" borderId="7" applyAlignment="1" pivotButton="0" quotePrefix="0" xfId="1">
      <alignment horizontal="left" vertical="top"/>
    </xf>
    <xf numFmtId="1" fontId="33" fillId="16" borderId="15" applyAlignment="1" pivotButton="0" quotePrefix="0" xfId="0">
      <alignment horizontal="left" vertical="top"/>
    </xf>
    <xf numFmtId="14" fontId="35" fillId="0" borderId="7" applyAlignment="1" pivotButton="0" quotePrefix="0" xfId="0">
      <alignment horizontal="left" vertical="top"/>
    </xf>
    <xf numFmtId="0" fontId="35" fillId="0" borderId="7" applyAlignment="1" pivotButton="0" quotePrefix="0" xfId="0">
      <alignment horizontal="left" vertical="top"/>
    </xf>
    <xf numFmtId="49" fontId="9" fillId="15" borderId="15" applyAlignment="1" pivotButton="0" quotePrefix="0" xfId="0">
      <alignment horizontal="left" vertical="top"/>
    </xf>
    <xf numFmtId="0" fontId="39" fillId="2" borderId="15" applyAlignment="1" pivotButton="0" quotePrefix="0" xfId="0">
      <alignment horizontal="left"/>
    </xf>
    <xf numFmtId="49" fontId="9" fillId="15" borderId="14" applyAlignment="1" pivotButton="0" quotePrefix="0" xfId="0">
      <alignment horizontal="left" vertical="top"/>
    </xf>
    <xf numFmtId="0" fontId="43" fillId="0" borderId="11" applyAlignment="1" pivotButton="0" quotePrefix="0" xfId="14">
      <alignment horizontal="left" vertical="center"/>
    </xf>
    <xf numFmtId="0" fontId="43" fillId="0" borderId="14" applyAlignment="1" pivotButton="0" quotePrefix="0" xfId="14">
      <alignment horizontal="left" vertical="center"/>
    </xf>
    <xf numFmtId="169" fontId="19" fillId="9" borderId="0" applyAlignment="1" pivotButton="0" quotePrefix="0" xfId="0">
      <alignment vertical="center" wrapText="1"/>
    </xf>
    <xf numFmtId="169" fontId="23" fillId="9" borderId="0" applyAlignment="1" pivotButton="0" quotePrefix="0" xfId="0">
      <alignment vertical="center" wrapText="1"/>
    </xf>
    <xf numFmtId="164" fontId="15" fillId="0" borderId="0" applyAlignment="1" pivotButton="0" quotePrefix="0" xfId="3">
      <alignment horizontal="center"/>
    </xf>
    <xf numFmtId="0" fontId="0" fillId="0" borderId="77" pivotButton="0" quotePrefix="0" xfId="0"/>
    <xf numFmtId="0" fontId="0" fillId="0" borderId="78" pivotButton="0" quotePrefix="0" xfId="0"/>
    <xf numFmtId="0" fontId="0" fillId="0" borderId="17" pivotButton="0" quotePrefix="0" xfId="0"/>
    <xf numFmtId="0" fontId="0" fillId="0" borderId="4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48" pivotButton="0" quotePrefix="0" xfId="0"/>
    <xf numFmtId="170" fontId="35" fillId="18" borderId="0" applyAlignment="1" pivotButton="0" quotePrefix="0" xfId="16">
      <alignment vertical="center"/>
    </xf>
    <xf numFmtId="164" fontId="42" fillId="6" borderId="15" applyAlignment="1" pivotButton="0" quotePrefix="0" xfId="17">
      <alignment vertical="center"/>
    </xf>
    <xf numFmtId="164" fontId="14" fillId="6" borderId="0" applyAlignment="1" pivotButton="0" quotePrefix="0" xfId="3">
      <alignment horizontal="left" vertical="center" wrapText="1"/>
    </xf>
    <xf numFmtId="164" fontId="20" fillId="8" borderId="6" applyAlignment="1" pivotButton="0" quotePrefix="0" xfId="3">
      <alignment horizontal="center" vertical="center" wrapText="1"/>
    </xf>
    <xf numFmtId="169" fontId="19" fillId="9" borderId="0" applyAlignment="1" pivotButton="0" quotePrefix="0" xfId="0">
      <alignment vertical="center" wrapText="1"/>
    </xf>
    <xf numFmtId="164" fontId="19" fillId="6" borderId="20" applyAlignment="1" pivotButton="0" quotePrefix="0" xfId="3">
      <alignment horizontal="center" vertical="center" wrapText="1"/>
    </xf>
    <xf numFmtId="169" fontId="19" fillId="9" borderId="66" applyAlignment="1" pivotButton="0" quotePrefix="0" xfId="0">
      <alignment vertical="center" wrapText="1"/>
    </xf>
    <xf numFmtId="164" fontId="19" fillId="6" borderId="23" applyAlignment="1" pivotButton="0" quotePrefix="0" xfId="3">
      <alignment horizontal="center" vertical="center" wrapText="1"/>
    </xf>
    <xf numFmtId="169" fontId="19" fillId="9" borderId="67" applyAlignment="1" pivotButton="0" quotePrefix="0" xfId="0">
      <alignment vertical="center" wrapText="1"/>
    </xf>
    <xf numFmtId="169" fontId="23" fillId="9" borderId="67" applyAlignment="1" pivotButton="0" quotePrefix="0" xfId="0">
      <alignment vertical="center" wrapText="1"/>
    </xf>
    <xf numFmtId="169" fontId="23" fillId="9" borderId="0" applyAlignment="1" pivotButton="0" quotePrefix="0" xfId="0">
      <alignment vertical="center" wrapText="1"/>
    </xf>
    <xf numFmtId="164" fontId="18" fillId="6" borderId="18" pivotButton="0" quotePrefix="0" xfId="2"/>
    <xf numFmtId="164" fontId="19" fillId="6" borderId="25" applyAlignment="1" pivotButton="0" quotePrefix="0" xfId="3">
      <alignment horizontal="center" vertical="center" wrapText="1"/>
    </xf>
    <xf numFmtId="169" fontId="19" fillId="9" borderId="68" applyAlignment="1" pivotButton="0" quotePrefix="0" xfId="0">
      <alignment vertical="center" wrapText="1"/>
    </xf>
    <xf numFmtId="169" fontId="15" fillId="9" borderId="57" applyAlignment="1" pivotButton="0" quotePrefix="0" xfId="14">
      <alignment horizontal="left" vertical="center"/>
    </xf>
    <xf numFmtId="169" fontId="41" fillId="17" borderId="60" applyAlignment="1" pivotButton="0" quotePrefix="0" xfId="14">
      <alignment horizontal="left" vertical="center"/>
    </xf>
    <xf numFmtId="169" fontId="41" fillId="9" borderId="57" applyAlignment="1" pivotButton="0" quotePrefix="0" xfId="14">
      <alignment horizontal="left" vertical="center"/>
    </xf>
    <xf numFmtId="169" fontId="40" fillId="11" borderId="7" applyAlignment="1" pivotButton="0" quotePrefix="0" xfId="14">
      <alignment horizontal="left" vertical="center"/>
    </xf>
    <xf numFmtId="169" fontId="40" fillId="11" borderId="7" applyAlignment="1" pivotButton="0" quotePrefix="0" xfId="14">
      <alignment horizontal="center" vertical="center"/>
    </xf>
    <xf numFmtId="164" fontId="18" fillId="6" borderId="27" applyAlignment="1" pivotButton="0" quotePrefix="0" xfId="3">
      <alignment horizontal="center"/>
    </xf>
    <xf numFmtId="164" fontId="15" fillId="0" borderId="0" applyAlignment="1" pivotButton="0" quotePrefix="0" xfId="18">
      <alignment horizontal="center"/>
    </xf>
    <xf numFmtId="164" fontId="14" fillId="6" borderId="12" applyAlignment="1" pivotButton="0" quotePrefix="0" xfId="18">
      <alignment horizontal="left" vertical="center" wrapText="1"/>
    </xf>
    <xf numFmtId="164" fontId="14" fillId="6" borderId="15" applyAlignment="1" pivotButton="0" quotePrefix="0" xfId="18">
      <alignment horizontal="left" vertical="center" wrapText="1"/>
    </xf>
    <xf numFmtId="0" fontId="0" fillId="0" borderId="15" pivotButton="0" quotePrefix="0" xfId="0"/>
    <xf numFmtId="0" fontId="0" fillId="0" borderId="44" pivotButton="0" quotePrefix="0" xfId="0"/>
    <xf numFmtId="164" fontId="17" fillId="6" borderId="0" applyAlignment="1" pivotButton="0" quotePrefix="0" xfId="18">
      <alignment horizontal="center" vertical="center" wrapText="1"/>
    </xf>
    <xf numFmtId="164" fontId="14" fillId="6" borderId="0" applyAlignment="1" pivotButton="0" quotePrefix="0" xfId="18">
      <alignment horizontal="left" vertical="center" wrapText="1"/>
    </xf>
    <xf numFmtId="164" fontId="18" fillId="6" borderId="30" applyAlignment="1" pivotButton="0" quotePrefix="0" xfId="18">
      <alignment horizontal="center"/>
    </xf>
    <xf numFmtId="164" fontId="18" fillId="6" borderId="0" applyAlignment="1" pivotButton="0" quotePrefix="0" xfId="18">
      <alignment horizontal="center"/>
    </xf>
    <xf numFmtId="164" fontId="20" fillId="8" borderId="6" applyAlignment="1" pivotButton="0" quotePrefix="0" xfId="18">
      <alignment horizontal="center" vertical="center" wrapText="1"/>
    </xf>
    <xf numFmtId="164" fontId="19" fillId="6" borderId="23" applyAlignment="1" pivotButton="0" quotePrefix="0" xfId="18">
      <alignment horizontal="center" vertical="center" wrapText="1"/>
    </xf>
    <xf numFmtId="164" fontId="20" fillId="10" borderId="9" applyAlignment="1" pivotButton="0" quotePrefix="0" xfId="18">
      <alignment horizontal="center" vertical="center" wrapText="1"/>
    </xf>
    <xf numFmtId="169" fontId="20" fillId="12" borderId="70" applyAlignment="1" pivotButton="0" quotePrefix="0" xfId="0">
      <alignment vertical="center" wrapText="1"/>
    </xf>
    <xf numFmtId="169" fontId="19" fillId="9" borderId="36" applyAlignment="1" pivotButton="0" quotePrefix="0" xfId="0">
      <alignment horizontal="center" vertical="center" wrapText="1"/>
    </xf>
    <xf numFmtId="169" fontId="19" fillId="9" borderId="72" applyAlignment="1" pivotButton="0" quotePrefix="0" xfId="0">
      <alignment horizontal="center" vertical="center" wrapText="1"/>
    </xf>
    <xf numFmtId="169" fontId="19" fillId="9" borderId="37" applyAlignment="1" pivotButton="0" quotePrefix="0" xfId="0">
      <alignment vertical="center" wrapText="1"/>
    </xf>
    <xf numFmtId="164" fontId="20" fillId="10" borderId="7" applyAlignment="1" pivotButton="0" quotePrefix="0" xfId="18">
      <alignment horizontal="center" vertical="center" wrapText="1"/>
    </xf>
    <xf numFmtId="169" fontId="20" fillId="12" borderId="40" applyAlignment="1" pivotButton="0" quotePrefix="0" xfId="0">
      <alignment vertical="center" wrapText="1"/>
    </xf>
    <xf numFmtId="164" fontId="19" fillId="6" borderId="0" applyAlignment="1" pivotButton="0" quotePrefix="0" xfId="18">
      <alignment horizontal="center"/>
    </xf>
    <xf numFmtId="169" fontId="19" fillId="9" borderId="74" applyAlignment="1" pivotButton="0" quotePrefix="0" xfId="0">
      <alignment horizontal="center" vertical="center" wrapText="1"/>
    </xf>
    <xf numFmtId="169" fontId="19" fillId="9" borderId="75" applyAlignment="1" pivotButton="0" quotePrefix="0" xfId="0">
      <alignment vertical="center" wrapText="1"/>
    </xf>
    <xf numFmtId="169" fontId="20" fillId="12" borderId="39" applyAlignment="1" pivotButton="0" quotePrefix="0" xfId="0">
      <alignment horizontal="center" vertical="center" wrapText="1"/>
    </xf>
    <xf numFmtId="164" fontId="20" fillId="8" borderId="43" applyAlignment="1" pivotButton="0" quotePrefix="0" xfId="18">
      <alignment horizontal="center" vertical="center" wrapText="1"/>
    </xf>
    <xf numFmtId="169" fontId="19" fillId="9" borderId="76" applyAlignment="1" pivotButton="0" quotePrefix="0" xfId="0">
      <alignment horizontal="center" vertical="center" wrapText="1"/>
    </xf>
    <xf numFmtId="169" fontId="20" fillId="12" borderId="72" applyAlignment="1" pivotButton="0" quotePrefix="0" xfId="0">
      <alignment horizontal="center" vertical="center" wrapText="1"/>
    </xf>
    <xf numFmtId="169" fontId="20" fillId="12" borderId="37" applyAlignment="1" pivotButton="0" quotePrefix="0" xfId="0">
      <alignment vertical="center" wrapText="1"/>
    </xf>
    <xf numFmtId="164" fontId="19" fillId="6" borderId="20" applyAlignment="1" pivotButton="0" quotePrefix="0" xfId="18">
      <alignment horizontal="center" vertical="center" wrapText="1"/>
    </xf>
    <xf numFmtId="164" fontId="19" fillId="6" borderId="21" applyAlignment="1" pivotButton="0" quotePrefix="0" xfId="18">
      <alignment vertical="center" wrapText="1"/>
    </xf>
    <xf numFmtId="164" fontId="20" fillId="10" borderId="8" applyAlignment="1" pivotButton="0" quotePrefix="0" xfId="18">
      <alignment vertical="center" wrapText="1"/>
    </xf>
    <xf numFmtId="164" fontId="19" fillId="6" borderId="33" applyAlignment="1" pivotButton="0" quotePrefix="0" xfId="18">
      <alignment horizontal="center" vertical="center" wrapText="1"/>
    </xf>
    <xf numFmtId="164" fontId="19" fillId="6" borderId="34" applyAlignment="1" pivotButton="0" quotePrefix="0" xfId="18">
      <alignment vertical="center" wrapText="1"/>
    </xf>
    <xf numFmtId="164" fontId="18" fillId="6" borderId="27" applyAlignment="1" pivotButton="0" quotePrefix="0" xfId="18">
      <alignment horizontal="center"/>
    </xf>
    <xf numFmtId="164" fontId="15" fillId="6" borderId="0" applyAlignment="1" pivotButton="0" quotePrefix="0" xfId="18">
      <alignment horizontal="center"/>
    </xf>
    <xf numFmtId="164" fontId="6" fillId="0" borderId="0" pivotButton="0" quotePrefix="0" xfId="0"/>
    <xf numFmtId="165" fontId="6" fillId="0" borderId="0" pivotButton="0" quotePrefix="0" xfId="9"/>
    <xf numFmtId="9" fontId="12" fillId="0" borderId="7" applyAlignment="1" pivotButton="0" quotePrefix="0" xfId="10">
      <alignment horizontal="center" vertical="center"/>
    </xf>
    <xf numFmtId="0" fontId="0" fillId="0" borderId="51" pivotButton="0" quotePrefix="0" xfId="0"/>
    <xf numFmtId="0" fontId="0" fillId="0" borderId="50" pivotButton="0" quotePrefix="0" xfId="0"/>
    <xf numFmtId="0" fontId="0" fillId="0" borderId="47" pivotButton="0" quotePrefix="0" xfId="0"/>
    <xf numFmtId="165" fontId="34" fillId="0" borderId="0" applyAlignment="1" pivotButton="0" quotePrefix="0" xfId="9">
      <alignment horizontal="center" vertical="center" wrapText="1"/>
    </xf>
    <xf numFmtId="164" fontId="31" fillId="2" borderId="30" applyAlignment="1" pivotButton="0" quotePrefix="0" xfId="0">
      <alignment horizontal="center" vertical="top"/>
    </xf>
    <xf numFmtId="166" fontId="28" fillId="0" borderId="0" applyAlignment="1" pivotButton="0" quotePrefix="0" xfId="4">
      <alignment horizontal="left" vertical="center"/>
    </xf>
    <xf numFmtId="167" fontId="28" fillId="0" borderId="0" applyAlignment="1" pivotButton="0" quotePrefix="0" xfId="4">
      <alignment horizontal="left" vertical="center"/>
    </xf>
    <xf numFmtId="49" fontId="9" fillId="4" borderId="7" applyAlignment="1" pivotButton="0" quotePrefix="0" xfId="0">
      <alignment horizontal="left" vertical="top"/>
    </xf>
    <xf numFmtId="164" fontId="35" fillId="0" borderId="7" applyAlignment="1" pivotButton="0" quotePrefix="0" xfId="1">
      <alignment horizontal="left" vertical="top"/>
    </xf>
    <xf numFmtId="164" fontId="9" fillId="3" borderId="55" applyAlignment="1" pivotButton="0" quotePrefix="0" xfId="1">
      <alignment horizontal="center" vertical="center" wrapText="1"/>
    </xf>
    <xf numFmtId="165" fontId="9" fillId="3" borderId="49" applyAlignment="1" pivotButton="0" quotePrefix="0" xfId="9">
      <alignment horizontal="center" vertical="center" wrapText="1"/>
    </xf>
    <xf numFmtId="164" fontId="9" fillId="3" borderId="50" applyAlignment="1" pivotButton="0" quotePrefix="0" xfId="1">
      <alignment horizontal="center" vertical="center" wrapText="1"/>
    </xf>
    <xf numFmtId="166" fontId="36" fillId="0" borderId="0" applyAlignment="1" pivotButton="0" quotePrefix="0" xfId="4">
      <alignment horizontal="left" vertical="center"/>
    </xf>
    <xf numFmtId="165" fontId="33" fillId="16" borderId="15" applyAlignment="1" pivotButton="0" quotePrefix="0" xfId="9">
      <alignment vertical="top"/>
    </xf>
    <xf numFmtId="164" fontId="33" fillId="16" borderId="15" applyAlignment="1" pivotButton="0" quotePrefix="0" xfId="1">
      <alignment vertical="top"/>
    </xf>
    <xf numFmtId="164" fontId="33" fillId="16" borderId="44" applyAlignment="1" pivotButton="0" quotePrefix="0" xfId="1">
      <alignment vertical="top"/>
    </xf>
    <xf numFmtId="167" fontId="36" fillId="0" borderId="0" applyAlignment="1" pivotButton="0" quotePrefix="0" xfId="4">
      <alignment horizontal="left" vertical="center"/>
    </xf>
    <xf numFmtId="168" fontId="24" fillId="0" borderId="46" applyAlignment="1" pivotButton="0" quotePrefix="0" xfId="0">
      <alignment horizontal="left" vertical="center" wrapText="1"/>
    </xf>
    <xf numFmtId="164" fontId="24" fillId="0" borderId="0" applyAlignment="1" pivotButton="0" quotePrefix="0" xfId="1">
      <alignment horizontal="right" vertical="center"/>
    </xf>
    <xf numFmtId="165" fontId="24" fillId="0" borderId="0" applyAlignment="1" pivotButton="0" quotePrefix="0" xfId="9">
      <alignment horizontal="right" vertical="center"/>
    </xf>
    <xf numFmtId="164" fontId="24" fillId="0" borderId="18" applyAlignment="1" pivotButton="0" quotePrefix="0" xfId="1">
      <alignment horizontal="left" vertical="center" wrapText="1"/>
    </xf>
    <xf numFmtId="168" fontId="24" fillId="0" borderId="52" applyAlignment="1" pivotButton="0" quotePrefix="0" xfId="0">
      <alignment horizontal="left" vertical="center" wrapText="1"/>
    </xf>
    <xf numFmtId="164" fontId="24" fillId="0" borderId="52" applyAlignment="1" pivotButton="0" quotePrefix="0" xfId="1">
      <alignment horizontal="right" vertical="center"/>
    </xf>
    <xf numFmtId="165" fontId="24" fillId="0" borderId="52" applyAlignment="1" pivotButton="0" quotePrefix="0" xfId="9">
      <alignment horizontal="right" vertical="center"/>
    </xf>
    <xf numFmtId="164" fontId="24" fillId="0" borderId="52" applyAlignment="1" pivotButton="0" quotePrefix="0" xfId="1">
      <alignment horizontal="left" vertical="center" wrapText="1"/>
    </xf>
    <xf numFmtId="165" fontId="6" fillId="0" borderId="0" pivotButton="0" quotePrefix="0" xfId="0"/>
    <xf numFmtId="165" fontId="6" fillId="0" borderId="52" applyAlignment="1" pivotButton="0" quotePrefix="0" xfId="9">
      <alignment horizontal="right" vertical="center"/>
    </xf>
    <xf numFmtId="168" fontId="6" fillId="0" borderId="52" applyAlignment="1" pivotButton="0" quotePrefix="0" xfId="0">
      <alignment horizontal="left" vertical="center" wrapText="1"/>
    </xf>
    <xf numFmtId="164" fontId="6" fillId="0" borderId="52" applyAlignment="1" pivotButton="0" quotePrefix="0" xfId="1">
      <alignment horizontal="right" vertical="center"/>
    </xf>
    <xf numFmtId="164" fontId="32" fillId="0" borderId="52" applyAlignment="1" pivotButton="0" quotePrefix="0" xfId="1">
      <alignment horizontal="left" vertical="center" wrapText="1"/>
    </xf>
    <xf numFmtId="168" fontId="10" fillId="14" borderId="1" applyAlignment="1" pivotButton="0" quotePrefix="1" xfId="0">
      <alignment horizontal="left" vertical="center" wrapText="1"/>
    </xf>
    <xf numFmtId="168" fontId="10" fillId="14" borderId="47" applyAlignment="1" pivotButton="0" quotePrefix="1" xfId="0">
      <alignment horizontal="left" vertical="center" wrapText="1"/>
    </xf>
    <xf numFmtId="165" fontId="9" fillId="14" borderId="53" applyAlignment="1" pivotButton="0" quotePrefix="0" xfId="9">
      <alignment horizontal="right" vertical="center"/>
    </xf>
    <xf numFmtId="164" fontId="9" fillId="14" borderId="53" applyAlignment="1" pivotButton="0" quotePrefix="0" xfId="1">
      <alignment horizontal="right" vertical="center"/>
    </xf>
    <xf numFmtId="164" fontId="9" fillId="14" borderId="54" applyAlignment="1" pivotButton="0" quotePrefix="0" xfId="1">
      <alignment horizontal="left" vertical="center" wrapText="1"/>
    </xf>
    <xf numFmtId="165" fontId="13" fillId="0" borderId="0" pivotButton="0" quotePrefix="0" xfId="9"/>
    <xf numFmtId="165" fontId="13" fillId="0" borderId="0" pivotButton="0" quotePrefix="0" xfId="0"/>
  </cellXfs>
  <cellStyles count="19">
    <cellStyle name="Normal" xfId="0" builtinId="0"/>
    <cellStyle name="Vírgula" xfId="1" builtinId="3"/>
    <cellStyle name="Normal 10 2" xfId="2"/>
    <cellStyle name="Vírgula 39" xfId="3"/>
    <cellStyle name="Normal 2" xfId="4"/>
    <cellStyle name="Vírgula 4" xfId="5"/>
    <cellStyle name="Moeda 2" xfId="6"/>
    <cellStyle name="Normal 13" xfId="7"/>
    <cellStyle name="Vírgula 41" xfId="8"/>
    <cellStyle name="Moeda" xfId="9" builtinId="4"/>
    <cellStyle name="Porcentagem" xfId="10" builtinId="5"/>
    <cellStyle name="Normal 3" xfId="11"/>
    <cellStyle name="Moeda 3" xfId="12"/>
    <cellStyle name="Porcentagem 2" xfId="13"/>
    <cellStyle name="Normal 4" xfId="14"/>
    <cellStyle name="Porcentagem 3" xfId="15"/>
    <cellStyle name="Vírgula 5" xfId="16"/>
    <cellStyle name="Vírgula 2" xfId="17"/>
    <cellStyle name="Vírgula 6" xfId="18"/>
  </cellStyles>
  <dxfs count="31">
    <dxf>
      <font>
        <b val="1"/>
      </font>
      <fill>
        <patternFill>
          <bgColor rgb="FF9F9F9F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FE3400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848484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9F9F9F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FE3400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848484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/>
      <fill>
        <patternFill>
          <bgColor rgb="FFCDCDCD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9F9F9F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FE3400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848484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/>
      <fill>
        <patternFill>
          <bgColor rgb="FFCDCDCD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9F9F9F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FE3400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848484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/>
      <fill>
        <patternFill>
          <bgColor rgb="FFCDCDCD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/>
      <fill>
        <patternFill>
          <bgColor rgb="FFCDCDCD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9F9F9F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FE3400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848484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/>
      <fill>
        <patternFill>
          <bgColor rgb="FFCDCDCD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/>
      <fill>
        <patternFill>
          <bgColor rgb="FFCDCDCD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9F9F9F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FE3400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848484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/>
      <fill>
        <patternFill>
          <bgColor rgb="FFCDCDCD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9F9F9F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FE3400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848484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9F9F9F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FE3400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  <dxf>
      <font>
        <b val="1"/>
      </font>
      <fill>
        <patternFill>
          <bgColor rgb="FF848484"/>
        </patternFill>
      </fill>
      <border>
        <left/>
        <right/>
        <top style="hair">
          <color theme="0" tint="-0.3499862666707358"/>
        </top>
        <bottom style="hair">
          <color theme="0" tint="-0.3499862666707358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BFBFB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77540</colOff>
      <row>0</row>
      <rowOff>82426</rowOff>
    </from>
    <to>
      <col>5</col>
      <colOff>605586</colOff>
      <row>2</row>
      <rowOff>3900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668715" y="82426"/>
          <a:ext cx="2181586" cy="3881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5</col>
      <colOff>135695</colOff>
      <row>0</row>
      <rowOff>210251</rowOff>
    </from>
    <to>
      <col>5</col>
      <colOff>1561662</colOff>
      <row>1</row>
      <rowOff>225321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96765" y="214061"/>
          <a:ext cx="1425967" cy="2436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oneCellAnchor>
    <from>
      <col>7</col>
      <colOff>143435</colOff>
      <row>0</row>
      <rowOff>59376</rowOff>
    </from>
    <ext cx="2008095" cy="325140"/>
    <pic>
      <nvPicPr>
        <cNvPr id="4" name="Imagem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2729" y="59376"/>
          <a:ext cx="2008095" cy="3251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G:\.shortcut-targets-by-id\16oaQUYgx8kiowDwLhg-oO1zGZ777DJUb\2.%20Projetos%20em%20Andamento\D'Lohn%20Empreendimentos\04.%20Custo\03.0%20Custo%20-%20Or&#231;amento%20Param&#233;trico\R01\CTN-DLH-ETR-Gerenciamento%20Executivo%20-%201%20subsolo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.shortcut-targets-by-id\16oaQUYgx8kiowDwLhg-oO1zGZ777DJUb\2.%20Projetos%20em%20Andamento\D'Lohn%20Empreendimentos\04.%20Custo\03.0%20Custo%20-%20Or&#231;amento%20Param&#233;trico\R01\CTN-DLH-ETR-Gerenciamento%20Executivo%20-%20R01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DOS_INICIAIS"/>
      <sheetName val="MOVIMENTAÇÃO_DE_TERRA"/>
      <sheetName val="CONTENÇÕES"/>
      <sheetName val="INFRAESTRUTURA"/>
      <sheetName val="CONTENÇÃO"/>
      <sheetName val="SUPRAESTRUTURA"/>
      <sheetName val="ALVENARIA"/>
      <sheetName val="Orçamento"/>
      <sheetName val="INSTALAÇÕES"/>
      <sheetName val="SISTEMAS ESPECIAIS"/>
      <sheetName val="IMPERMEABILIZAÇÃO"/>
      <sheetName val="PISO E TETO"/>
      <sheetName val="Rev. Internos Piso e Parede"/>
      <sheetName val="TETO"/>
      <sheetName val="Acabamentos de Piso e Parede"/>
      <sheetName val="PINTURA INTERNA"/>
      <sheetName val="COBERTURA"/>
      <sheetName val="ESQUADRIAS"/>
      <sheetName val="ESQUADRIAS (2)"/>
      <sheetName val="Rev. Fachada"/>
      <sheetName val="Rev. Fachada (2)"/>
      <sheetName val="COMPLEMENTARES"/>
      <sheetName val="Auxiliar"/>
    </sheetNames>
    <sheetDataSet>
      <sheetData sheetId="0" refreshError="1"/>
      <sheetData sheetId="1">
        <row r="34">
          <cell r="F34">
            <v>502487.38482836017</v>
          </cell>
        </row>
      </sheetData>
      <sheetData sheetId="2" refreshError="1"/>
      <sheetData sheetId="3" refreshError="1"/>
      <sheetData sheetId="4">
        <row r="36">
          <cell r="G36">
            <v>876334.74615724001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DOS_INICIAIS"/>
      <sheetName val="MOVIMENTAÇÃO_DE_TERRA"/>
      <sheetName val="CONTENÇÕES"/>
      <sheetName val="INFRAESTRUTURA"/>
      <sheetName val="CONTENÇÃO"/>
      <sheetName val="SUPRAESTRUTURA"/>
      <sheetName val="ALVENARIA"/>
      <sheetName val="Orçamento"/>
      <sheetName val="INSTALAÇÕES"/>
      <sheetName val="SISTEMAS ESPECIAIS"/>
      <sheetName val="IMPERMEABILIZAÇÃO"/>
      <sheetName val="PISO E TETO"/>
      <sheetName val="Rev. Internos Piso e Parede"/>
      <sheetName val="TETO"/>
      <sheetName val="Acabamentos de Piso e Parede"/>
      <sheetName val="PINTURA INTERNA"/>
      <sheetName val="COBERTURA"/>
      <sheetName val="ESQUADRIAS"/>
      <sheetName val="ESQUADRIAS (2)"/>
      <sheetName val="Rev. Fachada"/>
      <sheetName val="Rev. Fachada (2)"/>
      <sheetName val="COMPLEMENTARES"/>
      <sheetName val="Auxili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0">
          <cell r="B20">
            <v>35425.930000000008</v>
          </cell>
          <cell r="G20">
            <v>194842.61500000005</v>
          </cell>
        </row>
        <row r="21">
          <cell r="B21">
            <v>35425.930000000008</v>
          </cell>
          <cell r="G21">
            <v>1948426.1500000006</v>
          </cell>
        </row>
        <row r="38">
          <cell r="B38">
            <v>35425.930000000008</v>
          </cell>
          <cell r="G38">
            <v>2034546.5858300005</v>
          </cell>
        </row>
      </sheetData>
      <sheetData sheetId="13">
        <row r="10">
          <cell r="D10">
            <v>7970.8199999999979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C18" sqref="C18"/>
    </sheetView>
  </sheetViews>
  <sheetFormatPr baseColWidth="8" defaultColWidth="9.140625" defaultRowHeight="21.75"/>
  <cols>
    <col width="10.7109375" customWidth="1" style="24" min="1" max="1"/>
    <col width="61.85546875" customWidth="1" style="25" min="2" max="2"/>
    <col width="18.85546875" bestFit="1" customWidth="1" style="25" min="3" max="3"/>
    <col width="11.28515625" customWidth="1" style="267" min="4" max="4"/>
    <col width="13.7109375" bestFit="1" customWidth="1" style="267" min="5" max="5"/>
    <col width="24" customWidth="1" style="24" min="6" max="6"/>
    <col width="9.28515625" bestFit="1" customWidth="1" style="4" min="7" max="8"/>
    <col width="9.140625" customWidth="1" style="4" min="9" max="16384"/>
  </cols>
  <sheetData>
    <row r="1" ht="18" customHeight="1">
      <c r="A1" s="235" t="inlineStr">
        <is>
          <t xml:space="preserve">ORÇAMENTO PARAMÉTRICO </t>
        </is>
      </c>
      <c r="B1" s="268" t="n"/>
      <c r="C1" s="268" t="n"/>
      <c r="D1" s="268" t="n"/>
      <c r="E1" s="268" t="n"/>
      <c r="F1" s="269" t="n"/>
    </row>
    <row r="2" ht="18" customHeight="1">
      <c r="A2" s="270" t="n"/>
      <c r="F2" s="271" t="n"/>
    </row>
    <row r="3" ht="18" customHeight="1">
      <c r="A3" s="272" t="n"/>
      <c r="B3" s="273" t="n"/>
      <c r="C3" s="273" t="n"/>
      <c r="D3" s="273" t="n"/>
      <c r="E3" s="273" t="n"/>
      <c r="F3" s="274" t="n"/>
    </row>
    <row r="4" ht="15.75" customHeight="1" thickBot="1">
      <c r="A4" s="150" t="n"/>
      <c r="B4" s="151" t="n"/>
      <c r="C4" s="151" t="n"/>
      <c r="D4" s="275" t="n"/>
      <c r="E4" s="275" t="n"/>
      <c r="F4" s="153" t="n"/>
    </row>
    <row r="5" ht="19.5" customHeight="1">
      <c r="A5" s="154" t="inlineStr">
        <is>
          <t>Obra</t>
        </is>
      </c>
      <c r="B5" s="155" t="inlineStr">
        <is>
          <t>NOW Residence</t>
        </is>
      </c>
      <c r="C5" s="156" t="n"/>
      <c r="D5" s="276" t="n"/>
      <c r="E5" s="276" t="n"/>
      <c r="F5" s="158" t="n"/>
    </row>
    <row r="6" ht="19.5" customHeight="1">
      <c r="A6" s="159" t="inlineStr">
        <is>
          <t>Cliente</t>
        </is>
      </c>
      <c r="B6" s="155" t="inlineStr">
        <is>
          <t>Cambert Engenharia</t>
        </is>
      </c>
      <c r="C6" s="156" t="n"/>
      <c r="D6" s="276" t="n"/>
      <c r="E6" s="276" t="n"/>
      <c r="F6" s="158" t="n"/>
    </row>
    <row r="7" ht="19.5" customHeight="1">
      <c r="A7" s="159" t="inlineStr">
        <is>
          <t>Data</t>
        </is>
      </c>
      <c r="B7" s="160" t="n">
        <v>46107</v>
      </c>
      <c r="C7" s="161" t="n"/>
      <c r="D7" s="276" t="n"/>
      <c r="E7" s="276" t="n"/>
      <c r="F7" s="158" t="n"/>
    </row>
    <row r="8" ht="20.25" customHeight="1" thickBot="1">
      <c r="A8" s="162" t="inlineStr">
        <is>
          <t>Versão</t>
        </is>
      </c>
      <c r="B8" s="155" t="inlineStr">
        <is>
          <t>R00</t>
        </is>
      </c>
      <c r="C8" s="156" t="n"/>
      <c r="D8" s="276" t="n"/>
      <c r="E8" s="276" t="n"/>
      <c r="F8" s="158" t="n"/>
    </row>
    <row r="9" ht="14.45" customHeight="1" thickBot="1">
      <c r="A9" s="5" t="n"/>
      <c r="B9" s="6" t="n"/>
      <c r="C9" s="7" t="n"/>
      <c r="D9" s="277" t="n"/>
      <c r="E9" s="277" t="n"/>
      <c r="F9" s="9" t="n"/>
    </row>
    <row r="10">
      <c r="A10" s="10" t="n"/>
      <c r="B10" s="11" t="inlineStr">
        <is>
          <t>Descrição</t>
        </is>
      </c>
      <c r="C10" s="12" t="inlineStr">
        <is>
          <t>Unidade</t>
        </is>
      </c>
      <c r="D10" s="278" t="inlineStr">
        <is>
          <t>Quantidade</t>
        </is>
      </c>
      <c r="E10" s="279" t="n"/>
      <c r="F10" s="9" t="n"/>
    </row>
    <row r="11">
      <c r="A11" s="10" t="n"/>
      <c r="B11" s="14" t="inlineStr">
        <is>
          <t>ÁREA DO TERRENO</t>
        </is>
      </c>
      <c r="C11" s="280" t="inlineStr">
        <is>
          <t>M2</t>
        </is>
      </c>
      <c r="D11" s="281" t="n">
        <v>1210.5</v>
      </c>
      <c r="E11" s="279" t="n"/>
      <c r="F11" s="9" t="n"/>
    </row>
    <row r="12">
      <c r="A12" s="10" t="n"/>
      <c r="B12" s="16" t="inlineStr">
        <is>
          <t>ÁREA CONSTRUÍDA</t>
        </is>
      </c>
      <c r="C12" s="282" t="inlineStr">
        <is>
          <t>M2</t>
        </is>
      </c>
      <c r="D12" s="283" t="n">
        <v>13275.29</v>
      </c>
      <c r="E12" s="279" t="n"/>
      <c r="F12" s="9" t="n"/>
    </row>
    <row r="13">
      <c r="A13" s="10" t="n"/>
      <c r="B13" s="16" t="inlineStr">
        <is>
          <t>NÚMERO DE APARTAMENTOS</t>
        </is>
      </c>
      <c r="C13" s="282" t="inlineStr">
        <is>
          <t>UN</t>
        </is>
      </c>
      <c r="D13" s="283" t="n">
        <v>144</v>
      </c>
      <c r="E13" s="279" t="n"/>
      <c r="F13" s="9" t="n"/>
    </row>
    <row r="14">
      <c r="A14" s="10" t="n"/>
      <c r="B14" s="16" t="inlineStr">
        <is>
          <t>MESES DE OBRA</t>
        </is>
      </c>
      <c r="C14" s="282" t="inlineStr">
        <is>
          <t>MÊS</t>
        </is>
      </c>
      <c r="D14" s="284" t="n">
        <v>48</v>
      </c>
      <c r="E14" s="285" t="n"/>
      <c r="F14" s="286" t="n"/>
    </row>
    <row r="15" ht="22.5" customHeight="1" thickBot="1">
      <c r="A15" s="10" t="n"/>
      <c r="B15" s="19" t="inlineStr">
        <is>
          <t>NÚMERO DE PAVIMENTOS</t>
        </is>
      </c>
      <c r="C15" s="287" t="inlineStr">
        <is>
          <t>UN</t>
        </is>
      </c>
      <c r="D15" s="288" t="n">
        <v>24</v>
      </c>
      <c r="E15" s="279" t="n"/>
      <c r="F15" s="9" t="n"/>
    </row>
    <row r="16">
      <c r="F16" s="9" t="n"/>
    </row>
    <row r="17">
      <c r="B17" s="138" t="inlineStr">
        <is>
          <t>ETAPA</t>
        </is>
      </c>
      <c r="C17" s="138" t="inlineStr">
        <is>
          <t>VALOR ORÇADO</t>
        </is>
      </c>
      <c r="D17" s="149" t="inlineStr">
        <is>
          <t>%</t>
        </is>
      </c>
      <c r="E17" s="149" t="inlineStr">
        <is>
          <t>VALOR / m²</t>
        </is>
      </c>
      <c r="F17" s="9" t="n"/>
    </row>
    <row r="18">
      <c r="B18" s="144" t="inlineStr">
        <is>
          <t>GERENCIAMENTO TÉCNICO E ADMINISTRATIVO</t>
        </is>
      </c>
      <c r="C18" s="289">
        <f>ORÇAMENTO!N48</f>
        <v/>
      </c>
      <c r="D18" s="142">
        <f>C18/C$20</f>
        <v/>
      </c>
      <c r="E18" s="140">
        <f>C18/OBRA!$D$12</f>
        <v/>
      </c>
      <c r="F18" s="9" t="n"/>
    </row>
    <row r="19">
      <c r="B19" s="148" t="inlineStr">
        <is>
          <t>MOVIMENTAÇÃO DE TERRA</t>
        </is>
      </c>
      <c r="C19" s="290">
        <f>ORÇAMENTO!N107</f>
        <v/>
      </c>
      <c r="D19" s="147">
        <f>C19/C$20</f>
        <v/>
      </c>
      <c r="E19" s="145">
        <f>C19/OBRA!$D$12</f>
        <v/>
      </c>
      <c r="F19" s="9" t="n"/>
    </row>
    <row r="20">
      <c r="B20" s="144" t="inlineStr">
        <is>
          <t>INFRAESTRUTURA + CONTENÇÃO</t>
        </is>
      </c>
      <c r="C20" s="289">
        <f>ORÇAMENTO!N117+ORÇAMENTO!N135</f>
        <v/>
      </c>
      <c r="D20" s="142">
        <f>C20/C$20</f>
        <v/>
      </c>
      <c r="E20" s="140">
        <f>C20/OBRA!$D$12</f>
        <v/>
      </c>
      <c r="F20" s="9" t="n"/>
    </row>
    <row r="21">
      <c r="B21" s="148" t="inlineStr">
        <is>
          <t>SUPRAESTRUTURA</t>
        </is>
      </c>
      <c r="C21" s="290">
        <f>ORÇAMENTO!N144</f>
        <v/>
      </c>
      <c r="D21" s="147">
        <f>C21/C$20</f>
        <v/>
      </c>
      <c r="E21" s="145">
        <f>C21/OBRA!$D$12</f>
        <v/>
      </c>
      <c r="F21" s="9" t="n"/>
    </row>
    <row r="22">
      <c r="B22" s="144" t="inlineStr">
        <is>
          <t>ALVENARIA</t>
        </is>
      </c>
      <c r="C22" s="289">
        <f>ORÇAMENTO!N159</f>
        <v/>
      </c>
      <c r="D22" s="142">
        <f>C22/C$20</f>
        <v/>
      </c>
      <c r="E22" s="140">
        <f>C22/OBRA!$D$12</f>
        <v/>
      </c>
      <c r="F22" s="9" t="n"/>
    </row>
    <row r="23">
      <c r="B23" s="148" t="inlineStr">
        <is>
          <t>INSTALAÇÕES ELÉTRICAS, HIDRÁULICAS, GLP E PREVENTIVAS</t>
        </is>
      </c>
      <c r="C23" s="290">
        <f>ORÇAMENTO!N182</f>
        <v/>
      </c>
      <c r="D23" s="147">
        <f>C23/C$20</f>
        <v/>
      </c>
      <c r="E23" s="145">
        <f>C23/OBRA!$D$12</f>
        <v/>
      </c>
      <c r="F23" s="9" t="n"/>
    </row>
    <row r="24">
      <c r="B24" s="144" t="inlineStr">
        <is>
          <t>EQUIPAMENTOS E SISTEMAS ESPECIAIS</t>
        </is>
      </c>
      <c r="C24" s="289">
        <f>ORÇAMENTO!N207</f>
        <v/>
      </c>
      <c r="D24" s="142">
        <f>C24/C$20</f>
        <v/>
      </c>
      <c r="E24" s="140">
        <f>C24/OBRA!$D$12</f>
        <v/>
      </c>
      <c r="F24" s="9" t="n"/>
    </row>
    <row r="25">
      <c r="B25" s="148" t="inlineStr">
        <is>
          <t>IMPERMEABILIZAÇÃO</t>
        </is>
      </c>
      <c r="C25" s="290">
        <f>ORÇAMENTO!N169</f>
        <v/>
      </c>
      <c r="D25" s="147">
        <f>C25/C$20</f>
        <v/>
      </c>
      <c r="E25" s="145">
        <f>C25/OBRA!$D$12</f>
        <v/>
      </c>
      <c r="F25" s="9" t="n"/>
    </row>
    <row r="26">
      <c r="B26" s="144" t="inlineStr">
        <is>
          <t>REVESTIMENTOS E ACABAMENTOS INTERNOS EM PAREDE</t>
        </is>
      </c>
      <c r="C26" s="289">
        <f>ORÇAMENTO!N230</f>
        <v/>
      </c>
      <c r="D26" s="142">
        <f>C26/C$20</f>
        <v/>
      </c>
      <c r="E26" s="140">
        <f>C26/OBRA!$D$12</f>
        <v/>
      </c>
      <c r="F26" s="9" t="n"/>
    </row>
    <row r="27">
      <c r="B27" s="148" t="inlineStr">
        <is>
          <t>REVESTIMENTOS E ACABAMENTOS INTERNOS EM TETO</t>
        </is>
      </c>
      <c r="C27" s="290">
        <f>ORÇAMENTO!N241</f>
        <v/>
      </c>
      <c r="D27" s="147">
        <f>C27/C$20</f>
        <v/>
      </c>
      <c r="E27" s="145">
        <f>C27/OBRA!$D$12</f>
        <v/>
      </c>
      <c r="F27" s="9" t="n"/>
    </row>
    <row r="28">
      <c r="B28" s="144" t="inlineStr">
        <is>
          <t>REVESTIMENTOS E ACABAMENTOS INTERNOS EM PISO</t>
        </is>
      </c>
      <c r="C28" s="289">
        <f>ORÇAMENTO!N250</f>
        <v/>
      </c>
      <c r="D28" s="142">
        <f>C28/C$20</f>
        <v/>
      </c>
      <c r="E28" s="140">
        <f>C28/OBRA!$D$12</f>
        <v/>
      </c>
      <c r="F28" s="9" t="n"/>
    </row>
    <row r="29">
      <c r="B29" s="148" t="inlineStr">
        <is>
          <t>PINTURA INTERNA</t>
        </is>
      </c>
      <c r="C29" s="290">
        <f>ORÇAMENTO!N265</f>
        <v/>
      </c>
      <c r="D29" s="147">
        <f>C29/C$20</f>
        <v/>
      </c>
      <c r="E29" s="145">
        <f>C29/OBRA!$D$12</f>
        <v/>
      </c>
      <c r="F29" s="9" t="n"/>
    </row>
    <row r="30">
      <c r="B30" s="144" t="inlineStr">
        <is>
          <t>ESQUADRIAS, VIDROS E FERRAGENS</t>
        </is>
      </c>
      <c r="C30" s="289">
        <f>ORÇAMENTO!N274</f>
        <v/>
      </c>
      <c r="D30" s="142">
        <f>C30/C$20</f>
        <v/>
      </c>
      <c r="E30" s="140">
        <f>C30/OBRA!$D$12</f>
        <v/>
      </c>
      <c r="F30" s="9" t="n"/>
    </row>
    <row r="31">
      <c r="B31" s="148" t="inlineStr">
        <is>
          <t>COBERTURA</t>
        </is>
      </c>
      <c r="C31" s="290" t="n"/>
      <c r="D31" s="147">
        <f>C31/C$20</f>
        <v/>
      </c>
      <c r="E31" s="145">
        <f>C31/OBRA!$D$12</f>
        <v/>
      </c>
      <c r="F31" s="9" t="n"/>
    </row>
    <row r="32">
      <c r="B32" s="144" t="inlineStr">
        <is>
          <t>REVESTIMENTOS E ACABAMENTOS DE FACHADA</t>
        </is>
      </c>
      <c r="C32" s="289">
        <f>ORÇAMENTO!N291</f>
        <v/>
      </c>
      <c r="D32" s="142">
        <f>C32/C$20</f>
        <v/>
      </c>
      <c r="E32" s="140">
        <f>C32/OBRA!$D$12</f>
        <v/>
      </c>
      <c r="F32" s="9" t="n"/>
    </row>
    <row r="33">
      <c r="B33" s="148" t="inlineStr">
        <is>
          <t>SERVIÇOS COMPLEMENTARES</t>
        </is>
      </c>
      <c r="C33" s="290">
        <f>ORÇAMENTO!N300</f>
        <v/>
      </c>
      <c r="D33" s="147">
        <f>C33/C$20</f>
        <v/>
      </c>
      <c r="E33" s="145">
        <f>C33/OBRA!$D$12</f>
        <v/>
      </c>
      <c r="F33" s="9" t="n"/>
    </row>
    <row r="34">
      <c r="B34" s="144" t="inlineStr">
        <is>
          <t>IMPREVISTOS E CONTINGENCIAS</t>
        </is>
      </c>
      <c r="C34" s="291">
        <f>ORÇAMENTO!N309</f>
        <v/>
      </c>
      <c r="D34" s="142">
        <f>C34/C$20</f>
        <v/>
      </c>
      <c r="E34" s="140">
        <f>C34/OBRA!$D$12</f>
        <v/>
      </c>
      <c r="F34" s="9" t="n"/>
    </row>
    <row r="35">
      <c r="B35" s="138" t="inlineStr">
        <is>
          <t>TOTAL</t>
        </is>
      </c>
      <c r="C35" s="292">
        <f>SUM(C18:C34)</f>
        <v/>
      </c>
      <c r="D35" s="139">
        <f>SUM(D18:D34)</f>
        <v/>
      </c>
      <c r="E35" s="293">
        <f>SUM(E18:E34)</f>
        <v/>
      </c>
      <c r="F35" s="9" t="n"/>
    </row>
    <row r="36">
      <c r="B36" s="138" t="inlineStr">
        <is>
          <t>CUB/SC</t>
        </is>
      </c>
      <c r="C36" s="292" t="n">
        <v>2907.85</v>
      </c>
      <c r="D36" s="136" t="n">
        <v>45689</v>
      </c>
      <c r="E36" s="293">
        <f>+E35/C36</f>
        <v/>
      </c>
      <c r="F36" s="9" t="n"/>
    </row>
    <row r="37">
      <c r="F37" s="9" t="n"/>
    </row>
    <row r="38" ht="22.5" customHeight="1" thickBot="1">
      <c r="A38" s="21" t="n"/>
      <c r="B38" s="22" t="n"/>
      <c r="C38" s="22" t="n"/>
      <c r="D38" s="294" t="n"/>
      <c r="E38" s="294" t="n"/>
      <c r="F38" s="9" t="n"/>
    </row>
  </sheetData>
  <mergeCells count="1">
    <mergeCell ref="A1:F3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D41" sqref="D41"/>
    </sheetView>
  </sheetViews>
  <sheetFormatPr baseColWidth="8" defaultRowHeight="21.75"/>
  <cols>
    <col width="10.7109375" customWidth="1" style="227" min="1" max="1"/>
    <col width="83.7109375" customWidth="1" style="228" min="2" max="2"/>
    <col width="11.28515625" customWidth="1" style="228" min="3" max="3"/>
    <col width="11.28515625" customWidth="1" style="295" min="4" max="4"/>
    <col width="11.140625" customWidth="1" style="230" min="5" max="5"/>
    <col width="24" customWidth="1" style="227" min="6" max="6"/>
    <col width="9.28515625" bestFit="1" customWidth="1" style="27" min="7" max="8"/>
    <col width="9.140625" customWidth="1" style="27" min="9" max="16384"/>
  </cols>
  <sheetData>
    <row r="1" ht="18" customHeight="1">
      <c r="A1" s="167" t="inlineStr">
        <is>
          <t>Obra</t>
        </is>
      </c>
      <c r="B1" s="168">
        <f>OBRA!B5</f>
        <v/>
      </c>
      <c r="C1" s="169" t="n"/>
      <c r="D1" s="296" t="n"/>
      <c r="E1" s="171" t="n"/>
      <c r="F1" s="172" t="n"/>
    </row>
    <row r="2" ht="18" customHeight="1">
      <c r="A2" s="173" t="inlineStr">
        <is>
          <t>Empresa</t>
        </is>
      </c>
      <c r="B2" s="174">
        <f>OBRA!B6</f>
        <v/>
      </c>
      <c r="C2" s="175" t="n"/>
      <c r="D2" s="297" t="n"/>
      <c r="E2" s="177" t="n"/>
      <c r="F2" s="178" t="n"/>
    </row>
    <row r="3" ht="18" customHeight="1">
      <c r="A3" s="173" t="inlineStr">
        <is>
          <t>Revisão</t>
        </is>
      </c>
      <c r="B3" s="174" t="inlineStr">
        <is>
          <t>R00</t>
        </is>
      </c>
      <c r="C3" s="175" t="n"/>
      <c r="D3" s="297" t="n"/>
      <c r="E3" s="177" t="n"/>
      <c r="F3" s="178" t="n"/>
    </row>
    <row r="4" ht="25.15" customHeight="1">
      <c r="A4" s="241" t="inlineStr">
        <is>
          <t>LEVANTAMENTO QUANTITATIVO</t>
        </is>
      </c>
      <c r="B4" s="298" t="n"/>
      <c r="C4" s="298" t="n"/>
      <c r="D4" s="298" t="n"/>
      <c r="E4" s="298" t="n"/>
      <c r="F4" s="299" t="n"/>
    </row>
    <row r="5" ht="14.45" customHeight="1">
      <c r="A5" s="179" t="n"/>
      <c r="B5" s="180" t="n"/>
      <c r="C5" s="180" t="n"/>
      <c r="D5" s="300" t="n"/>
      <c r="E5" s="182" t="n"/>
      <c r="F5" s="183" t="n"/>
    </row>
    <row r="6" ht="16.9" customHeight="1">
      <c r="A6" s="244" t="inlineStr">
        <is>
          <t>Equipamentos de proteção coletiva</t>
        </is>
      </c>
      <c r="B6" s="298" t="n"/>
      <c r="C6" s="298" t="n"/>
      <c r="D6" s="298" t="n"/>
      <c r="E6" s="298" t="n"/>
      <c r="F6" s="299" t="n"/>
    </row>
    <row r="7" ht="14.45" customHeight="1">
      <c r="A7" s="184" t="n"/>
      <c r="B7" s="185" t="n"/>
      <c r="C7" s="186" t="n"/>
      <c r="D7" s="301" t="n"/>
      <c r="E7" s="188" t="n"/>
      <c r="F7" s="38" t="n"/>
    </row>
    <row r="8">
      <c r="A8" s="31" t="inlineStr">
        <is>
          <t>Bandejas de proteção</t>
        </is>
      </c>
      <c r="B8" s="32" t="n"/>
      <c r="C8" s="32" t="n"/>
      <c r="D8" s="302" t="n"/>
      <c r="E8" s="33" t="n"/>
      <c r="F8" s="34" t="n"/>
    </row>
    <row r="9" ht="22.5" customHeight="1" thickBot="1">
      <c r="A9" s="190" t="n"/>
      <c r="B9" s="36" t="n"/>
      <c r="C9" s="36" t="n"/>
      <c r="D9" s="303" t="n"/>
      <c r="E9" s="37" t="n"/>
      <c r="F9" s="38" t="n"/>
    </row>
    <row r="10">
      <c r="A10" s="190" t="n"/>
      <c r="B10" s="39" t="inlineStr">
        <is>
          <t>Descrição</t>
        </is>
      </c>
      <c r="C10" s="40" t="inlineStr">
        <is>
          <t>Unidade</t>
        </is>
      </c>
      <c r="D10" s="304" t="inlineStr">
        <is>
          <t>Quantidade</t>
        </is>
      </c>
      <c r="E10" s="37" t="n"/>
      <c r="F10" s="38" t="n"/>
    </row>
    <row r="11">
      <c r="A11" s="190" t="n"/>
      <c r="B11" s="193" t="inlineStr">
        <is>
          <t>Perímetro de projeção embasamneto</t>
        </is>
      </c>
      <c r="C11" s="305" t="inlineStr">
        <is>
          <t>m</t>
        </is>
      </c>
      <c r="D11" s="283" t="n">
        <v>157.96</v>
      </c>
      <c r="E11" s="37" t="n"/>
      <c r="F11" s="38" t="n"/>
    </row>
    <row r="12">
      <c r="A12" s="190" t="n"/>
      <c r="B12" s="193" t="inlineStr">
        <is>
          <t>Perímetro de projeção torre</t>
        </is>
      </c>
      <c r="C12" s="305" t="inlineStr">
        <is>
          <t>m</t>
        </is>
      </c>
      <c r="D12" s="283" t="n">
        <v>132.16</v>
      </c>
      <c r="E12" s="37" t="n"/>
      <c r="F12" s="38" t="n"/>
    </row>
    <row r="13" ht="22.5" customHeight="1" thickBot="1">
      <c r="A13" s="190" t="n"/>
      <c r="B13" s="29" t="inlineStr">
        <is>
          <t>Bandeja de proteção primária</t>
        </is>
      </c>
      <c r="C13" s="306" t="inlineStr">
        <is>
          <t>m</t>
        </is>
      </c>
      <c r="D13" s="307">
        <f>D11+D12</f>
        <v/>
      </c>
      <c r="E13" s="37" t="n"/>
      <c r="F13" s="38" t="n"/>
    </row>
    <row r="14" ht="22.5" customHeight="1" thickBot="1">
      <c r="A14" s="190" t="n"/>
      <c r="B14" s="29" t="inlineStr">
        <is>
          <t>Bandeja de proteção secundária</t>
        </is>
      </c>
      <c r="C14" s="306" t="inlineStr">
        <is>
          <t>m</t>
        </is>
      </c>
      <c r="D14" s="307">
        <f>D12</f>
        <v/>
      </c>
      <c r="E14" s="37" t="n"/>
      <c r="F14" s="38" t="n"/>
    </row>
    <row r="15">
      <c r="A15" s="35" t="n"/>
      <c r="B15" s="36" t="n"/>
      <c r="C15" s="36" t="n"/>
      <c r="D15" s="303" t="n"/>
      <c r="E15" s="37" t="n"/>
      <c r="F15" s="38" t="n"/>
    </row>
    <row r="16">
      <c r="A16" s="31" t="inlineStr">
        <is>
          <t>Guarda - corpo de desforma</t>
        </is>
      </c>
      <c r="B16" s="32" t="n"/>
      <c r="C16" s="32" t="n"/>
      <c r="D16" s="302" t="n"/>
      <c r="E16" s="33" t="n"/>
      <c r="F16" s="34" t="n"/>
    </row>
    <row r="17" ht="22.5" customHeight="1" thickBot="1">
      <c r="A17" s="35" t="n"/>
      <c r="B17" s="36" t="n"/>
      <c r="C17" s="36" t="n"/>
      <c r="D17" s="303" t="n"/>
      <c r="E17" s="37" t="n"/>
      <c r="F17" s="38" t="n"/>
    </row>
    <row r="18">
      <c r="A18" s="35" t="n"/>
      <c r="B18" s="39" t="inlineStr">
        <is>
          <t>Descrição</t>
        </is>
      </c>
      <c r="C18" s="40" t="inlineStr">
        <is>
          <t>Unidade</t>
        </is>
      </c>
      <c r="D18" s="304" t="inlineStr">
        <is>
          <t>Quantidade</t>
        </is>
      </c>
      <c r="E18" s="37" t="n"/>
      <c r="F18" s="38" t="n"/>
    </row>
    <row r="19">
      <c r="A19" s="35" t="n"/>
      <c r="B19" s="197" t="inlineStr">
        <is>
          <t>Perímetro de projeção da torre</t>
        </is>
      </c>
      <c r="C19" s="308" t="inlineStr">
        <is>
          <t>m</t>
        </is>
      </c>
      <c r="D19" s="281">
        <f>D12</f>
        <v/>
      </c>
      <c r="E19" s="37" t="n"/>
      <c r="F19" s="38" t="n"/>
    </row>
    <row r="20">
      <c r="A20" s="35" t="n"/>
      <c r="B20" s="199" t="inlineStr">
        <is>
          <t>Repetições de pavimentos**</t>
        </is>
      </c>
      <c r="C20" s="309" t="inlineStr">
        <is>
          <t>un</t>
        </is>
      </c>
      <c r="D20" s="310" t="n">
        <v>4</v>
      </c>
      <c r="E20" s="37" t="n"/>
      <c r="F20" s="38" t="n"/>
    </row>
    <row r="21">
      <c r="A21" s="35" t="n"/>
      <c r="B21" s="41" t="inlineStr">
        <is>
          <t>Proteção de periferia pós desforma torre</t>
        </is>
      </c>
      <c r="C21" s="311" t="inlineStr">
        <is>
          <t>m</t>
        </is>
      </c>
      <c r="D21" s="312">
        <f>(D19*D20)</f>
        <v/>
      </c>
      <c r="E21" s="37" t="n"/>
      <c r="F21" s="38" t="n"/>
    </row>
    <row r="22" ht="15.75" customFormat="1" customHeight="1" s="206">
      <c r="A22" s="190" t="n"/>
      <c r="B22" s="37" t="n"/>
      <c r="C22" s="37" t="n"/>
      <c r="D22" s="313" t="n"/>
      <c r="E22" s="37" t="n"/>
      <c r="F22" s="205" t="n"/>
    </row>
    <row r="23">
      <c r="A23" s="31" t="inlineStr">
        <is>
          <t>Tela fachadeira</t>
        </is>
      </c>
      <c r="B23" s="32" t="n"/>
      <c r="C23" s="32" t="n"/>
      <c r="D23" s="302" t="n"/>
      <c r="E23" s="33" t="n"/>
      <c r="F23" s="34" t="n"/>
    </row>
    <row r="24" ht="22.5" customHeight="1" thickBot="1">
      <c r="A24" s="35" t="n"/>
      <c r="B24" s="36" t="n"/>
      <c r="C24" s="36" t="n"/>
      <c r="D24" s="303" t="n"/>
      <c r="E24" s="37" t="n"/>
      <c r="F24" s="38" t="n"/>
    </row>
    <row r="25">
      <c r="A25" s="35" t="n"/>
      <c r="B25" s="39" t="inlineStr">
        <is>
          <t>Descrição</t>
        </is>
      </c>
      <c r="C25" s="40" t="inlineStr">
        <is>
          <t>Unidade</t>
        </is>
      </c>
      <c r="D25" s="304" t="inlineStr">
        <is>
          <t>Quantidade</t>
        </is>
      </c>
      <c r="E25" s="37" t="n"/>
      <c r="F25" s="38" t="n"/>
    </row>
    <row r="26">
      <c r="A26" s="35" t="n"/>
      <c r="B26" s="197" t="inlineStr">
        <is>
          <t>Perimetro da torre</t>
        </is>
      </c>
      <c r="C26" s="308" t="inlineStr">
        <is>
          <t>m</t>
        </is>
      </c>
      <c r="D26" s="310">
        <f>D12</f>
        <v/>
      </c>
      <c r="E26" s="37" t="n"/>
      <c r="F26" s="38" t="n"/>
    </row>
    <row r="27">
      <c r="A27" s="35" t="n"/>
      <c r="B27" s="207" t="inlineStr">
        <is>
          <t>Altura da torre</t>
        </is>
      </c>
      <c r="C27" s="314" t="inlineStr">
        <is>
          <t>m</t>
        </is>
      </c>
      <c r="D27" s="315" t="n">
        <v>44.78</v>
      </c>
      <c r="E27" s="37" t="n"/>
      <c r="F27" s="38" t="n"/>
    </row>
    <row r="28">
      <c r="A28" s="35" t="n"/>
      <c r="B28" s="210" t="inlineStr">
        <is>
          <t>Tela fachadeira</t>
        </is>
      </c>
      <c r="C28" s="316" t="inlineStr">
        <is>
          <t>m2</t>
        </is>
      </c>
      <c r="D28" s="312">
        <f>D26*D27</f>
        <v/>
      </c>
      <c r="E28" s="37" t="n"/>
      <c r="F28" s="38" t="n"/>
    </row>
    <row r="29">
      <c r="A29" s="35" t="n"/>
      <c r="B29" s="36" t="n"/>
      <c r="C29" s="36" t="n"/>
      <c r="D29" s="303" t="n"/>
      <c r="E29" s="37" t="n"/>
      <c r="F29" s="38" t="n"/>
    </row>
    <row r="30">
      <c r="A30" s="31" t="inlineStr">
        <is>
          <t xml:space="preserve">Fechamento removível de vãos em madeira </t>
        </is>
      </c>
      <c r="B30" s="32" t="n"/>
      <c r="C30" s="32" t="n"/>
      <c r="D30" s="302" t="n"/>
      <c r="E30" s="33" t="n"/>
      <c r="F30" s="34" t="n"/>
    </row>
    <row r="31" ht="22.5" customHeight="1" thickBot="1">
      <c r="A31" s="35" t="n"/>
      <c r="B31" s="36" t="n"/>
      <c r="C31" s="36" t="n"/>
      <c r="D31" s="303" t="n"/>
      <c r="E31" s="37" t="n"/>
      <c r="F31" s="38" t="n"/>
    </row>
    <row r="32">
      <c r="A32" s="35" t="n"/>
      <c r="B32" s="42" t="inlineStr">
        <is>
          <t>Descrição</t>
        </is>
      </c>
      <c r="C32" s="43" t="inlineStr">
        <is>
          <t>Unidade</t>
        </is>
      </c>
      <c r="D32" s="317" t="inlineStr">
        <is>
          <t>Quantidade</t>
        </is>
      </c>
      <c r="E32" s="37" t="n"/>
      <c r="F32" s="38" t="n"/>
    </row>
    <row r="33">
      <c r="A33" s="35" t="n"/>
      <c r="B33" s="193" t="inlineStr">
        <is>
          <t xml:space="preserve">Área das portas de elevadores </t>
        </is>
      </c>
      <c r="C33" s="318" t="inlineStr">
        <is>
          <t>m2</t>
        </is>
      </c>
      <c r="D33" s="284">
        <f>0.9*2.4</f>
        <v/>
      </c>
      <c r="E33" s="37" t="n"/>
      <c r="F33" s="38" t="n"/>
    </row>
    <row r="34">
      <c r="A34" s="35" t="n"/>
      <c r="B34" s="193" t="inlineStr">
        <is>
          <t>Quantidade de elevadores</t>
        </is>
      </c>
      <c r="C34" s="318" t="inlineStr">
        <is>
          <t>un</t>
        </is>
      </c>
      <c r="D34" s="284" t="n">
        <v>2</v>
      </c>
      <c r="E34" s="37" t="n"/>
      <c r="F34" s="38" t="n"/>
    </row>
    <row r="35">
      <c r="A35" s="35" t="n"/>
      <c r="B35" s="193" t="inlineStr">
        <is>
          <t>Quantidade de portas de elevadores</t>
        </is>
      </c>
      <c r="C35" s="318" t="inlineStr">
        <is>
          <t>un</t>
        </is>
      </c>
      <c r="D35" s="284" t="n">
        <v>26</v>
      </c>
      <c r="E35" s="37" t="n"/>
      <c r="F35" s="38" t="n"/>
    </row>
    <row r="36">
      <c r="A36" s="35" t="n"/>
      <c r="B36" s="214" t="inlineStr">
        <is>
          <t xml:space="preserve">Fechamento removível de vãos em madeira </t>
        </is>
      </c>
      <c r="C36" s="319" t="inlineStr">
        <is>
          <t>m2</t>
        </is>
      </c>
      <c r="D36" s="320">
        <f>D33*D35</f>
        <v/>
      </c>
      <c r="E36" s="37" t="n"/>
      <c r="F36" s="38" t="n"/>
    </row>
    <row r="37">
      <c r="A37" s="35" t="n"/>
      <c r="B37" s="36" t="n"/>
      <c r="C37" s="36" t="n"/>
      <c r="D37" s="303" t="n"/>
      <c r="E37" s="37" t="n"/>
      <c r="F37" s="38" t="n"/>
    </row>
    <row r="38">
      <c r="A38" s="31" t="inlineStr">
        <is>
          <t>Guarda - corpo de vãos</t>
        </is>
      </c>
      <c r="B38" s="32" t="n"/>
      <c r="C38" s="32" t="n"/>
      <c r="D38" s="302" t="n"/>
      <c r="E38" s="33" t="n"/>
      <c r="F38" s="34" t="n"/>
    </row>
    <row r="39" ht="22.5" customHeight="1" thickBot="1">
      <c r="A39" s="35" t="n"/>
      <c r="B39" s="36" t="n"/>
      <c r="C39" s="36" t="n"/>
      <c r="D39" s="303" t="n"/>
      <c r="E39" s="37" t="n"/>
      <c r="F39" s="38" t="n"/>
    </row>
    <row r="40">
      <c r="A40" s="35" t="n"/>
      <c r="B40" s="39" t="inlineStr">
        <is>
          <t>Descrição</t>
        </is>
      </c>
      <c r="C40" s="40" t="inlineStr">
        <is>
          <t>Unidade</t>
        </is>
      </c>
      <c r="D40" s="304" t="inlineStr">
        <is>
          <t>Quantidade</t>
        </is>
      </c>
      <c r="E40" s="37" t="n"/>
      <c r="F40" s="38" t="n"/>
    </row>
    <row r="41">
      <c r="A41" s="35" t="n"/>
      <c r="B41" s="28" t="inlineStr">
        <is>
          <t>Perímetro de vãos</t>
        </is>
      </c>
      <c r="C41" s="321" t="inlineStr">
        <is>
          <t>m</t>
        </is>
      </c>
      <c r="D41" s="322" t="n">
        <v>632.2144</v>
      </c>
      <c r="E41" s="37" t="n"/>
      <c r="F41" s="38" t="n"/>
    </row>
    <row r="42">
      <c r="A42" s="35" t="n"/>
      <c r="B42" s="41" t="inlineStr">
        <is>
          <t>Guarda - corpo de vãos</t>
        </is>
      </c>
      <c r="C42" s="311" t="inlineStr">
        <is>
          <t>m</t>
        </is>
      </c>
      <c r="D42" s="323">
        <f>D41</f>
        <v/>
      </c>
      <c r="E42" s="37" t="n"/>
      <c r="F42" s="38" t="n"/>
    </row>
    <row r="43">
      <c r="A43" s="35" t="n"/>
      <c r="B43" s="36" t="n"/>
      <c r="C43" s="36" t="n"/>
      <c r="D43" s="303" t="n"/>
      <c r="E43" s="37" t="n"/>
      <c r="F43" s="38" t="n"/>
    </row>
    <row r="44">
      <c r="A44" s="31" t="inlineStr">
        <is>
          <t>Tapume</t>
        </is>
      </c>
      <c r="B44" s="32" t="n"/>
      <c r="C44" s="32" t="n"/>
      <c r="D44" s="302" t="n"/>
      <c r="E44" s="33" t="n"/>
      <c r="F44" s="34" t="n"/>
    </row>
    <row r="45" ht="22.5" customHeight="1" thickBot="1">
      <c r="A45" s="35" t="n"/>
      <c r="B45" s="36" t="n"/>
      <c r="C45" s="36" t="n"/>
      <c r="D45" s="303" t="n"/>
      <c r="E45" s="37" t="n"/>
      <c r="F45" s="38" t="n"/>
    </row>
    <row r="46">
      <c r="A46" s="35" t="n"/>
      <c r="B46" s="39" t="inlineStr">
        <is>
          <t>Descrição</t>
        </is>
      </c>
      <c r="C46" s="40" t="inlineStr">
        <is>
          <t>Unidade</t>
        </is>
      </c>
      <c r="D46" s="304" t="inlineStr">
        <is>
          <t>Quantidade</t>
        </is>
      </c>
      <c r="E46" s="37" t="n"/>
      <c r="F46" s="38" t="n"/>
    </row>
    <row r="47">
      <c r="A47" s="35" t="n"/>
      <c r="B47" s="28" t="inlineStr">
        <is>
          <t>Perímetro de encontro com pavimentação</t>
        </is>
      </c>
      <c r="C47" s="321" t="inlineStr">
        <is>
          <t>m</t>
        </is>
      </c>
      <c r="D47" s="281" t="n">
        <v>31</v>
      </c>
      <c r="E47" s="37" t="n"/>
      <c r="F47" s="38" t="n"/>
    </row>
    <row r="48">
      <c r="A48" s="35" t="n"/>
      <c r="B48" s="30" t="inlineStr">
        <is>
          <t>Altura do tapume</t>
        </is>
      </c>
      <c r="C48" s="324" t="inlineStr">
        <is>
          <t>m</t>
        </is>
      </c>
      <c r="D48" s="325" t="n">
        <v>2.4</v>
      </c>
      <c r="E48" s="37" t="n"/>
      <c r="F48" s="38" t="n"/>
    </row>
    <row r="49">
      <c r="A49" s="35" t="n"/>
      <c r="B49" s="41" t="inlineStr">
        <is>
          <t>Cobertura para proteção de pedestres</t>
        </is>
      </c>
      <c r="C49" s="311" t="inlineStr">
        <is>
          <t>m2</t>
        </is>
      </c>
      <c r="D49" s="323">
        <f>D48*D47</f>
        <v/>
      </c>
      <c r="E49" s="37" t="n"/>
      <c r="F49" s="38" t="n"/>
    </row>
    <row r="50">
      <c r="A50" s="35" t="n"/>
      <c r="B50" s="36" t="n"/>
      <c r="C50" s="36" t="n"/>
      <c r="D50" s="303" t="n"/>
      <c r="E50" s="37" t="n"/>
      <c r="F50" s="38" t="n"/>
    </row>
    <row r="51" ht="22.5" customHeight="1" thickBot="1">
      <c r="A51" s="44" t="n"/>
      <c r="B51" s="45" t="n"/>
      <c r="C51" s="45" t="n"/>
      <c r="D51" s="326" t="n"/>
      <c r="E51" s="46" t="n"/>
      <c r="F51" s="47" t="n"/>
    </row>
    <row r="52">
      <c r="A52" s="223" t="n"/>
      <c r="B52" s="224" t="n"/>
      <c r="C52" s="224" t="n"/>
      <c r="D52" s="327" t="n"/>
      <c r="E52" s="226" t="n"/>
      <c r="F52" s="223" t="n"/>
    </row>
    <row r="53">
      <c r="A53" s="223" t="n"/>
      <c r="B53" s="224" t="n"/>
      <c r="C53" s="224" t="n"/>
      <c r="D53" s="327" t="n"/>
      <c r="E53" s="226" t="n"/>
      <c r="F53" s="223" t="n"/>
    </row>
  </sheetData>
  <mergeCells count="2">
    <mergeCell ref="A6:F6"/>
    <mergeCell ref="A4:F4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/>
    <pageSetUpPr/>
  </sheetPr>
  <dimension ref="A1:R298"/>
  <sheetViews>
    <sheetView showGridLines="0" tabSelected="1" topLeftCell="F1" zoomScale="66" zoomScaleNormal="66" workbookViewId="0">
      <pane ySplit="10" topLeftCell="A11" activePane="bottomLeft" state="frozen"/>
      <selection activeCell="F1" sqref="F1"/>
      <selection pane="bottomLeft" activeCell="M5" sqref="M5:P9"/>
    </sheetView>
  </sheetViews>
  <sheetFormatPr baseColWidth="8" defaultColWidth="8.85546875" defaultRowHeight="19.5" outlineLevelRow="3"/>
  <cols>
    <col hidden="1" outlineLevel="1" width="7" customWidth="1" style="55" min="1" max="1"/>
    <col hidden="1" outlineLevel="1" width="6.7109375" customWidth="1" style="55" min="2" max="4"/>
    <col hidden="1" outlineLevel="1" width="6.7109375" customWidth="1" style="56" min="5" max="5"/>
    <col collapsed="1" width="2.5703125" customWidth="1" style="58" min="6" max="6"/>
    <col hidden="1" outlineLevel="1" width="13.28515625" customWidth="1" style="1" min="7" max="7"/>
    <col collapsed="1" width="15.42578125" customWidth="1" style="1" min="8" max="8"/>
    <col width="88.85546875" customWidth="1" style="1" min="9" max="9"/>
    <col width="11.5703125" customWidth="1" style="3" min="10" max="10"/>
    <col width="13.5703125" customWidth="1" style="328" min="11" max="11"/>
    <col width="14.7109375" customWidth="1" style="89" min="12" max="12"/>
    <col width="20.5703125" customWidth="1" style="329" min="13" max="13"/>
    <col outlineLevel="1" width="13.7109375" customWidth="1" style="64" min="14" max="14"/>
    <col outlineLevel="1" width="12.42578125" bestFit="1" customWidth="1" style="89" min="15" max="15"/>
    <col width="71.140625" customWidth="1" style="68" min="16" max="16"/>
    <col width="16.85546875" bestFit="1" customWidth="1" style="58" min="17" max="17"/>
    <col width="12.42578125" bestFit="1" customWidth="1" style="58" min="18" max="18"/>
    <col width="8.85546875" customWidth="1" style="58" min="19" max="16384"/>
  </cols>
  <sheetData>
    <row r="1" ht="36.6" customHeight="1">
      <c r="A1" s="51" t="n"/>
      <c r="B1" s="51" t="n"/>
      <c r="C1" s="51" t="n"/>
      <c r="D1" s="51" t="n"/>
      <c r="E1" s="51" t="n"/>
      <c r="F1" s="65" t="n"/>
      <c r="G1" s="330" t="inlineStr">
        <is>
          <t>ORÇAMENTO PRELIMINAR</t>
        </is>
      </c>
      <c r="H1" s="331" t="n"/>
      <c r="I1" s="331" t="n"/>
      <c r="J1" s="331" t="n"/>
      <c r="K1" s="331" t="n"/>
      <c r="L1" s="331" t="n"/>
      <c r="M1" s="331" t="n"/>
      <c r="N1" s="331" t="n"/>
      <c r="O1" s="331" t="n"/>
      <c r="P1" s="332" t="n"/>
      <c r="Q1" s="106" t="n"/>
    </row>
    <row r="2" ht="5.45" customHeight="1">
      <c r="A2" s="51" t="n"/>
      <c r="B2" s="51" t="n"/>
      <c r="C2" s="51" t="n"/>
      <c r="D2" s="51" t="n"/>
      <c r="E2" s="51" t="n"/>
      <c r="F2" s="65" t="n"/>
      <c r="G2" s="333" t="n"/>
      <c r="H2" s="273" t="n"/>
      <c r="I2" s="273" t="n"/>
      <c r="J2" s="273" t="n"/>
      <c r="K2" s="273" t="n"/>
      <c r="L2" s="273" t="n"/>
      <c r="M2" s="273" t="n"/>
      <c r="N2" s="273" t="n"/>
      <c r="O2" s="273" t="n"/>
      <c r="P2" s="274" t="n"/>
    </row>
    <row r="3" ht="9" customHeight="1">
      <c r="A3" s="51" t="n"/>
      <c r="B3" s="51" t="n"/>
      <c r="C3" s="51" t="n"/>
      <c r="D3" s="51" t="n"/>
      <c r="E3" s="51" t="n"/>
      <c r="G3" s="58" t="n"/>
      <c r="H3" s="69" t="n"/>
      <c r="I3" s="93" t="n"/>
      <c r="J3" s="69" t="n"/>
      <c r="K3" s="69" t="n"/>
      <c r="L3" s="85" t="n"/>
      <c r="M3" s="334" t="n"/>
      <c r="N3" s="70" t="n"/>
      <c r="O3" s="85" t="n"/>
      <c r="P3" s="80" t="n"/>
    </row>
    <row r="4" ht="14.45" customHeight="1">
      <c r="A4" s="52" t="inlineStr">
        <is>
          <t>Unidade Construtiva</t>
        </is>
      </c>
      <c r="B4" s="52" t="inlineStr">
        <is>
          <t>Célula Construtiva</t>
        </is>
      </c>
      <c r="C4" s="52" t="inlineStr">
        <is>
          <t>Etapa</t>
        </is>
      </c>
      <c r="D4" s="52" t="inlineStr">
        <is>
          <t>Subetapa</t>
        </is>
      </c>
      <c r="E4" s="52" t="inlineStr">
        <is>
          <t>Serviço</t>
        </is>
      </c>
      <c r="G4" s="2" t="n"/>
      <c r="H4" s="2" t="n"/>
      <c r="I4" s="94" t="n"/>
      <c r="J4" s="63" t="n"/>
      <c r="L4" s="86" t="n"/>
      <c r="M4" s="335" t="inlineStr">
        <is>
          <t>ESCOLHA UMA OPÇÃO:</t>
        </is>
      </c>
      <c r="N4" s="273" t="n"/>
      <c r="O4" s="273" t="n"/>
      <c r="P4" s="273" t="n"/>
    </row>
    <row r="5" ht="16.9" customFormat="1" customHeight="1" s="72">
      <c r="A5" s="336" t="n">
        <v>0</v>
      </c>
      <c r="B5" s="336" t="n">
        <v>0</v>
      </c>
      <c r="C5" s="336" t="n">
        <v>0</v>
      </c>
      <c r="D5" s="337" t="n">
        <v>0</v>
      </c>
      <c r="E5" s="337" t="n">
        <v>0</v>
      </c>
      <c r="F5" s="71" t="n"/>
      <c r="G5" s="338" t="inlineStr">
        <is>
          <t>CLIENTE</t>
        </is>
      </c>
      <c r="H5" s="299" t="n"/>
      <c r="I5" s="259">
        <f>OBRA!B6</f>
        <v/>
      </c>
      <c r="J5" s="299" t="n"/>
      <c r="K5" s="338" t="n"/>
      <c r="L5" s="299" t="n"/>
      <c r="M5" s="339" t="inlineStr">
        <is>
          <t>FORRO VINILICO</t>
        </is>
      </c>
      <c r="N5" s="298" t="n"/>
      <c r="O5" s="298" t="n"/>
      <c r="P5" s="299" t="n"/>
    </row>
    <row r="6" ht="16.9" customFormat="1" customHeight="1" s="72">
      <c r="A6" s="336">
        <f>IF(G6="UNIDADE CONSTRUTIVA",OFFSET(A6,-1,0)+1,LARGE(A$4:A5,1))</f>
        <v/>
      </c>
      <c r="B6" s="336">
        <f>IF(G6="UNIDADE CONSTRUTIVA",0,IF(G6="CÉLULA CONSTRUTIVA",OFFSET(B6,-1,0)+1,OFFSET(B6,-1,0)))</f>
        <v/>
      </c>
      <c r="C6" s="336">
        <f>IF(G6="CÉLULA CONSTRUTIVA",0,IF(G6="ETAPA",OFFSET(C6,-1,0)+1,OFFSET(C6,-1,0)))</f>
        <v/>
      </c>
      <c r="D6" s="337">
        <f>IF(G6="ETAPA",0,IF(G6="SUBETAPA",OFFSET(D6,-1,0)+1,OFFSET(D6,-1,0)))</f>
        <v/>
      </c>
      <c r="E6" s="337">
        <f>IF(G6="Subetapa",0,IF(G6="serviço",OFFSET(E6,-1,0)+1,OFFSET(E6,-1,0)))</f>
        <v/>
      </c>
      <c r="F6" s="71" t="n"/>
      <c r="G6" s="338" t="inlineStr">
        <is>
          <t>OBRA</t>
        </is>
      </c>
      <c r="H6" s="299" t="n"/>
      <c r="I6" s="259">
        <f>OBRA!B5</f>
        <v/>
      </c>
      <c r="J6" s="299" t="n"/>
      <c r="K6" s="338" t="n"/>
      <c r="L6" s="299" t="n"/>
      <c r="M6" s="339" t="inlineStr">
        <is>
          <t>REBOCO</t>
        </is>
      </c>
      <c r="N6" s="298" t="n"/>
      <c r="O6" s="298" t="n"/>
      <c r="P6" s="299" t="n"/>
    </row>
    <row r="7" ht="16.9" customFormat="1" customHeight="1" s="72">
      <c r="A7" s="336">
        <f>IF(G7="UNIDADE CONSTRUTIVA",OFFSET(A7,-1,0)+1,LARGE(A$4:A6,1))</f>
        <v/>
      </c>
      <c r="B7" s="336">
        <f>IF(G7="UNIDADE CONSTRUTIVA",0,IF(G7="CÉLULA CONSTRUTIVA",OFFSET(B7,-1,0)+1,OFFSET(B7,-1,0)))</f>
        <v/>
      </c>
      <c r="C7" s="336">
        <f>IF(G7="CÉLULA CONSTRUTIVA",0,IF(G7="ETAPA",OFFSET(C7,-1,0)+1,OFFSET(C7,-1,0)))</f>
        <v/>
      </c>
      <c r="D7" s="337">
        <f>IF(G7="ETAPA",0,IF(G7="SUBETAPA",OFFSET(D7,-1,0)+1,OFFSET(D7,-1,0)))</f>
        <v/>
      </c>
      <c r="E7" s="337">
        <f>IF(G7="Subetapa",0,IF(G7="serviço",OFFSET(E7,-1,0)+1,OFFSET(E7,-1,0)))</f>
        <v/>
      </c>
      <c r="F7" s="71" t="n"/>
      <c r="G7" s="338" t="inlineStr">
        <is>
          <t>DATA</t>
        </is>
      </c>
      <c r="H7" s="299" t="n"/>
      <c r="I7" s="258">
        <f>OBRA!B7</f>
        <v/>
      </c>
      <c r="J7" s="299" t="n"/>
      <c r="K7" s="338" t="n"/>
      <c r="L7" s="299" t="n"/>
      <c r="M7" s="339" t="inlineStr">
        <is>
          <t>BRISE TOTAL</t>
        </is>
      </c>
      <c r="N7" s="298" t="n"/>
      <c r="O7" s="298" t="n"/>
      <c r="P7" s="299" t="n"/>
    </row>
    <row r="8" ht="16.9" customFormat="1" customHeight="1" s="72">
      <c r="A8" s="336" t="n"/>
      <c r="B8" s="336" t="n"/>
      <c r="C8" s="336" t="n"/>
      <c r="D8" s="337" t="n"/>
      <c r="E8" s="337" t="n"/>
      <c r="G8" s="231" t="n"/>
      <c r="H8" s="232" t="inlineStr">
        <is>
          <t>VERSÃO</t>
        </is>
      </c>
      <c r="I8" s="233">
        <f>OBRA!B8</f>
        <v/>
      </c>
      <c r="J8" s="233" t="n"/>
      <c r="K8" s="232" t="n"/>
      <c r="L8" s="232" t="n"/>
      <c r="M8" s="339" t="n"/>
      <c r="N8" s="298" t="n"/>
      <c r="O8" s="298" t="n"/>
      <c r="P8" s="299" t="n"/>
    </row>
    <row r="9" ht="16.9" customFormat="1" customHeight="1" s="72">
      <c r="A9" s="336" t="n"/>
      <c r="B9" s="336" t="n"/>
      <c r="C9" s="336" t="n"/>
      <c r="D9" s="337" t="n"/>
      <c r="E9" s="337" t="n"/>
      <c r="G9" s="231" t="n"/>
      <c r="H9" s="232" t="n"/>
      <c r="I9" s="233" t="n"/>
      <c r="J9" s="233" t="n"/>
      <c r="K9" s="232" t="n"/>
      <c r="L9" s="232" t="n"/>
      <c r="M9" s="339" t="inlineStr">
        <is>
          <t>ESQUADRIAS MAIORES</t>
        </is>
      </c>
      <c r="N9" s="298" t="n"/>
      <c r="O9" s="298" t="n"/>
      <c r="P9" s="299" t="n"/>
    </row>
    <row r="10" ht="23.45" customHeight="1">
      <c r="A10" s="336" t="n"/>
      <c r="B10" s="336">
        <f>IF(G10="UNIDADE CONSTRUTIVA",0,IF(G10="CÉLULA CONSTRUTIVA",OFFSET(B10,-1,0)+1,OFFSET(B10,-1,0)))</f>
        <v/>
      </c>
      <c r="C10" s="336">
        <f>IF(G10="CÉLULA CONSTRUTIVA",0,IF(G10="ETAPA",OFFSET(C10,-1,0)+1,OFFSET(C10,-1,0)))</f>
        <v/>
      </c>
      <c r="D10" s="337">
        <f>IF(G10="ETAPA",0,IF(G10="SUBETAPA",OFFSET(D10,-1,0)+1,OFFSET(D10,-1,0)))</f>
        <v/>
      </c>
      <c r="E10" s="337">
        <f>IF(G10="Subetapa",0,IF(G10="serviço",OFFSET(E10,-1,0)+1,OFFSET(E10,-1,0)))</f>
        <v/>
      </c>
      <c r="G10" s="2" t="n"/>
      <c r="H10" s="261" t="inlineStr">
        <is>
          <t>* IMPORTANTE: Os custos unitários apresentados nessa página possuem majoração ao custo real buscando contemplar aproximações de quantidades, perdas e outras situações previstas através de índices e indexadores no orçamento</t>
        </is>
      </c>
      <c r="I10" s="298" t="n"/>
      <c r="J10" s="298" t="n"/>
      <c r="K10" s="298" t="n"/>
      <c r="L10" s="298" t="n"/>
      <c r="M10" s="298" t="n"/>
      <c r="N10" s="298" t="n"/>
      <c r="O10" s="298" t="n"/>
      <c r="P10" s="298" t="n"/>
    </row>
    <row r="11" ht="35.25" customHeight="1">
      <c r="A11" s="336">
        <f>IF(G11="UNIDADE CONSTRUTIVA",OFFSET(A11,-1,0)+1,LARGE(A$4:A10,1))</f>
        <v/>
      </c>
      <c r="B11" s="336">
        <f>IF(G11="UNIDADE CONSTRUTIVA",0,IF(G11="CÉLULA CONSTRUTIVA",OFFSET(B11,-1,0)+1,OFFSET(B11,-1,0)))</f>
        <v/>
      </c>
      <c r="C11" s="336">
        <f>IF(G11="CÉLULA CONSTRUTIVA",0,IF(G11="ETAPA",OFFSET(C11,-1,0)+1,OFFSET(C11,-1,0)))</f>
        <v/>
      </c>
      <c r="D11" s="337">
        <f>IF(G11="ETAPA",0,IF(G11="SUBETAPA",OFFSET(D11,-1,0)+1,OFFSET(D11,-1,0)))</f>
        <v/>
      </c>
      <c r="E11" s="337">
        <f>IF(G11="Subetapa",0,IF(G11="serviço",OFFSET(E11,-1,0)+1,OFFSET(E11,-1,0)))</f>
        <v/>
      </c>
      <c r="F11" s="65" t="n"/>
      <c r="G11" s="115" t="inlineStr">
        <is>
          <t>Nivel</t>
        </is>
      </c>
      <c r="H11" s="113" t="inlineStr">
        <is>
          <t>Código</t>
        </is>
      </c>
      <c r="I11" s="114" t="inlineStr">
        <is>
          <t>Descrição</t>
        </is>
      </c>
      <c r="J11" s="113" t="inlineStr">
        <is>
          <t>Un.</t>
        </is>
      </c>
      <c r="K11" s="340" t="inlineStr">
        <is>
          <t>Quantidade</t>
        </is>
      </c>
      <c r="L11" s="117" t="inlineStr">
        <is>
          <t>Preço unitário</t>
        </is>
      </c>
      <c r="M11" s="341" t="inlineStr">
        <is>
          <t>Preço total</t>
        </is>
      </c>
      <c r="N11" s="118" t="inlineStr">
        <is>
          <t>%</t>
        </is>
      </c>
      <c r="O11" s="117" t="inlineStr">
        <is>
          <t>R$/m²</t>
        </is>
      </c>
      <c r="P11" s="342" t="inlineStr">
        <is>
          <t>Observação</t>
        </is>
      </c>
    </row>
    <row r="12" ht="16.9" customFormat="1" customHeight="1" s="72">
      <c r="A12" s="343">
        <f>IF(G12="UNIDADE CONSTRUTIVA",OFFSET(A12,-1,0)+1,LARGE(A$4:A11,1))</f>
        <v/>
      </c>
      <c r="B12" s="336">
        <f>IF(G12="UNIDADE CONSTRUTIVA",0,IF(G12="CÉLULA CONSTRUTIVA",OFFSET(B12,-1,0)+1,OFFSET(B12,-1,0)))</f>
        <v/>
      </c>
      <c r="C12" s="336">
        <f>IF(G12="CÉLULA CONSTRUTIVA",0,IF(G12="ETAPA",OFFSET(C12,-1,0)+1,OFFSET(C12,-1,0)))</f>
        <v/>
      </c>
      <c r="D12" s="337">
        <f>IF(G12="ETAPA",0,IF(G12="SUBETAPA",OFFSET(D12,-1,0)+1,OFFSET(D12,-1,0)))</f>
        <v/>
      </c>
      <c r="E12" s="337">
        <f>IF(G12="Subetapa",0,IF(G12="serviço",OFFSET(E12,-1,0)+1,OFFSET(E12,-1,0)))</f>
        <v/>
      </c>
      <c r="G12" s="262" t="n"/>
      <c r="H12" s="298" t="n"/>
      <c r="I12" s="257" t="n"/>
      <c r="J12" s="298" t="n"/>
      <c r="K12" s="260" t="n"/>
      <c r="L12" s="298" t="n"/>
      <c r="M12" s="344" t="n"/>
      <c r="N12" s="345" t="n"/>
      <c r="O12" s="345" t="n"/>
      <c r="P12" s="346" t="n"/>
    </row>
    <row r="13" ht="19.9" customFormat="1" customHeight="1" s="1">
      <c r="A13" s="343">
        <f>IF(G13="UNIDADE CONSTRUTIVA",OFFSET(A13,-1,0)+1,LARGE(A$4:A12,1))</f>
        <v/>
      </c>
      <c r="B13" s="343">
        <f>IF(G13="UNIDADE CONSTRUTIVA",0,IF(G13="CÉLULA CONSTRUTIVA",OFFSET(B13,-1,0)+1,OFFSET(B13,-1,0)))</f>
        <v/>
      </c>
      <c r="C13" s="343">
        <f>IF(G13="CÉLULA CONSTRUTIVA",0,IF(G13="ETAPA",OFFSET(C13,-1,0)+1,OFFSET(C13,-1,0)))</f>
        <v/>
      </c>
      <c r="D13" s="347">
        <f>IF(G13="ETAPA",0,IF(G13="SUBETAPA",OFFSET(D13,-1,0)+1,OFFSET(D13,-1,0)))</f>
        <v/>
      </c>
      <c r="E13" s="347">
        <f>IF(G13="Subetapa",0,IF(G13="serviço",OFFSET(E13,-1,0)+1,OFFSET(E13,-1,0)))</f>
        <v/>
      </c>
      <c r="F13" s="100" t="n"/>
      <c r="G13" s="120" t="inlineStr">
        <is>
          <t>UNIDADE CONSTRUTIVA</t>
        </is>
      </c>
      <c r="H13" s="348">
        <f>IF(G13="Unidade Construtiva",CONCATENATE("UC ",TEXT(A13,"00")),IF(G13="Célula Construtiva",TEXT(B13,"00"),IF(G13="Etapa",CONCATENATE(TEXT(B13,"00"),".",TEXT(C13,"000")),IF(G13="Subetapa",CONCATENATE(TEXT(B13,"00"),".",TEXT(C13,"000"),".",TEXT(D13,"000")),IF(G13="Serviço",CONCATENATE(TEXT(B13,"00"),".",TEXT(C13,"000"),".",TEXT(D13,"000"),".",TEXT(E13,"000")),"")))))</f>
        <v/>
      </c>
      <c r="I13" s="95" t="inlineStr">
        <is>
          <t>DESPESAS INDIRETAS</t>
        </is>
      </c>
      <c r="J13" s="121" t="n"/>
      <c r="K13" s="349" t="n"/>
      <c r="L13" s="112" t="n"/>
      <c r="M13" s="350">
        <f>M14+M44</f>
        <v/>
      </c>
      <c r="N13" s="74">
        <f>M13/$M$298</f>
        <v/>
      </c>
      <c r="O13" s="97">
        <f>M13/OBRA!$D$12</f>
        <v/>
      </c>
      <c r="P13" s="351" t="n"/>
    </row>
    <row r="14" outlineLevel="1" ht="19.9" customFormat="1" customHeight="1" s="1">
      <c r="A14" s="343">
        <f>IF(G14="UNIDADE CONSTRUTIVA",OFFSET(A14,-1,0)+1,LARGE(A$4:A13,1))</f>
        <v/>
      </c>
      <c r="B14" s="343">
        <f>IF(G14="UNIDADE CONSTRUTIVA",0,IF(G14="CÉLULA CONSTRUTIVA",OFFSET(B14,-1,0)+1,OFFSET(B14,-1,0)))</f>
        <v/>
      </c>
      <c r="C14" s="343">
        <f>IF(G14="CÉLULA CONSTRUTIVA",0,IF(G14="ETAPA",OFFSET(C14,-1,0)+1,OFFSET(C14,-1,0)))</f>
        <v/>
      </c>
      <c r="D14" s="347">
        <f>IF(G14="ETAPA",0,IF(G14="SUBETAPA",OFFSET(D14,-1,0)+1,OFFSET(D14,-1,0)))</f>
        <v/>
      </c>
      <c r="E14" s="347">
        <f>IF(G14="Subetapa",0,IF(G14="serviço",OFFSET(E14,-1,0)+1,OFFSET(E14,-1,0)))</f>
        <v/>
      </c>
      <c r="G14" s="75" t="inlineStr">
        <is>
          <t>CÉLULA CONSTRUTIVA</t>
        </is>
      </c>
      <c r="H14" s="352">
        <f>IF(G14="Unidade Construtiva",CONCATENATE("UC ",TEXT(A14,"00")),IF(G14="Célula Construtiva",TEXT(B14,"00"),IF(G14="Etapa",CONCATENATE(TEXT(B14,"00"),".",TEXT(C14,"000")),IF(G14="Subetapa",CONCATENATE(TEXT(B14,"00"),".",TEXT(C14,"000"),".",TEXT(D14,"000")),IF(G14="Serviço",CONCATENATE(TEXT(B14,"00"),".",TEXT(C14,"000"),".",TEXT(D14,"000"),".",TEXT(E14,"000")),"")))))</f>
        <v/>
      </c>
      <c r="I14" s="92" t="inlineStr">
        <is>
          <t>GERENCIAMENTO TÉCNICO</t>
        </is>
      </c>
      <c r="J14" s="77" t="n"/>
      <c r="K14" s="353" t="n"/>
      <c r="L14" s="87" t="inlineStr"/>
      <c r="M14" s="354">
        <f>M15+M34</f>
        <v/>
      </c>
      <c r="N14" s="79">
        <f>M14/$M$298</f>
        <v/>
      </c>
      <c r="O14" s="87">
        <f>M14/OBRA!$D$12</f>
        <v/>
      </c>
      <c r="P14" s="355" t="n"/>
    </row>
    <row r="15" outlineLevel="2" ht="19.9" customFormat="1" customHeight="1" s="1">
      <c r="A15" s="343">
        <f>IF(G15="UNIDADE CONSTRUTIVA",OFFSET(A15,-1,0)+1,LARGE(A$4:A14,1))</f>
        <v/>
      </c>
      <c r="B15" s="343">
        <f>IF(G15="UNIDADE CONSTRUTIVA",0,IF(G15="CÉLULA CONSTRUTIVA",OFFSET(B15,-1,0)+1,OFFSET(B15,-1,0)))</f>
        <v/>
      </c>
      <c r="C15" s="343">
        <f>IF(G15="CÉLULA CONSTRUTIVA",0,IF(G15="ETAPA",OFFSET(C15,-1,0)+1,OFFSET(C15,-1,0)))</f>
        <v/>
      </c>
      <c r="D15" s="347">
        <f>IF(G15="ETAPA",0,IF(G15="SUBETAPA",OFFSET(D15,-1,0)+1,OFFSET(D15,-1,0)))</f>
        <v/>
      </c>
      <c r="E15" s="347">
        <f>IF(G15="Subetapa",0,IF(G15="serviço",OFFSET(E15,-1,0)+1,OFFSET(E15,-1,0)))</f>
        <v/>
      </c>
      <c r="G15" s="75" t="inlineStr">
        <is>
          <t>ETAPA</t>
        </is>
      </c>
      <c r="H15" s="352">
        <f>IF(G15="Unidade Construtiva",CONCATENATE("UC ",TEXT(A15,"00")),IF(G15="Célula Construtiva",TEXT(B15,"00"),IF(G15="Etapa",CONCATENATE(TEXT(B15,"00"),".",TEXT(C15,"000")),IF(G15="Subetapa",CONCATENATE(TEXT(B15,"00"),".",TEXT(C15,"000"),".",TEXT(D15,"000")),IF(G15="Serviço",CONCATENATE(TEXT(B15,"00"),".",TEXT(C15,"000"),".",TEXT(D15,"000"),".",TEXT(E15,"000")),"")))))</f>
        <v/>
      </c>
      <c r="I15" s="92" t="inlineStr">
        <is>
          <t>SEGURANÇA, MEIO AMBIENTE, SAÚDE</t>
        </is>
      </c>
      <c r="J15" s="77" t="n"/>
      <c r="K15" s="353" t="n"/>
      <c r="L15" s="87" t="inlineStr"/>
      <c r="M15" s="354">
        <f>SUM(M16:M33)/2</f>
        <v/>
      </c>
      <c r="N15" s="79">
        <f>M15/$M$298</f>
        <v/>
      </c>
      <c r="O15" s="87">
        <f>M15/OBRA!$D$12</f>
        <v/>
      </c>
      <c r="P15" s="355" t="n"/>
    </row>
    <row r="16" outlineLevel="2" ht="19.9" customFormat="1" customHeight="1" s="1">
      <c r="A16" s="343">
        <f>IF(G16="UNIDADE CONSTRUTIVA",OFFSET(A16,-1,0)+1,LARGE(A$4:A15,1))</f>
        <v/>
      </c>
      <c r="B16" s="343">
        <f>IF(G16="UNIDADE CONSTRUTIVA",0,IF(G16="CÉLULA CONSTRUTIVA",OFFSET(B16,-1,0)+1,OFFSET(B16,-1,0)))</f>
        <v/>
      </c>
      <c r="C16" s="343">
        <f>IF(G16="CÉLULA CONSTRUTIVA",0,IF(G16="ETAPA",OFFSET(C16,-1,0)+1,OFFSET(C16,-1,0)))</f>
        <v/>
      </c>
      <c r="D16" s="347">
        <f>IF(G16="ETAPA",0,IF(G16="SUBETAPA",OFFSET(D16,-1,0)+1,OFFSET(D16,-1,0)))</f>
        <v/>
      </c>
      <c r="E16" s="347">
        <f>IF(G16="Subetapa",0,IF(G16="serviço",OFFSET(E16,-1,0)+1,OFFSET(E16,-1,0)))</f>
        <v/>
      </c>
      <c r="G16" s="75" t="inlineStr">
        <is>
          <t>Subetapa</t>
        </is>
      </c>
      <c r="H16" s="352">
        <f>IF(G16="Unidade Construtiva",CONCATENATE("UC ",TEXT(A16,"00")),IF(G16="Célula Construtiva",TEXT(B16,"00"),IF(G16="Etapa",CONCATENATE(TEXT(B16,"00"),".",TEXT(C16,"000")),IF(G16="Subetapa",CONCATENATE(TEXT(B16,"00"),".",TEXT(C16,"000"),".",TEXT(D16,"000")),IF(G16="Serviço",CONCATENATE(TEXT(B16,"00"),".",TEXT(C16,"000"),".",TEXT(D16,"000"),".",TEXT(E16,"000")),"")))))</f>
        <v/>
      </c>
      <c r="I16" s="92" t="inlineStr">
        <is>
          <t>Estudos</t>
        </is>
      </c>
      <c r="J16" s="77" t="n"/>
      <c r="K16" s="353" t="n"/>
      <c r="L16" s="87" t="inlineStr"/>
      <c r="M16" s="354" t="n"/>
      <c r="N16" s="79">
        <f>M16/$M$298</f>
        <v/>
      </c>
      <c r="O16" s="87">
        <f>M16/OBRA!$D$12</f>
        <v/>
      </c>
      <c r="P16" s="355" t="n"/>
    </row>
    <row r="17" outlineLevel="2" collapsed="1" ht="19.9" customFormat="1" customHeight="1" s="1">
      <c r="A17" s="343">
        <f>IF(G17="UNIDADE CONSTRUTIVA",OFFSET(A17,-1,0)+1,LARGE(A$4:A16,1))</f>
        <v/>
      </c>
      <c r="B17" s="343">
        <f>IF(G17="UNIDADE CONSTRUTIVA",0,IF(G17="CÉLULA CONSTRUTIVA",OFFSET(B17,-1,0)+1,OFFSET(B17,-1,0)))</f>
        <v/>
      </c>
      <c r="C17" s="343">
        <f>IF(G17="CÉLULA CONSTRUTIVA",0,IF(G17="ETAPA",OFFSET(C17,-1,0)+1,OFFSET(C17,-1,0)))</f>
        <v/>
      </c>
      <c r="D17" s="347">
        <f>IF(G17="ETAPA",0,IF(G17="SUBETAPA",OFFSET(D17,-1,0)+1,OFFSET(D17,-1,0)))</f>
        <v/>
      </c>
      <c r="E17" s="347">
        <f>IF(G17="Subetapa",0,IF(G17="serviço",OFFSET(E17,-1,0)+1,OFFSET(E17,-1,0)))</f>
        <v/>
      </c>
      <c r="G17" s="75" t="inlineStr">
        <is>
          <t>Subetapa</t>
        </is>
      </c>
      <c r="H17" s="352">
        <f>IF(G17="Unidade Construtiva",CONCATENATE("UC ",TEXT(A17,"00")),IF(G17="Célula Construtiva",TEXT(B17,"00"),IF(G17="Etapa",CONCATENATE(TEXT(B17,"00"),".",TEXT(C17,"000")),IF(G17="Subetapa",CONCATENATE(TEXT(B17,"00"),".",TEXT(C17,"000"),".",TEXT(D17,"000")),IF(G17="Serviço",CONCATENATE(TEXT(B17,"00"),".",TEXT(C17,"000"),".",TEXT(D17,"000"),".",TEXT(E17,"000")),"")))))</f>
        <v/>
      </c>
      <c r="I17" s="92" t="inlineStr">
        <is>
          <t>Projetos</t>
        </is>
      </c>
      <c r="J17" s="77" t="n"/>
      <c r="K17" s="353" t="n"/>
      <c r="L17" s="87" t="inlineStr"/>
      <c r="M17" s="354">
        <f>SUM(M18:M27)</f>
        <v/>
      </c>
      <c r="N17" s="79">
        <f>M17/$M$298</f>
        <v/>
      </c>
      <c r="O17" s="87">
        <f>M17/OBRA!$D$12</f>
        <v/>
      </c>
      <c r="P17" s="355" t="n"/>
    </row>
    <row r="18" hidden="1" outlineLevel="3" ht="19.9" customFormat="1" customHeight="1" s="1">
      <c r="A18" s="343">
        <f>IF(G18="UNIDADE CONSTRUTIVA",OFFSET(A18,-1,0)+1,LARGE(A$4:A17,1))</f>
        <v/>
      </c>
      <c r="B18" s="343">
        <f>IF(G18="UNIDADE CONSTRUTIVA",0,IF(G18="CÉLULA CONSTRUTIVA",OFFSET(B18,-1,0)+1,OFFSET(B18,-1,0)))</f>
        <v/>
      </c>
      <c r="C18" s="343">
        <f>IF(G18="CÉLULA CONSTRUTIVA",0,IF(G18="ETAPA",OFFSET(C18,-1,0)+1,OFFSET(C18,-1,0)))</f>
        <v/>
      </c>
      <c r="D18" s="347">
        <f>IF(G18="ETAPA",0,IF(G18="SUBETAPA",OFFSET(D18,-1,0)+1,OFFSET(D18,-1,0)))</f>
        <v/>
      </c>
      <c r="E18" s="347">
        <f>IF(G18="Subetapa",0,IF(G18="serviço",OFFSET(E18,-1,0)+1,OFFSET(E18,-1,0)))</f>
        <v/>
      </c>
      <c r="G18" s="75" t="inlineStr">
        <is>
          <t>Serviço</t>
        </is>
      </c>
      <c r="H18" s="352">
        <f>IF(G18="Unidade Construtiva",CONCATENATE("UC ",TEXT(A18,"00")),IF(G18="Célula Construtiva",TEXT(B18,"00"),IF(G18="Etapa",CONCATENATE(TEXT(B18,"00"),".",TEXT(C18,"000")),IF(G18="Subetapa",CONCATENATE(TEXT(B18,"00"),".",TEXT(C18,"000"),".",TEXT(D18,"000")),IF(G18="Serviço",CONCATENATE(TEXT(B18,"00"),".",TEXT(C18,"000"),".",TEXT(D18,"000"),".",TEXT(E18,"000")),"")))))</f>
        <v/>
      </c>
      <c r="I18" s="92" t="inlineStr">
        <is>
          <t>Projeto Arquitetônico</t>
        </is>
      </c>
      <c r="J18" s="77" t="inlineStr">
        <is>
          <t>vb</t>
        </is>
      </c>
      <c r="K18" s="353" t="n">
        <v>1</v>
      </c>
      <c r="L18" s="87" t="n">
        <v>412743.05</v>
      </c>
      <c r="M18" s="354">
        <f>K18*L18</f>
        <v/>
      </c>
      <c r="N18" s="79">
        <f>M18/$M$298</f>
        <v/>
      </c>
      <c r="O18" s="87">
        <f>M18/OBRA!$D$12</f>
        <v/>
      </c>
      <c r="P18" s="355" t="n"/>
    </row>
    <row r="19" hidden="1" outlineLevel="3" ht="19.9" customFormat="1" customHeight="1" s="1">
      <c r="A19" s="343">
        <f>IF(G19="UNIDADE CONSTRUTIVA",OFFSET(A19,-1,0)+1,LARGE(A$4:A18,1))</f>
        <v/>
      </c>
      <c r="B19" s="343">
        <f>IF(G19="UNIDADE CONSTRUTIVA",0,IF(G19="CÉLULA CONSTRUTIVA",OFFSET(B19,-1,0)+1,OFFSET(B19,-1,0)))</f>
        <v/>
      </c>
      <c r="C19" s="343">
        <f>IF(G19="CÉLULA CONSTRUTIVA",0,IF(G19="ETAPA",OFFSET(C19,-1,0)+1,OFFSET(C19,-1,0)))</f>
        <v/>
      </c>
      <c r="D19" s="347">
        <f>IF(G19="ETAPA",0,IF(G19="SUBETAPA",OFFSET(D19,-1,0)+1,OFFSET(D19,-1,0)))</f>
        <v/>
      </c>
      <c r="E19" s="347">
        <f>IF(G19="Subetapa",0,IF(G19="serviço",OFFSET(E19,-1,0)+1,OFFSET(E19,-1,0)))</f>
        <v/>
      </c>
      <c r="G19" s="75" t="inlineStr">
        <is>
          <t>Serviço</t>
        </is>
      </c>
      <c r="H19" s="352">
        <f>IF(G19="Unidade Construtiva",CONCATENATE("UC ",TEXT(A19,"00")),IF(G19="Célula Construtiva",TEXT(B19,"00"),IF(G19="Etapa",CONCATENATE(TEXT(B19,"00"),".",TEXT(C19,"000")),IF(G19="Subetapa",CONCATENATE(TEXT(B19,"00"),".",TEXT(C19,"000"),".",TEXT(D19,"000")),IF(G19="Serviço",CONCATENATE(TEXT(B19,"00"),".",TEXT(C19,"000"),".",TEXT(D19,"000"),".",TEXT(E19,"000")),"")))))</f>
        <v/>
      </c>
      <c r="I19" s="92" t="inlineStr">
        <is>
          <t>Projeto Estrutural</t>
        </is>
      </c>
      <c r="J19" s="77" t="inlineStr">
        <is>
          <t>vb</t>
        </is>
      </c>
      <c r="K19" s="353" t="n">
        <v>1</v>
      </c>
      <c r="L19" s="87" t="n">
        <v>343952.54</v>
      </c>
      <c r="M19" s="354">
        <f>K19*L19</f>
        <v/>
      </c>
      <c r="N19" s="79">
        <f>M19/$M$298</f>
        <v/>
      </c>
      <c r="O19" s="87">
        <f>M19/OBRA!$D$12</f>
        <v/>
      </c>
      <c r="P19" s="355" t="n"/>
    </row>
    <row r="20" hidden="1" outlineLevel="3" ht="19.9" customFormat="1" customHeight="1" s="1">
      <c r="A20" s="343">
        <f>IF(G20="UNIDADE CONSTRUTIVA",OFFSET(A20,-1,0)+1,LARGE(A$4:A18,1))</f>
        <v/>
      </c>
      <c r="B20" s="343">
        <f>IF(G20="UNIDADE CONSTRUTIVA",0,IF(G20="CÉLULA CONSTRUTIVA",OFFSET(B20,-1,0)+1,OFFSET(B20,-1,0)))</f>
        <v/>
      </c>
      <c r="C20" s="343">
        <f>IF(G20="CÉLULA CONSTRUTIVA",0,IF(G20="ETAPA",OFFSET(C20,-1,0)+1,OFFSET(C20,-1,0)))</f>
        <v/>
      </c>
      <c r="D20" s="347">
        <f>IF(G20="ETAPA",0,IF(G20="SUBETAPA",OFFSET(D20,-1,0)+1,OFFSET(D20,-1,0)))</f>
        <v/>
      </c>
      <c r="E20" s="347">
        <f>IF(G20="Subetapa",0,IF(G20="serviço",OFFSET(E20,-1,0)+1,OFFSET(E20,-1,0)))</f>
        <v/>
      </c>
      <c r="G20" s="75" t="inlineStr">
        <is>
          <t>Serviço</t>
        </is>
      </c>
      <c r="H20" s="352">
        <f>IF(G20="Unidade Construtiva",CONCATENATE("UC ",TEXT(A20,"00")),IF(G20="Célula Construtiva",TEXT(B20,"00"),IF(G20="Etapa",CONCATENATE(TEXT(B20,"00"),".",TEXT(C20,"000")),IF(G20="Subetapa",CONCATENATE(TEXT(B20,"00"),".",TEXT(C20,"000"),".",TEXT(D20,"000")),IF(G20="Serviço",CONCATENATE(TEXT(B20,"00"),".",TEXT(C20,"000"),".",TEXT(D20,"000"),".",TEXT(E20,"000")),"")))))</f>
        <v/>
      </c>
      <c r="I20" s="92" t="inlineStr">
        <is>
          <t>Projeto Elétrico</t>
        </is>
      </c>
      <c r="J20" s="77" t="inlineStr">
        <is>
          <t>vb</t>
        </is>
      </c>
      <c r="K20" s="353" t="n">
        <v>1</v>
      </c>
      <c r="L20" s="87" t="n">
        <v>206371.52</v>
      </c>
      <c r="M20" s="354">
        <f>K20*L20</f>
        <v/>
      </c>
      <c r="N20" s="79">
        <f>M20/$M$298</f>
        <v/>
      </c>
      <c r="O20" s="87">
        <f>M20/OBRA!$D$12</f>
        <v/>
      </c>
      <c r="P20" s="355" t="n"/>
    </row>
    <row r="21" hidden="1" outlineLevel="3" ht="19.9" customFormat="1" customHeight="1" s="1">
      <c r="A21" s="343">
        <f>IF(G21="UNIDADE CONSTRUTIVA",OFFSET(A21,-1,0)+1,LARGE(A$4:A19,1))</f>
        <v/>
      </c>
      <c r="B21" s="343">
        <f>IF(G21="UNIDADE CONSTRUTIVA",0,IF(G21="CÉLULA CONSTRUTIVA",OFFSET(B21,-1,0)+1,OFFSET(B21,-1,0)))</f>
        <v/>
      </c>
      <c r="C21" s="343">
        <f>IF(G21="CÉLULA CONSTRUTIVA",0,IF(G21="ETAPA",OFFSET(C21,-1,0)+1,OFFSET(C21,-1,0)))</f>
        <v/>
      </c>
      <c r="D21" s="347">
        <f>IF(G21="ETAPA",0,IF(G21="SUBETAPA",OFFSET(D21,-1,0)+1,OFFSET(D21,-1,0)))</f>
        <v/>
      </c>
      <c r="E21" s="347">
        <f>IF(G21="Subetapa",0,IF(G21="serviço",OFFSET(E21,-1,0)+1,OFFSET(E21,-1,0)))</f>
        <v/>
      </c>
      <c r="G21" s="75" t="inlineStr">
        <is>
          <t>Serviço</t>
        </is>
      </c>
      <c r="H21" s="352">
        <f>IF(G21="Unidade Construtiva",CONCATENATE("UC ",TEXT(A21,"00")),IF(G21="Célula Construtiva",TEXT(B21,"00"),IF(G21="Etapa",CONCATENATE(TEXT(B21,"00"),".",TEXT(C21,"000")),IF(G21="Subetapa",CONCATENATE(TEXT(B21,"00"),".",TEXT(C21,"000"),".",TEXT(D21,"000")),IF(G21="Serviço",CONCATENATE(TEXT(B21,"00"),".",TEXT(C21,"000"),".",TEXT(D21,"000"),".",TEXT(E21,"000")),"")))))</f>
        <v/>
      </c>
      <c r="I21" s="92" t="inlineStr">
        <is>
          <t>Projeto Hidrossanitário</t>
        </is>
      </c>
      <c r="J21" s="77" t="inlineStr">
        <is>
          <t>vb</t>
        </is>
      </c>
      <c r="K21" s="353" t="n">
        <v>1</v>
      </c>
      <c r="L21" s="87" t="n">
        <v>206371.52</v>
      </c>
      <c r="M21" s="354">
        <f>K21*L21</f>
        <v/>
      </c>
      <c r="N21" s="79">
        <f>M21/$M$298</f>
        <v/>
      </c>
      <c r="O21" s="87">
        <f>M21/OBRA!$D$12</f>
        <v/>
      </c>
      <c r="P21" s="355" t="n"/>
    </row>
    <row r="22" hidden="1" outlineLevel="3" ht="19.9" customFormat="1" customHeight="1" s="1">
      <c r="A22" s="343">
        <f>IF(G22="UNIDADE CONSTRUTIVA",OFFSET(A22,-1,0)+1,LARGE(A$4:A19,1))</f>
        <v/>
      </c>
      <c r="B22" s="343">
        <f>IF(G22="UNIDADE CONSTRUTIVA",0,IF(G22="CÉLULA CONSTRUTIVA",OFFSET(B22,-1,0)+1,OFFSET(B22,-1,0)))</f>
        <v/>
      </c>
      <c r="C22" s="343">
        <f>IF(G22="CÉLULA CONSTRUTIVA",0,IF(G22="ETAPA",OFFSET(C22,-1,0)+1,OFFSET(C22,-1,0)))</f>
        <v/>
      </c>
      <c r="D22" s="347">
        <f>IF(G22="ETAPA",0,IF(G22="SUBETAPA",OFFSET(D22,-1,0)+1,OFFSET(D22,-1,0)))</f>
        <v/>
      </c>
      <c r="E22" s="347">
        <f>IF(G22="Subetapa",0,IF(G22="serviço",OFFSET(E22,-1,0)+1,OFFSET(E22,-1,0)))</f>
        <v/>
      </c>
      <c r="G22" s="75" t="inlineStr">
        <is>
          <t>Serviço</t>
        </is>
      </c>
      <c r="H22" s="352">
        <f>IF(G22="Unidade Construtiva",CONCATENATE("UC ",TEXT(A22,"00")),IF(G22="Célula Construtiva",TEXT(B22,"00"),IF(G22="Etapa",CONCATENATE(TEXT(B22,"00"),".",TEXT(C22,"000")),IF(G22="Subetapa",CONCATENATE(TEXT(B22,"00"),".",TEXT(C22,"000"),".",TEXT(D22,"000")),IF(G22="Serviço",CONCATENATE(TEXT(B22,"00"),".",TEXT(C22,"000"),".",TEXT(D22,"000"),".",TEXT(E22,"000")),"")))))</f>
        <v/>
      </c>
      <c r="I22" s="92" t="inlineStr">
        <is>
          <t>Projeto Preventivo</t>
        </is>
      </c>
      <c r="J22" s="77" t="inlineStr">
        <is>
          <t>vb</t>
        </is>
      </c>
      <c r="K22" s="353" t="n">
        <v>1</v>
      </c>
      <c r="L22" s="87" t="n">
        <v>110064.81</v>
      </c>
      <c r="M22" s="354">
        <f>K22*L22</f>
        <v/>
      </c>
      <c r="N22" s="79">
        <f>M22/$M$298</f>
        <v/>
      </c>
      <c r="O22" s="87">
        <f>M22/OBRA!$D$12</f>
        <v/>
      </c>
      <c r="P22" s="355" t="n"/>
    </row>
    <row r="23" hidden="1" outlineLevel="3" ht="19.9" customFormat="1" customHeight="1" s="1">
      <c r="A23" s="343">
        <f>IF(G23="UNIDADE CONSTRUTIVA",OFFSET(A23,-1,0)+1,LARGE(A$4:A20,1))</f>
        <v/>
      </c>
      <c r="B23" s="343">
        <f>IF(G23="UNIDADE CONSTRUTIVA",0,IF(G23="CÉLULA CONSTRUTIVA",OFFSET(B23,-1,0)+1,OFFSET(B23,-1,0)))</f>
        <v/>
      </c>
      <c r="C23" s="343">
        <f>IF(G23="CÉLULA CONSTRUTIVA",0,IF(G23="ETAPA",OFFSET(C23,-1,0)+1,OFFSET(C23,-1,0)))</f>
        <v/>
      </c>
      <c r="D23" s="347">
        <f>IF(G23="ETAPA",0,IF(G23="SUBETAPA",OFFSET(D23,-1,0)+1,OFFSET(D23,-1,0)))</f>
        <v/>
      </c>
      <c r="E23" s="347">
        <f>IF(G23="Subetapa",0,IF(G23="serviço",OFFSET(E23,-1,0)+1,OFFSET(E23,-1,0)))</f>
        <v/>
      </c>
      <c r="G23" s="75" t="inlineStr">
        <is>
          <t>Serviço</t>
        </is>
      </c>
      <c r="H23" s="352">
        <f>IF(G23="Unidade Construtiva",CONCATENATE("UC ",TEXT(A23,"00")),IF(G23="Célula Construtiva",TEXT(B23,"00"),IF(G23="Etapa",CONCATENATE(TEXT(B23,"00"),".",TEXT(C23,"000")),IF(G23="Subetapa",CONCATENATE(TEXT(B23,"00"),".",TEXT(C23,"000"),".",TEXT(D23,"000")),IF(G23="Serviço",CONCATENATE(TEXT(B23,"00"),".",TEXT(C23,"000"),".",TEXT(D23,"000"),".",TEXT(E23,"000")),"")))))</f>
        <v/>
      </c>
      <c r="I23" s="92" t="inlineStr">
        <is>
          <t>Projeto Climatização</t>
        </is>
      </c>
      <c r="J23" s="77" t="inlineStr">
        <is>
          <t>vb</t>
        </is>
      </c>
      <c r="K23" s="353" t="n">
        <v>1</v>
      </c>
      <c r="L23" s="87" t="n">
        <v>55032.41</v>
      </c>
      <c r="M23" s="354">
        <f>K23*L23</f>
        <v/>
      </c>
      <c r="N23" s="79">
        <f>M23/$M$298</f>
        <v/>
      </c>
      <c r="O23" s="87">
        <f>M23/OBRA!$D$12</f>
        <v/>
      </c>
      <c r="P23" s="355" t="n"/>
    </row>
    <row r="24" hidden="1" outlineLevel="3" ht="19.9" customFormat="1" customHeight="1" s="1">
      <c r="A24" s="343">
        <f>IF(G24="UNIDADE CONSTRUTIVA",OFFSET(A24,-1,0)+1,LARGE(A$4:A23,1))</f>
        <v/>
      </c>
      <c r="B24" s="343">
        <f>IF(G24="UNIDADE CONSTRUTIVA",0,IF(G24="CÉLULA CONSTRUTIVA",OFFSET(B24,-1,0)+1,OFFSET(B24,-1,0)))</f>
        <v/>
      </c>
      <c r="C24" s="343">
        <f>IF(G24="CÉLULA CONSTRUTIVA",0,IF(G24="ETAPA",OFFSET(C24,-1,0)+1,OFFSET(C24,-1,0)))</f>
        <v/>
      </c>
      <c r="D24" s="347">
        <f>IF(G24="ETAPA",0,IF(G24="SUBETAPA",OFFSET(D24,-1,0)+1,OFFSET(D24,-1,0)))</f>
        <v/>
      </c>
      <c r="E24" s="347">
        <f>IF(G24="Subetapa",0,IF(G24="serviço",OFFSET(E24,-1,0)+1,OFFSET(E24,-1,0)))</f>
        <v/>
      </c>
      <c r="G24" s="75" t="inlineStr">
        <is>
          <t>Serviço</t>
        </is>
      </c>
      <c r="H24" s="352">
        <f>IF(G24="Unidade Construtiva",CONCATENATE("UC ",TEXT(A24,"00")),IF(G24="Célula Construtiva",TEXT(B24,"00"),IF(G24="Etapa",CONCATENATE(TEXT(B24,"00"),".",TEXT(C24,"000")),IF(G24="Subetapa",CONCATENATE(TEXT(B24,"00"),".",TEXT(C24,"000"),".",TEXT(D24,"000")),IF(G24="Serviço",CONCATENATE(TEXT(B24,"00"),".",TEXT(C24,"000"),".",TEXT(D24,"000"),".",TEXT(E24,"000")),"")))))</f>
        <v/>
      </c>
      <c r="I24" s="92" t="inlineStr">
        <is>
          <t>Projeto Paisagismo</t>
        </is>
      </c>
      <c r="J24" s="77" t="inlineStr">
        <is>
          <t>vb</t>
        </is>
      </c>
      <c r="K24" s="353" t="n">
        <v>1</v>
      </c>
      <c r="L24" s="87" t="n">
        <v>31690.77</v>
      </c>
      <c r="M24" s="354">
        <f>K24*L24</f>
        <v/>
      </c>
      <c r="N24" s="79">
        <f>M24/$M$298</f>
        <v/>
      </c>
      <c r="O24" s="87">
        <f>M24/OBRA!$D$12</f>
        <v/>
      </c>
      <c r="P24" s="355" t="n"/>
    </row>
    <row r="25" hidden="1" outlineLevel="3" ht="19.9" customFormat="1" customHeight="1" s="1">
      <c r="A25" s="343">
        <f>IF(G25="UNIDADE CONSTRUTIVA",OFFSET(A25,-1,0)+1,LARGE(A$4:A22,1))</f>
        <v/>
      </c>
      <c r="B25" s="343">
        <f>IF(G25="UNIDADE CONSTRUTIVA",0,IF(G25="CÉLULA CONSTRUTIVA",OFFSET(B25,-1,0)+1,OFFSET(B25,-1,0)))</f>
        <v/>
      </c>
      <c r="C25" s="343">
        <f>IF(G25="CÉLULA CONSTRUTIVA",0,IF(G25="ETAPA",OFFSET(C25,-1,0)+1,OFFSET(C25,-1,0)))</f>
        <v/>
      </c>
      <c r="D25" s="347">
        <f>IF(G25="ETAPA",0,IF(G25="SUBETAPA",OFFSET(D25,-1,0)+1,OFFSET(D25,-1,0)))</f>
        <v/>
      </c>
      <c r="E25" s="347">
        <f>IF(G25="Subetapa",0,IF(G25="serviço",OFFSET(E25,-1,0)+1,OFFSET(E25,-1,0)))</f>
        <v/>
      </c>
      <c r="G25" s="75" t="inlineStr">
        <is>
          <t>Serviço</t>
        </is>
      </c>
      <c r="H25" s="352">
        <f>IF(G25="Unidade Construtiva",CONCATENATE("UC ",TEXT(A25,"00")),IF(G25="Célula Construtiva",TEXT(B25,"00"),IF(G25="Etapa",CONCATENATE(TEXT(B25,"00"),".",TEXT(C25,"000")),IF(G25="Subetapa",CONCATENATE(TEXT(B25,"00"),".",TEXT(C25,"000"),".",TEXT(D25,"000")),IF(G25="Serviço",CONCATENATE(TEXT(B25,"00"),".",TEXT(C25,"000"),".",TEXT(D25,"000"),".",TEXT(E25,"000")),"")))))</f>
        <v/>
      </c>
      <c r="I25" s="92" t="inlineStr">
        <is>
          <t>Projeto Interiores</t>
        </is>
      </c>
      <c r="J25" s="77" t="inlineStr">
        <is>
          <t>vb</t>
        </is>
      </c>
      <c r="K25" s="353" t="n">
        <v>1</v>
      </c>
      <c r="L25" s="87" t="n">
        <v>79226.92999999999</v>
      </c>
      <c r="M25" s="354">
        <f>K25*L25</f>
        <v/>
      </c>
      <c r="N25" s="79">
        <f>M25/$M$298</f>
        <v/>
      </c>
      <c r="O25" s="87">
        <f>M25/OBRA!$D$12</f>
        <v/>
      </c>
      <c r="P25" s="355" t="n"/>
    </row>
    <row r="26" hidden="1" outlineLevel="3" ht="19.9" customFormat="1" customHeight="1" s="1">
      <c r="A26" s="343">
        <f>IF(G26="UNIDADE CONSTRUTIVA",OFFSET(A26,-1,0)+1,LARGE(A$4:A25,1))</f>
        <v/>
      </c>
      <c r="B26" s="343">
        <f>IF(G26="UNIDADE CONSTRUTIVA",0,IF(G26="CÉLULA CONSTRUTIVA",OFFSET(B26,-1,0)+1,OFFSET(B26,-1,0)))</f>
        <v/>
      </c>
      <c r="C26" s="343">
        <f>IF(G26="CÉLULA CONSTRUTIVA",0,IF(G26="ETAPA",OFFSET(C26,-1,0)+1,OFFSET(C26,-1,0)))</f>
        <v/>
      </c>
      <c r="D26" s="347">
        <f>IF(G26="ETAPA",0,IF(G26="SUBETAPA",OFFSET(D26,-1,0)+1,OFFSET(D26,-1,0)))</f>
        <v/>
      </c>
      <c r="E26" s="347">
        <f>IF(G26="Subetapa",0,IF(G26="serviço",OFFSET(E26,-1,0)+1,OFFSET(E26,-1,0)))</f>
        <v/>
      </c>
      <c r="G26" s="75" t="inlineStr">
        <is>
          <t>Serviço</t>
        </is>
      </c>
      <c r="H26" s="352">
        <f>IF(G26="Unidade Construtiva",CONCATENATE("UC ",TEXT(A26,"00")),IF(G26="Célula Construtiva",TEXT(B26,"00"),IF(G26="Etapa",CONCATENATE(TEXT(B26,"00"),".",TEXT(C26,"000")),IF(G26="Subetapa",CONCATENATE(TEXT(B26,"00"),".",TEXT(C26,"000"),".",TEXT(D26,"000")),IF(G26="Serviço",CONCATENATE(TEXT(B26,"00"),".",TEXT(C26,"000"),".",TEXT(D26,"000"),".",TEXT(E26,"000")),"")))))</f>
        <v/>
      </c>
      <c r="I26" s="92" t="inlineStr">
        <is>
          <t>Projeto Fundações</t>
        </is>
      </c>
      <c r="J26" s="77" t="inlineStr">
        <is>
          <t>vb</t>
        </is>
      </c>
      <c r="K26" s="353" t="n">
        <v>1</v>
      </c>
      <c r="L26" s="87" t="n">
        <v>41274.3</v>
      </c>
      <c r="M26" s="354">
        <f>K26*L26</f>
        <v/>
      </c>
      <c r="N26" s="79">
        <f>M26/$M$298</f>
        <v/>
      </c>
      <c r="O26" s="87">
        <f>M26/OBRA!$D$12</f>
        <v/>
      </c>
      <c r="P26" s="355" t="n"/>
    </row>
    <row r="27" hidden="1" outlineLevel="3" ht="19.9" customFormat="1" customHeight="1" s="1">
      <c r="A27" s="343">
        <f>IF(G27="UNIDADE CONSTRUTIVA",OFFSET(A27,-1,0)+1,LARGE(A$4:A26,1))</f>
        <v/>
      </c>
      <c r="B27" s="343">
        <f>IF(G27="UNIDADE CONSTRUTIVA",0,IF(G27="CÉLULA CONSTRUTIVA",OFFSET(B27,-1,0)+1,OFFSET(B27,-1,0)))</f>
        <v/>
      </c>
      <c r="C27" s="343">
        <f>IF(G27="CÉLULA CONSTRUTIVA",0,IF(G27="ETAPA",OFFSET(C27,-1,0)+1,OFFSET(C27,-1,0)))</f>
        <v/>
      </c>
      <c r="D27" s="347">
        <f>IF(G27="ETAPA",0,IF(G27="SUBETAPA",OFFSET(D27,-1,0)+1,OFFSET(D27,-1,0)))</f>
        <v/>
      </c>
      <c r="E27" s="347">
        <f>IF(G27="Subetapa",0,IF(G27="serviço",OFFSET(E27,-1,0)+1,OFFSET(E27,-1,0)))</f>
        <v/>
      </c>
      <c r="G27" s="75" t="inlineStr">
        <is>
          <t>Serviço</t>
        </is>
      </c>
      <c r="H27" s="352">
        <f>IF(G27="Unidade Construtiva",CONCATENATE("UC ",TEXT(A27,"00")),IF(G27="Célula Construtiva",TEXT(B27,"00"),IF(G27="Etapa",CONCATENATE(TEXT(B27,"00"),".",TEXT(C27,"000")),IF(G27="Subetapa",CONCATENATE(TEXT(B27,"00"),".",TEXT(C27,"000"),".",TEXT(D27,"000")),IF(G27="Serviço",CONCATENATE(TEXT(B27,"00"),".",TEXT(C27,"000"),".",TEXT(D27,"000"),".",TEXT(E27,"000")),"")))))</f>
        <v/>
      </c>
      <c r="I27" s="92" t="inlineStr">
        <is>
          <t>Outros projetos</t>
        </is>
      </c>
      <c r="J27" s="77" t="inlineStr">
        <is>
          <t>vb</t>
        </is>
      </c>
      <c r="K27" s="353" t="n">
        <v>1</v>
      </c>
      <c r="L27" s="87" t="n">
        <v>79226.92999999999</v>
      </c>
      <c r="M27" s="354">
        <f>K27*L27</f>
        <v/>
      </c>
      <c r="N27" s="79">
        <f>M27/$M$298</f>
        <v/>
      </c>
      <c r="O27" s="87">
        <f>M27/OBRA!$D$12</f>
        <v/>
      </c>
      <c r="P27" s="355" t="n"/>
    </row>
    <row r="28" outlineLevel="2" ht="19.9" customFormat="1" customHeight="1" s="1">
      <c r="A28" s="343">
        <f>IF(G28="UNIDADE CONSTRUTIVA",OFFSET(A28,-1,0)+1,LARGE(A$4:A17,1))</f>
        <v/>
      </c>
      <c r="B28" s="343">
        <f>IF(G28="UNIDADE CONSTRUTIVA",0,IF(G28="CÉLULA CONSTRUTIVA",OFFSET(B28,-1,0)+1,OFFSET(B28,-1,0)))</f>
        <v/>
      </c>
      <c r="C28" s="343">
        <f>IF(G28="CÉLULA CONSTRUTIVA",0,IF(G28="ETAPA",OFFSET(C28,-1,0)+1,OFFSET(C28,-1,0)))</f>
        <v/>
      </c>
      <c r="D28" s="347">
        <f>IF(G28="ETAPA",0,IF(G28="SUBETAPA",OFFSET(D28,-1,0)+1,OFFSET(D28,-1,0)))</f>
        <v/>
      </c>
      <c r="E28" s="347">
        <f>IF(G28="Subetapa",0,IF(G28="serviço",OFFSET(E28,-1,0)+1,OFFSET(E28,-1,0)))</f>
        <v/>
      </c>
      <c r="G28" s="75" t="inlineStr">
        <is>
          <t>Subetapa</t>
        </is>
      </c>
      <c r="H28" s="352">
        <f>IF(G28="Unidade Construtiva",CONCATENATE("UC ",TEXT(A28,"00")),IF(G28="Célula Construtiva",TEXT(B28,"00"),IF(G28="Etapa",CONCATENATE(TEXT(B28,"00"),".",TEXT(C28,"000")),IF(G28="Subetapa",CONCATENATE(TEXT(B28,"00"),".",TEXT(C28,"000"),".",TEXT(D28,"000")),IF(G28="Serviço",CONCATENATE(TEXT(B28,"00"),".",TEXT(C28,"000"),".",TEXT(D28,"000"),".",TEXT(E28,"000")),"")))))</f>
        <v/>
      </c>
      <c r="I28" s="92" t="inlineStr">
        <is>
          <t>Consultorias</t>
        </is>
      </c>
      <c r="J28" s="77" t="n"/>
      <c r="K28" s="353" t="n"/>
      <c r="L28" s="87" t="inlineStr"/>
      <c r="M28" s="354" t="n"/>
      <c r="N28" s="79">
        <f>M28/$M$298</f>
        <v/>
      </c>
      <c r="O28" s="87">
        <f>M28/OBRA!$D$12</f>
        <v/>
      </c>
      <c r="P28" s="355" t="n"/>
    </row>
    <row r="29" outlineLevel="2" collapsed="1" ht="19.9" customFormat="1" customHeight="1" s="1">
      <c r="A29" s="343">
        <f>IF(G29="UNIDADE CONSTRUTIVA",OFFSET(A29,-1,0)+1,LARGE(A$4:A28,1))</f>
        <v/>
      </c>
      <c r="B29" s="343">
        <f>IF(G29="UNIDADE CONSTRUTIVA",0,IF(G29="CÉLULA CONSTRUTIVA",OFFSET(B29,-1,0)+1,OFFSET(B29,-1,0)))</f>
        <v/>
      </c>
      <c r="C29" s="343">
        <f>IF(G29="CÉLULA CONSTRUTIVA",0,IF(G29="ETAPA",OFFSET(C29,-1,0)+1,OFFSET(C29,-1,0)))</f>
        <v/>
      </c>
      <c r="D29" s="347">
        <f>IF(G29="ETAPA",0,IF(G29="SUBETAPA",OFFSET(D29,-1,0)+1,OFFSET(D29,-1,0)))</f>
        <v/>
      </c>
      <c r="E29" s="347">
        <f>IF(G29="Subetapa",0,IF(G29="serviço",OFFSET(E29,-1,0)+1,OFFSET(E29,-1,0)))</f>
        <v/>
      </c>
      <c r="G29" s="75" t="inlineStr">
        <is>
          <t>Subetapa</t>
        </is>
      </c>
      <c r="H29" s="352">
        <f>IF(G29="Unidade Construtiva",CONCATENATE("UC ",TEXT(A29,"00")),IF(G29="Célula Construtiva",TEXT(B29,"00"),IF(G29="Etapa",CONCATENATE(TEXT(B29,"00"),".",TEXT(C29,"000")),IF(G29="Subetapa",CONCATENATE(TEXT(B29,"00"),".",TEXT(C29,"000"),".",TEXT(D29,"000")),IF(G29="Serviço",CONCATENATE(TEXT(B29,"00"),".",TEXT(C29,"000"),".",TEXT(D29,"000"),".",TEXT(E29,"000")),"")))))</f>
        <v/>
      </c>
      <c r="I29" s="92" t="inlineStr">
        <is>
          <t>Ensaios e Laudos</t>
        </is>
      </c>
      <c r="J29" s="77" t="n"/>
      <c r="K29" s="353" t="n"/>
      <c r="L29" s="87" t="inlineStr"/>
      <c r="M29" s="354">
        <f>SUM(M30:M33)</f>
        <v/>
      </c>
      <c r="N29" s="79">
        <f>M29/$M$298</f>
        <v/>
      </c>
      <c r="O29" s="87">
        <f>M29/OBRA!$D$12</f>
        <v/>
      </c>
      <c r="P29" s="355" t="n"/>
    </row>
    <row r="30" hidden="1" outlineLevel="3" ht="19.9" customFormat="1" customHeight="1" s="1">
      <c r="A30" s="343">
        <f>IF(G30="UNIDADE CONSTRUTIVA",OFFSET(A30,-1,0)+1,LARGE(A$4:A29,1))</f>
        <v/>
      </c>
      <c r="B30" s="343">
        <f>IF(G30="UNIDADE CONSTRUTIVA",0,IF(G30="CÉLULA CONSTRUTIVA",OFFSET(B30,-1,0)+1,OFFSET(B30,-1,0)))</f>
        <v/>
      </c>
      <c r="C30" s="343">
        <f>IF(G30="CÉLULA CONSTRUTIVA",0,IF(G30="ETAPA",OFFSET(C30,-1,0)+1,OFFSET(C30,-1,0)))</f>
        <v/>
      </c>
      <c r="D30" s="347">
        <f>IF(G30="ETAPA",0,IF(G30="SUBETAPA",OFFSET(D30,-1,0)+1,OFFSET(D30,-1,0)))</f>
        <v/>
      </c>
      <c r="E30" s="347">
        <f>IF(G30="Subetapa",0,IF(G30="serviço",OFFSET(E30,-1,0)+1,OFFSET(E30,-1,0)))</f>
        <v/>
      </c>
      <c r="G30" s="75" t="inlineStr">
        <is>
          <t>Serviço</t>
        </is>
      </c>
      <c r="H30" s="352">
        <f>IF(G30="Unidade Construtiva",CONCATENATE("UC ",TEXT(A30,"00")),IF(G30="Célula Construtiva",TEXT(B30,"00"),IF(G30="Etapa",CONCATENATE(TEXT(B30,"00"),".",TEXT(C30,"000")),IF(G30="Subetapa",CONCATENATE(TEXT(B30,"00"),".",TEXT(C30,"000"),".",TEXT(D30,"000")),IF(G30="Serviço",CONCATENATE(TEXT(B30,"00"),".",TEXT(C30,"000"),".",TEXT(D30,"000"),".",TEXT(E30,"000")),"")))))</f>
        <v/>
      </c>
      <c r="I30" s="92" t="inlineStr">
        <is>
          <t>Concreto (CP)</t>
        </is>
      </c>
      <c r="J30" s="77" t="inlineStr">
        <is>
          <t>vb</t>
        </is>
      </c>
      <c r="K30" s="353" t="n">
        <v>1</v>
      </c>
      <c r="L30" s="87" t="n">
        <v>412743.05</v>
      </c>
      <c r="M30" s="354">
        <f>K30*L30</f>
        <v/>
      </c>
      <c r="N30" s="79">
        <f>M30/$M$298</f>
        <v/>
      </c>
      <c r="O30" s="87">
        <f>M30/OBRA!$D$12</f>
        <v/>
      </c>
      <c r="P30" s="355" t="n"/>
    </row>
    <row r="31" hidden="1" outlineLevel="3" ht="19.9" customFormat="1" customHeight="1" s="1">
      <c r="A31" s="343">
        <f>IF(G31="UNIDADE CONSTRUTIVA",OFFSET(A31,-1,0)+1,LARGE(A$4:A28,1))</f>
        <v/>
      </c>
      <c r="B31" s="343">
        <f>IF(G31="UNIDADE CONSTRUTIVA",0,IF(G31="CÉLULA CONSTRUTIVA",OFFSET(B31,-1,0)+1,OFFSET(B31,-1,0)))</f>
        <v/>
      </c>
      <c r="C31" s="343">
        <f>IF(G31="CÉLULA CONSTRUTIVA",0,IF(G31="ETAPA",OFFSET(C31,-1,0)+1,OFFSET(C31,-1,0)))</f>
        <v/>
      </c>
      <c r="D31" s="347">
        <f>IF(G31="ETAPA",0,IF(G31="SUBETAPA",OFFSET(D31,-1,0)+1,OFFSET(D31,-1,0)))</f>
        <v/>
      </c>
      <c r="E31" s="347">
        <f>IF(G31="Subetapa",0,IF(G31="serviço",OFFSET(E31,-1,0)+1,OFFSET(E31,-1,0)))</f>
        <v/>
      </c>
      <c r="G31" s="75" t="inlineStr">
        <is>
          <t>Serviço</t>
        </is>
      </c>
      <c r="H31" s="352">
        <f>IF(G31="Unidade Construtiva",CONCATENATE("UC ",TEXT(A31,"00")),IF(G31="Célula Construtiva",TEXT(B31,"00"),IF(G31="Etapa",CONCATENATE(TEXT(B31,"00"),".",TEXT(C31,"000")),IF(G31="Subetapa",CONCATENATE(TEXT(B31,"00"),".",TEXT(C31,"000"),".",TEXT(D31,"000")),IF(G31="Serviço",CONCATENATE(TEXT(B31,"00"),".",TEXT(C31,"000"),".",TEXT(D31,"000"),".",TEXT(E31,"000")),"")))))</f>
        <v/>
      </c>
      <c r="I31" s="92" t="inlineStr">
        <is>
          <t>Solo/Fundações</t>
        </is>
      </c>
      <c r="J31" s="77" t="inlineStr">
        <is>
          <t>vb</t>
        </is>
      </c>
      <c r="K31" s="353" t="n">
        <v>1</v>
      </c>
      <c r="L31" s="87" t="n">
        <v>247645.83</v>
      </c>
      <c r="M31" s="354">
        <f>K31*L31</f>
        <v/>
      </c>
      <c r="N31" s="79">
        <f>M31/$M$298</f>
        <v/>
      </c>
      <c r="O31" s="87">
        <f>M31/OBRA!$D$12</f>
        <v/>
      </c>
      <c r="P31" s="355" t="n"/>
    </row>
    <row r="32" hidden="1" outlineLevel="3" ht="19.9" customFormat="1" customHeight="1" s="1">
      <c r="A32" s="343">
        <f>IF(G32="UNIDADE CONSTRUTIVA",OFFSET(A32,-1,0)+1,LARGE(A$4:A31,1))</f>
        <v/>
      </c>
      <c r="B32" s="343">
        <f>IF(G32="UNIDADE CONSTRUTIVA",0,IF(G32="CÉLULA CONSTRUTIVA",OFFSET(B32,-1,0)+1,OFFSET(B32,-1,0)))</f>
        <v/>
      </c>
      <c r="C32" s="343">
        <f>IF(G32="CÉLULA CONSTRUTIVA",0,IF(G32="ETAPA",OFFSET(C32,-1,0)+1,OFFSET(C32,-1,0)))</f>
        <v/>
      </c>
      <c r="D32" s="347">
        <f>IF(G32="ETAPA",0,IF(G32="SUBETAPA",OFFSET(D32,-1,0)+1,OFFSET(D32,-1,0)))</f>
        <v/>
      </c>
      <c r="E32" s="347">
        <f>IF(G32="Subetapa",0,IF(G32="serviço",OFFSET(E32,-1,0)+1,OFFSET(E32,-1,0)))</f>
        <v/>
      </c>
      <c r="G32" s="75" t="inlineStr">
        <is>
          <t>Serviço</t>
        </is>
      </c>
      <c r="H32" s="352">
        <f>IF(G32="Unidade Construtiva",CONCATENATE("UC ",TEXT(A32,"00")),IF(G32="Célula Construtiva",TEXT(B32,"00"),IF(G32="Etapa",CONCATENATE(TEXT(B32,"00"),".",TEXT(C32,"000")),IF(G32="Subetapa",CONCATENATE(TEXT(B32,"00"),".",TEXT(C32,"000"),".",TEXT(D32,"000")),IF(G32="Serviço",CONCATENATE(TEXT(B32,"00"),".",TEXT(C32,"000"),".",TEXT(D32,"000"),".",TEXT(E32,"000")),"")))))</f>
        <v/>
      </c>
      <c r="I32" s="92" t="inlineStr">
        <is>
          <t>Estanqueidade</t>
        </is>
      </c>
      <c r="J32" s="77" t="inlineStr">
        <is>
          <t>vb</t>
        </is>
      </c>
      <c r="K32" s="353" t="n">
        <v>1</v>
      </c>
      <c r="L32" s="87" t="n">
        <v>12676.31</v>
      </c>
      <c r="M32" s="354">
        <f>K32*L32</f>
        <v/>
      </c>
      <c r="N32" s="79">
        <f>M32/$M$298</f>
        <v/>
      </c>
      <c r="O32" s="87">
        <f>M32/OBRA!$D$12</f>
        <v/>
      </c>
      <c r="P32" s="355" t="n"/>
    </row>
    <row r="33" hidden="1" outlineLevel="3" ht="19.9" customFormat="1" customHeight="1" s="1">
      <c r="A33" s="343">
        <f>IF(G33="UNIDADE CONSTRUTIVA",OFFSET(A33,-1,0)+1,LARGE(A$4:A32,1))</f>
        <v/>
      </c>
      <c r="B33" s="343">
        <f>IF(G33="UNIDADE CONSTRUTIVA",0,IF(G33="CÉLULA CONSTRUTIVA",OFFSET(B33,-1,0)+1,OFFSET(B33,-1,0)))</f>
        <v/>
      </c>
      <c r="C33" s="343">
        <f>IF(G33="CÉLULA CONSTRUTIVA",0,IF(G33="ETAPA",OFFSET(C33,-1,0)+1,OFFSET(C33,-1,0)))</f>
        <v/>
      </c>
      <c r="D33" s="347">
        <f>IF(G33="ETAPA",0,IF(G33="SUBETAPA",OFFSET(D33,-1,0)+1,OFFSET(D33,-1,0)))</f>
        <v/>
      </c>
      <c r="E33" s="347">
        <f>IF(G33="Subetapa",0,IF(G33="serviço",OFFSET(E33,-1,0)+1,OFFSET(E33,-1,0)))</f>
        <v/>
      </c>
      <c r="G33" s="75" t="inlineStr">
        <is>
          <t>Serviço</t>
        </is>
      </c>
      <c r="H33" s="352">
        <f>IF(G33="Unidade Construtiva",CONCATENATE("UC ",TEXT(A33,"00")),IF(G33="Célula Construtiva",TEXT(B33,"00"),IF(G33="Etapa",CONCATENATE(TEXT(B33,"00"),".",TEXT(C33,"000")),IF(G33="Subetapa",CONCATENATE(TEXT(B33,"00"),".",TEXT(C33,"000"),".",TEXT(D33,"000")),IF(G33="Serviço",CONCATENATE(TEXT(B33,"00"),".",TEXT(C33,"000"),".",TEXT(D33,"000"),".",TEXT(E33,"000")),"")))))</f>
        <v/>
      </c>
      <c r="I33" s="92" t="inlineStr">
        <is>
          <t>Outros ensaios</t>
        </is>
      </c>
      <c r="J33" s="77" t="inlineStr">
        <is>
          <t>vb</t>
        </is>
      </c>
      <c r="K33" s="353" t="n">
        <v>1</v>
      </c>
      <c r="L33" s="87" t="n">
        <v>12676.31</v>
      </c>
      <c r="M33" s="354">
        <f>K33*L33</f>
        <v/>
      </c>
      <c r="N33" s="79">
        <f>M33/$M$298</f>
        <v/>
      </c>
      <c r="O33" s="87">
        <f>M33/OBRA!$D$12</f>
        <v/>
      </c>
      <c r="P33" s="355" t="n"/>
    </row>
    <row r="34" outlineLevel="2" ht="19.9" customFormat="1" customHeight="1" s="1">
      <c r="A34" s="343">
        <f>IF(G34="UNIDADE CONSTRUTIVA",OFFSET(A34,-1,0)+1,LARGE(A$4:A29,1))</f>
        <v/>
      </c>
      <c r="B34" s="343">
        <f>IF(G34="UNIDADE CONSTRUTIVA",0,IF(G34="CÉLULA CONSTRUTIVA",OFFSET(B34,-1,0)+1,OFFSET(B34,-1,0)))</f>
        <v/>
      </c>
      <c r="C34" s="343">
        <f>IF(G34="CÉLULA CONSTRUTIVA",0,IF(G34="ETAPA",OFFSET(C34,-1,0)+1,OFFSET(C34,-1,0)))</f>
        <v/>
      </c>
      <c r="D34" s="347">
        <f>IF(G34="ETAPA",0,IF(G34="SUBETAPA",OFFSET(D34,-1,0)+1,OFFSET(D34,-1,0)))</f>
        <v/>
      </c>
      <c r="E34" s="347">
        <f>IF(G34="Subetapa",0,IF(G34="serviço",OFFSET(E34,-1,0)+1,OFFSET(E34,-1,0)))</f>
        <v/>
      </c>
      <c r="G34" s="75" t="inlineStr">
        <is>
          <t>ETAPA</t>
        </is>
      </c>
      <c r="H34" s="352">
        <f>IF(G34="Unidade Construtiva",CONCATENATE("UC ",TEXT(A34,"00")),IF(G34="Célula Construtiva",TEXT(B34,"00"),IF(G34="Etapa",CONCATENATE(TEXT(B34,"00"),".",TEXT(C34,"000")),IF(G34="Subetapa",CONCATENATE(TEXT(B34,"00"),".",TEXT(C34,"000"),".",TEXT(D34,"000")),IF(G34="Serviço",CONCATENATE(TEXT(B34,"00"),".",TEXT(C34,"000"),".",TEXT(D34,"000"),".",TEXT(E34,"000")),"")))))</f>
        <v/>
      </c>
      <c r="I34" s="92" t="inlineStr">
        <is>
          <t>TAXAS E DOCUMENTOS</t>
        </is>
      </c>
      <c r="J34" s="77" t="n"/>
      <c r="K34" s="353" t="n"/>
      <c r="L34" s="87" t="inlineStr"/>
      <c r="M34" s="354">
        <f>M35+M36+M43</f>
        <v/>
      </c>
      <c r="N34" s="79">
        <f>M34/$M$298</f>
        <v/>
      </c>
      <c r="O34" s="87">
        <f>M34/OBRA!$D$12</f>
        <v/>
      </c>
      <c r="P34" s="355" t="n"/>
    </row>
    <row r="35" outlineLevel="2" ht="19.9" customFormat="1" customHeight="1" s="1">
      <c r="A35" s="343">
        <f>IF(G35="UNIDADE CONSTRUTIVA",OFFSET(A35,-1,0)+1,LARGE(A$4:A34,1))</f>
        <v/>
      </c>
      <c r="B35" s="343">
        <f>IF(G35="UNIDADE CONSTRUTIVA",0,IF(G35="CÉLULA CONSTRUTIVA",OFFSET(B35,-1,0)+1,OFFSET(B35,-1,0)))</f>
        <v/>
      </c>
      <c r="C35" s="343">
        <f>IF(G35="CÉLULA CONSTRUTIVA",0,IF(G35="ETAPA",OFFSET(C35,-1,0)+1,OFFSET(C35,-1,0)))</f>
        <v/>
      </c>
      <c r="D35" s="347">
        <f>IF(G35="ETAPA",0,IF(G35="SUBETAPA",OFFSET(D35,-1,0)+1,OFFSET(D35,-1,0)))</f>
        <v/>
      </c>
      <c r="E35" s="347">
        <f>IF(G35="Subetapa",0,IF(G35="serviço",OFFSET(E35,-1,0)+1,OFFSET(E35,-1,0)))</f>
        <v/>
      </c>
      <c r="G35" s="75" t="inlineStr">
        <is>
          <t>Subetapa</t>
        </is>
      </c>
      <c r="H35" s="352">
        <f>IF(G35="Unidade Construtiva",CONCATENATE("UC ",TEXT(A35,"00")),IF(G35="Célula Construtiva",TEXT(B35,"00"),IF(G35="Etapa",CONCATENATE(TEXT(B35,"00"),".",TEXT(C35,"000")),IF(G35="Subetapa",CONCATENATE(TEXT(B35,"00"),".",TEXT(C35,"000"),".",TEXT(D35,"000")),IF(G35="Serviço",CONCATENATE(TEXT(B35,"00"),".",TEXT(C35,"000"),".",TEXT(D35,"000"),".",TEXT(E35,"000")),"")))))</f>
        <v/>
      </c>
      <c r="I35" s="92" t="inlineStr">
        <is>
          <t>Seguros</t>
        </is>
      </c>
      <c r="J35" s="77" t="n"/>
      <c r="K35" s="353" t="n"/>
      <c r="L35" s="87" t="inlineStr"/>
      <c r="M35" s="354" t="n">
        <v>27131.4045803818</v>
      </c>
      <c r="N35" s="79">
        <f>M35/$M$298</f>
        <v/>
      </c>
      <c r="O35" s="87">
        <f>M35/OBRA!$D$12</f>
        <v/>
      </c>
      <c r="P35" s="355" t="n"/>
    </row>
    <row r="36" outlineLevel="2" collapsed="1" ht="19.9" customFormat="1" customHeight="1" s="1">
      <c r="A36" s="343">
        <f>IF(G36="UNIDADE CONSTRUTIVA",OFFSET(A36,-1,0)+1,LARGE(A$4:A35,1))</f>
        <v/>
      </c>
      <c r="B36" s="343">
        <f>IF(G36="UNIDADE CONSTRUTIVA",0,IF(G36="CÉLULA CONSTRUTIVA",OFFSET(B36,-1,0)+1,OFFSET(B36,-1,0)))</f>
        <v/>
      </c>
      <c r="C36" s="343">
        <f>IF(G36="CÉLULA CONSTRUTIVA",0,IF(G36="ETAPA",OFFSET(C36,-1,0)+1,OFFSET(C36,-1,0)))</f>
        <v/>
      </c>
      <c r="D36" s="347">
        <f>IF(G36="ETAPA",0,IF(G36="SUBETAPA",OFFSET(D36,-1,0)+1,OFFSET(D36,-1,0)))</f>
        <v/>
      </c>
      <c r="E36" s="347">
        <f>IF(G36="Subetapa",0,IF(G36="serviço",OFFSET(E36,-1,0)+1,OFFSET(E36,-1,0)))</f>
        <v/>
      </c>
      <c r="G36" s="75" t="inlineStr">
        <is>
          <t>Subetapa</t>
        </is>
      </c>
      <c r="H36" s="352">
        <f>IF(G36="Unidade Construtiva",CONCATENATE("UC ",TEXT(A36,"00")),IF(G36="Célula Construtiva",TEXT(B36,"00"),IF(G36="Etapa",CONCATENATE(TEXT(B36,"00"),".",TEXT(C36,"000")),IF(G36="Subetapa",CONCATENATE(TEXT(B36,"00"),".",TEXT(C36,"000"),".",TEXT(D36,"000")),IF(G36="Serviço",CONCATENATE(TEXT(B36,"00"),".",TEXT(C36,"000"),".",TEXT(D36,"000"),".",TEXT(E36,"000")),"")))))</f>
        <v/>
      </c>
      <c r="I36" s="92" t="inlineStr">
        <is>
          <t>Licenciamentos, Taxas, Impostos</t>
        </is>
      </c>
      <c r="J36" s="77" t="n"/>
      <c r="K36" s="353" t="n"/>
      <c r="L36" s="87" t="inlineStr"/>
      <c r="M36" s="354">
        <f>SUM(M37:M42)</f>
        <v/>
      </c>
      <c r="N36" s="79">
        <f>M36/$M$298</f>
        <v/>
      </c>
      <c r="O36" s="87">
        <f>M36/OBRA!$D$12</f>
        <v/>
      </c>
      <c r="P36" s="355" t="n"/>
    </row>
    <row r="37" hidden="1" outlineLevel="3" ht="19.9" customFormat="1" customHeight="1" s="1">
      <c r="A37" s="343">
        <f>IF(G37="UNIDADE CONSTRUTIVA",OFFSET(A37,-1,0)+1,LARGE(A$4:A36,1))</f>
        <v/>
      </c>
      <c r="B37" s="343">
        <f>IF(G37="UNIDADE CONSTRUTIVA",0,IF(G37="CÉLULA CONSTRUTIVA",OFFSET(B37,-1,0)+1,OFFSET(B37,-1,0)))</f>
        <v/>
      </c>
      <c r="C37" s="343">
        <f>IF(G37="CÉLULA CONSTRUTIVA",0,IF(G37="ETAPA",OFFSET(C37,-1,0)+1,OFFSET(C37,-1,0)))</f>
        <v/>
      </c>
      <c r="D37" s="347">
        <f>IF(G37="ETAPA",0,IF(G37="SUBETAPA",OFFSET(D37,-1,0)+1,OFFSET(D37,-1,0)))</f>
        <v/>
      </c>
      <c r="E37" s="347">
        <f>IF(G37="Subetapa",0,IF(G37="serviço",OFFSET(E37,-1,0)+1,OFFSET(E37,-1,0)))</f>
        <v/>
      </c>
      <c r="G37" s="75" t="inlineStr">
        <is>
          <t>Serviço</t>
        </is>
      </c>
      <c r="H37" s="352">
        <f>IF(G37="Unidade Construtiva",CONCATENATE("UC ",TEXT(A37,"00")),IF(G37="Célula Construtiva",TEXT(B37,"00"),IF(G37="Etapa",CONCATENATE(TEXT(B37,"00"),".",TEXT(C37,"000")),IF(G37="Subetapa",CONCATENATE(TEXT(B37,"00"),".",TEXT(C37,"000"),".",TEXT(D37,"000")),IF(G37="Serviço",CONCATENATE(TEXT(B37,"00"),".",TEXT(C37,"000"),".",TEXT(D37,"000"),".",TEXT(E37,"000")),"")))))</f>
        <v/>
      </c>
      <c r="I37" s="92" t="inlineStr">
        <is>
          <t>Alvará</t>
        </is>
      </c>
      <c r="J37" s="77" t="inlineStr">
        <is>
          <t>vb</t>
        </is>
      </c>
      <c r="K37" s="353" t="n">
        <v>1</v>
      </c>
      <c r="L37" s="87" t="n">
        <v>110064.81</v>
      </c>
      <c r="M37" s="354">
        <f>K37*L37</f>
        <v/>
      </c>
      <c r="N37" s="79">
        <f>M37/$M$298</f>
        <v/>
      </c>
      <c r="O37" s="87">
        <f>M37/OBRA!$D$12</f>
        <v/>
      </c>
      <c r="P37" s="355" t="n"/>
    </row>
    <row r="38" hidden="1" outlineLevel="3" ht="19.9" customFormat="1" customHeight="1" s="1">
      <c r="A38" s="343">
        <f>IF(G38="UNIDADE CONSTRUTIVA",OFFSET(A38,-1,0)+1,LARGE(A$4:A33,1))</f>
        <v/>
      </c>
      <c r="B38" s="343">
        <f>IF(G38="UNIDADE CONSTRUTIVA",0,IF(G38="CÉLULA CONSTRUTIVA",OFFSET(B38,-1,0)+1,OFFSET(B38,-1,0)))</f>
        <v/>
      </c>
      <c r="C38" s="343">
        <f>IF(G38="CÉLULA CONSTRUTIVA",0,IF(G38="ETAPA",OFFSET(C38,-1,0)+1,OFFSET(C38,-1,0)))</f>
        <v/>
      </c>
      <c r="D38" s="347">
        <f>IF(G38="ETAPA",0,IF(G38="SUBETAPA",OFFSET(D38,-1,0)+1,OFFSET(D38,-1,0)))</f>
        <v/>
      </c>
      <c r="E38" s="347">
        <f>IF(G38="Subetapa",0,IF(G38="serviço",OFFSET(E38,-1,0)+1,OFFSET(E38,-1,0)))</f>
        <v/>
      </c>
      <c r="G38" s="75" t="inlineStr">
        <is>
          <t>Serviço</t>
        </is>
      </c>
      <c r="H38" s="352">
        <f>IF(G38="Unidade Construtiva",CONCATENATE("UC ",TEXT(A38,"00")),IF(G38="Célula Construtiva",TEXT(B38,"00"),IF(G38="Etapa",CONCATENATE(TEXT(B38,"00"),".",TEXT(C38,"000")),IF(G38="Subetapa",CONCATENATE(TEXT(B38,"00"),".",TEXT(C38,"000"),".",TEXT(D38,"000")),IF(G38="Serviço",CONCATENATE(TEXT(B38,"00"),".",TEXT(C38,"000"),".",TEXT(D38,"000"),".",TEXT(E38,"000")),"")))))</f>
        <v/>
      </c>
      <c r="I38" s="92" t="inlineStr">
        <is>
          <t>ARTs/RRTs</t>
        </is>
      </c>
      <c r="J38" s="77" t="inlineStr">
        <is>
          <t>vb</t>
        </is>
      </c>
      <c r="K38" s="353" t="n">
        <v>1</v>
      </c>
      <c r="L38" s="87" t="n">
        <v>55032.41</v>
      </c>
      <c r="M38" s="354">
        <f>K38*L38</f>
        <v/>
      </c>
      <c r="N38" s="79">
        <f>M38/$M$298</f>
        <v/>
      </c>
      <c r="O38" s="87">
        <f>M38/OBRA!$D$12</f>
        <v/>
      </c>
      <c r="P38" s="355" t="n"/>
    </row>
    <row r="39" hidden="1" outlineLevel="3" ht="19.9" customFormat="1" customHeight="1" s="1">
      <c r="A39" s="343">
        <f>IF(G39="UNIDADE CONSTRUTIVA",OFFSET(A39,-1,0)+1,LARGE(A$4:A38,1))</f>
        <v/>
      </c>
      <c r="B39" s="343">
        <f>IF(G39="UNIDADE CONSTRUTIVA",0,IF(G39="CÉLULA CONSTRUTIVA",OFFSET(B39,-1,0)+1,OFFSET(B39,-1,0)))</f>
        <v/>
      </c>
      <c r="C39" s="343">
        <f>IF(G39="CÉLULA CONSTRUTIVA",0,IF(G39="ETAPA",OFFSET(C39,-1,0)+1,OFFSET(C39,-1,0)))</f>
        <v/>
      </c>
      <c r="D39" s="347">
        <f>IF(G39="ETAPA",0,IF(G39="SUBETAPA",OFFSET(D39,-1,0)+1,OFFSET(D39,-1,0)))</f>
        <v/>
      </c>
      <c r="E39" s="347">
        <f>IF(G39="Subetapa",0,IF(G39="serviço",OFFSET(E39,-1,0)+1,OFFSET(E39,-1,0)))</f>
        <v/>
      </c>
      <c r="G39" s="75" t="inlineStr">
        <is>
          <t>Serviço</t>
        </is>
      </c>
      <c r="H39" s="352">
        <f>IF(G39="Unidade Construtiva",CONCATENATE("UC ",TEXT(A39,"00")),IF(G39="Célula Construtiva",TEXT(B39,"00"),IF(G39="Etapa",CONCATENATE(TEXT(B39,"00"),".",TEXT(C39,"000")),IF(G39="Subetapa",CONCATENATE(TEXT(B39,"00"),".",TEXT(C39,"000"),".",TEXT(D39,"000")),IF(G39="Serviço",CONCATENATE(TEXT(B39,"00"),".",TEXT(C39,"000"),".",TEXT(D39,"000"),".",TEXT(E39,"000")),"")))))</f>
        <v/>
      </c>
      <c r="I39" s="92" t="inlineStr">
        <is>
          <t>Bombeiros</t>
        </is>
      </c>
      <c r="J39" s="77" t="inlineStr">
        <is>
          <t>vb</t>
        </is>
      </c>
      <c r="K39" s="353" t="n">
        <v>1</v>
      </c>
      <c r="L39" s="87" t="n">
        <v>63381.54</v>
      </c>
      <c r="M39" s="354">
        <f>K39*L39</f>
        <v/>
      </c>
      <c r="N39" s="79">
        <f>M39/$M$298</f>
        <v/>
      </c>
      <c r="O39" s="87">
        <f>M39/OBRA!$D$12</f>
        <v/>
      </c>
      <c r="P39" s="355" t="n"/>
    </row>
    <row r="40" hidden="1" outlineLevel="3" ht="19.9" customFormat="1" customHeight="1" s="1">
      <c r="A40" s="343">
        <f>IF(G40="UNIDADE CONSTRUTIVA",OFFSET(A40,-1,0)+1,LARGE(A$4:A35,1))</f>
        <v/>
      </c>
      <c r="B40" s="343">
        <f>IF(G40="UNIDADE CONSTRUTIVA",0,IF(G40="CÉLULA CONSTRUTIVA",OFFSET(B40,-1,0)+1,OFFSET(B40,-1,0)))</f>
        <v/>
      </c>
      <c r="C40" s="343">
        <f>IF(G40="CÉLULA CONSTRUTIVA",0,IF(G40="ETAPA",OFFSET(C40,-1,0)+1,OFFSET(C40,-1,0)))</f>
        <v/>
      </c>
      <c r="D40" s="347">
        <f>IF(G40="ETAPA",0,IF(G40="SUBETAPA",OFFSET(D40,-1,0)+1,OFFSET(D40,-1,0)))</f>
        <v/>
      </c>
      <c r="E40" s="347">
        <f>IF(G40="Subetapa",0,IF(G40="serviço",OFFSET(E40,-1,0)+1,OFFSET(E40,-1,0)))</f>
        <v/>
      </c>
      <c r="G40" s="75" t="inlineStr">
        <is>
          <t>Serviço</t>
        </is>
      </c>
      <c r="H40" s="352">
        <f>IF(G40="Unidade Construtiva",CONCATENATE("UC ",TEXT(A40,"00")),IF(G40="Célula Construtiva",TEXT(B40,"00"),IF(G40="Etapa",CONCATENATE(TEXT(B40,"00"),".",TEXT(C40,"000")),IF(G40="Subetapa",CONCATENATE(TEXT(B40,"00"),".",TEXT(C40,"000"),".",TEXT(D40,"000")),IF(G40="Serviço",CONCATENATE(TEXT(B40,"00"),".",TEXT(C40,"000"),".",TEXT(D40,"000"),".",TEXT(E40,"000")),"")))))</f>
        <v/>
      </c>
      <c r="I40" s="92" t="inlineStr">
        <is>
          <t>Habite-se</t>
        </is>
      </c>
      <c r="J40" s="77" t="inlineStr">
        <is>
          <t>vb</t>
        </is>
      </c>
      <c r="K40" s="353" t="n">
        <v>1</v>
      </c>
      <c r="L40" s="87" t="n">
        <v>47536.16</v>
      </c>
      <c r="M40" s="354">
        <f>K40*L40</f>
        <v/>
      </c>
      <c r="N40" s="79">
        <f>M40/$M$298</f>
        <v/>
      </c>
      <c r="O40" s="87">
        <f>M40/OBRA!$D$12</f>
        <v/>
      </c>
      <c r="P40" s="355" t="n"/>
    </row>
    <row r="41" hidden="1" outlineLevel="3" ht="19.9" customFormat="1" customHeight="1" s="1">
      <c r="A41" s="343">
        <f>IF(G41="UNIDADE CONSTRUTIVA",OFFSET(A41,-1,0)+1,LARGE(A$4:A40,1))</f>
        <v/>
      </c>
      <c r="B41" s="343">
        <f>IF(G41="UNIDADE CONSTRUTIVA",0,IF(G41="CÉLULA CONSTRUTIVA",OFFSET(B41,-1,0)+1,OFFSET(B41,-1,0)))</f>
        <v/>
      </c>
      <c r="C41" s="343">
        <f>IF(G41="CÉLULA CONSTRUTIVA",0,IF(G41="ETAPA",OFFSET(C41,-1,0)+1,OFFSET(C41,-1,0)))</f>
        <v/>
      </c>
      <c r="D41" s="347">
        <f>IF(G41="ETAPA",0,IF(G41="SUBETAPA",OFFSET(D41,-1,0)+1,OFFSET(D41,-1,0)))</f>
        <v/>
      </c>
      <c r="E41" s="347">
        <f>IF(G41="Subetapa",0,IF(G41="serviço",OFFSET(E41,-1,0)+1,OFFSET(E41,-1,0)))</f>
        <v/>
      </c>
      <c r="G41" s="75" t="inlineStr">
        <is>
          <t>Serviço</t>
        </is>
      </c>
      <c r="H41" s="352">
        <f>IF(G41="Unidade Construtiva",CONCATENATE("UC ",TEXT(A41,"00")),IF(G41="Célula Construtiva",TEXT(B41,"00"),IF(G41="Etapa",CONCATENATE(TEXT(B41,"00"),".",TEXT(C41,"000")),IF(G41="Subetapa",CONCATENATE(TEXT(B41,"00"),".",TEXT(C41,"000"),".",TEXT(D41,"000")),IF(G41="Serviço",CONCATENATE(TEXT(B41,"00"),".",TEXT(C41,"000"),".",TEXT(D41,"000"),".",TEXT(E41,"000")),"")))))</f>
        <v/>
      </c>
      <c r="I41" s="92" t="inlineStr">
        <is>
          <t>Registro Incorporação</t>
        </is>
      </c>
      <c r="J41" s="77" t="inlineStr">
        <is>
          <t>vb</t>
        </is>
      </c>
      <c r="K41" s="353" t="n">
        <v>1</v>
      </c>
      <c r="L41" s="87" t="n">
        <v>31690.77</v>
      </c>
      <c r="M41" s="354">
        <f>K41*L41</f>
        <v/>
      </c>
      <c r="N41" s="79">
        <f>M41/$M$298</f>
        <v/>
      </c>
      <c r="O41" s="87">
        <f>M41/OBRA!$D$12</f>
        <v/>
      </c>
      <c r="P41" s="355" t="n"/>
    </row>
    <row r="42" hidden="1" outlineLevel="3" ht="19.9" customFormat="1" customHeight="1" s="1">
      <c r="A42" s="343">
        <f>IF(G42="UNIDADE CONSTRUTIVA",OFFSET(A42,-1,0)+1,LARGE(A$4:A41,1))</f>
        <v/>
      </c>
      <c r="B42" s="343">
        <f>IF(G42="UNIDADE CONSTRUTIVA",0,IF(G42="CÉLULA CONSTRUTIVA",OFFSET(B42,-1,0)+1,OFFSET(B42,-1,0)))</f>
        <v/>
      </c>
      <c r="C42" s="343">
        <f>IF(G42="CÉLULA CONSTRUTIVA",0,IF(G42="ETAPA",OFFSET(C42,-1,0)+1,OFFSET(C42,-1,0)))</f>
        <v/>
      </c>
      <c r="D42" s="347">
        <f>IF(G42="ETAPA",0,IF(G42="SUBETAPA",OFFSET(D42,-1,0)+1,OFFSET(D42,-1,0)))</f>
        <v/>
      </c>
      <c r="E42" s="347">
        <f>IF(G42="Subetapa",0,IF(G42="serviço",OFFSET(E42,-1,0)+1,OFFSET(E42,-1,0)))</f>
        <v/>
      </c>
      <c r="G42" s="75" t="inlineStr">
        <is>
          <t>Serviço</t>
        </is>
      </c>
      <c r="H42" s="352">
        <f>IF(G42="Unidade Construtiva",CONCATENATE("UC ",TEXT(A42,"00")),IF(G42="Célula Construtiva",TEXT(B42,"00"),IF(G42="Etapa",CONCATENATE(TEXT(B42,"00"),".",TEXT(C42,"000")),IF(G42="Subetapa",CONCATENATE(TEXT(B42,"00"),".",TEXT(C42,"000"),".",TEXT(D42,"000")),IF(G42="Serviço",CONCATENATE(TEXT(B42,"00"),".",TEXT(C42,"000"),".",TEXT(D42,"000"),".",TEXT(E42,"000")),"")))))</f>
        <v/>
      </c>
      <c r="I42" s="92" t="inlineStr">
        <is>
          <t>Outras taxas</t>
        </is>
      </c>
      <c r="J42" s="77" t="inlineStr">
        <is>
          <t>vb</t>
        </is>
      </c>
      <c r="K42" s="353" t="n">
        <v>1</v>
      </c>
      <c r="L42" s="87" t="n">
        <v>31690.77</v>
      </c>
      <c r="M42" s="354">
        <f>K42*L42</f>
        <v/>
      </c>
      <c r="N42" s="79">
        <f>M42/$M$298</f>
        <v/>
      </c>
      <c r="O42" s="87">
        <f>M42/OBRA!$D$12</f>
        <v/>
      </c>
      <c r="P42" s="355" t="n"/>
    </row>
    <row r="43" outlineLevel="2" ht="19.9" customFormat="1" customHeight="1" s="1">
      <c r="A43" s="343">
        <f>IF(G43="UNIDADE CONSTRUTIVA",OFFSET(A43,-1,0)+1,LARGE(A$4:A36,1))</f>
        <v/>
      </c>
      <c r="B43" s="343">
        <f>IF(G43="UNIDADE CONSTRUTIVA",0,IF(G43="CÉLULA CONSTRUTIVA",OFFSET(B43,-1,0)+1,OFFSET(B43,-1,0)))</f>
        <v/>
      </c>
      <c r="C43" s="343">
        <f>IF(G43="CÉLULA CONSTRUTIVA",0,IF(G43="ETAPA",OFFSET(C43,-1,0)+1,OFFSET(C43,-1,0)))</f>
        <v/>
      </c>
      <c r="D43" s="347">
        <f>IF(G43="ETAPA",0,IF(G43="SUBETAPA",OFFSET(D43,-1,0)+1,OFFSET(D43,-1,0)))</f>
        <v/>
      </c>
      <c r="E43" s="347">
        <f>IF(G43="Subetapa",0,IF(G43="serviço",OFFSET(E43,-1,0)+1,OFFSET(E43,-1,0)))</f>
        <v/>
      </c>
      <c r="G43" s="75" t="inlineStr">
        <is>
          <t>Subetapa</t>
        </is>
      </c>
      <c r="H43" s="352">
        <f>IF(G43="Unidade Construtiva",CONCATENATE("UC ",TEXT(A43,"00")),IF(G43="Célula Construtiva",TEXT(B43,"00"),IF(G43="Etapa",CONCATENATE(TEXT(B43,"00"),".",TEXT(C43,"000")),IF(G43="Subetapa",CONCATENATE(TEXT(B43,"00"),".",TEXT(C43,"000"),".",TEXT(D43,"000")),IF(G43="Serviço",CONCATENATE(TEXT(B43,"00"),".",TEXT(C43,"000"),".",TEXT(D43,"000"),".",TEXT(E43,"000")),"")))))</f>
        <v/>
      </c>
      <c r="I43" s="92" t="inlineStr">
        <is>
          <t>Documentos</t>
        </is>
      </c>
      <c r="J43" s="77" t="n"/>
      <c r="K43" s="353" t="n"/>
      <c r="L43" s="87" t="inlineStr"/>
      <c r="M43" s="354" t="n">
        <v>74020.37277577778</v>
      </c>
      <c r="N43" s="79">
        <f>M43/$M$298</f>
        <v/>
      </c>
      <c r="O43" s="87">
        <f>M43/OBRA!$D$12</f>
        <v/>
      </c>
      <c r="P43" s="355" t="n"/>
    </row>
    <row r="44" outlineLevel="1" ht="19.9" customFormat="1" customHeight="1" s="1">
      <c r="A44" s="343">
        <f>IF(G44="UNIDADE CONSTRUTIVA",OFFSET(A44,-1,0)+1,LARGE(A$4:A43,1))</f>
        <v/>
      </c>
      <c r="B44" s="343">
        <f>IF(G44="UNIDADE CONSTRUTIVA",0,IF(G44="CÉLULA CONSTRUTIVA",OFFSET(B44,-1,0)+1,OFFSET(B44,-1,0)))</f>
        <v/>
      </c>
      <c r="C44" s="343">
        <f>IF(G44="CÉLULA CONSTRUTIVA",0,IF(G44="ETAPA",OFFSET(C44,-1,0)+1,OFFSET(C44,-1,0)))</f>
        <v/>
      </c>
      <c r="D44" s="347">
        <f>IF(G44="ETAPA",0,IF(G44="SUBETAPA",OFFSET(D44,-1,0)+1,OFFSET(D44,-1,0)))</f>
        <v/>
      </c>
      <c r="E44" s="347">
        <f>IF(G44="Subetapa",0,IF(G44="serviço",OFFSET(E44,-1,0)+1,OFFSET(E44,-1,0)))</f>
        <v/>
      </c>
      <c r="G44" s="75" t="inlineStr">
        <is>
          <t>CÉLULA CONSTRUTIVA</t>
        </is>
      </c>
      <c r="H44" s="352">
        <f>IF(G44="Unidade Construtiva",CONCATENATE("UC ",TEXT(A44,"00")),IF(G44="Célula Construtiva",TEXT(B44,"00"),IF(G44="Etapa",CONCATENATE(TEXT(B44,"00"),".",TEXT(C44,"000")),IF(G44="Subetapa",CONCATENATE(TEXT(B44,"00"),".",TEXT(C44,"000"),".",TEXT(D44,"000")),IF(G44="Serviço",CONCATENATE(TEXT(B44,"00"),".",TEXT(C44,"000"),".",TEXT(D44,"000"),".",TEXT(E44,"000")),"")))))</f>
        <v/>
      </c>
      <c r="I44" s="92" t="inlineStr">
        <is>
          <t>GERENCIAMENTO ADMINISTRATIVO</t>
        </is>
      </c>
      <c r="J44" s="77" t="n"/>
      <c r="K44" s="353" t="n"/>
      <c r="L44" s="87" t="inlineStr"/>
      <c r="M44" s="354">
        <f>M45+M59+M78</f>
        <v/>
      </c>
      <c r="N44" s="79">
        <f>M44/$M$298</f>
        <v/>
      </c>
      <c r="O44" s="87">
        <f>M44/OBRA!$D$12</f>
        <v/>
      </c>
      <c r="P44" s="355" t="n"/>
    </row>
    <row r="45" outlineLevel="2" ht="19.9" customFormat="1" customHeight="1" s="1">
      <c r="A45" s="343">
        <f>IF(G45="UNIDADE CONSTRUTIVA",OFFSET(A45,-1,0)+1,LARGE(A$4:A44,1))</f>
        <v/>
      </c>
      <c r="B45" s="343">
        <f>IF(G45="UNIDADE CONSTRUTIVA",0,IF(G45="CÉLULA CONSTRUTIVA",OFFSET(B45,-1,0)+1,OFFSET(B45,-1,0)))</f>
        <v/>
      </c>
      <c r="C45" s="343">
        <f>IF(G45="CÉLULA CONSTRUTIVA",0,IF(G45="ETAPA",OFFSET(C45,-1,0)+1,OFFSET(C45,-1,0)))</f>
        <v/>
      </c>
      <c r="D45" s="347">
        <f>IF(G45="ETAPA",0,IF(G45="SUBETAPA",OFFSET(D45,-1,0)+1,OFFSET(D45,-1,0)))</f>
        <v/>
      </c>
      <c r="E45" s="347">
        <f>IF(G45="Subetapa",0,IF(G45="serviço",OFFSET(E45,-1,0)+1,OFFSET(E45,-1,0)))</f>
        <v/>
      </c>
      <c r="G45" s="75" t="inlineStr">
        <is>
          <t>ETAPA</t>
        </is>
      </c>
      <c r="H45" s="352">
        <f>IF(G45="Unidade Construtiva",CONCATENATE("UC ",TEXT(A45,"00")),IF(G45="Célula Construtiva",TEXT(B45,"00"),IF(G45="Etapa",CONCATENATE(TEXT(B45,"00"),".",TEXT(C45,"000")),IF(G45="Subetapa",CONCATENATE(TEXT(B45,"00"),".",TEXT(C45,"000"),".",TEXT(D45,"000")),IF(G45="Serviço",CONCATENATE(TEXT(B45,"00"),".",TEXT(C45,"000"),".",TEXT(D45,"000"),".",TEXT(E45,"000")),"")))))</f>
        <v/>
      </c>
      <c r="I45" s="92" t="inlineStr">
        <is>
          <t>SEGURANÇA, MEIO AMBIENTE, SAÚDE</t>
        </is>
      </c>
      <c r="J45" s="77" t="n"/>
      <c r="K45" s="353" t="n"/>
      <c r="L45" s="87" t="inlineStr"/>
      <c r="M45" s="354">
        <f>M46+M48+M58</f>
        <v/>
      </c>
      <c r="N45" s="79">
        <f>M45/$M$298</f>
        <v/>
      </c>
      <c r="O45" s="87">
        <f>M45/OBRA!$D$12</f>
        <v/>
      </c>
      <c r="P45" s="355" t="n"/>
    </row>
    <row r="46" outlineLevel="2" ht="19.9" customFormat="1" customHeight="1" s="1">
      <c r="A46" s="343">
        <f>IF(G46="UNIDADE CONSTRUTIVA",OFFSET(A46,-1,0)+1,LARGE(A$4:A45,1))</f>
        <v/>
      </c>
      <c r="B46" s="343">
        <f>IF(G46="UNIDADE CONSTRUTIVA",0,IF(G46="CÉLULA CONSTRUTIVA",OFFSET(B46,-1,0)+1,OFFSET(B46,-1,0)))</f>
        <v/>
      </c>
      <c r="C46" s="343">
        <f>IF(G46="CÉLULA CONSTRUTIVA",0,IF(G46="ETAPA",OFFSET(C46,-1,0)+1,OFFSET(C46,-1,0)))</f>
        <v/>
      </c>
      <c r="D46" s="347">
        <f>IF(G46="ETAPA",0,IF(G46="SUBETAPA",OFFSET(D46,-1,0)+1,OFFSET(D46,-1,0)))</f>
        <v/>
      </c>
      <c r="E46" s="347">
        <f>IF(G46="Subetapa",0,IF(G46="serviço",OFFSET(E46,-1,0)+1,OFFSET(E46,-1,0)))</f>
        <v/>
      </c>
      <c r="G46" s="75" t="inlineStr">
        <is>
          <t>Subetapa</t>
        </is>
      </c>
      <c r="H46" s="352">
        <f>IF(G46="Unidade Construtiva",CONCATENATE("UC ",TEXT(A46,"00")),IF(G46="Célula Construtiva",TEXT(B46,"00"),IF(G46="Etapa",CONCATENATE(TEXT(B46,"00"),".",TEXT(C46,"000")),IF(G46="Subetapa",CONCATENATE(TEXT(B46,"00"),".",TEXT(C46,"000"),".",TEXT(D46,"000")),IF(G46="Serviço",CONCATENATE(TEXT(B46,"00"),".",TEXT(C46,"000"),".",TEXT(D46,"000"),".",TEXT(E46,"000")),"")))))</f>
        <v/>
      </c>
      <c r="I46" s="92" t="inlineStr">
        <is>
          <t>Segurança do trabalho</t>
        </is>
      </c>
      <c r="J46" s="77" t="n"/>
      <c r="K46" s="353" t="n"/>
      <c r="L46" s="87" t="inlineStr"/>
      <c r="M46" s="354">
        <f>M47</f>
        <v/>
      </c>
      <c r="N46" s="79">
        <f>M46/$M$298</f>
        <v/>
      </c>
      <c r="O46" s="87">
        <f>M46/OBRA!$D$12</f>
        <v/>
      </c>
      <c r="P46" s="355" t="n"/>
    </row>
    <row r="47" outlineLevel="3" ht="19.9" customFormat="1" customHeight="1" s="1">
      <c r="A47" s="343">
        <f>IF(G47="UNIDADE CONSTRUTIVA",OFFSET(A47,-1,0)+1,LARGE(A$4:A46,1))</f>
        <v/>
      </c>
      <c r="B47" s="343">
        <f>IF(G47="UNIDADE CONSTRUTIVA",0,IF(G47="CÉLULA CONSTRUTIVA",OFFSET(B47,-1,0)+1,OFFSET(B47,-1,0)))</f>
        <v/>
      </c>
      <c r="C47" s="343">
        <f>IF(G47="CÉLULA CONSTRUTIVA",0,IF(G47="ETAPA",OFFSET(C47,-1,0)+1,OFFSET(C47,-1,0)))</f>
        <v/>
      </c>
      <c r="D47" s="347">
        <f>IF(G47="ETAPA",0,IF(G47="SUBETAPA",OFFSET(D47,-1,0)+1,OFFSET(D47,-1,0)))</f>
        <v/>
      </c>
      <c r="E47" s="347">
        <f>IF(G47="Subetapa",0,IF(G47="serviço",OFFSET(E47,-1,0)+1,OFFSET(E47,-1,0)))</f>
        <v/>
      </c>
      <c r="G47" s="75" t="inlineStr">
        <is>
          <t>Serviço</t>
        </is>
      </c>
      <c r="H47" s="352">
        <f>IF(G47="Unidade Construtiva",CONCATENATE("UC ",TEXT(A47,"00")),IF(G47="Célula Construtiva",TEXT(B47,"00"),IF(G47="Etapa",CONCATENATE(TEXT(B47,"00"),".",TEXT(C47,"000")),IF(G47="Subetapa",CONCATENATE(TEXT(B47,"00"),".",TEXT(C47,"000"),".",TEXT(D47,"000")),IF(G47="Serviço",CONCATENATE(TEXT(B47,"00"),".",TEXT(C47,"000"),".",TEXT(D47,"000"),".",TEXT(E47,"000")),"")))))</f>
        <v/>
      </c>
      <c r="I47" s="92" t="inlineStr">
        <is>
          <t>Serviço de segurança do trabalho terceirizados</t>
        </is>
      </c>
      <c r="J47" s="77" t="inlineStr">
        <is>
          <t>mês</t>
        </is>
      </c>
      <c r="K47" s="353">
        <f>OBRA!D14</f>
        <v/>
      </c>
      <c r="L47" s="353" t="n">
        <v>2500</v>
      </c>
      <c r="M47" s="354">
        <f>K47*L47</f>
        <v/>
      </c>
      <c r="N47" s="79">
        <f>M47/$M$298</f>
        <v/>
      </c>
      <c r="O47" s="87">
        <f>M47/OBRA!$D$12</f>
        <v/>
      </c>
      <c r="P47" s="355" t="n"/>
    </row>
    <row r="48" outlineLevel="2" ht="19.9" customFormat="1" customHeight="1" s="1">
      <c r="A48" s="343">
        <f>IF(G48="UNIDADE CONSTRUTIVA",OFFSET(A48,-1,0)+1,LARGE(A$4:A47,1))</f>
        <v/>
      </c>
      <c r="B48" s="343">
        <f>IF(G48="UNIDADE CONSTRUTIVA",0,IF(G48="CÉLULA CONSTRUTIVA",OFFSET(B48,-1,0)+1,OFFSET(B48,-1,0)))</f>
        <v/>
      </c>
      <c r="C48" s="343">
        <f>IF(G48="CÉLULA CONSTRUTIVA",0,IF(G48="ETAPA",OFFSET(C48,-1,0)+1,OFFSET(C48,-1,0)))</f>
        <v/>
      </c>
      <c r="D48" s="347">
        <f>IF(G48="ETAPA",0,IF(G48="SUBETAPA",OFFSET(D48,-1,0)+1,OFFSET(D48,-1,0)))</f>
        <v/>
      </c>
      <c r="E48" s="347">
        <f>IF(G48="Subetapa",0,IF(G48="serviço",OFFSET(E48,-1,0)+1,OFFSET(E48,-1,0)))</f>
        <v/>
      </c>
      <c r="G48" s="75" t="inlineStr">
        <is>
          <t>Subetapa</t>
        </is>
      </c>
      <c r="H48" s="352">
        <f>IF(G48="Unidade Construtiva",CONCATENATE("UC ",TEXT(A48,"00")),IF(G48="Célula Construtiva",TEXT(B48,"00"),IF(G48="Etapa",CONCATENATE(TEXT(B48,"00"),".",TEXT(C48,"000")),IF(G48="Subetapa",CONCATENATE(TEXT(B48,"00"),".",TEXT(C48,"000"),".",TEXT(D48,"000")),IF(G48="Serviço",CONCATENATE(TEXT(B48,"00"),".",TEXT(C48,"000"),".",TEXT(D48,"000"),".",TEXT(E48,"000")),"")))))</f>
        <v/>
      </c>
      <c r="I48" s="92" t="inlineStr">
        <is>
          <t>Equipamentos de proteção</t>
        </is>
      </c>
      <c r="J48" s="77" t="inlineStr"/>
      <c r="K48" s="353" t="inlineStr"/>
      <c r="L48" s="87" t="inlineStr"/>
      <c r="M48" s="354">
        <f>SUM(M49:M57)</f>
        <v/>
      </c>
      <c r="N48" s="79">
        <f>M48/$M$298</f>
        <v/>
      </c>
      <c r="O48" s="87">
        <f>M48/OBRA!$D$12</f>
        <v/>
      </c>
      <c r="P48" s="355" t="n"/>
    </row>
    <row r="49" outlineLevel="3" ht="19.9" customFormat="1" customHeight="1" s="1">
      <c r="A49" s="343">
        <f>IF(G49="UNIDADE CONSTRUTIVA",OFFSET(A49,-1,0)+1,LARGE(A$4:A48,1))</f>
        <v/>
      </c>
      <c r="B49" s="343">
        <f>IF(G49="UNIDADE CONSTRUTIVA",0,IF(G49="CÉLULA CONSTRUTIVA",OFFSET(B49,-1,0)+1,OFFSET(B49,-1,0)))</f>
        <v/>
      </c>
      <c r="C49" s="343">
        <f>IF(G49="CÉLULA CONSTRUTIVA",0,IF(G49="ETAPA",OFFSET(C49,-1,0)+1,OFFSET(C49,-1,0)))</f>
        <v/>
      </c>
      <c r="D49" s="347">
        <f>IF(G49="ETAPA",0,IF(G49="SUBETAPA",OFFSET(D49,-1,0)+1,OFFSET(D49,-1,0)))</f>
        <v/>
      </c>
      <c r="E49" s="347">
        <f>IF(G49="Subetapa",0,IF(G49="serviço",OFFSET(E49,-1,0)+1,OFFSET(E49,-1,0)))</f>
        <v/>
      </c>
      <c r="G49" s="75" t="inlineStr">
        <is>
          <t>Serviço</t>
        </is>
      </c>
      <c r="H49" s="352">
        <f>IF(G49="Unidade Construtiva",CONCATENATE("UC ",TEXT(A49,"00")),IF(G49="Célula Construtiva",TEXT(B49,"00"),IF(G49="Etapa",CONCATENATE(TEXT(B49,"00"),".",TEXT(C49,"000")),IF(G49="Subetapa",CONCATENATE(TEXT(B49,"00"),".",TEXT(C49,"000"),".",TEXT(D49,"000")),IF(G49="Serviço",CONCATENATE(TEXT(B49,"00"),".",TEXT(C49,"000"),".",TEXT(D49,"000"),".",TEXT(E49,"000")),"")))))</f>
        <v/>
      </c>
      <c r="I49" s="92" t="inlineStr">
        <is>
          <t>Bandeja de protecao primaria - 1 montagem</t>
        </is>
      </c>
      <c r="J49" s="77" t="inlineStr">
        <is>
          <t>m</t>
        </is>
      </c>
      <c r="K49" s="353" t="n">
        <v>290</v>
      </c>
      <c r="L49" s="87" t="n">
        <v>569.3</v>
      </c>
      <c r="M49" s="354">
        <f>K49*L49</f>
        <v/>
      </c>
      <c r="N49" s="79">
        <f>M49/$M$298</f>
        <v/>
      </c>
      <c r="O49" s="87">
        <f>M49/OBRA!$D$12</f>
        <v/>
      </c>
      <c r="P49" s="355" t="n"/>
    </row>
    <row r="50" outlineLevel="3" ht="19.9" customFormat="1" customHeight="1" s="1">
      <c r="A50" s="343">
        <f>IF(G50="UNIDADE CONSTRUTIVA",OFFSET(A50,-1,0)+1,LARGE(A$4:A49,1))</f>
        <v/>
      </c>
      <c r="B50" s="343">
        <f>IF(G50="UNIDADE CONSTRUTIVA",0,IF(G50="CÉLULA CONSTRUTIVA",OFFSET(B50,-1,0)+1,OFFSET(B50,-1,0)))</f>
        <v/>
      </c>
      <c r="C50" s="343">
        <f>IF(G50="CÉLULA CONSTRUTIVA",0,IF(G50="ETAPA",OFFSET(C50,-1,0)+1,OFFSET(C50,-1,0)))</f>
        <v/>
      </c>
      <c r="D50" s="347">
        <f>IF(G50="ETAPA",0,IF(G50="SUBETAPA",OFFSET(D50,-1,0)+1,OFFSET(D50,-1,0)))</f>
        <v/>
      </c>
      <c r="E50" s="347">
        <f>IF(G50="Subetapa",0,IF(G50="serviço",OFFSET(E50,-1,0)+1,OFFSET(E50,-1,0)))</f>
        <v/>
      </c>
      <c r="G50" s="75" t="inlineStr">
        <is>
          <t>Serviço</t>
        </is>
      </c>
      <c r="H50" s="352">
        <f>IF(G50="Unidade Construtiva",CONCATENATE("UC ",TEXT(A50,"00")),IF(G50="Célula Construtiva",TEXT(B50,"00"),IF(G50="Etapa",CONCATENATE(TEXT(B50,"00"),".",TEXT(C50,"000")),IF(G50="Subetapa",CONCATENATE(TEXT(B50,"00"),".",TEXT(C50,"000"),".",TEXT(D50,"000")),IF(G50="Serviço",CONCATENATE(TEXT(B50,"00"),".",TEXT(C50,"000"),".",TEXT(D50,"000"),".",TEXT(E50,"000")),"")))))</f>
        <v/>
      </c>
      <c r="I50" s="92" t="inlineStr">
        <is>
          <t>Bandeja de protecao secundaria - 1 montagem</t>
        </is>
      </c>
      <c r="J50" s="77" t="inlineStr">
        <is>
          <t>m</t>
        </is>
      </c>
      <c r="K50" s="353">
        <f>'EPC''s'!D14</f>
        <v/>
      </c>
      <c r="L50" s="87" t="n">
        <v>210.06</v>
      </c>
      <c r="M50" s="354">
        <f>K50*L50</f>
        <v/>
      </c>
      <c r="N50" s="79">
        <f>M50/$M$298</f>
        <v/>
      </c>
      <c r="O50" s="87">
        <f>M50/OBRA!$D$12</f>
        <v/>
      </c>
      <c r="P50" s="355" t="n"/>
    </row>
    <row r="51" outlineLevel="3" ht="19.9" customFormat="1" customHeight="1" s="1">
      <c r="A51" s="343">
        <f>IF(G51="UNIDADE CONSTRUTIVA",OFFSET(A51,-1,0)+1,LARGE(A$4:A49,1))</f>
        <v/>
      </c>
      <c r="B51" s="343">
        <f>IF(G51="UNIDADE CONSTRUTIVA",0,IF(G51="CÉLULA CONSTRUTIVA",OFFSET(B51,-1,0)+1,OFFSET(B51,-1,0)))</f>
        <v/>
      </c>
      <c r="C51" s="343">
        <f>IF(G51="CÉLULA CONSTRUTIVA",0,IF(G51="ETAPA",OFFSET(C51,-1,0)+1,OFFSET(C51,-1,0)))</f>
        <v/>
      </c>
      <c r="D51" s="347">
        <f>IF(G51="ETAPA",0,IF(G51="SUBETAPA",OFFSET(D51,-1,0)+1,OFFSET(D51,-1,0)))</f>
        <v/>
      </c>
      <c r="E51" s="347">
        <f>IF(G51="Subetapa",0,IF(G51="serviço",OFFSET(E51,-1,0)+1,OFFSET(E51,-1,0)))</f>
        <v/>
      </c>
      <c r="G51" s="75" t="inlineStr">
        <is>
          <t>Serviço</t>
        </is>
      </c>
      <c r="H51" s="352">
        <f>IF(G51="Unidade Construtiva",CONCATENATE("UC ",TEXT(A51,"00")),IF(G51="Célula Construtiva",TEXT(B51,"00"),IF(G51="Etapa",CONCATENATE(TEXT(B51,"00"),".",TEXT(C51,"000")),IF(G51="Subetapa",CONCATENATE(TEXT(B51,"00"),".",TEXT(C51,"000"),".",TEXT(D51,"000")),IF(G51="Serviço",CONCATENATE(TEXT(B51,"00"),".",TEXT(C51,"000"),".",TEXT(D51,"000"),".",TEXT(E51,"000")),"")))))</f>
        <v/>
      </c>
      <c r="I51" s="92" t="inlineStr">
        <is>
          <t>Guarda corpo em laje pós - desforma</t>
        </is>
      </c>
      <c r="J51" s="77" t="inlineStr">
        <is>
          <t>m</t>
        </is>
      </c>
      <c r="K51" s="353">
        <f>'EPC''s'!D21</f>
        <v/>
      </c>
      <c r="L51" s="87" t="n">
        <v>17.89</v>
      </c>
      <c r="M51" s="354">
        <f>K51*L51</f>
        <v/>
      </c>
      <c r="N51" s="79">
        <f>M51/$M$298</f>
        <v/>
      </c>
      <c r="O51" s="87">
        <f>M51/OBRA!$D$12</f>
        <v/>
      </c>
      <c r="P51" s="355" t="inlineStr">
        <is>
          <t>Valor repassado pelo cliente - segurança - Guarda corpo em periferias (risco de queda)</t>
        </is>
      </c>
    </row>
    <row r="52" outlineLevel="3" ht="19.9" customFormat="1" customHeight="1" s="1">
      <c r="A52" s="343">
        <f>IF(G52="UNIDADE CONSTRUTIVA",OFFSET(A52,-1,0)+1,LARGE(A$4:A50,1))</f>
        <v/>
      </c>
      <c r="B52" s="343">
        <f>IF(G52="UNIDADE CONSTRUTIVA",0,IF(G52="CÉLULA CONSTRUTIVA",OFFSET(B52,-1,0)+1,OFFSET(B52,-1,0)))</f>
        <v/>
      </c>
      <c r="C52" s="343">
        <f>IF(G52="CÉLULA CONSTRUTIVA",0,IF(G52="ETAPA",OFFSET(C52,-1,0)+1,OFFSET(C52,-1,0)))</f>
        <v/>
      </c>
      <c r="D52" s="347">
        <f>IF(G52="ETAPA",0,IF(G52="SUBETAPA",OFFSET(D52,-1,0)+1,OFFSET(D52,-1,0)))</f>
        <v/>
      </c>
      <c r="E52" s="347">
        <f>IF(G52="Subetapa",0,IF(G52="serviço",OFFSET(E52,-1,0)+1,OFFSET(E52,-1,0)))</f>
        <v/>
      </c>
      <c r="G52" s="75" t="inlineStr">
        <is>
          <t>Serviço</t>
        </is>
      </c>
      <c r="H52" s="352">
        <f>IF(G52="Unidade Construtiva",CONCATENATE("UC ",TEXT(A52,"00")),IF(G52="Célula Construtiva",TEXT(B52,"00"),IF(G52="Etapa",CONCATENATE(TEXT(B52,"00"),".",TEXT(C52,"000")),IF(G52="Subetapa",CONCATENATE(TEXT(B52,"00"),".",TEXT(C52,"000"),".",TEXT(D52,"000")),IF(G52="Serviço",CONCATENATE(TEXT(B52,"00"),".",TEXT(C52,"000"),".",TEXT(D52,"000"),".",TEXT(E52,"000")),"")))))</f>
        <v/>
      </c>
      <c r="I52" s="92" t="inlineStr">
        <is>
          <t>Guarda corpo em periferias (risco de queda)</t>
        </is>
      </c>
      <c r="J52" s="77" t="inlineStr">
        <is>
          <t>m</t>
        </is>
      </c>
      <c r="K52" s="353">
        <f>'EPC''s'!D42</f>
        <v/>
      </c>
      <c r="L52" s="87" t="n">
        <v>15.38</v>
      </c>
      <c r="M52" s="354">
        <f>K52*L52</f>
        <v/>
      </c>
      <c r="N52" s="79">
        <f>M52/$M$298</f>
        <v/>
      </c>
      <c r="O52" s="87">
        <f>M52/OBRA!$D$12</f>
        <v/>
      </c>
      <c r="P52" s="355" t="inlineStr">
        <is>
          <t>Valor repassado pelo cliente - segurança - Guarda corpo em periferias (risco de queda)</t>
        </is>
      </c>
    </row>
    <row r="53" outlineLevel="3" ht="19.9" customFormat="1" customHeight="1" s="1">
      <c r="A53" s="343">
        <f>IF(G53="UNIDADE CONSTRUTIVA",OFFSET(A53,-1,0)+1,LARGE(A$4:A50,1))</f>
        <v/>
      </c>
      <c r="B53" s="343">
        <f>IF(G53="UNIDADE CONSTRUTIVA",0,IF(G53="CÉLULA CONSTRUTIVA",OFFSET(B53,-1,0)+1,OFFSET(B53,-1,0)))</f>
        <v/>
      </c>
      <c r="C53" s="343">
        <f>IF(G53="CÉLULA CONSTRUTIVA",0,IF(G53="ETAPA",OFFSET(C53,-1,0)+1,OFFSET(C53,-1,0)))</f>
        <v/>
      </c>
      <c r="D53" s="347">
        <f>IF(G53="ETAPA",0,IF(G53="SUBETAPA",OFFSET(D53,-1,0)+1,OFFSET(D53,-1,0)))</f>
        <v/>
      </c>
      <c r="E53" s="347">
        <f>IF(G53="Subetapa",0,IF(G53="serviço",OFFSET(E53,-1,0)+1,OFFSET(E53,-1,0)))</f>
        <v/>
      </c>
      <c r="G53" s="75" t="inlineStr">
        <is>
          <t>Serviço</t>
        </is>
      </c>
      <c r="H53" s="352">
        <f>IF(G53="Unidade Construtiva",CONCATENATE("UC ",TEXT(A53,"00")),IF(G53="Célula Construtiva",TEXT(B53,"00"),IF(G53="Etapa",CONCATENATE(TEXT(B53,"00"),".",TEXT(C53,"000")),IF(G53="Subetapa",CONCATENATE(TEXT(B53,"00"),".",TEXT(C53,"000"),".",TEXT(D53,"000")),IF(G53="Serviço",CONCATENATE(TEXT(B53,"00"),".",TEXT(C53,"000"),".",TEXT(D53,"000"),".",TEXT(E53,"000")),"")))))</f>
        <v/>
      </c>
      <c r="I53" s="92" t="inlineStr">
        <is>
          <t>Fechamento removivel de vaos de porta de elevador em madeira</t>
        </is>
      </c>
      <c r="J53" s="77" t="inlineStr">
        <is>
          <t>m²</t>
        </is>
      </c>
      <c r="K53" s="353">
        <f>'EPC''s'!D36</f>
        <v/>
      </c>
      <c r="L53" s="87" t="n">
        <v>47.3</v>
      </c>
      <c r="M53" s="354">
        <f>K53*L53</f>
        <v/>
      </c>
      <c r="N53" s="79">
        <f>M53/$M$298</f>
        <v/>
      </c>
      <c r="O53" s="87">
        <f>M53/OBRA!$D$12</f>
        <v/>
      </c>
      <c r="P53" s="355" t="n"/>
    </row>
    <row r="54" outlineLevel="3" ht="19.9" customFormat="1" customHeight="1" s="1">
      <c r="A54" s="343">
        <f>IF(G54="UNIDADE CONSTRUTIVA",OFFSET(A54,-1,0)+1,LARGE(A$4:A53,1))</f>
        <v/>
      </c>
      <c r="B54" s="343">
        <f>IF(G54="UNIDADE CONSTRUTIVA",0,IF(G54="CÉLULA CONSTRUTIVA",OFFSET(B54,-1,0)+1,OFFSET(B54,-1,0)))</f>
        <v/>
      </c>
      <c r="C54" s="343">
        <f>IF(G54="CÉLULA CONSTRUTIVA",0,IF(G54="ETAPA",OFFSET(C54,-1,0)+1,OFFSET(C54,-1,0)))</f>
        <v/>
      </c>
      <c r="D54" s="347">
        <f>IF(G54="ETAPA",0,IF(G54="SUBETAPA",OFFSET(D54,-1,0)+1,OFFSET(D54,-1,0)))</f>
        <v/>
      </c>
      <c r="E54" s="347">
        <f>IF(G54="Subetapa",0,IF(G54="serviço",OFFSET(E54,-1,0)+1,OFFSET(E54,-1,0)))</f>
        <v/>
      </c>
      <c r="G54" s="75" t="inlineStr">
        <is>
          <t>Serviço</t>
        </is>
      </c>
      <c r="H54" s="352">
        <f>IF(G54="Unidade Construtiva",CONCATENATE("UC ",TEXT(A54,"00")),IF(G54="Célula Construtiva",TEXT(B54,"00"),IF(G54="Etapa",CONCATENATE(TEXT(B54,"00"),".",TEXT(C54,"000")),IF(G54="Subetapa",CONCATENATE(TEXT(B54,"00"),".",TEXT(C54,"000"),".",TEXT(D54,"000")),IF(G54="Serviço",CONCATENATE(TEXT(B54,"00"),".",TEXT(C54,"000"),".",TEXT(D54,"000"),".",TEXT(E54,"000")),"")))))</f>
        <v/>
      </c>
      <c r="I54" s="92" t="inlineStr">
        <is>
          <t>Varal de seguranca com cabo de aco com cabo de aço instalado junto ao piso</t>
        </is>
      </c>
      <c r="J54" s="77" t="inlineStr">
        <is>
          <t>m</t>
        </is>
      </c>
      <c r="K54" s="353">
        <f>'EPC''s'!D21</f>
        <v/>
      </c>
      <c r="L54" s="87" t="n">
        <v>244</v>
      </c>
      <c r="M54" s="354">
        <f>K54*L54</f>
        <v/>
      </c>
      <c r="N54" s="79">
        <f>M54/$M$298</f>
        <v/>
      </c>
      <c r="O54" s="87">
        <f>M54/OBRA!$D$12</f>
        <v/>
      </c>
      <c r="P54" s="355" t="n"/>
    </row>
    <row r="55" outlineLevel="3" ht="19.9" customFormat="1" customHeight="1" s="1">
      <c r="A55" s="343">
        <f>IF(G55="UNIDADE CONSTRUTIVA",OFFSET(A55,-1,0)+1,LARGE(A$4:A54,1))</f>
        <v/>
      </c>
      <c r="B55" s="343">
        <f>IF(G55="UNIDADE CONSTRUTIVA",0,IF(G55="CÉLULA CONSTRUTIVA",OFFSET(B55,-1,0)+1,OFFSET(B55,-1,0)))</f>
        <v/>
      </c>
      <c r="C55" s="343">
        <f>IF(G55="CÉLULA CONSTRUTIVA",0,IF(G55="ETAPA",OFFSET(C55,-1,0)+1,OFFSET(C55,-1,0)))</f>
        <v/>
      </c>
      <c r="D55" s="347">
        <f>IF(G55="ETAPA",0,IF(G55="SUBETAPA",OFFSET(D55,-1,0)+1,OFFSET(D55,-1,0)))</f>
        <v/>
      </c>
      <c r="E55" s="347">
        <f>IF(G55="Subetapa",0,IF(G55="serviço",OFFSET(E55,-1,0)+1,OFFSET(E55,-1,0)))</f>
        <v/>
      </c>
      <c r="G55" s="75" t="inlineStr">
        <is>
          <t>Serviço</t>
        </is>
      </c>
      <c r="H55" s="352">
        <f>IF(G55="Unidade Construtiva",CONCATENATE("UC ",TEXT(A55,"00")),IF(G55="Célula Construtiva",TEXT(B55,"00"),IF(G55="Etapa",CONCATENATE(TEXT(B55,"00"),".",TEXT(C55,"000")),IF(G55="Subetapa",CONCATENATE(TEXT(B55,"00"),".",TEXT(C55,"000"),".",TEXT(D55,"000")),IF(G55="Serviço",CONCATENATE(TEXT(B55,"00"),".",TEXT(C55,"000"),".",TEXT(D55,"000"),".",TEXT(E55,"000")),"")))))</f>
        <v/>
      </c>
      <c r="I55" s="92" t="inlineStr">
        <is>
          <t>Tela fachadeira - Tela mosqueteira reforçada com impressão digital</t>
        </is>
      </c>
      <c r="J55" s="77" t="inlineStr">
        <is>
          <t>m²</t>
        </is>
      </c>
      <c r="K55" s="353" t="n">
        <v>5310.12</v>
      </c>
      <c r="L55" s="87" t="n">
        <v>31.09</v>
      </c>
      <c r="M55" s="354">
        <f>K55*L55</f>
        <v/>
      </c>
      <c r="N55" s="79">
        <f>M55/$M$298</f>
        <v/>
      </c>
      <c r="O55" s="87">
        <f>M55/OBRA!$D$12</f>
        <v/>
      </c>
      <c r="P55" s="355" t="n"/>
    </row>
    <row r="56" outlineLevel="3" ht="19.9" customFormat="1" customHeight="1" s="1">
      <c r="A56" s="343">
        <f>IF(G56="UNIDADE CONSTRUTIVA",OFFSET(A56,-1,0)+1,LARGE(A$4:A55,1))</f>
        <v/>
      </c>
      <c r="B56" s="343">
        <f>IF(G56="UNIDADE CONSTRUTIVA",0,IF(G56="CÉLULA CONSTRUTIVA",OFFSET(B56,-1,0)+1,OFFSET(B56,-1,0)))</f>
        <v/>
      </c>
      <c r="C56" s="343">
        <f>IF(G56="CÉLULA CONSTRUTIVA",0,IF(G56="ETAPA",OFFSET(C56,-1,0)+1,OFFSET(C56,-1,0)))</f>
        <v/>
      </c>
      <c r="D56" s="347">
        <f>IF(G56="ETAPA",0,IF(G56="SUBETAPA",OFFSET(D56,-1,0)+1,OFFSET(D56,-1,0)))</f>
        <v/>
      </c>
      <c r="E56" s="347">
        <f>IF(G56="Subetapa",0,IF(G56="serviço",OFFSET(E56,-1,0)+1,OFFSET(E56,-1,0)))</f>
        <v/>
      </c>
      <c r="G56" s="75" t="inlineStr">
        <is>
          <t>Serviço</t>
        </is>
      </c>
      <c r="H56" s="352">
        <f>IF(G56="Unidade Construtiva",CONCATENATE("UC ",TEXT(A56,"00")),IF(G56="Célula Construtiva",TEXT(B56,"00"),IF(G56="Etapa",CONCATENATE(TEXT(B56,"00"),".",TEXT(C56,"000")),IF(G56="Subetapa",CONCATENATE(TEXT(B56,"00"),".",TEXT(C56,"000"),".",TEXT(D56,"000")),IF(G56="Serviço",CONCATENATE(TEXT(B56,"00"),".",TEXT(C56,"000"),".",TEXT(D56,"000"),".",TEXT(E56,"000")),"")))))</f>
        <v/>
      </c>
      <c r="I56" s="92" t="inlineStr">
        <is>
          <t>Equipamento de proteção individual</t>
        </is>
      </c>
      <c r="J56" s="77" t="inlineStr">
        <is>
          <t>vb</t>
        </is>
      </c>
      <c r="K56" s="353" t="n">
        <v>1</v>
      </c>
      <c r="L56" s="87" t="n">
        <v>192613.42</v>
      </c>
      <c r="M56" s="354">
        <f>K56*L56</f>
        <v/>
      </c>
      <c r="N56" s="79">
        <f>M56/$M$298</f>
        <v/>
      </c>
      <c r="O56" s="87">
        <f>M56/OBRA!$D$12</f>
        <v/>
      </c>
      <c r="P56" s="355" t="n"/>
    </row>
    <row r="57" outlineLevel="3" ht="19.9" customFormat="1" customHeight="1" s="1">
      <c r="A57" s="343">
        <f>IF(G57="UNIDADE CONSTRUTIVA",OFFSET(A57,-1,0)+1,LARGE(A$4:A56,1))</f>
        <v/>
      </c>
      <c r="B57" s="343">
        <f>IF(G57="UNIDADE CONSTRUTIVA",0,IF(G57="CÉLULA CONSTRUTIVA",OFFSET(B57,-1,0)+1,OFFSET(B57,-1,0)))</f>
        <v/>
      </c>
      <c r="C57" s="343">
        <f>IF(G57="CÉLULA CONSTRUTIVA",0,IF(G57="ETAPA",OFFSET(C57,-1,0)+1,OFFSET(C57,-1,0)))</f>
        <v/>
      </c>
      <c r="D57" s="347">
        <f>IF(G57="ETAPA",0,IF(G57="SUBETAPA",OFFSET(D57,-1,0)+1,OFFSET(D57,-1,0)))</f>
        <v/>
      </c>
      <c r="E57" s="347">
        <f>IF(G57="Subetapa",0,IF(G57="serviço",OFFSET(E57,-1,0)+1,OFFSET(E57,-1,0)))</f>
        <v/>
      </c>
      <c r="G57" s="75" t="inlineStr">
        <is>
          <t>Serviço</t>
        </is>
      </c>
      <c r="H57" s="352">
        <f>IF(G57="Unidade Construtiva",CONCATENATE("UC ",TEXT(A57,"00")),IF(G57="Célula Construtiva",TEXT(B57,"00"),IF(G57="Etapa",CONCATENATE(TEXT(B57,"00"),".",TEXT(C57,"000")),IF(G57="Subetapa",CONCATENATE(TEXT(B57,"00"),".",TEXT(C57,"000"),".",TEXT(D57,"000")),IF(G57="Serviço",CONCATENATE(TEXT(B57,"00"),".",TEXT(C57,"000"),".",TEXT(D57,"000"),".",TEXT(E57,"000")),"")))))</f>
        <v/>
      </c>
      <c r="I57" s="92" t="inlineStr">
        <is>
          <t>Placas de Sinalização de Obra</t>
        </is>
      </c>
      <c r="J57" s="77" t="inlineStr">
        <is>
          <t>vb</t>
        </is>
      </c>
      <c r="K57" s="353" t="n">
        <v>1</v>
      </c>
      <c r="L57" s="87" t="n">
        <v>3615.503842977098</v>
      </c>
      <c r="M57" s="354">
        <f>K57*L57</f>
        <v/>
      </c>
      <c r="N57" s="79">
        <f>M57/$M$298</f>
        <v/>
      </c>
      <c r="O57" s="87">
        <f>M57/OBRA!$D$12</f>
        <v/>
      </c>
      <c r="P57" s="355" t="n"/>
    </row>
    <row r="58" outlineLevel="2" ht="19.9" customFormat="1" customHeight="1" s="1">
      <c r="A58" s="343">
        <f>IF(G58="UNIDADE CONSTRUTIVA",OFFSET(A58,-1,0)+1,LARGE(A$4:A57,1))</f>
        <v/>
      </c>
      <c r="B58" s="343">
        <f>IF(G58="UNIDADE CONSTRUTIVA",0,IF(G58="CÉLULA CONSTRUTIVA",OFFSET(B58,-1,0)+1,OFFSET(B58,-1,0)))</f>
        <v/>
      </c>
      <c r="C58" s="343">
        <f>IF(G58="CÉLULA CONSTRUTIVA",0,IF(G58="ETAPA",OFFSET(C58,-1,0)+1,OFFSET(C58,-1,0)))</f>
        <v/>
      </c>
      <c r="D58" s="347">
        <f>IF(G58="ETAPA",0,IF(G58="SUBETAPA",OFFSET(D58,-1,0)+1,OFFSET(D58,-1,0)))</f>
        <v/>
      </c>
      <c r="E58" s="347">
        <f>IF(G58="Subetapa",0,IF(G58="serviço",OFFSET(E58,-1,0)+1,OFFSET(E58,-1,0)))</f>
        <v/>
      </c>
      <c r="G58" s="75" t="inlineStr">
        <is>
          <t>Subetapa</t>
        </is>
      </c>
      <c r="H58" s="352">
        <f>IF(G58="Unidade Construtiva",CONCATENATE("UC ",TEXT(A58,"00")),IF(G58="Célula Construtiva",TEXT(B58,"00"),IF(G58="Etapa",CONCATENATE(TEXT(B58,"00"),".",TEXT(C58,"000")),IF(G58="Subetapa",CONCATENATE(TEXT(B58,"00"),".",TEXT(C58,"000"),".",TEXT(D58,"000")),IF(G58="Serviço",CONCATENATE(TEXT(B58,"00"),".",TEXT(C58,"000"),".",TEXT(D58,"000"),".",TEXT(E58,"000")),"")))))</f>
        <v/>
      </c>
      <c r="I58" s="92" t="inlineStr">
        <is>
          <t>Meio ambiente</t>
        </is>
      </c>
      <c r="J58" s="77" t="n"/>
      <c r="K58" s="353" t="inlineStr"/>
      <c r="L58" s="87" t="inlineStr"/>
      <c r="M58" s="354" t="n">
        <v>42591.54937433603</v>
      </c>
      <c r="N58" s="79">
        <f>M58/$M$298</f>
        <v/>
      </c>
      <c r="O58" s="87">
        <f>M58/OBRA!$D$12</f>
        <v/>
      </c>
      <c r="P58" s="355" t="n"/>
    </row>
    <row r="59" outlineLevel="2" ht="19.9" customFormat="1" customHeight="1" s="1">
      <c r="A59" s="343">
        <f>IF(G59="UNIDADE CONSTRUTIVA",OFFSET(A59,-1,0)+1,LARGE(A$4:A58,1))</f>
        <v/>
      </c>
      <c r="B59" s="343">
        <f>IF(G59="UNIDADE CONSTRUTIVA",0,IF(G59="CÉLULA CONSTRUTIVA",OFFSET(B59,-1,0)+1,OFFSET(B59,-1,0)))</f>
        <v/>
      </c>
      <c r="C59" s="343">
        <f>IF(G59="CÉLULA CONSTRUTIVA",0,IF(G59="ETAPA",OFFSET(C59,-1,0)+1,OFFSET(C59,-1,0)))</f>
        <v/>
      </c>
      <c r="D59" s="347">
        <f>IF(G59="ETAPA",0,IF(G59="SUBETAPA",OFFSET(D59,-1,0)+1,OFFSET(D59,-1,0)))</f>
        <v/>
      </c>
      <c r="E59" s="347">
        <f>IF(G59="Subetapa",0,IF(G59="serviço",OFFSET(E59,-1,0)+1,OFFSET(E59,-1,0)))</f>
        <v/>
      </c>
      <c r="G59" s="75" t="inlineStr">
        <is>
          <t>ETAPA</t>
        </is>
      </c>
      <c r="H59" s="352">
        <f>IF(G59="Unidade Construtiva",CONCATENATE("UC ",TEXT(A59,"00")),IF(G59="Célula Construtiva",TEXT(B59,"00"),IF(G59="Etapa",CONCATENATE(TEXT(B59,"00"),".",TEXT(C59,"000")),IF(G59="Subetapa",CONCATENATE(TEXT(B59,"00"),".",TEXT(C59,"000"),".",TEXT(D59,"000")),IF(G59="Serviço",CONCATENATE(TEXT(B59,"00"),".",TEXT(C59,"000"),".",TEXT(D59,"000"),".",TEXT(E59,"000")),"")))))</f>
        <v/>
      </c>
      <c r="I59" s="92" t="inlineStr">
        <is>
          <t>ADMINISTRAÇÃO E CANTEIRO DE OBRA</t>
        </is>
      </c>
      <c r="J59" s="77" t="n"/>
      <c r="K59" s="353" t="n"/>
      <c r="L59" s="87" t="inlineStr"/>
      <c r="M59" s="354">
        <f>M60+M66+M68+M77</f>
        <v/>
      </c>
      <c r="N59" s="79">
        <f>M59/$M$298</f>
        <v/>
      </c>
      <c r="O59" s="87">
        <f>M59/OBRA!$D$12</f>
        <v/>
      </c>
      <c r="P59" s="355" t="n"/>
    </row>
    <row r="60" outlineLevel="2" ht="19.9" customFormat="1" customHeight="1" s="1">
      <c r="A60" s="343">
        <f>IF(G60="UNIDADE CONSTRUTIVA",OFFSET(A60,-1,0)+1,LARGE(A$4:A59,1))</f>
        <v/>
      </c>
      <c r="B60" s="343">
        <f>IF(G60="UNIDADE CONSTRUTIVA",0,IF(G60="CÉLULA CONSTRUTIVA",OFFSET(B60,-1,0)+1,OFFSET(B60,-1,0)))</f>
        <v/>
      </c>
      <c r="C60" s="343">
        <f>IF(G60="CÉLULA CONSTRUTIVA",0,IF(G60="ETAPA",OFFSET(C60,-1,0)+1,OFFSET(C60,-1,0)))</f>
        <v/>
      </c>
      <c r="D60" s="347">
        <f>IF(G60="ETAPA",0,IF(G60="SUBETAPA",OFFSET(D60,-1,0)+1,OFFSET(D60,-1,0)))</f>
        <v/>
      </c>
      <c r="E60" s="347">
        <f>IF(G60="Subetapa",0,IF(G60="serviço",OFFSET(E60,-1,0)+1,OFFSET(E60,-1,0)))</f>
        <v/>
      </c>
      <c r="G60" s="75" t="inlineStr">
        <is>
          <t>Subetapa</t>
        </is>
      </c>
      <c r="H60" s="352">
        <f>IF(G60="Unidade Construtiva",CONCATENATE("UC ",TEXT(A60,"00")),IF(G60="Célula Construtiva",TEXT(B60,"00"),IF(G60="Etapa",CONCATENATE(TEXT(B60,"00"),".",TEXT(C60,"000")),IF(G60="Subetapa",CONCATENATE(TEXT(B60,"00"),".",TEXT(C60,"000"),".",TEXT(D60,"000")),IF(G60="Serviço",CONCATENATE(TEXT(B60,"00"),".",TEXT(C60,"000"),".",TEXT(D60,"000"),".",TEXT(E60,"000")),"")))))</f>
        <v/>
      </c>
      <c r="I60" s="92" t="inlineStr">
        <is>
          <t>Equipe de Gestão e Apoio</t>
        </is>
      </c>
      <c r="J60" s="77" t="n"/>
      <c r="K60" s="353" t="n"/>
      <c r="L60" s="87" t="inlineStr"/>
      <c r="M60" s="354">
        <f>SUM(M61:M65)</f>
        <v/>
      </c>
      <c r="N60" s="79">
        <f>M60/$M$298</f>
        <v/>
      </c>
      <c r="O60" s="87">
        <f>M60/OBRA!$D$12</f>
        <v/>
      </c>
      <c r="P60" s="355" t="n"/>
    </row>
    <row r="61" outlineLevel="3" ht="19.9" customFormat="1" customHeight="1" s="1">
      <c r="A61" s="343">
        <f>IF(G61="UNIDADE CONSTRUTIVA",OFFSET(A61,-1,0)+1,LARGE(A$4:A60,1))</f>
        <v/>
      </c>
      <c r="B61" s="343">
        <f>IF(G61="UNIDADE CONSTRUTIVA",0,IF(G61="CÉLULA CONSTRUTIVA",OFFSET(B61,-1,0)+1,OFFSET(B61,-1,0)))</f>
        <v/>
      </c>
      <c r="C61" s="343">
        <f>IF(G61="CÉLULA CONSTRUTIVA",0,IF(G61="ETAPA",OFFSET(C61,-1,0)+1,OFFSET(C61,-1,0)))</f>
        <v/>
      </c>
      <c r="D61" s="347">
        <f>IF(G61="ETAPA",0,IF(G61="SUBETAPA",OFFSET(D61,-1,0)+1,OFFSET(D61,-1,0)))</f>
        <v/>
      </c>
      <c r="E61" s="347">
        <f>IF(G61="Subetapa",0,IF(G61="serviço",OFFSET(E61,-1,0)+1,OFFSET(E61,-1,0)))</f>
        <v/>
      </c>
      <c r="G61" s="75" t="inlineStr">
        <is>
          <t>Serviço</t>
        </is>
      </c>
      <c r="H61" s="352">
        <f>IF(G61="Unidade Construtiva",CONCATENATE("UC ",TEXT(A61,"00")),IF(G61="Célula Construtiva",TEXT(B61,"00"),IF(G61="Etapa",CONCATENATE(TEXT(B61,"00"),".",TEXT(C61,"000")),IF(G61="Subetapa",CONCATENATE(TEXT(B61,"00"),".",TEXT(C61,"000"),".",TEXT(D61,"000")),IF(G61="Serviço",CONCATENATE(TEXT(B61,"00"),".",TEXT(C61,"000"),".",TEXT(D61,"000"),".",TEXT(E61,"000")),"")))))</f>
        <v/>
      </c>
      <c r="I61" s="92" t="inlineStr">
        <is>
          <t>Engenheiro Civil</t>
        </is>
      </c>
      <c r="J61" s="77" t="inlineStr">
        <is>
          <t>mês</t>
        </is>
      </c>
      <c r="K61" s="353" t="n">
        <v>48</v>
      </c>
      <c r="L61" s="87" t="n">
        <v>12038.34</v>
      </c>
      <c r="M61" s="354">
        <f>K61*L61</f>
        <v/>
      </c>
      <c r="N61" s="79">
        <f>M61/$M$298</f>
        <v/>
      </c>
      <c r="O61" s="87">
        <f>M61/OBRA!$D$12</f>
        <v/>
      </c>
      <c r="P61" s="355" t="n"/>
    </row>
    <row r="62" outlineLevel="3" ht="19.9" customFormat="1" customHeight="1" s="1">
      <c r="A62" s="343">
        <f>IF(G62="UNIDADE CONSTRUTIVA",OFFSET(A62,-1,0)+1,LARGE(A$4:A61,1))</f>
        <v/>
      </c>
      <c r="B62" s="343">
        <f>IF(G62="UNIDADE CONSTRUTIVA",0,IF(G62="CÉLULA CONSTRUTIVA",OFFSET(B62,-1,0)+1,OFFSET(B62,-1,0)))</f>
        <v/>
      </c>
      <c r="C62" s="343">
        <f>IF(G62="CÉLULA CONSTRUTIVA",0,IF(G62="ETAPA",OFFSET(C62,-1,0)+1,OFFSET(C62,-1,0)))</f>
        <v/>
      </c>
      <c r="D62" s="347">
        <f>IF(G62="ETAPA",0,IF(G62="SUBETAPA",OFFSET(D62,-1,0)+1,OFFSET(D62,-1,0)))</f>
        <v/>
      </c>
      <c r="E62" s="347">
        <f>IF(G62="Subetapa",0,IF(G62="serviço",OFFSET(E62,-1,0)+1,OFFSET(E62,-1,0)))</f>
        <v/>
      </c>
      <c r="G62" s="75" t="inlineStr">
        <is>
          <t>Serviço</t>
        </is>
      </c>
      <c r="H62" s="352">
        <f>IF(G62="Unidade Construtiva",CONCATENATE("UC ",TEXT(A62,"00")),IF(G62="Célula Construtiva",TEXT(B62,"00"),IF(G62="Etapa",CONCATENATE(TEXT(B62,"00"),".",TEXT(C62,"000")),IF(G62="Subetapa",CONCATENATE(TEXT(B62,"00"),".",TEXT(C62,"000"),".",TEXT(D62,"000")),IF(G62="Serviço",CONCATENATE(TEXT(B62,"00"),".",TEXT(C62,"000"),".",TEXT(D62,"000"),".",TEXT(E62,"000")),"")))))</f>
        <v/>
      </c>
      <c r="I62" s="92" t="inlineStr">
        <is>
          <t>Mestre Geral</t>
        </is>
      </c>
      <c r="J62" s="77" t="inlineStr">
        <is>
          <t>mês</t>
        </is>
      </c>
      <c r="K62" s="353" t="n">
        <v>48</v>
      </c>
      <c r="L62" s="87" t="n">
        <v>8025.56</v>
      </c>
      <c r="M62" s="354">
        <f>K62*L62</f>
        <v/>
      </c>
      <c r="N62" s="79">
        <f>M62/$M$298</f>
        <v/>
      </c>
      <c r="O62" s="87">
        <f>M62/OBRA!$D$12</f>
        <v/>
      </c>
      <c r="P62" s="355" t="n"/>
    </row>
    <row r="63" outlineLevel="3" ht="19.9" customFormat="1" customHeight="1" s="1">
      <c r="A63" s="343">
        <f>IF(G63="UNIDADE CONSTRUTIVA",OFFSET(A63,-1,0)+1,LARGE(A$4:A62,1))</f>
        <v/>
      </c>
      <c r="B63" s="343">
        <f>IF(G63="UNIDADE CONSTRUTIVA",0,IF(G63="CÉLULA CONSTRUTIVA",OFFSET(B63,-1,0)+1,OFFSET(B63,-1,0)))</f>
        <v/>
      </c>
      <c r="C63" s="343">
        <f>IF(G63="CÉLULA CONSTRUTIVA",0,IF(G63="ETAPA",OFFSET(C63,-1,0)+1,OFFSET(C63,-1,0)))</f>
        <v/>
      </c>
      <c r="D63" s="347">
        <f>IF(G63="ETAPA",0,IF(G63="SUBETAPA",OFFSET(D63,-1,0)+1,OFFSET(D63,-1,0)))</f>
        <v/>
      </c>
      <c r="E63" s="347">
        <f>IF(G63="Subetapa",0,IF(G63="serviço",OFFSET(E63,-1,0)+1,OFFSET(E63,-1,0)))</f>
        <v/>
      </c>
      <c r="G63" s="75" t="inlineStr">
        <is>
          <t>Serviço</t>
        </is>
      </c>
      <c r="H63" s="352">
        <f>IF(G63="Unidade Construtiva",CONCATENATE("UC ",TEXT(A63,"00")),IF(G63="Célula Construtiva",TEXT(B63,"00"),IF(G63="Etapa",CONCATENATE(TEXT(B63,"00"),".",TEXT(C63,"000")),IF(G63="Subetapa",CONCATENATE(TEXT(B63,"00"),".",TEXT(C63,"000"),".",TEXT(D63,"000")),IF(G63="Serviço",CONCATENATE(TEXT(B63,"00"),".",TEXT(C63,"000"),".",TEXT(D63,"000"),".",TEXT(E63,"000")),"")))))</f>
        <v/>
      </c>
      <c r="I63" s="92" t="inlineStr">
        <is>
          <t>Estagiário de Engenharia</t>
        </is>
      </c>
      <c r="J63" s="77" t="inlineStr">
        <is>
          <t>mês</t>
        </is>
      </c>
      <c r="K63" s="353">
        <f>IFERROR(OBRA!$D$14,0)</f>
        <v/>
      </c>
      <c r="L63" s="87" t="n">
        <v>2200</v>
      </c>
      <c r="M63" s="354">
        <f>K63*L63</f>
        <v/>
      </c>
      <c r="N63" s="79">
        <f>M63/$M$298</f>
        <v/>
      </c>
      <c r="O63" s="87">
        <f>M63/OBRA!$D$12</f>
        <v/>
      </c>
      <c r="P63" s="355" t="n"/>
    </row>
    <row r="64" outlineLevel="3" ht="19.9" customFormat="1" customHeight="1" s="1">
      <c r="A64" s="343">
        <f>IF(G64="UNIDADE CONSTRUTIVA",OFFSET(A64,-1,0)+1,LARGE(A$4:A63,1))</f>
        <v/>
      </c>
      <c r="B64" s="343">
        <f>IF(G64="UNIDADE CONSTRUTIVA",0,IF(G64="CÉLULA CONSTRUTIVA",OFFSET(B64,-1,0)+1,OFFSET(B64,-1,0)))</f>
        <v/>
      </c>
      <c r="C64" s="343">
        <f>IF(G64="CÉLULA CONSTRUTIVA",0,IF(G64="ETAPA",OFFSET(C64,-1,0)+1,OFFSET(C64,-1,0)))</f>
        <v/>
      </c>
      <c r="D64" s="347">
        <f>IF(G64="ETAPA",0,IF(G64="SUBETAPA",OFFSET(D64,-1,0)+1,OFFSET(D64,-1,0)))</f>
        <v/>
      </c>
      <c r="E64" s="347">
        <f>IF(G64="Subetapa",0,IF(G64="serviço",OFFSET(E64,-1,0)+1,OFFSET(E64,-1,0)))</f>
        <v/>
      </c>
      <c r="G64" s="75" t="inlineStr">
        <is>
          <t>Serviço</t>
        </is>
      </c>
      <c r="H64" s="352">
        <f>IF(G64="Unidade Construtiva",CONCATENATE("UC ",TEXT(A64,"00")),IF(G64="Célula Construtiva",TEXT(B64,"00"),IF(G64="Etapa",CONCATENATE(TEXT(B64,"00"),".",TEXT(C64,"000")),IF(G64="Subetapa",CONCATENATE(TEXT(B64,"00"),".",TEXT(C64,"000"),".",TEXT(D64,"000")),IF(G64="Serviço",CONCATENATE(TEXT(B64,"00"),".",TEXT(C64,"000"),".",TEXT(D64,"000"),".",TEXT(E64,"000")),"")))))</f>
        <v/>
      </c>
      <c r="I64" s="92" t="inlineStr">
        <is>
          <t>Operador de Guincho</t>
        </is>
      </c>
      <c r="J64" s="77" t="inlineStr">
        <is>
          <t>mês</t>
        </is>
      </c>
      <c r="K64" s="353">
        <f>K81</f>
        <v/>
      </c>
      <c r="L64" s="87" t="n">
        <v>3500</v>
      </c>
      <c r="M64" s="354">
        <f>K64*L64</f>
        <v/>
      </c>
      <c r="N64" s="79">
        <f>M64/$M$298</f>
        <v/>
      </c>
      <c r="O64" s="87">
        <f>M64/OBRA!$D$12</f>
        <v/>
      </c>
      <c r="P64" s="355" t="n"/>
    </row>
    <row r="65" outlineLevel="3" ht="19.9" customFormat="1" customHeight="1" s="1">
      <c r="A65" s="343">
        <f>IF(G65="UNIDADE CONSTRUTIVA",OFFSET(A65,-1,0)+1,LARGE(A$4:A64,1))</f>
        <v/>
      </c>
      <c r="B65" s="343">
        <f>IF(G65="UNIDADE CONSTRUTIVA",0,IF(G65="CÉLULA CONSTRUTIVA",OFFSET(B65,-1,0)+1,OFFSET(B65,-1,0)))</f>
        <v/>
      </c>
      <c r="C65" s="343">
        <f>IF(G65="CÉLULA CONSTRUTIVA",0,IF(G65="ETAPA",OFFSET(C65,-1,0)+1,OFFSET(C65,-1,0)))</f>
        <v/>
      </c>
      <c r="D65" s="347">
        <f>IF(G65="ETAPA",0,IF(G65="SUBETAPA",OFFSET(D65,-1,0)+1,OFFSET(D65,-1,0)))</f>
        <v/>
      </c>
      <c r="E65" s="347">
        <f>IF(G65="Subetapa",0,IF(G65="serviço",OFFSET(E65,-1,0)+1,OFFSET(E65,-1,0)))</f>
        <v/>
      </c>
      <c r="G65" s="75" t="inlineStr">
        <is>
          <t>Serviço</t>
        </is>
      </c>
      <c r="H65" s="352">
        <f>IF(G65="Unidade Construtiva",CONCATENATE("UC ",TEXT(A65,"00")),IF(G65="Célula Construtiva",TEXT(B65,"00"),IF(G65="Etapa",CONCATENATE(TEXT(B65,"00"),".",TEXT(C65,"000")),IF(G65="Subetapa",CONCATENATE(TEXT(B65,"00"),".",TEXT(C65,"000"),".",TEXT(D65,"000")),IF(G65="Serviço",CONCATENATE(TEXT(B65,"00"),".",TEXT(C65,"000"),".",TEXT(D65,"000"),".",TEXT(E65,"000")),"")))))</f>
        <v/>
      </c>
      <c r="I65" s="92" t="inlineStr">
        <is>
          <t>Equipe de apoio</t>
        </is>
      </c>
      <c r="J65" s="77" t="inlineStr">
        <is>
          <t>mês</t>
        </is>
      </c>
      <c r="K65" s="353">
        <f>IFERROR(OBRA!$D$14,0)</f>
        <v/>
      </c>
      <c r="L65" s="87" t="n">
        <v>6918.400000000001</v>
      </c>
      <c r="M65" s="354">
        <f>K65*L65</f>
        <v/>
      </c>
      <c r="N65" s="79">
        <f>M65/$M$298</f>
        <v/>
      </c>
      <c r="O65" s="87">
        <f>M65/OBRA!$D$12</f>
        <v/>
      </c>
      <c r="P65" s="355" t="inlineStr">
        <is>
          <t>2 seventes (84% de encargos)</t>
        </is>
      </c>
    </row>
    <row r="66" outlineLevel="2" ht="19.9" customFormat="1" customHeight="1" s="1">
      <c r="A66" s="343">
        <f>IF(G66="UNIDADE CONSTRUTIVA",OFFSET(A66,-1,0)+1,LARGE(A$4:A65,1))</f>
        <v/>
      </c>
      <c r="B66" s="343">
        <f>IF(G66="UNIDADE CONSTRUTIVA",0,IF(G66="CÉLULA CONSTRUTIVA",OFFSET(B66,-1,0)+1,OFFSET(B66,-1,0)))</f>
        <v/>
      </c>
      <c r="C66" s="343">
        <f>IF(G66="CÉLULA CONSTRUTIVA",0,IF(G66="ETAPA",OFFSET(C66,-1,0)+1,OFFSET(C66,-1,0)))</f>
        <v/>
      </c>
      <c r="D66" s="347">
        <f>IF(G66="ETAPA",0,IF(G66="SUBETAPA",OFFSET(D66,-1,0)+1,OFFSET(D66,-1,0)))</f>
        <v/>
      </c>
      <c r="E66" s="347">
        <f>IF(G66="Subetapa",0,IF(G66="serviço",OFFSET(E66,-1,0)+1,OFFSET(E66,-1,0)))</f>
        <v/>
      </c>
      <c r="G66" s="75" t="inlineStr">
        <is>
          <t>Subetapa</t>
        </is>
      </c>
      <c r="H66" s="352">
        <f>IF(G66="Unidade Construtiva",CONCATENATE("UC ",TEXT(A66,"00")),IF(G66="Célula Construtiva",TEXT(B66,"00"),IF(G66="Etapa",CONCATENATE(TEXT(B66,"00"),".",TEXT(C66,"000")),IF(G66="Subetapa",CONCATENATE(TEXT(B66,"00"),".",TEXT(C66,"000"),".",TEXT(D66,"000")),IF(G66="Serviço",CONCATENATE(TEXT(B66,"00"),".",TEXT(C66,"000"),".",TEXT(D66,"000"),".",TEXT(E66,"000")),"")))))</f>
        <v/>
      </c>
      <c r="I66" s="92" t="inlineStr">
        <is>
          <t>Operação Inicial do Canteiro</t>
        </is>
      </c>
      <c r="J66" s="77" t="inlineStr"/>
      <c r="K66" s="353" t="inlineStr"/>
      <c r="L66" s="87" t="inlineStr"/>
      <c r="M66" s="354">
        <f>M67</f>
        <v/>
      </c>
      <c r="N66" s="79">
        <f>M66/$M$298</f>
        <v/>
      </c>
      <c r="O66" s="87">
        <f>M66/OBRA!$D$12</f>
        <v/>
      </c>
      <c r="P66" s="355" t="n"/>
    </row>
    <row r="67" outlineLevel="3" ht="19.9" customFormat="1" customHeight="1" s="1">
      <c r="A67" s="343">
        <f>IF(G67="UNIDADE CONSTRUTIVA",OFFSET(A67,-1,0)+1,LARGE(A$4:A66,1))</f>
        <v/>
      </c>
      <c r="B67" s="343">
        <f>IF(G67="UNIDADE CONSTRUTIVA",0,IF(G67="CÉLULA CONSTRUTIVA",OFFSET(B67,-1,0)+1,OFFSET(B67,-1,0)))</f>
        <v/>
      </c>
      <c r="C67" s="343">
        <f>IF(G67="CÉLULA CONSTRUTIVA",0,IF(G67="ETAPA",OFFSET(C67,-1,0)+1,OFFSET(C67,-1,0)))</f>
        <v/>
      </c>
      <c r="D67" s="347">
        <f>IF(G67="ETAPA",0,IF(G67="SUBETAPA",OFFSET(D67,-1,0)+1,OFFSET(D67,-1,0)))</f>
        <v/>
      </c>
      <c r="E67" s="347">
        <f>IF(G67="Subetapa",0,IF(G67="serviço",OFFSET(E67,-1,0)+1,OFFSET(E67,-1,0)))</f>
        <v/>
      </c>
      <c r="G67" s="75" t="inlineStr">
        <is>
          <t>Serviço</t>
        </is>
      </c>
      <c r="H67" s="352">
        <f>IF(G67="Unidade Construtiva",CONCATENATE("UC ",TEXT(A67,"00")),IF(G67="Célula Construtiva",TEXT(B67,"00"),IF(G67="Etapa",CONCATENATE(TEXT(B67,"00"),".",TEXT(C67,"000")),IF(G67="Subetapa",CONCATENATE(TEXT(B67,"00"),".",TEXT(C67,"000"),".",TEXT(D67,"000")),IF(G67="Serviço",CONCATENATE(TEXT(B67,"00"),".",TEXT(C67,"000"),".",TEXT(D67,"000"),".",TEXT(E67,"000")),"")))))</f>
        <v/>
      </c>
      <c r="I67" s="92" t="inlineStr">
        <is>
          <t>Limpeza mecanizada de camada vegetal</t>
        </is>
      </c>
      <c r="J67" s="77" t="inlineStr">
        <is>
          <t>m²</t>
        </is>
      </c>
      <c r="K67" s="353">
        <f>OBRA!D11</f>
        <v/>
      </c>
      <c r="L67" s="87" t="n">
        <v>12.5</v>
      </c>
      <c r="M67" s="354">
        <f>K67*L67</f>
        <v/>
      </c>
      <c r="N67" s="79">
        <f>M67/$M$298</f>
        <v/>
      </c>
      <c r="O67" s="87">
        <f>M67/OBRA!$D$12</f>
        <v/>
      </c>
      <c r="P67" s="355" t="n"/>
    </row>
    <row r="68" outlineLevel="2" ht="19.9" customFormat="1" customHeight="1" s="1">
      <c r="A68" s="343">
        <f>IF(G68="UNIDADE CONSTRUTIVA",OFFSET(A68,-1,0)+1,LARGE(A$4:A66,1))</f>
        <v/>
      </c>
      <c r="B68" s="343">
        <f>IF(G68="UNIDADE CONSTRUTIVA",0,IF(G68="CÉLULA CONSTRUTIVA",OFFSET(B68,-1,0)+1,OFFSET(B68,-1,0)))</f>
        <v/>
      </c>
      <c r="C68" s="343">
        <f>IF(G68="CÉLULA CONSTRUTIVA",0,IF(G68="ETAPA",OFFSET(C68,-1,0)+1,OFFSET(C68,-1,0)))</f>
        <v/>
      </c>
      <c r="D68" s="347">
        <f>IF(G68="ETAPA",0,IF(G68="SUBETAPA",OFFSET(D68,-1,0)+1,OFFSET(D68,-1,0)))</f>
        <v/>
      </c>
      <c r="E68" s="347">
        <f>IF(G68="Subetapa",0,IF(G68="serviço",OFFSET(E68,-1,0)+1,OFFSET(E68,-1,0)))</f>
        <v/>
      </c>
      <c r="G68" s="75" t="inlineStr">
        <is>
          <t>Subetapa</t>
        </is>
      </c>
      <c r="H68" s="352">
        <f>IF(G68="Unidade Construtiva",CONCATENATE("UC ",TEXT(A68,"00")),IF(G68="Célula Construtiva",TEXT(B68,"00"),IF(G68="Etapa",CONCATENATE(TEXT(B68,"00"),".",TEXT(C68,"000")),IF(G68="Subetapa",CONCATENATE(TEXT(B68,"00"),".",TEXT(C68,"000"),".",TEXT(D68,"000")),IF(G68="Serviço",CONCATENATE(TEXT(B68,"00"),".",TEXT(C68,"000"),".",TEXT(D68,"000"),".",TEXT(E68,"000")),"")))))</f>
        <v/>
      </c>
      <c r="I68" s="92" t="inlineStr">
        <is>
          <t>Instalações provisórias</t>
        </is>
      </c>
      <c r="J68" s="77" t="inlineStr"/>
      <c r="K68" s="353" t="inlineStr"/>
      <c r="L68" s="87" t="inlineStr"/>
      <c r="M68" s="354">
        <f>SUM(M69:M76)</f>
        <v/>
      </c>
      <c r="N68" s="79">
        <f>M68/$M$298</f>
        <v/>
      </c>
      <c r="O68" s="87">
        <f>M68/OBRA!$D$12</f>
        <v/>
      </c>
      <c r="P68" s="355" t="n"/>
    </row>
    <row r="69" outlineLevel="3" ht="19.9" customFormat="1" customHeight="1" s="1">
      <c r="A69" s="343">
        <f>IF(G69="UNIDADE CONSTRUTIVA",OFFSET(A69,-1,0)+1,LARGE(A$4:A68,1))</f>
        <v/>
      </c>
      <c r="B69" s="343">
        <f>IF(G69="UNIDADE CONSTRUTIVA",0,IF(G69="CÉLULA CONSTRUTIVA",OFFSET(B69,-1,0)+1,OFFSET(B69,-1,0)))</f>
        <v/>
      </c>
      <c r="C69" s="343">
        <f>IF(G69="CÉLULA CONSTRUTIVA",0,IF(G69="ETAPA",OFFSET(C69,-1,0)+1,OFFSET(C69,-1,0)))</f>
        <v/>
      </c>
      <c r="D69" s="347">
        <f>IF(G69="ETAPA",0,IF(G69="SUBETAPA",OFFSET(D69,-1,0)+1,OFFSET(D69,-1,0)))</f>
        <v/>
      </c>
      <c r="E69" s="347">
        <f>IF(G69="Subetapa",0,IF(G69="serviço",OFFSET(E69,-1,0)+1,OFFSET(E69,-1,0)))</f>
        <v/>
      </c>
      <c r="G69" s="75" t="inlineStr">
        <is>
          <t>Serviço</t>
        </is>
      </c>
      <c r="H69" s="352">
        <f>IF(G69="Unidade Construtiva",CONCATENATE("UC ",TEXT(A69,"00")),IF(G69="Célula Construtiva",TEXT(B69,"00"),IF(G69="Etapa",CONCATENATE(TEXT(B69,"00"),".",TEXT(C69,"000")),IF(G69="Subetapa",CONCATENATE(TEXT(B69,"00"),".",TEXT(C69,"000"),".",TEXT(D69,"000")),IF(G69="Serviço",CONCATENATE(TEXT(B69,"00"),".",TEXT(C69,"000"),".",TEXT(D69,"000"),".",TEXT(E69,"000")),"")))))</f>
        <v/>
      </c>
      <c r="I69" s="92" t="inlineStr">
        <is>
          <t>Locação de banheiro químico</t>
        </is>
      </c>
      <c r="J69" s="77" t="inlineStr">
        <is>
          <t>mes</t>
        </is>
      </c>
      <c r="K69" s="353" t="n">
        <v>7</v>
      </c>
      <c r="L69" s="87" t="n">
        <v>2850</v>
      </c>
      <c r="M69" s="354">
        <f>K69*L69</f>
        <v/>
      </c>
      <c r="N69" s="79">
        <f>M69/$M$298</f>
        <v/>
      </c>
      <c r="O69" s="87">
        <f>M69/OBRA!$D$12</f>
        <v/>
      </c>
      <c r="P69" s="355" t="n"/>
    </row>
    <row r="70" outlineLevel="3" ht="19.9" customFormat="1" customHeight="1" s="1">
      <c r="A70" s="343">
        <f>IF(G70="UNIDADE CONSTRUTIVA",OFFSET(A70,-1,0)+1,LARGE(A$4:A69,1))</f>
        <v/>
      </c>
      <c r="B70" s="343">
        <f>IF(G70="UNIDADE CONSTRUTIVA",0,IF(G70="CÉLULA CONSTRUTIVA",OFFSET(B70,-1,0)+1,OFFSET(B70,-1,0)))</f>
        <v/>
      </c>
      <c r="C70" s="343">
        <f>IF(G70="CÉLULA CONSTRUTIVA",0,IF(G70="ETAPA",OFFSET(C70,-1,0)+1,OFFSET(C70,-1,0)))</f>
        <v/>
      </c>
      <c r="D70" s="347">
        <f>IF(G70="ETAPA",0,IF(G70="SUBETAPA",OFFSET(D70,-1,0)+1,OFFSET(D70,-1,0)))</f>
        <v/>
      </c>
      <c r="E70" s="347">
        <f>IF(G70="Subetapa",0,IF(G70="serviço",OFFSET(E70,-1,0)+1,OFFSET(E70,-1,0)))</f>
        <v/>
      </c>
      <c r="G70" s="75" t="inlineStr">
        <is>
          <t>Serviço</t>
        </is>
      </c>
      <c r="H70" s="352">
        <f>IF(G70="Unidade Construtiva",CONCATENATE("UC ",TEXT(A70,"00")),IF(G70="Célula Construtiva",TEXT(B70,"00"),IF(G70="Etapa",CONCATENATE(TEXT(B70,"00"),".",TEXT(C70,"000")),IF(G70="Subetapa",CONCATENATE(TEXT(B70,"00"),".",TEXT(C70,"000"),".",TEXT(D70,"000")),IF(G70="Serviço",CONCATENATE(TEXT(B70,"00"),".",TEXT(C70,"000"),".",TEXT(D70,"000"),".",TEXT(E70,"000")),"")))))</f>
        <v/>
      </c>
      <c r="I70" s="92" t="inlineStr">
        <is>
          <t>Instalações de canteiro</t>
        </is>
      </c>
      <c r="J70" s="77" t="inlineStr">
        <is>
          <t>vb</t>
        </is>
      </c>
      <c r="K70" s="353" t="n">
        <v>1</v>
      </c>
      <c r="L70" s="87" t="n">
        <v>385226.85</v>
      </c>
      <c r="M70" s="354">
        <f>K70*L70</f>
        <v/>
      </c>
      <c r="N70" s="79">
        <f>M70/$M$298</f>
        <v/>
      </c>
      <c r="O70" s="87">
        <f>M70/OBRA!$D$12</f>
        <v/>
      </c>
      <c r="P70" s="355" t="n"/>
    </row>
    <row r="71" outlineLevel="3" ht="19.9" customFormat="1" customHeight="1" s="1">
      <c r="A71" s="343">
        <f>IF(G71="UNIDADE CONSTRUTIVA",OFFSET(A71,-1,0)+1,LARGE(A$4:A70,1))</f>
        <v/>
      </c>
      <c r="B71" s="343">
        <f>IF(G71="UNIDADE CONSTRUTIVA",0,IF(G71="CÉLULA CONSTRUTIVA",OFFSET(B71,-1,0)+1,OFFSET(B71,-1,0)))</f>
        <v/>
      </c>
      <c r="C71" s="343">
        <f>IF(G71="CÉLULA CONSTRUTIVA",0,IF(G71="ETAPA",OFFSET(C71,-1,0)+1,OFFSET(C71,-1,0)))</f>
        <v/>
      </c>
      <c r="D71" s="347">
        <f>IF(G71="ETAPA",0,IF(G71="SUBETAPA",OFFSET(D71,-1,0)+1,OFFSET(D71,-1,0)))</f>
        <v/>
      </c>
      <c r="E71" s="347">
        <f>IF(G71="Subetapa",0,IF(G71="serviço",OFFSET(E71,-1,0)+1,OFFSET(E71,-1,0)))</f>
        <v/>
      </c>
      <c r="G71" s="75" t="inlineStr">
        <is>
          <t>Serviço</t>
        </is>
      </c>
      <c r="H71" s="352">
        <f>IF(G71="Unidade Construtiva",CONCATENATE("UC ",TEXT(A71,"00")),IF(G71="Célula Construtiva",TEXT(B71,"00"),IF(G71="Etapa",CONCATENATE(TEXT(B71,"00"),".",TEXT(C71,"000")),IF(G71="Subetapa",CONCATENATE(TEXT(B71,"00"),".",TEXT(C71,"000"),".",TEXT(D71,"000")),IF(G71="Serviço",CONCATENATE(TEXT(B71,"00"),".",TEXT(C71,"000"),".",TEXT(D71,"000"),".",TEXT(E71,"000")),"")))))</f>
        <v/>
      </c>
      <c r="I71" s="92" t="inlineStr">
        <is>
          <t>Locação de Conteiner</t>
        </is>
      </c>
      <c r="J71" s="77" t="inlineStr">
        <is>
          <t>mês</t>
        </is>
      </c>
      <c r="K71" s="353" t="n">
        <v>48</v>
      </c>
      <c r="L71" s="87" t="n">
        <v>6019.17</v>
      </c>
      <c r="M71" s="354">
        <f>K71*L71</f>
        <v/>
      </c>
      <c r="N71" s="79">
        <f>M71/$M$298</f>
        <v/>
      </c>
      <c r="O71" s="87">
        <f>M71/OBRA!$D$12</f>
        <v/>
      </c>
      <c r="P71" s="355" t="n"/>
    </row>
    <row r="72" outlineLevel="3" ht="19.9" customFormat="1" customHeight="1" s="1">
      <c r="A72" s="343">
        <f>IF(G72="UNIDADE CONSTRUTIVA",OFFSET(A72,-1,0)+1,LARGE(A$4:A70,1))</f>
        <v/>
      </c>
      <c r="B72" s="343">
        <f>IF(G72="UNIDADE CONSTRUTIVA",0,IF(G72="CÉLULA CONSTRUTIVA",OFFSET(B72,-1,0)+1,OFFSET(B72,-1,0)))</f>
        <v/>
      </c>
      <c r="C72" s="343">
        <f>IF(G72="CÉLULA CONSTRUTIVA",0,IF(G72="ETAPA",OFFSET(C72,-1,0)+1,OFFSET(C72,-1,0)))</f>
        <v/>
      </c>
      <c r="D72" s="347">
        <f>IF(G72="ETAPA",0,IF(G72="SUBETAPA",OFFSET(D72,-1,0)+1,OFFSET(D72,-1,0)))</f>
        <v/>
      </c>
      <c r="E72" s="347">
        <f>IF(G72="Subetapa",0,IF(G72="serviço",OFFSET(E72,-1,0)+1,OFFSET(E72,-1,0)))</f>
        <v/>
      </c>
      <c r="G72" s="75" t="inlineStr">
        <is>
          <t>Serviço</t>
        </is>
      </c>
      <c r="H72" s="352">
        <f>IF(G72="Unidade Construtiva",CONCATENATE("UC ",TEXT(A72,"00")),IF(G72="Célula Construtiva",TEXT(B72,"00"),IF(G72="Etapa",CONCATENATE(TEXT(B72,"00"),".",TEXT(C72,"000")),IF(G72="Subetapa",CONCATENATE(TEXT(B72,"00"),".",TEXT(C72,"000"),".",TEXT(D72,"000")),IF(G72="Serviço",CONCATENATE(TEXT(B72,"00"),".",TEXT(C72,"000"),".",TEXT(D72,"000"),".",TEXT(E72,"000")),"")))))</f>
        <v/>
      </c>
      <c r="I72" s="92" t="inlineStr">
        <is>
          <t>Instalações Provisórias: Redes de Água Fria, Esgoto e Drenagem</t>
        </is>
      </c>
      <c r="J72" s="77" t="inlineStr">
        <is>
          <t>vb</t>
        </is>
      </c>
      <c r="K72" s="353" t="n">
        <v>1</v>
      </c>
      <c r="L72" s="87" t="n">
        <v>15778.00604636488</v>
      </c>
      <c r="M72" s="354">
        <f>K72*L72</f>
        <v/>
      </c>
      <c r="N72" s="79">
        <f>M72/$M$298</f>
        <v/>
      </c>
      <c r="O72" s="87">
        <f>M72/OBRA!$D$12</f>
        <v/>
      </c>
      <c r="P72" s="355" t="n"/>
    </row>
    <row r="73" outlineLevel="3" ht="19.9" customFormat="1" customHeight="1" s="1">
      <c r="A73" s="343">
        <f>IF(G73="UNIDADE CONSTRUTIVA",OFFSET(A73,-1,0)+1,LARGE(A$4:A71,1))</f>
        <v/>
      </c>
      <c r="B73" s="343">
        <f>IF(G73="UNIDADE CONSTRUTIVA",0,IF(G73="CÉLULA CONSTRUTIVA",OFFSET(B73,-1,0)+1,OFFSET(B73,-1,0)))</f>
        <v/>
      </c>
      <c r="C73" s="343">
        <f>IF(G73="CÉLULA CONSTRUTIVA",0,IF(G73="ETAPA",OFFSET(C73,-1,0)+1,OFFSET(C73,-1,0)))</f>
        <v/>
      </c>
      <c r="D73" s="347">
        <f>IF(G73="ETAPA",0,IF(G73="SUBETAPA",OFFSET(D73,-1,0)+1,OFFSET(D73,-1,0)))</f>
        <v/>
      </c>
      <c r="E73" s="347">
        <f>IF(G73="Subetapa",0,IF(G73="serviço",OFFSET(E73,-1,0)+1,OFFSET(E73,-1,0)))</f>
        <v/>
      </c>
      <c r="G73" s="75" t="inlineStr">
        <is>
          <t>Serviço</t>
        </is>
      </c>
      <c r="H73" s="352">
        <f>IF(G73="Unidade Construtiva",CONCATENATE("UC ",TEXT(A73,"00")),IF(G73="Célula Construtiva",TEXT(B73,"00"),IF(G73="Etapa",CONCATENATE(TEXT(B73,"00"),".",TEXT(C73,"000")),IF(G73="Subetapa",CONCATENATE(TEXT(B73,"00"),".",TEXT(C73,"000"),".",TEXT(D73,"000")),IF(G73="Serviço",CONCATENATE(TEXT(B73,"00"),".",TEXT(C73,"000"),".",TEXT(D73,"000"),".",TEXT(E73,"000")),"")))))</f>
        <v/>
      </c>
      <c r="I73" s="92" t="inlineStr">
        <is>
          <t>Instalações Provisórias: Redes Elétrica, Comunicação e Dados</t>
        </is>
      </c>
      <c r="J73" s="77" t="inlineStr">
        <is>
          <t>vb</t>
        </is>
      </c>
      <c r="K73" s="353" t="n">
        <v>1</v>
      </c>
      <c r="L73" s="87" t="n">
        <v>13809.65558004818</v>
      </c>
      <c r="M73" s="354">
        <f>K73*L73</f>
        <v/>
      </c>
      <c r="N73" s="79">
        <f>M73/$M$298</f>
        <v/>
      </c>
      <c r="O73" s="87">
        <f>M73/OBRA!$D$12</f>
        <v/>
      </c>
      <c r="P73" s="355" t="n"/>
    </row>
    <row r="74" outlineLevel="3" ht="19.9" customFormat="1" customHeight="1" s="1">
      <c r="A74" s="343">
        <f>IF(G74="UNIDADE CONSTRUTIVA",OFFSET(A74,-1,0)+1,LARGE(A$4:A73,1))</f>
        <v/>
      </c>
      <c r="B74" s="343">
        <f>IF(G74="UNIDADE CONSTRUTIVA",0,IF(G74="CÉLULA CONSTRUTIVA",OFFSET(B74,-1,0)+1,OFFSET(B74,-1,0)))</f>
        <v/>
      </c>
      <c r="C74" s="343">
        <f>IF(G74="CÉLULA CONSTRUTIVA",0,IF(G74="ETAPA",OFFSET(C74,-1,0)+1,OFFSET(C74,-1,0)))</f>
        <v/>
      </c>
      <c r="D74" s="347">
        <f>IF(G74="ETAPA",0,IF(G74="SUBETAPA",OFFSET(D74,-1,0)+1,OFFSET(D74,-1,0)))</f>
        <v/>
      </c>
      <c r="E74" s="347">
        <f>IF(G74="Subetapa",0,IF(G74="serviço",OFFSET(E74,-1,0)+1,OFFSET(E74,-1,0)))</f>
        <v/>
      </c>
      <c r="G74" s="75" t="inlineStr">
        <is>
          <t>Serviço</t>
        </is>
      </c>
      <c r="H74" s="352">
        <f>IF(G74="Unidade Construtiva",CONCATENATE("UC ",TEXT(A74,"00")),IF(G74="Célula Construtiva",TEXT(B74,"00"),IF(G74="Etapa",CONCATENATE(TEXT(B74,"00"),".",TEXT(C74,"000")),IF(G74="Subetapa",CONCATENATE(TEXT(B74,"00"),".",TEXT(C74,"000"),".",TEXT(D74,"000")),IF(G74="Serviço",CONCATENATE(TEXT(B74,"00"),".",TEXT(C74,"000"),".",TEXT(D74,"000"),".",TEXT(E74,"000")),"")))))</f>
        <v/>
      </c>
      <c r="I74" s="92" t="inlineStr">
        <is>
          <t>Mobiliário de apoio a obra</t>
        </is>
      </c>
      <c r="J74" s="77" t="inlineStr">
        <is>
          <t>vb</t>
        </is>
      </c>
      <c r="K74" s="353" t="n">
        <v>1</v>
      </c>
      <c r="L74" s="87" t="n">
        <v>15200</v>
      </c>
      <c r="M74" s="354">
        <f>K74*L74</f>
        <v/>
      </c>
      <c r="N74" s="79">
        <f>M74/$M$298</f>
        <v/>
      </c>
      <c r="O74" s="87">
        <f>M74/OBRA!$D$12</f>
        <v/>
      </c>
      <c r="P74" s="355" t="n"/>
    </row>
    <row r="75" outlineLevel="3" ht="19.9" customFormat="1" customHeight="1" s="1">
      <c r="A75" s="343">
        <f>IF(G75="UNIDADE CONSTRUTIVA",OFFSET(A75,-1,0)+1,LARGE(A$4:A71,1))</f>
        <v/>
      </c>
      <c r="B75" s="343">
        <f>IF(G75="UNIDADE CONSTRUTIVA",0,IF(G75="CÉLULA CONSTRUTIVA",OFFSET(B75,-1,0)+1,OFFSET(B75,-1,0)))</f>
        <v/>
      </c>
      <c r="C75" s="343">
        <f>IF(G75="CÉLULA CONSTRUTIVA",0,IF(G75="ETAPA",OFFSET(C75,-1,0)+1,OFFSET(C75,-1,0)))</f>
        <v/>
      </c>
      <c r="D75" s="347">
        <f>IF(G75="ETAPA",0,IF(G75="SUBETAPA",OFFSET(D75,-1,0)+1,OFFSET(D75,-1,0)))</f>
        <v/>
      </c>
      <c r="E75" s="347">
        <f>IF(G75="Subetapa",0,IF(G75="serviço",OFFSET(E75,-1,0)+1,OFFSET(E75,-1,0)))</f>
        <v/>
      </c>
      <c r="G75" s="75" t="inlineStr">
        <is>
          <t>Serviço</t>
        </is>
      </c>
      <c r="H75" s="352">
        <f>IF(G75="Unidade Construtiva",CONCATENATE("UC ",TEXT(A75,"00")),IF(G75="Célula Construtiva",TEXT(B75,"00"),IF(G75="Etapa",CONCATENATE(TEXT(B75,"00"),".",TEXT(C75,"000")),IF(G75="Subetapa",CONCATENATE(TEXT(B75,"00"),".",TEXT(C75,"000"),".",TEXT(D75,"000")),IF(G75="Serviço",CONCATENATE(TEXT(B75,"00"),".",TEXT(C75,"000"),".",TEXT(D75,"000"),".",TEXT(E75,"000")),"")))))</f>
        <v/>
      </c>
      <c r="I75" s="92" t="inlineStr">
        <is>
          <t>Equipamentos escritório - aquisição</t>
        </is>
      </c>
      <c r="J75" s="77" t="inlineStr">
        <is>
          <t>vb</t>
        </is>
      </c>
      <c r="K75" s="353" t="n">
        <v>1</v>
      </c>
      <c r="L75" s="87" t="n">
        <v>9000</v>
      </c>
      <c r="M75" s="354">
        <f>K75*L75</f>
        <v/>
      </c>
      <c r="N75" s="79">
        <f>M75/$M$298</f>
        <v/>
      </c>
      <c r="O75" s="87">
        <f>M75/OBRA!$D$12</f>
        <v/>
      </c>
      <c r="P75" s="355" t="n"/>
    </row>
    <row r="76" outlineLevel="3" ht="19.9" customFormat="1" customHeight="1" s="1">
      <c r="A76" s="343">
        <f>IF(G76="UNIDADE CONSTRUTIVA",OFFSET(A76,-1,0)+1,LARGE(A$4:A75,1))</f>
        <v/>
      </c>
      <c r="B76" s="343">
        <f>IF(G76="UNIDADE CONSTRUTIVA",0,IF(G76="CÉLULA CONSTRUTIVA",OFFSET(B76,-1,0)+1,OFFSET(B76,-1,0)))</f>
        <v/>
      </c>
      <c r="C76" s="343">
        <f>IF(G76="CÉLULA CONSTRUTIVA",0,IF(G76="ETAPA",OFFSET(C76,-1,0)+1,OFFSET(C76,-1,0)))</f>
        <v/>
      </c>
      <c r="D76" s="347">
        <f>IF(G76="ETAPA",0,IF(G76="SUBETAPA",OFFSET(D76,-1,0)+1,OFFSET(D76,-1,0)))</f>
        <v/>
      </c>
      <c r="E76" s="347">
        <f>IF(G76="Subetapa",0,IF(G76="serviço",OFFSET(E76,-1,0)+1,OFFSET(E76,-1,0)))</f>
        <v/>
      </c>
      <c r="G76" s="75" t="inlineStr">
        <is>
          <t>Serviço</t>
        </is>
      </c>
      <c r="H76" s="352">
        <f>IF(G76="Unidade Construtiva",CONCATENATE("UC ",TEXT(A76,"00")),IF(G76="Célula Construtiva",TEXT(B76,"00"),IF(G76="Etapa",CONCATENATE(TEXT(B76,"00"),".",TEXT(C76,"000")),IF(G76="Subetapa",CONCATENATE(TEXT(B76,"00"),".",TEXT(C76,"000"),".",TEXT(D76,"000")),IF(G76="Serviço",CONCATENATE(TEXT(B76,"00"),".",TEXT(C76,"000"),".",TEXT(D76,"000"),".",TEXT(E76,"000")),"")))))</f>
        <v/>
      </c>
      <c r="I76" s="92" t="inlineStr">
        <is>
          <t>Tapume com telha metálica</t>
        </is>
      </c>
      <c r="J76" s="77" t="inlineStr">
        <is>
          <t>m2</t>
        </is>
      </c>
      <c r="K76" s="353">
        <f>'EPC''s'!D49</f>
        <v/>
      </c>
      <c r="L76" s="87" t="n">
        <v>119.41</v>
      </c>
      <c r="M76" s="354">
        <f>K76*L76</f>
        <v/>
      </c>
      <c r="N76" s="79">
        <f>M76/$M$298</f>
        <v/>
      </c>
      <c r="O76" s="87">
        <f>M76/OBRA!$D$12</f>
        <v/>
      </c>
      <c r="P76" s="355" t="n"/>
    </row>
    <row r="77" outlineLevel="2" ht="19.9" customFormat="1" customHeight="1" s="1">
      <c r="A77" s="343">
        <f>IF(G77="UNIDADE CONSTRUTIVA",OFFSET(A77,-1,0)+1,LARGE(A$4:A76,1))</f>
        <v/>
      </c>
      <c r="B77" s="343">
        <f>IF(G77="UNIDADE CONSTRUTIVA",0,IF(G77="CÉLULA CONSTRUTIVA",OFFSET(B77,-1,0)+1,OFFSET(B77,-1,0)))</f>
        <v/>
      </c>
      <c r="C77" s="343">
        <f>IF(G77="CÉLULA CONSTRUTIVA",0,IF(G77="ETAPA",OFFSET(C77,-1,0)+1,OFFSET(C77,-1,0)))</f>
        <v/>
      </c>
      <c r="D77" s="347">
        <f>IF(G77="ETAPA",0,IF(G77="SUBETAPA",OFFSET(D77,-1,0)+1,OFFSET(D77,-1,0)))</f>
        <v/>
      </c>
      <c r="E77" s="347">
        <f>IF(G77="Subetapa",0,IF(G77="serviço",OFFSET(E77,-1,0)+1,OFFSET(E77,-1,0)))</f>
        <v/>
      </c>
      <c r="G77" s="75" t="inlineStr">
        <is>
          <t>Subetapa</t>
        </is>
      </c>
      <c r="H77" s="352">
        <f>IF(G77="Unidade Construtiva",CONCATENATE("UC ",TEXT(A77,"00")),IF(G77="Célula Construtiva",TEXT(B77,"00"),IF(G77="Etapa",CONCATENATE(TEXT(B77,"00"),".",TEXT(C77,"000")),IF(G77="Subetapa",CONCATENATE(TEXT(B77,"00"),".",TEXT(C77,"000"),".",TEXT(D77,"000")),IF(G77="Serviço",CONCATENATE(TEXT(B77,"00"),".",TEXT(C77,"000"),".",TEXT(D77,"000"),".",TEXT(E77,"000")),"")))))</f>
        <v/>
      </c>
      <c r="I77" s="92" t="inlineStr">
        <is>
          <t>Despesas de Consumo e Manutenção</t>
        </is>
      </c>
      <c r="J77" s="77" t="inlineStr"/>
      <c r="K77" s="353" t="inlineStr"/>
      <c r="L77" s="87" t="inlineStr"/>
      <c r="M77" s="354" t="n">
        <v>269939.9238080492</v>
      </c>
      <c r="N77" s="79">
        <f>M77/$M$298</f>
        <v/>
      </c>
      <c r="O77" s="87">
        <f>M77/OBRA!$D$12</f>
        <v/>
      </c>
      <c r="P77" s="355" t="n"/>
    </row>
    <row r="78" outlineLevel="2" ht="19.9" customFormat="1" customHeight="1" s="1">
      <c r="A78" s="343">
        <f>IF(G78="UNIDADE CONSTRUTIVA",OFFSET(A78,-1,0)+1,LARGE(A$4:A77,1))</f>
        <v/>
      </c>
      <c r="B78" s="343">
        <f>IF(G78="UNIDADE CONSTRUTIVA",0,IF(G78="CÉLULA CONSTRUTIVA",OFFSET(B78,-1,0)+1,OFFSET(B78,-1,0)))</f>
        <v/>
      </c>
      <c r="C78" s="343">
        <f>IF(G78="CÉLULA CONSTRUTIVA",0,IF(G78="ETAPA",OFFSET(C78,-1,0)+1,OFFSET(C78,-1,0)))</f>
        <v/>
      </c>
      <c r="D78" s="347">
        <f>IF(G78="ETAPA",0,IF(G78="SUBETAPA",OFFSET(D78,-1,0)+1,OFFSET(D78,-1,0)))</f>
        <v/>
      </c>
      <c r="E78" s="347">
        <f>IF(G78="Subetapa",0,IF(G78="serviço",OFFSET(E78,-1,0)+1,OFFSET(E78,-1,0)))</f>
        <v/>
      </c>
      <c r="G78" s="75" t="inlineStr">
        <is>
          <t>ETAPA</t>
        </is>
      </c>
      <c r="H78" s="352">
        <f>IF(G78="Unidade Construtiva",CONCATENATE("UC ",TEXT(A78,"00")),IF(G78="Célula Construtiva",TEXT(B78,"00"),IF(G78="Etapa",CONCATENATE(TEXT(B78,"00"),".",TEXT(C78,"000")),IF(G78="Subetapa",CONCATENATE(TEXT(B78,"00"),".",TEXT(C78,"000"),".",TEXT(D78,"000")),IF(G78="Serviço",CONCATENATE(TEXT(B78,"00"),".",TEXT(C78,"000"),".",TEXT(D78,"000"),".",TEXT(E78,"000")),"")))))</f>
        <v/>
      </c>
      <c r="I78" s="92" t="inlineStr">
        <is>
          <t>EQUIPAMENTOS</t>
        </is>
      </c>
      <c r="J78" s="77" t="inlineStr"/>
      <c r="K78" s="353" t="inlineStr"/>
      <c r="L78" s="87" t="inlineStr"/>
      <c r="M78" s="354">
        <f>M79+M87</f>
        <v/>
      </c>
      <c r="N78" s="79">
        <f>M78/$M$298</f>
        <v/>
      </c>
      <c r="O78" s="87">
        <f>M78/OBRA!$D$12</f>
        <v/>
      </c>
      <c r="P78" s="355" t="n"/>
    </row>
    <row r="79" outlineLevel="2" ht="19.9" customFormat="1" customHeight="1" s="1">
      <c r="A79" s="343">
        <f>IF(G79="UNIDADE CONSTRUTIVA",OFFSET(A79,-1,0)+1,LARGE(A$4:A78,1))</f>
        <v/>
      </c>
      <c r="B79" s="343">
        <f>IF(G79="UNIDADE CONSTRUTIVA",0,IF(G79="CÉLULA CONSTRUTIVA",OFFSET(B79,-1,0)+1,OFFSET(B79,-1,0)))</f>
        <v/>
      </c>
      <c r="C79" s="343">
        <f>IF(G79="CÉLULA CONSTRUTIVA",0,IF(G79="ETAPA",OFFSET(C79,-1,0)+1,OFFSET(C79,-1,0)))</f>
        <v/>
      </c>
      <c r="D79" s="347">
        <f>IF(G79="ETAPA",0,IF(G79="SUBETAPA",OFFSET(D79,-1,0)+1,OFFSET(D79,-1,0)))</f>
        <v/>
      </c>
      <c r="E79" s="347">
        <f>IF(G79="Subetapa",0,IF(G79="serviço",OFFSET(E79,-1,0)+1,OFFSET(E79,-1,0)))</f>
        <v/>
      </c>
      <c r="G79" s="75" t="inlineStr">
        <is>
          <t>Subetapa</t>
        </is>
      </c>
      <c r="H79" s="352">
        <f>IF(G79="Unidade Construtiva",CONCATENATE("UC ",TEXT(A79,"00")),IF(G79="Célula Construtiva",TEXT(B79,"00"),IF(G79="Etapa",CONCATENATE(TEXT(B79,"00"),".",TEXT(C79,"000")),IF(G79="Subetapa",CONCATENATE(TEXT(B79,"00"),".",TEXT(C79,"000"),".",TEXT(D79,"000")),IF(G79="Serviço",CONCATENATE(TEXT(B79,"00"),".",TEXT(C79,"000"),".",TEXT(D79,"000"),".",TEXT(E79,"000")),"")))))</f>
        <v/>
      </c>
      <c r="I79" s="92" t="inlineStr">
        <is>
          <t>Equipamentos de carga e transporte</t>
        </is>
      </c>
      <c r="J79" s="77" t="inlineStr"/>
      <c r="K79" s="353" t="inlineStr"/>
      <c r="L79" s="87" t="inlineStr"/>
      <c r="M79" s="354">
        <f>SUM(M80:M86)</f>
        <v/>
      </c>
      <c r="N79" s="79">
        <f>M79/$M$298</f>
        <v/>
      </c>
      <c r="O79" s="87">
        <f>M79/OBRA!$D$12</f>
        <v/>
      </c>
      <c r="P79" s="355" t="n"/>
    </row>
    <row r="80" outlineLevel="3" ht="19.9" customFormat="1" customHeight="1" s="1">
      <c r="A80" s="343">
        <f>IF(G80="UNIDADE CONSTRUTIVA",OFFSET(A80,-1,0)+1,LARGE(A$4:A79,1))</f>
        <v/>
      </c>
      <c r="B80" s="343">
        <f>IF(G80="UNIDADE CONSTRUTIVA",0,IF(G80="CÉLULA CONSTRUTIVA",OFFSET(B80,-1,0)+1,OFFSET(B80,-1,0)))</f>
        <v/>
      </c>
      <c r="C80" s="343">
        <f>IF(G80="CÉLULA CONSTRUTIVA",0,IF(G80="ETAPA",OFFSET(C80,-1,0)+1,OFFSET(C80,-1,0)))</f>
        <v/>
      </c>
      <c r="D80" s="347">
        <f>IF(G80="ETAPA",0,IF(G80="SUBETAPA",OFFSET(D80,-1,0)+1,OFFSET(D80,-1,0)))</f>
        <v/>
      </c>
      <c r="E80" s="347">
        <f>IF(G80="Subetapa",0,IF(G80="serviço",OFFSET(E80,-1,0)+1,OFFSET(E80,-1,0)))</f>
        <v/>
      </c>
      <c r="G80" s="75" t="inlineStr">
        <is>
          <t>Serviço</t>
        </is>
      </c>
      <c r="H80" s="352">
        <f>IF(G80="Unidade Construtiva",CONCATENATE("UC ",TEXT(A80,"00")),IF(G80="Célula Construtiva",TEXT(B80,"00"),IF(G80="Etapa",CONCATENATE(TEXT(B80,"00"),".",TEXT(C80,"000")),IF(G80="Subetapa",CONCATENATE(TEXT(B80,"00"),".",TEXT(C80,"000"),".",TEXT(D80,"000")),IF(G80="Serviço",CONCATENATE(TEXT(B80,"00"),".",TEXT(C80,"000"),".",TEXT(D80,"000"),".",TEXT(E80,"000")),"")))))</f>
        <v/>
      </c>
      <c r="I80" s="92" t="inlineStr">
        <is>
          <t>Ferramentas - aquisição/manutenção</t>
        </is>
      </c>
      <c r="J80" s="77" t="inlineStr">
        <is>
          <t>vb</t>
        </is>
      </c>
      <c r="K80" s="353" t="n">
        <v>1</v>
      </c>
      <c r="L80" s="87" t="n">
        <v>73600</v>
      </c>
      <c r="M80" s="354">
        <f>K80*L80</f>
        <v/>
      </c>
      <c r="N80" s="79">
        <f>M80/$M$298</f>
        <v/>
      </c>
      <c r="O80" s="87">
        <f>M80/OBRA!$D$12</f>
        <v/>
      </c>
      <c r="P80" s="355" t="n"/>
    </row>
    <row r="81" outlineLevel="3" ht="19.9" customFormat="1" customHeight="1" s="1">
      <c r="A81" s="343">
        <f>IF(G81="UNIDADE CONSTRUTIVA",OFFSET(A81,-1,0)+1,LARGE(A$4:A80,1))</f>
        <v/>
      </c>
      <c r="B81" s="343">
        <f>IF(G81="UNIDADE CONSTRUTIVA",0,IF(G81="CÉLULA CONSTRUTIVA",OFFSET(B81,-1,0)+1,OFFSET(B81,-1,0)))</f>
        <v/>
      </c>
      <c r="C81" s="343">
        <f>IF(G81="CÉLULA CONSTRUTIVA",0,IF(G81="ETAPA",OFFSET(C81,-1,0)+1,OFFSET(C81,-1,0)))</f>
        <v/>
      </c>
      <c r="D81" s="347">
        <f>IF(G81="ETAPA",0,IF(G81="SUBETAPA",OFFSET(D81,-1,0)+1,OFFSET(D81,-1,0)))</f>
        <v/>
      </c>
      <c r="E81" s="347">
        <f>IF(G81="Subetapa",0,IF(G81="serviço",OFFSET(E81,-1,0)+1,OFFSET(E81,-1,0)))</f>
        <v/>
      </c>
      <c r="G81" s="75" t="inlineStr">
        <is>
          <t>Serviço</t>
        </is>
      </c>
      <c r="H81" s="352">
        <f>IF(G81="Unidade Construtiva",CONCATENATE("UC ",TEXT(A81,"00")),IF(G81="Célula Construtiva",TEXT(B81,"00"),IF(G81="Etapa",CONCATENATE(TEXT(B81,"00"),".",TEXT(C81,"000")),IF(G81="Subetapa",CONCATENATE(TEXT(B81,"00"),".",TEXT(C81,"000"),".",TEXT(D81,"000")),IF(G81="Serviço",CONCATENATE(TEXT(B81,"00"),".",TEXT(C81,"000"),".",TEXT(D81,"000"),".",TEXT(E81,"000")),"")))))</f>
        <v/>
      </c>
      <c r="I81" s="92" t="inlineStr">
        <is>
          <t>Locação de elevador cremalheira</t>
        </is>
      </c>
      <c r="J81" s="77" t="inlineStr">
        <is>
          <t>mês</t>
        </is>
      </c>
      <c r="K81" s="353" t="n">
        <v>30</v>
      </c>
      <c r="L81" s="87" t="n">
        <v>11006.48</v>
      </c>
      <c r="M81" s="354">
        <f>K81*L81</f>
        <v/>
      </c>
      <c r="N81" s="79">
        <f>M81/$M$298</f>
        <v/>
      </c>
      <c r="O81" s="87">
        <f>M81/OBRA!$D$12</f>
        <v/>
      </c>
      <c r="P81" s="355" t="n"/>
    </row>
    <row r="82" outlineLevel="3" ht="19.9" customFormat="1" customHeight="1" s="1">
      <c r="A82" s="343">
        <f>IF(G82="UNIDADE CONSTRUTIVA",OFFSET(A82,-1,0)+1,LARGE(A$4:A81,1))</f>
        <v/>
      </c>
      <c r="B82" s="343">
        <f>IF(G82="UNIDADE CONSTRUTIVA",0,IF(G82="CÉLULA CONSTRUTIVA",OFFSET(B82,-1,0)+1,OFFSET(B82,-1,0)))</f>
        <v/>
      </c>
      <c r="C82" s="343">
        <f>IF(G82="CÉLULA CONSTRUTIVA",0,IF(G82="ETAPA",OFFSET(C82,-1,0)+1,OFFSET(C82,-1,0)))</f>
        <v/>
      </c>
      <c r="D82" s="347">
        <f>IF(G82="ETAPA",0,IF(G82="SUBETAPA",OFFSET(D82,-1,0)+1,OFFSET(D82,-1,0)))</f>
        <v/>
      </c>
      <c r="E82" s="347">
        <f>IF(G82="Subetapa",0,IF(G82="serviço",OFFSET(E82,-1,0)+1,OFFSET(E82,-1,0)))</f>
        <v/>
      </c>
      <c r="G82" s="75" t="inlineStr">
        <is>
          <t>Serviço</t>
        </is>
      </c>
      <c r="H82" s="352">
        <f>IF(G82="Unidade Construtiva",CONCATENATE("UC ",TEXT(A82,"00")),IF(G82="Célula Construtiva",TEXT(B82,"00"),IF(G82="Etapa",CONCATENATE(TEXT(B82,"00"),".",TEXT(C82,"000")),IF(G82="Subetapa",CONCATENATE(TEXT(B82,"00"),".",TEXT(C82,"000"),".",TEXT(D82,"000")),IF(G82="Serviço",CONCATENATE(TEXT(B82,"00"),".",TEXT(C82,"000"),".",TEXT(D82,"000"),".",TEXT(E82,"000")),"")))))</f>
        <v/>
      </c>
      <c r="I82" s="92" t="inlineStr">
        <is>
          <t>Montagem e desmontagem de elevador cremalheira</t>
        </is>
      </c>
      <c r="J82" s="77" t="inlineStr">
        <is>
          <t>vb</t>
        </is>
      </c>
      <c r="K82" s="353" t="n">
        <v>1</v>
      </c>
      <c r="L82" s="87" t="n">
        <v>17600</v>
      </c>
      <c r="M82" s="354">
        <f>K82*L82</f>
        <v/>
      </c>
      <c r="N82" s="79">
        <f>M82/$M$298</f>
        <v/>
      </c>
      <c r="O82" s="87">
        <f>M82/OBRA!$D$12</f>
        <v/>
      </c>
      <c r="P82" s="355" t="n"/>
    </row>
    <row r="83" outlineLevel="3" ht="19.9" customFormat="1" customHeight="1" s="1">
      <c r="A83" s="343">
        <f>IF(G83="UNIDADE CONSTRUTIVA",OFFSET(A83,-1,0)+1,LARGE(A$4:A82,1))</f>
        <v/>
      </c>
      <c r="B83" s="343">
        <f>IF(G83="UNIDADE CONSTRUTIVA",0,IF(G83="CÉLULA CONSTRUTIVA",OFFSET(B83,-1,0)+1,OFFSET(B83,-1,0)))</f>
        <v/>
      </c>
      <c r="C83" s="343">
        <f>IF(G83="CÉLULA CONSTRUTIVA",0,IF(G83="ETAPA",OFFSET(C83,-1,0)+1,OFFSET(C83,-1,0)))</f>
        <v/>
      </c>
      <c r="D83" s="347">
        <f>IF(G83="ETAPA",0,IF(G83="SUBETAPA",OFFSET(D83,-1,0)+1,OFFSET(D83,-1,0)))</f>
        <v/>
      </c>
      <c r="E83" s="347">
        <f>IF(G83="Subetapa",0,IF(G83="serviço",OFFSET(E83,-1,0)+1,OFFSET(E83,-1,0)))</f>
        <v/>
      </c>
      <c r="G83" s="75" t="inlineStr">
        <is>
          <t>Serviço</t>
        </is>
      </c>
      <c r="H83" s="352">
        <f>IF(G83="Unidade Construtiva",CONCATENATE("UC ",TEXT(A83,"00")),IF(G83="Célula Construtiva",TEXT(B83,"00"),IF(G83="Etapa",CONCATENATE(TEXT(B83,"00"),".",TEXT(C83,"000")),IF(G83="Subetapa",CONCATENATE(TEXT(B83,"00"),".",TEXT(C83,"000"),".",TEXT(D83,"000")),IF(G83="Serviço",CONCATENATE(TEXT(B83,"00"),".",TEXT(C83,"000"),".",TEXT(D83,"000"),".",TEXT(E83,"000")),"")))))</f>
        <v/>
      </c>
      <c r="I83" s="92" t="inlineStr">
        <is>
          <t>Mobilização e desmobilização de elevador cremalheira</t>
        </is>
      </c>
      <c r="J83" s="77" t="inlineStr">
        <is>
          <t>vb</t>
        </is>
      </c>
      <c r="K83" s="353" t="n">
        <v>1</v>
      </c>
      <c r="L83" s="87" t="n">
        <v>13000</v>
      </c>
      <c r="M83" s="354">
        <f>K83*L83</f>
        <v/>
      </c>
      <c r="N83" s="79">
        <f>M83/$M$298</f>
        <v/>
      </c>
      <c r="O83" s="87">
        <f>M83/OBRA!$D$12</f>
        <v/>
      </c>
      <c r="P83" s="355" t="n"/>
    </row>
    <row r="84" outlineLevel="3" ht="19.9" customFormat="1" customHeight="1" s="1">
      <c r="A84" s="343">
        <f>IF(G84="UNIDADE CONSTRUTIVA",OFFSET(A84,-1,0)+1,LARGE(A$4:A83,1))</f>
        <v/>
      </c>
      <c r="B84" s="343">
        <f>IF(G84="UNIDADE CONSTRUTIVA",0,IF(G84="CÉLULA CONSTRUTIVA",OFFSET(B84,-1,0)+1,OFFSET(B84,-1,0)))</f>
        <v/>
      </c>
      <c r="C84" s="343">
        <f>IF(G84="CÉLULA CONSTRUTIVA",0,IF(G84="ETAPA",OFFSET(C84,-1,0)+1,OFFSET(C84,-1,0)))</f>
        <v/>
      </c>
      <c r="D84" s="347">
        <f>IF(G84="ETAPA",0,IF(G84="SUBETAPA",OFFSET(D84,-1,0)+1,OFFSET(D84,-1,0)))</f>
        <v/>
      </c>
      <c r="E84" s="347">
        <f>IF(G84="Subetapa",0,IF(G84="serviço",OFFSET(E84,-1,0)+1,OFFSET(E84,-1,0)))</f>
        <v/>
      </c>
      <c r="G84" s="75" t="inlineStr">
        <is>
          <t>Serviço</t>
        </is>
      </c>
      <c r="H84" s="352">
        <f>IF(G84="Unidade Construtiva",CONCATENATE("UC ",TEXT(A84,"00")),IF(G84="Célula Construtiva",TEXT(B84,"00"),IF(G84="Etapa",CONCATENATE(TEXT(B84,"00"),".",TEXT(C84,"000")),IF(G84="Subetapa",CONCATENATE(TEXT(B84,"00"),".",TEXT(C84,"000"),".",TEXT(D84,"000")),IF(G84="Serviço",CONCATENATE(TEXT(B84,"00"),".",TEXT(C84,"000"),".",TEXT(D84,"000"),".",TEXT(E84,"000")),"")))))</f>
        <v/>
      </c>
      <c r="I84" s="92" t="inlineStr">
        <is>
          <t>Locação de Mini-grua</t>
        </is>
      </c>
      <c r="J84" s="77" t="inlineStr">
        <is>
          <t>mês</t>
        </is>
      </c>
      <c r="K84" s="353" t="n">
        <v>15</v>
      </c>
      <c r="L84" s="87" t="n">
        <v>3950</v>
      </c>
      <c r="M84" s="354">
        <f>K84*L84</f>
        <v/>
      </c>
      <c r="N84" s="79">
        <f>M84/$M$298</f>
        <v/>
      </c>
      <c r="O84" s="87">
        <f>M84/OBRA!$D$12</f>
        <v/>
      </c>
      <c r="P84" s="355" t="n"/>
    </row>
    <row r="85" outlineLevel="3" ht="19.9" customFormat="1" customHeight="1" s="1">
      <c r="A85" s="343">
        <f>IF(G85="UNIDADE CONSTRUTIVA",OFFSET(A85,-1,0)+1,LARGE(A$4:A84,1))</f>
        <v/>
      </c>
      <c r="B85" s="343">
        <f>IF(G85="UNIDADE CONSTRUTIVA",0,IF(G85="CÉLULA CONSTRUTIVA",OFFSET(B85,-1,0)+1,OFFSET(B85,-1,0)))</f>
        <v/>
      </c>
      <c r="C85" s="343">
        <f>IF(G85="CÉLULA CONSTRUTIVA",0,IF(G85="ETAPA",OFFSET(C85,-1,0)+1,OFFSET(C85,-1,0)))</f>
        <v/>
      </c>
      <c r="D85" s="347">
        <f>IF(G85="ETAPA",0,IF(G85="SUBETAPA",OFFSET(D85,-1,0)+1,OFFSET(D85,-1,0)))</f>
        <v/>
      </c>
      <c r="E85" s="347">
        <f>IF(G85="Subetapa",0,IF(G85="serviço",OFFSET(E85,-1,0)+1,OFFSET(E85,-1,0)))</f>
        <v/>
      </c>
      <c r="G85" s="75" t="inlineStr">
        <is>
          <t>Serviço</t>
        </is>
      </c>
      <c r="H85" s="352">
        <f>IF(G85="Unidade Construtiva",CONCATENATE("UC ",TEXT(A85,"00")),IF(G85="Célula Construtiva",TEXT(B85,"00"),IF(G85="Etapa",CONCATENATE(TEXT(B85,"00"),".",TEXT(C85,"000")),IF(G85="Subetapa",CONCATENATE(TEXT(B85,"00"),".",TEXT(C85,"000"),".",TEXT(D85,"000")),IF(G85="Serviço",CONCATENATE(TEXT(B85,"00"),".",TEXT(C85,"000"),".",TEXT(D85,"000"),".",TEXT(E85,"000")),"")))))</f>
        <v/>
      </c>
      <c r="I85" s="92" t="inlineStr">
        <is>
          <t>Montagem e Desmontagem de Mini-grua</t>
        </is>
      </c>
      <c r="J85" s="77" t="inlineStr">
        <is>
          <t>vb</t>
        </is>
      </c>
      <c r="K85" s="353" t="n">
        <v>1</v>
      </c>
      <c r="L85" s="87" t="n">
        <v>7000</v>
      </c>
      <c r="M85" s="354">
        <f>K85*L85</f>
        <v/>
      </c>
      <c r="N85" s="79">
        <f>M85/$M$298</f>
        <v/>
      </c>
      <c r="O85" s="87">
        <f>M85/OBRA!$D$12</f>
        <v/>
      </c>
      <c r="P85" s="355" t="n"/>
    </row>
    <row r="86" outlineLevel="3" ht="19.9" customFormat="1" customHeight="1" s="1">
      <c r="A86" s="343">
        <f>IF(G86="UNIDADE CONSTRUTIVA",OFFSET(A86,-1,0)+1,LARGE(A$4:A85,1))</f>
        <v/>
      </c>
      <c r="B86" s="343">
        <f>IF(G86="UNIDADE CONSTRUTIVA",0,IF(G86="CÉLULA CONSTRUTIVA",OFFSET(B86,-1,0)+1,OFFSET(B86,-1,0)))</f>
        <v/>
      </c>
      <c r="C86" s="343">
        <f>IF(G86="CÉLULA CONSTRUTIVA",0,IF(G86="ETAPA",OFFSET(C86,-1,0)+1,OFFSET(C86,-1,0)))</f>
        <v/>
      </c>
      <c r="D86" s="347">
        <f>IF(G86="ETAPA",0,IF(G86="SUBETAPA",OFFSET(D86,-1,0)+1,OFFSET(D86,-1,0)))</f>
        <v/>
      </c>
      <c r="E86" s="347">
        <f>IF(G86="Subetapa",0,IF(G86="serviço",OFFSET(E86,-1,0)+1,OFFSET(E86,-1,0)))</f>
        <v/>
      </c>
      <c r="G86" s="75" t="inlineStr">
        <is>
          <t>Serviço</t>
        </is>
      </c>
      <c r="H86" s="352">
        <f>IF(G86="Unidade Construtiva",CONCATENATE("UC ",TEXT(A86,"00")),IF(G86="Célula Construtiva",TEXT(B86,"00"),IF(G86="Etapa",CONCATENATE(TEXT(B86,"00"),".",TEXT(C86,"000")),IF(G86="Subetapa",CONCATENATE(TEXT(B86,"00"),".",TEXT(C86,"000"),".",TEXT(D86,"000")),IF(G86="Serviço",CONCATENATE(TEXT(B86,"00"),".",TEXT(C86,"000"),".",TEXT(D86,"000"),".",TEXT(E86,"000")),"")))))</f>
        <v/>
      </c>
      <c r="I86" s="92" t="inlineStr">
        <is>
          <t>Mobilização e desmobilização de Mini-grua</t>
        </is>
      </c>
      <c r="J86" s="77" t="inlineStr">
        <is>
          <t>vb</t>
        </is>
      </c>
      <c r="K86" s="353" t="n">
        <v>1</v>
      </c>
      <c r="L86" s="87" t="n">
        <v>9756</v>
      </c>
      <c r="M86" s="354">
        <f>K86*L86</f>
        <v/>
      </c>
      <c r="N86" s="79">
        <f>M86/$M$298</f>
        <v/>
      </c>
      <c r="O86" s="87">
        <f>M86/OBRA!$D$12</f>
        <v/>
      </c>
      <c r="P86" s="355" t="n"/>
    </row>
    <row r="87" outlineLevel="2" ht="19.9" customFormat="1" customHeight="1" s="1">
      <c r="A87" s="343">
        <f>IF(G87="UNIDADE CONSTRUTIVA",OFFSET(A87,-1,0)+1,LARGE(A$4:A85,1))</f>
        <v/>
      </c>
      <c r="B87" s="343">
        <f>IF(G87="UNIDADE CONSTRUTIVA",0,IF(G87="CÉLULA CONSTRUTIVA",OFFSET(B87,-1,0)+1,OFFSET(B87,-1,0)))</f>
        <v/>
      </c>
      <c r="C87" s="343">
        <f>IF(G87="CÉLULA CONSTRUTIVA",0,IF(G87="ETAPA",OFFSET(C87,-1,0)+1,OFFSET(C87,-1,0)))</f>
        <v/>
      </c>
      <c r="D87" s="347">
        <f>IF(G87="ETAPA",0,IF(G87="SUBETAPA",OFFSET(D87,-1,0)+1,OFFSET(D87,-1,0)))</f>
        <v/>
      </c>
      <c r="E87" s="347">
        <f>IF(G87="Subetapa",0,IF(G87="serviço",OFFSET(E87,-1,0)+1,OFFSET(E87,-1,0)))</f>
        <v/>
      </c>
      <c r="G87" s="75" t="inlineStr">
        <is>
          <t>Subetapa</t>
        </is>
      </c>
      <c r="H87" s="352">
        <f>IF(G87="Unidade Construtiva",CONCATENATE("UC ",TEXT(A87,"00")),IF(G87="Célula Construtiva",TEXT(B87,"00"),IF(G87="Etapa",CONCATENATE(TEXT(B87,"00"),".",TEXT(C87,"000")),IF(G87="Subetapa",CONCATENATE(TEXT(B87,"00"),".",TEXT(C87,"000"),".",TEXT(D87,"000")),IF(G87="Serviço",CONCATENATE(TEXT(B87,"00"),".",TEXT(C87,"000"),".",TEXT(D87,"000"),".",TEXT(E87,"000")),"")))))</f>
        <v/>
      </c>
      <c r="I87" s="92" t="inlineStr">
        <is>
          <t>Balancins e Andaimes</t>
        </is>
      </c>
      <c r="J87" s="77" t="inlineStr"/>
      <c r="K87" s="353" t="n"/>
      <c r="L87" s="87" t="n"/>
      <c r="M87" s="354">
        <f>SUM(M88:M90)</f>
        <v/>
      </c>
      <c r="N87" s="79">
        <f>M87/$M$298</f>
        <v/>
      </c>
      <c r="O87" s="87">
        <f>M87/OBRA!$D$12</f>
        <v/>
      </c>
      <c r="P87" s="355" t="n"/>
    </row>
    <row r="88" outlineLevel="3" ht="19.9" customFormat="1" customHeight="1" s="1">
      <c r="A88" s="343">
        <f>IF(G88="UNIDADE CONSTRUTIVA",OFFSET(A88,-1,0)+1,LARGE(A$4:A87,1))</f>
        <v/>
      </c>
      <c r="B88" s="343">
        <f>IF(G88="UNIDADE CONSTRUTIVA",0,IF(G88="CÉLULA CONSTRUTIVA",OFFSET(B88,-1,0)+1,OFFSET(B88,-1,0)))</f>
        <v/>
      </c>
      <c r="C88" s="343">
        <f>IF(G88="CÉLULA CONSTRUTIVA",0,IF(G88="ETAPA",OFFSET(C88,-1,0)+1,OFFSET(C88,-1,0)))</f>
        <v/>
      </c>
      <c r="D88" s="347">
        <f>IF(G88="ETAPA",0,IF(G88="SUBETAPA",OFFSET(D88,-1,0)+1,OFFSET(D88,-1,0)))</f>
        <v/>
      </c>
      <c r="E88" s="347">
        <f>IF(G88="Subetapa",0,IF(G88="serviço",OFFSET(E88,-1,0)+1,OFFSET(E88,-1,0)))</f>
        <v/>
      </c>
      <c r="G88" s="75" t="inlineStr">
        <is>
          <t>Serviço</t>
        </is>
      </c>
      <c r="H88" s="352">
        <f>IF(G88="Unidade Construtiva",CONCATENATE("UC ",TEXT(A88,"00")),IF(G88="Célula Construtiva",TEXT(B88,"00"),IF(G88="Etapa",CONCATENATE(TEXT(B88,"00"),".",TEXT(C88,"000")),IF(G88="Subetapa",CONCATENATE(TEXT(B88,"00"),".",TEXT(C88,"000"),".",TEXT(D88,"000")),IF(G88="Serviço",CONCATENATE(TEXT(B88,"00"),".",TEXT(C88,"000"),".",TEXT(D88,"000"),".",TEXT(E88,"000")),"")))))</f>
        <v/>
      </c>
      <c r="I88" s="92" t="inlineStr">
        <is>
          <t>Locação de balancim motorizado</t>
        </is>
      </c>
      <c r="J88" s="77" t="inlineStr">
        <is>
          <t>mês</t>
        </is>
      </c>
      <c r="K88" s="353" t="n">
        <v>9</v>
      </c>
      <c r="L88" s="87" t="n">
        <v>3600</v>
      </c>
      <c r="M88" s="354">
        <f>K88*L88</f>
        <v/>
      </c>
      <c r="N88" s="79">
        <f>M88/$M$298</f>
        <v/>
      </c>
      <c r="O88" s="87">
        <f>M88/OBRA!$D$12</f>
        <v/>
      </c>
      <c r="P88" s="355" t="n"/>
    </row>
    <row r="89" outlineLevel="3" ht="19.9" customFormat="1" customHeight="1" s="1">
      <c r="A89" s="343">
        <f>IF(G89="UNIDADE CONSTRUTIVA",OFFSET(A89,-1,0)+1,LARGE(A$4:A88,1))</f>
        <v/>
      </c>
      <c r="B89" s="343">
        <f>IF(G89="UNIDADE CONSTRUTIVA",0,IF(G89="CÉLULA CONSTRUTIVA",OFFSET(B89,-1,0)+1,OFFSET(B89,-1,0)))</f>
        <v/>
      </c>
      <c r="C89" s="343">
        <f>IF(G89="CÉLULA CONSTRUTIVA",0,IF(G89="ETAPA",OFFSET(C89,-1,0)+1,OFFSET(C89,-1,0)))</f>
        <v/>
      </c>
      <c r="D89" s="347">
        <f>IF(G89="ETAPA",0,IF(G89="SUBETAPA",OFFSET(D89,-1,0)+1,OFFSET(D89,-1,0)))</f>
        <v/>
      </c>
      <c r="E89" s="347">
        <f>IF(G89="Subetapa",0,IF(G89="serviço",OFFSET(E89,-1,0)+1,OFFSET(E89,-1,0)))</f>
        <v/>
      </c>
      <c r="G89" s="75" t="inlineStr">
        <is>
          <t>Serviço</t>
        </is>
      </c>
      <c r="H89" s="352">
        <f>IF(G89="Unidade Construtiva",CONCATENATE("UC ",TEXT(A89,"00")),IF(G89="Célula Construtiva",TEXT(B89,"00"),IF(G89="Etapa",CONCATENATE(TEXT(B89,"00"),".",TEXT(C89,"000")),IF(G89="Subetapa",CONCATENATE(TEXT(B89,"00"),".",TEXT(C89,"000"),".",TEXT(D89,"000")),IF(G89="Serviço",CONCATENATE(TEXT(B89,"00"),".",TEXT(C89,"000"),".",TEXT(D89,"000"),".",TEXT(E89,"000")),"")))))</f>
        <v/>
      </c>
      <c r="I89" s="92" t="inlineStr">
        <is>
          <t>Montagem e desmontagem de balancim</t>
        </is>
      </c>
      <c r="J89" s="77" t="inlineStr">
        <is>
          <t>uni</t>
        </is>
      </c>
      <c r="K89" s="353" t="n">
        <v>148</v>
      </c>
      <c r="L89" s="87" t="n">
        <v>450</v>
      </c>
      <c r="M89" s="354">
        <f>K89*L89</f>
        <v/>
      </c>
      <c r="N89" s="79">
        <f>M89/$M$298</f>
        <v/>
      </c>
      <c r="O89" s="87">
        <f>M89/OBRA!$D$12</f>
        <v/>
      </c>
      <c r="P89" s="355" t="n"/>
    </row>
    <row r="90" outlineLevel="3" ht="19.9" customFormat="1" customHeight="1" s="1">
      <c r="A90" s="343">
        <f>IF(G90="UNIDADE CONSTRUTIVA",OFFSET(A90,-1,0)+1,LARGE(A$4:A89,1))</f>
        <v/>
      </c>
      <c r="B90" s="343">
        <f>IF(G90="UNIDADE CONSTRUTIVA",0,IF(G90="CÉLULA CONSTRUTIVA",OFFSET(B90,-1,0)+1,OFFSET(B90,-1,0)))</f>
        <v/>
      </c>
      <c r="C90" s="343">
        <f>IF(G90="CÉLULA CONSTRUTIVA",0,IF(G90="ETAPA",OFFSET(C90,-1,0)+1,OFFSET(C90,-1,0)))</f>
        <v/>
      </c>
      <c r="D90" s="347">
        <f>IF(G90="ETAPA",0,IF(G90="SUBETAPA",OFFSET(D90,-1,0)+1,OFFSET(D90,-1,0)))</f>
        <v/>
      </c>
      <c r="E90" s="347">
        <f>IF(G90="Subetapa",0,IF(G90="serviço",OFFSET(E90,-1,0)+1,OFFSET(E90,-1,0)))</f>
        <v/>
      </c>
      <c r="G90" s="75" t="inlineStr">
        <is>
          <t>Serviço</t>
        </is>
      </c>
      <c r="H90" s="352">
        <f>IF(G90="Unidade Construtiva",CONCATENATE("UC ",TEXT(A90,"00")),IF(G90="Célula Construtiva",TEXT(B90,"00"),IF(G90="Etapa",CONCATENATE(TEXT(B90,"00"),".",TEXT(C90,"000")),IF(G90="Subetapa",CONCATENATE(TEXT(B90,"00"),".",TEXT(C90,"000"),".",TEXT(D90,"000")),IF(G90="Serviço",CONCATENATE(TEXT(B90,"00"),".",TEXT(C90,"000"),".",TEXT(D90,"000"),".",TEXT(E90,"000")),"")))))</f>
        <v/>
      </c>
      <c r="I90" s="92" t="inlineStr">
        <is>
          <t xml:space="preserve">Locação de Andaime </t>
        </is>
      </c>
      <c r="J90" s="77" t="inlineStr">
        <is>
          <t>mês</t>
        </is>
      </c>
      <c r="K90" s="353" t="n">
        <v>6</v>
      </c>
      <c r="L90" s="87" t="n">
        <v>1500</v>
      </c>
      <c r="M90" s="354">
        <f>K90*L90</f>
        <v/>
      </c>
      <c r="N90" s="79">
        <f>M90/$M$298</f>
        <v/>
      </c>
      <c r="O90" s="87">
        <f>M90/OBRA!$D$12</f>
        <v/>
      </c>
      <c r="P90" s="355" t="n"/>
    </row>
    <row r="91" ht="19.9" customFormat="1" customHeight="1" s="1">
      <c r="A91" s="343">
        <f>IF(G91="UNIDADE CONSTRUTIVA",OFFSET(A91,-1,0)+1,LARGE(A$4:A90,1))</f>
        <v/>
      </c>
      <c r="B91" s="343">
        <f>IF(G91="UNIDADE CONSTRUTIVA",0,IF(G91="CÉLULA CONSTRUTIVA",OFFSET(B91,-1,0)+1,OFFSET(B91,-1,0)))</f>
        <v/>
      </c>
      <c r="C91" s="343">
        <f>IF(G91="CÉLULA CONSTRUTIVA",0,IF(G91="ETAPA",OFFSET(C91,-1,0)+1,OFFSET(C91,-1,0)))</f>
        <v/>
      </c>
      <c r="D91" s="347">
        <f>IF(G91="ETAPA",0,IF(G91="SUBETAPA",OFFSET(D91,-1,0)+1,OFFSET(D91,-1,0)))</f>
        <v/>
      </c>
      <c r="E91" s="347">
        <f>IF(G91="Subetapa",0,IF(G91="serviço",OFFSET(E91,-1,0)+1,OFFSET(E91,-1,0)))</f>
        <v/>
      </c>
      <c r="G91" s="75" t="inlineStr">
        <is>
          <t>UNIDADE CONSTRUTIVA</t>
        </is>
      </c>
      <c r="H91" s="352">
        <f>IF(G91="Unidade Construtiva",CONCATENATE("UC ",TEXT(A91,"00")),IF(G91="Célula Construtiva",TEXT(B91,"00"),IF(G91="Etapa",CONCATENATE(TEXT(B91,"00"),".",TEXT(C91,"000")),IF(G91="Subetapa",CONCATENATE(TEXT(B91,"00"),".",TEXT(C91,"000"),".",TEXT(D91,"000")),IF(G91="Serviço",CONCATENATE(TEXT(B91,"00"),".",TEXT(C91,"000"),".",TEXT(D91,"000"),".",TEXT(E91,"000")),"")))))</f>
        <v/>
      </c>
      <c r="I91" s="92" t="inlineStr">
        <is>
          <t>GERENCIAMENTO  EXECUTIVO</t>
        </is>
      </c>
      <c r="J91" s="77" t="n"/>
      <c r="K91" s="353" t="n"/>
      <c r="L91" s="87" t="n"/>
      <c r="M91" s="354">
        <f>M92+M102+M120+M129+M144+M154+M167+M192+M215+M226+M235+M250+M259+M276+M285+M294</f>
        <v/>
      </c>
      <c r="N91" s="74">
        <f>M91/$M$298</f>
        <v/>
      </c>
      <c r="O91" s="97">
        <f>M91/OBRA!$D$12</f>
        <v/>
      </c>
      <c r="P91" s="355" t="n"/>
    </row>
    <row r="92" outlineLevel="1" ht="19.9" customFormat="1" customHeight="1" s="1">
      <c r="A92" s="343">
        <f>IF(G92="UNIDADE CONSTRUTIVA",OFFSET(A92,-1,0)+1,LARGE(A$4:A91,1))</f>
        <v/>
      </c>
      <c r="B92" s="343">
        <f>IF(G92="UNIDADE CONSTRUTIVA",0,IF(G92="CÉLULA CONSTRUTIVA",OFFSET(B92,-1,0)+1,OFFSET(B92,-1,0)))</f>
        <v/>
      </c>
      <c r="C92" s="343">
        <f>IF(G92="CÉLULA CONSTRUTIVA",0,IF(G92="ETAPA",OFFSET(C92,-1,0)+1,OFFSET(C92,-1,0)))</f>
        <v/>
      </c>
      <c r="D92" s="347">
        <f>IF(G92="ETAPA",0,IF(G92="SUBETAPA",OFFSET(D92,-1,0)+1,OFFSET(D92,-1,0)))</f>
        <v/>
      </c>
      <c r="E92" s="347">
        <f>IF(G92="Subetapa",0,IF(G92="serviço",OFFSET(E92,-1,0)+1,OFFSET(E92,-1,0)))</f>
        <v/>
      </c>
      <c r="G92" s="75" t="inlineStr">
        <is>
          <t>CÉLULA CONSTRUTIVA</t>
        </is>
      </c>
      <c r="H92" s="352">
        <f>IF(G92="Unidade Construtiva",CONCATENATE("UC ",TEXT(A92,"00")),IF(G92="Célula Construtiva",TEXT(B92,"00"),IF(G92="Etapa",CONCATENATE(TEXT(B92,"00"),".",TEXT(C92,"000")),IF(G92="Subetapa",CONCATENATE(TEXT(B92,"00"),".",TEXT(C92,"000"),".",TEXT(D92,"000")),IF(G92="Serviço",CONCATENATE(TEXT(B92,"00"),".",TEXT(C92,"000"),".",TEXT(D92,"000"),".",TEXT(E92,"000")),"")))))</f>
        <v/>
      </c>
      <c r="I92" s="92" t="inlineStr">
        <is>
          <t>MOVIMENTAÇÃO DE TERRA</t>
        </is>
      </c>
      <c r="J92" s="77" t="n"/>
      <c r="K92" s="353" t="n"/>
      <c r="L92" s="87" t="n"/>
      <c r="M92" s="354">
        <f>M93</f>
        <v/>
      </c>
      <c r="N92" s="79">
        <f>M92/$M$298</f>
        <v/>
      </c>
      <c r="O92" s="87">
        <f>M92/OBRA!$D$12</f>
        <v/>
      </c>
      <c r="P92" s="355">
        <f>[1]MOVIMENTAÇÃO_DE_TERRA!$F$34</f>
        <v/>
      </c>
      <c r="Q92" s="356">
        <f>M92-P92</f>
        <v/>
      </c>
      <c r="R92" s="356">
        <f>Q92/OBRA!D12</f>
        <v/>
      </c>
    </row>
    <row r="93" outlineLevel="2" ht="19.9" customFormat="1" customHeight="1" s="1">
      <c r="A93" s="343">
        <f>IF(G93="UNIDADE CONSTRUTIVA",OFFSET(A93,-1,0)+1,LARGE(A$4:A92,1))</f>
        <v/>
      </c>
      <c r="B93" s="343">
        <f>IF(G93="UNIDADE CONSTRUTIVA",0,IF(G93="CÉLULA CONSTRUTIVA",OFFSET(B93,-1,0)+1,OFFSET(B93,-1,0)))</f>
        <v/>
      </c>
      <c r="C93" s="343">
        <f>IF(G93="CÉLULA CONSTRUTIVA",0,IF(G93="ETAPA",OFFSET(C93,-1,0)+1,OFFSET(C93,-1,0)))</f>
        <v/>
      </c>
      <c r="D93" s="347">
        <f>IF(G93="ETAPA",0,IF(G93="SUBETAPA",OFFSET(D93,-1,0)+1,OFFSET(D93,-1,0)))</f>
        <v/>
      </c>
      <c r="E93" s="347">
        <f>IF(G93="Subetapa",0,IF(G93="serviço",OFFSET(E93,-1,0)+1,OFFSET(E93,-1,0)))</f>
        <v/>
      </c>
      <c r="G93" s="75" t="inlineStr">
        <is>
          <t>ETAPA</t>
        </is>
      </c>
      <c r="H93" s="352">
        <f>IF(G93="Unidade Construtiva",CONCATENATE("UC ",TEXT(A93,"00")),IF(G93="Célula Construtiva",TEXT(B93,"00"),IF(G93="Etapa",CONCATENATE(TEXT(B93,"00"),".",TEXT(C93,"000")),IF(G93="Subetapa",CONCATENATE(TEXT(B93,"00"),".",TEXT(C93,"000"),".",TEXT(D93,"000")),IF(G93="Serviço",CONCATENATE(TEXT(B93,"00"),".",TEXT(C93,"000"),".",TEXT(D93,"000"),".",TEXT(E93,"000")),"")))))</f>
        <v/>
      </c>
      <c r="I93" s="92" t="inlineStr">
        <is>
          <t>MOVIMENTAÇÃO DE TERRA</t>
        </is>
      </c>
      <c r="J93" s="77" t="n"/>
      <c r="K93" s="353" t="n"/>
      <c r="L93" s="87" t="n"/>
      <c r="M93" s="354">
        <f>M94</f>
        <v/>
      </c>
      <c r="N93" s="79">
        <f>M93/$M$298</f>
        <v/>
      </c>
      <c r="O93" s="87">
        <f>M93/OBRA!$D$12</f>
        <v/>
      </c>
      <c r="P93" s="355" t="n"/>
    </row>
    <row r="94" outlineLevel="3" ht="19.9" customFormat="1" customHeight="1" s="1">
      <c r="A94" s="343">
        <f>IF(G94="UNIDADE CONSTRUTIVA",OFFSET(A94,-1,0)+1,LARGE(A$4:A93,1))</f>
        <v/>
      </c>
      <c r="B94" s="343">
        <f>IF(G94="UNIDADE CONSTRUTIVA",0,IF(G94="CÉLULA CONSTRUTIVA",OFFSET(B94,-1,0)+1,OFFSET(B94,-1,0)))</f>
        <v/>
      </c>
      <c r="C94" s="343">
        <f>IF(G94="CÉLULA CONSTRUTIVA",0,IF(G94="ETAPA",OFFSET(C94,-1,0)+1,OFFSET(C94,-1,0)))</f>
        <v/>
      </c>
      <c r="D94" s="347">
        <f>IF(G94="ETAPA",0,IF(G94="SUBETAPA",OFFSET(D94,-1,0)+1,OFFSET(D94,-1,0)))</f>
        <v/>
      </c>
      <c r="E94" s="347">
        <f>IF(G94="Subetapa",0,IF(G94="serviço",OFFSET(E94,-1,0)+1,OFFSET(E94,-1,0)))</f>
        <v/>
      </c>
      <c r="G94" s="75" t="inlineStr">
        <is>
          <t>Subetapa</t>
        </is>
      </c>
      <c r="H94" s="352">
        <f>IF(G94="Unidade Construtiva",CONCATENATE("UC ",TEXT(A94,"00")),IF(G94="Célula Construtiva",TEXT(B94,"00"),IF(G94="Etapa",CONCATENATE(TEXT(B94,"00"),".",TEXT(C94,"000")),IF(G94="Subetapa",CONCATENATE(TEXT(B94,"00"),".",TEXT(C94,"000"),".",TEXT(D94,"000")),IF(G94="Serviço",CONCATENATE(TEXT(B94,"00"),".",TEXT(C94,"000"),".",TEXT(D94,"000"),".",TEXT(E94,"000")),"")))))</f>
        <v/>
      </c>
      <c r="I94" s="92" t="inlineStr">
        <is>
          <t>Movimentação de Terra</t>
        </is>
      </c>
      <c r="J94" s="77" t="n"/>
      <c r="K94" s="353" t="n"/>
      <c r="L94" s="87" t="n"/>
      <c r="M94" s="354">
        <f>SUM(M95:M101)</f>
        <v/>
      </c>
      <c r="N94" s="79">
        <f>M94/$M$298</f>
        <v/>
      </c>
      <c r="O94" s="87">
        <f>M94/OBRA!$D$12</f>
        <v/>
      </c>
      <c r="P94" s="355" t="n"/>
    </row>
    <row r="95" outlineLevel="3" ht="19.9" customFormat="1" customHeight="1" s="1">
      <c r="A95" s="343">
        <f>IF(G95="UNIDADE CONSTRUTIVA",OFFSET(A95,-1,0)+1,LARGE(A$4:A94,1))</f>
        <v/>
      </c>
      <c r="B95" s="343">
        <f>IF(G95="UNIDADE CONSTRUTIVA",0,IF(G95="CÉLULA CONSTRUTIVA",OFFSET(B95,-1,0)+1,OFFSET(B95,-1,0)))</f>
        <v/>
      </c>
      <c r="C95" s="343">
        <f>IF(G95="CÉLULA CONSTRUTIVA",0,IF(G95="ETAPA",OFFSET(C95,-1,0)+1,OFFSET(C95,-1,0)))</f>
        <v/>
      </c>
      <c r="D95" s="347">
        <f>IF(G95="ETAPA",0,IF(G95="SUBETAPA",OFFSET(D95,-1,0)+1,OFFSET(D95,-1,0)))</f>
        <v/>
      </c>
      <c r="E95" s="347">
        <f>IF(G95="Subetapa",0,IF(G95="serviço",OFFSET(E95,-1,0)+1,OFFSET(E95,-1,0)))</f>
        <v/>
      </c>
      <c r="G95" s="75" t="inlineStr">
        <is>
          <t>Serviço</t>
        </is>
      </c>
      <c r="H95" s="352">
        <f>IF(G95="Unidade Construtiva",CONCATENATE("UC ",TEXT(A95,"00")),IF(G95="Célula Construtiva",TEXT(B95,"00"),IF(G95="Etapa",CONCATENATE(TEXT(B95,"00"),".",TEXT(C95,"000")),IF(G95="Subetapa",CONCATENATE(TEXT(B95,"00"),".",TEXT(C95,"000"),".",TEXT(D95,"000")),IF(G95="Serviço",CONCATENATE(TEXT(B95,"00"),".",TEXT(C95,"000"),".",TEXT(D95,"000"),".",TEXT(E95,"000")),"")))))</f>
        <v/>
      </c>
      <c r="I95" s="92" t="inlineStr">
        <is>
          <t>Escavação</t>
        </is>
      </c>
      <c r="J95" s="77" t="inlineStr">
        <is>
          <t>m³</t>
        </is>
      </c>
      <c r="K95" s="353" t="n">
        <v>2655.06</v>
      </c>
      <c r="L95" s="87" t="n">
        <v>56.07</v>
      </c>
      <c r="M95" s="354">
        <f>K95*L95</f>
        <v/>
      </c>
      <c r="N95" s="79">
        <f>M95/$M$298</f>
        <v/>
      </c>
      <c r="O95" s="87">
        <f>M95/OBRA!$D$12</f>
        <v/>
      </c>
      <c r="P95" s="355" t="inlineStr">
        <is>
          <t>Volume determinado pela area e altura dos subsolos</t>
        </is>
      </c>
    </row>
    <row r="96" outlineLevel="3" ht="19.9" customFormat="1" customHeight="1" s="1">
      <c r="A96" s="343">
        <f>IF(G96="UNIDADE CONSTRUTIVA",OFFSET(A96,-1,0)+1,LARGE(A$4:A93,1))</f>
        <v/>
      </c>
      <c r="B96" s="343">
        <f>IF(G96="UNIDADE CONSTRUTIVA",0,IF(G96="CÉLULA CONSTRUTIVA",OFFSET(B96,-1,0)+1,OFFSET(B96,-1,0)))</f>
        <v/>
      </c>
      <c r="C96" s="343">
        <f>IF(G96="CÉLULA CONSTRUTIVA",0,IF(G96="ETAPA",OFFSET(C96,-1,0)+1,OFFSET(C96,-1,0)))</f>
        <v/>
      </c>
      <c r="D96" s="347">
        <f>IF(G96="ETAPA",0,IF(G96="SUBETAPA",OFFSET(D96,-1,0)+1,OFFSET(D96,-1,0)))</f>
        <v/>
      </c>
      <c r="E96" s="347">
        <f>IF(G96="Subetapa",0,IF(G96="serviço",OFFSET(E96,-1,0)+1,OFFSET(E96,-1,0)))</f>
        <v/>
      </c>
      <c r="G96" s="75" t="inlineStr">
        <is>
          <t>Serviço</t>
        </is>
      </c>
      <c r="H96" s="352">
        <f>IF(G96="Unidade Construtiva",CONCATENATE("UC ",TEXT(A96,"00")),IF(G96="Célula Construtiva",TEXT(B96,"00"),IF(G96="Etapa",CONCATENATE(TEXT(B96,"00"),".",TEXT(C96,"000")),IF(G96="Subetapa",CONCATENATE(TEXT(B96,"00"),".",TEXT(C96,"000"),".",TEXT(D96,"000")),IF(G96="Serviço",CONCATENATE(TEXT(B96,"00"),".",TEXT(C96,"000"),".",TEXT(D96,"000"),".",TEXT(E96,"000")),"")))))</f>
        <v/>
      </c>
      <c r="I96" s="92" t="inlineStr">
        <is>
          <t>Movimentação de bota-fora</t>
        </is>
      </c>
      <c r="J96" s="77" t="inlineStr">
        <is>
          <t>m³</t>
        </is>
      </c>
      <c r="K96" s="353" t="n">
        <v>1327.53</v>
      </c>
      <c r="L96" s="87" t="n">
        <v>46.73</v>
      </c>
      <c r="M96" s="354">
        <f>K96*L96</f>
        <v/>
      </c>
      <c r="N96" s="79">
        <f>M96/$M$298</f>
        <v/>
      </c>
      <c r="O96" s="87">
        <f>M96/OBRA!$D$12</f>
        <v/>
      </c>
      <c r="P96" s="355" t="n"/>
    </row>
    <row r="97" outlineLevel="3" ht="19.9" customFormat="1" customHeight="1" s="1">
      <c r="A97" s="343">
        <f>IF(G97="UNIDADE CONSTRUTIVA",OFFSET(A97,-1,0)+1,LARGE(A$4:A96,1))</f>
        <v/>
      </c>
      <c r="B97" s="343">
        <f>IF(G97="UNIDADE CONSTRUTIVA",0,IF(G97="CÉLULA CONSTRUTIVA",OFFSET(B97,-1,0)+1,OFFSET(B97,-1,0)))</f>
        <v/>
      </c>
      <c r="C97" s="343">
        <f>IF(G97="CÉLULA CONSTRUTIVA",0,IF(G97="ETAPA",OFFSET(C97,-1,0)+1,OFFSET(C97,-1,0)))</f>
        <v/>
      </c>
      <c r="D97" s="347">
        <f>IF(G97="ETAPA",0,IF(G97="SUBETAPA",OFFSET(D97,-1,0)+1,OFFSET(D97,-1,0)))</f>
        <v/>
      </c>
      <c r="E97" s="347">
        <f>IF(G97="Subetapa",0,IF(G97="serviço",OFFSET(E97,-1,0)+1,OFFSET(E97,-1,0)))</f>
        <v/>
      </c>
      <c r="G97" s="75" t="inlineStr">
        <is>
          <t>Serviço</t>
        </is>
      </c>
      <c r="H97" s="352">
        <f>IF(G97="Unidade Construtiva",CONCATENATE("UC ",TEXT(A97,"00")),IF(G97="Célula Construtiva",TEXT(B97,"00"),IF(G97="Etapa",CONCATENATE(TEXT(B97,"00"),".",TEXT(C97,"000")),IF(G97="Subetapa",CONCATENATE(TEXT(B97,"00"),".",TEXT(C97,"000"),".",TEXT(D97,"000")),IF(G97="Serviço",CONCATENATE(TEXT(B97,"00"),".",TEXT(C97,"000"),".",TEXT(D97,"000"),".",TEXT(E97,"000")),"")))))</f>
        <v/>
      </c>
      <c r="I97" s="92" t="inlineStr">
        <is>
          <t>Escavação mecanizada para blocos e baldrames</t>
        </is>
      </c>
      <c r="J97" s="77" t="inlineStr">
        <is>
          <t>m3</t>
        </is>
      </c>
      <c r="K97" s="353" t="n">
        <v>444.98376</v>
      </c>
      <c r="L97" s="87">
        <f>M97/K97</f>
        <v/>
      </c>
      <c r="M97" s="354" t="n">
        <v>17797.57046496</v>
      </c>
      <c r="N97" s="79">
        <f>M97/$M$298</f>
        <v/>
      </c>
      <c r="O97" s="87">
        <f>M97/OBRA!$D$12</f>
        <v/>
      </c>
      <c r="P97" s="355" t="n"/>
    </row>
    <row r="98" outlineLevel="3" ht="19.9" customFormat="1" customHeight="1" s="1">
      <c r="A98" s="343">
        <f>IF(G98="UNIDADE CONSTRUTIVA",OFFSET(A98,-1,0)+1,LARGE(A$4:A95,1))</f>
        <v/>
      </c>
      <c r="B98" s="343">
        <f>IF(G98="UNIDADE CONSTRUTIVA",0,IF(G98="CÉLULA CONSTRUTIVA",OFFSET(B98,-1,0)+1,OFFSET(B98,-1,0)))</f>
        <v/>
      </c>
      <c r="C98" s="343">
        <f>IF(G98="CÉLULA CONSTRUTIVA",0,IF(G98="ETAPA",OFFSET(C98,-1,0)+1,OFFSET(C98,-1,0)))</f>
        <v/>
      </c>
      <c r="D98" s="347">
        <f>IF(G98="ETAPA",0,IF(G98="SUBETAPA",OFFSET(D98,-1,0)+1,OFFSET(D98,-1,0)))</f>
        <v/>
      </c>
      <c r="E98" s="347">
        <f>IF(G98="Subetapa",0,IF(G98="serviço",OFFSET(E98,-1,0)+1,OFFSET(E98,-1,0)))</f>
        <v/>
      </c>
      <c r="G98" s="75" t="inlineStr">
        <is>
          <t>Serviço</t>
        </is>
      </c>
      <c r="H98" s="352">
        <f>IF(G98="Unidade Construtiva",CONCATENATE("UC ",TEXT(A98,"00")),IF(G98="Célula Construtiva",TEXT(B98,"00"),IF(G98="Etapa",CONCATENATE(TEXT(B98,"00"),".",TEXT(C98,"000")),IF(G98="Subetapa",CONCATENATE(TEXT(B98,"00"),".",TEXT(C98,"000"),".",TEXT(D98,"000")),IF(G98="Serviço",CONCATENATE(TEXT(B98,"00"),".",TEXT(C98,"000"),".",TEXT(D98,"000"),".",TEXT(E98,"000")),"")))))</f>
        <v/>
      </c>
      <c r="I98" s="92" t="inlineStr">
        <is>
          <t>Reaterro para blocos e baldrames</t>
        </is>
      </c>
      <c r="J98" s="77" t="inlineStr">
        <is>
          <t>m³</t>
        </is>
      </c>
      <c r="K98" s="353" t="n">
        <v>796.52</v>
      </c>
      <c r="L98" s="87" t="n">
        <v>46.73</v>
      </c>
      <c r="M98" s="354">
        <f>K98*L98</f>
        <v/>
      </c>
      <c r="N98" s="79">
        <f>M98/$M$298</f>
        <v/>
      </c>
      <c r="O98" s="87">
        <f>M98/OBRA!$D$12</f>
        <v/>
      </c>
      <c r="P98" s="355" t="n"/>
    </row>
    <row r="99" outlineLevel="3" ht="19.9" customFormat="1" customHeight="1" s="1">
      <c r="A99" s="343">
        <f>IF(G99="UNIDADE CONSTRUTIVA",OFFSET(A99,-1,0)+1,LARGE(A$4:A98,1))</f>
        <v/>
      </c>
      <c r="B99" s="343">
        <f>IF(G99="UNIDADE CONSTRUTIVA",0,IF(G99="CÉLULA CONSTRUTIVA",OFFSET(B99,-1,0)+1,OFFSET(B99,-1,0)))</f>
        <v/>
      </c>
      <c r="C99" s="343">
        <f>IF(G99="CÉLULA CONSTRUTIVA",0,IF(G99="ETAPA",OFFSET(C99,-1,0)+1,OFFSET(C99,-1,0)))</f>
        <v/>
      </c>
      <c r="D99" s="347">
        <f>IF(G99="ETAPA",0,IF(G99="SUBETAPA",OFFSET(D99,-1,0)+1,OFFSET(D99,-1,0)))</f>
        <v/>
      </c>
      <c r="E99" s="347">
        <f>IF(G99="Subetapa",0,IF(G99="serviço",OFFSET(E99,-1,0)+1,OFFSET(E99,-1,0)))</f>
        <v/>
      </c>
      <c r="G99" s="75" t="inlineStr">
        <is>
          <t>Serviço</t>
        </is>
      </c>
      <c r="H99" s="352">
        <f>IF(G99="Unidade Construtiva",CONCATENATE("UC ",TEXT(A99,"00")),IF(G99="Célula Construtiva",TEXT(B99,"00"),IF(G99="Etapa",CONCATENATE(TEXT(B99,"00"),".",TEXT(C99,"000")),IF(G99="Subetapa",CONCATENATE(TEXT(B99,"00"),".",TEXT(C99,"000"),".",TEXT(D99,"000")),IF(G99="Serviço",CONCATENATE(TEXT(B99,"00"),".",TEXT(C99,"000"),".",TEXT(D99,"000"),".",TEXT(E99,"000")),"")))))</f>
        <v/>
      </c>
      <c r="I99" s="92" t="inlineStr">
        <is>
          <t>Movimentação de terra (30% de empolamento)</t>
        </is>
      </c>
      <c r="J99" s="77" t="inlineStr">
        <is>
          <t>m3</t>
        </is>
      </c>
      <c r="K99" s="353" t="n">
        <v>444.98376</v>
      </c>
      <c r="L99" s="87">
        <f>M99/K99</f>
        <v/>
      </c>
      <c r="M99" s="354" t="n">
        <v>22246.9630812</v>
      </c>
      <c r="N99" s="79">
        <f>M99/$M$298</f>
        <v/>
      </c>
      <c r="O99" s="87">
        <f>M99/OBRA!$D$12</f>
        <v/>
      </c>
      <c r="P99" s="355" t="n"/>
    </row>
    <row r="100" outlineLevel="3" ht="19.9" customFormat="1" customHeight="1" s="1">
      <c r="A100" s="343">
        <f>IF(G100="UNIDADE CONSTRUTIVA",OFFSET(A100,-1,0)+1,LARGE(A$4:A99,1))</f>
        <v/>
      </c>
      <c r="B100" s="343">
        <f>IF(G100="UNIDADE CONSTRUTIVA",0,IF(G100="CÉLULA CONSTRUTIVA",OFFSET(B100,-1,0)+1,OFFSET(B100,-1,0)))</f>
        <v/>
      </c>
      <c r="C100" s="343">
        <f>IF(G100="CÉLULA CONSTRUTIVA",0,IF(G100="ETAPA",OFFSET(C100,-1,0)+1,OFFSET(C100,-1,0)))</f>
        <v/>
      </c>
      <c r="D100" s="347">
        <f>IF(G100="ETAPA",0,IF(G100="SUBETAPA",OFFSET(D100,-1,0)+1,OFFSET(D100,-1,0)))</f>
        <v/>
      </c>
      <c r="E100" s="347">
        <f>IF(G100="Subetapa",0,IF(G100="serviço",OFFSET(E100,-1,0)+1,OFFSET(E100,-1,0)))</f>
        <v/>
      </c>
      <c r="G100" s="75" t="inlineStr">
        <is>
          <t>Serviço</t>
        </is>
      </c>
      <c r="H100" s="352">
        <f>IF(G100="Unidade Construtiva",CONCATENATE("UC ",TEXT(A100,"00")),IF(G100="Célula Construtiva",TEXT(B100,"00"),IF(G100="Etapa",CONCATENATE(TEXT(B100,"00"),".",TEXT(C100,"000")),IF(G100="Subetapa",CONCATENATE(TEXT(B100,"00"),".",TEXT(C100,"000"),".",TEXT(D100,"000")),IF(G100="Serviço",CONCATENATE(TEXT(B100,"00"),".",TEXT(C100,"000"),".",TEXT(D100,"000"),".",TEXT(E100,"000")),"")))))</f>
        <v/>
      </c>
      <c r="I100" s="92" t="inlineStr">
        <is>
          <t>Movimentação de terra estacas (30% de empolamento)</t>
        </is>
      </c>
      <c r="J100" s="77" t="inlineStr">
        <is>
          <t>m</t>
        </is>
      </c>
      <c r="K100" s="353" t="n">
        <v>1800</v>
      </c>
      <c r="L100" s="87" t="n">
        <v>867.3200000000001</v>
      </c>
      <c r="M100" s="354">
        <f>K100*L100</f>
        <v/>
      </c>
      <c r="N100" s="79">
        <f>M100/$M$298</f>
        <v/>
      </c>
      <c r="O100" s="87">
        <f>M100/OBRA!$D$12</f>
        <v/>
      </c>
      <c r="P100" s="355" t="n"/>
    </row>
    <row r="101" outlineLevel="3" ht="19.9" customFormat="1" customHeight="1" s="1">
      <c r="A101" s="343">
        <f>IF(G101="UNIDADE CONSTRUTIVA",OFFSET(A101,-1,0)+1,LARGE(A$4:A100,1))</f>
        <v/>
      </c>
      <c r="B101" s="343">
        <f>IF(G101="UNIDADE CONSTRUTIVA",0,IF(G101="CÉLULA CONSTRUTIVA",OFFSET(B101,-1,0)+1,OFFSET(B101,-1,0)))</f>
        <v/>
      </c>
      <c r="C101" s="343">
        <f>IF(G101="CÉLULA CONSTRUTIVA",0,IF(G101="ETAPA",OFFSET(C101,-1,0)+1,OFFSET(C101,-1,0)))</f>
        <v/>
      </c>
      <c r="D101" s="347">
        <f>IF(G101="ETAPA",0,IF(G101="SUBETAPA",OFFSET(D101,-1,0)+1,OFFSET(D101,-1,0)))</f>
        <v/>
      </c>
      <c r="E101" s="347">
        <f>IF(G101="Subetapa",0,IF(G101="serviço",OFFSET(E101,-1,0)+1,OFFSET(E101,-1,0)))</f>
        <v/>
      </c>
      <c r="G101" s="75" t="inlineStr">
        <is>
          <t>Serviço</t>
        </is>
      </c>
      <c r="H101" s="352">
        <f>IF(G101="Unidade Construtiva",CONCATENATE("UC ",TEXT(A101,"00")),IF(G101="Célula Construtiva",TEXT(B101,"00"),IF(G101="Etapa",CONCATENATE(TEXT(B101,"00"),".",TEXT(C101,"000")),IF(G101="Subetapa",CONCATENATE(TEXT(B101,"00"),".",TEXT(C101,"000"),".",TEXT(D101,"000")),IF(G101="Serviço",CONCATENATE(TEXT(B101,"00"),".",TEXT(C101,"000"),".",TEXT(D101,"000"),".",TEXT(E101,"000")),"")))))</f>
        <v/>
      </c>
      <c r="I101" s="92" t="inlineStr">
        <is>
          <t xml:space="preserve">Lastro de concreto magro e= 10cm - Blocos </t>
        </is>
      </c>
      <c r="J101" s="77" t="inlineStr">
        <is>
          <t>m3</t>
        </is>
      </c>
      <c r="K101" s="353" t="n">
        <v>1190.592</v>
      </c>
      <c r="L101" s="87">
        <f>M101/K101</f>
        <v/>
      </c>
      <c r="M101" s="354" t="n">
        <v>48457.09440000001</v>
      </c>
      <c r="N101" s="79">
        <f>M101/$M$298</f>
        <v/>
      </c>
      <c r="O101" s="87">
        <f>M101/OBRA!$D$12</f>
        <v/>
      </c>
      <c r="P101" s="355" t="n"/>
    </row>
    <row r="102" outlineLevel="1" ht="19.9" customFormat="1" customHeight="1" s="1">
      <c r="A102" s="343">
        <f>IF(G102="UNIDADE CONSTRUTIVA",OFFSET(A102,-1,0)+1,LARGE(A$4:A101,1))</f>
        <v/>
      </c>
      <c r="B102" s="343">
        <f>IF(G102="UNIDADE CONSTRUTIVA",0,IF(G102="CÉLULA CONSTRUTIVA",OFFSET(B102,-1,0)+1,OFFSET(B102,-1,0)))</f>
        <v/>
      </c>
      <c r="C102" s="343">
        <f>IF(G102="CÉLULA CONSTRUTIVA",0,IF(G102="ETAPA",OFFSET(C102,-1,0)+1,OFFSET(C102,-1,0)))</f>
        <v/>
      </c>
      <c r="D102" s="347">
        <f>IF(G102="ETAPA",0,IF(G102="SUBETAPA",OFFSET(D102,-1,0)+1,OFFSET(D102,-1,0)))</f>
        <v/>
      </c>
      <c r="E102" s="347">
        <f>IF(G102="Subetapa",0,IF(G102="serviço",OFFSET(E102,-1,0)+1,OFFSET(E102,-1,0)))</f>
        <v/>
      </c>
      <c r="G102" s="75" t="inlineStr">
        <is>
          <t>CÉLULA CONSTRUTIVA</t>
        </is>
      </c>
      <c r="H102" s="352">
        <f>IF(G102="Unidade Construtiva",CONCATENATE("UC ",TEXT(A102,"00")),IF(G102="Célula Construtiva",TEXT(B102,"00"),IF(G102="Etapa",CONCATENATE(TEXT(B102,"00"),".",TEXT(C102,"000")),IF(G102="Subetapa",CONCATENATE(TEXT(B102,"00"),".",TEXT(C102,"000"),".",TEXT(D102,"000")),IF(G102="Serviço",CONCATENATE(TEXT(B102,"00"),".",TEXT(C102,"000"),".",TEXT(D102,"000"),".",TEXT(E102,"000")),"")))))</f>
        <v/>
      </c>
      <c r="I102" s="92" t="inlineStr">
        <is>
          <t>INFRAESTRUTURA</t>
        </is>
      </c>
      <c r="J102" s="77" t="n"/>
      <c r="K102" s="353" t="n"/>
      <c r="L102" s="87" t="n"/>
      <c r="M102" s="354">
        <f>M103+M112</f>
        <v/>
      </c>
      <c r="N102" s="79">
        <f>M102/$M$298</f>
        <v/>
      </c>
      <c r="O102" s="87">
        <f>M102/OBRA!$D$12</f>
        <v/>
      </c>
      <c r="P102" s="355" t="n"/>
      <c r="Q102" s="356">
        <f>Q120+M102</f>
        <v/>
      </c>
      <c r="R102" s="356">
        <f>Q102/OBRA!D12</f>
        <v/>
      </c>
    </row>
    <row r="103" outlineLevel="2" ht="19.9" customFormat="1" customHeight="1" s="1">
      <c r="A103" s="343">
        <f>IF(G103="UNIDADE CONSTRUTIVA",OFFSET(A103,-1,0)+1,LARGE(A$4:A102,1))</f>
        <v/>
      </c>
      <c r="B103" s="343">
        <f>IF(G103="UNIDADE CONSTRUTIVA",0,IF(G103="CÉLULA CONSTRUTIVA",OFFSET(B103,-1,0)+1,OFFSET(B103,-1,0)))</f>
        <v/>
      </c>
      <c r="C103" s="343">
        <f>IF(G103="CÉLULA CONSTRUTIVA",0,IF(G103="ETAPA",OFFSET(C103,-1,0)+1,OFFSET(C103,-1,0)))</f>
        <v/>
      </c>
      <c r="D103" s="347">
        <f>IF(G103="ETAPA",0,IF(G103="SUBETAPA",OFFSET(D103,-1,0)+1,OFFSET(D103,-1,0)))</f>
        <v/>
      </c>
      <c r="E103" s="347">
        <f>IF(G103="Subetapa",0,IF(G103="serviço",OFFSET(E103,-1,0)+1,OFFSET(E103,-1,0)))</f>
        <v/>
      </c>
      <c r="G103" s="75" t="inlineStr">
        <is>
          <t>ETAPA</t>
        </is>
      </c>
      <c r="H103" s="352">
        <f>IF(G103="Unidade Construtiva",CONCATENATE("UC ",TEXT(A103,"00")),IF(G103="Célula Construtiva",TEXT(B103,"00"),IF(G103="Etapa",CONCATENATE(TEXT(B103,"00"),".",TEXT(C103,"000")),IF(G103="Subetapa",CONCATENATE(TEXT(B103,"00"),".",TEXT(C103,"000"),".",TEXT(D103,"000")),IF(G103="Serviço",CONCATENATE(TEXT(B103,"00"),".",TEXT(C103,"000"),".",TEXT(D103,"000"),".",TEXT(E103,"000")),"")))))</f>
        <v/>
      </c>
      <c r="I103" s="92" t="inlineStr">
        <is>
          <t>FUNDAÇÃO PROFUNDA</t>
        </is>
      </c>
      <c r="J103" s="77" t="n"/>
      <c r="K103" s="353" t="n"/>
      <c r="L103" s="87" t="n"/>
      <c r="M103" s="354">
        <f>M104+M110</f>
        <v/>
      </c>
      <c r="N103" s="79">
        <f>M103/$M$298</f>
        <v/>
      </c>
      <c r="O103" s="87">
        <f>M103/OBRA!$D$12</f>
        <v/>
      </c>
      <c r="P103" s="355" t="n"/>
    </row>
    <row r="104" outlineLevel="3" ht="19.9" customFormat="1" customHeight="1" s="1">
      <c r="A104" s="343">
        <f>IF(G104="UNIDADE CONSTRUTIVA",OFFSET(A104,-1,0)+1,LARGE(A$4:A103,1))</f>
        <v/>
      </c>
      <c r="B104" s="343">
        <f>IF(G104="UNIDADE CONSTRUTIVA",0,IF(G104="CÉLULA CONSTRUTIVA",OFFSET(B104,-1,0)+1,OFFSET(B104,-1,0)))</f>
        <v/>
      </c>
      <c r="C104" s="343">
        <f>IF(G104="CÉLULA CONSTRUTIVA",0,IF(G104="ETAPA",OFFSET(C104,-1,0)+1,OFFSET(C104,-1,0)))</f>
        <v/>
      </c>
      <c r="D104" s="347">
        <f>IF(G104="ETAPA",0,IF(G104="SUBETAPA",OFFSET(D104,-1,0)+1,OFFSET(D104,-1,0)))</f>
        <v/>
      </c>
      <c r="E104" s="347">
        <f>IF(G104="Subetapa",0,IF(G104="serviço",OFFSET(E104,-1,0)+1,OFFSET(E104,-1,0)))</f>
        <v/>
      </c>
      <c r="G104" s="75" t="inlineStr">
        <is>
          <t>Subetapa</t>
        </is>
      </c>
      <c r="H104" s="352">
        <f>IF(G104="Unidade Construtiva",CONCATENATE("UC ",TEXT(A104,"00")),IF(G104="Célula Construtiva",TEXT(B104,"00"),IF(G104="Etapa",CONCATENATE(TEXT(B104,"00"),".",TEXT(C104,"000")),IF(G104="Subetapa",CONCATENATE(TEXT(B104,"00"),".",TEXT(C104,"000"),".",TEXT(D104,"000")),IF(G104="Serviço",CONCATENATE(TEXT(B104,"00"),".",TEXT(C104,"000"),".",TEXT(D104,"000"),".",TEXT(E104,"000")),"")))))</f>
        <v/>
      </c>
      <c r="I104" s="92" t="inlineStr">
        <is>
          <t>Perfuração</t>
        </is>
      </c>
      <c r="J104" s="77" t="n"/>
      <c r="K104" s="353" t="n"/>
      <c r="L104" s="87" t="n"/>
      <c r="M104" s="354">
        <f>SUM(M105:M109)</f>
        <v/>
      </c>
      <c r="N104" s="79">
        <f>M104/$M$298</f>
        <v/>
      </c>
      <c r="O104" s="87">
        <f>M104/OBRA!$D$12</f>
        <v/>
      </c>
      <c r="P104" s="355" t="n"/>
    </row>
    <row r="105" outlineLevel="3" ht="19.9" customFormat="1" customHeight="1" s="1">
      <c r="A105" s="343">
        <f>IF(G105="UNIDADE CONSTRUTIVA",OFFSET(A105,-1,0)+1,LARGE(A$4:A104,1))</f>
        <v/>
      </c>
      <c r="B105" s="343">
        <f>IF(G105="UNIDADE CONSTRUTIVA",0,IF(G105="CÉLULA CONSTRUTIVA",OFFSET(B105,-1,0)+1,OFFSET(B105,-1,0)))</f>
        <v/>
      </c>
      <c r="C105" s="343">
        <f>IF(G105="CÉLULA CONSTRUTIVA",0,IF(G105="ETAPA",OFFSET(C105,-1,0)+1,OFFSET(C105,-1,0)))</f>
        <v/>
      </c>
      <c r="D105" s="347">
        <f>IF(G105="ETAPA",0,IF(G105="SUBETAPA",OFFSET(D105,-1,0)+1,OFFSET(D105,-1,0)))</f>
        <v/>
      </c>
      <c r="E105" s="347">
        <f>IF(G105="Subetapa",0,IF(G105="serviço",OFFSET(E105,-1,0)+1,OFFSET(E105,-1,0)))</f>
        <v/>
      </c>
      <c r="G105" s="75" t="inlineStr">
        <is>
          <t>Serviço</t>
        </is>
      </c>
      <c r="H105" s="352">
        <f>IF(G105="Unidade Construtiva",CONCATENATE("UC ",TEXT(A105,"00")),IF(G105="Célula Construtiva",TEXT(B105,"00"),IF(G105="Etapa",CONCATENATE(TEXT(B105,"00"),".",TEXT(C105,"000")),IF(G105="Subetapa",CONCATENATE(TEXT(B105,"00"),".",TEXT(C105,"000"),".",TEXT(D105,"000")),IF(G105="Serviço",CONCATENATE(TEXT(B105,"00"),".",TEXT(C105,"000"),".",TEXT(D105,"000"),".",TEXT(E105,"000")),"")))))</f>
        <v/>
      </c>
      <c r="I105" s="92" t="inlineStr">
        <is>
          <t>Estaca Hélice Continua Diâmetro 50</t>
        </is>
      </c>
      <c r="J105" s="77" t="inlineStr">
        <is>
          <t>m</t>
        </is>
      </c>
      <c r="K105" s="353" t="n">
        <v>3780</v>
      </c>
      <c r="L105" s="87">
        <f>M105/K105</f>
        <v/>
      </c>
      <c r="M105" s="354" t="n">
        <v>374220.0000000001</v>
      </c>
      <c r="N105" s="79">
        <f>M105/$M$298</f>
        <v/>
      </c>
      <c r="O105" s="87">
        <f>M105/OBRA!$D$12</f>
        <v/>
      </c>
      <c r="P105" s="355" t="inlineStr">
        <is>
          <t>Profundidade de SPT</t>
        </is>
      </c>
    </row>
    <row r="106" outlineLevel="3" ht="19.9" customFormat="1" customHeight="1" s="1">
      <c r="A106" s="343">
        <f>IF(G106="UNIDADE CONSTRUTIVA",OFFSET(A106,-1,0)+1,LARGE(A$4:A105,1))</f>
        <v/>
      </c>
      <c r="B106" s="343">
        <f>IF(G106="UNIDADE CONSTRUTIVA",0,IF(G106="CÉLULA CONSTRUTIVA",OFFSET(B106,-1,0)+1,OFFSET(B106,-1,0)))</f>
        <v/>
      </c>
      <c r="C106" s="343">
        <f>IF(G106="CÉLULA CONSTRUTIVA",0,IF(G106="ETAPA",OFFSET(C106,-1,0)+1,OFFSET(C106,-1,0)))</f>
        <v/>
      </c>
      <c r="D106" s="347">
        <f>IF(G106="ETAPA",0,IF(G106="SUBETAPA",OFFSET(D106,-1,0)+1,OFFSET(D106,-1,0)))</f>
        <v/>
      </c>
      <c r="E106" s="347">
        <f>IF(G106="Subetapa",0,IF(G106="serviço",OFFSET(E106,-1,0)+1,OFFSET(E106,-1,0)))</f>
        <v/>
      </c>
      <c r="G106" s="75" t="inlineStr">
        <is>
          <t>Serviço</t>
        </is>
      </c>
      <c r="H106" s="352">
        <f>IF(G106="Unidade Construtiva",CONCATENATE("UC ",TEXT(A106,"00")),IF(G106="Célula Construtiva",TEXT(B106,"00"),IF(G106="Etapa",CONCATENATE(TEXT(B106,"00"),".",TEXT(C106,"000")),IF(G106="Subetapa",CONCATENATE(TEXT(B106,"00"),".",TEXT(C106,"000"),".",TEXT(D106,"000")),IF(G106="Serviço",CONCATENATE(TEXT(B106,"00"),".",TEXT(C106,"000"),".",TEXT(D106,"000"),".",TEXT(E106,"000")),"")))))</f>
        <v/>
      </c>
      <c r="I106" s="92" t="inlineStr">
        <is>
          <t>Estaca Hélice Continua Diâmetro 60</t>
        </is>
      </c>
      <c r="J106" s="77" t="inlineStr">
        <is>
          <t>m</t>
        </is>
      </c>
      <c r="K106" s="353" t="n">
        <v>2520</v>
      </c>
      <c r="L106" s="87">
        <f>M106/K106</f>
        <v/>
      </c>
      <c r="M106" s="354" t="n">
        <v>291060</v>
      </c>
      <c r="N106" s="79">
        <f>M106/$M$298</f>
        <v/>
      </c>
      <c r="O106" s="87">
        <f>M106/OBRA!$D$12</f>
        <v/>
      </c>
      <c r="P106" s="355" t="inlineStr">
        <is>
          <t>Profundidade de SPT</t>
        </is>
      </c>
    </row>
    <row r="107" outlineLevel="3" ht="19.9" customFormat="1" customHeight="1" s="1">
      <c r="A107" s="343">
        <f>IF(G107="UNIDADE CONSTRUTIVA",OFFSET(A107,-1,0)+1,LARGE(A$4:A106,1))</f>
        <v/>
      </c>
      <c r="B107" s="343">
        <f>IF(G107="UNIDADE CONSTRUTIVA",0,IF(G107="CÉLULA CONSTRUTIVA",OFFSET(B107,-1,0)+1,OFFSET(B107,-1,0)))</f>
        <v/>
      </c>
      <c r="C107" s="343">
        <f>IF(G107="CÉLULA CONSTRUTIVA",0,IF(G107="ETAPA",OFFSET(C107,-1,0)+1,OFFSET(C107,-1,0)))</f>
        <v/>
      </c>
      <c r="D107" s="347">
        <f>IF(G107="ETAPA",0,IF(G107="SUBETAPA",OFFSET(D107,-1,0)+1,OFFSET(D107,-1,0)))</f>
        <v/>
      </c>
      <c r="E107" s="347">
        <f>IF(G107="Subetapa",0,IF(G107="serviço",OFFSET(E107,-1,0)+1,OFFSET(E107,-1,0)))</f>
        <v/>
      </c>
      <c r="G107" s="75" t="inlineStr">
        <is>
          <t>Serviço</t>
        </is>
      </c>
      <c r="H107" s="352">
        <f>IF(G107="Unidade Construtiva",CONCATENATE("UC ",TEXT(A107,"00")),IF(G107="Célula Construtiva",TEXT(B107,"00"),IF(G107="Etapa",CONCATENATE(TEXT(B107,"00"),".",TEXT(C107,"000")),IF(G107="Subetapa",CONCATENATE(TEXT(B107,"00"),".",TEXT(C107,"000"),".",TEXT(D107,"000")),IF(G107="Serviço",CONCATENATE(TEXT(B107,"00"),".",TEXT(C107,"000"),".",TEXT(D107,"000"),".",TEXT(E107,"000")),"")))))</f>
        <v/>
      </c>
      <c r="I107" s="92" t="inlineStr">
        <is>
          <t>Armadura</t>
        </is>
      </c>
      <c r="J107" s="77" t="inlineStr">
        <is>
          <t>kg</t>
        </is>
      </c>
      <c r="K107" s="353" t="n">
        <v>232184.82</v>
      </c>
      <c r="L107" s="87" t="n">
        <v>14.38</v>
      </c>
      <c r="M107" s="354">
        <f>K107*L107</f>
        <v/>
      </c>
      <c r="N107" s="79">
        <f>M107/$M$298</f>
        <v/>
      </c>
      <c r="O107" s="87">
        <f>M107/OBRA!$D$12</f>
        <v/>
      </c>
      <c r="P107" s="355" t="inlineStr">
        <is>
          <t>Consideração de 10% de perda</t>
        </is>
      </c>
    </row>
    <row r="108" outlineLevel="3" ht="19.9" customFormat="1" customHeight="1" s="1">
      <c r="A108" s="343">
        <f>IF(G108="UNIDADE CONSTRUTIVA",OFFSET(A108,-1,0)+1,LARGE(A$4:A107,1))</f>
        <v/>
      </c>
      <c r="B108" s="343">
        <f>IF(G108="UNIDADE CONSTRUTIVA",0,IF(G108="CÉLULA CONSTRUTIVA",OFFSET(B108,-1,0)+1,OFFSET(B108,-1,0)))</f>
        <v/>
      </c>
      <c r="C108" s="343">
        <f>IF(G108="CÉLULA CONSTRUTIVA",0,IF(G108="ETAPA",OFFSET(C108,-1,0)+1,OFFSET(C108,-1,0)))</f>
        <v/>
      </c>
      <c r="D108" s="347">
        <f>IF(G108="ETAPA",0,IF(G108="SUBETAPA",OFFSET(D108,-1,0)+1,OFFSET(D108,-1,0)))</f>
        <v/>
      </c>
      <c r="E108" s="347">
        <f>IF(G108="Subetapa",0,IF(G108="serviço",OFFSET(E108,-1,0)+1,OFFSET(E108,-1,0)))</f>
        <v/>
      </c>
      <c r="G108" s="75" t="inlineStr">
        <is>
          <t>Serviço</t>
        </is>
      </c>
      <c r="H108" s="352">
        <f>IF(G108="Unidade Construtiva",CONCATENATE("UC ",TEXT(A108,"00")),IF(G108="Célula Construtiva",TEXT(B108,"00"),IF(G108="Etapa",CONCATENATE(TEXT(B108,"00"),".",TEXT(C108,"000")),IF(G108="Subetapa",CONCATENATE(TEXT(B108,"00"),".",TEXT(C108,"000"),".",TEXT(D108,"000")),IF(G108="Serviço",CONCATENATE(TEXT(B108,"00"),".",TEXT(C108,"000"),".",TEXT(D108,"000"),".",TEXT(E108,"000")),"")))))</f>
        <v/>
      </c>
      <c r="I108" s="92" t="inlineStr">
        <is>
          <t>Concreto 40MPa</t>
        </is>
      </c>
      <c r="J108" s="77" t="inlineStr">
        <is>
          <t>m³</t>
        </is>
      </c>
      <c r="K108" s="353" t="n">
        <v>2920.56</v>
      </c>
      <c r="L108" s="87" t="n">
        <v>556.05</v>
      </c>
      <c r="M108" s="354">
        <f>K108*L108</f>
        <v/>
      </c>
      <c r="N108" s="79">
        <f>M108/$M$298</f>
        <v/>
      </c>
      <c r="O108" s="87">
        <f>M108/OBRA!$D$12</f>
        <v/>
      </c>
      <c r="P108" s="355" t="inlineStr">
        <is>
          <t>Consideração de R$ 535,00/m³ com 30% de perda e R$ 45,00/m³ de bombeamento</t>
        </is>
      </c>
    </row>
    <row r="109" outlineLevel="3" ht="19.9" customFormat="1" customHeight="1" s="1">
      <c r="A109" s="343">
        <f>IF(G109="UNIDADE CONSTRUTIVA",OFFSET(A109,-1,0)+1,LARGE(A$4:A108,1))</f>
        <v/>
      </c>
      <c r="B109" s="343">
        <f>IF(G109="UNIDADE CONSTRUTIVA",0,IF(G109="CÉLULA CONSTRUTIVA",OFFSET(B109,-1,0)+1,OFFSET(B109,-1,0)))</f>
        <v/>
      </c>
      <c r="C109" s="343">
        <f>IF(G109="CÉLULA CONSTRUTIVA",0,IF(G109="ETAPA",OFFSET(C109,-1,0)+1,OFFSET(C109,-1,0)))</f>
        <v/>
      </c>
      <c r="D109" s="347">
        <f>IF(G109="ETAPA",0,IF(G109="SUBETAPA",OFFSET(D109,-1,0)+1,OFFSET(D109,-1,0)))</f>
        <v/>
      </c>
      <c r="E109" s="347">
        <f>IF(G109="Subetapa",0,IF(G109="serviço",OFFSET(E109,-1,0)+1,OFFSET(E109,-1,0)))</f>
        <v/>
      </c>
      <c r="G109" s="75" t="inlineStr">
        <is>
          <t>Serviço</t>
        </is>
      </c>
      <c r="H109" s="352">
        <f>IF(G109="Unidade Construtiva",CONCATENATE("UC ",TEXT(A109,"00")),IF(G109="Célula Construtiva",TEXT(B109,"00"),IF(G109="Etapa",CONCATENATE(TEXT(B109,"00"),".",TEXT(C109,"000")),IF(G109="Subetapa",CONCATENATE(TEXT(B109,"00"),".",TEXT(C109,"000"),".",TEXT(D109,"000")),IF(G109="Serviço",CONCATENATE(TEXT(B109,"00"),".",TEXT(C109,"000"),".",TEXT(D109,"000"),".",TEXT(E109,"000")),"")))))</f>
        <v/>
      </c>
      <c r="I109" s="92" t="inlineStr">
        <is>
          <t>Mobilização</t>
        </is>
      </c>
      <c r="J109" s="77" t="inlineStr">
        <is>
          <t>vb</t>
        </is>
      </c>
      <c r="K109" s="353" t="n">
        <v>1</v>
      </c>
      <c r="L109" s="87">
        <f>M109/K109</f>
        <v/>
      </c>
      <c r="M109" s="354" t="n">
        <v>13750</v>
      </c>
      <c r="N109" s="79">
        <f>M109/$M$298</f>
        <v/>
      </c>
      <c r="O109" s="87">
        <f>M109/OBRA!$D$12</f>
        <v/>
      </c>
      <c r="P109" s="355" t="inlineStr">
        <is>
          <t>Previsão de mobilização de maquinários</t>
        </is>
      </c>
    </row>
    <row r="110" outlineLevel="3" ht="19.9" customFormat="1" customHeight="1" s="1">
      <c r="A110" s="343">
        <f>IF(G110="UNIDADE CONSTRUTIVA",OFFSET(A110,-1,0)+1,LARGE(A$4:A109,1))</f>
        <v/>
      </c>
      <c r="B110" s="343">
        <f>IF(G110="UNIDADE CONSTRUTIVA",0,IF(G110="CÉLULA CONSTRUTIVA",OFFSET(B110,-1,0)+1,OFFSET(B110,-1,0)))</f>
        <v/>
      </c>
      <c r="C110" s="343">
        <f>IF(G110="CÉLULA CONSTRUTIVA",0,IF(G110="ETAPA",OFFSET(C110,-1,0)+1,OFFSET(C110,-1,0)))</f>
        <v/>
      </c>
      <c r="D110" s="347">
        <f>IF(G110="ETAPA",0,IF(G110="SUBETAPA",OFFSET(D110,-1,0)+1,OFFSET(D110,-1,0)))</f>
        <v/>
      </c>
      <c r="E110" s="347">
        <f>IF(G110="Subetapa",0,IF(G110="serviço",OFFSET(E110,-1,0)+1,OFFSET(E110,-1,0)))</f>
        <v/>
      </c>
      <c r="G110" s="75" t="inlineStr">
        <is>
          <t>Subetapa</t>
        </is>
      </c>
      <c r="H110" s="352">
        <f>IF(G110="Unidade Construtiva",CONCATENATE("UC ",TEXT(A110,"00")),IF(G110="Célula Construtiva",TEXT(B110,"00"),IF(G110="Etapa",CONCATENATE(TEXT(B110,"00"),".",TEXT(C110,"000")),IF(G110="Subetapa",CONCATENATE(TEXT(B110,"00"),".",TEXT(C110,"000"),".",TEXT(D110,"000")),IF(G110="Serviço",CONCATENATE(TEXT(B110,"00"),".",TEXT(C110,"000"),".",TEXT(D110,"000"),".",TEXT(E110,"000")),"")))))</f>
        <v/>
      </c>
      <c r="I110" s="92" t="inlineStr">
        <is>
          <t>Mão de obra de apoio e arrasamento das estacas</t>
        </is>
      </c>
      <c r="J110" s="77" t="n"/>
      <c r="K110" s="353" t="n"/>
      <c r="L110" s="87" t="n"/>
      <c r="M110" s="354">
        <f>M111</f>
        <v/>
      </c>
      <c r="N110" s="79">
        <f>M110/$M$298</f>
        <v/>
      </c>
      <c r="O110" s="87">
        <f>M110/OBRA!$D$12</f>
        <v/>
      </c>
      <c r="P110" s="355" t="n"/>
    </row>
    <row r="111" outlineLevel="3" ht="19.9" customFormat="1" customHeight="1" s="1">
      <c r="A111" s="343">
        <f>IF(G111="UNIDADE CONSTRUTIVA",OFFSET(A111,-1,0)+1,LARGE(A$4:A110,1))</f>
        <v/>
      </c>
      <c r="B111" s="343">
        <f>IF(G111="UNIDADE CONSTRUTIVA",0,IF(G111="CÉLULA CONSTRUTIVA",OFFSET(B111,-1,0)+1,OFFSET(B111,-1,0)))</f>
        <v/>
      </c>
      <c r="C111" s="343">
        <f>IF(G111="CÉLULA CONSTRUTIVA",0,IF(G111="ETAPA",OFFSET(C111,-1,0)+1,OFFSET(C111,-1,0)))</f>
        <v/>
      </c>
      <c r="D111" s="347">
        <f>IF(G111="ETAPA",0,IF(G111="SUBETAPA",OFFSET(D111,-1,0)+1,OFFSET(D111,-1,0)))</f>
        <v/>
      </c>
      <c r="E111" s="347">
        <f>IF(G111="Subetapa",0,IF(G111="serviço",OFFSET(E111,-1,0)+1,OFFSET(E111,-1,0)))</f>
        <v/>
      </c>
      <c r="G111" s="75" t="inlineStr">
        <is>
          <t>Serviço</t>
        </is>
      </c>
      <c r="H111" s="352">
        <f>IF(G111="Unidade Construtiva",CONCATENATE("UC ",TEXT(A111,"00")),IF(G111="Célula Construtiva",TEXT(B111,"00"),IF(G111="Etapa",CONCATENATE(TEXT(B111,"00"),".",TEXT(C111,"000")),IF(G111="Subetapa",CONCATENATE(TEXT(B111,"00"),".",TEXT(C111,"000"),".",TEXT(D111,"000")),IF(G111="Serviço",CONCATENATE(TEXT(B111,"00"),".",TEXT(C111,"000"),".",TEXT(D111,"000"),".",TEXT(E111,"000")),"")))))</f>
        <v/>
      </c>
      <c r="I111" s="92" t="inlineStr">
        <is>
          <t>Mão de obra de apoio e arrasamento das estacas</t>
        </is>
      </c>
      <c r="J111" s="77" t="inlineStr">
        <is>
          <t>un</t>
        </is>
      </c>
      <c r="K111" s="353" t="n">
        <v>224</v>
      </c>
      <c r="L111" s="87" t="n">
        <v>315</v>
      </c>
      <c r="M111" s="354" t="n">
        <v>67200</v>
      </c>
      <c r="N111" s="79">
        <f>M111/$M$298</f>
        <v/>
      </c>
      <c r="O111" s="87">
        <f>M111/OBRA!$D$12</f>
        <v/>
      </c>
      <c r="P111" s="355" t="n"/>
    </row>
    <row r="112" outlineLevel="2" ht="19.9" customFormat="1" customHeight="1" s="1">
      <c r="A112" s="343">
        <f>IF(G112="UNIDADE CONSTRUTIVA",OFFSET(A112,-1,0)+1,LARGE(A$4:A111,1))</f>
        <v/>
      </c>
      <c r="B112" s="343">
        <f>IF(G112="UNIDADE CONSTRUTIVA",0,IF(G112="CÉLULA CONSTRUTIVA",OFFSET(B112,-1,0)+1,OFFSET(B112,-1,0)))</f>
        <v/>
      </c>
      <c r="C112" s="343">
        <f>IF(G112="CÉLULA CONSTRUTIVA",0,IF(G112="ETAPA",OFFSET(C112,-1,0)+1,OFFSET(C112,-1,0)))</f>
        <v/>
      </c>
      <c r="D112" s="347">
        <f>IF(G112="ETAPA",0,IF(G112="SUBETAPA",OFFSET(D112,-1,0)+1,OFFSET(D112,-1,0)))</f>
        <v/>
      </c>
      <c r="E112" s="347">
        <f>IF(G112="Subetapa",0,IF(G112="serviço",OFFSET(E112,-1,0)+1,OFFSET(E112,-1,0)))</f>
        <v/>
      </c>
      <c r="G112" s="75" t="inlineStr">
        <is>
          <t>ETAPA</t>
        </is>
      </c>
      <c r="H112" s="352">
        <f>IF(G112="Unidade Construtiva",CONCATENATE("UC ",TEXT(A112,"00")),IF(G112="Célula Construtiva",TEXT(B112,"00"),IF(G112="Etapa",CONCATENATE(TEXT(B112,"00"),".",TEXT(C112,"000")),IF(G112="Subetapa",CONCATENATE(TEXT(B112,"00"),".",TEXT(C112,"000"),".",TEXT(D112,"000")),IF(G112="Serviço",CONCATENATE(TEXT(B112,"00"),".",TEXT(C112,"000"),".",TEXT(D112,"000"),".",TEXT(E112,"000")),"")))))</f>
        <v/>
      </c>
      <c r="I112" s="92" t="inlineStr">
        <is>
          <t>FUNDAÇÃO RASA</t>
        </is>
      </c>
      <c r="J112" s="77" t="n"/>
      <c r="K112" s="353" t="n"/>
      <c r="L112" s="87" t="n"/>
      <c r="M112" s="354">
        <f>M113+M118</f>
        <v/>
      </c>
      <c r="N112" s="79">
        <f>M112/$M$298</f>
        <v/>
      </c>
      <c r="O112" s="87">
        <f>M112/OBRA!$D$12</f>
        <v/>
      </c>
      <c r="P112" s="355" t="n"/>
    </row>
    <row r="113" outlineLevel="3" ht="19.9" customFormat="1" customHeight="1" s="1">
      <c r="A113" s="343">
        <f>IF(G113="UNIDADE CONSTRUTIVA",OFFSET(A113,-1,0)+1,LARGE(A$4:A112,1))</f>
        <v/>
      </c>
      <c r="B113" s="343">
        <f>IF(G113="UNIDADE CONSTRUTIVA",0,IF(G113="CÉLULA CONSTRUTIVA",OFFSET(B113,-1,0)+1,OFFSET(B113,-1,0)))</f>
        <v/>
      </c>
      <c r="C113" s="343">
        <f>IF(G113="CÉLULA CONSTRUTIVA",0,IF(G113="ETAPA",OFFSET(C113,-1,0)+1,OFFSET(C113,-1,0)))</f>
        <v/>
      </c>
      <c r="D113" s="347">
        <f>IF(G113="ETAPA",0,IF(G113="SUBETAPA",OFFSET(D113,-1,0)+1,OFFSET(D113,-1,0)))</f>
        <v/>
      </c>
      <c r="E113" s="347">
        <f>IF(G113="Subetapa",0,IF(G113="serviço",OFFSET(E113,-1,0)+1,OFFSET(E113,-1,0)))</f>
        <v/>
      </c>
      <c r="G113" s="75" t="inlineStr">
        <is>
          <t>Subetapa</t>
        </is>
      </c>
      <c r="H113" s="352">
        <f>IF(G113="Unidade Construtiva",CONCATENATE("UC ",TEXT(A113,"00")),IF(G113="Célula Construtiva",TEXT(B113,"00"),IF(G113="Etapa",CONCATENATE(TEXT(B113,"00"),".",TEXT(C113,"000")),IF(G113="Subetapa",CONCATENATE(TEXT(B113,"00"),".",TEXT(C113,"000"),".",TEXT(D113,"000")),IF(G113="Serviço",CONCATENATE(TEXT(B113,"00"),".",TEXT(C113,"000"),".",TEXT(D113,"000"),".",TEXT(E113,"000")),"")))))</f>
        <v/>
      </c>
      <c r="I113" s="92" t="inlineStr">
        <is>
          <t>Fabricação, montagem e desmontagem de forma para blocos e baldrames</t>
        </is>
      </c>
      <c r="J113" s="77" t="inlineStr">
        <is>
          <t>m²</t>
        </is>
      </c>
      <c r="K113" s="353" t="n">
        <v>29205.64</v>
      </c>
      <c r="L113" s="87" t="n">
        <v>15.45</v>
      </c>
      <c r="M113" s="354">
        <f>K113*L113</f>
        <v/>
      </c>
      <c r="N113" s="79">
        <f>M113/$M$298</f>
        <v/>
      </c>
      <c r="O113" s="87">
        <f>M113/OBRA!$D$12</f>
        <v/>
      </c>
      <c r="P113" s="355" t="n"/>
    </row>
    <row r="114" outlineLevel="3" ht="19.9" customFormat="1" customHeight="1" s="1">
      <c r="A114" s="343">
        <f>IF(G114="UNIDADE CONSTRUTIVA",OFFSET(A114,-1,0)+1,LARGE(A$4:A113,1))</f>
        <v/>
      </c>
      <c r="B114" s="343">
        <f>IF(G114="UNIDADE CONSTRUTIVA",0,IF(G114="CÉLULA CONSTRUTIVA",OFFSET(B114,-1,0)+1,OFFSET(B114,-1,0)))</f>
        <v/>
      </c>
      <c r="C114" s="343">
        <f>IF(G114="CÉLULA CONSTRUTIVA",0,IF(G114="ETAPA",OFFSET(C114,-1,0)+1,OFFSET(C114,-1,0)))</f>
        <v/>
      </c>
      <c r="D114" s="347">
        <f>IF(G114="ETAPA",0,IF(G114="SUBETAPA",OFFSET(D114,-1,0)+1,OFFSET(D114,-1,0)))</f>
        <v/>
      </c>
      <c r="E114" s="347">
        <f>IF(G114="Subetapa",0,IF(G114="serviço",OFFSET(E114,-1,0)+1,OFFSET(E114,-1,0)))</f>
        <v/>
      </c>
      <c r="G114" s="75" t="inlineStr">
        <is>
          <t>Serviço</t>
        </is>
      </c>
      <c r="H114" s="352">
        <f>IF(G114="Unidade Construtiva",CONCATENATE("UC ",TEXT(A114,"00")),IF(G114="Célula Construtiva",TEXT(B114,"00"),IF(G114="Etapa",CONCATENATE(TEXT(B114,"00"),".",TEXT(C114,"000")),IF(G114="Subetapa",CONCATENATE(TEXT(B114,"00"),".",TEXT(C114,"000"),".",TEXT(D114,"000")),IF(G114="Serviço",CONCATENATE(TEXT(B114,"00"),".",TEXT(C114,"000"),".",TEXT(D114,"000"),".",TEXT(E114,"000")),"")))))</f>
        <v/>
      </c>
      <c r="I114" s="92" t="inlineStr">
        <is>
          <t>Fabricação, montagem e desmontagem de forma para blocos e baldrames em madeira serrada (2 utilizações)</t>
        </is>
      </c>
      <c r="J114" s="77" t="inlineStr">
        <is>
          <t>m2</t>
        </is>
      </c>
      <c r="K114" s="353" t="n">
        <v>1131.0624</v>
      </c>
      <c r="L114" s="87">
        <f>M114/K114</f>
        <v/>
      </c>
      <c r="M114" s="354" t="n">
        <v>84603.46752000001</v>
      </c>
      <c r="N114" s="79">
        <f>M114/$M$298</f>
        <v/>
      </c>
      <c r="O114" s="87">
        <f>M114/OBRA!$D$12</f>
        <v/>
      </c>
      <c r="P114" s="355" t="inlineStr">
        <is>
          <t>Forma de compensado resinado com 2 reutilizações</t>
        </is>
      </c>
    </row>
    <row r="115" outlineLevel="3" ht="19.9" customFormat="1" customHeight="1" s="1">
      <c r="A115" s="343">
        <f>IF(G115="UNIDADE CONSTRUTIVA",OFFSET(A115,-1,0)+1,LARGE(A$4:A114,1))</f>
        <v/>
      </c>
      <c r="B115" s="343">
        <f>IF(G115="UNIDADE CONSTRUTIVA",0,IF(G115="CÉLULA CONSTRUTIVA",OFFSET(B115,-1,0)+1,OFFSET(B115,-1,0)))</f>
        <v/>
      </c>
      <c r="C115" s="343">
        <f>IF(G115="CÉLULA CONSTRUTIVA",0,IF(G115="ETAPA",OFFSET(C115,-1,0)+1,OFFSET(C115,-1,0)))</f>
        <v/>
      </c>
      <c r="D115" s="347">
        <f>IF(G115="ETAPA",0,IF(G115="SUBETAPA",OFFSET(D115,-1,0)+1,OFFSET(D115,-1,0)))</f>
        <v/>
      </c>
      <c r="E115" s="347">
        <f>IF(G115="Subetapa",0,IF(G115="serviço",OFFSET(E115,-1,0)+1,OFFSET(E115,-1,0)))</f>
        <v/>
      </c>
      <c r="G115" s="75" t="inlineStr">
        <is>
          <t>Serviço</t>
        </is>
      </c>
      <c r="H115" s="352">
        <f>IF(G115="Unidade Construtiva",CONCATENATE("UC ",TEXT(A115,"00")),IF(G115="Célula Construtiva",TEXT(B115,"00"),IF(G115="Etapa",CONCATENATE(TEXT(B115,"00"),".",TEXT(C115,"000")),IF(G115="Subetapa",CONCATENATE(TEXT(B115,"00"),".",TEXT(C115,"000"),".",TEXT(D115,"000")),IF(G115="Serviço",CONCATENATE(TEXT(B115,"00"),".",TEXT(C115,"000"),".",TEXT(D115,"000"),".",TEXT(E115,"000")),"")))))</f>
        <v/>
      </c>
      <c r="I115" s="92" t="inlineStr">
        <is>
          <t xml:space="preserve">Armação </t>
        </is>
      </c>
      <c r="J115" s="77" t="inlineStr">
        <is>
          <t>kg</t>
        </is>
      </c>
      <c r="K115" s="353" t="n">
        <v>342.2952</v>
      </c>
      <c r="L115" s="87">
        <f>M115/K115</f>
        <v/>
      </c>
      <c r="M115" s="354" t="n">
        <v>229699.696137912</v>
      </c>
      <c r="N115" s="79">
        <f>M115/$M$298</f>
        <v/>
      </c>
      <c r="O115" s="87">
        <f>M115/OBRA!$D$12</f>
        <v/>
      </c>
      <c r="P115" s="355" t="inlineStr">
        <is>
          <t>Consideração de R$ 535,00/m³ com 5% de perda e R$ 45,00/m³ de bombeamento</t>
        </is>
      </c>
    </row>
    <row r="116" outlineLevel="3" ht="19.9" customFormat="1" customHeight="1" s="1">
      <c r="A116" s="343">
        <f>IF(G116="UNIDADE CONSTRUTIVA",OFFSET(A116,-1,0)+1,LARGE(A$4:A114,1))</f>
        <v/>
      </c>
      <c r="B116" s="343">
        <f>IF(G116="UNIDADE CONSTRUTIVA",0,IF(G116="CÉLULA CONSTRUTIVA",OFFSET(B116,-1,0)+1,OFFSET(B116,-1,0)))</f>
        <v/>
      </c>
      <c r="C116" s="343">
        <f>IF(G116="CÉLULA CONSTRUTIVA",0,IF(G116="ETAPA",OFFSET(C116,-1,0)+1,OFFSET(C116,-1,0)))</f>
        <v/>
      </c>
      <c r="D116" s="347">
        <f>IF(G116="ETAPA",0,IF(G116="SUBETAPA",OFFSET(D116,-1,0)+1,OFFSET(D116,-1,0)))</f>
        <v/>
      </c>
      <c r="E116" s="347">
        <f>IF(G116="Subetapa",0,IF(G116="serviço",OFFSET(E116,-1,0)+1,OFFSET(E116,-1,0)))</f>
        <v/>
      </c>
      <c r="G116" s="75" t="inlineStr">
        <is>
          <t>Serviço</t>
        </is>
      </c>
      <c r="H116" s="352">
        <f>IF(G116="Unidade Construtiva",CONCATENATE("UC ",TEXT(A116,"00")),IF(G116="Célula Construtiva",TEXT(B116,"00"),IF(G116="Etapa",CONCATENATE(TEXT(B116,"00"),".",TEXT(C116,"000")),IF(G116="Subetapa",CONCATENATE(TEXT(B116,"00"),".",TEXT(C116,"000"),".",TEXT(D116,"000")),IF(G116="Serviço",CONCATENATE(TEXT(B116,"00"),".",TEXT(C116,"000"),".",TEXT(D116,"000"),".",TEXT(E116,"000")),"")))))</f>
        <v/>
      </c>
      <c r="I116" s="92" t="inlineStr">
        <is>
          <t>Concreto 40MPa</t>
        </is>
      </c>
      <c r="J116" s="77" t="inlineStr">
        <is>
          <t>m³</t>
        </is>
      </c>
      <c r="K116" s="353" t="n">
        <v>30806.568</v>
      </c>
      <c r="L116" s="87">
        <f>M116/K116</f>
        <v/>
      </c>
      <c r="M116" s="354" t="n">
        <v>258220.6529760001</v>
      </c>
      <c r="N116" s="79">
        <f>M116/$M$298</f>
        <v/>
      </c>
      <c r="O116" s="87">
        <f>M116/OBRA!$D$12</f>
        <v/>
      </c>
      <c r="P116" s="355" t="inlineStr">
        <is>
          <t>Consideração de 10% de perda</t>
        </is>
      </c>
    </row>
    <row r="117" outlineLevel="3" ht="19.9" customFormat="1" customHeight="1" s="1">
      <c r="A117" s="343">
        <f>IF(G117="UNIDADE CONSTRUTIVA",OFFSET(A117,-1,0)+1,LARGE(A$4:A115,1))</f>
        <v/>
      </c>
      <c r="B117" s="343">
        <f>IF(G117="UNIDADE CONSTRUTIVA",0,IF(G117="CÉLULA CONSTRUTIVA",OFFSET(B117,-1,0)+1,OFFSET(B117,-1,0)))</f>
        <v/>
      </c>
      <c r="C117" s="343">
        <f>IF(G117="CÉLULA CONSTRUTIVA",0,IF(G117="ETAPA",OFFSET(C117,-1,0)+1,OFFSET(C117,-1,0)))</f>
        <v/>
      </c>
      <c r="D117" s="347">
        <f>IF(G117="ETAPA",0,IF(G117="SUBETAPA",OFFSET(D117,-1,0)+1,OFFSET(D117,-1,0)))</f>
        <v/>
      </c>
      <c r="E117" s="347">
        <f>IF(G117="Subetapa",0,IF(G117="serviço",OFFSET(E117,-1,0)+1,OFFSET(E117,-1,0)))</f>
        <v/>
      </c>
      <c r="G117" s="75" t="inlineStr">
        <is>
          <t>Serviço</t>
        </is>
      </c>
      <c r="H117" s="352">
        <f>IF(G117="Unidade Construtiva",CONCATENATE("UC ",TEXT(A117,"00")),IF(G117="Célula Construtiva",TEXT(B117,"00"),IF(G117="Etapa",CONCATENATE(TEXT(B117,"00"),".",TEXT(C117,"000")),IF(G117="Subetapa",CONCATENATE(TEXT(B117,"00"),".",TEXT(C117,"000"),".",TEXT(D117,"000")),IF(G117="Serviço",CONCATENATE(TEXT(B117,"00"),".",TEXT(C117,"000"),".",TEXT(D117,"000"),".",TEXT(E117,"000")),"")))))</f>
        <v/>
      </c>
      <c r="I117" s="92" t="inlineStr">
        <is>
          <t>Laje de subpressão</t>
        </is>
      </c>
      <c r="J117" s="77" t="inlineStr">
        <is>
          <t>m³</t>
        </is>
      </c>
      <c r="K117" s="353" t="n">
        <v>1488.24</v>
      </c>
      <c r="L117" s="87">
        <f>M117/K117</f>
        <v/>
      </c>
      <c r="M117" s="354" t="n">
        <v>282303.84526344</v>
      </c>
      <c r="N117" s="79">
        <f>M117/$M$298</f>
        <v/>
      </c>
      <c r="O117" s="87">
        <f>M117/OBRA!$D$12</f>
        <v/>
      </c>
      <c r="P117" s="355" t="n"/>
    </row>
    <row r="118" outlineLevel="3" ht="19.9" customFormat="1" customHeight="1" s="1">
      <c r="A118" s="343">
        <f>IF(G118="UNIDADE CONSTRUTIVA",OFFSET(A118,-1,0)+1,LARGE(A$4:A117,1))</f>
        <v/>
      </c>
      <c r="B118" s="343">
        <f>IF(G118="UNIDADE CONSTRUTIVA",0,IF(G118="CÉLULA CONSTRUTIVA",OFFSET(B118,-1,0)+1,OFFSET(B118,-1,0)))</f>
        <v/>
      </c>
      <c r="C118" s="343">
        <f>IF(G118="CÉLULA CONSTRUTIVA",0,IF(G118="ETAPA",OFFSET(C118,-1,0)+1,OFFSET(C118,-1,0)))</f>
        <v/>
      </c>
      <c r="D118" s="347">
        <f>IF(G118="ETAPA",0,IF(G118="SUBETAPA",OFFSET(D118,-1,0)+1,OFFSET(D118,-1,0)))</f>
        <v/>
      </c>
      <c r="E118" s="347">
        <f>IF(G118="Subetapa",0,IF(G118="serviço",OFFSET(E118,-1,0)+1,OFFSET(E118,-1,0)))</f>
        <v/>
      </c>
      <c r="G118" s="75" t="inlineStr">
        <is>
          <t>Subetapa</t>
        </is>
      </c>
      <c r="H118" s="352">
        <f>IF(G118="Unidade Construtiva",CONCATENATE("UC ",TEXT(A118,"00")),IF(G118="Célula Construtiva",TEXT(B118,"00"),IF(G118="Etapa",CONCATENATE(TEXT(B118,"00"),".",TEXT(C118,"000")),IF(G118="Subetapa",CONCATENATE(TEXT(B118,"00"),".",TEXT(C118,"000"),".",TEXT(D118,"000")),IF(G118="Serviço",CONCATENATE(TEXT(B118,"00"),".",TEXT(C118,"000"),".",TEXT(D118,"000"),".",TEXT(E118,"000")),"")))))</f>
        <v/>
      </c>
      <c r="I118" s="92" t="inlineStr">
        <is>
          <t>Mão de obra infraestrutura</t>
        </is>
      </c>
      <c r="J118" s="77" t="n"/>
      <c r="K118" s="353" t="n"/>
      <c r="L118" s="87" t="n"/>
      <c r="M118" s="354">
        <f>M119</f>
        <v/>
      </c>
      <c r="N118" s="79">
        <f>M118/$M$298</f>
        <v/>
      </c>
      <c r="O118" s="87">
        <f>M118/OBRA!$D$12</f>
        <v/>
      </c>
      <c r="P118" s="355" t="n"/>
    </row>
    <row r="119" outlineLevel="3" customFormat="1" s="1">
      <c r="A119" s="343">
        <f>IF(G119="UNIDADE CONSTRUTIVA",OFFSET(A119,-1,0)+1,LARGE(A$4:A118,1))</f>
        <v/>
      </c>
      <c r="B119" s="343">
        <f>IF(G119="UNIDADE CONSTRUTIVA",0,IF(G119="CÉLULA CONSTRUTIVA",OFFSET(B119,-1,0)+1,OFFSET(B119,-1,0)))</f>
        <v/>
      </c>
      <c r="C119" s="343">
        <f>IF(G119="CÉLULA CONSTRUTIVA",0,IF(G119="ETAPA",OFFSET(C119,-1,0)+1,OFFSET(C119,-1,0)))</f>
        <v/>
      </c>
      <c r="D119" s="347">
        <f>IF(G119="ETAPA",0,IF(G119="SUBETAPA",OFFSET(D119,-1,0)+1,OFFSET(D119,-1,0)))</f>
        <v/>
      </c>
      <c r="E119" s="347">
        <f>IF(G119="Subetapa",0,IF(G119="serviço",OFFSET(E119,-1,0)+1,OFFSET(E119,-1,0)))</f>
        <v/>
      </c>
      <c r="G119" s="75" t="inlineStr">
        <is>
          <t>Serviço</t>
        </is>
      </c>
      <c r="H119" s="352">
        <f>IF(G119="Unidade Construtiva",CONCATENATE("UC ",TEXT(A119,"00")),IF(G119="Célula Construtiva",TEXT(B119,"00"),IF(G119="Etapa",CONCATENATE(TEXT(B119,"00"),".",TEXT(C119,"000")),IF(G119="Subetapa",CONCATENATE(TEXT(B119,"00"),".",TEXT(C119,"000"),".",TEXT(D119,"000")),IF(G119="Serviço",CONCATENATE(TEXT(B119,"00"),".",TEXT(C119,"000"),".",TEXT(D119,"000"),".",TEXT(E119,"000")),"")))))</f>
        <v/>
      </c>
      <c r="I119" s="92" t="inlineStr">
        <is>
          <t>Mão de obra infraestrutura</t>
        </is>
      </c>
      <c r="J119" s="77" t="inlineStr">
        <is>
          <t>m³</t>
        </is>
      </c>
      <c r="K119" s="353" t="n">
        <v>1488.24</v>
      </c>
      <c r="L119" s="87">
        <f>M119/K119</f>
        <v/>
      </c>
      <c r="M119" s="357" t="n">
        <v>589343.04</v>
      </c>
      <c r="N119" s="79">
        <f>M119/$M$298</f>
        <v/>
      </c>
      <c r="O119" s="87">
        <f>M119/OBRA!$D$12</f>
        <v/>
      </c>
      <c r="P119" s="355" t="inlineStr">
        <is>
          <t>Valor estimado por área de projeção do embasamento x 1,5</t>
        </is>
      </c>
    </row>
    <row r="120" outlineLevel="1" ht="19.9" customFormat="1" customHeight="1" s="1">
      <c r="A120" s="343">
        <f>IF(G120="UNIDADE CONSTRUTIVA",OFFSET(A120,-1,0)+1,LARGE(A$4:A119,1))</f>
        <v/>
      </c>
      <c r="B120" s="343">
        <f>IF(G120="UNIDADE CONSTRUTIVA",0,IF(G120="CÉLULA CONSTRUTIVA",OFFSET(B120,-1,0)+1,OFFSET(B120,-1,0)))</f>
        <v/>
      </c>
      <c r="C120" s="343">
        <f>IF(G120="CÉLULA CONSTRUTIVA",0,IF(G120="ETAPA",OFFSET(C120,-1,0)+1,OFFSET(C120,-1,0)))</f>
        <v/>
      </c>
      <c r="D120" s="347">
        <f>IF(G120="ETAPA",0,IF(G120="SUBETAPA",OFFSET(D120,-1,0)+1,OFFSET(D120,-1,0)))</f>
        <v/>
      </c>
      <c r="E120" s="347">
        <f>IF(G120="Subetapa",0,IF(G120="serviço",OFFSET(E120,-1,0)+1,OFFSET(E120,-1,0)))</f>
        <v/>
      </c>
      <c r="G120" s="75" t="inlineStr">
        <is>
          <t>CÉLULA CONSTRUTIVA</t>
        </is>
      </c>
      <c r="H120" s="352">
        <f>IF(G120="Unidade Construtiva",CONCATENATE("UC ",TEXT(A120,"00")),IF(G120="Célula Construtiva",TEXT(B120,"00"),IF(G120="Etapa",CONCATENATE(TEXT(B120,"00"),".",TEXT(C120,"000")),IF(G120="Subetapa",CONCATENATE(TEXT(B120,"00"),".",TEXT(C120,"000"),".",TEXT(D120,"000")),IF(G120="Serviço",CONCATENATE(TEXT(B120,"00"),".",TEXT(C120,"000"),".",TEXT(D120,"000"),".",TEXT(E120,"000")),"")))))</f>
        <v/>
      </c>
      <c r="I120" s="92" t="inlineStr">
        <is>
          <t>CONTENÇÃO</t>
        </is>
      </c>
      <c r="J120" s="77" t="n"/>
      <c r="K120" s="353" t="n"/>
      <c r="L120" s="87" t="n"/>
      <c r="M120" s="354">
        <f>M121</f>
        <v/>
      </c>
      <c r="N120" s="79">
        <f>M120/$M$298</f>
        <v/>
      </c>
      <c r="O120" s="87">
        <f>M120/OBRA!$D$12</f>
        <v/>
      </c>
      <c r="P120" s="355">
        <f>[1]CONTENÇÃO!$G$36</f>
        <v/>
      </c>
      <c r="Q120" s="356">
        <f>M120-P120</f>
        <v/>
      </c>
    </row>
    <row r="121" outlineLevel="2" ht="19.9" customFormat="1" customHeight="1" s="1">
      <c r="A121" s="343">
        <f>IF(G121="UNIDADE CONSTRUTIVA",OFFSET(A121,-1,0)+1,LARGE(A$4:A120,1))</f>
        <v/>
      </c>
      <c r="B121" s="343">
        <f>IF(G121="UNIDADE CONSTRUTIVA",0,IF(G121="CÉLULA CONSTRUTIVA",OFFSET(B121,-1,0)+1,OFFSET(B121,-1,0)))</f>
        <v/>
      </c>
      <c r="C121" s="343">
        <f>IF(G121="CÉLULA CONSTRUTIVA",0,IF(G121="ETAPA",OFFSET(C121,-1,0)+1,OFFSET(C121,-1,0)))</f>
        <v/>
      </c>
      <c r="D121" s="347">
        <f>IF(G121="ETAPA",0,IF(G121="SUBETAPA",OFFSET(D121,-1,0)+1,OFFSET(D121,-1,0)))</f>
        <v/>
      </c>
      <c r="E121" s="347">
        <f>IF(G121="Subetapa",0,IF(G121="serviço",OFFSET(E121,-1,0)+1,OFFSET(E121,-1,0)))</f>
        <v/>
      </c>
      <c r="G121" s="75" t="inlineStr">
        <is>
          <t>ETAPA</t>
        </is>
      </c>
      <c r="H121" s="352">
        <f>IF(G121="Unidade Construtiva",CONCATENATE("UC ",TEXT(A121,"00")),IF(G121="Célula Construtiva",TEXT(B121,"00"),IF(G121="Etapa",CONCATENATE(TEXT(B121,"00"),".",TEXT(C121,"000")),IF(G121="Subetapa",CONCATENATE(TEXT(B121,"00"),".",TEXT(C121,"000"),".",TEXT(D121,"000")),IF(G121="Serviço",CONCATENATE(TEXT(B121,"00"),".",TEXT(C121,"000"),".",TEXT(D121,"000"),".",TEXT(E121,"000")),"")))))</f>
        <v/>
      </c>
      <c r="I121" s="92" t="inlineStr">
        <is>
          <t>CONTENÇÃO</t>
        </is>
      </c>
      <c r="J121" s="77" t="n"/>
      <c r="K121" s="353" t="n"/>
      <c r="L121" s="87" t="n"/>
      <c r="M121" s="354">
        <f>M122</f>
        <v/>
      </c>
      <c r="N121" s="79">
        <f>M121/$M$298</f>
        <v/>
      </c>
      <c r="O121" s="87">
        <f>M121/OBRA!$D$12</f>
        <v/>
      </c>
      <c r="P121" s="355" t="n"/>
    </row>
    <row r="122" outlineLevel="3" ht="19.9" customFormat="1" customHeight="1" s="1">
      <c r="A122" s="343">
        <f>IF(G122="UNIDADE CONSTRUTIVA",OFFSET(A122,-1,0)+1,LARGE(A$4:A121,1))</f>
        <v/>
      </c>
      <c r="B122" s="343">
        <f>IF(G122="UNIDADE CONSTRUTIVA",0,IF(G122="CÉLULA CONSTRUTIVA",OFFSET(B122,-1,0)+1,OFFSET(B122,-1,0)))</f>
        <v/>
      </c>
      <c r="C122" s="343">
        <f>IF(G122="CÉLULA CONSTRUTIVA",0,IF(G122="ETAPA",OFFSET(C122,-1,0)+1,OFFSET(C122,-1,0)))</f>
        <v/>
      </c>
      <c r="D122" s="347">
        <f>IF(G122="ETAPA",0,IF(G122="SUBETAPA",OFFSET(D122,-1,0)+1,OFFSET(D122,-1,0)))</f>
        <v/>
      </c>
      <c r="E122" s="347">
        <f>IF(G122="Subetapa",0,IF(G122="serviço",OFFSET(E122,-1,0)+1,OFFSET(E122,-1,0)))</f>
        <v/>
      </c>
      <c r="G122" s="75" t="inlineStr">
        <is>
          <t>Subetapa</t>
        </is>
      </c>
      <c r="H122" s="352">
        <f>IF(G122="Unidade Construtiva",CONCATENATE("UC ",TEXT(A122,"00")),IF(G122="Célula Construtiva",TEXT(B122,"00"),IF(G122="Etapa",CONCATENATE(TEXT(B122,"00"),".",TEXT(C122,"000")),IF(G122="Subetapa",CONCATENATE(TEXT(B122,"00"),".",TEXT(C122,"000"),".",TEXT(D122,"000")),IF(G122="Serviço",CONCATENATE(TEXT(B122,"00"),".",TEXT(C122,"000"),".",TEXT(D122,"000"),".",TEXT(E122,"000")),"")))))</f>
        <v/>
      </c>
      <c r="I122" s="92" t="inlineStr">
        <is>
          <t>Parede Diafragma</t>
        </is>
      </c>
      <c r="J122" s="77" t="n"/>
      <c r="K122" s="353" t="n"/>
      <c r="L122" s="87" t="n"/>
      <c r="M122" s="354">
        <f>SUM(M123:M128)</f>
        <v/>
      </c>
      <c r="N122" s="79">
        <f>M122/$M$298</f>
        <v/>
      </c>
      <c r="O122" s="87">
        <f>M122/OBRA!$D$12</f>
        <v/>
      </c>
      <c r="P122" s="355" t="n"/>
    </row>
    <row r="123" outlineLevel="3" ht="19.9" customFormat="1" customHeight="1" s="1">
      <c r="A123" s="343">
        <f>IF(G123="UNIDADE CONSTRUTIVA",OFFSET(A123,-1,0)+1,LARGE(A$4:A122,1))</f>
        <v/>
      </c>
      <c r="B123" s="343">
        <f>IF(G123="UNIDADE CONSTRUTIVA",0,IF(G123="CÉLULA CONSTRUTIVA",OFFSET(B123,-1,0)+1,OFFSET(B123,-1,0)))</f>
        <v/>
      </c>
      <c r="C123" s="343">
        <f>IF(G123="CÉLULA CONSTRUTIVA",0,IF(G123="ETAPA",OFFSET(C123,-1,0)+1,OFFSET(C123,-1,0)))</f>
        <v/>
      </c>
      <c r="D123" s="347">
        <f>IF(G123="ETAPA",0,IF(G123="SUBETAPA",OFFSET(D123,-1,0)+1,OFFSET(D123,-1,0)))</f>
        <v/>
      </c>
      <c r="E123" s="347">
        <f>IF(G123="Subetapa",0,IF(G123="serviço",OFFSET(E123,-1,0)+1,OFFSET(E123,-1,0)))</f>
        <v/>
      </c>
      <c r="G123" s="75" t="inlineStr">
        <is>
          <t>Serviço</t>
        </is>
      </c>
      <c r="H123" s="352">
        <f>IF(G123="Unidade Construtiva",CONCATENATE("UC ",TEXT(A123,"00")),IF(G123="Célula Construtiva",TEXT(B123,"00"),IF(G123="Etapa",CONCATENATE(TEXT(B123,"00"),".",TEXT(C123,"000")),IF(G123="Subetapa",CONCATENATE(TEXT(B123,"00"),".",TEXT(C123,"000"),".",TEXT(D123,"000")),IF(G123="Serviço",CONCATENATE(TEXT(B123,"00"),".",TEXT(C123,"000"),".",TEXT(D123,"000"),".",TEXT(E123,"000")),"")))))</f>
        <v/>
      </c>
      <c r="I123" s="92" t="inlineStr">
        <is>
          <t>Execução de mureta guia</t>
        </is>
      </c>
      <c r="J123" s="77" t="inlineStr">
        <is>
          <t>m</t>
        </is>
      </c>
      <c r="K123" s="353" t="n">
        <v>157.96</v>
      </c>
      <c r="L123" s="87">
        <f>M123/K123</f>
        <v/>
      </c>
      <c r="M123" s="354" t="n">
        <v>123366.76</v>
      </c>
      <c r="N123" s="79">
        <f>M123/$M$298</f>
        <v/>
      </c>
      <c r="O123" s="87">
        <f>M123/OBRA!$D$12</f>
        <v/>
      </c>
      <c r="P123" s="355" t="n"/>
    </row>
    <row r="124" outlineLevel="3" ht="19.9" customFormat="1" customHeight="1" s="1">
      <c r="A124" s="343">
        <f>IF(G124="UNIDADE CONSTRUTIVA",OFFSET(A124,-1,0)+1,LARGE(A$4:A123,1))</f>
        <v/>
      </c>
      <c r="B124" s="343">
        <f>IF(G124="UNIDADE CONSTRUTIVA",0,IF(G124="CÉLULA CONSTRUTIVA",OFFSET(B124,-1,0)+1,OFFSET(B124,-1,0)))</f>
        <v/>
      </c>
      <c r="C124" s="343">
        <f>IF(G124="CÉLULA CONSTRUTIVA",0,IF(G124="ETAPA",OFFSET(C124,-1,0)+1,OFFSET(C124,-1,0)))</f>
        <v/>
      </c>
      <c r="D124" s="347">
        <f>IF(G124="ETAPA",0,IF(G124="SUBETAPA",OFFSET(D124,-1,0)+1,OFFSET(D124,-1,0)))</f>
        <v/>
      </c>
      <c r="E124" s="347">
        <f>IF(G124="Subetapa",0,IF(G124="serviço",OFFSET(E124,-1,0)+1,OFFSET(E124,-1,0)))</f>
        <v/>
      </c>
      <c r="G124" s="75" t="inlineStr">
        <is>
          <t>Serviço</t>
        </is>
      </c>
      <c r="H124" s="352">
        <f>IF(G124="Unidade Construtiva",CONCATENATE("UC ",TEXT(A124,"00")),IF(G124="Célula Construtiva",TEXT(B124,"00"),IF(G124="Etapa",CONCATENATE(TEXT(B124,"00"),".",TEXT(C124,"000")),IF(G124="Subetapa",CONCATENATE(TEXT(B124,"00"),".",TEXT(C124,"000"),".",TEXT(D124,"000")),IF(G124="Serviço",CONCATENATE(TEXT(B124,"00"),".",TEXT(C124,"000"),".",TEXT(D124,"000"),".",TEXT(E124,"000")),"")))))</f>
        <v/>
      </c>
      <c r="I124" s="92" t="inlineStr">
        <is>
          <t>Serviço especializado parede diafragma</t>
        </is>
      </c>
      <c r="J124" s="77" t="inlineStr">
        <is>
          <t>m²</t>
        </is>
      </c>
      <c r="K124" s="353" t="n">
        <v>1421.64</v>
      </c>
      <c r="L124" s="87">
        <f>M124/K124</f>
        <v/>
      </c>
      <c r="M124" s="354" t="n">
        <v>383842.8</v>
      </c>
      <c r="N124" s="79">
        <f>M124/$M$298</f>
        <v/>
      </c>
      <c r="O124" s="87">
        <f>M124/OBRA!$D$12</f>
        <v/>
      </c>
      <c r="P124" s="355" t="n"/>
    </row>
    <row r="125" outlineLevel="3" ht="19.9" customFormat="1" customHeight="1" s="1">
      <c r="A125" s="343">
        <f>IF(G125="UNIDADE CONSTRUTIVA",OFFSET(A125,-1,0)+1,LARGE(A$4:A124,1))</f>
        <v/>
      </c>
      <c r="B125" s="343">
        <f>IF(G125="UNIDADE CONSTRUTIVA",0,IF(G125="CÉLULA CONSTRUTIVA",OFFSET(B125,-1,0)+1,OFFSET(B125,-1,0)))</f>
        <v/>
      </c>
      <c r="C125" s="343">
        <f>IF(G125="CÉLULA CONSTRUTIVA",0,IF(G125="ETAPA",OFFSET(C125,-1,0)+1,OFFSET(C125,-1,0)))</f>
        <v/>
      </c>
      <c r="D125" s="347">
        <f>IF(G125="ETAPA",0,IF(G125="SUBETAPA",OFFSET(D125,-1,0)+1,OFFSET(D125,-1,0)))</f>
        <v/>
      </c>
      <c r="E125" s="347">
        <f>IF(G125="Subetapa",0,IF(G125="serviço",OFFSET(E125,-1,0)+1,OFFSET(E125,-1,0)))</f>
        <v/>
      </c>
      <c r="G125" s="75" t="inlineStr">
        <is>
          <t>Serviço</t>
        </is>
      </c>
      <c r="H125" s="352">
        <f>IF(G125="Unidade Construtiva",CONCATENATE("UC ",TEXT(A125,"00")),IF(G125="Célula Construtiva",TEXT(B125,"00"),IF(G125="Etapa",CONCATENATE(TEXT(B125,"00"),".",TEXT(C125,"000")),IF(G125="Subetapa",CONCATENATE(TEXT(B125,"00"),".",TEXT(C125,"000"),".",TEXT(D125,"000")),IF(G125="Serviço",CONCATENATE(TEXT(B125,"00"),".",TEXT(C125,"000"),".",TEXT(D125,"000"),".",TEXT(E125,"000")),"")))))</f>
        <v/>
      </c>
      <c r="I125" s="92" t="inlineStr">
        <is>
          <t>Mobilização para parede diagragma</t>
        </is>
      </c>
      <c r="J125" s="77" t="inlineStr">
        <is>
          <t>vb</t>
        </is>
      </c>
      <c r="K125" s="353" t="n">
        <v>1</v>
      </c>
      <c r="L125" s="87">
        <f>M125/K125</f>
        <v/>
      </c>
      <c r="M125" s="354" t="n">
        <v>18000</v>
      </c>
      <c r="N125" s="79">
        <f>M125/$M$298</f>
        <v/>
      </c>
      <c r="O125" s="87">
        <f>M125/OBRA!$D$12</f>
        <v/>
      </c>
      <c r="P125" s="355" t="n"/>
    </row>
    <row r="126" outlineLevel="3" ht="19.9" customFormat="1" customHeight="1" s="1">
      <c r="A126" s="343">
        <f>IF(G126="UNIDADE CONSTRUTIVA",OFFSET(A126,-1,0)+1,LARGE(A$4:A125,1))</f>
        <v/>
      </c>
      <c r="B126" s="343">
        <f>IF(G126="UNIDADE CONSTRUTIVA",0,IF(G126="CÉLULA CONSTRUTIVA",OFFSET(B126,-1,0)+1,OFFSET(B126,-1,0)))</f>
        <v/>
      </c>
      <c r="C126" s="343">
        <f>IF(G126="CÉLULA CONSTRUTIVA",0,IF(G126="ETAPA",OFFSET(C126,-1,0)+1,OFFSET(C126,-1,0)))</f>
        <v/>
      </c>
      <c r="D126" s="347">
        <f>IF(G126="ETAPA",0,IF(G126="SUBETAPA",OFFSET(D126,-1,0)+1,OFFSET(D126,-1,0)))</f>
        <v/>
      </c>
      <c r="E126" s="347">
        <f>IF(G126="Subetapa",0,IF(G126="serviço",OFFSET(E126,-1,0)+1,OFFSET(E126,-1,0)))</f>
        <v/>
      </c>
      <c r="G126" s="75" t="inlineStr">
        <is>
          <t>Serviço</t>
        </is>
      </c>
      <c r="H126" s="352">
        <f>IF(G126="Unidade Construtiva",CONCATENATE("UC ",TEXT(A126,"00")),IF(G126="Célula Construtiva",TEXT(B126,"00"),IF(G126="Etapa",CONCATENATE(TEXT(B126,"00"),".",TEXT(C126,"000")),IF(G126="Subetapa",CONCATENATE(TEXT(B126,"00"),".",TEXT(C126,"000"),".",TEXT(D126,"000")),IF(G126="Serviço",CONCATENATE(TEXT(B126,"00"),".",TEXT(C126,"000"),".",TEXT(D126,"000"),".",TEXT(E126,"000")),"")))))</f>
        <v/>
      </c>
      <c r="I126" s="92" t="inlineStr">
        <is>
          <t xml:space="preserve">Armação </t>
        </is>
      </c>
      <c r="J126" s="77" t="inlineStr">
        <is>
          <t>kg</t>
        </is>
      </c>
      <c r="K126" s="353" t="n">
        <v>47767.10399999999</v>
      </c>
      <c r="L126" s="87">
        <f>M126/K126</f>
        <v/>
      </c>
      <c r="M126" s="354" t="n">
        <v>363985.3324799999</v>
      </c>
      <c r="N126" s="79">
        <f>M126/$M$298</f>
        <v/>
      </c>
      <c r="O126" s="87">
        <f>M126/OBRA!$D$12</f>
        <v/>
      </c>
      <c r="P126" s="355" t="n"/>
    </row>
    <row r="127" outlineLevel="3" ht="19.9" customFormat="1" customHeight="1" s="1">
      <c r="A127" s="343">
        <f>IF(G127="UNIDADE CONSTRUTIVA",OFFSET(A127,-1,0)+1,LARGE(A$4:A126,1))</f>
        <v/>
      </c>
      <c r="B127" s="343">
        <f>IF(G127="UNIDADE CONSTRUTIVA",0,IF(G127="CÉLULA CONSTRUTIVA",OFFSET(B127,-1,0)+1,OFFSET(B127,-1,0)))</f>
        <v/>
      </c>
      <c r="C127" s="343">
        <f>IF(G127="CÉLULA CONSTRUTIVA",0,IF(G127="ETAPA",OFFSET(C127,-1,0)+1,OFFSET(C127,-1,0)))</f>
        <v/>
      </c>
      <c r="D127" s="347">
        <f>IF(G127="ETAPA",0,IF(G127="SUBETAPA",OFFSET(D127,-1,0)+1,OFFSET(D127,-1,0)))</f>
        <v/>
      </c>
      <c r="E127" s="347">
        <f>IF(G127="Subetapa",0,IF(G127="serviço",OFFSET(E127,-1,0)+1,OFFSET(E127,-1,0)))</f>
        <v/>
      </c>
      <c r="G127" s="75" t="inlineStr">
        <is>
          <t>Serviço</t>
        </is>
      </c>
      <c r="H127" s="352">
        <f>IF(G127="Unidade Construtiva",CONCATENATE("UC ",TEXT(A127,"00")),IF(G127="Célula Construtiva",TEXT(B127,"00"),IF(G127="Etapa",CONCATENATE(TEXT(B127,"00"),".",TEXT(C127,"000")),IF(G127="Subetapa",CONCATENATE(TEXT(B127,"00"),".",TEXT(C127,"000"),".",TEXT(D127,"000")),IF(G127="Serviço",CONCATENATE(TEXT(B127,"00"),".",TEXT(C127,"000"),".",TEXT(D127,"000"),".",TEXT(E127,"000")),"")))))</f>
        <v/>
      </c>
      <c r="I127" s="92" t="inlineStr">
        <is>
          <t>Concreto (40 Mpa) COM CRISTALIZANTE</t>
        </is>
      </c>
      <c r="J127" s="77" t="inlineStr">
        <is>
          <t>m³</t>
        </is>
      </c>
      <c r="K127" s="353" t="n">
        <v>426.492</v>
      </c>
      <c r="L127" s="87">
        <f>M127/K127</f>
        <v/>
      </c>
      <c r="M127" s="354" t="n">
        <v>328534.8717558599</v>
      </c>
      <c r="N127" s="79">
        <f>M127/$M$298</f>
        <v/>
      </c>
      <c r="O127" s="87">
        <f>M127/OBRA!$D$12</f>
        <v/>
      </c>
      <c r="P127" s="355" t="n"/>
    </row>
    <row r="128" outlineLevel="3" ht="19.9" customFormat="1" customHeight="1" s="1">
      <c r="A128" s="343">
        <f>IF(G128="UNIDADE CONSTRUTIVA",OFFSET(A128,-1,0)+1,LARGE(A$4:A127,1))</f>
        <v/>
      </c>
      <c r="B128" s="343">
        <f>IF(G128="UNIDADE CONSTRUTIVA",0,IF(G128="CÉLULA CONSTRUTIVA",OFFSET(B128,-1,0)+1,OFFSET(B128,-1,0)))</f>
        <v/>
      </c>
      <c r="C128" s="343">
        <f>IF(G128="CÉLULA CONSTRUTIVA",0,IF(G128="ETAPA",OFFSET(C128,-1,0)+1,OFFSET(C128,-1,0)))</f>
        <v/>
      </c>
      <c r="D128" s="347">
        <f>IF(G128="ETAPA",0,IF(G128="SUBETAPA",OFFSET(D128,-1,0)+1,OFFSET(D128,-1,0)))</f>
        <v/>
      </c>
      <c r="E128" s="347">
        <f>IF(G128="Subetapa",0,IF(G128="serviço",OFFSET(E128,-1,0)+1,OFFSET(E128,-1,0)))</f>
        <v/>
      </c>
      <c r="G128" s="75" t="inlineStr">
        <is>
          <t>Serviço</t>
        </is>
      </c>
      <c r="H128" s="352">
        <f>IF(G128="Unidade Construtiva",CONCATENATE("UC ",TEXT(A128,"00")),IF(G128="Célula Construtiva",TEXT(B128,"00"),IF(G128="Etapa",CONCATENATE(TEXT(B128,"00"),".",TEXT(C128,"000")),IF(G128="Subetapa",CONCATENATE(TEXT(B128,"00"),".",TEXT(C128,"000"),".",TEXT(D128,"000")),IF(G128="Serviço",CONCATENATE(TEXT(B128,"00"),".",TEXT(C128,"000"),".",TEXT(D128,"000"),".",TEXT(E128,"000")),"")))))</f>
        <v/>
      </c>
      <c r="I128" s="92" t="inlineStr">
        <is>
          <t>Tratamento em juntas de concretagem com fita hidroexpansiva</t>
        </is>
      </c>
      <c r="J128" s="77" t="inlineStr">
        <is>
          <t>m²</t>
        </is>
      </c>
      <c r="K128" s="353" t="n">
        <v>13275.29</v>
      </c>
      <c r="L128" s="87" t="n">
        <v>271.85</v>
      </c>
      <c r="M128" s="354">
        <f>K128*L128</f>
        <v/>
      </c>
      <c r="N128" s="79">
        <f>M128/$M$298</f>
        <v/>
      </c>
      <c r="O128" s="87">
        <f>M128/OBRA!$D$12</f>
        <v/>
      </c>
      <c r="P128" s="355" t="n"/>
    </row>
    <row r="129" outlineLevel="1" ht="19.9" customFormat="1" customHeight="1" s="1">
      <c r="A129" s="343">
        <f>IF(G129="UNIDADE CONSTRUTIVA",OFFSET(A129,-1,0)+1,LARGE(A$4:A119,1))</f>
        <v/>
      </c>
      <c r="B129" s="343">
        <f>IF(G129="UNIDADE CONSTRUTIVA",0,IF(G129="CÉLULA CONSTRUTIVA",OFFSET(B129,-1,0)+1,OFFSET(B129,-1,0)))</f>
        <v/>
      </c>
      <c r="C129" s="343">
        <f>IF(G129="CÉLULA CONSTRUTIVA",0,IF(G129="ETAPA",OFFSET(C129,-1,0)+1,OFFSET(C129,-1,0)))</f>
        <v/>
      </c>
      <c r="D129" s="347">
        <f>IF(G129="ETAPA",0,IF(G129="SUBETAPA",OFFSET(D129,-1,0)+1,OFFSET(D129,-1,0)))</f>
        <v/>
      </c>
      <c r="E129" s="347">
        <f>IF(G129="Subetapa",0,IF(G129="serviço",OFFSET(E129,-1,0)+1,OFFSET(E129,-1,0)))</f>
        <v/>
      </c>
      <c r="G129" s="75" t="inlineStr">
        <is>
          <t>CÉLULA CONSTRUTIVA</t>
        </is>
      </c>
      <c r="H129" s="352">
        <f>IF(G129="Unidade Construtiva",CONCATENATE("UC ",TEXT(A129,"00")),IF(G129="Célula Construtiva",TEXT(B129,"00"),IF(G129="Etapa",CONCATENATE(TEXT(B129,"00"),".",TEXT(C129,"000")),IF(G129="Subetapa",CONCATENATE(TEXT(B129,"00"),".",TEXT(C129,"000"),".",TEXT(D129,"000")),IF(G129="Serviço",CONCATENATE(TEXT(B129,"00"),".",TEXT(C129,"000"),".",TEXT(D129,"000"),".",TEXT(E129,"000")),"")))))</f>
        <v/>
      </c>
      <c r="I129" s="92" t="inlineStr">
        <is>
          <t>SUPRAESTRUTURA</t>
        </is>
      </c>
      <c r="J129" s="77" t="n"/>
      <c r="K129" s="353" t="n"/>
      <c r="L129" s="87" t="n"/>
      <c r="M129" s="354">
        <f>M130</f>
        <v/>
      </c>
      <c r="N129" s="79">
        <f>M129/$M$298</f>
        <v/>
      </c>
      <c r="O129" s="87">
        <f>M129/OBRA!$D$12</f>
        <v/>
      </c>
      <c r="P129" s="355" t="n"/>
    </row>
    <row r="130" outlineLevel="2" ht="19.9" customFormat="1" customHeight="1" s="1">
      <c r="A130" s="343">
        <f>IF(G130="UNIDADE CONSTRUTIVA",OFFSET(A130,-1,0)+1,LARGE(A$4:A129,1))</f>
        <v/>
      </c>
      <c r="B130" s="343">
        <f>IF(G130="UNIDADE CONSTRUTIVA",0,IF(G130="CÉLULA CONSTRUTIVA",OFFSET(B130,-1,0)+1,OFFSET(B130,-1,0)))</f>
        <v/>
      </c>
      <c r="C130" s="343">
        <f>IF(G130="CÉLULA CONSTRUTIVA",0,IF(G130="ETAPA",OFFSET(C130,-1,0)+1,OFFSET(C130,-1,0)))</f>
        <v/>
      </c>
      <c r="D130" s="347">
        <f>IF(G130="ETAPA",0,IF(G130="SUBETAPA",OFFSET(D130,-1,0)+1,OFFSET(D130,-1,0)))</f>
        <v/>
      </c>
      <c r="E130" s="347">
        <f>IF(G130="Subetapa",0,IF(G130="serviço",OFFSET(E130,-1,0)+1,OFFSET(E130,-1,0)))</f>
        <v/>
      </c>
      <c r="G130" s="75" t="inlineStr">
        <is>
          <t>ETAPA</t>
        </is>
      </c>
      <c r="H130" s="352">
        <f>IF(G130="Unidade Construtiva",CONCATENATE("UC ",TEXT(A130,"00")),IF(G130="Célula Construtiva",TEXT(B130,"00"),IF(G130="Etapa",CONCATENATE(TEXT(B130,"00"),".",TEXT(C130,"000")),IF(G130="Subetapa",CONCATENATE(TEXT(B130,"00"),".",TEXT(C130,"000"),".",TEXT(D130,"000")),IF(G130="Serviço",CONCATENATE(TEXT(B130,"00"),".",TEXT(C130,"000"),".",TEXT(D130,"000"),".",TEXT(E130,"000")),"")))))</f>
        <v/>
      </c>
      <c r="I130" s="92" t="inlineStr">
        <is>
          <t>SUPRAESTRUTURA</t>
        </is>
      </c>
      <c r="J130" s="77" t="n"/>
      <c r="K130" s="353" t="n"/>
      <c r="L130" s="87" t="n"/>
      <c r="M130" s="354">
        <f>M131+M134+M136+M138+M142</f>
        <v/>
      </c>
      <c r="N130" s="79">
        <f>M130/$M$298</f>
        <v/>
      </c>
      <c r="O130" s="87">
        <f>M130/OBRA!$D$12</f>
        <v/>
      </c>
      <c r="P130" s="355" t="n"/>
    </row>
    <row r="131" outlineLevel="2" ht="19.9" customFormat="1" customHeight="1" s="1">
      <c r="A131" s="343">
        <f>IF(G131="UNIDADE CONSTRUTIVA",OFFSET(A131,-1,0)+1,LARGE(A$4:A130,1))</f>
        <v/>
      </c>
      <c r="B131" s="343">
        <f>IF(G131="UNIDADE CONSTRUTIVA",0,IF(G131="CÉLULA CONSTRUTIVA",OFFSET(B131,-1,0)+1,OFFSET(B131,-1,0)))</f>
        <v/>
      </c>
      <c r="C131" s="343">
        <f>IF(G131="CÉLULA CONSTRUTIVA",0,IF(G131="ETAPA",OFFSET(C131,-1,0)+1,OFFSET(C131,-1,0)))</f>
        <v/>
      </c>
      <c r="D131" s="347">
        <f>IF(G131="ETAPA",0,IF(G131="SUBETAPA",OFFSET(D131,-1,0)+1,OFFSET(D131,-1,0)))</f>
        <v/>
      </c>
      <c r="E131" s="347">
        <f>IF(G131="Subetapa",0,IF(G131="serviço",OFFSET(E131,-1,0)+1,OFFSET(E131,-1,0)))</f>
        <v/>
      </c>
      <c r="G131" s="75" t="inlineStr">
        <is>
          <t>Subetapa</t>
        </is>
      </c>
      <c r="H131" s="352">
        <f>IF(G131="Unidade Construtiva",CONCATENATE("UC ",TEXT(A131,"00")),IF(G131="Célula Construtiva",TEXT(B131,"00"),IF(G131="Etapa",CONCATENATE(TEXT(B131,"00"),".",TEXT(C131,"000")),IF(G131="Subetapa",CONCATENATE(TEXT(B131,"00"),".",TEXT(C131,"000"),".",TEXT(D131,"000")),IF(G131="Serviço",CONCATENATE(TEXT(B131,"00"),".",TEXT(C131,"000"),".",TEXT(D131,"000"),".",TEXT(E131,"000")),"")))))</f>
        <v/>
      </c>
      <c r="I131" s="92" t="inlineStr">
        <is>
          <t>Formas</t>
        </is>
      </c>
      <c r="J131" s="77" t="n"/>
      <c r="K131" s="353" t="n"/>
      <c r="L131" s="87" t="n"/>
      <c r="M131" s="354">
        <f>SUM(M132:M133)</f>
        <v/>
      </c>
      <c r="N131" s="79">
        <f>M131/$M$298</f>
        <v/>
      </c>
      <c r="O131" s="87">
        <f>M131/OBRA!$D$12</f>
        <v/>
      </c>
      <c r="P131" s="355" t="n"/>
    </row>
    <row r="132" outlineLevel="3" ht="19.9" customFormat="1" customHeight="1" s="1">
      <c r="A132" s="343">
        <f>IF(G132="UNIDADE CONSTRUTIVA",OFFSET(A132,-1,0)+1,LARGE(A$4:A131,1))</f>
        <v/>
      </c>
      <c r="B132" s="343">
        <f>IF(G132="UNIDADE CONSTRUTIVA",0,IF(G132="CÉLULA CONSTRUTIVA",OFFSET(B132,-1,0)+1,OFFSET(B132,-1,0)))</f>
        <v/>
      </c>
      <c r="C132" s="343">
        <f>IF(G132="CÉLULA CONSTRUTIVA",0,IF(G132="ETAPA",OFFSET(C132,-1,0)+1,OFFSET(C132,-1,0)))</f>
        <v/>
      </c>
      <c r="D132" s="347">
        <f>IF(G132="ETAPA",0,IF(G132="SUBETAPA",OFFSET(D132,-1,0)+1,OFFSET(D132,-1,0)))</f>
        <v/>
      </c>
      <c r="E132" s="347">
        <f>IF(G132="Subetapa",0,IF(G132="serviço",OFFSET(E132,-1,0)+1,OFFSET(E132,-1,0)))</f>
        <v/>
      </c>
      <c r="G132" s="75" t="inlineStr">
        <is>
          <t>Serviço</t>
        </is>
      </c>
      <c r="H132" s="352">
        <f>IF(G132="Unidade Construtiva",CONCATENATE("UC ",TEXT(A132,"00")),IF(G132="Célula Construtiva",TEXT(B132,"00"),IF(G132="Etapa",CONCATENATE(TEXT(B132,"00"),".",TEXT(C132,"000")),IF(G132="Subetapa",CONCATENATE(TEXT(B132,"00"),".",TEXT(C132,"000"),".",TEXT(D132,"000")),IF(G132="Serviço",CONCATENATE(TEXT(B132,"00"),".",TEXT(C132,"000"),".",TEXT(D132,"000"),".",TEXT(E132,"000")),"")))))</f>
        <v/>
      </c>
      <c r="I132" s="92" t="inlineStr">
        <is>
          <t>Fabricação forma</t>
        </is>
      </c>
      <c r="J132" s="77" t="inlineStr">
        <is>
          <t>m²</t>
        </is>
      </c>
      <c r="K132" s="353" t="n">
        <v>5056.838461538462</v>
      </c>
      <c r="L132" s="87">
        <f>M132/K132</f>
        <v/>
      </c>
      <c r="M132" s="354" t="n">
        <v>611877.453846154</v>
      </c>
      <c r="N132" s="79">
        <f>M132/$M$298</f>
        <v/>
      </c>
      <c r="O132" s="87">
        <f>M132/OBRA!$D$12</f>
        <v/>
      </c>
      <c r="P132" s="355" t="inlineStr">
        <is>
          <t>Forma com compensado plastificado - 8 reutilizações</t>
        </is>
      </c>
    </row>
    <row r="133" outlineLevel="3" ht="19.9" customFormat="1" customHeight="1" s="1">
      <c r="A133" s="343">
        <f>IF(G133="UNIDADE CONSTRUTIVA",OFFSET(A133,-1,0)+1,LARGE(A$4:A132,1))</f>
        <v/>
      </c>
      <c r="B133" s="343">
        <f>IF(G133="UNIDADE CONSTRUTIVA",0,IF(G133="CÉLULA CONSTRUTIVA",OFFSET(B133,-1,0)+1,OFFSET(B133,-1,0)))</f>
        <v/>
      </c>
      <c r="C133" s="343">
        <f>IF(G133="CÉLULA CONSTRUTIVA",0,IF(G133="ETAPA",OFFSET(C133,-1,0)+1,OFFSET(C133,-1,0)))</f>
        <v/>
      </c>
      <c r="D133" s="347">
        <f>IF(G133="ETAPA",0,IF(G133="SUBETAPA",OFFSET(D133,-1,0)+1,OFFSET(D133,-1,0)))</f>
        <v/>
      </c>
      <c r="E133" s="347">
        <f>IF(G133="Subetapa",0,IF(G133="serviço",OFFSET(E133,-1,0)+1,OFFSET(E133,-1,0)))</f>
        <v/>
      </c>
      <c r="G133" s="75" t="inlineStr">
        <is>
          <t>Serviço</t>
        </is>
      </c>
      <c r="H133" s="352">
        <f>IF(G133="Unidade Construtiva",CONCATENATE("UC ",TEXT(A133,"00")),IF(G133="Célula Construtiva",TEXT(B133,"00"),IF(G133="Etapa",CONCATENATE(TEXT(B133,"00"),".",TEXT(C133,"000")),IF(G133="Subetapa",CONCATENATE(TEXT(B133,"00"),".",TEXT(C133,"000"),".",TEXT(D133,"000")),IF(G133="Serviço",CONCATENATE(TEXT(B133,"00"),".",TEXT(C133,"000"),".",TEXT(D133,"000"),".",TEXT(E133,"000")),"")))))</f>
        <v/>
      </c>
      <c r="I133" s="92" t="inlineStr">
        <is>
          <t>Montagem de forma</t>
        </is>
      </c>
      <c r="J133" s="77" t="inlineStr">
        <is>
          <t>m²</t>
        </is>
      </c>
      <c r="K133" s="353" t="n">
        <v>32869.45</v>
      </c>
      <c r="L133" s="87">
        <f>M133/K133</f>
        <v/>
      </c>
      <c r="M133" s="354" t="n">
        <v>90390.98750000002</v>
      </c>
      <c r="N133" s="79">
        <f>M133/$M$298</f>
        <v/>
      </c>
      <c r="O133" s="87">
        <f>M133/OBRA!$D$12</f>
        <v/>
      </c>
      <c r="P133" s="355" t="n"/>
    </row>
    <row r="134" outlineLevel="2" ht="19.9" customFormat="1" customHeight="1" s="1">
      <c r="A134" s="343">
        <f>IF(G134="UNIDADE CONSTRUTIVA",OFFSET(A134,-1,0)+1,LARGE(A$4:A133,1))</f>
        <v/>
      </c>
      <c r="B134" s="343">
        <f>IF(G134="UNIDADE CONSTRUTIVA",0,IF(G134="CÉLULA CONSTRUTIVA",OFFSET(B134,-1,0)+1,OFFSET(B134,-1,0)))</f>
        <v/>
      </c>
      <c r="C134" s="343">
        <f>IF(G134="CÉLULA CONSTRUTIVA",0,IF(G134="ETAPA",OFFSET(C134,-1,0)+1,OFFSET(C134,-1,0)))</f>
        <v/>
      </c>
      <c r="D134" s="347">
        <f>IF(G134="ETAPA",0,IF(G134="SUBETAPA",OFFSET(D134,-1,0)+1,OFFSET(D134,-1,0)))</f>
        <v/>
      </c>
      <c r="E134" s="347">
        <f>IF(G134="Subetapa",0,IF(G134="serviço",OFFSET(E134,-1,0)+1,OFFSET(E134,-1,0)))</f>
        <v/>
      </c>
      <c r="G134" s="75" t="inlineStr">
        <is>
          <t>Subetapa</t>
        </is>
      </c>
      <c r="H134" s="352">
        <f>IF(G134="Unidade Construtiva",CONCATENATE("UC ",TEXT(A134,"00")),IF(G134="Célula Construtiva",TEXT(B134,"00"),IF(G134="Etapa",CONCATENATE(TEXT(B134,"00"),".",TEXT(C134,"000")),IF(G134="Subetapa",CONCATENATE(TEXT(B134,"00"),".",TEXT(C134,"000"),".",TEXT(D134,"000")),IF(G134="Serviço",CONCATENATE(TEXT(B134,"00"),".",TEXT(C134,"000"),".",TEXT(D134,"000"),".",TEXT(E134,"000")),"")))))</f>
        <v/>
      </c>
      <c r="I134" s="92" t="inlineStr">
        <is>
          <t>Armadura</t>
        </is>
      </c>
      <c r="J134" s="77" t="n"/>
      <c r="K134" s="353" t="n"/>
      <c r="L134" s="87" t="n"/>
      <c r="M134" s="354">
        <f>M135</f>
        <v/>
      </c>
      <c r="N134" s="79">
        <f>M134/$M$298</f>
        <v/>
      </c>
      <c r="O134" s="87">
        <f>M134/OBRA!$D$12</f>
        <v/>
      </c>
      <c r="P134" s="355" t="n"/>
    </row>
    <row r="135" outlineLevel="3" ht="19.9" customFormat="1" customHeight="1" s="1">
      <c r="A135" s="343">
        <f>IF(G135="UNIDADE CONSTRUTIVA",OFFSET(A135,-1,0)+1,LARGE(A$4:A134,1))</f>
        <v/>
      </c>
      <c r="B135" s="343">
        <f>IF(G135="UNIDADE CONSTRUTIVA",0,IF(G135="CÉLULA CONSTRUTIVA",OFFSET(B135,-1,0)+1,OFFSET(B135,-1,0)))</f>
        <v/>
      </c>
      <c r="C135" s="343">
        <f>IF(G135="CÉLULA CONSTRUTIVA",0,IF(G135="ETAPA",OFFSET(C135,-1,0)+1,OFFSET(C135,-1,0)))</f>
        <v/>
      </c>
      <c r="D135" s="347">
        <f>IF(G135="ETAPA",0,IF(G135="SUBETAPA",OFFSET(D135,-1,0)+1,OFFSET(D135,-1,0)))</f>
        <v/>
      </c>
      <c r="E135" s="347">
        <f>IF(G135="Subetapa",0,IF(G135="serviço",OFFSET(E135,-1,0)+1,OFFSET(E135,-1,0)))</f>
        <v/>
      </c>
      <c r="G135" s="75" t="inlineStr">
        <is>
          <t>Serviço</t>
        </is>
      </c>
      <c r="H135" s="352">
        <f>IF(G135="Unidade Construtiva",CONCATENATE("UC ",TEXT(A135,"00")),IF(G135="Célula Construtiva",TEXT(B135,"00"),IF(G135="Etapa",CONCATENATE(TEXT(B135,"00"),".",TEXT(C135,"000")),IF(G135="Subetapa",CONCATENATE(TEXT(B135,"00"),".",TEXT(C135,"000"),".",TEXT(D135,"000")),IF(G135="Serviço",CONCATENATE(TEXT(B135,"00"),".",TEXT(C135,"000"),".",TEXT(D135,"000"),".",TEXT(E135,"000")),"")))))</f>
        <v/>
      </c>
      <c r="I135" s="92" t="inlineStr">
        <is>
          <t>Armadura Convencional para Estrutura</t>
        </is>
      </c>
      <c r="J135" s="77" t="inlineStr">
        <is>
          <t>kg</t>
        </is>
      </c>
      <c r="K135" s="353" t="n">
        <v>295825.05</v>
      </c>
      <c r="L135" s="87">
        <f>M135/K135</f>
        <v/>
      </c>
      <c r="M135" s="354" t="n">
        <v>2479605.5691</v>
      </c>
      <c r="N135" s="79">
        <f>M135/$M$298</f>
        <v/>
      </c>
      <c r="O135" s="87">
        <f>M135/OBRA!$D$12</f>
        <v/>
      </c>
      <c r="P135" s="355" t="inlineStr">
        <is>
          <t>Consideração de 10% de perda</t>
        </is>
      </c>
    </row>
    <row r="136" outlineLevel="2" ht="19.9" customFormat="1" customHeight="1" s="1">
      <c r="A136" s="343">
        <f>IF(G136="UNIDADE CONSTRUTIVA",OFFSET(A136,-1,0)+1,LARGE(A$4:A135,1))</f>
        <v/>
      </c>
      <c r="B136" s="343">
        <f>IF(G136="UNIDADE CONSTRUTIVA",0,IF(G136="CÉLULA CONSTRUTIVA",OFFSET(B136,-1,0)+1,OFFSET(B136,-1,0)))</f>
        <v/>
      </c>
      <c r="C136" s="343">
        <f>IF(G136="CÉLULA CONSTRUTIVA",0,IF(G136="ETAPA",OFFSET(C136,-1,0)+1,OFFSET(C136,-1,0)))</f>
        <v/>
      </c>
      <c r="D136" s="347">
        <f>IF(G136="ETAPA",0,IF(G136="SUBETAPA",OFFSET(D136,-1,0)+1,OFFSET(D136,-1,0)))</f>
        <v/>
      </c>
      <c r="E136" s="347">
        <f>IF(G136="Subetapa",0,IF(G136="serviço",OFFSET(E136,-1,0)+1,OFFSET(E136,-1,0)))</f>
        <v/>
      </c>
      <c r="G136" s="75" t="inlineStr">
        <is>
          <t>Subetapa</t>
        </is>
      </c>
      <c r="H136" s="352">
        <f>IF(G136="Unidade Construtiva",CONCATENATE("UC ",TEXT(A136,"00")),IF(G136="Célula Construtiva",TEXT(B136,"00"),IF(G136="Etapa",CONCATENATE(TEXT(B136,"00"),".",TEXT(C136,"000")),IF(G136="Subetapa",CONCATENATE(TEXT(B136,"00"),".",TEXT(C136,"000"),".",TEXT(D136,"000")),IF(G136="Serviço",CONCATENATE(TEXT(B136,"00"),".",TEXT(C136,"000"),".",TEXT(D136,"000"),".",TEXT(E136,"000")),"")))))</f>
        <v/>
      </c>
      <c r="I136" s="92" t="inlineStr">
        <is>
          <t>Concreto</t>
        </is>
      </c>
      <c r="J136" s="77" t="n"/>
      <c r="K136" s="353" t="n"/>
      <c r="L136" s="87" t="n"/>
      <c r="M136" s="354">
        <f>M137</f>
        <v/>
      </c>
      <c r="N136" s="79">
        <f>M136/$M$298</f>
        <v/>
      </c>
      <c r="O136" s="87">
        <f>M136/OBRA!$D$12</f>
        <v/>
      </c>
      <c r="P136" s="355" t="n"/>
    </row>
    <row r="137" outlineLevel="3" ht="19.9" customFormat="1" customHeight="1" s="1">
      <c r="A137" s="343">
        <f>IF(G137="UNIDADE CONSTRUTIVA",OFFSET(A137,-1,0)+1,LARGE(A$4:A135,1))</f>
        <v/>
      </c>
      <c r="B137" s="343">
        <f>IF(G137="UNIDADE CONSTRUTIVA",0,IF(G137="CÉLULA CONSTRUTIVA",OFFSET(B137,-1,0)+1,OFFSET(B137,-1,0)))</f>
        <v/>
      </c>
      <c r="C137" s="343">
        <f>IF(G137="CÉLULA CONSTRUTIVA",0,IF(G137="ETAPA",OFFSET(C137,-1,0)+1,OFFSET(C137,-1,0)))</f>
        <v/>
      </c>
      <c r="D137" s="347">
        <f>IF(G137="ETAPA",0,IF(G137="SUBETAPA",OFFSET(D137,-1,0)+1,OFFSET(D137,-1,0)))</f>
        <v/>
      </c>
      <c r="E137" s="347">
        <f>IF(G137="Subetapa",0,IF(G137="serviço",OFFSET(E137,-1,0)+1,OFFSET(E137,-1,0)))</f>
        <v/>
      </c>
      <c r="G137" s="75" t="inlineStr">
        <is>
          <t>Serviço</t>
        </is>
      </c>
      <c r="H137" s="352">
        <f>IF(G137="Unidade Construtiva",CONCATENATE("UC ",TEXT(A137,"00")),IF(G137="Célula Construtiva",TEXT(B137,"00"),IF(G137="Etapa",CONCATENATE(TEXT(B137,"00"),".",TEXT(C137,"000")),IF(G137="Subetapa",CONCATENATE(TEXT(B137,"00"),".",TEXT(C137,"000"),".",TEXT(D137,"000")),IF(G137="Serviço",CONCATENATE(TEXT(B137,"00"),".",TEXT(C137,"000"),".",TEXT(D137,"000"),".",TEXT(E137,"000")),"")))))</f>
        <v/>
      </c>
      <c r="I137" s="92" t="inlineStr">
        <is>
          <t>Concreto 40MPa</t>
        </is>
      </c>
      <c r="J137" s="77" t="inlineStr">
        <is>
          <t>m³</t>
        </is>
      </c>
      <c r="K137" s="353" t="n">
        <v>3286.945</v>
      </c>
      <c r="L137" s="87">
        <f>M137/K137</f>
        <v/>
      </c>
      <c r="M137" s="354" t="n">
        <v>2205728.46981795</v>
      </c>
      <c r="N137" s="79">
        <f>M137/$M$298</f>
        <v/>
      </c>
      <c r="O137" s="87">
        <f>M137/OBRA!$D$12</f>
        <v/>
      </c>
      <c r="P137" s="355" t="inlineStr">
        <is>
          <t>Consideração de R$ 535,00/m³ com 5% de perda e R$ 45,00/m³ de bombeamento</t>
        </is>
      </c>
    </row>
    <row r="138" outlineLevel="2" ht="19.9" customFormat="1" customHeight="1" s="1">
      <c r="A138" s="343">
        <f>IF(G138="UNIDADE CONSTRUTIVA",OFFSET(A138,-1,0)+1,LARGE(A$4:A137,1))</f>
        <v/>
      </c>
      <c r="B138" s="343">
        <f>IF(G138="UNIDADE CONSTRUTIVA",0,IF(G138="CÉLULA CONSTRUTIVA",OFFSET(B138,-1,0)+1,OFFSET(B138,-1,0)))</f>
        <v/>
      </c>
      <c r="C138" s="343">
        <f>IF(G138="CÉLULA CONSTRUTIVA",0,IF(G138="ETAPA",OFFSET(C138,-1,0)+1,OFFSET(C138,-1,0)))</f>
        <v/>
      </c>
      <c r="D138" s="347">
        <f>IF(G138="ETAPA",0,IF(G138="SUBETAPA",OFFSET(D138,-1,0)+1,OFFSET(D138,-1,0)))</f>
        <v/>
      </c>
      <c r="E138" s="347">
        <f>IF(G138="Subetapa",0,IF(G138="serviço",OFFSET(E138,-1,0)+1,OFFSET(E138,-1,0)))</f>
        <v/>
      </c>
      <c r="G138" s="75" t="inlineStr">
        <is>
          <t>Subetapa</t>
        </is>
      </c>
      <c r="H138" s="352">
        <f>IF(G138="Unidade Construtiva",CONCATENATE("UC ",TEXT(A138,"00")),IF(G138="Célula Construtiva",TEXT(B138,"00"),IF(G138="Etapa",CONCATENATE(TEXT(B138,"00"),".",TEXT(C138,"000")),IF(G138="Subetapa",CONCATENATE(TEXT(B138,"00"),".",TEXT(C138,"000"),".",TEXT(D138,"000")),IF(G138="Serviço",CONCATENATE(TEXT(B138,"00"),".",TEXT(C138,"000"),".",TEXT(D138,"000"),".",TEXT(E138,"000")),"")))))</f>
        <v/>
      </c>
      <c r="I138" s="92" t="inlineStr">
        <is>
          <t>Complementares</t>
        </is>
      </c>
      <c r="J138" s="77" t="n"/>
      <c r="K138" s="353" t="n"/>
      <c r="L138" s="87" t="n"/>
      <c r="M138" s="354">
        <f>SUM(M139:M141)</f>
        <v/>
      </c>
      <c r="N138" s="79">
        <f>M138/$M$298</f>
        <v/>
      </c>
      <c r="O138" s="87">
        <f>M138/OBRA!$D$12</f>
        <v/>
      </c>
      <c r="P138" s="355" t="n"/>
    </row>
    <row r="139" outlineLevel="3" ht="19.9" customFormat="1" customHeight="1" s="1">
      <c r="A139" s="343">
        <f>IF(G139="UNIDADE CONSTRUTIVA",OFFSET(A139,-1,0)+1,LARGE(A$4:A138,1))</f>
        <v/>
      </c>
      <c r="B139" s="343">
        <f>IF(G139="UNIDADE CONSTRUTIVA",0,IF(G139="CÉLULA CONSTRUTIVA",OFFSET(B139,-1,0)+1,OFFSET(B139,-1,0)))</f>
        <v/>
      </c>
      <c r="C139" s="343">
        <f>IF(G139="CÉLULA CONSTRUTIVA",0,IF(G139="ETAPA",OFFSET(C139,-1,0)+1,OFFSET(C139,-1,0)))</f>
        <v/>
      </c>
      <c r="D139" s="347">
        <f>IF(G139="ETAPA",0,IF(G139="SUBETAPA",OFFSET(D139,-1,0)+1,OFFSET(D139,-1,0)))</f>
        <v/>
      </c>
      <c r="E139" s="347">
        <f>IF(G139="Subetapa",0,IF(G139="serviço",OFFSET(E139,-1,0)+1,OFFSET(E139,-1,0)))</f>
        <v/>
      </c>
      <c r="G139" s="75" t="inlineStr">
        <is>
          <t>Serviço</t>
        </is>
      </c>
      <c r="H139" s="352">
        <f>IF(G139="Unidade Construtiva",CONCATENATE("UC ",TEXT(A139,"00")),IF(G139="Célula Construtiva",TEXT(B139,"00"),IF(G139="Etapa",CONCATENATE(TEXT(B139,"00"),".",TEXT(C139,"000")),IF(G139="Subetapa",CONCATENATE(TEXT(B139,"00"),".",TEXT(C139,"000"),".",TEXT(D139,"000")),IF(G139="Serviço",CONCATENATE(TEXT(B139,"00"),".",TEXT(C139,"000"),".",TEXT(D139,"000"),".",TEXT(E139,"000")),"")))))</f>
        <v/>
      </c>
      <c r="I139" s="92" t="inlineStr">
        <is>
          <t>Escoramento</t>
        </is>
      </c>
      <c r="J139" s="77" t="inlineStr">
        <is>
          <t>un</t>
        </is>
      </c>
      <c r="K139" s="353" t="n">
        <v>4444</v>
      </c>
      <c r="L139" s="87">
        <f>M139/K139</f>
        <v/>
      </c>
      <c r="M139" s="354" t="n">
        <v>97768.00000000001</v>
      </c>
      <c r="N139" s="79">
        <f>M139/$M$298</f>
        <v/>
      </c>
      <c r="O139" s="87">
        <f>M139/OBRA!$D$12</f>
        <v/>
      </c>
      <c r="P139" s="355" t="inlineStr">
        <is>
          <t>Aquisição de escoras de madeira - 2 jogos</t>
        </is>
      </c>
    </row>
    <row r="140" outlineLevel="3" ht="19.9" customFormat="1" customHeight="1" s="1">
      <c r="A140" s="343">
        <f>IF(G140="UNIDADE CONSTRUTIVA",OFFSET(A140,-1,0)+1,LARGE(A$4:A138,1))</f>
        <v/>
      </c>
      <c r="B140" s="343">
        <f>IF(G140="UNIDADE CONSTRUTIVA",0,IF(G140="CÉLULA CONSTRUTIVA",OFFSET(B140,-1,0)+1,OFFSET(B140,-1,0)))</f>
        <v/>
      </c>
      <c r="C140" s="343">
        <f>IF(G140="CÉLULA CONSTRUTIVA",0,IF(G140="ETAPA",OFFSET(C140,-1,0)+1,OFFSET(C140,-1,0)))</f>
        <v/>
      </c>
      <c r="D140" s="347">
        <f>IF(G140="ETAPA",0,IF(G140="SUBETAPA",OFFSET(D140,-1,0)+1,OFFSET(D140,-1,0)))</f>
        <v/>
      </c>
      <c r="E140" s="347">
        <f>IF(G140="Subetapa",0,IF(G140="serviço",OFFSET(E140,-1,0)+1,OFFSET(E140,-1,0)))</f>
        <v/>
      </c>
      <c r="G140" s="75" t="inlineStr">
        <is>
          <t>Serviço</t>
        </is>
      </c>
      <c r="H140" s="352">
        <f>IF(G140="Unidade Construtiva",CONCATENATE("UC ",TEXT(A140,"00")),IF(G140="Célula Construtiva",TEXT(B140,"00"),IF(G140="Etapa",CONCATENATE(TEXT(B140,"00"),".",TEXT(C140,"000")),IF(G140="Subetapa",CONCATENATE(TEXT(B140,"00"),".",TEXT(C140,"000"),".",TEXT(D140,"000")),IF(G140="Serviço",CONCATENATE(TEXT(B140,"00"),".",TEXT(C140,"000"),".",TEXT(D140,"000"),".",TEXT(E140,"000")),"")))))</f>
        <v/>
      </c>
      <c r="I140" s="92" t="inlineStr">
        <is>
          <t>Locação de cubetas</t>
        </is>
      </c>
      <c r="J140" s="77" t="inlineStr">
        <is>
          <t>mês</t>
        </is>
      </c>
      <c r="K140" s="353" t="n">
        <v>15</v>
      </c>
      <c r="L140" s="87">
        <f>M140/K140</f>
        <v/>
      </c>
      <c r="M140" s="354" t="n">
        <v>422556.7500000001</v>
      </c>
      <c r="N140" s="79">
        <f>M140/$M$298</f>
        <v/>
      </c>
      <c r="O140" s="87">
        <f>M140/OBRA!$D$12</f>
        <v/>
      </c>
      <c r="P140" s="355" t="inlineStr">
        <is>
          <t>Locação de cubetas  - 2 jogos</t>
        </is>
      </c>
    </row>
    <row r="141" outlineLevel="3" ht="19.9" customFormat="1" customHeight="1" s="1">
      <c r="A141" s="343">
        <f>IF(G141="UNIDADE CONSTRUTIVA",OFFSET(A141,-1,0)+1,LARGE(A$4:A139,1))</f>
        <v/>
      </c>
      <c r="B141" s="343">
        <f>IF(G141="UNIDADE CONSTRUTIVA",0,IF(G141="CÉLULA CONSTRUTIVA",OFFSET(B141,-1,0)+1,OFFSET(B141,-1,0)))</f>
        <v/>
      </c>
      <c r="C141" s="343">
        <f>IF(G141="CÉLULA CONSTRUTIVA",0,IF(G141="ETAPA",OFFSET(C141,-1,0)+1,OFFSET(C141,-1,0)))</f>
        <v/>
      </c>
      <c r="D141" s="347">
        <f>IF(G141="ETAPA",0,IF(G141="SUBETAPA",OFFSET(D141,-1,0)+1,OFFSET(D141,-1,0)))</f>
        <v/>
      </c>
      <c r="E141" s="347">
        <f>IF(G141="Subetapa",0,IF(G141="serviço",OFFSET(E141,-1,0)+1,OFFSET(E141,-1,0)))</f>
        <v/>
      </c>
      <c r="G141" s="75" t="inlineStr">
        <is>
          <t>Serviço</t>
        </is>
      </c>
      <c r="H141" s="352">
        <f>IF(G141="Unidade Construtiva",CONCATENATE("UC ",TEXT(A141,"00")),IF(G141="Célula Construtiva",TEXT(B141,"00"),IF(G141="Etapa",CONCATENATE(TEXT(B141,"00"),".",TEXT(C141,"000")),IF(G141="Subetapa",CONCATENATE(TEXT(B141,"00"),".",TEXT(C141,"000"),".",TEXT(D141,"000")),IF(G141="Serviço",CONCATENATE(TEXT(B141,"00"),".",TEXT(C141,"000"),".",TEXT(D141,"000"),".",TEXT(E141,"000")),"")))))</f>
        <v/>
      </c>
      <c r="I141" s="92" t="inlineStr">
        <is>
          <t>Perfuração de vigas</t>
        </is>
      </c>
      <c r="J141" s="77" t="inlineStr">
        <is>
          <t>vb</t>
        </is>
      </c>
      <c r="K141" s="353" t="n">
        <v>1</v>
      </c>
      <c r="L141" s="87">
        <f>M141/K141</f>
        <v/>
      </c>
      <c r="M141" s="354" t="n">
        <v>60632.00000000001</v>
      </c>
      <c r="N141" s="79">
        <f>M141/$M$298</f>
        <v/>
      </c>
      <c r="O141" s="87">
        <f>M141/OBRA!$D$12</f>
        <v/>
      </c>
      <c r="P141" s="355" t="n"/>
    </row>
    <row r="142" outlineLevel="2" ht="19.9" customFormat="1" customHeight="1" s="1">
      <c r="A142" s="343">
        <f>IF(G142="UNIDADE CONSTRUTIVA",OFFSET(A142,-1,0)+1,LARGE(A$4:A141,1))</f>
        <v/>
      </c>
      <c r="B142" s="343">
        <f>IF(G142="UNIDADE CONSTRUTIVA",0,IF(G142="CÉLULA CONSTRUTIVA",OFFSET(B142,-1,0)+1,OFFSET(B142,-1,0)))</f>
        <v/>
      </c>
      <c r="C142" s="343">
        <f>IF(G142="CÉLULA CONSTRUTIVA",0,IF(G142="ETAPA",OFFSET(C142,-1,0)+1,OFFSET(C142,-1,0)))</f>
        <v/>
      </c>
      <c r="D142" s="347">
        <f>IF(G142="ETAPA",0,IF(G142="SUBETAPA",OFFSET(D142,-1,0)+1,OFFSET(D142,-1,0)))</f>
        <v/>
      </c>
      <c r="E142" s="347">
        <f>IF(G142="Subetapa",0,IF(G142="serviço",OFFSET(E142,-1,0)+1,OFFSET(E142,-1,0)))</f>
        <v/>
      </c>
      <c r="G142" s="75" t="inlineStr">
        <is>
          <t>Subetapa</t>
        </is>
      </c>
      <c r="H142" s="352">
        <f>IF(G142="Unidade Construtiva",CONCATENATE("UC ",TEXT(A142,"00")),IF(G142="Célula Construtiva",TEXT(B142,"00"),IF(G142="Etapa",CONCATENATE(TEXT(B142,"00"),".",TEXT(C142,"000")),IF(G142="Subetapa",CONCATENATE(TEXT(B142,"00"),".",TEXT(C142,"000"),".",TEXT(D142,"000")),IF(G142="Serviço",CONCATENATE(TEXT(B142,"00"),".",TEXT(C142,"000"),".",TEXT(D142,"000"),".",TEXT(E142,"000")),"")))))</f>
        <v/>
      </c>
      <c r="I142" s="92" t="inlineStr">
        <is>
          <t>Mão de Obra</t>
        </is>
      </c>
      <c r="J142" s="77" t="n"/>
      <c r="K142" s="353" t="n"/>
      <c r="L142" s="87" t="n"/>
      <c r="M142" s="354">
        <f>M143</f>
        <v/>
      </c>
      <c r="N142" s="79">
        <f>M142/$M$298</f>
        <v/>
      </c>
      <c r="O142" s="87">
        <f>M142/OBRA!$D$12</f>
        <v/>
      </c>
      <c r="P142" s="355" t="n"/>
    </row>
    <row r="143" outlineLevel="3" ht="19.9" customFormat="1" customHeight="1" s="1">
      <c r="A143" s="343">
        <f>IF(G143="UNIDADE CONSTRUTIVA",OFFSET(A143,-1,0)+1,LARGE(A$4:A142,1))</f>
        <v/>
      </c>
      <c r="B143" s="343">
        <f>IF(G143="UNIDADE CONSTRUTIVA",0,IF(G143="CÉLULA CONSTRUTIVA",OFFSET(B143,-1,0)+1,OFFSET(B143,-1,0)))</f>
        <v/>
      </c>
      <c r="C143" s="343">
        <f>IF(G143="CÉLULA CONSTRUTIVA",0,IF(G143="ETAPA",OFFSET(C143,-1,0)+1,OFFSET(C143,-1,0)))</f>
        <v/>
      </c>
      <c r="D143" s="347">
        <f>IF(G143="ETAPA",0,IF(G143="SUBETAPA",OFFSET(D143,-1,0)+1,OFFSET(D143,-1,0)))</f>
        <v/>
      </c>
      <c r="E143" s="347">
        <f>IF(G143="Subetapa",0,IF(G143="serviço",OFFSET(E143,-1,0)+1,OFFSET(E143,-1,0)))</f>
        <v/>
      </c>
      <c r="G143" s="75" t="inlineStr">
        <is>
          <t>Serviço</t>
        </is>
      </c>
      <c r="H143" s="352">
        <f>IF(G143="Unidade Construtiva",CONCATENATE("UC ",TEXT(A143,"00")),IF(G143="Célula Construtiva",TEXT(B143,"00"),IF(G143="Etapa",CONCATENATE(TEXT(B143,"00"),".",TEXT(C143,"000")),IF(G143="Subetapa",CONCATENATE(TEXT(B143,"00"),".",TEXT(C143,"000"),".",TEXT(D143,"000")),IF(G143="Serviço",CONCATENATE(TEXT(B143,"00"),".",TEXT(C143,"000"),".",TEXT(D143,"000"),".",TEXT(E143,"000")),"")))))</f>
        <v/>
      </c>
      <c r="I143" s="92" t="inlineStr">
        <is>
          <t>Mão de obra supraestrutura</t>
        </is>
      </c>
      <c r="J143" s="77" t="inlineStr">
        <is>
          <t>m²</t>
        </is>
      </c>
      <c r="K143" s="353" t="n">
        <v>13147.78</v>
      </c>
      <c r="L143" s="87">
        <f>M143/K143</f>
        <v/>
      </c>
      <c r="M143" s="357" t="n">
        <v>3471013.92</v>
      </c>
      <c r="N143" s="79">
        <f>M143/$M$298</f>
        <v/>
      </c>
      <c r="O143" s="87">
        <f>M143/OBRA!$D$12</f>
        <v/>
      </c>
      <c r="P143" s="355" t="n"/>
    </row>
    <row r="144" outlineLevel="1" ht="19.9" customFormat="1" customHeight="1" s="1">
      <c r="A144" s="343">
        <f>IF(G144="UNIDADE CONSTRUTIVA",OFFSET(A144,-1,0)+1,LARGE(A$4:A143,1))</f>
        <v/>
      </c>
      <c r="B144" s="343">
        <f>IF(G144="UNIDADE CONSTRUTIVA",0,IF(G144="CÉLULA CONSTRUTIVA",OFFSET(B144,-1,0)+1,OFFSET(B144,-1,0)))</f>
        <v/>
      </c>
      <c r="C144" s="343">
        <f>IF(G144="CÉLULA CONSTRUTIVA",0,IF(G144="ETAPA",OFFSET(C144,-1,0)+1,OFFSET(C144,-1,0)))</f>
        <v/>
      </c>
      <c r="D144" s="347">
        <f>IF(G144="ETAPA",0,IF(G144="SUBETAPA",OFFSET(D144,-1,0)+1,OFFSET(D144,-1,0)))</f>
        <v/>
      </c>
      <c r="E144" s="347">
        <f>IF(G144="Subetapa",0,IF(G144="serviço",OFFSET(E144,-1,0)+1,OFFSET(E144,-1,0)))</f>
        <v/>
      </c>
      <c r="G144" s="75" t="inlineStr">
        <is>
          <t>CÉLULA CONSTRUTIVA</t>
        </is>
      </c>
      <c r="H144" s="352">
        <f>IF(G144="Unidade Construtiva",CONCATENATE("UC ",TEXT(A144,"00")),IF(G144="Célula Construtiva",TEXT(B144,"00"),IF(G144="Etapa",CONCATENATE(TEXT(B144,"00"),".",TEXT(C144,"000")),IF(G144="Subetapa",CONCATENATE(TEXT(B144,"00"),".",TEXT(C144,"000"),".",TEXT(D144,"000")),IF(G144="Serviço",CONCATENATE(TEXT(B144,"00"),".",TEXT(C144,"000"),".",TEXT(D144,"000"),".",TEXT(E144,"000")),"")))))</f>
        <v/>
      </c>
      <c r="I144" s="92" t="inlineStr">
        <is>
          <t>PAREDES E PAINÉIS</t>
        </is>
      </c>
      <c r="J144" s="77" t="n"/>
      <c r="K144" s="353" t="n"/>
      <c r="L144" s="87" t="n"/>
      <c r="M144" s="354">
        <f>M145</f>
        <v/>
      </c>
      <c r="N144" s="79">
        <f>M144/$M$298</f>
        <v/>
      </c>
      <c r="O144" s="87">
        <f>M144/OBRA!$D$12</f>
        <v/>
      </c>
      <c r="P144" s="355" t="n"/>
    </row>
    <row r="145" outlineLevel="2" ht="19.9" customFormat="1" customHeight="1" s="1">
      <c r="A145" s="343">
        <f>IF(G145="UNIDADE CONSTRUTIVA",OFFSET(A145,-1,0)+1,LARGE(A$4:A144,1))</f>
        <v/>
      </c>
      <c r="B145" s="343">
        <f>IF(G145="UNIDADE CONSTRUTIVA",0,IF(G145="CÉLULA CONSTRUTIVA",OFFSET(B145,-1,0)+1,OFFSET(B145,-1,0)))</f>
        <v/>
      </c>
      <c r="C145" s="343">
        <f>IF(G145="CÉLULA CONSTRUTIVA",0,IF(G145="ETAPA",OFFSET(C145,-1,0)+1,OFFSET(C145,-1,0)))</f>
        <v/>
      </c>
      <c r="D145" s="347">
        <f>IF(G145="ETAPA",0,IF(G145="SUBETAPA",OFFSET(D145,-1,0)+1,OFFSET(D145,-1,0)))</f>
        <v/>
      </c>
      <c r="E145" s="347">
        <f>IF(G145="Subetapa",0,IF(G145="serviço",OFFSET(E145,-1,0)+1,OFFSET(E145,-1,0)))</f>
        <v/>
      </c>
      <c r="G145" s="75" t="inlineStr">
        <is>
          <t>ETAPA</t>
        </is>
      </c>
      <c r="H145" s="352">
        <f>IF(G145="Unidade Construtiva",CONCATENATE("UC ",TEXT(A145,"00")),IF(G145="Célula Construtiva",TEXT(B145,"00"),IF(G145="Etapa",CONCATENATE(TEXT(B145,"00"),".",TEXT(C145,"000")),IF(G145="Subetapa",CONCATENATE(TEXT(B145,"00"),".",TEXT(C145,"000"),".",TEXT(D145,"000")),IF(G145="Serviço",CONCATENATE(TEXT(B145,"00"),".",TEXT(C145,"000"),".",TEXT(D145,"000"),".",TEXT(E145,"000")),"")))))</f>
        <v/>
      </c>
      <c r="I145" s="92" t="inlineStr">
        <is>
          <t>PAREDES E PAINÉIS</t>
        </is>
      </c>
      <c r="J145" s="77" t="n"/>
      <c r="K145" s="353" t="n"/>
      <c r="L145" s="87" t="n"/>
      <c r="M145" s="354">
        <f>M146+M150+M152</f>
        <v/>
      </c>
      <c r="N145" s="79">
        <f>M145/$M$298</f>
        <v/>
      </c>
      <c r="O145" s="87">
        <f>M145/OBRA!$D$12</f>
        <v/>
      </c>
      <c r="P145" s="355" t="n"/>
    </row>
    <row r="146" outlineLevel="2" ht="19.9" customFormat="1" customHeight="1" s="1">
      <c r="A146" s="343">
        <f>IF(G146="UNIDADE CONSTRUTIVA",OFFSET(A146,-1,0)+1,LARGE(A$4:A145,1))</f>
        <v/>
      </c>
      <c r="B146" s="343">
        <f>IF(G146="UNIDADE CONSTRUTIVA",0,IF(G146="CÉLULA CONSTRUTIVA",OFFSET(B146,-1,0)+1,OFFSET(B146,-1,0)))</f>
        <v/>
      </c>
      <c r="C146" s="343">
        <f>IF(G146="CÉLULA CONSTRUTIVA",0,IF(G146="ETAPA",OFFSET(C146,-1,0)+1,OFFSET(C146,-1,0)))</f>
        <v/>
      </c>
      <c r="D146" s="347">
        <f>IF(G146="ETAPA",0,IF(G146="SUBETAPA",OFFSET(D146,-1,0)+1,OFFSET(D146,-1,0)))</f>
        <v/>
      </c>
      <c r="E146" s="347">
        <f>IF(G146="Subetapa",0,IF(G146="serviço",OFFSET(E146,-1,0)+1,OFFSET(E146,-1,0)))</f>
        <v/>
      </c>
      <c r="G146" s="75" t="inlineStr">
        <is>
          <t>Subetapa</t>
        </is>
      </c>
      <c r="H146" s="352">
        <f>IF(G146="Unidade Construtiva",CONCATENATE("UC ",TEXT(A146,"00")),IF(G146="Célula Construtiva",TEXT(B146,"00"),IF(G146="Etapa",CONCATENATE(TEXT(B146,"00"),".",TEXT(C146,"000")),IF(G146="Subetapa",CONCATENATE(TEXT(B146,"00"),".",TEXT(C146,"000"),".",TEXT(D146,"000")),IF(G146="Serviço",CONCATENATE(TEXT(B146,"00"),".",TEXT(C146,"000"),".",TEXT(D146,"000"),".",TEXT(E146,"000")),"")))))</f>
        <v/>
      </c>
      <c r="I146" s="92" t="inlineStr">
        <is>
          <t>Alvenaria de vedção</t>
        </is>
      </c>
      <c r="J146" s="77" t="n"/>
      <c r="K146" s="353" t="n"/>
      <c r="L146" s="87" t="n"/>
      <c r="M146" s="354">
        <f>SUM(M147:M149)</f>
        <v/>
      </c>
      <c r="N146" s="79">
        <f>M146/$M$298</f>
        <v/>
      </c>
      <c r="O146" s="87">
        <f>M146/OBRA!$D$12</f>
        <v/>
      </c>
      <c r="P146" s="355" t="n"/>
    </row>
    <row r="147" outlineLevel="3" ht="19.9" customFormat="1" customHeight="1" s="1">
      <c r="A147" s="343">
        <f>IF(G147="UNIDADE CONSTRUTIVA",OFFSET(A147,-1,0)+1,LARGE(A$4:A146,1))</f>
        <v/>
      </c>
      <c r="B147" s="343">
        <f>IF(G147="UNIDADE CONSTRUTIVA",0,IF(G147="CÉLULA CONSTRUTIVA",OFFSET(B147,-1,0)+1,OFFSET(B147,-1,0)))</f>
        <v/>
      </c>
      <c r="C147" s="343">
        <f>IF(G147="CÉLULA CONSTRUTIVA",0,IF(G147="ETAPA",OFFSET(C147,-1,0)+1,OFFSET(C147,-1,0)))</f>
        <v/>
      </c>
      <c r="D147" s="347">
        <f>IF(G147="ETAPA",0,IF(G147="SUBETAPA",OFFSET(D147,-1,0)+1,OFFSET(D147,-1,0)))</f>
        <v/>
      </c>
      <c r="E147" s="347">
        <f>IF(G147="Subetapa",0,IF(G147="serviço",OFFSET(E147,-1,0)+1,OFFSET(E147,-1,0)))</f>
        <v/>
      </c>
      <c r="G147" s="75" t="inlineStr">
        <is>
          <t>Serviço</t>
        </is>
      </c>
      <c r="H147" s="352">
        <f>IF(G147="Unidade Construtiva",CONCATENATE("UC ",TEXT(A147,"00")),IF(G147="Célula Construtiva",TEXT(B147,"00"),IF(G147="Etapa",CONCATENATE(TEXT(B147,"00"),".",TEXT(C147,"000")),IF(G147="Subetapa",CONCATENATE(TEXT(B147,"00"),".",TEXT(C147,"000"),".",TEXT(D147,"000")),IF(G147="Serviço",CONCATENATE(TEXT(B147,"00"),".",TEXT(C147,"000"),".",TEXT(D147,"000"),".",TEXT(E147,"000")),"")))))</f>
        <v/>
      </c>
      <c r="I147" s="92" t="inlineStr">
        <is>
          <t>Alvenaria com blocos cerâmicos com argamassa usinada para assentamento</t>
        </is>
      </c>
      <c r="J147" s="77" t="inlineStr">
        <is>
          <t>m²</t>
        </is>
      </c>
      <c r="K147" s="353" t="n">
        <v>33188.23</v>
      </c>
      <c r="L147" s="87" t="n">
        <v>48.22</v>
      </c>
      <c r="M147" s="354">
        <f>K147*L147</f>
        <v/>
      </c>
      <c r="N147" s="79">
        <f>M147/$M$298</f>
        <v/>
      </c>
      <c r="O147" s="87">
        <f>M147/OBRA!$D$12</f>
        <v/>
      </c>
      <c r="P147" s="355" t="n"/>
    </row>
    <row r="148" outlineLevel="3" ht="19.9" customFormat="1" customHeight="1" s="1">
      <c r="A148" s="343">
        <f>IF(G148="UNIDADE CONSTRUTIVA",OFFSET(A148,-1,0)+1,LARGE(A$4:A147,1))</f>
        <v/>
      </c>
      <c r="B148" s="343">
        <f>IF(G148="UNIDADE CONSTRUTIVA",0,IF(G148="CÉLULA CONSTRUTIVA",OFFSET(B148,-1,0)+1,OFFSET(B148,-1,0)))</f>
        <v/>
      </c>
      <c r="C148" s="343">
        <f>IF(G148="CÉLULA CONSTRUTIVA",0,IF(G148="ETAPA",OFFSET(C148,-1,0)+1,OFFSET(C148,-1,0)))</f>
        <v/>
      </c>
      <c r="D148" s="347">
        <f>IF(G148="ETAPA",0,IF(G148="SUBETAPA",OFFSET(D148,-1,0)+1,OFFSET(D148,-1,0)))</f>
        <v/>
      </c>
      <c r="E148" s="347">
        <f>IF(G148="Subetapa",0,IF(G148="serviço",OFFSET(E148,-1,0)+1,OFFSET(E148,-1,0)))</f>
        <v/>
      </c>
      <c r="G148" s="75" t="inlineStr">
        <is>
          <t>Serviço</t>
        </is>
      </c>
      <c r="H148" s="352">
        <f>IF(G148="Unidade Construtiva",CONCATENATE("UC ",TEXT(A148,"00")),IF(G148="Célula Construtiva",TEXT(B148,"00"),IF(G148="Etapa",CONCATENATE(TEXT(B148,"00"),".",TEXT(C148,"000")),IF(G148="Subetapa",CONCATENATE(TEXT(B148,"00"),".",TEXT(C148,"000"),".",TEXT(D148,"000")),IF(G148="Serviço",CONCATENATE(TEXT(B148,"00"),".",TEXT(C148,"000"),".",TEXT(D148,"000"),".",TEXT(E148,"000")),"")))))</f>
        <v/>
      </c>
      <c r="I148" s="92" t="inlineStr">
        <is>
          <t>Placa EPS 30mm</t>
        </is>
      </c>
      <c r="J148" s="77" t="inlineStr">
        <is>
          <t>m²</t>
        </is>
      </c>
      <c r="K148" s="353" t="n">
        <v>4791.64</v>
      </c>
      <c r="L148" s="87">
        <f>M148/K148</f>
        <v/>
      </c>
      <c r="M148" s="354" t="n">
        <v>139465.47384</v>
      </c>
      <c r="N148" s="79">
        <f>M148/$M$298</f>
        <v/>
      </c>
      <c r="O148" s="87">
        <f>M148/OBRA!$D$12</f>
        <v/>
      </c>
      <c r="P148" s="355" t="inlineStr">
        <is>
          <t>Divisória entre paredes duplas</t>
        </is>
      </c>
    </row>
    <row r="149" outlineLevel="3" ht="19.9" customFormat="1" customHeight="1" s="1">
      <c r="A149" s="343">
        <f>IF(G149="UNIDADE CONSTRUTIVA",OFFSET(A149,-1,0)+1,LARGE(A$4:A147,1))</f>
        <v/>
      </c>
      <c r="B149" s="343">
        <f>IF(G149="UNIDADE CONSTRUTIVA",0,IF(G149="CÉLULA CONSTRUTIVA",OFFSET(B149,-1,0)+1,OFFSET(B149,-1,0)))</f>
        <v/>
      </c>
      <c r="C149" s="343">
        <f>IF(G149="CÉLULA CONSTRUTIVA",0,IF(G149="ETAPA",OFFSET(C149,-1,0)+1,OFFSET(C149,-1,0)))</f>
        <v/>
      </c>
      <c r="D149" s="347">
        <f>IF(G149="ETAPA",0,IF(G149="SUBETAPA",OFFSET(D149,-1,0)+1,OFFSET(D149,-1,0)))</f>
        <v/>
      </c>
      <c r="E149" s="347">
        <f>IF(G149="Subetapa",0,IF(G149="serviço",OFFSET(E149,-1,0)+1,OFFSET(E149,-1,0)))</f>
        <v/>
      </c>
      <c r="G149" s="75" t="inlineStr">
        <is>
          <t>Serviço</t>
        </is>
      </c>
      <c r="H149" s="352">
        <f>IF(G149="Unidade Construtiva",CONCATENATE("UC ",TEXT(A149,"00")),IF(G149="Célula Construtiva",TEXT(B149,"00"),IF(G149="Etapa",CONCATENATE(TEXT(B149,"00"),".",TEXT(C149,"000")),IF(G149="Subetapa",CONCATENATE(TEXT(B149,"00"),".",TEXT(C149,"000"),".",TEXT(D149,"000")),IF(G149="Serviço",CONCATENATE(TEXT(B149,"00"),".",TEXT(C149,"000"),".",TEXT(D149,"000"),".",TEXT(E149,"000")),"")))))</f>
        <v/>
      </c>
      <c r="I149" s="92" t="inlineStr">
        <is>
          <t>Alvenaria refratárias</t>
        </is>
      </c>
      <c r="J149" s="77" t="inlineStr">
        <is>
          <t>m²</t>
        </is>
      </c>
      <c r="K149" s="353" t="n">
        <v>150.5</v>
      </c>
      <c r="L149" s="87">
        <f>M149/K149</f>
        <v/>
      </c>
      <c r="M149" s="354" t="n">
        <v>51320.50000000001</v>
      </c>
      <c r="N149" s="79">
        <f>M149/$M$298</f>
        <v/>
      </c>
      <c r="O149" s="87">
        <f>M149/OBRA!$D$12</f>
        <v/>
      </c>
      <c r="P149" s="355" t="inlineStr">
        <is>
          <t>Churrasqueiras</t>
        </is>
      </c>
    </row>
    <row r="150" outlineLevel="2" ht="19.9" customFormat="1" customHeight="1" s="1">
      <c r="A150" s="343">
        <f>IF(G150="UNIDADE CONSTRUTIVA",OFFSET(A150,-1,0)+1,LARGE(A$4:A149,1))</f>
        <v/>
      </c>
      <c r="B150" s="343">
        <f>IF(G150="UNIDADE CONSTRUTIVA",0,IF(G150="CÉLULA CONSTRUTIVA",OFFSET(B150,-1,0)+1,OFFSET(B150,-1,0)))</f>
        <v/>
      </c>
      <c r="C150" s="343">
        <f>IF(G150="CÉLULA CONSTRUTIVA",0,IF(G150="ETAPA",OFFSET(C150,-1,0)+1,OFFSET(C150,-1,0)))</f>
        <v/>
      </c>
      <c r="D150" s="347">
        <f>IF(G150="ETAPA",0,IF(G150="SUBETAPA",OFFSET(D150,-1,0)+1,OFFSET(D150,-1,0)))</f>
        <v/>
      </c>
      <c r="E150" s="347">
        <f>IF(G150="Subetapa",0,IF(G150="serviço",OFFSET(E150,-1,0)+1,OFFSET(E150,-1,0)))</f>
        <v/>
      </c>
      <c r="G150" s="75" t="inlineStr">
        <is>
          <t>Subetapa</t>
        </is>
      </c>
      <c r="H150" s="352">
        <f>IF(G150="Unidade Construtiva",CONCATENATE("UC ",TEXT(A150,"00")),IF(G150="Célula Construtiva",TEXT(B150,"00"),IF(G150="Etapa",CONCATENATE(TEXT(B150,"00"),".",TEXT(C150,"000")),IF(G150="Subetapa",CONCATENATE(TEXT(B150,"00"),".",TEXT(C150,"000"),".",TEXT(D150,"000")),IF(G150="Serviço",CONCATENATE(TEXT(B150,"00"),".",TEXT(C150,"000"),".",TEXT(D150,"000"),".",TEXT(E150,"000")),"")))))</f>
        <v/>
      </c>
      <c r="I150" s="92" t="inlineStr">
        <is>
          <t>Serviços complementares</t>
        </is>
      </c>
      <c r="J150" s="77" t="n"/>
      <c r="K150" s="353" t="n"/>
      <c r="L150" s="87" t="n"/>
      <c r="M150" s="354">
        <f>SUM(M151:M151)</f>
        <v/>
      </c>
      <c r="N150" s="79">
        <f>M150/$M$298</f>
        <v/>
      </c>
      <c r="O150" s="87">
        <f>M150/OBRA!$D$12</f>
        <v/>
      </c>
      <c r="P150" s="355" t="n"/>
    </row>
    <row r="151" outlineLevel="3" ht="19.9" customFormat="1" customHeight="1" s="1">
      <c r="A151" s="343">
        <f>IF(G151="UNIDADE CONSTRUTIVA",OFFSET(A151,-1,0)+1,LARGE(A$4:A150,1))</f>
        <v/>
      </c>
      <c r="B151" s="343">
        <f>IF(G151="UNIDADE CONSTRUTIVA",0,IF(G151="CÉLULA CONSTRUTIVA",OFFSET(B151,-1,0)+1,OFFSET(B151,-1,0)))</f>
        <v/>
      </c>
      <c r="C151" s="343">
        <f>IF(G151="CÉLULA CONSTRUTIVA",0,IF(G151="ETAPA",OFFSET(C151,-1,0)+1,OFFSET(C151,-1,0)))</f>
        <v/>
      </c>
      <c r="D151" s="347">
        <f>IF(G151="ETAPA",0,IF(G151="SUBETAPA",OFFSET(D151,-1,0)+1,OFFSET(D151,-1,0)))</f>
        <v/>
      </c>
      <c r="E151" s="347">
        <f>IF(G151="Subetapa",0,IF(G151="serviço",OFFSET(E151,-1,0)+1,OFFSET(E151,-1,0)))</f>
        <v/>
      </c>
      <c r="G151" s="75" t="inlineStr">
        <is>
          <t>Serviço</t>
        </is>
      </c>
      <c r="H151" s="352">
        <f>IF(G151="Unidade Construtiva",CONCATENATE("UC ",TEXT(A151,"00")),IF(G151="Célula Construtiva",TEXT(B151,"00"),IF(G151="Etapa",CONCATENATE(TEXT(B151,"00"),".",TEXT(C151,"000")),IF(G151="Subetapa",CONCATENATE(TEXT(B151,"00"),".",TEXT(C151,"000"),".",TEXT(D151,"000")),IF(G151="Serviço",CONCATENATE(TEXT(B151,"00"),".",TEXT(C151,"000"),".",TEXT(D151,"000"),".",TEXT(E151,"000")),"")))))</f>
        <v/>
      </c>
      <c r="I151" s="92" t="inlineStr">
        <is>
          <t>Verga/contraverga de concreto, moldada in loco</t>
        </is>
      </c>
      <c r="J151" s="77" t="inlineStr">
        <is>
          <t>m²</t>
        </is>
      </c>
      <c r="K151" s="353" t="n">
        <v>19140.3</v>
      </c>
      <c r="L151" s="87">
        <f>M151/K151</f>
        <v/>
      </c>
      <c r="M151" s="354" t="n">
        <v>136853.145</v>
      </c>
      <c r="N151" s="79">
        <f>M151/$M$298</f>
        <v/>
      </c>
      <c r="O151" s="87">
        <f>M151/OBRA!$D$12</f>
        <v/>
      </c>
      <c r="P151" s="355" t="n"/>
    </row>
    <row r="152" outlineLevel="2" ht="19.9" customFormat="1" customHeight="1" s="1">
      <c r="A152" s="343">
        <f>IF(G152="UNIDADE CONSTRUTIVA",OFFSET(A152,-1,0)+1,LARGE(A$4:A151,1))</f>
        <v/>
      </c>
      <c r="B152" s="343">
        <f>IF(G152="UNIDADE CONSTRUTIVA",0,IF(G152="CÉLULA CONSTRUTIVA",OFFSET(B152,-1,0)+1,OFFSET(B152,-1,0)))</f>
        <v/>
      </c>
      <c r="C152" s="343">
        <f>IF(G152="CÉLULA CONSTRUTIVA",0,IF(G152="ETAPA",OFFSET(C152,-1,0)+1,OFFSET(C152,-1,0)))</f>
        <v/>
      </c>
      <c r="D152" s="347">
        <f>IF(G152="ETAPA",0,IF(G152="SUBETAPA",OFFSET(D152,-1,0)+1,OFFSET(D152,-1,0)))</f>
        <v/>
      </c>
      <c r="E152" s="347">
        <f>IF(G152="Subetapa",0,IF(G152="serviço",OFFSET(E152,-1,0)+1,OFFSET(E152,-1,0)))</f>
        <v/>
      </c>
      <c r="G152" s="75" t="inlineStr">
        <is>
          <t>Subetapa</t>
        </is>
      </c>
      <c r="H152" s="352">
        <f>IF(G152="Unidade Construtiva",CONCATENATE("UC ",TEXT(A152,"00")),IF(G152="Célula Construtiva",TEXT(B152,"00"),IF(G152="Etapa",CONCATENATE(TEXT(B152,"00"),".",TEXT(C152,"000")),IF(G152="Subetapa",CONCATENATE(TEXT(B152,"00"),".",TEXT(C152,"000"),".",TEXT(D152,"000")),IF(G152="Serviço",CONCATENATE(TEXT(B152,"00"),".",TEXT(C152,"000"),".",TEXT(D152,"000"),".",TEXT(E152,"000")),"")))))</f>
        <v/>
      </c>
      <c r="I152" s="92" t="inlineStr">
        <is>
          <t>Mão de obra</t>
        </is>
      </c>
      <c r="J152" s="77" t="n"/>
      <c r="K152" s="353" t="n"/>
      <c r="L152" s="87" t="n"/>
      <c r="M152" s="354">
        <f>M153</f>
        <v/>
      </c>
      <c r="N152" s="79">
        <f>M152/$M$298</f>
        <v/>
      </c>
      <c r="O152" s="87">
        <f>M152/OBRA!$D$12</f>
        <v/>
      </c>
      <c r="P152" s="355" t="n"/>
    </row>
    <row r="153" outlineLevel="3" customFormat="1" s="1">
      <c r="A153" s="343">
        <f>IF(G153="UNIDADE CONSTRUTIVA",OFFSET(A153,-1,0)+1,LARGE(A$4:A152,1))</f>
        <v/>
      </c>
      <c r="B153" s="343">
        <f>IF(G153="UNIDADE CONSTRUTIVA",0,IF(G153="CÉLULA CONSTRUTIVA",OFFSET(B153,-1,0)+1,OFFSET(B153,-1,0)))</f>
        <v/>
      </c>
      <c r="C153" s="343">
        <f>IF(G153="CÉLULA CONSTRUTIVA",0,IF(G153="ETAPA",OFFSET(C153,-1,0)+1,OFFSET(C153,-1,0)))</f>
        <v/>
      </c>
      <c r="D153" s="347">
        <f>IF(G153="ETAPA",0,IF(G153="SUBETAPA",OFFSET(D153,-1,0)+1,OFFSET(D153,-1,0)))</f>
        <v/>
      </c>
      <c r="E153" s="347">
        <f>IF(G153="Subetapa",0,IF(G153="serviço",OFFSET(E153,-1,0)+1,OFFSET(E153,-1,0)))</f>
        <v/>
      </c>
      <c r="G153" s="75" t="inlineStr">
        <is>
          <t>Serviço</t>
        </is>
      </c>
      <c r="H153" s="352">
        <f>IF(G153="Unidade Construtiva",CONCATENATE("UC ",TEXT(A153,"00")),IF(G153="Célula Construtiva",TEXT(B153,"00"),IF(G153="Etapa",CONCATENATE(TEXT(B153,"00"),".",TEXT(C153,"000")),IF(G153="Subetapa",CONCATENATE(TEXT(B153,"00"),".",TEXT(C153,"000"),".",TEXT(D153,"000")),IF(G153="Serviço",CONCATENATE(TEXT(B153,"00"),".",TEXT(C153,"000"),".",TEXT(D153,"000"),".",TEXT(E153,"000")),"")))))</f>
        <v/>
      </c>
      <c r="I153" s="92" t="inlineStr">
        <is>
          <t xml:space="preserve">Mão de obra vedações </t>
        </is>
      </c>
      <c r="J153" s="77" t="inlineStr">
        <is>
          <t>m²</t>
        </is>
      </c>
      <c r="K153" s="353" t="n">
        <v>33188.23</v>
      </c>
      <c r="L153" s="87" t="n">
        <v>20.66</v>
      </c>
      <c r="M153" s="357">
        <f>K153*L153</f>
        <v/>
      </c>
      <c r="N153" s="79">
        <f>M153/$M$298</f>
        <v/>
      </c>
      <c r="O153" s="87">
        <f>M153/OBRA!$D$12</f>
        <v/>
      </c>
      <c r="P153" s="355" t="n"/>
    </row>
    <row r="154" outlineLevel="1" ht="19.9" customFormat="1" customHeight="1" s="1">
      <c r="A154" s="343">
        <f>IF(G154="UNIDADE CONSTRUTIVA",OFFSET(A154,-1,0)+1,LARGE(A$4:A153,1))</f>
        <v/>
      </c>
      <c r="B154" s="343">
        <f>IF(G154="UNIDADE CONSTRUTIVA",0,IF(G154="CÉLULA CONSTRUTIVA",OFFSET(B154,-1,0)+1,OFFSET(B154,-1,0)))</f>
        <v/>
      </c>
      <c r="C154" s="343">
        <f>IF(G154="CÉLULA CONSTRUTIVA",0,IF(G154="ETAPA",OFFSET(C154,-1,0)+1,OFFSET(C154,-1,0)))</f>
        <v/>
      </c>
      <c r="D154" s="347">
        <f>IF(G154="ETAPA",0,IF(G154="SUBETAPA",OFFSET(D154,-1,0)+1,OFFSET(D154,-1,0)))</f>
        <v/>
      </c>
      <c r="E154" s="347">
        <f>IF(G154="Subetapa",0,IF(G154="serviço",OFFSET(E154,-1,0)+1,OFFSET(E154,-1,0)))</f>
        <v/>
      </c>
      <c r="G154" s="75" t="inlineStr">
        <is>
          <t>CÉLULA CONSTRUTIVA</t>
        </is>
      </c>
      <c r="H154" s="352">
        <f>IF(G154="Unidade Construtiva",CONCATENATE("UC ",TEXT(A154,"00")),IF(G154="Célula Construtiva",TEXT(B154,"00"),IF(G154="Etapa",CONCATENATE(TEXT(B154,"00"),".",TEXT(C154,"000")),IF(G154="Subetapa",CONCATENATE(TEXT(B154,"00"),".",TEXT(C154,"000"),".",TEXT(D154,"000")),IF(G154="Serviço",CONCATENATE(TEXT(B154,"00"),".",TEXT(C154,"000"),".",TEXT(D154,"000"),".",TEXT(E154,"000")),"")))))</f>
        <v/>
      </c>
      <c r="I154" s="92" t="inlineStr">
        <is>
          <t>IMPERMEABILIZAÇÃO E TRATAMENTOS</t>
        </is>
      </c>
      <c r="J154" s="77" t="inlineStr">
        <is>
          <t>m²</t>
        </is>
      </c>
      <c r="K154" s="353" t="n">
        <v>3982.59</v>
      </c>
      <c r="L154" s="87" t="n">
        <v>217.9</v>
      </c>
      <c r="M154" s="354">
        <f>K154*L154</f>
        <v/>
      </c>
      <c r="N154" s="79">
        <f>M154/$M$298</f>
        <v/>
      </c>
      <c r="O154" s="87">
        <f>M154/OBRA!$D$12</f>
        <v/>
      </c>
      <c r="P154" s="355" t="n"/>
    </row>
    <row r="155" outlineLevel="2" ht="19.9" customFormat="1" customHeight="1" s="1">
      <c r="A155" s="343">
        <f>IF(G155="UNIDADE CONSTRUTIVA",OFFSET(A155,-1,0)+1,LARGE(A$4:A154,1))</f>
        <v/>
      </c>
      <c r="B155" s="343">
        <f>IF(G155="UNIDADE CONSTRUTIVA",0,IF(G155="CÉLULA CONSTRUTIVA",OFFSET(B155,-1,0)+1,OFFSET(B155,-1,0)))</f>
        <v/>
      </c>
      <c r="C155" s="343">
        <f>IF(G155="CÉLULA CONSTRUTIVA",0,IF(G155="ETAPA",OFFSET(C155,-1,0)+1,OFFSET(C155,-1,0)))</f>
        <v/>
      </c>
      <c r="D155" s="347">
        <f>IF(G155="ETAPA",0,IF(G155="SUBETAPA",OFFSET(D155,-1,0)+1,OFFSET(D155,-1,0)))</f>
        <v/>
      </c>
      <c r="E155" s="347">
        <f>IF(G155="Subetapa",0,IF(G155="serviço",OFFSET(E155,-1,0)+1,OFFSET(E155,-1,0)))</f>
        <v/>
      </c>
      <c r="G155" s="75" t="inlineStr">
        <is>
          <t>ETAPA</t>
        </is>
      </c>
      <c r="H155" s="352">
        <f>IF(G155="Unidade Construtiva",CONCATENATE("UC ",TEXT(A155,"00")),IF(G155="Célula Construtiva",TEXT(B155,"00"),IF(G155="Etapa",CONCATENATE(TEXT(B155,"00"),".",TEXT(C155,"000")),IF(G155="Subetapa",CONCATENATE(TEXT(B155,"00"),".",TEXT(C155,"000"),".",TEXT(D155,"000")),IF(G155="Serviço",CONCATENATE(TEXT(B155,"00"),".",TEXT(C155,"000"),".",TEXT(D155,"000"),".",TEXT(E155,"000")),"")))))</f>
        <v/>
      </c>
      <c r="I155" s="92" t="inlineStr">
        <is>
          <t>IMPERMEABILIZAÇÃO E TRATAMENTOS</t>
        </is>
      </c>
      <c r="J155" s="77" t="n"/>
      <c r="K155" s="353" t="n"/>
      <c r="L155" s="87" t="n"/>
      <c r="M155" s="354">
        <f>M156+M159</f>
        <v/>
      </c>
      <c r="N155" s="79">
        <f>M155/$M$298</f>
        <v/>
      </c>
      <c r="O155" s="87">
        <f>M155/OBRA!$D$12</f>
        <v/>
      </c>
      <c r="P155" s="355" t="n"/>
    </row>
    <row r="156" outlineLevel="2" ht="19.9" customFormat="1" customHeight="1" s="1">
      <c r="A156" s="343">
        <f>IF(G156="UNIDADE CONSTRUTIVA",OFFSET(A156,-1,0)+1,LARGE(A$4:A155,1))</f>
        <v/>
      </c>
      <c r="B156" s="343">
        <f>IF(G156="UNIDADE CONSTRUTIVA",0,IF(G156="CÉLULA CONSTRUTIVA",OFFSET(B156,-1,0)+1,OFFSET(B156,-1,0)))</f>
        <v/>
      </c>
      <c r="C156" s="343">
        <f>IF(G156="CÉLULA CONSTRUTIVA",0,IF(G156="ETAPA",OFFSET(C156,-1,0)+1,OFFSET(C156,-1,0)))</f>
        <v/>
      </c>
      <c r="D156" s="347">
        <f>IF(G156="ETAPA",0,IF(G156="SUBETAPA",OFFSET(D156,-1,0)+1,OFFSET(D156,-1,0)))</f>
        <v/>
      </c>
      <c r="E156" s="347">
        <f>IF(G156="Subetapa",0,IF(G156="serviço",OFFSET(E156,-1,0)+1,OFFSET(E156,-1,0)))</f>
        <v/>
      </c>
      <c r="G156" s="75" t="inlineStr">
        <is>
          <t>Subetapa</t>
        </is>
      </c>
      <c r="H156" s="352">
        <f>IF(G156="Unidade Construtiva",CONCATENATE("UC ",TEXT(A156,"00")),IF(G156="Célula Construtiva",TEXT(B156,"00"),IF(G156="Etapa",CONCATENATE(TEXT(B156,"00"),".",TEXT(C156,"000")),IF(G156="Subetapa",CONCATENATE(TEXT(B156,"00"),".",TEXT(C156,"000"),".",TEXT(D156,"000")),IF(G156="Serviço",CONCATENATE(TEXT(B156,"00"),".",TEXT(C156,"000"),".",TEXT(D156,"000"),".",TEXT(E156,"000")),"")))))</f>
        <v/>
      </c>
      <c r="I156" s="92" t="inlineStr">
        <is>
          <t>Regularização e Proteção Mecânica</t>
        </is>
      </c>
      <c r="J156" s="77" t="n"/>
      <c r="K156" s="353" t="n"/>
      <c r="L156" s="87" t="n"/>
      <c r="M156" s="354">
        <f>SUM(M157:M158)</f>
        <v/>
      </c>
      <c r="N156" s="79">
        <f>M156/$M$298</f>
        <v/>
      </c>
      <c r="O156" s="87">
        <f>M156/OBRA!$D$12</f>
        <v/>
      </c>
      <c r="P156" s="355" t="n"/>
    </row>
    <row r="157" outlineLevel="3" ht="19.9" customFormat="1" customHeight="1" s="1">
      <c r="A157" s="343">
        <f>IF(G157="UNIDADE CONSTRUTIVA",OFFSET(A157,-1,0)+1,LARGE(A$4:A156,1))</f>
        <v/>
      </c>
      <c r="B157" s="343">
        <f>IF(G157="UNIDADE CONSTRUTIVA",0,IF(G157="CÉLULA CONSTRUTIVA",OFFSET(B157,-1,0)+1,OFFSET(B157,-1,0)))</f>
        <v/>
      </c>
      <c r="C157" s="343">
        <f>IF(G157="CÉLULA CONSTRUTIVA",0,IF(G157="ETAPA",OFFSET(C157,-1,0)+1,OFFSET(C157,-1,0)))</f>
        <v/>
      </c>
      <c r="D157" s="347">
        <f>IF(G157="ETAPA",0,IF(G157="SUBETAPA",OFFSET(D157,-1,0)+1,OFFSET(D157,-1,0)))</f>
        <v/>
      </c>
      <c r="E157" s="347">
        <f>IF(G157="Subetapa",0,IF(G157="serviço",OFFSET(E157,-1,0)+1,OFFSET(E157,-1,0)))</f>
        <v/>
      </c>
      <c r="G157" s="75" t="inlineStr">
        <is>
          <t>Serviço</t>
        </is>
      </c>
      <c r="H157" s="352">
        <f>IF(G157="Unidade Construtiva",CONCATENATE("UC ",TEXT(A157,"00")),IF(G157="Célula Construtiva",TEXT(B157,"00"),IF(G157="Etapa",CONCATENATE(TEXT(B157,"00"),".",TEXT(C157,"000")),IF(G157="Subetapa",CONCATENATE(TEXT(B157,"00"),".",TEXT(C157,"000"),".",TEXT(D157,"000")),IF(G157="Serviço",CONCATENATE(TEXT(B157,"00"),".",TEXT(C157,"000"),".",TEXT(D157,"000"),".",TEXT(E157,"000")),"")))))</f>
        <v/>
      </c>
      <c r="I157" s="92" t="inlineStr">
        <is>
          <t>Regularização de superfície para impermeabilização</t>
        </is>
      </c>
      <c r="J157" s="77" t="inlineStr">
        <is>
          <t>m²</t>
        </is>
      </c>
      <c r="K157" s="353" t="n">
        <v>6059.733</v>
      </c>
      <c r="L157" s="87">
        <f>M157/K157</f>
        <v/>
      </c>
      <c r="M157" s="354" t="n">
        <v>166642.6575</v>
      </c>
      <c r="N157" s="79">
        <f>M157/$M$298</f>
        <v/>
      </c>
      <c r="O157" s="87">
        <f>M157/OBRA!$D$12</f>
        <v/>
      </c>
      <c r="P157" s="355" t="inlineStr">
        <is>
          <t>Regulazização em áreas que recebem argamassa polimérica e manta asfáltica;</t>
        </is>
      </c>
    </row>
    <row r="158" outlineLevel="3" ht="19.9" customFormat="1" customHeight="1" s="1">
      <c r="A158" s="343">
        <f>IF(G158="UNIDADE CONSTRUTIVA",OFFSET(A158,-1,0)+1,LARGE(A$4:A157,1))</f>
        <v/>
      </c>
      <c r="B158" s="343">
        <f>IF(G158="UNIDADE CONSTRUTIVA",0,IF(G158="CÉLULA CONSTRUTIVA",OFFSET(B158,-1,0)+1,OFFSET(B158,-1,0)))</f>
        <v/>
      </c>
      <c r="C158" s="343">
        <f>IF(G158="CÉLULA CONSTRUTIVA",0,IF(G158="ETAPA",OFFSET(C158,-1,0)+1,OFFSET(C158,-1,0)))</f>
        <v/>
      </c>
      <c r="D158" s="347">
        <f>IF(G158="ETAPA",0,IF(G158="SUBETAPA",OFFSET(D158,-1,0)+1,OFFSET(D158,-1,0)))</f>
        <v/>
      </c>
      <c r="E158" s="347">
        <f>IF(G158="Subetapa",0,IF(G158="serviço",OFFSET(E158,-1,0)+1,OFFSET(E158,-1,0)))</f>
        <v/>
      </c>
      <c r="G158" s="75" t="inlineStr">
        <is>
          <t>Serviço</t>
        </is>
      </c>
      <c r="H158" s="352">
        <f>IF(G158="Unidade Construtiva",CONCATENATE("UC ",TEXT(A158,"00")),IF(G158="Célula Construtiva",TEXT(B158,"00"),IF(G158="Etapa",CONCATENATE(TEXT(B158,"00"),".",TEXT(C158,"000")),IF(G158="Subetapa",CONCATENATE(TEXT(B158,"00"),".",TEXT(C158,"000"),".",TEXT(D158,"000")),IF(G158="Serviço",CONCATENATE(TEXT(B158,"00"),".",TEXT(C158,"000"),".",TEXT(D158,"000"),".",TEXT(E158,"000")),"")))))</f>
        <v/>
      </c>
      <c r="I158" s="92" t="inlineStr">
        <is>
          <t>Proteção mecânica com argamassa de cimento e areia, traço 1:3, espessura 5 cm, com camada separadora de polietileno</t>
        </is>
      </c>
      <c r="J158" s="77" t="inlineStr">
        <is>
          <t>m²</t>
        </is>
      </c>
      <c r="K158" s="353" t="n">
        <v>2115.399000000001</v>
      </c>
      <c r="L158" s="87">
        <f>M158/K158</f>
        <v/>
      </c>
      <c r="M158" s="354" t="n">
        <v>132635.5173000001</v>
      </c>
      <c r="N158" s="79">
        <f>M158/$M$298</f>
        <v/>
      </c>
      <c r="O158" s="87">
        <f>M158/OBRA!$D$12</f>
        <v/>
      </c>
      <c r="P158" s="355" t="inlineStr">
        <is>
          <t>Proteção mecânica de áreas que recebem manta asfáltica;</t>
        </is>
      </c>
    </row>
    <row r="159" outlineLevel="2" ht="19.9" customFormat="1" customHeight="1" s="1">
      <c r="A159" s="343">
        <f>IF(G159="UNIDADE CONSTRUTIVA",OFFSET(A159,-1,0)+1,LARGE(A$4:A158,1))</f>
        <v/>
      </c>
      <c r="B159" s="343">
        <f>IF(G159="UNIDADE CONSTRUTIVA",0,IF(G159="CÉLULA CONSTRUTIVA",OFFSET(B159,-1,0)+1,OFFSET(B159,-1,0)))</f>
        <v/>
      </c>
      <c r="C159" s="343">
        <f>IF(G159="CÉLULA CONSTRUTIVA",0,IF(G159="ETAPA",OFFSET(C159,-1,0)+1,OFFSET(C159,-1,0)))</f>
        <v/>
      </c>
      <c r="D159" s="347">
        <f>IF(G159="ETAPA",0,IF(G159="SUBETAPA",OFFSET(D159,-1,0)+1,OFFSET(D159,-1,0)))</f>
        <v/>
      </c>
      <c r="E159" s="347">
        <f>IF(G159="Subetapa",0,IF(G159="serviço",OFFSET(E159,-1,0)+1,OFFSET(E159,-1,0)))</f>
        <v/>
      </c>
      <c r="G159" s="75" t="inlineStr">
        <is>
          <t>Subetapa</t>
        </is>
      </c>
      <c r="H159" s="352">
        <f>IF(G159="Unidade Construtiva",CONCATENATE("UC ",TEXT(A159,"00")),IF(G159="Célula Construtiva",TEXT(B159,"00"),IF(G159="Etapa",CONCATENATE(TEXT(B159,"00"),".",TEXT(C159,"000")),IF(G159="Subetapa",CONCATENATE(TEXT(B159,"00"),".",TEXT(C159,"000"),".",TEXT(D159,"000")),IF(G159="Serviço",CONCATENATE(TEXT(B159,"00"),".",TEXT(C159,"000"),".",TEXT(D159,"000"),".",TEXT(E159,"000")),"")))))</f>
        <v/>
      </c>
      <c r="I159" s="92" t="inlineStr">
        <is>
          <t xml:space="preserve">Impermeabilização </t>
        </is>
      </c>
      <c r="J159" s="77" t="n"/>
      <c r="K159" s="353" t="n"/>
      <c r="L159" s="87" t="n"/>
      <c r="M159" s="354">
        <f>SUM(M160:M166)</f>
        <v/>
      </c>
      <c r="N159" s="79">
        <f>M159/$M$298</f>
        <v/>
      </c>
      <c r="O159" s="87">
        <f>M159/OBRA!$D$12</f>
        <v/>
      </c>
      <c r="P159" s="355" t="n"/>
    </row>
    <row r="160" outlineLevel="3" ht="19.9" customFormat="1" customHeight="1" s="1">
      <c r="A160" s="343">
        <f>IF(G160="UNIDADE CONSTRUTIVA",OFFSET(A160,-1,0)+1,LARGE(A$4:A159,1))</f>
        <v/>
      </c>
      <c r="B160" s="343">
        <f>IF(G160="UNIDADE CONSTRUTIVA",0,IF(G160="CÉLULA CONSTRUTIVA",OFFSET(B160,-1,0)+1,OFFSET(B160,-1,0)))</f>
        <v/>
      </c>
      <c r="C160" s="343">
        <f>IF(G160="CÉLULA CONSTRUTIVA",0,IF(G160="ETAPA",OFFSET(C160,-1,0)+1,OFFSET(C160,-1,0)))</f>
        <v/>
      </c>
      <c r="D160" s="347">
        <f>IF(G160="ETAPA",0,IF(G160="SUBETAPA",OFFSET(D160,-1,0)+1,OFFSET(D160,-1,0)))</f>
        <v/>
      </c>
      <c r="E160" s="347">
        <f>IF(G160="Subetapa",0,IF(G160="serviço",OFFSET(E160,-1,0)+1,OFFSET(E160,-1,0)))</f>
        <v/>
      </c>
      <c r="G160" s="75" t="inlineStr">
        <is>
          <t>Serviço</t>
        </is>
      </c>
      <c r="H160" s="352">
        <f>IF(G160="Unidade Construtiva",CONCATENATE("UC ",TEXT(A160,"00")),IF(G160="Célula Construtiva",TEXT(B160,"00"),IF(G160="Etapa",CONCATENATE(TEXT(B160,"00"),".",TEXT(C160,"000")),IF(G160="Subetapa",CONCATENATE(TEXT(B160,"00"),".",TEXT(C160,"000"),".",TEXT(D160,"000")),IF(G160="Serviço",CONCATENATE(TEXT(B160,"00"),".",TEXT(C160,"000"),".",TEXT(D160,"000"),".",TEXT(E160,"000")),"")))))</f>
        <v/>
      </c>
      <c r="I160" s="92" t="inlineStr">
        <is>
          <t>Impermeabilização Poço do Elevador</t>
        </is>
      </c>
      <c r="J160" s="77" t="inlineStr">
        <is>
          <t>m²</t>
        </is>
      </c>
      <c r="K160" s="353" t="n">
        <v>37.806</v>
      </c>
      <c r="L160" s="87">
        <f>M160/K160</f>
        <v/>
      </c>
      <c r="M160" s="354" t="n">
        <v>1705.0506</v>
      </c>
      <c r="N160" s="79">
        <f>M160/$M$298</f>
        <v/>
      </c>
      <c r="O160" s="87">
        <f>M160/OBRA!$D$12</f>
        <v/>
      </c>
      <c r="P160" s="355" t="n"/>
    </row>
    <row r="161" outlineLevel="3" ht="19.9" customFormat="1" customHeight="1" s="1">
      <c r="A161" s="343">
        <f>IF(G161="UNIDADE CONSTRUTIVA",OFFSET(A161,-1,0)+1,LARGE(A$4:A160,1))</f>
        <v/>
      </c>
      <c r="B161" s="343">
        <f>IF(G161="UNIDADE CONSTRUTIVA",0,IF(G161="CÉLULA CONSTRUTIVA",OFFSET(B161,-1,0)+1,OFFSET(B161,-1,0)))</f>
        <v/>
      </c>
      <c r="C161" s="343">
        <f>IF(G161="CÉLULA CONSTRUTIVA",0,IF(G161="ETAPA",OFFSET(C161,-1,0)+1,OFFSET(C161,-1,0)))</f>
        <v/>
      </c>
      <c r="D161" s="347">
        <f>IF(G161="ETAPA",0,IF(G161="SUBETAPA",OFFSET(D161,-1,0)+1,OFFSET(D161,-1,0)))</f>
        <v/>
      </c>
      <c r="E161" s="347">
        <f>IF(G161="Subetapa",0,IF(G161="serviço",OFFSET(E161,-1,0)+1,OFFSET(E161,-1,0)))</f>
        <v/>
      </c>
      <c r="G161" s="75" t="inlineStr">
        <is>
          <t>Serviço</t>
        </is>
      </c>
      <c r="H161" s="352">
        <f>IF(G161="Unidade Construtiva",CONCATENATE("UC ",TEXT(A161,"00")),IF(G161="Célula Construtiva",TEXT(B161,"00"),IF(G161="Etapa",CONCATENATE(TEXT(B161,"00"),".",TEXT(C161,"000")),IF(G161="Subetapa",CONCATENATE(TEXT(B161,"00"),".",TEXT(C161,"000"),".",TEXT(D161,"000")),IF(G161="Serviço",CONCATENATE(TEXT(B161,"00"),".",TEXT(C161,"000"),".",TEXT(D161,"000"),".",TEXT(E161,"000")),"")))))</f>
        <v/>
      </c>
      <c r="I161" s="92" t="inlineStr">
        <is>
          <t>Impermeabilização de baldrames com tinta asfáltica</t>
        </is>
      </c>
      <c r="J161" s="77" t="inlineStr">
        <is>
          <t>m²</t>
        </is>
      </c>
      <c r="K161" s="353" t="n">
        <v>1131.0624</v>
      </c>
      <c r="L161" s="87">
        <f>M161/K161</f>
        <v/>
      </c>
      <c r="M161" s="354" t="n">
        <v>65940.93792000001</v>
      </c>
      <c r="N161" s="79">
        <f>M161/$M$298</f>
        <v/>
      </c>
      <c r="O161" s="87">
        <f>M161/OBRA!$D$12</f>
        <v/>
      </c>
      <c r="P161" s="355" t="n"/>
    </row>
    <row r="162" outlineLevel="3" ht="19.9" customFormat="1" customHeight="1" s="1">
      <c r="A162" s="343">
        <f>IF(G162="UNIDADE CONSTRUTIVA",OFFSET(A162,-1,0)+1,LARGE(A$4:A161,1))</f>
        <v/>
      </c>
      <c r="B162" s="343">
        <f>IF(G162="UNIDADE CONSTRUTIVA",0,IF(G162="CÉLULA CONSTRUTIVA",OFFSET(B162,-1,0)+1,OFFSET(B162,-1,0)))</f>
        <v/>
      </c>
      <c r="C162" s="343">
        <f>IF(G162="CÉLULA CONSTRUTIVA",0,IF(G162="ETAPA",OFFSET(C162,-1,0)+1,OFFSET(C162,-1,0)))</f>
        <v/>
      </c>
      <c r="D162" s="347">
        <f>IF(G162="ETAPA",0,IF(G162="SUBETAPA",OFFSET(D162,-1,0)+1,OFFSET(D162,-1,0)))</f>
        <v/>
      </c>
      <c r="E162" s="347">
        <f>IF(G162="Subetapa",0,IF(G162="serviço",OFFSET(E162,-1,0)+1,OFFSET(E162,-1,0)))</f>
        <v/>
      </c>
      <c r="G162" s="75" t="inlineStr">
        <is>
          <t>Serviço</t>
        </is>
      </c>
      <c r="H162" s="352">
        <f>IF(G162="Unidade Construtiva",CONCATENATE("UC ",TEXT(A162,"00")),IF(G162="Célula Construtiva",TEXT(B162,"00"),IF(G162="Etapa",CONCATENATE(TEXT(B162,"00"),".",TEXT(C162,"000")),IF(G162="Subetapa",CONCATENATE(TEXT(B162,"00"),".",TEXT(C162,"000"),".",TEXT(D162,"000")),IF(G162="Serviço",CONCATENATE(TEXT(B162,"00"),".",TEXT(C162,"000"),".",TEXT(D162,"000"),".",TEXT(E162,"000")),"")))))</f>
        <v/>
      </c>
      <c r="I162" s="92" t="inlineStr">
        <is>
          <t>Impermeabilização Ralos</t>
        </is>
      </c>
      <c r="J162" s="77" t="inlineStr">
        <is>
          <t>vb</t>
        </is>
      </c>
      <c r="K162" s="353" t="n">
        <v>1</v>
      </c>
      <c r="L162" s="87">
        <f>M162/K162</f>
        <v/>
      </c>
      <c r="M162" s="354" t="n">
        <v>14462.558</v>
      </c>
      <c r="N162" s="79">
        <f>M162/$M$298</f>
        <v/>
      </c>
      <c r="O162" s="87">
        <f>M162/OBRA!$D$12</f>
        <v/>
      </c>
      <c r="P162" s="355" t="n"/>
    </row>
    <row r="163" outlineLevel="3" ht="19.9" customFormat="1" customHeight="1" s="1">
      <c r="A163" s="343">
        <f>IF(G163="UNIDADE CONSTRUTIVA",OFFSET(A163,-1,0)+1,LARGE(A$4:A162,1))</f>
        <v/>
      </c>
      <c r="B163" s="343">
        <f>IF(G163="UNIDADE CONSTRUTIVA",0,IF(G163="CÉLULA CONSTRUTIVA",OFFSET(B163,-1,0)+1,OFFSET(B163,-1,0)))</f>
        <v/>
      </c>
      <c r="C163" s="343">
        <f>IF(G163="CÉLULA CONSTRUTIVA",0,IF(G163="ETAPA",OFFSET(C163,-1,0)+1,OFFSET(C163,-1,0)))</f>
        <v/>
      </c>
      <c r="D163" s="347">
        <f>IF(G163="ETAPA",0,IF(G163="SUBETAPA",OFFSET(D163,-1,0)+1,OFFSET(D163,-1,0)))</f>
        <v/>
      </c>
      <c r="E163" s="347">
        <f>IF(G163="Subetapa",0,IF(G163="serviço",OFFSET(E163,-1,0)+1,OFFSET(E163,-1,0)))</f>
        <v/>
      </c>
      <c r="G163" s="75" t="inlineStr">
        <is>
          <t>Serviço</t>
        </is>
      </c>
      <c r="H163" s="352">
        <f>IF(G163="Unidade Construtiva",CONCATENATE("UC ",TEXT(A163,"00")),IF(G163="Célula Construtiva",TEXT(B163,"00"),IF(G163="Etapa",CONCATENATE(TEXT(B163,"00"),".",TEXT(C163,"000")),IF(G163="Subetapa",CONCATENATE(TEXT(B163,"00"),".",TEXT(C163,"000"),".",TEXT(D163,"000")),IF(G163="Serviço",CONCATENATE(TEXT(B163,"00"),".",TEXT(C163,"000"),".",TEXT(D163,"000"),".",TEXT(E163,"000")),"")))))</f>
        <v/>
      </c>
      <c r="I163" s="92" t="inlineStr">
        <is>
          <t>Impermeabilização com argamassa polimérica</t>
        </is>
      </c>
      <c r="J163" s="77" t="inlineStr">
        <is>
          <t>m²</t>
        </is>
      </c>
      <c r="K163" s="353" t="n">
        <v>3944.334</v>
      </c>
      <c r="L163" s="87">
        <f>M163/K163</f>
        <v/>
      </c>
      <c r="M163" s="354" t="n">
        <v>303713.7180000001</v>
      </c>
      <c r="N163" s="79">
        <f>M163/$M$298</f>
        <v/>
      </c>
      <c r="O163" s="87">
        <f>M163/OBRA!$D$12</f>
        <v/>
      </c>
      <c r="P163" s="355" t="n"/>
    </row>
    <row r="164" outlineLevel="3" ht="19.9" customFormat="1" customHeight="1" s="1">
      <c r="A164" s="343">
        <f>IF(G164="UNIDADE CONSTRUTIVA",OFFSET(A164,-1,0)+1,LARGE(A$4:A163,1))</f>
        <v/>
      </c>
      <c r="B164" s="343">
        <f>IF(G164="UNIDADE CONSTRUTIVA",0,IF(G164="CÉLULA CONSTRUTIVA",OFFSET(B164,-1,0)+1,OFFSET(B164,-1,0)))</f>
        <v/>
      </c>
      <c r="C164" s="343">
        <f>IF(G164="CÉLULA CONSTRUTIVA",0,IF(G164="ETAPA",OFFSET(C164,-1,0)+1,OFFSET(C164,-1,0)))</f>
        <v/>
      </c>
      <c r="D164" s="347">
        <f>IF(G164="ETAPA",0,IF(G164="SUBETAPA",OFFSET(D164,-1,0)+1,OFFSET(D164,-1,0)))</f>
        <v/>
      </c>
      <c r="E164" s="347">
        <f>IF(G164="Subetapa",0,IF(G164="serviço",OFFSET(E164,-1,0)+1,OFFSET(E164,-1,0)))</f>
        <v/>
      </c>
      <c r="G164" s="75" t="inlineStr">
        <is>
          <t>Serviço</t>
        </is>
      </c>
      <c r="H164" s="352">
        <f>IF(G164="Unidade Construtiva",CONCATENATE("UC ",TEXT(A164,"00")),IF(G164="Célula Construtiva",TEXT(B164,"00"),IF(G164="Etapa",CONCATENATE(TEXT(B164,"00"),".",TEXT(C164,"000")),IF(G164="Subetapa",CONCATENATE(TEXT(B164,"00"),".",TEXT(C164,"000"),".",TEXT(D164,"000")),IF(G164="Serviço",CONCATENATE(TEXT(B164,"00"),".",TEXT(C164,"000"),".",TEXT(D164,"000"),".",TEXT(E164,"000")),"")))))</f>
        <v/>
      </c>
      <c r="I164" s="92" t="inlineStr">
        <is>
          <t xml:space="preserve">Impermeabilização com manta asfáltica </t>
        </is>
      </c>
      <c r="J164" s="77" t="inlineStr">
        <is>
          <t>m²</t>
        </is>
      </c>
      <c r="K164" s="353" t="n">
        <v>2115.399000000001</v>
      </c>
      <c r="L164" s="87">
        <f>M164/K164</f>
        <v/>
      </c>
      <c r="M164" s="354" t="n">
        <v>228040.0122000001</v>
      </c>
      <c r="N164" s="79">
        <f>M164/$M$298</f>
        <v/>
      </c>
      <c r="O164" s="87">
        <f>M164/OBRA!$D$12</f>
        <v/>
      </c>
      <c r="P164" s="355" t="inlineStr">
        <is>
          <t>Aplicação em áreas externas, terraço e piscina;</t>
        </is>
      </c>
    </row>
    <row r="165" outlineLevel="3" ht="19.9" customFormat="1" customHeight="1" s="1">
      <c r="A165" s="343">
        <f>IF(G165="UNIDADE CONSTRUTIVA",OFFSET(A165,-1,0)+1,LARGE(A$4:A163,1))</f>
        <v/>
      </c>
      <c r="B165" s="343">
        <f>IF(G165="UNIDADE CONSTRUTIVA",0,IF(G165="CÉLULA CONSTRUTIVA",OFFSET(B165,-1,0)+1,OFFSET(B165,-1,0)))</f>
        <v/>
      </c>
      <c r="C165" s="343">
        <f>IF(G165="CÉLULA CONSTRUTIVA",0,IF(G165="ETAPA",OFFSET(C165,-1,0)+1,OFFSET(C165,-1,0)))</f>
        <v/>
      </c>
      <c r="D165" s="347">
        <f>IF(G165="ETAPA",0,IF(G165="SUBETAPA",OFFSET(D165,-1,0)+1,OFFSET(D165,-1,0)))</f>
        <v/>
      </c>
      <c r="E165" s="347">
        <f>IF(G165="Subetapa",0,IF(G165="serviço",OFFSET(E165,-1,0)+1,OFFSET(E165,-1,0)))</f>
        <v/>
      </c>
      <c r="G165" s="75" t="inlineStr">
        <is>
          <t>Serviço</t>
        </is>
      </c>
      <c r="H165" s="352">
        <f>IF(G165="Unidade Construtiva",CONCATENATE("UC ",TEXT(A165,"00")),IF(G165="Célula Construtiva",TEXT(B165,"00"),IF(G165="Etapa",CONCATENATE(TEXT(B165,"00"),".",TEXT(C165,"000")),IF(G165="Subetapa",CONCATENATE(TEXT(B165,"00"),".",TEXT(C165,"000"),".",TEXT(D165,"000")),IF(G165="Serviço",CONCATENATE(TEXT(B165,"00"),".",TEXT(C165,"000"),".",TEXT(D165,"000"),".",TEXT(E165,"000")),"")))))</f>
        <v/>
      </c>
      <c r="I165" s="92" t="inlineStr">
        <is>
          <t>Impermeabilização com manta asfáltica floreiras</t>
        </is>
      </c>
      <c r="J165" s="77" t="inlineStr">
        <is>
          <t>m²</t>
        </is>
      </c>
      <c r="K165" s="353" t="n">
        <v>43.7364</v>
      </c>
      <c r="L165" s="87">
        <f>M165/K165</f>
        <v/>
      </c>
      <c r="M165" s="354" t="n">
        <v>4714.78392</v>
      </c>
      <c r="N165" s="79">
        <f>M165/$M$298</f>
        <v/>
      </c>
      <c r="O165" s="87">
        <f>M165/OBRA!$D$12</f>
        <v/>
      </c>
      <c r="P165" s="355" t="n"/>
    </row>
    <row r="166" outlineLevel="3" ht="19.9" customFormat="1" customHeight="1" s="1">
      <c r="A166" s="343">
        <f>IF(G166="UNIDADE CONSTRUTIVA",OFFSET(A166,-1,0)+1,LARGE(A$4:A165,1))</f>
        <v/>
      </c>
      <c r="B166" s="343">
        <f>IF(G166="UNIDADE CONSTRUTIVA",0,IF(G166="CÉLULA CONSTRUTIVA",OFFSET(B166,-1,0)+1,OFFSET(B166,-1,0)))</f>
        <v/>
      </c>
      <c r="C166" s="343">
        <f>IF(G166="CÉLULA CONSTRUTIVA",0,IF(G166="ETAPA",OFFSET(C166,-1,0)+1,OFFSET(C166,-1,0)))</f>
        <v/>
      </c>
      <c r="D166" s="347">
        <f>IF(G166="ETAPA",0,IF(G166="SUBETAPA",OFFSET(D166,-1,0)+1,OFFSET(D166,-1,0)))</f>
        <v/>
      </c>
      <c r="E166" s="347">
        <f>IF(G166="Subetapa",0,IF(G166="serviço",OFFSET(E166,-1,0)+1,OFFSET(E166,-1,0)))</f>
        <v/>
      </c>
      <c r="G166" s="75" t="inlineStr">
        <is>
          <t>Serviço</t>
        </is>
      </c>
      <c r="H166" s="352">
        <f>IF(G166="Unidade Construtiva",CONCATENATE("UC ",TEXT(A166,"00")),IF(G166="Célula Construtiva",TEXT(B166,"00"),IF(G166="Etapa",CONCATENATE(TEXT(B166,"00"),".",TEXT(C166,"000")),IF(G166="Subetapa",CONCATENATE(TEXT(B166,"00"),".",TEXT(C166,"000"),".",TEXT(D166,"000")),IF(G166="Serviço",CONCATENATE(TEXT(B166,"00"),".",TEXT(C166,"000"),".",TEXT(D166,"000"),".",TEXT(E166,"000")),"")))))</f>
        <v/>
      </c>
      <c r="I166" s="92" t="inlineStr">
        <is>
          <t>Impermeabilização com manta líquida em peitoris</t>
        </is>
      </c>
      <c r="J166" s="77" t="inlineStr">
        <is>
          <t>vb</t>
        </is>
      </c>
      <c r="K166" s="353" t="n">
        <v>1</v>
      </c>
      <c r="L166" s="87">
        <f>M166/K166</f>
        <v/>
      </c>
      <c r="M166" s="354" t="n">
        <v>17355.0696</v>
      </c>
      <c r="N166" s="79">
        <f>M166/$M$298</f>
        <v/>
      </c>
      <c r="O166" s="87">
        <f>M166/OBRA!$D$12</f>
        <v/>
      </c>
      <c r="P166" s="355" t="n"/>
    </row>
    <row r="167" outlineLevel="1" ht="19.9" customFormat="1" customHeight="1" s="1">
      <c r="A167" s="343">
        <f>IF(G167="UNIDADE CONSTRUTIVA",OFFSET(A167,-1,0)+1,LARGE(A$4:A166,1))</f>
        <v/>
      </c>
      <c r="B167" s="343">
        <f>IF(G167="UNIDADE CONSTRUTIVA",0,IF(G167="CÉLULA CONSTRUTIVA",OFFSET(B167,-1,0)+1,OFFSET(B167,-1,0)))</f>
        <v/>
      </c>
      <c r="C167" s="343">
        <f>IF(G167="CÉLULA CONSTRUTIVA",0,IF(G167="ETAPA",OFFSET(C167,-1,0)+1,OFFSET(C167,-1,0)))</f>
        <v/>
      </c>
      <c r="D167" s="347">
        <f>IF(G167="ETAPA",0,IF(G167="SUBETAPA",OFFSET(D167,-1,0)+1,OFFSET(D167,-1,0)))</f>
        <v/>
      </c>
      <c r="E167" s="347">
        <f>IF(G167="Subetapa",0,IF(G167="serviço",OFFSET(E167,-1,0)+1,OFFSET(E167,-1,0)))</f>
        <v/>
      </c>
      <c r="G167" s="75" t="inlineStr">
        <is>
          <t>CÉLULA CONSTRUTIVA</t>
        </is>
      </c>
      <c r="H167" s="352">
        <f>IF(G167="Unidade Construtiva",CONCATENATE("UC ",TEXT(A167,"00")),IF(G167="Célula Construtiva",TEXT(B167,"00"),IF(G167="Etapa",CONCATENATE(TEXT(B167,"00"),".",TEXT(C167,"000")),IF(G167="Subetapa",CONCATENATE(TEXT(B167,"00"),".",TEXT(C167,"000"),".",TEXT(D167,"000")),IF(G167="Serviço",CONCATENATE(TEXT(B167,"00"),".",TEXT(C167,"000"),".",TEXT(D167,"000"),".",TEXT(E167,"000")),"")))))</f>
        <v/>
      </c>
      <c r="I167" s="92" t="inlineStr">
        <is>
          <t>INSTALAÇÕES ELÉTRICAS, HIDRÁULICAS E GLP</t>
        </is>
      </c>
      <c r="J167" s="77" t="inlineStr">
        <is>
          <t>m²</t>
        </is>
      </c>
      <c r="K167" s="353" t="n">
        <v>13275.29</v>
      </c>
      <c r="L167" s="87" t="n">
        <v>117.72</v>
      </c>
      <c r="M167" s="354">
        <f>K167*L167</f>
        <v/>
      </c>
      <c r="N167" s="79">
        <f>M167/$M$298</f>
        <v/>
      </c>
      <c r="O167" s="87">
        <f>M167/OBRA!$D$12</f>
        <v/>
      </c>
      <c r="P167" s="355" t="n"/>
    </row>
    <row r="168" outlineLevel="2" ht="19.9" customFormat="1" customHeight="1" s="1">
      <c r="A168" s="343">
        <f>IF(G168="UNIDADE CONSTRUTIVA",OFFSET(A168,-1,0)+1,LARGE(A$4:A167,1))</f>
        <v/>
      </c>
      <c r="B168" s="343">
        <f>IF(G168="UNIDADE CONSTRUTIVA",0,IF(G168="CÉLULA CONSTRUTIVA",OFFSET(B168,-1,0)+1,OFFSET(B168,-1,0)))</f>
        <v/>
      </c>
      <c r="C168" s="343">
        <f>IF(G168="CÉLULA CONSTRUTIVA",0,IF(G168="ETAPA",OFFSET(C168,-1,0)+1,OFFSET(C168,-1,0)))</f>
        <v/>
      </c>
      <c r="D168" s="347">
        <f>IF(G168="ETAPA",0,IF(G168="SUBETAPA",OFFSET(D168,-1,0)+1,OFFSET(D168,-1,0)))</f>
        <v/>
      </c>
      <c r="E168" s="347">
        <f>IF(G168="Subetapa",0,IF(G168="serviço",OFFSET(E168,-1,0)+1,OFFSET(E168,-1,0)))</f>
        <v/>
      </c>
      <c r="G168" s="75" t="inlineStr">
        <is>
          <t>ETAPA</t>
        </is>
      </c>
      <c r="H168" s="352">
        <f>IF(G168="Unidade Construtiva",CONCATENATE("UC ",TEXT(A168,"00")),IF(G168="Célula Construtiva",TEXT(B168,"00"),IF(G168="Etapa",CONCATENATE(TEXT(B168,"00"),".",TEXT(C168,"000")),IF(G168="Subetapa",CONCATENATE(TEXT(B168,"00"),".",TEXT(C168,"000"),".",TEXT(D168,"000")),IF(G168="Serviço",CONCATENATE(TEXT(B168,"00"),".",TEXT(C168,"000"),".",TEXT(D168,"000"),".",TEXT(E168,"000")),"")))))</f>
        <v/>
      </c>
      <c r="I168" s="92" t="inlineStr">
        <is>
          <t>SISTEMAS E INSTALAÇÕES HIDROSSANITÁRIAS E DRENAGEM</t>
        </is>
      </c>
      <c r="J168" s="77" t="inlineStr">
        <is>
          <t>m²</t>
        </is>
      </c>
      <c r="K168" s="353" t="n">
        <v>13275.29</v>
      </c>
      <c r="L168" s="87" t="n">
        <v>130.8</v>
      </c>
      <c r="M168" s="354">
        <f>K168*L168</f>
        <v/>
      </c>
      <c r="N168" s="79">
        <f>M168/$M$298</f>
        <v/>
      </c>
      <c r="O168" s="87">
        <f>M168/OBRA!$D$12</f>
        <v/>
      </c>
      <c r="P168" s="355" t="n"/>
    </row>
    <row r="169" outlineLevel="2" ht="19.9" customFormat="1" customHeight="1" s="1">
      <c r="A169" s="343">
        <f>IF(G169="UNIDADE CONSTRUTIVA",OFFSET(A169,-1,0)+1,LARGE(A$4:A168,1))</f>
        <v/>
      </c>
      <c r="B169" s="343">
        <f>IF(G169="UNIDADE CONSTRUTIVA",0,IF(G169="CÉLULA CONSTRUTIVA",OFFSET(B169,-1,0)+1,OFFSET(B169,-1,0)))</f>
        <v/>
      </c>
      <c r="C169" s="343">
        <f>IF(G169="CÉLULA CONSTRUTIVA",0,IF(G169="ETAPA",OFFSET(C169,-1,0)+1,OFFSET(C169,-1,0)))</f>
        <v/>
      </c>
      <c r="D169" s="347">
        <f>IF(G169="ETAPA",0,IF(G169="SUBETAPA",OFFSET(D169,-1,0)+1,OFFSET(D169,-1,0)))</f>
        <v/>
      </c>
      <c r="E169" s="347">
        <f>IF(G169="Subetapa",0,IF(G169="serviço",OFFSET(E169,-1,0)+1,OFFSET(E169,-1,0)))</f>
        <v/>
      </c>
      <c r="G169" s="75" t="inlineStr">
        <is>
          <t>Subetapa</t>
        </is>
      </c>
      <c r="H169" s="352">
        <f>IF(G169="Unidade Construtiva",CONCATENATE("UC ",TEXT(A169,"00")),IF(G169="Célula Construtiva",TEXT(B169,"00"),IF(G169="Etapa",CONCATENATE(TEXT(B169,"00"),".",TEXT(C169,"000")),IF(G169="Subetapa",CONCATENATE(TEXT(B169,"00"),".",TEXT(C169,"000"),".",TEXT(D169,"000")),IF(G169="Serviço",CONCATENATE(TEXT(B169,"00"),".",TEXT(C169,"000"),".",TEXT(D169,"000"),".",TEXT(E169,"000")),"")))))</f>
        <v/>
      </c>
      <c r="I169" s="92" t="inlineStr">
        <is>
          <t>Sistemas e Instalações Hidrossanitárias e Drenagem</t>
        </is>
      </c>
      <c r="J169" s="77" t="n"/>
      <c r="K169" s="353" t="n"/>
      <c r="L169" s="87" t="n"/>
      <c r="M169" s="354">
        <f>SUM(M170:M174)</f>
        <v/>
      </c>
      <c r="N169" s="79">
        <f>M169/$M$298</f>
        <v/>
      </c>
      <c r="O169" s="87">
        <f>M169/OBRA!$D$12</f>
        <v/>
      </c>
      <c r="P169" s="355" t="n"/>
    </row>
    <row r="170" outlineLevel="3" ht="19.9" customFormat="1" customHeight="1" s="1">
      <c r="A170" s="343">
        <f>IF(G170="UNIDADE CONSTRUTIVA",OFFSET(A170,-1,0)+1,LARGE(A$4:A169,1))</f>
        <v/>
      </c>
      <c r="B170" s="343">
        <f>IF(G170="UNIDADE CONSTRUTIVA",0,IF(G170="CÉLULA CONSTRUTIVA",OFFSET(B170,-1,0)+1,OFFSET(B170,-1,0)))</f>
        <v/>
      </c>
      <c r="C170" s="343">
        <f>IF(G170="CÉLULA CONSTRUTIVA",0,IF(G170="ETAPA",OFFSET(C170,-1,0)+1,OFFSET(C170,-1,0)))</f>
        <v/>
      </c>
      <c r="D170" s="347">
        <f>IF(G170="ETAPA",0,IF(G170="SUBETAPA",OFFSET(D170,-1,0)+1,OFFSET(D170,-1,0)))</f>
        <v/>
      </c>
      <c r="E170" s="347">
        <f>IF(G170="Subetapa",0,IF(G170="serviço",OFFSET(E170,-1,0)+1,OFFSET(E170,-1,0)))</f>
        <v/>
      </c>
      <c r="G170" s="75" t="inlineStr">
        <is>
          <t>Serviço</t>
        </is>
      </c>
      <c r="H170" s="352">
        <f>IF(G170="Unidade Construtiva",CONCATENATE("UC ",TEXT(A170,"00")),IF(G170="Célula Construtiva",TEXT(B170,"00"),IF(G170="Etapa",CONCATENATE(TEXT(B170,"00"),".",TEXT(C170,"000")),IF(G170="Subetapa",CONCATENATE(TEXT(B170,"00"),".",TEXT(C170,"000"),".",TEXT(D170,"000")),IF(G170="Serviço",CONCATENATE(TEXT(B170,"00"),".",TEXT(C170,"000"),".",TEXT(D170,"000"),".",TEXT(E170,"000")),"")))))</f>
        <v/>
      </c>
      <c r="I170" s="92" t="inlineStr">
        <is>
          <t>Instalações de Água Fria</t>
        </is>
      </c>
      <c r="J170" s="77" t="inlineStr">
        <is>
          <t>vb</t>
        </is>
      </c>
      <c r="K170" s="353" t="n">
        <v>1</v>
      </c>
      <c r="L170" s="87">
        <f>M170/K170</f>
        <v/>
      </c>
      <c r="M170" s="354" t="n">
        <v>361563.95</v>
      </c>
      <c r="N170" s="79">
        <f>M170/$M$298</f>
        <v/>
      </c>
      <c r="O170" s="87">
        <f>M170/OBRA!$D$12</f>
        <v/>
      </c>
      <c r="P170" s="355" t="n"/>
    </row>
    <row r="171" outlineLevel="3" ht="19.9" customFormat="1" customHeight="1" s="1">
      <c r="A171" s="343">
        <f>IF(G171="UNIDADE CONSTRUTIVA",OFFSET(A171,-1,0)+1,LARGE(A$4:A170,1))</f>
        <v/>
      </c>
      <c r="B171" s="343">
        <f>IF(G171="UNIDADE CONSTRUTIVA",0,IF(G171="CÉLULA CONSTRUTIVA",OFFSET(B171,-1,0)+1,OFFSET(B171,-1,0)))</f>
        <v/>
      </c>
      <c r="C171" s="343">
        <f>IF(G171="CÉLULA CONSTRUTIVA",0,IF(G171="ETAPA",OFFSET(C171,-1,0)+1,OFFSET(C171,-1,0)))</f>
        <v/>
      </c>
      <c r="D171" s="347">
        <f>IF(G171="ETAPA",0,IF(G171="SUBETAPA",OFFSET(D171,-1,0)+1,OFFSET(D171,-1,0)))</f>
        <v/>
      </c>
      <c r="E171" s="347">
        <f>IF(G171="Subetapa",0,IF(G171="serviço",OFFSET(E171,-1,0)+1,OFFSET(E171,-1,0)))</f>
        <v/>
      </c>
      <c r="G171" s="75" t="inlineStr">
        <is>
          <t>Serviço</t>
        </is>
      </c>
      <c r="H171" s="352">
        <f>IF(G171="Unidade Construtiva",CONCATENATE("UC ",TEXT(A171,"00")),IF(G171="Célula Construtiva",TEXT(B171,"00"),IF(G171="Etapa",CONCATENATE(TEXT(B171,"00"),".",TEXT(C171,"000")),IF(G171="Subetapa",CONCATENATE(TEXT(B171,"00"),".",TEXT(C171,"000"),".",TEXT(D171,"000")),IF(G171="Serviço",CONCATENATE(TEXT(B171,"00"),".",TEXT(C171,"000"),".",TEXT(D171,"000"),".",TEXT(E171,"000")),"")))))</f>
        <v/>
      </c>
      <c r="I171" s="92" t="inlineStr">
        <is>
          <t>Instalações de Água Quente</t>
        </is>
      </c>
      <c r="J171" s="77" t="inlineStr">
        <is>
          <t>vb</t>
        </is>
      </c>
      <c r="K171" s="353" t="n">
        <v>1</v>
      </c>
      <c r="L171" s="87">
        <f>M171/K171</f>
        <v/>
      </c>
      <c r="M171" s="354" t="n">
        <v>289251.1600000001</v>
      </c>
      <c r="N171" s="79">
        <f>M171/$M$298</f>
        <v/>
      </c>
      <c r="O171" s="87">
        <f>M171/OBRA!$D$12</f>
        <v/>
      </c>
      <c r="P171" s="355" t="n"/>
    </row>
    <row r="172" outlineLevel="3" ht="19.9" customFormat="1" customHeight="1" s="1">
      <c r="A172" s="343">
        <f>IF(G172="UNIDADE CONSTRUTIVA",OFFSET(A172,-1,0)+1,LARGE(A$4:A171,1))</f>
        <v/>
      </c>
      <c r="B172" s="343">
        <f>IF(G172="UNIDADE CONSTRUTIVA",0,IF(G172="CÉLULA CONSTRUTIVA",OFFSET(B172,-1,0)+1,OFFSET(B172,-1,0)))</f>
        <v/>
      </c>
      <c r="C172" s="343">
        <f>IF(G172="CÉLULA CONSTRUTIVA",0,IF(G172="ETAPA",OFFSET(C172,-1,0)+1,OFFSET(C172,-1,0)))</f>
        <v/>
      </c>
      <c r="D172" s="347">
        <f>IF(G172="ETAPA",0,IF(G172="SUBETAPA",OFFSET(D172,-1,0)+1,OFFSET(D172,-1,0)))</f>
        <v/>
      </c>
      <c r="E172" s="347">
        <f>IF(G172="Subetapa",0,IF(G172="serviço",OFFSET(E172,-1,0)+1,OFFSET(E172,-1,0)))</f>
        <v/>
      </c>
      <c r="G172" s="75" t="inlineStr">
        <is>
          <t>Serviço</t>
        </is>
      </c>
      <c r="H172" s="352">
        <f>IF(G172="Unidade Construtiva",CONCATENATE("UC ",TEXT(A172,"00")),IF(G172="Célula Construtiva",TEXT(B172,"00"),IF(G172="Etapa",CONCATENATE(TEXT(B172,"00"),".",TEXT(C172,"000")),IF(G172="Subetapa",CONCATENATE(TEXT(B172,"00"),".",TEXT(C172,"000"),".",TEXT(D172,"000")),IF(G172="Serviço",CONCATENATE(TEXT(B172,"00"),".",TEXT(C172,"000"),".",TEXT(D172,"000"),".",TEXT(E172,"000")),"")))))</f>
        <v/>
      </c>
      <c r="I172" s="92" t="inlineStr">
        <is>
          <t>Instalações de Águas Pluviais</t>
        </is>
      </c>
      <c r="J172" s="77" t="inlineStr">
        <is>
          <t>vb</t>
        </is>
      </c>
      <c r="K172" s="353" t="n">
        <v>1</v>
      </c>
      <c r="L172" s="87">
        <f>M172/K172</f>
        <v/>
      </c>
      <c r="M172" s="354" t="n">
        <v>144625.58</v>
      </c>
      <c r="N172" s="79">
        <f>M172/$M$298</f>
        <v/>
      </c>
      <c r="O172" s="87">
        <f>M172/OBRA!$D$12</f>
        <v/>
      </c>
      <c r="P172" s="355" t="n"/>
    </row>
    <row r="173" outlineLevel="3" ht="19.9" customFormat="1" customHeight="1" s="1">
      <c r="A173" s="343">
        <f>IF(G173="UNIDADE CONSTRUTIVA",OFFSET(A173,-1,0)+1,LARGE(A$4:A171,1))</f>
        <v/>
      </c>
      <c r="B173" s="343">
        <f>IF(G173="UNIDADE CONSTRUTIVA",0,IF(G173="CÉLULA CONSTRUTIVA",OFFSET(B173,-1,0)+1,OFFSET(B173,-1,0)))</f>
        <v/>
      </c>
      <c r="C173" s="343">
        <f>IF(G173="CÉLULA CONSTRUTIVA",0,IF(G173="ETAPA",OFFSET(C173,-1,0)+1,OFFSET(C173,-1,0)))</f>
        <v/>
      </c>
      <c r="D173" s="347">
        <f>IF(G173="ETAPA",0,IF(G173="SUBETAPA",OFFSET(D173,-1,0)+1,OFFSET(D173,-1,0)))</f>
        <v/>
      </c>
      <c r="E173" s="347">
        <f>IF(G173="Subetapa",0,IF(G173="serviço",OFFSET(E173,-1,0)+1,OFFSET(E173,-1,0)))</f>
        <v/>
      </c>
      <c r="G173" s="75" t="inlineStr">
        <is>
          <t>Serviço</t>
        </is>
      </c>
      <c r="H173" s="352">
        <f>IF(G173="Unidade Construtiva",CONCATENATE("UC ",TEXT(A173,"00")),IF(G173="Célula Construtiva",TEXT(B173,"00"),IF(G173="Etapa",CONCATENATE(TEXT(B173,"00"),".",TEXT(C173,"000")),IF(G173="Subetapa",CONCATENATE(TEXT(B173,"00"),".",TEXT(C173,"000"),".",TEXT(D173,"000")),IF(G173="Serviço",CONCATENATE(TEXT(B173,"00"),".",TEXT(C173,"000"),".",TEXT(D173,"000"),".",TEXT(E173,"000")),"")))))</f>
        <v/>
      </c>
      <c r="I173" s="92" t="inlineStr">
        <is>
          <t>Instalações Sanitárias</t>
        </is>
      </c>
      <c r="J173" s="77" t="inlineStr">
        <is>
          <t>vb</t>
        </is>
      </c>
      <c r="K173" s="353" t="n">
        <v>1</v>
      </c>
      <c r="L173" s="87">
        <f>M173/K173</f>
        <v/>
      </c>
      <c r="M173" s="354" t="n">
        <v>216938.37</v>
      </c>
      <c r="N173" s="79">
        <f>M173/$M$298</f>
        <v/>
      </c>
      <c r="O173" s="87">
        <f>M173/OBRA!$D$12</f>
        <v/>
      </c>
      <c r="P173" s="355" t="n"/>
    </row>
    <row r="174" outlineLevel="3" ht="19.9" customFormat="1" customHeight="1" s="1">
      <c r="A174" s="343">
        <f>IF(G174="UNIDADE CONSTRUTIVA",OFFSET(A174,-1,0)+1,LARGE(A$4:A172,1))</f>
        <v/>
      </c>
      <c r="B174" s="343">
        <f>IF(G174="UNIDADE CONSTRUTIVA",0,IF(G174="CÉLULA CONSTRUTIVA",OFFSET(B174,-1,0)+1,OFFSET(B174,-1,0)))</f>
        <v/>
      </c>
      <c r="C174" s="343">
        <f>IF(G174="CÉLULA CONSTRUTIVA",0,IF(G174="ETAPA",OFFSET(C174,-1,0)+1,OFFSET(C174,-1,0)))</f>
        <v/>
      </c>
      <c r="D174" s="347">
        <f>IF(G174="ETAPA",0,IF(G174="SUBETAPA",OFFSET(D174,-1,0)+1,OFFSET(D174,-1,0)))</f>
        <v/>
      </c>
      <c r="E174" s="347">
        <f>IF(G174="Subetapa",0,IF(G174="serviço",OFFSET(E174,-1,0)+1,OFFSET(E174,-1,0)))</f>
        <v/>
      </c>
      <c r="G174" s="75" t="inlineStr">
        <is>
          <t>Serviço</t>
        </is>
      </c>
      <c r="H174" s="352">
        <f>IF(G174="Unidade Construtiva",CONCATENATE("UC ",TEXT(A174,"00")),IF(G174="Célula Construtiva",TEXT(B174,"00"),IF(G174="Etapa",CONCATENATE(TEXT(B174,"00"),".",TEXT(C174,"000")),IF(G174="Subetapa",CONCATENATE(TEXT(B174,"00"),".",TEXT(C174,"000"),".",TEXT(D174,"000")),IF(G174="Serviço",CONCATENATE(TEXT(B174,"00"),".",TEXT(C174,"000"),".",TEXT(D174,"000"),".",TEXT(E174,"000")),"")))))</f>
        <v/>
      </c>
      <c r="I174" s="92" t="inlineStr">
        <is>
          <t>Louças e Metais</t>
        </is>
      </c>
      <c r="J174" s="77" t="inlineStr">
        <is>
          <t>vb</t>
        </is>
      </c>
      <c r="K174" s="353" t="n">
        <v>1</v>
      </c>
      <c r="L174" s="87">
        <f>M174/K174</f>
        <v/>
      </c>
      <c r="M174" s="354" t="n">
        <v>723127.9</v>
      </c>
      <c r="N174" s="79">
        <f>M174/$M$298</f>
        <v/>
      </c>
      <c r="O174" s="87">
        <f>M174/OBRA!$D$12</f>
        <v/>
      </c>
      <c r="P174" s="355" t="n"/>
    </row>
    <row r="175" outlineLevel="2" ht="19.9" customFormat="1" customHeight="1" s="1">
      <c r="A175" s="343">
        <f>IF(G175="UNIDADE CONSTRUTIVA",OFFSET(A175,-1,0)+1,LARGE(A$4:A174,1))</f>
        <v/>
      </c>
      <c r="B175" s="343">
        <f>IF(G175="UNIDADE CONSTRUTIVA",0,IF(G175="CÉLULA CONSTRUTIVA",OFFSET(B175,-1,0)+1,OFFSET(B175,-1,0)))</f>
        <v/>
      </c>
      <c r="C175" s="343">
        <f>IF(G175="CÉLULA CONSTRUTIVA",0,IF(G175="ETAPA",OFFSET(C175,-1,0)+1,OFFSET(C175,-1,0)))</f>
        <v/>
      </c>
      <c r="D175" s="347">
        <f>IF(G175="ETAPA",0,IF(G175="SUBETAPA",OFFSET(D175,-1,0)+1,OFFSET(D175,-1,0)))</f>
        <v/>
      </c>
      <c r="E175" s="347">
        <f>IF(G175="Subetapa",0,IF(G175="serviço",OFFSET(E175,-1,0)+1,OFFSET(E175,-1,0)))</f>
        <v/>
      </c>
      <c r="G175" s="75" t="inlineStr">
        <is>
          <t>Subetapa</t>
        </is>
      </c>
      <c r="H175" s="352">
        <f>IF(G175="Unidade Construtiva",CONCATENATE("UC ",TEXT(A175,"00")),IF(G175="Célula Construtiva",TEXT(B175,"00"),IF(G175="Etapa",CONCATENATE(TEXT(B175,"00"),".",TEXT(C175,"000")),IF(G175="Subetapa",CONCATENATE(TEXT(B175,"00"),".",TEXT(C175,"000"),".",TEXT(D175,"000")),IF(G175="Serviço",CONCATENATE(TEXT(B175,"00"),".",TEXT(C175,"000"),".",TEXT(D175,"000"),".",TEXT(E175,"000")),"")))))</f>
        <v/>
      </c>
      <c r="I175" s="92" t="inlineStr">
        <is>
          <t>Mão de Obra</t>
        </is>
      </c>
      <c r="J175" s="77" t="n"/>
      <c r="K175" s="353" t="n"/>
      <c r="L175" s="87" t="n"/>
      <c r="M175" s="354">
        <f>M176</f>
        <v/>
      </c>
      <c r="N175" s="79">
        <f>M175/$M$298</f>
        <v/>
      </c>
      <c r="O175" s="87">
        <f>M175/OBRA!$D$12</f>
        <v/>
      </c>
      <c r="P175" s="355" t="n"/>
    </row>
    <row r="176" outlineLevel="3" ht="19.9" customFormat="1" customHeight="1" s="1">
      <c r="A176" s="343">
        <f>IF(G176="UNIDADE CONSTRUTIVA",OFFSET(A176,-1,0)+1,LARGE(A$4:A175,1))</f>
        <v/>
      </c>
      <c r="B176" s="343">
        <f>IF(G176="UNIDADE CONSTRUTIVA",0,IF(G176="CÉLULA CONSTRUTIVA",OFFSET(B176,-1,0)+1,OFFSET(B176,-1,0)))</f>
        <v/>
      </c>
      <c r="C176" s="343">
        <f>IF(G176="CÉLULA CONSTRUTIVA",0,IF(G176="ETAPA",OFFSET(C176,-1,0)+1,OFFSET(C176,-1,0)))</f>
        <v/>
      </c>
      <c r="D176" s="347">
        <f>IF(G176="ETAPA",0,IF(G176="SUBETAPA",OFFSET(D176,-1,0)+1,OFFSET(D176,-1,0)))</f>
        <v/>
      </c>
      <c r="E176" s="347">
        <f>IF(G176="Subetapa",0,IF(G176="serviço",OFFSET(E176,-1,0)+1,OFFSET(E176,-1,0)))</f>
        <v/>
      </c>
      <c r="G176" s="75" t="inlineStr">
        <is>
          <t>Serviço</t>
        </is>
      </c>
      <c r="H176" s="352">
        <f>IF(G176="Unidade Construtiva",CONCATENATE("UC ",TEXT(A176,"00")),IF(G176="Célula Construtiva",TEXT(B176,"00"),IF(G176="Etapa",CONCATENATE(TEXT(B176,"00"),".",TEXT(C176,"000")),IF(G176="Subetapa",CONCATENATE(TEXT(B176,"00"),".",TEXT(C176,"000"),".",TEXT(D176,"000")),IF(G176="Serviço",CONCATENATE(TEXT(B176,"00"),".",TEXT(C176,"000"),".",TEXT(D176,"000"),".",TEXT(E176,"000")),"")))))</f>
        <v/>
      </c>
      <c r="I176" s="92" t="inlineStr">
        <is>
          <t>Mão de ObraInstalações Hidráulicas</t>
        </is>
      </c>
      <c r="J176" s="77" t="inlineStr">
        <is>
          <t>vb</t>
        </is>
      </c>
      <c r="K176" s="353" t="n">
        <v>1</v>
      </c>
      <c r="L176" s="87">
        <f>M176/K176</f>
        <v/>
      </c>
      <c r="M176" s="357" t="n">
        <v>795440.6900000001</v>
      </c>
      <c r="N176" s="79">
        <f>M176/$M$298</f>
        <v/>
      </c>
      <c r="O176" s="87">
        <f>M176/OBRA!$D$12</f>
        <v/>
      </c>
      <c r="P176" s="355" t="n"/>
    </row>
    <row r="177" outlineLevel="2" ht="19.9" customFormat="1" customHeight="1" s="1">
      <c r="A177" s="343">
        <f>IF(G177="UNIDADE CONSTRUTIVA",OFFSET(A177,-1,0)+1,LARGE(A$4:A176,1))</f>
        <v/>
      </c>
      <c r="B177" s="343">
        <f>IF(G177="UNIDADE CONSTRUTIVA",0,IF(G177="CÉLULA CONSTRUTIVA",OFFSET(B177,-1,0)+1,OFFSET(B177,-1,0)))</f>
        <v/>
      </c>
      <c r="C177" s="343">
        <f>IF(G177="CÉLULA CONSTRUTIVA",0,IF(G177="ETAPA",OFFSET(C177,-1,0)+1,OFFSET(C177,-1,0)))</f>
        <v/>
      </c>
      <c r="D177" s="347">
        <f>IF(G177="ETAPA",0,IF(G177="SUBETAPA",OFFSET(D177,-1,0)+1,OFFSET(D177,-1,0)))</f>
        <v/>
      </c>
      <c r="E177" s="347">
        <f>IF(G177="Subetapa",0,IF(G177="serviço",OFFSET(E177,-1,0)+1,OFFSET(E177,-1,0)))</f>
        <v/>
      </c>
      <c r="G177" s="75" t="inlineStr">
        <is>
          <t>ETAPA</t>
        </is>
      </c>
      <c r="H177" s="352">
        <f>IF(G177="Unidade Construtiva",CONCATENATE("UC ",TEXT(A177,"00")),IF(G177="Célula Construtiva",TEXT(B177,"00"),IF(G177="Etapa",CONCATENATE(TEXT(B177,"00"),".",TEXT(C177,"000")),IF(G177="Subetapa",CONCATENATE(TEXT(B177,"00"),".",TEXT(C177,"000"),".",TEXT(D177,"000")),IF(G177="Serviço",CONCATENATE(TEXT(B177,"00"),".",TEXT(C177,"000"),".",TEXT(D177,"000"),".",TEXT(E177,"000")),"")))))</f>
        <v/>
      </c>
      <c r="I177" s="92" t="inlineStr">
        <is>
          <t>SISTEMAS E INSTALAÇÕES ELÉTRICAS</t>
        </is>
      </c>
      <c r="J177" s="77" t="n"/>
      <c r="K177" s="353" t="n"/>
      <c r="L177" s="87" t="n"/>
      <c r="M177" s="354">
        <f>M178+M185</f>
        <v/>
      </c>
      <c r="N177" s="79">
        <f>M177/$M$298</f>
        <v/>
      </c>
      <c r="O177" s="87">
        <f>M177/OBRA!$D$12</f>
        <v/>
      </c>
      <c r="P177" s="355" t="n"/>
    </row>
    <row r="178" outlineLevel="2" ht="19.9" customFormat="1" customHeight="1" s="1">
      <c r="A178" s="343">
        <f>IF(G178="UNIDADE CONSTRUTIVA",OFFSET(A178,-1,0)+1,LARGE(A$4:A177,1))</f>
        <v/>
      </c>
      <c r="B178" s="343">
        <f>IF(G178="UNIDADE CONSTRUTIVA",0,IF(G178="CÉLULA CONSTRUTIVA",OFFSET(B178,-1,0)+1,OFFSET(B178,-1,0)))</f>
        <v/>
      </c>
      <c r="C178" s="343">
        <f>IF(G178="CÉLULA CONSTRUTIVA",0,IF(G178="ETAPA",OFFSET(C178,-1,0)+1,OFFSET(C178,-1,0)))</f>
        <v/>
      </c>
      <c r="D178" s="347">
        <f>IF(G178="ETAPA",0,IF(G178="SUBETAPA",OFFSET(D178,-1,0)+1,OFFSET(D178,-1,0)))</f>
        <v/>
      </c>
      <c r="E178" s="347">
        <f>IF(G178="Subetapa",0,IF(G178="serviço",OFFSET(E178,-1,0)+1,OFFSET(E178,-1,0)))</f>
        <v/>
      </c>
      <c r="G178" s="75" t="inlineStr">
        <is>
          <t>Subetapa</t>
        </is>
      </c>
      <c r="H178" s="352">
        <f>IF(G178="Unidade Construtiva",CONCATENATE("UC ",TEXT(A178,"00")),IF(G178="Célula Construtiva",TEXT(B178,"00"),IF(G178="Etapa",CONCATENATE(TEXT(B178,"00"),".",TEXT(C178,"000")),IF(G178="Subetapa",CONCATENATE(TEXT(B178,"00"),".",TEXT(C178,"000"),".",TEXT(D178,"000")),IF(G178="Serviço",CONCATENATE(TEXT(B178,"00"),".",TEXT(C178,"000"),".",TEXT(D178,"000"),".",TEXT(E178,"000")),"")))))</f>
        <v/>
      </c>
      <c r="I178" s="92" t="inlineStr">
        <is>
          <t>Sistemas e Isntalações Elétricas</t>
        </is>
      </c>
      <c r="J178" s="77" t="n"/>
      <c r="K178" s="353" t="n"/>
      <c r="L178" s="87" t="n"/>
      <c r="M178" s="354">
        <f>SUM(M179:M184)</f>
        <v/>
      </c>
      <c r="N178" s="79">
        <f>M178/$M$298</f>
        <v/>
      </c>
      <c r="O178" s="87">
        <f>M178/OBRA!$D$12</f>
        <v/>
      </c>
      <c r="P178" s="355" t="n"/>
    </row>
    <row r="179" outlineLevel="3" ht="19.9" customFormat="1" customHeight="1" s="1">
      <c r="A179" s="343">
        <f>IF(G179="UNIDADE CONSTRUTIVA",OFFSET(A179,-1,0)+1,LARGE(A$4:A178,1))</f>
        <v/>
      </c>
      <c r="B179" s="343">
        <f>IF(G179="UNIDADE CONSTRUTIVA",0,IF(G179="CÉLULA CONSTRUTIVA",OFFSET(B179,-1,0)+1,OFFSET(B179,-1,0)))</f>
        <v/>
      </c>
      <c r="C179" s="343">
        <f>IF(G179="CÉLULA CONSTRUTIVA",0,IF(G179="ETAPA",OFFSET(C179,-1,0)+1,OFFSET(C179,-1,0)))</f>
        <v/>
      </c>
      <c r="D179" s="347">
        <f>IF(G179="ETAPA",0,IF(G179="SUBETAPA",OFFSET(D179,-1,0)+1,OFFSET(D179,-1,0)))</f>
        <v/>
      </c>
      <c r="E179" s="347">
        <f>IF(G179="Subetapa",0,IF(G179="serviço",OFFSET(E179,-1,0)+1,OFFSET(E179,-1,0)))</f>
        <v/>
      </c>
      <c r="G179" s="75" t="inlineStr">
        <is>
          <t>Serviço</t>
        </is>
      </c>
      <c r="H179" s="352">
        <f>IF(G179="Unidade Construtiva",CONCATENATE("UC ",TEXT(A179,"00")),IF(G179="Célula Construtiva",TEXT(B179,"00"),IF(G179="Etapa",CONCATENATE(TEXT(B179,"00"),".",TEXT(C179,"000")),IF(G179="Subetapa",CONCATENATE(TEXT(B179,"00"),".",TEXT(C179,"000"),".",TEXT(D179,"000")),IF(G179="Serviço",CONCATENATE(TEXT(B179,"00"),".",TEXT(C179,"000"),".",TEXT(D179,"000"),".",TEXT(E179,"000")),"")))))</f>
        <v/>
      </c>
      <c r="I179" s="92" t="inlineStr">
        <is>
          <t>Entrada de Energia</t>
        </is>
      </c>
      <c r="J179" s="77" t="inlineStr">
        <is>
          <t>vb</t>
        </is>
      </c>
      <c r="K179" s="353" t="n">
        <v>1</v>
      </c>
      <c r="L179" s="87">
        <f>M179/K179</f>
        <v/>
      </c>
      <c r="M179" s="354" t="n">
        <v>79544.06900000002</v>
      </c>
      <c r="N179" s="79">
        <f>M179/$M$298</f>
        <v/>
      </c>
      <c r="O179" s="87">
        <f>M179/OBRA!$D$12</f>
        <v/>
      </c>
      <c r="P179" s="355" t="n"/>
    </row>
    <row r="180" outlineLevel="3" ht="19.9" customFormat="1" customHeight="1" s="1">
      <c r="A180" s="343">
        <f>IF(G180="UNIDADE CONSTRUTIVA",OFFSET(A180,-1,0)+1,LARGE(A$4:A179,1))</f>
        <v/>
      </c>
      <c r="B180" s="343">
        <f>IF(G180="UNIDADE CONSTRUTIVA",0,IF(G180="CÉLULA CONSTRUTIVA",OFFSET(B180,-1,0)+1,OFFSET(B180,-1,0)))</f>
        <v/>
      </c>
      <c r="C180" s="343">
        <f>IF(G180="CÉLULA CONSTRUTIVA",0,IF(G180="ETAPA",OFFSET(C180,-1,0)+1,OFFSET(C180,-1,0)))</f>
        <v/>
      </c>
      <c r="D180" s="347">
        <f>IF(G180="ETAPA",0,IF(G180="SUBETAPA",OFFSET(D180,-1,0)+1,OFFSET(D180,-1,0)))</f>
        <v/>
      </c>
      <c r="E180" s="347">
        <f>IF(G180="Subetapa",0,IF(G180="serviço",OFFSET(E180,-1,0)+1,OFFSET(E180,-1,0)))</f>
        <v/>
      </c>
      <c r="G180" s="75" t="inlineStr">
        <is>
          <t>Serviço</t>
        </is>
      </c>
      <c r="H180" s="352">
        <f>IF(G180="Unidade Construtiva",CONCATENATE("UC ",TEXT(A180,"00")),IF(G180="Célula Construtiva",TEXT(B180,"00"),IF(G180="Etapa",CONCATENATE(TEXT(B180,"00"),".",TEXT(C180,"000")),IF(G180="Subetapa",CONCATENATE(TEXT(B180,"00"),".",TEXT(C180,"000"),".",TEXT(D180,"000")),IF(G180="Serviço",CONCATENATE(TEXT(B180,"00"),".",TEXT(C180,"000"),".",TEXT(D180,"000"),".",TEXT(E180,"000")),"")))))</f>
        <v/>
      </c>
      <c r="I180" s="92" t="inlineStr">
        <is>
          <t>Eletrodutos e Eletrocalhas</t>
        </is>
      </c>
      <c r="J180" s="77" t="inlineStr">
        <is>
          <t>vb</t>
        </is>
      </c>
      <c r="K180" s="353" t="n">
        <v>1</v>
      </c>
      <c r="L180" s="87">
        <f>M180/K180</f>
        <v/>
      </c>
      <c r="M180" s="354" t="n">
        <v>144625.58</v>
      </c>
      <c r="N180" s="79">
        <f>M180/$M$298</f>
        <v/>
      </c>
      <c r="O180" s="87">
        <f>M180/OBRA!$D$12</f>
        <v/>
      </c>
      <c r="P180" s="355" t="n"/>
    </row>
    <row r="181" outlineLevel="3" ht="19.9" customFormat="1" customHeight="1" s="1">
      <c r="A181" s="343">
        <f>IF(G181="UNIDADE CONSTRUTIVA",OFFSET(A181,-1,0)+1,LARGE(A$4:A180,1))</f>
        <v/>
      </c>
      <c r="B181" s="343">
        <f>IF(G181="UNIDADE CONSTRUTIVA",0,IF(G181="CÉLULA CONSTRUTIVA",OFFSET(B181,-1,0)+1,OFFSET(B181,-1,0)))</f>
        <v/>
      </c>
      <c r="C181" s="343">
        <f>IF(G181="CÉLULA CONSTRUTIVA",0,IF(G181="ETAPA",OFFSET(C181,-1,0)+1,OFFSET(C181,-1,0)))</f>
        <v/>
      </c>
      <c r="D181" s="347">
        <f>IF(G181="ETAPA",0,IF(G181="SUBETAPA",OFFSET(D181,-1,0)+1,OFFSET(D181,-1,0)))</f>
        <v/>
      </c>
      <c r="E181" s="347">
        <f>IF(G181="Subetapa",0,IF(G181="serviço",OFFSET(E181,-1,0)+1,OFFSET(E181,-1,0)))</f>
        <v/>
      </c>
      <c r="G181" s="75" t="inlineStr">
        <is>
          <t>Serviço</t>
        </is>
      </c>
      <c r="H181" s="352">
        <f>IF(G181="Unidade Construtiva",CONCATENATE("UC ",TEXT(A181,"00")),IF(G181="Célula Construtiva",TEXT(B181,"00"),IF(G181="Etapa",CONCATENATE(TEXT(B181,"00"),".",TEXT(C181,"000")),IF(G181="Subetapa",CONCATENATE(TEXT(B181,"00"),".",TEXT(C181,"000"),".",TEXT(D181,"000")),IF(G181="Serviço",CONCATENATE(TEXT(B181,"00"),".",TEXT(C181,"000"),".",TEXT(D181,"000"),".",TEXT(E181,"000")),"")))))</f>
        <v/>
      </c>
      <c r="I181" s="92" t="inlineStr">
        <is>
          <t>Cabos e Fiações</t>
        </is>
      </c>
      <c r="J181" s="77" t="inlineStr">
        <is>
          <t>vb</t>
        </is>
      </c>
      <c r="K181" s="353" t="n">
        <v>1</v>
      </c>
      <c r="L181" s="87">
        <f>M181/K181</f>
        <v/>
      </c>
      <c r="M181" s="354" t="n">
        <v>433876.74</v>
      </c>
      <c r="N181" s="79">
        <f>M181/$M$298</f>
        <v/>
      </c>
      <c r="O181" s="87">
        <f>M181/OBRA!$D$12</f>
        <v/>
      </c>
      <c r="P181" s="355" t="n"/>
    </row>
    <row r="182" outlineLevel="3" ht="19.9" customFormat="1" customHeight="1" s="1">
      <c r="A182" s="343">
        <f>IF(G182="UNIDADE CONSTRUTIVA",OFFSET(A182,-1,0)+1,LARGE(A$4:A181,1))</f>
        <v/>
      </c>
      <c r="B182" s="343">
        <f>IF(G182="UNIDADE CONSTRUTIVA",0,IF(G182="CÉLULA CONSTRUTIVA",OFFSET(B182,-1,0)+1,OFFSET(B182,-1,0)))</f>
        <v/>
      </c>
      <c r="C182" s="343">
        <f>IF(G182="CÉLULA CONSTRUTIVA",0,IF(G182="ETAPA",OFFSET(C182,-1,0)+1,OFFSET(C182,-1,0)))</f>
        <v/>
      </c>
      <c r="D182" s="347">
        <f>IF(G182="ETAPA",0,IF(G182="SUBETAPA",OFFSET(D182,-1,0)+1,OFFSET(D182,-1,0)))</f>
        <v/>
      </c>
      <c r="E182" s="347">
        <f>IF(G182="Subetapa",0,IF(G182="serviço",OFFSET(E182,-1,0)+1,OFFSET(E182,-1,0)))</f>
        <v/>
      </c>
      <c r="G182" s="75" t="inlineStr">
        <is>
          <t>Serviço</t>
        </is>
      </c>
      <c r="H182" s="352">
        <f>IF(G182="Unidade Construtiva",CONCATENATE("UC ",TEXT(A182,"00")),IF(G182="Célula Construtiva",TEXT(B182,"00"),IF(G182="Etapa",CONCATENATE(TEXT(B182,"00"),".",TEXT(C182,"000")),IF(G182="Subetapa",CONCATENATE(TEXT(B182,"00"),".",TEXT(C182,"000"),".",TEXT(D182,"000")),IF(G182="Serviço",CONCATENATE(TEXT(B182,"00"),".",TEXT(C182,"000"),".",TEXT(D182,"000"),".",TEXT(E182,"000")),"")))))</f>
        <v/>
      </c>
      <c r="I182" s="92" t="inlineStr">
        <is>
          <t>Quadros e Disjuntores</t>
        </is>
      </c>
      <c r="J182" s="77" t="inlineStr">
        <is>
          <t>vb</t>
        </is>
      </c>
      <c r="K182" s="353" t="n">
        <v>1</v>
      </c>
      <c r="L182" s="87">
        <f>M182/K182</f>
        <v/>
      </c>
      <c r="M182" s="354" t="n">
        <v>260326.044</v>
      </c>
      <c r="N182" s="79">
        <f>M182/$M$298</f>
        <v/>
      </c>
      <c r="O182" s="87">
        <f>M182/OBRA!$D$12</f>
        <v/>
      </c>
      <c r="P182" s="355" t="n"/>
    </row>
    <row r="183" outlineLevel="3" ht="19.9" customFormat="1" customHeight="1" s="1">
      <c r="A183" s="343">
        <f>IF(G183="UNIDADE CONSTRUTIVA",OFFSET(A183,-1,0)+1,LARGE(A$4:A182,1))</f>
        <v/>
      </c>
      <c r="B183" s="343">
        <f>IF(G183="UNIDADE CONSTRUTIVA",0,IF(G183="CÉLULA CONSTRUTIVA",OFFSET(B183,-1,0)+1,OFFSET(B183,-1,0)))</f>
        <v/>
      </c>
      <c r="C183" s="343">
        <f>IF(G183="CÉLULA CONSTRUTIVA",0,IF(G183="ETAPA",OFFSET(C183,-1,0)+1,OFFSET(C183,-1,0)))</f>
        <v/>
      </c>
      <c r="D183" s="347">
        <f>IF(G183="ETAPA",0,IF(G183="SUBETAPA",OFFSET(D183,-1,0)+1,OFFSET(D183,-1,0)))</f>
        <v/>
      </c>
      <c r="E183" s="347">
        <f>IF(G183="Subetapa",0,IF(G183="serviço",OFFSET(E183,-1,0)+1,OFFSET(E183,-1,0)))</f>
        <v/>
      </c>
      <c r="G183" s="75" t="inlineStr">
        <is>
          <t>Serviço</t>
        </is>
      </c>
      <c r="H183" s="352">
        <f>IF(G183="Unidade Construtiva",CONCATENATE("UC ",TEXT(A183,"00")),IF(G183="Célula Construtiva",TEXT(B183,"00"),IF(G183="Etapa",CONCATENATE(TEXT(B183,"00"),".",TEXT(C183,"000")),IF(G183="Subetapa",CONCATENATE(TEXT(B183,"00"),".",TEXT(C183,"000"),".",TEXT(D183,"000")),IF(G183="Serviço",CONCATENATE(TEXT(B183,"00"),".",TEXT(C183,"000"),".",TEXT(D183,"000"),".",TEXT(E183,"000")),"")))))</f>
        <v/>
      </c>
      <c r="I183" s="92" t="inlineStr">
        <is>
          <t>Acabamentos Elétricos</t>
        </is>
      </c>
      <c r="J183" s="77" t="inlineStr">
        <is>
          <t>vb</t>
        </is>
      </c>
      <c r="K183" s="353" t="n">
        <v>1</v>
      </c>
      <c r="L183" s="87">
        <f>M183/K183</f>
        <v/>
      </c>
      <c r="M183" s="354" t="n">
        <v>216938.37</v>
      </c>
      <c r="N183" s="79">
        <f>M183/$M$298</f>
        <v/>
      </c>
      <c r="O183" s="87">
        <f>M183/OBRA!$D$12</f>
        <v/>
      </c>
      <c r="P183" s="355" t="n"/>
    </row>
    <row r="184" outlineLevel="3" ht="19.9" customFormat="1" customHeight="1" s="1">
      <c r="A184" s="343">
        <f>IF(G184="UNIDADE CONSTRUTIVA",OFFSET(A184,-1,0)+1,LARGE(A$4:A183,1))</f>
        <v/>
      </c>
      <c r="B184" s="343">
        <f>IF(G184="UNIDADE CONSTRUTIVA",0,IF(G184="CÉLULA CONSTRUTIVA",OFFSET(B184,-1,0)+1,OFFSET(B184,-1,0)))</f>
        <v/>
      </c>
      <c r="C184" s="343">
        <f>IF(G184="CÉLULA CONSTRUTIVA",0,IF(G184="ETAPA",OFFSET(C184,-1,0)+1,OFFSET(C184,-1,0)))</f>
        <v/>
      </c>
      <c r="D184" s="347">
        <f>IF(G184="ETAPA",0,IF(G184="SUBETAPA",OFFSET(D184,-1,0)+1,OFFSET(D184,-1,0)))</f>
        <v/>
      </c>
      <c r="E184" s="347">
        <f>IF(G184="Subetapa",0,IF(G184="serviço",OFFSET(E184,-1,0)+1,OFFSET(E184,-1,0)))</f>
        <v/>
      </c>
      <c r="G184" s="75" t="inlineStr">
        <is>
          <t>Serviço</t>
        </is>
      </c>
      <c r="H184" s="352">
        <f>IF(G184="Unidade Construtiva",CONCATENATE("UC ",TEXT(A184,"00")),IF(G184="Célula Construtiva",TEXT(B184,"00"),IF(G184="Etapa",CONCATENATE(TEXT(B184,"00"),".",TEXT(C184,"000")),IF(G184="Subetapa",CONCATENATE(TEXT(B184,"00"),".",TEXT(C184,"000"),".",TEXT(D184,"000")),IF(G184="Serviço",CONCATENATE(TEXT(B184,"00"),".",TEXT(C184,"000"),".",TEXT(D184,"000"),".",TEXT(E184,"000")),"")))))</f>
        <v/>
      </c>
      <c r="I184" s="92" t="inlineStr">
        <is>
          <t>Equipamentos e Iluminação</t>
        </is>
      </c>
      <c r="J184" s="77" t="inlineStr">
        <is>
          <t>vb</t>
        </is>
      </c>
      <c r="K184" s="353" t="n">
        <v>1</v>
      </c>
      <c r="L184" s="87">
        <f>M184/K184</f>
        <v/>
      </c>
      <c r="M184" s="354" t="n">
        <v>216938.37</v>
      </c>
      <c r="N184" s="79">
        <f>M184/$M$298</f>
        <v/>
      </c>
      <c r="O184" s="87">
        <f>M184/OBRA!$D$12</f>
        <v/>
      </c>
      <c r="P184" s="355" t="n"/>
    </row>
    <row r="185" outlineLevel="2" ht="19.9" customFormat="1" customHeight="1" s="1">
      <c r="A185" s="343">
        <f>IF(G185="UNIDADE CONSTRUTIVA",OFFSET(A185,-1,0)+1,LARGE(A$4:A184,1))</f>
        <v/>
      </c>
      <c r="B185" s="343">
        <f>IF(G185="UNIDADE CONSTRUTIVA",0,IF(G185="CÉLULA CONSTRUTIVA",OFFSET(B185,-1,0)+1,OFFSET(B185,-1,0)))</f>
        <v/>
      </c>
      <c r="C185" s="343">
        <f>IF(G185="CÉLULA CONSTRUTIVA",0,IF(G185="ETAPA",OFFSET(C185,-1,0)+1,OFFSET(C185,-1,0)))</f>
        <v/>
      </c>
      <c r="D185" s="347">
        <f>IF(G185="ETAPA",0,IF(G185="SUBETAPA",OFFSET(D185,-1,0)+1,OFFSET(D185,-1,0)))</f>
        <v/>
      </c>
      <c r="E185" s="347">
        <f>IF(G185="Subetapa",0,IF(G185="serviço",OFFSET(E185,-1,0)+1,OFFSET(E185,-1,0)))</f>
        <v/>
      </c>
      <c r="G185" s="75" t="inlineStr">
        <is>
          <t>Subetapa</t>
        </is>
      </c>
      <c r="H185" s="352">
        <f>IF(G185="Unidade Construtiva",CONCATENATE("UC ",TEXT(A185,"00")),IF(G185="Célula Construtiva",TEXT(B185,"00"),IF(G185="Etapa",CONCATENATE(TEXT(B185,"00"),".",TEXT(C185,"000")),IF(G185="Subetapa",CONCATENATE(TEXT(B185,"00"),".",TEXT(C185,"000"),".",TEXT(D185,"000")),IF(G185="Serviço",CONCATENATE(TEXT(B185,"00"),".",TEXT(C185,"000"),".",TEXT(D185,"000"),".",TEXT(E185,"000")),"")))))</f>
        <v/>
      </c>
      <c r="I185" s="92" t="inlineStr">
        <is>
          <t>Mão de Obra</t>
        </is>
      </c>
      <c r="J185" s="77" t="n"/>
      <c r="K185" s="353" t="n"/>
      <c r="L185" s="87" t="n"/>
      <c r="M185" s="354">
        <f>M186</f>
        <v/>
      </c>
      <c r="N185" s="79">
        <f>M185/$M$298</f>
        <v/>
      </c>
      <c r="O185" s="87">
        <f>M185/OBRA!$D$12</f>
        <v/>
      </c>
      <c r="P185" s="355" t="n"/>
    </row>
    <row r="186" outlineLevel="3" ht="19.9" customFormat="1" customHeight="1" s="1">
      <c r="A186" s="343">
        <f>IF(G186="UNIDADE CONSTRUTIVA",OFFSET(A186,-1,0)+1,LARGE(A$4:A185,1))</f>
        <v/>
      </c>
      <c r="B186" s="343">
        <f>IF(G186="UNIDADE CONSTRUTIVA",0,IF(G186="CÉLULA CONSTRUTIVA",OFFSET(B186,-1,0)+1,OFFSET(B186,-1,0)))</f>
        <v/>
      </c>
      <c r="C186" s="343">
        <f>IF(G186="CÉLULA CONSTRUTIVA",0,IF(G186="ETAPA",OFFSET(C186,-1,0)+1,OFFSET(C186,-1,0)))</f>
        <v/>
      </c>
      <c r="D186" s="347">
        <f>IF(G186="ETAPA",0,IF(G186="SUBETAPA",OFFSET(D186,-1,0)+1,OFFSET(D186,-1,0)))</f>
        <v/>
      </c>
      <c r="E186" s="347">
        <f>IF(G186="Subetapa",0,IF(G186="serviço",OFFSET(E186,-1,0)+1,OFFSET(E186,-1,0)))</f>
        <v/>
      </c>
      <c r="G186" s="75" t="inlineStr">
        <is>
          <t>Serviço</t>
        </is>
      </c>
      <c r="H186" s="352">
        <f>IF(G186="Unidade Construtiva",CONCATENATE("UC ",TEXT(A186,"00")),IF(G186="Célula Construtiva",TEXT(B186,"00"),IF(G186="Etapa",CONCATENATE(TEXT(B186,"00"),".",TEXT(C186,"000")),IF(G186="Subetapa",CONCATENATE(TEXT(B186,"00"),".",TEXT(C186,"000"),".",TEXT(D186,"000")),IF(G186="Serviço",CONCATENATE(TEXT(B186,"00"),".",TEXT(C186,"000"),".",TEXT(D186,"000"),".",TEXT(E186,"000")),"")))))</f>
        <v/>
      </c>
      <c r="I186" s="92" t="inlineStr">
        <is>
          <t>Mão de Obrapara instalações elétricas</t>
        </is>
      </c>
      <c r="J186" s="77" t="inlineStr">
        <is>
          <t>vb</t>
        </is>
      </c>
      <c r="K186" s="353" t="n">
        <v>1</v>
      </c>
      <c r="L186" s="87">
        <f>M186/K186</f>
        <v/>
      </c>
      <c r="M186" s="357" t="n">
        <v>867753.4800000001</v>
      </c>
      <c r="N186" s="79">
        <f>M186/$M$298</f>
        <v/>
      </c>
      <c r="O186" s="87">
        <f>M186/OBRA!$D$12</f>
        <v/>
      </c>
      <c r="P186" s="355" t="n"/>
    </row>
    <row r="187" outlineLevel="2" ht="19.9" customFormat="1" customHeight="1" s="1">
      <c r="A187" s="343">
        <f>IF(G187="UNIDADE CONSTRUTIVA",OFFSET(A187,-1,0)+1,LARGE(A$4:A186,1))</f>
        <v/>
      </c>
      <c r="B187" s="343">
        <f>IF(G187="UNIDADE CONSTRUTIVA",0,IF(G187="CÉLULA CONSTRUTIVA",OFFSET(B187,-1,0)+1,OFFSET(B187,-1,0)))</f>
        <v/>
      </c>
      <c r="C187" s="343">
        <f>IF(G187="CÉLULA CONSTRUTIVA",0,IF(G187="ETAPA",OFFSET(C187,-1,0)+1,OFFSET(C187,-1,0)))</f>
        <v/>
      </c>
      <c r="D187" s="347">
        <f>IF(G187="ETAPA",0,IF(G187="SUBETAPA",OFFSET(D187,-1,0)+1,OFFSET(D187,-1,0)))</f>
        <v/>
      </c>
      <c r="E187" s="347">
        <f>IF(G187="Subetapa",0,IF(G187="serviço",OFFSET(E187,-1,0)+1,OFFSET(E187,-1,0)))</f>
        <v/>
      </c>
      <c r="G187" s="75" t="inlineStr">
        <is>
          <t>ETAPA</t>
        </is>
      </c>
      <c r="H187" s="352">
        <f>IF(G187="Unidade Construtiva",CONCATENATE("UC ",TEXT(A187,"00")),IF(G187="Célula Construtiva",TEXT(B187,"00"),IF(G187="Etapa",CONCATENATE(TEXT(B187,"00"),".",TEXT(C187,"000")),IF(G187="Subetapa",CONCATENATE(TEXT(B187,"00"),".",TEXT(C187,"000"),".",TEXT(D187,"000")),IF(G187="Serviço",CONCATENATE(TEXT(B187,"00"),".",TEXT(C187,"000"),".",TEXT(D187,"000"),".",TEXT(E187,"000")),"")))))</f>
        <v/>
      </c>
      <c r="I187" s="92" t="inlineStr">
        <is>
          <t>INSTALAÇÕES PREVENTIVAS E GLP</t>
        </is>
      </c>
      <c r="J187" s="77" t="inlineStr">
        <is>
          <t>m²</t>
        </is>
      </c>
      <c r="K187" s="353" t="n">
        <v>13275.29</v>
      </c>
      <c r="L187" s="87" t="n">
        <v>26.16</v>
      </c>
      <c r="M187" s="354">
        <f>K187*L187</f>
        <v/>
      </c>
      <c r="N187" s="79">
        <f>M187/$M$298</f>
        <v/>
      </c>
      <c r="O187" s="87">
        <f>M187/OBRA!$D$12</f>
        <v/>
      </c>
      <c r="P187" s="355" t="n"/>
    </row>
    <row r="188" outlineLevel="2" ht="19.9" customFormat="1" customHeight="1" s="1">
      <c r="A188" s="343">
        <f>IF(G188="UNIDADE CONSTRUTIVA",OFFSET(A188,-1,0)+1,LARGE(A$4:A187,1))</f>
        <v/>
      </c>
      <c r="B188" s="343">
        <f>IF(G188="UNIDADE CONSTRUTIVA",0,IF(G188="CÉLULA CONSTRUTIVA",OFFSET(B188,-1,0)+1,OFFSET(B188,-1,0)))</f>
        <v/>
      </c>
      <c r="C188" s="343">
        <f>IF(G188="CÉLULA CONSTRUTIVA",0,IF(G188="ETAPA",OFFSET(C188,-1,0)+1,OFFSET(C188,-1,0)))</f>
        <v/>
      </c>
      <c r="D188" s="347">
        <f>IF(G188="ETAPA",0,IF(G188="SUBETAPA",OFFSET(D188,-1,0)+1,OFFSET(D188,-1,0)))</f>
        <v/>
      </c>
      <c r="E188" s="347">
        <f>IF(G188="Subetapa",0,IF(G188="serviço",OFFSET(E188,-1,0)+1,OFFSET(E188,-1,0)))</f>
        <v/>
      </c>
      <c r="G188" s="75" t="inlineStr">
        <is>
          <t>Subetapa</t>
        </is>
      </c>
      <c r="H188" s="352">
        <f>IF(G188="Unidade Construtiva",CONCATENATE("UC ",TEXT(A188,"00")),IF(G188="Célula Construtiva",TEXT(B188,"00"),IF(G188="Etapa",CONCATENATE(TEXT(B188,"00"),".",TEXT(C188,"000")),IF(G188="Subetapa",CONCATENATE(TEXT(B188,"00"),".",TEXT(C188,"000"),".",TEXT(D188,"000")),IF(G188="Serviço",CONCATENATE(TEXT(B188,"00"),".",TEXT(C188,"000"),".",TEXT(D188,"000"),".",TEXT(E188,"000")),"")))))</f>
        <v/>
      </c>
      <c r="I188" s="92" t="inlineStr">
        <is>
          <t>Instalações Preventivas</t>
        </is>
      </c>
      <c r="J188" s="77" t="n"/>
      <c r="K188" s="353" t="n"/>
      <c r="L188" s="87" t="n"/>
      <c r="M188" s="354">
        <f>SUM(M189:M191)</f>
        <v/>
      </c>
      <c r="N188" s="79">
        <f>M188/$M$298</f>
        <v/>
      </c>
      <c r="O188" s="87">
        <f>M188/OBRA!$D$12</f>
        <v/>
      </c>
      <c r="P188" s="355" t="n"/>
    </row>
    <row r="189" outlineLevel="3" ht="19.9" customFormat="1" customHeight="1" s="1">
      <c r="A189" s="343">
        <f>IF(G189="UNIDADE CONSTRUTIVA",OFFSET(A189,-1,0)+1,LARGE(A$4:A188,1))</f>
        <v/>
      </c>
      <c r="B189" s="343">
        <f>IF(G189="UNIDADE CONSTRUTIVA",0,IF(G189="CÉLULA CONSTRUTIVA",OFFSET(B189,-1,0)+1,OFFSET(B189,-1,0)))</f>
        <v/>
      </c>
      <c r="C189" s="343">
        <f>IF(G189="CÉLULA CONSTRUTIVA",0,IF(G189="ETAPA",OFFSET(C189,-1,0)+1,OFFSET(C189,-1,0)))</f>
        <v/>
      </c>
      <c r="D189" s="347">
        <f>IF(G189="ETAPA",0,IF(G189="SUBETAPA",OFFSET(D189,-1,0)+1,OFFSET(D189,-1,0)))</f>
        <v/>
      </c>
      <c r="E189" s="347">
        <f>IF(G189="Subetapa",0,IF(G189="serviço",OFFSET(E189,-1,0)+1,OFFSET(E189,-1,0)))</f>
        <v/>
      </c>
      <c r="G189" s="75" t="inlineStr">
        <is>
          <t>Serviço</t>
        </is>
      </c>
      <c r="H189" s="352">
        <f>IF(G189="Unidade Construtiva",CONCATENATE("UC ",TEXT(A189,"00")),IF(G189="Célula Construtiva",TEXT(B189,"00"),IF(G189="Etapa",CONCATENATE(TEXT(B189,"00"),".",TEXT(C189,"000")),IF(G189="Subetapa",CONCATENATE(TEXT(B189,"00"),".",TEXT(C189,"000"),".",TEXT(D189,"000")),IF(G189="Serviço",CONCATENATE(TEXT(B189,"00"),".",TEXT(C189,"000"),".",TEXT(D189,"000"),".",TEXT(E189,"000")),"")))))</f>
        <v/>
      </c>
      <c r="I189" s="92" t="inlineStr">
        <is>
          <t>Instalações Preventivas</t>
        </is>
      </c>
      <c r="J189" s="77" t="inlineStr">
        <is>
          <t>vb</t>
        </is>
      </c>
      <c r="K189" s="353" t="n">
        <v>1</v>
      </c>
      <c r="L189" s="87">
        <f>M189/K189</f>
        <v/>
      </c>
      <c r="M189" s="354" t="n">
        <v>289251.1600000001</v>
      </c>
      <c r="N189" s="79">
        <f>M189/$M$298</f>
        <v/>
      </c>
      <c r="O189" s="87">
        <f>M189/OBRA!$D$12</f>
        <v/>
      </c>
      <c r="P189" s="355" t="n"/>
    </row>
    <row r="190" outlineLevel="3" ht="19.9" customFormat="1" customHeight="1" s="1">
      <c r="A190" s="343">
        <f>IF(G190="UNIDADE CONSTRUTIVA",OFFSET(A190,-1,0)+1,LARGE(A$4:A189,1))</f>
        <v/>
      </c>
      <c r="B190" s="343">
        <f>IF(G190="UNIDADE CONSTRUTIVA",0,IF(G190="CÉLULA CONSTRUTIVA",OFFSET(B190,-1,0)+1,OFFSET(B190,-1,0)))</f>
        <v/>
      </c>
      <c r="C190" s="343">
        <f>IF(G190="CÉLULA CONSTRUTIVA",0,IF(G190="ETAPA",OFFSET(C190,-1,0)+1,OFFSET(C190,-1,0)))</f>
        <v/>
      </c>
      <c r="D190" s="347">
        <f>IF(G190="ETAPA",0,IF(G190="SUBETAPA",OFFSET(D190,-1,0)+1,OFFSET(D190,-1,0)))</f>
        <v/>
      </c>
      <c r="E190" s="347">
        <f>IF(G190="Subetapa",0,IF(G190="serviço",OFFSET(E190,-1,0)+1,OFFSET(E190,-1,0)))</f>
        <v/>
      </c>
      <c r="G190" s="75" t="inlineStr">
        <is>
          <t>Serviço</t>
        </is>
      </c>
      <c r="H190" s="352">
        <f>IF(G190="Unidade Construtiva",CONCATENATE("UC ",TEXT(A190,"00")),IF(G190="Célula Construtiva",TEXT(B190,"00"),IF(G190="Etapa",CONCATENATE(TEXT(B190,"00"),".",TEXT(C190,"000")),IF(G190="Subetapa",CONCATENATE(TEXT(B190,"00"),".",TEXT(C190,"000"),".",TEXT(D190,"000")),IF(G190="Serviço",CONCATENATE(TEXT(B190,"00"),".",TEXT(C190,"000"),".",TEXT(D190,"000"),".",TEXT(E190,"000")),"")))))</f>
        <v/>
      </c>
      <c r="I190" s="92" t="inlineStr">
        <is>
          <t>Instalações de GLP</t>
        </is>
      </c>
      <c r="J190" s="77" t="inlineStr">
        <is>
          <t>vb</t>
        </is>
      </c>
      <c r="K190" s="353" t="n">
        <v>1</v>
      </c>
      <c r="L190" s="87">
        <f>M190/K190</f>
        <v/>
      </c>
      <c r="M190" s="354" t="n">
        <v>216938.37</v>
      </c>
      <c r="N190" s="79">
        <f>M190/$M$298</f>
        <v/>
      </c>
      <c r="O190" s="87">
        <f>M190/OBRA!$D$12</f>
        <v/>
      </c>
      <c r="P190" s="355" t="n"/>
    </row>
    <row r="191" outlineLevel="3" ht="19.9" customFormat="1" customHeight="1" s="1">
      <c r="A191" s="343">
        <f>IF(G191="UNIDADE CONSTRUTIVA",OFFSET(A191,-1,0)+1,LARGE(A$4:A190,1))</f>
        <v/>
      </c>
      <c r="B191" s="343">
        <f>IF(G191="UNIDADE CONSTRUTIVA",0,IF(G191="CÉLULA CONSTRUTIVA",OFFSET(B191,-1,0)+1,OFFSET(B191,-1,0)))</f>
        <v/>
      </c>
      <c r="C191" s="343">
        <f>IF(G191="CÉLULA CONSTRUTIVA",0,IF(G191="ETAPA",OFFSET(C191,-1,0)+1,OFFSET(C191,-1,0)))</f>
        <v/>
      </c>
      <c r="D191" s="347">
        <f>IF(G191="ETAPA",0,IF(G191="SUBETAPA",OFFSET(D191,-1,0)+1,OFFSET(D191,-1,0)))</f>
        <v/>
      </c>
      <c r="E191" s="347">
        <f>IF(G191="Subetapa",0,IF(G191="serviço",OFFSET(E191,-1,0)+1,OFFSET(E191,-1,0)))</f>
        <v/>
      </c>
      <c r="G191" s="75" t="inlineStr">
        <is>
          <t>Serviço</t>
        </is>
      </c>
      <c r="H191" s="352">
        <f>IF(G191="Unidade Construtiva",CONCATENATE("UC ",TEXT(A191,"00")),IF(G191="Célula Construtiva",TEXT(B191,"00"),IF(G191="Etapa",CONCATENATE(TEXT(B191,"00"),".",TEXT(C191,"000")),IF(G191="Subetapa",CONCATENATE(TEXT(B191,"00"),".",TEXT(C191,"000"),".",TEXT(D191,"000")),IF(G191="Serviço",CONCATENATE(TEXT(B191,"00"),".",TEXT(C191,"000"),".",TEXT(D191,"000"),".",TEXT(E191,"000")),"")))))</f>
        <v/>
      </c>
      <c r="I191" s="92" t="inlineStr">
        <is>
          <t>Instalações de Proteção e Aterramento - SPDA</t>
        </is>
      </c>
      <c r="J191" s="77" t="inlineStr">
        <is>
          <t>vb</t>
        </is>
      </c>
      <c r="K191" s="353" t="n">
        <v>1</v>
      </c>
      <c r="L191" s="87">
        <f>M191/K191</f>
        <v/>
      </c>
      <c r="M191" s="354" t="n">
        <v>115700.464</v>
      </c>
      <c r="N191" s="79">
        <f>M191/$M$298</f>
        <v/>
      </c>
      <c r="O191" s="87">
        <f>M191/OBRA!$D$12</f>
        <v/>
      </c>
      <c r="P191" s="355" t="n"/>
    </row>
    <row r="192" outlineLevel="1" ht="19.9" customFormat="1" customHeight="1" s="1">
      <c r="A192" s="343">
        <f>IF(G192="UNIDADE CONSTRUTIVA",OFFSET(A192,-1,0)+1,LARGE(A$4:A191,1))</f>
        <v/>
      </c>
      <c r="B192" s="343">
        <f>IF(G192="UNIDADE CONSTRUTIVA",0,IF(G192="CÉLULA CONSTRUTIVA",OFFSET(B192,-1,0)+1,OFFSET(B192,-1,0)))</f>
        <v/>
      </c>
      <c r="C192" s="343">
        <f>IF(G192="CÉLULA CONSTRUTIVA",0,IF(G192="ETAPA",OFFSET(C192,-1,0)+1,OFFSET(C192,-1,0)))</f>
        <v/>
      </c>
      <c r="D192" s="347">
        <f>IF(G192="ETAPA",0,IF(G192="SUBETAPA",OFFSET(D192,-1,0)+1,OFFSET(D192,-1,0)))</f>
        <v/>
      </c>
      <c r="E192" s="347">
        <f>IF(G192="Subetapa",0,IF(G192="serviço",OFFSET(E192,-1,0)+1,OFFSET(E192,-1,0)))</f>
        <v/>
      </c>
      <c r="G192" s="75" t="inlineStr">
        <is>
          <t>CÉLULA CONSTRUTIVA</t>
        </is>
      </c>
      <c r="H192" s="352">
        <f>IF(G192="Unidade Construtiva",CONCATENATE("UC ",TEXT(A192,"00")),IF(G192="Célula Construtiva",TEXT(B192,"00"),IF(G192="Etapa",CONCATENATE(TEXT(B192,"00"),".",TEXT(C192,"000")),IF(G192="Subetapa",CONCATENATE(TEXT(B192,"00"),".",TEXT(C192,"000"),".",TEXT(D192,"000")),IF(G192="Serviço",CONCATENATE(TEXT(B192,"00"),".",TEXT(C192,"000"),".",TEXT(D192,"000"),".",TEXT(E192,"000")),"")))))</f>
        <v/>
      </c>
      <c r="I192" s="92" t="inlineStr">
        <is>
          <t>EQUIPAMENTOS E SISTEMAS ESPECIAIS</t>
        </is>
      </c>
      <c r="J192" s="77" t="n"/>
      <c r="K192" s="353" t="n"/>
      <c r="L192" s="87" t="n"/>
      <c r="M192" s="354">
        <f>M193+M199+M205+M212</f>
        <v/>
      </c>
      <c r="N192" s="79">
        <f>M192/$M$298</f>
        <v/>
      </c>
      <c r="O192" s="87">
        <f>M192/OBRA!$D$12</f>
        <v/>
      </c>
      <c r="P192" s="355" t="n"/>
    </row>
    <row r="193" outlineLevel="2" ht="19.9" customFormat="1" customHeight="1" s="1">
      <c r="A193" s="343">
        <f>IF(G193="UNIDADE CONSTRUTIVA",OFFSET(A193,-1,0)+1,LARGE(A$4:A192,1))</f>
        <v/>
      </c>
      <c r="B193" s="343">
        <f>IF(G193="UNIDADE CONSTRUTIVA",0,IF(G193="CÉLULA CONSTRUTIVA",OFFSET(B193,-1,0)+1,OFFSET(B193,-1,0)))</f>
        <v/>
      </c>
      <c r="C193" s="343">
        <f>IF(G193="CÉLULA CONSTRUTIVA",0,IF(G193="ETAPA",OFFSET(C193,-1,0)+1,OFFSET(C193,-1,0)))</f>
        <v/>
      </c>
      <c r="D193" s="347">
        <f>IF(G193="ETAPA",0,IF(G193="SUBETAPA",OFFSET(D193,-1,0)+1,OFFSET(D193,-1,0)))</f>
        <v/>
      </c>
      <c r="E193" s="347">
        <f>IF(G193="Subetapa",0,IF(G193="serviço",OFFSET(E193,-1,0)+1,OFFSET(E193,-1,0)))</f>
        <v/>
      </c>
      <c r="G193" s="75" t="inlineStr">
        <is>
          <t>ETAPA</t>
        </is>
      </c>
      <c r="H193" s="352">
        <f>IF(G193="Unidade Construtiva",CONCATENATE("UC ",TEXT(A193,"00")),IF(G193="Célula Construtiva",TEXT(B193,"00"),IF(G193="Etapa",CONCATENATE(TEXT(B193,"00"),".",TEXT(C193,"000")),IF(G193="Subetapa",CONCATENATE(TEXT(B193,"00"),".",TEXT(C193,"000"),".",TEXT(D193,"000")),IF(G193="Serviço",CONCATENATE(TEXT(B193,"00"),".",TEXT(C193,"000"),".",TEXT(D193,"000"),".",TEXT(E193,"000")),"")))))</f>
        <v/>
      </c>
      <c r="I193" s="92" t="inlineStr">
        <is>
          <t>CLIMATIZAÇÃO, EXAUSTÃO MECÂNICA E PRESSURIZAÇÃO</t>
        </is>
      </c>
      <c r="J193" s="77" t="n"/>
      <c r="K193" s="353" t="n"/>
      <c r="L193" s="87" t="n"/>
      <c r="M193" s="354">
        <f>M194</f>
        <v/>
      </c>
      <c r="N193" s="79">
        <f>M193/$M$298</f>
        <v/>
      </c>
      <c r="O193" s="87">
        <f>M193/OBRA!$D$12</f>
        <v/>
      </c>
      <c r="P193" s="355" t="n"/>
    </row>
    <row r="194" outlineLevel="2" ht="19.9" customFormat="1" customHeight="1" s="1">
      <c r="A194" s="343">
        <f>IF(G194="UNIDADE CONSTRUTIVA",OFFSET(A194,-1,0)+1,LARGE(A$4:A193,1))</f>
        <v/>
      </c>
      <c r="B194" s="343">
        <f>IF(G194="UNIDADE CONSTRUTIVA",0,IF(G194="CÉLULA CONSTRUTIVA",OFFSET(B194,-1,0)+1,OFFSET(B194,-1,0)))</f>
        <v/>
      </c>
      <c r="C194" s="343">
        <f>IF(G194="CÉLULA CONSTRUTIVA",0,IF(G194="ETAPA",OFFSET(C194,-1,0)+1,OFFSET(C194,-1,0)))</f>
        <v/>
      </c>
      <c r="D194" s="347">
        <f>IF(G194="ETAPA",0,IF(G194="SUBETAPA",OFFSET(D194,-1,0)+1,OFFSET(D194,-1,0)))</f>
        <v/>
      </c>
      <c r="E194" s="347">
        <f>IF(G194="Subetapa",0,IF(G194="serviço",OFFSET(E194,-1,0)+1,OFFSET(E194,-1,0)))</f>
        <v/>
      </c>
      <c r="G194" s="75" t="inlineStr">
        <is>
          <t>Subetapa</t>
        </is>
      </c>
      <c r="H194" s="352">
        <f>IF(G194="Unidade Construtiva",CONCATENATE("UC ",TEXT(A194,"00")),IF(G194="Célula Construtiva",TEXT(B194,"00"),IF(G194="Etapa",CONCATENATE(TEXT(B194,"00"),".",TEXT(C194,"000")),IF(G194="Subetapa",CONCATENATE(TEXT(B194,"00"),".",TEXT(C194,"000"),".",TEXT(D194,"000")),IF(G194="Serviço",CONCATENATE(TEXT(B194,"00"),".",TEXT(C194,"000"),".",TEXT(D194,"000"),".",TEXT(E194,"000")),"")))))</f>
        <v/>
      </c>
      <c r="I194" s="92" t="inlineStr">
        <is>
          <t>Climatização, exaustã mecânica e pressurização</t>
        </is>
      </c>
      <c r="J194" s="77" t="n"/>
      <c r="K194" s="353" t="n"/>
      <c r="L194" s="87" t="n"/>
      <c r="M194" s="354">
        <f>SUM(M195:M198)</f>
        <v/>
      </c>
      <c r="N194" s="79">
        <f>M194/$M$298</f>
        <v/>
      </c>
      <c r="O194" s="87">
        <f>M194/OBRA!$D$12</f>
        <v/>
      </c>
      <c r="P194" s="355" t="n"/>
    </row>
    <row r="195" outlineLevel="3" ht="19.9" customFormat="1" customHeight="1" s="1">
      <c r="A195" s="343">
        <f>IF(G195="UNIDADE CONSTRUTIVA",OFFSET(A195,-1,0)+1,LARGE(A$4:A194,1))</f>
        <v/>
      </c>
      <c r="B195" s="343">
        <f>IF(G195="UNIDADE CONSTRUTIVA",0,IF(G195="CÉLULA CONSTRUTIVA",OFFSET(B195,-1,0)+1,OFFSET(B195,-1,0)))</f>
        <v/>
      </c>
      <c r="C195" s="343">
        <f>IF(G195="CÉLULA CONSTRUTIVA",0,IF(G195="ETAPA",OFFSET(C195,-1,0)+1,OFFSET(C195,-1,0)))</f>
        <v/>
      </c>
      <c r="D195" s="347">
        <f>IF(G195="ETAPA",0,IF(G195="SUBETAPA",OFFSET(D195,-1,0)+1,OFFSET(D195,-1,0)))</f>
        <v/>
      </c>
      <c r="E195" s="347">
        <f>IF(G195="Subetapa",0,IF(G195="serviço",OFFSET(E195,-1,0)+1,OFFSET(E195,-1,0)))</f>
        <v/>
      </c>
      <c r="G195" s="75" t="inlineStr">
        <is>
          <t>Serviço</t>
        </is>
      </c>
      <c r="H195" s="352">
        <f>IF(G195="Unidade Construtiva",CONCATENATE("UC ",TEXT(A195,"00")),IF(G195="Célula Construtiva",TEXT(B195,"00"),IF(G195="Etapa",CONCATENATE(TEXT(B195,"00"),".",TEXT(C195,"000")),IF(G195="Subetapa",CONCATENATE(TEXT(B195,"00"),".",TEXT(C195,"000"),".",TEXT(D195,"000")),IF(G195="Serviço",CONCATENATE(TEXT(B195,"00"),".",TEXT(C195,"000"),".",TEXT(D195,"000"),".",TEXT(E195,"000")),"")))))</f>
        <v/>
      </c>
      <c r="I195" s="92" t="inlineStr">
        <is>
          <t>Infraestrutura para Instalação de Ar Condicionado</t>
        </is>
      </c>
      <c r="J195" s="77" t="inlineStr">
        <is>
          <t xml:space="preserve">un </t>
        </is>
      </c>
      <c r="K195" s="353" t="n">
        <v>291</v>
      </c>
      <c r="L195" s="87">
        <f>M195/K195</f>
        <v/>
      </c>
      <c r="M195" s="354" t="n">
        <v>384120.0000000001</v>
      </c>
      <c r="N195" s="79">
        <f>M195/$M$298</f>
        <v/>
      </c>
      <c r="O195" s="87">
        <f>M195/OBRA!$D$12</f>
        <v/>
      </c>
      <c r="P195" s="355" t="inlineStr">
        <is>
          <t>Infraestrutura para ar-condicionado tipo split em residencial</t>
        </is>
      </c>
    </row>
    <row r="196" outlineLevel="3" ht="19.9" customFormat="1" customHeight="1" s="1">
      <c r="A196" s="343">
        <f>IF(G196="UNIDADE CONSTRUTIVA",OFFSET(A196,-1,0)+1,LARGE(A$4:A195,1))</f>
        <v/>
      </c>
      <c r="B196" s="343">
        <f>IF(G196="UNIDADE CONSTRUTIVA",0,IF(G196="CÉLULA CONSTRUTIVA",OFFSET(B196,-1,0)+1,OFFSET(B196,-1,0)))</f>
        <v/>
      </c>
      <c r="C196" s="343">
        <f>IF(G196="CÉLULA CONSTRUTIVA",0,IF(G196="ETAPA",OFFSET(C196,-1,0)+1,OFFSET(C196,-1,0)))</f>
        <v/>
      </c>
      <c r="D196" s="347">
        <f>IF(G196="ETAPA",0,IF(G196="SUBETAPA",OFFSET(D196,-1,0)+1,OFFSET(D196,-1,0)))</f>
        <v/>
      </c>
      <c r="E196" s="347">
        <f>IF(G196="Subetapa",0,IF(G196="serviço",OFFSET(E196,-1,0)+1,OFFSET(E196,-1,0)))</f>
        <v/>
      </c>
      <c r="G196" s="75" t="inlineStr">
        <is>
          <t>Serviço</t>
        </is>
      </c>
      <c r="H196" s="352">
        <f>IF(G196="Unidade Construtiva",CONCATENATE("UC ",TEXT(A196,"00")),IF(G196="Célula Construtiva",TEXT(B196,"00"),IF(G196="Etapa",CONCATENATE(TEXT(B196,"00"),".",TEXT(C196,"000")),IF(G196="Subetapa",CONCATENATE(TEXT(B196,"00"),".",TEXT(C196,"000"),".",TEXT(D196,"000")),IF(G196="Serviço",CONCATENATE(TEXT(B196,"00"),".",TEXT(C196,"000"),".",TEXT(D196,"000"),".",TEXT(E196,"000")),"")))))</f>
        <v/>
      </c>
      <c r="I196" s="92" t="inlineStr">
        <is>
          <t>Instalação de Ar Condicionado</t>
        </is>
      </c>
      <c r="J196" s="77" t="inlineStr">
        <is>
          <t xml:space="preserve">un </t>
        </is>
      </c>
      <c r="K196" s="353" t="n">
        <v>8</v>
      </c>
      <c r="L196" s="87">
        <f>M196/K196</f>
        <v/>
      </c>
      <c r="M196" s="354" t="n">
        <v>44000</v>
      </c>
      <c r="N196" s="79">
        <f>M196/$M$298</f>
        <v/>
      </c>
      <c r="O196" s="87">
        <f>M196/OBRA!$D$12</f>
        <v/>
      </c>
      <c r="P196" s="355" t="inlineStr">
        <is>
          <t xml:space="preserve">Instalação de ar-codicionado tipo split em áreas comuns </t>
        </is>
      </c>
    </row>
    <row r="197" outlineLevel="3" ht="19.9" customFormat="1" customHeight="1" s="1">
      <c r="A197" s="343">
        <f>IF(G197="UNIDADE CONSTRUTIVA",OFFSET(A197,-1,0)+1,LARGE(A$4:A196,1))</f>
        <v/>
      </c>
      <c r="B197" s="343">
        <f>IF(G197="UNIDADE CONSTRUTIVA",0,IF(G197="CÉLULA CONSTRUTIVA",OFFSET(B197,-1,0)+1,OFFSET(B197,-1,0)))</f>
        <v/>
      </c>
      <c r="C197" s="343">
        <f>IF(G197="CÉLULA CONSTRUTIVA",0,IF(G197="ETAPA",OFFSET(C197,-1,0)+1,OFFSET(C197,-1,0)))</f>
        <v/>
      </c>
      <c r="D197" s="347">
        <f>IF(G197="ETAPA",0,IF(G197="SUBETAPA",OFFSET(D197,-1,0)+1,OFFSET(D197,-1,0)))</f>
        <v/>
      </c>
      <c r="E197" s="347">
        <f>IF(G197="Subetapa",0,IF(G197="serviço",OFFSET(E197,-1,0)+1,OFFSET(E197,-1,0)))</f>
        <v/>
      </c>
      <c r="G197" s="75" t="inlineStr">
        <is>
          <t>Serviço</t>
        </is>
      </c>
      <c r="H197" s="352">
        <f>IF(G197="Unidade Construtiva",CONCATENATE("UC ",TEXT(A197,"00")),IF(G197="Célula Construtiva",TEXT(B197,"00"),IF(G197="Etapa",CONCATENATE(TEXT(B197,"00"),".",TEXT(C197,"000")),IF(G197="Subetapa",CONCATENATE(TEXT(B197,"00"),".",TEXT(C197,"000"),".",TEXT(D197,"000")),IF(G197="Serviço",CONCATENATE(TEXT(B197,"00"),".",TEXT(C197,"000"),".",TEXT(D197,"000"),".",TEXT(E197,"000")),"")))))</f>
        <v/>
      </c>
      <c r="I197" s="92" t="inlineStr">
        <is>
          <t>Ventokit</t>
        </is>
      </c>
      <c r="J197" s="77" t="inlineStr">
        <is>
          <t xml:space="preserve">un </t>
        </is>
      </c>
      <c r="K197" s="353" t="n">
        <v>217</v>
      </c>
      <c r="L197" s="87">
        <f>M197/K197</f>
        <v/>
      </c>
      <c r="M197" s="354" t="n">
        <v>214830</v>
      </c>
      <c r="N197" s="79">
        <f>M197/$M$298</f>
        <v/>
      </c>
      <c r="O197" s="87">
        <f>M197/OBRA!$D$12</f>
        <v/>
      </c>
      <c r="P197" s="355" t="inlineStr">
        <is>
          <t>Ventilação mecânica em banheiros enclausurados;</t>
        </is>
      </c>
    </row>
    <row r="198" outlineLevel="3" ht="19.9" customFormat="1" customHeight="1" s="1">
      <c r="A198" s="343">
        <f>IF(G198="UNIDADE CONSTRUTIVA",OFFSET(A198,-1,0)+1,LARGE(A$4:A197,1))</f>
        <v/>
      </c>
      <c r="B198" s="343">
        <f>IF(G198="UNIDADE CONSTRUTIVA",0,IF(G198="CÉLULA CONSTRUTIVA",OFFSET(B198,-1,0)+1,OFFSET(B198,-1,0)))</f>
        <v/>
      </c>
      <c r="C198" s="343">
        <f>IF(G198="CÉLULA CONSTRUTIVA",0,IF(G198="ETAPA",OFFSET(C198,-1,0)+1,OFFSET(C198,-1,0)))</f>
        <v/>
      </c>
      <c r="D198" s="347">
        <f>IF(G198="ETAPA",0,IF(G198="SUBETAPA",OFFSET(D198,-1,0)+1,OFFSET(D198,-1,0)))</f>
        <v/>
      </c>
      <c r="E198" s="347">
        <f>IF(G198="Subetapa",0,IF(G198="serviço",OFFSET(E198,-1,0)+1,OFFSET(E198,-1,0)))</f>
        <v/>
      </c>
      <c r="G198" s="75" t="inlineStr">
        <is>
          <t>Serviço</t>
        </is>
      </c>
      <c r="H198" s="352">
        <f>IF(G198="Unidade Construtiva",CONCATENATE("UC ",TEXT(A198,"00")),IF(G198="Célula Construtiva",TEXT(B198,"00"),IF(G198="Etapa",CONCATENATE(TEXT(B198,"00"),".",TEXT(C198,"000")),IF(G198="Subetapa",CONCATENATE(TEXT(B198,"00"),".",TEXT(C198,"000"),".",TEXT(D198,"000")),IF(G198="Serviço",CONCATENATE(TEXT(B198,"00"),".",TEXT(C198,"000"),".",TEXT(D198,"000"),".",TEXT(E198,"000")),"")))))</f>
        <v/>
      </c>
      <c r="I198" s="92" t="inlineStr">
        <is>
          <t>Churrasqueiras</t>
        </is>
      </c>
      <c r="J198" s="77" t="inlineStr">
        <is>
          <t xml:space="preserve">un </t>
        </is>
      </c>
      <c r="K198" s="353" t="n">
        <v>86</v>
      </c>
      <c r="L198" s="87">
        <f>M198/K198</f>
        <v/>
      </c>
      <c r="M198" s="354" t="n">
        <v>29488</v>
      </c>
      <c r="N198" s="79">
        <f>M198/$M$298</f>
        <v/>
      </c>
      <c r="O198" s="87">
        <f>M198/OBRA!$D$12</f>
        <v/>
      </c>
      <c r="P198" s="355" t="inlineStr">
        <is>
          <t>Exaustão de churrasqueiras - troca por exaustão comum com Sputnik</t>
        </is>
      </c>
    </row>
    <row r="199" outlineLevel="2" ht="19.9" customFormat="1" customHeight="1" s="1">
      <c r="A199" s="343">
        <f>IF(G199="UNIDADE CONSTRUTIVA",OFFSET(A199,-1,0)+1,LARGE(A$4:A198,1))</f>
        <v/>
      </c>
      <c r="B199" s="343">
        <f>IF(G199="UNIDADE CONSTRUTIVA",0,IF(G199="CÉLULA CONSTRUTIVA",OFFSET(B199,-1,0)+1,OFFSET(B199,-1,0)))</f>
        <v/>
      </c>
      <c r="C199" s="343">
        <f>IF(G199="CÉLULA CONSTRUTIVA",0,IF(G199="ETAPA",OFFSET(C199,-1,0)+1,OFFSET(C199,-1,0)))</f>
        <v/>
      </c>
      <c r="D199" s="347">
        <f>IF(G199="ETAPA",0,IF(G199="SUBETAPA",OFFSET(D199,-1,0)+1,OFFSET(D199,-1,0)))</f>
        <v/>
      </c>
      <c r="E199" s="347">
        <f>IF(G199="Subetapa",0,IF(G199="serviço",OFFSET(E199,-1,0)+1,OFFSET(E199,-1,0)))</f>
        <v/>
      </c>
      <c r="G199" s="75" t="inlineStr">
        <is>
          <t>ETAPA</t>
        </is>
      </c>
      <c r="H199" s="352">
        <f>IF(G199="Unidade Construtiva",CONCATENATE("UC ",TEXT(A199,"00")),IF(G199="Célula Construtiva",TEXT(B199,"00"),IF(G199="Etapa",CONCATENATE(TEXT(B199,"00"),".",TEXT(C199,"000")),IF(G199="Subetapa",CONCATENATE(TEXT(B199,"00"),".",TEXT(C199,"000"),".",TEXT(D199,"000")),IF(G199="Serviço",CONCATENATE(TEXT(B199,"00"),".",TEXT(C199,"000"),".",TEXT(D199,"000"),".",TEXT(E199,"000")),"")))))</f>
        <v/>
      </c>
      <c r="I199" s="92" t="inlineStr">
        <is>
          <t>COMUNICAÇÃO</t>
        </is>
      </c>
      <c r="J199" s="77" t="n"/>
      <c r="K199" s="353" t="n"/>
      <c r="L199" s="87" t="n"/>
      <c r="M199" s="354">
        <f>M200</f>
        <v/>
      </c>
      <c r="N199" s="79">
        <f>M199/$M$298</f>
        <v/>
      </c>
      <c r="O199" s="87">
        <f>M199/OBRA!$D$12</f>
        <v/>
      </c>
      <c r="P199" s="355" t="n"/>
    </row>
    <row r="200" outlineLevel="2" ht="19.9" customFormat="1" customHeight="1" s="1">
      <c r="A200" s="343">
        <f>IF(G200="UNIDADE CONSTRUTIVA",OFFSET(A200,-1,0)+1,LARGE(A$4:A199,1))</f>
        <v/>
      </c>
      <c r="B200" s="343">
        <f>IF(G200="UNIDADE CONSTRUTIVA",0,IF(G200="CÉLULA CONSTRUTIVA",OFFSET(B200,-1,0)+1,OFFSET(B200,-1,0)))</f>
        <v/>
      </c>
      <c r="C200" s="343">
        <f>IF(G200="CÉLULA CONSTRUTIVA",0,IF(G200="ETAPA",OFFSET(C200,-1,0)+1,OFFSET(C200,-1,0)))</f>
        <v/>
      </c>
      <c r="D200" s="347">
        <f>IF(G200="ETAPA",0,IF(G200="SUBETAPA",OFFSET(D200,-1,0)+1,OFFSET(D200,-1,0)))</f>
        <v/>
      </c>
      <c r="E200" s="347">
        <f>IF(G200="Subetapa",0,IF(G200="serviço",OFFSET(E200,-1,0)+1,OFFSET(E200,-1,0)))</f>
        <v/>
      </c>
      <c r="G200" s="75" t="inlineStr">
        <is>
          <t>Subetapa</t>
        </is>
      </c>
      <c r="H200" s="352">
        <f>IF(G200="Unidade Construtiva",CONCATENATE("UC ",TEXT(A200,"00")),IF(G200="Célula Construtiva",TEXT(B200,"00"),IF(G200="Etapa",CONCATENATE(TEXT(B200,"00"),".",TEXT(C200,"000")),IF(G200="Subetapa",CONCATENATE(TEXT(B200,"00"),".",TEXT(C200,"000"),".",TEXT(D200,"000")),IF(G200="Serviço",CONCATENATE(TEXT(B200,"00"),".",TEXT(C200,"000"),".",TEXT(D200,"000"),".",TEXT(E200,"000")),"")))))</f>
        <v/>
      </c>
      <c r="I200" s="92" t="inlineStr">
        <is>
          <t>Comunicação</t>
        </is>
      </c>
      <c r="J200" s="77" t="n"/>
      <c r="K200" s="353" t="n"/>
      <c r="L200" s="87" t="n"/>
      <c r="M200" s="354">
        <f>SUM(M201:M204)</f>
        <v/>
      </c>
      <c r="N200" s="79">
        <f>M200/$M$298</f>
        <v/>
      </c>
      <c r="O200" s="87">
        <f>M200/OBRA!$D$12</f>
        <v/>
      </c>
      <c r="P200" s="355" t="n"/>
    </row>
    <row r="201" outlineLevel="3" ht="19.9" customFormat="1" customHeight="1" s="1">
      <c r="A201" s="343">
        <f>IF(G201="UNIDADE CONSTRUTIVA",OFFSET(A201,-1,0)+1,LARGE(A$4:A200,1))</f>
        <v/>
      </c>
      <c r="B201" s="343">
        <f>IF(G201="UNIDADE CONSTRUTIVA",0,IF(G201="CÉLULA CONSTRUTIVA",OFFSET(B201,-1,0)+1,OFFSET(B201,-1,0)))</f>
        <v/>
      </c>
      <c r="C201" s="343">
        <f>IF(G201="CÉLULA CONSTRUTIVA",0,IF(G201="ETAPA",OFFSET(C201,-1,0)+1,OFFSET(C201,-1,0)))</f>
        <v/>
      </c>
      <c r="D201" s="347">
        <f>IF(G201="ETAPA",0,IF(G201="SUBETAPA",OFFSET(D201,-1,0)+1,OFFSET(D201,-1,0)))</f>
        <v/>
      </c>
      <c r="E201" s="347">
        <f>IF(G201="Subetapa",0,IF(G201="serviço",OFFSET(E201,-1,0)+1,OFFSET(E201,-1,0)))</f>
        <v/>
      </c>
      <c r="G201" s="75" t="inlineStr">
        <is>
          <t>Serviço</t>
        </is>
      </c>
      <c r="H201" s="352">
        <f>IF(G201="Unidade Construtiva",CONCATENATE("UC ",TEXT(A201,"00")),IF(G201="Célula Construtiva",TEXT(B201,"00"),IF(G201="Etapa",CONCATENATE(TEXT(B201,"00"),".",TEXT(C201,"000")),IF(G201="Subetapa",CONCATENATE(TEXT(B201,"00"),".",TEXT(C201,"000"),".",TEXT(D201,"000")),IF(G201="Serviço",CONCATENATE(TEXT(B201,"00"),".",TEXT(C201,"000"),".",TEXT(D201,"000"),".",TEXT(E201,"000")),"")))))</f>
        <v/>
      </c>
      <c r="I201" s="92" t="inlineStr">
        <is>
          <t>CFTV</t>
        </is>
      </c>
      <c r="J201" s="77" t="inlineStr">
        <is>
          <t>vb</t>
        </is>
      </c>
      <c r="K201" s="353" t="n">
        <v>1</v>
      </c>
      <c r="L201" s="87">
        <f>M201/K201</f>
        <v/>
      </c>
      <c r="M201" s="354" t="n">
        <v>31425.11600000001</v>
      </c>
      <c r="N201" s="79">
        <f>M201/$M$298</f>
        <v/>
      </c>
      <c r="O201" s="87">
        <f>M201/OBRA!$D$12</f>
        <v/>
      </c>
      <c r="P201" s="355" t="inlineStr">
        <is>
          <t>Inlcuso 6 câmeras para proteção de acessos e perímetro</t>
        </is>
      </c>
    </row>
    <row r="202" outlineLevel="3" ht="19.9" customFormat="1" customHeight="1" s="1">
      <c r="A202" s="343">
        <f>IF(G202="UNIDADE CONSTRUTIVA",OFFSET(A202,-1,0)+1,LARGE(A$4:A201,1))</f>
        <v/>
      </c>
      <c r="B202" s="343">
        <f>IF(G202="UNIDADE CONSTRUTIVA",0,IF(G202="CÉLULA CONSTRUTIVA",OFFSET(B202,-1,0)+1,OFFSET(B202,-1,0)))</f>
        <v/>
      </c>
      <c r="C202" s="343">
        <f>IF(G202="CÉLULA CONSTRUTIVA",0,IF(G202="ETAPA",OFFSET(C202,-1,0)+1,OFFSET(C202,-1,0)))</f>
        <v/>
      </c>
      <c r="D202" s="347">
        <f>IF(G202="ETAPA",0,IF(G202="SUBETAPA",OFFSET(D202,-1,0)+1,OFFSET(D202,-1,0)))</f>
        <v/>
      </c>
      <c r="E202" s="347">
        <f>IF(G202="Subetapa",0,IF(G202="serviço",OFFSET(E202,-1,0)+1,OFFSET(E202,-1,0)))</f>
        <v/>
      </c>
      <c r="G202" s="75" t="inlineStr">
        <is>
          <t>Serviço</t>
        </is>
      </c>
      <c r="H202" s="352">
        <f>IF(G202="Unidade Construtiva",CONCATENATE("UC ",TEXT(A202,"00")),IF(G202="Célula Construtiva",TEXT(B202,"00"),IF(G202="Etapa",CONCATENATE(TEXT(B202,"00"),".",TEXT(C202,"000")),IF(G202="Subetapa",CONCATENATE(TEXT(B202,"00"),".",TEXT(C202,"000"),".",TEXT(D202,"000")),IF(G202="Serviço",CONCATENATE(TEXT(B202,"00"),".",TEXT(C202,"000"),".",TEXT(D202,"000"),".",TEXT(E202,"000")),"")))))</f>
        <v/>
      </c>
      <c r="I202" s="92" t="inlineStr">
        <is>
          <t>Interfone</t>
        </is>
      </c>
      <c r="J202" s="77" t="inlineStr">
        <is>
          <t>vb</t>
        </is>
      </c>
      <c r="K202" s="353" t="n">
        <v>1</v>
      </c>
      <c r="L202" s="87">
        <f>M202/K202</f>
        <v/>
      </c>
      <c r="M202" s="354" t="n">
        <v>72312.79000000002</v>
      </c>
      <c r="N202" s="79">
        <f>M202/$M$298</f>
        <v/>
      </c>
      <c r="O202" s="87">
        <f>M202/OBRA!$D$12</f>
        <v/>
      </c>
      <c r="P202" s="355" t="n"/>
    </row>
    <row r="203" outlineLevel="3" ht="19.9" customFormat="1" customHeight="1" s="1">
      <c r="A203" s="343">
        <f>IF(G203="UNIDADE CONSTRUTIVA",OFFSET(A203,-1,0)+1,LARGE(A$4:A202,1))</f>
        <v/>
      </c>
      <c r="B203" s="343">
        <f>IF(G203="UNIDADE CONSTRUTIVA",0,IF(G203="CÉLULA CONSTRUTIVA",OFFSET(B203,-1,0)+1,OFFSET(B203,-1,0)))</f>
        <v/>
      </c>
      <c r="C203" s="343">
        <f>IF(G203="CÉLULA CONSTRUTIVA",0,IF(G203="ETAPA",OFFSET(C203,-1,0)+1,OFFSET(C203,-1,0)))</f>
        <v/>
      </c>
      <c r="D203" s="347">
        <f>IF(G203="ETAPA",0,IF(G203="SUBETAPA",OFFSET(D203,-1,0)+1,OFFSET(D203,-1,0)))</f>
        <v/>
      </c>
      <c r="E203" s="347">
        <f>IF(G203="Subetapa",0,IF(G203="serviço",OFFSET(E203,-1,0)+1,OFFSET(E203,-1,0)))</f>
        <v/>
      </c>
      <c r="G203" s="75" t="inlineStr">
        <is>
          <t>Serviço</t>
        </is>
      </c>
      <c r="H203" s="352">
        <f>IF(G203="Unidade Construtiva",CONCATENATE("UC ",TEXT(A203,"00")),IF(G203="Célula Construtiva",TEXT(B203,"00"),IF(G203="Etapa",CONCATENATE(TEXT(B203,"00"),".",TEXT(C203,"000")),IF(G203="Subetapa",CONCATENATE(TEXT(B203,"00"),".",TEXT(C203,"000"),".",TEXT(D203,"000")),IF(G203="Serviço",CONCATENATE(TEXT(B203,"00"),".",TEXT(C203,"000"),".",TEXT(D203,"000"),".",TEXT(E203,"000")),"")))))</f>
        <v/>
      </c>
      <c r="I203" s="92" t="inlineStr">
        <is>
          <t>TV e internet</t>
        </is>
      </c>
      <c r="J203" s="77" t="inlineStr">
        <is>
          <t>vb</t>
        </is>
      </c>
      <c r="K203" s="353" t="n">
        <v>1</v>
      </c>
      <c r="L203" s="87">
        <f>M203/K203</f>
        <v/>
      </c>
      <c r="M203" s="354" t="n">
        <v>43387.67400000001</v>
      </c>
      <c r="N203" s="79">
        <f>M203/$M$298</f>
        <v/>
      </c>
      <c r="O203" s="87">
        <f>M203/OBRA!$D$12</f>
        <v/>
      </c>
      <c r="P203" s="355" t="n"/>
    </row>
    <row r="204" outlineLevel="3" ht="19.9" customFormat="1" customHeight="1" s="1">
      <c r="A204" s="343">
        <f>IF(G204="UNIDADE CONSTRUTIVA",OFFSET(A204,-1,0)+1,LARGE(A$4:A203,1))</f>
        <v/>
      </c>
      <c r="B204" s="343">
        <f>IF(G204="UNIDADE CONSTRUTIVA",0,IF(G204="CÉLULA CONSTRUTIVA",OFFSET(B204,-1,0)+1,OFFSET(B204,-1,0)))</f>
        <v/>
      </c>
      <c r="C204" s="343">
        <f>IF(G204="CÉLULA CONSTRUTIVA",0,IF(G204="ETAPA",OFFSET(C204,-1,0)+1,OFFSET(C204,-1,0)))</f>
        <v/>
      </c>
      <c r="D204" s="347">
        <f>IF(G204="ETAPA",0,IF(G204="SUBETAPA",OFFSET(D204,-1,0)+1,OFFSET(D204,-1,0)))</f>
        <v/>
      </c>
      <c r="E204" s="347">
        <f>IF(G204="Subetapa",0,IF(G204="serviço",OFFSET(E204,-1,0)+1,OFFSET(E204,-1,0)))</f>
        <v/>
      </c>
      <c r="G204" s="75" t="inlineStr">
        <is>
          <t>Serviço</t>
        </is>
      </c>
      <c r="H204" s="352">
        <f>IF(G204="Unidade Construtiva",CONCATENATE("UC ",TEXT(A204,"00")),IF(G204="Célula Construtiva",TEXT(B204,"00"),IF(G204="Etapa",CONCATENATE(TEXT(B204,"00"),".",TEXT(C204,"000")),IF(G204="Subetapa",CONCATENATE(TEXT(B204,"00"),".",TEXT(C204,"000"),".",TEXT(D204,"000")),IF(G204="Serviço",CONCATENATE(TEXT(B204,"00"),".",TEXT(C204,"000"),".",TEXT(D204,"000"),".",TEXT(E204,"000")),"")))))</f>
        <v/>
      </c>
      <c r="I204" s="92" t="inlineStr">
        <is>
          <t>Automação, telecomunicação e sistemas de segurança</t>
        </is>
      </c>
      <c r="J204" s="77" t="inlineStr">
        <is>
          <t>m²</t>
        </is>
      </c>
      <c r="K204" s="353" t="n">
        <v>13275.29</v>
      </c>
      <c r="L204" s="87" t="n">
        <v>20.79</v>
      </c>
      <c r="M204" s="354">
        <f>K204*L204</f>
        <v/>
      </c>
      <c r="N204" s="79">
        <f>M204/$M$298</f>
        <v/>
      </c>
      <c r="O204" s="87">
        <f>M204/OBRA!$D$12</f>
        <v/>
      </c>
      <c r="P204" s="355" t="n"/>
    </row>
    <row r="205" outlineLevel="2" ht="19.9" customFormat="1" customHeight="1" s="1">
      <c r="A205" s="343">
        <f>IF(G205="UNIDADE CONSTRUTIVA",OFFSET(A205,-1,0)+1,LARGE(A$4:A204,1))</f>
        <v/>
      </c>
      <c r="B205" s="343">
        <f>IF(G205="UNIDADE CONSTRUTIVA",0,IF(G205="CÉLULA CONSTRUTIVA",OFFSET(B205,-1,0)+1,OFFSET(B205,-1,0)))</f>
        <v/>
      </c>
      <c r="C205" s="343">
        <f>IF(G205="CÉLULA CONSTRUTIVA",0,IF(G205="ETAPA",OFFSET(C205,-1,0)+1,OFFSET(C205,-1,0)))</f>
        <v/>
      </c>
      <c r="D205" s="347">
        <f>IF(G205="ETAPA",0,IF(G205="SUBETAPA",OFFSET(D205,-1,0)+1,OFFSET(D205,-1,0)))</f>
        <v/>
      </c>
      <c r="E205" s="347">
        <f>IF(G205="Subetapa",0,IF(G205="serviço",OFFSET(E205,-1,0)+1,OFFSET(E205,-1,0)))</f>
        <v/>
      </c>
      <c r="G205" s="75" t="inlineStr">
        <is>
          <t>ETAPA</t>
        </is>
      </c>
      <c r="H205" s="352">
        <f>IF(G205="Unidade Construtiva",CONCATENATE("UC ",TEXT(A205,"00")),IF(G205="Célula Construtiva",TEXT(B205,"00"),IF(G205="Etapa",CONCATENATE(TEXT(B205,"00"),".",TEXT(C205,"000")),IF(G205="Subetapa",CONCATENATE(TEXT(B205,"00"),".",TEXT(C205,"000"),".",TEXT(D205,"000")),IF(G205="Serviço",CONCATENATE(TEXT(B205,"00"),".",TEXT(C205,"000"),".",TEXT(D205,"000"),".",TEXT(E205,"000")),"")))))</f>
        <v/>
      </c>
      <c r="I205" s="92" t="inlineStr">
        <is>
          <t>EQUIPAMENTOS</t>
        </is>
      </c>
      <c r="J205" s="77" t="n"/>
      <c r="K205" s="353" t="n"/>
      <c r="L205" s="87" t="n"/>
      <c r="M205" s="354">
        <f>M206</f>
        <v/>
      </c>
      <c r="N205" s="79">
        <f>M205/$M$298</f>
        <v/>
      </c>
      <c r="O205" s="87">
        <f>M205/OBRA!$D$12</f>
        <v/>
      </c>
      <c r="P205" s="355" t="n"/>
    </row>
    <row r="206" outlineLevel="2" ht="19.9" customFormat="1" customHeight="1" s="1">
      <c r="A206" s="343">
        <f>IF(G206="UNIDADE CONSTRUTIVA",OFFSET(A206,-1,0)+1,LARGE(A$4:A205,1))</f>
        <v/>
      </c>
      <c r="B206" s="343">
        <f>IF(G206="UNIDADE CONSTRUTIVA",0,IF(G206="CÉLULA CONSTRUTIVA",OFFSET(B206,-1,0)+1,OFFSET(B206,-1,0)))</f>
        <v/>
      </c>
      <c r="C206" s="343">
        <f>IF(G206="CÉLULA CONSTRUTIVA",0,IF(G206="ETAPA",OFFSET(C206,-1,0)+1,OFFSET(C206,-1,0)))</f>
        <v/>
      </c>
      <c r="D206" s="347">
        <f>IF(G206="ETAPA",0,IF(G206="SUBETAPA",OFFSET(D206,-1,0)+1,OFFSET(D206,-1,0)))</f>
        <v/>
      </c>
      <c r="E206" s="347">
        <f>IF(G206="Subetapa",0,IF(G206="serviço",OFFSET(E206,-1,0)+1,OFFSET(E206,-1,0)))</f>
        <v/>
      </c>
      <c r="G206" s="75" t="inlineStr">
        <is>
          <t>Subetapa</t>
        </is>
      </c>
      <c r="H206" s="352">
        <f>IF(G206="Unidade Construtiva",CONCATENATE("UC ",TEXT(A206,"00")),IF(G206="Célula Construtiva",TEXT(B206,"00"),IF(G206="Etapa",CONCATENATE(TEXT(B206,"00"),".",TEXT(C206,"000")),IF(G206="Subetapa",CONCATENATE(TEXT(B206,"00"),".",TEXT(C206,"000"),".",TEXT(D206,"000")),IF(G206="Serviço",CONCATENATE(TEXT(B206,"00"),".",TEXT(C206,"000"),".",TEXT(D206,"000"),".",TEXT(E206,"000")),"")))))</f>
        <v/>
      </c>
      <c r="I206" s="92" t="inlineStr">
        <is>
          <t xml:space="preserve">Equipamentos </t>
        </is>
      </c>
      <c r="J206" s="77" t="n"/>
      <c r="K206" s="353" t="n"/>
      <c r="L206" s="87" t="n"/>
      <c r="M206" s="354">
        <f>SUM(M207:M211)</f>
        <v/>
      </c>
      <c r="N206" s="79">
        <f>M206/$M$298</f>
        <v/>
      </c>
      <c r="O206" s="87">
        <f>M206/OBRA!$D$12</f>
        <v/>
      </c>
      <c r="P206" s="355" t="n"/>
    </row>
    <row r="207" outlineLevel="3" ht="19.9" customFormat="1" customHeight="1" s="1">
      <c r="A207" s="343">
        <f>IF(G207="UNIDADE CONSTRUTIVA",OFFSET(A207,-1,0)+1,LARGE(A$4:A206,1))</f>
        <v/>
      </c>
      <c r="B207" s="343">
        <f>IF(G207="UNIDADE CONSTRUTIVA",0,IF(G207="CÉLULA CONSTRUTIVA",OFFSET(B207,-1,0)+1,OFFSET(B207,-1,0)))</f>
        <v/>
      </c>
      <c r="C207" s="343">
        <f>IF(G207="CÉLULA CONSTRUTIVA",0,IF(G207="ETAPA",OFFSET(C207,-1,0)+1,OFFSET(C207,-1,0)))</f>
        <v/>
      </c>
      <c r="D207" s="347">
        <f>IF(G207="ETAPA",0,IF(G207="SUBETAPA",OFFSET(D207,-1,0)+1,OFFSET(D207,-1,0)))</f>
        <v/>
      </c>
      <c r="E207" s="347">
        <f>IF(G207="Subetapa",0,IF(G207="serviço",OFFSET(E207,-1,0)+1,OFFSET(E207,-1,0)))</f>
        <v/>
      </c>
      <c r="G207" s="75" t="inlineStr">
        <is>
          <t>Serviço</t>
        </is>
      </c>
      <c r="H207" s="352">
        <f>IF(G207="Unidade Construtiva",CONCATENATE("UC ",TEXT(A207,"00")),IF(G207="Célula Construtiva",TEXT(B207,"00"),IF(G207="Etapa",CONCATENATE(TEXT(B207,"00"),".",TEXT(C207,"000")),IF(G207="Subetapa",CONCATENATE(TEXT(B207,"00"),".",TEXT(C207,"000"),".",TEXT(D207,"000")),IF(G207="Serviço",CONCATENATE(TEXT(B207,"00"),".",TEXT(C207,"000"),".",TEXT(D207,"000"),".",TEXT(E207,"000")),"")))))</f>
        <v/>
      </c>
      <c r="I207" s="92" t="inlineStr">
        <is>
          <t>Elevadores</t>
        </is>
      </c>
      <c r="J207" s="77" t="inlineStr">
        <is>
          <t>un</t>
        </is>
      </c>
      <c r="K207" s="353" t="n">
        <v>3</v>
      </c>
      <c r="L207" s="87" t="n">
        <v>368047.74</v>
      </c>
      <c r="M207" s="354">
        <f>K207*L207</f>
        <v/>
      </c>
      <c r="N207" s="79">
        <f>M207/$M$298</f>
        <v/>
      </c>
      <c r="O207" s="87">
        <f>M207/OBRA!$D$12</f>
        <v/>
      </c>
      <c r="P207" s="355" t="n"/>
    </row>
    <row r="208" outlineLevel="3" ht="19.9" customFormat="1" customHeight="1" s="1">
      <c r="A208" s="343">
        <f>IF(G208="UNIDADE CONSTRUTIVA",OFFSET(A208,-1,0)+1,LARGE(A$4:A207,1))</f>
        <v/>
      </c>
      <c r="B208" s="343">
        <f>IF(G208="UNIDADE CONSTRUTIVA",0,IF(G208="CÉLULA CONSTRUTIVA",OFFSET(B208,-1,0)+1,OFFSET(B208,-1,0)))</f>
        <v/>
      </c>
      <c r="C208" s="343">
        <f>IF(G208="CÉLULA CONSTRUTIVA",0,IF(G208="ETAPA",OFFSET(C208,-1,0)+1,OFFSET(C208,-1,0)))</f>
        <v/>
      </c>
      <c r="D208" s="347">
        <f>IF(G208="ETAPA",0,IF(G208="SUBETAPA",OFFSET(D208,-1,0)+1,OFFSET(D208,-1,0)))</f>
        <v/>
      </c>
      <c r="E208" s="347">
        <f>IF(G208="Subetapa",0,IF(G208="serviço",OFFSET(E208,-1,0)+1,OFFSET(E208,-1,0)))</f>
        <v/>
      </c>
      <c r="G208" s="75" t="inlineStr">
        <is>
          <t>Serviço</t>
        </is>
      </c>
      <c r="H208" s="352">
        <f>IF(G208="Unidade Construtiva",CONCATENATE("UC ",TEXT(A208,"00")),IF(G208="Célula Construtiva",TEXT(B208,"00"),IF(G208="Etapa",CONCATENATE(TEXT(B208,"00"),".",TEXT(C208,"000")),IF(G208="Subetapa",CONCATENATE(TEXT(B208,"00"),".",TEXT(C208,"000"),".",TEXT(D208,"000")),IF(G208="Serviço",CONCATENATE(TEXT(B208,"00"),".",TEXT(C208,"000"),".",TEXT(D208,"000"),".",TEXT(E208,"000")),"")))))</f>
        <v/>
      </c>
      <c r="I208" s="92" t="inlineStr">
        <is>
          <t>Grupo de geradores</t>
        </is>
      </c>
      <c r="J208" s="77" t="inlineStr">
        <is>
          <t>un</t>
        </is>
      </c>
      <c r="K208" s="353" t="n">
        <v>1</v>
      </c>
      <c r="L208" s="87" t="n">
        <v>276035.8</v>
      </c>
      <c r="M208" s="354">
        <f>K208*L208</f>
        <v/>
      </c>
      <c r="N208" s="79">
        <f>M208/$M$298</f>
        <v/>
      </c>
      <c r="O208" s="87">
        <f>M208/OBRA!$D$12</f>
        <v/>
      </c>
      <c r="P208" s="355" t="inlineStr">
        <is>
          <t>32KVa carenado</t>
        </is>
      </c>
    </row>
    <row r="209" outlineLevel="3" ht="19.9" customFormat="1" customHeight="1" s="1">
      <c r="A209" s="343">
        <f>IF(G209="UNIDADE CONSTRUTIVA",OFFSET(A209,-1,0)+1,LARGE(A$4:A208,1))</f>
        <v/>
      </c>
      <c r="B209" s="343">
        <f>IF(G209="UNIDADE CONSTRUTIVA",0,IF(G209="CÉLULA CONSTRUTIVA",OFFSET(B209,-1,0)+1,OFFSET(B209,-1,0)))</f>
        <v/>
      </c>
      <c r="C209" s="343">
        <f>IF(G209="CÉLULA CONSTRUTIVA",0,IF(G209="ETAPA",OFFSET(C209,-1,0)+1,OFFSET(C209,-1,0)))</f>
        <v/>
      </c>
      <c r="D209" s="347">
        <f>IF(G209="ETAPA",0,IF(G209="SUBETAPA",OFFSET(D209,-1,0)+1,OFFSET(D209,-1,0)))</f>
        <v/>
      </c>
      <c r="E209" s="347">
        <f>IF(G209="Subetapa",0,IF(G209="serviço",OFFSET(E209,-1,0)+1,OFFSET(E209,-1,0)))</f>
        <v/>
      </c>
      <c r="G209" s="75" t="inlineStr">
        <is>
          <t>Serviço</t>
        </is>
      </c>
      <c r="H209" s="352">
        <f>IF(G209="Unidade Construtiva",CONCATENATE("UC ",TEXT(A209,"00")),IF(G209="Célula Construtiva",TEXT(B209,"00"),IF(G209="Etapa",CONCATENATE(TEXT(B209,"00"),".",TEXT(C209,"000")),IF(G209="Subetapa",CONCATENATE(TEXT(B209,"00"),".",TEXT(C209,"000"),".",TEXT(D209,"000")),IF(G209="Serviço",CONCATENATE(TEXT(B209,"00"),".",TEXT(C209,"000"),".",TEXT(D209,"000"),".",TEXT(E209,"000")),"")))))</f>
        <v/>
      </c>
      <c r="I209" s="92" t="inlineStr">
        <is>
          <t>Bombas</t>
        </is>
      </c>
      <c r="J209" s="77" t="inlineStr">
        <is>
          <t>vb</t>
        </is>
      </c>
      <c r="K209" s="353" t="n">
        <v>1</v>
      </c>
      <c r="L209" s="87">
        <f>M209/K209</f>
        <v/>
      </c>
      <c r="M209" s="354" t="n">
        <v>13200</v>
      </c>
      <c r="N209" s="79">
        <f>M209/$M$298</f>
        <v/>
      </c>
      <c r="O209" s="87">
        <f>M209/OBRA!$D$12</f>
        <v/>
      </c>
      <c r="P209" s="355" t="n"/>
    </row>
    <row r="210" outlineLevel="3" ht="19.9" customFormat="1" customHeight="1" s="1">
      <c r="A210" s="343">
        <f>IF(G210="UNIDADE CONSTRUTIVA",OFFSET(A210,-1,0)+1,LARGE(A$4:A209,1))</f>
        <v/>
      </c>
      <c r="B210" s="343">
        <f>IF(G210="UNIDADE CONSTRUTIVA",0,IF(G210="CÉLULA CONSTRUTIVA",OFFSET(B210,-1,0)+1,OFFSET(B210,-1,0)))</f>
        <v/>
      </c>
      <c r="C210" s="343">
        <f>IF(G210="CÉLULA CONSTRUTIVA",0,IF(G210="ETAPA",OFFSET(C210,-1,0)+1,OFFSET(C210,-1,0)))</f>
        <v/>
      </c>
      <c r="D210" s="347">
        <f>IF(G210="ETAPA",0,IF(G210="SUBETAPA",OFFSET(D210,-1,0)+1,OFFSET(D210,-1,0)))</f>
        <v/>
      </c>
      <c r="E210" s="347">
        <f>IF(G210="Subetapa",0,IF(G210="serviço",OFFSET(E210,-1,0)+1,OFFSET(E210,-1,0)))</f>
        <v/>
      </c>
      <c r="G210" s="75" t="inlineStr">
        <is>
          <t>Serviço</t>
        </is>
      </c>
      <c r="H210" s="352">
        <f>IF(G210="Unidade Construtiva",CONCATENATE("UC ",TEXT(A210,"00")),IF(G210="Célula Construtiva",TEXT(B210,"00"),IF(G210="Etapa",CONCATENATE(TEXT(B210,"00"),".",TEXT(C210,"000")),IF(G210="Subetapa",CONCATENATE(TEXT(B210,"00"),".",TEXT(C210,"000"),".",TEXT(D210,"000")),IF(G210="Serviço",CONCATENATE(TEXT(B210,"00"),".",TEXT(C210,"000"),".",TEXT(D210,"000"),".",TEXT(E210,"000")),"")))))</f>
        <v/>
      </c>
      <c r="I210" s="92" t="inlineStr">
        <is>
          <t>Infra de carro elétrico</t>
        </is>
      </c>
      <c r="J210" s="77" t="inlineStr">
        <is>
          <t>un</t>
        </is>
      </c>
      <c r="K210" s="353" t="n">
        <v>84</v>
      </c>
      <c r="L210" s="87">
        <f>M210/K210</f>
        <v/>
      </c>
      <c r="M210" s="354" t="n">
        <v>51744.00000000001</v>
      </c>
      <c r="N210" s="79">
        <f>M210/$M$298</f>
        <v/>
      </c>
      <c r="O210" s="87">
        <f>M210/OBRA!$D$12</f>
        <v/>
      </c>
      <c r="P210" s="355" t="n"/>
    </row>
    <row r="211" outlineLevel="3" ht="19.9" customFormat="1" customHeight="1" s="1">
      <c r="A211" s="343">
        <f>IF(G211="UNIDADE CONSTRUTIVA",OFFSET(A211,-1,0)+1,LARGE(A$4:A210,1))</f>
        <v/>
      </c>
      <c r="B211" s="343">
        <f>IF(G211="UNIDADE CONSTRUTIVA",0,IF(G211="CÉLULA CONSTRUTIVA",OFFSET(B211,-1,0)+1,OFFSET(B211,-1,0)))</f>
        <v/>
      </c>
      <c r="C211" s="343">
        <f>IF(G211="CÉLULA CONSTRUTIVA",0,IF(G211="ETAPA",OFFSET(C211,-1,0)+1,OFFSET(C211,-1,0)))</f>
        <v/>
      </c>
      <c r="D211" s="347">
        <f>IF(G211="ETAPA",0,IF(G211="SUBETAPA",OFFSET(D211,-1,0)+1,OFFSET(D211,-1,0)))</f>
        <v/>
      </c>
      <c r="E211" s="347">
        <f>IF(G211="Subetapa",0,IF(G211="serviço",OFFSET(E211,-1,0)+1,OFFSET(E211,-1,0)))</f>
        <v/>
      </c>
      <c r="G211" s="75" t="inlineStr">
        <is>
          <t>Serviço</t>
        </is>
      </c>
      <c r="H211" s="352">
        <f>IF(G211="Unidade Construtiva",CONCATENATE("UC ",TEXT(A211,"00")),IF(G211="Célula Construtiva",TEXT(B211,"00"),IF(G211="Etapa",CONCATENATE(TEXT(B211,"00"),".",TEXT(C211,"000")),IF(G211="Subetapa",CONCATENATE(TEXT(B211,"00"),".",TEXT(C211,"000"),".",TEXT(D211,"000")),IF(G211="Serviço",CONCATENATE(TEXT(B211,"00"),".",TEXT(C211,"000"),".",TEXT(D211,"000"),".",TEXT(E211,"000")),"")))))</f>
        <v/>
      </c>
      <c r="I211" s="92" t="inlineStr">
        <is>
          <t>Equipamento de piscina</t>
        </is>
      </c>
      <c r="J211" s="77" t="inlineStr">
        <is>
          <t>un</t>
        </is>
      </c>
      <c r="K211" s="353" t="n">
        <v>1</v>
      </c>
      <c r="L211" s="87">
        <f>M211/K211</f>
        <v/>
      </c>
      <c r="M211" s="354" t="n">
        <v>27500</v>
      </c>
      <c r="N211" s="79">
        <f>M211/$M$298</f>
        <v/>
      </c>
      <c r="O211" s="87">
        <f>M211/OBRA!$D$12</f>
        <v/>
      </c>
      <c r="P211" s="355" t="n"/>
    </row>
    <row r="212" outlineLevel="2" ht="19.9" customFormat="1" customHeight="1" s="1">
      <c r="A212" s="343">
        <f>IF(G212="UNIDADE CONSTRUTIVA",OFFSET(A212,-1,0)+1,LARGE(A$4:A211,1))</f>
        <v/>
      </c>
      <c r="B212" s="343">
        <f>IF(G212="UNIDADE CONSTRUTIVA",0,IF(G212="CÉLULA CONSTRUTIVA",OFFSET(B212,-1,0)+1,OFFSET(B212,-1,0)))</f>
        <v/>
      </c>
      <c r="C212" s="343">
        <f>IF(G212="CÉLULA CONSTRUTIVA",0,IF(G212="ETAPA",OFFSET(C212,-1,0)+1,OFFSET(C212,-1,0)))</f>
        <v/>
      </c>
      <c r="D212" s="347">
        <f>IF(G212="ETAPA",0,IF(G212="SUBETAPA",OFFSET(D212,-1,0)+1,OFFSET(D212,-1,0)))</f>
        <v/>
      </c>
      <c r="E212" s="347">
        <f>IF(G212="Subetapa",0,IF(G212="serviço",OFFSET(E212,-1,0)+1,OFFSET(E212,-1,0)))</f>
        <v/>
      </c>
      <c r="G212" s="75" t="inlineStr">
        <is>
          <t>ETAPA</t>
        </is>
      </c>
      <c r="H212" s="352">
        <f>IF(G212="Unidade Construtiva",CONCATENATE("UC ",TEXT(A212,"00")),IF(G212="Célula Construtiva",TEXT(B212,"00"),IF(G212="Etapa",CONCATENATE(TEXT(B212,"00"),".",TEXT(C212,"000")),IF(G212="Subetapa",CONCATENATE(TEXT(B212,"00"),".",TEXT(C212,"000"),".",TEXT(D212,"000")),IF(G212="Serviço",CONCATENATE(TEXT(B212,"00"),".",TEXT(C212,"000"),".",TEXT(D212,"000"),".",TEXT(E212,"000")),"")))))</f>
        <v/>
      </c>
      <c r="I212" s="92" t="inlineStr">
        <is>
          <t>OUTROS SISTEMAS ESPECIAIS</t>
        </is>
      </c>
      <c r="J212" s="77" t="n"/>
      <c r="K212" s="353" t="n"/>
      <c r="L212" s="87" t="n"/>
      <c r="M212" s="354">
        <f>M213</f>
        <v/>
      </c>
      <c r="N212" s="79">
        <f>M212/$M$298</f>
        <v/>
      </c>
      <c r="O212" s="87">
        <f>M212/OBRA!$D$12</f>
        <v/>
      </c>
      <c r="P212" s="355" t="n"/>
    </row>
    <row r="213" outlineLevel="2" ht="19.9" customFormat="1" customHeight="1" s="1">
      <c r="A213" s="343">
        <f>IF(G213="UNIDADE CONSTRUTIVA",OFFSET(A213,-1,0)+1,LARGE(A$4:A212,1))</f>
        <v/>
      </c>
      <c r="B213" s="343">
        <f>IF(G213="UNIDADE CONSTRUTIVA",0,IF(G213="CÉLULA CONSTRUTIVA",OFFSET(B213,-1,0)+1,OFFSET(B213,-1,0)))</f>
        <v/>
      </c>
      <c r="C213" s="343">
        <f>IF(G213="CÉLULA CONSTRUTIVA",0,IF(G213="ETAPA",OFFSET(C213,-1,0)+1,OFFSET(C213,-1,0)))</f>
        <v/>
      </c>
      <c r="D213" s="347">
        <f>IF(G213="ETAPA",0,IF(G213="SUBETAPA",OFFSET(D213,-1,0)+1,OFFSET(D213,-1,0)))</f>
        <v/>
      </c>
      <c r="E213" s="347">
        <f>IF(G213="Subetapa",0,IF(G213="serviço",OFFSET(E213,-1,0)+1,OFFSET(E213,-1,0)))</f>
        <v/>
      </c>
      <c r="G213" s="75" t="inlineStr">
        <is>
          <t>Subetapa</t>
        </is>
      </c>
      <c r="H213" s="352">
        <f>IF(G213="Unidade Construtiva",CONCATENATE("UC ",TEXT(A213,"00")),IF(G213="Célula Construtiva",TEXT(B213,"00"),IF(G213="Etapa",CONCATENATE(TEXT(B213,"00"),".",TEXT(C213,"000")),IF(G213="Subetapa",CONCATENATE(TEXT(B213,"00"),".",TEXT(C213,"000"),".",TEXT(D213,"000")),IF(G213="Serviço",CONCATENATE(TEXT(B213,"00"),".",TEXT(C213,"000"),".",TEXT(D213,"000"),".",TEXT(E213,"000")),"")))))</f>
        <v/>
      </c>
      <c r="I213" s="92" t="inlineStr">
        <is>
          <t>Outros sistemas</t>
        </is>
      </c>
      <c r="J213" s="77" t="n"/>
      <c r="K213" s="353" t="n"/>
      <c r="L213" s="87" t="n"/>
      <c r="M213" s="354">
        <f>M214</f>
        <v/>
      </c>
      <c r="N213" s="79">
        <f>M213/$M$298</f>
        <v/>
      </c>
      <c r="O213" s="87">
        <f>M213/OBRA!$D$12</f>
        <v/>
      </c>
      <c r="P213" s="355" t="n"/>
    </row>
    <row r="214" outlineLevel="3" ht="19.9" customFormat="1" customHeight="1" s="1">
      <c r="A214" s="343">
        <f>IF(G214="UNIDADE CONSTRUTIVA",OFFSET(A214,-1,0)+1,LARGE(A$4:A213,1))</f>
        <v/>
      </c>
      <c r="B214" s="343">
        <f>IF(G214="UNIDADE CONSTRUTIVA",0,IF(G214="CÉLULA CONSTRUTIVA",OFFSET(B214,-1,0)+1,OFFSET(B214,-1,0)))</f>
        <v/>
      </c>
      <c r="C214" s="343">
        <f>IF(G214="CÉLULA CONSTRUTIVA",0,IF(G214="ETAPA",OFFSET(C214,-1,0)+1,OFFSET(C214,-1,0)))</f>
        <v/>
      </c>
      <c r="D214" s="347">
        <f>IF(G214="ETAPA",0,IF(G214="SUBETAPA",OFFSET(D214,-1,0)+1,OFFSET(D214,-1,0)))</f>
        <v/>
      </c>
      <c r="E214" s="347">
        <f>IF(G214="Subetapa",0,IF(G214="serviço",OFFSET(E214,-1,0)+1,OFFSET(E214,-1,0)))</f>
        <v/>
      </c>
      <c r="G214" s="75" t="inlineStr">
        <is>
          <t>Serviço</t>
        </is>
      </c>
      <c r="H214" s="352">
        <f>IF(G214="Unidade Construtiva",CONCATENATE("UC ",TEXT(A214,"00")),IF(G214="Célula Construtiva",TEXT(B214,"00"),IF(G214="Etapa",CONCATENATE(TEXT(B214,"00"),".",TEXT(C214,"000")),IF(G214="Subetapa",CONCATENATE(TEXT(B214,"00"),".",TEXT(C214,"000"),".",TEXT(D214,"000")),IF(G214="Serviço",CONCATENATE(TEXT(B214,"00"),".",TEXT(C214,"000"),".",TEXT(D214,"000"),".",TEXT(E214,"000")),"")))))</f>
        <v/>
      </c>
      <c r="I214" s="92" t="inlineStr">
        <is>
          <t>Outros sistemas</t>
        </is>
      </c>
      <c r="J214" s="77" t="inlineStr">
        <is>
          <t>vb</t>
        </is>
      </c>
      <c r="K214" s="353" t="n">
        <v>1</v>
      </c>
      <c r="L214" s="87">
        <f>M214/K214</f>
        <v/>
      </c>
      <c r="M214" s="354" t="n">
        <v>289251.1600000001</v>
      </c>
      <c r="N214" s="79">
        <f>M214/$M$298</f>
        <v/>
      </c>
      <c r="O214" s="87">
        <f>M214/OBRA!$D$12</f>
        <v/>
      </c>
      <c r="P214" s="355" t="inlineStr">
        <is>
          <t>Expectativa de elementos a serem ainda previstos em projeto</t>
        </is>
      </c>
    </row>
    <row r="215" outlineLevel="1" ht="19.9" customFormat="1" customHeight="1" s="1">
      <c r="A215" s="343">
        <f>IF(G215="UNIDADE CONSTRUTIVA",OFFSET(A215,-1,0)+1,LARGE(A$4:A214,1))</f>
        <v/>
      </c>
      <c r="B215" s="343">
        <f>IF(G215="UNIDADE CONSTRUTIVA",0,IF(G215="CÉLULA CONSTRUTIVA",OFFSET(B215,-1,0)+1,OFFSET(B215,-1,0)))</f>
        <v/>
      </c>
      <c r="C215" s="343">
        <f>IF(G215="CÉLULA CONSTRUTIVA",0,IF(G215="ETAPA",OFFSET(C215,-1,0)+1,OFFSET(C215,-1,0)))</f>
        <v/>
      </c>
      <c r="D215" s="347">
        <f>IF(G215="ETAPA",0,IF(G215="SUBETAPA",OFFSET(D215,-1,0)+1,OFFSET(D215,-1,0)))</f>
        <v/>
      </c>
      <c r="E215" s="347">
        <f>IF(G215="Subetapa",0,IF(G215="serviço",OFFSET(E215,-1,0)+1,OFFSET(E215,-1,0)))</f>
        <v/>
      </c>
      <c r="G215" s="75" t="inlineStr">
        <is>
          <t>CÉLULA CONSTRUTIVA</t>
        </is>
      </c>
      <c r="H215" s="352">
        <f>IF(G215="Unidade Construtiva",CONCATENATE("UC ",TEXT(A215,"00")),IF(G215="Célula Construtiva",TEXT(B215,"00"),IF(G215="Etapa",CONCATENATE(TEXT(B215,"00"),".",TEXT(C215,"000")),IF(G215="Subetapa",CONCATENATE(TEXT(B215,"00"),".",TEXT(C215,"000"),".",TEXT(D215,"000")),IF(G215="Serviço",CONCATENATE(TEXT(B215,"00"),".",TEXT(C215,"000"),".",TEXT(D215,"000"),".",TEXT(E215,"000")),"")))))</f>
        <v/>
      </c>
      <c r="I215" s="92" t="inlineStr">
        <is>
          <t>REVESTIMENTOS INTERNOS EM PISO E PAREDE</t>
        </is>
      </c>
      <c r="J215" s="77" t="n"/>
      <c r="K215" s="353" t="n"/>
      <c r="L215" s="87" t="n"/>
      <c r="M215" s="354">
        <f>M216</f>
        <v/>
      </c>
      <c r="N215" s="79">
        <f>M215/$M$298</f>
        <v/>
      </c>
      <c r="O215" s="87">
        <f>M215/OBRA!$D$12</f>
        <v/>
      </c>
      <c r="P215" s="355" t="n"/>
    </row>
    <row r="216" outlineLevel="2" ht="19.9" customFormat="1" customHeight="1" s="1">
      <c r="A216" s="343">
        <f>IF(G216="UNIDADE CONSTRUTIVA",OFFSET(A216,-1,0)+1,LARGE(A$4:A215,1))</f>
        <v/>
      </c>
      <c r="B216" s="343">
        <f>IF(G216="UNIDADE CONSTRUTIVA",0,IF(G216="CÉLULA CONSTRUTIVA",OFFSET(B216,-1,0)+1,OFFSET(B216,-1,0)))</f>
        <v/>
      </c>
      <c r="C216" s="343">
        <f>IF(G216="CÉLULA CONSTRUTIVA",0,IF(G216="ETAPA",OFFSET(C216,-1,0)+1,OFFSET(C216,-1,0)))</f>
        <v/>
      </c>
      <c r="D216" s="347">
        <f>IF(G216="ETAPA",0,IF(G216="SUBETAPA",OFFSET(D216,-1,0)+1,OFFSET(D216,-1,0)))</f>
        <v/>
      </c>
      <c r="E216" s="347">
        <f>IF(G216="Subetapa",0,IF(G216="serviço",OFFSET(E216,-1,0)+1,OFFSET(E216,-1,0)))</f>
        <v/>
      </c>
      <c r="G216" s="75" t="inlineStr">
        <is>
          <t>ETAPA</t>
        </is>
      </c>
      <c r="H216" s="352">
        <f>IF(G216="Unidade Construtiva",CONCATENATE("UC ",TEXT(A216,"00")),IF(G216="Célula Construtiva",TEXT(B216,"00"),IF(G216="Etapa",CONCATENATE(TEXT(B216,"00"),".",TEXT(C216,"000")),IF(G216="Subetapa",CONCATENATE(TEXT(B216,"00"),".",TEXT(C216,"000"),".",TEXT(D216,"000")),IF(G216="Serviço",CONCATENATE(TEXT(B216,"00"),".",TEXT(C216,"000"),".",TEXT(D216,"000"),".",TEXT(E216,"000")),"")))))</f>
        <v/>
      </c>
      <c r="I216" s="92" t="inlineStr">
        <is>
          <t>REVESTIMENTOS INTERNOS EM PISO E PAREDE</t>
        </is>
      </c>
      <c r="J216" s="77" t="n"/>
      <c r="K216" s="353" t="n"/>
      <c r="L216" s="87" t="n"/>
      <c r="M216" s="354">
        <f>M217+M223</f>
        <v/>
      </c>
      <c r="N216" s="79">
        <f>M216/$M$298</f>
        <v/>
      </c>
      <c r="O216" s="87">
        <f>M216/OBRA!$D$12</f>
        <v/>
      </c>
      <c r="P216" s="355" t="n"/>
    </row>
    <row r="217" outlineLevel="2" ht="19.9" customFormat="1" customHeight="1" s="1">
      <c r="A217" s="343">
        <f>IF(G217="UNIDADE CONSTRUTIVA",OFFSET(A217,-1,0)+1,LARGE(A$4:A216,1))</f>
        <v/>
      </c>
      <c r="B217" s="343">
        <f>IF(G217="UNIDADE CONSTRUTIVA",0,IF(G217="CÉLULA CONSTRUTIVA",OFFSET(B217,-1,0)+1,OFFSET(B217,-1,0)))</f>
        <v/>
      </c>
      <c r="C217" s="343">
        <f>IF(G217="CÉLULA CONSTRUTIVA",0,IF(G217="ETAPA",OFFSET(C217,-1,0)+1,OFFSET(C217,-1,0)))</f>
        <v/>
      </c>
      <c r="D217" s="347">
        <f>IF(G217="ETAPA",0,IF(G217="SUBETAPA",OFFSET(D217,-1,0)+1,OFFSET(D217,-1,0)))</f>
        <v/>
      </c>
      <c r="E217" s="347">
        <f>IF(G217="Subetapa",0,IF(G217="serviço",OFFSET(E217,-1,0)+1,OFFSET(E217,-1,0)))</f>
        <v/>
      </c>
      <c r="G217" s="75" t="inlineStr">
        <is>
          <t>Subetapa</t>
        </is>
      </c>
      <c r="H217" s="352">
        <f>IF(G217="Unidade Construtiva",CONCATENATE("UC ",TEXT(A217,"00")),IF(G217="Célula Construtiva",TEXT(B217,"00"),IF(G217="Etapa",CONCATENATE(TEXT(B217,"00"),".",TEXT(C217,"000")),IF(G217="Subetapa",CONCATENATE(TEXT(B217,"00"),".",TEXT(C217,"000"),".",TEXT(D217,"000")),IF(G217="Serviço",CONCATENATE(TEXT(B217,"00"),".",TEXT(C217,"000"),".",TEXT(D217,"000"),".",TEXT(E217,"000")),"")))))</f>
        <v/>
      </c>
      <c r="I217" s="92" t="inlineStr">
        <is>
          <t>Revestimento de piso</t>
        </is>
      </c>
      <c r="J217" s="77" t="n"/>
      <c r="K217" s="353" t="n"/>
      <c r="L217" s="87" t="n"/>
      <c r="M217" s="354">
        <f>SUM(M218:M222)</f>
        <v/>
      </c>
      <c r="N217" s="79">
        <f>M217/$M$298</f>
        <v/>
      </c>
      <c r="O217" s="87">
        <f>M217/OBRA!$D$12</f>
        <v/>
      </c>
      <c r="P217" s="355" t="n"/>
    </row>
    <row r="218" outlineLevel="3" ht="19.9" customFormat="1" customHeight="1" s="1">
      <c r="A218" s="343">
        <f>IF(G218="UNIDADE CONSTRUTIVA",OFFSET(A218,-1,0)+1,LARGE(A$4:A217,1))</f>
        <v/>
      </c>
      <c r="B218" s="343">
        <f>IF(G218="UNIDADE CONSTRUTIVA",0,IF(G218="CÉLULA CONSTRUTIVA",OFFSET(B218,-1,0)+1,OFFSET(B218,-1,0)))</f>
        <v/>
      </c>
      <c r="C218" s="343">
        <f>IF(G218="CÉLULA CONSTRUTIVA",0,IF(G218="ETAPA",OFFSET(C218,-1,0)+1,OFFSET(C218,-1,0)))</f>
        <v/>
      </c>
      <c r="D218" s="347">
        <f>IF(G218="ETAPA",0,IF(G218="SUBETAPA",OFFSET(D218,-1,0)+1,OFFSET(D218,-1,0)))</f>
        <v/>
      </c>
      <c r="E218" s="347">
        <f>IF(G218="Subetapa",0,IF(G218="serviço",OFFSET(E218,-1,0)+1,OFFSET(E218,-1,0)))</f>
        <v/>
      </c>
      <c r="G218" s="75" t="inlineStr">
        <is>
          <t>Serviço</t>
        </is>
      </c>
      <c r="H218" s="352">
        <f>IF(G218="Unidade Construtiva",CONCATENATE("UC ",TEXT(A218,"00")),IF(G218="Célula Construtiva",TEXT(B218,"00"),IF(G218="Etapa",CONCATENATE(TEXT(B218,"00"),".",TEXT(C218,"000")),IF(G218="Subetapa",CONCATENATE(TEXT(B218,"00"),".",TEXT(C218,"000"),".",TEXT(D218,"000")),IF(G218="Serviço",CONCATENATE(TEXT(B218,"00"),".",TEXT(C218,"000"),".",TEXT(D218,"000"),".",TEXT(E218,"000")),"")))))</f>
        <v/>
      </c>
      <c r="I218" s="92" t="inlineStr">
        <is>
          <t>Piso polido</t>
        </is>
      </c>
      <c r="J218" s="77" t="inlineStr">
        <is>
          <t>m²</t>
        </is>
      </c>
      <c r="K218" s="353" t="n">
        <v>2485.44</v>
      </c>
      <c r="L218" s="87" t="n">
        <v>55</v>
      </c>
      <c r="M218" s="354">
        <f>L218*K218</f>
        <v/>
      </c>
      <c r="N218" s="79">
        <f>M218/$M$298</f>
        <v/>
      </c>
      <c r="O218" s="87">
        <f>M218/OBRA!$D$12</f>
        <v/>
      </c>
      <c r="P218" s="355" t="inlineStr">
        <is>
          <t>Acabamento em garagens</t>
        </is>
      </c>
    </row>
    <row r="219" outlineLevel="3" ht="19.9" customFormat="1" customHeight="1" s="1">
      <c r="A219" s="343">
        <f>IF(G219="UNIDADE CONSTRUTIVA",OFFSET(A219,-1,0)+1,LARGE(A$4:A218,1))</f>
        <v/>
      </c>
      <c r="B219" s="343">
        <f>IF(G219="UNIDADE CONSTRUTIVA",0,IF(G219="CÉLULA CONSTRUTIVA",OFFSET(B219,-1,0)+1,OFFSET(B219,-1,0)))</f>
        <v/>
      </c>
      <c r="C219" s="343">
        <f>IF(G219="CÉLULA CONSTRUTIVA",0,IF(G219="ETAPA",OFFSET(C219,-1,0)+1,OFFSET(C219,-1,0)))</f>
        <v/>
      </c>
      <c r="D219" s="347">
        <f>IF(G219="ETAPA",0,IF(G219="SUBETAPA",OFFSET(D219,-1,0)+1,OFFSET(D219,-1,0)))</f>
        <v/>
      </c>
      <c r="E219" s="347">
        <f>IF(G219="Subetapa",0,IF(G219="serviço",OFFSET(E219,-1,0)+1,OFFSET(E219,-1,0)))</f>
        <v/>
      </c>
      <c r="G219" s="75" t="inlineStr">
        <is>
          <t>Serviço</t>
        </is>
      </c>
      <c r="H219" s="352">
        <f>IF(G219="Unidade Construtiva",CONCATENATE("UC ",TEXT(A219,"00")),IF(G219="Célula Construtiva",TEXT(B219,"00"),IF(G219="Etapa",CONCATENATE(TEXT(B219,"00"),".",TEXT(C219,"000")),IF(G219="Subetapa",CONCATENATE(TEXT(B219,"00"),".",TEXT(C219,"000"),".",TEXT(D219,"000")),IF(G219="Serviço",CONCATENATE(TEXT(B219,"00"),".",TEXT(C219,"000"),".",TEXT(D219,"000"),".",TEXT(E219,"000")),"")))))</f>
        <v/>
      </c>
      <c r="I219" s="92" t="inlineStr">
        <is>
          <t>Piso alisado</t>
        </is>
      </c>
      <c r="J219" s="77" t="inlineStr">
        <is>
          <t>m²</t>
        </is>
      </c>
      <c r="K219" s="353" t="n">
        <v>500.9839999999999</v>
      </c>
      <c r="L219" s="87">
        <f>M219/K219</f>
        <v/>
      </c>
      <c r="M219" s="354" t="n">
        <v>13777.06</v>
      </c>
      <c r="N219" s="79">
        <f>M219/$M$298</f>
        <v/>
      </c>
      <c r="O219" s="87">
        <f>M219/OBRA!$D$12</f>
        <v/>
      </c>
      <c r="P219" s="355" t="inlineStr">
        <is>
          <t>Areas tecnicas especificadas em projeto</t>
        </is>
      </c>
    </row>
    <row r="220" outlineLevel="3" ht="19.9" customFormat="1" customHeight="1" s="1">
      <c r="A220" s="343">
        <f>IF(G220="UNIDADE CONSTRUTIVA",OFFSET(A220,-1,0)+1,LARGE(A$4:A219,1))</f>
        <v/>
      </c>
      <c r="B220" s="343">
        <f>IF(G220="UNIDADE CONSTRUTIVA",0,IF(G220="CÉLULA CONSTRUTIVA",OFFSET(B220,-1,0)+1,OFFSET(B220,-1,0)))</f>
        <v/>
      </c>
      <c r="C220" s="343">
        <f>IF(G220="CÉLULA CONSTRUTIVA",0,IF(G220="ETAPA",OFFSET(C220,-1,0)+1,OFFSET(C220,-1,0)))</f>
        <v/>
      </c>
      <c r="D220" s="347">
        <f>IF(G220="ETAPA",0,IF(G220="SUBETAPA",OFFSET(D220,-1,0)+1,OFFSET(D220,-1,0)))</f>
        <v/>
      </c>
      <c r="E220" s="347">
        <f>IF(G220="Subetapa",0,IF(G220="serviço",OFFSET(E220,-1,0)+1,OFFSET(E220,-1,0)))</f>
        <v/>
      </c>
      <c r="G220" s="75" t="inlineStr">
        <is>
          <t>Serviço</t>
        </is>
      </c>
      <c r="H220" s="352">
        <f>IF(G220="Unidade Construtiva",CONCATENATE("UC ",TEXT(A220,"00")),IF(G220="Célula Construtiva",TEXT(B220,"00"),IF(G220="Etapa",CONCATENATE(TEXT(B220,"00"),".",TEXT(C220,"000")),IF(G220="Subetapa",CONCATENATE(TEXT(B220,"00"),".",TEXT(C220,"000"),".",TEXT(D220,"000")),IF(G220="Serviço",CONCATENATE(TEXT(B220,"00"),".",TEXT(C220,"000"),".",TEXT(D220,"000"),".",TEXT(E220,"000")),"")))))</f>
        <v/>
      </c>
      <c r="I220" s="92" t="inlineStr">
        <is>
          <t>Piso ranhurado</t>
        </is>
      </c>
      <c r="J220" s="77" t="inlineStr">
        <is>
          <t>m²</t>
        </is>
      </c>
      <c r="K220" s="353" t="n">
        <v>11284</v>
      </c>
      <c r="L220" s="87" t="n">
        <v>173.96</v>
      </c>
      <c r="M220" s="354">
        <f>K220*L220</f>
        <v/>
      </c>
      <c r="N220" s="79">
        <f>M220/$M$298</f>
        <v/>
      </c>
      <c r="O220" s="87">
        <f>M220/OBRA!$D$12</f>
        <v/>
      </c>
      <c r="P220" s="355" t="inlineStr">
        <is>
          <t>Rampas</t>
        </is>
      </c>
    </row>
    <row r="221" outlineLevel="3" ht="19.9" customFormat="1" customHeight="1" s="1">
      <c r="A221" s="343">
        <f>IF(G221="UNIDADE CONSTRUTIVA",OFFSET(A221,-1,0)+1,LARGE(A$4:A220,1))</f>
        <v/>
      </c>
      <c r="B221" s="343">
        <f>IF(G221="UNIDADE CONSTRUTIVA",0,IF(G221="CÉLULA CONSTRUTIVA",OFFSET(B221,-1,0)+1,OFFSET(B221,-1,0)))</f>
        <v/>
      </c>
      <c r="C221" s="343">
        <f>IF(G221="CÉLULA CONSTRUTIVA",0,IF(G221="ETAPA",OFFSET(C221,-1,0)+1,OFFSET(C221,-1,0)))</f>
        <v/>
      </c>
      <c r="D221" s="347">
        <f>IF(G221="ETAPA",0,IF(G221="SUBETAPA",OFFSET(D221,-1,0)+1,OFFSET(D221,-1,0)))</f>
        <v/>
      </c>
      <c r="E221" s="347">
        <f>IF(G221="Subetapa",0,IF(G221="serviço",OFFSET(E221,-1,0)+1,OFFSET(E221,-1,0)))</f>
        <v/>
      </c>
      <c r="G221" s="75" t="inlineStr">
        <is>
          <t>Serviço</t>
        </is>
      </c>
      <c r="H221" s="352">
        <f>IF(G221="Unidade Construtiva",CONCATENATE("UC ",TEXT(A221,"00")),IF(G221="Célula Construtiva",TEXT(B221,"00"),IF(G221="Etapa",CONCATENATE(TEXT(B221,"00"),".",TEXT(C221,"000")),IF(G221="Subetapa",CONCATENATE(TEXT(B221,"00"),".",TEXT(C221,"000"),".",TEXT(D221,"000")),IF(G221="Serviço",CONCATENATE(TEXT(B221,"00"),".",TEXT(C221,"000"),".",TEXT(D221,"000"),".",TEXT(E221,"000")),"")))))</f>
        <v/>
      </c>
      <c r="I221" s="92" t="inlineStr">
        <is>
          <t>Contrapiso</t>
        </is>
      </c>
      <c r="J221" s="77" t="inlineStr">
        <is>
          <t>m²</t>
        </is>
      </c>
      <c r="K221" s="353" t="n">
        <v>13275.29</v>
      </c>
      <c r="L221" s="87" t="n">
        <v>63.37</v>
      </c>
      <c r="M221" s="354">
        <f>K221*L221</f>
        <v/>
      </c>
      <c r="N221" s="79">
        <f>M221/$M$298</f>
        <v/>
      </c>
      <c r="O221" s="87">
        <f>M221/OBRA!$D$12</f>
        <v/>
      </c>
      <c r="P221" s="355" t="inlineStr">
        <is>
          <t>Em toda edificação onde não há polimento de piso e cimentado</t>
        </is>
      </c>
    </row>
    <row r="222" outlineLevel="3" ht="19.9" customFormat="1" customHeight="1" s="1">
      <c r="A222" s="343">
        <f>IF(G222="UNIDADE CONSTRUTIVA",OFFSET(A222,-1,0)+1,LARGE(A$4:A221,1))</f>
        <v/>
      </c>
      <c r="B222" s="343">
        <f>IF(G222="UNIDADE CONSTRUTIVA",0,IF(G222="CÉLULA CONSTRUTIVA",OFFSET(B222,-1,0)+1,OFFSET(B222,-1,0)))</f>
        <v/>
      </c>
      <c r="C222" s="343">
        <f>IF(G222="CÉLULA CONSTRUTIVA",0,IF(G222="ETAPA",OFFSET(C222,-1,0)+1,OFFSET(C222,-1,0)))</f>
        <v/>
      </c>
      <c r="D222" s="347">
        <f>IF(G222="ETAPA",0,IF(G222="SUBETAPA",OFFSET(D222,-1,0)+1,OFFSET(D222,-1,0)))</f>
        <v/>
      </c>
      <c r="E222" s="347">
        <f>IF(G222="Subetapa",0,IF(G222="serviço",OFFSET(E222,-1,0)+1,OFFSET(E222,-1,0)))</f>
        <v/>
      </c>
      <c r="G222" s="75" t="inlineStr">
        <is>
          <t>Serviço</t>
        </is>
      </c>
      <c r="H222" s="352">
        <f>IF(G222="Unidade Construtiva",CONCATENATE("UC ",TEXT(A222,"00")),IF(G222="Célula Construtiva",TEXT(B222,"00"),IF(G222="Etapa",CONCATENATE(TEXT(B222,"00"),".",TEXT(C222,"000")),IF(G222="Subetapa",CONCATENATE(TEXT(B222,"00"),".",TEXT(C222,"000"),".",TEXT(D222,"000")),IF(G222="Serviço",CONCATENATE(TEXT(B222,"00"),".",TEXT(C222,"000"),".",TEXT(D222,"000"),".",TEXT(E222,"000")),"")))))</f>
        <v/>
      </c>
      <c r="I222" s="92" t="inlineStr">
        <is>
          <t>Manta acústica</t>
        </is>
      </c>
      <c r="J222" s="77" t="inlineStr">
        <is>
          <t>m²</t>
        </is>
      </c>
      <c r="K222" s="353" t="n">
        <v>7235.913999999999</v>
      </c>
      <c r="L222" s="87">
        <f>M222/K222</f>
        <v/>
      </c>
      <c r="M222" s="354" t="n">
        <v>198987.635</v>
      </c>
      <c r="N222" s="79">
        <f>M222/$M$298</f>
        <v/>
      </c>
      <c r="O222" s="87">
        <f>M222/OBRA!$D$12</f>
        <v/>
      </c>
      <c r="P222" s="355" t="inlineStr">
        <is>
          <t>Nas áreas privativas;</t>
        </is>
      </c>
    </row>
    <row r="223" outlineLevel="2" ht="19.9" customFormat="1" customHeight="1" s="1">
      <c r="A223" s="343">
        <f>IF(G223="UNIDADE CONSTRUTIVA",OFFSET(A223,-1,0)+1,LARGE(A$4:A222,1))</f>
        <v/>
      </c>
      <c r="B223" s="343">
        <f>IF(G223="UNIDADE CONSTRUTIVA",0,IF(G223="CÉLULA CONSTRUTIVA",OFFSET(B223,-1,0)+1,OFFSET(B223,-1,0)))</f>
        <v/>
      </c>
      <c r="C223" s="343">
        <f>IF(G223="CÉLULA CONSTRUTIVA",0,IF(G223="ETAPA",OFFSET(C223,-1,0)+1,OFFSET(C223,-1,0)))</f>
        <v/>
      </c>
      <c r="D223" s="347">
        <f>IF(G223="ETAPA",0,IF(G223="SUBETAPA",OFFSET(D223,-1,0)+1,OFFSET(D223,-1,0)))</f>
        <v/>
      </c>
      <c r="E223" s="347">
        <f>IF(G223="Subetapa",0,IF(G223="serviço",OFFSET(E223,-1,0)+1,OFFSET(E223,-1,0)))</f>
        <v/>
      </c>
      <c r="G223" s="75" t="inlineStr">
        <is>
          <t>Subetapa</t>
        </is>
      </c>
      <c r="H223" s="352">
        <f>IF(G223="Unidade Construtiva",CONCATENATE("UC ",TEXT(A223,"00")),IF(G223="Célula Construtiva",TEXT(B223,"00"),IF(G223="Etapa",CONCATENATE(TEXT(B223,"00"),".",TEXT(C223,"000")),IF(G223="Subetapa",CONCATENATE(TEXT(B223,"00"),".",TEXT(C223,"000"),".",TEXT(D223,"000")),IF(G223="Serviço",CONCATENATE(TEXT(B223,"00"),".",TEXT(C223,"000"),".",TEXT(D223,"000"),".",TEXT(E223,"000")),"")))))</f>
        <v/>
      </c>
      <c r="I223" s="92" t="inlineStr">
        <is>
          <t>Revestimeto de parede</t>
        </is>
      </c>
      <c r="J223" s="77" t="n"/>
      <c r="K223" s="353" t="n"/>
      <c r="L223" s="87" t="n"/>
      <c r="M223" s="354">
        <f>M224+M225</f>
        <v/>
      </c>
      <c r="N223" s="79">
        <f>M223/$M$298</f>
        <v/>
      </c>
      <c r="O223" s="87">
        <f>M223/OBRA!$D$12</f>
        <v/>
      </c>
      <c r="P223" s="355" t="n"/>
    </row>
    <row r="224" outlineLevel="3" ht="19.9" customFormat="1" customHeight="1" s="1">
      <c r="A224" s="343">
        <f>IF(G224="UNIDADE CONSTRUTIVA",OFFSET(A224,-1,0)+1,LARGE(A$4:A223,1))</f>
        <v/>
      </c>
      <c r="B224" s="343">
        <f>IF(G224="UNIDADE CONSTRUTIVA",0,IF(G224="CÉLULA CONSTRUTIVA",OFFSET(B224,-1,0)+1,OFFSET(B224,-1,0)))</f>
        <v/>
      </c>
      <c r="C224" s="343">
        <f>IF(G224="CÉLULA CONSTRUTIVA",0,IF(G224="ETAPA",OFFSET(C224,-1,0)+1,OFFSET(C224,-1,0)))</f>
        <v/>
      </c>
      <c r="D224" s="347">
        <f>IF(G224="ETAPA",0,IF(G224="SUBETAPA",OFFSET(D224,-1,0)+1,OFFSET(D224,-1,0)))</f>
        <v/>
      </c>
      <c r="E224" s="347">
        <f>IF(G224="Subetapa",0,IF(G224="serviço",OFFSET(E224,-1,0)+1,OFFSET(E224,-1,0)))</f>
        <v/>
      </c>
      <c r="G224" s="75" t="inlineStr">
        <is>
          <t>Serviço</t>
        </is>
      </c>
      <c r="H224" s="352">
        <f>IF(G224="Unidade Construtiva",CONCATENATE("UC ",TEXT(A224,"00")),IF(G224="Célula Construtiva",TEXT(B224,"00"),IF(G224="Etapa",CONCATENATE(TEXT(B224,"00"),".",TEXT(C224,"000")),IF(G224="Subetapa",CONCATENATE(TEXT(B224,"00"),".",TEXT(C224,"000"),".",TEXT(D224,"000")),IF(G224="Serviço",CONCATENATE(TEXT(B224,"00"),".",TEXT(C224,"000"),".",TEXT(D224,"000"),".",TEXT(E224,"000")),"")))))</f>
        <v/>
      </c>
      <c r="I224" s="92" t="inlineStr">
        <is>
          <t>Chapisco</t>
        </is>
      </c>
      <c r="J224" s="77" t="inlineStr">
        <is>
          <t>m²</t>
        </is>
      </c>
      <c r="K224" s="353" t="n">
        <v>35425.93000000001</v>
      </c>
      <c r="L224" s="87">
        <f>IF(M6="REBOCO",Planilha1!E19,IF(M6="GESSO SARRAFEADO",0,"NA"))</f>
        <v/>
      </c>
      <c r="M224" s="357">
        <f>L224*K224</f>
        <v/>
      </c>
      <c r="N224" s="79">
        <f>M224/$M$298</f>
        <v/>
      </c>
      <c r="O224" s="87">
        <f>M224/OBRA!$D$12</f>
        <v/>
      </c>
      <c r="P224" s="355" t="n"/>
    </row>
    <row r="225" outlineLevel="3" ht="19.9" customFormat="1" customHeight="1" s="1">
      <c r="A225" s="343">
        <f>IF(G225="UNIDADE CONSTRUTIVA",OFFSET(A225,-1,0)+1,LARGE(A$4:A223,1))</f>
        <v/>
      </c>
      <c r="B225" s="343">
        <f>IF(G225="UNIDADE CONSTRUTIVA",0,IF(G225="CÉLULA CONSTRUTIVA",OFFSET(B225,-1,0)+1,OFFSET(B225,-1,0)))</f>
        <v/>
      </c>
      <c r="C225" s="343">
        <f>IF(G225="CÉLULA CONSTRUTIVA",0,IF(G225="ETAPA",OFFSET(C225,-1,0)+1,OFFSET(C225,-1,0)))</f>
        <v/>
      </c>
      <c r="D225" s="347">
        <f>IF(G225="ETAPA",0,IF(G225="SUBETAPA",OFFSET(D225,-1,0)+1,OFFSET(D225,-1,0)))</f>
        <v/>
      </c>
      <c r="E225" s="347">
        <f>IF(G225="Subetapa",0,IF(G225="serviço",OFFSET(E225,-1,0)+1,OFFSET(E225,-1,0)))</f>
        <v/>
      </c>
      <c r="G225" s="75" t="inlineStr">
        <is>
          <t>Serviço</t>
        </is>
      </c>
      <c r="H225" s="352">
        <f>IF(G225="Unidade Construtiva",CONCATENATE("UC ",TEXT(A225,"00")),IF(G225="Célula Construtiva",TEXT(B225,"00"),IF(G225="Etapa",CONCATENATE(TEXT(B225,"00"),".",TEXT(C225,"000")),IF(G225="Subetapa",CONCATENATE(TEXT(B225,"00"),".",TEXT(C225,"000"),".",TEXT(D225,"000")),IF(G225="Serviço",CONCATENATE(TEXT(B225,"00"),".",TEXT(C225,"000"),".",TEXT(D225,"000"),".",TEXT(E225,"000")),"")))))</f>
        <v/>
      </c>
      <c r="I225" s="92" t="inlineStr">
        <is>
          <t>Reboco</t>
        </is>
      </c>
      <c r="J225" s="77" t="inlineStr">
        <is>
          <t>m²</t>
        </is>
      </c>
      <c r="K225" s="353" t="n">
        <v>35425.93000000001</v>
      </c>
      <c r="L225" s="87">
        <f>IF(M6="REBOCO",Planilha1!E20,IF(M6="GESSO SARRAFEADO",Planilha1!E21,"NA"))</f>
        <v/>
      </c>
      <c r="M225" s="357">
        <f>L225*K225</f>
        <v/>
      </c>
      <c r="N225" s="79">
        <f>M225/$M$298</f>
        <v/>
      </c>
      <c r="O225" s="87">
        <f>M225/OBRA!$D$12</f>
        <v/>
      </c>
      <c r="P225" s="355" t="n"/>
    </row>
    <row r="226" outlineLevel="1" ht="19.9" customFormat="1" customHeight="1" s="1">
      <c r="A226" s="343">
        <f>IF(G226="UNIDADE CONSTRUTIVA",OFFSET(A226,-1,0)+1,LARGE(A$4:A221,1))</f>
        <v/>
      </c>
      <c r="B226" s="343">
        <f>IF(G226="UNIDADE CONSTRUTIVA",0,IF(G226="CÉLULA CONSTRUTIVA",OFFSET(B226,-1,0)+1,OFFSET(B226,-1,0)))</f>
        <v/>
      </c>
      <c r="C226" s="343">
        <f>IF(G226="CÉLULA CONSTRUTIVA",0,IF(G226="ETAPA",OFFSET(C226,-1,0)+1,OFFSET(C226,-1,0)))</f>
        <v/>
      </c>
      <c r="D226" s="347">
        <f>IF(G226="ETAPA",0,IF(G226="SUBETAPA",OFFSET(D226,-1,0)+1,OFFSET(D226,-1,0)))</f>
        <v/>
      </c>
      <c r="E226" s="347">
        <f>IF(G226="Subetapa",0,IF(G226="serviço",OFFSET(E226,-1,0)+1,OFFSET(E226,-1,0)))</f>
        <v/>
      </c>
      <c r="G226" s="75" t="inlineStr">
        <is>
          <t>CÉLULA CONSTRUTIVA</t>
        </is>
      </c>
      <c r="H226" s="352">
        <f>IF(G226="Unidade Construtiva",CONCATENATE("UC ",TEXT(A226,"00")),IF(G226="Célula Construtiva",TEXT(B226,"00"),IF(G226="Etapa",CONCATENATE(TEXT(B226,"00"),".",TEXT(C226,"000")),IF(G226="Subetapa",CONCATENATE(TEXT(B226,"00"),".",TEXT(C226,"000"),".",TEXT(D226,"000")),IF(G226="Serviço",CONCATENATE(TEXT(B226,"00"),".",TEXT(C226,"000"),".",TEXT(D226,"000"),".",TEXT(E226,"000")),"")))))</f>
        <v/>
      </c>
      <c r="I226" s="92" t="inlineStr">
        <is>
          <t>REVESTIMENTOS E ACABAMENTOS INTERNOS EM TETO</t>
        </is>
      </c>
      <c r="J226" s="77" t="n"/>
      <c r="K226" s="353" t="n"/>
      <c r="L226" s="87" t="n"/>
      <c r="M226" s="354">
        <f>M227</f>
        <v/>
      </c>
      <c r="N226" s="79">
        <f>M226/$M$298</f>
        <v/>
      </c>
      <c r="O226" s="87">
        <f>M226/OBRA!$D$12</f>
        <v/>
      </c>
      <c r="P226" s="355" t="n"/>
    </row>
    <row r="227" outlineLevel="2" ht="19.9" customFormat="1" customHeight="1" s="1">
      <c r="A227" s="343">
        <f>IF(G227="UNIDADE CONSTRUTIVA",OFFSET(A227,-1,0)+1,LARGE(A$4:A226,1))</f>
        <v/>
      </c>
      <c r="B227" s="343">
        <f>IF(G227="UNIDADE CONSTRUTIVA",0,IF(G227="CÉLULA CONSTRUTIVA",OFFSET(B227,-1,0)+1,OFFSET(B227,-1,0)))</f>
        <v/>
      </c>
      <c r="C227" s="343">
        <f>IF(G227="CÉLULA CONSTRUTIVA",0,IF(G227="ETAPA",OFFSET(C227,-1,0)+1,OFFSET(C227,-1,0)))</f>
        <v/>
      </c>
      <c r="D227" s="347">
        <f>IF(G227="ETAPA",0,IF(G227="SUBETAPA",OFFSET(D227,-1,0)+1,OFFSET(D227,-1,0)))</f>
        <v/>
      </c>
      <c r="E227" s="347">
        <f>IF(G227="Subetapa",0,IF(G227="serviço",OFFSET(E227,-1,0)+1,OFFSET(E227,-1,0)))</f>
        <v/>
      </c>
      <c r="G227" s="75" t="inlineStr">
        <is>
          <t>ETAPA</t>
        </is>
      </c>
      <c r="H227" s="352">
        <f>IF(G227="Unidade Construtiva",CONCATENATE("UC ",TEXT(A227,"00")),IF(G227="Célula Construtiva",TEXT(B227,"00"),IF(G227="Etapa",CONCATENATE(TEXT(B227,"00"),".",TEXT(C227,"000")),IF(G227="Subetapa",CONCATENATE(TEXT(B227,"00"),".",TEXT(C227,"000"),".",TEXT(D227,"000")),IF(G227="Serviço",CONCATENATE(TEXT(B227,"00"),".",TEXT(C227,"000"),".",TEXT(D227,"000"),".",TEXT(E227,"000")),"")))))</f>
        <v/>
      </c>
      <c r="I227" s="92" t="inlineStr">
        <is>
          <t>REVESTIMENTOS E ACABAMENTOS INTERNOS EM TETO</t>
        </is>
      </c>
      <c r="J227" s="77" t="n"/>
      <c r="K227" s="353" t="n"/>
      <c r="L227" s="87" t="n"/>
      <c r="M227" s="354">
        <f>M228+M230+M233</f>
        <v/>
      </c>
      <c r="N227" s="79">
        <f>M227/$M$298</f>
        <v/>
      </c>
      <c r="O227" s="87">
        <f>M227/OBRA!$D$12</f>
        <v/>
      </c>
      <c r="P227" s="355" t="n"/>
    </row>
    <row r="228" outlineLevel="2" ht="19.9" customFormat="1" customHeight="1" s="1">
      <c r="A228" s="343">
        <f>IF(G228="UNIDADE CONSTRUTIVA",OFFSET(A228,-1,0)+1,LARGE(A$4:A227,1))</f>
        <v/>
      </c>
      <c r="B228" s="343">
        <f>IF(G228="UNIDADE CONSTRUTIVA",0,IF(G228="CÉLULA CONSTRUTIVA",OFFSET(B228,-1,0)+1,OFFSET(B228,-1,0)))</f>
        <v/>
      </c>
      <c r="C228" s="343">
        <f>IF(G228="CÉLULA CONSTRUTIVA",0,IF(G228="ETAPA",OFFSET(C228,-1,0)+1,OFFSET(C228,-1,0)))</f>
        <v/>
      </c>
      <c r="D228" s="347">
        <f>IF(G228="ETAPA",0,IF(G228="SUBETAPA",OFFSET(D228,-1,0)+1,OFFSET(D228,-1,0)))</f>
        <v/>
      </c>
      <c r="E228" s="347">
        <f>IF(G228="Subetapa",0,IF(G228="serviço",OFFSET(E228,-1,0)+1,OFFSET(E228,-1,0)))</f>
        <v/>
      </c>
      <c r="G228" s="75" t="inlineStr">
        <is>
          <t>Subetapa</t>
        </is>
      </c>
      <c r="H228" s="352">
        <f>IF(G228="Unidade Construtiva",CONCATENATE("UC ",TEXT(A228,"00")),IF(G228="Célula Construtiva",TEXT(B228,"00"),IF(G228="Etapa",CONCATENATE(TEXT(B228,"00"),".",TEXT(C228,"000")),IF(G228="Subetapa",CONCATENATE(TEXT(B228,"00"),".",TEXT(C228,"000"),".",TEXT(D228,"000")),IF(G228="Serviço",CONCATENATE(TEXT(B228,"00"),".",TEXT(C228,"000"),".",TEXT(D228,"000"),".",TEXT(E228,"000")),"")))))</f>
        <v/>
      </c>
      <c r="I228" s="92" t="inlineStr">
        <is>
          <t>Chapisco e reboco</t>
        </is>
      </c>
      <c r="J228" s="77" t="n"/>
      <c r="K228" s="353" t="n"/>
      <c r="L228" s="87" t="n"/>
      <c r="M228" s="354">
        <f>M229</f>
        <v/>
      </c>
      <c r="N228" s="79">
        <f>M228/$M$298</f>
        <v/>
      </c>
      <c r="O228" s="87">
        <f>M228/OBRA!$D$12</f>
        <v/>
      </c>
      <c r="P228" s="355" t="n"/>
    </row>
    <row r="229" outlineLevel="3" ht="19.9" customFormat="1" customHeight="1" s="1">
      <c r="A229" s="343">
        <f>IF(G229="UNIDADE CONSTRUTIVA",OFFSET(A229,-1,0)+1,LARGE(A$4:A227,1))</f>
        <v/>
      </c>
      <c r="B229" s="343">
        <f>IF(G229="UNIDADE CONSTRUTIVA",0,IF(G229="CÉLULA CONSTRUTIVA",OFFSET(B229,-1,0)+1,OFFSET(B229,-1,0)))</f>
        <v/>
      </c>
      <c r="C229" s="343">
        <f>IF(G229="CÉLULA CONSTRUTIVA",0,IF(G229="ETAPA",OFFSET(C229,-1,0)+1,OFFSET(C229,-1,0)))</f>
        <v/>
      </c>
      <c r="D229" s="347">
        <f>IF(G229="ETAPA",0,IF(G229="SUBETAPA",OFFSET(D229,-1,0)+1,OFFSET(D229,-1,0)))</f>
        <v/>
      </c>
      <c r="E229" s="347">
        <f>IF(G229="Subetapa",0,IF(G229="serviço",OFFSET(E229,-1,0)+1,OFFSET(E229,-1,0)))</f>
        <v/>
      </c>
      <c r="G229" s="75" t="inlineStr">
        <is>
          <t>Serviço</t>
        </is>
      </c>
      <c r="H229" s="352">
        <f>IF(G229="Unidade Construtiva",CONCATENATE("UC ",TEXT(A229,"00")),IF(G229="Célula Construtiva",TEXT(B229,"00"),IF(G229="Etapa",CONCATENATE(TEXT(B229,"00"),".",TEXT(C229,"000")),IF(G229="Subetapa",CONCATENATE(TEXT(B229,"00"),".",TEXT(C229,"000"),".",TEXT(D229,"000")),IF(G229="Serviço",CONCATENATE(TEXT(B229,"00"),".",TEXT(C229,"000"),".",TEXT(D229,"000"),".",TEXT(E229,"000")),"")))))</f>
        <v/>
      </c>
      <c r="I229" s="92" t="inlineStr">
        <is>
          <t>Estucamento</t>
        </is>
      </c>
      <c r="J229" s="77" t="inlineStr">
        <is>
          <t>m²</t>
        </is>
      </c>
      <c r="K229" s="353" t="n">
        <v>3110.625999999999</v>
      </c>
      <c r="L229" s="87">
        <f>M229/K229</f>
        <v/>
      </c>
      <c r="M229" s="354" t="n">
        <v>100939.8137</v>
      </c>
      <c r="N229" s="79">
        <f>M229/$M$298</f>
        <v/>
      </c>
      <c r="O229" s="87">
        <f>M229/OBRA!$D$12</f>
        <v/>
      </c>
      <c r="P229" s="355" t="inlineStr">
        <is>
          <t>Escadas e áreas tecnicas</t>
        </is>
      </c>
    </row>
    <row r="230" outlineLevel="2" ht="19.9" customFormat="1" customHeight="1" s="1">
      <c r="A230" s="343">
        <f>IF(G230="UNIDADE CONSTRUTIVA",OFFSET(A230,-1,0)+1,LARGE(A$4:A229,1))</f>
        <v/>
      </c>
      <c r="B230" s="343">
        <f>IF(G230="UNIDADE CONSTRUTIVA",0,IF(G230="CÉLULA CONSTRUTIVA",OFFSET(B230,-1,0)+1,OFFSET(B230,-1,0)))</f>
        <v/>
      </c>
      <c r="C230" s="343">
        <f>IF(G230="CÉLULA CONSTRUTIVA",0,IF(G230="ETAPA",OFFSET(C230,-1,0)+1,OFFSET(C230,-1,0)))</f>
        <v/>
      </c>
      <c r="D230" s="347">
        <f>IF(G230="ETAPA",0,IF(G230="SUBETAPA",OFFSET(D230,-1,0)+1,OFFSET(D230,-1,0)))</f>
        <v/>
      </c>
      <c r="E230" s="347">
        <f>IF(G230="Subetapa",0,IF(G230="serviço",OFFSET(E230,-1,0)+1,OFFSET(E230,-1,0)))</f>
        <v/>
      </c>
      <c r="G230" s="75" t="inlineStr">
        <is>
          <t>Subetapa</t>
        </is>
      </c>
      <c r="H230" s="352">
        <f>IF(G230="Unidade Construtiva",CONCATENATE("UC ",TEXT(A230,"00")),IF(G230="Célula Construtiva",TEXT(B230,"00"),IF(G230="Etapa",CONCATENATE(TEXT(B230,"00"),".",TEXT(C230,"000")),IF(G230="Subetapa",CONCATENATE(TEXT(B230,"00"),".",TEXT(C230,"000"),".",TEXT(D230,"000")),IF(G230="Serviço",CONCATENATE(TEXT(B230,"00"),".",TEXT(C230,"000"),".",TEXT(D230,"000"),".",TEXT(E230,"000")),"")))))</f>
        <v/>
      </c>
      <c r="I230" s="92" t="inlineStr">
        <is>
          <t>Forro de gesso</t>
        </is>
      </c>
      <c r="J230" s="77" t="inlineStr">
        <is>
          <t>m²</t>
        </is>
      </c>
      <c r="K230" s="353" t="n">
        <v>9292.700000000001</v>
      </c>
      <c r="L230" s="87" t="n">
        <v>112.12</v>
      </c>
      <c r="M230" s="354">
        <f>K230*L230</f>
        <v/>
      </c>
      <c r="N230" s="79">
        <f>M230/$M$298</f>
        <v/>
      </c>
      <c r="O230" s="87">
        <f>M230/OBRA!$D$12</f>
        <v/>
      </c>
      <c r="P230" s="355" t="n"/>
    </row>
    <row r="231" outlineLevel="3" ht="19.9" customFormat="1" customHeight="1" s="1">
      <c r="A231" s="343">
        <f>IF(G231="UNIDADE CONSTRUTIVA",OFFSET(A231,-1,0)+1,LARGE(A$4:A230,1))</f>
        <v/>
      </c>
      <c r="B231" s="343">
        <f>IF(G231="UNIDADE CONSTRUTIVA",0,IF(G231="CÉLULA CONSTRUTIVA",OFFSET(B231,-1,0)+1,OFFSET(B231,-1,0)))</f>
        <v/>
      </c>
      <c r="C231" s="343">
        <f>IF(G231="CÉLULA CONSTRUTIVA",0,IF(G231="ETAPA",OFFSET(C231,-1,0)+1,OFFSET(C231,-1,0)))</f>
        <v/>
      </c>
      <c r="D231" s="347">
        <f>IF(G231="ETAPA",0,IF(G231="SUBETAPA",OFFSET(D231,-1,0)+1,OFFSET(D231,-1,0)))</f>
        <v/>
      </c>
      <c r="E231" s="347">
        <f>IF(G231="Subetapa",0,IF(G231="serviço",OFFSET(E231,-1,0)+1,OFFSET(E231,-1,0)))</f>
        <v/>
      </c>
      <c r="G231" s="75" t="inlineStr">
        <is>
          <t>Serviço</t>
        </is>
      </c>
      <c r="H231" s="352">
        <f>IF(G231="Unidade Construtiva",CONCATENATE("UC ",TEXT(A231,"00")),IF(G231="Célula Construtiva",TEXT(B231,"00"),IF(G231="Etapa",CONCATENATE(TEXT(B231,"00"),".",TEXT(C231,"000")),IF(G231="Subetapa",CONCATENATE(TEXT(B231,"00"),".",TEXT(C231,"000"),".",TEXT(D231,"000")),IF(G231="Serviço",CONCATENATE(TEXT(B231,"00"),".",TEXT(C231,"000"),".",TEXT(D231,"000"),".",TEXT(E231,"000")),"")))))</f>
        <v/>
      </c>
      <c r="I231" s="92" t="inlineStr">
        <is>
          <t xml:space="preserve">Forro de gesso mineral - material e mão de obra </t>
        </is>
      </c>
      <c r="J231" s="77" t="inlineStr">
        <is>
          <t>m²</t>
        </is>
      </c>
      <c r="K231" s="353" t="n">
        <v>7600.919999999998</v>
      </c>
      <c r="L231" s="87">
        <f>M231/K231</f>
        <v/>
      </c>
      <c r="M231" s="354" t="n">
        <v>501660.7199999999</v>
      </c>
      <c r="N231" s="79">
        <f>M231/$M$298</f>
        <v/>
      </c>
      <c r="O231" s="87">
        <f>M231/OBRA!$D$12</f>
        <v/>
      </c>
      <c r="P231" s="355" t="n"/>
    </row>
    <row r="232" outlineLevel="3" ht="19.9" customFormat="1" customHeight="1" s="1">
      <c r="A232" s="343">
        <f>IF(G232="UNIDADE CONSTRUTIVA",OFFSET(A232,-1,0)+1,LARGE(A$4:A231,1))</f>
        <v/>
      </c>
      <c r="B232" s="343">
        <f>IF(G232="UNIDADE CONSTRUTIVA",0,IF(G232="CÉLULA CONSTRUTIVA",OFFSET(B232,-1,0)+1,OFFSET(B232,-1,0)))</f>
        <v/>
      </c>
      <c r="C232" s="343">
        <f>IF(G232="CÉLULA CONSTRUTIVA",0,IF(G232="ETAPA",OFFSET(C232,-1,0)+1,OFFSET(C232,-1,0)))</f>
        <v/>
      </c>
      <c r="D232" s="347">
        <f>IF(G232="ETAPA",0,IF(G232="SUBETAPA",OFFSET(D232,-1,0)+1,OFFSET(D232,-1,0)))</f>
        <v/>
      </c>
      <c r="E232" s="347">
        <f>IF(G232="Subetapa",0,IF(G232="serviço",OFFSET(E232,-1,0)+1,OFFSET(E232,-1,0)))</f>
        <v/>
      </c>
      <c r="G232" s="75" t="inlineStr">
        <is>
          <t>Serviço</t>
        </is>
      </c>
      <c r="H232" s="352">
        <f>IF(G232="Unidade Construtiva",CONCATENATE("UC ",TEXT(A232,"00")),IF(G232="Célula Construtiva",TEXT(B232,"00"),IF(G232="Etapa",CONCATENATE(TEXT(B232,"00"),".",TEXT(C232,"000")),IF(G232="Subetapa",CONCATENATE(TEXT(B232,"00"),".",TEXT(C232,"000"),".",TEXT(D232,"000")),IF(G232="Serviço",CONCATENATE(TEXT(B232,"00"),".",TEXT(C232,"000"),".",TEXT(D232,"000"),".",TEXT(E232,"000")),"")))))</f>
        <v/>
      </c>
      <c r="I232" s="92" t="inlineStr">
        <is>
          <t>Negativo</t>
        </is>
      </c>
      <c r="J232" s="77" t="inlineStr">
        <is>
          <t>m²</t>
        </is>
      </c>
      <c r="K232" s="353" t="n">
        <v>9121.103999999998</v>
      </c>
      <c r="L232" s="87">
        <f>M232/K232</f>
        <v/>
      </c>
      <c r="M232" s="354" t="n">
        <v>220730.7168</v>
      </c>
      <c r="N232" s="79">
        <f>M232/$M$298</f>
        <v/>
      </c>
      <c r="O232" s="87">
        <f>M232/OBRA!$D$12</f>
        <v/>
      </c>
      <c r="P232" s="355" t="n"/>
    </row>
    <row r="233" outlineLevel="2" ht="19.9" customFormat="1" customHeight="1" s="1">
      <c r="A233" s="343">
        <f>IF(G233="UNIDADE CONSTRUTIVA",OFFSET(A233,-1,0)+1,LARGE(A$4:A231,1))</f>
        <v/>
      </c>
      <c r="B233" s="343">
        <f>IF(G233="UNIDADE CONSTRUTIVA",0,IF(G233="CÉLULA CONSTRUTIVA",OFFSET(B233,-1,0)+1,OFFSET(B233,-1,0)))</f>
        <v/>
      </c>
      <c r="C233" s="343">
        <f>IF(G233="CÉLULA CONSTRUTIVA",0,IF(G233="ETAPA",OFFSET(C233,-1,0)+1,OFFSET(C233,-1,0)))</f>
        <v/>
      </c>
      <c r="D233" s="347">
        <f>IF(G233="ETAPA",0,IF(G233="SUBETAPA",OFFSET(D233,-1,0)+1,OFFSET(D233,-1,0)))</f>
        <v/>
      </c>
      <c r="E233" s="347">
        <f>IF(G233="Subetapa",0,IF(G233="serviço",OFFSET(E233,-1,0)+1,OFFSET(E233,-1,0)))</f>
        <v/>
      </c>
      <c r="G233" s="75" t="inlineStr">
        <is>
          <t>Subetapa</t>
        </is>
      </c>
      <c r="H233" s="352">
        <f>IF(G233="Unidade Construtiva",CONCATENATE("UC ",TEXT(A233,"00")),IF(G233="Célula Construtiva",TEXT(B233,"00"),IF(G233="Etapa",CONCATENATE(TEXT(B233,"00"),".",TEXT(C233,"000")),IF(G233="Subetapa",CONCATENATE(TEXT(B233,"00"),".",TEXT(C233,"000"),".",TEXT(D233,"000")),IF(G233="Serviço",CONCATENATE(TEXT(B233,"00"),".",TEXT(C233,"000"),".",TEXT(D233,"000"),".",TEXT(E233,"000")),"")))))</f>
        <v/>
      </c>
      <c r="I233" s="92" t="inlineStr">
        <is>
          <t>Forros especiais</t>
        </is>
      </c>
      <c r="J233" s="77" t="n"/>
      <c r="K233" s="353" t="n"/>
      <c r="L233" s="87" t="n"/>
      <c r="M233" s="354">
        <f>M234</f>
        <v/>
      </c>
      <c r="N233" s="79">
        <f>M233/$M$298</f>
        <v/>
      </c>
      <c r="O233" s="87">
        <f>M233/OBRA!$D$12</f>
        <v/>
      </c>
      <c r="P233" s="355" t="n"/>
    </row>
    <row r="234" outlineLevel="3" ht="19.9" customFormat="1" customHeight="1" s="1">
      <c r="A234" s="343">
        <f>IF(G234="UNIDADE CONSTRUTIVA",OFFSET(A234,-1,0)+1,LARGE(A$4:A233,1))</f>
        <v/>
      </c>
      <c r="B234" s="343">
        <f>IF(G234="UNIDADE CONSTRUTIVA",0,IF(G234="CÉLULA CONSTRUTIVA",OFFSET(B234,-1,0)+1,OFFSET(B234,-1,0)))</f>
        <v/>
      </c>
      <c r="C234" s="343">
        <f>IF(G234="CÉLULA CONSTRUTIVA",0,IF(G234="ETAPA",OFFSET(C234,-1,0)+1,OFFSET(C234,-1,0)))</f>
        <v/>
      </c>
      <c r="D234" s="347">
        <f>IF(G234="ETAPA",0,IF(G234="SUBETAPA",OFFSET(D234,-1,0)+1,OFFSET(D234,-1,0)))</f>
        <v/>
      </c>
      <c r="E234" s="347">
        <f>IF(G234="Subetapa",0,IF(G234="serviço",OFFSET(E234,-1,0)+1,OFFSET(E234,-1,0)))</f>
        <v/>
      </c>
      <c r="G234" s="75" t="inlineStr">
        <is>
          <t>Serviço</t>
        </is>
      </c>
      <c r="H234" s="352">
        <f>IF(G234="Unidade Construtiva",CONCATENATE("UC ",TEXT(A234,"00")),IF(G234="Célula Construtiva",TEXT(B234,"00"),IF(G234="Etapa",CONCATENATE(TEXT(B234,"00"),".",TEXT(C234,"000")),IF(G234="Subetapa",CONCATENATE(TEXT(B234,"00"),".",TEXT(C234,"000"),".",TEXT(D234,"000")),IF(G234="Serviço",CONCATENATE(TEXT(B234,"00"),".",TEXT(C234,"000"),".",TEXT(D234,"000"),".",TEXT(E234,"000")),"")))))</f>
        <v/>
      </c>
      <c r="I234" s="92">
        <f>IF(M5="FORRO GESSO",I231,IF(M5="FORRO MADEIRA","Forro de madeira",IF(M5="FORRO PVC IMITA MADEIRA","Forro de PVC que imita madeira",IF(M5="FORRO VINILICO","Forro vinílico","NA"))))</f>
        <v/>
      </c>
      <c r="J234" s="77" t="inlineStr">
        <is>
          <t>m²</t>
        </is>
      </c>
      <c r="K234" s="353" t="n">
        <v>369.9</v>
      </c>
      <c r="L234" s="87">
        <f>IF(M5="FORRO GESSO",Planilha1!E4,IF(M5="FORRO MADEIRA",Planilha1!E5,IF(M5="FORRO PVC IMITA MADEIRA",Planilha1!E6,IF(M5="FORRO VINILICO",Planilha1!E7,"NA"))))</f>
        <v/>
      </c>
      <c r="M234" s="354">
        <f>L234*K234</f>
        <v/>
      </c>
      <c r="N234" s="79">
        <f>M234/$M$298</f>
        <v/>
      </c>
      <c r="O234" s="87">
        <f>M234/OBRA!$D$12</f>
        <v/>
      </c>
      <c r="P234" s="355" t="inlineStr">
        <is>
          <t>Sacadas e terraços</t>
        </is>
      </c>
    </row>
    <row r="235" outlineLevel="1" ht="19.9" customFormat="1" customHeight="1" s="1">
      <c r="A235" s="343">
        <f>IF(G235="UNIDADE CONSTRUTIVA",OFFSET(A235,-1,0)+1,LARGE(A$4:A231,1))</f>
        <v/>
      </c>
      <c r="B235" s="343">
        <f>IF(G235="UNIDADE CONSTRUTIVA",0,IF(G235="CÉLULA CONSTRUTIVA",OFFSET(B235,-1,0)+1,OFFSET(B235,-1,0)))</f>
        <v/>
      </c>
      <c r="C235" s="343">
        <f>IF(G235="CÉLULA CONSTRUTIVA",0,IF(G235="ETAPA",OFFSET(C235,-1,0)+1,OFFSET(C235,-1,0)))</f>
        <v/>
      </c>
      <c r="D235" s="347">
        <f>IF(G235="ETAPA",0,IF(G235="SUBETAPA",OFFSET(D235,-1,0)+1,OFFSET(D235,-1,0)))</f>
        <v/>
      </c>
      <c r="E235" s="347">
        <f>IF(G235="Subetapa",0,IF(G235="serviço",OFFSET(E235,-1,0)+1,OFFSET(E235,-1,0)))</f>
        <v/>
      </c>
      <c r="G235" s="75" t="inlineStr">
        <is>
          <t>CÉLULA CONSTRUTIVA</t>
        </is>
      </c>
      <c r="H235" s="352">
        <f>IF(G235="Unidade Construtiva",CONCATENATE("UC ",TEXT(A235,"00")),IF(G235="Célula Construtiva",TEXT(B235,"00"),IF(G235="Etapa",CONCATENATE(TEXT(B235,"00"),".",TEXT(C235,"000")),IF(G235="Subetapa",CONCATENATE(TEXT(B235,"00"),".",TEXT(C235,"000"),".",TEXT(D235,"000")),IF(G235="Serviço",CONCATENATE(TEXT(B235,"00"),".",TEXT(C235,"000"),".",TEXT(D235,"000"),".",TEXT(E235,"000")),"")))))</f>
        <v/>
      </c>
      <c r="I235" s="92" t="inlineStr">
        <is>
          <t>ACABAMENTOS EM PISO E PAREDE</t>
        </is>
      </c>
      <c r="J235" s="77" t="n"/>
      <c r="K235" s="353" t="n"/>
      <c r="L235" s="87" t="n"/>
      <c r="M235" s="354">
        <f>M236</f>
        <v/>
      </c>
      <c r="N235" s="79">
        <f>M235/$M$298</f>
        <v/>
      </c>
      <c r="O235" s="87">
        <f>M235/OBRA!$D$12</f>
        <v/>
      </c>
      <c r="P235" s="355" t="n"/>
    </row>
    <row r="236" outlineLevel="2" ht="19.9" customFormat="1" customHeight="1" s="1">
      <c r="A236" s="343">
        <f>IF(G236="UNIDADE CONSTRUTIVA",OFFSET(A236,-1,0)+1,LARGE(A$4:A235,1))</f>
        <v/>
      </c>
      <c r="B236" s="343">
        <f>IF(G236="UNIDADE CONSTRUTIVA",0,IF(G236="CÉLULA CONSTRUTIVA",OFFSET(B236,-1,0)+1,OFFSET(B236,-1,0)))</f>
        <v/>
      </c>
      <c r="C236" s="343">
        <f>IF(G236="CÉLULA CONSTRUTIVA",0,IF(G236="ETAPA",OFFSET(C236,-1,0)+1,OFFSET(C236,-1,0)))</f>
        <v/>
      </c>
      <c r="D236" s="347">
        <f>IF(G236="ETAPA",0,IF(G236="SUBETAPA",OFFSET(D236,-1,0)+1,OFFSET(D236,-1,0)))</f>
        <v/>
      </c>
      <c r="E236" s="347">
        <f>IF(G236="Subetapa",0,IF(G236="serviço",OFFSET(E236,-1,0)+1,OFFSET(E236,-1,0)))</f>
        <v/>
      </c>
      <c r="G236" s="75" t="inlineStr">
        <is>
          <t>ETAPA</t>
        </is>
      </c>
      <c r="H236" s="352">
        <f>IF(G236="Unidade Construtiva",CONCATENATE("UC ",TEXT(A236,"00")),IF(G236="Célula Construtiva",TEXT(B236,"00"),IF(G236="Etapa",CONCATENATE(TEXT(B236,"00"),".",TEXT(C236,"000")),IF(G236="Subetapa",CONCATENATE(TEXT(B236,"00"),".",TEXT(C236,"000"),".",TEXT(D236,"000")),IF(G236="Serviço",CONCATENATE(TEXT(B236,"00"),".",TEXT(C236,"000"),".",TEXT(D236,"000"),".",TEXT(E236,"000")),"")))))</f>
        <v/>
      </c>
      <c r="I236" s="92" t="inlineStr">
        <is>
          <t>ACABAMENTOS EM PISO E PAREDE</t>
        </is>
      </c>
      <c r="J236" s="77" t="n"/>
      <c r="K236" s="353" t="n"/>
      <c r="L236" s="87" t="n"/>
      <c r="M236" s="354">
        <f>M237+M248</f>
        <v/>
      </c>
      <c r="N236" s="79">
        <f>M236/$M$298</f>
        <v/>
      </c>
      <c r="O236" s="87">
        <f>M236/OBRA!$D$12</f>
        <v/>
      </c>
      <c r="P236" s="355" t="n"/>
    </row>
    <row r="237" outlineLevel="2" ht="19.9" customFormat="1" customHeight="1" s="1">
      <c r="A237" s="343">
        <f>IF(G237="UNIDADE CONSTRUTIVA",OFFSET(A237,-1,0)+1,LARGE(A$4:A236,1))</f>
        <v/>
      </c>
      <c r="B237" s="343">
        <f>IF(G237="UNIDADE CONSTRUTIVA",0,IF(G237="CÉLULA CONSTRUTIVA",OFFSET(B237,-1,0)+1,OFFSET(B237,-1,0)))</f>
        <v/>
      </c>
      <c r="C237" s="343">
        <f>IF(G237="CÉLULA CONSTRUTIVA",0,IF(G237="ETAPA",OFFSET(C237,-1,0)+1,OFFSET(C237,-1,0)))</f>
        <v/>
      </c>
      <c r="D237" s="347">
        <f>IF(G237="ETAPA",0,IF(G237="SUBETAPA",OFFSET(D237,-1,0)+1,OFFSET(D237,-1,0)))</f>
        <v/>
      </c>
      <c r="E237" s="347">
        <f>IF(G237="Subetapa",0,IF(G237="serviço",OFFSET(E237,-1,0)+1,OFFSET(E237,-1,0)))</f>
        <v/>
      </c>
      <c r="G237" s="75" t="inlineStr">
        <is>
          <t>Subetapa</t>
        </is>
      </c>
      <c r="H237" s="352">
        <f>IF(G237="Unidade Construtiva",CONCATENATE("UC ",TEXT(A237,"00")),IF(G237="Célula Construtiva",TEXT(B237,"00"),IF(G237="Etapa",CONCATENATE(TEXT(B237,"00"),".",TEXT(C237,"000")),IF(G237="Subetapa",CONCATENATE(TEXT(B237,"00"),".",TEXT(C237,"000"),".",TEXT(D237,"000")),IF(G237="Serviço",CONCATENATE(TEXT(B237,"00"),".",TEXT(C237,"000"),".",TEXT(D237,"000"),".",TEXT(E237,"000")),"")))))</f>
        <v/>
      </c>
      <c r="I237" s="92" t="inlineStr">
        <is>
          <t>Acabamentos de piso</t>
        </is>
      </c>
      <c r="J237" s="77" t="n"/>
      <c r="K237" s="353" t="n"/>
      <c r="L237" s="87" t="n"/>
      <c r="M237" s="354">
        <f>SUM(M238:M247)</f>
        <v/>
      </c>
      <c r="N237" s="79">
        <f>M237/$M$298</f>
        <v/>
      </c>
      <c r="O237" s="87">
        <f>M237/OBRA!$D$12</f>
        <v/>
      </c>
      <c r="P237" s="355" t="n"/>
    </row>
    <row r="238" outlineLevel="3" ht="19.9" customFormat="1" customHeight="1" s="1">
      <c r="A238" s="343">
        <f>IF(G238="UNIDADE CONSTRUTIVA",OFFSET(A238,-1,0)+1,LARGE(A$4:A237,1))</f>
        <v/>
      </c>
      <c r="B238" s="343">
        <f>IF(G238="UNIDADE CONSTRUTIVA",0,IF(G238="CÉLULA CONSTRUTIVA",OFFSET(B238,-1,0)+1,OFFSET(B238,-1,0)))</f>
        <v/>
      </c>
      <c r="C238" s="343">
        <f>IF(G238="CÉLULA CONSTRUTIVA",0,IF(G238="ETAPA",OFFSET(C238,-1,0)+1,OFFSET(C238,-1,0)))</f>
        <v/>
      </c>
      <c r="D238" s="347">
        <f>IF(G238="ETAPA",0,IF(G238="SUBETAPA",OFFSET(D238,-1,0)+1,OFFSET(D238,-1,0)))</f>
        <v/>
      </c>
      <c r="E238" s="347">
        <f>IF(G238="Subetapa",0,IF(G238="serviço",OFFSET(E238,-1,0)+1,OFFSET(E238,-1,0)))</f>
        <v/>
      </c>
      <c r="G238" s="75" t="inlineStr">
        <is>
          <t>Serviço</t>
        </is>
      </c>
      <c r="H238" s="352">
        <f>IF(G238="Unidade Construtiva",CONCATENATE("UC ",TEXT(A238,"00")),IF(G238="Célula Construtiva",TEXT(B238,"00"),IF(G238="Etapa",CONCATENATE(TEXT(B238,"00"),".",TEXT(C238,"000")),IF(G238="Subetapa",CONCATENATE(TEXT(B238,"00"),".",TEXT(C238,"000"),".",TEXT(D238,"000")),IF(G238="Serviço",CONCATENATE(TEXT(B238,"00"),".",TEXT(C238,"000"),".",TEXT(D238,"000"),".",TEXT(E238,"000")),"")))))</f>
        <v/>
      </c>
      <c r="I238" s="92" t="inlineStr">
        <is>
          <t>Porcelanato 90x90</t>
        </is>
      </c>
      <c r="J238" s="77" t="inlineStr">
        <is>
          <t>m²</t>
        </is>
      </c>
      <c r="K238" s="353" t="n">
        <v>4938.989999999998</v>
      </c>
      <c r="L238" s="87">
        <f>M238/K238</f>
        <v/>
      </c>
      <c r="M238" s="354" t="n">
        <v>923591.1299999998</v>
      </c>
      <c r="N238" s="79">
        <f>M238/$M$298</f>
        <v/>
      </c>
      <c r="O238" s="87">
        <f>M238/OBRA!$D$12</f>
        <v/>
      </c>
      <c r="P238" s="355" t="n"/>
    </row>
    <row r="239" outlineLevel="3" ht="19.9" customFormat="1" customHeight="1" s="1">
      <c r="A239" s="343">
        <f>IF(G239="UNIDADE CONSTRUTIVA",OFFSET(A239,-1,0)+1,LARGE(A$4:A238,1))</f>
        <v/>
      </c>
      <c r="B239" s="343">
        <f>IF(G239="UNIDADE CONSTRUTIVA",0,IF(G239="CÉLULA CONSTRUTIVA",OFFSET(B239,-1,0)+1,OFFSET(B239,-1,0)))</f>
        <v/>
      </c>
      <c r="C239" s="343">
        <f>IF(G239="CÉLULA CONSTRUTIVA",0,IF(G239="ETAPA",OFFSET(C239,-1,0)+1,OFFSET(C239,-1,0)))</f>
        <v/>
      </c>
      <c r="D239" s="347">
        <f>IF(G239="ETAPA",0,IF(G239="SUBETAPA",OFFSET(D239,-1,0)+1,OFFSET(D239,-1,0)))</f>
        <v/>
      </c>
      <c r="E239" s="347">
        <f>IF(G239="Subetapa",0,IF(G239="serviço",OFFSET(E239,-1,0)+1,OFFSET(E239,-1,0)))</f>
        <v/>
      </c>
      <c r="G239" s="75" t="inlineStr">
        <is>
          <t>Serviço</t>
        </is>
      </c>
      <c r="H239" s="352">
        <f>IF(G239="Unidade Construtiva",CONCATENATE("UC ",TEXT(A239,"00")),IF(G239="Célula Construtiva",TEXT(B239,"00"),IF(G239="Etapa",CONCATENATE(TEXT(B239,"00"),".",TEXT(C239,"000")),IF(G239="Subetapa",CONCATENATE(TEXT(B239,"00"),".",TEXT(C239,"000"),".",TEXT(D239,"000")),IF(G239="Serviço",CONCATENATE(TEXT(B239,"00"),".",TEXT(C239,"000"),".",TEXT(D239,"000"),".",TEXT(E239,"000")),"")))))</f>
        <v/>
      </c>
      <c r="I239" s="92" t="inlineStr">
        <is>
          <t>Ceramica</t>
        </is>
      </c>
      <c r="J239" s="77" t="inlineStr">
        <is>
          <t>m²</t>
        </is>
      </c>
      <c r="K239" s="353" t="n">
        <v>27.2</v>
      </c>
      <c r="L239" s="87">
        <f>M239/K239</f>
        <v/>
      </c>
      <c r="M239" s="354" t="n">
        <v>3892.592</v>
      </c>
      <c r="N239" s="79">
        <f>M239/$M$298</f>
        <v/>
      </c>
      <c r="O239" s="87">
        <f>M239/OBRA!$D$12</f>
        <v/>
      </c>
      <c r="P239" s="355" t="inlineStr">
        <is>
          <t>Area tecnicas</t>
        </is>
      </c>
    </row>
    <row r="240" outlineLevel="3" ht="19.9" customFormat="1" customHeight="1" s="1">
      <c r="A240" s="343">
        <f>IF(G240="UNIDADE CONSTRUTIVA",OFFSET(A240,-1,0)+1,LARGE(A$4:A239,1))</f>
        <v/>
      </c>
      <c r="B240" s="343">
        <f>IF(G240="UNIDADE CONSTRUTIVA",0,IF(G240="CÉLULA CONSTRUTIVA",OFFSET(B240,-1,0)+1,OFFSET(B240,-1,0)))</f>
        <v/>
      </c>
      <c r="C240" s="343">
        <f>IF(G240="CÉLULA CONSTRUTIVA",0,IF(G240="ETAPA",OFFSET(C240,-1,0)+1,OFFSET(C240,-1,0)))</f>
        <v/>
      </c>
      <c r="D240" s="347">
        <f>IF(G240="ETAPA",0,IF(G240="SUBETAPA",OFFSET(D240,-1,0)+1,OFFSET(D240,-1,0)))</f>
        <v/>
      </c>
      <c r="E240" s="347">
        <f>IF(G240="Subetapa",0,IF(G240="serviço",OFFSET(E240,-1,0)+1,OFFSET(E240,-1,0)))</f>
        <v/>
      </c>
      <c r="G240" s="75" t="inlineStr">
        <is>
          <t>Serviço</t>
        </is>
      </c>
      <c r="H240" s="352">
        <f>IF(G240="Unidade Construtiva",CONCATENATE("UC ",TEXT(A240,"00")),IF(G240="Célula Construtiva",TEXT(B240,"00"),IF(G240="Etapa",CONCATENATE(TEXT(B240,"00"),".",TEXT(C240,"000")),IF(G240="Subetapa",CONCATENATE(TEXT(B240,"00"),".",TEXT(C240,"000"),".",TEXT(D240,"000")),IF(G240="Serviço",CONCATENATE(TEXT(B240,"00"),".",TEXT(C240,"000"),".",TEXT(D240,"000"),".",TEXT(E240,"000")),"")))))</f>
        <v/>
      </c>
      <c r="I240" s="92" t="inlineStr">
        <is>
          <t>Piscina - pastilha 14,5x14,5</t>
        </is>
      </c>
      <c r="J240" s="77" t="inlineStr">
        <is>
          <t>m²</t>
        </is>
      </c>
      <c r="K240" s="353" t="n">
        <v>54.96000000000001</v>
      </c>
      <c r="L240" s="87">
        <f>M240/K240</f>
        <v/>
      </c>
      <c r="M240" s="354" t="n">
        <v>20555.04</v>
      </c>
      <c r="N240" s="79">
        <f>M240/$M$298</f>
        <v/>
      </c>
      <c r="O240" s="87">
        <f>M240/OBRA!$D$12</f>
        <v/>
      </c>
      <c r="P240" s="355" t="n"/>
    </row>
    <row r="241" outlineLevel="3" ht="19.9" customFormat="1" customHeight="1" s="1">
      <c r="A241" s="343">
        <f>IF(G241="UNIDADE CONSTRUTIVA",OFFSET(A241,-1,0)+1,LARGE(A$4:A240,1))</f>
        <v/>
      </c>
      <c r="B241" s="343">
        <f>IF(G241="UNIDADE CONSTRUTIVA",0,IF(G241="CÉLULA CONSTRUTIVA",OFFSET(B241,-1,0)+1,OFFSET(B241,-1,0)))</f>
        <v/>
      </c>
      <c r="C241" s="343">
        <f>IF(G241="CÉLULA CONSTRUTIVA",0,IF(G241="ETAPA",OFFSET(C241,-1,0)+1,OFFSET(C241,-1,0)))</f>
        <v/>
      </c>
      <c r="D241" s="347">
        <f>IF(G241="ETAPA",0,IF(G241="SUBETAPA",OFFSET(D241,-1,0)+1,OFFSET(D241,-1,0)))</f>
        <v/>
      </c>
      <c r="E241" s="347">
        <f>IF(G241="Subetapa",0,IF(G241="serviço",OFFSET(E241,-1,0)+1,OFFSET(E241,-1,0)))</f>
        <v/>
      </c>
      <c r="G241" s="75" t="inlineStr">
        <is>
          <t>Serviço</t>
        </is>
      </c>
      <c r="H241" s="352">
        <f>IF(G241="Unidade Construtiva",CONCATENATE("UC ",TEXT(A241,"00")),IF(G241="Célula Construtiva",TEXT(B241,"00"),IF(G241="Etapa",CONCATENATE(TEXT(B241,"00"),".",TEXT(C241,"000")),IF(G241="Subetapa",CONCATENATE(TEXT(B241,"00"),".",TEXT(C241,"000"),".",TEXT(D241,"000")),IF(G241="Serviço",CONCATENATE(TEXT(B241,"00"),".",TEXT(C241,"000"),".",TEXT(D241,"000"),".",TEXT(E241,"000")),"")))))</f>
        <v/>
      </c>
      <c r="I241" s="92" t="inlineStr">
        <is>
          <t>Concreto calçada</t>
        </is>
      </c>
      <c r="J241" s="77" t="inlineStr">
        <is>
          <t>m²</t>
        </is>
      </c>
      <c r="K241" s="353" t="n">
        <v>134.11</v>
      </c>
      <c r="L241" s="87">
        <f>M241/K241</f>
        <v/>
      </c>
      <c r="M241" s="354" t="n">
        <v>11949.201</v>
      </c>
      <c r="N241" s="79">
        <f>M241/$M$298</f>
        <v/>
      </c>
      <c r="O241" s="87">
        <f>M241/OBRA!$D$12</f>
        <v/>
      </c>
      <c r="P241" s="355" t="inlineStr">
        <is>
          <t>Passeio padrão Florianópolis</t>
        </is>
      </c>
    </row>
    <row r="242" outlineLevel="3" ht="19.9" customFormat="1" customHeight="1" s="1">
      <c r="A242" s="343">
        <f>IF(G242="UNIDADE CONSTRUTIVA",OFFSET(A242,-1,0)+1,LARGE(A$4:A241,1))</f>
        <v/>
      </c>
      <c r="B242" s="343">
        <f>IF(G242="UNIDADE CONSTRUTIVA",0,IF(G242="CÉLULA CONSTRUTIVA",OFFSET(B242,-1,0)+1,OFFSET(B242,-1,0)))</f>
        <v/>
      </c>
      <c r="C242" s="343">
        <f>IF(G242="CÉLULA CONSTRUTIVA",0,IF(G242="ETAPA",OFFSET(C242,-1,0)+1,OFFSET(C242,-1,0)))</f>
        <v/>
      </c>
      <c r="D242" s="347">
        <f>IF(G242="ETAPA",0,IF(G242="SUBETAPA",OFFSET(D242,-1,0)+1,OFFSET(D242,-1,0)))</f>
        <v/>
      </c>
      <c r="E242" s="347">
        <f>IF(G242="Subetapa",0,IF(G242="serviço",OFFSET(E242,-1,0)+1,OFFSET(E242,-1,0)))</f>
        <v/>
      </c>
      <c r="G242" s="75" t="inlineStr">
        <is>
          <t>Serviço</t>
        </is>
      </c>
      <c r="H242" s="352">
        <f>IF(G242="Unidade Construtiva",CONCATENATE("UC ",TEXT(A242,"00")),IF(G242="Célula Construtiva",TEXT(B242,"00"),IF(G242="Etapa",CONCATENATE(TEXT(B242,"00"),".",TEXT(C242,"000")),IF(G242="Subetapa",CONCATENATE(TEXT(B242,"00"),".",TEXT(C242,"000"),".",TEXT(D242,"000")),IF(G242="Serviço",CONCATENATE(TEXT(B242,"00"),".",TEXT(C242,"000"),".",TEXT(D242,"000"),".",TEXT(E242,"000")),"")))))</f>
        <v/>
      </c>
      <c r="I242" s="92" t="inlineStr">
        <is>
          <t>Vinilico</t>
        </is>
      </c>
      <c r="J242" s="77" t="inlineStr">
        <is>
          <t>m²</t>
        </is>
      </c>
      <c r="K242" s="353" t="n">
        <v>2328.21</v>
      </c>
      <c r="L242" s="87">
        <f>M242/K242</f>
        <v/>
      </c>
      <c r="M242" s="354" t="n">
        <v>384154.6500000001</v>
      </c>
      <c r="N242" s="79">
        <f>M242/$M$298</f>
        <v/>
      </c>
      <c r="O242" s="87">
        <f>M242/OBRA!$D$12</f>
        <v/>
      </c>
      <c r="P242" s="355" t="inlineStr">
        <is>
          <t>Area intimas privativas</t>
        </is>
      </c>
    </row>
    <row r="243" outlineLevel="3" ht="19.9" customFormat="1" customHeight="1" s="1">
      <c r="A243" s="343">
        <f>IF(G243="UNIDADE CONSTRUTIVA",OFFSET(A243,-1,0)+1,LARGE(A$4:A242,1))</f>
        <v/>
      </c>
      <c r="B243" s="343">
        <f>IF(G243="UNIDADE CONSTRUTIVA",0,IF(G243="CÉLULA CONSTRUTIVA",OFFSET(B243,-1,0)+1,OFFSET(B243,-1,0)))</f>
        <v/>
      </c>
      <c r="C243" s="343">
        <f>IF(G243="CÉLULA CONSTRUTIVA",0,IF(G243="ETAPA",OFFSET(C243,-1,0)+1,OFFSET(C243,-1,0)))</f>
        <v/>
      </c>
      <c r="D243" s="347">
        <f>IF(G243="ETAPA",0,IF(G243="SUBETAPA",OFFSET(D243,-1,0)+1,OFFSET(D243,-1,0)))</f>
        <v/>
      </c>
      <c r="E243" s="347">
        <f>IF(G243="Subetapa",0,IF(G243="serviço",OFFSET(E243,-1,0)+1,OFFSET(E243,-1,0)))</f>
        <v/>
      </c>
      <c r="G243" s="75" t="inlineStr">
        <is>
          <t>Serviço</t>
        </is>
      </c>
      <c r="H243" s="352">
        <f>IF(G243="Unidade Construtiva",CONCATENATE("UC ",TEXT(A243,"00")),IF(G243="Célula Construtiva",TEXT(B243,"00"),IF(G243="Etapa",CONCATENATE(TEXT(B243,"00"),".",TEXT(C243,"000")),IF(G243="Subetapa",CONCATENATE(TEXT(B243,"00"),".",TEXT(C243,"000"),".",TEXT(D243,"000")),IF(G243="Serviço",CONCATENATE(TEXT(B243,"00"),".",TEXT(C243,"000"),".",TEXT(D243,"000"),".",TEXT(E243,"000")),"")))))</f>
        <v/>
      </c>
      <c r="I243" s="92" t="inlineStr">
        <is>
          <t>Piso vinílico play e academia</t>
        </is>
      </c>
      <c r="J243" s="77" t="inlineStr">
        <is>
          <t>m²</t>
        </is>
      </c>
      <c r="K243" s="353" t="n">
        <v>126.98</v>
      </c>
      <c r="L243" s="87" t="n">
        <v>165</v>
      </c>
      <c r="M243" s="354">
        <f>L243*K243</f>
        <v/>
      </c>
      <c r="N243" s="79">
        <f>M243/$M$298</f>
        <v/>
      </c>
      <c r="O243" s="87">
        <f>M243/OBRA!$D$12</f>
        <v/>
      </c>
      <c r="P243" s="355" t="inlineStr">
        <is>
          <t>Playgoround e academia</t>
        </is>
      </c>
    </row>
    <row r="244" outlineLevel="3" ht="19.9" customFormat="1" customHeight="1" s="1">
      <c r="A244" s="343">
        <f>IF(G244="UNIDADE CONSTRUTIVA",OFFSET(A244,-1,0)+1,LARGE(A$4:A243,1))</f>
        <v/>
      </c>
      <c r="B244" s="343">
        <f>IF(G244="UNIDADE CONSTRUTIVA",0,IF(G244="CÉLULA CONSTRUTIVA",OFFSET(B244,-1,0)+1,OFFSET(B244,-1,0)))</f>
        <v/>
      </c>
      <c r="C244" s="343">
        <f>IF(G244="CÉLULA CONSTRUTIVA",0,IF(G244="ETAPA",OFFSET(C244,-1,0)+1,OFFSET(C244,-1,0)))</f>
        <v/>
      </c>
      <c r="D244" s="347">
        <f>IF(G244="ETAPA",0,IF(G244="SUBETAPA",OFFSET(D244,-1,0)+1,OFFSET(D244,-1,0)))</f>
        <v/>
      </c>
      <c r="E244" s="347">
        <f>IF(G244="Subetapa",0,IF(G244="serviço",OFFSET(E244,-1,0)+1,OFFSET(E244,-1,0)))</f>
        <v/>
      </c>
      <c r="G244" s="75" t="inlineStr">
        <is>
          <t>Serviço</t>
        </is>
      </c>
      <c r="H244" s="352">
        <f>IF(G244="Unidade Construtiva",CONCATENATE("UC ",TEXT(A244,"00")),IF(G244="Célula Construtiva",TEXT(B244,"00"),IF(G244="Etapa",CONCATENATE(TEXT(B244,"00"),".",TEXT(C244,"000")),IF(G244="Subetapa",CONCATENATE(TEXT(B244,"00"),".",TEXT(C244,"000"),".",TEXT(D244,"000")),IF(G244="Serviço",CONCATENATE(TEXT(B244,"00"),".",TEXT(C244,"000"),".",TEXT(D244,"000"),".",TEXT(E244,"000")),"")))))</f>
        <v/>
      </c>
      <c r="I244" s="92" t="inlineStr">
        <is>
          <t>Porcelanato que imita madeira</t>
        </is>
      </c>
      <c r="J244" s="77" t="inlineStr">
        <is>
          <t>m²</t>
        </is>
      </c>
      <c r="K244" s="353" t="n">
        <v>96.22</v>
      </c>
      <c r="L244" s="87" t="n">
        <v>324.5000000000001</v>
      </c>
      <c r="M244" s="354">
        <f>L244*K244</f>
        <v/>
      </c>
      <c r="N244" s="79">
        <f>M244/$M$298</f>
        <v/>
      </c>
      <c r="O244" s="87">
        <f>M244/OBRA!$D$12</f>
        <v/>
      </c>
      <c r="P244" s="355" t="inlineStr">
        <is>
          <t>Àrea de piscina</t>
        </is>
      </c>
    </row>
    <row r="245" outlineLevel="3" ht="19.9" customFormat="1" customHeight="1" s="1">
      <c r="A245" s="343">
        <f>IF(G245="UNIDADE CONSTRUTIVA",OFFSET(A245,-1,0)+1,LARGE(A$4:A244,1))</f>
        <v/>
      </c>
      <c r="B245" s="343">
        <f>IF(G245="UNIDADE CONSTRUTIVA",0,IF(G245="CÉLULA CONSTRUTIVA",OFFSET(B245,-1,0)+1,OFFSET(B245,-1,0)))</f>
        <v/>
      </c>
      <c r="C245" s="343">
        <f>IF(G245="CÉLULA CONSTRUTIVA",0,IF(G245="ETAPA",OFFSET(C245,-1,0)+1,OFFSET(C245,-1,0)))</f>
        <v/>
      </c>
      <c r="D245" s="347">
        <f>IF(G245="ETAPA",0,IF(G245="SUBETAPA",OFFSET(D245,-1,0)+1,OFFSET(D245,-1,0)))</f>
        <v/>
      </c>
      <c r="E245" s="347">
        <f>IF(G245="Subetapa",0,IF(G245="serviço",OFFSET(E245,-1,0)+1,OFFSET(E245,-1,0)))</f>
        <v/>
      </c>
      <c r="G245" s="75" t="inlineStr">
        <is>
          <t>Serviço</t>
        </is>
      </c>
      <c r="H245" s="352">
        <f>IF(G245="Unidade Construtiva",CONCATENATE("UC ",TEXT(A245,"00")),IF(G245="Célula Construtiva",TEXT(B245,"00"),IF(G245="Etapa",CONCATENATE(TEXT(B245,"00"),".",TEXT(C245,"000")),IF(G245="Subetapa",CONCATENATE(TEXT(B245,"00"),".",TEXT(C245,"000"),".",TEXT(D245,"000")),IF(G245="Serviço",CONCATENATE(TEXT(B245,"00"),".",TEXT(C245,"000"),".",TEXT(D245,"000"),".",TEXT(E245,"000")),"")))))</f>
        <v/>
      </c>
      <c r="I245" s="92" t="inlineStr">
        <is>
          <t>Madeira sauna</t>
        </is>
      </c>
      <c r="J245" s="77" t="inlineStr">
        <is>
          <t>m²</t>
        </is>
      </c>
      <c r="K245" s="353" t="n">
        <v>7.41</v>
      </c>
      <c r="L245" s="87">
        <f>M245/K245</f>
        <v/>
      </c>
      <c r="M245" s="354" t="n">
        <v>8030.365200000001</v>
      </c>
      <c r="N245" s="79">
        <f>M245/$M$298</f>
        <v/>
      </c>
      <c r="O245" s="87">
        <f>M245/OBRA!$D$12</f>
        <v/>
      </c>
      <c r="P245" s="355" t="n"/>
    </row>
    <row r="246" outlineLevel="3" ht="19.9" customFormat="1" customHeight="1" s="1">
      <c r="A246" s="343">
        <f>IF(G246="UNIDADE CONSTRUTIVA",OFFSET(A246,-1,0)+1,LARGE(A$4:A245,1))</f>
        <v/>
      </c>
      <c r="B246" s="343">
        <f>IF(G246="UNIDADE CONSTRUTIVA",0,IF(G246="CÉLULA CONSTRUTIVA",OFFSET(B246,-1,0)+1,OFFSET(B246,-1,0)))</f>
        <v/>
      </c>
      <c r="C246" s="343">
        <f>IF(G246="CÉLULA CONSTRUTIVA",0,IF(G246="ETAPA",OFFSET(C246,-1,0)+1,OFFSET(C246,-1,0)))</f>
        <v/>
      </c>
      <c r="D246" s="347">
        <f>IF(G246="ETAPA",0,IF(G246="SUBETAPA",OFFSET(D246,-1,0)+1,OFFSET(D246,-1,0)))</f>
        <v/>
      </c>
      <c r="E246" s="347">
        <f>IF(G246="Subetapa",0,IF(G246="serviço",OFFSET(E246,-1,0)+1,OFFSET(E246,-1,0)))</f>
        <v/>
      </c>
      <c r="G246" s="75" t="inlineStr">
        <is>
          <t>Serviço</t>
        </is>
      </c>
      <c r="H246" s="352">
        <f>IF(G246="Unidade Construtiva",CONCATENATE("UC ",TEXT(A246,"00")),IF(G246="Célula Construtiva",TEXT(B246,"00"),IF(G246="Etapa",CONCATENATE(TEXT(B246,"00"),".",TEXT(C246,"000")),IF(G246="Subetapa",CONCATENATE(TEXT(B246,"00"),".",TEXT(C246,"000"),".",TEXT(D246,"000")),IF(G246="Serviço",CONCATENATE(TEXT(B246,"00"),".",TEXT(C246,"000"),".",TEXT(D246,"000"),".",TEXT(E246,"000")),"")))))</f>
        <v/>
      </c>
      <c r="I246" s="92" t="inlineStr">
        <is>
          <t>Rodapés</t>
        </is>
      </c>
      <c r="J246" s="77" t="inlineStr">
        <is>
          <t>vb</t>
        </is>
      </c>
      <c r="K246" s="353" t="n">
        <v>1</v>
      </c>
      <c r="L246" s="87">
        <f>M246/K246</f>
        <v/>
      </c>
      <c r="M246" s="354" t="n">
        <v>269003.5788000001</v>
      </c>
      <c r="N246" s="79">
        <f>M246/$M$298</f>
        <v/>
      </c>
      <c r="O246" s="87">
        <f>M246/OBRA!$D$12</f>
        <v/>
      </c>
      <c r="P246" s="355" t="inlineStr">
        <is>
          <t>Rodapé de 10cm</t>
        </is>
      </c>
    </row>
    <row r="247" outlineLevel="3" ht="19.9" customFormat="1" customHeight="1" s="1">
      <c r="A247" s="343">
        <f>IF(G247="UNIDADE CONSTRUTIVA",OFFSET(A247,-1,0)+1,LARGE(A$4:A246,1))</f>
        <v/>
      </c>
      <c r="B247" s="343">
        <f>IF(G247="UNIDADE CONSTRUTIVA",0,IF(G247="CÉLULA CONSTRUTIVA",OFFSET(B247,-1,0)+1,OFFSET(B247,-1,0)))</f>
        <v/>
      </c>
      <c r="C247" s="343">
        <f>IF(G247="CÉLULA CONSTRUTIVA",0,IF(G247="ETAPA",OFFSET(C247,-1,0)+1,OFFSET(C247,-1,0)))</f>
        <v/>
      </c>
      <c r="D247" s="347">
        <f>IF(G247="ETAPA",0,IF(G247="SUBETAPA",OFFSET(D247,-1,0)+1,OFFSET(D247,-1,0)))</f>
        <v/>
      </c>
      <c r="E247" s="347">
        <f>IF(G247="Subetapa",0,IF(G247="serviço",OFFSET(E247,-1,0)+1,OFFSET(E247,-1,0)))</f>
        <v/>
      </c>
      <c r="G247" s="75" t="inlineStr">
        <is>
          <t>Serviço</t>
        </is>
      </c>
      <c r="H247" s="352">
        <f>IF(G247="Unidade Construtiva",CONCATENATE("UC ",TEXT(A247,"00")),IF(G247="Célula Construtiva",TEXT(B247,"00"),IF(G247="Etapa",CONCATENATE(TEXT(B247,"00"),".",TEXT(C247,"000")),IF(G247="Subetapa",CONCATENATE(TEXT(B247,"00"),".",TEXT(C247,"000"),".",TEXT(D247,"000")),IF(G247="Serviço",CONCATENATE(TEXT(B247,"00"),".",TEXT(C247,"000"),".",TEXT(D247,"000"),".",TEXT(E247,"000")),"")))))</f>
        <v/>
      </c>
      <c r="I247" s="92" t="inlineStr">
        <is>
          <t>Soleiras e peitoris</t>
        </is>
      </c>
      <c r="J247" s="77" t="inlineStr">
        <is>
          <t>vb</t>
        </is>
      </c>
      <c r="K247" s="353" t="n">
        <v>1</v>
      </c>
      <c r="L247" s="87">
        <f>M247/K247</f>
        <v/>
      </c>
      <c r="M247" s="354" t="n">
        <v>216938.37</v>
      </c>
      <c r="N247" s="79">
        <f>M247/$M$298</f>
        <v/>
      </c>
      <c r="O247" s="87">
        <f>M247/OBRA!$D$12</f>
        <v/>
      </c>
      <c r="P247" s="355" t="n"/>
    </row>
    <row r="248" outlineLevel="2" ht="19.9" customFormat="1" customHeight="1" s="1">
      <c r="A248" s="343">
        <f>IF(G248="UNIDADE CONSTRUTIVA",OFFSET(A248,-1,0)+1,LARGE(A$4:A247,1))</f>
        <v/>
      </c>
      <c r="B248" s="343">
        <f>IF(G248="UNIDADE CONSTRUTIVA",0,IF(G248="CÉLULA CONSTRUTIVA",OFFSET(B248,-1,0)+1,OFFSET(B248,-1,0)))</f>
        <v/>
      </c>
      <c r="C248" s="343">
        <f>IF(G248="CÉLULA CONSTRUTIVA",0,IF(G248="ETAPA",OFFSET(C248,-1,0)+1,OFFSET(C248,-1,0)))</f>
        <v/>
      </c>
      <c r="D248" s="347">
        <f>IF(G248="ETAPA",0,IF(G248="SUBETAPA",OFFSET(D248,-1,0)+1,OFFSET(D248,-1,0)))</f>
        <v/>
      </c>
      <c r="E248" s="347">
        <f>IF(G248="Subetapa",0,IF(G248="serviço",OFFSET(E248,-1,0)+1,OFFSET(E248,-1,0)))</f>
        <v/>
      </c>
      <c r="G248" s="75" t="inlineStr">
        <is>
          <t>Subetapa</t>
        </is>
      </c>
      <c r="H248" s="352">
        <f>IF(G248="Unidade Construtiva",CONCATENATE("UC ",TEXT(A248,"00")),IF(G248="Célula Construtiva",TEXT(B248,"00"),IF(G248="Etapa",CONCATENATE(TEXT(B248,"00"),".",TEXT(C248,"000")),IF(G248="Subetapa",CONCATENATE(TEXT(B248,"00"),".",TEXT(C248,"000"),".",TEXT(D248,"000")),IF(G248="Serviço",CONCATENATE(TEXT(B248,"00"),".",TEXT(C248,"000"),".",TEXT(D248,"000"),".",TEXT(E248,"000")),"")))))</f>
        <v/>
      </c>
      <c r="I248" s="92" t="inlineStr">
        <is>
          <t>Acabamentos de parede</t>
        </is>
      </c>
      <c r="J248" s="77" t="n"/>
      <c r="K248" s="353" t="n"/>
      <c r="L248" s="87" t="n"/>
      <c r="M248" s="354">
        <f>SUM(M249:M249)</f>
        <v/>
      </c>
      <c r="N248" s="79">
        <f>M248/$M$298</f>
        <v/>
      </c>
      <c r="O248" s="87">
        <f>M248/OBRA!$D$12</f>
        <v/>
      </c>
      <c r="P248" s="355" t="n"/>
    </row>
    <row r="249" outlineLevel="3" ht="19.9" customFormat="1" customHeight="1" s="1">
      <c r="A249" s="343">
        <f>IF(G249="UNIDADE CONSTRUTIVA",OFFSET(A249,-1,0)+1,LARGE(A$4:A248,1))</f>
        <v/>
      </c>
      <c r="B249" s="343">
        <f>IF(G249="UNIDADE CONSTRUTIVA",0,IF(G249="CÉLULA CONSTRUTIVA",OFFSET(B249,-1,0)+1,OFFSET(B249,-1,0)))</f>
        <v/>
      </c>
      <c r="C249" s="343">
        <f>IF(G249="CÉLULA CONSTRUTIVA",0,IF(G249="ETAPA",OFFSET(C249,-1,0)+1,OFFSET(C249,-1,0)))</f>
        <v/>
      </c>
      <c r="D249" s="347">
        <f>IF(G249="ETAPA",0,IF(G249="SUBETAPA",OFFSET(D249,-1,0)+1,OFFSET(D249,-1,0)))</f>
        <v/>
      </c>
      <c r="E249" s="347">
        <f>IF(G249="Subetapa",0,IF(G249="serviço",OFFSET(E249,-1,0)+1,OFFSET(E249,-1,0)))</f>
        <v/>
      </c>
      <c r="G249" s="75" t="inlineStr">
        <is>
          <t>Serviço</t>
        </is>
      </c>
      <c r="H249" s="352">
        <f>IF(G249="Unidade Construtiva",CONCATENATE("UC ",TEXT(A249,"00")),IF(G249="Célula Construtiva",TEXT(B249,"00"),IF(G249="Etapa",CONCATENATE(TEXT(B249,"00"),".",TEXT(C249,"000")),IF(G249="Subetapa",CONCATENATE(TEXT(B249,"00"),".",TEXT(C249,"000"),".",TEXT(D249,"000")),IF(G249="Serviço",CONCATENATE(TEXT(B249,"00"),".",TEXT(C249,"000"),".",TEXT(D249,"000"),".",TEXT(E249,"000")),"")))))</f>
        <v/>
      </c>
      <c r="I249" s="92" t="inlineStr">
        <is>
          <t>Porcelanato parede</t>
        </is>
      </c>
      <c r="J249" s="77" t="inlineStr">
        <is>
          <t>m²</t>
        </is>
      </c>
      <c r="K249" s="353" t="n">
        <v>3691.46</v>
      </c>
      <c r="L249" s="87">
        <f>M249/K249</f>
        <v/>
      </c>
      <c r="M249" s="357" t="n">
        <v>487272.72</v>
      </c>
      <c r="N249" s="79">
        <f>M249/$M$298</f>
        <v/>
      </c>
      <c r="O249" s="87">
        <f>M249/OBRA!$D$12</f>
        <v/>
      </c>
      <c r="P249" s="355" t="inlineStr">
        <is>
          <t>Aplicação em paredes de banheiros</t>
        </is>
      </c>
    </row>
    <row r="250" outlineLevel="1" ht="19.9" customFormat="1" customHeight="1" s="1">
      <c r="A250" s="343">
        <f>IF(G250="UNIDADE CONSTRUTIVA",OFFSET(A250,-1,0)+1,LARGE(A$4:A247,1))</f>
        <v/>
      </c>
      <c r="B250" s="343">
        <f>IF(G250="UNIDADE CONSTRUTIVA",0,IF(G250="CÉLULA CONSTRUTIVA",OFFSET(B250,-1,0)+1,OFFSET(B250,-1,0)))</f>
        <v/>
      </c>
      <c r="C250" s="343">
        <f>IF(G250="CÉLULA CONSTRUTIVA",0,IF(G250="ETAPA",OFFSET(C250,-1,0)+1,OFFSET(C250,-1,0)))</f>
        <v/>
      </c>
      <c r="D250" s="347">
        <f>IF(G250="ETAPA",0,IF(G250="SUBETAPA",OFFSET(D250,-1,0)+1,OFFSET(D250,-1,0)))</f>
        <v/>
      </c>
      <c r="E250" s="347">
        <f>IF(G250="Subetapa",0,IF(G250="serviço",OFFSET(E250,-1,0)+1,OFFSET(E250,-1,0)))</f>
        <v/>
      </c>
      <c r="G250" s="75" t="inlineStr">
        <is>
          <t>CÉLULA CONSTRUTIVA</t>
        </is>
      </c>
      <c r="H250" s="352">
        <f>IF(G250="Unidade Construtiva",CONCATENATE("UC ",TEXT(A250,"00")),IF(G250="Célula Construtiva",TEXT(B250,"00"),IF(G250="Etapa",CONCATENATE(TEXT(B250,"00"),".",TEXT(C250,"000")),IF(G250="Subetapa",CONCATENATE(TEXT(B250,"00"),".",TEXT(C250,"000"),".",TEXT(D250,"000")),IF(G250="Serviço",CONCATENATE(TEXT(B250,"00"),".",TEXT(C250,"000"),".",TEXT(D250,"000"),".",TEXT(E250,"000")),"")))))</f>
        <v/>
      </c>
      <c r="I250" s="92" t="inlineStr">
        <is>
          <t>SISTEMAS DE PINTURA INTERNA</t>
        </is>
      </c>
      <c r="J250" s="77" t="inlineStr">
        <is>
          <t>m²</t>
        </is>
      </c>
      <c r="K250" s="353" t="n">
        <v>39825.87</v>
      </c>
      <c r="L250" s="87" t="n">
        <v>30.19</v>
      </c>
      <c r="M250" s="354">
        <f>K250*L250</f>
        <v/>
      </c>
      <c r="N250" s="79">
        <f>M250/$M$298</f>
        <v/>
      </c>
      <c r="O250" s="87">
        <f>M250/OBRA!$D$12</f>
        <v/>
      </c>
      <c r="P250" s="355" t="n"/>
    </row>
    <row r="251" outlineLevel="2" ht="19.9" customFormat="1" customHeight="1" s="1">
      <c r="A251" s="343">
        <f>IF(G251="UNIDADE CONSTRUTIVA",OFFSET(A251,-1,0)+1,LARGE(A$4:A250,1))</f>
        <v/>
      </c>
      <c r="B251" s="343">
        <f>IF(G251="UNIDADE CONSTRUTIVA",0,IF(G251="CÉLULA CONSTRUTIVA",OFFSET(B251,-1,0)+1,OFFSET(B251,-1,0)))</f>
        <v/>
      </c>
      <c r="C251" s="343">
        <f>IF(G251="CÉLULA CONSTRUTIVA",0,IF(G251="ETAPA",OFFSET(C251,-1,0)+1,OFFSET(C251,-1,0)))</f>
        <v/>
      </c>
      <c r="D251" s="347">
        <f>IF(G251="ETAPA",0,IF(G251="SUBETAPA",OFFSET(D251,-1,0)+1,OFFSET(D251,-1,0)))</f>
        <v/>
      </c>
      <c r="E251" s="347">
        <f>IF(G251="Subetapa",0,IF(G251="serviço",OFFSET(E251,-1,0)+1,OFFSET(E251,-1,0)))</f>
        <v/>
      </c>
      <c r="G251" s="75" t="inlineStr">
        <is>
          <t>ETAPA</t>
        </is>
      </c>
      <c r="H251" s="352">
        <f>IF(G251="Unidade Construtiva",CONCATENATE("UC ",TEXT(A251,"00")),IF(G251="Célula Construtiva",TEXT(B251,"00"),IF(G251="Etapa",CONCATENATE(TEXT(B251,"00"),".",TEXT(C251,"000")),IF(G251="Subetapa",CONCATENATE(TEXT(B251,"00"),".",TEXT(C251,"000"),".",TEXT(D251,"000")),IF(G251="Serviço",CONCATENATE(TEXT(B251,"00"),".",TEXT(C251,"000"),".",TEXT(D251,"000"),".",TEXT(E251,"000")),"")))))</f>
        <v/>
      </c>
      <c r="I251" s="92" t="inlineStr">
        <is>
          <t>SISTEMAS DE PINTURA INTERNA</t>
        </is>
      </c>
      <c r="J251" s="77" t="n"/>
      <c r="K251" s="353" t="n"/>
      <c r="L251" s="87" t="n"/>
      <c r="M251" s="354">
        <f>M252</f>
        <v/>
      </c>
      <c r="N251" s="79">
        <f>M251/$M$298</f>
        <v/>
      </c>
      <c r="O251" s="87">
        <f>M251/OBRA!$D$12</f>
        <v/>
      </c>
      <c r="P251" s="355" t="n"/>
    </row>
    <row r="252" outlineLevel="2" ht="19.9" customFormat="1" customHeight="1" s="1">
      <c r="A252" s="343">
        <f>IF(G252="UNIDADE CONSTRUTIVA",OFFSET(A252,-1,0)+1,LARGE(A$4:A251,1))</f>
        <v/>
      </c>
      <c r="B252" s="343">
        <f>IF(G252="UNIDADE CONSTRUTIVA",0,IF(G252="CÉLULA CONSTRUTIVA",OFFSET(B252,-1,0)+1,OFFSET(B252,-1,0)))</f>
        <v/>
      </c>
      <c r="C252" s="343">
        <f>IF(G252="CÉLULA CONSTRUTIVA",0,IF(G252="ETAPA",OFFSET(C252,-1,0)+1,OFFSET(C252,-1,0)))</f>
        <v/>
      </c>
      <c r="D252" s="347">
        <f>IF(G252="ETAPA",0,IF(G252="SUBETAPA",OFFSET(D252,-1,0)+1,OFFSET(D252,-1,0)))</f>
        <v/>
      </c>
      <c r="E252" s="347">
        <f>IF(G252="Subetapa",0,IF(G252="serviço",OFFSET(E252,-1,0)+1,OFFSET(E252,-1,0)))</f>
        <v/>
      </c>
      <c r="G252" s="75" t="inlineStr">
        <is>
          <t>Subetapa</t>
        </is>
      </c>
      <c r="H252" s="352">
        <f>IF(G252="Unidade Construtiva",CONCATENATE("UC ",TEXT(A252,"00")),IF(G252="Célula Construtiva",TEXT(B252,"00"),IF(G252="Etapa",CONCATENATE(TEXT(B252,"00"),".",TEXT(C252,"000")),IF(G252="Subetapa",CONCATENATE(TEXT(B252,"00"),".",TEXT(C252,"000"),".",TEXT(D252,"000")),IF(G252="Serviço",CONCATENATE(TEXT(B252,"00"),".",TEXT(C252,"000"),".",TEXT(D252,"000"),".",TEXT(E252,"000")),"")))))</f>
        <v/>
      </c>
      <c r="I252" s="92" t="inlineStr">
        <is>
          <t>Pintura interna</t>
        </is>
      </c>
      <c r="J252" s="77" t="n"/>
      <c r="K252" s="353" t="n"/>
      <c r="L252" s="87" t="n"/>
      <c r="M252" s="354">
        <f>SUM(M253:M258)</f>
        <v/>
      </c>
      <c r="N252" s="79">
        <f>M252/$M$298</f>
        <v/>
      </c>
      <c r="O252" s="87">
        <f>M252/OBRA!$D$12</f>
        <v/>
      </c>
      <c r="P252" s="355" t="n"/>
    </row>
    <row r="253" outlineLevel="3" ht="19.9" customFormat="1" customHeight="1" s="1">
      <c r="A253" s="343">
        <f>IF(G253="UNIDADE CONSTRUTIVA",OFFSET(A253,-1,0)+1,LARGE(A$4:A252,1))</f>
        <v/>
      </c>
      <c r="B253" s="343">
        <f>IF(G253="UNIDADE CONSTRUTIVA",0,IF(G253="CÉLULA CONSTRUTIVA",OFFSET(B253,-1,0)+1,OFFSET(B253,-1,0)))</f>
        <v/>
      </c>
      <c r="C253" s="343">
        <f>IF(G253="CÉLULA CONSTRUTIVA",0,IF(G253="ETAPA",OFFSET(C253,-1,0)+1,OFFSET(C253,-1,0)))</f>
        <v/>
      </c>
      <c r="D253" s="347">
        <f>IF(G253="ETAPA",0,IF(G253="SUBETAPA",OFFSET(D253,-1,0)+1,OFFSET(D253,-1,0)))</f>
        <v/>
      </c>
      <c r="E253" s="347">
        <f>IF(G253="Subetapa",0,IF(G253="serviço",OFFSET(E253,-1,0)+1,OFFSET(E253,-1,0)))</f>
        <v/>
      </c>
      <c r="G253" s="75" t="inlineStr">
        <is>
          <t>Serviço</t>
        </is>
      </c>
      <c r="H253" s="352">
        <f>IF(G253="Unidade Construtiva",CONCATENATE("UC ",TEXT(A253,"00")),IF(G253="Célula Construtiva",TEXT(B253,"00"),IF(G253="Etapa",CONCATENATE(TEXT(B253,"00"),".",TEXT(C253,"000")),IF(G253="Subetapa",CONCATENATE(TEXT(B253,"00"),".",TEXT(C253,"000"),".",TEXT(D253,"000")),IF(G253="Serviço",CONCATENATE(TEXT(B253,"00"),".",TEXT(C253,"000"),".",TEXT(D253,"000"),".",TEXT(E253,"000")),"")))))</f>
        <v/>
      </c>
      <c r="I253" s="92" t="inlineStr">
        <is>
          <t>Pintura piso epoxi</t>
        </is>
      </c>
      <c r="J253" s="77" t="inlineStr">
        <is>
          <t>m2</t>
        </is>
      </c>
      <c r="K253" s="353" t="n">
        <v>248.544</v>
      </c>
      <c r="L253" s="353" t="n">
        <v>132</v>
      </c>
      <c r="M253" s="354" t="n">
        <v>32807.808</v>
      </c>
      <c r="N253" s="79">
        <f>M253/$M$298</f>
        <v/>
      </c>
      <c r="O253" s="87">
        <f>M253/OBRA!$D$12</f>
        <v/>
      </c>
      <c r="P253" s="355" t="inlineStr">
        <is>
          <t>Aplicação em piso de garagens (demarcação de faixas)</t>
        </is>
      </c>
    </row>
    <row r="254" outlineLevel="3" ht="19.9" customFormat="1" customHeight="1" s="1">
      <c r="A254" s="343">
        <f>IF(G254="UNIDADE CONSTRUTIVA",OFFSET(A254,-1,0)+1,LARGE(A$4:A253,1))</f>
        <v/>
      </c>
      <c r="B254" s="343">
        <f>IF(G254="UNIDADE CONSTRUTIVA",0,IF(G254="CÉLULA CONSTRUTIVA",OFFSET(B254,-1,0)+1,OFFSET(B254,-1,0)))</f>
        <v/>
      </c>
      <c r="C254" s="343">
        <f>IF(G254="CÉLULA CONSTRUTIVA",0,IF(G254="ETAPA",OFFSET(C254,-1,0)+1,OFFSET(C254,-1,0)))</f>
        <v/>
      </c>
      <c r="D254" s="347">
        <f>IF(G254="ETAPA",0,IF(G254="SUBETAPA",OFFSET(D254,-1,0)+1,OFFSET(D254,-1,0)))</f>
        <v/>
      </c>
      <c r="E254" s="347">
        <f>IF(G254="Subetapa",0,IF(G254="serviço",OFFSET(E254,-1,0)+1,OFFSET(E254,-1,0)))</f>
        <v/>
      </c>
      <c r="G254" s="75" t="inlineStr">
        <is>
          <t>Serviço</t>
        </is>
      </c>
      <c r="H254" s="352">
        <f>IF(G254="Unidade Construtiva",CONCATENATE("UC ",TEXT(A254,"00")),IF(G254="Célula Construtiva",TEXT(B254,"00"),IF(G254="Etapa",CONCATENATE(TEXT(B254,"00"),".",TEXT(C254,"000")),IF(G254="Subetapa",CONCATENATE(TEXT(B254,"00"),".",TEXT(C254,"000"),".",TEXT(D254,"000")),IF(G254="Serviço",CONCATENATE(TEXT(B254,"00"),".",TEXT(C254,"000"),".",TEXT(D254,"000"),".",TEXT(E254,"000")),"")))))</f>
        <v/>
      </c>
      <c r="I254" s="92" t="inlineStr">
        <is>
          <t>Pintura acrílica antiderrapante</t>
        </is>
      </c>
      <c r="J254" s="77" t="inlineStr">
        <is>
          <t>m2</t>
        </is>
      </c>
      <c r="K254" s="353" t="n">
        <v>500.9839999999999</v>
      </c>
      <c r="L254" s="87">
        <f>M254/K254</f>
        <v/>
      </c>
      <c r="M254" s="354" t="n">
        <v>35820.35599999999</v>
      </c>
      <c r="N254" s="79">
        <f>M254/$M$298</f>
        <v/>
      </c>
      <c r="O254" s="87">
        <f>M254/OBRA!$D$12</f>
        <v/>
      </c>
      <c r="P254" s="355" t="inlineStr">
        <is>
          <t>Aplicação em piso de escadas e áreas tecnicas</t>
        </is>
      </c>
    </row>
    <row r="255" outlineLevel="3" ht="19.9" customFormat="1" customHeight="1" s="1">
      <c r="A255" s="343">
        <f>IF(G255="UNIDADE CONSTRUTIVA",OFFSET(A255,-1,0)+1,LARGE(A$4:A253,1))</f>
        <v/>
      </c>
      <c r="B255" s="343">
        <f>IF(G255="UNIDADE CONSTRUTIVA",0,IF(G255="CÉLULA CONSTRUTIVA",OFFSET(B255,-1,0)+1,OFFSET(B255,-1,0)))</f>
        <v/>
      </c>
      <c r="C255" s="343">
        <f>IF(G255="CÉLULA CONSTRUTIVA",0,IF(G255="ETAPA",OFFSET(C255,-1,0)+1,OFFSET(C255,-1,0)))</f>
        <v/>
      </c>
      <c r="D255" s="347">
        <f>IF(G255="ETAPA",0,IF(G255="SUBETAPA",OFFSET(D255,-1,0)+1,OFFSET(D255,-1,0)))</f>
        <v/>
      </c>
      <c r="E255" s="347">
        <f>IF(G255="Subetapa",0,IF(G255="serviço",OFFSET(E255,-1,0)+1,OFFSET(E255,-1,0)))</f>
        <v/>
      </c>
      <c r="G255" s="75" t="inlineStr">
        <is>
          <t>Serviço</t>
        </is>
      </c>
      <c r="H255" s="352">
        <f>IF(G255="Unidade Construtiva",CONCATENATE("UC ",TEXT(A255,"00")),IF(G255="Célula Construtiva",TEXT(B255,"00"),IF(G255="Etapa",CONCATENATE(TEXT(B255,"00"),".",TEXT(C255,"000")),IF(G255="Subetapa",CONCATENATE(TEXT(B255,"00"),".",TEXT(C255,"000"),".",TEXT(D255,"000")),IF(G255="Serviço",CONCATENATE(TEXT(B255,"00"),".",TEXT(C255,"000"),".",TEXT(D255,"000"),".",TEXT(E255,"000")),"")))))</f>
        <v/>
      </c>
      <c r="I255" s="92" t="inlineStr">
        <is>
          <t xml:space="preserve">Textura escadas </t>
        </is>
      </c>
      <c r="J255" s="77" t="inlineStr">
        <is>
          <t>m2</t>
        </is>
      </c>
      <c r="K255" s="353" t="n">
        <v>9520.341000000002</v>
      </c>
      <c r="L255" s="87">
        <f>M255/K255</f>
        <v/>
      </c>
      <c r="M255" s="354" t="n">
        <v>365993.8011823501</v>
      </c>
      <c r="N255" s="79">
        <f>M255/$M$298</f>
        <v/>
      </c>
      <c r="O255" s="87">
        <f>M255/OBRA!$D$12</f>
        <v/>
      </c>
      <c r="P255" s="355" t="inlineStr">
        <is>
          <t>Aplicação em regiões que recebm estucamento</t>
        </is>
      </c>
    </row>
    <row r="256" outlineLevel="3" ht="19.9" customFormat="1" customHeight="1" s="1">
      <c r="A256" s="343">
        <f>IF(G256="UNIDADE CONSTRUTIVA",OFFSET(A256,-1,0)+1,LARGE(A$4:A253,1))</f>
        <v/>
      </c>
      <c r="B256" s="343">
        <f>IF(G256="UNIDADE CONSTRUTIVA",0,IF(G256="CÉLULA CONSTRUTIVA",OFFSET(B256,-1,0)+1,OFFSET(B256,-1,0)))</f>
        <v/>
      </c>
      <c r="C256" s="343">
        <f>IF(G256="CÉLULA CONSTRUTIVA",0,IF(G256="ETAPA",OFFSET(C256,-1,0)+1,OFFSET(C256,-1,0)))</f>
        <v/>
      </c>
      <c r="D256" s="347">
        <f>IF(G256="ETAPA",0,IF(G256="SUBETAPA",OFFSET(D256,-1,0)+1,OFFSET(D256,-1,0)))</f>
        <v/>
      </c>
      <c r="E256" s="347">
        <f>IF(G256="Subetapa",0,IF(G256="serviço",OFFSET(E256,-1,0)+1,OFFSET(E256,-1,0)))</f>
        <v/>
      </c>
      <c r="G256" s="75" t="inlineStr">
        <is>
          <t>Serviço</t>
        </is>
      </c>
      <c r="H256" s="352">
        <f>IF(G256="Unidade Construtiva",CONCATENATE("UC ",TEXT(A256,"00")),IF(G256="Célula Construtiva",TEXT(B256,"00"),IF(G256="Etapa",CONCATENATE(TEXT(B256,"00"),".",TEXT(C256,"000")),IF(G256="Subetapa",CONCATENATE(TEXT(B256,"00"),".",TEXT(C256,"000"),".",TEXT(D256,"000")),IF(G256="Serviço",CONCATENATE(TEXT(B256,"00"),".",TEXT(C256,"000"),".",TEXT(D256,"000"),".",TEXT(E256,"000")),"")))))</f>
        <v/>
      </c>
      <c r="I256" s="92" t="inlineStr">
        <is>
          <t>Textura Teto</t>
        </is>
      </c>
      <c r="J256" s="77" t="inlineStr">
        <is>
          <t>m2</t>
        </is>
      </c>
      <c r="K256" s="353" t="n">
        <v>3110.625999999999</v>
      </c>
      <c r="L256" s="87">
        <f>M256/K256</f>
        <v/>
      </c>
      <c r="M256" s="354" t="n">
        <v>119582.8840371</v>
      </c>
      <c r="N256" s="79">
        <f>M256/$M$298</f>
        <v/>
      </c>
      <c r="O256" s="87">
        <f>M256/OBRA!$D$12</f>
        <v/>
      </c>
      <c r="P256" s="355" t="inlineStr">
        <is>
          <t>Aplicação em regiões que recebm estucamento</t>
        </is>
      </c>
    </row>
    <row r="257" outlineLevel="3" ht="19.9" customFormat="1" customHeight="1" s="1">
      <c r="A257" s="343">
        <f>IF(G257="UNIDADE CONSTRUTIVA",OFFSET(A257,-1,0)+1,LARGE(A$4:A254,1))</f>
        <v/>
      </c>
      <c r="B257" s="343">
        <f>IF(G257="UNIDADE CONSTRUTIVA",0,IF(G257="CÉLULA CONSTRUTIVA",OFFSET(B257,-1,0)+1,OFFSET(B257,-1,0)))</f>
        <v/>
      </c>
      <c r="C257" s="343">
        <f>IF(G257="CÉLULA CONSTRUTIVA",0,IF(G257="ETAPA",OFFSET(C257,-1,0)+1,OFFSET(C257,-1,0)))</f>
        <v/>
      </c>
      <c r="D257" s="347">
        <f>IF(G257="ETAPA",0,IF(G257="SUBETAPA",OFFSET(D257,-1,0)+1,OFFSET(D257,-1,0)))</f>
        <v/>
      </c>
      <c r="E257" s="347">
        <f>IF(G257="Subetapa",0,IF(G257="serviço",OFFSET(E257,-1,0)+1,OFFSET(E257,-1,0)))</f>
        <v/>
      </c>
      <c r="G257" s="75" t="inlineStr">
        <is>
          <t>Serviço</t>
        </is>
      </c>
      <c r="H257" s="352">
        <f>IF(G257="Unidade Construtiva",CONCATENATE("UC ",TEXT(A257,"00")),IF(G257="Célula Construtiva",TEXT(B257,"00"),IF(G257="Etapa",CONCATENATE(TEXT(B257,"00"),".",TEXT(C257,"000")),IF(G257="Subetapa",CONCATENATE(TEXT(B257,"00"),".",TEXT(C257,"000"),".",TEXT(D257,"000")),IF(G257="Serviço",CONCATENATE(TEXT(B257,"00"),".",TEXT(C257,"000"),".",TEXT(D257,"000"),".",TEXT(E257,"000")),"")))))</f>
        <v/>
      </c>
      <c r="I257" s="92" t="inlineStr">
        <is>
          <t>Pintura Interna Tetos</t>
        </is>
      </c>
      <c r="J257" s="77" t="inlineStr">
        <is>
          <t>m2</t>
        </is>
      </c>
      <c r="K257" s="353" t="n">
        <v>7600.919999999998</v>
      </c>
      <c r="L257" s="87">
        <f>M257/K257</f>
        <v/>
      </c>
      <c r="M257" s="354" t="n">
        <v>417209.4821928</v>
      </c>
      <c r="N257" s="79">
        <f>M257/$M$298</f>
        <v/>
      </c>
      <c r="O257" s="87">
        <f>M257/OBRA!$D$12</f>
        <v/>
      </c>
      <c r="P257" s="355" t="inlineStr">
        <is>
          <t>Consideração de selador, massa PVA e tinta acrílica (3 demãos)</t>
        </is>
      </c>
    </row>
    <row r="258" outlineLevel="3" ht="19.9" customFormat="1" customHeight="1" s="1">
      <c r="A258" s="343">
        <f>IF(G258="UNIDADE CONSTRUTIVA",OFFSET(A258,-1,0)+1,LARGE(A$4:A257,1))</f>
        <v/>
      </c>
      <c r="B258" s="343">
        <f>IF(G258="UNIDADE CONSTRUTIVA",0,IF(G258="CÉLULA CONSTRUTIVA",OFFSET(B258,-1,0)+1,OFFSET(B258,-1,0)))</f>
        <v/>
      </c>
      <c r="C258" s="343">
        <f>IF(G258="CÉLULA CONSTRUTIVA",0,IF(G258="ETAPA",OFFSET(C258,-1,0)+1,OFFSET(C258,-1,0)))</f>
        <v/>
      </c>
      <c r="D258" s="347">
        <f>IF(G258="ETAPA",0,IF(G258="SUBETAPA",OFFSET(D258,-1,0)+1,OFFSET(D258,-1,0)))</f>
        <v/>
      </c>
      <c r="E258" s="347">
        <f>IF(G258="Subetapa",0,IF(G258="serviço",OFFSET(E258,-1,0)+1,OFFSET(E258,-1,0)))</f>
        <v/>
      </c>
      <c r="G258" s="75" t="inlineStr">
        <is>
          <t>Serviço</t>
        </is>
      </c>
      <c r="H258" s="352">
        <f>IF(G258="Unidade Construtiva",CONCATENATE("UC ",TEXT(A258,"00")),IF(G258="Célula Construtiva",TEXT(B258,"00"),IF(G258="Etapa",CONCATENATE(TEXT(B258,"00"),".",TEXT(C258,"000")),IF(G258="Subetapa",CONCATENATE(TEXT(B258,"00"),".",TEXT(C258,"000"),".",TEXT(D258,"000")),IF(G258="Serviço",CONCATENATE(TEXT(B258,"00"),".",TEXT(C258,"000"),".",TEXT(D258,"000"),".",TEXT(E258,"000")),"")))))</f>
        <v/>
      </c>
      <c r="I258" s="92" t="inlineStr">
        <is>
          <t>Pintura Interna</t>
        </is>
      </c>
      <c r="J258" s="77" t="inlineStr">
        <is>
          <t>vb</t>
        </is>
      </c>
      <c r="K258" s="353" t="n">
        <v>22214.129</v>
      </c>
      <c r="L258" s="87">
        <f>M258/K258</f>
        <v/>
      </c>
      <c r="M258" s="357" t="n">
        <v>1219318.87948486</v>
      </c>
      <c r="N258" s="79">
        <f>M258/$M$298</f>
        <v/>
      </c>
      <c r="O258" s="87">
        <f>M258/OBRA!$D$12</f>
        <v/>
      </c>
      <c r="P258" s="355" t="inlineStr">
        <is>
          <t>Consideração de selador, massa PVA e tinta acrílica (3 demãos)</t>
        </is>
      </c>
    </row>
    <row r="259" outlineLevel="1" ht="19.9" customFormat="1" customHeight="1" s="1">
      <c r="A259" s="343">
        <f>IF(G259="UNIDADE CONSTRUTIVA",OFFSET(A259,-1,0)+1,LARGE(A$4:A257,1))</f>
        <v/>
      </c>
      <c r="B259" s="343">
        <f>IF(G259="UNIDADE CONSTRUTIVA",0,IF(G259="CÉLULA CONSTRUTIVA",OFFSET(B259,-1,0)+1,OFFSET(B259,-1,0)))</f>
        <v/>
      </c>
      <c r="C259" s="343">
        <f>IF(G259="CÉLULA CONSTRUTIVA",0,IF(G259="ETAPA",OFFSET(C259,-1,0)+1,OFFSET(C259,-1,0)))</f>
        <v/>
      </c>
      <c r="D259" s="347">
        <f>IF(G259="ETAPA",0,IF(G259="SUBETAPA",OFFSET(D259,-1,0)+1,OFFSET(D259,-1,0)))</f>
        <v/>
      </c>
      <c r="E259" s="347">
        <f>IF(G259="Subetapa",0,IF(G259="serviço",OFFSET(E259,-1,0)+1,OFFSET(E259,-1,0)))</f>
        <v/>
      </c>
      <c r="G259" s="75" t="inlineStr">
        <is>
          <t>CÉLULA CONSTRUTIVA</t>
        </is>
      </c>
      <c r="H259" s="352">
        <f>IF(G259="Unidade Construtiva",CONCATENATE("UC ",TEXT(A259,"00")),IF(G259="Célula Construtiva",TEXT(B259,"00"),IF(G259="Etapa",CONCATENATE(TEXT(B259,"00"),".",TEXT(C259,"000")),IF(G259="Subetapa",CONCATENATE(TEXT(B259,"00"),".",TEXT(C259,"000"),".",TEXT(D259,"000")),IF(G259="Serviço",CONCATENATE(TEXT(B259,"00"),".",TEXT(C259,"000"),".",TEXT(D259,"000"),".",TEXT(E259,"000")),"")))))</f>
        <v/>
      </c>
      <c r="I259" s="92" t="inlineStr">
        <is>
          <t>ESQUADRIAS, VIDROS E FERRAGENS</t>
        </is>
      </c>
      <c r="J259" s="77" t="n"/>
      <c r="K259" s="353" t="n"/>
      <c r="L259" s="87" t="n"/>
      <c r="M259" s="354">
        <f>M260</f>
        <v/>
      </c>
      <c r="N259" s="79">
        <f>M259/$M$298</f>
        <v/>
      </c>
      <c r="O259" s="87">
        <f>M259/OBRA!$D$12</f>
        <v/>
      </c>
      <c r="P259" s="355" t="n"/>
    </row>
    <row r="260" outlineLevel="2" ht="19.9" customFormat="1" customHeight="1" s="1">
      <c r="A260" s="343">
        <f>IF(G260="UNIDADE CONSTRUTIVA",OFFSET(A260,-1,0)+1,LARGE(A$4:A259,1))</f>
        <v/>
      </c>
      <c r="B260" s="343">
        <f>IF(G260="UNIDADE CONSTRUTIVA",0,IF(G260="CÉLULA CONSTRUTIVA",OFFSET(B260,-1,0)+1,OFFSET(B260,-1,0)))</f>
        <v/>
      </c>
      <c r="C260" s="343">
        <f>IF(G260="CÉLULA CONSTRUTIVA",0,IF(G260="ETAPA",OFFSET(C260,-1,0)+1,OFFSET(C260,-1,0)))</f>
        <v/>
      </c>
      <c r="D260" s="347">
        <f>IF(G260="ETAPA",0,IF(G260="SUBETAPA",OFFSET(D260,-1,0)+1,OFFSET(D260,-1,0)))</f>
        <v/>
      </c>
      <c r="E260" s="347">
        <f>IF(G260="Subetapa",0,IF(G260="serviço",OFFSET(E260,-1,0)+1,OFFSET(E260,-1,0)))</f>
        <v/>
      </c>
      <c r="G260" s="75" t="inlineStr">
        <is>
          <t>ETAPA</t>
        </is>
      </c>
      <c r="H260" s="352">
        <f>IF(G260="Unidade Construtiva",CONCATENATE("UC ",TEXT(A260,"00")),IF(G260="Célula Construtiva",TEXT(B260,"00"),IF(G260="Etapa",CONCATENATE(TEXT(B260,"00"),".",TEXT(C260,"000")),IF(G260="Subetapa",CONCATENATE(TEXT(B260,"00"),".",TEXT(C260,"000"),".",TEXT(D260,"000")),IF(G260="Serviço",CONCATENATE(TEXT(B260,"00"),".",TEXT(C260,"000"),".",TEXT(D260,"000"),".",TEXT(E260,"000")),"")))))</f>
        <v/>
      </c>
      <c r="I260" s="92" t="inlineStr">
        <is>
          <t>ESQUADRIAS, VIDROS E FERRAGENS</t>
        </is>
      </c>
      <c r="J260" s="77" t="inlineStr">
        <is>
          <t>m²</t>
        </is>
      </c>
      <c r="K260" s="353" t="n">
        <v>1593.03</v>
      </c>
      <c r="L260" s="87" t="n">
        <v>340.05</v>
      </c>
      <c r="M260" s="354">
        <f>K260*L260</f>
        <v/>
      </c>
      <c r="N260" s="79">
        <f>M260/$M$298</f>
        <v/>
      </c>
      <c r="O260" s="87">
        <f>M260/OBRA!$D$12</f>
        <v/>
      </c>
      <c r="P260" s="355" t="n"/>
    </row>
    <row r="261" outlineLevel="2" ht="19.9" customFormat="1" customHeight="1" s="1">
      <c r="A261" s="343">
        <f>IF(G261="UNIDADE CONSTRUTIVA",OFFSET(A261,-1,0)+1,LARGE(A$4:A260,1))</f>
        <v/>
      </c>
      <c r="B261" s="343">
        <f>IF(G261="UNIDADE CONSTRUTIVA",0,IF(G261="CÉLULA CONSTRUTIVA",OFFSET(B261,-1,0)+1,OFFSET(B261,-1,0)))</f>
        <v/>
      </c>
      <c r="C261" s="343">
        <f>IF(G261="CÉLULA CONSTRUTIVA",0,IF(G261="ETAPA",OFFSET(C261,-1,0)+1,OFFSET(C261,-1,0)))</f>
        <v/>
      </c>
      <c r="D261" s="347">
        <f>IF(G261="ETAPA",0,IF(G261="SUBETAPA",OFFSET(D261,-1,0)+1,OFFSET(D261,-1,0)))</f>
        <v/>
      </c>
      <c r="E261" s="347">
        <f>IF(G261="Subetapa",0,IF(G261="serviço",OFFSET(E261,-1,0)+1,OFFSET(E261,-1,0)))</f>
        <v/>
      </c>
      <c r="G261" s="75" t="inlineStr">
        <is>
          <t>Subetapa</t>
        </is>
      </c>
      <c r="H261" s="352">
        <f>IF(G261="Unidade Construtiva",CONCATENATE("UC ",TEXT(A261,"00")),IF(G261="Célula Construtiva",TEXT(B261,"00"),IF(G261="Etapa",CONCATENATE(TEXT(B261,"00"),".",TEXT(C261,"000")),IF(G261="Subetapa",CONCATENATE(TEXT(B261,"00"),".",TEXT(C261,"000"),".",TEXT(D261,"000")),IF(G261="Serviço",CONCATENATE(TEXT(B261,"00"),".",TEXT(C261,"000"),".",TEXT(D261,"000"),".",TEXT(E261,"000")),"")))))</f>
        <v/>
      </c>
      <c r="I261" s="92" t="inlineStr">
        <is>
          <t>Alumínio</t>
        </is>
      </c>
      <c r="J261" s="77" t="n"/>
      <c r="K261" s="353" t="n"/>
      <c r="L261" s="87" t="n"/>
      <c r="M261" s="354">
        <f>SUM(M262:M267)</f>
        <v/>
      </c>
      <c r="N261" s="79">
        <f>M261/$M$298</f>
        <v/>
      </c>
      <c r="O261" s="87">
        <f>M261/OBRA!$D$12</f>
        <v/>
      </c>
      <c r="P261" s="355" t="n"/>
    </row>
    <row r="262" outlineLevel="3" ht="19.9" customFormat="1" customHeight="1" s="1">
      <c r="A262" s="343">
        <f>IF(G262="UNIDADE CONSTRUTIVA",OFFSET(A262,-1,0)+1,LARGE(A$4:A261,1))</f>
        <v/>
      </c>
      <c r="B262" s="343">
        <f>IF(G262="UNIDADE CONSTRUTIVA",0,IF(G262="CÉLULA CONSTRUTIVA",OFFSET(B262,-1,0)+1,OFFSET(B262,-1,0)))</f>
        <v/>
      </c>
      <c r="C262" s="343">
        <f>IF(G262="CÉLULA CONSTRUTIVA",0,IF(G262="ETAPA",OFFSET(C262,-1,0)+1,OFFSET(C262,-1,0)))</f>
        <v/>
      </c>
      <c r="D262" s="347">
        <f>IF(G262="ETAPA",0,IF(G262="SUBETAPA",OFFSET(D262,-1,0)+1,OFFSET(D262,-1,0)))</f>
        <v/>
      </c>
      <c r="E262" s="347">
        <f>IF(G262="Subetapa",0,IF(G262="serviço",OFFSET(E262,-1,0)+1,OFFSET(E262,-1,0)))</f>
        <v/>
      </c>
      <c r="G262" s="75" t="inlineStr">
        <is>
          <t>Serviço</t>
        </is>
      </c>
      <c r="H262" s="352">
        <f>IF(G262="Unidade Construtiva",CONCATENATE("UC ",TEXT(A262,"00")),IF(G262="Célula Construtiva",TEXT(B262,"00"),IF(G262="Etapa",CONCATENATE(TEXT(B262,"00"),".",TEXT(C262,"000")),IF(G262="Subetapa",CONCATENATE(TEXT(B262,"00"),".",TEXT(C262,"000"),".",TEXT(D262,"000")),IF(G262="Serviço",CONCATENATE(TEXT(B262,"00"),".",TEXT(C262,"000"),".",TEXT(D262,"000"),".",TEXT(E262,"000")),"")))))</f>
        <v/>
      </c>
      <c r="I262" s="92" t="inlineStr">
        <is>
          <t>Esquadria em alumínio - Fornecimento e Instalação*</t>
        </is>
      </c>
      <c r="J262" s="77" t="inlineStr">
        <is>
          <t>m²</t>
        </is>
      </c>
      <c r="K262" s="353" t="n">
        <v>1991.29</v>
      </c>
      <c r="L262" s="87" t="n">
        <v>2176.35</v>
      </c>
      <c r="M262" s="354">
        <f>K262*L262</f>
        <v/>
      </c>
      <c r="N262" s="79">
        <f>M262/$M$298</f>
        <v/>
      </c>
      <c r="O262" s="87">
        <f>M262/OBRA!$D$12</f>
        <v/>
      </c>
      <c r="P262" s="355" t="inlineStr">
        <is>
          <t>Padrão gold 32mm - esquadrias grandes</t>
        </is>
      </c>
    </row>
    <row r="263" outlineLevel="3" ht="19.9" customFormat="1" customHeight="1" s="1">
      <c r="A263" s="343">
        <f>IF(G263="UNIDADE CONSTRUTIVA",OFFSET(A263,-1,0)+1,LARGE(A$4:A262,1))</f>
        <v/>
      </c>
      <c r="B263" s="343">
        <f>IF(G263="UNIDADE CONSTRUTIVA",0,IF(G263="CÉLULA CONSTRUTIVA",OFFSET(B263,-1,0)+1,OFFSET(B263,-1,0)))</f>
        <v/>
      </c>
      <c r="C263" s="343">
        <f>IF(G263="CÉLULA CONSTRUTIVA",0,IF(G263="ETAPA",OFFSET(C263,-1,0)+1,OFFSET(C263,-1,0)))</f>
        <v/>
      </c>
      <c r="D263" s="347">
        <f>IF(G263="ETAPA",0,IF(G263="SUBETAPA",OFFSET(D263,-1,0)+1,OFFSET(D263,-1,0)))</f>
        <v/>
      </c>
      <c r="E263" s="347">
        <f>IF(G263="Subetapa",0,IF(G263="serviço",OFFSET(E263,-1,0)+1,OFFSET(E263,-1,0)))</f>
        <v/>
      </c>
      <c r="G263" s="75" t="inlineStr">
        <is>
          <t>Serviço</t>
        </is>
      </c>
      <c r="H263" s="352">
        <f>IF(G263="Unidade Construtiva",CONCATENATE("UC ",TEXT(A263,"00")),IF(G263="Célula Construtiva",TEXT(B263,"00"),IF(G263="Etapa",CONCATENATE(TEXT(B263,"00"),".",TEXT(C263,"000")),IF(G263="Subetapa",CONCATENATE(TEXT(B263,"00"),".",TEXT(C263,"000"),".",TEXT(D263,"000")),IF(G263="Serviço",CONCATENATE(TEXT(B263,"00"),".",TEXT(C263,"000"),".",TEXT(D263,"000"),".",TEXT(E263,"000")),"")))))</f>
        <v/>
      </c>
      <c r="I263" s="92" t="inlineStr">
        <is>
          <t>Pele de vidro</t>
        </is>
      </c>
      <c r="J263" s="77" t="inlineStr">
        <is>
          <t>m2</t>
        </is>
      </c>
      <c r="K263" s="353" t="n">
        <v>254.69</v>
      </c>
      <c r="L263" s="87">
        <f>M263/K263</f>
        <v/>
      </c>
      <c r="M263" s="354" t="n">
        <v>266151.05</v>
      </c>
      <c r="N263" s="79">
        <f>M263/$M$298</f>
        <v/>
      </c>
      <c r="O263" s="87">
        <f>M263/OBRA!$D$12</f>
        <v/>
      </c>
      <c r="P263" s="355" t="inlineStr">
        <is>
          <t>Salas comerciais e lazer</t>
        </is>
      </c>
    </row>
    <row r="264" outlineLevel="3" ht="19.9" customFormat="1" customHeight="1" s="1">
      <c r="A264" s="343">
        <f>IF(G264="UNIDADE CONSTRUTIVA",OFFSET(A264,-1,0)+1,LARGE(A$4:A263,1))</f>
        <v/>
      </c>
      <c r="B264" s="343">
        <f>IF(G264="UNIDADE CONSTRUTIVA",0,IF(G264="CÉLULA CONSTRUTIVA",OFFSET(B264,-1,0)+1,OFFSET(B264,-1,0)))</f>
        <v/>
      </c>
      <c r="C264" s="343">
        <f>IF(G264="CÉLULA CONSTRUTIVA",0,IF(G264="ETAPA",OFFSET(C264,-1,0)+1,OFFSET(C264,-1,0)))</f>
        <v/>
      </c>
      <c r="D264" s="347">
        <f>IF(G264="ETAPA",0,IF(G264="SUBETAPA",OFFSET(D264,-1,0)+1,OFFSET(D264,-1,0)))</f>
        <v/>
      </c>
      <c r="E264" s="347">
        <f>IF(G264="Subetapa",0,IF(G264="serviço",OFFSET(E264,-1,0)+1,OFFSET(E264,-1,0)))</f>
        <v/>
      </c>
      <c r="G264" s="75" t="inlineStr">
        <is>
          <t>Serviço</t>
        </is>
      </c>
      <c r="H264" s="352">
        <f>IF(G264="Unidade Construtiva",CONCATENATE("UC ",TEXT(A264,"00")),IF(G264="Célula Construtiva",TEXT(B264,"00"),IF(G264="Etapa",CONCATENATE(TEXT(B264,"00"),".",TEXT(C264,"000")),IF(G264="Subetapa",CONCATENATE(TEXT(B264,"00"),".",TEXT(C264,"000"),".",TEXT(D264,"000")),IF(G264="Serviço",CONCATENATE(TEXT(B264,"00"),".",TEXT(C264,"000"),".",TEXT(D264,"000"),".",TEXT(E264,"000")),"")))))</f>
        <v/>
      </c>
      <c r="I264" s="92" t="inlineStr">
        <is>
          <t>Brise de fachada</t>
        </is>
      </c>
      <c r="J264" s="77" t="inlineStr">
        <is>
          <t>m²</t>
        </is>
      </c>
      <c r="K264" s="353" t="n">
        <v>5310.12</v>
      </c>
      <c r="L264" s="87" t="n">
        <v>489.42</v>
      </c>
      <c r="M264" s="354">
        <f>K264*L264</f>
        <v/>
      </c>
      <c r="N264" s="79">
        <f>M264/$M$298</f>
        <v/>
      </c>
      <c r="O264" s="87">
        <f>M264/OBRA!$D$12</f>
        <v/>
      </c>
      <c r="P264" s="355" t="inlineStr">
        <is>
          <t>Aluminio amadeirado</t>
        </is>
      </c>
    </row>
    <row r="265" outlineLevel="3" ht="19.9" customFormat="1" customHeight="1" s="1">
      <c r="A265" s="343">
        <f>IF(G265="UNIDADE CONSTRUTIVA",OFFSET(A265,-1,0)+1,LARGE(A$4:A264,1))</f>
        <v/>
      </c>
      <c r="B265" s="343">
        <f>IF(G265="UNIDADE CONSTRUTIVA",0,IF(G265="CÉLULA CONSTRUTIVA",OFFSET(B265,-1,0)+1,OFFSET(B265,-1,0)))</f>
        <v/>
      </c>
      <c r="C265" s="343">
        <f>IF(G265="CÉLULA CONSTRUTIVA",0,IF(G265="ETAPA",OFFSET(C265,-1,0)+1,OFFSET(C265,-1,0)))</f>
        <v/>
      </c>
      <c r="D265" s="347">
        <f>IF(G265="ETAPA",0,IF(G265="SUBETAPA",OFFSET(D265,-1,0)+1,OFFSET(D265,-1,0)))</f>
        <v/>
      </c>
      <c r="E265" s="347">
        <f>IF(G265="Subetapa",0,IF(G265="serviço",OFFSET(E265,-1,0)+1,OFFSET(E265,-1,0)))</f>
        <v/>
      </c>
      <c r="G265" s="75" t="inlineStr">
        <is>
          <t>Serviço</t>
        </is>
      </c>
      <c r="H265" s="352">
        <f>IF(G265="Unidade Construtiva",CONCATENATE("UC ",TEXT(A265,"00")),IF(G265="Célula Construtiva",TEXT(B265,"00"),IF(G265="Etapa",CONCATENATE(TEXT(B265,"00"),".",TEXT(C265,"000")),IF(G265="Subetapa",CONCATENATE(TEXT(B265,"00"),".",TEXT(C265,"000"),".",TEXT(D265,"000")),IF(G265="Serviço",CONCATENATE(TEXT(B265,"00"),".",TEXT(C265,"000"),".",TEXT(D265,"000"),".",TEXT(E265,"000")),"")))))</f>
        <v/>
      </c>
      <c r="I265" s="92" t="inlineStr">
        <is>
          <t>Portão de alumínio</t>
        </is>
      </c>
      <c r="J265" s="77" t="inlineStr">
        <is>
          <t>un</t>
        </is>
      </c>
      <c r="K265" s="353" t="n">
        <v>2</v>
      </c>
      <c r="L265" s="87" t="n">
        <v>270859.06</v>
      </c>
      <c r="M265" s="354">
        <f>K265*L265</f>
        <v/>
      </c>
      <c r="N265" s="79">
        <f>M265/$M$298</f>
        <v/>
      </c>
      <c r="O265" s="87">
        <f>M265/OBRA!$D$12</f>
        <v/>
      </c>
      <c r="P265" s="355" t="inlineStr">
        <is>
          <t>Acesso de veiculos</t>
        </is>
      </c>
    </row>
    <row r="266" outlineLevel="3" ht="19.9" customFormat="1" customHeight="1" s="1">
      <c r="A266" s="343">
        <f>IF(G266="UNIDADE CONSTRUTIVA",OFFSET(A266,-1,0)+1,LARGE(A$4:A265,1))</f>
        <v/>
      </c>
      <c r="B266" s="343">
        <f>IF(G266="UNIDADE CONSTRUTIVA",0,IF(G266="CÉLULA CONSTRUTIVA",OFFSET(B266,-1,0)+1,OFFSET(B266,-1,0)))</f>
        <v/>
      </c>
      <c r="C266" s="343">
        <f>IF(G266="CÉLULA CONSTRUTIVA",0,IF(G266="ETAPA",OFFSET(C266,-1,0)+1,OFFSET(C266,-1,0)))</f>
        <v/>
      </c>
      <c r="D266" s="347">
        <f>IF(G266="ETAPA",0,IF(G266="SUBETAPA",OFFSET(D266,-1,0)+1,OFFSET(D266,-1,0)))</f>
        <v/>
      </c>
      <c r="E266" s="347">
        <f>IF(G266="Subetapa",0,IF(G266="serviço",OFFSET(E266,-1,0)+1,OFFSET(E266,-1,0)))</f>
        <v/>
      </c>
      <c r="G266" s="75" t="inlineStr">
        <is>
          <t>Serviço</t>
        </is>
      </c>
      <c r="H266" s="352">
        <f>IF(G266="Unidade Construtiva",CONCATENATE("UC ",TEXT(A266,"00")),IF(G266="Célula Construtiva",TEXT(B266,"00"),IF(G266="Etapa",CONCATENATE(TEXT(B266,"00"),".",TEXT(C266,"000")),IF(G266="Subetapa",CONCATENATE(TEXT(B266,"00"),".",TEXT(C266,"000"),".",TEXT(D266,"000")),IF(G266="Serviço",CONCATENATE(TEXT(B266,"00"),".",TEXT(C266,"000"),".",TEXT(D266,"000"),".",TEXT(E266,"000")),"")))))</f>
        <v/>
      </c>
      <c r="I266" s="92" t="inlineStr">
        <is>
          <t>Guarda-corpo - vidro</t>
        </is>
      </c>
      <c r="J266" s="77" t="inlineStr">
        <is>
          <t>m²</t>
        </is>
      </c>
      <c r="K266" s="353" t="n">
        <v>454.5664</v>
      </c>
      <c r="L266" s="87">
        <f>M266/K266</f>
        <v/>
      </c>
      <c r="M266" s="354" t="n">
        <v>1050048.384</v>
      </c>
      <c r="N266" s="79">
        <f>M266/$M$298</f>
        <v/>
      </c>
      <c r="O266" s="87">
        <f>M266/OBRA!$D$12</f>
        <v/>
      </c>
      <c r="P266" s="355" t="n"/>
    </row>
    <row r="267" outlineLevel="3" ht="19.9" customFormat="1" customHeight="1" s="1">
      <c r="A267" s="343">
        <f>IF(G267="UNIDADE CONSTRUTIVA",OFFSET(A267,-1,0)+1,LARGE(A$4:A266,1))</f>
        <v/>
      </c>
      <c r="B267" s="343">
        <f>IF(G267="UNIDADE CONSTRUTIVA",0,IF(G267="CÉLULA CONSTRUTIVA",OFFSET(B267,-1,0)+1,OFFSET(B267,-1,0)))</f>
        <v/>
      </c>
      <c r="C267" s="343">
        <f>IF(G267="CÉLULA CONSTRUTIVA",0,IF(G267="ETAPA",OFFSET(C267,-1,0)+1,OFFSET(C267,-1,0)))</f>
        <v/>
      </c>
      <c r="D267" s="347">
        <f>IF(G267="ETAPA",0,IF(G267="SUBETAPA",OFFSET(D267,-1,0)+1,OFFSET(D267,-1,0)))</f>
        <v/>
      </c>
      <c r="E267" s="347">
        <f>IF(G267="Subetapa",0,IF(G267="serviço",OFFSET(E267,-1,0)+1,OFFSET(E267,-1,0)))</f>
        <v/>
      </c>
      <c r="G267" s="75" t="inlineStr">
        <is>
          <t>Serviço</t>
        </is>
      </c>
      <c r="H267" s="352">
        <f>IF(G267="Unidade Construtiva",CONCATENATE("UC ",TEXT(A267,"00")),IF(G267="Célula Construtiva",TEXT(B267,"00"),IF(G267="Etapa",CONCATENATE(TEXT(B267,"00"),".",TEXT(C267,"000")),IF(G267="Subetapa",CONCATENATE(TEXT(B267,"00"),".",TEXT(C267,"000"),".",TEXT(D267,"000")),IF(G267="Serviço",CONCATENATE(TEXT(B267,"00"),".",TEXT(C267,"000"),".",TEXT(D267,"000"),".",TEXT(E267,"000")),"")))))</f>
        <v/>
      </c>
      <c r="I267" s="92" t="inlineStr">
        <is>
          <t>Gradil area tecnica</t>
        </is>
      </c>
      <c r="J267" s="77" t="inlineStr">
        <is>
          <t>un</t>
        </is>
      </c>
      <c r="K267" s="353" t="n">
        <v>497.4143999999999</v>
      </c>
      <c r="L267" s="87">
        <f>M267/K267</f>
        <v/>
      </c>
      <c r="M267" s="354" t="n">
        <v>333765.0624</v>
      </c>
      <c r="N267" s="79">
        <f>M267/$M$298</f>
        <v/>
      </c>
      <c r="O267" s="87">
        <f>M267/OBRA!$D$12</f>
        <v/>
      </c>
      <c r="P267" s="355" t="n"/>
    </row>
    <row r="268" outlineLevel="2" ht="19.9" customFormat="1" customHeight="1" s="1">
      <c r="A268" s="343">
        <f>IF(G268="UNIDADE CONSTRUTIVA",OFFSET(A268,-1,0)+1,LARGE(A$4:A267,1))</f>
        <v/>
      </c>
      <c r="B268" s="343">
        <f>IF(G268="UNIDADE CONSTRUTIVA",0,IF(G268="CÉLULA CONSTRUTIVA",OFFSET(B268,-1,0)+1,OFFSET(B268,-1,0)))</f>
        <v/>
      </c>
      <c r="C268" s="343">
        <f>IF(G268="CÉLULA CONSTRUTIVA",0,IF(G268="ETAPA",OFFSET(C268,-1,0)+1,OFFSET(C268,-1,0)))</f>
        <v/>
      </c>
      <c r="D268" s="347">
        <f>IF(G268="ETAPA",0,IF(G268="SUBETAPA",OFFSET(D268,-1,0)+1,OFFSET(D268,-1,0)))</f>
        <v/>
      </c>
      <c r="E268" s="347">
        <f>IF(G268="Subetapa",0,IF(G268="serviço",OFFSET(E268,-1,0)+1,OFFSET(E268,-1,0)))</f>
        <v/>
      </c>
      <c r="G268" s="75" t="inlineStr">
        <is>
          <t>Subetapa</t>
        </is>
      </c>
      <c r="H268" s="352">
        <f>IF(G268="Unidade Construtiva",CONCATENATE("UC ",TEXT(A268,"00")),IF(G268="Célula Construtiva",TEXT(B268,"00"),IF(G268="Etapa",CONCATENATE(TEXT(B268,"00"),".",TEXT(C268,"000")),IF(G268="Subetapa",CONCATENATE(TEXT(B268,"00"),".",TEXT(C268,"000"),".",TEXT(D268,"000")),IF(G268="Serviço",CONCATENATE(TEXT(B268,"00"),".",TEXT(C268,"000"),".",TEXT(D268,"000"),".",TEXT(E268,"000")),"")))))</f>
        <v/>
      </c>
      <c r="I268" s="92" t="inlineStr">
        <is>
          <t>Esquadrias de madeira</t>
        </is>
      </c>
      <c r="J268" s="77" t="n"/>
      <c r="K268" s="353" t="n"/>
      <c r="L268" s="87" t="n"/>
      <c r="M268" s="354">
        <f>SUM(M269:M271)</f>
        <v/>
      </c>
      <c r="N268" s="79">
        <f>M268/$M$298</f>
        <v/>
      </c>
      <c r="O268" s="87">
        <f>M268/OBRA!$D$12</f>
        <v/>
      </c>
      <c r="P268" s="355" t="n"/>
    </row>
    <row r="269" outlineLevel="3" ht="19.9" customFormat="1" customHeight="1" s="1">
      <c r="A269" s="343">
        <f>IF(G269="UNIDADE CONSTRUTIVA",OFFSET(A269,-1,0)+1,LARGE(A$4:A268,1))</f>
        <v/>
      </c>
      <c r="B269" s="343">
        <f>IF(G269="UNIDADE CONSTRUTIVA",0,IF(G269="CÉLULA CONSTRUTIVA",OFFSET(B269,-1,0)+1,OFFSET(B269,-1,0)))</f>
        <v/>
      </c>
      <c r="C269" s="343">
        <f>IF(G269="CÉLULA CONSTRUTIVA",0,IF(G269="ETAPA",OFFSET(C269,-1,0)+1,OFFSET(C269,-1,0)))</f>
        <v/>
      </c>
      <c r="D269" s="347">
        <f>IF(G269="ETAPA",0,IF(G269="SUBETAPA",OFFSET(D269,-1,0)+1,OFFSET(D269,-1,0)))</f>
        <v/>
      </c>
      <c r="E269" s="347">
        <f>IF(G269="Subetapa",0,IF(G269="serviço",OFFSET(E269,-1,0)+1,OFFSET(E269,-1,0)))</f>
        <v/>
      </c>
      <c r="G269" s="75" t="inlineStr">
        <is>
          <t>Serviço</t>
        </is>
      </c>
      <c r="H269" s="352">
        <f>IF(G269="Unidade Construtiva",CONCATENATE("UC ",TEXT(A269,"00")),IF(G269="Célula Construtiva",TEXT(B269,"00"),IF(G269="Etapa",CONCATENATE(TEXT(B269,"00"),".",TEXT(C269,"000")),IF(G269="Subetapa",CONCATENATE(TEXT(B269,"00"),".",TEXT(C269,"000"),".",TEXT(D269,"000")),IF(G269="Serviço",CONCATENATE(TEXT(B269,"00"),".",TEXT(C269,"000"),".",TEXT(D269,"000"),".",TEXT(E269,"000")),"")))))</f>
        <v/>
      </c>
      <c r="I269" s="92" t="inlineStr">
        <is>
          <t>Corrimão madeira</t>
        </is>
      </c>
      <c r="J269" s="77" t="inlineStr">
        <is>
          <t>m</t>
        </is>
      </c>
      <c r="K269" s="353" t="n">
        <v>255.8399999999999</v>
      </c>
      <c r="L269" s="87">
        <f>M269/K269</f>
        <v/>
      </c>
      <c r="M269" s="354" t="n">
        <v>18292.56</v>
      </c>
      <c r="N269" s="79">
        <f>M269/$M$298</f>
        <v/>
      </c>
      <c r="O269" s="87">
        <f>M269/OBRA!$D$12</f>
        <v/>
      </c>
      <c r="P269" s="355" t="n"/>
    </row>
    <row r="270" outlineLevel="3" ht="24" customFormat="1" customHeight="1" s="1">
      <c r="A270" s="343">
        <f>IF(G270="UNIDADE CONSTRUTIVA",OFFSET(A270,-1,0)+1,LARGE(A$4:A269,1))</f>
        <v/>
      </c>
      <c r="B270" s="343">
        <f>IF(G270="UNIDADE CONSTRUTIVA",0,IF(G270="CÉLULA CONSTRUTIVA",OFFSET(B270,-1,0)+1,OFFSET(B270,-1,0)))</f>
        <v/>
      </c>
      <c r="C270" s="343">
        <f>IF(G270="CÉLULA CONSTRUTIVA",0,IF(G270="ETAPA",OFFSET(C270,-1,0)+1,OFFSET(C270,-1,0)))</f>
        <v/>
      </c>
      <c r="D270" s="347">
        <f>IF(G270="ETAPA",0,IF(G270="SUBETAPA",OFFSET(D270,-1,0)+1,OFFSET(D270,-1,0)))</f>
        <v/>
      </c>
      <c r="E270" s="347">
        <f>IF(G270="Subetapa",0,IF(G270="serviço",OFFSET(E270,-1,0)+1,OFFSET(E270,-1,0)))</f>
        <v/>
      </c>
      <c r="G270" s="75" t="inlineStr">
        <is>
          <t>Serviço</t>
        </is>
      </c>
      <c r="H270" s="352">
        <f>IF(G270="Unidade Construtiva",CONCATENATE("UC ",TEXT(A270,"00")),IF(G270="Célula Construtiva",TEXT(B270,"00"),IF(G270="Etapa",CONCATENATE(TEXT(B270,"00"),".",TEXT(C270,"000")),IF(G270="Subetapa",CONCATENATE(TEXT(B270,"00"),".",TEXT(C270,"000"),".",TEXT(D270,"000")),IF(G270="Serviço",CONCATENATE(TEXT(B270,"00"),".",TEXT(C270,"000"),".",TEXT(D270,"000"),".",TEXT(E270,"000")),"")))))</f>
        <v/>
      </c>
      <c r="I270" s="92" t="inlineStr">
        <is>
          <t>Fechadura Biometrica</t>
        </is>
      </c>
      <c r="J270" s="77" t="inlineStr">
        <is>
          <t>un</t>
        </is>
      </c>
      <c r="K270" s="353" t="n">
        <v>84</v>
      </c>
      <c r="L270" s="87">
        <f>M270/K270</f>
        <v/>
      </c>
      <c r="M270" s="357" t="n">
        <v>138600</v>
      </c>
      <c r="N270" s="79">
        <f>M270/$M$298</f>
        <v/>
      </c>
      <c r="O270" s="87">
        <f>M270/OBRA!$D$12</f>
        <v/>
      </c>
      <c r="P270" s="355" t="inlineStr">
        <is>
          <t>Acesso de unidades</t>
        </is>
      </c>
    </row>
    <row r="271" outlineLevel="3" ht="24" customFormat="1" customHeight="1" s="1">
      <c r="A271" s="343">
        <f>IF(G271="UNIDADE CONSTRUTIVA",OFFSET(A271,-1,0)+1,LARGE(A$4:A270,1))</f>
        <v/>
      </c>
      <c r="B271" s="343">
        <f>IF(G271="UNIDADE CONSTRUTIVA",0,IF(G271="CÉLULA CONSTRUTIVA",OFFSET(B271,-1,0)+1,OFFSET(B271,-1,0)))</f>
        <v/>
      </c>
      <c r="C271" s="343">
        <f>IF(G271="CÉLULA CONSTRUTIVA",0,IF(G271="ETAPA",OFFSET(C271,-1,0)+1,OFFSET(C271,-1,0)))</f>
        <v/>
      </c>
      <c r="D271" s="347">
        <f>IF(G271="ETAPA",0,IF(G271="SUBETAPA",OFFSET(D271,-1,0)+1,OFFSET(D271,-1,0)))</f>
        <v/>
      </c>
      <c r="E271" s="347">
        <f>IF(G271="Subetapa",0,IF(G271="serviço",OFFSET(E271,-1,0)+1,OFFSET(E271,-1,0)))</f>
        <v/>
      </c>
      <c r="G271" s="75" t="inlineStr">
        <is>
          <t>Serviço</t>
        </is>
      </c>
      <c r="H271" s="352">
        <f>IF(G271="Unidade Construtiva",CONCATENATE("UC ",TEXT(A271,"00")),IF(G271="Célula Construtiva",TEXT(B271,"00"),IF(G271="Etapa",CONCATENATE(TEXT(B271,"00"),".",TEXT(C271,"000")),IF(G271="Subetapa",CONCATENATE(TEXT(B271,"00"),".",TEXT(C271,"000"),".",TEXT(D271,"000")),IF(G271="Serviço",CONCATENATE(TEXT(B271,"00"),".",TEXT(C271,"000"),".",TEXT(D271,"000"),".",TEXT(E271,"000")),"")))))</f>
        <v/>
      </c>
      <c r="I271" s="92" t="inlineStr">
        <is>
          <t>Esquadrias de Madeira</t>
        </is>
      </c>
      <c r="J271" s="77" t="inlineStr">
        <is>
          <t>un</t>
        </is>
      </c>
      <c r="K271" s="353" t="n">
        <v>476</v>
      </c>
      <c r="L271" s="87">
        <f>M271/K271</f>
        <v/>
      </c>
      <c r="M271" s="357" t="n">
        <v>1010548</v>
      </c>
      <c r="N271" s="79">
        <f>M271/$M$298</f>
        <v/>
      </c>
      <c r="O271" s="87">
        <f>M271/OBRA!$D$12</f>
        <v/>
      </c>
      <c r="P271" s="355" t="inlineStr">
        <is>
          <t>Porta semi-oca com revestimento pintado</t>
        </is>
      </c>
    </row>
    <row r="272" outlineLevel="2" ht="19.9" customFormat="1" customHeight="1" s="1">
      <c r="A272" s="343">
        <f>IF(G272="UNIDADE CONSTRUTIVA",OFFSET(A272,-1,0)+1,LARGE(A$4:A269,1))</f>
        <v/>
      </c>
      <c r="B272" s="343">
        <f>IF(G272="UNIDADE CONSTRUTIVA",0,IF(G272="CÉLULA CONSTRUTIVA",OFFSET(B272,-1,0)+1,OFFSET(B272,-1,0)))</f>
        <v/>
      </c>
      <c r="C272" s="343">
        <f>IF(G272="CÉLULA CONSTRUTIVA",0,IF(G272="ETAPA",OFFSET(C272,-1,0)+1,OFFSET(C272,-1,0)))</f>
        <v/>
      </c>
      <c r="D272" s="347">
        <f>IF(G272="ETAPA",0,IF(G272="SUBETAPA",OFFSET(D272,-1,0)+1,OFFSET(D272,-1,0)))</f>
        <v/>
      </c>
      <c r="E272" s="347">
        <f>IF(G272="Subetapa",0,IF(G272="serviço",OFFSET(E272,-1,0)+1,OFFSET(E272,-1,0)))</f>
        <v/>
      </c>
      <c r="G272" s="75" t="inlineStr">
        <is>
          <t>Subetapa</t>
        </is>
      </c>
      <c r="H272" s="352">
        <f>IF(G272="Unidade Construtiva",CONCATENATE("UC ",TEXT(A272,"00")),IF(G272="Célula Construtiva",TEXT(B272,"00"),IF(G272="Etapa",CONCATENATE(TEXT(B272,"00"),".",TEXT(C272,"000")),IF(G272="Subetapa",CONCATENATE(TEXT(B272,"00"),".",TEXT(C272,"000"),".",TEXT(D272,"000")),IF(G272="Serviço",CONCATENATE(TEXT(B272,"00"),".",TEXT(C272,"000"),".",TEXT(D272,"000"),".",TEXT(E272,"000")),"")))))</f>
        <v/>
      </c>
      <c r="I272" s="92" t="inlineStr">
        <is>
          <t>Esquadrias metálicas</t>
        </is>
      </c>
      <c r="J272" s="77" t="n"/>
      <c r="K272" s="353" t="n"/>
      <c r="L272" s="87" t="n"/>
      <c r="M272" s="354">
        <f>SUM(M273:M275)</f>
        <v/>
      </c>
      <c r="N272" s="79">
        <f>M272/$M$298</f>
        <v/>
      </c>
      <c r="O272" s="87">
        <f>M272/OBRA!$D$12</f>
        <v/>
      </c>
      <c r="P272" s="355" t="n"/>
    </row>
    <row r="273" outlineLevel="3" ht="19.9" customFormat="1" customHeight="1" s="1">
      <c r="A273" s="343">
        <f>IF(G273="UNIDADE CONSTRUTIVA",OFFSET(A273,-1,0)+1,LARGE(A$4:A272,1))</f>
        <v/>
      </c>
      <c r="B273" s="343">
        <f>IF(G273="UNIDADE CONSTRUTIVA",0,IF(G273="CÉLULA CONSTRUTIVA",OFFSET(B273,-1,0)+1,OFFSET(B273,-1,0)))</f>
        <v/>
      </c>
      <c r="C273" s="343">
        <f>IF(G273="CÉLULA CONSTRUTIVA",0,IF(G273="ETAPA",OFFSET(C273,-1,0)+1,OFFSET(C273,-1,0)))</f>
        <v/>
      </c>
      <c r="D273" s="347">
        <f>IF(G273="ETAPA",0,IF(G273="SUBETAPA",OFFSET(D273,-1,0)+1,OFFSET(D273,-1,0)))</f>
        <v/>
      </c>
      <c r="E273" s="347">
        <f>IF(G273="Subetapa",0,IF(G273="serviço",OFFSET(E273,-1,0)+1,OFFSET(E273,-1,0)))</f>
        <v/>
      </c>
      <c r="G273" s="75" t="inlineStr">
        <is>
          <t>Serviço</t>
        </is>
      </c>
      <c r="H273" s="352">
        <f>IF(G273="Unidade Construtiva",CONCATENATE("UC ",TEXT(A273,"00")),IF(G273="Célula Construtiva",TEXT(B273,"00"),IF(G273="Etapa",CONCATENATE(TEXT(B273,"00"),".",TEXT(C273,"000")),IF(G273="Subetapa",CONCATENATE(TEXT(B273,"00"),".",TEXT(C273,"000"),".",TEXT(D273,"000")),IF(G273="Serviço",CONCATENATE(TEXT(B273,"00"),".",TEXT(C273,"000"),".",TEXT(D273,"000"),".",TEXT(E273,"000")),"")))))</f>
        <v/>
      </c>
      <c r="I273" s="92" t="inlineStr">
        <is>
          <t>Corrimão comercial</t>
        </is>
      </c>
      <c r="J273" s="77" t="inlineStr">
        <is>
          <t>m</t>
        </is>
      </c>
      <c r="K273" s="353" t="n">
        <v>28.912</v>
      </c>
      <c r="L273" s="87">
        <f>M273/K273</f>
        <v/>
      </c>
      <c r="M273" s="354" t="n">
        <v>20672.08</v>
      </c>
      <c r="N273" s="79">
        <f>M273/$M$298</f>
        <v/>
      </c>
      <c r="O273" s="87">
        <f>M273/OBRA!$D$12</f>
        <v/>
      </c>
      <c r="P273" s="355" t="n"/>
    </row>
    <row r="274" outlineLevel="3" ht="19.9" customFormat="1" customHeight="1" s="1">
      <c r="A274" s="343">
        <f>IF(G274="UNIDADE CONSTRUTIVA",OFFSET(A274,-1,0)+1,LARGE(A$4:A273,1))</f>
        <v/>
      </c>
      <c r="B274" s="343">
        <f>IF(G274="UNIDADE CONSTRUTIVA",0,IF(G274="CÉLULA CONSTRUTIVA",OFFSET(B274,-1,0)+1,OFFSET(B274,-1,0)))</f>
        <v/>
      </c>
      <c r="C274" s="343">
        <f>IF(G274="CÉLULA CONSTRUTIVA",0,IF(G274="ETAPA",OFFSET(C274,-1,0)+1,OFFSET(C274,-1,0)))</f>
        <v/>
      </c>
      <c r="D274" s="347">
        <f>IF(G274="ETAPA",0,IF(G274="SUBETAPA",OFFSET(D274,-1,0)+1,OFFSET(D274,-1,0)))</f>
        <v/>
      </c>
      <c r="E274" s="347">
        <f>IF(G274="Subetapa",0,IF(G274="serviço",OFFSET(E274,-1,0)+1,OFFSET(E274,-1,0)))</f>
        <v/>
      </c>
      <c r="G274" s="75" t="inlineStr">
        <is>
          <t>Serviço</t>
        </is>
      </c>
      <c r="H274" s="352">
        <f>IF(G274="Unidade Construtiva",CONCATENATE("UC ",TEXT(A274,"00")),IF(G274="Célula Construtiva",TEXT(B274,"00"),IF(G274="Etapa",CONCATENATE(TEXT(B274,"00"),".",TEXT(C274,"000")),IF(G274="Subetapa",CONCATENATE(TEXT(B274,"00"),".",TEXT(C274,"000"),".",TEXT(D274,"000")),IF(G274="Serviço",CONCATENATE(TEXT(B274,"00"),".",TEXT(C274,"000"),".",TEXT(D274,"000"),".",TEXT(E274,"000")),"")))))</f>
        <v/>
      </c>
      <c r="I274" s="92" t="inlineStr">
        <is>
          <t>Serralheria</t>
        </is>
      </c>
      <c r="J274" s="77" t="inlineStr">
        <is>
          <t>vb</t>
        </is>
      </c>
      <c r="K274" s="353" t="n">
        <v>1</v>
      </c>
      <c r="L274" s="87">
        <f>M274/K274</f>
        <v/>
      </c>
      <c r="M274" s="354" t="n">
        <v>86775.34800000001</v>
      </c>
      <c r="N274" s="79">
        <f>M274/$M$298</f>
        <v/>
      </c>
      <c r="O274" s="87">
        <f>M274/OBRA!$D$12</f>
        <v/>
      </c>
      <c r="P274" s="355" t="inlineStr">
        <is>
          <t>Verba  prevista ára eventuais alçapões, bicicletários, etc.</t>
        </is>
      </c>
    </row>
    <row r="275" outlineLevel="3" ht="19.9" customFormat="1" customHeight="1" s="1">
      <c r="A275" s="343">
        <f>IF(G275="UNIDADE CONSTRUTIVA",OFFSET(A275,-1,0)+1,LARGE(A$4:A274,1))</f>
        <v/>
      </c>
      <c r="B275" s="343">
        <f>IF(G275="UNIDADE CONSTRUTIVA",0,IF(G275="CÉLULA CONSTRUTIVA",OFFSET(B275,-1,0)+1,OFFSET(B275,-1,0)))</f>
        <v/>
      </c>
      <c r="C275" s="343">
        <f>IF(G275="CÉLULA CONSTRUTIVA",0,IF(G275="ETAPA",OFFSET(C275,-1,0)+1,OFFSET(C275,-1,0)))</f>
        <v/>
      </c>
      <c r="D275" s="347">
        <f>IF(G275="ETAPA",0,IF(G275="SUBETAPA",OFFSET(D275,-1,0)+1,OFFSET(D275,-1,0)))</f>
        <v/>
      </c>
      <c r="E275" s="347">
        <f>IF(G275="Subetapa",0,IF(G275="serviço",OFFSET(E275,-1,0)+1,OFFSET(E275,-1,0)))</f>
        <v/>
      </c>
      <c r="G275" s="75" t="inlineStr">
        <is>
          <t>Serviço</t>
        </is>
      </c>
      <c r="H275" s="352">
        <f>IF(G275="Unidade Construtiva",CONCATENATE("UC ",TEXT(A275,"00")),IF(G275="Célula Construtiva",TEXT(B275,"00"),IF(G275="Etapa",CONCATENATE(TEXT(B275,"00"),".",TEXT(C275,"000")),IF(G275="Subetapa",CONCATENATE(TEXT(B275,"00"),".",TEXT(C275,"000"),".",TEXT(D275,"000")),IF(G275="Serviço",CONCATENATE(TEXT(B275,"00"),".",TEXT(C275,"000"),".",TEXT(D275,"000"),".",TEXT(E275,"000")),"")))))</f>
        <v/>
      </c>
      <c r="I275" s="92" t="inlineStr">
        <is>
          <t>Porta corta-fogo</t>
        </is>
      </c>
      <c r="J275" s="77" t="inlineStr">
        <is>
          <t>un</t>
        </is>
      </c>
      <c r="K275" s="353" t="n">
        <v>26</v>
      </c>
      <c r="L275" s="87">
        <f>M275/K275</f>
        <v/>
      </c>
      <c r="M275" s="354" t="n">
        <v>50050.00000000001</v>
      </c>
      <c r="N275" s="79">
        <f>M275/$M$298</f>
        <v/>
      </c>
      <c r="O275" s="87">
        <f>M275/OBRA!$D$12</f>
        <v/>
      </c>
      <c r="P275" s="355" t="n"/>
    </row>
    <row r="276" outlineLevel="1" ht="19.9" customFormat="1" customHeight="1" s="1">
      <c r="A276" s="343">
        <f>IF(G276="UNIDADE CONSTRUTIVA",OFFSET(A276,-1,0)+1,LARGE(A$4:A275,1))</f>
        <v/>
      </c>
      <c r="B276" s="343">
        <f>IF(G276="UNIDADE CONSTRUTIVA",0,IF(G276="CÉLULA CONSTRUTIVA",OFFSET(B276,-1,0)+1,OFFSET(B276,-1,0)))</f>
        <v/>
      </c>
      <c r="C276" s="343">
        <f>IF(G276="CÉLULA CONSTRUTIVA",0,IF(G276="ETAPA",OFFSET(C276,-1,0)+1,OFFSET(C276,-1,0)))</f>
        <v/>
      </c>
      <c r="D276" s="347">
        <f>IF(G276="ETAPA",0,IF(G276="SUBETAPA",OFFSET(D276,-1,0)+1,OFFSET(D276,-1,0)))</f>
        <v/>
      </c>
      <c r="E276" s="347">
        <f>IF(G276="Subetapa",0,IF(G276="serviço",OFFSET(E276,-1,0)+1,OFFSET(E276,-1,0)))</f>
        <v/>
      </c>
      <c r="G276" s="75" t="inlineStr">
        <is>
          <t>CÉLULA CONSTRUTIVA</t>
        </is>
      </c>
      <c r="H276" s="352">
        <f>IF(G276="Unidade Construtiva",CONCATENATE("UC ",TEXT(A276,"00")),IF(G276="Célula Construtiva",TEXT(B276,"00"),IF(G276="Etapa",CONCATENATE(TEXT(B276,"00"),".",TEXT(C276,"000")),IF(G276="Subetapa",CONCATENATE(TEXT(B276,"00"),".",TEXT(C276,"000"),".",TEXT(D276,"000")),IF(G276="Serviço",CONCATENATE(TEXT(B276,"00"),".",TEXT(C276,"000"),".",TEXT(D276,"000"),".",TEXT(E276,"000")),"")))))</f>
        <v/>
      </c>
      <c r="I276" s="92" t="inlineStr">
        <is>
          <t>REVESTIMENTOS E ACABAMENTOS EM FACHADA</t>
        </is>
      </c>
      <c r="J276" s="77" t="n"/>
      <c r="K276" s="353" t="n"/>
      <c r="L276" s="87" t="n"/>
      <c r="M276" s="354">
        <f>M277</f>
        <v/>
      </c>
      <c r="N276" s="79">
        <f>M276/$M$298</f>
        <v/>
      </c>
      <c r="O276" s="87">
        <f>M276/OBRA!$D$12</f>
        <v/>
      </c>
      <c r="P276" s="355" t="n"/>
    </row>
    <row r="277" outlineLevel="2" ht="19.9" customFormat="1" customHeight="1" s="1">
      <c r="A277" s="343">
        <f>IF(G277="UNIDADE CONSTRUTIVA",OFFSET(A277,-1,0)+1,LARGE(A$4:A276,1))</f>
        <v/>
      </c>
      <c r="B277" s="343">
        <f>IF(G277="UNIDADE CONSTRUTIVA",0,IF(G277="CÉLULA CONSTRUTIVA",OFFSET(B277,-1,0)+1,OFFSET(B277,-1,0)))</f>
        <v/>
      </c>
      <c r="C277" s="343">
        <f>IF(G277="CÉLULA CONSTRUTIVA",0,IF(G277="ETAPA",OFFSET(C277,-1,0)+1,OFFSET(C277,-1,0)))</f>
        <v/>
      </c>
      <c r="D277" s="347">
        <f>IF(G277="ETAPA",0,IF(G277="SUBETAPA",OFFSET(D277,-1,0)+1,OFFSET(D277,-1,0)))</f>
        <v/>
      </c>
      <c r="E277" s="347">
        <f>IF(G277="Subetapa",0,IF(G277="serviço",OFFSET(E277,-1,0)+1,OFFSET(E277,-1,0)))</f>
        <v/>
      </c>
      <c r="G277" s="75" t="inlineStr">
        <is>
          <t>ETAPA</t>
        </is>
      </c>
      <c r="H277" s="352">
        <f>IF(G277="Unidade Construtiva",CONCATENATE("UC ",TEXT(A277,"00")),IF(G277="Célula Construtiva",TEXT(B277,"00"),IF(G277="Etapa",CONCATENATE(TEXT(B277,"00"),".",TEXT(C277,"000")),IF(G277="Subetapa",CONCATENATE(TEXT(B277,"00"),".",TEXT(C277,"000"),".",TEXT(D277,"000")),IF(G277="Serviço",CONCATENATE(TEXT(B277,"00"),".",TEXT(C277,"000"),".",TEXT(D277,"000"),".",TEXT(E277,"000")),"")))))</f>
        <v/>
      </c>
      <c r="I277" s="92" t="inlineStr">
        <is>
          <t>REVESTIMENTOS E ACABAMENTOS EM FACHADA</t>
        </is>
      </c>
      <c r="J277" s="77" t="n"/>
      <c r="K277" s="353" t="n"/>
      <c r="L277" s="87" t="n"/>
      <c r="M277" s="354">
        <f>M278+M281+M283</f>
        <v/>
      </c>
      <c r="N277" s="79">
        <f>M277/$M$298</f>
        <v/>
      </c>
      <c r="O277" s="87">
        <f>M277/OBRA!$D$12</f>
        <v/>
      </c>
      <c r="P277" s="355" t="n"/>
    </row>
    <row r="278" outlineLevel="2" ht="19.9" customFormat="1" customHeight="1" s="1">
      <c r="A278" s="343">
        <f>IF(G278="UNIDADE CONSTRUTIVA",OFFSET(A278,-1,0)+1,LARGE(A$4:A277,1))</f>
        <v/>
      </c>
      <c r="B278" s="343">
        <f>IF(G278="UNIDADE CONSTRUTIVA",0,IF(G278="CÉLULA CONSTRUTIVA",OFFSET(B278,-1,0)+1,OFFSET(B278,-1,0)))</f>
        <v/>
      </c>
      <c r="C278" s="343">
        <f>IF(G278="CÉLULA CONSTRUTIVA",0,IF(G278="ETAPA",OFFSET(C278,-1,0)+1,OFFSET(C278,-1,0)))</f>
        <v/>
      </c>
      <c r="D278" s="347">
        <f>IF(G278="ETAPA",0,IF(G278="SUBETAPA",OFFSET(D278,-1,0)+1,OFFSET(D278,-1,0)))</f>
        <v/>
      </c>
      <c r="E278" s="347">
        <f>IF(G278="Subetapa",0,IF(G278="serviço",OFFSET(E278,-1,0)+1,OFFSET(E278,-1,0)))</f>
        <v/>
      </c>
      <c r="G278" s="75" t="inlineStr">
        <is>
          <t>Subetapa</t>
        </is>
      </c>
      <c r="H278" s="352">
        <f>IF(G278="Unidade Construtiva",CONCATENATE("UC ",TEXT(A278,"00")),IF(G278="Célula Construtiva",TEXT(B278,"00"),IF(G278="Etapa",CONCATENATE(TEXT(B278,"00"),".",TEXT(C278,"000")),IF(G278="Subetapa",CONCATENATE(TEXT(B278,"00"),".",TEXT(C278,"000"),".",TEXT(D278,"000")),IF(G278="Serviço",CONCATENATE(TEXT(B278,"00"),".",TEXT(C278,"000"),".",TEXT(D278,"000"),".",TEXT(E278,"000")),"")))))</f>
        <v/>
      </c>
      <c r="I278" s="92" t="inlineStr">
        <is>
          <t>Revestimento argamassado em fachada</t>
        </is>
      </c>
      <c r="J278" s="77" t="n"/>
      <c r="K278" s="353" t="n"/>
      <c r="L278" s="87" t="n"/>
      <c r="M278" s="354">
        <f>SUM(M279:M280)</f>
        <v/>
      </c>
      <c r="N278" s="79">
        <f>M278/$M$298</f>
        <v/>
      </c>
      <c r="O278" s="87">
        <f>M278/OBRA!$D$12</f>
        <v/>
      </c>
      <c r="P278" s="355" t="n"/>
    </row>
    <row r="279" outlineLevel="3" ht="19.15" customFormat="1" customHeight="1" s="1">
      <c r="A279" s="343">
        <f>IF(G279="UNIDADE CONSTRUTIVA",OFFSET(A279,-1,0)+1,LARGE(A$4:A277,1))</f>
        <v/>
      </c>
      <c r="B279" s="343">
        <f>IF(G279="UNIDADE CONSTRUTIVA",0,IF(G279="CÉLULA CONSTRUTIVA",OFFSET(B279,-1,0)+1,OFFSET(B279,-1,0)))</f>
        <v/>
      </c>
      <c r="C279" s="343">
        <f>IF(G279="CÉLULA CONSTRUTIVA",0,IF(G279="ETAPA",OFFSET(C279,-1,0)+1,OFFSET(C279,-1,0)))</f>
        <v/>
      </c>
      <c r="D279" s="347">
        <f>IF(G279="ETAPA",0,IF(G279="SUBETAPA",OFFSET(D279,-1,0)+1,OFFSET(D279,-1,0)))</f>
        <v/>
      </c>
      <c r="E279" s="347">
        <f>IF(G279="Subetapa",0,IF(G279="serviço",OFFSET(E279,-1,0)+1,OFFSET(E279,-1,0)))</f>
        <v/>
      </c>
      <c r="G279" s="75" t="inlineStr">
        <is>
          <t>Serviço</t>
        </is>
      </c>
      <c r="H279" s="352">
        <f>IF(G279="Unidade Construtiva",CONCATENATE("UC ",TEXT(A279,"00")),IF(G279="Célula Construtiva",TEXT(B279,"00"),IF(G279="Etapa",CONCATENATE(TEXT(B279,"00"),".",TEXT(C279,"000")),IF(G279="Subetapa",CONCATENATE(TEXT(B279,"00"),".",TEXT(C279,"000"),".",TEXT(D279,"000")),IF(G279="Serviço",CONCATENATE(TEXT(B279,"00"),".",TEXT(C279,"000"),".",TEXT(D279,"000"),".",TEXT(E279,"000")),"")))))</f>
        <v/>
      </c>
      <c r="I279" s="92" t="inlineStr">
        <is>
          <t>Chapisco e reboco</t>
        </is>
      </c>
      <c r="J279" s="77" t="inlineStr">
        <is>
          <t>m2</t>
        </is>
      </c>
      <c r="K279" s="353">
        <f>IF(M9="ESQUADRIAS MAIORES",Planilha1!D17,IF(M9="ESQUADRIAS MENORES",Planilha1!D18,"NA"))</f>
        <v/>
      </c>
      <c r="L279" s="87" t="n">
        <v>135.3</v>
      </c>
      <c r="M279" s="354">
        <f>K279*L279</f>
        <v/>
      </c>
      <c r="N279" s="79">
        <f>M279/$M$298</f>
        <v/>
      </c>
      <c r="O279" s="87">
        <f>M279/OBRA!$D$12</f>
        <v/>
      </c>
      <c r="P279" s="355" t="inlineStr">
        <is>
          <t>paredes + floreiras</t>
        </is>
      </c>
    </row>
    <row r="280" outlineLevel="3" ht="19.15" customFormat="1" customHeight="1" s="1">
      <c r="A280" s="343">
        <f>IF(G280="UNIDADE CONSTRUTIVA",OFFSET(A280,-1,0)+1,LARGE(A$4:A278,1))</f>
        <v/>
      </c>
      <c r="B280" s="343">
        <f>IF(G280="UNIDADE CONSTRUTIVA",0,IF(G280="CÉLULA CONSTRUTIVA",OFFSET(B280,-1,0)+1,OFFSET(B280,-1,0)))</f>
        <v/>
      </c>
      <c r="C280" s="343">
        <f>IF(G280="CÉLULA CONSTRUTIVA",0,IF(G280="ETAPA",OFFSET(C280,-1,0)+1,OFFSET(C280,-1,0)))</f>
        <v/>
      </c>
      <c r="D280" s="347">
        <f>IF(G280="ETAPA",0,IF(G280="SUBETAPA",OFFSET(D280,-1,0)+1,OFFSET(D280,-1,0)))</f>
        <v/>
      </c>
      <c r="E280" s="347">
        <f>IF(G280="Subetapa",0,IF(G280="serviço",OFFSET(E280,-1,0)+1,OFFSET(E280,-1,0)))</f>
        <v/>
      </c>
      <c r="G280" s="75" t="inlineStr">
        <is>
          <t>Serviço</t>
        </is>
      </c>
      <c r="H280" s="352">
        <f>IF(G280="Unidade Construtiva",CONCATENATE("UC ",TEXT(A280,"00")),IF(G280="Célula Construtiva",TEXT(B280,"00"),IF(G280="Etapa",CONCATENATE(TEXT(B280,"00"),".",TEXT(C280,"000")),IF(G280="Subetapa",CONCATENATE(TEXT(B280,"00"),".",TEXT(C280,"000"),".",TEXT(D280,"000")),IF(G280="Serviço",CONCATENATE(TEXT(B280,"00"),".",TEXT(C280,"000"),".",TEXT(D280,"000"),".",TEXT(E280,"000")),"")))))</f>
        <v/>
      </c>
      <c r="I280" s="92" t="inlineStr">
        <is>
          <t>Concreto aparente</t>
        </is>
      </c>
      <c r="J280" s="77" t="inlineStr">
        <is>
          <t>m2</t>
        </is>
      </c>
      <c r="K280" s="353" t="n">
        <v>808.4400000000001</v>
      </c>
      <c r="L280" s="87">
        <f>M280/K280</f>
        <v/>
      </c>
      <c r="M280" s="354" t="n">
        <v>104667.837516</v>
      </c>
      <c r="N280" s="79">
        <f>M280/$M$298</f>
        <v/>
      </c>
      <c r="O280" s="87">
        <f>M280/OBRA!$D$12</f>
        <v/>
      </c>
      <c r="P280" s="355" t="inlineStr">
        <is>
          <t>molduras (0,5m inclinado e 0,1m reto)</t>
        </is>
      </c>
    </row>
    <row r="281" outlineLevel="2" ht="19.9" customFormat="1" customHeight="1" s="1">
      <c r="A281" s="343">
        <f>IF(G281="UNIDADE CONSTRUTIVA",OFFSET(A281,-1,0)+1,LARGE(A$4:A280,1))</f>
        <v/>
      </c>
      <c r="B281" s="343">
        <f>IF(G281="UNIDADE CONSTRUTIVA",0,IF(G281="CÉLULA CONSTRUTIVA",OFFSET(B281,-1,0)+1,OFFSET(B281,-1,0)))</f>
        <v/>
      </c>
      <c r="C281" s="343">
        <f>IF(G281="CÉLULA CONSTRUTIVA",0,IF(G281="ETAPA",OFFSET(C281,-1,0)+1,OFFSET(C281,-1,0)))</f>
        <v/>
      </c>
      <c r="D281" s="347">
        <f>IF(G281="ETAPA",0,IF(G281="SUBETAPA",OFFSET(D281,-1,0)+1,OFFSET(D281,-1,0)))</f>
        <v/>
      </c>
      <c r="E281" s="347">
        <f>IF(G281="Subetapa",0,IF(G281="serviço",OFFSET(E281,-1,0)+1,OFFSET(E281,-1,0)))</f>
        <v/>
      </c>
      <c r="G281" s="75" t="inlineStr">
        <is>
          <t>Subetapa</t>
        </is>
      </c>
      <c r="H281" s="352">
        <f>IF(G281="Unidade Construtiva",CONCATENATE("UC ",TEXT(A281,"00")),IF(G281="Célula Construtiva",TEXT(B281,"00"),IF(G281="Etapa",CONCATENATE(TEXT(B281,"00"),".",TEXT(C281,"000")),IF(G281="Subetapa",CONCATENATE(TEXT(B281,"00"),".",TEXT(C281,"000"),".",TEXT(D281,"000")),IF(G281="Serviço",CONCATENATE(TEXT(B281,"00"),".",TEXT(C281,"000"),".",TEXT(D281,"000"),".",TEXT(E281,"000")),"")))))</f>
        <v/>
      </c>
      <c r="I281" s="92" t="inlineStr">
        <is>
          <t>Pintura / Textura</t>
        </is>
      </c>
      <c r="J281" s="77" t="n"/>
      <c r="K281" s="353" t="n"/>
      <c r="L281" s="87" t="n"/>
      <c r="M281" s="354">
        <f>M282</f>
        <v/>
      </c>
      <c r="N281" s="79">
        <f>M281/$M$298</f>
        <v/>
      </c>
      <c r="O281" s="87">
        <f>M281/OBRA!$D$12</f>
        <v/>
      </c>
      <c r="P281" s="355" t="n"/>
    </row>
    <row r="282" outlineLevel="3" ht="19.9" customFormat="1" customHeight="1" s="1">
      <c r="A282" s="343">
        <f>IF(G282="UNIDADE CONSTRUTIVA",OFFSET(A282,-1,0)+1,LARGE(A$4:A280,1))</f>
        <v/>
      </c>
      <c r="B282" s="343">
        <f>IF(G282="UNIDADE CONSTRUTIVA",0,IF(G282="CÉLULA CONSTRUTIVA",OFFSET(B282,-1,0)+1,OFFSET(B282,-1,0)))</f>
        <v/>
      </c>
      <c r="C282" s="343">
        <f>IF(G282="CÉLULA CONSTRUTIVA",0,IF(G282="ETAPA",OFFSET(C282,-1,0)+1,OFFSET(C282,-1,0)))</f>
        <v/>
      </c>
      <c r="D282" s="347">
        <f>IF(G282="ETAPA",0,IF(G282="SUBETAPA",OFFSET(D282,-1,0)+1,OFFSET(D282,-1,0)))</f>
        <v/>
      </c>
      <c r="E282" s="347">
        <f>IF(G282="Subetapa",0,IF(G282="serviço",OFFSET(E282,-1,0)+1,OFFSET(E282,-1,0)))</f>
        <v/>
      </c>
      <c r="G282" s="104" t="inlineStr">
        <is>
          <t>Serviço</t>
        </is>
      </c>
      <c r="H282" s="358">
        <f>IF(G282="Unidade Construtiva",CONCATENATE("UC ",TEXT(A282,"00")),IF(G282="Célula Construtiva",TEXT(B282,"00"),IF(G282="Etapa",CONCATENATE(TEXT(B282,"00"),".",TEXT(C282,"000")),IF(G282="Subetapa",CONCATENATE(TEXT(B282,"00"),".",TEXT(C282,"000"),".",TEXT(D282,"000")),IF(G282="Serviço",CONCATENATE(TEXT(B282,"00"),".",TEXT(C282,"000"),".",TEXT(D282,"000"),".",TEXT(E282,"000")),"")))))</f>
        <v/>
      </c>
      <c r="I282" s="108" t="inlineStr">
        <is>
          <t>Pintura externa</t>
        </is>
      </c>
      <c r="J282" s="109" t="inlineStr">
        <is>
          <t>m2</t>
        </is>
      </c>
      <c r="K282" s="359">
        <f>K279</f>
        <v/>
      </c>
      <c r="L282" s="111" t="n">
        <v>74.80000000000001</v>
      </c>
      <c r="M282" s="357">
        <f>K282*L282</f>
        <v/>
      </c>
      <c r="N282" s="134">
        <f>M282/$M$298</f>
        <v/>
      </c>
      <c r="O282" s="111">
        <f>M282/OBRA!$D$12</f>
        <v/>
      </c>
      <c r="P282" s="360" t="n"/>
    </row>
    <row r="283" outlineLevel="2" ht="19.9" customFormat="1" customHeight="1" s="1">
      <c r="A283" s="343">
        <f>IF(G283="UNIDADE CONSTRUTIVA",OFFSET(A283,-1,0)+1,LARGE(A$4:A282,1))</f>
        <v/>
      </c>
      <c r="B283" s="343">
        <f>IF(G283="UNIDADE CONSTRUTIVA",0,IF(G283="CÉLULA CONSTRUTIVA",OFFSET(B283,-1,0)+1,OFFSET(B283,-1,0)))</f>
        <v/>
      </c>
      <c r="C283" s="343">
        <f>IF(G283="CÉLULA CONSTRUTIVA",0,IF(G283="ETAPA",OFFSET(C283,-1,0)+1,OFFSET(C283,-1,0)))</f>
        <v/>
      </c>
      <c r="D283" s="347">
        <f>IF(G283="ETAPA",0,IF(G283="SUBETAPA",OFFSET(D283,-1,0)+1,OFFSET(D283,-1,0)))</f>
        <v/>
      </c>
      <c r="E283" s="347">
        <f>IF(G283="Subetapa",0,IF(G283="serviço",OFFSET(E283,-1,0)+1,OFFSET(E283,-1,0)))</f>
        <v/>
      </c>
      <c r="G283" s="75" t="inlineStr">
        <is>
          <t>Subetapa</t>
        </is>
      </c>
      <c r="H283" s="352">
        <f>IF(G283="Unidade Construtiva",CONCATENATE("UC ",TEXT(A283,"00")),IF(G283="Célula Construtiva",TEXT(B283,"00"),IF(G283="Etapa",CONCATENATE(TEXT(B283,"00"),".",TEXT(C283,"000")),IF(G283="Subetapa",CONCATENATE(TEXT(B283,"00"),".",TEXT(C283,"000"),".",TEXT(D283,"000")),IF(G283="Serviço",CONCATENATE(TEXT(B283,"00"),".",TEXT(C283,"000"),".",TEXT(D283,"000"),".",TEXT(E283,"000")),"")))))</f>
        <v/>
      </c>
      <c r="I283" s="92" t="inlineStr">
        <is>
          <t>Acabamentos especiais</t>
        </is>
      </c>
      <c r="J283" s="77" t="n"/>
      <c r="K283" s="353" t="n"/>
      <c r="L283" s="87" t="n"/>
      <c r="M283" s="354">
        <f>SUM(M284:M284)</f>
        <v/>
      </c>
      <c r="N283" s="79">
        <f>M283/$M$298</f>
        <v/>
      </c>
      <c r="O283" s="87">
        <f>M283/OBRA!$D$12</f>
        <v/>
      </c>
      <c r="P283" s="355" t="n"/>
    </row>
    <row r="284" outlineLevel="3" ht="19.9" customFormat="1" customHeight="1" s="1">
      <c r="A284" s="343">
        <f>IF(G284="UNIDADE CONSTRUTIVA",OFFSET(A284,-1,0)+1,LARGE(A$4:A282,1))</f>
        <v/>
      </c>
      <c r="B284" s="343">
        <f>IF(G284="UNIDADE CONSTRUTIVA",0,IF(G284="CÉLULA CONSTRUTIVA",OFFSET(B284,-1,0)+1,OFFSET(B284,-1,0)))</f>
        <v/>
      </c>
      <c r="C284" s="343">
        <f>IF(G284="CÉLULA CONSTRUTIVA",0,IF(G284="ETAPA",OFFSET(C284,-1,0)+1,OFFSET(C284,-1,0)))</f>
        <v/>
      </c>
      <c r="D284" s="347">
        <f>IF(G284="ETAPA",0,IF(G284="SUBETAPA",OFFSET(D284,-1,0)+1,OFFSET(D284,-1,0)))</f>
        <v/>
      </c>
      <c r="E284" s="347">
        <f>IF(G284="Subetapa",0,IF(G284="serviço",OFFSET(E284,-1,0)+1,OFFSET(E284,-1,0)))</f>
        <v/>
      </c>
      <c r="G284" s="75" t="inlineStr">
        <is>
          <t>Serviço</t>
        </is>
      </c>
      <c r="H284" s="352">
        <f>IF(G284="Unidade Construtiva",CONCATENATE("UC ",TEXT(A284,"00")),IF(G284="Célula Construtiva",TEXT(B284,"00"),IF(G284="Etapa",CONCATENATE(TEXT(B284,"00"),".",TEXT(C284,"000")),IF(G284="Subetapa",CONCATENATE(TEXT(B284,"00"),".",TEXT(C284,"000"),".",TEXT(D284,"000")),IF(G284="Serviço",CONCATENATE(TEXT(B284,"00"),".",TEXT(C284,"000"),".",TEXT(D284,"000"),".",TEXT(E284,"000")),"")))))</f>
        <v/>
      </c>
      <c r="I284" s="92" t="inlineStr">
        <is>
          <t>Muros em pedra</t>
        </is>
      </c>
      <c r="J284" s="109" t="inlineStr">
        <is>
          <t>m2</t>
        </is>
      </c>
      <c r="K284" s="353" t="n">
        <v>90.538</v>
      </c>
      <c r="L284" s="87">
        <f>M284/K284</f>
        <v/>
      </c>
      <c r="M284" s="357" t="n">
        <v>46152.831956</v>
      </c>
      <c r="N284" s="79">
        <f>M284/$M$298</f>
        <v/>
      </c>
      <c r="O284" s="87">
        <f>M284/OBRA!$D$12</f>
        <v/>
      </c>
      <c r="P284" s="355" t="inlineStr">
        <is>
          <t>Acesso veículos</t>
        </is>
      </c>
    </row>
    <row r="285" outlineLevel="1" ht="19.9" customFormat="1" customHeight="1" s="1">
      <c r="A285" s="343">
        <f>IF(G285="UNIDADE CONSTRUTIVA",OFFSET(A285,-1,0)+1,LARGE(A$4:A282,1))</f>
        <v/>
      </c>
      <c r="B285" s="343">
        <f>IF(G285="UNIDADE CONSTRUTIVA",0,IF(G285="CÉLULA CONSTRUTIVA",OFFSET(B285,-1,0)+1,OFFSET(B285,-1,0)))</f>
        <v/>
      </c>
      <c r="C285" s="343">
        <f>IF(G285="CÉLULA CONSTRUTIVA",0,IF(G285="ETAPA",OFFSET(C285,-1,0)+1,OFFSET(C285,-1,0)))</f>
        <v/>
      </c>
      <c r="D285" s="347">
        <f>IF(G285="ETAPA",0,IF(G285="SUBETAPA",OFFSET(D285,-1,0)+1,OFFSET(D285,-1,0)))</f>
        <v/>
      </c>
      <c r="E285" s="347">
        <f>IF(G285="Subetapa",0,IF(G285="serviço",OFFSET(E285,-1,0)+1,OFFSET(E285,-1,0)))</f>
        <v/>
      </c>
      <c r="G285" s="75" t="inlineStr">
        <is>
          <t>CÉLULA CONSTRUTIVA</t>
        </is>
      </c>
      <c r="H285" s="352">
        <f>IF(G285="Unidade Construtiva",CONCATENATE("UC ",TEXT(A285,"00")),IF(G285="Célula Construtiva",TEXT(B285,"00"),IF(G285="Etapa",CONCATENATE(TEXT(B285,"00"),".",TEXT(C285,"000")),IF(G285="Subetapa",CONCATENATE(TEXT(B285,"00"),".",TEXT(C285,"000"),".",TEXT(D285,"000")),IF(G285="Serviço",CONCATENATE(TEXT(B285,"00"),".",TEXT(C285,"000"),".",TEXT(D285,"000"),".",TEXT(E285,"000")),"")))))</f>
        <v/>
      </c>
      <c r="I285" s="92" t="inlineStr">
        <is>
          <t>SERVIÇOS COMPLEMENTARES E FINAIS</t>
        </is>
      </c>
      <c r="J285" s="77" t="n"/>
      <c r="K285" s="353" t="n"/>
      <c r="L285" s="87" t="n"/>
      <c r="M285" s="354">
        <f>M286</f>
        <v/>
      </c>
      <c r="N285" s="79">
        <f>M285/$M$298</f>
        <v/>
      </c>
      <c r="O285" s="87">
        <f>M285/OBRA!$D$12</f>
        <v/>
      </c>
      <c r="P285" s="355" t="n"/>
    </row>
    <row r="286" outlineLevel="2" ht="19.9" customFormat="1" customHeight="1" s="1">
      <c r="A286" s="343">
        <f>IF(G286="UNIDADE CONSTRUTIVA",OFFSET(A286,-1,0)+1,LARGE(A$4:A285,1))</f>
        <v/>
      </c>
      <c r="B286" s="343">
        <f>IF(G286="UNIDADE CONSTRUTIVA",0,IF(G286="CÉLULA CONSTRUTIVA",OFFSET(B286,-1,0)+1,OFFSET(B286,-1,0)))</f>
        <v/>
      </c>
      <c r="C286" s="343">
        <f>IF(G286="CÉLULA CONSTRUTIVA",0,IF(G286="ETAPA",OFFSET(C286,-1,0)+1,OFFSET(C286,-1,0)))</f>
        <v/>
      </c>
      <c r="D286" s="347">
        <f>IF(G286="ETAPA",0,IF(G286="SUBETAPA",OFFSET(D286,-1,0)+1,OFFSET(D286,-1,0)))</f>
        <v/>
      </c>
      <c r="E286" s="347">
        <f>IF(G286="Subetapa",0,IF(G286="serviço",OFFSET(E286,-1,0)+1,OFFSET(E286,-1,0)))</f>
        <v/>
      </c>
      <c r="G286" s="75" t="inlineStr">
        <is>
          <t>ETAPA</t>
        </is>
      </c>
      <c r="H286" s="352">
        <f>IF(G286="Unidade Construtiva",CONCATENATE("UC ",TEXT(A286,"00")),IF(G286="Célula Construtiva",TEXT(B286,"00"),IF(G286="Etapa",CONCATENATE(TEXT(B286,"00"),".",TEXT(C286,"000")),IF(G286="Subetapa",CONCATENATE(TEXT(B286,"00"),".",TEXT(C286,"000"),".",TEXT(D286,"000")),IF(G286="Serviço",CONCATENATE(TEXT(B286,"00"),".",TEXT(C286,"000"),".",TEXT(D286,"000"),".",TEXT(E286,"000")),"")))))</f>
        <v/>
      </c>
      <c r="I286" s="92" t="inlineStr">
        <is>
          <t>SERVIÇOS COMPLEMENTARES E FINAIS</t>
        </is>
      </c>
      <c r="J286" s="77" t="n"/>
      <c r="K286" s="353" t="n"/>
      <c r="L286" s="87" t="n"/>
      <c r="M286" s="354">
        <f>M287</f>
        <v/>
      </c>
      <c r="N286" s="79">
        <f>M286/$M$298</f>
        <v/>
      </c>
      <c r="O286" s="87">
        <f>M286/OBRA!$D$12</f>
        <v/>
      </c>
      <c r="P286" s="355" t="n"/>
    </row>
    <row r="287" outlineLevel="2" ht="19.9" customFormat="1" customHeight="1" s="1">
      <c r="A287" s="343">
        <f>IF(G287="UNIDADE CONSTRUTIVA",OFFSET(A287,-1,0)+1,LARGE(A$4:A286,1))</f>
        <v/>
      </c>
      <c r="B287" s="343">
        <f>IF(G287="UNIDADE CONSTRUTIVA",0,IF(G287="CÉLULA CONSTRUTIVA",OFFSET(B287,-1,0)+1,OFFSET(B287,-1,0)))</f>
        <v/>
      </c>
      <c r="C287" s="343">
        <f>IF(G287="CÉLULA CONSTRUTIVA",0,IF(G287="ETAPA",OFFSET(C287,-1,0)+1,OFFSET(C287,-1,0)))</f>
        <v/>
      </c>
      <c r="D287" s="347">
        <f>IF(G287="ETAPA",0,IF(G287="SUBETAPA",OFFSET(D287,-1,0)+1,OFFSET(D287,-1,0)))</f>
        <v/>
      </c>
      <c r="E287" s="347">
        <f>IF(G287="Subetapa",0,IF(G287="serviço",OFFSET(E287,-1,0)+1,OFFSET(E287,-1,0)))</f>
        <v/>
      </c>
      <c r="G287" s="75" t="inlineStr">
        <is>
          <t>Subetapa</t>
        </is>
      </c>
      <c r="H287" s="352">
        <f>IF(G287="Unidade Construtiva",CONCATENATE("UC ",TEXT(A287,"00")),IF(G287="Célula Construtiva",TEXT(B287,"00"),IF(G287="Etapa",CONCATENATE(TEXT(B287,"00"),".",TEXT(C287,"000")),IF(G287="Subetapa",CONCATENATE(TEXT(B287,"00"),".",TEXT(C287,"000"),".",TEXT(D287,"000")),IF(G287="Serviço",CONCATENATE(TEXT(B287,"00"),".",TEXT(C287,"000"),".",TEXT(D287,"000"),".",TEXT(E287,"000")),"")))))</f>
        <v/>
      </c>
      <c r="I287" s="92" t="inlineStr">
        <is>
          <t>Móveis e decoração</t>
        </is>
      </c>
      <c r="J287" s="77" t="n"/>
      <c r="K287" s="353" t="n"/>
      <c r="L287" s="87" t="n"/>
      <c r="M287" s="354">
        <f>SUM(M288:M293)</f>
        <v/>
      </c>
      <c r="N287" s="79">
        <f>M287/$M$298</f>
        <v/>
      </c>
      <c r="O287" s="87">
        <f>M287/OBRA!$D$12</f>
        <v/>
      </c>
      <c r="P287" s="355" t="n"/>
    </row>
    <row r="288" outlineLevel="3" ht="19.9" customFormat="1" customHeight="1" s="1">
      <c r="A288" s="343">
        <f>IF(G288="UNIDADE CONSTRUTIVA",OFFSET(A288,-1,0)+1,LARGE(A$4:A287,1))</f>
        <v/>
      </c>
      <c r="B288" s="343">
        <f>IF(G288="UNIDADE CONSTRUTIVA",0,IF(G288="CÉLULA CONSTRUTIVA",OFFSET(B288,-1,0)+1,OFFSET(B288,-1,0)))</f>
        <v/>
      </c>
      <c r="C288" s="343">
        <f>IF(G288="CÉLULA CONSTRUTIVA",0,IF(G288="ETAPA",OFFSET(C288,-1,0)+1,OFFSET(C288,-1,0)))</f>
        <v/>
      </c>
      <c r="D288" s="347">
        <f>IF(G288="ETAPA",0,IF(G288="SUBETAPA",OFFSET(D288,-1,0)+1,OFFSET(D288,-1,0)))</f>
        <v/>
      </c>
      <c r="E288" s="347">
        <f>IF(G288="Subetapa",0,IF(G288="serviço",OFFSET(E288,-1,0)+1,OFFSET(E288,-1,0)))</f>
        <v/>
      </c>
      <c r="G288" s="75" t="inlineStr">
        <is>
          <t>Serviço</t>
        </is>
      </c>
      <c r="H288" s="352">
        <f>IF(G288="Unidade Construtiva",CONCATENATE("UC ",TEXT(A288,"00")),IF(G288="Célula Construtiva",TEXT(B288,"00"),IF(G288="Etapa",CONCATENATE(TEXT(B288,"00"),".",TEXT(C288,"000")),IF(G288="Subetapa",CONCATENATE(TEXT(B288,"00"),".",TEXT(C288,"000"),".",TEXT(D288,"000")),IF(G288="Serviço",CONCATENATE(TEXT(B288,"00"),".",TEXT(C288,"000"),".",TEXT(D288,"000"),".",TEXT(E288,"000")),"")))))</f>
        <v/>
      </c>
      <c r="I288" s="92" t="inlineStr">
        <is>
          <t>Móveis e decoração</t>
        </is>
      </c>
      <c r="J288" s="77" t="inlineStr">
        <is>
          <t>m²</t>
        </is>
      </c>
      <c r="K288" s="353" t="n">
        <v>709.4300000000001</v>
      </c>
      <c r="L288" s="87">
        <f>M288/K288</f>
        <v/>
      </c>
      <c r="M288" s="354" t="n">
        <v>1365652.75</v>
      </c>
      <c r="N288" s="79">
        <f>M288/$M$298</f>
        <v/>
      </c>
      <c r="O288" s="87">
        <f>M288/OBRA!$D$12</f>
        <v/>
      </c>
      <c r="P288" s="355" t="n"/>
    </row>
    <row r="289" outlineLevel="3" ht="19.9" customFormat="1" customHeight="1" s="1">
      <c r="A289" s="343">
        <f>IF(G289="UNIDADE CONSTRUTIVA",OFFSET(A289,-1,0)+1,LARGE(A$4:A288,1))</f>
        <v/>
      </c>
      <c r="B289" s="343">
        <f>IF(G289="UNIDADE CONSTRUTIVA",0,IF(G289="CÉLULA CONSTRUTIVA",OFFSET(B289,-1,0)+1,OFFSET(B289,-1,0)))</f>
        <v/>
      </c>
      <c r="C289" s="343">
        <f>IF(G289="CÉLULA CONSTRUTIVA",0,IF(G289="ETAPA",OFFSET(C289,-1,0)+1,OFFSET(C289,-1,0)))</f>
        <v/>
      </c>
      <c r="D289" s="347">
        <f>IF(G289="ETAPA",0,IF(G289="SUBETAPA",OFFSET(D289,-1,0)+1,OFFSET(D289,-1,0)))</f>
        <v/>
      </c>
      <c r="E289" s="347">
        <f>IF(G289="Subetapa",0,IF(G289="serviço",OFFSET(E289,-1,0)+1,OFFSET(E289,-1,0)))</f>
        <v/>
      </c>
      <c r="G289" s="75" t="inlineStr">
        <is>
          <t>Serviço</t>
        </is>
      </c>
      <c r="H289" s="352">
        <f>IF(G289="Unidade Construtiva",CONCATENATE("UC ",TEXT(A289,"00")),IF(G289="Célula Construtiva",TEXT(B289,"00"),IF(G289="Etapa",CONCATENATE(TEXT(B289,"00"),".",TEXT(C289,"000")),IF(G289="Subetapa",CONCATENATE(TEXT(B289,"00"),".",TEXT(C289,"000"),".",TEXT(D289,"000")),IF(G289="Serviço",CONCATENATE(TEXT(B289,"00"),".",TEXT(C289,"000"),".",TEXT(D289,"000"),".",TEXT(E289,"000")),"")))))</f>
        <v/>
      </c>
      <c r="I289" s="92" t="inlineStr">
        <is>
          <t>Comunicação visual</t>
        </is>
      </c>
      <c r="J289" s="77" t="inlineStr">
        <is>
          <t>vb</t>
        </is>
      </c>
      <c r="K289" s="353" t="n">
        <v>1</v>
      </c>
      <c r="L289" s="87">
        <f>M289/K289</f>
        <v/>
      </c>
      <c r="M289" s="354" t="n">
        <v>144625.58</v>
      </c>
      <c r="N289" s="79">
        <f>M289/$M$298</f>
        <v/>
      </c>
      <c r="O289" s="87">
        <f>M289/OBRA!$D$12</f>
        <v/>
      </c>
      <c r="P289" s="355" t="n"/>
    </row>
    <row r="290" outlineLevel="3" ht="19.9" customFormat="1" customHeight="1" s="1">
      <c r="A290" s="343">
        <f>IF(G290="UNIDADE CONSTRUTIVA",OFFSET(A290,-1,0)+1,LARGE(A$4:A289,1))</f>
        <v/>
      </c>
      <c r="B290" s="343">
        <f>IF(G290="UNIDADE CONSTRUTIVA",0,IF(G290="CÉLULA CONSTRUTIVA",OFFSET(B290,-1,0)+1,OFFSET(B290,-1,0)))</f>
        <v/>
      </c>
      <c r="C290" s="343">
        <f>IF(G290="CÉLULA CONSTRUTIVA",0,IF(G290="ETAPA",OFFSET(C290,-1,0)+1,OFFSET(C290,-1,0)))</f>
        <v/>
      </c>
      <c r="D290" s="347">
        <f>IF(G290="ETAPA",0,IF(G290="SUBETAPA",OFFSET(D290,-1,0)+1,OFFSET(D290,-1,0)))</f>
        <v/>
      </c>
      <c r="E290" s="347">
        <f>IF(G290="Subetapa",0,IF(G290="serviço",OFFSET(E290,-1,0)+1,OFFSET(E290,-1,0)))</f>
        <v/>
      </c>
      <c r="G290" s="75" t="inlineStr">
        <is>
          <t>Serviço</t>
        </is>
      </c>
      <c r="H290" s="352">
        <f>IF(G290="Unidade Construtiva",CONCATENATE("UC ",TEXT(A290,"00")),IF(G290="Célula Construtiva",TEXT(B290,"00"),IF(G290="Etapa",CONCATENATE(TEXT(B290,"00"),".",TEXT(C290,"000")),IF(G290="Subetapa",CONCATENATE(TEXT(B290,"00"),".",TEXT(C290,"000"),".",TEXT(D290,"000")),IF(G290="Serviço",CONCATENATE(TEXT(B290,"00"),".",TEXT(C290,"000"),".",TEXT(D290,"000"),".",TEXT(E290,"000")),"")))))</f>
        <v/>
      </c>
      <c r="I290" s="92" t="inlineStr">
        <is>
          <t>Paisagismo</t>
        </is>
      </c>
      <c r="J290" s="77" t="inlineStr">
        <is>
          <t>m²</t>
        </is>
      </c>
      <c r="K290" s="353" t="n">
        <v>663.76</v>
      </c>
      <c r="L290" s="87" t="n">
        <v>1570.48</v>
      </c>
      <c r="M290" s="354">
        <f>K290*L290</f>
        <v/>
      </c>
      <c r="N290" s="79">
        <f>M290/$M$298</f>
        <v/>
      </c>
      <c r="O290" s="87">
        <f>M290/OBRA!$D$12</f>
        <v/>
      </c>
      <c r="P290" s="355" t="n"/>
    </row>
    <row r="291" outlineLevel="3" ht="19.9" customFormat="1" customHeight="1" s="1">
      <c r="A291" s="343">
        <f>IF(G291="UNIDADE CONSTRUTIVA",OFFSET(A291,-1,0)+1,LARGE(A$4:A290,1))</f>
        <v/>
      </c>
      <c r="B291" s="343">
        <f>IF(G291="UNIDADE CONSTRUTIVA",0,IF(G291="CÉLULA CONSTRUTIVA",OFFSET(B291,-1,0)+1,OFFSET(B291,-1,0)))</f>
        <v/>
      </c>
      <c r="C291" s="343">
        <f>IF(G291="CÉLULA CONSTRUTIVA",0,IF(G291="ETAPA",OFFSET(C291,-1,0)+1,OFFSET(C291,-1,0)))</f>
        <v/>
      </c>
      <c r="D291" s="347">
        <f>IF(G291="ETAPA",0,IF(G291="SUBETAPA",OFFSET(D291,-1,0)+1,OFFSET(D291,-1,0)))</f>
        <v/>
      </c>
      <c r="E291" s="347">
        <f>IF(G291="Subetapa",0,IF(G291="serviço",OFFSET(E291,-1,0)+1,OFFSET(E291,-1,0)))</f>
        <v/>
      </c>
      <c r="G291" s="75" t="inlineStr">
        <is>
          <t>Serviço</t>
        </is>
      </c>
      <c r="H291" s="352">
        <f>IF(G291="Unidade Construtiva",CONCATENATE("UC ",TEXT(A291,"00")),IF(G291="Célula Construtiva",TEXT(B291,"00"),IF(G291="Etapa",CONCATENATE(TEXT(B291,"00"),".",TEXT(C291,"000")),IF(G291="Subetapa",CONCATENATE(TEXT(B291,"00"),".",TEXT(C291,"000"),".",TEXT(D291,"000")),IF(G291="Serviço",CONCATENATE(TEXT(B291,"00"),".",TEXT(C291,"000"),".",TEXT(D291,"000"),".",TEXT(E291,"000")),"")))))</f>
        <v/>
      </c>
      <c r="I291" s="92" t="inlineStr">
        <is>
          <t>Ligações definitivas</t>
        </is>
      </c>
      <c r="J291" s="77" t="inlineStr">
        <is>
          <t>vb</t>
        </is>
      </c>
      <c r="K291" s="353" t="n">
        <v>1</v>
      </c>
      <c r="L291" s="87">
        <f>M291/K291</f>
        <v/>
      </c>
      <c r="M291" s="354" t="n">
        <v>57850.23200000001</v>
      </c>
      <c r="N291" s="79">
        <f>M291/$M$298</f>
        <v/>
      </c>
      <c r="O291" s="87">
        <f>M291/OBRA!$D$12</f>
        <v/>
      </c>
      <c r="P291" s="355" t="n"/>
    </row>
    <row r="292" outlineLevel="3" ht="19.9" customFormat="1" customHeight="1" s="1">
      <c r="A292" s="343">
        <f>IF(G292="UNIDADE CONSTRUTIVA",OFFSET(A292,-1,0)+1,LARGE(A$4:A291,1))</f>
        <v/>
      </c>
      <c r="B292" s="343">
        <f>IF(G292="UNIDADE CONSTRUTIVA",0,IF(G292="CÉLULA CONSTRUTIVA",OFFSET(B292,-1,0)+1,OFFSET(B292,-1,0)))</f>
        <v/>
      </c>
      <c r="C292" s="343">
        <f>IF(G292="CÉLULA CONSTRUTIVA",0,IF(G292="ETAPA",OFFSET(C292,-1,0)+1,OFFSET(C292,-1,0)))</f>
        <v/>
      </c>
      <c r="D292" s="347">
        <f>IF(G292="ETAPA",0,IF(G292="SUBETAPA",OFFSET(D292,-1,0)+1,OFFSET(D292,-1,0)))</f>
        <v/>
      </c>
      <c r="E292" s="347">
        <f>IF(G292="Subetapa",0,IF(G292="serviço",OFFSET(E292,-1,0)+1,OFFSET(E292,-1,0)))</f>
        <v/>
      </c>
      <c r="G292" s="75" t="inlineStr">
        <is>
          <t>Serviço</t>
        </is>
      </c>
      <c r="H292" s="352">
        <f>IF(G292="Unidade Construtiva",CONCATENATE("UC ",TEXT(A292,"00")),IF(G292="Célula Construtiva",TEXT(B292,"00"),IF(G292="Etapa",CONCATENATE(TEXT(B292,"00"),".",TEXT(C292,"000")),IF(G292="Subetapa",CONCATENATE(TEXT(B292,"00"),".",TEXT(C292,"000"),".",TEXT(D292,"000")),IF(G292="Serviço",CONCATENATE(TEXT(B292,"00"),".",TEXT(C292,"000"),".",TEXT(D292,"000"),".",TEXT(E292,"000")),"")))))</f>
        <v/>
      </c>
      <c r="I292" s="92" t="inlineStr">
        <is>
          <t>Desmobilização</t>
        </is>
      </c>
      <c r="J292" s="77" t="inlineStr">
        <is>
          <t>vb</t>
        </is>
      </c>
      <c r="K292" s="353" t="n">
        <v>1</v>
      </c>
      <c r="L292" s="87">
        <f>M292/K292</f>
        <v/>
      </c>
      <c r="M292" s="354" t="n">
        <v>43387.67400000001</v>
      </c>
      <c r="N292" s="79">
        <f>M292/$M$298</f>
        <v/>
      </c>
      <c r="O292" s="87">
        <f>M292/OBRA!$D$12</f>
        <v/>
      </c>
      <c r="P292" s="355" t="n"/>
    </row>
    <row r="293" outlineLevel="3" ht="19.9" customFormat="1" customHeight="1" s="1">
      <c r="A293" s="343">
        <f>IF(G293="UNIDADE CONSTRUTIVA",OFFSET(A293,-1,0)+1,LARGE(A$4:A292,1))</f>
        <v/>
      </c>
      <c r="B293" s="343">
        <f>IF(G293="UNIDADE CONSTRUTIVA",0,IF(G293="CÉLULA CONSTRUTIVA",OFFSET(B293,-1,0)+1,OFFSET(B293,-1,0)))</f>
        <v/>
      </c>
      <c r="C293" s="343">
        <f>IF(G293="CÉLULA CONSTRUTIVA",0,IF(G293="ETAPA",OFFSET(C293,-1,0)+1,OFFSET(C293,-1,0)))</f>
        <v/>
      </c>
      <c r="D293" s="347">
        <f>IF(G293="ETAPA",0,IF(G293="SUBETAPA",OFFSET(D293,-1,0)+1,OFFSET(D293,-1,0)))</f>
        <v/>
      </c>
      <c r="E293" s="347">
        <f>IF(G293="Subetapa",0,IF(G293="serviço",OFFSET(E293,-1,0)+1,OFFSET(E293,-1,0)))</f>
        <v/>
      </c>
      <c r="G293" s="75" t="inlineStr">
        <is>
          <t>Serviço</t>
        </is>
      </c>
      <c r="H293" s="352">
        <f>IF(G293="Unidade Construtiva",CONCATENATE("UC ",TEXT(A293,"00")),IF(G293="Célula Construtiva",TEXT(B293,"00"),IF(G293="Etapa",CONCATENATE(TEXT(B293,"00"),".",TEXT(C293,"000")),IF(G293="Subetapa",CONCATENATE(TEXT(B293,"00"),".",TEXT(C293,"000"),".",TEXT(D293,"000")),IF(G293="Serviço",CONCATENATE(TEXT(B293,"00"),".",TEXT(C293,"000"),".",TEXT(D293,"000"),".",TEXT(E293,"000")),"")))))</f>
        <v/>
      </c>
      <c r="I293" s="92" t="inlineStr">
        <is>
          <t>Limpeza</t>
        </is>
      </c>
      <c r="J293" s="77" t="inlineStr">
        <is>
          <t>vb</t>
        </is>
      </c>
      <c r="K293" s="353" t="n">
        <v>1</v>
      </c>
      <c r="L293" s="87">
        <f>M293/K293</f>
        <v/>
      </c>
      <c r="M293" s="354" t="n">
        <v>289251.1600000001</v>
      </c>
      <c r="N293" s="79">
        <f>M293/$M$298</f>
        <v/>
      </c>
      <c r="O293" s="87">
        <f>M293/OBRA!$D$12</f>
        <v/>
      </c>
      <c r="P293" s="355" t="n"/>
    </row>
    <row r="294" outlineLevel="1" ht="19.9" customFormat="1" customHeight="1" s="1">
      <c r="A294" s="343">
        <f>IF(G294="UNIDADE CONSTRUTIVA",OFFSET(A294,-1,0)+1,LARGE(A$4:A289,1))</f>
        <v/>
      </c>
      <c r="B294" s="343">
        <f>IF(G294="UNIDADE CONSTRUTIVA",0,IF(G294="CÉLULA CONSTRUTIVA",OFFSET(B294,-1,0)+1,OFFSET(B294,-1,0)))</f>
        <v/>
      </c>
      <c r="C294" s="343">
        <f>IF(G294="CÉLULA CONSTRUTIVA",0,IF(G294="ETAPA",OFFSET(C294,-1,0)+1,OFFSET(C294,-1,0)))</f>
        <v/>
      </c>
      <c r="D294" s="347">
        <f>IF(G294="ETAPA",0,IF(G294="SUBETAPA",OFFSET(D294,-1,0)+1,OFFSET(D294,-1,0)))</f>
        <v/>
      </c>
      <c r="E294" s="347">
        <f>IF(G294="Subetapa",0,IF(G294="serviço",OFFSET(E294,-1,0)+1,OFFSET(E294,-1,0)))</f>
        <v/>
      </c>
      <c r="G294" s="75" t="inlineStr">
        <is>
          <t>CÉLULA CONSTRUTIVA</t>
        </is>
      </c>
      <c r="H294" s="352">
        <f>IF(G294="Unidade Construtiva",CONCATENATE("UC ",TEXT(A294,"00")),IF(G294="Célula Construtiva",TEXT(B294,"00"),IF(G294="Etapa",CONCATENATE(TEXT(B294,"00"),".",TEXT(C294,"000")),IF(G294="Subetapa",CONCATENATE(TEXT(B294,"00"),".",TEXT(C294,"000"),".",TEXT(D294,"000")),IF(G294="Serviço",CONCATENATE(TEXT(B294,"00"),".",TEXT(C294,"000"),".",TEXT(D294,"000"),".",TEXT(E294,"000")),"")))))</f>
        <v/>
      </c>
      <c r="I294" s="92" t="inlineStr">
        <is>
          <t>IMPREVISTOS E CONTINGÊNCIAS</t>
        </is>
      </c>
      <c r="J294" s="77" t="inlineStr">
        <is>
          <t>vb</t>
        </is>
      </c>
      <c r="K294" s="353" t="n">
        <v>1</v>
      </c>
      <c r="L294" s="87" t="n">
        <v>823229.0600000001</v>
      </c>
      <c r="M294" s="354">
        <f>K294*L294</f>
        <v/>
      </c>
      <c r="N294" s="79">
        <f>M294/$M$298</f>
        <v/>
      </c>
      <c r="O294" s="87">
        <f>M294/OBRA!$D$12</f>
        <v/>
      </c>
      <c r="P294" s="355" t="n"/>
    </row>
    <row r="295" outlineLevel="2" ht="19.9" customFormat="1" customHeight="1" s="1">
      <c r="A295" s="343">
        <f>IF(G295="UNIDADE CONSTRUTIVA",OFFSET(A295,-1,0)+1,LARGE(A$4:A294,1))</f>
        <v/>
      </c>
      <c r="B295" s="343">
        <f>IF(G295="UNIDADE CONSTRUTIVA",0,IF(G295="CÉLULA CONSTRUTIVA",OFFSET(B295,-1,0)+1,OFFSET(B295,-1,0)))</f>
        <v/>
      </c>
      <c r="C295" s="343">
        <f>IF(G295="CÉLULA CONSTRUTIVA",0,IF(G295="ETAPA",OFFSET(C295,-1,0)+1,OFFSET(C295,-1,0)))</f>
        <v/>
      </c>
      <c r="D295" s="347">
        <f>IF(G295="ETAPA",0,IF(G295="SUBETAPA",OFFSET(D295,-1,0)+1,OFFSET(D295,-1,0)))</f>
        <v/>
      </c>
      <c r="E295" s="347">
        <f>IF(G295="Subetapa",0,IF(G295="serviço",OFFSET(E295,-1,0)+1,OFFSET(E295,-1,0)))</f>
        <v/>
      </c>
      <c r="G295" s="75" t="inlineStr">
        <is>
          <t>ETAPA</t>
        </is>
      </c>
      <c r="H295" s="352">
        <f>IF(G295="Unidade Construtiva",CONCATENATE("UC ",TEXT(A295,"00")),IF(G295="Célula Construtiva",TEXT(B295,"00"),IF(G295="Etapa",CONCATENATE(TEXT(B295,"00"),".",TEXT(C295,"000")),IF(G295="Subetapa",CONCATENATE(TEXT(B295,"00"),".",TEXT(C295,"000"),".",TEXT(D295,"000")),IF(G295="Serviço",CONCATENATE(TEXT(B295,"00"),".",TEXT(C295,"000"),".",TEXT(D295,"000"),".",TEXT(E295,"000")),"")))))</f>
        <v/>
      </c>
      <c r="I295" s="92" t="inlineStr">
        <is>
          <t>IMPREVISTOS E CONTINGÊNCIAS</t>
        </is>
      </c>
      <c r="J295" s="77" t="n"/>
      <c r="K295" s="353" t="n"/>
      <c r="L295" s="87" t="n"/>
      <c r="M295" s="354">
        <f>M296</f>
        <v/>
      </c>
      <c r="N295" s="79">
        <f>M295/$M$298</f>
        <v/>
      </c>
      <c r="O295" s="87">
        <f>M295/OBRA!$D$12</f>
        <v/>
      </c>
      <c r="P295" s="355" t="n"/>
    </row>
    <row r="296" outlineLevel="2" ht="19.9" customFormat="1" customHeight="1" s="1">
      <c r="A296" s="343">
        <f>IF(G296="UNIDADE CONSTRUTIVA",OFFSET(A296,-1,0)+1,LARGE(A$4:A295,1))</f>
        <v/>
      </c>
      <c r="B296" s="343">
        <f>IF(G296="UNIDADE CONSTRUTIVA",0,IF(G296="CÉLULA CONSTRUTIVA",OFFSET(B296,-1,0)+1,OFFSET(B296,-1,0)))</f>
        <v/>
      </c>
      <c r="C296" s="343">
        <f>IF(G296="CÉLULA CONSTRUTIVA",0,IF(G296="ETAPA",OFFSET(C296,-1,0)+1,OFFSET(C296,-1,0)))</f>
        <v/>
      </c>
      <c r="D296" s="347">
        <f>IF(G296="ETAPA",0,IF(G296="SUBETAPA",OFFSET(D296,-1,0)+1,OFFSET(D296,-1,0)))</f>
        <v/>
      </c>
      <c r="E296" s="347">
        <f>IF(G296="Subetapa",0,IF(G296="serviço",OFFSET(E296,-1,0)+1,OFFSET(E296,-1,0)))</f>
        <v/>
      </c>
      <c r="G296" s="75" t="inlineStr">
        <is>
          <t>Subetapa</t>
        </is>
      </c>
      <c r="H296" s="352">
        <f>IF(G296="Unidade Construtiva",CONCATENATE("UC ",TEXT(A296,"00")),IF(G296="Célula Construtiva",TEXT(B296,"00"),IF(G296="Etapa",CONCATENATE(TEXT(B296,"00"),".",TEXT(C296,"000")),IF(G296="Subetapa",CONCATENATE(TEXT(B296,"00"),".",TEXT(C296,"000"),".",TEXT(D296,"000")),IF(G296="Serviço",CONCATENATE(TEXT(B296,"00"),".",TEXT(C296,"000"),".",TEXT(D296,"000"),".",TEXT(E296,"000")),"")))))</f>
        <v/>
      </c>
      <c r="I296" s="92" t="inlineStr">
        <is>
          <t>Imprevistos e contingências</t>
        </is>
      </c>
      <c r="J296" s="77" t="n"/>
      <c r="K296" s="353" t="n"/>
      <c r="L296" s="87" t="n"/>
      <c r="M296" s="354">
        <f>M297</f>
        <v/>
      </c>
      <c r="N296" s="79">
        <f>M296/$M$298</f>
        <v/>
      </c>
      <c r="O296" s="87">
        <f>M296/OBRA!$D$12</f>
        <v/>
      </c>
      <c r="P296" s="355" t="n"/>
    </row>
    <row r="297" outlineLevel="3" ht="19.9" customFormat="1" customHeight="1" s="1">
      <c r="A297" s="343">
        <f>IF(G297="UNIDADE CONSTRUTIVA",OFFSET(A297,-1,0)+1,LARGE(A$4:A296,1))</f>
        <v/>
      </c>
      <c r="B297" s="343">
        <f>IF(G297="UNIDADE CONSTRUTIVA",0,IF(G297="CÉLULA CONSTRUTIVA",OFFSET(B297,-1,0)+1,OFFSET(B297,-1,0)))</f>
        <v/>
      </c>
      <c r="C297" s="343">
        <f>IF(G297="CÉLULA CONSTRUTIVA",0,IF(G297="ETAPA",OFFSET(C297,-1,0)+1,OFFSET(C297,-1,0)))</f>
        <v/>
      </c>
      <c r="D297" s="347">
        <f>IF(G297="ETAPA",0,IF(G297="SUBETAPA",OFFSET(D297,-1,0)+1,OFFSET(D297,-1,0)))</f>
        <v/>
      </c>
      <c r="E297" s="347">
        <f>IF(G297="Subetapa",0,IF(G297="serviço",OFFSET(E297,-1,0)+1,OFFSET(E297,-1,0)))</f>
        <v/>
      </c>
      <c r="G297" s="75" t="inlineStr">
        <is>
          <t>Serviço</t>
        </is>
      </c>
      <c r="H297" s="352">
        <f>IF(G297="Unidade Construtiva",CONCATENATE("UC ",TEXT(A297,"00")),IF(G297="Célula Construtiva",TEXT(B297,"00"),IF(G297="Etapa",CONCATENATE(TEXT(B297,"00"),".",TEXT(C297,"000")),IF(G297="Subetapa",CONCATENATE(TEXT(B297,"00"),".",TEXT(C297,"000"),".",TEXT(D297,"000")),IF(G297="Serviço",CONCATENATE(TEXT(B297,"00"),".",TEXT(C297,"000"),".",TEXT(D297,"000"),".",TEXT(E297,"000")),"")))))</f>
        <v/>
      </c>
      <c r="I297" s="92" t="inlineStr">
        <is>
          <t>Imprevistos e contingências</t>
        </is>
      </c>
      <c r="J297" s="77" t="inlineStr">
        <is>
          <t>vb</t>
        </is>
      </c>
      <c r="K297" s="353" t="n">
        <v>1</v>
      </c>
      <c r="L297" s="87">
        <f>M297/K297</f>
        <v/>
      </c>
      <c r="M297" s="354">
        <f>(M285+M276+M259+M250+M235+M226+M215+M192+M167+M154+M144+M129+M120+M102+M92)*0.03</f>
        <v/>
      </c>
      <c r="N297" s="79">
        <f>M297/$M$298</f>
        <v/>
      </c>
      <c r="O297" s="87">
        <f>M297/OBRA!$D$12</f>
        <v/>
      </c>
      <c r="P297" s="355" t="n"/>
    </row>
    <row r="298" ht="19.9" customFormat="1" customHeight="1" s="103">
      <c r="A298" s="101" t="n"/>
      <c r="B298" s="101" t="n"/>
      <c r="C298" s="101" t="n"/>
      <c r="D298" s="101" t="n"/>
      <c r="E298" s="102" t="n"/>
      <c r="G298" s="361">
        <f>IF(F298="Unidade Construtiva",CONCATENATE("UC ",TEXT(#REF!,"00")),IF(F298="Célula Construtiva",TEXT(A298,"00"),IF(F298="Etapa",CONCATENATE(TEXT(A298,"00"),".",TEXT(B298,"000")),IF(F298="Subetapa",CONCATENATE(TEXT(A298,"00"),".",TEXT(B298,"000"),".",TEXT(C298,"000")),IF(F298="Serviço",CONCATENATE(TEXT(A298,"00"),".",TEXT(B298,"000"),".",TEXT(C298,"000"),".",TEXT(D298,"000")),"")))))</f>
        <v/>
      </c>
      <c r="H298" s="362">
        <f>IF(G298="Unidade Construtiva",CONCATENATE("UC ",TEXT(A298,"00")),IF(G298="Célula Construtiva",TEXT(B298,"00"),IF(G298="Etapa",CONCATENATE(TEXT(B298,"00"),".",TEXT(C298,"000")),IF(G298="Subetapa",CONCATENATE(TEXT(B298,"00"),".",TEXT(C298,"000"),".",TEXT(D298,"000")),IF(G298="Serviço",CONCATENATE(TEXT(B298,"00"),".",TEXT(C298,"000"),".",TEXT(D298,"000"),".",TEXT(E298,"000")),"")))))</f>
        <v/>
      </c>
      <c r="I298" s="96" t="inlineStr">
        <is>
          <t>TOTAL DA OBRA</t>
        </is>
      </c>
      <c r="J298" s="67" t="n"/>
      <c r="K298" s="67" t="n"/>
      <c r="L298" s="88" t="n"/>
      <c r="M298" s="363">
        <f>M91+M13</f>
        <v/>
      </c>
      <c r="N298" s="364">
        <f>N91+N13</f>
        <v/>
      </c>
      <c r="O298" s="364">
        <f>O91+O13</f>
        <v/>
      </c>
      <c r="P298" s="365" t="n"/>
    </row>
  </sheetData>
  <autoFilter ref="A11:P298"/>
  <mergeCells count="20">
    <mergeCell ref="G12:H12"/>
    <mergeCell ref="I6:J6"/>
    <mergeCell ref="M8:P8"/>
    <mergeCell ref="K5:L5"/>
    <mergeCell ref="M4:P4"/>
    <mergeCell ref="G7:H7"/>
    <mergeCell ref="I7:J7"/>
    <mergeCell ref="G6:H6"/>
    <mergeCell ref="M9:P9"/>
    <mergeCell ref="M5:P5"/>
    <mergeCell ref="I12:J12"/>
    <mergeCell ref="K12:L12"/>
    <mergeCell ref="G5:H5"/>
    <mergeCell ref="I5:J5"/>
    <mergeCell ref="G1:P2"/>
    <mergeCell ref="K7:L7"/>
    <mergeCell ref="H10:P10"/>
    <mergeCell ref="M7:P7"/>
    <mergeCell ref="M6:P6"/>
    <mergeCell ref="K6:L6"/>
  </mergeCells>
  <conditionalFormatting sqref="G160:I163 G165:I166 I160:I166">
    <cfRule type="expression" priority="310" dxfId="2">
      <formula>$G160="célula construtiva"</formula>
    </cfRule>
    <cfRule type="expression" priority="311" dxfId="1">
      <formula>$G160="unidade construtiva"</formula>
    </cfRule>
    <cfRule type="expression" priority="312" dxfId="0">
      <formula>$G160="etapa"</formula>
    </cfRule>
  </conditionalFormatting>
  <conditionalFormatting sqref="G164:I164">
    <cfRule type="expression" priority="122" dxfId="2">
      <formula>$G164="célula construtiva"</formula>
    </cfRule>
    <cfRule type="expression" priority="123" dxfId="1">
      <formula>$G164="unidade construtiva"</formula>
    </cfRule>
    <cfRule type="expression" priority="124" dxfId="0">
      <formula>$G164="etapa"</formula>
    </cfRule>
  </conditionalFormatting>
  <conditionalFormatting sqref="G13:P159">
    <cfRule type="expression" priority="93" dxfId="6">
      <formula>$G13="subetapa"</formula>
    </cfRule>
    <cfRule type="expression" priority="94" dxfId="2">
      <formula>$G13="célula construtiva"</formula>
    </cfRule>
    <cfRule type="expression" priority="95" dxfId="1">
      <formula>$G13="unidade construtiva"</formula>
    </cfRule>
    <cfRule type="expression" priority="96" dxfId="0">
      <formula>$G13="etapa"</formula>
    </cfRule>
  </conditionalFormatting>
  <conditionalFormatting sqref="G160:P166">
    <cfRule type="expression" priority="109" dxfId="6">
      <formula>$G160="subetapa"</formula>
    </cfRule>
  </conditionalFormatting>
  <conditionalFormatting sqref="G167:P299">
    <cfRule type="expression" priority="1" dxfId="6">
      <formula>$G167="subetapa"</formula>
    </cfRule>
    <cfRule type="expression" priority="2" dxfId="2">
      <formula>$G167="célula construtiva"</formula>
    </cfRule>
    <cfRule type="expression" priority="3" dxfId="1">
      <formula>$G167="unidade construtiva"</formula>
    </cfRule>
    <cfRule type="expression" priority="4" dxfId="0">
      <formula>$G167="etapa"</formula>
    </cfRule>
  </conditionalFormatting>
  <conditionalFormatting sqref="I160:I166">
    <cfRule type="expression" priority="309" dxfId="6">
      <formula>$G160="subetapa"</formula>
    </cfRule>
  </conditionalFormatting>
  <conditionalFormatting sqref="I163">
    <cfRule type="expression" priority="105" dxfId="6">
      <formula>$G163="subetapa"</formula>
    </cfRule>
    <cfRule type="expression" priority="106" dxfId="2">
      <formula>$G163="célula construtiva"</formula>
    </cfRule>
    <cfRule type="expression" priority="107" dxfId="1">
      <formula>$G163="unidade construtiva"</formula>
    </cfRule>
    <cfRule type="expression" priority="108" dxfId="0">
      <formula>$G163="etapa"</formula>
    </cfRule>
  </conditionalFormatting>
  <conditionalFormatting sqref="I165">
    <cfRule type="expression" priority="97" dxfId="6">
      <formula>$G165="subetapa"</formula>
    </cfRule>
    <cfRule type="expression" priority="98" dxfId="2">
      <formula>$G165="célula construtiva"</formula>
    </cfRule>
    <cfRule type="expression" priority="99" dxfId="1">
      <formula>$G165="unidade construtiva"</formula>
    </cfRule>
    <cfRule type="expression" priority="100" dxfId="0">
      <formula>$G165="etapa"</formula>
    </cfRule>
  </conditionalFormatting>
  <conditionalFormatting sqref="I165:I166">
    <cfRule type="expression" priority="101" dxfId="6">
      <formula>$G165="subetapa"</formula>
    </cfRule>
    <cfRule type="expression" priority="102" dxfId="2">
      <formula>$G165="célula construtiva"</formula>
    </cfRule>
    <cfRule type="expression" priority="103" dxfId="1">
      <formula>$G165="unidade construtiva"</formula>
    </cfRule>
    <cfRule type="expression" priority="104" dxfId="0">
      <formula>$G165="etapa"</formula>
    </cfRule>
  </conditionalFormatting>
  <conditionalFormatting sqref="J160:P166">
    <cfRule type="expression" priority="110" dxfId="2">
      <formula>$G160="célula construtiva"</formula>
    </cfRule>
    <cfRule type="expression" priority="111" dxfId="1">
      <formula>$G160="unidade construtiva"</formula>
    </cfRule>
    <cfRule type="expression" priority="112" dxfId="0">
      <formula>$G160="etapa"</formula>
    </cfRule>
  </conditionalFormatting>
  <dataValidations count="1">
    <dataValidation sqref="G13:G299" showDropDown="0" showInputMessage="1" showErrorMessage="1" allowBlank="1" type="list">
      <formula1>"UNIDADE CONSTRUTIVA,CÉLULA CONSTRUTIVA,ETAPA,Subetapa,Serviço"</formula1>
    </dataValidation>
  </dataValidations>
  <pageMargins left="0.5299999713897705" right="0.5299999713897705" top="0.5299999713897705" bottom="0.6899999976158142" header="0" footer="0"/>
  <pageSetup orientation="portrait" paperSize="9" fitToHeight="0" fitToWidth="0" firstPageNumber="0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23"/>
  <sheetViews>
    <sheetView showGridLines="0" workbookViewId="0">
      <selection activeCell="C22" sqref="C22"/>
    </sheetView>
  </sheetViews>
  <sheetFormatPr baseColWidth="8" defaultRowHeight="12.75"/>
  <cols>
    <col width="4.140625" customWidth="1" min="1" max="1"/>
    <col hidden="1" width="69.85546875" customWidth="1" min="2" max="2"/>
    <col width="25.42578125" bestFit="1" customWidth="1" min="3" max="3"/>
    <col width="20.7109375" customWidth="1" style="57" min="4" max="4"/>
    <col width="17.28515625" customWidth="1" min="5" max="5"/>
    <col width="14.7109375" customWidth="1" min="6" max="6"/>
  </cols>
  <sheetData>
    <row r="2">
      <c r="D2" s="90" t="n"/>
      <c r="E2" s="59" t="n"/>
      <c r="F2" s="48" t="n"/>
      <c r="G2" s="48" t="n"/>
      <c r="H2" s="48" t="n"/>
      <c r="I2" s="48" t="n"/>
      <c r="J2" s="48" t="n"/>
      <c r="K2" s="48" t="n"/>
      <c r="L2" s="48" t="n"/>
      <c r="M2" s="48" t="n"/>
    </row>
    <row r="3">
      <c r="B3" s="48" t="n"/>
      <c r="C3" s="61" t="inlineStr">
        <is>
          <t>Descrição</t>
        </is>
      </c>
      <c r="D3" s="91" t="inlineStr">
        <is>
          <t>Quantidade</t>
        </is>
      </c>
      <c r="E3" s="62" t="inlineStr">
        <is>
          <t>Custo</t>
        </is>
      </c>
      <c r="F3" s="61" t="n"/>
      <c r="G3" s="48" t="n"/>
      <c r="H3" s="48" t="n"/>
      <c r="I3" s="48" t="n"/>
      <c r="J3" s="48" t="n"/>
      <c r="K3" s="48" t="n"/>
      <c r="L3" s="48" t="n"/>
      <c r="M3" s="48" t="n"/>
    </row>
    <row r="4">
      <c r="B4" s="48" t="inlineStr">
        <is>
          <t>COMPRA CUBETAS</t>
        </is>
      </c>
      <c r="C4" s="48" t="n"/>
      <c r="E4" s="366" t="n"/>
      <c r="F4" s="48" t="n"/>
      <c r="G4" s="48" t="n"/>
      <c r="H4" s="48" t="n"/>
      <c r="I4" s="48" t="n"/>
      <c r="J4" s="48" t="n"/>
      <c r="K4" s="48" t="n"/>
      <c r="L4" s="48" t="n"/>
      <c r="M4" s="48" t="n"/>
    </row>
    <row r="5">
      <c r="B5" s="48" t="inlineStr">
        <is>
          <t>LOCAÇÃO DE CUBETAS</t>
        </is>
      </c>
      <c r="C5" s="48" t="inlineStr">
        <is>
          <t>FORRO MADEIRA</t>
        </is>
      </c>
      <c r="D5" s="57" t="n">
        <v>369.9</v>
      </c>
      <c r="E5" s="367" t="n">
        <v>636.9</v>
      </c>
      <c r="F5" s="48" t="n"/>
      <c r="G5" s="48" t="n"/>
      <c r="H5" s="48" t="n"/>
      <c r="I5" s="48" t="n"/>
      <c r="J5" s="48" t="n"/>
      <c r="K5" s="48" t="n"/>
      <c r="L5" s="48" t="n"/>
      <c r="M5" s="48" t="n"/>
    </row>
    <row r="6">
      <c r="B6" s="48" t="n"/>
      <c r="C6" s="48" t="inlineStr">
        <is>
          <t>FORRO PVC IMITA MADEIRA</t>
        </is>
      </c>
      <c r="D6" s="57" t="n">
        <v>369.9</v>
      </c>
      <c r="E6" s="367" t="n">
        <v>81.57599999999999</v>
      </c>
    </row>
    <row r="7">
      <c r="B7" s="48" t="n"/>
      <c r="C7" s="48" t="inlineStr">
        <is>
          <t>FORRO VINILICO</t>
        </is>
      </c>
      <c r="D7" s="57" t="n">
        <v>369.9</v>
      </c>
      <c r="E7" s="367" t="n">
        <v>253.0000000000001</v>
      </c>
    </row>
    <row r="8">
      <c r="B8" s="48" t="n"/>
      <c r="C8" s="48" t="inlineStr">
        <is>
          <t>DECK MADEIRA</t>
        </is>
      </c>
      <c r="D8" s="57" t="n">
        <v>96.22</v>
      </c>
      <c r="E8" s="367" t="n">
        <v>888.8</v>
      </c>
    </row>
    <row r="9">
      <c r="B9" s="48" t="n"/>
      <c r="C9" s="48" t="inlineStr">
        <is>
          <t>PORCELANATO QUE IMITA MADEIRA</t>
        </is>
      </c>
      <c r="D9" s="57" t="n">
        <v>96.22</v>
      </c>
      <c r="E9" s="367" t="n">
        <v>324.5000000000001</v>
      </c>
    </row>
    <row r="10">
      <c r="C10" s="48" t="inlineStr">
        <is>
          <t>PISO EMBORRACHADO</t>
        </is>
      </c>
      <c r="D10" s="57" t="n">
        <v>126.98</v>
      </c>
      <c r="E10" s="367" t="n">
        <v>385.0000000000001</v>
      </c>
    </row>
    <row r="11">
      <c r="C11" s="48" t="inlineStr">
        <is>
          <t>PISO VINILICO</t>
        </is>
      </c>
      <c r="D11" s="57" t="n">
        <v>126.98</v>
      </c>
      <c r="E11" s="367" t="n">
        <v>165</v>
      </c>
    </row>
    <row r="12">
      <c r="C12" s="48" t="inlineStr">
        <is>
          <t>PISO POLIDO + EPOXI</t>
        </is>
      </c>
      <c r="D12" s="57" t="n">
        <v>2485.44</v>
      </c>
      <c r="E12" s="367" t="n">
        <v>55</v>
      </c>
    </row>
    <row r="13">
      <c r="C13" s="48" t="inlineStr">
        <is>
          <t>PISO LAPIDADO</t>
        </is>
      </c>
      <c r="D13" s="57" t="n">
        <v>2485.44</v>
      </c>
      <c r="E13" s="367" t="n">
        <v>172.7</v>
      </c>
    </row>
    <row r="14">
      <c r="C14" s="48" t="inlineStr">
        <is>
          <t>PINTURA EPOXI</t>
        </is>
      </c>
      <c r="D14" s="57" t="n">
        <v>2485.44</v>
      </c>
      <c r="E14" s="367" t="n">
        <v>132</v>
      </c>
    </row>
    <row r="15">
      <c r="C15" s="48" t="inlineStr">
        <is>
          <t>ESQUADRIAS MAIORES</t>
        </is>
      </c>
      <c r="D15" s="57" t="n">
        <v>2110.7751</v>
      </c>
      <c r="E15" s="367" t="n">
        <v>1375</v>
      </c>
    </row>
    <row r="16">
      <c r="C16" s="48" t="inlineStr">
        <is>
          <t>ESQUADRIAS MENORES</t>
        </is>
      </c>
      <c r="D16" s="57" t="n">
        <v>1649.9751</v>
      </c>
      <c r="E16" s="367" t="n">
        <v>1265</v>
      </c>
    </row>
    <row r="17">
      <c r="C17" s="48" t="inlineStr">
        <is>
          <t>FACHADA ESQ MAIORES</t>
        </is>
      </c>
      <c r="D17" s="57" t="n">
        <v>2854.67</v>
      </c>
    </row>
    <row r="18">
      <c r="C18" s="48" t="inlineStr">
        <is>
          <t>FACHADA ESQ MENORES</t>
        </is>
      </c>
      <c r="D18" s="57" t="n">
        <v>3315.47</v>
      </c>
    </row>
    <row r="19">
      <c r="C19" s="48" t="inlineStr">
        <is>
          <t>CHAPISCO</t>
        </is>
      </c>
      <c r="D19" s="57">
        <f>'[2]Rev. Internos Piso e Parede'!$B$20</f>
        <v/>
      </c>
      <c r="E19" s="367">
        <f>'[2]Rev. Internos Piso e Parede'!$G$20/'[2]Rev. Internos Piso e Parede'!$B$20</f>
        <v/>
      </c>
    </row>
    <row r="20">
      <c r="C20" s="48" t="inlineStr">
        <is>
          <t>REBOCO</t>
        </is>
      </c>
      <c r="D20" s="57">
        <f>'[2]Rev. Internos Piso e Parede'!$B$20</f>
        <v/>
      </c>
      <c r="E20" s="367">
        <f>'[2]Rev. Internos Piso e Parede'!$G$21/'[2]Rev. Internos Piso e Parede'!$B$21</f>
        <v/>
      </c>
    </row>
    <row r="21">
      <c r="C21" s="48" t="inlineStr">
        <is>
          <t>GESSO SARRAFEADO</t>
        </is>
      </c>
      <c r="D21" s="57">
        <f>'[2]Rev. Internos Piso e Parede'!$B$20</f>
        <v/>
      </c>
      <c r="E21" s="367">
        <f>'[2]Rev. Internos Piso e Parede'!$G$38/'[2]Rev. Internos Piso e Parede'!$B$38</f>
        <v/>
      </c>
    </row>
    <row r="22">
      <c r="C22" s="48" t="inlineStr">
        <is>
          <t>BRISE TOTAL</t>
        </is>
      </c>
      <c r="D22" s="57" t="n">
        <v>345.254</v>
      </c>
      <c r="E22" s="367" t="n">
        <v>2310</v>
      </c>
    </row>
    <row r="23">
      <c r="C23" s="48" t="inlineStr">
        <is>
          <t>BRISE FACHADA NORTE</t>
        </is>
      </c>
      <c r="D23" s="57">
        <f>(2.52*2+3.52+0.89)*(2.8/2)*8</f>
        <v/>
      </c>
      <c r="E23" s="367" t="n">
        <v>2310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Oliveira</dc:creator>
  <dcterms:created xmlns:dcterms="http://purl.org/dc/terms/" xmlns:xsi="http://www.w3.org/2001/XMLSchema-instance" xsi:type="dcterms:W3CDTF">2024-07-31T17:28:03Z</dcterms:created>
  <dcterms:modified xmlns:dcterms="http://purl.org/dc/terms/" xmlns:xsi="http://www.w3.org/2001/XMLSchema-instance" xsi:type="dcterms:W3CDTF">2026-03-31T10:59:14Z</dcterms:modified>
  <cp:lastModifiedBy>Patricia Bragatto</cp:lastModifiedBy>
</cp:coreProperties>
</file>