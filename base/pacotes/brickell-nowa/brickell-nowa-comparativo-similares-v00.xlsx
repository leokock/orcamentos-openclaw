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COMPARATIVO_CUB" sheetId="2" state="visible" r:id="rId2"/>
    <sheet xmlns:r="http://schemas.openxmlformats.org/officeDocument/2006/relationships" name="LEITURA_CUB" sheetId="3" state="visible" r:id="rId3"/>
    <sheet xmlns:r="http://schemas.openxmlformats.org/officeDocument/2006/relationships" name="LEITURA" sheetId="4" state="visible" r:id="rId4"/>
    <sheet xmlns:r="http://schemas.openxmlformats.org/officeDocument/2006/relationships" name="JUSTIFICATIVAS" sheetId="5" state="visible" r:id="rId5"/>
    <sheet xmlns:r="http://schemas.openxmlformats.org/officeDocument/2006/relationships" name="CRITERIOS_E_FONTES" sheetId="6" state="visible" r:id="rId6"/>
    <sheet xmlns:r="http://schemas.openxmlformats.org/officeDocument/2006/relationships" name="DADOS_BRUTOS" sheetId="7" state="visible" r:id="rId7"/>
    <sheet xmlns:r="http://schemas.openxmlformats.org/officeDocument/2006/relationships" name="BRICKELL_MACROGRUP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%"/>
    <numFmt numFmtId="166" formatCode="0.000"/>
  </numFmts>
  <fonts count="3">
    <font>
      <name val="Calibri"/>
      <family val="2"/>
      <color theme="1"/>
      <sz val="11"/>
      <scheme val="minor"/>
    </font>
    <font>
      <name val="Arial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AE4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4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vertical="top" wrapText="1"/>
    </xf>
    <xf numFmtId="165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166" fontId="1" fillId="3" borderId="1" applyAlignment="1" pivotButton="0" quotePrefix="0" xfId="0">
      <alignment vertical="top" wrapText="1"/>
    </xf>
    <xf numFmtId="2" fontId="1" fillId="3" borderId="1" applyAlignment="1" pivotButton="0" quotePrefix="0" xfId="0">
      <alignment vertical="top" wrapText="1"/>
    </xf>
    <xf numFmtId="166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R$/m² - Brickell vs comparáveis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'COMPARATIVO'!$A$2:$A$7</f>
            </numRef>
          </cat>
          <val>
            <numRef>
              <f>'COMPARATIVO'!$I$2:$I$7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R$/m²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Empreendimento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R$/m² em valor presente por CUB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'COMPARATIVO_CUB'!K1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'COMPARATIVO_CUB'!$A$2:$A$7</f>
            </numRef>
          </cat>
          <val>
            <numRef>
              <f>'COMPARATIVO_CUB'!$K$2:$K$7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R$/m² VP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Empreendimento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3" customWidth="1" min="3" max="3"/>
    <col width="12" customWidth="1" min="4" max="4"/>
    <col width="27" customWidth="1" min="5" max="5"/>
    <col width="11" customWidth="1" min="6" max="6"/>
    <col width="10" customWidth="1" min="7" max="7"/>
    <col width="10" customWidth="1" min="8" max="8"/>
    <col width="20" customWidth="1" min="9" max="9"/>
    <col width="19" customWidth="1" min="10" max="10"/>
    <col width="34" customWidth="1" min="11" max="11"/>
    <col width="24" customWidth="1" min="12" max="12"/>
    <col width="26" customWidth="1" min="13" max="13"/>
    <col width="30" customWidth="1" min="14" max="14"/>
    <col width="20" customWidth="1" min="15" max="15"/>
    <col width="62" customWidth="1" min="16" max="16"/>
  </cols>
  <sheetData>
    <row r="1">
      <c r="A1" s="1" t="inlineStr">
        <is>
          <t>Empreendimento</t>
        </is>
      </c>
      <c r="B1" s="1" t="inlineStr">
        <is>
          <t>Cliente</t>
        </is>
      </c>
      <c r="C1" s="1" t="inlineStr">
        <is>
          <t>Cidade/UF</t>
        </is>
      </c>
      <c r="D1" s="1" t="inlineStr">
        <is>
          <t>Padrão</t>
        </is>
      </c>
      <c r="E1" s="1" t="inlineStr">
        <is>
          <t>Tipologia</t>
        </is>
      </c>
      <c r="F1" s="1" t="inlineStr">
        <is>
          <t>Data base</t>
        </is>
      </c>
      <c r="G1" s="1" t="inlineStr">
        <is>
          <t>AC (m²)</t>
        </is>
      </c>
      <c r="H1" s="1" t="inlineStr">
        <is>
          <t>UR</t>
        </is>
      </c>
      <c r="I1" s="1" t="inlineStr">
        <is>
          <t>R$/m²</t>
        </is>
      </c>
      <c r="J1" s="1" t="inlineStr">
        <is>
          <t>Total original</t>
        </is>
      </c>
      <c r="K1" s="1" t="inlineStr">
        <is>
          <t>Total normalizado na AC Brickell</t>
        </is>
      </c>
      <c r="L1" s="1" t="inlineStr">
        <is>
          <t>Dif. R$/m² vs Brickell</t>
        </is>
      </c>
      <c r="M1" s="1" t="inlineStr">
        <is>
          <t>Dif. % R$/m² vs Brickell</t>
        </is>
      </c>
      <c r="N1" s="1" t="inlineStr">
        <is>
          <t>Dif. total norm. vs Brickell</t>
        </is>
      </c>
      <c r="O1" s="1" t="inlineStr">
        <is>
          <t>Uso no comparativo</t>
        </is>
      </c>
      <c r="P1" s="1" t="inlineStr">
        <is>
          <t>Pasta Drive</t>
        </is>
      </c>
    </row>
    <row r="2">
      <c r="A2" s="2" t="inlineStr">
        <is>
          <t>Brickell Modern Home</t>
        </is>
      </c>
      <c r="B2" s="2" t="inlineStr">
        <is>
          <t>Nowa</t>
        </is>
      </c>
      <c r="C2" s="2" t="inlineStr">
        <is>
          <t>Itajaí/SC</t>
        </is>
      </c>
      <c r="D2" s="2" t="inlineStr">
        <is>
          <t>alto</t>
        </is>
      </c>
      <c r="E2" s="2" t="inlineStr">
        <is>
          <t>residencial_vertical_alto</t>
        </is>
      </c>
      <c r="F2" s="2" t="inlineStr">
        <is>
          <t>2026-05</t>
        </is>
      </c>
      <c r="G2" s="3" t="n">
        <v>10840.31</v>
      </c>
      <c r="H2" s="2" t="n">
        <v>38</v>
      </c>
      <c r="I2" s="4" t="n">
        <v>4017.96673289786</v>
      </c>
      <c r="J2" s="4" t="n">
        <v>43556004.9543</v>
      </c>
      <c r="K2" s="4" t="n">
        <v>43556004.9543</v>
      </c>
      <c r="L2" s="4" t="n">
        <v>0</v>
      </c>
      <c r="M2" s="5" t="n">
        <v>0</v>
      </c>
      <c r="N2" s="4" t="n">
        <v>0</v>
      </c>
      <c r="O2" s="2" t="inlineStr">
        <is>
          <t>Base Brickell</t>
        </is>
      </c>
      <c r="P2" s="2" t="inlineStr">
        <is>
          <t>G:\Drives compartilhados\03 CTN Projetos\2. Projetos em Andamento\Nowa\04. Custo\04.1 Custo - Paramétrico\01 - Projetos</t>
        </is>
      </c>
    </row>
    <row r="3">
      <c r="A3" s="6" t="inlineStr">
        <is>
          <t>adore-level-up</t>
        </is>
      </c>
      <c r="B3" s="6" t="inlineStr">
        <is>
          <t>adore</t>
        </is>
      </c>
      <c r="C3" s="6" t="inlineStr">
        <is>
          <t>Balneário Camboriú/SC</t>
        </is>
      </c>
      <c r="D3" s="6" t="inlineStr">
        <is>
          <t>medio-alto</t>
        </is>
      </c>
      <c r="E3" s="6" t="inlineStr">
        <is>
          <t>residencial_vertical_alto</t>
        </is>
      </c>
      <c r="F3" s="6" t="inlineStr">
        <is>
          <t>2025-08</t>
        </is>
      </c>
      <c r="G3" s="7" t="n">
        <v>11102.72</v>
      </c>
      <c r="H3" s="6" t="n"/>
      <c r="I3" s="8" t="n">
        <v>3628.647366742739</v>
      </c>
      <c r="J3" s="8" t="n">
        <v>40287855.69168194</v>
      </c>
      <c r="K3" s="8" t="n">
        <v>39335662.33617498</v>
      </c>
      <c r="L3" s="8" t="n">
        <v>-389.3193661551213</v>
      </c>
      <c r="M3" s="9" t="n">
        <v>-0.09689462159243267</v>
      </c>
      <c r="N3" s="8" t="n">
        <v>-4220342.618125021</v>
      </c>
      <c r="O3" s="6" t="inlineStr">
        <is>
          <t>Comparável direto</t>
        </is>
      </c>
      <c r="P3" s="6" t="inlineStr">
        <is>
          <t>G:\Drives compartilhados\03 CTN Projetos\2. Projetos em Andamento\Adore Incorporações\Level Up</t>
        </is>
      </c>
    </row>
    <row r="4">
      <c r="A4" s="2" t="inlineStr">
        <is>
          <t>terrassa-amaro</t>
        </is>
      </c>
      <c r="B4" s="2" t="inlineStr">
        <is>
          <t>terrassa</t>
        </is>
      </c>
      <c r="C4" s="2" t="inlineStr">
        <is>
          <t>Itajaí/SC</t>
        </is>
      </c>
      <c r="D4" s="2" t="inlineStr">
        <is>
          <t>alto</t>
        </is>
      </c>
      <c r="E4" s="2" t="inlineStr">
        <is>
          <t>residencial_vertical_alto</t>
        </is>
      </c>
      <c r="F4" s="2" t="inlineStr">
        <is>
          <t>2024-04</t>
        </is>
      </c>
      <c r="G4" s="3" t="n">
        <v>10479.34</v>
      </c>
      <c r="H4" s="2" t="n"/>
      <c r="I4" s="4" t="n">
        <v>3100.161860683344</v>
      </c>
      <c r="J4" s="4" t="n">
        <v>32487650.1931334</v>
      </c>
      <c r="K4" s="4" t="n">
        <v>33606715.61998426</v>
      </c>
      <c r="L4" s="4" t="n">
        <v>-917.8048722145163</v>
      </c>
      <c r="M4" s="5" t="n">
        <v>-0.228425204395003</v>
      </c>
      <c r="N4" s="4" t="n">
        <v>-9949289.33431574</v>
      </c>
      <c r="O4" s="2" t="inlineStr">
        <is>
          <t>Comparável direto</t>
        </is>
      </c>
      <c r="P4" s="2" t="inlineStr">
        <is>
          <t>G:\Drives compartilhados\03 CTN Projetos\2. Projetos em Andamento\Terrassa\Amaro</t>
        </is>
      </c>
    </row>
    <row r="5">
      <c r="A5" s="6" t="inlineStr">
        <is>
          <t>mussi-empreendimentos-chelsea</t>
        </is>
      </c>
      <c r="B5" s="6" t="inlineStr">
        <is>
          <t>mussi</t>
        </is>
      </c>
      <c r="C5" s="6" t="inlineStr">
        <is>
          <t>Itajaí/SC</t>
        </is>
      </c>
      <c r="D5" s="6" t="inlineStr">
        <is>
          <t>medio-alto</t>
        </is>
      </c>
      <c r="E5" s="6" t="inlineStr">
        <is>
          <t>residencial_vertical_alto</t>
        </is>
      </c>
      <c r="F5" s="6" t="inlineStr">
        <is>
          <t>2024-11</t>
        </is>
      </c>
      <c r="G5" s="7" t="n">
        <v>15149.39</v>
      </c>
      <c r="H5" s="6" t="n">
        <v>41</v>
      </c>
      <c r="I5" s="8" t="n">
        <v>3443.27</v>
      </c>
      <c r="J5" s="8" t="n">
        <v>52163485.94</v>
      </c>
      <c r="K5" s="8" t="n">
        <v>37326114.2137</v>
      </c>
      <c r="L5" s="8" t="n">
        <v>-574.6967328978603</v>
      </c>
      <c r="M5" s="9" t="n">
        <v>-0.1430317300022478</v>
      </c>
      <c r="N5" s="8" t="n">
        <v>-6229890.740600005</v>
      </c>
      <c r="O5" s="6" t="inlineStr">
        <is>
          <t>Comparável direto</t>
        </is>
      </c>
      <c r="P5" s="6" t="inlineStr">
        <is>
          <t>G:\Drives compartilhados\03 CTN Projetos\2. Projetos em Andamento\Mussi Empreendimentos\Chelsea Residence 11.2022</t>
        </is>
      </c>
    </row>
    <row r="6">
      <c r="A6" s="2" t="inlineStr">
        <is>
          <t>gdi-playa-negra</t>
        </is>
      </c>
      <c r="B6" s="2" t="inlineStr">
        <is>
          <t>gdi</t>
        </is>
      </c>
      <c r="C6" s="2" t="inlineStr">
        <is>
          <t>Florianópolis/SC</t>
        </is>
      </c>
      <c r="D6" s="2" t="inlineStr">
        <is>
          <t>medio-alto</t>
        </is>
      </c>
      <c r="E6" s="2" t="inlineStr">
        <is>
          <t>residencial_vertical_alto</t>
        </is>
      </c>
      <c r="F6" s="2" t="inlineStr">
        <is>
          <t>2024-08</t>
        </is>
      </c>
      <c r="G6" s="3" t="n">
        <v>8518.6</v>
      </c>
      <c r="H6" s="2" t="n"/>
      <c r="I6" s="4" t="n">
        <v>4346.61</v>
      </c>
      <c r="J6" s="4" t="n">
        <v>37027025.39</v>
      </c>
      <c r="K6" s="4" t="n">
        <v>47118599.84909999</v>
      </c>
      <c r="L6" s="4" t="n">
        <v>328.6432671021394</v>
      </c>
      <c r="M6" s="5" t="n">
        <v>0.08179342661334421</v>
      </c>
      <c r="N6" s="4" t="n">
        <v>3562594.894799992</v>
      </c>
      <c r="O6" s="2" t="inlineStr">
        <is>
          <t>Comparável direto</t>
        </is>
      </c>
      <c r="P6" s="2" t="inlineStr">
        <is>
          <t>G:\Drives compartilhados\03 CTN Projetos\2. Projetos em Andamento\GDI Empreendimentos\Playa Negra</t>
        </is>
      </c>
    </row>
    <row r="7">
      <c r="A7" s="6" t="inlineStr">
        <is>
          <t>neuhaus-origem</t>
        </is>
      </c>
      <c r="B7" s="6" t="inlineStr">
        <is>
          <t>neuhaus</t>
        </is>
      </c>
      <c r="C7" s="6" t="inlineStr">
        <is>
          <t>Florianópolis/SC</t>
        </is>
      </c>
      <c r="D7" s="6" t="inlineStr">
        <is>
          <t>alto</t>
        </is>
      </c>
      <c r="E7" s="6" t="inlineStr">
        <is>
          <t>residencial_vertical_alto</t>
        </is>
      </c>
      <c r="F7" s="6" t="inlineStr">
        <is>
          <t>2025-03</t>
        </is>
      </c>
      <c r="G7" s="7" t="n">
        <v>14559.12</v>
      </c>
      <c r="H7" s="6" t="n"/>
      <c r="I7" s="8" t="n">
        <v>4642.46</v>
      </c>
      <c r="J7" s="8" t="n">
        <v>67590131.02</v>
      </c>
      <c r="K7" s="8" t="n">
        <v>50325705.5626</v>
      </c>
      <c r="L7" s="8" t="n">
        <v>624.4932671021397</v>
      </c>
      <c r="M7" s="9" t="n">
        <v>0.1554251960298685</v>
      </c>
      <c r="N7" s="8" t="n">
        <v>6769700.6083</v>
      </c>
      <c r="O7" s="6" t="inlineStr">
        <is>
          <t>Limite superior</t>
        </is>
      </c>
      <c r="P7" s="6" t="inlineStr">
        <is>
          <t>G:\Drives compartilhados\03 CTN Projetos\2. Projetos em Andamento\Neuhaus\2023.08 - Origem 3300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3" customWidth="1" min="3" max="3"/>
    <col width="23" customWidth="1" min="4" max="4"/>
    <col width="30" customWidth="1" min="5" max="5"/>
    <col width="12" customWidth="1" min="6" max="6"/>
    <col width="11" customWidth="1" min="7" max="7"/>
    <col width="20" customWidth="1" min="8" max="8"/>
    <col width="20" customWidth="1" min="9" max="9"/>
    <col width="20" customWidth="1" min="10" max="10"/>
    <col width="22" customWidth="1" min="11" max="11"/>
    <col width="25" customWidth="1" min="12" max="12"/>
    <col width="25" customWidth="1" min="13" max="13"/>
    <col width="27" customWidth="1" min="14" max="14"/>
    <col width="23" customWidth="1" min="15" max="15"/>
    <col width="62" customWidth="1" min="16" max="16"/>
    <col width="62" customWidth="1" min="17" max="17"/>
  </cols>
  <sheetData>
    <row r="1">
      <c r="A1" s="1" t="inlineStr">
        <is>
          <t>Empreendimento</t>
        </is>
      </c>
      <c r="B1" s="1" t="inlineStr">
        <is>
          <t>Cliente</t>
        </is>
      </c>
      <c r="C1" s="1" t="inlineStr">
        <is>
          <t>Cidade/UF</t>
        </is>
      </c>
      <c r="D1" s="1" t="inlineStr">
        <is>
          <t>Data base consolidado</t>
        </is>
      </c>
      <c r="E1" s="1" t="inlineStr">
        <is>
          <t>Data CUB / entrega orçamento</t>
        </is>
      </c>
      <c r="F1" s="1" t="inlineStr">
        <is>
          <t>CUB origem</t>
        </is>
      </c>
      <c r="G1" s="1" t="inlineStr">
        <is>
          <t>CUB atual</t>
        </is>
      </c>
      <c r="H1" s="1" t="inlineStr">
        <is>
          <t>Fator atualização</t>
        </is>
      </c>
      <c r="I1" s="1" t="inlineStr">
        <is>
          <t>R$/m² original</t>
        </is>
      </c>
      <c r="J1" s="1" t="inlineStr">
        <is>
          <t>CUB ratio origem</t>
        </is>
      </c>
      <c r="K1" s="1" t="inlineStr">
        <is>
          <t>R$/m² valor presente</t>
        </is>
      </c>
      <c r="L1" s="1" t="inlineStr">
        <is>
          <t>Total VP na AC original</t>
        </is>
      </c>
      <c r="M1" s="1" t="inlineStr">
        <is>
          <t>Total VP na AC Brickell</t>
        </is>
      </c>
      <c r="N1" s="1" t="inlineStr">
        <is>
          <t>Dif. R$/m² VP vs Brickell</t>
        </is>
      </c>
      <c r="O1" s="1" t="inlineStr">
        <is>
          <t>Dif. % VP vs Brickell</t>
        </is>
      </c>
      <c r="P1" s="1" t="inlineStr">
        <is>
          <t>Fonte CUB</t>
        </is>
      </c>
      <c r="Q1" s="1" t="inlineStr">
        <is>
          <t>Observação</t>
        </is>
      </c>
    </row>
    <row r="2">
      <c r="A2" s="2" t="inlineStr">
        <is>
          <t>Brickell Modern Home</t>
        </is>
      </c>
      <c r="B2" s="2" t="inlineStr">
        <is>
          <t>Nowa</t>
        </is>
      </c>
      <c r="C2" s="2" t="inlineStr">
        <is>
          <t>Itajaí/SC</t>
        </is>
      </c>
      <c r="D2" s="2" t="inlineStr">
        <is>
          <t>2026-05</t>
        </is>
      </c>
      <c r="E2" s="2" t="inlineStr">
        <is>
          <t>2026-05</t>
        </is>
      </c>
      <c r="F2" s="4" t="n">
        <v>3850</v>
      </c>
      <c r="G2" s="4" t="n">
        <v>3850</v>
      </c>
      <c r="H2" s="10" t="n">
        <v>1</v>
      </c>
      <c r="I2" s="4" t="n">
        <v>4017.96673289786</v>
      </c>
      <c r="J2" s="11" t="n">
        <v>1.043627722830613</v>
      </c>
      <c r="K2" s="4" t="n">
        <v>4017.96673289786</v>
      </c>
      <c r="L2" s="4" t="n">
        <v>43556004.95429999</v>
      </c>
      <c r="M2" s="4" t="n">
        <v>43556004.95429999</v>
      </c>
      <c r="N2" s="4" t="n">
        <v>0</v>
      </c>
      <c r="O2" s="5" t="n">
        <v>0</v>
      </c>
      <c r="P2" s="2" t="inlineStr">
        <is>
          <t>CUB atual adotado no pacote Brickell v00 / Supabase Ampli SC</t>
        </is>
      </c>
      <c r="Q2" s="2" t="inlineStr">
        <is>
          <t>Base atual do próprio Brickell; fator de atualização igual a 1,00.</t>
        </is>
      </c>
    </row>
    <row r="3">
      <c r="A3" s="6" t="inlineStr">
        <is>
          <t>adore-level-up</t>
        </is>
      </c>
      <c r="B3" s="6" t="inlineStr">
        <is>
          <t>adore</t>
        </is>
      </c>
      <c r="C3" s="6" t="inlineStr">
        <is>
          <t>Balneário Camboriú/SC</t>
        </is>
      </c>
      <c r="D3" s="6" t="inlineStr">
        <is>
          <t>2025-08</t>
        </is>
      </c>
      <c r="E3" s="6" t="inlineStr">
        <is>
          <t>2025-08</t>
        </is>
      </c>
      <c r="F3" s="8" t="n">
        <v>2911.91</v>
      </c>
      <c r="G3" s="8" t="n">
        <v>3850</v>
      </c>
      <c r="H3" s="12" t="n">
        <v>1.32215624796096</v>
      </c>
      <c r="I3" s="8" t="n">
        <v>3628.647366742739</v>
      </c>
      <c r="J3" s="13" t="n">
        <v>1.246139944827532</v>
      </c>
      <c r="K3" s="8" t="n">
        <v>4797.638787585998</v>
      </c>
      <c r="L3" s="8" t="n">
        <v>53266840.11970681</v>
      </c>
      <c r="M3" s="8" t="n">
        <v>52007891.72545637</v>
      </c>
      <c r="N3" s="8" t="n">
        <v>779.6720546881384</v>
      </c>
      <c r="O3" s="9" t="n">
        <v>0.1940464186287125</v>
      </c>
      <c r="P3" s="6" t="inlineStr">
        <is>
          <t>C:\Users\leona\orcamentos-openclaw\archive\v1-pre-fase19\indices\adore-level-up-indices.md</t>
        </is>
      </c>
      <c r="Q3" s="6" t="inlineStr">
        <is>
          <t>Arquivo de índices: Data-base Ago/2025 | CUB R$ 2.911,91.</t>
        </is>
      </c>
    </row>
    <row r="4">
      <c r="A4" s="2" t="inlineStr">
        <is>
          <t>terrassa-amaro</t>
        </is>
      </c>
      <c r="B4" s="2" t="inlineStr">
        <is>
          <t>terrassa</t>
        </is>
      </c>
      <c r="C4" s="2" t="inlineStr">
        <is>
          <t>Itajaí/SC</t>
        </is>
      </c>
      <c r="D4" s="2" t="inlineStr">
        <is>
          <t>2024-04</t>
        </is>
      </c>
      <c r="E4" s="2" t="inlineStr">
        <is>
          <t>2024-04</t>
        </is>
      </c>
      <c r="F4" s="4" t="n">
        <v>2757.56</v>
      </c>
      <c r="G4" s="4" t="n">
        <v>3850</v>
      </c>
      <c r="H4" s="10" t="n">
        <v>1.396161824221413</v>
      </c>
      <c r="I4" s="4" t="n">
        <v>3100.161860683344</v>
      </c>
      <c r="J4" s="11" t="n">
        <v>1.124240945141119</v>
      </c>
      <c r="K4" s="4" t="n">
        <v>4328.327638793308</v>
      </c>
      <c r="L4" s="4" t="n">
        <v>45358016.95831227</v>
      </c>
      <c r="M4" s="4" t="n">
        <v>46920413.38608748</v>
      </c>
      <c r="N4" s="4" t="n">
        <v>310.3609058954485</v>
      </c>
      <c r="O4" s="5" t="n">
        <v>0.07724327415513677</v>
      </c>
      <c r="P4" s="2" t="inlineStr">
        <is>
          <t>C:\Users\leona\orcamentos-openclaw\archive\v1-pre-fase19\indices\terrassa-amaro-indices.md</t>
        </is>
      </c>
      <c r="Q4" s="2" t="inlineStr">
        <is>
          <t>Arquivo de índices: Data-base abr/2024 | CUB/SC R$ 2.757,56.</t>
        </is>
      </c>
    </row>
    <row r="5">
      <c r="A5" s="6" t="inlineStr">
        <is>
          <t>mussi-empreendimentos-chelsea</t>
        </is>
      </c>
      <c r="B5" s="6" t="inlineStr">
        <is>
          <t>mussi</t>
        </is>
      </c>
      <c r="C5" s="6" t="inlineStr">
        <is>
          <t>Itajaí/SC</t>
        </is>
      </c>
      <c r="D5" s="6" t="inlineStr">
        <is>
          <t>2024-11</t>
        </is>
      </c>
      <c r="E5" s="6" t="inlineStr">
        <is>
          <t>2024-11</t>
        </is>
      </c>
      <c r="F5" s="8" t="n">
        <v>2846.12</v>
      </c>
      <c r="G5" s="8" t="n">
        <v>3850</v>
      </c>
      <c r="H5" s="12" t="n">
        <v>1.352718789088303</v>
      </c>
      <c r="I5" s="8" t="n">
        <v>3443.27</v>
      </c>
      <c r="J5" s="13" t="n">
        <v>1.20981195452054</v>
      </c>
      <c r="K5" s="8" t="n">
        <v>4657.77602490408</v>
      </c>
      <c r="L5" s="8" t="n">
        <v>70562465.53392161</v>
      </c>
      <c r="M5" s="8" t="n">
        <v>50491736.02052795</v>
      </c>
      <c r="N5" s="8" t="n">
        <v>639.8092920062204</v>
      </c>
      <c r="O5" s="9" t="n">
        <v>0.1592370804784573</v>
      </c>
      <c r="P5" s="6" t="inlineStr">
        <is>
          <t>G:\Drives compartilhados\03 CTN Projetos\2. Projetos em Andamento\_Entregas\Orçamento_executivo\Mussi Empreendimentos\Chelsea\CTN_MSS_CLS - Orçamento R02.xlsx</t>
        </is>
      </c>
      <c r="Q5" s="6" t="inlineStr">
        <is>
          <t>Aba Obra: C48 = CUB/SC R$ 2.846,12 e D48 = nov/2024.</t>
        </is>
      </c>
    </row>
    <row r="6">
      <c r="A6" s="2" t="inlineStr">
        <is>
          <t>gdi-playa-negra</t>
        </is>
      </c>
      <c r="B6" s="2" t="inlineStr">
        <is>
          <t>gdi</t>
        </is>
      </c>
      <c r="C6" s="2" t="inlineStr">
        <is>
          <t>Florianópolis/SC</t>
        </is>
      </c>
      <c r="D6" s="2" t="inlineStr">
        <is>
          <t>2024-08</t>
        </is>
      </c>
      <c r="E6" s="2" t="inlineStr">
        <is>
          <t>2024-08</t>
        </is>
      </c>
      <c r="F6" s="4" t="n">
        <v>2841.51</v>
      </c>
      <c r="G6" s="4" t="n">
        <v>3850</v>
      </c>
      <c r="H6" s="10" t="n">
        <v>1.354913408715788</v>
      </c>
      <c r="I6" s="4" t="n">
        <v>4346.61</v>
      </c>
      <c r="J6" s="11" t="n">
        <v>1.529683161417697</v>
      </c>
      <c r="K6" s="4" t="n">
        <v>5889.280171458132</v>
      </c>
      <c r="L6" s="4" t="n">
        <v>50168422.06858324</v>
      </c>
      <c r="M6" s="4" t="n">
        <v>63841622.7354593</v>
      </c>
      <c r="N6" s="4" t="n">
        <v>1871.313438560272</v>
      </c>
      <c r="O6" s="5" t="n">
        <v>0.4657364191790192</v>
      </c>
      <c r="P6" s="2" t="inlineStr">
        <is>
          <t>C:\Users\leona\orcamentos-openclaw\archive\v1-pre-fase19\indices\gdi-playanegra-indices.md</t>
        </is>
      </c>
      <c r="Q6" s="2" t="inlineStr">
        <is>
          <t>Arquivo de índices: Data-base Agosto/2024 | CUB/SC R$ 2.841,51.</t>
        </is>
      </c>
    </row>
    <row r="7">
      <c r="A7" s="6" t="inlineStr">
        <is>
          <t>neuhaus-origem</t>
        </is>
      </c>
      <c r="B7" s="6" t="inlineStr">
        <is>
          <t>neuhaus</t>
        </is>
      </c>
      <c r="C7" s="6" t="inlineStr">
        <is>
          <t>Florianópolis/SC</t>
        </is>
      </c>
      <c r="D7" s="6" t="inlineStr">
        <is>
          <t>2025-03</t>
        </is>
      </c>
      <c r="E7" s="6" t="inlineStr">
        <is>
          <t>2025-03</t>
        </is>
      </c>
      <c r="F7" s="8" t="n">
        <v>2916.12</v>
      </c>
      <c r="G7" s="8" t="n">
        <v>3850</v>
      </c>
      <c r="H7" s="12" t="n">
        <v>1.320247452093878</v>
      </c>
      <c r="I7" s="8" t="n">
        <v>4642.46</v>
      </c>
      <c r="J7" s="13" t="n">
        <v>1.591998957518895</v>
      </c>
      <c r="K7" s="8" t="n">
        <v>6129.195986447746</v>
      </c>
      <c r="L7" s="8" t="n">
        <v>89235699.87021111</v>
      </c>
      <c r="M7" s="8" t="n">
        <v>66442384.54384936</v>
      </c>
      <c r="N7" s="8" t="n">
        <v>2111.229253549886</v>
      </c>
      <c r="O7" s="9" t="n">
        <v>0.5254471711435036</v>
      </c>
      <c r="P7" s="6" t="inlineStr">
        <is>
          <t>C:\Users\leona\orcamentos-openclaw\archive\v1-pre-fase19\indices\origem-indices.md</t>
        </is>
      </c>
      <c r="Q7" s="6" t="inlineStr">
        <is>
          <t>Arquivo de índices: Data-base Mar/2025 | CUB/SC R$ 2.916,12.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2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Leitura</t>
        </is>
      </c>
    </row>
    <row r="2">
      <c r="A2" s="2" t="inlineStr">
        <is>
          <t>CUB atual adotado</t>
        </is>
      </c>
      <c r="B2" s="4" t="n">
        <v>3850</v>
      </c>
      <c r="C2" s="2" t="inlineStr">
        <is>
          <t>CUB atual adotado no pacote Brickell v00 / Supabase Ampli SC</t>
        </is>
      </c>
    </row>
    <row r="3">
      <c r="A3" s="6" t="inlineStr">
        <is>
          <t>Brickell CUB ratio</t>
        </is>
      </c>
      <c r="B3" s="13" t="n">
        <v>1.043627722830613</v>
      </c>
      <c r="C3" s="6" t="inlineStr">
        <is>
          <t>R$/m² do Brickell dividido pelo CUB atual adotado.</t>
        </is>
      </c>
    </row>
    <row r="4">
      <c r="A4" s="2" t="inlineStr">
        <is>
          <t>Média VP dos 5 comparáveis R$/m²</t>
        </is>
      </c>
      <c r="B4" s="4" t="n">
        <v>5160.443721837853</v>
      </c>
      <c r="C4" s="2" t="inlineStr">
        <is>
          <t>Valores trazidos para o CUB atual.</t>
        </is>
      </c>
    </row>
    <row r="5">
      <c r="A5" s="6" t="inlineStr">
        <is>
          <t>Mediana VP dos 5 comparáveis R$/m²</t>
        </is>
      </c>
      <c r="B5" s="8" t="n">
        <v>4797.638787585998</v>
      </c>
      <c r="C5" s="6" t="inlineStr">
        <is>
          <t>Centro da amostra após correção temporal.</t>
        </is>
      </c>
    </row>
    <row r="6">
      <c r="A6" s="2" t="inlineStr">
        <is>
          <t>Média VP sem limite superior R$/m²</t>
        </is>
      </c>
      <c r="B6" s="4" t="n">
        <v>4918.25565568538</v>
      </c>
      <c r="C6" s="2" t="inlineStr">
        <is>
          <t>Exclui Neuhaus Origem para ler comparáveis diretos.</t>
        </is>
      </c>
    </row>
    <row r="7">
      <c r="A7" s="6" t="inlineStr">
        <is>
          <t>Dif. Brickell vs média VP 5</t>
        </is>
      </c>
      <c r="B7" s="9" t="n">
        <v>-0.2213912311658944</v>
      </c>
      <c r="C7" s="6" t="inlineStr">
        <is>
          <t>Brickell está acima da média em valor presente se positivo.</t>
        </is>
      </c>
    </row>
    <row r="8">
      <c r="A8" s="2" t="inlineStr">
        <is>
          <t>Dif. Brickell vs mediana VP 5</t>
        </is>
      </c>
      <c r="B8" s="5" t="n">
        <v>-0.1625116206550518</v>
      </c>
      <c r="C8" s="2" t="inlineStr">
        <is>
          <t>Posição contra o centro da amostra em valor presente.</t>
        </is>
      </c>
    </row>
    <row r="9">
      <c r="A9" s="6" t="inlineStr">
        <is>
          <t>Dif. Brickell vs média VP sem limite</t>
        </is>
      </c>
      <c r="B9" s="9" t="n">
        <v>-0.1830504523990754</v>
      </c>
      <c r="C9" s="6" t="inlineStr">
        <is>
          <t>Leitura conservadora contra comparáveis diretos corrigidos.</t>
        </is>
      </c>
    </row>
    <row r="10">
      <c r="A10" s="2" t="inlineStr">
        <is>
          <t>Total VP médio na AC Brickell</t>
        </is>
      </c>
      <c r="B10" s="4" t="n">
        <v>55940809.68227609</v>
      </c>
      <c r="C10" s="2" t="inlineStr">
        <is>
          <t>Média dos 5 aplicada à área construída do Brickell.</t>
        </is>
      </c>
    </row>
    <row r="11">
      <c r="A11" s="6" t="inlineStr">
        <is>
          <t>Dif. total Brickell vs VP médio</t>
        </is>
      </c>
      <c r="B11" s="8" t="n">
        <v>-12384804.72797609</v>
      </c>
      <c r="C11" s="6" t="inlineStr">
        <is>
          <t>Delta entre o v00 Brickell e a média corrigida por CUB.</t>
        </is>
      </c>
    </row>
    <row r="12">
      <c r="A12" s="2" t="inlineStr">
        <is>
          <t>Total VP médio sem limite na AC Brickell</t>
        </is>
      </c>
      <c r="B12" s="4" t="n">
        <v>53315415.96688277</v>
      </c>
      <c r="C12" s="2" t="inlineStr">
        <is>
          <t>Média direta corrigida aplicada à área construída do Brickell.</t>
        </is>
      </c>
    </row>
    <row r="13">
      <c r="A13" s="6" t="inlineStr">
        <is>
          <t>Dif. total Brickell vs VP sem limite</t>
        </is>
      </c>
      <c r="B13" s="8" t="n">
        <v>-9759411.012582779</v>
      </c>
      <c r="C13" s="6" t="inlineStr">
        <is>
          <t>Delta entre o v00 Brickell e a média direta corrigida por CUB.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53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Leitura</t>
        </is>
      </c>
    </row>
    <row r="2">
      <c r="A2" s="2" t="inlineStr">
        <is>
          <t>Brickell R$/m²</t>
        </is>
      </c>
      <c r="B2" s="4" t="n">
        <v>4017.96673289786</v>
      </c>
      <c r="C2" s="2" t="inlineStr">
        <is>
          <t>Base v00 calculada no paramétrico Brickell.</t>
        </is>
      </c>
    </row>
    <row r="3">
      <c r="A3" s="6" t="inlineStr">
        <is>
          <t>Média dos 5 comparáveis R$/m²</t>
        </is>
      </c>
      <c r="B3" s="8" t="n">
        <v>3832.229845485217</v>
      </c>
      <c r="C3" s="6" t="inlineStr">
        <is>
          <t>Inclui Neuhaus Origem como limite superior.</t>
        </is>
      </c>
    </row>
    <row r="4">
      <c r="A4" s="2" t="inlineStr">
        <is>
          <t>Mediana dos 5 comparáveis R$/m²</t>
        </is>
      </c>
      <c r="B4" s="4" t="n">
        <v>3628.647366742739</v>
      </c>
      <c r="C4" s="2" t="inlineStr">
        <is>
          <t>Ponto central da amostra selecionada.</t>
        </is>
      </c>
    </row>
    <row r="5">
      <c r="A5" s="6" t="inlineStr">
        <is>
          <t>Média sem limite superior R$/m²</t>
        </is>
      </c>
      <c r="B5" s="8" t="n">
        <v>3629.672306856521</v>
      </c>
      <c r="C5" s="6" t="inlineStr">
        <is>
          <t>Exclui Neuhaus Origem para ler comparáveis diretos.</t>
        </is>
      </c>
    </row>
    <row r="6">
      <c r="A6" s="2" t="inlineStr">
        <is>
          <t>Dif. Brickell vs média 5</t>
        </is>
      </c>
      <c r="B6" s="5" t="n">
        <v>0.04846705310002797</v>
      </c>
      <c r="C6" s="2" t="inlineStr">
        <is>
          <t>Brickell está acima da média completa se positivo.</t>
        </is>
      </c>
    </row>
    <row r="7">
      <c r="A7" s="6" t="inlineStr">
        <is>
          <t>Dif. Brickell vs mediana 5</t>
        </is>
      </c>
      <c r="B7" s="9" t="n">
        <v>0.1072904933456222</v>
      </c>
      <c r="C7" s="6" t="inlineStr">
        <is>
          <t>Mostra posição contra o centro da amostra.</t>
        </is>
      </c>
    </row>
    <row r="8">
      <c r="A8" s="2" t="inlineStr">
        <is>
          <t>Dif. Brickell vs média sem limite</t>
        </is>
      </c>
      <c r="B8" s="5" t="n">
        <v>0.1069778187159882</v>
      </c>
      <c r="C8" s="2" t="inlineStr">
        <is>
          <t>Leitura conservadora contra comparáveis diretos.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2" customWidth="1" min="2" max="2"/>
    <col width="32" customWidth="1" min="3" max="3"/>
  </cols>
  <sheetData>
    <row r="1">
      <c r="A1" s="1" t="inlineStr">
        <is>
          <t>Empreendimento</t>
        </is>
      </c>
      <c r="B1" s="1" t="inlineStr">
        <is>
          <t>Por que entrou</t>
        </is>
      </c>
      <c r="C1" s="1" t="inlineStr">
        <is>
          <t>Risco / uso</t>
        </is>
      </c>
    </row>
    <row r="2">
      <c r="A2" s="2" t="inlineStr">
        <is>
          <t>Brickell Modern Home</t>
        </is>
      </c>
      <c r="B2" s="2" t="inlineStr">
        <is>
          <t>Projeto-base desta comparação. Paramétrico v00 gerado a partir dos projetos Brickell/Nowa.</t>
        </is>
      </c>
      <c r="C2" s="2" t="inlineStr">
        <is>
          <t>Base do comparativo.</t>
        </is>
      </c>
    </row>
    <row r="3">
      <c r="A3" s="6" t="inlineStr">
        <is>
          <t>adore-level-up</t>
        </is>
      </c>
      <c r="B3" s="6" t="inlineStr">
        <is>
          <t>Balneário Camboriú, SC, área praticamente igual ao Brickell e tipologia vertical alto/médio-alto. Bom comparável de porte e mercado litorâneo.</t>
        </is>
      </c>
      <c r="C3" s="6" t="inlineStr">
        <is>
          <t>Comparável direto</t>
        </is>
      </c>
    </row>
    <row r="4">
      <c r="A4" s="2" t="inlineStr">
        <is>
          <t>terrassa-amaro</t>
        </is>
      </c>
      <c r="B4" s="2" t="inlineStr">
        <is>
          <t>Itajaí, SC, área muito próxima e padrão alto. Entra como referência local direta, mesmo com data-base não informada no consolidado.</t>
        </is>
      </c>
      <c r="C4" s="2" t="inlineStr">
        <is>
          <t>Comparável direto</t>
        </is>
      </c>
    </row>
    <row r="5">
      <c r="A5" s="6" t="inlineStr">
        <is>
          <t>mussi-empreendimentos-chelsea</t>
        </is>
      </c>
      <c r="B5" s="6" t="inlineStr">
        <is>
          <t>Itajaí, SC, 41 UR contra 38 UR do Brickell. Área maior, mas produto e escala de unidades são muito próximos.</t>
        </is>
      </c>
      <c r="C5" s="6" t="inlineStr">
        <is>
          <t>Comparável direto</t>
        </is>
      </c>
    </row>
    <row r="6">
      <c r="A6" s="2" t="inlineStr">
        <is>
          <t>gdi-playa-negra</t>
        </is>
      </c>
      <c r="B6" s="2" t="inlineStr">
        <is>
          <t>Florianópolis, SC, residencial vertical alto/médio-alto, R$/m² próximo ao Brickell. Funciona como comparável de patamar superior operacional.</t>
        </is>
      </c>
      <c r="C6" s="2" t="inlineStr">
        <is>
          <t>Comparável direto</t>
        </is>
      </c>
    </row>
    <row r="7">
      <c r="A7" s="6" t="inlineStr">
        <is>
          <t>neuhaus-origem</t>
        </is>
      </c>
      <c r="B7" s="6" t="inlineStr">
        <is>
          <t>Florianópolis, SC, padrão alto e área maior. Usei como limite superior para entender se Brickell está perto do teto premium.</t>
        </is>
      </c>
      <c r="C7" s="6" t="inlineStr">
        <is>
          <t>Limite superior de padrão alto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1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Descrição</t>
        </is>
      </c>
    </row>
    <row r="2">
      <c r="A2" s="2" t="inlineStr">
        <is>
          <t>Fonte principal</t>
        </is>
      </c>
      <c r="B2" s="2" t="inlineStr">
        <is>
          <t>G:\Drives compartilhados\03 CTN Projetos\2. Projetos em Andamento\_Parametrico_IA\REVISAO-OBRAS-131.xlsx</t>
        </is>
      </c>
    </row>
    <row r="3">
      <c r="A3" s="6" t="inlineStr">
        <is>
          <t>Fonte Brickell</t>
        </is>
      </c>
      <c r="B3" s="6" t="inlineStr">
        <is>
          <t>C:\Users\leona\orcamentos-openclaw\base\pacotes\brickell-nowa\brickell-nowa-parametrico-v00-final.xlsx</t>
        </is>
      </c>
    </row>
    <row r="4">
      <c r="A4" s="2" t="inlineStr">
        <is>
          <t>Critério 1</t>
        </is>
      </c>
      <c r="B4" s="2" t="inlineStr">
        <is>
          <t>Residencial vertical em SC/litoral, priorizando Itajaí, Balneário Camboriú e Florianópolis.</t>
        </is>
      </c>
    </row>
    <row r="5">
      <c r="A5" s="6" t="inlineStr">
        <is>
          <t>Critério 2</t>
        </is>
      </c>
      <c r="B5" s="6" t="inlineStr">
        <is>
          <t>Padrão médio-alto/alto e tipologia residencial vertical alto quando disponível.</t>
        </is>
      </c>
    </row>
    <row r="6">
      <c r="A6" s="2" t="inlineStr">
        <is>
          <t>Critério 3</t>
        </is>
      </c>
      <c r="B6" s="2" t="inlineStr">
        <is>
          <t>Área construída próxima de 10.840,31 m² e R$/m² válido no consolidado.</t>
        </is>
      </c>
    </row>
    <row r="7">
      <c r="A7" s="6" t="inlineStr">
        <is>
          <t>Critério 4</t>
        </is>
      </c>
      <c r="B7" s="6" t="inlineStr">
        <is>
          <t>Mussi Chelsea entrou por UR muito próxima: 41 UR vs 38 UR do Brickell.</t>
        </is>
      </c>
    </row>
    <row r="8">
      <c r="A8" s="2" t="inlineStr">
        <is>
          <t>Normalização</t>
        </is>
      </c>
      <c r="B8" s="2" t="inlineStr">
        <is>
          <t>Comparei também o total que cada R$/m² geraria se aplicado à AC do Brickell.</t>
        </is>
      </c>
    </row>
    <row r="9">
      <c r="A9" s="6" t="inlineStr">
        <is>
          <t>Correção temporal</t>
        </is>
      </c>
      <c r="B9" s="6" t="inlineStr">
        <is>
          <t>Apliquei correção por CUB: R$/m² VP = (R$/m² original / CUB origem) x CUB atual (R$ 3.850,00, 2026-05).</t>
        </is>
      </c>
    </row>
    <row r="10">
      <c r="A10" s="2" t="inlineStr">
        <is>
          <t>Fonte CUB atual</t>
        </is>
      </c>
      <c r="B10" s="2" t="inlineStr">
        <is>
          <t>CUB atual adotado no pacote Brickell v00 / Supabase Ampli SC</t>
        </is>
      </c>
    </row>
    <row r="11">
      <c r="A11" s="6" t="inlineStr"/>
      <c r="B11" s="6" t="inlineStr"/>
    </row>
    <row r="12">
      <c r="A12" s="2" t="inlineStr">
        <is>
          <t>Slug</t>
        </is>
      </c>
      <c r="B12" s="2" t="inlineStr">
        <is>
          <t>Pasta Drive validada</t>
        </is>
      </c>
    </row>
    <row r="13">
      <c r="A13" s="6" t="inlineStr">
        <is>
          <t>adore-level-up</t>
        </is>
      </c>
      <c r="B13" s="6" t="inlineStr">
        <is>
          <t>G:\Drives compartilhados\03 CTN Projetos\2. Projetos em Andamento\Adore Incorporações\Level Up</t>
        </is>
      </c>
    </row>
    <row r="14">
      <c r="A14" s="2" t="inlineStr">
        <is>
          <t>terrassa-amaro</t>
        </is>
      </c>
      <c r="B14" s="2" t="inlineStr">
        <is>
          <t>G:\Drives compartilhados\03 CTN Projetos\2. Projetos em Andamento\Terrassa\Amaro</t>
        </is>
      </c>
    </row>
    <row r="15">
      <c r="A15" s="6" t="inlineStr">
        <is>
          <t>mussi-empreendimentos-chelsea</t>
        </is>
      </c>
      <c r="B15" s="6" t="inlineStr">
        <is>
          <t>G:\Drives compartilhados\03 CTN Projetos\2. Projetos em Andamento\Mussi Empreendimentos\Chelsea Residence 11.2022</t>
        </is>
      </c>
    </row>
    <row r="16">
      <c r="A16" s="2" t="inlineStr">
        <is>
          <t>gdi-playa-negra</t>
        </is>
      </c>
      <c r="B16" s="2" t="inlineStr">
        <is>
          <t>G:\Drives compartilhados\03 CTN Projetos\2. Projetos em Andamento\GDI Empreendimentos\Playa Negra</t>
        </is>
      </c>
    </row>
    <row r="17">
      <c r="A17" s="6" t="inlineStr">
        <is>
          <t>neuhaus-origem</t>
        </is>
      </c>
      <c r="B17" s="6" t="inlineStr">
        <is>
          <t>G:\Drives compartilhados\03 CTN Projetos\2. Projetos em Andamento\Neuhaus\2023.08 - Origem 3300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10" customWidth="1" min="4" max="4"/>
    <col width="12" customWidth="1" min="5" max="5"/>
    <col width="27" customWidth="1" min="6" max="6"/>
    <col width="11" customWidth="1" min="7" max="7"/>
    <col width="15" customWidth="1" min="8" max="8"/>
    <col width="10" customWidth="1" min="9" max="9"/>
    <col width="10" customWidth="1" min="10" max="10"/>
    <col width="19" customWidth="1" min="11" max="11"/>
    <col width="19" customWidth="1" min="12" max="12"/>
    <col width="12" customWidth="1" min="13" max="13"/>
    <col width="11" customWidth="1" min="14" max="14"/>
    <col width="23" customWidth="1" min="15" max="15"/>
    <col width="20" customWidth="1" min="16" max="16"/>
    <col width="21" customWidth="1" min="17" max="17"/>
    <col width="22" customWidth="1" min="18" max="18"/>
    <col width="22" customWidth="1" min="19" max="19"/>
    <col width="22" customWidth="1" min="20" max="20"/>
    <col width="22" customWidth="1" min="21" max="21"/>
    <col width="21" customWidth="1" min="22" max="22"/>
    <col width="19" customWidth="1" min="23" max="23"/>
    <col width="14" customWidth="1" min="24" max="24"/>
    <col width="62" customWidth="1" min="25" max="25"/>
  </cols>
  <sheetData>
    <row r="1">
      <c r="A1" s="1" t="inlineStr">
        <is>
          <t>slug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padrao</t>
        </is>
      </c>
      <c r="F1" s="1" t="inlineStr">
        <is>
          <t>tipologia</t>
        </is>
      </c>
      <c r="G1" s="1" t="inlineStr">
        <is>
          <t>data_base</t>
        </is>
      </c>
      <c r="H1" s="1" t="inlineStr">
        <is>
          <t>cub_data_base</t>
        </is>
      </c>
      <c r="I1" s="1" t="inlineStr">
        <is>
          <t>ac</t>
        </is>
      </c>
      <c r="J1" s="1" t="inlineStr">
        <is>
          <t>ur</t>
        </is>
      </c>
      <c r="K1" s="1" t="inlineStr">
        <is>
          <t>rsm2</t>
        </is>
      </c>
      <c r="L1" s="1" t="inlineStr">
        <is>
          <t>total</t>
        </is>
      </c>
      <c r="M1" s="1" t="inlineStr">
        <is>
          <t>cub_origem</t>
        </is>
      </c>
      <c r="N1" s="1" t="inlineStr">
        <is>
          <t>cub_atual</t>
        </is>
      </c>
      <c r="O1" s="1" t="inlineStr">
        <is>
          <t>cub_fator_atualizacao</t>
        </is>
      </c>
      <c r="P1" s="1" t="inlineStr">
        <is>
          <t>cub_ratio</t>
        </is>
      </c>
      <c r="Q1" s="1" t="inlineStr">
        <is>
          <t>rsm2_valor_presente</t>
        </is>
      </c>
      <c r="R1" s="1" t="inlineStr">
        <is>
          <t>total_valor_presente</t>
        </is>
      </c>
      <c r="S1" s="1" t="inlineStr">
        <is>
          <t>total_vp_normalizado</t>
        </is>
      </c>
      <c r="T1" s="1" t="inlineStr">
        <is>
          <t>diff_ac_pct</t>
        </is>
      </c>
      <c r="U1" s="1" t="inlineStr">
        <is>
          <t>diff_rsm2_pct</t>
        </is>
      </c>
      <c r="V1" s="1" t="inlineStr">
        <is>
          <t>diff_rsm2_vp_pct</t>
        </is>
      </c>
      <c r="W1" s="1" t="inlineStr">
        <is>
          <t>total_normalizado</t>
        </is>
      </c>
      <c r="X1" s="1" t="inlineStr">
        <is>
          <t>pasta_existe</t>
        </is>
      </c>
      <c r="Y1" s="1" t="inlineStr">
        <is>
          <t>cub_fonte</t>
        </is>
      </c>
    </row>
    <row r="2">
      <c r="A2" s="2" t="inlineStr">
        <is>
          <t>adore-level-up</t>
        </is>
      </c>
      <c r="B2" s="2" t="inlineStr">
        <is>
          <t>adore</t>
        </is>
      </c>
      <c r="C2" s="2" t="inlineStr">
        <is>
          <t>Balneário Camboriú</t>
        </is>
      </c>
      <c r="D2" s="2" t="inlineStr">
        <is>
          <t>SC</t>
        </is>
      </c>
      <c r="E2" s="2" t="inlineStr">
        <is>
          <t>medio-alto</t>
        </is>
      </c>
      <c r="F2" s="2" t="inlineStr">
        <is>
          <t>residencial_vertical_alto</t>
        </is>
      </c>
      <c r="G2" s="2" t="inlineStr">
        <is>
          <t>2025-08</t>
        </is>
      </c>
      <c r="H2" s="2" t="inlineStr">
        <is>
          <t>2025-08</t>
        </is>
      </c>
      <c r="I2" s="2" t="n">
        <v>11102.72</v>
      </c>
      <c r="J2" s="2" t="n"/>
      <c r="K2" s="2" t="n">
        <v>3628.647366742739</v>
      </c>
      <c r="L2" s="2" t="n">
        <v>40287855.69168194</v>
      </c>
      <c r="M2" s="2" t="n">
        <v>2911.91</v>
      </c>
      <c r="N2" s="2" t="n">
        <v>3850</v>
      </c>
      <c r="O2" s="2" t="n">
        <v>1.32215624796096</v>
      </c>
      <c r="P2" s="2" t="n">
        <v>1.246139944827532</v>
      </c>
      <c r="Q2" s="2" t="n">
        <v>4797.638787585998</v>
      </c>
      <c r="R2" s="2" t="n">
        <v>53266840.11970681</v>
      </c>
      <c r="S2" s="2" t="n">
        <v>52007891.72545637</v>
      </c>
      <c r="T2" s="2" t="n">
        <v>0.02420687231269225</v>
      </c>
      <c r="U2" s="2" t="n">
        <v>-0.09689462159243267</v>
      </c>
      <c r="V2" s="2" t="n">
        <v>0.1940464186287125</v>
      </c>
      <c r="W2" s="2" t="n">
        <v>39335662.33617498</v>
      </c>
      <c r="X2" s="2" t="b">
        <v>1</v>
      </c>
      <c r="Y2" s="2" t="inlineStr">
        <is>
          <t>C:\Users\leona\orcamentos-openclaw\archive\v1-pre-fase19\indices\adore-level-up-indices.md</t>
        </is>
      </c>
    </row>
    <row r="3">
      <c r="A3" s="6" t="inlineStr">
        <is>
          <t>terrassa-amaro</t>
        </is>
      </c>
      <c r="B3" s="6" t="inlineStr">
        <is>
          <t>terrassa</t>
        </is>
      </c>
      <c r="C3" s="6" t="inlineStr">
        <is>
          <t>Itajaí</t>
        </is>
      </c>
      <c r="D3" s="6" t="inlineStr">
        <is>
          <t>SC</t>
        </is>
      </c>
      <c r="E3" s="6" t="inlineStr">
        <is>
          <t>alto</t>
        </is>
      </c>
      <c r="F3" s="6" t="inlineStr">
        <is>
          <t>residencial_vertical_alto</t>
        </is>
      </c>
      <c r="G3" s="6" t="inlineStr">
        <is>
          <t>2024-04</t>
        </is>
      </c>
      <c r="H3" s="6" t="inlineStr">
        <is>
          <t>2024-04</t>
        </is>
      </c>
      <c r="I3" s="6" t="n">
        <v>10479.34</v>
      </c>
      <c r="J3" s="6" t="n"/>
      <c r="K3" s="6" t="n">
        <v>3100.161860683344</v>
      </c>
      <c r="L3" s="6" t="n">
        <v>32487650.1931334</v>
      </c>
      <c r="M3" s="6" t="n">
        <v>2757.56</v>
      </c>
      <c r="N3" s="6" t="n">
        <v>3850</v>
      </c>
      <c r="O3" s="6" t="n">
        <v>1.396161824221413</v>
      </c>
      <c r="P3" s="6" t="n">
        <v>1.124240945141119</v>
      </c>
      <c r="Q3" s="6" t="n">
        <v>4328.327638793308</v>
      </c>
      <c r="R3" s="6" t="n">
        <v>45358016.95831227</v>
      </c>
      <c r="S3" s="6" t="n">
        <v>46920413.38608748</v>
      </c>
      <c r="T3" s="6" t="n">
        <v>-0.03329886322439113</v>
      </c>
      <c r="U3" s="6" t="n">
        <v>-0.228425204395003</v>
      </c>
      <c r="V3" s="6" t="n">
        <v>0.07724327415513677</v>
      </c>
      <c r="W3" s="6" t="n">
        <v>33606715.61998426</v>
      </c>
      <c r="X3" s="6" t="b">
        <v>1</v>
      </c>
      <c r="Y3" s="6" t="inlineStr">
        <is>
          <t>C:\Users\leona\orcamentos-openclaw\archive\v1-pre-fase19\indices\terrassa-amaro-indices.md</t>
        </is>
      </c>
    </row>
    <row r="4">
      <c r="A4" s="2" t="inlineStr">
        <is>
          <t>mussi-empreendimentos-chelsea</t>
        </is>
      </c>
      <c r="B4" s="2" t="inlineStr">
        <is>
          <t>mussi</t>
        </is>
      </c>
      <c r="C4" s="2" t="inlineStr">
        <is>
          <t>Itajaí</t>
        </is>
      </c>
      <c r="D4" s="2" t="inlineStr">
        <is>
          <t>SC</t>
        </is>
      </c>
      <c r="E4" s="2" t="inlineStr">
        <is>
          <t>medio-alto</t>
        </is>
      </c>
      <c r="F4" s="2" t="inlineStr">
        <is>
          <t>residencial_vertical_alto</t>
        </is>
      </c>
      <c r="G4" s="2" t="inlineStr">
        <is>
          <t>2024-11</t>
        </is>
      </c>
      <c r="H4" s="2" t="inlineStr">
        <is>
          <t>2024-11</t>
        </is>
      </c>
      <c r="I4" s="2" t="n">
        <v>15149.39</v>
      </c>
      <c r="J4" s="2" t="n">
        <v>41</v>
      </c>
      <c r="K4" s="2" t="n">
        <v>3443.27</v>
      </c>
      <c r="L4" s="2" t="n">
        <v>52163485.94</v>
      </c>
      <c r="M4" s="2" t="n">
        <v>2846.12</v>
      </c>
      <c r="N4" s="2" t="n">
        <v>3850</v>
      </c>
      <c r="O4" s="2" t="n">
        <v>1.352718789088303</v>
      </c>
      <c r="P4" s="2" t="n">
        <v>1.20981195452054</v>
      </c>
      <c r="Q4" s="2" t="n">
        <v>4657.77602490408</v>
      </c>
      <c r="R4" s="2" t="n">
        <v>70562465.53392161</v>
      </c>
      <c r="S4" s="2" t="n">
        <v>50491736.02052795</v>
      </c>
      <c r="T4" s="2" t="n">
        <v>0.3975052373963475</v>
      </c>
      <c r="U4" s="2" t="n">
        <v>-0.1430317300022478</v>
      </c>
      <c r="V4" s="2" t="n">
        <v>0.1592370804784573</v>
      </c>
      <c r="W4" s="2" t="n">
        <v>37326114.2137</v>
      </c>
      <c r="X4" s="2" t="b">
        <v>1</v>
      </c>
      <c r="Y4" s="2" t="inlineStr">
        <is>
          <t>G:\Drives compartilhados\03 CTN Projetos\2. Projetos em Andamento\_Entregas\Orçamento_executivo\Mussi Empreendimentos\Chelsea\CTN_MSS_CLS - Orçamento R02.xlsx</t>
        </is>
      </c>
    </row>
    <row r="5">
      <c r="A5" s="6" t="inlineStr">
        <is>
          <t>gdi-playa-negra</t>
        </is>
      </c>
      <c r="B5" s="6" t="inlineStr">
        <is>
          <t>gdi</t>
        </is>
      </c>
      <c r="C5" s="6" t="inlineStr">
        <is>
          <t>Florianópolis</t>
        </is>
      </c>
      <c r="D5" s="6" t="inlineStr">
        <is>
          <t>SC</t>
        </is>
      </c>
      <c r="E5" s="6" t="inlineStr">
        <is>
          <t>medio-alto</t>
        </is>
      </c>
      <c r="F5" s="6" t="inlineStr">
        <is>
          <t>residencial_vertical_alto</t>
        </is>
      </c>
      <c r="G5" s="6" t="inlineStr">
        <is>
          <t>2024-08</t>
        </is>
      </c>
      <c r="H5" s="6" t="inlineStr">
        <is>
          <t>2024-08</t>
        </is>
      </c>
      <c r="I5" s="6" t="n">
        <v>8518.6</v>
      </c>
      <c r="J5" s="6" t="n"/>
      <c r="K5" s="6" t="n">
        <v>4346.61</v>
      </c>
      <c r="L5" s="6" t="n">
        <v>37027025.39</v>
      </c>
      <c r="M5" s="6" t="n">
        <v>2841.51</v>
      </c>
      <c r="N5" s="6" t="n">
        <v>3850</v>
      </c>
      <c r="O5" s="6" t="n">
        <v>1.354913408715788</v>
      </c>
      <c r="P5" s="6" t="n">
        <v>1.529683161417697</v>
      </c>
      <c r="Q5" s="6" t="n">
        <v>5889.280171458132</v>
      </c>
      <c r="R5" s="6" t="n">
        <v>50168422.06858324</v>
      </c>
      <c r="S5" s="6" t="n">
        <v>63841622.7354593</v>
      </c>
      <c r="T5" s="6" t="n">
        <v>-0.2141737644034164</v>
      </c>
      <c r="U5" s="6" t="n">
        <v>0.08179342661334421</v>
      </c>
      <c r="V5" s="6" t="n">
        <v>0.4657364191790192</v>
      </c>
      <c r="W5" s="6" t="n">
        <v>47118599.84909999</v>
      </c>
      <c r="X5" s="6" t="b">
        <v>1</v>
      </c>
      <c r="Y5" s="6" t="inlineStr">
        <is>
          <t>C:\Users\leona\orcamentos-openclaw\archive\v1-pre-fase19\indices\gdi-playanegra-indices.md</t>
        </is>
      </c>
    </row>
    <row r="6">
      <c r="A6" s="2" t="inlineStr">
        <is>
          <t>neuhaus-origem</t>
        </is>
      </c>
      <c r="B6" s="2" t="inlineStr">
        <is>
          <t>neuhaus</t>
        </is>
      </c>
      <c r="C6" s="2" t="inlineStr">
        <is>
          <t>Florianópolis</t>
        </is>
      </c>
      <c r="D6" s="2" t="inlineStr">
        <is>
          <t>SC</t>
        </is>
      </c>
      <c r="E6" s="2" t="inlineStr">
        <is>
          <t>alto</t>
        </is>
      </c>
      <c r="F6" s="2" t="inlineStr">
        <is>
          <t>residencial_vertical_alto</t>
        </is>
      </c>
      <c r="G6" s="2" t="inlineStr">
        <is>
          <t>2025-03</t>
        </is>
      </c>
      <c r="H6" s="2" t="inlineStr">
        <is>
          <t>2025-03</t>
        </is>
      </c>
      <c r="I6" s="2" t="n">
        <v>14559.12</v>
      </c>
      <c r="J6" s="2" t="n"/>
      <c r="K6" s="2" t="n">
        <v>4642.46</v>
      </c>
      <c r="L6" s="2" t="n">
        <v>67590131.02</v>
      </c>
      <c r="M6" s="2" t="n">
        <v>2916.12</v>
      </c>
      <c r="N6" s="2" t="n">
        <v>3850</v>
      </c>
      <c r="O6" s="2" t="n">
        <v>1.320247452093878</v>
      </c>
      <c r="P6" s="2" t="n">
        <v>1.591998957518895</v>
      </c>
      <c r="Q6" s="2" t="n">
        <v>6129.195986447746</v>
      </c>
      <c r="R6" s="2" t="n">
        <v>89235699.87021111</v>
      </c>
      <c r="S6" s="2" t="n">
        <v>66442384.54384936</v>
      </c>
      <c r="T6" s="2" t="n">
        <v>0.3430538425561631</v>
      </c>
      <c r="U6" s="2" t="n">
        <v>0.1554251960298685</v>
      </c>
      <c r="V6" s="2" t="n">
        <v>0.5254471711435036</v>
      </c>
      <c r="W6" s="2" t="n">
        <v>50325705.5626</v>
      </c>
      <c r="X6" s="2" t="b">
        <v>1</v>
      </c>
      <c r="Y6" s="2" t="inlineStr">
        <is>
          <t>C:\Users\leona\orcamentos-openclaw\archive\v1-pre-fase19\indices\origem-indices.md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2" customWidth="1" min="3" max="3"/>
    <col width="20" customWidth="1" min="4" max="4"/>
  </cols>
  <sheetData>
    <row r="1">
      <c r="A1" s="1" t="inlineStr">
        <is>
          <t>Macrogrupo</t>
        </is>
      </c>
      <c r="B1" s="1" t="inlineStr">
        <is>
          <t>R$/m²</t>
        </is>
      </c>
      <c r="C1" s="1" t="inlineStr">
        <is>
          <t>%</t>
        </is>
      </c>
      <c r="D1" s="1" t="inlineStr">
        <is>
          <t>Total</t>
        </is>
      </c>
    </row>
    <row r="2">
      <c r="A2" s="2" t="inlineStr">
        <is>
          <t>Gerenciamento</t>
        </is>
      </c>
      <c r="B2" s="4" t="n">
        <v>468.4604038076402</v>
      </c>
      <c r="C2" s="5" t="n">
        <v>0.1165914092747539</v>
      </c>
      <c r="D2" s="4" t="n">
        <v>5078256</v>
      </c>
    </row>
    <row r="3">
      <c r="A3" s="6" t="inlineStr">
        <is>
          <t>Mov. Terra</t>
        </is>
      </c>
      <c r="B3" s="8" t="n">
        <v>17</v>
      </c>
      <c r="C3" s="9" t="n">
        <v>0.00423099570755758</v>
      </c>
      <c r="D3" s="8" t="n">
        <v>184285.27</v>
      </c>
    </row>
    <row r="4">
      <c r="A4" s="2" t="inlineStr">
        <is>
          <t>Infraestrutura</t>
        </is>
      </c>
      <c r="B4" s="4" t="n">
        <v>153.5201723935939</v>
      </c>
      <c r="C4" s="5" t="n">
        <v>0.03820842296592915</v>
      </c>
      <c r="D4" s="4" t="n">
        <v>1664206.26</v>
      </c>
    </row>
    <row r="5">
      <c r="A5" s="6" t="inlineStr">
        <is>
          <t>Supraestrutura</t>
        </is>
      </c>
      <c r="B5" s="8" t="n">
        <v>785.8531074203598</v>
      </c>
      <c r="C5" s="9" t="n">
        <v>0.1955847720156664</v>
      </c>
      <c r="D5" s="8" t="n">
        <v>8518891.298900001</v>
      </c>
    </row>
    <row r="6">
      <c r="A6" s="2" t="inlineStr">
        <is>
          <t>Alvenaria</t>
        </is>
      </c>
      <c r="B6" s="4" t="n">
        <v>181.573405188597</v>
      </c>
      <c r="C6" s="5" t="n">
        <v>0.04519037046820983</v>
      </c>
      <c r="D6" s="4" t="n">
        <v>1968312</v>
      </c>
    </row>
    <row r="7">
      <c r="A7" s="6" t="inlineStr">
        <is>
          <t>Impermeabilização</t>
        </is>
      </c>
      <c r="B7" s="8" t="n">
        <v>71.09012380642251</v>
      </c>
      <c r="C7" s="9" t="n">
        <v>0.0176930593338065</v>
      </c>
      <c r="D7" s="8" t="n">
        <v>770638.98</v>
      </c>
    </row>
    <row r="8">
      <c r="A8" s="2" t="inlineStr">
        <is>
          <t>Instalações</t>
        </is>
      </c>
      <c r="B8" s="4" t="n">
        <v>476.49</v>
      </c>
      <c r="C8" s="5" t="n">
        <v>0.1185898320408301</v>
      </c>
      <c r="D8" s="4" t="n">
        <v>5165299.3119</v>
      </c>
    </row>
    <row r="9">
      <c r="A9" s="6" t="inlineStr">
        <is>
          <t>Sist. Especiais</t>
        </is>
      </c>
      <c r="B9" s="8" t="n">
        <v>221.3287258390212</v>
      </c>
      <c r="C9" s="9" t="n">
        <v>0.05508475817553454</v>
      </c>
      <c r="D9" s="8" t="n">
        <v>2399272</v>
      </c>
    </row>
    <row r="10">
      <c r="A10" s="2" t="inlineStr">
        <is>
          <t>Climatização</t>
        </is>
      </c>
      <c r="B10" s="4" t="n">
        <v>89.94443701333265</v>
      </c>
      <c r="C10" s="5" t="n">
        <v>0.02238556040718197</v>
      </c>
      <c r="D10" s="4" t="n">
        <v>975025.58</v>
      </c>
    </row>
    <row r="11">
      <c r="A11" s="6" t="inlineStr">
        <is>
          <t>Rev. Int. Parede</t>
        </is>
      </c>
      <c r="B11" s="8" t="n">
        <v>131.6731578709465</v>
      </c>
      <c r="C11" s="9" t="n">
        <v>0.03277109210308977</v>
      </c>
      <c r="D11" s="8" t="n">
        <v>1427377.85</v>
      </c>
    </row>
    <row r="12">
      <c r="A12" s="2" t="inlineStr">
        <is>
          <t>Teto</t>
        </is>
      </c>
      <c r="B12" s="4" t="n">
        <v>72.61563553071822</v>
      </c>
      <c r="C12" s="5" t="n">
        <v>0.01807273189600203</v>
      </c>
      <c r="D12" s="4" t="n">
        <v>787176</v>
      </c>
    </row>
    <row r="13">
      <c r="A13" s="6" t="inlineStr">
        <is>
          <t>Pisos</t>
        </is>
      </c>
      <c r="B13" s="8" t="n">
        <v>203.5078038358682</v>
      </c>
      <c r="C13" s="9" t="n">
        <v>0.05064944967553107</v>
      </c>
      <c r="D13" s="8" t="n">
        <v>2206087.681</v>
      </c>
    </row>
    <row r="14">
      <c r="A14" s="2" t="inlineStr">
        <is>
          <t>Pintura</t>
        </is>
      </c>
      <c r="B14" s="4" t="n">
        <v>154.6434410086059</v>
      </c>
      <c r="C14" s="5" t="n">
        <v>0.03848798441819678</v>
      </c>
      <c r="D14" s="4" t="n">
        <v>1676382.84</v>
      </c>
    </row>
    <row r="15">
      <c r="A15" s="6" t="inlineStr">
        <is>
          <t>Esquadrias</t>
        </is>
      </c>
      <c r="B15" s="8" t="n">
        <v>373.75</v>
      </c>
      <c r="C15" s="9" t="n">
        <v>0.09301968504115561</v>
      </c>
      <c r="D15" s="8" t="n">
        <v>4051565.8625</v>
      </c>
    </row>
    <row r="16">
      <c r="A16" s="2" t="inlineStr">
        <is>
          <t>Louças e Metais</t>
        </is>
      </c>
      <c r="B16" s="4" t="n">
        <v>75.00000461241422</v>
      </c>
      <c r="C16" s="5" t="n">
        <v>0.0186661586812896</v>
      </c>
      <c r="D16" s="4" t="n">
        <v>813023.2999999999</v>
      </c>
    </row>
    <row r="17">
      <c r="A17" s="6" t="inlineStr">
        <is>
          <t>Fachada</t>
        </is>
      </c>
      <c r="B17" s="8" t="n">
        <v>237.143218228999</v>
      </c>
      <c r="C17" s="9" t="n">
        <v>0.05902070225901677</v>
      </c>
      <c r="D17" s="8" t="n">
        <v>2570706</v>
      </c>
    </row>
    <row r="18">
      <c r="A18" s="2" t="inlineStr">
        <is>
          <t>Complementares</t>
        </is>
      </c>
      <c r="B18" s="4" t="n">
        <v>244.994259389261</v>
      </c>
      <c r="C18" s="5" t="n">
        <v>0.06097468587365951</v>
      </c>
      <c r="D18" s="4" t="n">
        <v>2655813.72</v>
      </c>
    </row>
    <row r="19">
      <c r="A19" s="6" t="inlineStr">
        <is>
          <t>Imprevistos</t>
        </is>
      </c>
      <c r="B19" s="8" t="n">
        <v>59.37883695207979</v>
      </c>
      <c r="C19" s="9" t="n">
        <v>0.01477832966258888</v>
      </c>
      <c r="D19" s="8" t="n">
        <v>643685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2026-06-10T01:08:19Z</dcterms:created>
  <dcterms:modified xmlns:dcterms="http://purl.org/dc/terms/" xmlns:xsi="http://www.w3.org/2001/XMLSchema-instance" xsi:type="dcterms:W3CDTF">2026-06-10T01:08:19Z</dcterms:modified>
</cp:coreProperties>
</file>