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ona\orcamentos-openclaw\base\pacotes\brickell-nowa\"/>
    </mc:Choice>
  </mc:AlternateContent>
  <xr:revisionPtr revIDLastSave="0" documentId="13_ncr:1_{D7A566D5-09F0-44D5-B696-4ED939D4CAD1}" xr6:coauthVersionLast="47" xr6:coauthVersionMax="47" xr10:uidLastSave="{00000000-0000-0000-0000-000000000000}"/>
  <bookViews>
    <workbookView xWindow="31920" yWindow="3120" windowWidth="21600" windowHeight="11295" xr2:uid="{00000000-000D-0000-FFFF-FFFF00000000}"/>
  </bookViews>
  <sheets>
    <sheet name="PAINEL" sheetId="1" r:id="rId1"/>
    <sheet name="DADOS_PROJETO" sheetId="2" r:id="rId2"/>
    <sheet name="BRIEFING" sheetId="3" r:id="rId3"/>
    <sheet name="INDICES" sheetId="4" r:id="rId4"/>
    <sheet name="CUSTOS_MACROGRUPO" sheetId="5" r:id="rId5"/>
    <sheet name="Supraestrutura" sheetId="6" r:id="rId6"/>
    <sheet name="Infraestrutura" sheetId="7" r:id="rId7"/>
    <sheet name="Mov. Terra" sheetId="8" r:id="rId8"/>
    <sheet name="Gerenciamento" sheetId="9" r:id="rId9"/>
    <sheet name="Alvenaria" sheetId="10" r:id="rId10"/>
    <sheet name="Impermeabilização" sheetId="11" r:id="rId11"/>
    <sheet name="Instalações" sheetId="12" r:id="rId12"/>
    <sheet name="Sist. Especiais" sheetId="13" r:id="rId13"/>
    <sheet name="Climatização" sheetId="14" r:id="rId14"/>
    <sheet name="Rev. Int. Parede" sheetId="15" r:id="rId15"/>
    <sheet name="Teto" sheetId="16" r:id="rId16"/>
    <sheet name="Pisos" sheetId="17" r:id="rId17"/>
    <sheet name="Pintura" sheetId="18" r:id="rId18"/>
    <sheet name="Esquadrias" sheetId="19" r:id="rId19"/>
    <sheet name="Louças e Metais" sheetId="20" r:id="rId20"/>
    <sheet name="Fachada" sheetId="21" r:id="rId21"/>
    <sheet name="Complementares" sheetId="22" r:id="rId22"/>
    <sheet name="Imprevistos" sheetId="23" r:id="rId23"/>
    <sheet name="PREMISSAS" sheetId="24" r:id="rId24"/>
    <sheet name="FONTES_PROJETO" sheetId="25" r:id="rId25"/>
    <sheet name="BENCHMARK_SUPABASE" sheetId="26" r:id="rId26"/>
    <sheet name="AMPLI_REFERENCIAS" sheetId="27" r:id="rId27"/>
    <sheet name="AJUSTES_V00" sheetId="28" r:id="rId28"/>
    <sheet name="PREMISSAS_V00" sheetId="29" r:id="rId29"/>
    <sheet name="LIMITACOES_V00" sheetId="30" r:id="rId30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2" l="1"/>
  <c r="F13" i="22" s="1"/>
  <c r="F12" i="22"/>
  <c r="F11" i="22"/>
  <c r="C10" i="22"/>
  <c r="F10" i="22" s="1"/>
  <c r="F9" i="22"/>
  <c r="C8" i="22"/>
  <c r="F8" i="22" s="1"/>
  <c r="F7" i="22"/>
  <c r="F6" i="22"/>
  <c r="F4" i="22"/>
  <c r="E4" i="20"/>
  <c r="C4" i="20"/>
  <c r="C5" i="19"/>
  <c r="C4" i="19"/>
  <c r="C14" i="15"/>
  <c r="F14" i="15" s="1"/>
  <c r="C9" i="15"/>
  <c r="C7" i="14"/>
  <c r="F7" i="14" s="1"/>
  <c r="C6" i="14"/>
  <c r="F6" i="14" s="1"/>
  <c r="C5" i="14"/>
  <c r="F5" i="14" s="1"/>
  <c r="C4" i="14"/>
  <c r="F4" i="14" s="1"/>
  <c r="F15" i="13"/>
  <c r="F14" i="13"/>
  <c r="F13" i="13"/>
  <c r="F12" i="13"/>
  <c r="F11" i="13"/>
  <c r="F9" i="13"/>
  <c r="F7" i="13"/>
  <c r="F5" i="13"/>
  <c r="C4" i="13"/>
  <c r="F4" i="13" s="1"/>
  <c r="E10" i="12"/>
  <c r="C10" i="12"/>
  <c r="E9" i="12"/>
  <c r="C9" i="12"/>
  <c r="E8" i="12"/>
  <c r="C8" i="12"/>
  <c r="C7" i="12"/>
  <c r="C6" i="12"/>
  <c r="C5" i="12"/>
  <c r="C4" i="12"/>
  <c r="F23" i="9"/>
  <c r="F22" i="9"/>
  <c r="C21" i="9"/>
  <c r="F21" i="9" s="1"/>
  <c r="F20" i="9"/>
  <c r="F19" i="9"/>
  <c r="F18" i="9"/>
  <c r="C17" i="9"/>
  <c r="F17" i="9" s="1"/>
  <c r="E16" i="9"/>
  <c r="F16" i="9" s="1"/>
  <c r="C15" i="9"/>
  <c r="F15" i="9" s="1"/>
  <c r="C14" i="9"/>
  <c r="F14" i="9" s="1"/>
  <c r="C13" i="9"/>
  <c r="F13" i="9" s="1"/>
  <c r="C12" i="9"/>
  <c r="F12" i="9" s="1"/>
  <c r="C11" i="9"/>
  <c r="F11" i="9" s="1"/>
  <c r="C10" i="9"/>
  <c r="F10" i="9" s="1"/>
  <c r="C9" i="9"/>
  <c r="F9" i="9" s="1"/>
  <c r="C8" i="9"/>
  <c r="F8" i="9" s="1"/>
  <c r="F7" i="9"/>
  <c r="F6" i="9"/>
  <c r="F5" i="9"/>
  <c r="F4" i="9"/>
  <c r="C4" i="8"/>
  <c r="F10" i="7"/>
  <c r="C8" i="7"/>
  <c r="F8" i="7" s="1"/>
  <c r="C6" i="7"/>
  <c r="F6" i="7" s="1"/>
  <c r="C13" i="6"/>
  <c r="C12" i="6"/>
  <c r="B35" i="4"/>
  <c r="D35" i="4" s="1"/>
  <c r="E7" i="12" s="1"/>
  <c r="B34" i="4"/>
  <c r="D34" i="4" s="1"/>
  <c r="B33" i="4"/>
  <c r="D33" i="4" s="1"/>
  <c r="B32" i="4"/>
  <c r="D32" i="4" s="1"/>
  <c r="B31" i="4"/>
  <c r="D31" i="4" s="1"/>
  <c r="B30" i="4"/>
  <c r="D30" i="4" s="1"/>
  <c r="E8" i="13" s="1"/>
  <c r="F8" i="13" s="1"/>
  <c r="B28" i="4"/>
  <c r="D28" i="4" s="1"/>
  <c r="B27" i="4"/>
  <c r="D27" i="4" s="1"/>
  <c r="B26" i="4"/>
  <c r="D26" i="4" s="1"/>
  <c r="B25" i="4"/>
  <c r="D25" i="4" s="1"/>
  <c r="E4" i="8" s="1"/>
  <c r="B24" i="4"/>
  <c r="D24" i="4" s="1"/>
  <c r="E12" i="7" s="1"/>
  <c r="F12" i="7" s="1"/>
  <c r="D23" i="4"/>
  <c r="E6" i="13" s="1"/>
  <c r="F6" i="13" s="1"/>
  <c r="B23" i="4"/>
  <c r="D22" i="4"/>
  <c r="E10" i="13" s="1"/>
  <c r="F10" i="13" s="1"/>
  <c r="B22" i="4"/>
  <c r="B21" i="4"/>
  <c r="D21" i="4" s="1"/>
  <c r="E4" i="21" s="1"/>
  <c r="B20" i="4"/>
  <c r="D20" i="4" s="1"/>
  <c r="B19" i="4"/>
  <c r="D19" i="4" s="1"/>
  <c r="B18" i="4"/>
  <c r="D18" i="4" s="1"/>
  <c r="B17" i="4"/>
  <c r="D17" i="4" s="1"/>
  <c r="B16" i="4"/>
  <c r="D16" i="4" s="1"/>
  <c r="B15" i="4"/>
  <c r="D15" i="4" s="1"/>
  <c r="C8" i="15" s="1"/>
  <c r="B14" i="4"/>
  <c r="D14" i="4" s="1"/>
  <c r="C7" i="17" s="1"/>
  <c r="B13" i="4"/>
  <c r="D13" i="4" s="1"/>
  <c r="B12" i="4"/>
  <c r="D12" i="4" s="1"/>
  <c r="B11" i="4"/>
  <c r="D11" i="4" s="1"/>
  <c r="B10" i="4"/>
  <c r="D10" i="4" s="1"/>
  <c r="E6" i="6" s="1"/>
  <c r="B9" i="4"/>
  <c r="D9" i="4" s="1"/>
  <c r="E12" i="6" s="1"/>
  <c r="B8" i="4"/>
  <c r="D8" i="4" s="1"/>
  <c r="D7" i="4"/>
  <c r="C10" i="6" s="1"/>
  <c r="F10" i="6" s="1"/>
  <c r="B7" i="4"/>
  <c r="B6" i="4"/>
  <c r="D6" i="4" s="1"/>
  <c r="B5" i="4"/>
  <c r="D5" i="4" s="1"/>
  <c r="B14" i="1"/>
  <c r="B13" i="1"/>
  <c r="B12" i="1"/>
  <c r="B11" i="1"/>
  <c r="B10" i="1"/>
  <c r="B9" i="1"/>
  <c r="B8" i="1"/>
  <c r="F4" i="20" l="1"/>
  <c r="F5" i="20" s="1"/>
  <c r="G2" i="20" s="1"/>
  <c r="D18" i="5" s="1"/>
  <c r="F8" i="14"/>
  <c r="G2" i="14" s="1"/>
  <c r="D12" i="5" s="1"/>
  <c r="F24" i="9"/>
  <c r="G2" i="9" s="1"/>
  <c r="D4" i="5" s="1"/>
  <c r="F10" i="12"/>
  <c r="F4" i="8"/>
  <c r="F5" i="8" s="1"/>
  <c r="G2" i="8" s="1"/>
  <c r="D5" i="5" s="1"/>
  <c r="B5" i="5" s="1"/>
  <c r="F8" i="12"/>
  <c r="F9" i="12"/>
  <c r="C6" i="21"/>
  <c r="F6" i="21" s="1"/>
  <c r="C5" i="21"/>
  <c r="F5" i="21" s="1"/>
  <c r="C4" i="21"/>
  <c r="F4" i="21" s="1"/>
  <c r="B18" i="5"/>
  <c r="C8" i="11"/>
  <c r="F8" i="11" s="1"/>
  <c r="C7" i="11"/>
  <c r="F7" i="11" s="1"/>
  <c r="C6" i="11"/>
  <c r="F6" i="11" s="1"/>
  <c r="C5" i="11"/>
  <c r="F5" i="11" s="1"/>
  <c r="C4" i="11"/>
  <c r="F4" i="11" s="1"/>
  <c r="C8" i="6"/>
  <c r="F8" i="6" s="1"/>
  <c r="C7" i="6"/>
  <c r="F7" i="6" s="1"/>
  <c r="C6" i="6"/>
  <c r="F6" i="6" s="1"/>
  <c r="C5" i="6"/>
  <c r="F5" i="6" s="1"/>
  <c r="C4" i="6"/>
  <c r="F4" i="6" s="1"/>
  <c r="C7" i="18"/>
  <c r="F7" i="18" s="1"/>
  <c r="C6" i="18"/>
  <c r="F6" i="18" s="1"/>
  <c r="C5" i="18"/>
  <c r="F5" i="18" s="1"/>
  <c r="C4" i="18"/>
  <c r="F4" i="18" s="1"/>
  <c r="C9" i="18"/>
  <c r="F9" i="18" s="1"/>
  <c r="C8" i="18"/>
  <c r="F8" i="18" s="1"/>
  <c r="C5" i="7"/>
  <c r="C4" i="7"/>
  <c r="F4" i="7" s="1"/>
  <c r="C9" i="7"/>
  <c r="F9" i="7" s="1"/>
  <c r="C9" i="6"/>
  <c r="F9" i="6" s="1"/>
  <c r="E7" i="17"/>
  <c r="F7" i="17" s="1"/>
  <c r="E9" i="15"/>
  <c r="F9" i="15" s="1"/>
  <c r="E5" i="22"/>
  <c r="F5" i="22" s="1"/>
  <c r="F14" i="22" s="1"/>
  <c r="G2" i="22" s="1"/>
  <c r="D20" i="5" s="1"/>
  <c r="B29" i="4"/>
  <c r="D29" i="4" s="1"/>
  <c r="E5" i="17" s="1"/>
  <c r="E8" i="15"/>
  <c r="E5" i="19"/>
  <c r="F5" i="19" s="1"/>
  <c r="E7" i="15"/>
  <c r="E4" i="19"/>
  <c r="F4" i="19" s="1"/>
  <c r="E6" i="15"/>
  <c r="F12" i="6"/>
  <c r="B12" i="5"/>
  <c r="B4" i="5"/>
  <c r="F16" i="13"/>
  <c r="G2" i="13" s="1"/>
  <c r="D11" i="5" s="1"/>
  <c r="C11" i="6"/>
  <c r="F11" i="6" s="1"/>
  <c r="C5" i="16"/>
  <c r="F5" i="16" s="1"/>
  <c r="C4" i="16"/>
  <c r="F4" i="16" s="1"/>
  <c r="C7" i="16"/>
  <c r="F7" i="16" s="1"/>
  <c r="C6" i="16"/>
  <c r="F6" i="16" s="1"/>
  <c r="F7" i="12"/>
  <c r="C8" i="10"/>
  <c r="F8" i="10" s="1"/>
  <c r="C7" i="10"/>
  <c r="F7" i="10" s="1"/>
  <c r="C6" i="10"/>
  <c r="F6" i="10" s="1"/>
  <c r="C5" i="10"/>
  <c r="F5" i="10" s="1"/>
  <c r="C4" i="10"/>
  <c r="F4" i="10" s="1"/>
  <c r="F9" i="10" s="1"/>
  <c r="G2" i="10" s="1"/>
  <c r="D8" i="5" s="1"/>
  <c r="F6" i="12"/>
  <c r="E4" i="12"/>
  <c r="F4" i="12" s="1"/>
  <c r="E5" i="12"/>
  <c r="F5" i="12" s="1"/>
  <c r="F8" i="15"/>
  <c r="C4" i="15"/>
  <c r="F4" i="15" s="1"/>
  <c r="C10" i="15"/>
  <c r="F10" i="15" s="1"/>
  <c r="C8" i="17"/>
  <c r="F8" i="17" s="1"/>
  <c r="C5" i="15"/>
  <c r="F5" i="15" s="1"/>
  <c r="C11" i="15"/>
  <c r="F11" i="15" s="1"/>
  <c r="C9" i="17"/>
  <c r="F9" i="17" s="1"/>
  <c r="E6" i="12"/>
  <c r="C6" i="15"/>
  <c r="C12" i="15"/>
  <c r="F12" i="15" s="1"/>
  <c r="C10" i="17"/>
  <c r="F10" i="17" s="1"/>
  <c r="C13" i="15"/>
  <c r="F13" i="15" s="1"/>
  <c r="C4" i="17"/>
  <c r="F4" i="17" s="1"/>
  <c r="C7" i="15"/>
  <c r="F7" i="15" s="1"/>
  <c r="C5" i="17"/>
  <c r="C6" i="17"/>
  <c r="F6" i="17" s="1"/>
  <c r="F9" i="11" l="1"/>
  <c r="G2" i="11" s="1"/>
  <c r="D9" i="5" s="1"/>
  <c r="F8" i="16"/>
  <c r="G2" i="16" s="1"/>
  <c r="D14" i="5" s="1"/>
  <c r="F6" i="15"/>
  <c r="F15" i="15" s="1"/>
  <c r="G2" i="15" s="1"/>
  <c r="D13" i="5" s="1"/>
  <c r="B20" i="5"/>
  <c r="E13" i="6"/>
  <c r="F13" i="6" s="1"/>
  <c r="F14" i="6" s="1"/>
  <c r="G2" i="6" s="1"/>
  <c r="D7" i="5" s="1"/>
  <c r="B11" i="5"/>
  <c r="F11" i="12"/>
  <c r="G2" i="12" s="1"/>
  <c r="D10" i="5" s="1"/>
  <c r="B8" i="5"/>
  <c r="F10" i="18"/>
  <c r="G2" i="18" s="1"/>
  <c r="D16" i="5" s="1"/>
  <c r="F7" i="21"/>
  <c r="G2" i="21" s="1"/>
  <c r="D19" i="5" s="1"/>
  <c r="F5" i="17"/>
  <c r="F11" i="17" s="1"/>
  <c r="G2" i="17" s="1"/>
  <c r="D15" i="5" s="1"/>
  <c r="B9" i="5"/>
  <c r="C7" i="7"/>
  <c r="F7" i="7" s="1"/>
  <c r="F5" i="7"/>
  <c r="E11" i="7" s="1"/>
  <c r="F11" i="7" s="1"/>
  <c r="F13" i="7" s="1"/>
  <c r="G2" i="7" s="1"/>
  <c r="D6" i="5" s="1"/>
  <c r="F6" i="19"/>
  <c r="G2" i="19" s="1"/>
  <c r="D17" i="5" s="1"/>
  <c r="B14" i="5"/>
  <c r="B6" i="5" l="1"/>
  <c r="E4" i="23"/>
  <c r="F4" i="23" s="1"/>
  <c r="F5" i="23" s="1"/>
  <c r="G2" i="23" s="1"/>
  <c r="D21" i="5" s="1"/>
  <c r="D22" i="5" s="1"/>
  <c r="B15" i="5"/>
  <c r="B7" i="5"/>
  <c r="B17" i="5"/>
  <c r="B16" i="5"/>
  <c r="B10" i="5"/>
  <c r="B19" i="5"/>
  <c r="B13" i="5"/>
  <c r="B5" i="1" l="1"/>
  <c r="B6" i="1" s="1"/>
  <c r="B7" i="1"/>
  <c r="B22" i="5"/>
  <c r="B4" i="1"/>
  <c r="C5" i="5"/>
  <c r="C12" i="5"/>
  <c r="C18" i="5"/>
  <c r="C4" i="5"/>
  <c r="C20" i="5"/>
  <c r="C11" i="5"/>
  <c r="C8" i="5"/>
  <c r="C14" i="5"/>
  <c r="C9" i="5"/>
  <c r="C6" i="5"/>
  <c r="C13" i="5"/>
  <c r="C15" i="5"/>
  <c r="C17" i="5"/>
  <c r="C16" i="5"/>
  <c r="C7" i="5"/>
  <c r="C10" i="5"/>
  <c r="C19" i="5"/>
  <c r="C21" i="5"/>
  <c r="B21" i="5"/>
</calcChain>
</file>

<file path=xl/sharedStrings.xml><?xml version="1.0" encoding="utf-8"?>
<sst xmlns="http://schemas.openxmlformats.org/spreadsheetml/2006/main" count="1060" uniqueCount="609">
  <si>
    <t>BRICKELL MODERN HOME - NOWA — PARAMÉTRICO V2</t>
  </si>
  <si>
    <t>Bottom-up + Dropdowns interativos | 75 executivos calibrados</t>
  </si>
  <si>
    <t>Custo Total</t>
  </si>
  <si>
    <t>R$/m² AC</t>
  </si>
  <si>
    <t>CUB Ratio</t>
  </si>
  <si>
    <t>Custo/UR</t>
  </si>
  <si>
    <t>AC</t>
  </si>
  <si>
    <t>UR</t>
  </si>
  <si>
    <t>CUB</t>
  </si>
  <si>
    <t>Laje</t>
  </si>
  <si>
    <t>Subsolos</t>
  </si>
  <si>
    <t>Padrão</t>
  </si>
  <si>
    <t>Fachada</t>
  </si>
  <si>
    <t>BRICKELL MODERN HOME - NOWA — ORÇAMENTO PARAMÉTRICO V2</t>
  </si>
  <si>
    <t>Projeto</t>
  </si>
  <si>
    <t>Brickell Modern Home - Nowa</t>
  </si>
  <si>
    <t>Cidade/UF</t>
  </si>
  <si>
    <t>Itajaí</t>
  </si>
  <si>
    <t>AC Total (m²)</t>
  </si>
  <si>
    <t>Pavimentos</t>
  </si>
  <si>
    <t>Pav. Tipo</t>
  </si>
  <si>
    <t>Elevadores</t>
  </si>
  <si>
    <t>Vagas</t>
  </si>
  <si>
    <t>Prazo (meses)</t>
  </si>
  <si>
    <t>CUB Atual (R$)</t>
  </si>
  <si>
    <t>BRIEFING — ALTERE OS DROPDOWNS PARA RECALCULAR</t>
  </si>
  <si>
    <t>Cada alteração muda automaticamente os índices e custos nas abas de detalhe</t>
  </si>
  <si>
    <t>Pergunta</t>
  </si>
  <si>
    <t>Resposta</t>
  </si>
  <si>
    <t>Impacto</t>
  </si>
  <si>
    <t>Tipo de Laje</t>
  </si>
  <si>
    <t>Convencional</t>
  </si>
  <si>
    <t>Muda: concreto, aço, forma, escoramento, cordoalha</t>
  </si>
  <si>
    <t>0</t>
  </si>
  <si>
    <t>Muda: contenção, mov.terra, impermeabilização, fundação</t>
  </si>
  <si>
    <t>Fundação</t>
  </si>
  <si>
    <t>Hélice</t>
  </si>
  <si>
    <t>Muda: custo infraestrutura, tipo de perfuração</t>
  </si>
  <si>
    <t>Padrão Acabamento</t>
  </si>
  <si>
    <t>Alto</t>
  </si>
  <si>
    <t>Muda: pisos, rev.parede, esquadrias, louças, fachada</t>
  </si>
  <si>
    <t>Textura</t>
  </si>
  <si>
    <t>Muda: custo fachada (R$/m²)</t>
  </si>
  <si>
    <t>Pressurização</t>
  </si>
  <si>
    <t>Sim</t>
  </si>
  <si>
    <t>Muda: custo sist.especiais (+R$ 80k)</t>
  </si>
  <si>
    <t>Nº Torres</t>
  </si>
  <si>
    <t>1</t>
  </si>
  <si>
    <t>Muda: gerador, elevadores, equipamentos</t>
  </si>
  <si>
    <t>Gerador Dedicado</t>
  </si>
  <si>
    <t>Muda: sist.especiais (R$ 120-350k)</t>
  </si>
  <si>
    <t>Entrega</t>
  </si>
  <si>
    <t>Completa</t>
  </si>
  <si>
    <t>Shell desconta ~R$ 200/m² (pisos, pintura, rev.parede, louças, alvenaria)</t>
  </si>
  <si>
    <t>Tipologia</t>
  </si>
  <si>
    <t>Misto</t>
  </si>
  <si>
    <t>Muda: pontos elétricos, louças, alvenaria interna</t>
  </si>
  <si>
    <t>Pé-Direito</t>
  </si>
  <si>
    <t>Padrão (3.00)</t>
  </si>
  <si>
    <t>Muda: fachada, alvenaria, estrutura (+2-8%)</t>
  </si>
  <si>
    <t>Nº Banheiros/Apto</t>
  </si>
  <si>
    <t>2</t>
  </si>
  <si>
    <t>Muda: hidro, louças, impermeab., rev.parede</t>
  </si>
  <si>
    <t>Tipo Piso Predominante</t>
  </si>
  <si>
    <t>Porcelanato</t>
  </si>
  <si>
    <t>Muda: PU pisos (porcelanato ~R$ 81 vs laminado ~R$ 65)</t>
  </si>
  <si>
    <t>Piscina</t>
  </si>
  <si>
    <t>Muda: sist.especiais (R$ 0 / R$ 220k / R$ 320k)</t>
  </si>
  <si>
    <t>ÍNDICES CALIBRADOS — HÍBRIDO: BRIEFING + OVERRIDE MANUAL</t>
  </si>
  <si>
    <t>B=calculado via BRIEFING (não editar) | C=override manual (edite para sobrescrever) | D=valor efetivo usado nas abas de macrogrupo (= Override se preenchido, senão B)</t>
  </si>
  <si>
    <t>Índice</t>
  </si>
  <si>
    <t>Valor calc</t>
  </si>
  <si>
    <t>Override</t>
  </si>
  <si>
    <t>Efetivo</t>
  </si>
  <si>
    <t>Unidade</t>
  </si>
  <si>
    <t>Fonte</t>
  </si>
  <si>
    <t>Concreto (m³/m² AC)</t>
  </si>
  <si>
    <t>m³/m²</t>
  </si>
  <si>
    <t>Master 7p exec | IF Laje</t>
  </si>
  <si>
    <t>Aço convenc. (kg/m³)</t>
  </si>
  <si>
    <t>kg/m³</t>
  </si>
  <si>
    <t>Master 7p+11p narr | IF Laje</t>
  </si>
  <si>
    <t>Cordoalha (kg/m² laje)</t>
  </si>
  <si>
    <t>kg/m²</t>
  </si>
  <si>
    <t>Master protendida | IF Laje=Protendida</t>
  </si>
  <si>
    <t>Forma (m²/m³)</t>
  </si>
  <si>
    <t>m²/m³</t>
  </si>
  <si>
    <t>Escoramento (R$/m²)</t>
  </si>
  <si>
    <t>R$/m²</t>
  </si>
  <si>
    <t>PU base 7p | IF Laje</t>
  </si>
  <si>
    <t>fck Laje</t>
  </si>
  <si>
    <t>MPa</t>
  </si>
  <si>
    <t>IF Laje</t>
  </si>
  <si>
    <t>Nº estacas (base AC)</t>
  </si>
  <si>
    <t>un</t>
  </si>
  <si>
    <t>~1 est/75m² + sub | AC/75 × (1+sub×15%)</t>
  </si>
  <si>
    <t>Comp. estaca (m)</t>
  </si>
  <si>
    <t>m</t>
  </si>
  <si>
    <t>Tipo + prof.sub | IF Fundação + sub×2m</t>
  </si>
  <si>
    <t>Alvenaria (m²/m² AC)</t>
  </si>
  <si>
    <t>m²/m²</t>
  </si>
  <si>
    <t>2,25 × shell × pé-dir | IF Entrega + Pé-Direito</t>
  </si>
  <si>
    <t>Pisos (m²/m² AC)</t>
  </si>
  <si>
    <t>1,70 × shell | IF Entrega (shell = 40%)</t>
  </si>
  <si>
    <t>Rev. Parede (m²/m² AC)</t>
  </si>
  <si>
    <t>2,85 × shell × bwc | IF Entrega + BWC/apto</t>
  </si>
  <si>
    <t>Forro (m²/m² AC)</t>
  </si>
  <si>
    <t>1,16 × shell | IF Entrega (shell = 45%)</t>
  </si>
  <si>
    <t>Pintura (m² sup/m² AC)</t>
  </si>
  <si>
    <t>5,65 × shell | IF Entrega (shell = 40%)</t>
  </si>
  <si>
    <t>Fachada (m²/m² AC)</t>
  </si>
  <si>
    <t>Tipo fachada × pé-dir | IF Fachada + Pé-Direito</t>
  </si>
  <si>
    <t>Impermeab. (m²/m² AC)</t>
  </si>
  <si>
    <t>Base + sub + bwc | IF Sub + BWC</t>
  </si>
  <si>
    <t>Fator padrão acabamento</t>
  </si>
  <si>
    <t>fator</t>
  </si>
  <si>
    <t>IF Padrão</t>
  </si>
  <si>
    <t>PU fachada (R$/m²)</t>
  </si>
  <si>
    <t>PU base + briefing | IF Fachada tipo</t>
  </si>
  <si>
    <t>Pressurização (R$)</t>
  </si>
  <si>
    <t>R$</t>
  </si>
  <si>
    <t>Override v00 | PPCI: escada pressurizada/exaustão e controle de fumaça em torre alta</t>
  </si>
  <si>
    <t>Gerador (R$)</t>
  </si>
  <si>
    <t>Override v00 | Gerador dedicado com sala/posicionamento indicado nos PDFs</t>
  </si>
  <si>
    <t>Contenção (R$)</t>
  </si>
  <si>
    <t>Sub×prof×perim×R$ | IF Sub&gt;0</t>
  </si>
  <si>
    <t>Mov. Terra PU (R$/m²)</t>
  </si>
  <si>
    <t>Base + sub×15 | IF Sub&gt;0</t>
  </si>
  <si>
    <t>Fator tipologia louças</t>
  </si>
  <si>
    <t>Studios menos louças | IF Tipologia</t>
  </si>
  <si>
    <t>Fator tipologia elétrica</t>
  </si>
  <si>
    <t>Studios menos pontos | IF Tipologia</t>
  </si>
  <si>
    <t>Fator entrega (shell)</t>
  </si>
  <si>
    <t>Shell desconta ~15% total | IF Entrega</t>
  </si>
  <si>
    <t>PU piso predominante</t>
  </si>
  <si>
    <t>Tipo piso × padrão | IF Tipo Piso × Padrão (usa D20=efetivo)</t>
  </si>
  <si>
    <t>Piscina (R$)</t>
  </si>
  <si>
    <t>Param. base | IF Piscina</t>
  </si>
  <si>
    <t>Fator pé-direito estrutura</t>
  </si>
  <si>
    <t>Pé-dir afeta estrutura | IF Pé-Direito</t>
  </si>
  <si>
    <t>Fator BWC louças</t>
  </si>
  <si>
    <t>Mais bwc = mais louças | IF BWC/apto</t>
  </si>
  <si>
    <t>Fator viga protendida</t>
  </si>
  <si>
    <t>Peso viga/m² conforme laje | IF Laje (0.08 prot / 0.30 conv)</t>
  </si>
  <si>
    <t>Fator laje protendida</t>
  </si>
  <si>
    <t>Peso laje/m² conforme tipo | IF Laje (0.60 prot / 0.35 conv)</t>
  </si>
  <si>
    <t>Fator hidro BWC</t>
  </si>
  <si>
    <t>Mais bwc = mais hidro | IF BWC&gt;=2 (1.15 / 1.0)</t>
  </si>
  <si>
    <t>CUSTOS POR MACROGRUPO — BOTTOM-UP COM BRIEFING</t>
  </si>
  <si>
    <t>Macrogrupo</t>
  </si>
  <si>
    <t>% Total</t>
  </si>
  <si>
    <t>Custo Total (R$)</t>
  </si>
  <si>
    <t>Aba</t>
  </si>
  <si>
    <t>Gerenciamento</t>
  </si>
  <si>
    <t>Mov. Terra</t>
  </si>
  <si>
    <t>Infraestrutura</t>
  </si>
  <si>
    <t>Supraestrutura</t>
  </si>
  <si>
    <t>Alvenaria</t>
  </si>
  <si>
    <t>Impermeabilização</t>
  </si>
  <si>
    <t>Instalações</t>
  </si>
  <si>
    <t>Sist. Especiais</t>
  </si>
  <si>
    <t>Climatização</t>
  </si>
  <si>
    <t>Rev. Int. Parede</t>
  </si>
  <si>
    <t>Teto</t>
  </si>
  <si>
    <t>Pisos</t>
  </si>
  <si>
    <t>Pintura</t>
  </si>
  <si>
    <t>Esquadrias</t>
  </si>
  <si>
    <t>Louças e Metais</t>
  </si>
  <si>
    <t>Complementares</t>
  </si>
  <si>
    <t>Imprevistos</t>
  </si>
  <si>
    <t>TOTAL</t>
  </si>
  <si>
    <t>SUPRAESTRUTURA</t>
  </si>
  <si>
    <t>Total:</t>
  </si>
  <si>
    <t>Item</t>
  </si>
  <si>
    <t>Descrição</t>
  </si>
  <si>
    <t>Qtd</t>
  </si>
  <si>
    <t>Un</t>
  </si>
  <si>
    <t>PU (R$)</t>
  </si>
  <si>
    <t>Total (R$)</t>
  </si>
  <si>
    <t>Concreto Pilares</t>
  </si>
  <si>
    <t>fck30</t>
  </si>
  <si>
    <t>m³</t>
  </si>
  <si>
    <t>Índ×AC×22% × pé-dir (7p)</t>
  </si>
  <si>
    <t>Concreto Vigas</t>
  </si>
  <si>
    <t>Índ conc × AC × fator viga (D33)</t>
  </si>
  <si>
    <t>Concreto Lajes</t>
  </si>
  <si>
    <t>fck conforme laje</t>
  </si>
  <si>
    <t>Índ conc × AC × fator laje (D34)</t>
  </si>
  <si>
    <t>Concreto Escadas</t>
  </si>
  <si>
    <t>Índ×AC×5%</t>
  </si>
  <si>
    <t>Concreto Blocos</t>
  </si>
  <si>
    <t>Baldrame fck30</t>
  </si>
  <si>
    <t>Aço CA-50</t>
  </si>
  <si>
    <t>kg</t>
  </si>
  <si>
    <t>Índ aço×conc×AC</t>
  </si>
  <si>
    <t>Cordoalha CP-190</t>
  </si>
  <si>
    <t>Protensão</t>
  </si>
  <si>
    <t>IF Prot→8kg/m² laje</t>
  </si>
  <si>
    <t>Forma</t>
  </si>
  <si>
    <t>Compensado plastif.</t>
  </si>
  <si>
    <t>m²</t>
  </si>
  <si>
    <t>Índ forma×conc×AC</t>
  </si>
  <si>
    <t>Escoramento</t>
  </si>
  <si>
    <t>Metálico</t>
  </si>
  <si>
    <t>IF Laje→PU escor</t>
  </si>
  <si>
    <t>MO Estrutura</t>
  </si>
  <si>
    <t>Empreitada (32,6%)</t>
  </si>
  <si>
    <t>Split 32,6% MO (10p)</t>
  </si>
  <si>
    <t>INFRAESTRUTURA</t>
  </si>
  <si>
    <t>Perfuração hélice</t>
  </si>
  <si>
    <t>Ø40cm</t>
  </si>
  <si>
    <t>PU base R$ 82/m (6p)</t>
  </si>
  <si>
    <t>Concreto estacas</t>
  </si>
  <si>
    <t>PU base R$ 632 (6p)</t>
  </si>
  <si>
    <t>Concreto blocos</t>
  </si>
  <si>
    <t>Baldrames</t>
  </si>
  <si>
    <t>Índ 0,02 m³/m²</t>
  </si>
  <si>
    <t>PU base R$ 8,77 (7p)</t>
  </si>
  <si>
    <t>Blocos/baldrames</t>
  </si>
  <si>
    <t>PU base R$ 45,64 (8p)</t>
  </si>
  <si>
    <t>Arrasamento</t>
  </si>
  <si>
    <t>Estacas</t>
  </si>
  <si>
    <t>PU base R$ 65 (2p)</t>
  </si>
  <si>
    <t>Limpeza/remoção</t>
  </si>
  <si>
    <t>Solo perfuração</t>
  </si>
  <si>
    <t>vb</t>
  </si>
  <si>
    <t>PU base R$ 35k (2p)</t>
  </si>
  <si>
    <t>MO fundação</t>
  </si>
  <si>
    <t>Empreitada (35,5%)</t>
  </si>
  <si>
    <t>Split 35,5% (7p)</t>
  </si>
  <si>
    <t>Contenção</t>
  </si>
  <si>
    <t>Se houver subsolo</t>
  </si>
  <si>
    <t>IF Sub&gt;0</t>
  </si>
  <si>
    <t>MOV. TERRA</t>
  </si>
  <si>
    <t>Terraplanagem</t>
  </si>
  <si>
    <t>Corte+aterro+bota-fora</t>
  </si>
  <si>
    <t>Param. base + IF sub</t>
  </si>
  <si>
    <t>GERENCIAMENTO</t>
  </si>
  <si>
    <t>Projetos</t>
  </si>
  <si>
    <t>Arq+compl+compat</t>
  </si>
  <si>
    <t>Param. base</t>
  </si>
  <si>
    <t>Consultorias</t>
  </si>
  <si>
    <t>ATP+compat BIM</t>
  </si>
  <si>
    <t>Ensaios</t>
  </si>
  <si>
    <t>Ctrl tecnol.</t>
  </si>
  <si>
    <t>Taxas e seguros</t>
  </si>
  <si>
    <t>Incorp+licenças</t>
  </si>
  <si>
    <t>Engenheiro PJ</t>
  </si>
  <si>
    <t>1×prazo</t>
  </si>
  <si>
    <t>mês</t>
  </si>
  <si>
    <t>Master R$ 10,5k (5p)</t>
  </si>
  <si>
    <t>Mestre obras</t>
  </si>
  <si>
    <t>Master R$ 9,9k (4p)</t>
  </si>
  <si>
    <t>Encarregado</t>
  </si>
  <si>
    <t>Narrativo R$ 8k</t>
  </si>
  <si>
    <t>Estagiário</t>
  </si>
  <si>
    <t>2×prazo</t>
  </si>
  <si>
    <t>Master R$ 1,6k (3p)</t>
  </si>
  <si>
    <t>Téc.segurança</t>
  </si>
  <si>
    <t>PJ R$ 6k/mês</t>
  </si>
  <si>
    <t>Almoxarife</t>
  </si>
  <si>
    <t>Master R$ 3,4k (4p)</t>
  </si>
  <si>
    <t>Limpeza obra</t>
  </si>
  <si>
    <t>PJ R$ 2,5k/mês</t>
  </si>
  <si>
    <t>Vigilância</t>
  </si>
  <si>
    <t>Narrativo R$ 15,3k</t>
  </si>
  <si>
    <t>EPCs</t>
  </si>
  <si>
    <t>Fixo por porte</t>
  </si>
  <si>
    <t>Master 75 exec</t>
  </si>
  <si>
    <t>EPI</t>
  </si>
  <si>
    <t>Individual</t>
  </si>
  <si>
    <t>PU base R$ 908 (8p)</t>
  </si>
  <si>
    <t>Meio ambiente</t>
  </si>
  <si>
    <t>PCMAT+PCMSO</t>
  </si>
  <si>
    <t>Op. inicial</t>
  </si>
  <si>
    <t>Mobilização</t>
  </si>
  <si>
    <t>Inst. provisórias</t>
  </si>
  <si>
    <t>Canteiro+containers</t>
  </si>
  <si>
    <t>Desp. consumo</t>
  </si>
  <si>
    <t>Água+en+internet+IPTU</t>
  </si>
  <si>
    <t>PU base (9p)</t>
  </si>
  <si>
    <t>Equipamentos</t>
  </si>
  <si>
    <t>Grua+cremalheira</t>
  </si>
  <si>
    <t>Narrativo</t>
  </si>
  <si>
    <t>Comunic.visual</t>
  </si>
  <si>
    <t>Placas+tapume</t>
  </si>
  <si>
    <t>PU base R$ 47k (17p)</t>
  </si>
  <si>
    <t>ALVENARIA</t>
  </si>
  <si>
    <t>Bloco cerâm.</t>
  </si>
  <si>
    <t>Vedação 14cm</t>
  </si>
  <si>
    <t>Índ 2,25×40%</t>
  </si>
  <si>
    <t>Drywall ST</t>
  </si>
  <si>
    <t>Internas</t>
  </si>
  <si>
    <t>Índ 2,25×25%</t>
  </si>
  <si>
    <t>Drywall RU</t>
  </si>
  <si>
    <t>Molhadas</t>
  </si>
  <si>
    <t>Índ 2,25×8%</t>
  </si>
  <si>
    <t>Argamassa</t>
  </si>
  <si>
    <t>Assentamento</t>
  </si>
  <si>
    <t>PU base</t>
  </si>
  <si>
    <t>MO Alvenaria</t>
  </si>
  <si>
    <t>Empreitada</t>
  </si>
  <si>
    <t>Split 35,7% (9p)</t>
  </si>
  <si>
    <t>IMPERMEABILIZAÇÃO</t>
  </si>
  <si>
    <t>Manta 4mm</t>
  </si>
  <si>
    <t>Material</t>
  </si>
  <si>
    <t>Índ impermeab×AC</t>
  </si>
  <si>
    <t>Arg.polim.</t>
  </si>
  <si>
    <t>BWC</t>
  </si>
  <si>
    <t>Regulariz.</t>
  </si>
  <si>
    <t>Superfície</t>
  </si>
  <si>
    <t>PU base (15p)</t>
  </si>
  <si>
    <t>MO imper.</t>
  </si>
  <si>
    <t>Split 56,5% (6p)</t>
  </si>
  <si>
    <t>MO regul.</t>
  </si>
  <si>
    <t>PU base (7p)</t>
  </si>
  <si>
    <t>INSTALAÇÕES</t>
  </si>
  <si>
    <t>Elétricas mat.</t>
  </si>
  <si>
    <t>IF Tipologia</t>
  </si>
  <si>
    <t>Índ 1,77m/m² × fator tipol (D27)</t>
  </si>
  <si>
    <t>Elétricas MO</t>
  </si>
  <si>
    <t>Split 38,2% × fator tipol (D27)</t>
  </si>
  <si>
    <t>Hidro mat.</t>
  </si>
  <si>
    <t>IF BWC/apto</t>
  </si>
  <si>
    <t>Índ 1,08m/m² × fator hidro (D35)</t>
  </si>
  <si>
    <t>Hidro MO</t>
  </si>
  <si>
    <t>Split 34,0% × fator hidro (D35)</t>
  </si>
  <si>
    <t>Preventivas</t>
  </si>
  <si>
    <t>Mat+MO</t>
  </si>
  <si>
    <t>Param.</t>
  </si>
  <si>
    <t>Gás</t>
  </si>
  <si>
    <t>Telecom</t>
  </si>
  <si>
    <t>SIST. ESPECIAIS</t>
  </si>
  <si>
    <t>Elevador social</t>
  </si>
  <si>
    <t>N-1 elevadores</t>
  </si>
  <si>
    <t>Torre 29 níveis; v00 ajusta PU de elevador para faixa de torre alta.</t>
  </si>
  <si>
    <t>Elevador serv.</t>
  </si>
  <si>
    <t>1un</t>
  </si>
  <si>
    <t>Inclui menção a elevador de emergência; validar com cálculo de tráfego.</t>
  </si>
  <si>
    <t>Gerador</t>
  </si>
  <si>
    <t>IF Gerador+Torres</t>
  </si>
  <si>
    <t>IF Gerador B11 + Torres B10</t>
  </si>
  <si>
    <t>Automação</t>
  </si>
  <si>
    <t>BMS+sensores</t>
  </si>
  <si>
    <t>IF Piscina B17</t>
  </si>
  <si>
    <t>IF Piscina (Sim/Não/Aquecida)</t>
  </si>
  <si>
    <t>CFTV</t>
  </si>
  <si>
    <t>Câmeras+DVR</t>
  </si>
  <si>
    <t>IF Pressurização B9</t>
  </si>
  <si>
    <t>IF Pressurização</t>
  </si>
  <si>
    <t>SPDA</t>
  </si>
  <si>
    <t>Para-raios+malha</t>
  </si>
  <si>
    <t>Interfonia</t>
  </si>
  <si>
    <t>Ctrl acesso</t>
  </si>
  <si>
    <t>Bombas</t>
  </si>
  <si>
    <t>Recalque+incêndio</t>
  </si>
  <si>
    <t>Quadros comando</t>
  </si>
  <si>
    <t>Bombas+sist</t>
  </si>
  <si>
    <t>Ventilação garagens</t>
  </si>
  <si>
    <t>Alternativa mecânica G1-G4</t>
  </si>
  <si>
    <t>pav</t>
  </si>
  <si>
    <t>PDFs G1/G2/G4: ventilação mecânica R$ 27.318/pavimento se área natural não atender.</t>
  </si>
  <si>
    <t>CLIMATIZAÇÃO</t>
  </si>
  <si>
    <t>Split</t>
  </si>
  <si>
    <t>Equipamentos HW/K7/CND por aptos e áreas comuns</t>
  </si>
  <si>
    <t>Projeto CLI: múltiplos equipamentos HW/K7/CND; v00 = 4,5 un/UR.</t>
  </si>
  <si>
    <t>Exaust.BWC</t>
  </si>
  <si>
    <t>4/pav enclaus.</t>
  </si>
  <si>
    <t>4 bwc/pav</t>
  </si>
  <si>
    <t>Exaust.churr.</t>
  </si>
  <si>
    <t>2/pav+lazer</t>
  </si>
  <si>
    <t>Infra AR</t>
  </si>
  <si>
    <t>Dutos+tub</t>
  </si>
  <si>
    <t>Projeto CLI: infraestrutura frigorígena, dreno e elétrica de climatização.</t>
  </si>
  <si>
    <t>REV. INT. PAREDE</t>
  </si>
  <si>
    <t>Reboco</t>
  </si>
  <si>
    <t>Massa única</t>
  </si>
  <si>
    <t>Índ 2,85×35%</t>
  </si>
  <si>
    <t>Chapisco</t>
  </si>
  <si>
    <t>Rolado+colante</t>
  </si>
  <si>
    <t>Cerâm.BWC</t>
  </si>
  <si>
    <t>30×60</t>
  </si>
  <si>
    <t>PU×fator padrão</t>
  </si>
  <si>
    <t>Cerâm.cozinha</t>
  </si>
  <si>
    <t>Porcel.parede</t>
  </si>
  <si>
    <t>Comuns</t>
  </si>
  <si>
    <t>Granito bancadas</t>
  </si>
  <si>
    <t>Lavat+coz</t>
  </si>
  <si>
    <t>R$ 180×fator padrão</t>
  </si>
  <si>
    <t>Arg.colante</t>
  </si>
  <si>
    <t>AC-II/III</t>
  </si>
  <si>
    <t>Rejunte</t>
  </si>
  <si>
    <t>Flexível</t>
  </si>
  <si>
    <t>MO reboco</t>
  </si>
  <si>
    <t>Split 54,4%</t>
  </si>
  <si>
    <t>MO cerâmica</t>
  </si>
  <si>
    <t>MO granito</t>
  </si>
  <si>
    <t>Instalação</t>
  </si>
  <si>
    <t>PU base R$ 36</t>
  </si>
  <si>
    <t>TETO</t>
  </si>
  <si>
    <t>Forro ST</t>
  </si>
  <si>
    <t>Acartonado</t>
  </si>
  <si>
    <t>Índ 1,16×70%</t>
  </si>
  <si>
    <t>Forro RU</t>
  </si>
  <si>
    <t>Perfis</t>
  </si>
  <si>
    <t>Estrutura</t>
  </si>
  <si>
    <t>MO forro</t>
  </si>
  <si>
    <t>Split 79,1%</t>
  </si>
  <si>
    <t>PISOS</t>
  </si>
  <si>
    <t>Contrapiso</t>
  </si>
  <si>
    <t>Autonivelante</t>
  </si>
  <si>
    <t>Índ piso×AC (IF shell)</t>
  </si>
  <si>
    <t>Piso principal</t>
  </si>
  <si>
    <t>IF Tipo Piso</t>
  </si>
  <si>
    <t>PU IF Tipo Piso × Padrão</t>
  </si>
  <si>
    <t>Cimentado</t>
  </si>
  <si>
    <t>Garagem 20%</t>
  </si>
  <si>
    <t>Granito</t>
  </si>
  <si>
    <t>Halls 5%</t>
  </si>
  <si>
    <t>Rodapé</t>
  </si>
  <si>
    <t>Poliestireno</t>
  </si>
  <si>
    <t>PU base (10p)</t>
  </si>
  <si>
    <t>MO contrapiso</t>
  </si>
  <si>
    <t>Split 54%</t>
  </si>
  <si>
    <t>MO pisos</t>
  </si>
  <si>
    <t>PINTURA</t>
  </si>
  <si>
    <t>Massa PVA</t>
  </si>
  <si>
    <t>Paredes 2dem</t>
  </si>
  <si>
    <t>Índ pintura×55%</t>
  </si>
  <si>
    <t>Acrílica par.</t>
  </si>
  <si>
    <t>3 demãos</t>
  </si>
  <si>
    <t>PU base (6p)</t>
  </si>
  <si>
    <t>Acrílica teto</t>
  </si>
  <si>
    <t>2 demãos</t>
  </si>
  <si>
    <t>Selador</t>
  </si>
  <si>
    <t>Base</t>
  </si>
  <si>
    <t>MO pintura</t>
  </si>
  <si>
    <t>Split 66,2%</t>
  </si>
  <si>
    <t>MO lixamento</t>
  </si>
  <si>
    <t>Preparação</t>
  </si>
  <si>
    <t>ESQUADRIAS</t>
  </si>
  <si>
    <t>Esquadrias Al</t>
  </si>
  <si>
    <t>Jan+portas</t>
  </si>
  <si>
    <t>R$280 × padrão × entrega</t>
  </si>
  <si>
    <t>Serralheria</t>
  </si>
  <si>
    <t>GC+corrimão</t>
  </si>
  <si>
    <t>R$45 × fator padrão</t>
  </si>
  <si>
    <t>LOUÇAS E METAIS</t>
  </si>
  <si>
    <t>Louças+metais</t>
  </si>
  <si>
    <t>Louças, metais, bancadas e acessórios - padrão alto v00</t>
  </si>
  <si>
    <t>apto</t>
  </si>
  <si>
    <t>Sem memorial de acabamentos; v00 adota R$ 75/m² AC, acima do médio-alto e abaixo da mediana alto.</t>
  </si>
  <si>
    <t>FACHADA</t>
  </si>
  <si>
    <t>Revestimento</t>
  </si>
  <si>
    <t>Conforme briefing</t>
  </si>
  <si>
    <t>IF tipo fachada</t>
  </si>
  <si>
    <t>MO fachada</t>
  </si>
  <si>
    <t>Balancim</t>
  </si>
  <si>
    <t>Fachadeiro</t>
  </si>
  <si>
    <t>COMPLEMENTARES</t>
  </si>
  <si>
    <t>Mobiliário</t>
  </si>
  <si>
    <t>Áreas comuns</t>
  </si>
  <si>
    <t>Ajuste v00: lazer/coworking/gourmet/festas/piscina e áreas comuns de padrão alto.</t>
  </si>
  <si>
    <t>Ambientação</t>
  </si>
  <si>
    <t>Decoração halls</t>
  </si>
  <si>
    <t>Paisagismo</t>
  </si>
  <si>
    <t>Equip. lazer</t>
  </si>
  <si>
    <t>Acad+playground</t>
  </si>
  <si>
    <t>Limpeza final</t>
  </si>
  <si>
    <t>PU base R$ 12/m² (10p)</t>
  </si>
  <si>
    <t>Sinalização</t>
  </si>
  <si>
    <t>Cobertura</t>
  </si>
  <si>
    <t>Telhado+estrutura</t>
  </si>
  <si>
    <t>Ligações def.</t>
  </si>
  <si>
    <t>Água+energia+gás</t>
  </si>
  <si>
    <t>Desmobilização</t>
  </si>
  <si>
    <t>Pessoal+equip</t>
  </si>
  <si>
    <t>Paviment.ext.</t>
  </si>
  <si>
    <t>Calçadas</t>
  </si>
  <si>
    <t>IMPREVISTOS</t>
  </si>
  <si>
    <t>1,5% do subtotal</t>
  </si>
  <si>
    <t>Percentual padrão</t>
  </si>
  <si>
    <t>PARAMÉTRICO V2 — Brickell Modern Home - Nowa</t>
  </si>
  <si>
    <t>18/18 macrogrupos bottom-up | 14 dropdowns interativos</t>
  </si>
  <si>
    <t>Altere os dropdowns na aba BRIEFING para recalcular automaticamente</t>
  </si>
  <si>
    <t>FONTES: calibration-indices.json (75 exec + 79 narrativos + IFC + curva ABC)</t>
  </si>
  <si>
    <t>PUs: base-pus-cartesian.json (1.504 itens, medianas de 75 executivos)</t>
  </si>
  <si>
    <t>Splits MO/Material: medianas reais de 38 executivos detalhados</t>
  </si>
  <si>
    <t>14 DROPDOWNS ATIVOS:</t>
  </si>
  <si>
    <t xml:space="preserve">  1. Laje: Convencional/Protendida/Nervurada → concreto, aço, forma, escoramento</t>
  </si>
  <si>
    <t xml:space="preserve">  2. Subsolos: 0-3 → contenção, mov.terra, impermeabilização, fundação</t>
  </si>
  <si>
    <t xml:space="preserve">  3. Fundação: Hélice/Tubulão/Sapata → infraestrutura</t>
  </si>
  <si>
    <t xml:space="preserve">  4. Padrão: Médio/Médio-Alto/Alto/Luxo → acabamentos, esquadrias, louças (×0.85-1.35)</t>
  </si>
  <si>
    <t xml:space="preserve">  5. Fachada: Textura/Cerâmica/Pele de vidro/ACM → PU fachada R$ 100-350/m²</t>
  </si>
  <si>
    <t xml:space="preserve">  6. Pressurização: Sim/Não → +R$ 80k</t>
  </si>
  <si>
    <t xml:space="preserve">  7. Torres: 1/2/3 → gerador proporcional</t>
  </si>
  <si>
    <t xml:space="preserve">  8. Gerador dedicado: Sim/Não → R$ 0-350k</t>
  </si>
  <si>
    <t xml:space="preserve">  9. Entrega: Completa/Shell → Shell desconta ~15% (pisos, pintura, rev, louças, esq)</t>
  </si>
  <si>
    <t xml:space="preserve">  10. Tipologia: Studios/1-2D/3-4D/Misto → pontos elétricos, louças (×0.65-1.20)</t>
  </si>
  <si>
    <t xml:space="preserve">  11. Pé-Direito: Baixo/Padrão/Alto/Duplo → estrutura (×0.97-1.12), fachada</t>
  </si>
  <si>
    <t xml:space="preserve">  12. BWC/apto: 1-4 → hidro, louças (×1.0-1.80), rev.parede, impermeab</t>
  </si>
  <si>
    <t xml:space="preserve">  13. Tipo Piso: Porcelanato/Laminado/Misto → PU pisos R$ 65-81/m²</t>
  </si>
  <si>
    <t xml:space="preserve">  14. Piscina: Sim/Não/Aquecida → R$ 0/220k/320k</t>
  </si>
  <si>
    <t>Baseado revisão Patricia (coord. custos) + calibração 75 exec — 24/mar/2026</t>
  </si>
  <si>
    <t>Campo</t>
  </si>
  <si>
    <t>Valor adotado</t>
  </si>
  <si>
    <t>Fonte / evidência</t>
  </si>
  <si>
    <t>Área construída</t>
  </si>
  <si>
    <t>10.840,31 m²</t>
  </si>
  <si>
    <t>PDFs ELE/HID/PCI - pranchas VOF</t>
  </si>
  <si>
    <t>Unidades residenciais</t>
  </si>
  <si>
    <t>38 UR</t>
  </si>
  <si>
    <t>Marcadores de tipologia em ELE/HID/PCI</t>
  </si>
  <si>
    <t>29 níveis</t>
  </si>
  <si>
    <t>IFC estrutural EST/AP R00</t>
  </si>
  <si>
    <t>Pavimentos tipo</t>
  </si>
  <si>
    <t>18</t>
  </si>
  <si>
    <t>IFC: Tipo 1 a Tipo 5b</t>
  </si>
  <si>
    <t>Altura descendente PPCI</t>
  </si>
  <si>
    <t>67,32 m</t>
  </si>
  <si>
    <t>PDFs ELE/HID/PCI - VOF</t>
  </si>
  <si>
    <t>Garagens</t>
  </si>
  <si>
    <t>4 níveis</t>
  </si>
  <si>
    <t>IFC: Garagem 1 a Garagem 4</t>
  </si>
  <si>
    <t>IFC não indica subsolo; Fundação abaixo do Térreo</t>
  </si>
  <si>
    <t>76, a confirmar</t>
  </si>
  <si>
    <t>Premissa v00: 2 vagas por UR; ARQ está em DWG</t>
  </si>
  <si>
    <t>2, a confirmar</t>
  </si>
  <si>
    <t>PDFs citam elevador de emergência; torre alta</t>
  </si>
  <si>
    <t>PDFs DRYWALL/PCI citam sala e posicionamento do gerador</t>
  </si>
  <si>
    <t>Pressurização / fumaça</t>
  </si>
  <si>
    <t>PPCI cita escada pressurizada/exaustão e IN10/IN12</t>
  </si>
  <si>
    <t>PDFs de lazer citam acesso à piscina</t>
  </si>
  <si>
    <t>Projeto CLI com equipamentos HW/K7/CND e condensadoras</t>
  </si>
  <si>
    <t>Mista</t>
  </si>
  <si>
    <t>ALV com bloco cerâmico + DRYWALL ST/RU em várias pranchas</t>
  </si>
  <si>
    <t>Textura, a confirmar</t>
  </si>
  <si>
    <t>Projeto de fachada não encontrado em PDF legível</t>
  </si>
  <si>
    <t>Hélice, a confirmar</t>
  </si>
  <si>
    <t>IFC não tem IfcFooting/IfcPile; sem SPT legível</t>
  </si>
  <si>
    <t>CUB base</t>
  </si>
  <si>
    <t>R$ 3.850,00/m²</t>
  </si>
  <si>
    <t>Supabase specifications.ampli_indexers, SC, 2026-05</t>
  </si>
  <si>
    <t>Alto mediana R$/m²</t>
  </si>
  <si>
    <t>Alto P25</t>
  </si>
  <si>
    <t>Alto P75</t>
  </si>
  <si>
    <t>n</t>
  </si>
  <si>
    <t>Médio-Alto mediana R$/m²</t>
  </si>
  <si>
    <t>Referência</t>
  </si>
  <si>
    <t>UF/Cidade</t>
  </si>
  <si>
    <t>Área</t>
  </si>
  <si>
    <t>Base R$/m²</t>
  </si>
  <si>
    <t>Indexado R$/m²</t>
  </si>
  <si>
    <t>Trend R$/m²</t>
  </si>
  <si>
    <t>Comprometido R$/m²</t>
  </si>
  <si>
    <t>Blue Coast FG</t>
  </si>
  <si>
    <t>SC/Itajaí</t>
  </si>
  <si>
    <t>Live</t>
  </si>
  <si>
    <t>SP/São Paulo</t>
  </si>
  <si>
    <t>Voss</t>
  </si>
  <si>
    <t>PR/Curitiba</t>
  </si>
  <si>
    <t>Local</t>
  </si>
  <si>
    <t>Ajuste</t>
  </si>
  <si>
    <t>Justificativa</t>
  </si>
  <si>
    <t>INDICES!C22</t>
  </si>
  <si>
    <t>R$ 80.000 -&gt; R$ 180.000</t>
  </si>
  <si>
    <t>Torre alta com escada pressurizada/exaustão e controle de fumaça nos PDFs PPCI.</t>
  </si>
  <si>
    <t>INDICES!C23</t>
  </si>
  <si>
    <t>R$ 180.000 -&gt; R$ 350.000</t>
  </si>
  <si>
    <t>PDFs citam sala/posicionamento do gerador; v00 adota allowance de torre alta.</t>
  </si>
  <si>
    <t>PUs ajustados para R$ 480.000/un</t>
  </si>
  <si>
    <t>2 elevadores em torre de 29 níveis, incluindo menção a elevador de emergência.</t>
  </si>
  <si>
    <t>4 pavimentos x R$ 27.318</t>
  </si>
  <si>
    <t>PDFs G1/G2/G4 citam ventilação mecânica alternativa a área natural mínima.</t>
  </si>
  <si>
    <t>Equipamentos e infra</t>
  </si>
  <si>
    <t>4,5 un/UR + infra R$ 18/m²</t>
  </si>
  <si>
    <t>Projeto CLI traz múltiplos equipamentos HW/K7/CND; default 1,5 un/UR ficaria baixo.</t>
  </si>
  <si>
    <t>Escopo alto sem memorial</t>
  </si>
  <si>
    <t>R$ 75/m² AC</t>
  </si>
  <si>
    <t>Default V2 por UR ficava artificialmente baixo para padrão alto; usa referência entre médio-alto e alto.</t>
  </si>
  <si>
    <t>Lazer e áreas comuns</t>
  </si>
  <si>
    <t>Mobiliário/ambientação/equipamentos reforçados</t>
  </si>
  <si>
    <t>PDFs indicam piscina, coworking, gourmet, festas, sala comercial e lazer de cobertura.</t>
  </si>
  <si>
    <t>Premissa adotada</t>
  </si>
  <si>
    <t>36 meses, torre alta, equipe técnica e canteiro do V2; benchmark alto Supabase.</t>
  </si>
  <si>
    <t>Sem subsolo no IFC; movimentação de terra base por AC.</t>
  </si>
  <si>
    <t>Fundação hélice assumida por ausência de SPT/projeto de fundação legível.</t>
  </si>
  <si>
    <t>IFC estrutural com 29 níveis, 762 lajes, 1.410 vigas, 876 pilares; laje convencional v00.</t>
  </si>
  <si>
    <t>Bloco cerâmico ALV + drywall ST/RU em PDFs de vedação.</t>
  </si>
  <si>
    <t>Índice V2 para torre com áreas molhadas, lazer e cobertura.</t>
  </si>
  <si>
    <t>ELE/HID/PCI completos, gás, preventivo, medições e prumadas de torre alta.</t>
  </si>
  <si>
    <t>Elevadores, gerador, piscina, pressurização, SPDA, bombas e ventilação de garagens.</t>
  </si>
  <si>
    <t>Projeto CLI com equipamentos; v00 reforça quantidade e infra.</t>
  </si>
  <si>
    <t>Acabamento alto com áreas molhadas e paredes internas por índice V2.</t>
  </si>
  <si>
    <t>DRYWALL/FORRO com gesso acartonado ST/RU e forro em áreas comuns/privativas.</t>
  </si>
  <si>
    <t>Porcelanato como premissa v00 para padrão alto.</t>
  </si>
  <si>
    <t>Sistema acrílico/PVA por índice V2.</t>
  </si>
  <si>
    <t>Alumínio/vidro por benchmark alto; quadro não localizado em PDF.</t>
  </si>
  <si>
    <t>2 banheiros/UR como premissa v00, padrão alto.</t>
  </si>
  <si>
    <t>Textura como premissa conservadora; projeto de fachada não localizado.</t>
  </si>
  <si>
    <t>Lazer com piscina, áreas comuns, comunicação visual e paisagismo por índice.</t>
  </si>
  <si>
    <t>1,5% padrão Cartesian aplicado pelo V2.</t>
  </si>
  <si>
    <t>Limitação</t>
  </si>
  <si>
    <t>Tratamento na v00</t>
  </si>
  <si>
    <t>Arquitetura principal está em DWG; sem conversor DWG disponível nesta sessão. A v00 usa ARQ como limitação explícita.</t>
  </si>
  <si>
    <t>Documentado para validação na v01</t>
  </si>
  <si>
    <t>Vagas, fachada e quadro de esquadrias não foram encontrados em PDF legível e devem ser validados na v01.</t>
  </si>
  <si>
    <t>Sem SPT/fundação em PDF legível; fundação hélice é premissa Cartesian de v00.</t>
  </si>
  <si>
    <t>Não houve escrita no Supabase nem sincronização ao Drive _Parametrico_IA; esta é a versão local para validação do Leo.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</si>
</sst>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4"/>
      <color rgb="FF2C3E50"/>
      <name val="Arial"/>
    </font>
    <font>
      <b/>
      <sz val="9"/>
      <name val="Arial"/>
    </font>
    <font>
      <b/>
      <sz val="11"/>
      <color rgb="FFE67E22"/>
      <name val="Arial"/>
    </font>
    <font>
      <b/>
      <sz val="13"/>
      <color rgb="FF2C3E50"/>
      <name val="Arial"/>
    </font>
    <font>
      <sz val="9"/>
      <color rgb="FF666666"/>
      <name val="Arial"/>
    </font>
    <font>
      <b/>
      <sz val="9"/>
      <color rgb="FFFFFFFF"/>
      <name val="Arial"/>
    </font>
    <font>
      <sz val="8"/>
      <color rgb="FF666666"/>
      <name val="Arial"/>
    </font>
    <font>
      <b/>
      <sz val="12"/>
      <color rgb="FF2C3E50"/>
      <name val="Arial"/>
    </font>
    <font>
      <sz val="9"/>
      <color rgb="FFE67E22"/>
      <name val="Arial"/>
    </font>
    <font>
      <sz val="9"/>
      <name val="Arial"/>
    </font>
    <font>
      <b/>
      <sz val="9"/>
      <color rgb="FF27AE60"/>
      <name val="Arial"/>
    </font>
    <font>
      <b/>
      <sz val="10"/>
      <name val="Arial"/>
    </font>
    <font>
      <b/>
      <sz val="11"/>
      <name val="Calibri"/>
    </font>
    <font>
      <sz val="7"/>
      <color rgb="FF666666"/>
      <name val="Arial"/>
    </font>
    <font>
      <b/>
      <sz val="11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3E0"/>
        <bgColor rgb="FFFFF3E0"/>
      </patternFill>
    </fill>
    <fill>
      <patternFill patternType="solid">
        <fgColor rgb="FF2C3E50"/>
        <bgColor rgb="FF2C3E50"/>
      </patternFill>
    </fill>
    <fill>
      <patternFill patternType="solid">
        <fgColor rgb="FFE8F5E9"/>
        <bgColor rgb="FFE8F5E9"/>
      </patternFill>
    </fill>
    <fill>
      <patternFill patternType="solid">
        <fgColor rgb="FF245AE4"/>
        <bgColor rgb="FF245AE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/>
    <xf numFmtId="0" fontId="15" fillId="0" borderId="0" xfId="0" applyFont="1"/>
    <xf numFmtId="3" fontId="10" fillId="4" borderId="1" xfId="0" applyNumberFormat="1" applyFont="1" applyFill="1" applyBorder="1"/>
    <xf numFmtId="4" fontId="10" fillId="4" borderId="1" xfId="0" applyNumberFormat="1" applyFont="1" applyFill="1" applyBorder="1"/>
    <xf numFmtId="2" fontId="10" fillId="4" borderId="1" xfId="0" applyNumberFormat="1" applyFont="1" applyFill="1" applyBorder="1"/>
    <xf numFmtId="49" fontId="10" fillId="4" borderId="1" xfId="0" applyNumberFormat="1" applyFont="1" applyFill="1" applyBorder="1"/>
    <xf numFmtId="0" fontId="2" fillId="0" borderId="1" xfId="0" applyFont="1" applyBorder="1"/>
    <xf numFmtId="4" fontId="3" fillId="2" borderId="1" xfId="0" applyNumberFormat="1" applyFont="1" applyFill="1" applyBorder="1"/>
    <xf numFmtId="3" fontId="3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7" fillId="0" borderId="0" xfId="0" applyFont="1"/>
    <xf numFmtId="4" fontId="11" fillId="4" borderId="1" xfId="0" applyNumberFormat="1" applyFont="1" applyFill="1" applyBorder="1"/>
    <xf numFmtId="3" fontId="11" fillId="4" borderId="1" xfId="0" applyNumberFormat="1" applyFont="1" applyFill="1" applyBorder="1"/>
    <xf numFmtId="164" fontId="10" fillId="4" borderId="1" xfId="0" applyNumberFormat="1" applyFont="1" applyFill="1" applyBorder="1"/>
    <xf numFmtId="0" fontId="12" fillId="0" borderId="0" xfId="0" applyFont="1"/>
    <xf numFmtId="4" fontId="13" fillId="0" borderId="0" xfId="0" applyNumberFormat="1" applyFont="1"/>
    <xf numFmtId="3" fontId="13" fillId="0" borderId="0" xfId="0" applyNumberFormat="1" applyFont="1"/>
    <xf numFmtId="0" fontId="2" fillId="0" borderId="0" xfId="0" applyFont="1"/>
    <xf numFmtId="3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14" fillId="0" borderId="1" xfId="0" applyFont="1" applyBorder="1"/>
    <xf numFmtId="0" fontId="13" fillId="0" borderId="0" xfId="0" applyFont="1"/>
    <xf numFmtId="3" fontId="0" fillId="0" borderId="1" xfId="0" applyNumberFormat="1" applyBorder="1"/>
    <xf numFmtId="0" fontId="10" fillId="0" borderId="0" xfId="0" applyFont="1"/>
    <xf numFmtId="0" fontId="14" fillId="0" borderId="1" xfId="0" applyFont="1" applyBorder="1" applyAlignment="1">
      <alignment vertical="top" wrapText="1"/>
    </xf>
    <xf numFmtId="0" fontId="16" fillId="5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4" fontId="10" fillId="0" borderId="2" xfId="0" applyNumberFormat="1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4" fillId="0" borderId="0" xfId="0" applyFont="1"/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C14"/>
  <sheetViews>
    <sheetView tabSelected="1" workbookViewId="0">
      <selection sqref="A1:C1"/>
    </sheetView>
  </sheetViews>
  <sheetFormatPr defaultRowHeight="15" x14ac:dyDescent="0.25"/>
  <cols>
    <col min="1" max="1" width="18" customWidth="1"/>
    <col min="2" max="2" width="22" customWidth="1"/>
  </cols>
  <sheetData>
    <row r="1" spans="1:3" ht="18" x14ac:dyDescent="0.25">
      <c r="A1" s="31" t="s">
        <v>0</v>
      </c>
      <c r="B1" s="32"/>
      <c r="C1" s="32"/>
    </row>
    <row r="2" spans="1:3" x14ac:dyDescent="0.25">
      <c r="A2" s="1" t="s">
        <v>1</v>
      </c>
    </row>
    <row r="4" spans="1:3" x14ac:dyDescent="0.25">
      <c r="A4" s="2" t="s">
        <v>2</v>
      </c>
      <c r="B4" s="3">
        <f>CUSTOS_MACROGRUPO!D22</f>
        <v>43556004.954300001</v>
      </c>
    </row>
    <row r="5" spans="1:3" x14ac:dyDescent="0.25">
      <c r="A5" s="2" t="s">
        <v>3</v>
      </c>
      <c r="B5" s="4">
        <f>CUSTOS_MACROGRUPO!D22/DADOS_PROJETO!B5</f>
        <v>4017.9667328978603</v>
      </c>
    </row>
    <row r="6" spans="1:3" x14ac:dyDescent="0.25">
      <c r="A6" s="2" t="s">
        <v>4</v>
      </c>
      <c r="B6" s="5">
        <f>B5/DADOS_PROJETO!B12</f>
        <v>1.043627722830613</v>
      </c>
    </row>
    <row r="7" spans="1:3" x14ac:dyDescent="0.25">
      <c r="A7" s="2" t="s">
        <v>5</v>
      </c>
      <c r="B7" s="3">
        <f>CUSTOS_MACROGRUPO!D22/DADOS_PROJETO!B6</f>
        <v>1146210.6566921053</v>
      </c>
    </row>
    <row r="8" spans="1:3" x14ac:dyDescent="0.25">
      <c r="A8" s="2" t="s">
        <v>6</v>
      </c>
      <c r="B8" s="3">
        <f>DADOS_PROJETO!B5</f>
        <v>10840.31</v>
      </c>
    </row>
    <row r="9" spans="1:3" x14ac:dyDescent="0.25">
      <c r="A9" s="2" t="s">
        <v>7</v>
      </c>
      <c r="B9" s="3">
        <f>DADOS_PROJETO!B6</f>
        <v>38</v>
      </c>
    </row>
    <row r="10" spans="1:3" x14ac:dyDescent="0.25">
      <c r="A10" s="2" t="s">
        <v>8</v>
      </c>
      <c r="B10" s="4">
        <f>DADOS_PROJETO!B12</f>
        <v>3850</v>
      </c>
    </row>
    <row r="11" spans="1:3" x14ac:dyDescent="0.25">
      <c r="A11" s="2" t="s">
        <v>9</v>
      </c>
      <c r="B11" s="6" t="str">
        <f>BRIEFING!B4</f>
        <v>Convencional</v>
      </c>
    </row>
    <row r="12" spans="1:3" x14ac:dyDescent="0.25">
      <c r="A12" s="2" t="s">
        <v>10</v>
      </c>
      <c r="B12" s="6" t="str">
        <f>BRIEFING!B5</f>
        <v>0</v>
      </c>
    </row>
    <row r="13" spans="1:3" x14ac:dyDescent="0.25">
      <c r="A13" s="2" t="s">
        <v>11</v>
      </c>
      <c r="B13" s="6" t="str">
        <f>BRIEFING!B7</f>
        <v>Alto</v>
      </c>
    </row>
    <row r="14" spans="1:3" x14ac:dyDescent="0.25">
      <c r="A14" s="2" t="s">
        <v>12</v>
      </c>
      <c r="B14" s="6" t="str">
        <f>BRIEFING!B8</f>
        <v>Textura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D12"/>
  <sheetViews>
    <sheetView workbookViewId="0"/>
  </sheetViews>
  <sheetFormatPr defaultRowHeight="15" x14ac:dyDescent="0.25"/>
  <cols>
    <col min="1" max="1" width="20" customWidth="1"/>
    <col min="2" max="2" width="25" customWidth="1"/>
  </cols>
  <sheetData>
    <row r="1" spans="1:4" ht="18" x14ac:dyDescent="0.25">
      <c r="A1" s="31" t="s">
        <v>13</v>
      </c>
      <c r="B1" s="32"/>
      <c r="C1" s="32"/>
      <c r="D1" s="32"/>
    </row>
    <row r="3" spans="1:4" x14ac:dyDescent="0.25">
      <c r="A3" s="7" t="s">
        <v>14</v>
      </c>
      <c r="B3" t="s">
        <v>15</v>
      </c>
    </row>
    <row r="4" spans="1:4" x14ac:dyDescent="0.25">
      <c r="A4" s="7" t="s">
        <v>16</v>
      </c>
      <c r="B4" t="s">
        <v>17</v>
      </c>
    </row>
    <row r="5" spans="1:4" x14ac:dyDescent="0.25">
      <c r="A5" s="7" t="s">
        <v>18</v>
      </c>
      <c r="B5" s="8">
        <v>10840.31</v>
      </c>
    </row>
    <row r="6" spans="1:4" x14ac:dyDescent="0.25">
      <c r="A6" s="7" t="s">
        <v>7</v>
      </c>
      <c r="B6" s="9">
        <v>38</v>
      </c>
    </row>
    <row r="7" spans="1:4" x14ac:dyDescent="0.25">
      <c r="A7" s="7" t="s">
        <v>19</v>
      </c>
      <c r="B7" s="9">
        <v>29</v>
      </c>
    </row>
    <row r="8" spans="1:4" x14ac:dyDescent="0.25">
      <c r="A8" s="7" t="s">
        <v>20</v>
      </c>
      <c r="B8" s="9">
        <v>18</v>
      </c>
    </row>
    <row r="9" spans="1:4" x14ac:dyDescent="0.25">
      <c r="A9" s="7" t="s">
        <v>21</v>
      </c>
      <c r="B9" s="9">
        <v>2</v>
      </c>
    </row>
    <row r="10" spans="1:4" x14ac:dyDescent="0.25">
      <c r="A10" s="7" t="s">
        <v>22</v>
      </c>
      <c r="B10" s="9">
        <v>76</v>
      </c>
    </row>
    <row r="11" spans="1:4" x14ac:dyDescent="0.25">
      <c r="A11" s="7" t="s">
        <v>23</v>
      </c>
      <c r="B11" s="9">
        <v>36</v>
      </c>
    </row>
    <row r="12" spans="1:4" x14ac:dyDescent="0.25">
      <c r="A12" s="7" t="s">
        <v>24</v>
      </c>
      <c r="B12" s="8">
        <v>3850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D17"/>
  <sheetViews>
    <sheetView workbookViewId="0"/>
  </sheetViews>
  <sheetFormatPr defaultRowHeight="15" x14ac:dyDescent="0.25"/>
  <cols>
    <col min="1" max="1" width="30" customWidth="1"/>
    <col min="2" max="2" width="18" customWidth="1"/>
    <col min="3" max="3" width="45" customWidth="1"/>
    <col min="4" max="4" width="5" customWidth="1"/>
  </cols>
  <sheetData>
    <row r="1" spans="1:4" ht="16.5" x14ac:dyDescent="0.25">
      <c r="A1" s="33" t="s">
        <v>25</v>
      </c>
      <c r="B1" s="32"/>
      <c r="C1" s="32"/>
      <c r="D1" s="32"/>
    </row>
    <row r="2" spans="1:4" x14ac:dyDescent="0.25">
      <c r="A2" s="1" t="s">
        <v>26</v>
      </c>
    </row>
    <row r="3" spans="1:4" x14ac:dyDescent="0.25">
      <c r="A3" s="10" t="s">
        <v>27</v>
      </c>
      <c r="B3" s="10" t="s">
        <v>28</v>
      </c>
      <c r="C3" s="10" t="s">
        <v>29</v>
      </c>
      <c r="D3" s="10"/>
    </row>
    <row r="4" spans="1:4" x14ac:dyDescent="0.25">
      <c r="A4" s="7" t="s">
        <v>30</v>
      </c>
      <c r="B4" s="11" t="s">
        <v>31</v>
      </c>
      <c r="C4" s="12" t="s">
        <v>32</v>
      </c>
    </row>
    <row r="5" spans="1:4" x14ac:dyDescent="0.25">
      <c r="A5" s="7" t="s">
        <v>10</v>
      </c>
      <c r="B5" s="11" t="s">
        <v>33</v>
      </c>
      <c r="C5" s="12" t="s">
        <v>34</v>
      </c>
    </row>
    <row r="6" spans="1:4" x14ac:dyDescent="0.25">
      <c r="A6" s="7" t="s">
        <v>35</v>
      </c>
      <c r="B6" s="11" t="s">
        <v>36</v>
      </c>
      <c r="C6" s="12" t="s">
        <v>37</v>
      </c>
    </row>
    <row r="7" spans="1:4" x14ac:dyDescent="0.25">
      <c r="A7" s="7" t="s">
        <v>38</v>
      </c>
      <c r="B7" s="11" t="s">
        <v>39</v>
      </c>
      <c r="C7" s="12" t="s">
        <v>40</v>
      </c>
    </row>
    <row r="8" spans="1:4" x14ac:dyDescent="0.25">
      <c r="A8" s="7" t="s">
        <v>12</v>
      </c>
      <c r="B8" s="11" t="s">
        <v>41</v>
      </c>
      <c r="C8" s="12" t="s">
        <v>42</v>
      </c>
    </row>
    <row r="9" spans="1:4" x14ac:dyDescent="0.25">
      <c r="A9" s="7" t="s">
        <v>43</v>
      </c>
      <c r="B9" s="11" t="s">
        <v>44</v>
      </c>
      <c r="C9" s="12" t="s">
        <v>45</v>
      </c>
    </row>
    <row r="10" spans="1:4" x14ac:dyDescent="0.25">
      <c r="A10" s="7" t="s">
        <v>46</v>
      </c>
      <c r="B10" s="11" t="s">
        <v>47</v>
      </c>
      <c r="C10" s="12" t="s">
        <v>48</v>
      </c>
    </row>
    <row r="11" spans="1:4" x14ac:dyDescent="0.25">
      <c r="A11" s="7" t="s">
        <v>49</v>
      </c>
      <c r="B11" s="11" t="s">
        <v>44</v>
      </c>
      <c r="C11" s="12" t="s">
        <v>50</v>
      </c>
    </row>
    <row r="12" spans="1:4" x14ac:dyDescent="0.25">
      <c r="A12" s="7" t="s">
        <v>51</v>
      </c>
      <c r="B12" s="11" t="s">
        <v>52</v>
      </c>
      <c r="C12" s="12" t="s">
        <v>53</v>
      </c>
    </row>
    <row r="13" spans="1:4" x14ac:dyDescent="0.25">
      <c r="A13" s="7" t="s">
        <v>54</v>
      </c>
      <c r="B13" s="11" t="s">
        <v>55</v>
      </c>
      <c r="C13" s="12" t="s">
        <v>56</v>
      </c>
    </row>
    <row r="14" spans="1:4" x14ac:dyDescent="0.25">
      <c r="A14" s="7" t="s">
        <v>57</v>
      </c>
      <c r="B14" s="11" t="s">
        <v>58</v>
      </c>
      <c r="C14" s="12" t="s">
        <v>59</v>
      </c>
    </row>
    <row r="15" spans="1:4" x14ac:dyDescent="0.25">
      <c r="A15" s="7" t="s">
        <v>60</v>
      </c>
      <c r="B15" s="11" t="s">
        <v>61</v>
      </c>
      <c r="C15" s="12" t="s">
        <v>62</v>
      </c>
    </row>
    <row r="16" spans="1:4" x14ac:dyDescent="0.25">
      <c r="A16" s="7" t="s">
        <v>63</v>
      </c>
      <c r="B16" s="11" t="s">
        <v>64</v>
      </c>
      <c r="C16" s="12" t="s">
        <v>65</v>
      </c>
    </row>
    <row r="17" spans="1:3" x14ac:dyDescent="0.25">
      <c r="A17" s="7" t="s">
        <v>66</v>
      </c>
      <c r="B17" s="11" t="s">
        <v>44</v>
      </c>
      <c r="C17" s="12" t="s">
        <v>67</v>
      </c>
    </row>
  </sheetData>
  <mergeCells count="1">
    <mergeCell ref="A1:D1"/>
  </mergeCells>
  <dataValidations count="13">
    <dataValidation type="list" errorTitle="Valor inválido" error="Selecione uma opção da lista" sqref="B4" xr:uid="{00000000-0002-0000-0200-000000000000}">
      <formula1>"Convencional,Protendida,Nervurada"</formula1>
    </dataValidation>
    <dataValidation type="list" errorTitle="Valor inválido" error="Selecione uma opção da lista" sqref="B5" xr:uid="{00000000-0002-0000-0200-000001000000}">
      <formula1>"0,1,2,3"</formula1>
    </dataValidation>
    <dataValidation type="list" errorTitle="Valor inválido" error="Selecione uma opção da lista" sqref="B6" xr:uid="{00000000-0002-0000-0200-000002000000}">
      <formula1>"Hélice,Tubulão,Sapata"</formula1>
    </dataValidation>
    <dataValidation type="list" errorTitle="Valor inválido" error="Selecione uma opção da lista" sqref="B7" xr:uid="{00000000-0002-0000-0200-000003000000}">
      <formula1>"Médio,Médio-Alto,Alto,Luxo"</formula1>
    </dataValidation>
    <dataValidation type="list" errorTitle="Valor inválido" error="Selecione uma opção da lista" sqref="B8" xr:uid="{00000000-0002-0000-0200-000004000000}">
      <formula1>"Textura,Cerâmica,Pele de vidro,ACM"</formula1>
    </dataValidation>
    <dataValidation type="list" errorTitle="Valor inválido" error="Selecione uma opção da lista" sqref="B9 B11" xr:uid="{00000000-0002-0000-0200-000005000000}">
      <formula1>"Sim,Não"</formula1>
    </dataValidation>
    <dataValidation type="list" errorTitle="Valor inválido" error="Selecione uma opção da lista" sqref="B10" xr:uid="{00000000-0002-0000-0200-000006000000}">
      <formula1>"1,2,3"</formula1>
    </dataValidation>
    <dataValidation type="list" errorTitle="Valor inválido" error="Selecione uma opção da lista" sqref="B12" xr:uid="{00000000-0002-0000-0200-000008000000}">
      <formula1>"Completa,Shell"</formula1>
    </dataValidation>
    <dataValidation type="list" errorTitle="Valor inválido" error="Selecione uma opção da lista" sqref="B13" xr:uid="{00000000-0002-0000-0200-000009000000}">
      <formula1>"Studios,1-2 Dormitórios,3-4 Dormitórios,Misto"</formula1>
    </dataValidation>
    <dataValidation type="list" errorTitle="Valor inválido" error="Selecione uma opção da lista" sqref="B14" xr:uid="{00000000-0002-0000-0200-00000A000000}">
      <formula1>"Baixo (2.80),Padrão (3.00),Alto (3.20),Duplo"</formula1>
    </dataValidation>
    <dataValidation type="list" errorTitle="Valor inválido" error="Selecione uma opção da lista" sqref="B15" xr:uid="{00000000-0002-0000-0200-00000B000000}">
      <formula1>"1,2,3,4"</formula1>
    </dataValidation>
    <dataValidation type="list" errorTitle="Valor inválido" error="Selecione uma opção da lista" sqref="B16" xr:uid="{00000000-0002-0000-0200-00000C000000}">
      <formula1>"Porcelanato,Laminado,Misto"</formula1>
    </dataValidation>
    <dataValidation type="list" errorTitle="Valor inválido" error="Selecione uma opção da lista" sqref="B17" xr:uid="{00000000-0002-0000-0200-00000D000000}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F35"/>
  <sheetViews>
    <sheetView workbookViewId="0"/>
  </sheetViews>
  <sheetFormatPr defaultRowHeight="15" x14ac:dyDescent="0.25"/>
  <cols>
    <col min="1" max="1" width="32" customWidth="1"/>
    <col min="2" max="4" width="13" customWidth="1"/>
    <col min="5" max="5" width="12" customWidth="1"/>
    <col min="6" max="6" width="40" customWidth="1"/>
  </cols>
  <sheetData>
    <row r="1" spans="1:6" ht="15.75" x14ac:dyDescent="0.25">
      <c r="A1" s="35" t="s">
        <v>68</v>
      </c>
      <c r="B1" s="32"/>
      <c r="C1" s="32"/>
      <c r="D1" s="32"/>
      <c r="E1" s="32"/>
      <c r="F1" s="32"/>
    </row>
    <row r="2" spans="1:6" x14ac:dyDescent="0.25">
      <c r="A2" s="34" t="s">
        <v>69</v>
      </c>
      <c r="B2" s="32"/>
      <c r="C2" s="32"/>
      <c r="D2" s="32"/>
      <c r="E2" s="32"/>
      <c r="F2" s="32"/>
    </row>
    <row r="4" spans="1:6" x14ac:dyDescent="0.25">
      <c r="A4" s="10" t="s">
        <v>70</v>
      </c>
      <c r="B4" s="10" t="s">
        <v>71</v>
      </c>
      <c r="C4" s="10" t="s">
        <v>72</v>
      </c>
      <c r="D4" s="10" t="s">
        <v>73</v>
      </c>
      <c r="E4" s="10" t="s">
        <v>74</v>
      </c>
      <c r="F4" s="10" t="s">
        <v>75</v>
      </c>
    </row>
    <row r="5" spans="1:6" x14ac:dyDescent="0.25">
      <c r="A5" s="7" t="s">
        <v>76</v>
      </c>
      <c r="B5" s="4">
        <f>IF(BRIEFING!B4="Protendida",0.22,IF(BRIEFING!B4="Nervurada",0.2,0.25))</f>
        <v>0.25</v>
      </c>
      <c r="C5" s="8"/>
      <c r="D5" s="13">
        <f t="shared" ref="D5:D35" si="0">IF(C5="",B5,C5)</f>
        <v>0.25</v>
      </c>
      <c r="E5" t="s">
        <v>77</v>
      </c>
      <c r="F5" s="12" t="s">
        <v>78</v>
      </c>
    </row>
    <row r="6" spans="1:6" x14ac:dyDescent="0.25">
      <c r="A6" s="7" t="s">
        <v>79</v>
      </c>
      <c r="B6" s="4">
        <f>IF(BRIEFING!B4="Protendida",70,IF(BRIEFING!B4="Nervurada",90,106))</f>
        <v>106</v>
      </c>
      <c r="C6" s="8"/>
      <c r="D6" s="13">
        <f t="shared" si="0"/>
        <v>106</v>
      </c>
      <c r="E6" t="s">
        <v>80</v>
      </c>
      <c r="F6" s="12" t="s">
        <v>81</v>
      </c>
    </row>
    <row r="7" spans="1:6" x14ac:dyDescent="0.25">
      <c r="A7" s="7" t="s">
        <v>82</v>
      </c>
      <c r="B7" s="4">
        <f>IF(BRIEFING!B4="Protendida",8,0)</f>
        <v>0</v>
      </c>
      <c r="C7" s="8"/>
      <c r="D7" s="13">
        <f t="shared" si="0"/>
        <v>0</v>
      </c>
      <c r="E7" t="s">
        <v>83</v>
      </c>
      <c r="F7" s="12" t="s">
        <v>84</v>
      </c>
    </row>
    <row r="8" spans="1:6" x14ac:dyDescent="0.25">
      <c r="A8" s="7" t="s">
        <v>85</v>
      </c>
      <c r="B8" s="4">
        <f>IF(BRIEFING!B4="Protendida",6.05,IF(BRIEFING!B4="Nervurada",6.5,7.12))</f>
        <v>7.12</v>
      </c>
      <c r="C8" s="8"/>
      <c r="D8" s="13">
        <f t="shared" si="0"/>
        <v>7.12</v>
      </c>
      <c r="E8" t="s">
        <v>86</v>
      </c>
      <c r="F8" s="12" t="s">
        <v>78</v>
      </c>
    </row>
    <row r="9" spans="1:6" x14ac:dyDescent="0.25">
      <c r="A9" s="7" t="s">
        <v>87</v>
      </c>
      <c r="B9" s="3">
        <f>IF(BRIEFING!B4="Protendida",50,IF(BRIEFING!B4="Nervurada",35,0))</f>
        <v>0</v>
      </c>
      <c r="C9" s="9"/>
      <c r="D9" s="14">
        <f t="shared" si="0"/>
        <v>0</v>
      </c>
      <c r="E9" t="s">
        <v>88</v>
      </c>
      <c r="F9" s="12" t="s">
        <v>89</v>
      </c>
    </row>
    <row r="10" spans="1:6" x14ac:dyDescent="0.25">
      <c r="A10" s="7" t="s">
        <v>90</v>
      </c>
      <c r="B10" s="4">
        <f>IF(BRIEFING!B4="Protendida",40,30)</f>
        <v>30</v>
      </c>
      <c r="C10" s="8"/>
      <c r="D10" s="13">
        <f t="shared" si="0"/>
        <v>30</v>
      </c>
      <c r="E10" t="s">
        <v>91</v>
      </c>
      <c r="F10" s="12" t="s">
        <v>92</v>
      </c>
    </row>
    <row r="11" spans="1:6" x14ac:dyDescent="0.25">
      <c r="A11" s="7" t="s">
        <v>93</v>
      </c>
      <c r="B11" s="4">
        <f>ROUND(DADOS_PROJETO!B5/75,0)*(1+VALUE(BRIEFING!B5)*0.15)</f>
        <v>145</v>
      </c>
      <c r="C11" s="8"/>
      <c r="D11" s="13">
        <f t="shared" si="0"/>
        <v>145</v>
      </c>
      <c r="E11" t="s">
        <v>94</v>
      </c>
      <c r="F11" s="12" t="s">
        <v>95</v>
      </c>
    </row>
    <row r="12" spans="1:6" x14ac:dyDescent="0.25">
      <c r="A12" s="7" t="s">
        <v>96</v>
      </c>
      <c r="B12" s="4">
        <f>IF(BRIEFING!B6="Hélice",18,IF(BRIEFING!B6="Tubulão",12,0))+VALUE(BRIEFING!B5)*2</f>
        <v>18</v>
      </c>
      <c r="C12" s="8"/>
      <c r="D12" s="13">
        <f t="shared" si="0"/>
        <v>18</v>
      </c>
      <c r="E12" t="s">
        <v>97</v>
      </c>
      <c r="F12" s="12" t="s">
        <v>98</v>
      </c>
    </row>
    <row r="13" spans="1:6" x14ac:dyDescent="0.25">
      <c r="A13" s="7" t="s">
        <v>99</v>
      </c>
      <c r="B13" s="4">
        <f>2.25*IF(BRIEFING!B12="Shell",0.75,1)*IF(BRIEFING!B14="Duplo",1.15,IF(BRIEFING!B14="Alto (3.20)",1.05,1))</f>
        <v>2.25</v>
      </c>
      <c r="C13" s="8"/>
      <c r="D13" s="13">
        <f t="shared" si="0"/>
        <v>2.25</v>
      </c>
      <c r="E13" t="s">
        <v>100</v>
      </c>
      <c r="F13" s="12" t="s">
        <v>101</v>
      </c>
    </row>
    <row r="14" spans="1:6" x14ac:dyDescent="0.25">
      <c r="A14" s="7" t="s">
        <v>102</v>
      </c>
      <c r="B14" s="4">
        <f>1.7*IF(BRIEFING!B12="Shell",0.4,1)</f>
        <v>1.7</v>
      </c>
      <c r="C14" s="8"/>
      <c r="D14" s="13">
        <f t="shared" si="0"/>
        <v>1.7</v>
      </c>
      <c r="E14" t="s">
        <v>100</v>
      </c>
      <c r="F14" s="12" t="s">
        <v>103</v>
      </c>
    </row>
    <row r="15" spans="1:6" x14ac:dyDescent="0.25">
      <c r="A15" s="7" t="s">
        <v>104</v>
      </c>
      <c r="B15" s="4">
        <f>2.85*IF(BRIEFING!B12="Shell",0.5,1)*IF(VALUE(BRIEFING!B15)&gt;=2,1.15,IF(VALUE(BRIEFING!B15)&gt;=1,1,0.85))</f>
        <v>3.2774999999999999</v>
      </c>
      <c r="C15" s="8"/>
      <c r="D15" s="13">
        <f t="shared" si="0"/>
        <v>3.2774999999999999</v>
      </c>
      <c r="E15" t="s">
        <v>100</v>
      </c>
      <c r="F15" s="12" t="s">
        <v>105</v>
      </c>
    </row>
    <row r="16" spans="1:6" x14ac:dyDescent="0.25">
      <c r="A16" s="7" t="s">
        <v>106</v>
      </c>
      <c r="B16" s="4">
        <f>1.16*IF(BRIEFING!B12="Shell",0.45,1)</f>
        <v>1.1599999999999999</v>
      </c>
      <c r="C16" s="8"/>
      <c r="D16" s="13">
        <f t="shared" si="0"/>
        <v>1.1599999999999999</v>
      </c>
      <c r="E16" t="s">
        <v>100</v>
      </c>
      <c r="F16" s="12" t="s">
        <v>107</v>
      </c>
    </row>
    <row r="17" spans="1:6" x14ac:dyDescent="0.25">
      <c r="A17" s="7" t="s">
        <v>108</v>
      </c>
      <c r="B17" s="4">
        <f>5.65*IF(BRIEFING!B12="Shell",0.4,1)</f>
        <v>5.65</v>
      </c>
      <c r="C17" s="8"/>
      <c r="D17" s="13">
        <f t="shared" si="0"/>
        <v>5.65</v>
      </c>
      <c r="E17" t="s">
        <v>100</v>
      </c>
      <c r="F17" s="12" t="s">
        <v>109</v>
      </c>
    </row>
    <row r="18" spans="1:6" x14ac:dyDescent="0.25">
      <c r="A18" s="7" t="s">
        <v>110</v>
      </c>
      <c r="B18" s="4">
        <f>IF(BRIEFING!B8="Pele de vidro",1.8,IF(BRIEFING!B8="ACM",1.7,1.55))*IF(BRIEFING!B14="Duplo",1.12,IF(BRIEFING!B14="Alto (3.20)",1.05,1))</f>
        <v>1.55</v>
      </c>
      <c r="C18" s="8"/>
      <c r="D18" s="13">
        <f t="shared" si="0"/>
        <v>1.55</v>
      </c>
      <c r="E18" t="s">
        <v>100</v>
      </c>
      <c r="F18" s="12" t="s">
        <v>111</v>
      </c>
    </row>
    <row r="19" spans="1:6" x14ac:dyDescent="0.25">
      <c r="A19" s="7" t="s">
        <v>112</v>
      </c>
      <c r="B19" s="4">
        <f>0.37+VALUE(BRIEFING!B5)*0.05+IF(VALUE(BRIEFING!B15)&gt;=3,0.04,IF(VALUE(BRIEFING!B15)&gt;=2,0.03,0))</f>
        <v>0.4</v>
      </c>
      <c r="C19" s="8"/>
      <c r="D19" s="13">
        <f t="shared" si="0"/>
        <v>0.4</v>
      </c>
      <c r="E19" t="s">
        <v>100</v>
      </c>
      <c r="F19" s="12" t="s">
        <v>113</v>
      </c>
    </row>
    <row r="20" spans="1:6" x14ac:dyDescent="0.25">
      <c r="A20" s="7" t="s">
        <v>114</v>
      </c>
      <c r="B20" s="4">
        <f>IF(BRIEFING!B7="Luxo",1.35,IF(BRIEFING!B7="Alto",1.15,IF(BRIEFING!B7="Médio-Alto",1,0.85)))</f>
        <v>1.1499999999999999</v>
      </c>
      <c r="C20" s="8"/>
      <c r="D20" s="13">
        <f t="shared" si="0"/>
        <v>1.1499999999999999</v>
      </c>
      <c r="E20" t="s">
        <v>115</v>
      </c>
      <c r="F20" s="12" t="s">
        <v>116</v>
      </c>
    </row>
    <row r="21" spans="1:6" x14ac:dyDescent="0.25">
      <c r="A21" s="7" t="s">
        <v>117</v>
      </c>
      <c r="B21" s="3">
        <f>IF(BRIEFING!B8="Pele de vidro",350,IF(BRIEFING!B8="ACM",280,IF(BRIEFING!B8="Cerâmica",180,100)))</f>
        <v>100</v>
      </c>
      <c r="C21" s="9"/>
      <c r="D21" s="14">
        <f t="shared" si="0"/>
        <v>100</v>
      </c>
      <c r="E21" t="s">
        <v>88</v>
      </c>
      <c r="F21" s="12" t="s">
        <v>118</v>
      </c>
    </row>
    <row r="22" spans="1:6" x14ac:dyDescent="0.25">
      <c r="A22" s="7" t="s">
        <v>119</v>
      </c>
      <c r="B22" s="3">
        <f>IF(BRIEFING!B9="Sim",80000,0)</f>
        <v>80000</v>
      </c>
      <c r="C22" s="9">
        <v>180000</v>
      </c>
      <c r="D22" s="14">
        <f t="shared" si="0"/>
        <v>180000</v>
      </c>
      <c r="E22" t="s">
        <v>120</v>
      </c>
      <c r="F22" s="12" t="s">
        <v>121</v>
      </c>
    </row>
    <row r="23" spans="1:6" x14ac:dyDescent="0.25">
      <c r="A23" s="7" t="s">
        <v>122</v>
      </c>
      <c r="B23" s="3">
        <f>IF(BRIEFING!B11="Não",0,IF(BRIEFING!B10="3",350000,IF(BRIEFING!B10="2",250000,180000)))</f>
        <v>180000</v>
      </c>
      <c r="C23" s="9">
        <v>350000</v>
      </c>
      <c r="D23" s="14">
        <f t="shared" si="0"/>
        <v>350000</v>
      </c>
      <c r="E23" t="s">
        <v>120</v>
      </c>
      <c r="F23" s="12" t="s">
        <v>123</v>
      </c>
    </row>
    <row r="24" spans="1:6" x14ac:dyDescent="0.25">
      <c r="A24" s="7" t="s">
        <v>124</v>
      </c>
      <c r="B24" s="3">
        <f>IF(VALUE(BRIEFING!B5)&gt;0,VALUE(BRIEFING!B5)*3.5*120*350,0)</f>
        <v>0</v>
      </c>
      <c r="C24" s="9"/>
      <c r="D24" s="14">
        <f t="shared" si="0"/>
        <v>0</v>
      </c>
      <c r="E24" t="s">
        <v>120</v>
      </c>
      <c r="F24" s="12" t="s">
        <v>125</v>
      </c>
    </row>
    <row r="25" spans="1:6" x14ac:dyDescent="0.25">
      <c r="A25" s="7" t="s">
        <v>126</v>
      </c>
      <c r="B25" s="3">
        <f>IF(VALUE(BRIEFING!B5)&gt;0,17+VALUE(BRIEFING!B5)*15,17)</f>
        <v>17</v>
      </c>
      <c r="C25" s="9"/>
      <c r="D25" s="14">
        <f t="shared" si="0"/>
        <v>17</v>
      </c>
      <c r="E25" t="s">
        <v>88</v>
      </c>
      <c r="F25" s="12" t="s">
        <v>127</v>
      </c>
    </row>
    <row r="26" spans="1:6" x14ac:dyDescent="0.25">
      <c r="A26" s="7" t="s">
        <v>128</v>
      </c>
      <c r="B26" s="4">
        <f>IF(BRIEFING!B13="Studios",0.65,IF(BRIEFING!B13="1-2 Dormitórios",0.85,IF(BRIEFING!B13="3-4 Dormitórios",1.2,1)))</f>
        <v>1</v>
      </c>
      <c r="C26" s="8"/>
      <c r="D26" s="13">
        <f t="shared" si="0"/>
        <v>1</v>
      </c>
      <c r="E26" t="s">
        <v>115</v>
      </c>
      <c r="F26" s="12" t="s">
        <v>129</v>
      </c>
    </row>
    <row r="27" spans="1:6" x14ac:dyDescent="0.25">
      <c r="A27" s="7" t="s">
        <v>130</v>
      </c>
      <c r="B27" s="4">
        <f>IF(BRIEFING!B13="Studios",0.8,IF(BRIEFING!B13="3-4 Dormitórios",1.15,1))</f>
        <v>1</v>
      </c>
      <c r="C27" s="8"/>
      <c r="D27" s="13">
        <f t="shared" si="0"/>
        <v>1</v>
      </c>
      <c r="E27" t="s">
        <v>115</v>
      </c>
      <c r="F27" s="12" t="s">
        <v>131</v>
      </c>
    </row>
    <row r="28" spans="1:6" x14ac:dyDescent="0.25">
      <c r="A28" s="7" t="s">
        <v>132</v>
      </c>
      <c r="B28" s="4">
        <f>IF(BRIEFING!B12="Shell",0.85,1)</f>
        <v>1</v>
      </c>
      <c r="C28" s="8"/>
      <c r="D28" s="13">
        <f t="shared" si="0"/>
        <v>1</v>
      </c>
      <c r="E28" t="s">
        <v>115</v>
      </c>
      <c r="F28" s="12" t="s">
        <v>133</v>
      </c>
    </row>
    <row r="29" spans="1:6" x14ac:dyDescent="0.25">
      <c r="A29" s="7" t="s">
        <v>134</v>
      </c>
      <c r="B29" s="3">
        <f>IF(BRIEFING!B16="Porcelanato",81.21,IF(BRIEFING!B16="Laminado",65,73))*INDICES!D20</f>
        <v>93.391499999999979</v>
      </c>
      <c r="C29" s="9"/>
      <c r="D29" s="14">
        <f t="shared" si="0"/>
        <v>93.391499999999979</v>
      </c>
      <c r="E29" t="s">
        <v>88</v>
      </c>
      <c r="F29" s="12" t="s">
        <v>135</v>
      </c>
    </row>
    <row r="30" spans="1:6" x14ac:dyDescent="0.25">
      <c r="A30" s="7" t="s">
        <v>136</v>
      </c>
      <c r="B30" s="3">
        <f>IF(BRIEFING!B17="Aquecida",320000,IF(BRIEFING!B17="Sim",220000,0))</f>
        <v>220000</v>
      </c>
      <c r="C30" s="9"/>
      <c r="D30" s="14">
        <f t="shared" si="0"/>
        <v>220000</v>
      </c>
      <c r="E30" t="s">
        <v>120</v>
      </c>
      <c r="F30" s="12" t="s">
        <v>137</v>
      </c>
    </row>
    <row r="31" spans="1:6" x14ac:dyDescent="0.25">
      <c r="A31" s="7" t="s">
        <v>138</v>
      </c>
      <c r="B31" s="4">
        <f>IF(BRIEFING!B14="Duplo",1.12,IF(BRIEFING!B14="Alto (3.20)",1.05,IF(BRIEFING!B14="Baixo (2.80)",0.97,1)))</f>
        <v>1</v>
      </c>
      <c r="C31" s="8"/>
      <c r="D31" s="13">
        <f t="shared" si="0"/>
        <v>1</v>
      </c>
      <c r="E31" t="s">
        <v>115</v>
      </c>
      <c r="F31" s="12" t="s">
        <v>139</v>
      </c>
    </row>
    <row r="32" spans="1:6" x14ac:dyDescent="0.25">
      <c r="A32" s="7" t="s">
        <v>140</v>
      </c>
      <c r="B32" s="4">
        <f>IF(VALUE(BRIEFING!B15)&gt;=4,1.8,IF(VALUE(BRIEFING!B15)&gt;=3,1.5,IF(VALUE(BRIEFING!B15)&gt;=2,1.2,1)))</f>
        <v>1.2</v>
      </c>
      <c r="C32" s="8"/>
      <c r="D32" s="13">
        <f t="shared" si="0"/>
        <v>1.2</v>
      </c>
      <c r="E32" t="s">
        <v>115</v>
      </c>
      <c r="F32" s="12" t="s">
        <v>141</v>
      </c>
    </row>
    <row r="33" spans="1:6" x14ac:dyDescent="0.25">
      <c r="A33" s="7" t="s">
        <v>142</v>
      </c>
      <c r="B33" s="4">
        <f>IF(BRIEFING!B4="Protendida",0.08,0.3)</f>
        <v>0.3</v>
      </c>
      <c r="C33" s="8"/>
      <c r="D33" s="13">
        <f t="shared" si="0"/>
        <v>0.3</v>
      </c>
      <c r="E33" t="s">
        <v>115</v>
      </c>
      <c r="F33" s="12" t="s">
        <v>143</v>
      </c>
    </row>
    <row r="34" spans="1:6" x14ac:dyDescent="0.25">
      <c r="A34" s="7" t="s">
        <v>144</v>
      </c>
      <c r="B34" s="4">
        <f>IF(BRIEFING!B4="Protendida",0.6,0.35)</f>
        <v>0.35</v>
      </c>
      <c r="C34" s="8"/>
      <c r="D34" s="13">
        <f t="shared" si="0"/>
        <v>0.35</v>
      </c>
      <c r="E34" t="s">
        <v>115</v>
      </c>
      <c r="F34" s="12" t="s">
        <v>145</v>
      </c>
    </row>
    <row r="35" spans="1:6" x14ac:dyDescent="0.25">
      <c r="A35" s="7" t="s">
        <v>146</v>
      </c>
      <c r="B35" s="4">
        <f>IF(VALUE(BRIEFING!B15)&gt;=2,1.15,1)</f>
        <v>1.1499999999999999</v>
      </c>
      <c r="C35" s="8"/>
      <c r="D35" s="13">
        <f t="shared" si="0"/>
        <v>1.1499999999999999</v>
      </c>
      <c r="E35" t="s">
        <v>115</v>
      </c>
      <c r="F35" s="12" t="s">
        <v>147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E22"/>
  <sheetViews>
    <sheetView workbookViewId="0"/>
  </sheetViews>
  <sheetFormatPr defaultRowHeight="15" x14ac:dyDescent="0.25"/>
  <cols>
    <col min="1" max="1" width="28" customWidth="1"/>
    <col min="2" max="2" width="12" customWidth="1"/>
    <col min="3" max="3" width="10" customWidth="1"/>
    <col min="4" max="5" width="18" customWidth="1"/>
  </cols>
  <sheetData>
    <row r="1" spans="1:5" ht="15.75" x14ac:dyDescent="0.25">
      <c r="A1" s="35" t="s">
        <v>148</v>
      </c>
      <c r="B1" s="32"/>
      <c r="C1" s="32"/>
      <c r="D1" s="32"/>
      <c r="E1" s="32"/>
    </row>
    <row r="3" spans="1:5" x14ac:dyDescent="0.25">
      <c r="A3" s="10" t="s">
        <v>149</v>
      </c>
      <c r="B3" s="10" t="s">
        <v>88</v>
      </c>
      <c r="C3" s="10" t="s">
        <v>150</v>
      </c>
      <c r="D3" s="10" t="s">
        <v>151</v>
      </c>
      <c r="E3" s="10" t="s">
        <v>152</v>
      </c>
    </row>
    <row r="4" spans="1:5" x14ac:dyDescent="0.25">
      <c r="A4" s="7" t="s">
        <v>153</v>
      </c>
      <c r="B4" s="4">
        <f>D4/DADOS_PROJETO!B5</f>
        <v>468.4604038076402</v>
      </c>
      <c r="C4" s="15">
        <f>D4/D22</f>
        <v>0.11659140927475391</v>
      </c>
      <c r="D4" s="3">
        <f>Gerenciamento!G2</f>
        <v>5078256</v>
      </c>
      <c r="E4" t="s">
        <v>153</v>
      </c>
    </row>
    <row r="5" spans="1:5" x14ac:dyDescent="0.25">
      <c r="A5" s="7" t="s">
        <v>154</v>
      </c>
      <c r="B5" s="4">
        <f>D5/DADOS_PROJETO!B5</f>
        <v>17</v>
      </c>
      <c r="C5" s="15">
        <f>D5/D22</f>
        <v>4.2309957075575798E-3</v>
      </c>
      <c r="D5" s="3">
        <f>'Mov. Terra'!G2</f>
        <v>184285.27</v>
      </c>
      <c r="E5" t="s">
        <v>154</v>
      </c>
    </row>
    <row r="6" spans="1:5" x14ac:dyDescent="0.25">
      <c r="A6" s="7" t="s">
        <v>155</v>
      </c>
      <c r="B6" s="4">
        <f>D6/DADOS_PROJETO!B5</f>
        <v>153.52017239359392</v>
      </c>
      <c r="C6" s="15">
        <f>D6/D22</f>
        <v>3.8208422965929148E-2</v>
      </c>
      <c r="D6" s="3">
        <f>Infraestrutura!G2</f>
        <v>1664206.26</v>
      </c>
      <c r="E6" t="s">
        <v>155</v>
      </c>
    </row>
    <row r="7" spans="1:5" x14ac:dyDescent="0.25">
      <c r="A7" s="7" t="s">
        <v>156</v>
      </c>
      <c r="B7" s="4">
        <f>D7/DADOS_PROJETO!B5</f>
        <v>785.85310742035983</v>
      </c>
      <c r="C7" s="15">
        <f>D7/D22</f>
        <v>0.19558477201566637</v>
      </c>
      <c r="D7" s="3">
        <f>Supraestrutura!G2</f>
        <v>8518891.2989000008</v>
      </c>
      <c r="E7" t="s">
        <v>156</v>
      </c>
    </row>
    <row r="8" spans="1:5" x14ac:dyDescent="0.25">
      <c r="A8" s="7" t="s">
        <v>157</v>
      </c>
      <c r="B8" s="4">
        <f>D8/DADOS_PROJETO!B5</f>
        <v>181.57340518859701</v>
      </c>
      <c r="C8" s="15">
        <f>D8/D22</f>
        <v>4.5190370468209833E-2</v>
      </c>
      <c r="D8" s="3">
        <f>Alvenaria!G2</f>
        <v>1968312</v>
      </c>
      <c r="E8" t="s">
        <v>157</v>
      </c>
    </row>
    <row r="9" spans="1:5" x14ac:dyDescent="0.25">
      <c r="A9" s="7" t="s">
        <v>158</v>
      </c>
      <c r="B9" s="4">
        <f>D9/DADOS_PROJETO!B5</f>
        <v>71.090123806422511</v>
      </c>
      <c r="C9" s="15">
        <f>D9/D22</f>
        <v>1.7693059333806504E-2</v>
      </c>
      <c r="D9" s="3">
        <f>Impermeabilização!G2</f>
        <v>770638.98</v>
      </c>
      <c r="E9" t="s">
        <v>158</v>
      </c>
    </row>
    <row r="10" spans="1:5" x14ac:dyDescent="0.25">
      <c r="A10" s="7" t="s">
        <v>159</v>
      </c>
      <c r="B10" s="4">
        <f>D10/DADOS_PROJETO!B5</f>
        <v>476.49</v>
      </c>
      <c r="C10" s="15">
        <f>D10/D22</f>
        <v>0.11858983204083008</v>
      </c>
      <c r="D10" s="3">
        <f>Instalações!G2</f>
        <v>5165299.3119000001</v>
      </c>
      <c r="E10" t="s">
        <v>159</v>
      </c>
    </row>
    <row r="11" spans="1:5" x14ac:dyDescent="0.25">
      <c r="A11" s="7" t="s">
        <v>160</v>
      </c>
      <c r="B11" s="4">
        <f>D11/DADOS_PROJETO!B5</f>
        <v>221.32872583902122</v>
      </c>
      <c r="C11" s="15">
        <f>D11/D22</f>
        <v>5.5084758175534543E-2</v>
      </c>
      <c r="D11" s="3">
        <f>'Sist. Especiais'!G2</f>
        <v>2399272</v>
      </c>
      <c r="E11" t="s">
        <v>160</v>
      </c>
    </row>
    <row r="12" spans="1:5" x14ac:dyDescent="0.25">
      <c r="A12" s="7" t="s">
        <v>161</v>
      </c>
      <c r="B12" s="4">
        <f>D12/DADOS_PROJETO!B5</f>
        <v>89.944437013332646</v>
      </c>
      <c r="C12" s="15">
        <f>D12/D22</f>
        <v>2.2385560407181974E-2</v>
      </c>
      <c r="D12" s="3">
        <f>Climatização!G2</f>
        <v>975025.58</v>
      </c>
      <c r="E12" t="s">
        <v>161</v>
      </c>
    </row>
    <row r="13" spans="1:5" x14ac:dyDescent="0.25">
      <c r="A13" s="7" t="s">
        <v>162</v>
      </c>
      <c r="B13" s="4">
        <f>D13/DADOS_PROJETO!B5</f>
        <v>131.67315787094648</v>
      </c>
      <c r="C13" s="15">
        <f>D13/D22</f>
        <v>3.2771092103089774E-2</v>
      </c>
      <c r="D13" s="3">
        <f>'Rev. Int. Parede'!G2</f>
        <v>1427377.8499999999</v>
      </c>
      <c r="E13" t="s">
        <v>162</v>
      </c>
    </row>
    <row r="14" spans="1:5" x14ac:dyDescent="0.25">
      <c r="A14" s="7" t="s">
        <v>163</v>
      </c>
      <c r="B14" s="4">
        <f>D14/DADOS_PROJETO!B5</f>
        <v>72.615635530718222</v>
      </c>
      <c r="C14" s="15">
        <f>D14/D22</f>
        <v>1.8072731896002028E-2</v>
      </c>
      <c r="D14" s="3">
        <f>Teto!G2</f>
        <v>787176</v>
      </c>
      <c r="E14" t="s">
        <v>163</v>
      </c>
    </row>
    <row r="15" spans="1:5" x14ac:dyDescent="0.25">
      <c r="A15" s="7" t="s">
        <v>164</v>
      </c>
      <c r="B15" s="4">
        <f>D15/DADOS_PROJETO!B5</f>
        <v>203.50780383586817</v>
      </c>
      <c r="C15" s="15">
        <f>D15/D22</f>
        <v>5.0649449675531068E-2</v>
      </c>
      <c r="D15" s="3">
        <f>Pisos!G2</f>
        <v>2206087.6809999999</v>
      </c>
      <c r="E15" t="s">
        <v>164</v>
      </c>
    </row>
    <row r="16" spans="1:5" x14ac:dyDescent="0.25">
      <c r="A16" s="7" t="s">
        <v>165</v>
      </c>
      <c r="B16" s="4">
        <f>D16/DADOS_PROJETO!B5</f>
        <v>154.64344100860586</v>
      </c>
      <c r="C16" s="15">
        <f>D16/D22</f>
        <v>3.8487984418196779E-2</v>
      </c>
      <c r="D16" s="3">
        <f>Pintura!G2</f>
        <v>1676382.84</v>
      </c>
      <c r="E16" t="s">
        <v>165</v>
      </c>
    </row>
    <row r="17" spans="1:5" x14ac:dyDescent="0.25">
      <c r="A17" s="7" t="s">
        <v>166</v>
      </c>
      <c r="B17" s="4">
        <f>D17/DADOS_PROJETO!B5</f>
        <v>373.75</v>
      </c>
      <c r="C17" s="15">
        <f>D17/D22</f>
        <v>9.3019685041155611E-2</v>
      </c>
      <c r="D17" s="3">
        <f>Esquadrias!G2</f>
        <v>4051565.8624999998</v>
      </c>
      <c r="E17" t="s">
        <v>166</v>
      </c>
    </row>
    <row r="18" spans="1:5" x14ac:dyDescent="0.25">
      <c r="A18" s="7" t="s">
        <v>167</v>
      </c>
      <c r="B18" s="4">
        <f>D18/DADOS_PROJETO!B5</f>
        <v>75.000004612414216</v>
      </c>
      <c r="C18" s="15">
        <f>D18/D22</f>
        <v>1.8666158681289603E-2</v>
      </c>
      <c r="D18" s="3">
        <f>'Louças e Metais'!G2</f>
        <v>813023.29999999993</v>
      </c>
      <c r="E18" t="s">
        <v>167</v>
      </c>
    </row>
    <row r="19" spans="1:5" x14ac:dyDescent="0.25">
      <c r="A19" s="7" t="s">
        <v>12</v>
      </c>
      <c r="B19" s="4">
        <f>D19/DADOS_PROJETO!B5</f>
        <v>237.14321822899899</v>
      </c>
      <c r="C19" s="15">
        <f>D19/D22</f>
        <v>5.9020702259016775E-2</v>
      </c>
      <c r="D19" s="3">
        <f>Fachada!G2</f>
        <v>2570706</v>
      </c>
      <c r="E19" t="s">
        <v>12</v>
      </c>
    </row>
    <row r="20" spans="1:5" x14ac:dyDescent="0.25">
      <c r="A20" s="7" t="s">
        <v>168</v>
      </c>
      <c r="B20" s="4">
        <f>D20/DADOS_PROJETO!B5</f>
        <v>244.99425938926103</v>
      </c>
      <c r="C20" s="15">
        <f>D20/D22</f>
        <v>6.0974685873659513E-2</v>
      </c>
      <c r="D20" s="3">
        <f>Complementares!G2</f>
        <v>2655813.7200000002</v>
      </c>
      <c r="E20" t="s">
        <v>168</v>
      </c>
    </row>
    <row r="21" spans="1:5" x14ac:dyDescent="0.25">
      <c r="A21" s="7" t="s">
        <v>169</v>
      </c>
      <c r="B21" s="4">
        <f>D21/DADOS_PROJETO!B5</f>
        <v>59.378836952079787</v>
      </c>
      <c r="C21" s="15">
        <f>D21/D22</f>
        <v>1.4778329662588881E-2</v>
      </c>
      <c r="D21" s="3">
        <f>Imprevistos!G2</f>
        <v>643685</v>
      </c>
      <c r="E21" t="s">
        <v>169</v>
      </c>
    </row>
    <row r="22" spans="1:5" x14ac:dyDescent="0.25">
      <c r="A22" s="16" t="s">
        <v>170</v>
      </c>
      <c r="B22" s="17">
        <f>D22/DADOS_PROJETO!B5</f>
        <v>4017.9667328978603</v>
      </c>
      <c r="D22" s="18">
        <f>SUM(D4:D21)</f>
        <v>43556004.954300001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G1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171</v>
      </c>
      <c r="B1" s="32"/>
      <c r="C1" s="32"/>
      <c r="D1" s="32"/>
      <c r="E1" s="32"/>
      <c r="G1" s="19" t="s">
        <v>172</v>
      </c>
    </row>
    <row r="2" spans="1:7" x14ac:dyDescent="0.25">
      <c r="G2" s="20">
        <f>F14</f>
        <v>8518891.2989000008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179</v>
      </c>
      <c r="B4" s="21" t="s">
        <v>180</v>
      </c>
      <c r="C4" s="3">
        <f>ROUND(INDICES!D5*DADOS_PROJETO!B5*0.22*INDICES!D31,0)</f>
        <v>596</v>
      </c>
      <c r="D4" s="21" t="s">
        <v>181</v>
      </c>
      <c r="E4" s="22">
        <v>590</v>
      </c>
      <c r="F4" s="3">
        <f t="shared" ref="F4:F13" si="0">C4*E4</f>
        <v>351640</v>
      </c>
      <c r="G4" s="23" t="s">
        <v>182</v>
      </c>
    </row>
    <row r="5" spans="1:7" x14ac:dyDescent="0.25">
      <c r="A5" s="21" t="s">
        <v>183</v>
      </c>
      <c r="B5" s="21" t="s">
        <v>180</v>
      </c>
      <c r="C5" s="3">
        <f>ROUND(INDICES!D5*DADOS_PROJETO!B5*INDICES!D33,0)</f>
        <v>813</v>
      </c>
      <c r="D5" s="21" t="s">
        <v>181</v>
      </c>
      <c r="E5" s="22">
        <v>590</v>
      </c>
      <c r="F5" s="3">
        <f t="shared" si="0"/>
        <v>479670</v>
      </c>
      <c r="G5" s="23" t="s">
        <v>184</v>
      </c>
    </row>
    <row r="6" spans="1:7" x14ac:dyDescent="0.25">
      <c r="A6" s="21" t="s">
        <v>185</v>
      </c>
      <c r="B6" s="21" t="s">
        <v>186</v>
      </c>
      <c r="C6" s="3">
        <f>ROUND(INDICES!D5*DADOS_PROJETO!B5*INDICES!D34,0)</f>
        <v>949</v>
      </c>
      <c r="D6" s="21" t="s">
        <v>181</v>
      </c>
      <c r="E6" s="4">
        <f>IF(INDICES!D10=40,690,590)</f>
        <v>590</v>
      </c>
      <c r="F6" s="3">
        <f t="shared" si="0"/>
        <v>559910</v>
      </c>
      <c r="G6" s="23" t="s">
        <v>187</v>
      </c>
    </row>
    <row r="7" spans="1:7" x14ac:dyDescent="0.25">
      <c r="A7" s="21" t="s">
        <v>188</v>
      </c>
      <c r="B7" s="21" t="s">
        <v>180</v>
      </c>
      <c r="C7" s="3">
        <f>ROUND(INDICES!D5*DADOS_PROJETO!B5*0.05,0)</f>
        <v>136</v>
      </c>
      <c r="D7" s="21" t="s">
        <v>181</v>
      </c>
      <c r="E7" s="22">
        <v>590</v>
      </c>
      <c r="F7" s="3">
        <f t="shared" si="0"/>
        <v>80240</v>
      </c>
      <c r="G7" s="23" t="s">
        <v>189</v>
      </c>
    </row>
    <row r="8" spans="1:7" x14ac:dyDescent="0.25">
      <c r="A8" s="21" t="s">
        <v>190</v>
      </c>
      <c r="B8" s="21" t="s">
        <v>191</v>
      </c>
      <c r="C8" s="3">
        <f>ROUND(INDICES!D5*DADOS_PROJETO!B5*0.05,0)</f>
        <v>136</v>
      </c>
      <c r="D8" s="21" t="s">
        <v>181</v>
      </c>
      <c r="E8" s="22">
        <v>590</v>
      </c>
      <c r="F8" s="3">
        <f t="shared" si="0"/>
        <v>80240</v>
      </c>
      <c r="G8" s="23" t="s">
        <v>189</v>
      </c>
    </row>
    <row r="9" spans="1:7" x14ac:dyDescent="0.25">
      <c r="A9" s="21" t="s">
        <v>192</v>
      </c>
      <c r="B9" s="21" t="s">
        <v>31</v>
      </c>
      <c r="C9" s="3">
        <f>ROUND(INDICES!D6*INDICES!D5*DADOS_PROJETO!B5,0)</f>
        <v>287268</v>
      </c>
      <c r="D9" s="21" t="s">
        <v>193</v>
      </c>
      <c r="E9" s="22">
        <v>8.67</v>
      </c>
      <c r="F9" s="3">
        <f t="shared" si="0"/>
        <v>2490613.56</v>
      </c>
      <c r="G9" s="23" t="s">
        <v>194</v>
      </c>
    </row>
    <row r="10" spans="1:7" x14ac:dyDescent="0.25">
      <c r="A10" s="21" t="s">
        <v>195</v>
      </c>
      <c r="B10" s="21" t="s">
        <v>196</v>
      </c>
      <c r="C10" s="3">
        <f>ROUND(INDICES!D7*DADOS_PROJETO!B5*0.65,0)</f>
        <v>0</v>
      </c>
      <c r="D10" s="21" t="s">
        <v>193</v>
      </c>
      <c r="E10" s="22">
        <v>22</v>
      </c>
      <c r="F10" s="3">
        <f t="shared" si="0"/>
        <v>0</v>
      </c>
      <c r="G10" s="23" t="s">
        <v>197</v>
      </c>
    </row>
    <row r="11" spans="1:7" x14ac:dyDescent="0.25">
      <c r="A11" s="21" t="s">
        <v>198</v>
      </c>
      <c r="B11" s="21" t="s">
        <v>199</v>
      </c>
      <c r="C11" s="3">
        <f>ROUND(INDICES!D8*INDICES!D5*DADOS_PROJETO!B5,0)</f>
        <v>19296</v>
      </c>
      <c r="D11" s="21" t="s">
        <v>200</v>
      </c>
      <c r="E11" s="22">
        <v>88.07</v>
      </c>
      <c r="F11" s="3">
        <f t="shared" si="0"/>
        <v>1699398.72</v>
      </c>
      <c r="G11" s="23" t="s">
        <v>201</v>
      </c>
    </row>
    <row r="12" spans="1:7" x14ac:dyDescent="0.25">
      <c r="A12" s="21" t="s">
        <v>202</v>
      </c>
      <c r="B12" s="21" t="s">
        <v>203</v>
      </c>
      <c r="C12" s="3">
        <f>ROUND(DADOS_PROJETO!B5*0.65,0)</f>
        <v>7046</v>
      </c>
      <c r="D12" s="21" t="s">
        <v>200</v>
      </c>
      <c r="E12" s="4">
        <f>INDICES!D9</f>
        <v>0</v>
      </c>
      <c r="F12" s="3">
        <f t="shared" si="0"/>
        <v>0</v>
      </c>
      <c r="G12" s="23" t="s">
        <v>204</v>
      </c>
    </row>
    <row r="13" spans="1:7" x14ac:dyDescent="0.25">
      <c r="A13" s="21" t="s">
        <v>205</v>
      </c>
      <c r="B13" s="21" t="s">
        <v>206</v>
      </c>
      <c r="C13" s="3">
        <f>DADOS_PROJETO!B5</f>
        <v>10840.31</v>
      </c>
      <c r="D13" s="21" t="s">
        <v>200</v>
      </c>
      <c r="E13" s="4">
        <f>ROUND((SUM(F4:F12)*0.326/0.674)/DADOS_PROJETO!B5,2)</f>
        <v>256.19</v>
      </c>
      <c r="F13" s="3">
        <f t="shared" si="0"/>
        <v>2777179.0189</v>
      </c>
      <c r="G13" s="23" t="s">
        <v>207</v>
      </c>
    </row>
    <row r="14" spans="1:7" x14ac:dyDescent="0.25">
      <c r="A14" s="24" t="s">
        <v>170</v>
      </c>
      <c r="F14" s="18">
        <f>SUM(F4:F13)</f>
        <v>8518891.2989000008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G13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208</v>
      </c>
      <c r="B1" s="32"/>
      <c r="C1" s="32"/>
      <c r="D1" s="32"/>
      <c r="E1" s="32"/>
      <c r="G1" s="19" t="s">
        <v>172</v>
      </c>
    </row>
    <row r="2" spans="1:7" x14ac:dyDescent="0.25">
      <c r="G2" s="20">
        <f>F13</f>
        <v>1664206.26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209</v>
      </c>
      <c r="B4" s="21" t="s">
        <v>210</v>
      </c>
      <c r="C4" s="3">
        <f>ROUND(INDICES!D11*INDICES!D12,0)</f>
        <v>2610</v>
      </c>
      <c r="D4" s="21" t="s">
        <v>97</v>
      </c>
      <c r="E4" s="22">
        <v>82</v>
      </c>
      <c r="F4" s="3">
        <f t="shared" ref="F4:F12" si="0">C4*E4</f>
        <v>214020</v>
      </c>
      <c r="G4" s="23" t="s">
        <v>211</v>
      </c>
    </row>
    <row r="5" spans="1:7" x14ac:dyDescent="0.25">
      <c r="A5" s="21" t="s">
        <v>212</v>
      </c>
      <c r="B5" s="21" t="s">
        <v>180</v>
      </c>
      <c r="C5" s="3">
        <f>ROUND(INDICES!D11*3.14159*0.04*INDICES!D12,0)</f>
        <v>328</v>
      </c>
      <c r="D5" s="21" t="s">
        <v>181</v>
      </c>
      <c r="E5" s="22">
        <v>632</v>
      </c>
      <c r="F5" s="3">
        <f t="shared" si="0"/>
        <v>207296</v>
      </c>
      <c r="G5" s="23" t="s">
        <v>213</v>
      </c>
    </row>
    <row r="6" spans="1:7" x14ac:dyDescent="0.25">
      <c r="A6" s="21" t="s">
        <v>214</v>
      </c>
      <c r="B6" s="21" t="s">
        <v>215</v>
      </c>
      <c r="C6" s="3">
        <f>ROUND(0.02*DADOS_PROJETO!B5,0)</f>
        <v>217</v>
      </c>
      <c r="D6" s="21" t="s">
        <v>181</v>
      </c>
      <c r="E6" s="22">
        <v>590</v>
      </c>
      <c r="F6" s="3">
        <f t="shared" si="0"/>
        <v>128030</v>
      </c>
      <c r="G6" s="23" t="s">
        <v>216</v>
      </c>
    </row>
    <row r="7" spans="1:7" x14ac:dyDescent="0.25">
      <c r="A7" s="21" t="s">
        <v>192</v>
      </c>
      <c r="B7" s="21" t="s">
        <v>35</v>
      </c>
      <c r="C7" s="3">
        <f>ROUND(90*(C5+C6),0)</f>
        <v>49050</v>
      </c>
      <c r="D7" s="21" t="s">
        <v>193</v>
      </c>
      <c r="E7" s="22">
        <v>8.77</v>
      </c>
      <c r="F7" s="3">
        <f t="shared" si="0"/>
        <v>430168.5</v>
      </c>
      <c r="G7" s="23" t="s">
        <v>217</v>
      </c>
    </row>
    <row r="8" spans="1:7" x14ac:dyDescent="0.25">
      <c r="A8" s="21" t="s">
        <v>198</v>
      </c>
      <c r="B8" s="21" t="s">
        <v>218</v>
      </c>
      <c r="C8" s="3">
        <f>ROUND(0.1*DADOS_PROJETO!B5,0)</f>
        <v>1084</v>
      </c>
      <c r="D8" s="21" t="s">
        <v>200</v>
      </c>
      <c r="E8" s="22">
        <v>45.64</v>
      </c>
      <c r="F8" s="3">
        <f t="shared" si="0"/>
        <v>49473.760000000002</v>
      </c>
      <c r="G8" s="23" t="s">
        <v>219</v>
      </c>
    </row>
    <row r="9" spans="1:7" x14ac:dyDescent="0.25">
      <c r="A9" s="21" t="s">
        <v>220</v>
      </c>
      <c r="B9" s="21" t="s">
        <v>221</v>
      </c>
      <c r="C9" s="3">
        <f>INDICES!D11</f>
        <v>145</v>
      </c>
      <c r="D9" s="21" t="s">
        <v>94</v>
      </c>
      <c r="E9" s="22">
        <v>65</v>
      </c>
      <c r="F9" s="3">
        <f t="shared" si="0"/>
        <v>9425</v>
      </c>
      <c r="G9" s="23" t="s">
        <v>222</v>
      </c>
    </row>
    <row r="10" spans="1:7" x14ac:dyDescent="0.25">
      <c r="A10" s="21" t="s">
        <v>223</v>
      </c>
      <c r="B10" s="21" t="s">
        <v>224</v>
      </c>
      <c r="C10" s="25">
        <v>1</v>
      </c>
      <c r="D10" s="21" t="s">
        <v>225</v>
      </c>
      <c r="E10" s="22">
        <v>35000</v>
      </c>
      <c r="F10" s="3">
        <f t="shared" si="0"/>
        <v>35000</v>
      </c>
      <c r="G10" s="23" t="s">
        <v>226</v>
      </c>
    </row>
    <row r="11" spans="1:7" x14ac:dyDescent="0.25">
      <c r="A11" s="21" t="s">
        <v>227</v>
      </c>
      <c r="B11" s="21" t="s">
        <v>228</v>
      </c>
      <c r="C11" s="25">
        <v>1</v>
      </c>
      <c r="D11" s="21" t="s">
        <v>225</v>
      </c>
      <c r="E11" s="4">
        <f>ROUND(SUM(F4:F10)*0.355/0.645,0)</f>
        <v>590793</v>
      </c>
      <c r="F11" s="3">
        <f t="shared" si="0"/>
        <v>590793</v>
      </c>
      <c r="G11" s="23" t="s">
        <v>229</v>
      </c>
    </row>
    <row r="12" spans="1:7" x14ac:dyDescent="0.25">
      <c r="A12" s="21" t="s">
        <v>230</v>
      </c>
      <c r="B12" s="21" t="s">
        <v>231</v>
      </c>
      <c r="C12" s="25">
        <v>1</v>
      </c>
      <c r="D12" s="21" t="s">
        <v>225</v>
      </c>
      <c r="E12" s="4">
        <f>INDICES!D24</f>
        <v>0</v>
      </c>
      <c r="F12" s="3">
        <f t="shared" si="0"/>
        <v>0</v>
      </c>
      <c r="G12" s="23" t="s">
        <v>232</v>
      </c>
    </row>
    <row r="13" spans="1:7" x14ac:dyDescent="0.25">
      <c r="A13" s="24" t="s">
        <v>170</v>
      </c>
      <c r="F13" s="18">
        <f>SUM(F4:F12)</f>
        <v>1664206.26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233</v>
      </c>
      <c r="B1" s="32"/>
      <c r="C1" s="32"/>
      <c r="D1" s="32"/>
      <c r="E1" s="32"/>
      <c r="G1" s="19" t="s">
        <v>172</v>
      </c>
    </row>
    <row r="2" spans="1:7" x14ac:dyDescent="0.25">
      <c r="G2" s="20">
        <f>F5</f>
        <v>184285.27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234</v>
      </c>
      <c r="B4" s="21" t="s">
        <v>235</v>
      </c>
      <c r="C4" s="3">
        <f>DADOS_PROJETO!B5</f>
        <v>10840.31</v>
      </c>
      <c r="D4" s="21" t="s">
        <v>200</v>
      </c>
      <c r="E4" s="4">
        <f>INDICES!D25</f>
        <v>17</v>
      </c>
      <c r="F4" s="3">
        <f>C4*E4</f>
        <v>184285.27</v>
      </c>
      <c r="G4" s="23" t="s">
        <v>236</v>
      </c>
    </row>
    <row r="5" spans="1:7" x14ac:dyDescent="0.25">
      <c r="A5" s="24" t="s">
        <v>170</v>
      </c>
      <c r="F5" s="18">
        <f>SUM(F4:F4)</f>
        <v>184285.27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67E22"/>
  </sheetPr>
  <dimension ref="A1:G2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237</v>
      </c>
      <c r="B1" s="32"/>
      <c r="C1" s="32"/>
      <c r="D1" s="32"/>
      <c r="E1" s="32"/>
      <c r="G1" s="19" t="s">
        <v>172</v>
      </c>
    </row>
    <row r="2" spans="1:7" x14ac:dyDescent="0.25">
      <c r="G2" s="20">
        <f>F24</f>
        <v>5078256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238</v>
      </c>
      <c r="B4" s="21" t="s">
        <v>239</v>
      </c>
      <c r="C4" s="25">
        <v>1</v>
      </c>
      <c r="D4" s="21" t="s">
        <v>225</v>
      </c>
      <c r="E4" s="22">
        <v>650000</v>
      </c>
      <c r="F4" s="3">
        <f t="shared" ref="F4:F23" si="0">C4*E4</f>
        <v>650000</v>
      </c>
      <c r="G4" s="23" t="s">
        <v>240</v>
      </c>
    </row>
    <row r="5" spans="1:7" x14ac:dyDescent="0.25">
      <c r="A5" s="21" t="s">
        <v>241</v>
      </c>
      <c r="B5" s="21" t="s">
        <v>242</v>
      </c>
      <c r="C5" s="25">
        <v>1</v>
      </c>
      <c r="D5" s="21" t="s">
        <v>225</v>
      </c>
      <c r="E5" s="22">
        <v>180000</v>
      </c>
      <c r="F5" s="3">
        <f t="shared" si="0"/>
        <v>180000</v>
      </c>
      <c r="G5" s="23" t="s">
        <v>240</v>
      </c>
    </row>
    <row r="6" spans="1:7" x14ac:dyDescent="0.25">
      <c r="A6" s="21" t="s">
        <v>243</v>
      </c>
      <c r="B6" s="21" t="s">
        <v>244</v>
      </c>
      <c r="C6" s="25">
        <v>1</v>
      </c>
      <c r="D6" s="21" t="s">
        <v>225</v>
      </c>
      <c r="E6" s="22">
        <v>130000</v>
      </c>
      <c r="F6" s="3">
        <f t="shared" si="0"/>
        <v>130000</v>
      </c>
      <c r="G6" s="23" t="s">
        <v>240</v>
      </c>
    </row>
    <row r="7" spans="1:7" x14ac:dyDescent="0.25">
      <c r="A7" s="21" t="s">
        <v>245</v>
      </c>
      <c r="B7" s="21" t="s">
        <v>246</v>
      </c>
      <c r="C7" s="25">
        <v>1</v>
      </c>
      <c r="D7" s="21" t="s">
        <v>225</v>
      </c>
      <c r="E7" s="22">
        <v>380000</v>
      </c>
      <c r="F7" s="3">
        <f t="shared" si="0"/>
        <v>380000</v>
      </c>
      <c r="G7" s="23" t="s">
        <v>240</v>
      </c>
    </row>
    <row r="8" spans="1:7" x14ac:dyDescent="0.25">
      <c r="A8" s="21" t="s">
        <v>247</v>
      </c>
      <c r="B8" s="21" t="s">
        <v>248</v>
      </c>
      <c r="C8" s="3">
        <f>DADOS_PROJETO!B11</f>
        <v>36</v>
      </c>
      <c r="D8" s="21" t="s">
        <v>249</v>
      </c>
      <c r="E8" s="22">
        <v>10500</v>
      </c>
      <c r="F8" s="3">
        <f t="shared" si="0"/>
        <v>378000</v>
      </c>
      <c r="G8" s="23" t="s">
        <v>250</v>
      </c>
    </row>
    <row r="9" spans="1:7" x14ac:dyDescent="0.25">
      <c r="A9" s="21" t="s">
        <v>251</v>
      </c>
      <c r="B9" s="21" t="s">
        <v>248</v>
      </c>
      <c r="C9" s="3">
        <f>DADOS_PROJETO!B11</f>
        <v>36</v>
      </c>
      <c r="D9" s="21" t="s">
        <v>249</v>
      </c>
      <c r="E9" s="22">
        <v>9940</v>
      </c>
      <c r="F9" s="3">
        <f t="shared" si="0"/>
        <v>357840</v>
      </c>
      <c r="G9" s="23" t="s">
        <v>252</v>
      </c>
    </row>
    <row r="10" spans="1:7" x14ac:dyDescent="0.25">
      <c r="A10" s="21" t="s">
        <v>253</v>
      </c>
      <c r="B10" s="21" t="s">
        <v>248</v>
      </c>
      <c r="C10" s="3">
        <f>DADOS_PROJETO!B11</f>
        <v>36</v>
      </c>
      <c r="D10" s="21" t="s">
        <v>249</v>
      </c>
      <c r="E10" s="22">
        <v>8000</v>
      </c>
      <c r="F10" s="3">
        <f t="shared" si="0"/>
        <v>288000</v>
      </c>
      <c r="G10" s="23" t="s">
        <v>254</v>
      </c>
    </row>
    <row r="11" spans="1:7" x14ac:dyDescent="0.25">
      <c r="A11" s="21" t="s">
        <v>255</v>
      </c>
      <c r="B11" s="21" t="s">
        <v>256</v>
      </c>
      <c r="C11" s="3">
        <f>DADOS_PROJETO!B11*2</f>
        <v>72</v>
      </c>
      <c r="D11" s="21" t="s">
        <v>249</v>
      </c>
      <c r="E11" s="22">
        <v>1580</v>
      </c>
      <c r="F11" s="3">
        <f t="shared" si="0"/>
        <v>113760</v>
      </c>
      <c r="G11" s="23" t="s">
        <v>257</v>
      </c>
    </row>
    <row r="12" spans="1:7" x14ac:dyDescent="0.25">
      <c r="A12" s="21" t="s">
        <v>258</v>
      </c>
      <c r="B12" s="21" t="s">
        <v>248</v>
      </c>
      <c r="C12" s="3">
        <f>DADOS_PROJETO!B11</f>
        <v>36</v>
      </c>
      <c r="D12" s="21" t="s">
        <v>249</v>
      </c>
      <c r="E12" s="22">
        <v>6000</v>
      </c>
      <c r="F12" s="3">
        <f t="shared" si="0"/>
        <v>216000</v>
      </c>
      <c r="G12" s="23" t="s">
        <v>259</v>
      </c>
    </row>
    <row r="13" spans="1:7" x14ac:dyDescent="0.25">
      <c r="A13" s="21" t="s">
        <v>260</v>
      </c>
      <c r="B13" s="21" t="s">
        <v>248</v>
      </c>
      <c r="C13" s="3">
        <f>DADOS_PROJETO!B11</f>
        <v>36</v>
      </c>
      <c r="D13" s="21" t="s">
        <v>249</v>
      </c>
      <c r="E13" s="22">
        <v>3377</v>
      </c>
      <c r="F13" s="3">
        <f t="shared" si="0"/>
        <v>121572</v>
      </c>
      <c r="G13" s="23" t="s">
        <v>261</v>
      </c>
    </row>
    <row r="14" spans="1:7" x14ac:dyDescent="0.25">
      <c r="A14" s="21" t="s">
        <v>262</v>
      </c>
      <c r="B14" s="21" t="s">
        <v>256</v>
      </c>
      <c r="C14" s="3">
        <f>DADOS_PROJETO!B11*2</f>
        <v>72</v>
      </c>
      <c r="D14" s="21" t="s">
        <v>249</v>
      </c>
      <c r="E14" s="22">
        <v>2500</v>
      </c>
      <c r="F14" s="3">
        <f t="shared" si="0"/>
        <v>180000</v>
      </c>
      <c r="G14" s="23" t="s">
        <v>263</v>
      </c>
    </row>
    <row r="15" spans="1:7" x14ac:dyDescent="0.25">
      <c r="A15" s="21" t="s">
        <v>264</v>
      </c>
      <c r="B15" s="21" t="s">
        <v>248</v>
      </c>
      <c r="C15" s="3">
        <f>DADOS_PROJETO!B11</f>
        <v>36</v>
      </c>
      <c r="D15" s="21" t="s">
        <v>249</v>
      </c>
      <c r="E15" s="22">
        <v>15261</v>
      </c>
      <c r="F15" s="3">
        <f t="shared" si="0"/>
        <v>549396</v>
      </c>
      <c r="G15" s="23" t="s">
        <v>265</v>
      </c>
    </row>
    <row r="16" spans="1:7" x14ac:dyDescent="0.25">
      <c r="A16" s="21" t="s">
        <v>266</v>
      </c>
      <c r="B16" s="21" t="s">
        <v>267</v>
      </c>
      <c r="C16" s="25">
        <v>1</v>
      </c>
      <c r="D16" s="21" t="s">
        <v>225</v>
      </c>
      <c r="E16" s="4">
        <f>IF(DADOS_PROJETO!B5&lt;5000,150000,IF(DADOS_PROJETO!B5&lt;15000,300000,500000))</f>
        <v>300000</v>
      </c>
      <c r="F16" s="3">
        <f t="shared" si="0"/>
        <v>300000</v>
      </c>
      <c r="G16" s="23" t="s">
        <v>268</v>
      </c>
    </row>
    <row r="17" spans="1:7" x14ac:dyDescent="0.25">
      <c r="A17" s="21" t="s">
        <v>269</v>
      </c>
      <c r="B17" s="21" t="s">
        <v>270</v>
      </c>
      <c r="C17" s="3">
        <f>DADOS_PROJETO!B11</f>
        <v>36</v>
      </c>
      <c r="D17" s="21" t="s">
        <v>249</v>
      </c>
      <c r="E17" s="22">
        <v>908</v>
      </c>
      <c r="F17" s="3">
        <f t="shared" si="0"/>
        <v>32688</v>
      </c>
      <c r="G17" s="23" t="s">
        <v>271</v>
      </c>
    </row>
    <row r="18" spans="1:7" x14ac:dyDescent="0.25">
      <c r="A18" s="21" t="s">
        <v>272</v>
      </c>
      <c r="B18" s="21" t="s">
        <v>273</v>
      </c>
      <c r="C18" s="25">
        <v>1</v>
      </c>
      <c r="D18" s="21" t="s">
        <v>225</v>
      </c>
      <c r="E18" s="22">
        <v>45000</v>
      </c>
      <c r="F18" s="3">
        <f t="shared" si="0"/>
        <v>45000</v>
      </c>
      <c r="G18" s="23" t="s">
        <v>240</v>
      </c>
    </row>
    <row r="19" spans="1:7" x14ac:dyDescent="0.25">
      <c r="A19" s="21" t="s">
        <v>274</v>
      </c>
      <c r="B19" s="21" t="s">
        <v>275</v>
      </c>
      <c r="C19" s="25">
        <v>1</v>
      </c>
      <c r="D19" s="21" t="s">
        <v>225</v>
      </c>
      <c r="E19" s="22">
        <v>55000</v>
      </c>
      <c r="F19" s="3">
        <f t="shared" si="0"/>
        <v>55000</v>
      </c>
      <c r="G19" s="23" t="s">
        <v>240</v>
      </c>
    </row>
    <row r="20" spans="1:7" x14ac:dyDescent="0.25">
      <c r="A20" s="21" t="s">
        <v>276</v>
      </c>
      <c r="B20" s="21" t="s">
        <v>277</v>
      </c>
      <c r="C20" s="25">
        <v>1</v>
      </c>
      <c r="D20" s="21" t="s">
        <v>225</v>
      </c>
      <c r="E20" s="22">
        <v>160000</v>
      </c>
      <c r="F20" s="3">
        <f t="shared" si="0"/>
        <v>160000</v>
      </c>
      <c r="G20" s="23" t="s">
        <v>240</v>
      </c>
    </row>
    <row r="21" spans="1:7" x14ac:dyDescent="0.25">
      <c r="A21" s="21" t="s">
        <v>278</v>
      </c>
      <c r="B21" s="21" t="s">
        <v>279</v>
      </c>
      <c r="C21" s="3">
        <f>DADOS_PROJETO!B11</f>
        <v>36</v>
      </c>
      <c r="D21" s="21" t="s">
        <v>249</v>
      </c>
      <c r="E21" s="22">
        <v>11500</v>
      </c>
      <c r="F21" s="3">
        <f t="shared" si="0"/>
        <v>414000</v>
      </c>
      <c r="G21" s="23" t="s">
        <v>280</v>
      </c>
    </row>
    <row r="22" spans="1:7" x14ac:dyDescent="0.25">
      <c r="A22" s="21" t="s">
        <v>281</v>
      </c>
      <c r="B22" s="21" t="s">
        <v>282</v>
      </c>
      <c r="C22" s="25">
        <v>1</v>
      </c>
      <c r="D22" s="21" t="s">
        <v>225</v>
      </c>
      <c r="E22" s="22">
        <v>480000</v>
      </c>
      <c r="F22" s="3">
        <f t="shared" si="0"/>
        <v>480000</v>
      </c>
      <c r="G22" s="23" t="s">
        <v>283</v>
      </c>
    </row>
    <row r="23" spans="1:7" x14ac:dyDescent="0.25">
      <c r="A23" s="21" t="s">
        <v>284</v>
      </c>
      <c r="B23" s="21" t="s">
        <v>285</v>
      </c>
      <c r="C23" s="25">
        <v>1</v>
      </c>
      <c r="D23" s="21" t="s">
        <v>225</v>
      </c>
      <c r="E23" s="22">
        <v>47000</v>
      </c>
      <c r="F23" s="3">
        <f t="shared" si="0"/>
        <v>47000</v>
      </c>
      <c r="G23" s="23" t="s">
        <v>286</v>
      </c>
    </row>
    <row r="24" spans="1:7" x14ac:dyDescent="0.25">
      <c r="A24" s="24" t="s">
        <v>170</v>
      </c>
      <c r="F24" s="18">
        <f>SUM(F4:F23)</f>
        <v>5078256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7E22"/>
  </sheetPr>
  <dimension ref="A1:G9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287</v>
      </c>
      <c r="B1" s="32"/>
      <c r="C1" s="32"/>
      <c r="D1" s="32"/>
      <c r="E1" s="32"/>
      <c r="G1" s="19" t="s">
        <v>172</v>
      </c>
    </row>
    <row r="2" spans="1:7" x14ac:dyDescent="0.25">
      <c r="G2" s="20">
        <f>F9</f>
        <v>1968312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288</v>
      </c>
      <c r="B4" s="21" t="s">
        <v>289</v>
      </c>
      <c r="C4" s="3">
        <f>ROUND(INDICES!D13*DADOS_PROJETO!B5*0.4,0)</f>
        <v>9756</v>
      </c>
      <c r="D4" s="21" t="s">
        <v>200</v>
      </c>
      <c r="E4" s="22">
        <v>32.950000000000003</v>
      </c>
      <c r="F4" s="3">
        <f>C4*E4</f>
        <v>321460.2</v>
      </c>
      <c r="G4" s="23" t="s">
        <v>290</v>
      </c>
    </row>
    <row r="5" spans="1:7" x14ac:dyDescent="0.25">
      <c r="A5" s="21" t="s">
        <v>291</v>
      </c>
      <c r="B5" s="21" t="s">
        <v>292</v>
      </c>
      <c r="C5" s="3">
        <f>ROUND(INDICES!D13*DADOS_PROJETO!B5*0.25,0)</f>
        <v>6098</v>
      </c>
      <c r="D5" s="21" t="s">
        <v>200</v>
      </c>
      <c r="E5" s="22">
        <v>156</v>
      </c>
      <c r="F5" s="3">
        <f>C5*E5</f>
        <v>951288</v>
      </c>
      <c r="G5" s="23" t="s">
        <v>293</v>
      </c>
    </row>
    <row r="6" spans="1:7" x14ac:dyDescent="0.25">
      <c r="A6" s="21" t="s">
        <v>294</v>
      </c>
      <c r="B6" s="21" t="s">
        <v>295</v>
      </c>
      <c r="C6" s="3">
        <f>ROUND(INDICES!D13*DADOS_PROJETO!B5*0.08,0)</f>
        <v>1951</v>
      </c>
      <c r="D6" s="21" t="s">
        <v>200</v>
      </c>
      <c r="E6" s="22">
        <v>195</v>
      </c>
      <c r="F6" s="3">
        <f>C6*E6</f>
        <v>380445</v>
      </c>
      <c r="G6" s="23" t="s">
        <v>296</v>
      </c>
    </row>
    <row r="7" spans="1:7" x14ac:dyDescent="0.25">
      <c r="A7" s="21" t="s">
        <v>297</v>
      </c>
      <c r="B7" s="21" t="s">
        <v>298</v>
      </c>
      <c r="C7" s="3">
        <f>ROUND(INDICES!D13*DADOS_PROJETO!B5*0.4,0)</f>
        <v>9756</v>
      </c>
      <c r="D7" s="21" t="s">
        <v>200</v>
      </c>
      <c r="E7" s="22">
        <v>3.8</v>
      </c>
      <c r="F7" s="3">
        <f>C7*E7</f>
        <v>37072.799999999996</v>
      </c>
      <c r="G7" s="23" t="s">
        <v>299</v>
      </c>
    </row>
    <row r="8" spans="1:7" x14ac:dyDescent="0.25">
      <c r="A8" s="21" t="s">
        <v>300</v>
      </c>
      <c r="B8" s="21" t="s">
        <v>301</v>
      </c>
      <c r="C8" s="3">
        <f>ROUND(INDICES!D13*DADOS_PROJETO!B5*0.4,0)</f>
        <v>9756</v>
      </c>
      <c r="D8" s="21" t="s">
        <v>200</v>
      </c>
      <c r="E8" s="22">
        <v>28.5</v>
      </c>
      <c r="F8" s="3">
        <f>C8*E8</f>
        <v>278046</v>
      </c>
      <c r="G8" s="23" t="s">
        <v>302</v>
      </c>
    </row>
    <row r="9" spans="1:7" x14ac:dyDescent="0.25">
      <c r="A9" s="24" t="s">
        <v>170</v>
      </c>
      <c r="F9" s="18">
        <f>SUM(F4:F8)</f>
        <v>1968312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67E22"/>
  </sheetPr>
  <dimension ref="A1:G9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303</v>
      </c>
      <c r="B1" s="32"/>
      <c r="C1" s="32"/>
      <c r="D1" s="32"/>
      <c r="E1" s="32"/>
      <c r="G1" s="19" t="s">
        <v>172</v>
      </c>
    </row>
    <row r="2" spans="1:7" x14ac:dyDescent="0.25">
      <c r="G2" s="20">
        <f>F9</f>
        <v>770638.98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304</v>
      </c>
      <c r="B4" s="21" t="s">
        <v>305</v>
      </c>
      <c r="C4" s="3">
        <f>ROUND(INDICES!D19*DADOS_PROJETO!B5,0)</f>
        <v>4336</v>
      </c>
      <c r="D4" s="21" t="s">
        <v>200</v>
      </c>
      <c r="E4" s="22">
        <v>82.11</v>
      </c>
      <c r="F4" s="3">
        <f>C4*E4</f>
        <v>356028.96</v>
      </c>
      <c r="G4" s="23" t="s">
        <v>306</v>
      </c>
    </row>
    <row r="5" spans="1:7" x14ac:dyDescent="0.25">
      <c r="A5" s="21" t="s">
        <v>307</v>
      </c>
      <c r="B5" s="21" t="s">
        <v>308</v>
      </c>
      <c r="C5" s="3">
        <f>ROUND(INDICES!D19*DADOS_PROJETO!B5*0.3,0)</f>
        <v>1301</v>
      </c>
      <c r="D5" s="21" t="s">
        <v>200</v>
      </c>
      <c r="E5" s="22">
        <v>8.5</v>
      </c>
      <c r="F5" s="3">
        <f>C5*E5</f>
        <v>11058.5</v>
      </c>
      <c r="G5" s="23" t="s">
        <v>299</v>
      </c>
    </row>
    <row r="6" spans="1:7" x14ac:dyDescent="0.25">
      <c r="A6" s="21" t="s">
        <v>309</v>
      </c>
      <c r="B6" s="21" t="s">
        <v>310</v>
      </c>
      <c r="C6" s="3">
        <f>ROUND(INDICES!D19*DADOS_PROJETO!B5,0)</f>
        <v>4336</v>
      </c>
      <c r="D6" s="21" t="s">
        <v>200</v>
      </c>
      <c r="E6" s="22">
        <v>5.57</v>
      </c>
      <c r="F6" s="3">
        <f>C6*E6</f>
        <v>24151.52</v>
      </c>
      <c r="G6" s="23" t="s">
        <v>311</v>
      </c>
    </row>
    <row r="7" spans="1:7" x14ac:dyDescent="0.25">
      <c r="A7" s="21" t="s">
        <v>312</v>
      </c>
      <c r="B7" s="21" t="s">
        <v>301</v>
      </c>
      <c r="C7" s="3">
        <f>ROUND(INDICES!D19*DADOS_PROJETO!B5,0)</f>
        <v>4336</v>
      </c>
      <c r="D7" s="21" t="s">
        <v>200</v>
      </c>
      <c r="E7" s="22">
        <v>68</v>
      </c>
      <c r="F7" s="3">
        <f>C7*E7</f>
        <v>294848</v>
      </c>
      <c r="G7" s="23" t="s">
        <v>313</v>
      </c>
    </row>
    <row r="8" spans="1:7" x14ac:dyDescent="0.25">
      <c r="A8" s="21" t="s">
        <v>314</v>
      </c>
      <c r="B8" s="21" t="s">
        <v>301</v>
      </c>
      <c r="C8" s="3">
        <f>ROUND(INDICES!D19*DADOS_PROJETO!B5,0)</f>
        <v>4336</v>
      </c>
      <c r="D8" s="21" t="s">
        <v>200</v>
      </c>
      <c r="E8" s="22">
        <v>19.5</v>
      </c>
      <c r="F8" s="3">
        <f>C8*E8</f>
        <v>84552</v>
      </c>
      <c r="G8" s="23" t="s">
        <v>315</v>
      </c>
    </row>
    <row r="9" spans="1:7" x14ac:dyDescent="0.25">
      <c r="A9" s="24" t="s">
        <v>170</v>
      </c>
      <c r="F9" s="18">
        <f>SUM(F4:F8)</f>
        <v>770638.98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67E22"/>
  </sheetPr>
  <dimension ref="A1:G11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316</v>
      </c>
      <c r="B1" s="32"/>
      <c r="C1" s="32"/>
      <c r="D1" s="32"/>
      <c r="E1" s="32"/>
      <c r="G1" s="19" t="s">
        <v>172</v>
      </c>
    </row>
    <row r="2" spans="1:7" x14ac:dyDescent="0.25">
      <c r="G2" s="20">
        <f>F11</f>
        <v>5165299.3119000001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317</v>
      </c>
      <c r="B4" s="21" t="s">
        <v>318</v>
      </c>
      <c r="C4" s="3">
        <f>DADOS_PROJETO!B5</f>
        <v>10840.31</v>
      </c>
      <c r="D4" s="21" t="s">
        <v>200</v>
      </c>
      <c r="E4" s="4">
        <f>ROUND(130*(DADOS_PROJETO!B12/2752.67)/1.1*0.618*INDICES!D27,2)</f>
        <v>102.15</v>
      </c>
      <c r="F4" s="3">
        <f t="shared" ref="F4:F10" si="0">C4*E4</f>
        <v>1107337.6665000001</v>
      </c>
      <c r="G4" s="23" t="s">
        <v>319</v>
      </c>
    </row>
    <row r="5" spans="1:7" x14ac:dyDescent="0.25">
      <c r="A5" s="21" t="s">
        <v>320</v>
      </c>
      <c r="B5" s="21" t="s">
        <v>301</v>
      </c>
      <c r="C5" s="3">
        <f>DADOS_PROJETO!B5</f>
        <v>10840.31</v>
      </c>
      <c r="D5" s="21" t="s">
        <v>200</v>
      </c>
      <c r="E5" s="4">
        <f>ROUND(130*(DADOS_PROJETO!B12/2752.67)/1.1*0.382*INDICES!D27,2)</f>
        <v>63.14</v>
      </c>
      <c r="F5" s="3">
        <f t="shared" si="0"/>
        <v>684457.17339999997</v>
      </c>
      <c r="G5" s="23" t="s">
        <v>321</v>
      </c>
    </row>
    <row r="6" spans="1:7" x14ac:dyDescent="0.25">
      <c r="A6" s="21" t="s">
        <v>322</v>
      </c>
      <c r="B6" s="21" t="s">
        <v>323</v>
      </c>
      <c r="C6" s="3">
        <f>DADOS_PROJETO!B5</f>
        <v>10840.31</v>
      </c>
      <c r="D6" s="21" t="s">
        <v>200</v>
      </c>
      <c r="E6" s="4">
        <f>ROUND(145*(DADOS_PROJETO!B12/2752.67)/1.1*0.66*INDICES!D35,2)</f>
        <v>139.93</v>
      </c>
      <c r="F6" s="3">
        <f t="shared" si="0"/>
        <v>1516884.5782999999</v>
      </c>
      <c r="G6" s="23" t="s">
        <v>324</v>
      </c>
    </row>
    <row r="7" spans="1:7" x14ac:dyDescent="0.25">
      <c r="A7" s="21" t="s">
        <v>325</v>
      </c>
      <c r="B7" s="21" t="s">
        <v>301</v>
      </c>
      <c r="C7" s="3">
        <f>DADOS_PROJETO!B5</f>
        <v>10840.31</v>
      </c>
      <c r="D7" s="21" t="s">
        <v>200</v>
      </c>
      <c r="E7" s="4">
        <f>ROUND(145*(DADOS_PROJETO!B12/2752.67)/1.1*0.34*INDICES!D35,2)</f>
        <v>72.09</v>
      </c>
      <c r="F7" s="3">
        <f t="shared" si="0"/>
        <v>781477.94790000003</v>
      </c>
      <c r="G7" s="23" t="s">
        <v>326</v>
      </c>
    </row>
    <row r="8" spans="1:7" x14ac:dyDescent="0.25">
      <c r="A8" s="21" t="s">
        <v>327</v>
      </c>
      <c r="B8" s="21" t="s">
        <v>328</v>
      </c>
      <c r="C8" s="3">
        <f>DADOS_PROJETO!B5</f>
        <v>10840.31</v>
      </c>
      <c r="D8" s="21" t="s">
        <v>200</v>
      </c>
      <c r="E8" s="4">
        <f>ROUND(45*(DADOS_PROJETO!B12/2752.67)/1.1,2)</f>
        <v>57.22</v>
      </c>
      <c r="F8" s="3">
        <f t="shared" si="0"/>
        <v>620282.53819999995</v>
      </c>
      <c r="G8" s="23" t="s">
        <v>329</v>
      </c>
    </row>
    <row r="9" spans="1:7" x14ac:dyDescent="0.25">
      <c r="A9" s="21" t="s">
        <v>330</v>
      </c>
      <c r="B9" s="21" t="s">
        <v>328</v>
      </c>
      <c r="C9" s="3">
        <f>DADOS_PROJETO!B5</f>
        <v>10840.31</v>
      </c>
      <c r="D9" s="21" t="s">
        <v>200</v>
      </c>
      <c r="E9" s="4">
        <f>ROUND(18*(DADOS_PROJETO!B12/2752.67)/1.1,2)</f>
        <v>22.89</v>
      </c>
      <c r="F9" s="3">
        <f t="shared" si="0"/>
        <v>248134.69589999999</v>
      </c>
      <c r="G9" s="23" t="s">
        <v>240</v>
      </c>
    </row>
    <row r="10" spans="1:7" x14ac:dyDescent="0.25">
      <c r="A10" s="21" t="s">
        <v>331</v>
      </c>
      <c r="B10" s="21" t="s">
        <v>328</v>
      </c>
      <c r="C10" s="3">
        <f>DADOS_PROJETO!B5</f>
        <v>10840.31</v>
      </c>
      <c r="D10" s="21" t="s">
        <v>200</v>
      </c>
      <c r="E10" s="4">
        <f>ROUND(15*(DADOS_PROJETO!B12/2752.67)/1.1,2)</f>
        <v>19.07</v>
      </c>
      <c r="F10" s="3">
        <f t="shared" si="0"/>
        <v>206724.71169999999</v>
      </c>
      <c r="G10" s="23" t="s">
        <v>240</v>
      </c>
    </row>
    <row r="11" spans="1:7" x14ac:dyDescent="0.25">
      <c r="A11" s="24" t="s">
        <v>170</v>
      </c>
      <c r="F11" s="18">
        <f>SUM(F4:F10)</f>
        <v>5165299.3119000001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67E22"/>
  </sheetPr>
  <dimension ref="A1:G16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332</v>
      </c>
      <c r="B1" s="32"/>
      <c r="C1" s="32"/>
      <c r="D1" s="32"/>
      <c r="E1" s="32"/>
      <c r="G1" s="19" t="s">
        <v>172</v>
      </c>
    </row>
    <row r="2" spans="1:7" x14ac:dyDescent="0.25">
      <c r="G2" s="20">
        <f>F16</f>
        <v>2399272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ht="18" x14ac:dyDescent="0.25">
      <c r="A4" s="21" t="s">
        <v>333</v>
      </c>
      <c r="B4" s="21" t="s">
        <v>334</v>
      </c>
      <c r="C4" s="3">
        <f>MAX(1,DADOS_PROJETO!B9-1)</f>
        <v>1</v>
      </c>
      <c r="D4" s="21" t="s">
        <v>94</v>
      </c>
      <c r="E4" s="22">
        <v>480000</v>
      </c>
      <c r="F4" s="3">
        <f t="shared" ref="F4:F15" si="0">C4*E4</f>
        <v>480000</v>
      </c>
      <c r="G4" s="27" t="s">
        <v>335</v>
      </c>
    </row>
    <row r="5" spans="1:7" ht="18" x14ac:dyDescent="0.25">
      <c r="A5" s="21" t="s">
        <v>336</v>
      </c>
      <c r="B5" s="21" t="s">
        <v>337</v>
      </c>
      <c r="C5" s="25">
        <v>1</v>
      </c>
      <c r="D5" s="21" t="s">
        <v>94</v>
      </c>
      <c r="E5" s="22">
        <v>480000</v>
      </c>
      <c r="F5" s="3">
        <f t="shared" si="0"/>
        <v>480000</v>
      </c>
      <c r="G5" s="27" t="s">
        <v>338</v>
      </c>
    </row>
    <row r="6" spans="1:7" x14ac:dyDescent="0.25">
      <c r="A6" s="21" t="s">
        <v>339</v>
      </c>
      <c r="B6" s="21" t="s">
        <v>340</v>
      </c>
      <c r="C6" s="25">
        <v>1</v>
      </c>
      <c r="D6" s="21" t="s">
        <v>225</v>
      </c>
      <c r="E6" s="4">
        <f>INDICES!D23</f>
        <v>350000</v>
      </c>
      <c r="F6" s="3">
        <f t="shared" si="0"/>
        <v>350000</v>
      </c>
      <c r="G6" s="23" t="s">
        <v>341</v>
      </c>
    </row>
    <row r="7" spans="1:7" x14ac:dyDescent="0.25">
      <c r="A7" s="21" t="s">
        <v>342</v>
      </c>
      <c r="B7" s="21" t="s">
        <v>343</v>
      </c>
      <c r="C7" s="25">
        <v>1</v>
      </c>
      <c r="D7" s="21" t="s">
        <v>225</v>
      </c>
      <c r="E7" s="22">
        <v>120000</v>
      </c>
      <c r="F7" s="3">
        <f t="shared" si="0"/>
        <v>120000</v>
      </c>
      <c r="G7" s="23" t="s">
        <v>240</v>
      </c>
    </row>
    <row r="8" spans="1:7" x14ac:dyDescent="0.25">
      <c r="A8" s="21" t="s">
        <v>66</v>
      </c>
      <c r="B8" s="21" t="s">
        <v>344</v>
      </c>
      <c r="C8" s="25">
        <v>1</v>
      </c>
      <c r="D8" s="21" t="s">
        <v>225</v>
      </c>
      <c r="E8" s="4">
        <f>INDICES!D30</f>
        <v>220000</v>
      </c>
      <c r="F8" s="3">
        <f t="shared" si="0"/>
        <v>220000</v>
      </c>
      <c r="G8" s="23" t="s">
        <v>345</v>
      </c>
    </row>
    <row r="9" spans="1:7" x14ac:dyDescent="0.25">
      <c r="A9" s="21" t="s">
        <v>346</v>
      </c>
      <c r="B9" s="21" t="s">
        <v>347</v>
      </c>
      <c r="C9" s="25">
        <v>1</v>
      </c>
      <c r="D9" s="21" t="s">
        <v>225</v>
      </c>
      <c r="E9" s="22">
        <v>120000</v>
      </c>
      <c r="F9" s="3">
        <f t="shared" si="0"/>
        <v>120000</v>
      </c>
      <c r="G9" s="23" t="s">
        <v>240</v>
      </c>
    </row>
    <row r="10" spans="1:7" x14ac:dyDescent="0.25">
      <c r="A10" s="21" t="s">
        <v>43</v>
      </c>
      <c r="B10" s="21" t="s">
        <v>348</v>
      </c>
      <c r="C10" s="25">
        <v>1</v>
      </c>
      <c r="D10" s="21" t="s">
        <v>225</v>
      </c>
      <c r="E10" s="4">
        <f>INDICES!D22</f>
        <v>180000</v>
      </c>
      <c r="F10" s="3">
        <f t="shared" si="0"/>
        <v>180000</v>
      </c>
      <c r="G10" s="23" t="s">
        <v>349</v>
      </c>
    </row>
    <row r="11" spans="1:7" x14ac:dyDescent="0.25">
      <c r="A11" s="21" t="s">
        <v>350</v>
      </c>
      <c r="B11" s="21" t="s">
        <v>351</v>
      </c>
      <c r="C11" s="25">
        <v>1</v>
      </c>
      <c r="D11" s="21" t="s">
        <v>225</v>
      </c>
      <c r="E11" s="22">
        <v>55000</v>
      </c>
      <c r="F11" s="3">
        <f t="shared" si="0"/>
        <v>55000</v>
      </c>
      <c r="G11" s="23" t="s">
        <v>240</v>
      </c>
    </row>
    <row r="12" spans="1:7" x14ac:dyDescent="0.25">
      <c r="A12" s="21" t="s">
        <v>352</v>
      </c>
      <c r="B12" s="21" t="s">
        <v>353</v>
      </c>
      <c r="C12" s="25">
        <v>1</v>
      </c>
      <c r="D12" s="21" t="s">
        <v>225</v>
      </c>
      <c r="E12" s="22">
        <v>130000</v>
      </c>
      <c r="F12" s="3">
        <f t="shared" si="0"/>
        <v>130000</v>
      </c>
      <c r="G12" s="23" t="s">
        <v>240</v>
      </c>
    </row>
    <row r="13" spans="1:7" x14ac:dyDescent="0.25">
      <c r="A13" s="21" t="s">
        <v>354</v>
      </c>
      <c r="B13" s="21" t="s">
        <v>355</v>
      </c>
      <c r="C13" s="25">
        <v>1</v>
      </c>
      <c r="D13" s="21" t="s">
        <v>225</v>
      </c>
      <c r="E13" s="22">
        <v>95000</v>
      </c>
      <c r="F13" s="3">
        <f t="shared" si="0"/>
        <v>95000</v>
      </c>
      <c r="G13" s="23" t="s">
        <v>240</v>
      </c>
    </row>
    <row r="14" spans="1:7" x14ac:dyDescent="0.25">
      <c r="A14" s="21" t="s">
        <v>356</v>
      </c>
      <c r="B14" s="21" t="s">
        <v>357</v>
      </c>
      <c r="C14" s="25">
        <v>1</v>
      </c>
      <c r="D14" s="21" t="s">
        <v>225</v>
      </c>
      <c r="E14" s="22">
        <v>60000</v>
      </c>
      <c r="F14" s="3">
        <f t="shared" si="0"/>
        <v>60000</v>
      </c>
      <c r="G14" s="23" t="s">
        <v>240</v>
      </c>
    </row>
    <row r="15" spans="1:7" ht="18" x14ac:dyDescent="0.25">
      <c r="A15" s="21" t="s">
        <v>358</v>
      </c>
      <c r="B15" s="21" t="s">
        <v>359</v>
      </c>
      <c r="C15" s="25">
        <v>4</v>
      </c>
      <c r="D15" s="21" t="s">
        <v>360</v>
      </c>
      <c r="E15" s="22">
        <v>27318</v>
      </c>
      <c r="F15" s="3">
        <f t="shared" si="0"/>
        <v>109272</v>
      </c>
      <c r="G15" s="27" t="s">
        <v>361</v>
      </c>
    </row>
    <row r="16" spans="1:7" x14ac:dyDescent="0.25">
      <c r="A16" s="24" t="s">
        <v>170</v>
      </c>
      <c r="F16" s="18">
        <f>SUM(F4:F15)</f>
        <v>2399272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67E22"/>
  </sheetPr>
  <dimension ref="A1:G8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362</v>
      </c>
      <c r="B1" s="32"/>
      <c r="C1" s="32"/>
      <c r="D1" s="32"/>
      <c r="E1" s="32"/>
      <c r="G1" s="19" t="s">
        <v>172</v>
      </c>
    </row>
    <row r="2" spans="1:7" x14ac:dyDescent="0.25">
      <c r="G2" s="20">
        <f>F8</f>
        <v>975025.58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ht="18" x14ac:dyDescent="0.25">
      <c r="A4" s="21" t="s">
        <v>363</v>
      </c>
      <c r="B4" s="21" t="s">
        <v>364</v>
      </c>
      <c r="C4" s="3">
        <f>ROUND(DADOS_PROJETO!B6*4.5,0)</f>
        <v>171</v>
      </c>
      <c r="D4" s="21" t="s">
        <v>94</v>
      </c>
      <c r="E4" s="22">
        <v>3500</v>
      </c>
      <c r="F4" s="3">
        <f>C4*E4</f>
        <v>598500</v>
      </c>
      <c r="G4" s="27" t="s">
        <v>365</v>
      </c>
    </row>
    <row r="5" spans="1:7" x14ac:dyDescent="0.25">
      <c r="A5" s="21" t="s">
        <v>366</v>
      </c>
      <c r="B5" s="21" t="s">
        <v>367</v>
      </c>
      <c r="C5" s="3">
        <f>4*DADOS_PROJETO!B8</f>
        <v>72</v>
      </c>
      <c r="D5" s="21" t="s">
        <v>94</v>
      </c>
      <c r="E5" s="22">
        <v>1200</v>
      </c>
      <c r="F5" s="3">
        <f>C5*E5</f>
        <v>86400</v>
      </c>
      <c r="G5" s="23" t="s">
        <v>368</v>
      </c>
    </row>
    <row r="6" spans="1:7" x14ac:dyDescent="0.25">
      <c r="A6" s="21" t="s">
        <v>369</v>
      </c>
      <c r="B6" s="21" t="s">
        <v>370</v>
      </c>
      <c r="C6" s="3">
        <f>2*DADOS_PROJETO!B8+2</f>
        <v>38</v>
      </c>
      <c r="D6" s="21" t="s">
        <v>94</v>
      </c>
      <c r="E6" s="22">
        <v>2500</v>
      </c>
      <c r="F6" s="3">
        <f>C6*E6</f>
        <v>95000</v>
      </c>
      <c r="G6" s="23" t="s">
        <v>370</v>
      </c>
    </row>
    <row r="7" spans="1:7" ht="18" x14ac:dyDescent="0.25">
      <c r="A7" s="21" t="s">
        <v>371</v>
      </c>
      <c r="B7" s="21" t="s">
        <v>372</v>
      </c>
      <c r="C7" s="3">
        <f>DADOS_PROJETO!B5</f>
        <v>10840.31</v>
      </c>
      <c r="D7" s="21" t="s">
        <v>200</v>
      </c>
      <c r="E7" s="22">
        <v>18</v>
      </c>
      <c r="F7" s="3">
        <f>C7*E7</f>
        <v>195125.58</v>
      </c>
      <c r="G7" s="27" t="s">
        <v>373</v>
      </c>
    </row>
    <row r="8" spans="1:7" x14ac:dyDescent="0.25">
      <c r="A8" s="24" t="s">
        <v>170</v>
      </c>
      <c r="F8" s="18">
        <f>SUM(F4:F7)</f>
        <v>975025.58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67E22"/>
  </sheetPr>
  <dimension ref="A1:G1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374</v>
      </c>
      <c r="B1" s="32"/>
      <c r="C1" s="32"/>
      <c r="D1" s="32"/>
      <c r="E1" s="32"/>
      <c r="G1" s="19" t="s">
        <v>172</v>
      </c>
    </row>
    <row r="2" spans="1:7" x14ac:dyDescent="0.25">
      <c r="G2" s="20">
        <f>F15</f>
        <v>1427377.8499999999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375</v>
      </c>
      <c r="B4" s="21" t="s">
        <v>376</v>
      </c>
      <c r="C4" s="3">
        <f>ROUND(INDICES!D15*DADOS_PROJETO!B5*0.35,0)</f>
        <v>12435</v>
      </c>
      <c r="D4" s="21" t="s">
        <v>200</v>
      </c>
      <c r="E4" s="22">
        <v>7</v>
      </c>
      <c r="F4" s="3">
        <f t="shared" ref="F4:F14" si="0">C4*E4</f>
        <v>87045</v>
      </c>
      <c r="G4" s="23" t="s">
        <v>377</v>
      </c>
    </row>
    <row r="5" spans="1:7" x14ac:dyDescent="0.25">
      <c r="A5" s="21" t="s">
        <v>378</v>
      </c>
      <c r="B5" s="21" t="s">
        <v>379</v>
      </c>
      <c r="C5" s="3">
        <f>ROUND(INDICES!D15*DADOS_PROJETO!B5*0.35,0)</f>
        <v>12435</v>
      </c>
      <c r="D5" s="21" t="s">
        <v>200</v>
      </c>
      <c r="E5" s="22">
        <v>5.5</v>
      </c>
      <c r="F5" s="3">
        <f t="shared" si="0"/>
        <v>68392.5</v>
      </c>
      <c r="G5" s="23" t="s">
        <v>299</v>
      </c>
    </row>
    <row r="6" spans="1:7" x14ac:dyDescent="0.25">
      <c r="A6" s="21" t="s">
        <v>380</v>
      </c>
      <c r="B6" s="21" t="s">
        <v>381</v>
      </c>
      <c r="C6" s="3">
        <f>ROUND(INDICES!D15*DADOS_PROJETO!B5*0.14,0)</f>
        <v>4974</v>
      </c>
      <c r="D6" s="21" t="s">
        <v>200</v>
      </c>
      <c r="E6" s="4">
        <f>48*INDICES!D20</f>
        <v>55.199999999999996</v>
      </c>
      <c r="F6" s="3">
        <f t="shared" si="0"/>
        <v>274564.8</v>
      </c>
      <c r="G6" s="23" t="s">
        <v>382</v>
      </c>
    </row>
    <row r="7" spans="1:7" x14ac:dyDescent="0.25">
      <c r="A7" s="21" t="s">
        <v>383</v>
      </c>
      <c r="B7" s="21" t="s">
        <v>381</v>
      </c>
      <c r="C7" s="3">
        <f>ROUND(INDICES!D15*DADOS_PROJETO!B5*0.06,0)</f>
        <v>2132</v>
      </c>
      <c r="D7" s="21" t="s">
        <v>200</v>
      </c>
      <c r="E7" s="4">
        <f>42*INDICES!D20</f>
        <v>48.3</v>
      </c>
      <c r="F7" s="3">
        <f t="shared" si="0"/>
        <v>102975.59999999999</v>
      </c>
      <c r="G7" s="23" t="s">
        <v>382</v>
      </c>
    </row>
    <row r="8" spans="1:7" x14ac:dyDescent="0.25">
      <c r="A8" s="21" t="s">
        <v>384</v>
      </c>
      <c r="B8" s="21" t="s">
        <v>385</v>
      </c>
      <c r="C8" s="3">
        <f>ROUND(INDICES!D15*DADOS_PROJETO!B5*0.04,0)</f>
        <v>1421</v>
      </c>
      <c r="D8" s="21" t="s">
        <v>200</v>
      </c>
      <c r="E8" s="4">
        <f>85*INDICES!D20</f>
        <v>97.749999999999986</v>
      </c>
      <c r="F8" s="3">
        <f t="shared" si="0"/>
        <v>138902.74999999997</v>
      </c>
      <c r="G8" s="23" t="s">
        <v>382</v>
      </c>
    </row>
    <row r="9" spans="1:7" x14ac:dyDescent="0.25">
      <c r="A9" s="21" t="s">
        <v>386</v>
      </c>
      <c r="B9" s="21" t="s">
        <v>387</v>
      </c>
      <c r="C9" s="3">
        <f>ROUND(DADOS_PROJETO!B6*3.5,0)</f>
        <v>133</v>
      </c>
      <c r="D9" s="21" t="s">
        <v>97</v>
      </c>
      <c r="E9" s="4">
        <f>180*INDICES!D20</f>
        <v>206.99999999999997</v>
      </c>
      <c r="F9" s="3">
        <f t="shared" si="0"/>
        <v>27530.999999999996</v>
      </c>
      <c r="G9" s="23" t="s">
        <v>388</v>
      </c>
    </row>
    <row r="10" spans="1:7" x14ac:dyDescent="0.25">
      <c r="A10" s="21" t="s">
        <v>389</v>
      </c>
      <c r="B10" s="21" t="s">
        <v>390</v>
      </c>
      <c r="C10" s="3">
        <f>ROUND(INDICES!D15*DADOS_PROJETO!B5*0.24,0)</f>
        <v>8527</v>
      </c>
      <c r="D10" s="21" t="s">
        <v>200</v>
      </c>
      <c r="E10" s="22">
        <v>12</v>
      </c>
      <c r="F10" s="3">
        <f t="shared" si="0"/>
        <v>102324</v>
      </c>
      <c r="G10" s="23" t="s">
        <v>299</v>
      </c>
    </row>
    <row r="11" spans="1:7" x14ac:dyDescent="0.25">
      <c r="A11" s="21" t="s">
        <v>391</v>
      </c>
      <c r="B11" s="21" t="s">
        <v>392</v>
      </c>
      <c r="C11" s="3">
        <f>ROUND(INDICES!D15*DADOS_PROJETO!B5*0.24,0)</f>
        <v>8527</v>
      </c>
      <c r="D11" s="21" t="s">
        <v>200</v>
      </c>
      <c r="E11" s="22">
        <v>5</v>
      </c>
      <c r="F11" s="3">
        <f t="shared" si="0"/>
        <v>42635</v>
      </c>
      <c r="G11" s="23" t="s">
        <v>299</v>
      </c>
    </row>
    <row r="12" spans="1:7" x14ac:dyDescent="0.25">
      <c r="A12" s="21" t="s">
        <v>393</v>
      </c>
      <c r="B12" s="21" t="s">
        <v>301</v>
      </c>
      <c r="C12" s="3">
        <f>ROUND(INDICES!D15*DADOS_PROJETO!B5*0.35,0)</f>
        <v>12435</v>
      </c>
      <c r="D12" s="21" t="s">
        <v>200</v>
      </c>
      <c r="E12" s="22">
        <v>22.5</v>
      </c>
      <c r="F12" s="3">
        <f t="shared" si="0"/>
        <v>279787.5</v>
      </c>
      <c r="G12" s="23" t="s">
        <v>394</v>
      </c>
    </row>
    <row r="13" spans="1:7" x14ac:dyDescent="0.25">
      <c r="A13" s="21" t="s">
        <v>395</v>
      </c>
      <c r="B13" s="21" t="s">
        <v>298</v>
      </c>
      <c r="C13" s="3">
        <f>ROUND(INDICES!D15*DADOS_PROJETO!B5*0.24,0)</f>
        <v>8527</v>
      </c>
      <c r="D13" s="21" t="s">
        <v>200</v>
      </c>
      <c r="E13" s="22">
        <v>35</v>
      </c>
      <c r="F13" s="3">
        <f t="shared" si="0"/>
        <v>298445</v>
      </c>
      <c r="G13" s="23" t="s">
        <v>394</v>
      </c>
    </row>
    <row r="14" spans="1:7" x14ac:dyDescent="0.25">
      <c r="A14" s="21" t="s">
        <v>396</v>
      </c>
      <c r="B14" s="21" t="s">
        <v>397</v>
      </c>
      <c r="C14" s="3">
        <f>ROUND(DADOS_PROJETO!B6*3.5,0)</f>
        <v>133</v>
      </c>
      <c r="D14" s="21" t="s">
        <v>97</v>
      </c>
      <c r="E14" s="22">
        <v>35.9</v>
      </c>
      <c r="F14" s="3">
        <f t="shared" si="0"/>
        <v>4774.7</v>
      </c>
      <c r="G14" s="23" t="s">
        <v>398</v>
      </c>
    </row>
    <row r="15" spans="1:7" x14ac:dyDescent="0.25">
      <c r="A15" s="24" t="s">
        <v>170</v>
      </c>
      <c r="F15" s="18">
        <f>SUM(F4:F14)</f>
        <v>1427377.8499999999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67E22"/>
  </sheetPr>
  <dimension ref="A1:G8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399</v>
      </c>
      <c r="B1" s="32"/>
      <c r="C1" s="32"/>
      <c r="D1" s="32"/>
      <c r="E1" s="32"/>
      <c r="G1" s="19" t="s">
        <v>172</v>
      </c>
    </row>
    <row r="2" spans="1:7" x14ac:dyDescent="0.25">
      <c r="G2" s="20">
        <f>F8</f>
        <v>787176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400</v>
      </c>
      <c r="B4" s="21" t="s">
        <v>401</v>
      </c>
      <c r="C4" s="3">
        <f>ROUND(INDICES!D16*DADOS_PROJETO!B5*0.7,0)</f>
        <v>8802</v>
      </c>
      <c r="D4" s="21" t="s">
        <v>200</v>
      </c>
      <c r="E4" s="22">
        <v>28</v>
      </c>
      <c r="F4" s="3">
        <f>C4*E4</f>
        <v>246456</v>
      </c>
      <c r="G4" s="23" t="s">
        <v>402</v>
      </c>
    </row>
    <row r="5" spans="1:7" x14ac:dyDescent="0.25">
      <c r="A5" s="21" t="s">
        <v>403</v>
      </c>
      <c r="B5" s="21" t="s">
        <v>308</v>
      </c>
      <c r="C5" s="3">
        <f>ROUND(INDICES!D16*DADOS_PROJETO!B5*0.15,0)</f>
        <v>1886</v>
      </c>
      <c r="D5" s="21" t="s">
        <v>200</v>
      </c>
      <c r="E5" s="22">
        <v>35</v>
      </c>
      <c r="F5" s="3">
        <f>C5*E5</f>
        <v>66010</v>
      </c>
      <c r="G5" s="23" t="s">
        <v>299</v>
      </c>
    </row>
    <row r="6" spans="1:7" x14ac:dyDescent="0.25">
      <c r="A6" s="21" t="s">
        <v>404</v>
      </c>
      <c r="B6" s="21" t="s">
        <v>405</v>
      </c>
      <c r="C6" s="3">
        <f>ROUND(INDICES!D16*DADOS_PROJETO!B5*0.85,0)</f>
        <v>10689</v>
      </c>
      <c r="D6" s="21" t="s">
        <v>200</v>
      </c>
      <c r="E6" s="22">
        <v>15</v>
      </c>
      <c r="F6" s="3">
        <f>C6*E6</f>
        <v>160335</v>
      </c>
      <c r="G6" s="23" t="s">
        <v>299</v>
      </c>
    </row>
    <row r="7" spans="1:7" x14ac:dyDescent="0.25">
      <c r="A7" s="21" t="s">
        <v>406</v>
      </c>
      <c r="B7" s="21" t="s">
        <v>301</v>
      </c>
      <c r="C7" s="3">
        <f>ROUND(INDICES!D16*DADOS_PROJETO!B5,0)</f>
        <v>12575</v>
      </c>
      <c r="D7" s="21" t="s">
        <v>200</v>
      </c>
      <c r="E7" s="22">
        <v>25</v>
      </c>
      <c r="F7" s="3">
        <f>C7*E7</f>
        <v>314375</v>
      </c>
      <c r="G7" s="23" t="s">
        <v>407</v>
      </c>
    </row>
    <row r="8" spans="1:7" x14ac:dyDescent="0.25">
      <c r="A8" s="24" t="s">
        <v>170</v>
      </c>
      <c r="F8" s="18">
        <f>SUM(F4:F7)</f>
        <v>787176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67E22"/>
  </sheetPr>
  <dimension ref="A1:G11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408</v>
      </c>
      <c r="B1" s="32"/>
      <c r="C1" s="32"/>
      <c r="D1" s="32"/>
      <c r="E1" s="32"/>
      <c r="G1" s="19" t="s">
        <v>172</v>
      </c>
    </row>
    <row r="2" spans="1:7" x14ac:dyDescent="0.25">
      <c r="G2" s="20">
        <f>F11</f>
        <v>2206087.6809999999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409</v>
      </c>
      <c r="B4" s="21" t="s">
        <v>410</v>
      </c>
      <c r="C4" s="3">
        <f>ROUND(INDICES!D14*DADOS_PROJETO!B5,0)</f>
        <v>18429</v>
      </c>
      <c r="D4" s="21" t="s">
        <v>200</v>
      </c>
      <c r="E4" s="22">
        <v>12.1</v>
      </c>
      <c r="F4" s="3">
        <f t="shared" ref="F4:F10" si="0">C4*E4</f>
        <v>222990.9</v>
      </c>
      <c r="G4" s="23" t="s">
        <v>411</v>
      </c>
    </row>
    <row r="5" spans="1:7" x14ac:dyDescent="0.25">
      <c r="A5" s="21" t="s">
        <v>412</v>
      </c>
      <c r="B5" s="21" t="s">
        <v>413</v>
      </c>
      <c r="C5" s="3">
        <f>ROUND(INDICES!D14*DADOS_PROJETO!B5*0.5,0)</f>
        <v>9214</v>
      </c>
      <c r="D5" s="21" t="s">
        <v>200</v>
      </c>
      <c r="E5" s="4">
        <f>INDICES!D29</f>
        <v>93.391499999999979</v>
      </c>
      <c r="F5" s="3">
        <f t="shared" si="0"/>
        <v>860509.28099999984</v>
      </c>
      <c r="G5" s="23" t="s">
        <v>414</v>
      </c>
    </row>
    <row r="6" spans="1:7" x14ac:dyDescent="0.25">
      <c r="A6" s="21" t="s">
        <v>415</v>
      </c>
      <c r="B6" s="21" t="s">
        <v>416</v>
      </c>
      <c r="C6" s="3">
        <f>ROUND(INDICES!D14*DADOS_PROJETO!B5*0.2,0)</f>
        <v>3686</v>
      </c>
      <c r="D6" s="21" t="s">
        <v>200</v>
      </c>
      <c r="E6" s="22">
        <v>32</v>
      </c>
      <c r="F6" s="3">
        <f t="shared" si="0"/>
        <v>117952</v>
      </c>
      <c r="G6" s="23" t="s">
        <v>299</v>
      </c>
    </row>
    <row r="7" spans="1:7" x14ac:dyDescent="0.25">
      <c r="A7" s="21" t="s">
        <v>417</v>
      </c>
      <c r="B7" s="21" t="s">
        <v>418</v>
      </c>
      <c r="C7" s="3">
        <f>ROUND(INDICES!D14*DADOS_PROJETO!B5*0.05,0)</f>
        <v>921</v>
      </c>
      <c r="D7" s="21" t="s">
        <v>200</v>
      </c>
      <c r="E7" s="4">
        <f>180*INDICES!D20</f>
        <v>206.99999999999997</v>
      </c>
      <c r="F7" s="3">
        <f t="shared" si="0"/>
        <v>190646.99999999997</v>
      </c>
      <c r="G7" s="23" t="s">
        <v>382</v>
      </c>
    </row>
    <row r="8" spans="1:7" x14ac:dyDescent="0.25">
      <c r="A8" s="21" t="s">
        <v>419</v>
      </c>
      <c r="B8" s="21" t="s">
        <v>420</v>
      </c>
      <c r="C8" s="3">
        <f>ROUND(INDICES!D14*DADOS_PROJETO!B5*0.35,0)</f>
        <v>6450</v>
      </c>
      <c r="D8" s="21" t="s">
        <v>97</v>
      </c>
      <c r="E8" s="22">
        <v>10.77</v>
      </c>
      <c r="F8" s="3">
        <f t="shared" si="0"/>
        <v>69466.5</v>
      </c>
      <c r="G8" s="23" t="s">
        <v>421</v>
      </c>
    </row>
    <row r="9" spans="1:7" x14ac:dyDescent="0.25">
      <c r="A9" s="21" t="s">
        <v>422</v>
      </c>
      <c r="B9" s="21" t="s">
        <v>301</v>
      </c>
      <c r="C9" s="3">
        <f>ROUND(INDICES!D14*DADOS_PROJETO!B5,0)</f>
        <v>18429</v>
      </c>
      <c r="D9" s="21" t="s">
        <v>200</v>
      </c>
      <c r="E9" s="22">
        <v>18</v>
      </c>
      <c r="F9" s="3">
        <f t="shared" si="0"/>
        <v>331722</v>
      </c>
      <c r="G9" s="23" t="s">
        <v>423</v>
      </c>
    </row>
    <row r="10" spans="1:7" x14ac:dyDescent="0.25">
      <c r="A10" s="21" t="s">
        <v>424</v>
      </c>
      <c r="B10" s="21" t="s">
        <v>298</v>
      </c>
      <c r="C10" s="3">
        <f>ROUND(INDICES!D14*DADOS_PROJETO!B5*0.7,0)</f>
        <v>12900</v>
      </c>
      <c r="D10" s="21" t="s">
        <v>200</v>
      </c>
      <c r="E10" s="22">
        <v>32</v>
      </c>
      <c r="F10" s="3">
        <f t="shared" si="0"/>
        <v>412800</v>
      </c>
      <c r="G10" s="23" t="s">
        <v>423</v>
      </c>
    </row>
    <row r="11" spans="1:7" x14ac:dyDescent="0.25">
      <c r="A11" s="24" t="s">
        <v>170</v>
      </c>
      <c r="F11" s="18">
        <f>SUM(F4:F10)</f>
        <v>2206087.6809999999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67E22"/>
  </sheetPr>
  <dimension ref="A1:G10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425</v>
      </c>
      <c r="B1" s="32"/>
      <c r="C1" s="32"/>
      <c r="D1" s="32"/>
      <c r="E1" s="32"/>
      <c r="G1" s="19" t="s">
        <v>172</v>
      </c>
    </row>
    <row r="2" spans="1:7" x14ac:dyDescent="0.25">
      <c r="G2" s="20">
        <f>F10</f>
        <v>1676382.84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426</v>
      </c>
      <c r="B4" s="21" t="s">
        <v>427</v>
      </c>
      <c r="C4" s="3">
        <f>ROUND(INDICES!D17*DADOS_PROJETO!B5*0.55,0)</f>
        <v>33686</v>
      </c>
      <c r="D4" s="21" t="s">
        <v>200</v>
      </c>
      <c r="E4" s="22">
        <v>4.29</v>
      </c>
      <c r="F4" s="3">
        <f t="shared" ref="F4:F9" si="0">C4*E4</f>
        <v>144512.94</v>
      </c>
      <c r="G4" s="23" t="s">
        <v>428</v>
      </c>
    </row>
    <row r="5" spans="1:7" x14ac:dyDescent="0.25">
      <c r="A5" s="21" t="s">
        <v>429</v>
      </c>
      <c r="B5" s="21" t="s">
        <v>430</v>
      </c>
      <c r="C5" s="3">
        <f>ROUND(INDICES!D17*DADOS_PROJETO!B5*0.55,0)</f>
        <v>33686</v>
      </c>
      <c r="D5" s="21" t="s">
        <v>200</v>
      </c>
      <c r="E5" s="22">
        <v>5.4</v>
      </c>
      <c r="F5" s="3">
        <f t="shared" si="0"/>
        <v>181904.40000000002</v>
      </c>
      <c r="G5" s="23" t="s">
        <v>431</v>
      </c>
    </row>
    <row r="6" spans="1:7" x14ac:dyDescent="0.25">
      <c r="A6" s="21" t="s">
        <v>432</v>
      </c>
      <c r="B6" s="21" t="s">
        <v>433</v>
      </c>
      <c r="C6" s="3">
        <f>ROUND(INDICES!D17*DADOS_PROJETO!B5*0.2,0)</f>
        <v>12250</v>
      </c>
      <c r="D6" s="21" t="s">
        <v>200</v>
      </c>
      <c r="E6" s="22">
        <v>3.83</v>
      </c>
      <c r="F6" s="3">
        <f t="shared" si="0"/>
        <v>46917.5</v>
      </c>
      <c r="G6" s="23" t="s">
        <v>299</v>
      </c>
    </row>
    <row r="7" spans="1:7" x14ac:dyDescent="0.25">
      <c r="A7" s="21" t="s">
        <v>434</v>
      </c>
      <c r="B7" s="21" t="s">
        <v>435</v>
      </c>
      <c r="C7" s="3">
        <f>ROUND(INDICES!D17*DADOS_PROJETO!B5*0.75,0)</f>
        <v>45936</v>
      </c>
      <c r="D7" s="21" t="s">
        <v>200</v>
      </c>
      <c r="E7" s="22">
        <v>2.5</v>
      </c>
      <c r="F7" s="3">
        <f t="shared" si="0"/>
        <v>114840</v>
      </c>
      <c r="G7" s="23" t="s">
        <v>299</v>
      </c>
    </row>
    <row r="8" spans="1:7" x14ac:dyDescent="0.25">
      <c r="A8" s="21" t="s">
        <v>436</v>
      </c>
      <c r="B8" s="21" t="s">
        <v>301</v>
      </c>
      <c r="C8" s="3">
        <f>ROUND(INDICES!D17*DADOS_PROJETO!B5,0)</f>
        <v>61248</v>
      </c>
      <c r="D8" s="21" t="s">
        <v>200</v>
      </c>
      <c r="E8" s="22">
        <v>15</v>
      </c>
      <c r="F8" s="3">
        <f t="shared" si="0"/>
        <v>918720</v>
      </c>
      <c r="G8" s="23" t="s">
        <v>437</v>
      </c>
    </row>
    <row r="9" spans="1:7" x14ac:dyDescent="0.25">
      <c r="A9" s="21" t="s">
        <v>438</v>
      </c>
      <c r="B9" s="21" t="s">
        <v>439</v>
      </c>
      <c r="C9" s="3">
        <f>ROUND(INDICES!D17*DADOS_PROJETO!B5*0.55,0)</f>
        <v>33686</v>
      </c>
      <c r="D9" s="21" t="s">
        <v>200</v>
      </c>
      <c r="E9" s="22">
        <v>8</v>
      </c>
      <c r="F9" s="3">
        <f t="shared" si="0"/>
        <v>269488</v>
      </c>
      <c r="G9" s="23" t="s">
        <v>437</v>
      </c>
    </row>
    <row r="10" spans="1:7" x14ac:dyDescent="0.25">
      <c r="A10" s="24" t="s">
        <v>170</v>
      </c>
      <c r="F10" s="18">
        <f>SUM(F4:F9)</f>
        <v>1676382.84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67E22"/>
  </sheetPr>
  <dimension ref="A1:G6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440</v>
      </c>
      <c r="B1" s="32"/>
      <c r="C1" s="32"/>
      <c r="D1" s="32"/>
      <c r="E1" s="32"/>
      <c r="G1" s="19" t="s">
        <v>172</v>
      </c>
    </row>
    <row r="2" spans="1:7" x14ac:dyDescent="0.25">
      <c r="G2" s="20">
        <f>F6</f>
        <v>4051565.8624999998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441</v>
      </c>
      <c r="B4" s="21" t="s">
        <v>442</v>
      </c>
      <c r="C4" s="3">
        <f>DADOS_PROJETO!B5</f>
        <v>10840.31</v>
      </c>
      <c r="D4" s="21" t="s">
        <v>200</v>
      </c>
      <c r="E4" s="4">
        <f>280*INDICES!D20*INDICES!D28</f>
        <v>322</v>
      </c>
      <c r="F4" s="3">
        <f>C4*E4</f>
        <v>3490579.82</v>
      </c>
      <c r="G4" s="23" t="s">
        <v>443</v>
      </c>
    </row>
    <row r="5" spans="1:7" x14ac:dyDescent="0.25">
      <c r="A5" s="21" t="s">
        <v>444</v>
      </c>
      <c r="B5" s="21" t="s">
        <v>445</v>
      </c>
      <c r="C5" s="3">
        <f>DADOS_PROJETO!B5</f>
        <v>10840.31</v>
      </c>
      <c r="D5" s="21" t="s">
        <v>200</v>
      </c>
      <c r="E5" s="4">
        <f>45*INDICES!D20</f>
        <v>51.749999999999993</v>
      </c>
      <c r="F5" s="3">
        <f>C5*E5</f>
        <v>560986.04249999986</v>
      </c>
      <c r="G5" s="23" t="s">
        <v>446</v>
      </c>
    </row>
    <row r="6" spans="1:7" x14ac:dyDescent="0.25">
      <c r="A6" s="24" t="s">
        <v>170</v>
      </c>
      <c r="F6" s="18">
        <f>SUM(F4:F5)</f>
        <v>4051565.8624999998</v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447</v>
      </c>
      <c r="B1" s="32"/>
      <c r="C1" s="32"/>
      <c r="D1" s="32"/>
      <c r="E1" s="32"/>
      <c r="G1" s="19" t="s">
        <v>172</v>
      </c>
    </row>
    <row r="2" spans="1:7" x14ac:dyDescent="0.25">
      <c r="G2" s="20">
        <f>F5</f>
        <v>813023.29999999993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ht="27" x14ac:dyDescent="0.25">
      <c r="A4" s="21" t="s">
        <v>448</v>
      </c>
      <c r="B4" s="21" t="s">
        <v>449</v>
      </c>
      <c r="C4" s="3">
        <f>DADOS_PROJETO!B6</f>
        <v>38</v>
      </c>
      <c r="D4" s="21" t="s">
        <v>450</v>
      </c>
      <c r="E4" s="4">
        <f>ROUND(75*DADOS_PROJETO!B5/DADOS_PROJETO!B6,2)</f>
        <v>21395.35</v>
      </c>
      <c r="F4" s="3">
        <f>C4*E4</f>
        <v>813023.29999999993</v>
      </c>
      <c r="G4" s="27" t="s">
        <v>451</v>
      </c>
    </row>
    <row r="5" spans="1:7" x14ac:dyDescent="0.25">
      <c r="A5" s="24" t="s">
        <v>170</v>
      </c>
      <c r="F5" s="18">
        <f>SUM(F4:F4)</f>
        <v>813023.29999999993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67E22"/>
  </sheetPr>
  <dimension ref="A1:G7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452</v>
      </c>
      <c r="B1" s="32"/>
      <c r="C1" s="32"/>
      <c r="D1" s="32"/>
      <c r="E1" s="32"/>
      <c r="G1" s="19" t="s">
        <v>172</v>
      </c>
    </row>
    <row r="2" spans="1:7" x14ac:dyDescent="0.25">
      <c r="G2" s="20">
        <f>F7</f>
        <v>2570706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453</v>
      </c>
      <c r="B4" s="21" t="s">
        <v>454</v>
      </c>
      <c r="C4" s="3">
        <f>ROUND(INDICES!D18*DADOS_PROJETO!B5,0)</f>
        <v>16802</v>
      </c>
      <c r="D4" s="21" t="s">
        <v>200</v>
      </c>
      <c r="E4" s="4">
        <f>INDICES!D21</f>
        <v>100</v>
      </c>
      <c r="F4" s="3">
        <f>C4*E4</f>
        <v>1680200</v>
      </c>
      <c r="G4" s="23" t="s">
        <v>455</v>
      </c>
    </row>
    <row r="5" spans="1:7" x14ac:dyDescent="0.25">
      <c r="A5" s="21" t="s">
        <v>456</v>
      </c>
      <c r="B5" s="21" t="s">
        <v>301</v>
      </c>
      <c r="C5" s="3">
        <f>ROUND(INDICES!D18*DADOS_PROJETO!B5,0)</f>
        <v>16802</v>
      </c>
      <c r="D5" s="21" t="s">
        <v>200</v>
      </c>
      <c r="E5" s="22">
        <v>35</v>
      </c>
      <c r="F5" s="3">
        <f>C5*E5</f>
        <v>588070</v>
      </c>
      <c r="G5" s="23" t="s">
        <v>299</v>
      </c>
    </row>
    <row r="6" spans="1:7" x14ac:dyDescent="0.25">
      <c r="A6" s="21" t="s">
        <v>457</v>
      </c>
      <c r="B6" s="21" t="s">
        <v>458</v>
      </c>
      <c r="C6" s="3">
        <f>ROUND(INDICES!D18*DADOS_PROJETO!B5,0)</f>
        <v>16802</v>
      </c>
      <c r="D6" s="21" t="s">
        <v>200</v>
      </c>
      <c r="E6" s="22">
        <v>18</v>
      </c>
      <c r="F6" s="3">
        <f>C6*E6</f>
        <v>302436</v>
      </c>
      <c r="G6" s="23" t="s">
        <v>299</v>
      </c>
    </row>
    <row r="7" spans="1:7" x14ac:dyDescent="0.25">
      <c r="A7" s="24" t="s">
        <v>170</v>
      </c>
      <c r="F7" s="18">
        <f>SUM(F4:F6)</f>
        <v>2570706</v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67E22"/>
  </sheetPr>
  <dimension ref="A1:G1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459</v>
      </c>
      <c r="B1" s="32"/>
      <c r="C1" s="32"/>
      <c r="D1" s="32"/>
      <c r="E1" s="32"/>
      <c r="G1" s="19" t="s">
        <v>172</v>
      </c>
    </row>
    <row r="2" spans="1:7" x14ac:dyDescent="0.25">
      <c r="G2" s="20">
        <f>F14</f>
        <v>2655813.7200000002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ht="27" x14ac:dyDescent="0.25">
      <c r="A4" s="21" t="s">
        <v>460</v>
      </c>
      <c r="B4" s="21" t="s">
        <v>461</v>
      </c>
      <c r="C4" s="25">
        <v>1</v>
      </c>
      <c r="D4" s="21" t="s">
        <v>225</v>
      </c>
      <c r="E4" s="22">
        <v>900000</v>
      </c>
      <c r="F4" s="3">
        <f t="shared" ref="F4:F13" si="0">C4*E4</f>
        <v>900000</v>
      </c>
      <c r="G4" s="27" t="s">
        <v>462</v>
      </c>
    </row>
    <row r="5" spans="1:7" ht="27" x14ac:dyDescent="0.25">
      <c r="A5" s="21" t="s">
        <v>463</v>
      </c>
      <c r="B5" s="21" t="s">
        <v>464</v>
      </c>
      <c r="C5" s="25">
        <v>1</v>
      </c>
      <c r="D5" s="21" t="s">
        <v>225</v>
      </c>
      <c r="E5" s="4">
        <f>650000*INDICES!D20</f>
        <v>747500</v>
      </c>
      <c r="F5" s="3">
        <f t="shared" si="0"/>
        <v>747500</v>
      </c>
      <c r="G5" s="27" t="s">
        <v>462</v>
      </c>
    </row>
    <row r="6" spans="1:7" ht="27" x14ac:dyDescent="0.25">
      <c r="A6" s="21" t="s">
        <v>465</v>
      </c>
      <c r="B6" s="21"/>
      <c r="C6" s="25">
        <v>1</v>
      </c>
      <c r="D6" s="21" t="s">
        <v>225</v>
      </c>
      <c r="E6" s="22">
        <v>200000</v>
      </c>
      <c r="F6" s="3">
        <f t="shared" si="0"/>
        <v>200000</v>
      </c>
      <c r="G6" s="27" t="s">
        <v>462</v>
      </c>
    </row>
    <row r="7" spans="1:7" ht="27" x14ac:dyDescent="0.25">
      <c r="A7" s="21" t="s">
        <v>466</v>
      </c>
      <c r="B7" s="21" t="s">
        <v>467</v>
      </c>
      <c r="C7" s="25">
        <v>1</v>
      </c>
      <c r="D7" s="21" t="s">
        <v>225</v>
      </c>
      <c r="E7" s="22">
        <v>400000</v>
      </c>
      <c r="F7" s="3">
        <f t="shared" si="0"/>
        <v>400000</v>
      </c>
      <c r="G7" s="27" t="s">
        <v>462</v>
      </c>
    </row>
    <row r="8" spans="1:7" x14ac:dyDescent="0.25">
      <c r="A8" s="21" t="s">
        <v>468</v>
      </c>
      <c r="B8" s="21"/>
      <c r="C8" s="3">
        <f>DADOS_PROJETO!B5</f>
        <v>10840.31</v>
      </c>
      <c r="D8" s="21" t="s">
        <v>200</v>
      </c>
      <c r="E8" s="22">
        <v>12</v>
      </c>
      <c r="F8" s="3">
        <f t="shared" si="0"/>
        <v>130083.72</v>
      </c>
      <c r="G8" s="23" t="s">
        <v>469</v>
      </c>
    </row>
    <row r="9" spans="1:7" ht="27" x14ac:dyDescent="0.25">
      <c r="A9" s="21" t="s">
        <v>284</v>
      </c>
      <c r="B9" s="21" t="s">
        <v>470</v>
      </c>
      <c r="C9" s="25">
        <v>1</v>
      </c>
      <c r="D9" s="21" t="s">
        <v>225</v>
      </c>
      <c r="E9" s="22">
        <v>80000</v>
      </c>
      <c r="F9" s="3">
        <f t="shared" si="0"/>
        <v>80000</v>
      </c>
      <c r="G9" s="27" t="s">
        <v>462</v>
      </c>
    </row>
    <row r="10" spans="1:7" x14ac:dyDescent="0.25">
      <c r="A10" s="21" t="s">
        <v>471</v>
      </c>
      <c r="B10" s="21" t="s">
        <v>472</v>
      </c>
      <c r="C10" s="3">
        <f>ROUND(DADOS_PROJETO!B5*0.04,0)</f>
        <v>434</v>
      </c>
      <c r="D10" s="21" t="s">
        <v>200</v>
      </c>
      <c r="E10" s="22">
        <v>95</v>
      </c>
      <c r="F10" s="3">
        <f t="shared" si="0"/>
        <v>41230</v>
      </c>
      <c r="G10" s="23" t="s">
        <v>299</v>
      </c>
    </row>
    <row r="11" spans="1:7" ht="27" x14ac:dyDescent="0.25">
      <c r="A11" s="21" t="s">
        <v>473</v>
      </c>
      <c r="B11" s="21" t="s">
        <v>474</v>
      </c>
      <c r="C11" s="25">
        <v>1</v>
      </c>
      <c r="D11" s="21" t="s">
        <v>225</v>
      </c>
      <c r="E11" s="22">
        <v>90000</v>
      </c>
      <c r="F11" s="3">
        <f t="shared" si="0"/>
        <v>90000</v>
      </c>
      <c r="G11" s="27" t="s">
        <v>462</v>
      </c>
    </row>
    <row r="12" spans="1:7" x14ac:dyDescent="0.25">
      <c r="A12" s="21" t="s">
        <v>475</v>
      </c>
      <c r="B12" s="21" t="s">
        <v>476</v>
      </c>
      <c r="C12" s="25">
        <v>1</v>
      </c>
      <c r="D12" s="21" t="s">
        <v>225</v>
      </c>
      <c r="E12" s="22">
        <v>15000</v>
      </c>
      <c r="F12" s="3">
        <f t="shared" si="0"/>
        <v>15000</v>
      </c>
      <c r="G12" s="23" t="s">
        <v>431</v>
      </c>
    </row>
    <row r="13" spans="1:7" x14ac:dyDescent="0.25">
      <c r="A13" s="21" t="s">
        <v>477</v>
      </c>
      <c r="B13" s="21" t="s">
        <v>478</v>
      </c>
      <c r="C13" s="3">
        <f>ROUND(DADOS_PROJETO!B5*0.06,0)</f>
        <v>650</v>
      </c>
      <c r="D13" s="21" t="s">
        <v>200</v>
      </c>
      <c r="E13" s="22">
        <v>80</v>
      </c>
      <c r="F13" s="3">
        <f t="shared" si="0"/>
        <v>52000</v>
      </c>
      <c r="G13" s="23" t="s">
        <v>299</v>
      </c>
    </row>
    <row r="14" spans="1:7" x14ac:dyDescent="0.25">
      <c r="A14" s="24" t="s">
        <v>170</v>
      </c>
      <c r="F14" s="18">
        <f>SUM(F4:F13)</f>
        <v>2655813.7200000002</v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5" t="s">
        <v>479</v>
      </c>
      <c r="B1" s="32"/>
      <c r="C1" s="32"/>
      <c r="D1" s="32"/>
      <c r="E1" s="32"/>
      <c r="G1" s="19" t="s">
        <v>172</v>
      </c>
    </row>
    <row r="2" spans="1:7" x14ac:dyDescent="0.25">
      <c r="G2" s="20">
        <f>F5</f>
        <v>643685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169</v>
      </c>
      <c r="B4" s="21" t="s">
        <v>480</v>
      </c>
      <c r="C4" s="25">
        <v>1</v>
      </c>
      <c r="D4" s="21" t="s">
        <v>225</v>
      </c>
      <c r="E4" s="4">
        <f>ROUND(SUM(CUSTOS_MACROGRUPO!D4:D20)*0.015,0)</f>
        <v>643685</v>
      </c>
      <c r="F4" s="3">
        <f>C4*E4</f>
        <v>643685</v>
      </c>
      <c r="G4" s="23" t="s">
        <v>481</v>
      </c>
    </row>
    <row r="5" spans="1:7" x14ac:dyDescent="0.25">
      <c r="A5" s="24" t="s">
        <v>170</v>
      </c>
      <c r="F5" s="18">
        <f>SUM(F4:F4)</f>
        <v>643685</v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A26"/>
  <sheetViews>
    <sheetView workbookViewId="0"/>
  </sheetViews>
  <sheetFormatPr defaultRowHeight="15" x14ac:dyDescent="0.25"/>
  <cols>
    <col min="1" max="1" width="80" customWidth="1"/>
  </cols>
  <sheetData>
    <row r="2" spans="1:1" x14ac:dyDescent="0.25">
      <c r="A2" s="26" t="s">
        <v>482</v>
      </c>
    </row>
    <row r="3" spans="1:1" x14ac:dyDescent="0.25">
      <c r="A3" s="26" t="s">
        <v>483</v>
      </c>
    </row>
    <row r="4" spans="1:1" x14ac:dyDescent="0.25">
      <c r="A4" s="26" t="s">
        <v>484</v>
      </c>
    </row>
    <row r="5" spans="1:1" x14ac:dyDescent="0.25">
      <c r="A5" s="26"/>
    </row>
    <row r="6" spans="1:1" x14ac:dyDescent="0.25">
      <c r="A6" s="26" t="s">
        <v>485</v>
      </c>
    </row>
    <row r="7" spans="1:1" x14ac:dyDescent="0.25">
      <c r="A7" s="26" t="s">
        <v>486</v>
      </c>
    </row>
    <row r="8" spans="1:1" x14ac:dyDescent="0.25">
      <c r="A8" s="26" t="s">
        <v>487</v>
      </c>
    </row>
    <row r="9" spans="1:1" x14ac:dyDescent="0.25">
      <c r="A9" s="26"/>
    </row>
    <row r="10" spans="1:1" x14ac:dyDescent="0.25">
      <c r="A10" s="26" t="s">
        <v>488</v>
      </c>
    </row>
    <row r="11" spans="1:1" x14ac:dyDescent="0.25">
      <c r="A11" s="26" t="s">
        <v>489</v>
      </c>
    </row>
    <row r="12" spans="1:1" x14ac:dyDescent="0.25">
      <c r="A12" s="26" t="s">
        <v>490</v>
      </c>
    </row>
    <row r="13" spans="1:1" x14ac:dyDescent="0.25">
      <c r="A13" s="26" t="s">
        <v>491</v>
      </c>
    </row>
    <row r="14" spans="1:1" x14ac:dyDescent="0.25">
      <c r="A14" s="26" t="s">
        <v>492</v>
      </c>
    </row>
    <row r="15" spans="1:1" x14ac:dyDescent="0.25">
      <c r="A15" s="26" t="s">
        <v>493</v>
      </c>
    </row>
    <row r="16" spans="1:1" x14ac:dyDescent="0.25">
      <c r="A16" s="26" t="s">
        <v>494</v>
      </c>
    </row>
    <row r="17" spans="1:1" x14ac:dyDescent="0.25">
      <c r="A17" s="26" t="s">
        <v>495</v>
      </c>
    </row>
    <row r="18" spans="1:1" x14ac:dyDescent="0.25">
      <c r="A18" s="26" t="s">
        <v>496</v>
      </c>
    </row>
    <row r="19" spans="1:1" x14ac:dyDescent="0.25">
      <c r="A19" s="26" t="s">
        <v>497</v>
      </c>
    </row>
    <row r="20" spans="1:1" x14ac:dyDescent="0.25">
      <c r="A20" s="26" t="s">
        <v>498</v>
      </c>
    </row>
    <row r="21" spans="1:1" x14ac:dyDescent="0.25">
      <c r="A21" s="26" t="s">
        <v>499</v>
      </c>
    </row>
    <row r="22" spans="1:1" x14ac:dyDescent="0.25">
      <c r="A22" s="26" t="s">
        <v>500</v>
      </c>
    </row>
    <row r="23" spans="1:1" x14ac:dyDescent="0.25">
      <c r="A23" s="26" t="s">
        <v>501</v>
      </c>
    </row>
    <row r="24" spans="1:1" x14ac:dyDescent="0.25">
      <c r="A24" s="26" t="s">
        <v>502</v>
      </c>
    </row>
    <row r="25" spans="1:1" x14ac:dyDescent="0.25">
      <c r="A25" s="26"/>
    </row>
    <row r="26" spans="1:1" x14ac:dyDescent="0.25">
      <c r="A26" s="26" t="s">
        <v>503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245AE4"/>
  </sheetPr>
  <dimension ref="A1:C18"/>
  <sheetViews>
    <sheetView workbookViewId="0"/>
  </sheetViews>
  <sheetFormatPr defaultRowHeight="15" x14ac:dyDescent="0.25"/>
  <cols>
    <col min="1" max="1" width="26" customWidth="1"/>
    <col min="2" max="2" width="23" customWidth="1"/>
    <col min="3" max="3" width="55" customWidth="1"/>
  </cols>
  <sheetData>
    <row r="1" spans="1:3" x14ac:dyDescent="0.25">
      <c r="A1" s="28" t="s">
        <v>504</v>
      </c>
      <c r="B1" s="28" t="s">
        <v>505</v>
      </c>
      <c r="C1" s="28" t="s">
        <v>506</v>
      </c>
    </row>
    <row r="2" spans="1:3" x14ac:dyDescent="0.25">
      <c r="A2" s="29" t="s">
        <v>507</v>
      </c>
      <c r="B2" s="29" t="s">
        <v>508</v>
      </c>
      <c r="C2" s="29" t="s">
        <v>509</v>
      </c>
    </row>
    <row r="3" spans="1:3" x14ac:dyDescent="0.25">
      <c r="A3" s="29" t="s">
        <v>510</v>
      </c>
      <c r="B3" s="29" t="s">
        <v>511</v>
      </c>
      <c r="C3" s="29" t="s">
        <v>512</v>
      </c>
    </row>
    <row r="4" spans="1:3" x14ac:dyDescent="0.25">
      <c r="A4" s="29" t="s">
        <v>19</v>
      </c>
      <c r="B4" s="29" t="s">
        <v>513</v>
      </c>
      <c r="C4" s="29" t="s">
        <v>514</v>
      </c>
    </row>
    <row r="5" spans="1:3" x14ac:dyDescent="0.25">
      <c r="A5" s="29" t="s">
        <v>515</v>
      </c>
      <c r="B5" s="29" t="s">
        <v>516</v>
      </c>
      <c r="C5" s="29" t="s">
        <v>517</v>
      </c>
    </row>
    <row r="6" spans="1:3" x14ac:dyDescent="0.25">
      <c r="A6" s="29" t="s">
        <v>518</v>
      </c>
      <c r="B6" s="29" t="s">
        <v>519</v>
      </c>
      <c r="C6" s="29" t="s">
        <v>520</v>
      </c>
    </row>
    <row r="7" spans="1:3" x14ac:dyDescent="0.25">
      <c r="A7" s="29" t="s">
        <v>521</v>
      </c>
      <c r="B7" s="29" t="s">
        <v>522</v>
      </c>
      <c r="C7" s="29" t="s">
        <v>523</v>
      </c>
    </row>
    <row r="8" spans="1:3" x14ac:dyDescent="0.25">
      <c r="A8" s="29" t="s">
        <v>10</v>
      </c>
      <c r="B8" s="29" t="s">
        <v>33</v>
      </c>
      <c r="C8" s="29" t="s">
        <v>524</v>
      </c>
    </row>
    <row r="9" spans="1:3" x14ac:dyDescent="0.25">
      <c r="A9" s="29" t="s">
        <v>22</v>
      </c>
      <c r="B9" s="29" t="s">
        <v>525</v>
      </c>
      <c r="C9" s="29" t="s">
        <v>526</v>
      </c>
    </row>
    <row r="10" spans="1:3" x14ac:dyDescent="0.25">
      <c r="A10" s="29" t="s">
        <v>21</v>
      </c>
      <c r="B10" s="29" t="s">
        <v>527</v>
      </c>
      <c r="C10" s="29" t="s">
        <v>528</v>
      </c>
    </row>
    <row r="11" spans="1:3" x14ac:dyDescent="0.25">
      <c r="A11" s="29" t="s">
        <v>339</v>
      </c>
      <c r="B11" s="29" t="s">
        <v>44</v>
      </c>
      <c r="C11" s="29" t="s">
        <v>529</v>
      </c>
    </row>
    <row r="12" spans="1:3" x14ac:dyDescent="0.25">
      <c r="A12" s="29" t="s">
        <v>530</v>
      </c>
      <c r="B12" s="29" t="s">
        <v>44</v>
      </c>
      <c r="C12" s="29" t="s">
        <v>531</v>
      </c>
    </row>
    <row r="13" spans="1:3" x14ac:dyDescent="0.25">
      <c r="A13" s="29" t="s">
        <v>66</v>
      </c>
      <c r="B13" s="29" t="s">
        <v>44</v>
      </c>
      <c r="C13" s="29" t="s">
        <v>532</v>
      </c>
    </row>
    <row r="14" spans="1:3" x14ac:dyDescent="0.25">
      <c r="A14" s="29" t="s">
        <v>161</v>
      </c>
      <c r="B14" s="29" t="s">
        <v>52</v>
      </c>
      <c r="C14" s="29" t="s">
        <v>533</v>
      </c>
    </row>
    <row r="15" spans="1:3" x14ac:dyDescent="0.25">
      <c r="A15" s="29" t="s">
        <v>157</v>
      </c>
      <c r="B15" s="29" t="s">
        <v>534</v>
      </c>
      <c r="C15" s="29" t="s">
        <v>535</v>
      </c>
    </row>
    <row r="16" spans="1:3" x14ac:dyDescent="0.25">
      <c r="A16" s="29" t="s">
        <v>12</v>
      </c>
      <c r="B16" s="29" t="s">
        <v>536</v>
      </c>
      <c r="C16" s="29" t="s">
        <v>537</v>
      </c>
    </row>
    <row r="17" spans="1:3" x14ac:dyDescent="0.25">
      <c r="A17" s="29" t="s">
        <v>35</v>
      </c>
      <c r="B17" s="29" t="s">
        <v>538</v>
      </c>
      <c r="C17" s="29" t="s">
        <v>539</v>
      </c>
    </row>
    <row r="18" spans="1:3" x14ac:dyDescent="0.25">
      <c r="A18" s="29" t="s">
        <v>540</v>
      </c>
      <c r="B18" s="29" t="s">
        <v>541</v>
      </c>
      <c r="C18" s="29" t="s">
        <v>542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245AE4"/>
  </sheetPr>
  <dimension ref="A1:F19"/>
  <sheetViews>
    <sheetView workbookViewId="0"/>
  </sheetViews>
  <sheetFormatPr defaultRowHeight="15" x14ac:dyDescent="0.25"/>
  <cols>
    <col min="1" max="1" width="20" customWidth="1"/>
    <col min="2" max="2" width="22" customWidth="1"/>
    <col min="3" max="5" width="14" customWidth="1"/>
    <col min="6" max="6" width="28" customWidth="1"/>
  </cols>
  <sheetData>
    <row r="1" spans="1:6" x14ac:dyDescent="0.25">
      <c r="A1" s="28" t="s">
        <v>149</v>
      </c>
      <c r="B1" s="28" t="s">
        <v>543</v>
      </c>
      <c r="C1" s="28" t="s">
        <v>544</v>
      </c>
      <c r="D1" s="28" t="s">
        <v>545</v>
      </c>
      <c r="E1" s="28" t="s">
        <v>546</v>
      </c>
      <c r="F1" s="28" t="s">
        <v>547</v>
      </c>
    </row>
    <row r="2" spans="1:6" x14ac:dyDescent="0.25">
      <c r="A2" s="29" t="s">
        <v>153</v>
      </c>
      <c r="B2" s="30">
        <v>640.41</v>
      </c>
      <c r="C2" s="30">
        <v>535.79</v>
      </c>
      <c r="D2" s="30">
        <v>1715.95</v>
      </c>
      <c r="E2" s="29">
        <v>22</v>
      </c>
      <c r="F2" s="30">
        <v>474.74</v>
      </c>
    </row>
    <row r="3" spans="1:6" x14ac:dyDescent="0.25">
      <c r="A3" s="29" t="s">
        <v>154</v>
      </c>
      <c r="B3" s="30">
        <v>124.19</v>
      </c>
      <c r="C3" s="30">
        <v>91.9</v>
      </c>
      <c r="D3" s="30">
        <v>178.15</v>
      </c>
      <c r="E3" s="29">
        <v>23</v>
      </c>
      <c r="F3" s="30">
        <v>114.52</v>
      </c>
    </row>
    <row r="4" spans="1:6" x14ac:dyDescent="0.25">
      <c r="A4" s="29" t="s">
        <v>155</v>
      </c>
      <c r="B4" s="30">
        <v>230.4</v>
      </c>
      <c r="C4" s="30">
        <v>156.80000000000001</v>
      </c>
      <c r="D4" s="30">
        <v>276</v>
      </c>
      <c r="E4" s="29">
        <v>23</v>
      </c>
      <c r="F4" s="30">
        <v>196.14</v>
      </c>
    </row>
    <row r="5" spans="1:6" x14ac:dyDescent="0.25">
      <c r="A5" s="29" t="s">
        <v>156</v>
      </c>
      <c r="B5" s="30">
        <v>718.24</v>
      </c>
      <c r="C5" s="30">
        <v>659.32</v>
      </c>
      <c r="D5" s="30">
        <v>854.66</v>
      </c>
      <c r="E5" s="29">
        <v>23</v>
      </c>
      <c r="F5" s="30">
        <v>654.62</v>
      </c>
    </row>
    <row r="6" spans="1:6" x14ac:dyDescent="0.25">
      <c r="A6" s="29" t="s">
        <v>157</v>
      </c>
      <c r="B6" s="30">
        <v>181.9</v>
      </c>
      <c r="C6" s="30">
        <v>128.63</v>
      </c>
      <c r="D6" s="30">
        <v>219.79</v>
      </c>
      <c r="E6" s="29">
        <v>21</v>
      </c>
      <c r="F6" s="30">
        <v>139.69999999999999</v>
      </c>
    </row>
    <row r="7" spans="1:6" x14ac:dyDescent="0.25">
      <c r="A7" s="29" t="s">
        <v>158</v>
      </c>
      <c r="B7" s="30">
        <v>74.349999999999994</v>
      </c>
      <c r="C7" s="30">
        <v>61.39</v>
      </c>
      <c r="D7" s="30">
        <v>128.04</v>
      </c>
      <c r="E7" s="29">
        <v>20</v>
      </c>
      <c r="F7" s="30">
        <v>60</v>
      </c>
    </row>
    <row r="8" spans="1:6" x14ac:dyDescent="0.25">
      <c r="A8" s="29" t="s">
        <v>159</v>
      </c>
      <c r="B8" s="30">
        <v>320.13</v>
      </c>
      <c r="C8" s="30">
        <v>185.17</v>
      </c>
      <c r="D8" s="30">
        <v>453.78</v>
      </c>
      <c r="E8" s="29">
        <v>21</v>
      </c>
      <c r="F8" s="30">
        <v>332.12</v>
      </c>
    </row>
    <row r="9" spans="1:6" x14ac:dyDescent="0.25">
      <c r="A9" s="29" t="s">
        <v>160</v>
      </c>
      <c r="B9" s="30">
        <v>211.02</v>
      </c>
      <c r="C9" s="30">
        <v>126.25</v>
      </c>
      <c r="D9" s="30">
        <v>304.33999999999997</v>
      </c>
      <c r="E9" s="29">
        <v>21</v>
      </c>
      <c r="F9" s="30">
        <v>172.54</v>
      </c>
    </row>
    <row r="10" spans="1:6" x14ac:dyDescent="0.25">
      <c r="A10" s="29" t="s">
        <v>161</v>
      </c>
      <c r="B10" s="30">
        <v>36.21</v>
      </c>
      <c r="C10" s="30">
        <v>28.24</v>
      </c>
      <c r="D10" s="30">
        <v>78.09</v>
      </c>
      <c r="E10" s="29">
        <v>9</v>
      </c>
      <c r="F10" s="30">
        <v>30.59</v>
      </c>
    </row>
    <row r="11" spans="1:6" x14ac:dyDescent="0.25">
      <c r="A11" s="29" t="s">
        <v>162</v>
      </c>
      <c r="B11" s="30">
        <v>82.02</v>
      </c>
      <c r="C11" s="30">
        <v>59.02</v>
      </c>
      <c r="D11" s="30">
        <v>212.73</v>
      </c>
      <c r="E11" s="29">
        <v>12</v>
      </c>
      <c r="F11" s="30">
        <v>60.62</v>
      </c>
    </row>
    <row r="12" spans="1:6" x14ac:dyDescent="0.25">
      <c r="A12" s="29" t="s">
        <v>163</v>
      </c>
      <c r="B12" s="30">
        <v>62.23</v>
      </c>
      <c r="C12" s="30">
        <v>52.54</v>
      </c>
      <c r="D12" s="30">
        <v>85.03</v>
      </c>
      <c r="E12" s="29">
        <v>12</v>
      </c>
      <c r="F12" s="30">
        <v>60.1</v>
      </c>
    </row>
    <row r="13" spans="1:6" x14ac:dyDescent="0.25">
      <c r="A13" s="29" t="s">
        <v>164</v>
      </c>
      <c r="B13" s="30">
        <v>237.05</v>
      </c>
      <c r="C13" s="30">
        <v>187.44</v>
      </c>
      <c r="D13" s="30">
        <v>638.25</v>
      </c>
      <c r="E13" s="29">
        <v>16</v>
      </c>
      <c r="F13" s="30">
        <v>199.02</v>
      </c>
    </row>
    <row r="14" spans="1:6" x14ac:dyDescent="0.25">
      <c r="A14" s="29" t="s">
        <v>165</v>
      </c>
      <c r="B14" s="30">
        <v>159.16</v>
      </c>
      <c r="C14" s="30">
        <v>114.05</v>
      </c>
      <c r="D14" s="30">
        <v>252.13</v>
      </c>
      <c r="E14" s="29">
        <v>16</v>
      </c>
      <c r="F14" s="30">
        <v>124.55</v>
      </c>
    </row>
    <row r="15" spans="1:6" x14ac:dyDescent="0.25">
      <c r="A15" s="29" t="s">
        <v>166</v>
      </c>
      <c r="B15" s="30">
        <v>395.49</v>
      </c>
      <c r="C15" s="30">
        <v>285.86</v>
      </c>
      <c r="D15" s="30">
        <v>553.96</v>
      </c>
      <c r="E15" s="29">
        <v>23</v>
      </c>
      <c r="F15" s="30">
        <v>301.24</v>
      </c>
    </row>
    <row r="16" spans="1:6" x14ac:dyDescent="0.25">
      <c r="A16" s="29" t="s">
        <v>167</v>
      </c>
      <c r="B16" s="30">
        <v>141.97999999999999</v>
      </c>
      <c r="C16" s="30">
        <v>56.79</v>
      </c>
      <c r="D16" s="30">
        <v>222.16</v>
      </c>
      <c r="E16" s="29">
        <v>17</v>
      </c>
      <c r="F16" s="30">
        <v>59.73</v>
      </c>
    </row>
    <row r="17" spans="1:6" x14ac:dyDescent="0.25">
      <c r="A17" s="29" t="s">
        <v>12</v>
      </c>
      <c r="B17" s="30">
        <v>206.67</v>
      </c>
      <c r="C17" s="30">
        <v>142.31</v>
      </c>
      <c r="D17" s="30">
        <v>252.97</v>
      </c>
      <c r="E17" s="29">
        <v>10</v>
      </c>
      <c r="F17" s="30">
        <v>117.38</v>
      </c>
    </row>
    <row r="18" spans="1:6" x14ac:dyDescent="0.25">
      <c r="A18" s="29" t="s">
        <v>168</v>
      </c>
      <c r="B18" s="30">
        <v>262.06</v>
      </c>
      <c r="C18" s="30">
        <v>153.72</v>
      </c>
      <c r="D18" s="30">
        <v>365.34</v>
      </c>
      <c r="E18" s="29">
        <v>15</v>
      </c>
      <c r="F18" s="30">
        <v>201.06</v>
      </c>
    </row>
    <row r="19" spans="1:6" x14ac:dyDescent="0.25">
      <c r="A19" s="29" t="s">
        <v>169</v>
      </c>
      <c r="B19" s="30">
        <v>72.239999999999995</v>
      </c>
      <c r="C19" s="30">
        <v>48.03</v>
      </c>
      <c r="D19" s="30">
        <v>75.44</v>
      </c>
      <c r="E19" s="29">
        <v>7</v>
      </c>
      <c r="F19" s="30">
        <v>49.98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245AE4"/>
  </sheetPr>
  <dimension ref="A1:G4"/>
  <sheetViews>
    <sheetView workbookViewId="0"/>
  </sheetViews>
  <sheetFormatPr defaultRowHeight="15" x14ac:dyDescent="0.25"/>
  <cols>
    <col min="1" max="1" width="16" customWidth="1"/>
    <col min="2" max="2" width="15" customWidth="1"/>
    <col min="3" max="4" width="14" customWidth="1"/>
    <col min="5" max="5" width="18" customWidth="1"/>
    <col min="6" max="6" width="15" customWidth="1"/>
    <col min="7" max="7" width="22" customWidth="1"/>
  </cols>
  <sheetData>
    <row r="1" spans="1:7" ht="30" x14ac:dyDescent="0.25">
      <c r="A1" s="28" t="s">
        <v>548</v>
      </c>
      <c r="B1" s="28" t="s">
        <v>549</v>
      </c>
      <c r="C1" s="28" t="s">
        <v>550</v>
      </c>
      <c r="D1" s="28" t="s">
        <v>551</v>
      </c>
      <c r="E1" s="28" t="s">
        <v>552</v>
      </c>
      <c r="F1" s="28" t="s">
        <v>553</v>
      </c>
      <c r="G1" s="28" t="s">
        <v>554</v>
      </c>
    </row>
    <row r="2" spans="1:7" x14ac:dyDescent="0.25">
      <c r="A2" s="29" t="s">
        <v>555</v>
      </c>
      <c r="B2" s="29" t="s">
        <v>556</v>
      </c>
      <c r="C2" s="30">
        <v>13818.15</v>
      </c>
      <c r="D2" s="29">
        <v>3982</v>
      </c>
      <c r="E2" s="29">
        <v>5930</v>
      </c>
      <c r="F2" s="29">
        <v>6380</v>
      </c>
      <c r="G2" s="29">
        <v>5889</v>
      </c>
    </row>
    <row r="3" spans="1:7" x14ac:dyDescent="0.25">
      <c r="A3" s="29" t="s">
        <v>557</v>
      </c>
      <c r="B3" s="29" t="s">
        <v>558</v>
      </c>
      <c r="C3" s="30">
        <v>14888.46</v>
      </c>
      <c r="D3" s="29">
        <v>2913</v>
      </c>
      <c r="E3" s="29">
        <v>3326</v>
      </c>
      <c r="F3" s="29">
        <v>4054</v>
      </c>
      <c r="G3" s="29">
        <v>3607</v>
      </c>
    </row>
    <row r="4" spans="1:7" x14ac:dyDescent="0.25">
      <c r="A4" s="29" t="s">
        <v>559</v>
      </c>
      <c r="B4" s="29" t="s">
        <v>560</v>
      </c>
      <c r="C4" s="30">
        <v>14770.83</v>
      </c>
      <c r="D4" s="29">
        <v>3011</v>
      </c>
      <c r="E4" s="29">
        <v>3316</v>
      </c>
      <c r="F4" s="29">
        <v>3268</v>
      </c>
      <c r="G4" s="29">
        <v>1857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245AE4"/>
  </sheetPr>
  <dimension ref="A1:D8"/>
  <sheetViews>
    <sheetView workbookViewId="0"/>
  </sheetViews>
  <sheetFormatPr defaultRowHeight="15" x14ac:dyDescent="0.25"/>
  <cols>
    <col min="1" max="1" width="18" customWidth="1"/>
    <col min="2" max="2" width="27" customWidth="1"/>
    <col min="3" max="3" width="49" customWidth="1"/>
    <col min="4" max="4" width="55" customWidth="1"/>
  </cols>
  <sheetData>
    <row r="1" spans="1:4" x14ac:dyDescent="0.25">
      <c r="A1" s="28" t="s">
        <v>561</v>
      </c>
      <c r="B1" s="28" t="s">
        <v>173</v>
      </c>
      <c r="C1" s="28" t="s">
        <v>562</v>
      </c>
      <c r="D1" s="28" t="s">
        <v>563</v>
      </c>
    </row>
    <row r="2" spans="1:4" ht="24" x14ac:dyDescent="0.25">
      <c r="A2" s="29" t="s">
        <v>564</v>
      </c>
      <c r="B2" s="29" t="s">
        <v>43</v>
      </c>
      <c r="C2" s="29" t="s">
        <v>565</v>
      </c>
      <c r="D2" s="29" t="s">
        <v>566</v>
      </c>
    </row>
    <row r="3" spans="1:4" ht="24" x14ac:dyDescent="0.25">
      <c r="A3" s="29" t="s">
        <v>567</v>
      </c>
      <c r="B3" s="29" t="s">
        <v>339</v>
      </c>
      <c r="C3" s="29" t="s">
        <v>568</v>
      </c>
      <c r="D3" s="29" t="s">
        <v>569</v>
      </c>
    </row>
    <row r="4" spans="1:4" ht="24" x14ac:dyDescent="0.25">
      <c r="A4" s="29" t="s">
        <v>160</v>
      </c>
      <c r="B4" s="29" t="s">
        <v>21</v>
      </c>
      <c r="C4" s="29" t="s">
        <v>570</v>
      </c>
      <c r="D4" s="29" t="s">
        <v>571</v>
      </c>
    </row>
    <row r="5" spans="1:4" ht="24" x14ac:dyDescent="0.25">
      <c r="A5" s="29" t="s">
        <v>160</v>
      </c>
      <c r="B5" s="29" t="s">
        <v>358</v>
      </c>
      <c r="C5" s="29" t="s">
        <v>572</v>
      </c>
      <c r="D5" s="29" t="s">
        <v>573</v>
      </c>
    </row>
    <row r="6" spans="1:4" ht="24" x14ac:dyDescent="0.25">
      <c r="A6" s="29" t="s">
        <v>161</v>
      </c>
      <c r="B6" s="29" t="s">
        <v>574</v>
      </c>
      <c r="C6" s="29" t="s">
        <v>575</v>
      </c>
      <c r="D6" s="29" t="s">
        <v>576</v>
      </c>
    </row>
    <row r="7" spans="1:4" ht="24" x14ac:dyDescent="0.25">
      <c r="A7" s="29" t="s">
        <v>167</v>
      </c>
      <c r="B7" s="29" t="s">
        <v>577</v>
      </c>
      <c r="C7" s="29" t="s">
        <v>578</v>
      </c>
      <c r="D7" s="29" t="s">
        <v>579</v>
      </c>
    </row>
    <row r="8" spans="1:4" ht="24" x14ac:dyDescent="0.25">
      <c r="A8" s="29" t="s">
        <v>168</v>
      </c>
      <c r="B8" s="29" t="s">
        <v>580</v>
      </c>
      <c r="C8" s="29" t="s">
        <v>581</v>
      </c>
      <c r="D8" s="29" t="s">
        <v>582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245AE4"/>
  </sheetPr>
  <dimension ref="A1:B19"/>
  <sheetViews>
    <sheetView workbookViewId="0"/>
  </sheetViews>
  <sheetFormatPr defaultRowHeight="15" x14ac:dyDescent="0.25"/>
  <cols>
    <col min="1" max="1" width="20" customWidth="1"/>
    <col min="2" max="2" width="55" customWidth="1"/>
  </cols>
  <sheetData>
    <row r="1" spans="1:2" x14ac:dyDescent="0.25">
      <c r="A1" s="28" t="s">
        <v>149</v>
      </c>
      <c r="B1" s="28" t="s">
        <v>583</v>
      </c>
    </row>
    <row r="2" spans="1:2" ht="24" x14ac:dyDescent="0.25">
      <c r="A2" s="29" t="s">
        <v>153</v>
      </c>
      <c r="B2" s="29" t="s">
        <v>584</v>
      </c>
    </row>
    <row r="3" spans="1:2" x14ac:dyDescent="0.25">
      <c r="A3" s="29" t="s">
        <v>154</v>
      </c>
      <c r="B3" s="29" t="s">
        <v>585</v>
      </c>
    </row>
    <row r="4" spans="1:2" ht="24" x14ac:dyDescent="0.25">
      <c r="A4" s="29" t="s">
        <v>155</v>
      </c>
      <c r="B4" s="29" t="s">
        <v>586</v>
      </c>
    </row>
    <row r="5" spans="1:2" ht="24" x14ac:dyDescent="0.25">
      <c r="A5" s="29" t="s">
        <v>156</v>
      </c>
      <c r="B5" s="29" t="s">
        <v>587</v>
      </c>
    </row>
    <row r="6" spans="1:2" x14ac:dyDescent="0.25">
      <c r="A6" s="29" t="s">
        <v>157</v>
      </c>
      <c r="B6" s="29" t="s">
        <v>588</v>
      </c>
    </row>
    <row r="7" spans="1:2" x14ac:dyDescent="0.25">
      <c r="A7" s="29" t="s">
        <v>158</v>
      </c>
      <c r="B7" s="29" t="s">
        <v>589</v>
      </c>
    </row>
    <row r="8" spans="1:2" ht="24" x14ac:dyDescent="0.25">
      <c r="A8" s="29" t="s">
        <v>159</v>
      </c>
      <c r="B8" s="29" t="s">
        <v>590</v>
      </c>
    </row>
    <row r="9" spans="1:2" ht="24" x14ac:dyDescent="0.25">
      <c r="A9" s="29" t="s">
        <v>160</v>
      </c>
      <c r="B9" s="29" t="s">
        <v>591</v>
      </c>
    </row>
    <row r="10" spans="1:2" x14ac:dyDescent="0.25">
      <c r="A10" s="29" t="s">
        <v>161</v>
      </c>
      <c r="B10" s="29" t="s">
        <v>592</v>
      </c>
    </row>
    <row r="11" spans="1:2" ht="24" x14ac:dyDescent="0.25">
      <c r="A11" s="29" t="s">
        <v>162</v>
      </c>
      <c r="B11" s="29" t="s">
        <v>593</v>
      </c>
    </row>
    <row r="12" spans="1:2" ht="24" x14ac:dyDescent="0.25">
      <c r="A12" s="29" t="s">
        <v>163</v>
      </c>
      <c r="B12" s="29" t="s">
        <v>594</v>
      </c>
    </row>
    <row r="13" spans="1:2" x14ac:dyDescent="0.25">
      <c r="A13" s="29" t="s">
        <v>164</v>
      </c>
      <c r="B13" s="29" t="s">
        <v>595</v>
      </c>
    </row>
    <row r="14" spans="1:2" x14ac:dyDescent="0.25">
      <c r="A14" s="29" t="s">
        <v>165</v>
      </c>
      <c r="B14" s="29" t="s">
        <v>596</v>
      </c>
    </row>
    <row r="15" spans="1:2" x14ac:dyDescent="0.25">
      <c r="A15" s="29" t="s">
        <v>166</v>
      </c>
      <c r="B15" s="29" t="s">
        <v>597</v>
      </c>
    </row>
    <row r="16" spans="1:2" x14ac:dyDescent="0.25">
      <c r="A16" s="29" t="s">
        <v>167</v>
      </c>
      <c r="B16" s="29" t="s">
        <v>598</v>
      </c>
    </row>
    <row r="17" spans="1:2" ht="24" x14ac:dyDescent="0.25">
      <c r="A17" s="29" t="s">
        <v>12</v>
      </c>
      <c r="B17" s="29" t="s">
        <v>599</v>
      </c>
    </row>
    <row r="18" spans="1:2" ht="24" x14ac:dyDescent="0.25">
      <c r="A18" s="29" t="s">
        <v>168</v>
      </c>
      <c r="B18" s="29" t="s">
        <v>600</v>
      </c>
    </row>
    <row r="19" spans="1:2" x14ac:dyDescent="0.25">
      <c r="A19" s="29" t="s">
        <v>169</v>
      </c>
      <c r="B19" s="29" t="s">
        <v>601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45AE4"/>
  </sheetPr>
  <dimension ref="A1:B5"/>
  <sheetViews>
    <sheetView workbookViewId="0"/>
  </sheetViews>
  <sheetFormatPr defaultRowHeight="15" x14ac:dyDescent="0.25"/>
  <cols>
    <col min="1" max="1" width="55" customWidth="1"/>
    <col min="2" max="2" width="36" customWidth="1"/>
  </cols>
  <sheetData>
    <row r="1" spans="1:2" x14ac:dyDescent="0.25">
      <c r="A1" s="28" t="s">
        <v>602</v>
      </c>
      <c r="B1" s="28" t="s">
        <v>603</v>
      </c>
    </row>
    <row r="2" spans="1:2" ht="24" x14ac:dyDescent="0.25">
      <c r="A2" s="29" t="s">
        <v>604</v>
      </c>
      <c r="B2" s="29" t="s">
        <v>605</v>
      </c>
    </row>
    <row r="3" spans="1:2" ht="24" x14ac:dyDescent="0.25">
      <c r="A3" s="29" t="s">
        <v>606</v>
      </c>
      <c r="B3" s="29" t="s">
        <v>605</v>
      </c>
    </row>
    <row r="4" spans="1:2" ht="24" x14ac:dyDescent="0.25">
      <c r="A4" s="29" t="s">
        <v>607</v>
      </c>
      <c r="B4" s="29" t="s">
        <v>605</v>
      </c>
    </row>
    <row r="5" spans="1:2" ht="24" x14ac:dyDescent="0.25">
      <c r="A5" s="29" t="s">
        <v>608</v>
      </c>
      <c r="B5" s="29" t="s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PAINEL</vt:lpstr>
      <vt:lpstr>DADOS_PROJETO</vt:lpstr>
      <vt:lpstr>BRIEFING</vt:lpstr>
      <vt:lpstr>INDICES</vt:lpstr>
      <vt:lpstr>CUSTOS_MACROGRUPO</vt:lpstr>
      <vt:lpstr>Supraestrutura</vt:lpstr>
      <vt:lpstr>Infraestrutura</vt:lpstr>
      <vt:lpstr>Mov. Terra</vt:lpstr>
      <vt:lpstr>Gerenciamento</vt:lpstr>
      <vt:lpstr>Alvenaria</vt:lpstr>
      <vt:lpstr>Impermeabilização</vt:lpstr>
      <vt:lpstr>Instalações</vt:lpstr>
      <vt:lpstr>Sist. Especiais</vt:lpstr>
      <vt:lpstr>Climatização</vt:lpstr>
      <vt:lpstr>Rev. Int. Parede</vt:lpstr>
      <vt:lpstr>Teto</vt:lpstr>
      <vt:lpstr>Pisos</vt:lpstr>
      <vt:lpstr>Pintura</vt:lpstr>
      <vt:lpstr>Esquadrias</vt:lpstr>
      <vt:lpstr>Louças e Metais</vt:lpstr>
      <vt:lpstr>Fachada</vt:lpstr>
      <vt:lpstr>Complementares</vt:lpstr>
      <vt:lpstr>Imprevistos</vt:lpstr>
      <vt:lpstr>PREMISSAS</vt:lpstr>
      <vt:lpstr>FONTES_PROJETO</vt:lpstr>
      <vt:lpstr>BENCHMARK_SUPABASE</vt:lpstr>
      <vt:lpstr>AMPLI_REFERENCIAS</vt:lpstr>
      <vt:lpstr>AJUSTES_V00</vt:lpstr>
      <vt:lpstr>PREMISSAS_V00</vt:lpstr>
      <vt:lpstr>LIMITACOES_V00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Cartesian</cp:lastModifiedBy>
  <dcterms:created xsi:type="dcterms:W3CDTF">2026-06-09T23:46:15Z</dcterms:created>
  <dcterms:modified xsi:type="dcterms:W3CDTF">2026-06-09T23:46:16Z</dcterms:modified>
</cp:coreProperties>
</file>