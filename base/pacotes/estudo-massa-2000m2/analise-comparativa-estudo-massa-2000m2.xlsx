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_MACROGRUPO" sheetId="2" state="visible" r:id="rId2"/>
    <sheet xmlns:r="http://schemas.openxmlformats.org/officeDocument/2006/relationships" name="GEOMETRIA" sheetId="3" state="visible" r:id="rId3"/>
    <sheet xmlns:r="http://schemas.openxmlformats.org/officeDocument/2006/relationships" name="GRA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2C3E50"/>
      <sz val="14"/>
    </font>
    <font>
      <i val="1"/>
      <color rgb="00666666"/>
      <sz val="9"/>
    </font>
    <font>
      <b val="1"/>
      <color rgb="002C3E50"/>
      <sz val="12"/>
    </font>
    <font>
      <name val="Arial"/>
      <b val="1"/>
      <color rgb="00FFFFFF"/>
      <sz val="10"/>
    </font>
    <font>
      <b val="1"/>
      <sz val="10"/>
    </font>
    <font>
      <b val="1"/>
      <color rgb="00D32F2F"/>
    </font>
    <font>
      <b val="1"/>
      <color rgb="002C3E50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1" pivotButton="0" quotePrefix="0" xfId="0"/>
    <xf numFmtId="0" fontId="8" fillId="0" borderId="0" pivotButton="0" quotePrefix="0" xfId="0"/>
    <xf numFmtId="164" fontId="9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 por macrogrupo — V × H (R$)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'GRAFICOS'!B3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'GRAFICOS'!$A$4:$A$21</f>
            </numRef>
          </cat>
          <val>
            <numRef>
              <f>'GRAFICOS'!$B$4:$B$21</f>
            </numRef>
          </val>
        </ser>
        <ser>
          <idx val="1"/>
          <order val="1"/>
          <tx>
            <strRef>
              <f>'GRAFICOS'!C3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'GRAFICOS'!$A$4:$A$21</f>
            </numRef>
          </cat>
          <val>
            <numRef>
              <f>'GRAFICOS'!$C$4:$C$21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 (R$)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Macrogrupo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22" customWidth="1" min="4" max="4"/>
    <col width="18" customWidth="1" min="5" max="5"/>
    <col width="10" customWidth="1" min="6" max="6"/>
    <col width="14" customWidth="1" min="7" max="7"/>
  </cols>
  <sheetData>
    <row r="1">
      <c r="A1" s="1" t="inlineStr">
        <is>
          <t>Estudo de Massa 2.000 m² — Comparativo Vertical × Horizontal</t>
        </is>
      </c>
    </row>
    <row r="2">
      <c r="A2" s="2" t="inlineStr">
        <is>
          <t>Brusque/SC | 24 aptos × 55 m² priv | Padrão Médio | Térreo pilotis | Ger 30/04/26</t>
        </is>
      </c>
    </row>
    <row r="4">
      <c r="A4" s="3" t="inlineStr">
        <is>
          <t>GRAND TOTAL</t>
        </is>
      </c>
    </row>
    <row r="5">
      <c r="A5" s="4" t="inlineStr"/>
      <c r="B5" s="4" t="inlineStr">
        <is>
          <t>Vertical (3 aptos/pav)</t>
        </is>
      </c>
      <c r="C5" s="4" t="inlineStr">
        <is>
          <t>Horizontal (4 aptos/pav)</t>
        </is>
      </c>
      <c r="D5" s="4" t="inlineStr">
        <is>
          <t>Δ (V − H)</t>
        </is>
      </c>
      <c r="E5" s="4" t="inlineStr">
        <is>
          <t>Δ %</t>
        </is>
      </c>
    </row>
    <row r="6">
      <c r="A6" s="5" t="inlineStr">
        <is>
          <t>Custo Total (R$)</t>
        </is>
      </c>
      <c r="B6" s="6" t="n">
        <v>9110185.5</v>
      </c>
      <c r="C6" s="6" t="n">
        <v>8671046.5</v>
      </c>
      <c r="D6" s="6" t="n">
        <v>439139</v>
      </c>
      <c r="E6" s="7" t="n">
        <v>0.05064429074391424</v>
      </c>
    </row>
    <row r="7">
      <c r="A7" s="5" t="inlineStr">
        <is>
          <t>Custo / m² AC</t>
        </is>
      </c>
      <c r="B7" s="6" t="n">
        <v>4555.09275</v>
      </c>
      <c r="C7" s="6" t="n">
        <v>4335.52325</v>
      </c>
      <c r="D7" s="6" t="n">
        <v>219.5695</v>
      </c>
      <c r="E7" t="inlineStr"/>
    </row>
    <row r="8">
      <c r="A8" s="5" t="inlineStr">
        <is>
          <t>Custo / UR (24 aptos)</t>
        </is>
      </c>
      <c r="B8" s="6" t="n">
        <v>379591.0625</v>
      </c>
      <c r="C8" s="6" t="n">
        <v>361293.6041666667</v>
      </c>
      <c r="D8" s="6" t="n">
        <v>18297.45833333333</v>
      </c>
      <c r="E8" t="inlineStr"/>
    </row>
    <row r="11">
      <c r="A11" s="3" t="inlineStr">
        <is>
          <t>TOP 5 MACROGRUPOS SENSÍVEIS (maior Δ absoluto)</t>
        </is>
      </c>
    </row>
    <row r="12">
      <c r="A12" s="4" t="inlineStr">
        <is>
          <t>#</t>
        </is>
      </c>
      <c r="B12" s="4" t="inlineStr">
        <is>
          <t>Macrogrupo</t>
        </is>
      </c>
      <c r="C12" s="4" t="inlineStr">
        <is>
          <t>Vertical (R$)</t>
        </is>
      </c>
      <c r="D12" s="4" t="inlineStr">
        <is>
          <t>Horizontal (R$)</t>
        </is>
      </c>
      <c r="E12" s="4" t="inlineStr">
        <is>
          <t>Δ (R$)</t>
        </is>
      </c>
      <c r="F12" s="4" t="inlineStr">
        <is>
          <t>Δ %</t>
        </is>
      </c>
      <c r="G12" s="4" t="inlineStr">
        <is>
          <t>Quem ganha</t>
        </is>
      </c>
    </row>
    <row r="13">
      <c r="A13" s="8" t="n">
        <v>1</v>
      </c>
      <c r="B13" t="inlineStr">
        <is>
          <t>Sist. Especiais</t>
        </is>
      </c>
      <c r="C13" s="6" t="n">
        <v>1060900</v>
      </c>
      <c r="D13" s="6" t="n">
        <v>868450</v>
      </c>
      <c r="E13" s="6" t="n">
        <v>192450</v>
      </c>
      <c r="F13" s="7" t="n">
        <v>0.2216017041856181</v>
      </c>
      <c r="G13" s="9" t="inlineStr">
        <is>
          <t>H</t>
        </is>
      </c>
    </row>
    <row r="14">
      <c r="A14" s="8" t="n">
        <v>2</v>
      </c>
      <c r="B14" t="inlineStr">
        <is>
          <t>Gerenciamento</t>
        </is>
      </c>
      <c r="C14" s="6" t="n">
        <v>2245930</v>
      </c>
      <c r="D14" s="6" t="n">
        <v>2055930</v>
      </c>
      <c r="E14" s="6" t="n">
        <v>190000</v>
      </c>
      <c r="F14" s="7" t="n">
        <v>0.09241559780731834</v>
      </c>
      <c r="G14" s="9" t="inlineStr">
        <is>
          <t>H</t>
        </is>
      </c>
    </row>
    <row r="15">
      <c r="A15" s="8" t="n">
        <v>3</v>
      </c>
      <c r="B15" t="inlineStr">
        <is>
          <t>Fachada</t>
        </is>
      </c>
      <c r="C15" s="6" t="n">
        <v>226440</v>
      </c>
      <c r="D15" s="6" t="n">
        <v>195840</v>
      </c>
      <c r="E15" s="6" t="n">
        <v>30600</v>
      </c>
      <c r="F15" s="7" t="n">
        <v>0.15625</v>
      </c>
      <c r="G15" s="9" t="inlineStr">
        <is>
          <t>H</t>
        </is>
      </c>
    </row>
    <row r="16">
      <c r="A16" s="8" t="n">
        <v>4</v>
      </c>
      <c r="B16" t="inlineStr">
        <is>
          <t>Climatização</t>
        </is>
      </c>
      <c r="C16" s="6" t="n">
        <v>229400</v>
      </c>
      <c r="D16" s="6" t="n">
        <v>209800</v>
      </c>
      <c r="E16" s="6" t="n">
        <v>19600</v>
      </c>
      <c r="F16" s="7" t="n">
        <v>0.09342230695900858</v>
      </c>
      <c r="G16" s="9" t="inlineStr">
        <is>
          <t>H</t>
        </is>
      </c>
    </row>
    <row r="17">
      <c r="A17" s="8" t="n">
        <v>5</v>
      </c>
      <c r="B17" t="inlineStr">
        <is>
          <t>Imprevistos</t>
        </is>
      </c>
      <c r="C17" s="6" t="n">
        <v>134633</v>
      </c>
      <c r="D17" s="6" t="n">
        <v>128144</v>
      </c>
      <c r="E17" s="6" t="n">
        <v>6489</v>
      </c>
      <c r="F17" s="7" t="n">
        <v>0.05063834436259208</v>
      </c>
      <c r="G17" s="9" t="inlineStr">
        <is>
          <t>H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Comparativo por Macrogrupo (18 itens)</t>
        </is>
      </c>
    </row>
    <row r="3">
      <c r="A3" s="4" t="inlineStr">
        <is>
          <t>Macrogrupo</t>
        </is>
      </c>
      <c r="B3" s="4" t="inlineStr">
        <is>
          <t>Vertical (R$)</t>
        </is>
      </c>
      <c r="C3" s="4" t="inlineStr">
        <is>
          <t>Horizontal (R$)</t>
        </is>
      </c>
      <c r="D3" s="4" t="inlineStr">
        <is>
          <t>Δ (R$)</t>
        </is>
      </c>
      <c r="E3" s="4" t="inlineStr">
        <is>
          <t>Δ %</t>
        </is>
      </c>
      <c r="F3" s="4" t="inlineStr">
        <is>
          <t>% V no total</t>
        </is>
      </c>
      <c r="G3" s="4" t="inlineStr">
        <is>
          <t>% H no total</t>
        </is>
      </c>
    </row>
    <row r="4">
      <c r="A4" s="11" t="inlineStr">
        <is>
          <t>Gerenciamento</t>
        </is>
      </c>
      <c r="B4" s="6" t="n">
        <v>2245930</v>
      </c>
      <c r="C4" s="6" t="n">
        <v>2055930</v>
      </c>
      <c r="D4" s="6" t="n">
        <v>190000</v>
      </c>
      <c r="E4" s="7" t="n">
        <v>0.09241559780731834</v>
      </c>
      <c r="F4" s="7" t="n">
        <v>0.2465295574936427</v>
      </c>
      <c r="G4" s="7" t="n">
        <v>0.2371028687252456</v>
      </c>
    </row>
    <row r="5">
      <c r="A5" s="11" t="inlineStr">
        <is>
          <t>Mov. Terra</t>
        </is>
      </c>
      <c r="B5" s="6" t="n">
        <v>34000</v>
      </c>
      <c r="C5" s="6" t="n">
        <v>34000</v>
      </c>
      <c r="D5" s="6" t="n">
        <v>0</v>
      </c>
      <c r="E5" s="7" t="n">
        <v>0</v>
      </c>
      <c r="F5" s="7" t="n">
        <v>0.00373208646519876</v>
      </c>
      <c r="G5" s="7" t="n">
        <v>0.003921095337223714</v>
      </c>
    </row>
    <row r="6">
      <c r="A6" s="11" t="inlineStr">
        <is>
          <t>Infraestrutura</t>
        </is>
      </c>
      <c r="B6" s="6" t="n">
        <v>352878.3</v>
      </c>
      <c r="C6" s="6" t="n">
        <v>352878.3</v>
      </c>
      <c r="D6" s="6" t="n">
        <v>0</v>
      </c>
      <c r="E6" s="7" t="n">
        <v>0</v>
      </c>
      <c r="F6" s="7" t="n">
        <v>0.03873448021448081</v>
      </c>
      <c r="G6" s="7" t="n">
        <v>0.04069616049227737</v>
      </c>
    </row>
    <row r="7">
      <c r="A7" s="11" t="inlineStr">
        <is>
          <t>Supraestrutura</t>
        </is>
      </c>
      <c r="B7" s="6" t="n">
        <v>1568879.2</v>
      </c>
      <c r="C7" s="6" t="n">
        <v>1568879.2</v>
      </c>
      <c r="D7" s="6" t="n">
        <v>0</v>
      </c>
      <c r="E7" s="7" t="n">
        <v>0</v>
      </c>
      <c r="F7" s="7" t="n">
        <v>0.1722115537603488</v>
      </c>
      <c r="G7" s="7" t="n">
        <v>0.1809330857584491</v>
      </c>
    </row>
    <row r="8">
      <c r="A8" s="11" t="inlineStr">
        <is>
          <t>Alvenaria</t>
        </is>
      </c>
      <c r="B8" s="6" t="n">
        <v>363150</v>
      </c>
      <c r="C8" s="6" t="n">
        <v>363150</v>
      </c>
      <c r="D8" s="6" t="n">
        <v>0</v>
      </c>
      <c r="E8" s="7" t="n">
        <v>0</v>
      </c>
      <c r="F8" s="7" t="n">
        <v>0.03986197646579205</v>
      </c>
      <c r="G8" s="7" t="n">
        <v>0.04188075799155269</v>
      </c>
    </row>
    <row r="9">
      <c r="A9" s="11" t="inlineStr">
        <is>
          <t>Impermeabilização</t>
        </is>
      </c>
      <c r="B9" s="6" t="n">
        <v>131520.2</v>
      </c>
      <c r="C9" s="6" t="n">
        <v>131520.2</v>
      </c>
      <c r="D9" s="6" t="n">
        <v>0</v>
      </c>
      <c r="E9" s="7" t="n">
        <v>0</v>
      </c>
      <c r="F9" s="7" t="n">
        <v>0.01443661053883041</v>
      </c>
      <c r="G9" s="7" t="n">
        <v>0.0151677424403156</v>
      </c>
    </row>
    <row r="10">
      <c r="A10" s="11" t="inlineStr">
        <is>
          <t>Instalações</t>
        </is>
      </c>
      <c r="B10" s="6" t="n">
        <v>669180</v>
      </c>
      <c r="C10" s="6" t="n">
        <v>669180</v>
      </c>
      <c r="D10" s="6" t="n">
        <v>0</v>
      </c>
      <c r="E10" s="7" t="n">
        <v>0</v>
      </c>
      <c r="F10" s="7" t="n">
        <v>0.07345404767005019</v>
      </c>
      <c r="G10" s="7" t="n">
        <v>0.07717407581656954</v>
      </c>
    </row>
    <row r="11">
      <c r="A11" s="11" t="inlineStr">
        <is>
          <t>Sist. Especiais</t>
        </is>
      </c>
      <c r="B11" s="6" t="n">
        <v>1060900</v>
      </c>
      <c r="C11" s="6" t="n">
        <v>868450</v>
      </c>
      <c r="D11" s="6" t="n">
        <v>192450</v>
      </c>
      <c r="E11" s="7" t="n">
        <v>0.2216017041856181</v>
      </c>
      <c r="F11" s="7" t="n">
        <v>0.116452074439099</v>
      </c>
      <c r="G11" s="7" t="n">
        <v>0.1001551542827039</v>
      </c>
    </row>
    <row r="12">
      <c r="A12" s="11" t="inlineStr">
        <is>
          <t>Climatização</t>
        </is>
      </c>
      <c r="B12" s="6" t="n">
        <v>229400</v>
      </c>
      <c r="C12" s="6" t="n">
        <v>209800</v>
      </c>
      <c r="D12" s="6" t="n">
        <v>19600</v>
      </c>
      <c r="E12" s="7" t="n">
        <v>0.09342230695900858</v>
      </c>
      <c r="F12" s="7" t="n">
        <v>0.02518060691519399</v>
      </c>
      <c r="G12" s="7" t="n">
        <v>0.02419546475733927</v>
      </c>
    </row>
    <row r="13">
      <c r="A13" s="11" t="inlineStr">
        <is>
          <t>Rev. Int. Parede</t>
        </is>
      </c>
      <c r="B13" s="6" t="n">
        <v>218069.4</v>
      </c>
      <c r="C13" s="6" t="n">
        <v>218069.4</v>
      </c>
      <c r="D13" s="6" t="n">
        <v>0</v>
      </c>
      <c r="E13" s="7" t="n">
        <v>0</v>
      </c>
      <c r="F13" s="7" t="n">
        <v>0.0239368781239416</v>
      </c>
      <c r="G13" s="7" t="n">
        <v>0.02514914433915214</v>
      </c>
    </row>
    <row r="14">
      <c r="A14" s="11" t="inlineStr">
        <is>
          <t>Teto</t>
        </is>
      </c>
      <c r="B14" s="6" t="n">
        <v>145232</v>
      </c>
      <c r="C14" s="6" t="n">
        <v>145232</v>
      </c>
      <c r="D14" s="6" t="n">
        <v>0</v>
      </c>
      <c r="E14" s="7" t="n">
        <v>0</v>
      </c>
      <c r="F14" s="7" t="n">
        <v>0.01594171710334548</v>
      </c>
      <c r="G14" s="7" t="n">
        <v>0.01674907405928454</v>
      </c>
    </row>
    <row r="15">
      <c r="A15" s="11" t="inlineStr">
        <is>
          <t>Pisos</t>
        </is>
      </c>
      <c r="B15" s="6" t="n">
        <v>356434.75</v>
      </c>
      <c r="C15" s="6" t="n">
        <v>356434.75</v>
      </c>
      <c r="D15" s="6" t="n">
        <v>0</v>
      </c>
      <c r="E15" s="7" t="n">
        <v>0</v>
      </c>
      <c r="F15" s="7" t="n">
        <v>0.03912486194710305</v>
      </c>
      <c r="G15" s="7" t="n">
        <v>0.04110631283086764</v>
      </c>
    </row>
    <row r="16">
      <c r="A16" s="11" t="inlineStr">
        <is>
          <t>Pintura</t>
        </is>
      </c>
      <c r="B16" s="6" t="n">
        <v>309286.65</v>
      </c>
      <c r="C16" s="6" t="n">
        <v>309286.65</v>
      </c>
      <c r="D16" s="6" t="n">
        <v>0</v>
      </c>
      <c r="E16" s="7" t="n">
        <v>0</v>
      </c>
      <c r="F16" s="7" t="n">
        <v>0.03394954471563724</v>
      </c>
      <c r="G16" s="7" t="n">
        <v>0.03566889532883949</v>
      </c>
    </row>
    <row r="17">
      <c r="A17" s="11" t="inlineStr">
        <is>
          <t>Esquadrias</t>
        </is>
      </c>
      <c r="B17" s="6" t="n">
        <v>552500</v>
      </c>
      <c r="C17" s="6" t="n">
        <v>552500</v>
      </c>
      <c r="D17" s="6" t="n">
        <v>0</v>
      </c>
      <c r="E17" s="7" t="n">
        <v>0</v>
      </c>
      <c r="F17" s="7" t="n">
        <v>0.06064640505947985</v>
      </c>
      <c r="G17" s="7" t="n">
        <v>0.06371779922988534</v>
      </c>
    </row>
    <row r="18">
      <c r="A18" s="11" t="inlineStr">
        <is>
          <t>Louças e Metais</t>
        </is>
      </c>
      <c r="B18" s="6" t="n">
        <v>48552</v>
      </c>
      <c r="C18" s="6" t="n">
        <v>48552</v>
      </c>
      <c r="D18" s="6" t="n">
        <v>0</v>
      </c>
      <c r="E18" s="7" t="n">
        <v>0</v>
      </c>
      <c r="F18" s="7" t="n">
        <v>0.00532941947230383</v>
      </c>
      <c r="G18" s="7" t="n">
        <v>0.005599324141555463</v>
      </c>
    </row>
    <row r="19">
      <c r="A19" s="11" t="inlineStr">
        <is>
          <t>Fachada</t>
        </is>
      </c>
      <c r="B19" s="6" t="n">
        <v>226440</v>
      </c>
      <c r="C19" s="6" t="n">
        <v>195840</v>
      </c>
      <c r="D19" s="6" t="n">
        <v>30600</v>
      </c>
      <c r="E19" s="7" t="n">
        <v>0.15625</v>
      </c>
      <c r="F19" s="7" t="n">
        <v>0.02485569585822374</v>
      </c>
      <c r="G19" s="7" t="n">
        <v>0.02258550914240859</v>
      </c>
    </row>
    <row r="20">
      <c r="A20" s="11" t="inlineStr">
        <is>
          <t>Complementares</t>
        </is>
      </c>
      <c r="B20" s="6" t="n">
        <v>463200</v>
      </c>
      <c r="C20" s="6" t="n">
        <v>463200</v>
      </c>
      <c r="D20" s="6" t="n">
        <v>0</v>
      </c>
      <c r="E20" s="7" t="n">
        <v>0</v>
      </c>
      <c r="F20" s="7" t="n">
        <v>0.05084418972588429</v>
      </c>
      <c r="G20" s="7" t="n">
        <v>0.05341915765300071</v>
      </c>
    </row>
    <row r="21">
      <c r="A21" s="11" t="inlineStr">
        <is>
          <t>Imprevistos</t>
        </is>
      </c>
      <c r="B21" s="6" t="n">
        <v>134633</v>
      </c>
      <c r="C21" s="6" t="n">
        <v>128144</v>
      </c>
      <c r="D21" s="6" t="n">
        <v>6489</v>
      </c>
      <c r="E21" s="7" t="n">
        <v>0.05063834436259208</v>
      </c>
      <c r="F21" s="7" t="n">
        <v>0.01477829403144426</v>
      </c>
      <c r="G21" s="7" t="n">
        <v>0.01477837767332928</v>
      </c>
    </row>
    <row r="22">
      <c r="A22" s="12" t="inlineStr">
        <is>
          <t>TOTAL</t>
        </is>
      </c>
      <c r="B22" s="13" t="n">
        <v>9110185.5</v>
      </c>
      <c r="C22" s="13" t="n">
        <v>8671046.5</v>
      </c>
      <c r="D22" s="13" t="n">
        <v>439139</v>
      </c>
      <c r="E22" s="7" t="n">
        <v>0.05064429074391424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10" t="inlineStr">
        <is>
          <t>Geometria dos Cenários (premissa do estudo)</t>
        </is>
      </c>
    </row>
    <row r="3">
      <c r="A3" s="4" t="inlineStr">
        <is>
          <t>Variável</t>
        </is>
      </c>
      <c r="B3" s="4" t="inlineStr">
        <is>
          <t>Vertical</t>
        </is>
      </c>
      <c r="C3" s="4" t="inlineStr">
        <is>
          <t>Horizontal</t>
        </is>
      </c>
      <c r="D3" s="4" t="inlineStr">
        <is>
          <t>Razão V/H</t>
        </is>
      </c>
    </row>
    <row r="4">
      <c r="A4" s="5" t="inlineStr">
        <is>
          <t>Aptos por pavimento</t>
        </is>
      </c>
      <c r="B4" s="14" t="n">
        <v>3</v>
      </c>
      <c r="C4" s="14" t="n">
        <v>4</v>
      </c>
      <c r="D4" s="14" t="inlineStr">
        <is>
          <t>0.75x</t>
        </is>
      </c>
    </row>
    <row r="5">
      <c r="A5" s="5" t="inlineStr">
        <is>
          <t>Pavimentos tipo (NPT)</t>
        </is>
      </c>
      <c r="B5" s="14" t="n">
        <v>8</v>
      </c>
      <c r="C5" s="14" t="n">
        <v>6</v>
      </c>
      <c r="D5" s="14" t="inlineStr">
        <is>
          <t>1.33x</t>
        </is>
      </c>
    </row>
    <row r="6">
      <c r="A6" s="5" t="inlineStr">
        <is>
          <t>Pavimentos total (NP)</t>
        </is>
      </c>
      <c r="B6" s="14" t="n">
        <v>9</v>
      </c>
      <c r="C6" s="14" t="n">
        <v>7</v>
      </c>
      <c r="D6" s="14" t="inlineStr">
        <is>
          <t>1.29x</t>
        </is>
      </c>
    </row>
    <row r="7">
      <c r="A7" s="5" t="inlineStr">
        <is>
          <t>Footprint torre (m²)</t>
        </is>
      </c>
      <c r="B7" s="14" t="n">
        <v>235</v>
      </c>
      <c r="C7" s="14" t="n">
        <v>315</v>
      </c>
      <c r="D7" s="14" t="inlineStr">
        <is>
          <t>0.75x</t>
        </is>
      </c>
    </row>
    <row r="8">
      <c r="A8" s="5" t="inlineStr">
        <is>
          <t>Perímetro torre (m)</t>
        </is>
      </c>
      <c r="B8" s="14" t="n">
        <v>62</v>
      </c>
      <c r="C8" s="14" t="n">
        <v>71</v>
      </c>
      <c r="D8" s="14" t="inlineStr">
        <is>
          <t>0.87x</t>
        </is>
      </c>
    </row>
    <row r="9">
      <c r="A9" s="5" t="inlineStr">
        <is>
          <t>Altura aproximada (m)</t>
        </is>
      </c>
      <c r="B9" s="14" t="n">
        <v>26</v>
      </c>
      <c r="C9" s="14" t="n">
        <v>20</v>
      </c>
      <c r="D9" s="14" t="inlineStr">
        <is>
          <t>1.30x</t>
        </is>
      </c>
    </row>
    <row r="10">
      <c r="A10" s="5" t="inlineStr">
        <is>
          <t>Área fachada total (m²)</t>
        </is>
      </c>
      <c r="B10" s="14" t="n">
        <v>1395</v>
      </c>
      <c r="C10" s="14" t="n">
        <v>1213</v>
      </c>
      <c r="D10" s="14" t="inlineStr">
        <is>
          <t>1.15x</t>
        </is>
      </c>
    </row>
    <row r="11">
      <c r="A11" s="5" t="inlineStr">
        <is>
          <t>Fachada / m² AC</t>
        </is>
      </c>
      <c r="B11" s="14" t="n">
        <v>0.698</v>
      </c>
      <c r="C11" s="14" t="n">
        <v>0.607</v>
      </c>
      <c r="D11" s="14" t="inlineStr">
        <is>
          <t>1.15x</t>
        </is>
      </c>
    </row>
    <row r="12">
      <c r="A12" s="5" t="inlineStr">
        <is>
          <t>Cobertura / m² AC</t>
        </is>
      </c>
      <c r="B12" s="14" t="n">
        <v>0.117</v>
      </c>
      <c r="C12" s="14" t="n">
        <v>0.158</v>
      </c>
      <c r="D12" s="14" t="inlineStr">
        <is>
          <t>0.75x</t>
        </is>
      </c>
    </row>
    <row r="13">
      <c r="A13" s="5" t="inlineStr">
        <is>
          <t>Elevadores</t>
        </is>
      </c>
      <c r="B13" s="14" t="n">
        <v>2</v>
      </c>
      <c r="C13" s="14" t="n">
        <v>1</v>
      </c>
      <c r="D13" s="14" t="inlineStr">
        <is>
          <t>2x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10" t="inlineStr">
        <is>
          <t>Comparativo gráfico</t>
        </is>
      </c>
    </row>
    <row r="3">
      <c r="A3" s="4" t="inlineStr">
        <is>
          <t>Macrogrupo</t>
        </is>
      </c>
      <c r="B3" s="4" t="inlineStr">
        <is>
          <t>Vertical</t>
        </is>
      </c>
      <c r="C3" s="4" t="inlineStr">
        <is>
          <t>Horizontal</t>
        </is>
      </c>
    </row>
    <row r="4">
      <c r="A4" s="11" t="inlineStr">
        <is>
          <t>Gerenciamento</t>
        </is>
      </c>
      <c r="B4" s="6" t="n">
        <v>2245930</v>
      </c>
      <c r="C4" s="6" t="n">
        <v>2055930</v>
      </c>
    </row>
    <row r="5">
      <c r="A5" s="11" t="inlineStr">
        <is>
          <t>Mov. Terra</t>
        </is>
      </c>
      <c r="B5" s="6" t="n">
        <v>34000</v>
      </c>
      <c r="C5" s="6" t="n">
        <v>34000</v>
      </c>
    </row>
    <row r="6">
      <c r="A6" s="11" t="inlineStr">
        <is>
          <t>Infraestrutura</t>
        </is>
      </c>
      <c r="B6" s="6" t="n">
        <v>352878.3</v>
      </c>
      <c r="C6" s="6" t="n">
        <v>352878.3</v>
      </c>
    </row>
    <row r="7">
      <c r="A7" s="11" t="inlineStr">
        <is>
          <t>Supraestrutura</t>
        </is>
      </c>
      <c r="B7" s="6" t="n">
        <v>1568879.2</v>
      </c>
      <c r="C7" s="6" t="n">
        <v>1568879.2</v>
      </c>
    </row>
    <row r="8">
      <c r="A8" s="11" t="inlineStr">
        <is>
          <t>Alvenaria</t>
        </is>
      </c>
      <c r="B8" s="6" t="n">
        <v>363150</v>
      </c>
      <c r="C8" s="6" t="n">
        <v>363150</v>
      </c>
    </row>
    <row r="9">
      <c r="A9" s="11" t="inlineStr">
        <is>
          <t>Impermeabilização</t>
        </is>
      </c>
      <c r="B9" s="6" t="n">
        <v>131520.2</v>
      </c>
      <c r="C9" s="6" t="n">
        <v>131520.2</v>
      </c>
    </row>
    <row r="10">
      <c r="A10" s="11" t="inlineStr">
        <is>
          <t>Instalações</t>
        </is>
      </c>
      <c r="B10" s="6" t="n">
        <v>669180</v>
      </c>
      <c r="C10" s="6" t="n">
        <v>669180</v>
      </c>
    </row>
    <row r="11">
      <c r="A11" s="11" t="inlineStr">
        <is>
          <t>Sist. Especiais</t>
        </is>
      </c>
      <c r="B11" s="6" t="n">
        <v>1060900</v>
      </c>
      <c r="C11" s="6" t="n">
        <v>868450</v>
      </c>
    </row>
    <row r="12">
      <c r="A12" s="11" t="inlineStr">
        <is>
          <t>Climatização</t>
        </is>
      </c>
      <c r="B12" s="6" t="n">
        <v>229400</v>
      </c>
      <c r="C12" s="6" t="n">
        <v>209800</v>
      </c>
    </row>
    <row r="13">
      <c r="A13" s="11" t="inlineStr">
        <is>
          <t>Rev. Int. Parede</t>
        </is>
      </c>
      <c r="B13" s="6" t="n">
        <v>218069.4</v>
      </c>
      <c r="C13" s="6" t="n">
        <v>218069.4</v>
      </c>
    </row>
    <row r="14">
      <c r="A14" s="11" t="inlineStr">
        <is>
          <t>Teto</t>
        </is>
      </c>
      <c r="B14" s="6" t="n">
        <v>145232</v>
      </c>
      <c r="C14" s="6" t="n">
        <v>145232</v>
      </c>
    </row>
    <row r="15">
      <c r="A15" s="11" t="inlineStr">
        <is>
          <t>Pisos</t>
        </is>
      </c>
      <c r="B15" s="6" t="n">
        <v>356434.75</v>
      </c>
      <c r="C15" s="6" t="n">
        <v>356434.75</v>
      </c>
    </row>
    <row r="16">
      <c r="A16" s="11" t="inlineStr">
        <is>
          <t>Pintura</t>
        </is>
      </c>
      <c r="B16" s="6" t="n">
        <v>309286.65</v>
      </c>
      <c r="C16" s="6" t="n">
        <v>309286.65</v>
      </c>
    </row>
    <row r="17">
      <c r="A17" s="11" t="inlineStr">
        <is>
          <t>Esquadrias</t>
        </is>
      </c>
      <c r="B17" s="6" t="n">
        <v>552500</v>
      </c>
      <c r="C17" s="6" t="n">
        <v>552500</v>
      </c>
    </row>
    <row r="18">
      <c r="A18" s="11" t="inlineStr">
        <is>
          <t>Louças e Metais</t>
        </is>
      </c>
      <c r="B18" s="6" t="n">
        <v>48552</v>
      </c>
      <c r="C18" s="6" t="n">
        <v>48552</v>
      </c>
    </row>
    <row r="19">
      <c r="A19" s="11" t="inlineStr">
        <is>
          <t>Fachada</t>
        </is>
      </c>
      <c r="B19" s="6" t="n">
        <v>226440</v>
      </c>
      <c r="C19" s="6" t="n">
        <v>195840</v>
      </c>
    </row>
    <row r="20">
      <c r="A20" s="11" t="inlineStr">
        <is>
          <t>Complementares</t>
        </is>
      </c>
      <c r="B20" s="6" t="n">
        <v>463200</v>
      </c>
      <c r="C20" s="6" t="n">
        <v>463200</v>
      </c>
    </row>
    <row r="21">
      <c r="A21" s="11" t="inlineStr">
        <is>
          <t>Imprevistos</t>
        </is>
      </c>
      <c r="B21" s="6" t="n">
        <v>134633</v>
      </c>
      <c r="C21" s="6" t="n">
        <v>128144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2026-04-30T23:15:50Z</dcterms:created>
  <dcterms:modified xmlns:dcterms="http://purl.org/dc/terms/" xmlns:xsi="http://www.w3.org/2001/XMLSchema-instance" xsi:type="dcterms:W3CDTF">2026-04-30T23:15:50Z</dcterms:modified>
</cp:coreProperties>
</file>