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W_RESUMO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DADOS_PROJETO" sheetId="3" state="visible" r:id="rId3"/>
    <sheet xmlns:r="http://schemas.openxmlformats.org/officeDocument/2006/relationships" name="BRIEFING" sheetId="4" state="visible" r:id="rId4"/>
    <sheet xmlns:r="http://schemas.openxmlformats.org/officeDocument/2006/relationships" name="INDICES" sheetId="5" state="visible" r:id="rId5"/>
    <sheet xmlns:r="http://schemas.openxmlformats.org/officeDocument/2006/relationships" name="CUSTOS_MACROGRUPO" sheetId="6" state="visible" r:id="rId6"/>
    <sheet xmlns:r="http://schemas.openxmlformats.org/officeDocument/2006/relationships" name="Supraestrutura" sheetId="7" state="visible" r:id="rId7"/>
    <sheet xmlns:r="http://schemas.openxmlformats.org/officeDocument/2006/relationships" name="Infraestrutura" sheetId="8" state="visible" r:id="rId8"/>
    <sheet xmlns:r="http://schemas.openxmlformats.org/officeDocument/2006/relationships" name="Mov. Terra" sheetId="9" state="visible" r:id="rId9"/>
    <sheet xmlns:r="http://schemas.openxmlformats.org/officeDocument/2006/relationships" name="Gerenciamento" sheetId="10" state="visible" r:id="rId10"/>
    <sheet xmlns:r="http://schemas.openxmlformats.org/officeDocument/2006/relationships" name="Alvenaria" sheetId="11" state="visible" r:id="rId11"/>
    <sheet xmlns:r="http://schemas.openxmlformats.org/officeDocument/2006/relationships" name="Impermeabilização" sheetId="12" state="visible" r:id="rId12"/>
    <sheet xmlns:r="http://schemas.openxmlformats.org/officeDocument/2006/relationships" name="Instalações" sheetId="13" state="visible" r:id="rId13"/>
    <sheet xmlns:r="http://schemas.openxmlformats.org/officeDocument/2006/relationships" name="Sist. Especiais" sheetId="14" state="visible" r:id="rId14"/>
    <sheet xmlns:r="http://schemas.openxmlformats.org/officeDocument/2006/relationships" name="Climatização" sheetId="15" state="visible" r:id="rId15"/>
    <sheet xmlns:r="http://schemas.openxmlformats.org/officeDocument/2006/relationships" name="Rev. Int. Parede" sheetId="16" state="visible" r:id="rId16"/>
    <sheet xmlns:r="http://schemas.openxmlformats.org/officeDocument/2006/relationships" name="Teto" sheetId="17" state="visible" r:id="rId17"/>
    <sheet xmlns:r="http://schemas.openxmlformats.org/officeDocument/2006/relationships" name="Pisos" sheetId="18" state="visible" r:id="rId18"/>
    <sheet xmlns:r="http://schemas.openxmlformats.org/officeDocument/2006/relationships" name="Pintura" sheetId="19" state="visible" r:id="rId19"/>
    <sheet xmlns:r="http://schemas.openxmlformats.org/officeDocument/2006/relationships" name="Esquadrias" sheetId="20" state="visible" r:id="rId20"/>
    <sheet xmlns:r="http://schemas.openxmlformats.org/officeDocument/2006/relationships" name="Louças e Metais" sheetId="21" state="visible" r:id="rId21"/>
    <sheet xmlns:r="http://schemas.openxmlformats.org/officeDocument/2006/relationships" name="Fachada" sheetId="22" state="visible" r:id="rId22"/>
    <sheet xmlns:r="http://schemas.openxmlformats.org/officeDocument/2006/relationships" name="Complementares" sheetId="23" state="visible" r:id="rId23"/>
    <sheet xmlns:r="http://schemas.openxmlformats.org/officeDocument/2006/relationships" name="Imprevistos" sheetId="24" state="visible" r:id="rId24"/>
    <sheet xmlns:r="http://schemas.openxmlformats.org/officeDocument/2006/relationships" name="PREMISSAS" sheetId="25" state="visible" r:id="rId25"/>
    <sheet xmlns:r="http://schemas.openxmlformats.org/officeDocument/2006/relationships" name="BDI_PREMISSAS" sheetId="26" state="visible" r:id="rId26"/>
    <sheet xmlns:r="http://schemas.openxmlformats.org/officeDocument/2006/relationships" name="FLOW_FONTES" sheetId="27" state="visible" r:id="rId27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2">
    <numFmt numFmtId="164" formatCode="0.0%"/>
    <numFmt numFmtId="165" formatCode="R$ #,##0.00"/>
  </numFmts>
  <fonts count="20">
    <font>
      <name val="Calibri"/>
      <family val="2"/>
      <color theme="1"/>
      <sz val="11"/>
      <scheme val="minor"/>
    </font>
    <font>
      <name val="Arial"/>
      <b val="1"/>
      <color rgb="002C3E50"/>
      <sz val="14"/>
    </font>
    <font>
      <name val="Arial"/>
      <b val="1"/>
      <sz val="9"/>
    </font>
    <font>
      <name val="Arial"/>
      <b val="1"/>
      <color rgb="00E67E22"/>
      <sz val="11"/>
    </font>
    <font>
      <name val="Arial"/>
      <b val="1"/>
      <color rgb="002C3E50"/>
      <sz val="13"/>
    </font>
    <font>
      <name val="Arial"/>
      <color rgb="00666666"/>
      <sz val="9"/>
    </font>
    <font>
      <name val="Arial"/>
      <b val="1"/>
      <color rgb="00FFFFFF"/>
      <sz val="9"/>
    </font>
    <font>
      <name val="Arial"/>
      <color rgb="00666666"/>
      <sz val="8"/>
    </font>
    <font>
      <name val="Arial"/>
      <b val="1"/>
      <color rgb="002C3E50"/>
      <sz val="12"/>
    </font>
    <font>
      <name val="Arial"/>
      <color rgb="00E67E22"/>
      <sz val="9"/>
    </font>
    <font>
      <name val="Arial"/>
      <sz val="9"/>
    </font>
    <font>
      <name val="Arial"/>
      <b val="1"/>
      <color rgb="0027AE60"/>
      <sz val="9"/>
    </font>
    <font>
      <name val="Arial"/>
      <b val="1"/>
      <sz val="10"/>
    </font>
    <font>
      <b val="1"/>
    </font>
    <font>
      <name val="Arial"/>
      <color rgb="00666666"/>
      <sz val="7"/>
    </font>
    <font>
      <name val="Arial"/>
      <b val="1"/>
      <sz val="11"/>
    </font>
    <font>
      <name val="Arial"/>
      <sz val="11"/>
    </font>
    <font>
      <b val="1"/>
      <color rgb="00111111"/>
      <sz val="14"/>
    </font>
    <font>
      <b val="1"/>
      <color rgb="00111111"/>
      <sz val="13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FFF3E0"/>
        <bgColor rgb="00FFF3E0"/>
      </patternFill>
    </fill>
    <fill>
      <patternFill patternType="solid">
        <fgColor rgb="002C3E50"/>
        <bgColor rgb="002C3E50"/>
      </patternFill>
    </fill>
    <fill>
      <patternFill patternType="solid">
        <fgColor rgb="00E8F5E9"/>
        <bgColor rgb="00E8F5E9"/>
      </patternFill>
    </fill>
    <fill>
      <patternFill patternType="solid">
        <fgColor rgb="00F4F4F4"/>
      </patternFill>
    </fill>
    <fill>
      <patternFill patternType="solid">
        <fgColor rgb="00245AE4"/>
      </patternFill>
    </fill>
    <fill>
      <patternFill patternType="solid">
        <fgColor rgb="00FD3400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E7E7E9"/>
      </left>
      <right style="thin">
        <color rgb="00E7E7E9"/>
      </right>
      <top style="thin">
        <color rgb="00E7E7E9"/>
      </top>
      <bottom style="thin">
        <color rgb="00E7E7E9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15" fillId="0" borderId="0" pivotButton="0" quotePrefix="0" xfId="0"/>
    <xf numFmtId="3" fontId="10" fillId="4" borderId="1" pivotButton="0" quotePrefix="0" xfId="0"/>
    <xf numFmtId="4" fontId="10" fillId="4" borderId="1" pivotButton="0" quotePrefix="0" xfId="0"/>
    <xf numFmtId="2" fontId="10" fillId="4" borderId="1" pivotButton="0" quotePrefix="0" xfId="0"/>
    <xf numFmtId="49" fontId="10" fillId="4" borderId="1" pivotButton="0" quotePrefix="0" xfId="0"/>
    <xf numFmtId="0" fontId="2" fillId="0" borderId="1" pivotButton="0" quotePrefix="0" xfId="0"/>
    <xf numFmtId="4" fontId="3" fillId="2" borderId="1" pivotButton="0" quotePrefix="0" xfId="0"/>
    <xf numFmtId="3" fontId="3" fillId="2" borderId="1" pivotButton="0" quotePrefix="0" xfId="0"/>
    <xf numFmtId="0" fontId="4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3" fillId="2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4" fontId="11" fillId="4" borderId="1" pivotButton="0" quotePrefix="0" xfId="0"/>
    <xf numFmtId="3" fontId="11" fillId="4" borderId="1" pivotButton="0" quotePrefix="0" xfId="0"/>
    <xf numFmtId="164" fontId="10" fillId="4" borderId="1" pivotButton="0" quotePrefix="0" xfId="0"/>
    <xf numFmtId="0" fontId="12" fillId="0" borderId="0" pivotButton="0" quotePrefix="0" xfId="0"/>
    <xf numFmtId="4" fontId="13" fillId="0" borderId="0" pivotButton="0" quotePrefix="0" xfId="0"/>
    <xf numFmtId="3" fontId="13" fillId="0" borderId="0" pivotButton="0" quotePrefix="0" xfId="0"/>
    <xf numFmtId="0" fontId="2" fillId="0" borderId="0" pivotButton="0" quotePrefix="0" xfId="0"/>
    <xf numFmtId="3" fontId="0" fillId="0" borderId="0" pivotButton="0" quotePrefix="0" xfId="0"/>
    <xf numFmtId="0" fontId="0" fillId="0" borderId="1" pivotButton="0" quotePrefix="0" xfId="0"/>
    <xf numFmtId="4" fontId="0" fillId="0" borderId="1" pivotButton="0" quotePrefix="0" xfId="0"/>
    <xf numFmtId="0" fontId="14" fillId="0" borderId="1" pivotButton="0" quotePrefix="0" xfId="0"/>
    <xf numFmtId="0" fontId="13" fillId="0" borderId="0" pivotButton="0" quotePrefix="0" xfId="0"/>
    <xf numFmtId="3" fontId="0" fillId="0" borderId="1" pivotButton="0" quotePrefix="0" xfId="0"/>
    <xf numFmtId="0" fontId="10" fillId="0" borderId="0" pivotButton="0" quotePrefix="0" xfId="0"/>
    <xf numFmtId="0" fontId="17" fillId="0" borderId="0" pivotButton="0" quotePrefix="0" xfId="0"/>
    <xf numFmtId="0" fontId="13" fillId="5" borderId="2" pivotButton="0" quotePrefix="0" xfId="0"/>
    <xf numFmtId="0" fontId="0" fillId="0" borderId="2" pivotButton="0" quotePrefix="0" xfId="0"/>
    <xf numFmtId="4" fontId="0" fillId="0" borderId="2" pivotButton="0" quotePrefix="0" xfId="0"/>
    <xf numFmtId="0" fontId="18" fillId="0" borderId="0" pivotButton="0" quotePrefix="0" xfId="0"/>
    <xf numFmtId="0" fontId="19" fillId="6" borderId="2" applyAlignment="1" pivotButton="0" quotePrefix="0" xfId="0">
      <alignment horizontal="center"/>
    </xf>
    <xf numFmtId="164" fontId="0" fillId="0" borderId="2" pivotButton="0" quotePrefix="0" xfId="0"/>
    <xf numFmtId="165" fontId="0" fillId="0" borderId="2" pivotButton="0" quotePrefix="0" xfId="0"/>
    <xf numFmtId="0" fontId="19" fillId="7" borderId="0" pivotButton="0" quotePrefix="0" xfId="0"/>
    <xf numFmtId="0" fontId="19" fillId="6" borderId="2" pivotButton="0" quotePrefix="0" xfId="0"/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  <col width="34" customWidth="1" min="4" max="4"/>
  </cols>
  <sheetData>
    <row r="1">
      <c r="A1" s="31" t="inlineStr">
        <is>
          <t>FLOW DA LAGOA - RESUMO DE ENQUADRAMENTO</t>
        </is>
      </c>
    </row>
    <row r="3">
      <c r="A3" s="32" t="inlineStr">
        <is>
          <t>Data da versão</t>
        </is>
      </c>
      <c r="B3" s="33" t="inlineStr">
        <is>
          <t>2026-06-09</t>
        </is>
      </c>
      <c r="C3" s="32" t="inlineStr">
        <is>
          <t>Fonte</t>
        </is>
      </c>
      <c r="D3" s="33" t="inlineStr">
        <is>
          <t>Pacote v01</t>
        </is>
      </c>
    </row>
    <row r="4">
      <c r="A4" s="32" t="inlineStr">
        <is>
          <t>Área construída</t>
        </is>
      </c>
      <c r="B4" s="34" t="n">
        <v>15000.62</v>
      </c>
      <c r="C4" s="32" t="inlineStr">
        <is>
          <t>m²</t>
        </is>
      </c>
      <c r="D4" s="33" t="inlineStr">
        <is>
          <t>Quadro ARQ</t>
        </is>
      </c>
    </row>
    <row r="5">
      <c r="A5" s="32" t="inlineStr">
        <is>
          <t>Área computável</t>
        </is>
      </c>
      <c r="B5" s="34" t="n">
        <v>8122.55</v>
      </c>
      <c r="C5" s="32" t="inlineStr">
        <is>
          <t>m²</t>
        </is>
      </c>
      <c r="D5" s="33" t="inlineStr">
        <is>
          <t>Quadro ARQ</t>
        </is>
      </c>
    </row>
    <row r="6">
      <c r="A6" s="32" t="inlineStr">
        <is>
          <t>Área privativa</t>
        </is>
      </c>
      <c r="B6" s="34" t="n">
        <v>8343.9</v>
      </c>
      <c r="C6" s="32" t="inlineStr">
        <is>
          <t>m²</t>
        </is>
      </c>
      <c r="D6" s="33" t="inlineStr">
        <is>
          <t>Quadro ARQ</t>
        </is>
      </c>
    </row>
    <row r="7">
      <c r="A7" s="32" t="inlineStr">
        <is>
          <t>UR</t>
        </is>
      </c>
      <c r="B7" s="33" t="n">
        <v>236</v>
      </c>
      <c r="C7" s="32" t="inlineStr">
        <is>
          <t>un</t>
        </is>
      </c>
      <c r="D7" s="33" t="inlineStr">
        <is>
          <t>Premissa por área média</t>
        </is>
      </c>
    </row>
    <row r="8">
      <c r="A8" s="32" t="inlineStr">
        <is>
          <t>Área construída/UR</t>
        </is>
      </c>
      <c r="B8" s="34" t="n">
        <v>63.56194915254238</v>
      </c>
      <c r="C8" s="32" t="inlineStr">
        <is>
          <t>m²/UR</t>
        </is>
      </c>
      <c r="D8" s="33" t="inlineStr">
        <is>
          <t>Controle</t>
        </is>
      </c>
    </row>
    <row r="9">
      <c r="A9" s="32" t="inlineStr">
        <is>
          <t>Área privativa/UR</t>
        </is>
      </c>
      <c r="B9" s="34" t="n">
        <v>35.35550847457627</v>
      </c>
      <c r="C9" s="32" t="inlineStr">
        <is>
          <t>m²/UR</t>
        </is>
      </c>
      <c r="D9" s="33" t="inlineStr">
        <is>
          <t>Controle</t>
        </is>
      </c>
    </row>
    <row r="10">
      <c r="A10" s="32" t="inlineStr">
        <is>
          <t>Vagas automóveis</t>
        </is>
      </c>
      <c r="B10" s="33" t="n">
        <v>161</v>
      </c>
      <c r="C10" s="32" t="inlineStr">
        <is>
          <t>un</t>
        </is>
      </c>
      <c r="D10" s="33" t="inlineStr">
        <is>
          <t>Quadro ARQ</t>
        </is>
      </c>
    </row>
    <row r="11">
      <c r="A11" s="32" t="inlineStr">
        <is>
          <t>Vagas bicicletas</t>
        </is>
      </c>
      <c r="B11" s="33" t="n">
        <v>213</v>
      </c>
      <c r="C11" s="32" t="inlineStr">
        <is>
          <t>un</t>
        </is>
      </c>
      <c r="D11" s="33" t="inlineStr">
        <is>
          <t>Quadro ARQ</t>
        </is>
      </c>
    </row>
    <row r="12">
      <c r="A12" s="32" t="inlineStr">
        <is>
          <t>Elevadores</t>
        </is>
      </c>
      <c r="B12" s="33" t="n">
        <v>4</v>
      </c>
      <c r="C12" s="32" t="inlineStr">
        <is>
          <t>un</t>
        </is>
      </c>
      <c r="D12" s="33" t="inlineStr">
        <is>
          <t>Premissa visual</t>
        </is>
      </c>
    </row>
    <row r="13">
      <c r="A13" s="32" t="inlineStr">
        <is>
          <t>Prazo</t>
        </is>
      </c>
      <c r="B13" s="33" t="n">
        <v>24</v>
      </c>
      <c r="C13" s="32" t="inlineStr">
        <is>
          <t>meses</t>
        </is>
      </c>
      <c r="D13" s="33" t="inlineStr">
        <is>
          <t>Premissa V1</t>
        </is>
      </c>
    </row>
    <row r="14">
      <c r="A14" s="32" t="inlineStr">
        <is>
          <t>CUB-SC ref. maio/2026</t>
        </is>
      </c>
      <c r="B14" s="34" t="n">
        <v>3096.25</v>
      </c>
      <c r="C14" s="32" t="inlineStr">
        <is>
          <t>R$/m²</t>
        </is>
      </c>
      <c r="D14" s="33" t="inlineStr">
        <is>
          <t>Sinduscon-Fpolis</t>
        </is>
      </c>
    </row>
    <row r="15">
      <c r="A15" s="32" t="inlineStr">
        <is>
          <t>Supabase médio-alto mediana</t>
        </is>
      </c>
      <c r="B15" s="34" t="n">
        <v>3348.65</v>
      </c>
      <c r="C15" s="32" t="inlineStr">
        <is>
          <t>R$/m²</t>
        </is>
      </c>
      <c r="D15" s="33" t="inlineStr">
        <is>
          <t>Soma macrogrupos</t>
        </is>
      </c>
    </row>
    <row r="16">
      <c r="A16" s="32" t="inlineStr">
        <is>
          <t>Supabase alto mediana</t>
        </is>
      </c>
      <c r="B16" s="34" t="n">
        <v>4155.75</v>
      </c>
      <c r="C16" s="32" t="inlineStr">
        <is>
          <t>R$/m²</t>
        </is>
      </c>
      <c r="D16" s="33" t="inlineStr">
        <is>
          <t>Soma macrogrupos</t>
        </is>
      </c>
    </row>
    <row r="17">
      <c r="A17" s="32" t="inlineStr">
        <is>
          <t>Cenário recomendado v01</t>
        </is>
      </c>
      <c r="B17" s="34" t="n">
        <v>3680</v>
      </c>
      <c r="C17" s="32" t="inlineStr">
        <is>
          <t>R$/m²</t>
        </is>
      </c>
      <c r="D17" s="33" t="inlineStr">
        <is>
          <t>Entre médio-alto e alto</t>
        </is>
      </c>
    </row>
    <row r="18">
      <c r="A18" s="32" t="inlineStr">
        <is>
          <t>Custo direto recomendado v01</t>
        </is>
      </c>
      <c r="B18" s="34" t="n">
        <v>55202281.6</v>
      </c>
      <c r="C18" s="32" t="inlineStr">
        <is>
          <t>R$</t>
        </is>
      </c>
      <c r="D18" s="33" t="inlineStr">
        <is>
          <t>Controle de plausibilidade</t>
        </is>
      </c>
    </row>
    <row r="19">
      <c r="A19" s="32" t="inlineStr">
        <is>
          <t>R$/UR recomendado v01</t>
        </is>
      </c>
      <c r="B19" s="34" t="n">
        <v>233907.9728813559</v>
      </c>
      <c r="C19" s="32" t="inlineStr">
        <is>
          <t>R$/UR</t>
        </is>
      </c>
      <c r="D19" s="33" t="inlineStr">
        <is>
          <t>Controle</t>
        </is>
      </c>
    </row>
    <row r="20">
      <c r="A20" s="32" t="inlineStr">
        <is>
          <t>R$/m² / CUB</t>
        </is>
      </c>
      <c r="B20" s="34" t="n">
        <v>1.188534517561566</v>
      </c>
      <c r="C20" s="32" t="inlineStr">
        <is>
          <t>x CUB</t>
        </is>
      </c>
      <c r="D20" s="33" t="inlineStr">
        <is>
          <t>Controle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AE60"/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</cols>
  <sheetData>
    <row r="1">
      <c r="A1" s="1" t="inlineStr">
        <is>
          <t>FLOW DA LAGOA — PARAMÉTRICO V2</t>
        </is>
      </c>
    </row>
    <row r="2">
      <c r="A2" s="2" t="inlineStr">
        <is>
          <t>Bottom-up + Dropdowns interativos | 75 executivos calibrados</t>
        </is>
      </c>
    </row>
    <row r="4">
      <c r="A4" s="3" t="inlineStr">
        <is>
          <t>Custo Total</t>
        </is>
      </c>
      <c r="B4" s="4">
        <f>CUSTOS_MACROGRUPO!D22</f>
        <v/>
      </c>
    </row>
    <row r="5">
      <c r="A5" s="3" t="inlineStr">
        <is>
          <t>R$/m² AC</t>
        </is>
      </c>
      <c r="B5" s="5">
        <f>CUSTOS_MACROGRUPO!D22/DADOS_PROJETO!B5</f>
        <v/>
      </c>
    </row>
    <row r="6">
      <c r="A6" s="3" t="inlineStr">
        <is>
          <t>CUB Ratio</t>
        </is>
      </c>
      <c r="B6" s="6">
        <f>B5/DADOS_PROJETO!B12</f>
        <v/>
      </c>
    </row>
    <row r="7">
      <c r="A7" s="3" t="inlineStr">
        <is>
          <t>Custo/UR</t>
        </is>
      </c>
      <c r="B7" s="4">
        <f>CUSTOS_MACROGRUPO!D22/DADOS_PROJETO!B6</f>
        <v/>
      </c>
    </row>
    <row r="8">
      <c r="A8" s="3" t="inlineStr">
        <is>
          <t>AC</t>
        </is>
      </c>
      <c r="B8" s="4">
        <f>DADOS_PROJETO!B5</f>
        <v/>
      </c>
    </row>
    <row r="9">
      <c r="A9" s="3" t="inlineStr">
        <is>
          <t>UR</t>
        </is>
      </c>
      <c r="B9" s="4">
        <f>DADOS_PROJETO!B6</f>
        <v/>
      </c>
    </row>
    <row r="10">
      <c r="A10" s="3" t="inlineStr">
        <is>
          <t>CUB</t>
        </is>
      </c>
      <c r="B10" s="5">
        <f>DADOS_PROJETO!B12</f>
        <v/>
      </c>
    </row>
    <row r="11">
      <c r="A11" s="3" t="inlineStr">
        <is>
          <t>Laje</t>
        </is>
      </c>
      <c r="B11" s="7">
        <f>BRIEFING!B4</f>
        <v/>
      </c>
    </row>
    <row r="12">
      <c r="A12" s="3" t="inlineStr">
        <is>
          <t>Subsolos</t>
        </is>
      </c>
      <c r="B12" s="7">
        <f>BRIEFING!B5</f>
        <v/>
      </c>
    </row>
    <row r="13">
      <c r="A13" s="3" t="inlineStr">
        <is>
          <t>Padrão</t>
        </is>
      </c>
      <c r="B13" s="7">
        <f>BRIEFING!B7</f>
        <v/>
      </c>
    </row>
    <row r="14">
      <c r="A14" s="3" t="inlineStr">
        <is>
          <t>Fachada</t>
        </is>
      </c>
      <c r="B14" s="7">
        <f>BRIEFING!B8</f>
        <v/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980B9"/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</cols>
  <sheetData>
    <row r="1">
      <c r="A1" s="1" t="inlineStr">
        <is>
          <t>FLOW DA LAGOA — ORÇAMENTO PARAMÉTRICO V2</t>
        </is>
      </c>
    </row>
    <row r="3">
      <c r="A3" s="8" t="inlineStr">
        <is>
          <t>Projeto</t>
        </is>
      </c>
      <c r="B3" t="inlineStr">
        <is>
          <t>Flow da Lagoa</t>
        </is>
      </c>
    </row>
    <row r="4">
      <c r="A4" s="8" t="inlineStr">
        <is>
          <t>Cidade/UF</t>
        </is>
      </c>
      <c r="B4" t="inlineStr">
        <is>
          <t>Florianópolis</t>
        </is>
      </c>
    </row>
    <row r="5">
      <c r="A5" s="8" t="inlineStr">
        <is>
          <t>AC Total (m²)</t>
        </is>
      </c>
      <c r="B5" s="9" t="n">
        <v>15000.62</v>
      </c>
    </row>
    <row r="6">
      <c r="A6" s="8" t="inlineStr">
        <is>
          <t>UR</t>
        </is>
      </c>
      <c r="B6" s="10" t="n">
        <v>236</v>
      </c>
    </row>
    <row r="7">
      <c r="A7" s="8" t="inlineStr">
        <is>
          <t>Pavimentos</t>
        </is>
      </c>
      <c r="B7" s="10" t="n">
        <v>6</v>
      </c>
    </row>
    <row r="8">
      <c r="A8" s="8" t="inlineStr">
        <is>
          <t>Pav. Tipo</t>
        </is>
      </c>
      <c r="B8" s="10" t="n">
        <v>3</v>
      </c>
    </row>
    <row r="9">
      <c r="A9" s="8" t="inlineStr">
        <is>
          <t>Elevadores</t>
        </is>
      </c>
      <c r="B9" s="10" t="n">
        <v>4</v>
      </c>
    </row>
    <row r="10">
      <c r="A10" s="8" t="inlineStr">
        <is>
          <t>Vagas</t>
        </is>
      </c>
      <c r="B10" s="10" t="n">
        <v>161</v>
      </c>
    </row>
    <row r="11">
      <c r="A11" s="8" t="inlineStr">
        <is>
          <t>Prazo (meses)</t>
        </is>
      </c>
      <c r="B11" s="10" t="n">
        <v>24</v>
      </c>
    </row>
    <row r="12">
      <c r="A12" s="8" t="inlineStr">
        <is>
          <t>CUB Atual (R$)</t>
        </is>
      </c>
      <c r="B12" s="9" t="n">
        <v>3096.25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67E22"/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45" customWidth="1" min="3" max="3"/>
    <col width="5" customWidth="1" min="4" max="4"/>
  </cols>
  <sheetData>
    <row r="1">
      <c r="A1" s="11" t="inlineStr">
        <is>
          <t>BRIEFING — ALTERE OS DROPDOWNS PARA RECALCULAR</t>
        </is>
      </c>
    </row>
    <row r="2">
      <c r="A2" s="2" t="inlineStr">
        <is>
          <t>Cada alteração muda automaticamente os índices e custos nas abas de detalhe</t>
        </is>
      </c>
    </row>
    <row r="3">
      <c r="A3" s="12" t="inlineStr">
        <is>
          <t>Pergunta</t>
        </is>
      </c>
      <c r="B3" s="12" t="inlineStr">
        <is>
          <t>Resposta</t>
        </is>
      </c>
      <c r="C3" s="12" t="inlineStr">
        <is>
          <t>Impacto</t>
        </is>
      </c>
      <c r="D3" s="12" t="inlineStr"/>
    </row>
    <row r="4">
      <c r="A4" s="8" t="inlineStr">
        <is>
          <t>Tipo de Laje</t>
        </is>
      </c>
      <c r="B4" s="13" t="inlineStr">
        <is>
          <t>Convencional</t>
        </is>
      </c>
      <c r="C4" s="14" t="inlineStr">
        <is>
          <t>Muda: concreto, aço, forma, escoramento, cordoalha</t>
        </is>
      </c>
    </row>
    <row r="5">
      <c r="A5" s="8" t="inlineStr">
        <is>
          <t>Subsolos</t>
        </is>
      </c>
      <c r="B5" s="13" t="inlineStr">
        <is>
          <t>0</t>
        </is>
      </c>
      <c r="C5" s="14" t="inlineStr">
        <is>
          <t>Muda: contenção, mov.terra, impermeabilização, fundação</t>
        </is>
      </c>
    </row>
    <row r="6">
      <c r="A6" s="8" t="inlineStr">
        <is>
          <t>Fundação</t>
        </is>
      </c>
      <c r="B6" s="13" t="inlineStr">
        <is>
          <t>Hélice</t>
        </is>
      </c>
      <c r="C6" s="14" t="inlineStr">
        <is>
          <t>Muda: custo infraestrutura, tipo de perfuração</t>
        </is>
      </c>
    </row>
    <row r="7">
      <c r="A7" s="8" t="inlineStr">
        <is>
          <t>Padrão Acabamento</t>
        </is>
      </c>
      <c r="B7" s="13" t="inlineStr">
        <is>
          <t>Médio-Alto</t>
        </is>
      </c>
      <c r="C7" s="14" t="inlineStr">
        <is>
          <t>Muda: pisos, rev.parede, esquadrias, louças, fachada</t>
        </is>
      </c>
    </row>
    <row r="8">
      <c r="A8" s="8" t="inlineStr">
        <is>
          <t>Fachada</t>
        </is>
      </c>
      <c r="B8" s="13" t="inlineStr">
        <is>
          <t>Textura</t>
        </is>
      </c>
      <c r="C8" s="14" t="inlineStr">
        <is>
          <t>Muda: custo fachada (R$/m²)</t>
        </is>
      </c>
    </row>
    <row r="9">
      <c r="A9" s="8" t="inlineStr">
        <is>
          <t>Pressurização</t>
        </is>
      </c>
      <c r="B9" s="13" t="inlineStr">
        <is>
          <t>Não</t>
        </is>
      </c>
      <c r="C9" s="14" t="inlineStr">
        <is>
          <t>Muda: custo sist.especiais (+R$ 80k)</t>
        </is>
      </c>
    </row>
    <row r="10">
      <c r="A10" s="8" t="inlineStr">
        <is>
          <t>Nº Torres</t>
        </is>
      </c>
      <c r="B10" s="13" t="inlineStr">
        <is>
          <t>3</t>
        </is>
      </c>
      <c r="C10" s="14" t="inlineStr">
        <is>
          <t>Muda: gerador, elevadores, equipamentos</t>
        </is>
      </c>
    </row>
    <row r="11">
      <c r="A11" s="8" t="inlineStr">
        <is>
          <t>Gerador Dedicado</t>
        </is>
      </c>
      <c r="B11" s="13" t="inlineStr">
        <is>
          <t>Não</t>
        </is>
      </c>
      <c r="C11" s="14" t="inlineStr">
        <is>
          <t>Muda: sist.especiais (R$ 120-350k)</t>
        </is>
      </c>
    </row>
    <row r="12">
      <c r="A12" s="8" t="inlineStr">
        <is>
          <t>Entrega</t>
        </is>
      </c>
      <c r="B12" s="13" t="inlineStr">
        <is>
          <t>Completa</t>
        </is>
      </c>
      <c r="C12" s="14" t="inlineStr">
        <is>
          <t>Shell desconta ~R$ 200/m² (pisos, pintura, rev.parede, louças, alvenaria)</t>
        </is>
      </c>
    </row>
    <row r="13">
      <c r="A13" s="8" t="inlineStr">
        <is>
          <t>Tipologia</t>
        </is>
      </c>
      <c r="B13" s="13" t="inlineStr">
        <is>
          <t>1-2 Dormitórios</t>
        </is>
      </c>
      <c r="C13" s="14" t="inlineStr">
        <is>
          <t>Muda: pontos elétricos, louças, alvenaria interna</t>
        </is>
      </c>
    </row>
    <row r="14">
      <c r="A14" s="8" t="inlineStr">
        <is>
          <t>Pé-Direito</t>
        </is>
      </c>
      <c r="B14" s="13" t="inlineStr">
        <is>
          <t>Padrão (3.00)</t>
        </is>
      </c>
      <c r="C14" s="14" t="inlineStr">
        <is>
          <t>Muda: fachada, alvenaria, estrutura (+2-8%)</t>
        </is>
      </c>
    </row>
    <row r="15">
      <c r="A15" s="8" t="inlineStr">
        <is>
          <t>Nº Banheiros/Apto</t>
        </is>
      </c>
      <c r="B15" s="13" t="inlineStr">
        <is>
          <t>1</t>
        </is>
      </c>
      <c r="C15" s="14" t="inlineStr">
        <is>
          <t>Muda: hidro, louças, impermeab., rev.parede</t>
        </is>
      </c>
    </row>
    <row r="16">
      <c r="A16" s="8" t="inlineStr">
        <is>
          <t>Tipo Piso Predominante</t>
        </is>
      </c>
      <c r="B16" s="13" t="inlineStr">
        <is>
          <t>Porcelanato</t>
        </is>
      </c>
      <c r="C16" s="14" t="inlineStr">
        <is>
          <t>Muda: PU pisos (porcelanato ~R$ 81 vs laminado ~R$ 65)</t>
        </is>
      </c>
    </row>
    <row r="17">
      <c r="A17" s="8" t="inlineStr">
        <is>
          <t>Piscina</t>
        </is>
      </c>
      <c r="B17" s="13" t="inlineStr">
        <is>
          <t>Sim</t>
        </is>
      </c>
      <c r="C17" s="14" t="inlineStr">
        <is>
          <t>Muda: sist.especiais (R$ 0 / R$ 220k / R$ 320k)</t>
        </is>
      </c>
    </row>
  </sheetData>
  <mergeCells count="1">
    <mergeCell ref="A1:D1"/>
  </mergeCells>
  <dataValidations count="14">
    <dataValidation sqref="B4" showDropDown="0" showInputMessage="0" showErrorMessage="0" allowBlank="0" errorTitle="Valor inválido" error="Selecione uma opção da lista" type="list">
      <formula1>"Convencional,Protendida,Nervurada"</formula1>
    </dataValidation>
    <dataValidation sqref="B5" showDropDown="0" showInputMessage="0" showErrorMessage="0" allowBlank="0" errorTitle="Valor inválido" error="Selecione uma opção da lista" type="list">
      <formula1>"0,1,2,3"</formula1>
    </dataValidation>
    <dataValidation sqref="B6" showDropDown="0" showInputMessage="0" showErrorMessage="0" allowBlank="0" errorTitle="Valor inválido" error="Selecione uma opção da lista" type="list">
      <formula1>"Hélice,Tubulão,Sapata"</formula1>
    </dataValidation>
    <dataValidation sqref="B7" showDropDown="0" showInputMessage="0" showErrorMessage="0" allowBlank="0" errorTitle="Valor inválido" error="Selecione uma opção da lista" type="list">
      <formula1>"Médio,Médio-Alto,Alto,Luxo"</formula1>
    </dataValidation>
    <dataValidation sqref="B8" showDropDown="0" showInputMessage="0" showErrorMessage="0" allowBlank="0" errorTitle="Valor inválido" error="Selecione uma opção da lista" type="list">
      <formula1>"Textura,Cerâmica,Pele de vidro,ACM"</formula1>
    </dataValidation>
    <dataValidation sqref="B9" showDropDown="0" showInputMessage="0" showErrorMessage="0" allowBlank="0" errorTitle="Valor inválido" error="Selecione uma opção da lista" type="list">
      <formula1>"Sim,Não"</formula1>
    </dataValidation>
    <dataValidation sqref="B10" showDropDown="0" showInputMessage="0" showErrorMessage="0" allowBlank="0" errorTitle="Valor inválido" error="Selecione uma opção da lista" type="list">
      <formula1>"1,2,3"</formula1>
    </dataValidation>
    <dataValidation sqref="B11" showDropDown="0" showInputMessage="0" showErrorMessage="0" allowBlank="0" errorTitle="Valor inválido" error="Selecione uma opção da lista" type="list">
      <formula1>"Sim,Não"</formula1>
    </dataValidation>
    <dataValidation sqref="B12" showDropDown="0" showInputMessage="0" showErrorMessage="0" allowBlank="0" errorTitle="Valor inválido" error="Selecione uma opção da lista" type="list">
      <formula1>"Completa,Shell"</formula1>
    </dataValidation>
    <dataValidation sqref="B13" showDropDown="0" showInputMessage="0" showErrorMessage="0" allowBlank="0" errorTitle="Valor inválido" error="Selecione uma opção da lista" type="list">
      <formula1>"Studios,1-2 Dormitórios,3-4 Dormitórios,Misto"</formula1>
    </dataValidation>
    <dataValidation sqref="B14" showDropDown="0" showInputMessage="0" showErrorMessage="0" allowBlank="0" errorTitle="Valor inválido" error="Selecione uma opção da lista" type="list">
      <formula1>"Baixo (2.80),Padrão (3.00),Alto (3.20),Duplo"</formula1>
    </dataValidation>
    <dataValidation sqref="B15" showDropDown="0" showInputMessage="0" showErrorMessage="0" allowBlank="0" errorTitle="Valor inválido" error="Selecione uma opção da lista" type="list">
      <formula1>"1,2,3,4"</formula1>
    </dataValidation>
    <dataValidation sqref="B16" showDropDown="0" showInputMessage="0" showErrorMessage="0" allowBlank="0" errorTitle="Valor inválido" error="Selecione uma opção da lista" type="list">
      <formula1>"Porcelanato,Laminado,Misto"</formula1>
    </dataValidation>
    <dataValidation sqref="B17" showDropDown="0" showInputMessage="0" showErrorMessage="0" allowBlank="0" errorTitle="Valor inválido" error="Selecione uma opção da lista" type="list">
      <formula1>"Sim,Não,Aquecida"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7AE60"/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  <col width="13" customWidth="1" min="4" max="4"/>
    <col width="12" customWidth="1" min="5" max="5"/>
    <col width="40" customWidth="1" min="6" max="6"/>
  </cols>
  <sheetData>
    <row r="1">
      <c r="A1" s="15" t="inlineStr">
        <is>
          <t>ÍNDICES CALIBRADOS — HÍBRIDO: BRIEFING + OVERRIDE MANUAL</t>
        </is>
      </c>
    </row>
    <row r="2">
      <c r="A2" s="16" t="inlineStr">
        <is>
          <t>B=calculado via BRIEFING (não editar) | C=override manual (edite para sobrescrever) | D=valor efetivo usado nas abas de macrogrupo (= Override se preenchido, senão B)</t>
        </is>
      </c>
    </row>
    <row r="4">
      <c r="A4" s="12" t="inlineStr">
        <is>
          <t>Índice</t>
        </is>
      </c>
      <c r="B4" s="12" t="inlineStr">
        <is>
          <t>Valor calc</t>
        </is>
      </c>
      <c r="C4" s="12" t="inlineStr">
        <is>
          <t>Override</t>
        </is>
      </c>
      <c r="D4" s="12" t="inlineStr">
        <is>
          <t>Efetivo</t>
        </is>
      </c>
      <c r="E4" s="12" t="inlineStr">
        <is>
          <t>Unidade</t>
        </is>
      </c>
      <c r="F4" s="12" t="inlineStr">
        <is>
          <t>Fonte</t>
        </is>
      </c>
    </row>
    <row r="5">
      <c r="A5" s="8" t="inlineStr">
        <is>
          <t>Concreto (m³/m² AC)</t>
        </is>
      </c>
      <c r="B5" s="5">
        <f>IF(BRIEFING!B4="Protendida",0.22,IF(BRIEFING!B4="Nervurada",0.20,0.25))</f>
        <v/>
      </c>
      <c r="C5" s="9" t="n"/>
      <c r="D5" s="17">
        <f>IF(C5="",B5,C5)</f>
        <v/>
      </c>
      <c r="E5" t="inlineStr">
        <is>
          <t>m³/m²</t>
        </is>
      </c>
      <c r="F5" s="14" t="inlineStr">
        <is>
          <t>Master 7p exec | IF Laje</t>
        </is>
      </c>
    </row>
    <row r="6">
      <c r="A6" s="8" t="inlineStr">
        <is>
          <t>Aço convenc. (kg/m³)</t>
        </is>
      </c>
      <c r="B6" s="5">
        <f>IF(BRIEFING!B4="Protendida",70,IF(BRIEFING!B4="Nervurada",90,106))</f>
        <v/>
      </c>
      <c r="C6" s="9" t="n"/>
      <c r="D6" s="17">
        <f>IF(C6="",B6,C6)</f>
        <v/>
      </c>
      <c r="E6" t="inlineStr">
        <is>
          <t>kg/m³</t>
        </is>
      </c>
      <c r="F6" s="14" t="inlineStr">
        <is>
          <t>Master 7p+11p narr | IF Laje</t>
        </is>
      </c>
    </row>
    <row r="7">
      <c r="A7" s="8" t="inlineStr">
        <is>
          <t>Cordoalha (kg/m² laje)</t>
        </is>
      </c>
      <c r="B7" s="5">
        <f>IF(BRIEFING!B4="Protendida",8,0)</f>
        <v/>
      </c>
      <c r="C7" s="9" t="n"/>
      <c r="D7" s="17">
        <f>IF(C7="",B7,C7)</f>
        <v/>
      </c>
      <c r="E7" t="inlineStr">
        <is>
          <t>kg/m²</t>
        </is>
      </c>
      <c r="F7" s="14" t="inlineStr">
        <is>
          <t>Master protendida | IF Laje=Protendida</t>
        </is>
      </c>
    </row>
    <row r="8">
      <c r="A8" s="8" t="inlineStr">
        <is>
          <t>Forma (m²/m³)</t>
        </is>
      </c>
      <c r="B8" s="5">
        <f>IF(BRIEFING!B4="Protendida",6.05,IF(BRIEFING!B4="Nervurada",6.5,7.12))</f>
        <v/>
      </c>
      <c r="C8" s="9" t="n"/>
      <c r="D8" s="17">
        <f>IF(C8="",B8,C8)</f>
        <v/>
      </c>
      <c r="E8" t="inlineStr">
        <is>
          <t>m²/m³</t>
        </is>
      </c>
      <c r="F8" s="14" t="inlineStr">
        <is>
          <t>Master 7p exec | IF Laje</t>
        </is>
      </c>
    </row>
    <row r="9">
      <c r="A9" s="8" t="inlineStr">
        <is>
          <t>Escoramento (R$/m²)</t>
        </is>
      </c>
      <c r="B9" s="4">
        <f>IF(BRIEFING!B4="Protendida",50,IF(BRIEFING!B4="Nervurada",35,0))</f>
        <v/>
      </c>
      <c r="C9" s="10" t="n"/>
      <c r="D9" s="18">
        <f>IF(C9="",B9,C9)</f>
        <v/>
      </c>
      <c r="E9" t="inlineStr">
        <is>
          <t>R$/m²</t>
        </is>
      </c>
      <c r="F9" s="14" t="inlineStr">
        <is>
          <t>PU base 7p | IF Laje</t>
        </is>
      </c>
    </row>
    <row r="10">
      <c r="A10" s="8" t="inlineStr">
        <is>
          <t>fck Laje</t>
        </is>
      </c>
      <c r="B10" s="5">
        <f>IF(BRIEFING!B4="Protendida",40,30)</f>
        <v/>
      </c>
      <c r="C10" s="9" t="n"/>
      <c r="D10" s="17">
        <f>IF(C10="",B10,C10)</f>
        <v/>
      </c>
      <c r="E10" t="inlineStr">
        <is>
          <t>MPa</t>
        </is>
      </c>
      <c r="F10" s="14" t="inlineStr">
        <is>
          <t>IF Laje</t>
        </is>
      </c>
    </row>
    <row r="11">
      <c r="A11" s="8" t="inlineStr">
        <is>
          <t>Nº estacas (base AC)</t>
        </is>
      </c>
      <c r="B11" s="5">
        <f>ROUND(DADOS_PROJETO!B5/75,0)*(1+VALUE(BRIEFING!B5)*0.15)</f>
        <v/>
      </c>
      <c r="C11" s="9" t="n"/>
      <c r="D11" s="17">
        <f>IF(C11="",B11,C11)</f>
        <v/>
      </c>
      <c r="E11" t="inlineStr">
        <is>
          <t>un</t>
        </is>
      </c>
      <c r="F11" s="14" t="inlineStr">
        <is>
          <t>~1 est/75m² + sub | AC/75 × (1+sub×15%)</t>
        </is>
      </c>
    </row>
    <row r="12">
      <c r="A12" s="8" t="inlineStr">
        <is>
          <t>Comp. estaca (m)</t>
        </is>
      </c>
      <c r="B12" s="5">
        <f>IF(BRIEFING!B6="Hélice",18,IF(BRIEFING!B6="Tubulão",12,0))+VALUE(BRIEFING!B5)*2</f>
        <v/>
      </c>
      <c r="C12" s="9" t="n"/>
      <c r="D12" s="17">
        <f>IF(C12="",B12,C12)</f>
        <v/>
      </c>
      <c r="E12" t="inlineStr">
        <is>
          <t>m</t>
        </is>
      </c>
      <c r="F12" s="14" t="inlineStr">
        <is>
          <t>Tipo + prof.sub | IF Fundação + sub×2m</t>
        </is>
      </c>
    </row>
    <row r="13">
      <c r="A13" s="8" t="inlineStr">
        <is>
          <t>Alvenaria (m²/m² AC)</t>
        </is>
      </c>
      <c r="B13" s="5">
        <f>2.25*IF(BRIEFING!B12="Shell",0.75,1)*IF(BRIEFING!B14="Duplo",1.15,IF(BRIEFING!B14="Alto (3.20)",1.05,1))</f>
        <v/>
      </c>
      <c r="C13" s="9" t="n"/>
      <c r="D13" s="17">
        <f>IF(C13="",B13,C13)</f>
        <v/>
      </c>
      <c r="E13" t="inlineStr">
        <is>
          <t>m²/m²</t>
        </is>
      </c>
      <c r="F13" s="14" t="inlineStr">
        <is>
          <t>2,25 × shell × pé-dir | IF Entrega + Pé-Direito</t>
        </is>
      </c>
    </row>
    <row r="14">
      <c r="A14" s="8" t="inlineStr">
        <is>
          <t>Pisos (m²/m² AC)</t>
        </is>
      </c>
      <c r="B14" s="5">
        <f>1.70*IF(BRIEFING!B12="Shell",0.40,1)</f>
        <v/>
      </c>
      <c r="C14" s="9" t="n"/>
      <c r="D14" s="17">
        <f>IF(C14="",B14,C14)</f>
        <v/>
      </c>
      <c r="E14" t="inlineStr">
        <is>
          <t>m²/m²</t>
        </is>
      </c>
      <c r="F14" s="14" t="inlineStr">
        <is>
          <t>1,70 × shell | IF Entrega (shell = 40%)</t>
        </is>
      </c>
    </row>
    <row r="15">
      <c r="A15" s="8" t="inlineStr">
        <is>
          <t>Rev. Parede (m²/m² AC)</t>
        </is>
      </c>
      <c r="B15" s="5">
        <f>2.85*IF(BRIEFING!B12="Shell",0.50,1)*IF(VALUE(BRIEFING!B15)&gt;=2,1.15,IF(VALUE(BRIEFING!B15)&gt;=1,1.0,0.85))</f>
        <v/>
      </c>
      <c r="C15" s="9" t="n"/>
      <c r="D15" s="17">
        <f>IF(C15="",B15,C15)</f>
        <v/>
      </c>
      <c r="E15" t="inlineStr">
        <is>
          <t>m²/m²</t>
        </is>
      </c>
      <c r="F15" s="14" t="inlineStr">
        <is>
          <t>2,85 × shell × bwc | IF Entrega + BWC/apto</t>
        </is>
      </c>
    </row>
    <row r="16">
      <c r="A16" s="8" t="inlineStr">
        <is>
          <t>Forro (m²/m² AC)</t>
        </is>
      </c>
      <c r="B16" s="5">
        <f>1.16*IF(BRIEFING!B12="Shell",0.45,1)</f>
        <v/>
      </c>
      <c r="C16" s="9" t="n"/>
      <c r="D16" s="17">
        <f>IF(C16="",B16,C16)</f>
        <v/>
      </c>
      <c r="E16" t="inlineStr">
        <is>
          <t>m²/m²</t>
        </is>
      </c>
      <c r="F16" s="14" t="inlineStr">
        <is>
          <t>1,16 × shell | IF Entrega (shell = 45%)</t>
        </is>
      </c>
    </row>
    <row r="17">
      <c r="A17" s="8" t="inlineStr">
        <is>
          <t>Pintura (m² sup/m² AC)</t>
        </is>
      </c>
      <c r="B17" s="5">
        <f>5.65*IF(BRIEFING!B12="Shell",0.40,1)</f>
        <v/>
      </c>
      <c r="C17" s="9" t="n"/>
      <c r="D17" s="17">
        <f>IF(C17="",B17,C17)</f>
        <v/>
      </c>
      <c r="E17" t="inlineStr">
        <is>
          <t>m²/m²</t>
        </is>
      </c>
      <c r="F17" s="14" t="inlineStr">
        <is>
          <t>5,65 × shell | IF Entrega (shell = 40%)</t>
        </is>
      </c>
    </row>
    <row r="18">
      <c r="A18" s="8" t="inlineStr">
        <is>
          <t>Fachada (m²/m² AC)</t>
        </is>
      </c>
      <c r="B18" s="5">
        <f>IF(BRIEFING!B8="Pele de vidro",1.8,IF(BRIEFING!B8="ACM",1.7,1.55))*IF(BRIEFING!B14="Duplo",1.12,IF(BRIEFING!B14="Alto (3.20)",1.05,1))</f>
        <v/>
      </c>
      <c r="C18" s="9" t="n"/>
      <c r="D18" s="17">
        <f>IF(C18="",B18,C18)</f>
        <v/>
      </c>
      <c r="E18" t="inlineStr">
        <is>
          <t>m²/m²</t>
        </is>
      </c>
      <c r="F18" s="14" t="inlineStr">
        <is>
          <t>Tipo fachada × pé-dir | IF Fachada + Pé-Direito</t>
        </is>
      </c>
    </row>
    <row r="19">
      <c r="A19" s="8" t="inlineStr">
        <is>
          <t>Impermeab. (m²/m² AC)</t>
        </is>
      </c>
      <c r="B19" s="5">
        <f>0.37+VALUE(BRIEFING!B5)*0.05+IF(VALUE(BRIEFING!B15)&gt;=3,0.04,IF(VALUE(BRIEFING!B15)&gt;=2,0.03,0))</f>
        <v/>
      </c>
      <c r="C19" s="9" t="n"/>
      <c r="D19" s="17">
        <f>IF(C19="",B19,C19)</f>
        <v/>
      </c>
      <c r="E19" t="inlineStr">
        <is>
          <t>m²/m²</t>
        </is>
      </c>
      <c r="F19" s="14" t="inlineStr">
        <is>
          <t>Base + sub + bwc | IF Sub + BWC</t>
        </is>
      </c>
    </row>
    <row r="20">
      <c r="A20" s="8" t="inlineStr">
        <is>
          <t>Fator padrão acabamento</t>
        </is>
      </c>
      <c r="B20" s="5">
        <f>IF(BRIEFING!B7="Luxo",1.35,IF(BRIEFING!B7="Alto",1.15,IF(BRIEFING!B7="Médio-Alto",1.0,0.85)))</f>
        <v/>
      </c>
      <c r="C20" s="9" t="n"/>
      <c r="D20" s="17">
        <f>IF(C20="",B20,C20)</f>
        <v/>
      </c>
      <c r="E20" t="inlineStr">
        <is>
          <t>fator</t>
        </is>
      </c>
      <c r="F20" s="14" t="inlineStr">
        <is>
          <t>IF Padrão</t>
        </is>
      </c>
    </row>
    <row r="21">
      <c r="A21" s="8" t="inlineStr">
        <is>
          <t>PU fachada (R$/m²)</t>
        </is>
      </c>
      <c r="B21" s="4">
        <f>IF(BRIEFING!B8="Pele de vidro",350,IF(BRIEFING!B8="ACM",280,IF(BRIEFING!B8="Cerâmica",180,100)))</f>
        <v/>
      </c>
      <c r="C21" s="10" t="n"/>
      <c r="D21" s="18">
        <f>IF(C21="",B21,C21)</f>
        <v/>
      </c>
      <c r="E21" t="inlineStr">
        <is>
          <t>R$/m²</t>
        </is>
      </c>
      <c r="F21" s="14" t="inlineStr">
        <is>
          <t>PU base + briefing | IF Fachada tipo</t>
        </is>
      </c>
    </row>
    <row r="22">
      <c r="A22" s="8" t="inlineStr">
        <is>
          <t>Pressurização (R$)</t>
        </is>
      </c>
      <c r="B22" s="4">
        <f>IF(BRIEFING!B9="Sim",80000,0)</f>
        <v/>
      </c>
      <c r="C22" s="10" t="n"/>
      <c r="D22" s="18">
        <f>IF(C22="",B22,C22)</f>
        <v/>
      </c>
      <c r="E22" t="inlineStr">
        <is>
          <t>R$</t>
        </is>
      </c>
      <c r="F22" s="14" t="inlineStr">
        <is>
          <t>Param. base | IF Sim</t>
        </is>
      </c>
    </row>
    <row r="23">
      <c r="A23" s="8" t="inlineStr">
        <is>
          <t>Gerador (R$)</t>
        </is>
      </c>
      <c r="B23" s="4">
        <f>IF(BRIEFING!B11="Não",0,IF(BRIEFING!B10="3",350000,IF(BRIEFING!B10="2",250000,180000)))</f>
        <v/>
      </c>
      <c r="C23" s="10" t="n"/>
      <c r="D23" s="18">
        <f>IF(C23="",B23,C23)</f>
        <v/>
      </c>
      <c r="E23" t="inlineStr">
        <is>
          <t>R$</t>
        </is>
      </c>
      <c r="F23" s="14" t="inlineStr">
        <is>
          <t>IF Gerador Sim + Torres | IF Gerador + Torres</t>
        </is>
      </c>
    </row>
    <row r="24">
      <c r="A24" s="8" t="inlineStr">
        <is>
          <t>Contenção (R$)</t>
        </is>
      </c>
      <c r="B24" s="4">
        <f>IF(VALUE(BRIEFING!B5)&gt;0,VALUE(BRIEFING!B5)*3.5*120*350,0)</f>
        <v/>
      </c>
      <c r="C24" s="10" t="n"/>
      <c r="D24" s="18">
        <f>IF(C24="",B24,C24)</f>
        <v/>
      </c>
      <c r="E24" t="inlineStr">
        <is>
          <t>R$</t>
        </is>
      </c>
      <c r="F24" s="14" t="inlineStr">
        <is>
          <t>Sub×prof×perim×R$ | IF Sub&gt;0</t>
        </is>
      </c>
    </row>
    <row r="25">
      <c r="A25" s="8" t="inlineStr">
        <is>
          <t>Mov. Terra PU (R$/m²)</t>
        </is>
      </c>
      <c r="B25" s="4">
        <f>IF(VALUE(BRIEFING!B5)&gt;0,17+VALUE(BRIEFING!B5)*15,17)</f>
        <v/>
      </c>
      <c r="C25" s="10" t="n"/>
      <c r="D25" s="18">
        <f>IF(C25="",B25,C25)</f>
        <v/>
      </c>
      <c r="E25" t="inlineStr">
        <is>
          <t>R$/m²</t>
        </is>
      </c>
      <c r="F25" s="14" t="inlineStr">
        <is>
          <t>Base + sub×15 | IF Sub&gt;0</t>
        </is>
      </c>
    </row>
    <row r="26">
      <c r="A26" s="8" t="inlineStr">
        <is>
          <t>Fator tipologia louças</t>
        </is>
      </c>
      <c r="B26" s="5">
        <f>IF(BRIEFING!B13="Studios",0.65,IF(BRIEFING!B13="1-2 Dormitórios",0.85,IF(BRIEFING!B13="3-4 Dormitórios",1.20,1.0)))</f>
        <v/>
      </c>
      <c r="C26" s="9" t="n"/>
      <c r="D26" s="17">
        <f>IF(C26="",B26,C26)</f>
        <v/>
      </c>
      <c r="E26" t="inlineStr">
        <is>
          <t>fator</t>
        </is>
      </c>
      <c r="F26" s="14" t="inlineStr">
        <is>
          <t>Studios menos louças | IF Tipologia</t>
        </is>
      </c>
    </row>
    <row r="27">
      <c r="A27" s="8" t="inlineStr">
        <is>
          <t>Fator tipologia elétrica</t>
        </is>
      </c>
      <c r="B27" s="5">
        <f>IF(BRIEFING!B13="Studios",0.80,IF(BRIEFING!B13="3-4 Dormitórios",1.15,1.0))</f>
        <v/>
      </c>
      <c r="C27" s="9" t="n"/>
      <c r="D27" s="17">
        <f>IF(C27="",B27,C27)</f>
        <v/>
      </c>
      <c r="E27" t="inlineStr">
        <is>
          <t>fator</t>
        </is>
      </c>
      <c r="F27" s="14" t="inlineStr">
        <is>
          <t>Studios menos pontos | IF Tipologia</t>
        </is>
      </c>
    </row>
    <row r="28">
      <c r="A28" s="8" t="inlineStr">
        <is>
          <t>Fator entrega (shell)</t>
        </is>
      </c>
      <c r="B28" s="5">
        <f>IF(BRIEFING!B12="Shell",0.85,1.0)</f>
        <v/>
      </c>
      <c r="C28" s="9" t="n"/>
      <c r="D28" s="17">
        <f>IF(C28="",B28,C28)</f>
        <v/>
      </c>
      <c r="E28" t="inlineStr">
        <is>
          <t>fator</t>
        </is>
      </c>
      <c r="F28" s="14" t="inlineStr">
        <is>
          <t>Shell desconta ~15% total | IF Entrega</t>
        </is>
      </c>
    </row>
    <row r="29">
      <c r="A29" s="8" t="inlineStr">
        <is>
          <t>PU piso predominante</t>
        </is>
      </c>
      <c r="B29" s="4">
        <f>IF(BRIEFING!B16="Porcelanato",81.21,IF(BRIEFING!B16="Laminado",65,73))*INDICES!D20</f>
        <v/>
      </c>
      <c r="C29" s="10" t="n"/>
      <c r="D29" s="18">
        <f>IF(C29="",B29,C29)</f>
        <v/>
      </c>
      <c r="E29" t="inlineStr">
        <is>
          <t>R$/m²</t>
        </is>
      </c>
      <c r="F29" s="14" t="inlineStr">
        <is>
          <t>Tipo piso × padrão | IF Tipo Piso × Padrão (usa D20=efetivo)</t>
        </is>
      </c>
    </row>
    <row r="30">
      <c r="A30" s="8" t="inlineStr">
        <is>
          <t>Piscina (R$)</t>
        </is>
      </c>
      <c r="B30" s="4">
        <f>IF(BRIEFING!B17="Aquecida",320000,IF(BRIEFING!B17="Sim",220000,0))</f>
        <v/>
      </c>
      <c r="C30" s="10" t="n"/>
      <c r="D30" s="18">
        <f>IF(C30="",B30,C30)</f>
        <v/>
      </c>
      <c r="E30" t="inlineStr">
        <is>
          <t>R$</t>
        </is>
      </c>
      <c r="F30" s="14" t="inlineStr">
        <is>
          <t>Param. base | IF Piscina</t>
        </is>
      </c>
    </row>
    <row r="31">
      <c r="A31" s="8" t="inlineStr">
        <is>
          <t>Fator pé-direito estrutura</t>
        </is>
      </c>
      <c r="B31" s="5">
        <f>IF(BRIEFING!B14="Duplo",1.12,IF(BRIEFING!B14="Alto (3.20)",1.05,IF(BRIEFING!B14="Baixo (2.80)",0.97,1.0)))</f>
        <v/>
      </c>
      <c r="C31" s="9" t="n"/>
      <c r="D31" s="17">
        <f>IF(C31="",B31,C31)</f>
        <v/>
      </c>
      <c r="E31" t="inlineStr">
        <is>
          <t>fator</t>
        </is>
      </c>
      <c r="F31" s="14" t="inlineStr">
        <is>
          <t>Pé-dir afeta estrutura | IF Pé-Direito</t>
        </is>
      </c>
    </row>
    <row r="32">
      <c r="A32" s="8" t="inlineStr">
        <is>
          <t>Fator BWC louças</t>
        </is>
      </c>
      <c r="B32" s="5">
        <f>IF(VALUE(BRIEFING!B15)&gt;=4,1.80,IF(VALUE(BRIEFING!B15)&gt;=3,1.50,IF(VALUE(BRIEFING!B15)&gt;=2,1.20,1.0)))</f>
        <v/>
      </c>
      <c r="C32" s="9" t="n"/>
      <c r="D32" s="17">
        <f>IF(C32="",B32,C32)</f>
        <v/>
      </c>
      <c r="E32" t="inlineStr">
        <is>
          <t>fator</t>
        </is>
      </c>
      <c r="F32" s="14" t="inlineStr">
        <is>
          <t>Mais bwc = mais louças | IF BWC/apto</t>
        </is>
      </c>
    </row>
    <row r="33">
      <c r="A33" s="8" t="inlineStr">
        <is>
          <t>Fator viga protendida</t>
        </is>
      </c>
      <c r="B33" s="5">
        <f>IF(BRIEFING!B4="Protendida",0.08,0.30)</f>
        <v/>
      </c>
      <c r="C33" s="9" t="n"/>
      <c r="D33" s="17">
        <f>IF(C33="",B33,C33)</f>
        <v/>
      </c>
      <c r="E33" t="inlineStr">
        <is>
          <t>fator</t>
        </is>
      </c>
      <c r="F33" s="14" t="inlineStr">
        <is>
          <t>Peso viga/m² conforme laje | IF Laje (0.08 prot / 0.30 conv)</t>
        </is>
      </c>
    </row>
    <row r="34">
      <c r="A34" s="8" t="inlineStr">
        <is>
          <t>Fator laje protendida</t>
        </is>
      </c>
      <c r="B34" s="5">
        <f>IF(BRIEFING!B4="Protendida",0.60,0.35)</f>
        <v/>
      </c>
      <c r="C34" s="9" t="n"/>
      <c r="D34" s="17">
        <f>IF(C34="",B34,C34)</f>
        <v/>
      </c>
      <c r="E34" t="inlineStr">
        <is>
          <t>fator</t>
        </is>
      </c>
      <c r="F34" s="14" t="inlineStr">
        <is>
          <t>Peso laje/m² conforme tipo | IF Laje (0.60 prot / 0.35 conv)</t>
        </is>
      </c>
    </row>
    <row r="35">
      <c r="A35" s="8" t="inlineStr">
        <is>
          <t>Fator hidro BWC</t>
        </is>
      </c>
      <c r="B35" s="5">
        <f>IF(VALUE(BRIEFING!B15)&gt;=2,1.15,1)</f>
        <v/>
      </c>
      <c r="C35" s="9" t="n"/>
      <c r="D35" s="17">
        <f>IF(C35="",B35,C35)</f>
        <v/>
      </c>
      <c r="E35" t="inlineStr">
        <is>
          <t>fator</t>
        </is>
      </c>
      <c r="F35" s="14" t="inlineStr">
        <is>
          <t>Mais bwc = mais hidro | IF BWC&gt;=2 (1.15 / 1.0)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67E22"/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18" customWidth="1" min="4" max="4"/>
    <col width="18" customWidth="1" min="5" max="5"/>
  </cols>
  <sheetData>
    <row r="1">
      <c r="A1" s="15" t="inlineStr">
        <is>
          <t>CUSTOS POR MACROGRUPO — BOTTOM-UP COM BRIEFING</t>
        </is>
      </c>
    </row>
    <row r="3">
      <c r="A3" s="12" t="inlineStr">
        <is>
          <t>Macrogrupo</t>
        </is>
      </c>
      <c r="B3" s="12" t="inlineStr">
        <is>
          <t>R$/m²</t>
        </is>
      </c>
      <c r="C3" s="12" t="inlineStr">
        <is>
          <t>% Total</t>
        </is>
      </c>
      <c r="D3" s="12" t="inlineStr">
        <is>
          <t>Custo Total (R$)</t>
        </is>
      </c>
      <c r="E3" s="12" t="inlineStr">
        <is>
          <t>Aba</t>
        </is>
      </c>
    </row>
    <row r="4">
      <c r="A4" s="8" t="inlineStr">
        <is>
          <t>Gerenciamento</t>
        </is>
      </c>
      <c r="B4" s="5">
        <f>D4/DADOS_PROJETO!B5</f>
        <v/>
      </c>
      <c r="C4" s="19">
        <f>D4/D22</f>
        <v/>
      </c>
      <c r="D4" s="4">
        <f>'Gerenciamento'!G2</f>
        <v/>
      </c>
      <c r="E4" t="inlineStr">
        <is>
          <t>Gerenciamento</t>
        </is>
      </c>
    </row>
    <row r="5">
      <c r="A5" s="8" t="inlineStr">
        <is>
          <t>Mov. Terra</t>
        </is>
      </c>
      <c r="B5" s="5">
        <f>D5/DADOS_PROJETO!B5</f>
        <v/>
      </c>
      <c r="C5" s="19">
        <f>D5/D22</f>
        <v/>
      </c>
      <c r="D5" s="4">
        <f>'Mov. Terra'!G2</f>
        <v/>
      </c>
      <c r="E5" t="inlineStr">
        <is>
          <t>Mov. Terra</t>
        </is>
      </c>
    </row>
    <row r="6">
      <c r="A6" s="8" t="inlineStr">
        <is>
          <t>Infraestrutura</t>
        </is>
      </c>
      <c r="B6" s="5">
        <f>D6/DADOS_PROJETO!B5</f>
        <v/>
      </c>
      <c r="C6" s="19">
        <f>D6/D22</f>
        <v/>
      </c>
      <c r="D6" s="4">
        <f>'Infraestrutura'!G2</f>
        <v/>
      </c>
      <c r="E6" t="inlineStr">
        <is>
          <t>Infraestrutura</t>
        </is>
      </c>
    </row>
    <row r="7">
      <c r="A7" s="8" t="inlineStr">
        <is>
          <t>Supraestrutura</t>
        </is>
      </c>
      <c r="B7" s="5">
        <f>D7/DADOS_PROJETO!B5</f>
        <v/>
      </c>
      <c r="C7" s="19">
        <f>D7/D22</f>
        <v/>
      </c>
      <c r="D7" s="4">
        <f>'Supraestrutura'!G2</f>
        <v/>
      </c>
      <c r="E7" t="inlineStr">
        <is>
          <t>Supraestrutura</t>
        </is>
      </c>
    </row>
    <row r="8">
      <c r="A8" s="8" t="inlineStr">
        <is>
          <t>Alvenaria</t>
        </is>
      </c>
      <c r="B8" s="5">
        <f>D8/DADOS_PROJETO!B5</f>
        <v/>
      </c>
      <c r="C8" s="19">
        <f>D8/D22</f>
        <v/>
      </c>
      <c r="D8" s="4">
        <f>'Alvenaria'!G2</f>
        <v/>
      </c>
      <c r="E8" t="inlineStr">
        <is>
          <t>Alvenaria</t>
        </is>
      </c>
    </row>
    <row r="9">
      <c r="A9" s="8" t="inlineStr">
        <is>
          <t>Impermeabilização</t>
        </is>
      </c>
      <c r="B9" s="5">
        <f>D9/DADOS_PROJETO!B5</f>
        <v/>
      </c>
      <c r="C9" s="19">
        <f>D9/D22</f>
        <v/>
      </c>
      <c r="D9" s="4">
        <f>'Impermeabilização'!G2</f>
        <v/>
      </c>
      <c r="E9" t="inlineStr">
        <is>
          <t>Impermeabilização</t>
        </is>
      </c>
    </row>
    <row r="10">
      <c r="A10" s="8" t="inlineStr">
        <is>
          <t>Instalações</t>
        </is>
      </c>
      <c r="B10" s="5">
        <f>D10/DADOS_PROJETO!B5</f>
        <v/>
      </c>
      <c r="C10" s="19">
        <f>D10/D22</f>
        <v/>
      </c>
      <c r="D10" s="4">
        <f>'Instalações'!G2</f>
        <v/>
      </c>
      <c r="E10" t="inlineStr">
        <is>
          <t>Instalações</t>
        </is>
      </c>
    </row>
    <row r="11">
      <c r="A11" s="8" t="inlineStr">
        <is>
          <t>Sist. Especiais</t>
        </is>
      </c>
      <c r="B11" s="5">
        <f>D11/DADOS_PROJETO!B5</f>
        <v/>
      </c>
      <c r="C11" s="19">
        <f>D11/D22</f>
        <v/>
      </c>
      <c r="D11" s="4">
        <f>'Sist. Especiais'!G2</f>
        <v/>
      </c>
      <c r="E11" t="inlineStr">
        <is>
          <t>Sist. Especiais</t>
        </is>
      </c>
    </row>
    <row r="12">
      <c r="A12" s="8" t="inlineStr">
        <is>
          <t>Climatização</t>
        </is>
      </c>
      <c r="B12" s="5">
        <f>D12/DADOS_PROJETO!B5</f>
        <v/>
      </c>
      <c r="C12" s="19">
        <f>D12/D22</f>
        <v/>
      </c>
      <c r="D12" s="4">
        <f>'Climatização'!G2</f>
        <v/>
      </c>
      <c r="E12" t="inlineStr">
        <is>
          <t>Climatização</t>
        </is>
      </c>
    </row>
    <row r="13">
      <c r="A13" s="8" t="inlineStr">
        <is>
          <t>Rev. Int. Parede</t>
        </is>
      </c>
      <c r="B13" s="5">
        <f>D13/DADOS_PROJETO!B5</f>
        <v/>
      </c>
      <c r="C13" s="19">
        <f>D13/D22</f>
        <v/>
      </c>
      <c r="D13" s="4">
        <f>'Rev. Int. Parede'!G2</f>
        <v/>
      </c>
      <c r="E13" t="inlineStr">
        <is>
          <t>Rev. Int. Parede</t>
        </is>
      </c>
    </row>
    <row r="14">
      <c r="A14" s="8" t="inlineStr">
        <is>
          <t>Teto</t>
        </is>
      </c>
      <c r="B14" s="5">
        <f>D14/DADOS_PROJETO!B5</f>
        <v/>
      </c>
      <c r="C14" s="19">
        <f>D14/D22</f>
        <v/>
      </c>
      <c r="D14" s="4">
        <f>'Teto'!G2</f>
        <v/>
      </c>
      <c r="E14" t="inlineStr">
        <is>
          <t>Teto</t>
        </is>
      </c>
    </row>
    <row r="15">
      <c r="A15" s="8" t="inlineStr">
        <is>
          <t>Pisos</t>
        </is>
      </c>
      <c r="B15" s="5">
        <f>D15/DADOS_PROJETO!B5</f>
        <v/>
      </c>
      <c r="C15" s="19">
        <f>D15/D22</f>
        <v/>
      </c>
      <c r="D15" s="4">
        <f>'Pisos'!G2</f>
        <v/>
      </c>
      <c r="E15" t="inlineStr">
        <is>
          <t>Pisos</t>
        </is>
      </c>
    </row>
    <row r="16">
      <c r="A16" s="8" t="inlineStr">
        <is>
          <t>Pintura</t>
        </is>
      </c>
      <c r="B16" s="5">
        <f>D16/DADOS_PROJETO!B5</f>
        <v/>
      </c>
      <c r="C16" s="19">
        <f>D16/D22</f>
        <v/>
      </c>
      <c r="D16" s="4">
        <f>'Pintura'!G2</f>
        <v/>
      </c>
      <c r="E16" t="inlineStr">
        <is>
          <t>Pintura</t>
        </is>
      </c>
    </row>
    <row r="17">
      <c r="A17" s="8" t="inlineStr">
        <is>
          <t>Esquadrias</t>
        </is>
      </c>
      <c r="B17" s="5">
        <f>D17/DADOS_PROJETO!B5</f>
        <v/>
      </c>
      <c r="C17" s="19">
        <f>D17/D22</f>
        <v/>
      </c>
      <c r="D17" s="4">
        <f>'Esquadrias'!G2</f>
        <v/>
      </c>
      <c r="E17" t="inlineStr">
        <is>
          <t>Esquadrias</t>
        </is>
      </c>
    </row>
    <row r="18">
      <c r="A18" s="8" t="inlineStr">
        <is>
          <t>Louças e Metais</t>
        </is>
      </c>
      <c r="B18" s="5">
        <f>D18/DADOS_PROJETO!B5</f>
        <v/>
      </c>
      <c r="C18" s="19">
        <f>D18/D22</f>
        <v/>
      </c>
      <c r="D18" s="4">
        <f>'Louças e Metais'!G2</f>
        <v/>
      </c>
      <c r="E18" t="inlineStr">
        <is>
          <t>Louças e Metais</t>
        </is>
      </c>
    </row>
    <row r="19">
      <c r="A19" s="8" t="inlineStr">
        <is>
          <t>Fachada</t>
        </is>
      </c>
      <c r="B19" s="5">
        <f>D19/DADOS_PROJETO!B5</f>
        <v/>
      </c>
      <c r="C19" s="19">
        <f>D19/D22</f>
        <v/>
      </c>
      <c r="D19" s="4">
        <f>'Fachada'!G2</f>
        <v/>
      </c>
      <c r="E19" t="inlineStr">
        <is>
          <t>Fachada</t>
        </is>
      </c>
    </row>
    <row r="20">
      <c r="A20" s="8" t="inlineStr">
        <is>
          <t>Complementares</t>
        </is>
      </c>
      <c r="B20" s="5">
        <f>D20/DADOS_PROJETO!B5</f>
        <v/>
      </c>
      <c r="C20" s="19">
        <f>D20/D22</f>
        <v/>
      </c>
      <c r="D20" s="4">
        <f>'Complementares'!G2</f>
        <v/>
      </c>
      <c r="E20" t="inlineStr">
        <is>
          <t>Complementares</t>
        </is>
      </c>
    </row>
    <row r="21">
      <c r="A21" s="8" t="inlineStr">
        <is>
          <t>Imprevistos</t>
        </is>
      </c>
      <c r="B21" s="5">
        <f>D21/DADOS_PROJETO!B5</f>
        <v/>
      </c>
      <c r="C21" s="19">
        <f>D21/D22</f>
        <v/>
      </c>
      <c r="D21" s="4">
        <f>'Imprevistos'!G2</f>
        <v/>
      </c>
      <c r="E21" t="inlineStr">
        <is>
          <t>Imprevistos</t>
        </is>
      </c>
    </row>
    <row r="22">
      <c r="A22" s="20" t="inlineStr">
        <is>
          <t>TOTAL</t>
        </is>
      </c>
      <c r="B22" s="21">
        <f>D22/DADOS_PROJETO!B5</f>
        <v/>
      </c>
      <c r="D22" s="22">
        <f>SUM(D4:D21)</f>
        <v/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67E22"/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SUPRAESTRUTURA</t>
        </is>
      </c>
      <c r="G1" s="23" t="inlineStr">
        <is>
          <t>Total:</t>
        </is>
      </c>
    </row>
    <row r="2">
      <c r="G2" s="24">
        <f>F14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5" t="inlineStr">
        <is>
          <t>Concreto Pilares</t>
        </is>
      </c>
      <c r="B4" s="25" t="inlineStr">
        <is>
          <t>fck30</t>
        </is>
      </c>
      <c r="C4" s="4">
        <f>ROUND(INDICES!D5*DADOS_PROJETO!B5*0.22*INDICES!D31,0)</f>
        <v/>
      </c>
      <c r="D4" s="25" t="inlineStr">
        <is>
          <t>m³</t>
        </is>
      </c>
      <c r="E4" s="26" t="n">
        <v>590</v>
      </c>
      <c r="F4" s="4">
        <f>C4*E4</f>
        <v/>
      </c>
      <c r="G4" s="27" t="inlineStr">
        <is>
          <t>Índ×AC×22% × pé-dir (7p)</t>
        </is>
      </c>
    </row>
    <row r="5">
      <c r="A5" s="25" t="inlineStr">
        <is>
          <t>Concreto Vigas</t>
        </is>
      </c>
      <c r="B5" s="25" t="inlineStr">
        <is>
          <t>fck30</t>
        </is>
      </c>
      <c r="C5" s="4">
        <f>ROUND(INDICES!D5*DADOS_PROJETO!B5*INDICES!D33,0)</f>
        <v/>
      </c>
      <c r="D5" s="25" t="inlineStr">
        <is>
          <t>m³</t>
        </is>
      </c>
      <c r="E5" s="26" t="n">
        <v>590</v>
      </c>
      <c r="F5" s="4">
        <f>C5*E5</f>
        <v/>
      </c>
      <c r="G5" s="27" t="inlineStr">
        <is>
          <t>Índ conc × AC × fator viga (D33)</t>
        </is>
      </c>
    </row>
    <row r="6">
      <c r="A6" s="25" t="inlineStr">
        <is>
          <t>Concreto Lajes</t>
        </is>
      </c>
      <c r="B6" s="25" t="inlineStr">
        <is>
          <t>fck conforme laje</t>
        </is>
      </c>
      <c r="C6" s="4">
        <f>ROUND(INDICES!D5*DADOS_PROJETO!B5*INDICES!D34,0)</f>
        <v/>
      </c>
      <c r="D6" s="25" t="inlineStr">
        <is>
          <t>m³</t>
        </is>
      </c>
      <c r="E6" s="5">
        <f>IF(INDICES!D10=40,690,590)</f>
        <v/>
      </c>
      <c r="F6" s="4">
        <f>C6*E6</f>
        <v/>
      </c>
      <c r="G6" s="27" t="inlineStr">
        <is>
          <t>Índ conc × AC × fator laje (D34)</t>
        </is>
      </c>
    </row>
    <row r="7">
      <c r="A7" s="25" t="inlineStr">
        <is>
          <t>Concreto Escadas</t>
        </is>
      </c>
      <c r="B7" s="25" t="inlineStr">
        <is>
          <t>fck30</t>
        </is>
      </c>
      <c r="C7" s="4">
        <f>ROUND(INDICES!D5*DADOS_PROJETO!B5*0.05,0)</f>
        <v/>
      </c>
      <c r="D7" s="25" t="inlineStr">
        <is>
          <t>m³</t>
        </is>
      </c>
      <c r="E7" s="26" t="n">
        <v>590</v>
      </c>
      <c r="F7" s="4">
        <f>C7*E7</f>
        <v/>
      </c>
      <c r="G7" s="27" t="inlineStr">
        <is>
          <t>Índ×AC×5%</t>
        </is>
      </c>
    </row>
    <row r="8">
      <c r="A8" s="25" t="inlineStr">
        <is>
          <t>Concreto Blocos</t>
        </is>
      </c>
      <c r="B8" s="25" t="inlineStr">
        <is>
          <t>Baldrame fck30</t>
        </is>
      </c>
      <c r="C8" s="4">
        <f>ROUND(INDICES!D5*DADOS_PROJETO!B5*0.05,0)</f>
        <v/>
      </c>
      <c r="D8" s="25" t="inlineStr">
        <is>
          <t>m³</t>
        </is>
      </c>
      <c r="E8" s="26" t="n">
        <v>590</v>
      </c>
      <c r="F8" s="4">
        <f>C8*E8</f>
        <v/>
      </c>
      <c r="G8" s="27" t="inlineStr">
        <is>
          <t>Índ×AC×5%</t>
        </is>
      </c>
    </row>
    <row r="9">
      <c r="A9" s="25" t="inlineStr">
        <is>
          <t>Aço CA-50</t>
        </is>
      </c>
      <c r="B9" s="25" t="inlineStr">
        <is>
          <t>Convencional</t>
        </is>
      </c>
      <c r="C9" s="4">
        <f>ROUND(INDICES!D6*INDICES!D5*DADOS_PROJETO!B5,0)</f>
        <v/>
      </c>
      <c r="D9" s="25" t="inlineStr">
        <is>
          <t>kg</t>
        </is>
      </c>
      <c r="E9" s="26" t="n">
        <v>8.67</v>
      </c>
      <c r="F9" s="4">
        <f>C9*E9</f>
        <v/>
      </c>
      <c r="G9" s="27" t="inlineStr">
        <is>
          <t>Índ aço×conc×AC</t>
        </is>
      </c>
    </row>
    <row r="10">
      <c r="A10" s="25" t="inlineStr">
        <is>
          <t>Cordoalha CP-190</t>
        </is>
      </c>
      <c r="B10" s="25" t="inlineStr">
        <is>
          <t>Protensão</t>
        </is>
      </c>
      <c r="C10" s="4">
        <f>ROUND(INDICES!D7*DADOS_PROJETO!B5*0.65,0)</f>
        <v/>
      </c>
      <c r="D10" s="25" t="inlineStr">
        <is>
          <t>kg</t>
        </is>
      </c>
      <c r="E10" s="26" t="n">
        <v>22</v>
      </c>
      <c r="F10" s="4">
        <f>C10*E10</f>
        <v/>
      </c>
      <c r="G10" s="27" t="inlineStr">
        <is>
          <t>IF Prot→8kg/m² laje</t>
        </is>
      </c>
    </row>
    <row r="11">
      <c r="A11" s="25" t="inlineStr">
        <is>
          <t>Forma</t>
        </is>
      </c>
      <c r="B11" s="25" t="inlineStr">
        <is>
          <t>Compensado plastif.</t>
        </is>
      </c>
      <c r="C11" s="4">
        <f>ROUND(INDICES!D8*INDICES!D5*DADOS_PROJETO!B5,0)</f>
        <v/>
      </c>
      <c r="D11" s="25" t="inlineStr">
        <is>
          <t>m²</t>
        </is>
      </c>
      <c r="E11" s="26" t="n">
        <v>88.06999999999999</v>
      </c>
      <c r="F11" s="4">
        <f>C11*E11</f>
        <v/>
      </c>
      <c r="G11" s="27" t="inlineStr">
        <is>
          <t>Índ forma×conc×AC</t>
        </is>
      </c>
    </row>
    <row r="12">
      <c r="A12" s="25" t="inlineStr">
        <is>
          <t>Escoramento</t>
        </is>
      </c>
      <c r="B12" s="25" t="inlineStr">
        <is>
          <t>Metálico</t>
        </is>
      </c>
      <c r="C12" s="4">
        <f>ROUND(DADOS_PROJETO!B5*0.65,0)</f>
        <v/>
      </c>
      <c r="D12" s="25" t="inlineStr">
        <is>
          <t>m²</t>
        </is>
      </c>
      <c r="E12" s="5">
        <f>INDICES!D9</f>
        <v/>
      </c>
      <c r="F12" s="4">
        <f>C12*E12</f>
        <v/>
      </c>
      <c r="G12" s="27" t="inlineStr">
        <is>
          <t>IF Laje→PU escor</t>
        </is>
      </c>
    </row>
    <row r="13">
      <c r="A13" s="25" t="inlineStr">
        <is>
          <t>MO Estrutura</t>
        </is>
      </c>
      <c r="B13" s="25" t="inlineStr">
        <is>
          <t>Empreitada (32,6%)</t>
        </is>
      </c>
      <c r="C13" s="4">
        <f>DADOS_PROJETO!B5</f>
        <v/>
      </c>
      <c r="D13" s="25" t="inlineStr">
        <is>
          <t>m²</t>
        </is>
      </c>
      <c r="E13" s="5">
        <f>ROUND((SUM(F4:F12)*0.326/0.674)/DADOS_PROJETO!B5,2)</f>
        <v/>
      </c>
      <c r="F13" s="4">
        <f>C13*E13</f>
        <v/>
      </c>
      <c r="G13" s="27" t="inlineStr">
        <is>
          <t>Split 32,6% MO (10p)</t>
        </is>
      </c>
    </row>
    <row r="14">
      <c r="A14" s="28" t="inlineStr">
        <is>
          <t>TOTAL</t>
        </is>
      </c>
      <c r="F14" s="22">
        <f>SUM(F4:F13)</f>
        <v/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67E22"/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INFRAESTRUTURA</t>
        </is>
      </c>
      <c r="G1" s="23" t="inlineStr">
        <is>
          <t>Total:</t>
        </is>
      </c>
    </row>
    <row r="2">
      <c r="G2" s="24">
        <f>F13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5" t="inlineStr">
        <is>
          <t>Perfuração hélice</t>
        </is>
      </c>
      <c r="B4" s="25" t="inlineStr">
        <is>
          <t>Ø40cm</t>
        </is>
      </c>
      <c r="C4" s="4">
        <f>ROUND(INDICES!D11*INDICES!D12,0)</f>
        <v/>
      </c>
      <c r="D4" s="25" t="inlineStr">
        <is>
          <t>m</t>
        </is>
      </c>
      <c r="E4" s="26" t="n">
        <v>82</v>
      </c>
      <c r="F4" s="4">
        <f>C4*E4</f>
        <v/>
      </c>
      <c r="G4" s="27" t="inlineStr">
        <is>
          <t>PU base R$ 82/m (6p)</t>
        </is>
      </c>
    </row>
    <row r="5">
      <c r="A5" s="25" t="inlineStr">
        <is>
          <t>Concreto estacas</t>
        </is>
      </c>
      <c r="B5" s="25" t="inlineStr">
        <is>
          <t>fck30</t>
        </is>
      </c>
      <c r="C5" s="4">
        <f>ROUND(INDICES!D11*3.14159*0.04*INDICES!D12,0)</f>
        <v/>
      </c>
      <c r="D5" s="25" t="inlineStr">
        <is>
          <t>m³</t>
        </is>
      </c>
      <c r="E5" s="26" t="n">
        <v>632</v>
      </c>
      <c r="F5" s="4">
        <f>C5*E5</f>
        <v/>
      </c>
      <c r="G5" s="27" t="inlineStr">
        <is>
          <t>PU base R$ 632 (6p)</t>
        </is>
      </c>
    </row>
    <row r="6">
      <c r="A6" s="25" t="inlineStr">
        <is>
          <t>Concreto blocos</t>
        </is>
      </c>
      <c r="B6" s="25" t="inlineStr">
        <is>
          <t>Baldrames</t>
        </is>
      </c>
      <c r="C6" s="4">
        <f>ROUND(0.02*DADOS_PROJETO!B5,0)</f>
        <v/>
      </c>
      <c r="D6" s="25" t="inlineStr">
        <is>
          <t>m³</t>
        </is>
      </c>
      <c r="E6" s="26" t="n">
        <v>590</v>
      </c>
      <c r="F6" s="4">
        <f>C6*E6</f>
        <v/>
      </c>
      <c r="G6" s="27" t="inlineStr">
        <is>
          <t>Índ 0,02 m³/m²</t>
        </is>
      </c>
    </row>
    <row r="7">
      <c r="A7" s="25" t="inlineStr">
        <is>
          <t>Aço CA-50</t>
        </is>
      </c>
      <c r="B7" s="25" t="inlineStr">
        <is>
          <t>Fundação</t>
        </is>
      </c>
      <c r="C7" s="4">
        <f>ROUND(90*(C5+C6),0)</f>
        <v/>
      </c>
      <c r="D7" s="25" t="inlineStr">
        <is>
          <t>kg</t>
        </is>
      </c>
      <c r="E7" s="26" t="n">
        <v>8.77</v>
      </c>
      <c r="F7" s="4">
        <f>C7*E7</f>
        <v/>
      </c>
      <c r="G7" s="27" t="inlineStr">
        <is>
          <t>PU base R$ 8,77 (7p)</t>
        </is>
      </c>
    </row>
    <row r="8">
      <c r="A8" s="25" t="inlineStr">
        <is>
          <t>Forma</t>
        </is>
      </c>
      <c r="B8" s="25" t="inlineStr">
        <is>
          <t>Blocos/baldrames</t>
        </is>
      </c>
      <c r="C8" s="4">
        <f>ROUND(0.10*DADOS_PROJETO!B5,0)</f>
        <v/>
      </c>
      <c r="D8" s="25" t="inlineStr">
        <is>
          <t>m²</t>
        </is>
      </c>
      <c r="E8" s="26" t="n">
        <v>45.64</v>
      </c>
      <c r="F8" s="4">
        <f>C8*E8</f>
        <v/>
      </c>
      <c r="G8" s="27" t="inlineStr">
        <is>
          <t>PU base R$ 45,64 (8p)</t>
        </is>
      </c>
    </row>
    <row r="9">
      <c r="A9" s="25" t="inlineStr">
        <is>
          <t>Arrasamento</t>
        </is>
      </c>
      <c r="B9" s="25" t="inlineStr">
        <is>
          <t>Estacas</t>
        </is>
      </c>
      <c r="C9" s="4">
        <f>INDICES!D11</f>
        <v/>
      </c>
      <c r="D9" s="25" t="inlineStr">
        <is>
          <t>un</t>
        </is>
      </c>
      <c r="E9" s="26" t="n">
        <v>65</v>
      </c>
      <c r="F9" s="4">
        <f>C9*E9</f>
        <v/>
      </c>
      <c r="G9" s="27" t="inlineStr">
        <is>
          <t>PU base R$ 65 (2p)</t>
        </is>
      </c>
    </row>
    <row r="10">
      <c r="A10" s="25" t="inlineStr">
        <is>
          <t>Limpeza/remoção</t>
        </is>
      </c>
      <c r="B10" s="25" t="inlineStr">
        <is>
          <t>Solo perfuração</t>
        </is>
      </c>
      <c r="C10" s="29" t="n">
        <v>1</v>
      </c>
      <c r="D10" s="25" t="inlineStr">
        <is>
          <t>vb</t>
        </is>
      </c>
      <c r="E10" s="26" t="n">
        <v>35000</v>
      </c>
      <c r="F10" s="4">
        <f>C10*E10</f>
        <v/>
      </c>
      <c r="G10" s="27" t="inlineStr">
        <is>
          <t>PU base R$ 35k (2p)</t>
        </is>
      </c>
    </row>
    <row r="11">
      <c r="A11" s="25" t="inlineStr">
        <is>
          <t>MO fundação</t>
        </is>
      </c>
      <c r="B11" s="25" t="inlineStr">
        <is>
          <t>Empreitada (35,5%)</t>
        </is>
      </c>
      <c r="C11" s="29" t="n">
        <v>1</v>
      </c>
      <c r="D11" s="25" t="inlineStr">
        <is>
          <t>vb</t>
        </is>
      </c>
      <c r="E11" s="5">
        <f>ROUND(SUM(F4:F10)*0.355/0.645,0)</f>
        <v/>
      </c>
      <c r="F11" s="4">
        <f>C11*E11</f>
        <v/>
      </c>
      <c r="G11" s="27" t="inlineStr">
        <is>
          <t>Split 35,5% (7p)</t>
        </is>
      </c>
    </row>
    <row r="12">
      <c r="A12" s="25" t="inlineStr">
        <is>
          <t>Contenção</t>
        </is>
      </c>
      <c r="B12" s="25" t="inlineStr">
        <is>
          <t>Se houver subsolo</t>
        </is>
      </c>
      <c r="C12" s="29" t="n">
        <v>1</v>
      </c>
      <c r="D12" s="25" t="inlineStr">
        <is>
          <t>vb</t>
        </is>
      </c>
      <c r="E12" s="5">
        <f>INDICES!D24</f>
        <v/>
      </c>
      <c r="F12" s="4">
        <f>C12*E12</f>
        <v/>
      </c>
      <c r="G12" s="27" t="inlineStr">
        <is>
          <t>IF Sub&gt;0</t>
        </is>
      </c>
    </row>
    <row r="13">
      <c r="A13" s="28" t="inlineStr">
        <is>
          <t>TOTAL</t>
        </is>
      </c>
      <c r="F13" s="22">
        <f>SUM(F4:F12)</f>
        <v/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E67E22"/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MOV. TERRA</t>
        </is>
      </c>
      <c r="G1" s="23" t="inlineStr">
        <is>
          <t>Total:</t>
        </is>
      </c>
    </row>
    <row r="2">
      <c r="G2" s="24">
        <f>F5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5" t="inlineStr">
        <is>
          <t>Terraplanagem</t>
        </is>
      </c>
      <c r="B4" s="25" t="inlineStr">
        <is>
          <t>Corte+aterro+bota-fora</t>
        </is>
      </c>
      <c r="C4" s="4">
        <f>DADOS_PROJETO!B5</f>
        <v/>
      </c>
      <c r="D4" s="25" t="inlineStr">
        <is>
          <t>m²</t>
        </is>
      </c>
      <c r="E4" s="5">
        <f>INDICES!D25</f>
        <v/>
      </c>
      <c r="F4" s="4">
        <f>C4*E4</f>
        <v/>
      </c>
      <c r="G4" s="27" t="inlineStr">
        <is>
          <t>Param. base + IF sub</t>
        </is>
      </c>
    </row>
    <row r="5">
      <c r="A5" s="28" t="inlineStr">
        <is>
          <t>TOTAL</t>
        </is>
      </c>
      <c r="F5" s="22">
        <f>SUM(F4:F4)</f>
        <v/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67E22"/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GERENCIAMENTO</t>
        </is>
      </c>
      <c r="G1" s="23" t="inlineStr">
        <is>
          <t>Total:</t>
        </is>
      </c>
    </row>
    <row r="2">
      <c r="G2" s="24">
        <f>F24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5" t="inlineStr">
        <is>
          <t>Projetos</t>
        </is>
      </c>
      <c r="B4" s="25" t="inlineStr">
        <is>
          <t>Arq+compl+compat</t>
        </is>
      </c>
      <c r="C4" s="29" t="n">
        <v>1</v>
      </c>
      <c r="D4" s="25" t="inlineStr">
        <is>
          <t>vb</t>
        </is>
      </c>
      <c r="E4" s="26" t="n">
        <v>650000</v>
      </c>
      <c r="F4" s="4">
        <f>C4*E4</f>
        <v/>
      </c>
      <c r="G4" s="27" t="inlineStr">
        <is>
          <t>Param. base</t>
        </is>
      </c>
    </row>
    <row r="5">
      <c r="A5" s="25" t="inlineStr">
        <is>
          <t>Consultorias</t>
        </is>
      </c>
      <c r="B5" s="25" t="inlineStr">
        <is>
          <t>ATP+compat BIM</t>
        </is>
      </c>
      <c r="C5" s="29" t="n">
        <v>1</v>
      </c>
      <c r="D5" s="25" t="inlineStr">
        <is>
          <t>vb</t>
        </is>
      </c>
      <c r="E5" s="26" t="n">
        <v>180000</v>
      </c>
      <c r="F5" s="4">
        <f>C5*E5</f>
        <v/>
      </c>
      <c r="G5" s="27" t="inlineStr">
        <is>
          <t>Param. base</t>
        </is>
      </c>
    </row>
    <row r="6">
      <c r="A6" s="25" t="inlineStr">
        <is>
          <t>Ensaios</t>
        </is>
      </c>
      <c r="B6" s="25" t="inlineStr">
        <is>
          <t>Ctrl tecnol.</t>
        </is>
      </c>
      <c r="C6" s="29" t="n">
        <v>1</v>
      </c>
      <c r="D6" s="25" t="inlineStr">
        <is>
          <t>vb</t>
        </is>
      </c>
      <c r="E6" s="26" t="n">
        <v>130000</v>
      </c>
      <c r="F6" s="4">
        <f>C6*E6</f>
        <v/>
      </c>
      <c r="G6" s="27" t="inlineStr">
        <is>
          <t>Param. base</t>
        </is>
      </c>
    </row>
    <row r="7">
      <c r="A7" s="25" t="inlineStr">
        <is>
          <t>Taxas e seguros</t>
        </is>
      </c>
      <c r="B7" s="25" t="inlineStr">
        <is>
          <t>Incorp+licenças</t>
        </is>
      </c>
      <c r="C7" s="29" t="n">
        <v>1</v>
      </c>
      <c r="D7" s="25" t="inlineStr">
        <is>
          <t>vb</t>
        </is>
      </c>
      <c r="E7" s="26" t="n">
        <v>380000</v>
      </c>
      <c r="F7" s="4">
        <f>C7*E7</f>
        <v/>
      </c>
      <c r="G7" s="27" t="inlineStr">
        <is>
          <t>Param. base</t>
        </is>
      </c>
    </row>
    <row r="8">
      <c r="A8" s="25" t="inlineStr">
        <is>
          <t>Engenheiro PJ</t>
        </is>
      </c>
      <c r="B8" s="25" t="inlineStr">
        <is>
          <t>1×prazo</t>
        </is>
      </c>
      <c r="C8" s="4">
        <f>DADOS_PROJETO!B11</f>
        <v/>
      </c>
      <c r="D8" s="25" t="inlineStr">
        <is>
          <t>mês</t>
        </is>
      </c>
      <c r="E8" s="26" t="n">
        <v>10500</v>
      </c>
      <c r="F8" s="4">
        <f>C8*E8</f>
        <v/>
      </c>
      <c r="G8" s="27" t="inlineStr">
        <is>
          <t>Master R$ 10,5k (5p)</t>
        </is>
      </c>
    </row>
    <row r="9">
      <c r="A9" s="25" t="inlineStr">
        <is>
          <t>Mestre obras</t>
        </is>
      </c>
      <c r="B9" s="25" t="inlineStr">
        <is>
          <t>1×prazo</t>
        </is>
      </c>
      <c r="C9" s="4">
        <f>DADOS_PROJETO!B11</f>
        <v/>
      </c>
      <c r="D9" s="25" t="inlineStr">
        <is>
          <t>mês</t>
        </is>
      </c>
      <c r="E9" s="26" t="n">
        <v>9940</v>
      </c>
      <c r="F9" s="4">
        <f>C9*E9</f>
        <v/>
      </c>
      <c r="G9" s="27" t="inlineStr">
        <is>
          <t>Master R$ 9,9k (4p)</t>
        </is>
      </c>
    </row>
    <row r="10">
      <c r="A10" s="25" t="inlineStr">
        <is>
          <t>Encarregado</t>
        </is>
      </c>
      <c r="B10" s="25" t="inlineStr">
        <is>
          <t>1×prazo</t>
        </is>
      </c>
      <c r="C10" s="4">
        <f>DADOS_PROJETO!B11</f>
        <v/>
      </c>
      <c r="D10" s="25" t="inlineStr">
        <is>
          <t>mês</t>
        </is>
      </c>
      <c r="E10" s="26" t="n">
        <v>8000</v>
      </c>
      <c r="F10" s="4">
        <f>C10*E10</f>
        <v/>
      </c>
      <c r="G10" s="27" t="inlineStr">
        <is>
          <t>Narrativo R$ 8k</t>
        </is>
      </c>
    </row>
    <row r="11">
      <c r="A11" s="25" t="inlineStr">
        <is>
          <t>Estagiário</t>
        </is>
      </c>
      <c r="B11" s="25" t="inlineStr">
        <is>
          <t>2×prazo</t>
        </is>
      </c>
      <c r="C11" s="4">
        <f>DADOS_PROJETO!B11*2</f>
        <v/>
      </c>
      <c r="D11" s="25" t="inlineStr">
        <is>
          <t>mês</t>
        </is>
      </c>
      <c r="E11" s="26" t="n">
        <v>1580</v>
      </c>
      <c r="F11" s="4">
        <f>C11*E11</f>
        <v/>
      </c>
      <c r="G11" s="27" t="inlineStr">
        <is>
          <t>Master R$ 1,6k (3p)</t>
        </is>
      </c>
    </row>
    <row r="12">
      <c r="A12" s="25" t="inlineStr">
        <is>
          <t>Téc.segurança</t>
        </is>
      </c>
      <c r="B12" s="25" t="inlineStr">
        <is>
          <t>1×prazo</t>
        </is>
      </c>
      <c r="C12" s="4">
        <f>DADOS_PROJETO!B11</f>
        <v/>
      </c>
      <c r="D12" s="25" t="inlineStr">
        <is>
          <t>mês</t>
        </is>
      </c>
      <c r="E12" s="26" t="n">
        <v>6000</v>
      </c>
      <c r="F12" s="4">
        <f>C12*E12</f>
        <v/>
      </c>
      <c r="G12" s="27" t="inlineStr">
        <is>
          <t>PJ R$ 6k/mês</t>
        </is>
      </c>
    </row>
    <row r="13">
      <c r="A13" s="25" t="inlineStr">
        <is>
          <t>Almoxarife</t>
        </is>
      </c>
      <c r="B13" s="25" t="inlineStr">
        <is>
          <t>1×prazo</t>
        </is>
      </c>
      <c r="C13" s="4">
        <f>DADOS_PROJETO!B11</f>
        <v/>
      </c>
      <c r="D13" s="25" t="inlineStr">
        <is>
          <t>mês</t>
        </is>
      </c>
      <c r="E13" s="26" t="n">
        <v>3377</v>
      </c>
      <c r="F13" s="4">
        <f>C13*E13</f>
        <v/>
      </c>
      <c r="G13" s="27" t="inlineStr">
        <is>
          <t>Master R$ 3,4k (4p)</t>
        </is>
      </c>
    </row>
    <row r="14">
      <c r="A14" s="25" t="inlineStr">
        <is>
          <t>Limpeza obra</t>
        </is>
      </c>
      <c r="B14" s="25" t="inlineStr">
        <is>
          <t>2×prazo</t>
        </is>
      </c>
      <c r="C14" s="4">
        <f>DADOS_PROJETO!B11*2</f>
        <v/>
      </c>
      <c r="D14" s="25" t="inlineStr">
        <is>
          <t>mês</t>
        </is>
      </c>
      <c r="E14" s="26" t="n">
        <v>2500</v>
      </c>
      <c r="F14" s="4">
        <f>C14*E14</f>
        <v/>
      </c>
      <c r="G14" s="27" t="inlineStr">
        <is>
          <t>PJ R$ 2,5k/mês</t>
        </is>
      </c>
    </row>
    <row r="15">
      <c r="A15" s="25" t="inlineStr">
        <is>
          <t>Vigilância</t>
        </is>
      </c>
      <c r="B15" s="25" t="inlineStr">
        <is>
          <t>1×prazo</t>
        </is>
      </c>
      <c r="C15" s="4">
        <f>DADOS_PROJETO!B11</f>
        <v/>
      </c>
      <c r="D15" s="25" t="inlineStr">
        <is>
          <t>mês</t>
        </is>
      </c>
      <c r="E15" s="26" t="n">
        <v>15261</v>
      </c>
      <c r="F15" s="4">
        <f>C15*E15</f>
        <v/>
      </c>
      <c r="G15" s="27" t="inlineStr">
        <is>
          <t>Narrativo R$ 15,3k</t>
        </is>
      </c>
    </row>
    <row r="16">
      <c r="A16" s="25" t="inlineStr">
        <is>
          <t>EPCs</t>
        </is>
      </c>
      <c r="B16" s="25" t="inlineStr">
        <is>
          <t>Fixo por porte</t>
        </is>
      </c>
      <c r="C16" s="29" t="n">
        <v>1</v>
      </c>
      <c r="D16" s="25" t="inlineStr">
        <is>
          <t>vb</t>
        </is>
      </c>
      <c r="E16" s="5">
        <f>IF(DADOS_PROJETO!B5&lt;5000,150000,IF(DADOS_PROJETO!B5&lt;15000,300000,500000))</f>
        <v/>
      </c>
      <c r="F16" s="4">
        <f>C16*E16</f>
        <v/>
      </c>
      <c r="G16" s="27" t="inlineStr">
        <is>
          <t>Master 75 exec</t>
        </is>
      </c>
    </row>
    <row r="17">
      <c r="A17" s="25" t="inlineStr">
        <is>
          <t>EPI</t>
        </is>
      </c>
      <c r="B17" s="25" t="inlineStr">
        <is>
          <t>Individual</t>
        </is>
      </c>
      <c r="C17" s="4">
        <f>DADOS_PROJETO!B11</f>
        <v/>
      </c>
      <c r="D17" s="25" t="inlineStr">
        <is>
          <t>mês</t>
        </is>
      </c>
      <c r="E17" s="26" t="n">
        <v>908</v>
      </c>
      <c r="F17" s="4">
        <f>C17*E17</f>
        <v/>
      </c>
      <c r="G17" s="27" t="inlineStr">
        <is>
          <t>PU base R$ 908 (8p)</t>
        </is>
      </c>
    </row>
    <row r="18">
      <c r="A18" s="25" t="inlineStr">
        <is>
          <t>Meio ambiente</t>
        </is>
      </c>
      <c r="B18" s="25" t="inlineStr">
        <is>
          <t>PCMAT+PCMSO</t>
        </is>
      </c>
      <c r="C18" s="29" t="n">
        <v>1</v>
      </c>
      <c r="D18" s="25" t="inlineStr">
        <is>
          <t>vb</t>
        </is>
      </c>
      <c r="E18" s="26" t="n">
        <v>45000</v>
      </c>
      <c r="F18" s="4">
        <f>C18*E18</f>
        <v/>
      </c>
      <c r="G18" s="27" t="inlineStr">
        <is>
          <t>Param. base</t>
        </is>
      </c>
    </row>
    <row r="19">
      <c r="A19" s="25" t="inlineStr">
        <is>
          <t>Op. inicial</t>
        </is>
      </c>
      <c r="B19" s="25" t="inlineStr">
        <is>
          <t>Mobilização</t>
        </is>
      </c>
      <c r="C19" s="29" t="n">
        <v>1</v>
      </c>
      <c r="D19" s="25" t="inlineStr">
        <is>
          <t>vb</t>
        </is>
      </c>
      <c r="E19" s="26" t="n">
        <v>55000</v>
      </c>
      <c r="F19" s="4">
        <f>C19*E19</f>
        <v/>
      </c>
      <c r="G19" s="27" t="inlineStr">
        <is>
          <t>Param. base</t>
        </is>
      </c>
    </row>
    <row r="20">
      <c r="A20" s="25" t="inlineStr">
        <is>
          <t>Inst. provisórias</t>
        </is>
      </c>
      <c r="B20" s="25" t="inlineStr">
        <is>
          <t>Canteiro+containers</t>
        </is>
      </c>
      <c r="C20" s="29" t="n">
        <v>1</v>
      </c>
      <c r="D20" s="25" t="inlineStr">
        <is>
          <t>vb</t>
        </is>
      </c>
      <c r="E20" s="26" t="n">
        <v>160000</v>
      </c>
      <c r="F20" s="4">
        <f>C20*E20</f>
        <v/>
      </c>
      <c r="G20" s="27" t="inlineStr">
        <is>
          <t>Param. base</t>
        </is>
      </c>
    </row>
    <row r="21">
      <c r="A21" s="25" t="inlineStr">
        <is>
          <t>Desp. consumo</t>
        </is>
      </c>
      <c r="B21" s="25" t="inlineStr">
        <is>
          <t>Água+en+internet+IPTU</t>
        </is>
      </c>
      <c r="C21" s="4">
        <f>DADOS_PROJETO!B11</f>
        <v/>
      </c>
      <c r="D21" s="25" t="inlineStr">
        <is>
          <t>mês</t>
        </is>
      </c>
      <c r="E21" s="26" t="n">
        <v>11500</v>
      </c>
      <c r="F21" s="4">
        <f>C21*E21</f>
        <v/>
      </c>
      <c r="G21" s="27" t="inlineStr">
        <is>
          <t>PU base (9p)</t>
        </is>
      </c>
    </row>
    <row r="22">
      <c r="A22" s="25" t="inlineStr">
        <is>
          <t>Equipamentos</t>
        </is>
      </c>
      <c r="B22" s="25" t="inlineStr">
        <is>
          <t>Grua+cremalheira</t>
        </is>
      </c>
      <c r="C22" s="29" t="n">
        <v>1</v>
      </c>
      <c r="D22" s="25" t="inlineStr">
        <is>
          <t>vb</t>
        </is>
      </c>
      <c r="E22" s="26" t="n">
        <v>480000</v>
      </c>
      <c r="F22" s="4">
        <f>C22*E22</f>
        <v/>
      </c>
      <c r="G22" s="27" t="inlineStr">
        <is>
          <t>Narrativo</t>
        </is>
      </c>
    </row>
    <row r="23">
      <c r="A23" s="25" t="inlineStr">
        <is>
          <t>Comunic.visual</t>
        </is>
      </c>
      <c r="B23" s="25" t="inlineStr">
        <is>
          <t>Placas+tapume</t>
        </is>
      </c>
      <c r="C23" s="29" t="n">
        <v>1</v>
      </c>
      <c r="D23" s="25" t="inlineStr">
        <is>
          <t>vb</t>
        </is>
      </c>
      <c r="E23" s="26" t="n">
        <v>47000</v>
      </c>
      <c r="F23" s="4">
        <f>C23*E23</f>
        <v/>
      </c>
      <c r="G23" s="27" t="inlineStr">
        <is>
          <t>PU base R$ 47k (17p)</t>
        </is>
      </c>
    </row>
    <row r="24">
      <c r="A24" s="28" t="inlineStr">
        <is>
          <t>TOTAL</t>
        </is>
      </c>
      <c r="F24" s="22">
        <f>SUM(F4:F23)</f>
        <v/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E67E22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ALVENARIA</t>
        </is>
      </c>
      <c r="G1" s="23" t="inlineStr">
        <is>
          <t>Total:</t>
        </is>
      </c>
    </row>
    <row r="2">
      <c r="G2" s="24">
        <f>F9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5" t="inlineStr">
        <is>
          <t>Bloco cerâm.</t>
        </is>
      </c>
      <c r="B4" s="25" t="inlineStr">
        <is>
          <t>Vedação 14cm</t>
        </is>
      </c>
      <c r="C4" s="4">
        <f>ROUND(INDICES!D13*DADOS_PROJETO!B5*0.40,0)</f>
        <v/>
      </c>
      <c r="D4" s="25" t="inlineStr">
        <is>
          <t>m²</t>
        </is>
      </c>
      <c r="E4" s="26" t="n">
        <v>32.95</v>
      </c>
      <c r="F4" s="4">
        <f>C4*E4</f>
        <v/>
      </c>
      <c r="G4" s="27" t="inlineStr">
        <is>
          <t>Índ 2,25×40%</t>
        </is>
      </c>
    </row>
    <row r="5">
      <c r="A5" s="25" t="inlineStr">
        <is>
          <t>Drywall ST</t>
        </is>
      </c>
      <c r="B5" s="25" t="inlineStr">
        <is>
          <t>Internas</t>
        </is>
      </c>
      <c r="C5" s="4">
        <f>ROUND(INDICES!D13*DADOS_PROJETO!B5*0.25,0)</f>
        <v/>
      </c>
      <c r="D5" s="25" t="inlineStr">
        <is>
          <t>m²</t>
        </is>
      </c>
      <c r="E5" s="26" t="n">
        <v>156</v>
      </c>
      <c r="F5" s="4">
        <f>C5*E5</f>
        <v/>
      </c>
      <c r="G5" s="27" t="inlineStr">
        <is>
          <t>Índ 2,25×25%</t>
        </is>
      </c>
    </row>
    <row r="6">
      <c r="A6" s="25" t="inlineStr">
        <is>
          <t>Drywall RU</t>
        </is>
      </c>
      <c r="B6" s="25" t="inlineStr">
        <is>
          <t>Molhadas</t>
        </is>
      </c>
      <c r="C6" s="4">
        <f>ROUND(INDICES!D13*DADOS_PROJETO!B5*0.08,0)</f>
        <v/>
      </c>
      <c r="D6" s="25" t="inlineStr">
        <is>
          <t>m²</t>
        </is>
      </c>
      <c r="E6" s="26" t="n">
        <v>195</v>
      </c>
      <c r="F6" s="4">
        <f>C6*E6</f>
        <v/>
      </c>
      <c r="G6" s="27" t="inlineStr">
        <is>
          <t>Índ 2,25×8%</t>
        </is>
      </c>
    </row>
    <row r="7">
      <c r="A7" s="25" t="inlineStr">
        <is>
          <t>Argamassa</t>
        </is>
      </c>
      <c r="B7" s="25" t="inlineStr">
        <is>
          <t>Assentamento</t>
        </is>
      </c>
      <c r="C7" s="4">
        <f>ROUND(INDICES!D13*DADOS_PROJETO!B5*0.40,0)</f>
        <v/>
      </c>
      <c r="D7" s="25" t="inlineStr">
        <is>
          <t>m²</t>
        </is>
      </c>
      <c r="E7" s="26" t="n">
        <v>3.8</v>
      </c>
      <c r="F7" s="4">
        <f>C7*E7</f>
        <v/>
      </c>
      <c r="G7" s="27" t="inlineStr">
        <is>
          <t>PU base</t>
        </is>
      </c>
    </row>
    <row r="8">
      <c r="A8" s="25" t="inlineStr">
        <is>
          <t>MO Alvenaria</t>
        </is>
      </c>
      <c r="B8" s="25" t="inlineStr">
        <is>
          <t>Empreitada</t>
        </is>
      </c>
      <c r="C8" s="4">
        <f>ROUND(INDICES!D13*DADOS_PROJETO!B5*0.40,0)</f>
        <v/>
      </c>
      <c r="D8" s="25" t="inlineStr">
        <is>
          <t>m²</t>
        </is>
      </c>
      <c r="E8" s="26" t="n">
        <v>28.5</v>
      </c>
      <c r="F8" s="4">
        <f>C8*E8</f>
        <v/>
      </c>
      <c r="G8" s="27" t="inlineStr">
        <is>
          <t>Split 35,7% (9p)</t>
        </is>
      </c>
    </row>
    <row r="9">
      <c r="A9" s="28" t="inlineStr">
        <is>
          <t>TOTAL</t>
        </is>
      </c>
      <c r="F9" s="22">
        <f>SUM(F4:F8)</f>
        <v/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E67E22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IMPERMEABILIZAÇÃO</t>
        </is>
      </c>
      <c r="G1" s="23" t="inlineStr">
        <is>
          <t>Total:</t>
        </is>
      </c>
    </row>
    <row r="2">
      <c r="G2" s="24">
        <f>F9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5" t="inlineStr">
        <is>
          <t>Manta 4mm</t>
        </is>
      </c>
      <c r="B4" s="25" t="inlineStr">
        <is>
          <t>Material</t>
        </is>
      </c>
      <c r="C4" s="4">
        <f>ROUND(INDICES!D19*DADOS_PROJETO!B5,0)</f>
        <v/>
      </c>
      <c r="D4" s="25" t="inlineStr">
        <is>
          <t>m²</t>
        </is>
      </c>
      <c r="E4" s="26" t="n">
        <v>82.11</v>
      </c>
      <c r="F4" s="4">
        <f>C4*E4</f>
        <v/>
      </c>
      <c r="G4" s="27" t="inlineStr">
        <is>
          <t>Índ impermeab×AC</t>
        </is>
      </c>
    </row>
    <row r="5">
      <c r="A5" s="25" t="inlineStr">
        <is>
          <t>Arg.polim.</t>
        </is>
      </c>
      <c r="B5" s="25" t="inlineStr">
        <is>
          <t>BWC</t>
        </is>
      </c>
      <c r="C5" s="4">
        <f>ROUND(INDICES!D19*DADOS_PROJETO!B5*0.3,0)</f>
        <v/>
      </c>
      <c r="D5" s="25" t="inlineStr">
        <is>
          <t>m²</t>
        </is>
      </c>
      <c r="E5" s="26" t="n">
        <v>8.5</v>
      </c>
      <c r="F5" s="4">
        <f>C5*E5</f>
        <v/>
      </c>
      <c r="G5" s="27" t="inlineStr">
        <is>
          <t>PU base</t>
        </is>
      </c>
    </row>
    <row r="6">
      <c r="A6" s="25" t="inlineStr">
        <is>
          <t>Regulariz.</t>
        </is>
      </c>
      <c r="B6" s="25" t="inlineStr">
        <is>
          <t>Superfície</t>
        </is>
      </c>
      <c r="C6" s="4">
        <f>ROUND(INDICES!D19*DADOS_PROJETO!B5,0)</f>
        <v/>
      </c>
      <c r="D6" s="25" t="inlineStr">
        <is>
          <t>m²</t>
        </is>
      </c>
      <c r="E6" s="26" t="n">
        <v>5.57</v>
      </c>
      <c r="F6" s="4">
        <f>C6*E6</f>
        <v/>
      </c>
      <c r="G6" s="27" t="inlineStr">
        <is>
          <t>PU base (15p)</t>
        </is>
      </c>
    </row>
    <row r="7">
      <c r="A7" s="25" t="inlineStr">
        <is>
          <t>MO imper.</t>
        </is>
      </c>
      <c r="B7" s="25" t="inlineStr">
        <is>
          <t>Empreitada</t>
        </is>
      </c>
      <c r="C7" s="4">
        <f>ROUND(INDICES!D19*DADOS_PROJETO!B5,0)</f>
        <v/>
      </c>
      <c r="D7" s="25" t="inlineStr">
        <is>
          <t>m²</t>
        </is>
      </c>
      <c r="E7" s="26" t="n">
        <v>68</v>
      </c>
      <c r="F7" s="4">
        <f>C7*E7</f>
        <v/>
      </c>
      <c r="G7" s="27" t="inlineStr">
        <is>
          <t>Split 56,5% (6p)</t>
        </is>
      </c>
    </row>
    <row r="8">
      <c r="A8" s="25" t="inlineStr">
        <is>
          <t>MO regul.</t>
        </is>
      </c>
      <c r="B8" s="25" t="inlineStr">
        <is>
          <t>Empreitada</t>
        </is>
      </c>
      <c r="C8" s="4">
        <f>ROUND(INDICES!D19*DADOS_PROJETO!B5,0)</f>
        <v/>
      </c>
      <c r="D8" s="25" t="inlineStr">
        <is>
          <t>m²</t>
        </is>
      </c>
      <c r="E8" s="26" t="n">
        <v>19.5</v>
      </c>
      <c r="F8" s="4">
        <f>C8*E8</f>
        <v/>
      </c>
      <c r="G8" s="27" t="inlineStr">
        <is>
          <t>PU base (7p)</t>
        </is>
      </c>
    </row>
    <row r="9">
      <c r="A9" s="28" t="inlineStr">
        <is>
          <t>TOTAL</t>
        </is>
      </c>
      <c r="F9" s="22">
        <f>SUM(F4:F8)</f>
        <v/>
      </c>
    </row>
  </sheetData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E67E22"/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INSTALAÇÕES</t>
        </is>
      </c>
      <c r="G1" s="23" t="inlineStr">
        <is>
          <t>Total:</t>
        </is>
      </c>
    </row>
    <row r="2">
      <c r="G2" s="24">
        <f>F11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5" t="inlineStr">
        <is>
          <t>Elétricas mat.</t>
        </is>
      </c>
      <c r="B4" s="25" t="inlineStr">
        <is>
          <t>IF Tipologia</t>
        </is>
      </c>
      <c r="C4" s="4">
        <f>DADOS_PROJETO!B5</f>
        <v/>
      </c>
      <c r="D4" s="25" t="inlineStr">
        <is>
          <t>m²</t>
        </is>
      </c>
      <c r="E4" s="5">
        <f>ROUND(130*(DADOS_PROJETO!B12/2752.67)/1.1*0.618*INDICES!D27,2)</f>
        <v/>
      </c>
      <c r="F4" s="4">
        <f>C4*E4</f>
        <v/>
      </c>
      <c r="G4" s="27" t="inlineStr">
        <is>
          <t>Índ 1,77m/m² × fator tipol (D27)</t>
        </is>
      </c>
    </row>
    <row r="5">
      <c r="A5" s="25" t="inlineStr">
        <is>
          <t>Elétricas MO</t>
        </is>
      </c>
      <c r="B5" s="25" t="inlineStr">
        <is>
          <t>Empreitada</t>
        </is>
      </c>
      <c r="C5" s="4">
        <f>DADOS_PROJETO!B5</f>
        <v/>
      </c>
      <c r="D5" s="25" t="inlineStr">
        <is>
          <t>m²</t>
        </is>
      </c>
      <c r="E5" s="5">
        <f>ROUND(130*(DADOS_PROJETO!B12/2752.67)/1.1*0.382*INDICES!D27,2)</f>
        <v/>
      </c>
      <c r="F5" s="4">
        <f>C5*E5</f>
        <v/>
      </c>
      <c r="G5" s="27" t="inlineStr">
        <is>
          <t>Split 38,2% × fator tipol (D27)</t>
        </is>
      </c>
    </row>
    <row r="6">
      <c r="A6" s="25" t="inlineStr">
        <is>
          <t>Hidro mat.</t>
        </is>
      </c>
      <c r="B6" s="25" t="inlineStr">
        <is>
          <t>IF BWC/apto</t>
        </is>
      </c>
      <c r="C6" s="4">
        <f>DADOS_PROJETO!B5</f>
        <v/>
      </c>
      <c r="D6" s="25" t="inlineStr">
        <is>
          <t>m²</t>
        </is>
      </c>
      <c r="E6" s="5">
        <f>ROUND(145*(DADOS_PROJETO!B12/2752.67)/1.1*0.66*INDICES!D35,2)</f>
        <v/>
      </c>
      <c r="F6" s="4">
        <f>C6*E6</f>
        <v/>
      </c>
      <c r="G6" s="27" t="inlineStr">
        <is>
          <t>Índ 1,08m/m² × fator hidro (D35)</t>
        </is>
      </c>
    </row>
    <row r="7">
      <c r="A7" s="25" t="inlineStr">
        <is>
          <t>Hidro MO</t>
        </is>
      </c>
      <c r="B7" s="25" t="inlineStr">
        <is>
          <t>Empreitada</t>
        </is>
      </c>
      <c r="C7" s="4">
        <f>DADOS_PROJETO!B5</f>
        <v/>
      </c>
      <c r="D7" s="25" t="inlineStr">
        <is>
          <t>m²</t>
        </is>
      </c>
      <c r="E7" s="5">
        <f>ROUND(145*(DADOS_PROJETO!B12/2752.67)/1.1*0.34*INDICES!D35,2)</f>
        <v/>
      </c>
      <c r="F7" s="4">
        <f>C7*E7</f>
        <v/>
      </c>
      <c r="G7" s="27" t="inlineStr">
        <is>
          <t>Split 34,0% × fator hidro (D35)</t>
        </is>
      </c>
    </row>
    <row r="8">
      <c r="A8" s="25" t="inlineStr">
        <is>
          <t>Preventivas</t>
        </is>
      </c>
      <c r="B8" s="25" t="inlineStr">
        <is>
          <t>Mat+MO</t>
        </is>
      </c>
      <c r="C8" s="4">
        <f>DADOS_PROJETO!B5</f>
        <v/>
      </c>
      <c r="D8" s="25" t="inlineStr">
        <is>
          <t>m²</t>
        </is>
      </c>
      <c r="E8" s="5">
        <f>ROUND(45*(DADOS_PROJETO!B12/2752.67)/1.1,2)</f>
        <v/>
      </c>
      <c r="F8" s="4">
        <f>C8*E8</f>
        <v/>
      </c>
      <c r="G8" s="27" t="inlineStr">
        <is>
          <t>Param.</t>
        </is>
      </c>
    </row>
    <row r="9">
      <c r="A9" s="25" t="inlineStr">
        <is>
          <t>Gás</t>
        </is>
      </c>
      <c r="B9" s="25" t="inlineStr">
        <is>
          <t>Mat+MO</t>
        </is>
      </c>
      <c r="C9" s="4">
        <f>DADOS_PROJETO!B5</f>
        <v/>
      </c>
      <c r="D9" s="25" t="inlineStr">
        <is>
          <t>m²</t>
        </is>
      </c>
      <c r="E9" s="5">
        <f>ROUND(18*(DADOS_PROJETO!B12/2752.67)/1.1,2)</f>
        <v/>
      </c>
      <c r="F9" s="4">
        <f>C9*E9</f>
        <v/>
      </c>
      <c r="G9" s="27" t="inlineStr">
        <is>
          <t>Param. base</t>
        </is>
      </c>
    </row>
    <row r="10">
      <c r="A10" s="25" t="inlineStr">
        <is>
          <t>Telecom</t>
        </is>
      </c>
      <c r="B10" s="25" t="inlineStr">
        <is>
          <t>Mat+MO</t>
        </is>
      </c>
      <c r="C10" s="4">
        <f>DADOS_PROJETO!B5</f>
        <v/>
      </c>
      <c r="D10" s="25" t="inlineStr">
        <is>
          <t>m²</t>
        </is>
      </c>
      <c r="E10" s="5">
        <f>ROUND(15*(DADOS_PROJETO!B12/2752.67)/1.1,2)</f>
        <v/>
      </c>
      <c r="F10" s="4">
        <f>C10*E10</f>
        <v/>
      </c>
      <c r="G10" s="27" t="inlineStr">
        <is>
          <t>Param. base</t>
        </is>
      </c>
    </row>
    <row r="11">
      <c r="A11" s="28" t="inlineStr">
        <is>
          <t>TOTAL</t>
        </is>
      </c>
      <c r="F11" s="22">
        <f>SUM(F4:F10)</f>
        <v/>
      </c>
    </row>
  </sheetData>
  <mergeCells count="1"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E67E22"/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SIST. ESPECIAIS</t>
        </is>
      </c>
      <c r="G1" s="23" t="inlineStr">
        <is>
          <t>Total:</t>
        </is>
      </c>
    </row>
    <row r="2">
      <c r="G2" s="24">
        <f>F15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5" t="inlineStr">
        <is>
          <t>Elevador social</t>
        </is>
      </c>
      <c r="B4" s="25" t="inlineStr">
        <is>
          <t>N-1 elevadores</t>
        </is>
      </c>
      <c r="C4" s="4">
        <f>MAX(1,DADOS_PROJETO!B9-1)</f>
        <v/>
      </c>
      <c r="D4" s="25" t="inlineStr">
        <is>
          <t>un</t>
        </is>
      </c>
      <c r="E4" s="26" t="n">
        <v>192450</v>
      </c>
      <c r="F4" s="4">
        <f>C4*E4</f>
        <v/>
      </c>
      <c r="G4" s="27" t="inlineStr">
        <is>
          <t>PU base (5p)</t>
        </is>
      </c>
    </row>
    <row r="5">
      <c r="A5" s="25" t="inlineStr">
        <is>
          <t>Elevador serv.</t>
        </is>
      </c>
      <c r="B5" s="25" t="inlineStr">
        <is>
          <t>1un</t>
        </is>
      </c>
      <c r="C5" s="29" t="n">
        <v>1</v>
      </c>
      <c r="D5" s="25" t="inlineStr">
        <is>
          <t>un</t>
        </is>
      </c>
      <c r="E5" s="26" t="n">
        <v>96000</v>
      </c>
      <c r="F5" s="4">
        <f>C5*E5</f>
        <v/>
      </c>
      <c r="G5" s="27" t="inlineStr">
        <is>
          <t>PU base (5p)</t>
        </is>
      </c>
    </row>
    <row r="6">
      <c r="A6" s="25" t="inlineStr">
        <is>
          <t>Gerador</t>
        </is>
      </c>
      <c r="B6" s="25" t="inlineStr">
        <is>
          <t>IF Gerador+Torres</t>
        </is>
      </c>
      <c r="C6" s="29" t="n">
        <v>1</v>
      </c>
      <c r="D6" s="25" t="inlineStr">
        <is>
          <t>vb</t>
        </is>
      </c>
      <c r="E6" s="5">
        <f>INDICES!D23</f>
        <v/>
      </c>
      <c r="F6" s="4">
        <f>C6*E6</f>
        <v/>
      </c>
      <c r="G6" s="27" t="inlineStr">
        <is>
          <t>IF Gerador B11 + Torres B10</t>
        </is>
      </c>
    </row>
    <row r="7">
      <c r="A7" s="25" t="inlineStr">
        <is>
          <t>Automação</t>
        </is>
      </c>
      <c r="B7" s="25" t="inlineStr">
        <is>
          <t>BMS+sensores</t>
        </is>
      </c>
      <c r="C7" s="29" t="n">
        <v>1</v>
      </c>
      <c r="D7" s="25" t="inlineStr">
        <is>
          <t>vb</t>
        </is>
      </c>
      <c r="E7" s="26" t="n">
        <v>120000</v>
      </c>
      <c r="F7" s="4">
        <f>C7*E7</f>
        <v/>
      </c>
      <c r="G7" s="27" t="inlineStr">
        <is>
          <t>Param. base</t>
        </is>
      </c>
    </row>
    <row r="8">
      <c r="A8" s="25" t="inlineStr">
        <is>
          <t>Piscina</t>
        </is>
      </c>
      <c r="B8" s="25" t="inlineStr">
        <is>
          <t>IF Piscina B17</t>
        </is>
      </c>
      <c r="C8" s="29" t="n">
        <v>1</v>
      </c>
      <c r="D8" s="25" t="inlineStr">
        <is>
          <t>vb</t>
        </is>
      </c>
      <c r="E8" s="5">
        <f>INDICES!D30</f>
        <v/>
      </c>
      <c r="F8" s="4">
        <f>C8*E8</f>
        <v/>
      </c>
      <c r="G8" s="27" t="inlineStr">
        <is>
          <t>IF Piscina (Sim/Não/Aquecida)</t>
        </is>
      </c>
    </row>
    <row r="9">
      <c r="A9" s="25" t="inlineStr">
        <is>
          <t>CFTV</t>
        </is>
      </c>
      <c r="B9" s="25" t="inlineStr">
        <is>
          <t>Câmeras+DVR</t>
        </is>
      </c>
      <c r="C9" s="29" t="n">
        <v>1</v>
      </c>
      <c r="D9" s="25" t="inlineStr">
        <is>
          <t>vb</t>
        </is>
      </c>
      <c r="E9" s="26" t="n">
        <v>120000</v>
      </c>
      <c r="F9" s="4">
        <f>C9*E9</f>
        <v/>
      </c>
      <c r="G9" s="27" t="inlineStr">
        <is>
          <t>Param. base</t>
        </is>
      </c>
    </row>
    <row r="10">
      <c r="A10" s="25" t="inlineStr">
        <is>
          <t>Pressurização</t>
        </is>
      </c>
      <c r="B10" s="25" t="inlineStr">
        <is>
          <t>IF Pressurização B9</t>
        </is>
      </c>
      <c r="C10" s="29" t="n">
        <v>1</v>
      </c>
      <c r="D10" s="25" t="inlineStr">
        <is>
          <t>vb</t>
        </is>
      </c>
      <c r="E10" s="5">
        <f>INDICES!D22</f>
        <v/>
      </c>
      <c r="F10" s="4">
        <f>C10*E10</f>
        <v/>
      </c>
      <c r="G10" s="27" t="inlineStr">
        <is>
          <t>IF Pressurização</t>
        </is>
      </c>
    </row>
    <row r="11">
      <c r="A11" s="25" t="inlineStr">
        <is>
          <t>SPDA</t>
        </is>
      </c>
      <c r="B11" s="25" t="inlineStr">
        <is>
          <t>Para-raios+malha</t>
        </is>
      </c>
      <c r="C11" s="29" t="n">
        <v>1</v>
      </c>
      <c r="D11" s="25" t="inlineStr">
        <is>
          <t>vb</t>
        </is>
      </c>
      <c r="E11" s="26" t="n">
        <v>55000</v>
      </c>
      <c r="F11" s="4">
        <f>C11*E11</f>
        <v/>
      </c>
      <c r="G11" s="27" t="inlineStr">
        <is>
          <t>Param. base</t>
        </is>
      </c>
    </row>
    <row r="12">
      <c r="A12" s="25" t="inlineStr">
        <is>
          <t>Interfonia</t>
        </is>
      </c>
      <c r="B12" s="25" t="inlineStr">
        <is>
          <t>Ctrl acesso</t>
        </is>
      </c>
      <c r="C12" s="29" t="n">
        <v>1</v>
      </c>
      <c r="D12" s="25" t="inlineStr">
        <is>
          <t>vb</t>
        </is>
      </c>
      <c r="E12" s="26" t="n">
        <v>130000</v>
      </c>
      <c r="F12" s="4">
        <f>C12*E12</f>
        <v/>
      </c>
      <c r="G12" s="27" t="inlineStr">
        <is>
          <t>Param. base</t>
        </is>
      </c>
    </row>
    <row r="13">
      <c r="A13" s="25" t="inlineStr">
        <is>
          <t>Bombas</t>
        </is>
      </c>
      <c r="B13" s="25" t="inlineStr">
        <is>
          <t>Recalque+incêndio</t>
        </is>
      </c>
      <c r="C13" s="29" t="n">
        <v>1</v>
      </c>
      <c r="D13" s="25" t="inlineStr">
        <is>
          <t>vb</t>
        </is>
      </c>
      <c r="E13" s="26" t="n">
        <v>95000</v>
      </c>
      <c r="F13" s="4">
        <f>C13*E13</f>
        <v/>
      </c>
      <c r="G13" s="27" t="inlineStr">
        <is>
          <t>Param. base</t>
        </is>
      </c>
    </row>
    <row r="14">
      <c r="A14" s="25" t="inlineStr">
        <is>
          <t>Quadros comando</t>
        </is>
      </c>
      <c r="B14" s="25" t="inlineStr">
        <is>
          <t>Bombas+sist</t>
        </is>
      </c>
      <c r="C14" s="29" t="n">
        <v>1</v>
      </c>
      <c r="D14" s="25" t="inlineStr">
        <is>
          <t>vb</t>
        </is>
      </c>
      <c r="E14" s="26" t="n">
        <v>60000</v>
      </c>
      <c r="F14" s="4">
        <f>C14*E14</f>
        <v/>
      </c>
      <c r="G14" s="27" t="inlineStr">
        <is>
          <t>Param. base</t>
        </is>
      </c>
    </row>
    <row r="15">
      <c r="A15" s="28" t="inlineStr">
        <is>
          <t>TOTAL</t>
        </is>
      </c>
      <c r="F15" s="22">
        <f>SUM(F4:F14)</f>
        <v/>
      </c>
    </row>
  </sheetData>
  <mergeCells count="1"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E67E22"/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CLIMATIZAÇÃO</t>
        </is>
      </c>
      <c r="G1" s="23" t="inlineStr">
        <is>
          <t>Total:</t>
        </is>
      </c>
    </row>
    <row r="2">
      <c r="G2" s="24">
        <f>F8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5" t="inlineStr">
        <is>
          <t>Split</t>
        </is>
      </c>
      <c r="B4" s="25" t="inlineStr">
        <is>
          <t>1,5/apto</t>
        </is>
      </c>
      <c r="C4" s="4">
        <f>ROUND(DADOS_PROJETO!B6*1.5,0)</f>
        <v/>
      </c>
      <c r="D4" s="25" t="inlineStr">
        <is>
          <t>un</t>
        </is>
      </c>
      <c r="E4" s="26" t="n">
        <v>3500</v>
      </c>
      <c r="F4" s="4">
        <f>C4*E4</f>
        <v/>
      </c>
      <c r="G4" s="27" t="inlineStr">
        <is>
          <t>Param. 1,5/apto</t>
        </is>
      </c>
    </row>
    <row r="5">
      <c r="A5" s="25" t="inlineStr">
        <is>
          <t>Exaust.BWC</t>
        </is>
      </c>
      <c r="B5" s="25" t="inlineStr">
        <is>
          <t>4/pav enclaus.</t>
        </is>
      </c>
      <c r="C5" s="4">
        <f>4*DADOS_PROJETO!B8</f>
        <v/>
      </c>
      <c r="D5" s="25" t="inlineStr">
        <is>
          <t>un</t>
        </is>
      </c>
      <c r="E5" s="26" t="n">
        <v>1200</v>
      </c>
      <c r="F5" s="4">
        <f>C5*E5</f>
        <v/>
      </c>
      <c r="G5" s="27" t="inlineStr">
        <is>
          <t>4 bwc/pav</t>
        </is>
      </c>
    </row>
    <row r="6">
      <c r="A6" s="25" t="inlineStr">
        <is>
          <t>Exaust.churr.</t>
        </is>
      </c>
      <c r="B6" s="25" t="inlineStr">
        <is>
          <t>2/pav+lazer</t>
        </is>
      </c>
      <c r="C6" s="4">
        <f>2*DADOS_PROJETO!B8+2</f>
        <v/>
      </c>
      <c r="D6" s="25" t="inlineStr">
        <is>
          <t>un</t>
        </is>
      </c>
      <c r="E6" s="26" t="n">
        <v>2500</v>
      </c>
      <c r="F6" s="4">
        <f>C6*E6</f>
        <v/>
      </c>
      <c r="G6" s="27" t="inlineStr">
        <is>
          <t>2/pav+lazer</t>
        </is>
      </c>
    </row>
    <row r="7">
      <c r="A7" s="25" t="inlineStr">
        <is>
          <t>Infra AR</t>
        </is>
      </c>
      <c r="B7" s="25" t="inlineStr">
        <is>
          <t>Dutos+tub</t>
        </is>
      </c>
      <c r="C7" s="4">
        <f>DADOS_PROJETO!B5</f>
        <v/>
      </c>
      <c r="D7" s="25" t="inlineStr">
        <is>
          <t>m²</t>
        </is>
      </c>
      <c r="E7" s="26" t="n">
        <v>10</v>
      </c>
      <c r="F7" s="4">
        <f>C7*E7</f>
        <v/>
      </c>
      <c r="G7" s="27" t="inlineStr">
        <is>
          <t>PU base</t>
        </is>
      </c>
    </row>
    <row r="8">
      <c r="A8" s="28" t="inlineStr">
        <is>
          <t>TOTAL</t>
        </is>
      </c>
      <c r="F8" s="22">
        <f>SUM(F4:F7)</f>
        <v/>
      </c>
    </row>
  </sheetData>
  <mergeCells count="1"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E67E22"/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REV. INT. PAREDE</t>
        </is>
      </c>
      <c r="G1" s="23" t="inlineStr">
        <is>
          <t>Total:</t>
        </is>
      </c>
    </row>
    <row r="2">
      <c r="G2" s="24">
        <f>F15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5" t="inlineStr">
        <is>
          <t>Reboco</t>
        </is>
      </c>
      <c r="B4" s="25" t="inlineStr">
        <is>
          <t>Massa única</t>
        </is>
      </c>
      <c r="C4" s="4">
        <f>ROUND(INDICES!D15*DADOS_PROJETO!B5*0.35,0)</f>
        <v/>
      </c>
      <c r="D4" s="25" t="inlineStr">
        <is>
          <t>m²</t>
        </is>
      </c>
      <c r="E4" s="26" t="n">
        <v>7</v>
      </c>
      <c r="F4" s="4">
        <f>C4*E4</f>
        <v/>
      </c>
      <c r="G4" s="27" t="inlineStr">
        <is>
          <t>Índ 2,85×35%</t>
        </is>
      </c>
    </row>
    <row r="5">
      <c r="A5" s="25" t="inlineStr">
        <is>
          <t>Chapisco</t>
        </is>
      </c>
      <c r="B5" s="25" t="inlineStr">
        <is>
          <t>Rolado+colante</t>
        </is>
      </c>
      <c r="C5" s="4">
        <f>ROUND(INDICES!D15*DADOS_PROJETO!B5*0.35,0)</f>
        <v/>
      </c>
      <c r="D5" s="25" t="inlineStr">
        <is>
          <t>m²</t>
        </is>
      </c>
      <c r="E5" s="26" t="n">
        <v>5.5</v>
      </c>
      <c r="F5" s="4">
        <f>C5*E5</f>
        <v/>
      </c>
      <c r="G5" s="27" t="inlineStr">
        <is>
          <t>PU base</t>
        </is>
      </c>
    </row>
    <row r="6">
      <c r="A6" s="25" t="inlineStr">
        <is>
          <t>Cerâm.BWC</t>
        </is>
      </c>
      <c r="B6" s="25" t="inlineStr">
        <is>
          <t>30×60</t>
        </is>
      </c>
      <c r="C6" s="4">
        <f>ROUND(INDICES!D15*DADOS_PROJETO!B5*0.14,0)</f>
        <v/>
      </c>
      <c r="D6" s="25" t="inlineStr">
        <is>
          <t>m²</t>
        </is>
      </c>
      <c r="E6" s="5">
        <f>48*INDICES!D20</f>
        <v/>
      </c>
      <c r="F6" s="4">
        <f>C6*E6</f>
        <v/>
      </c>
      <c r="G6" s="27" t="inlineStr">
        <is>
          <t>PU×fator padrão</t>
        </is>
      </c>
    </row>
    <row r="7">
      <c r="A7" s="25" t="inlineStr">
        <is>
          <t>Cerâm.cozinha</t>
        </is>
      </c>
      <c r="B7" s="25" t="inlineStr">
        <is>
          <t>30×60</t>
        </is>
      </c>
      <c r="C7" s="4">
        <f>ROUND(INDICES!D15*DADOS_PROJETO!B5*0.06,0)</f>
        <v/>
      </c>
      <c r="D7" s="25" t="inlineStr">
        <is>
          <t>m²</t>
        </is>
      </c>
      <c r="E7" s="5">
        <f>42*INDICES!D20</f>
        <v/>
      </c>
      <c r="F7" s="4">
        <f>C7*E7</f>
        <v/>
      </c>
      <c r="G7" s="27" t="inlineStr">
        <is>
          <t>PU×fator padrão</t>
        </is>
      </c>
    </row>
    <row r="8">
      <c r="A8" s="25" t="inlineStr">
        <is>
          <t>Porcel.parede</t>
        </is>
      </c>
      <c r="B8" s="25" t="inlineStr">
        <is>
          <t>Comuns</t>
        </is>
      </c>
      <c r="C8" s="4">
        <f>ROUND(INDICES!D15*DADOS_PROJETO!B5*0.04,0)</f>
        <v/>
      </c>
      <c r="D8" s="25" t="inlineStr">
        <is>
          <t>m²</t>
        </is>
      </c>
      <c r="E8" s="5">
        <f>85*INDICES!D20</f>
        <v/>
      </c>
      <c r="F8" s="4">
        <f>C8*E8</f>
        <v/>
      </c>
      <c r="G8" s="27" t="inlineStr">
        <is>
          <t>PU×fator padrão</t>
        </is>
      </c>
    </row>
    <row r="9">
      <c r="A9" s="25" t="inlineStr">
        <is>
          <t>Granito bancadas</t>
        </is>
      </c>
      <c r="B9" s="25" t="inlineStr">
        <is>
          <t>Lavat+coz</t>
        </is>
      </c>
      <c r="C9" s="4">
        <f>ROUND(DADOS_PROJETO!B6*3.5,0)</f>
        <v/>
      </c>
      <c r="D9" s="25" t="inlineStr">
        <is>
          <t>m</t>
        </is>
      </c>
      <c r="E9" s="5">
        <f>180*INDICES!D20</f>
        <v/>
      </c>
      <c r="F9" s="4">
        <f>C9*E9</f>
        <v/>
      </c>
      <c r="G9" s="27" t="inlineStr">
        <is>
          <t>R$ 180×fator padrão</t>
        </is>
      </c>
    </row>
    <row r="10">
      <c r="A10" s="25" t="inlineStr">
        <is>
          <t>Arg.colante</t>
        </is>
      </c>
      <c r="B10" s="25" t="inlineStr">
        <is>
          <t>AC-II/III</t>
        </is>
      </c>
      <c r="C10" s="4">
        <f>ROUND(INDICES!D15*DADOS_PROJETO!B5*0.24,0)</f>
        <v/>
      </c>
      <c r="D10" s="25" t="inlineStr">
        <is>
          <t>m²</t>
        </is>
      </c>
      <c r="E10" s="26" t="n">
        <v>12</v>
      </c>
      <c r="F10" s="4">
        <f>C10*E10</f>
        <v/>
      </c>
      <c r="G10" s="27" t="inlineStr">
        <is>
          <t>PU base</t>
        </is>
      </c>
    </row>
    <row r="11">
      <c r="A11" s="25" t="inlineStr">
        <is>
          <t>Rejunte</t>
        </is>
      </c>
      <c r="B11" s="25" t="inlineStr">
        <is>
          <t>Flexível</t>
        </is>
      </c>
      <c r="C11" s="4">
        <f>ROUND(INDICES!D15*DADOS_PROJETO!B5*0.24,0)</f>
        <v/>
      </c>
      <c r="D11" s="25" t="inlineStr">
        <is>
          <t>m²</t>
        </is>
      </c>
      <c r="E11" s="26" t="n">
        <v>5</v>
      </c>
      <c r="F11" s="4">
        <f>C11*E11</f>
        <v/>
      </c>
      <c r="G11" s="27" t="inlineStr">
        <is>
          <t>PU base</t>
        </is>
      </c>
    </row>
    <row r="12">
      <c r="A12" s="25" t="inlineStr">
        <is>
          <t>MO reboco</t>
        </is>
      </c>
      <c r="B12" s="25" t="inlineStr">
        <is>
          <t>Empreitada</t>
        </is>
      </c>
      <c r="C12" s="4">
        <f>ROUND(INDICES!D15*DADOS_PROJETO!B5*0.35,0)</f>
        <v/>
      </c>
      <c r="D12" s="25" t="inlineStr">
        <is>
          <t>m²</t>
        </is>
      </c>
      <c r="E12" s="26" t="n">
        <v>22.5</v>
      </c>
      <c r="F12" s="4">
        <f>C12*E12</f>
        <v/>
      </c>
      <c r="G12" s="27" t="inlineStr">
        <is>
          <t>Split 54,4%</t>
        </is>
      </c>
    </row>
    <row r="13">
      <c r="A13" s="25" t="inlineStr">
        <is>
          <t>MO cerâmica</t>
        </is>
      </c>
      <c r="B13" s="25" t="inlineStr">
        <is>
          <t>Assentamento</t>
        </is>
      </c>
      <c r="C13" s="4">
        <f>ROUND(INDICES!D15*DADOS_PROJETO!B5*0.24,0)</f>
        <v/>
      </c>
      <c r="D13" s="25" t="inlineStr">
        <is>
          <t>m²</t>
        </is>
      </c>
      <c r="E13" s="26" t="n">
        <v>35</v>
      </c>
      <c r="F13" s="4">
        <f>C13*E13</f>
        <v/>
      </c>
      <c r="G13" s="27" t="inlineStr">
        <is>
          <t>Split 54,4%</t>
        </is>
      </c>
    </row>
    <row r="14">
      <c r="A14" s="25" t="inlineStr">
        <is>
          <t>MO granito</t>
        </is>
      </c>
      <c r="B14" s="25" t="inlineStr">
        <is>
          <t>Instalação</t>
        </is>
      </c>
      <c r="C14" s="4">
        <f>ROUND(DADOS_PROJETO!B6*3.5,0)</f>
        <v/>
      </c>
      <c r="D14" s="25" t="inlineStr">
        <is>
          <t>m</t>
        </is>
      </c>
      <c r="E14" s="26" t="n">
        <v>35.9</v>
      </c>
      <c r="F14" s="4">
        <f>C14*E14</f>
        <v/>
      </c>
      <c r="G14" s="27" t="inlineStr">
        <is>
          <t>PU base R$ 36</t>
        </is>
      </c>
    </row>
    <row r="15">
      <c r="A15" s="28" t="inlineStr">
        <is>
          <t>TOTAL</t>
        </is>
      </c>
      <c r="F15" s="22">
        <f>SUM(F4:F14)</f>
        <v/>
      </c>
    </row>
  </sheetData>
  <mergeCells count="1">
    <mergeCell ref="A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E67E22"/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TETO</t>
        </is>
      </c>
      <c r="G1" s="23" t="inlineStr">
        <is>
          <t>Total:</t>
        </is>
      </c>
    </row>
    <row r="2">
      <c r="G2" s="24">
        <f>F8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5" t="inlineStr">
        <is>
          <t>Forro ST</t>
        </is>
      </c>
      <c r="B4" s="25" t="inlineStr">
        <is>
          <t>Acartonado</t>
        </is>
      </c>
      <c r="C4" s="4">
        <f>ROUND(INDICES!D16*DADOS_PROJETO!B5*0.70,0)</f>
        <v/>
      </c>
      <c r="D4" s="25" t="inlineStr">
        <is>
          <t>m²</t>
        </is>
      </c>
      <c r="E4" s="26" t="n">
        <v>28</v>
      </c>
      <c r="F4" s="4">
        <f>C4*E4</f>
        <v/>
      </c>
      <c r="G4" s="27" t="inlineStr">
        <is>
          <t>Índ 1,16×70%</t>
        </is>
      </c>
    </row>
    <row r="5">
      <c r="A5" s="25" t="inlineStr">
        <is>
          <t>Forro RU</t>
        </is>
      </c>
      <c r="B5" s="25" t="inlineStr">
        <is>
          <t>BWC</t>
        </is>
      </c>
      <c r="C5" s="4">
        <f>ROUND(INDICES!D16*DADOS_PROJETO!B5*0.15,0)</f>
        <v/>
      </c>
      <c r="D5" s="25" t="inlineStr">
        <is>
          <t>m²</t>
        </is>
      </c>
      <c r="E5" s="26" t="n">
        <v>35</v>
      </c>
      <c r="F5" s="4">
        <f>C5*E5</f>
        <v/>
      </c>
      <c r="G5" s="27" t="inlineStr">
        <is>
          <t>PU base</t>
        </is>
      </c>
    </row>
    <row r="6">
      <c r="A6" s="25" t="inlineStr">
        <is>
          <t>Perfis</t>
        </is>
      </c>
      <c r="B6" s="25" t="inlineStr">
        <is>
          <t>Estrutura</t>
        </is>
      </c>
      <c r="C6" s="4">
        <f>ROUND(INDICES!D16*DADOS_PROJETO!B5*0.85,0)</f>
        <v/>
      </c>
      <c r="D6" s="25" t="inlineStr">
        <is>
          <t>m²</t>
        </is>
      </c>
      <c r="E6" s="26" t="n">
        <v>15</v>
      </c>
      <c r="F6" s="4">
        <f>C6*E6</f>
        <v/>
      </c>
      <c r="G6" s="27" t="inlineStr">
        <is>
          <t>PU base</t>
        </is>
      </c>
    </row>
    <row r="7">
      <c r="A7" s="25" t="inlineStr">
        <is>
          <t>MO forro</t>
        </is>
      </c>
      <c r="B7" s="25" t="inlineStr">
        <is>
          <t>Empreitada</t>
        </is>
      </c>
      <c r="C7" s="4">
        <f>ROUND(INDICES!D16*DADOS_PROJETO!B5,0)</f>
        <v/>
      </c>
      <c r="D7" s="25" t="inlineStr">
        <is>
          <t>m²</t>
        </is>
      </c>
      <c r="E7" s="26" t="n">
        <v>25</v>
      </c>
      <c r="F7" s="4">
        <f>C7*E7</f>
        <v/>
      </c>
      <c r="G7" s="27" t="inlineStr">
        <is>
          <t>Split 79,1%</t>
        </is>
      </c>
    </row>
    <row r="8">
      <c r="A8" s="28" t="inlineStr">
        <is>
          <t>TOTAL</t>
        </is>
      </c>
      <c r="F8" s="22">
        <f>SUM(F4:F7)</f>
        <v/>
      </c>
    </row>
  </sheetData>
  <mergeCells count="1">
    <mergeCell ref="A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E67E22"/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PISOS</t>
        </is>
      </c>
      <c r="G1" s="23" t="inlineStr">
        <is>
          <t>Total:</t>
        </is>
      </c>
    </row>
    <row r="2">
      <c r="G2" s="24">
        <f>F11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5" t="inlineStr">
        <is>
          <t>Contrapiso</t>
        </is>
      </c>
      <c r="B4" s="25" t="inlineStr">
        <is>
          <t>Autonivelante</t>
        </is>
      </c>
      <c r="C4" s="4">
        <f>ROUND(INDICES!D14*DADOS_PROJETO!B5,0)</f>
        <v/>
      </c>
      <c r="D4" s="25" t="inlineStr">
        <is>
          <t>m²</t>
        </is>
      </c>
      <c r="E4" s="26" t="n">
        <v>12.1</v>
      </c>
      <c r="F4" s="4">
        <f>C4*E4</f>
        <v/>
      </c>
      <c r="G4" s="27" t="inlineStr">
        <is>
          <t>Índ piso×AC (IF shell)</t>
        </is>
      </c>
    </row>
    <row r="5">
      <c r="A5" s="25" t="inlineStr">
        <is>
          <t>Piso principal</t>
        </is>
      </c>
      <c r="B5" s="25" t="inlineStr">
        <is>
          <t>IF Tipo Piso</t>
        </is>
      </c>
      <c r="C5" s="4">
        <f>ROUND(INDICES!D14*DADOS_PROJETO!B5*0.50,0)</f>
        <v/>
      </c>
      <c r="D5" s="25" t="inlineStr">
        <is>
          <t>m²</t>
        </is>
      </c>
      <c r="E5" s="5">
        <f>INDICES!D29</f>
        <v/>
      </c>
      <c r="F5" s="4">
        <f>C5*E5</f>
        <v/>
      </c>
      <c r="G5" s="27" t="inlineStr">
        <is>
          <t>PU IF Tipo Piso × Padrão</t>
        </is>
      </c>
    </row>
    <row r="6">
      <c r="A6" s="25" t="inlineStr">
        <is>
          <t>Cimentado</t>
        </is>
      </c>
      <c r="B6" s="25" t="inlineStr">
        <is>
          <t>Garagem 20%</t>
        </is>
      </c>
      <c r="C6" s="4">
        <f>ROUND(INDICES!D14*DADOS_PROJETO!B5*0.20,0)</f>
        <v/>
      </c>
      <c r="D6" s="25" t="inlineStr">
        <is>
          <t>m²</t>
        </is>
      </c>
      <c r="E6" s="26" t="n">
        <v>32</v>
      </c>
      <c r="F6" s="4">
        <f>C6*E6</f>
        <v/>
      </c>
      <c r="G6" s="27" t="inlineStr">
        <is>
          <t>PU base</t>
        </is>
      </c>
    </row>
    <row r="7">
      <c r="A7" s="25" t="inlineStr">
        <is>
          <t>Granito</t>
        </is>
      </c>
      <c r="B7" s="25" t="inlineStr">
        <is>
          <t>Halls 5%</t>
        </is>
      </c>
      <c r="C7" s="4">
        <f>ROUND(INDICES!D14*DADOS_PROJETO!B5*0.05,0)</f>
        <v/>
      </c>
      <c r="D7" s="25" t="inlineStr">
        <is>
          <t>m²</t>
        </is>
      </c>
      <c r="E7" s="5">
        <f>180*INDICES!D20</f>
        <v/>
      </c>
      <c r="F7" s="4">
        <f>C7*E7</f>
        <v/>
      </c>
      <c r="G7" s="27" t="inlineStr">
        <is>
          <t>PU×fator padrão</t>
        </is>
      </c>
    </row>
    <row r="8">
      <c r="A8" s="25" t="inlineStr">
        <is>
          <t>Rodapé</t>
        </is>
      </c>
      <c r="B8" s="25" t="inlineStr">
        <is>
          <t>Poliestireno</t>
        </is>
      </c>
      <c r="C8" s="4">
        <f>ROUND(INDICES!D14*DADOS_PROJETO!B5*0.35,0)</f>
        <v/>
      </c>
      <c r="D8" s="25" t="inlineStr">
        <is>
          <t>m</t>
        </is>
      </c>
      <c r="E8" s="26" t="n">
        <v>10.77</v>
      </c>
      <c r="F8" s="4">
        <f>C8*E8</f>
        <v/>
      </c>
      <c r="G8" s="27" t="inlineStr">
        <is>
          <t>PU base (10p)</t>
        </is>
      </c>
    </row>
    <row r="9">
      <c r="A9" s="25" t="inlineStr">
        <is>
          <t>MO contrapiso</t>
        </is>
      </c>
      <c r="B9" s="25" t="inlineStr">
        <is>
          <t>Empreitada</t>
        </is>
      </c>
      <c r="C9" s="4">
        <f>ROUND(INDICES!D14*DADOS_PROJETO!B5,0)</f>
        <v/>
      </c>
      <c r="D9" s="25" t="inlineStr">
        <is>
          <t>m²</t>
        </is>
      </c>
      <c r="E9" s="26" t="n">
        <v>18</v>
      </c>
      <c r="F9" s="4">
        <f>C9*E9</f>
        <v/>
      </c>
      <c r="G9" s="27" t="inlineStr">
        <is>
          <t>Split 54%</t>
        </is>
      </c>
    </row>
    <row r="10">
      <c r="A10" s="25" t="inlineStr">
        <is>
          <t>MO pisos</t>
        </is>
      </c>
      <c r="B10" s="25" t="inlineStr">
        <is>
          <t>Assentamento</t>
        </is>
      </c>
      <c r="C10" s="4">
        <f>ROUND(INDICES!D14*DADOS_PROJETO!B5*0.70,0)</f>
        <v/>
      </c>
      <c r="D10" s="25" t="inlineStr">
        <is>
          <t>m²</t>
        </is>
      </c>
      <c r="E10" s="26" t="n">
        <v>32</v>
      </c>
      <c r="F10" s="4">
        <f>C10*E10</f>
        <v/>
      </c>
      <c r="G10" s="27" t="inlineStr">
        <is>
          <t>Split 54%</t>
        </is>
      </c>
    </row>
    <row r="11">
      <c r="A11" s="28" t="inlineStr">
        <is>
          <t>TOTAL</t>
        </is>
      </c>
      <c r="F11" s="22">
        <f>SUM(F4:F10)</f>
        <v/>
      </c>
    </row>
  </sheetData>
  <mergeCells count="1">
    <mergeCell ref="A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E67E22"/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PINTURA</t>
        </is>
      </c>
      <c r="G1" s="23" t="inlineStr">
        <is>
          <t>Total:</t>
        </is>
      </c>
    </row>
    <row r="2">
      <c r="G2" s="24">
        <f>F10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5" t="inlineStr">
        <is>
          <t>Massa PVA</t>
        </is>
      </c>
      <c r="B4" s="25" t="inlineStr">
        <is>
          <t>Paredes 2dem</t>
        </is>
      </c>
      <c r="C4" s="4">
        <f>ROUND(INDICES!D17*DADOS_PROJETO!B5*0.55,0)</f>
        <v/>
      </c>
      <c r="D4" s="25" t="inlineStr">
        <is>
          <t>m²</t>
        </is>
      </c>
      <c r="E4" s="26" t="n">
        <v>4.29</v>
      </c>
      <c r="F4" s="4">
        <f>C4*E4</f>
        <v/>
      </c>
      <c r="G4" s="27" t="inlineStr">
        <is>
          <t>Índ pintura×55%</t>
        </is>
      </c>
    </row>
    <row r="5">
      <c r="A5" s="25" t="inlineStr">
        <is>
          <t>Acrílica par.</t>
        </is>
      </c>
      <c r="B5" s="25" t="inlineStr">
        <is>
          <t>3 demãos</t>
        </is>
      </c>
      <c r="C5" s="4">
        <f>ROUND(INDICES!D17*DADOS_PROJETO!B5*0.55,0)</f>
        <v/>
      </c>
      <c r="D5" s="25" t="inlineStr">
        <is>
          <t>m²</t>
        </is>
      </c>
      <c r="E5" s="26" t="n">
        <v>5.4</v>
      </c>
      <c r="F5" s="4">
        <f>C5*E5</f>
        <v/>
      </c>
      <c r="G5" s="27" t="inlineStr">
        <is>
          <t>PU base (6p)</t>
        </is>
      </c>
    </row>
    <row r="6">
      <c r="A6" s="25" t="inlineStr">
        <is>
          <t>Acrílica teto</t>
        </is>
      </c>
      <c r="B6" s="25" t="inlineStr">
        <is>
          <t>2 demãos</t>
        </is>
      </c>
      <c r="C6" s="4">
        <f>ROUND(INDICES!D17*DADOS_PROJETO!B5*0.20,0)</f>
        <v/>
      </c>
      <c r="D6" s="25" t="inlineStr">
        <is>
          <t>m²</t>
        </is>
      </c>
      <c r="E6" s="26" t="n">
        <v>3.83</v>
      </c>
      <c r="F6" s="4">
        <f>C6*E6</f>
        <v/>
      </c>
      <c r="G6" s="27" t="inlineStr">
        <is>
          <t>PU base</t>
        </is>
      </c>
    </row>
    <row r="7">
      <c r="A7" s="25" t="inlineStr">
        <is>
          <t>Selador</t>
        </is>
      </c>
      <c r="B7" s="25" t="inlineStr">
        <is>
          <t>Base</t>
        </is>
      </c>
      <c r="C7" s="4">
        <f>ROUND(INDICES!D17*DADOS_PROJETO!B5*0.75,0)</f>
        <v/>
      </c>
      <c r="D7" s="25" t="inlineStr">
        <is>
          <t>m²</t>
        </is>
      </c>
      <c r="E7" s="26" t="n">
        <v>2.5</v>
      </c>
      <c r="F7" s="4">
        <f>C7*E7</f>
        <v/>
      </c>
      <c r="G7" s="27" t="inlineStr">
        <is>
          <t>PU base</t>
        </is>
      </c>
    </row>
    <row r="8">
      <c r="A8" s="25" t="inlineStr">
        <is>
          <t>MO pintura</t>
        </is>
      </c>
      <c r="B8" s="25" t="inlineStr">
        <is>
          <t>Empreitada</t>
        </is>
      </c>
      <c r="C8" s="4">
        <f>ROUND(INDICES!D17*DADOS_PROJETO!B5,0)</f>
        <v/>
      </c>
      <c r="D8" s="25" t="inlineStr">
        <is>
          <t>m²</t>
        </is>
      </c>
      <c r="E8" s="26" t="n">
        <v>15</v>
      </c>
      <c r="F8" s="4">
        <f>C8*E8</f>
        <v/>
      </c>
      <c r="G8" s="27" t="inlineStr">
        <is>
          <t>Split 66,2%</t>
        </is>
      </c>
    </row>
    <row r="9">
      <c r="A9" s="25" t="inlineStr">
        <is>
          <t>MO lixamento</t>
        </is>
      </c>
      <c r="B9" s="25" t="inlineStr">
        <is>
          <t>Preparação</t>
        </is>
      </c>
      <c r="C9" s="4">
        <f>ROUND(INDICES!D17*DADOS_PROJETO!B5*0.55,0)</f>
        <v/>
      </c>
      <c r="D9" s="25" t="inlineStr">
        <is>
          <t>m²</t>
        </is>
      </c>
      <c r="E9" s="26" t="n">
        <v>8</v>
      </c>
      <c r="F9" s="4">
        <f>C9*E9</f>
        <v/>
      </c>
      <c r="G9" s="27" t="inlineStr">
        <is>
          <t>Split 66,2%</t>
        </is>
      </c>
    </row>
    <row r="10">
      <c r="A10" s="28" t="inlineStr">
        <is>
          <t>TOTAL</t>
        </is>
      </c>
      <c r="F10" s="22">
        <f>SUM(F4:F9)</f>
        <v/>
      </c>
    </row>
  </sheetData>
  <mergeCells count="1">
    <mergeCell ref="A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E67E22"/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ESQUADRIAS</t>
        </is>
      </c>
      <c r="G1" s="23" t="inlineStr">
        <is>
          <t>Total:</t>
        </is>
      </c>
    </row>
    <row r="2">
      <c r="G2" s="24">
        <f>F6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5" t="inlineStr">
        <is>
          <t>Esquadrias Al</t>
        </is>
      </c>
      <c r="B4" s="25" t="inlineStr">
        <is>
          <t>Jan+portas</t>
        </is>
      </c>
      <c r="C4" s="4">
        <f>DADOS_PROJETO!B5</f>
        <v/>
      </c>
      <c r="D4" s="25" t="inlineStr">
        <is>
          <t>m²</t>
        </is>
      </c>
      <c r="E4" s="5">
        <f>280*INDICES!D20*INDICES!D28</f>
        <v/>
      </c>
      <c r="F4" s="4">
        <f>C4*E4</f>
        <v/>
      </c>
      <c r="G4" s="27" t="inlineStr">
        <is>
          <t>R$280 × padrão × entrega</t>
        </is>
      </c>
    </row>
    <row r="5">
      <c r="A5" s="25" t="inlineStr">
        <is>
          <t>Serralheria</t>
        </is>
      </c>
      <c r="B5" s="25" t="inlineStr">
        <is>
          <t>GC+corrimão</t>
        </is>
      </c>
      <c r="C5" s="4">
        <f>DADOS_PROJETO!B5</f>
        <v/>
      </c>
      <c r="D5" s="25" t="inlineStr">
        <is>
          <t>m²</t>
        </is>
      </c>
      <c r="E5" s="5">
        <f>45*INDICES!D20</f>
        <v/>
      </c>
      <c r="F5" s="4">
        <f>C5*E5</f>
        <v/>
      </c>
      <c r="G5" s="27" t="inlineStr">
        <is>
          <t>R$45 × fator padrão</t>
        </is>
      </c>
    </row>
    <row r="6">
      <c r="A6" s="28" t="inlineStr">
        <is>
          <t>TOTAL</t>
        </is>
      </c>
      <c r="F6" s="22">
        <f>SUM(F4:F5)</f>
        <v/>
      </c>
    </row>
  </sheetData>
  <mergeCells count="1">
    <mergeCell ref="A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E67E22"/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LOUÇAS E METAIS</t>
        </is>
      </c>
      <c r="G1" s="23" t="inlineStr">
        <is>
          <t>Total:</t>
        </is>
      </c>
    </row>
    <row r="2">
      <c r="G2" s="24">
        <f>F5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5" t="inlineStr">
        <is>
          <t>Louças+metais</t>
        </is>
      </c>
      <c r="B4" s="25" t="inlineStr">
        <is>
          <t>IF Tipol+BWC+Padrão+Entrega</t>
        </is>
      </c>
      <c r="C4" s="4">
        <f>DADOS_PROJETO!B6</f>
        <v/>
      </c>
      <c r="D4" s="25" t="inlineStr">
        <is>
          <t>apto</t>
        </is>
      </c>
      <c r="E4" s="5">
        <f>2800*INDICES!D20*INDICES!D26*INDICES!D32*INDICES!D28</f>
        <v/>
      </c>
      <c r="F4" s="4">
        <f>C4*E4</f>
        <v/>
      </c>
      <c r="G4" s="27" t="inlineStr">
        <is>
          <t>R$2800 × padrão × tipol × bwc × entrega</t>
        </is>
      </c>
    </row>
    <row r="5">
      <c r="A5" s="28" t="inlineStr">
        <is>
          <t>TOTAL</t>
        </is>
      </c>
      <c r="F5" s="22">
        <f>SUM(F4:F4)</f>
        <v/>
      </c>
    </row>
  </sheetData>
  <mergeCells count="1">
    <mergeCell ref="A1:E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E67E22"/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FACHADA</t>
        </is>
      </c>
      <c r="G1" s="23" t="inlineStr">
        <is>
          <t>Total:</t>
        </is>
      </c>
    </row>
    <row r="2">
      <c r="G2" s="24">
        <f>F7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5" t="inlineStr">
        <is>
          <t>Revestimento</t>
        </is>
      </c>
      <c r="B4" s="25" t="inlineStr">
        <is>
          <t>Conforme briefing</t>
        </is>
      </c>
      <c r="C4" s="4">
        <f>ROUND(INDICES!D18*DADOS_PROJETO!B5,0)</f>
        <v/>
      </c>
      <c r="D4" s="25" t="inlineStr">
        <is>
          <t>m²</t>
        </is>
      </c>
      <c r="E4" s="5">
        <f>INDICES!D21</f>
        <v/>
      </c>
      <c r="F4" s="4">
        <f>C4*E4</f>
        <v/>
      </c>
      <c r="G4" s="27" t="inlineStr">
        <is>
          <t>IF tipo fachada</t>
        </is>
      </c>
    </row>
    <row r="5">
      <c r="A5" s="25" t="inlineStr">
        <is>
          <t>MO fachada</t>
        </is>
      </c>
      <c r="B5" s="25" t="inlineStr">
        <is>
          <t>Empreitada</t>
        </is>
      </c>
      <c r="C5" s="4">
        <f>ROUND(INDICES!D18*DADOS_PROJETO!B5,0)</f>
        <v/>
      </c>
      <c r="D5" s="25" t="inlineStr">
        <is>
          <t>m²</t>
        </is>
      </c>
      <c r="E5" s="26" t="n">
        <v>35</v>
      </c>
      <c r="F5" s="4">
        <f>C5*E5</f>
        <v/>
      </c>
      <c r="G5" s="27" t="inlineStr">
        <is>
          <t>PU base</t>
        </is>
      </c>
    </row>
    <row r="6">
      <c r="A6" s="25" t="inlineStr">
        <is>
          <t>Balancim</t>
        </is>
      </c>
      <c r="B6" s="25" t="inlineStr">
        <is>
          <t>Fachadeiro</t>
        </is>
      </c>
      <c r="C6" s="4">
        <f>ROUND(INDICES!D18*DADOS_PROJETO!B5,0)</f>
        <v/>
      </c>
      <c r="D6" s="25" t="inlineStr">
        <is>
          <t>m²</t>
        </is>
      </c>
      <c r="E6" s="26" t="n">
        <v>18</v>
      </c>
      <c r="F6" s="4">
        <f>C6*E6</f>
        <v/>
      </c>
      <c r="G6" s="27" t="inlineStr">
        <is>
          <t>PU base</t>
        </is>
      </c>
    </row>
    <row r="7">
      <c r="A7" s="28" t="inlineStr">
        <is>
          <t>TOTAL</t>
        </is>
      </c>
      <c r="F7" s="22">
        <f>SUM(F4:F6)</f>
        <v/>
      </c>
    </row>
  </sheetData>
  <mergeCells count="1">
    <mergeCell ref="A1:E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E67E22"/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COMPLEMENTARES</t>
        </is>
      </c>
      <c r="G1" s="23" t="inlineStr">
        <is>
          <t>Total:</t>
        </is>
      </c>
    </row>
    <row r="2">
      <c r="G2" s="24">
        <f>F14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5" t="inlineStr">
        <is>
          <t>Mobiliário</t>
        </is>
      </c>
      <c r="B4" s="25" t="inlineStr">
        <is>
          <t>Áreas comuns</t>
        </is>
      </c>
      <c r="C4" s="29" t="n">
        <v>1</v>
      </c>
      <c r="D4" s="25" t="inlineStr">
        <is>
          <t>vb</t>
        </is>
      </c>
      <c r="E4" s="26" t="n">
        <v>540000</v>
      </c>
      <c r="F4" s="4">
        <f>C4*E4</f>
        <v/>
      </c>
      <c r="G4" s="27" t="inlineStr">
        <is>
          <t>PU base R$ 540k (5p)</t>
        </is>
      </c>
    </row>
    <row r="5">
      <c r="A5" s="25" t="inlineStr">
        <is>
          <t>Ambientação</t>
        </is>
      </c>
      <c r="B5" s="25" t="inlineStr">
        <is>
          <t>Decoração halls</t>
        </is>
      </c>
      <c r="C5" s="29" t="n">
        <v>1</v>
      </c>
      <c r="D5" s="25" t="inlineStr">
        <is>
          <t>vb</t>
        </is>
      </c>
      <c r="E5" s="5">
        <f>300000*INDICES!D20</f>
        <v/>
      </c>
      <c r="F5" s="4">
        <f>C5*E5</f>
        <v/>
      </c>
      <c r="G5" s="27" t="inlineStr">
        <is>
          <t>R$ 300k×fator padrão</t>
        </is>
      </c>
    </row>
    <row r="6">
      <c r="A6" s="25" t="inlineStr">
        <is>
          <t>Paisagismo</t>
        </is>
      </c>
      <c r="B6" s="25" t="inlineStr"/>
      <c r="C6" s="29" t="n">
        <v>1</v>
      </c>
      <c r="D6" s="25" t="inlineStr">
        <is>
          <t>vb</t>
        </is>
      </c>
      <c r="E6" s="26" t="n">
        <v>120000</v>
      </c>
      <c r="F6" s="4">
        <f>C6*E6</f>
        <v/>
      </c>
      <c r="G6" s="27" t="inlineStr">
        <is>
          <t>Param. base</t>
        </is>
      </c>
    </row>
    <row r="7">
      <c r="A7" s="25" t="inlineStr">
        <is>
          <t>Equip. lazer</t>
        </is>
      </c>
      <c r="B7" s="25" t="inlineStr">
        <is>
          <t>Acad+playground</t>
        </is>
      </c>
      <c r="C7" s="29" t="n">
        <v>1</v>
      </c>
      <c r="D7" s="25" t="inlineStr">
        <is>
          <t>vb</t>
        </is>
      </c>
      <c r="E7" s="26" t="n">
        <v>180000</v>
      </c>
      <c r="F7" s="4">
        <f>C7*E7</f>
        <v/>
      </c>
      <c r="G7" s="27" t="inlineStr">
        <is>
          <t>PU base (8p)</t>
        </is>
      </c>
    </row>
    <row r="8">
      <c r="A8" s="25" t="inlineStr">
        <is>
          <t>Limpeza final</t>
        </is>
      </c>
      <c r="B8" s="25" t="inlineStr"/>
      <c r="C8" s="4">
        <f>DADOS_PROJETO!B5</f>
        <v/>
      </c>
      <c r="D8" s="25" t="inlineStr">
        <is>
          <t>m²</t>
        </is>
      </c>
      <c r="E8" s="26" t="n">
        <v>12</v>
      </c>
      <c r="F8" s="4">
        <f>C8*E8</f>
        <v/>
      </c>
      <c r="G8" s="27" t="inlineStr">
        <is>
          <t>PU base R$ 12/m² (10p)</t>
        </is>
      </c>
    </row>
    <row r="9">
      <c r="A9" s="25" t="inlineStr">
        <is>
          <t>Comunic.visual</t>
        </is>
      </c>
      <c r="B9" s="25" t="inlineStr">
        <is>
          <t>Sinalização</t>
        </is>
      </c>
      <c r="C9" s="29" t="n">
        <v>1</v>
      </c>
      <c r="D9" s="25" t="inlineStr">
        <is>
          <t>vb</t>
        </is>
      </c>
      <c r="E9" s="26" t="n">
        <v>47000</v>
      </c>
      <c r="F9" s="4">
        <f>C9*E9</f>
        <v/>
      </c>
      <c r="G9" s="27" t="inlineStr">
        <is>
          <t>PU base R$ 47k (17p)</t>
        </is>
      </c>
    </row>
    <row r="10">
      <c r="A10" s="25" t="inlineStr">
        <is>
          <t>Cobertura</t>
        </is>
      </c>
      <c r="B10" s="25" t="inlineStr">
        <is>
          <t>Telhado+estrutura</t>
        </is>
      </c>
      <c r="C10" s="4">
        <f>ROUND(DADOS_PROJETO!B5*0.04,0)</f>
        <v/>
      </c>
      <c r="D10" s="25" t="inlineStr">
        <is>
          <t>m²</t>
        </is>
      </c>
      <c r="E10" s="26" t="n">
        <v>95</v>
      </c>
      <c r="F10" s="4">
        <f>C10*E10</f>
        <v/>
      </c>
      <c r="G10" s="27" t="inlineStr">
        <is>
          <t>PU base</t>
        </is>
      </c>
    </row>
    <row r="11">
      <c r="A11" s="25" t="inlineStr">
        <is>
          <t>Ligações def.</t>
        </is>
      </c>
      <c r="B11" s="25" t="inlineStr">
        <is>
          <t>Água+energia+gás</t>
        </is>
      </c>
      <c r="C11" s="29" t="n">
        <v>1</v>
      </c>
      <c r="D11" s="25" t="inlineStr">
        <is>
          <t>vb</t>
        </is>
      </c>
      <c r="E11" s="26" t="n">
        <v>60000</v>
      </c>
      <c r="F11" s="4">
        <f>C11*E11</f>
        <v/>
      </c>
      <c r="G11" s="27" t="inlineStr">
        <is>
          <t>Param. base</t>
        </is>
      </c>
    </row>
    <row r="12">
      <c r="A12" s="25" t="inlineStr">
        <is>
          <t>Desmobilização</t>
        </is>
      </c>
      <c r="B12" s="25" t="inlineStr">
        <is>
          <t>Pessoal+equip</t>
        </is>
      </c>
      <c r="C12" s="29" t="n">
        <v>1</v>
      </c>
      <c r="D12" s="25" t="inlineStr">
        <is>
          <t>vb</t>
        </is>
      </c>
      <c r="E12" s="26" t="n">
        <v>15000</v>
      </c>
      <c r="F12" s="4">
        <f>C12*E12</f>
        <v/>
      </c>
      <c r="G12" s="27" t="inlineStr">
        <is>
          <t>PU base (6p)</t>
        </is>
      </c>
    </row>
    <row r="13">
      <c r="A13" s="25" t="inlineStr">
        <is>
          <t>Paviment.ext.</t>
        </is>
      </c>
      <c r="B13" s="25" t="inlineStr">
        <is>
          <t>Calçadas</t>
        </is>
      </c>
      <c r="C13" s="4">
        <f>ROUND(DADOS_PROJETO!B5*0.06,0)</f>
        <v/>
      </c>
      <c r="D13" s="25" t="inlineStr">
        <is>
          <t>m²</t>
        </is>
      </c>
      <c r="E13" s="26" t="n">
        <v>80</v>
      </c>
      <c r="F13" s="4">
        <f>C13*E13</f>
        <v/>
      </c>
      <c r="G13" s="27" t="inlineStr">
        <is>
          <t>PU base</t>
        </is>
      </c>
    </row>
    <row r="14">
      <c r="A14" s="28" t="inlineStr">
        <is>
          <t>TOTAL</t>
        </is>
      </c>
      <c r="F14" s="22">
        <f>SUM(F4:F13)</f>
        <v/>
      </c>
    </row>
  </sheetData>
  <mergeCells count="1">
    <mergeCell ref="A1:E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E67E22"/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IMPREVISTOS</t>
        </is>
      </c>
      <c r="G1" s="23" t="inlineStr">
        <is>
          <t>Total:</t>
        </is>
      </c>
    </row>
    <row r="2">
      <c r="G2" s="24">
        <f>F5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5" t="inlineStr">
        <is>
          <t>Imprevistos</t>
        </is>
      </c>
      <c r="B4" s="25" t="inlineStr">
        <is>
          <t>1,5% do subtotal</t>
        </is>
      </c>
      <c r="C4" s="29" t="n">
        <v>1</v>
      </c>
      <c r="D4" s="25" t="inlineStr">
        <is>
          <t>vb</t>
        </is>
      </c>
      <c r="E4" s="5">
        <f>ROUND(SUM(CUSTOS_MACROGRUPO!D4:D20)*0.015,0)</f>
        <v/>
      </c>
      <c r="F4" s="4">
        <f>C4*E4</f>
        <v/>
      </c>
      <c r="G4" s="27" t="inlineStr">
        <is>
          <t>Percentual padrão</t>
        </is>
      </c>
    </row>
    <row r="5">
      <c r="A5" s="28" t="inlineStr">
        <is>
          <t>TOTAL</t>
        </is>
      </c>
      <c r="F5" s="22">
        <f>SUM(F4:F4)</f>
        <v/>
      </c>
    </row>
  </sheetData>
  <mergeCells count="1">
    <mergeCell ref="A1:E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2:A2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2">
      <c r="A2" s="30" t="inlineStr">
        <is>
          <t>PARAMÉTRICO V2 — Flow da Lagoa</t>
        </is>
      </c>
    </row>
    <row r="3">
      <c r="A3" s="30" t="inlineStr">
        <is>
          <t>18/18 macrogrupos bottom-up | 14 dropdowns interativos</t>
        </is>
      </c>
    </row>
    <row r="4">
      <c r="A4" s="30" t="inlineStr">
        <is>
          <t>Altere os dropdowns na aba BRIEFING para recalcular automaticamente</t>
        </is>
      </c>
    </row>
    <row r="5">
      <c r="A5" s="30" t="inlineStr"/>
    </row>
    <row r="6">
      <c r="A6" s="30" t="inlineStr">
        <is>
          <t>FONTES: calibration-indices.json (75 exec + 79 narrativos + IFC + curva ABC)</t>
        </is>
      </c>
    </row>
    <row r="7">
      <c r="A7" s="30" t="inlineStr">
        <is>
          <t>PUs: base-pus-cartesian.json (1.504 itens, medianas de 75 executivos)</t>
        </is>
      </c>
    </row>
    <row r="8">
      <c r="A8" s="30" t="inlineStr">
        <is>
          <t>Splits MO/Material: medianas reais de 38 executivos detalhados</t>
        </is>
      </c>
    </row>
    <row r="9">
      <c r="A9" s="30" t="inlineStr"/>
    </row>
    <row r="10">
      <c r="A10" s="30" t="inlineStr">
        <is>
          <t>14 DROPDOWNS ATIVOS:</t>
        </is>
      </c>
    </row>
    <row r="11">
      <c r="A11" s="30" t="inlineStr">
        <is>
          <t xml:space="preserve">  1. Laje: Convencional/Protendida/Nervurada → concreto, aço, forma, escoramento</t>
        </is>
      </c>
    </row>
    <row r="12">
      <c r="A12" s="30" t="inlineStr">
        <is>
          <t xml:space="preserve">  2. Subsolos: 0-3 → contenção, mov.terra, impermeabilização, fundação</t>
        </is>
      </c>
    </row>
    <row r="13">
      <c r="A13" s="30" t="inlineStr">
        <is>
          <t xml:space="preserve">  3. Fundação: Hélice/Tubulão/Sapata → infraestrutura</t>
        </is>
      </c>
    </row>
    <row r="14">
      <c r="A14" s="30" t="inlineStr">
        <is>
          <t xml:space="preserve">  4. Padrão: Médio/Médio-Alto/Alto/Luxo → acabamentos, esquadrias, louças (×0.85-1.35)</t>
        </is>
      </c>
    </row>
    <row r="15">
      <c r="A15" s="30" t="inlineStr">
        <is>
          <t xml:space="preserve">  5. Fachada: Textura/Cerâmica/Pele de vidro/ACM → PU fachada R$ 100-350/m²</t>
        </is>
      </c>
    </row>
    <row r="16">
      <c r="A16" s="30" t="inlineStr">
        <is>
          <t xml:space="preserve">  6. Pressurização: Sim/Não → +R$ 80k</t>
        </is>
      </c>
    </row>
    <row r="17">
      <c r="A17" s="30" t="inlineStr">
        <is>
          <t xml:space="preserve">  7. Torres: 1/2/3 → gerador proporcional</t>
        </is>
      </c>
    </row>
    <row r="18">
      <c r="A18" s="30" t="inlineStr">
        <is>
          <t xml:space="preserve">  8. Gerador dedicado: Sim/Não → R$ 0-350k</t>
        </is>
      </c>
    </row>
    <row r="19">
      <c r="A19" s="30" t="inlineStr">
        <is>
          <t xml:space="preserve">  9. Entrega: Completa/Shell → Shell desconta ~15% (pisos, pintura, rev, louças, esq)</t>
        </is>
      </c>
    </row>
    <row r="20">
      <c r="A20" s="30" t="inlineStr">
        <is>
          <t xml:space="preserve">  10. Tipologia: Studios/1-2D/3-4D/Misto → pontos elétricos, louças (×0.65-1.20)</t>
        </is>
      </c>
    </row>
    <row r="21">
      <c r="A21" s="30" t="inlineStr">
        <is>
          <t xml:space="preserve">  11. Pé-Direito: Baixo/Padrão/Alto/Duplo → estrutura (×0.97-1.12), fachada</t>
        </is>
      </c>
    </row>
    <row r="22">
      <c r="A22" s="30" t="inlineStr">
        <is>
          <t xml:space="preserve">  12. BWC/apto: 1-4 → hidro, louças (×1.0-1.80), rev.parede, impermeab</t>
        </is>
      </c>
    </row>
    <row r="23">
      <c r="A23" s="30" t="inlineStr">
        <is>
          <t xml:space="preserve">  13. Tipo Piso: Porcelanato/Laminado/Misto → PU pisos R$ 65-81/m²</t>
        </is>
      </c>
    </row>
    <row r="24">
      <c r="A24" s="30" t="inlineStr">
        <is>
          <t xml:space="preserve">  14. Piscina: Sim/Não/Aquecida → R$ 0/220k/320k</t>
        </is>
      </c>
    </row>
    <row r="25">
      <c r="A25" s="30" t="inlineStr"/>
    </row>
    <row r="26">
      <c r="A26" s="30" t="inlineStr">
        <is>
          <t>Baseado revisão Patricia (coord. custos) + calibração 75 exec — 24/mar/2026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8" customWidth="1" min="3" max="3"/>
    <col width="18" customWidth="1" min="4" max="4"/>
    <col width="42" customWidth="1" min="5" max="5"/>
  </cols>
  <sheetData>
    <row r="1">
      <c r="A1" s="35" t="inlineStr">
        <is>
          <t>BDI / BIFES - CENÁRIOS PARA VALIDAÇÃO</t>
        </is>
      </c>
    </row>
    <row r="3">
      <c r="A3" s="36" t="inlineStr">
        <is>
          <t>Cenário</t>
        </is>
      </c>
      <c r="B3" s="36" t="inlineStr">
        <is>
          <t>BDI</t>
        </is>
      </c>
      <c r="C3" s="36" t="inlineStr">
        <is>
          <t>Custo direto</t>
        </is>
      </c>
      <c r="D3" s="36" t="inlineStr">
        <is>
          <t>Preço com BDI</t>
        </is>
      </c>
      <c r="E3" s="36" t="inlineStr">
        <is>
          <t>Observação</t>
        </is>
      </c>
    </row>
    <row r="4">
      <c r="A4" s="33" t="inlineStr">
        <is>
          <t>Sem BDI</t>
        </is>
      </c>
      <c r="B4" s="37" t="n">
        <v>0</v>
      </c>
      <c r="C4" s="38" t="n">
        <v>55202281.6</v>
      </c>
      <c r="D4" s="38" t="n">
        <v>55202281.6</v>
      </c>
      <c r="E4" s="33" t="inlineStr">
        <is>
          <t>uso para custo direto/obra</t>
        </is>
      </c>
    </row>
    <row r="5">
      <c r="A5" s="33" t="inlineStr">
        <is>
          <t>BDI 15%</t>
        </is>
      </c>
      <c r="B5" s="37" t="n">
        <v>0.15</v>
      </c>
      <c r="C5" s="38" t="n">
        <v>55202281.6</v>
      </c>
      <c r="D5" s="38" t="n">
        <v>63482623.84</v>
      </c>
      <c r="E5" s="33" t="inlineStr">
        <is>
          <t>referência enxuta</t>
        </is>
      </c>
    </row>
    <row r="6">
      <c r="A6" s="33" t="inlineStr">
        <is>
          <t>BDI 20%</t>
        </is>
      </c>
      <c r="B6" s="37" t="n">
        <v>0.2</v>
      </c>
      <c r="C6" s="38" t="n">
        <v>55202281.6</v>
      </c>
      <c r="D6" s="38" t="n">
        <v>66242737.92</v>
      </c>
      <c r="E6" s="33" t="inlineStr">
        <is>
          <t>referência intermediária</t>
        </is>
      </c>
    </row>
    <row r="7">
      <c r="A7" s="33" t="inlineStr">
        <is>
          <t>BDI 25%</t>
        </is>
      </c>
      <c r="B7" s="37" t="n">
        <v>0.25</v>
      </c>
      <c r="C7" s="38" t="n">
        <v>55202281.6</v>
      </c>
      <c r="D7" s="38" t="n">
        <v>69002852</v>
      </c>
      <c r="E7" s="33" t="inlineStr">
        <is>
          <t>referência conservadora</t>
        </is>
      </c>
    </row>
  </sheetData>
  <mergeCells count="1">
    <mergeCell ref="A1:E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35" t="inlineStr">
        <is>
          <t>FONTES E BENCHMARKS USADOS NO V01</t>
        </is>
      </c>
    </row>
    <row r="3">
      <c r="A3" s="39" t="inlineStr">
        <is>
          <t>Dados extraídos do projeto</t>
        </is>
      </c>
    </row>
    <row r="4">
      <c r="A4" s="40" t="inlineStr">
        <is>
          <t>Campo</t>
        </is>
      </c>
      <c r="B4" s="40" t="inlineStr">
        <is>
          <t>Valor</t>
        </is>
      </c>
      <c r="C4" s="40" t="inlineStr">
        <is>
          <t>Fonte</t>
        </is>
      </c>
    </row>
    <row r="5">
      <c r="A5" s="41" t="inlineStr">
        <is>
          <t>Área construída</t>
        </is>
      </c>
      <c r="B5" s="41" t="inlineStr">
        <is>
          <t>15.000,62 m²</t>
        </is>
      </c>
      <c r="C5" s="41" t="inlineStr">
        <is>
          <t>ARQ AP 008 CORTE/TABELAS R12, quadro Área Total a Construir</t>
        </is>
      </c>
    </row>
    <row r="6">
      <c r="A6" s="41" t="inlineStr">
        <is>
          <t>Área computável</t>
        </is>
      </c>
      <c r="B6" s="41" t="inlineStr">
        <is>
          <t>8.122,55 m²</t>
        </is>
      </c>
      <c r="C6" s="41" t="inlineStr">
        <is>
          <t>ARQ AP 008 CORTE/TABELAS R12, quadro Área Total a Construir</t>
        </is>
      </c>
    </row>
    <row r="7">
      <c r="A7" s="41" t="inlineStr">
        <is>
          <t>Área privativa</t>
        </is>
      </c>
      <c r="B7" s="41" t="inlineStr">
        <is>
          <t>8.343,90 m²</t>
        </is>
      </c>
      <c r="C7" s="41" t="inlineStr">
        <is>
          <t>ARQ AP 008 CORTE/TABELAS R12, quadro Área Privativa</t>
        </is>
      </c>
    </row>
    <row r="8">
      <c r="A8" s="41" t="inlineStr">
        <is>
          <t>Pavimentos principais</t>
        </is>
      </c>
      <c r="B8" s="41" t="inlineStr">
        <is>
          <t>NA01 a NA06</t>
        </is>
      </c>
      <c r="C8" s="41" t="inlineStr">
        <is>
          <t>ARQ AP 008 CORTE/TABELAS R12 e cortes</t>
        </is>
      </c>
    </row>
    <row r="9">
      <c r="A9" s="41" t="inlineStr">
        <is>
          <t>Níveis técnicos</t>
        </is>
      </c>
      <c r="B9" s="41" t="inlineStr">
        <is>
          <t>NA07 Barrilete, NA08 Reservatório Superior, NA09 Tampa</t>
        </is>
      </c>
      <c r="C9" s="41" t="inlineStr">
        <is>
          <t>ARQ AP 008 CORTE/TABELAS R12</t>
        </is>
      </c>
    </row>
    <row r="10">
      <c r="A10" s="41" t="inlineStr">
        <is>
          <t>Vagas automóveis</t>
        </is>
      </c>
      <c r="B10" s="41" t="inlineStr">
        <is>
          <t>161</t>
        </is>
      </c>
      <c r="C10" s="41" t="inlineStr">
        <is>
          <t>Quadro de vagas: 4 comerciais + 149 privativas + 8 visitantes</t>
        </is>
      </c>
    </row>
    <row r="11">
      <c r="A11" s="41" t="inlineStr">
        <is>
          <t>Vagas bicicleta</t>
        </is>
      </c>
      <c r="B11" s="41" t="inlineStr">
        <is>
          <t>213</t>
        </is>
      </c>
      <c r="C11" s="41" t="inlineStr">
        <is>
          <t>Quadro de vagas: 5 comerciais + 198 privativas + 10 visitantes</t>
        </is>
      </c>
    </row>
    <row r="12">
      <c r="A12" s="41" t="inlineStr">
        <is>
          <t>Núcleos verticais</t>
        </is>
      </c>
      <c r="B12" s="41" t="inlineStr">
        <is>
          <t>4</t>
        </is>
      </c>
      <c r="C12" s="41" t="inlineStr">
        <is>
          <t>Leitura visual das plantas e cortes; elevadores a validar</t>
        </is>
      </c>
    </row>
    <row r="13">
      <c r="A13" s="41" t="inlineStr">
        <is>
          <t>Unidades residenciais</t>
        </is>
      </c>
      <c r="B13" s="41" t="inlineStr">
        <is>
          <t>236</t>
        </is>
      </c>
      <c r="C13" s="41" t="inlineStr">
        <is>
          <t>Premissa por área privativa média de 35,36 m²/UR; quadro de unidades não encontrado</t>
        </is>
      </c>
    </row>
    <row r="14">
      <c r="A14" s="41" t="inlineStr">
        <is>
          <t>Estrutura</t>
        </is>
      </c>
      <c r="B14" s="41" t="inlineStr">
        <is>
          <t>Lajes maciças/mistas e=20 cm</t>
        </is>
      </c>
      <c r="C14" s="41" t="inlineStr">
        <is>
          <t>IFC estrutural R06: slabs, beams e columns; sem indício de protensão</t>
        </is>
      </c>
    </row>
    <row r="15">
      <c r="A15" s="41" t="inlineStr">
        <is>
          <t>Piscina</t>
        </is>
      </c>
      <c r="B15" s="41" t="inlineStr">
        <is>
          <t>Sim</t>
        </is>
      </c>
      <c r="C15" s="41" t="inlineStr">
        <is>
          <t>Há disciplina PISCINA com DWG/PDF/IFC</t>
        </is>
      </c>
    </row>
    <row r="18">
      <c r="A18" s="39" t="inlineStr">
        <is>
          <t>Calibração Supabase por macrogrupo</t>
        </is>
      </c>
    </row>
    <row r="19">
      <c r="A19" s="40" t="inlineStr">
        <is>
          <t>Padrão</t>
        </is>
      </c>
      <c r="B19" s="40" t="inlineStr">
        <is>
          <t>Macrogrupo</t>
        </is>
      </c>
      <c r="C19" s="40" t="inlineStr">
        <is>
          <t>N</t>
        </is>
      </c>
      <c r="D19" s="40" t="inlineStr">
        <is>
          <t>P25</t>
        </is>
      </c>
      <c r="E19" s="40" t="inlineStr">
        <is>
          <t>Mediana</t>
        </is>
      </c>
      <c r="F19" s="40" t="inlineStr">
        <is>
          <t>P75</t>
        </is>
      </c>
    </row>
    <row r="20">
      <c r="A20" s="33" t="inlineStr">
        <is>
          <t>Médio-Alto</t>
        </is>
      </c>
      <c r="B20" s="33" t="inlineStr">
        <is>
          <t>Alvenaria</t>
        </is>
      </c>
      <c r="C20" s="33" t="n">
        <v>33</v>
      </c>
      <c r="D20" s="34" t="n">
        <v>121.14</v>
      </c>
      <c r="E20" s="34" t="n">
        <v>139.7</v>
      </c>
      <c r="F20" s="34" t="n">
        <v>167.52</v>
      </c>
    </row>
    <row r="21">
      <c r="A21" s="33" t="inlineStr">
        <is>
          <t>Médio-Alto</t>
        </is>
      </c>
      <c r="B21" s="33" t="inlineStr">
        <is>
          <t>Climatização</t>
        </is>
      </c>
      <c r="C21" s="33" t="n">
        <v>9</v>
      </c>
      <c r="D21" s="34" t="n">
        <v>29.37</v>
      </c>
      <c r="E21" s="34" t="n">
        <v>30.59</v>
      </c>
      <c r="F21" s="34" t="n">
        <v>68.2</v>
      </c>
    </row>
    <row r="22">
      <c r="A22" s="33" t="inlineStr">
        <is>
          <t>Médio-Alto</t>
        </is>
      </c>
      <c r="B22" s="33" t="inlineStr">
        <is>
          <t>Complementares</t>
        </is>
      </c>
      <c r="C22" s="33" t="n">
        <v>27</v>
      </c>
      <c r="D22" s="34" t="n">
        <v>129.36</v>
      </c>
      <c r="E22" s="34" t="n">
        <v>201.06</v>
      </c>
      <c r="F22" s="34" t="n">
        <v>293.93</v>
      </c>
    </row>
    <row r="23">
      <c r="A23" s="33" t="inlineStr">
        <is>
          <t>Médio-Alto</t>
        </is>
      </c>
      <c r="B23" s="33" t="inlineStr">
        <is>
          <t>Esquadrias</t>
        </is>
      </c>
      <c r="C23" s="33" t="n">
        <v>35</v>
      </c>
      <c r="D23" s="34" t="n">
        <v>256.91</v>
      </c>
      <c r="E23" s="34" t="n">
        <v>301.24</v>
      </c>
      <c r="F23" s="34" t="n">
        <v>475.17</v>
      </c>
    </row>
    <row r="24">
      <c r="A24" s="33" t="inlineStr">
        <is>
          <t>Médio-Alto</t>
        </is>
      </c>
      <c r="B24" s="33" t="inlineStr">
        <is>
          <t>Fachada</t>
        </is>
      </c>
      <c r="C24" s="33" t="n">
        <v>20</v>
      </c>
      <c r="D24" s="34" t="n">
        <v>84.26000000000001</v>
      </c>
      <c r="E24" s="34" t="n">
        <v>117.38</v>
      </c>
      <c r="F24" s="34" t="n">
        <v>166.19</v>
      </c>
    </row>
    <row r="25">
      <c r="A25" s="33" t="inlineStr">
        <is>
          <t>Médio-Alto</t>
        </is>
      </c>
      <c r="B25" s="33" t="inlineStr">
        <is>
          <t>Gerenciamento</t>
        </is>
      </c>
      <c r="C25" s="33" t="n">
        <v>36</v>
      </c>
      <c r="D25" s="34" t="n">
        <v>339.65</v>
      </c>
      <c r="E25" s="34" t="n">
        <v>474.74</v>
      </c>
      <c r="F25" s="34" t="n">
        <v>1223.46</v>
      </c>
    </row>
    <row r="26">
      <c r="A26" s="33" t="inlineStr">
        <is>
          <t>Médio-Alto</t>
        </is>
      </c>
      <c r="B26" s="33" t="inlineStr">
        <is>
          <t>Impermeabilização</t>
        </is>
      </c>
      <c r="C26" s="33" t="n">
        <v>33</v>
      </c>
      <c r="D26" s="34" t="n">
        <v>41.71</v>
      </c>
      <c r="E26" s="34" t="n">
        <v>60</v>
      </c>
      <c r="F26" s="34" t="n">
        <v>93.23</v>
      </c>
    </row>
    <row r="27">
      <c r="A27" s="33" t="inlineStr">
        <is>
          <t>Médio-Alto</t>
        </is>
      </c>
      <c r="B27" s="33" t="inlineStr">
        <is>
          <t>Imprevistos</t>
        </is>
      </c>
      <c r="C27" s="33" t="n">
        <v>15</v>
      </c>
      <c r="D27" s="34" t="n">
        <v>44.33</v>
      </c>
      <c r="E27" s="34" t="n">
        <v>49.98</v>
      </c>
      <c r="F27" s="34" t="n">
        <v>72.41</v>
      </c>
    </row>
    <row r="28">
      <c r="A28" s="33" t="inlineStr">
        <is>
          <t>Médio-Alto</t>
        </is>
      </c>
      <c r="B28" s="33" t="inlineStr">
        <is>
          <t>Infraestrutura</t>
        </is>
      </c>
      <c r="C28" s="33" t="n">
        <v>37</v>
      </c>
      <c r="D28" s="34" t="n">
        <v>141.55</v>
      </c>
      <c r="E28" s="34" t="n">
        <v>196.14</v>
      </c>
      <c r="F28" s="34" t="n">
        <v>240.53</v>
      </c>
    </row>
    <row r="29">
      <c r="A29" s="33" t="inlineStr">
        <is>
          <t>Médio-Alto</t>
        </is>
      </c>
      <c r="B29" s="33" t="inlineStr">
        <is>
          <t>Instalações</t>
        </is>
      </c>
      <c r="C29" s="33" t="n">
        <v>33</v>
      </c>
      <c r="D29" s="34" t="n">
        <v>281.74</v>
      </c>
      <c r="E29" s="34" t="n">
        <v>332.12</v>
      </c>
      <c r="F29" s="34" t="n">
        <v>411.27</v>
      </c>
    </row>
    <row r="30">
      <c r="A30" s="33" t="inlineStr">
        <is>
          <t>Médio-Alto</t>
        </is>
      </c>
      <c r="B30" s="33" t="inlineStr">
        <is>
          <t>Louças e Metais</t>
        </is>
      </c>
      <c r="C30" s="33" t="n">
        <v>24</v>
      </c>
      <c r="D30" s="34" t="n">
        <v>39.6</v>
      </c>
      <c r="E30" s="34" t="n">
        <v>59.73</v>
      </c>
      <c r="F30" s="34" t="n">
        <v>147.71</v>
      </c>
    </row>
    <row r="31">
      <c r="A31" s="33" t="inlineStr">
        <is>
          <t>Médio-Alto</t>
        </is>
      </c>
      <c r="B31" s="33" t="inlineStr">
        <is>
          <t>Movimentação de Terra</t>
        </is>
      </c>
      <c r="C31" s="33" t="n">
        <v>37</v>
      </c>
      <c r="D31" s="34" t="n">
        <v>82.18000000000001</v>
      </c>
      <c r="E31" s="34" t="n">
        <v>114.52</v>
      </c>
      <c r="F31" s="34" t="n">
        <v>147.52</v>
      </c>
    </row>
    <row r="32">
      <c r="A32" s="33" t="inlineStr">
        <is>
          <t>Médio-Alto</t>
        </is>
      </c>
      <c r="B32" s="33" t="inlineStr">
        <is>
          <t>Pintura</t>
        </is>
      </c>
      <c r="C32" s="33" t="n">
        <v>26</v>
      </c>
      <c r="D32" s="34" t="n">
        <v>103.6</v>
      </c>
      <c r="E32" s="34" t="n">
        <v>124.55</v>
      </c>
      <c r="F32" s="34" t="n">
        <v>148.22</v>
      </c>
    </row>
    <row r="33">
      <c r="A33" s="33" t="inlineStr">
        <is>
          <t>Médio-Alto</t>
        </is>
      </c>
      <c r="B33" s="33" t="inlineStr">
        <is>
          <t>Pisos</t>
        </is>
      </c>
      <c r="C33" s="33" t="n">
        <v>24</v>
      </c>
      <c r="D33" s="34" t="n">
        <v>150.22</v>
      </c>
      <c r="E33" s="34" t="n">
        <v>199.02</v>
      </c>
      <c r="F33" s="34" t="n">
        <v>233.5</v>
      </c>
    </row>
    <row r="34">
      <c r="A34" s="33" t="inlineStr">
        <is>
          <t>Médio-Alto</t>
        </is>
      </c>
      <c r="B34" s="33" t="inlineStr">
        <is>
          <t>Rev. Interno Parede</t>
        </is>
      </c>
      <c r="C34" s="33" t="n">
        <v>15</v>
      </c>
      <c r="D34" s="34" t="n">
        <v>45.05</v>
      </c>
      <c r="E34" s="34" t="n">
        <v>60.62</v>
      </c>
      <c r="F34" s="34" t="n">
        <v>362.14</v>
      </c>
    </row>
    <row r="35">
      <c r="A35" s="33" t="inlineStr">
        <is>
          <t>Médio-Alto</t>
        </is>
      </c>
      <c r="B35" s="33" t="inlineStr">
        <is>
          <t>Sistemas Especiais</t>
        </is>
      </c>
      <c r="C35" s="33" t="n">
        <v>35</v>
      </c>
      <c r="D35" s="34" t="n">
        <v>122.38</v>
      </c>
      <c r="E35" s="34" t="n">
        <v>172.54</v>
      </c>
      <c r="F35" s="34" t="n">
        <v>242.8</v>
      </c>
    </row>
    <row r="36">
      <c r="A36" s="33" t="inlineStr">
        <is>
          <t>Médio-Alto</t>
        </is>
      </c>
      <c r="B36" s="33" t="inlineStr">
        <is>
          <t>Supraestrutura</t>
        </is>
      </c>
      <c r="C36" s="33" t="n">
        <v>36</v>
      </c>
      <c r="D36" s="34" t="n">
        <v>461.1</v>
      </c>
      <c r="E36" s="34" t="n">
        <v>654.62</v>
      </c>
      <c r="F36" s="34" t="n">
        <v>761.97</v>
      </c>
    </row>
    <row r="37">
      <c r="A37" s="33" t="inlineStr">
        <is>
          <t>Médio-Alto</t>
        </is>
      </c>
      <c r="B37" s="33" t="inlineStr">
        <is>
          <t>Teto</t>
        </is>
      </c>
      <c r="C37" s="33" t="n">
        <v>21</v>
      </c>
      <c r="D37" s="34" t="n">
        <v>43.28</v>
      </c>
      <c r="E37" s="34" t="n">
        <v>60.1</v>
      </c>
      <c r="F37" s="34" t="n">
        <v>69.40000000000001</v>
      </c>
    </row>
    <row r="38">
      <c r="A38" s="33" t="inlineStr">
        <is>
          <t>Alto</t>
        </is>
      </c>
      <c r="B38" s="33" t="inlineStr">
        <is>
          <t>Alvenaria</t>
        </is>
      </c>
      <c r="C38" s="33" t="n">
        <v>21</v>
      </c>
      <c r="D38" s="34" t="n">
        <v>128.63</v>
      </c>
      <c r="E38" s="34" t="n">
        <v>181.9</v>
      </c>
      <c r="F38" s="34" t="n">
        <v>219.79</v>
      </c>
    </row>
    <row r="39">
      <c r="A39" s="33" t="inlineStr">
        <is>
          <t>Alto</t>
        </is>
      </c>
      <c r="B39" s="33" t="inlineStr">
        <is>
          <t>Climatização</t>
        </is>
      </c>
      <c r="C39" s="33" t="n">
        <v>9</v>
      </c>
      <c r="D39" s="34" t="n">
        <v>28.24</v>
      </c>
      <c r="E39" s="34" t="n">
        <v>36.21</v>
      </c>
      <c r="F39" s="34" t="n">
        <v>78.09</v>
      </c>
    </row>
    <row r="40">
      <c r="A40" s="33" t="inlineStr">
        <is>
          <t>Alto</t>
        </is>
      </c>
      <c r="B40" s="33" t="inlineStr">
        <is>
          <t>Complementares</t>
        </is>
      </c>
      <c r="C40" s="33" t="n">
        <v>15</v>
      </c>
      <c r="D40" s="34" t="n">
        <v>153.72</v>
      </c>
      <c r="E40" s="34" t="n">
        <v>262.06</v>
      </c>
      <c r="F40" s="34" t="n">
        <v>365.34</v>
      </c>
    </row>
    <row r="41">
      <c r="A41" s="33" t="inlineStr">
        <is>
          <t>Alto</t>
        </is>
      </c>
      <c r="B41" s="33" t="inlineStr">
        <is>
          <t>Esquadrias</t>
        </is>
      </c>
      <c r="C41" s="33" t="n">
        <v>23</v>
      </c>
      <c r="D41" s="34" t="n">
        <v>285.86</v>
      </c>
      <c r="E41" s="34" t="n">
        <v>395.49</v>
      </c>
      <c r="F41" s="34" t="n">
        <v>553.96</v>
      </c>
    </row>
    <row r="42">
      <c r="A42" s="33" t="inlineStr">
        <is>
          <t>Alto</t>
        </is>
      </c>
      <c r="B42" s="33" t="inlineStr">
        <is>
          <t>Fachada</t>
        </is>
      </c>
      <c r="C42" s="33" t="n">
        <v>10</v>
      </c>
      <c r="D42" s="34" t="n">
        <v>142.31</v>
      </c>
      <c r="E42" s="34" t="n">
        <v>206.67</v>
      </c>
      <c r="F42" s="34" t="n">
        <v>252.97</v>
      </c>
    </row>
    <row r="43">
      <c r="A43" s="33" t="inlineStr">
        <is>
          <t>Alto</t>
        </is>
      </c>
      <c r="B43" s="33" t="inlineStr">
        <is>
          <t>Gerenciamento</t>
        </is>
      </c>
      <c r="C43" s="33" t="n">
        <v>22</v>
      </c>
      <c r="D43" s="34" t="n">
        <v>535.79</v>
      </c>
      <c r="E43" s="34" t="n">
        <v>640.41</v>
      </c>
      <c r="F43" s="34" t="n">
        <v>1715.95</v>
      </c>
    </row>
    <row r="44">
      <c r="A44" s="33" t="inlineStr">
        <is>
          <t>Alto</t>
        </is>
      </c>
      <c r="B44" s="33" t="inlineStr">
        <is>
          <t>Impermeabilização</t>
        </is>
      </c>
      <c r="C44" s="33" t="n">
        <v>20</v>
      </c>
      <c r="D44" s="34" t="n">
        <v>61.39</v>
      </c>
      <c r="E44" s="34" t="n">
        <v>74.34999999999999</v>
      </c>
      <c r="F44" s="34" t="n">
        <v>128.04</v>
      </c>
    </row>
    <row r="45">
      <c r="A45" s="33" t="inlineStr">
        <is>
          <t>Alto</t>
        </is>
      </c>
      <c r="B45" s="33" t="inlineStr">
        <is>
          <t>Imprevistos</t>
        </is>
      </c>
      <c r="C45" s="33" t="n">
        <v>7</v>
      </c>
      <c r="D45" s="34" t="n">
        <v>48.03</v>
      </c>
      <c r="E45" s="34" t="n">
        <v>72.23999999999999</v>
      </c>
      <c r="F45" s="34" t="n">
        <v>75.44</v>
      </c>
    </row>
    <row r="46">
      <c r="A46" s="33" t="inlineStr">
        <is>
          <t>Alto</t>
        </is>
      </c>
      <c r="B46" s="33" t="inlineStr">
        <is>
          <t>Infraestrutura</t>
        </is>
      </c>
      <c r="C46" s="33" t="n">
        <v>23</v>
      </c>
      <c r="D46" s="34" t="n">
        <v>156.8</v>
      </c>
      <c r="E46" s="34" t="n">
        <v>230.4</v>
      </c>
      <c r="F46" s="34" t="n">
        <v>276</v>
      </c>
    </row>
    <row r="47">
      <c r="A47" s="33" t="inlineStr">
        <is>
          <t>Alto</t>
        </is>
      </c>
      <c r="B47" s="33" t="inlineStr">
        <is>
          <t>Instalações</t>
        </is>
      </c>
      <c r="C47" s="33" t="n">
        <v>21</v>
      </c>
      <c r="D47" s="34" t="n">
        <v>185.17</v>
      </c>
      <c r="E47" s="34" t="n">
        <v>320.13</v>
      </c>
      <c r="F47" s="34" t="n">
        <v>453.78</v>
      </c>
    </row>
    <row r="48">
      <c r="A48" s="33" t="inlineStr">
        <is>
          <t>Alto</t>
        </is>
      </c>
      <c r="B48" s="33" t="inlineStr">
        <is>
          <t>Louças e Metais</t>
        </is>
      </c>
      <c r="C48" s="33" t="n">
        <v>17</v>
      </c>
      <c r="D48" s="34" t="n">
        <v>56.79</v>
      </c>
      <c r="E48" s="34" t="n">
        <v>141.98</v>
      </c>
      <c r="F48" s="34" t="n">
        <v>222.16</v>
      </c>
    </row>
    <row r="49">
      <c r="A49" s="33" t="inlineStr">
        <is>
          <t>Alto</t>
        </is>
      </c>
      <c r="B49" s="33" t="inlineStr">
        <is>
          <t>Movimentação de Terra</t>
        </is>
      </c>
      <c r="C49" s="33" t="n">
        <v>23</v>
      </c>
      <c r="D49" s="34" t="n">
        <v>91.90000000000001</v>
      </c>
      <c r="E49" s="34" t="n">
        <v>124.19</v>
      </c>
      <c r="F49" s="34" t="n">
        <v>178.15</v>
      </c>
    </row>
    <row r="50">
      <c r="A50" s="33" t="inlineStr">
        <is>
          <t>Alto</t>
        </is>
      </c>
      <c r="B50" s="33" t="inlineStr">
        <is>
          <t>Pintura</t>
        </is>
      </c>
      <c r="C50" s="33" t="n">
        <v>16</v>
      </c>
      <c r="D50" s="34" t="n">
        <v>114.05</v>
      </c>
      <c r="E50" s="34" t="n">
        <v>159.16</v>
      </c>
      <c r="F50" s="34" t="n">
        <v>252.13</v>
      </c>
    </row>
    <row r="51">
      <c r="A51" s="33" t="inlineStr">
        <is>
          <t>Alto</t>
        </is>
      </c>
      <c r="B51" s="33" t="inlineStr">
        <is>
          <t>Pisos</t>
        </is>
      </c>
      <c r="C51" s="33" t="n">
        <v>16</v>
      </c>
      <c r="D51" s="34" t="n">
        <v>187.44</v>
      </c>
      <c r="E51" s="34" t="n">
        <v>237.05</v>
      </c>
      <c r="F51" s="34" t="n">
        <v>638.25</v>
      </c>
    </row>
    <row r="52">
      <c r="A52" s="33" t="inlineStr">
        <is>
          <t>Alto</t>
        </is>
      </c>
      <c r="B52" s="33" t="inlineStr">
        <is>
          <t>Rev. Interno Parede</t>
        </is>
      </c>
      <c r="C52" s="33" t="n">
        <v>12</v>
      </c>
      <c r="D52" s="34" t="n">
        <v>59.02</v>
      </c>
      <c r="E52" s="34" t="n">
        <v>82.02</v>
      </c>
      <c r="F52" s="34" t="n">
        <v>212.73</v>
      </c>
    </row>
    <row r="53">
      <c r="A53" s="33" t="inlineStr">
        <is>
          <t>Alto</t>
        </is>
      </c>
      <c r="B53" s="33" t="inlineStr">
        <is>
          <t>Sistemas Especiais</t>
        </is>
      </c>
      <c r="C53" s="33" t="n">
        <v>21</v>
      </c>
      <c r="D53" s="34" t="n">
        <v>126.25</v>
      </c>
      <c r="E53" s="34" t="n">
        <v>211.02</v>
      </c>
      <c r="F53" s="34" t="n">
        <v>304.34</v>
      </c>
    </row>
    <row r="54">
      <c r="A54" s="33" t="inlineStr">
        <is>
          <t>Alto</t>
        </is>
      </c>
      <c r="B54" s="33" t="inlineStr">
        <is>
          <t>Supraestrutura</t>
        </is>
      </c>
      <c r="C54" s="33" t="n">
        <v>23</v>
      </c>
      <c r="D54" s="34" t="n">
        <v>659.3200000000001</v>
      </c>
      <c r="E54" s="34" t="n">
        <v>718.24</v>
      </c>
      <c r="F54" s="34" t="n">
        <v>854.66</v>
      </c>
    </row>
    <row r="55">
      <c r="A55" s="33" t="inlineStr">
        <is>
          <t>Alto</t>
        </is>
      </c>
      <c r="B55" s="33" t="inlineStr">
        <is>
          <t>Teto</t>
        </is>
      </c>
      <c r="C55" s="33" t="n">
        <v>12</v>
      </c>
      <c r="D55" s="34" t="n">
        <v>52.54</v>
      </c>
      <c r="E55" s="34" t="n">
        <v>62.23</v>
      </c>
      <c r="F55" s="34" t="n">
        <v>85.03</v>
      </c>
    </row>
    <row r="58">
      <c r="A58" s="39" t="inlineStr">
        <is>
          <t>PUs Supabase / Ampli</t>
        </is>
      </c>
    </row>
    <row r="59">
      <c r="A59" s="40" t="inlineStr">
        <is>
          <t>Fonte</t>
        </is>
      </c>
      <c r="B59" s="40" t="inlineStr">
        <is>
          <t>Descrição</t>
        </is>
      </c>
      <c r="C59" s="40" t="inlineStr">
        <is>
          <t>Unidade</t>
        </is>
      </c>
      <c r="D59" s="40" t="inlineStr">
        <is>
          <t>Projetos</t>
        </is>
      </c>
      <c r="E59" s="40" t="inlineStr">
        <is>
          <t>Obs</t>
        </is>
      </c>
      <c r="F59" s="40" t="inlineStr">
        <is>
          <t>P25/Min</t>
        </is>
      </c>
      <c r="G59" s="40" t="inlineStr">
        <is>
          <t>Med/Avg</t>
        </is>
      </c>
      <c r="H59" s="40" t="inlineStr">
        <is>
          <t>P75/Max</t>
        </is>
      </c>
    </row>
    <row r="60">
      <c r="A60" s="33" t="inlineStr">
        <is>
          <t>Supabase</t>
        </is>
      </c>
      <c r="B60" s="33" t="inlineStr">
        <is>
          <t>Concreto usinado bombeável fck 40 MPa</t>
        </is>
      </c>
      <c r="C60" s="33" t="inlineStr">
        <is>
          <t>m³</t>
        </is>
      </c>
      <c r="D60" s="33" t="n">
        <v>37</v>
      </c>
      <c r="E60" s="33" t="n">
        <v>136</v>
      </c>
      <c r="F60" s="34" t="n">
        <v>444.15</v>
      </c>
      <c r="G60" s="34" t="n">
        <v>477.75</v>
      </c>
      <c r="H60" s="34" t="n">
        <v>551.25</v>
      </c>
    </row>
    <row r="61">
      <c r="A61" s="33" t="inlineStr">
        <is>
          <t>Supabase</t>
        </is>
      </c>
      <c r="B61" s="33" t="inlineStr">
        <is>
          <t>Concreto usinado 40 MPa para estacas</t>
        </is>
      </c>
      <c r="C61" s="33" t="inlineStr">
        <is>
          <t>m³</t>
        </is>
      </c>
      <c r="D61" s="33" t="n">
        <v>16</v>
      </c>
      <c r="E61" s="33" t="n">
        <v>51</v>
      </c>
      <c r="F61" s="34" t="n">
        <v>502</v>
      </c>
      <c r="G61" s="34" t="n">
        <v>517.65</v>
      </c>
      <c r="H61" s="34" t="n">
        <v>565</v>
      </c>
    </row>
    <row r="62">
      <c r="A62" s="33" t="inlineStr">
        <is>
          <t>Supabase</t>
        </is>
      </c>
      <c r="B62" s="33" t="inlineStr">
        <is>
          <t>Esquadrias de alumínio - G2</t>
        </is>
      </c>
      <c r="C62" s="33" t="inlineStr">
        <is>
          <t>m²</t>
        </is>
      </c>
      <c r="D62" s="33" t="n">
        <v>77</v>
      </c>
      <c r="E62" s="33" t="n">
        <v>40</v>
      </c>
      <c r="F62" s="34" t="n">
        <v>824</v>
      </c>
      <c r="G62" s="34" t="n">
        <v>939.74</v>
      </c>
      <c r="H62" s="34" t="n">
        <v>1049.07</v>
      </c>
    </row>
    <row r="63">
      <c r="A63" s="33" t="inlineStr">
        <is>
          <t>Supabase</t>
        </is>
      </c>
      <c r="B63" s="33" t="inlineStr">
        <is>
          <t>Fornecimento e instalação de esquadrias de alumínio</t>
        </is>
      </c>
      <c r="C63" s="33" t="inlineStr">
        <is>
          <t>m²</t>
        </is>
      </c>
      <c r="D63" s="33" t="n">
        <v>39</v>
      </c>
      <c r="E63" s="33" t="n">
        <v>29</v>
      </c>
      <c r="F63" s="34" t="n">
        <v>1050</v>
      </c>
      <c r="G63" s="34" t="n">
        <v>1088.02</v>
      </c>
      <c r="H63" s="34" t="n">
        <v>1250</v>
      </c>
    </row>
    <row r="64">
      <c r="A64" s="33" t="inlineStr">
        <is>
          <t>Supabase</t>
        </is>
      </c>
      <c r="B64" s="33" t="inlineStr">
        <is>
          <t>Elevadores</t>
        </is>
      </c>
      <c r="C64" s="33" t="inlineStr">
        <is>
          <t>un</t>
        </is>
      </c>
      <c r="D64" s="33" t="n">
        <v>43</v>
      </c>
      <c r="E64" s="33" t="n">
        <v>10</v>
      </c>
      <c r="F64" s="34" t="n">
        <v>197190</v>
      </c>
      <c r="G64" s="34" t="n">
        <v>261192.12</v>
      </c>
      <c r="H64" s="34" t="n">
        <v>326782.5</v>
      </c>
    </row>
    <row r="65">
      <c r="A65" s="33" t="inlineStr">
        <is>
          <t>Supabase</t>
        </is>
      </c>
      <c r="B65" s="33" t="inlineStr">
        <is>
          <t>Elevador social</t>
        </is>
      </c>
      <c r="C65" s="33" t="inlineStr">
        <is>
          <t>un</t>
        </is>
      </c>
      <c r="D65" s="33" t="n">
        <v>27</v>
      </c>
      <c r="E65" s="33" t="n">
        <v>9</v>
      </c>
      <c r="F65" s="34" t="n">
        <v>107927.75</v>
      </c>
      <c r="G65" s="34" t="n">
        <v>220000</v>
      </c>
      <c r="H65" s="34" t="n">
        <v>405000</v>
      </c>
    </row>
    <row r="66">
      <c r="A66" s="33" t="inlineStr">
        <is>
          <t>Supabase</t>
        </is>
      </c>
      <c r="B66" s="33" t="inlineStr">
        <is>
          <t>TOTAL IMPERMEABILIZAÇÃO</t>
        </is>
      </c>
      <c r="C66" s="33" t="inlineStr">
        <is>
          <t>R$/m² AC</t>
        </is>
      </c>
      <c r="D66" s="33" t="n">
        <v>88</v>
      </c>
      <c r="E66" s="33" t="n">
        <v>111</v>
      </c>
      <c r="F66" s="34" t="n">
        <v>47.92</v>
      </c>
      <c r="G66" s="34" t="n">
        <v>61.39</v>
      </c>
      <c r="H66" s="34" t="n">
        <v>87.54000000000001</v>
      </c>
    </row>
    <row r="67">
      <c r="A67" s="33" t="inlineStr">
        <is>
          <t>Supabase</t>
        </is>
      </c>
      <c r="B67" s="33" t="inlineStr">
        <is>
          <t>Mão de obra porcelanato piso</t>
        </is>
      </c>
      <c r="C67" s="33" t="inlineStr">
        <is>
          <t>m²</t>
        </is>
      </c>
      <c r="D67" s="33" t="n">
        <v>17</v>
      </c>
      <c r="E67" s="33" t="n">
        <v>40</v>
      </c>
      <c r="F67" s="34" t="n">
        <v>42</v>
      </c>
      <c r="G67" s="34" t="n">
        <v>48</v>
      </c>
      <c r="H67" s="34" t="n">
        <v>48</v>
      </c>
    </row>
    <row r="68">
      <c r="A68" s="33" t="inlineStr">
        <is>
          <t>Supabase</t>
        </is>
      </c>
      <c r="B68" s="33" t="inlineStr">
        <is>
          <t>Pintura latex acrílica paredes internas</t>
        </is>
      </c>
      <c r="C68" s="33" t="inlineStr">
        <is>
          <t>m²</t>
        </is>
      </c>
      <c r="D68" s="33" t="n">
        <v>32</v>
      </c>
      <c r="E68" s="33" t="n">
        <v>37</v>
      </c>
      <c r="F68" s="34" t="n">
        <v>6.12</v>
      </c>
      <c r="G68" s="34" t="n">
        <v>6.12</v>
      </c>
      <c r="H68" s="34" t="n">
        <v>11.23</v>
      </c>
    </row>
    <row r="69">
      <c r="A69" s="33" t="inlineStr">
        <is>
          <t>Ampli</t>
        </is>
      </c>
      <c r="B69" s="33" t="inlineStr">
        <is>
          <t>Elevador</t>
        </is>
      </c>
      <c r="C69" s="33" t="inlineStr">
        <is>
          <t>un</t>
        </is>
      </c>
      <c r="D69" s="33" t="n">
        <v>10</v>
      </c>
      <c r="E69" s="33" t="n">
        <v>12</v>
      </c>
      <c r="F69" s="34" t="n">
        <v>155659.15</v>
      </c>
      <c r="G69" s="34" t="n">
        <v>289254.38</v>
      </c>
      <c r="H69" s="34" t="n">
        <v>445000</v>
      </c>
    </row>
    <row r="70">
      <c r="A70" s="33" t="inlineStr">
        <is>
          <t>Ampli</t>
        </is>
      </c>
      <c r="B70" s="33" t="inlineStr">
        <is>
          <t>Elevador social</t>
        </is>
      </c>
      <c r="C70" s="33" t="inlineStr">
        <is>
          <t>un</t>
        </is>
      </c>
      <c r="D70" s="33" t="n">
        <v>10</v>
      </c>
      <c r="E70" s="33" t="n">
        <v>10</v>
      </c>
      <c r="F70" s="34" t="n">
        <v>213125</v>
      </c>
      <c r="G70" s="34" t="n">
        <v>626385.8100000001</v>
      </c>
      <c r="H70" s="34" t="n">
        <v>1400000</v>
      </c>
    </row>
    <row r="71">
      <c r="A71" s="33" t="inlineStr">
        <is>
          <t>Ampli</t>
        </is>
      </c>
      <c r="B71" s="33" t="inlineStr">
        <is>
          <t>Impermeabilização argamassa polimérica - MO</t>
        </is>
      </c>
      <c r="C71" s="33" t="inlineStr">
        <is>
          <t>m²</t>
        </is>
      </c>
      <c r="D71" s="33" t="n">
        <v>9</v>
      </c>
      <c r="E71" s="33" t="n">
        <v>39</v>
      </c>
      <c r="F71" s="34" t="n">
        <v>16.5</v>
      </c>
      <c r="G71" s="34" t="n">
        <v>27.31</v>
      </c>
      <c r="H71" s="34" t="n">
        <v>50</v>
      </c>
    </row>
    <row r="72">
      <c r="A72" s="33" t="inlineStr">
        <is>
          <t>Ampli</t>
        </is>
      </c>
      <c r="B72" s="33" t="inlineStr">
        <is>
          <t>Impermeabilização manta asfáltica - MO</t>
        </is>
      </c>
      <c r="C72" s="33" t="inlineStr">
        <is>
          <t>m²</t>
        </is>
      </c>
      <c r="D72" s="33" t="n">
        <v>3</v>
      </c>
      <c r="E72" s="33" t="n">
        <v>12</v>
      </c>
      <c r="F72" s="34" t="n">
        <v>48</v>
      </c>
      <c r="G72" s="34" t="n">
        <v>48</v>
      </c>
      <c r="H72" s="34" t="n">
        <v>48</v>
      </c>
    </row>
    <row r="73">
      <c r="A73" s="33" t="inlineStr">
        <is>
          <t>Ampli</t>
        </is>
      </c>
      <c r="B73" s="33" t="inlineStr">
        <is>
          <t>Pintura latex acrílica paredes internas 3 demãos - MO</t>
        </is>
      </c>
      <c r="C73" s="33" t="inlineStr">
        <is>
          <t>m²</t>
        </is>
      </c>
      <c r="D73" s="33" t="n">
        <v>5</v>
      </c>
      <c r="E73" s="33" t="n">
        <v>33</v>
      </c>
      <c r="F73" s="34" t="n">
        <v>12.65</v>
      </c>
      <c r="G73" s="34" t="n">
        <v>20</v>
      </c>
      <c r="H73" s="34" t="n">
        <v>35</v>
      </c>
    </row>
    <row r="74">
      <c r="A74" s="33" t="inlineStr">
        <is>
          <t>Ampli</t>
        </is>
      </c>
      <c r="B74" s="33" t="inlineStr">
        <is>
          <t>Pintura latex acrílica teto 3 demãos - MO</t>
        </is>
      </c>
      <c r="C74" s="33" t="inlineStr">
        <is>
          <t>m²</t>
        </is>
      </c>
      <c r="D74" s="33" t="n">
        <v>5</v>
      </c>
      <c r="E74" s="33" t="n">
        <v>33</v>
      </c>
      <c r="F74" s="34" t="n">
        <v>12.65</v>
      </c>
      <c r="G74" s="34" t="n">
        <v>17.46</v>
      </c>
      <c r="H74" s="34" t="n">
        <v>39.5</v>
      </c>
    </row>
    <row r="75">
      <c r="A75" s="33" t="inlineStr">
        <is>
          <t>Ampli</t>
        </is>
      </c>
      <c r="B75" s="33" t="inlineStr">
        <is>
          <t>Porcelanato 60x60</t>
        </is>
      </c>
      <c r="C75" s="33" t="inlineStr">
        <is>
          <t>m²</t>
        </is>
      </c>
      <c r="D75" s="33" t="n">
        <v>0</v>
      </c>
      <c r="E75" s="33" t="n">
        <v>0</v>
      </c>
      <c r="F75" s="34" t="n">
        <v>0</v>
      </c>
      <c r="G75" s="34" t="n">
        <v>80.48999999999999</v>
      </c>
      <c r="H75" s="34" t="n">
        <v>0</v>
      </c>
    </row>
    <row r="76">
      <c r="A76" s="33" t="inlineStr">
        <is>
          <t>Ampli</t>
        </is>
      </c>
      <c r="B76" s="33" t="inlineStr">
        <is>
          <t>Porcelanato 80x80</t>
        </is>
      </c>
      <c r="C76" s="33" t="inlineStr">
        <is>
          <t>m²</t>
        </is>
      </c>
      <c r="D76" s="33" t="n">
        <v>0</v>
      </c>
      <c r="E76" s="33" t="n">
        <v>0</v>
      </c>
      <c r="F76" s="34" t="n">
        <v>0</v>
      </c>
      <c r="G76" s="34" t="n">
        <v>129.22</v>
      </c>
      <c r="H76" s="34" t="n">
        <v>0</v>
      </c>
    </row>
    <row r="77">
      <c r="A77" s="33" t="inlineStr">
        <is>
          <t>Ampli</t>
        </is>
      </c>
      <c r="B77" s="33" t="inlineStr">
        <is>
          <t>Esquadria alumínio/vidro</t>
        </is>
      </c>
      <c r="C77" s="33" t="inlineStr">
        <is>
          <t>m²</t>
        </is>
      </c>
      <c r="D77" s="33" t="n">
        <v>0</v>
      </c>
      <c r="E77" s="33" t="n">
        <v>0</v>
      </c>
      <c r="F77" s="34" t="n">
        <v>958</v>
      </c>
      <c r="G77" s="34" t="n">
        <v>1088</v>
      </c>
      <c r="H77" s="34" t="n">
        <v>1250</v>
      </c>
    </row>
    <row r="80">
      <c r="A80" s="39" t="inlineStr">
        <is>
          <t>Comparáveis Supabase por área</t>
        </is>
      </c>
    </row>
    <row r="81">
      <c r="A81" s="40" t="inlineStr">
        <is>
          <t>Slug</t>
        </is>
      </c>
      <c r="B81" s="40" t="inlineStr">
        <is>
          <t>Padrão</t>
        </is>
      </c>
      <c r="C81" s="40" t="inlineStr">
        <is>
          <t>AC</t>
        </is>
      </c>
      <c r="D81" s="40" t="inlineStr">
        <is>
          <t>UR</t>
        </is>
      </c>
      <c r="E81" s="40" t="inlineStr">
        <is>
          <t>Total</t>
        </is>
      </c>
      <c r="F81" s="40" t="inlineStr">
        <is>
          <t>R$/m²</t>
        </is>
      </c>
    </row>
    <row r="82">
      <c r="A82" s="33" t="inlineStr">
        <is>
          <t>lumis-live</t>
        </is>
      </c>
      <c r="B82" s="33" t="inlineStr">
        <is>
          <t>medio-alto</t>
        </is>
      </c>
      <c r="C82" s="34" t="n">
        <v>14888.46</v>
      </c>
      <c r="D82" s="33" t="n">
        <v>0</v>
      </c>
      <c r="E82" s="34" t="n">
        <v>43772261</v>
      </c>
      <c r="F82" s="34" t="n">
        <v>2940.01</v>
      </c>
    </row>
    <row r="83">
      <c r="A83" s="33" t="inlineStr">
        <is>
          <t>mussi-empreendimentos-chelsea</t>
        </is>
      </c>
      <c r="B83" s="33" t="inlineStr">
        <is>
          <t>medio-alto</t>
        </is>
      </c>
      <c r="C83" s="34" t="n">
        <v>15149.39</v>
      </c>
      <c r="D83" s="33" t="n">
        <v>0</v>
      </c>
      <c r="E83" s="34" t="n">
        <v>52163486</v>
      </c>
      <c r="F83" s="34" t="n">
        <v>3443.27</v>
      </c>
    </row>
    <row r="84">
      <c r="A84" s="33" t="inlineStr">
        <is>
          <t>neuhaus-origem</t>
        </is>
      </c>
      <c r="B84" s="33" t="inlineStr">
        <is>
          <t>alto</t>
        </is>
      </c>
      <c r="C84" s="34" t="n">
        <v>14559.12</v>
      </c>
      <c r="D84" s="33" t="n">
        <v>0</v>
      </c>
      <c r="E84" s="34" t="n">
        <v>67590131</v>
      </c>
      <c r="F84" s="34" t="n">
        <v>4642.46</v>
      </c>
    </row>
    <row r="85">
      <c r="A85" s="33" t="inlineStr">
        <is>
          <t>fonseca-empreendimentos-estoril</t>
        </is>
      </c>
      <c r="B85" s="33" t="inlineStr">
        <is>
          <t>medio-alto</t>
        </is>
      </c>
      <c r="C85" s="34" t="n">
        <v>14491.98</v>
      </c>
      <c r="D85" s="33" t="n">
        <v>110</v>
      </c>
      <c r="E85" s="34" t="n">
        <v>48960377</v>
      </c>
      <c r="F85" s="34" t="n">
        <v>3378.45</v>
      </c>
    </row>
    <row r="86">
      <c r="A86" s="33" t="inlineStr">
        <is>
          <t>pavcor</t>
        </is>
      </c>
      <c r="B86" s="33" t="inlineStr">
        <is>
          <t>medio-alto</t>
        </is>
      </c>
      <c r="C86" s="34" t="n">
        <v>14283.29</v>
      </c>
      <c r="D86" s="33" t="n">
        <v>0</v>
      </c>
      <c r="E86" s="34" t="n">
        <v>49360279</v>
      </c>
      <c r="F86" s="34" t="n">
        <v>3455.81</v>
      </c>
    </row>
    <row r="87">
      <c r="A87" s="33" t="inlineStr">
        <is>
          <t>pass-e-connect</t>
        </is>
      </c>
      <c r="B87" s="33" t="inlineStr">
        <is>
          <t>medio-alto</t>
        </is>
      </c>
      <c r="C87" s="34" t="n">
        <v>13144.27</v>
      </c>
      <c r="D87" s="33" t="n">
        <v>0</v>
      </c>
      <c r="E87" s="34" t="n">
        <v>48758956</v>
      </c>
      <c r="F87" s="34" t="n">
        <v>3709.52</v>
      </c>
    </row>
  </sheetData>
  <mergeCells count="5">
    <mergeCell ref="A80:F80"/>
    <mergeCell ref="A3:C3"/>
    <mergeCell ref="A18:F18"/>
    <mergeCell ref="A1:H1"/>
    <mergeCell ref="A58:H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2026-06-09T23:47:04Z</dcterms:created>
  <dcterms:modified xmlns:dcterms="http://purl.org/dc/terms/" xmlns:xsi="http://www.w3.org/2001/XMLSchema-instance" xsi:type="dcterms:W3CDTF">2026-06-09T23:47:04Z</dcterms:modified>
</cp:coreProperties>
</file>