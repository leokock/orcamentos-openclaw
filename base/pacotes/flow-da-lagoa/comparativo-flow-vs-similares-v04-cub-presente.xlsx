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CUB_PRESENTE" sheetId="2" state="visible" r:id="rId2"/>
    <sheet xmlns:r="http://schemas.openxmlformats.org/officeDocument/2006/relationships" name="ANALISE_DETALHADA" sheetId="3" state="visible" r:id="rId3"/>
    <sheet xmlns:r="http://schemas.openxmlformats.org/officeDocument/2006/relationships" name="JUSTIFICATIVAS" sheetId="4" state="visible" r:id="rId4"/>
    <sheet xmlns:r="http://schemas.openxmlformats.org/officeDocument/2006/relationships" name="CRITERIO_E_FONTES" sheetId="5" state="visible" r:id="rId5"/>
    <sheet xmlns:r="http://schemas.openxmlformats.org/officeDocument/2006/relationships" name="DADOS_BRU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11111"/>
      <sz val="14"/>
    </font>
  </fonts>
  <fills count="5">
    <fill>
      <patternFill/>
    </fill>
    <fill>
      <patternFill patternType="gray125"/>
    </fill>
    <fill>
      <patternFill patternType="solid">
        <fgColor rgb="00245AE4"/>
      </patternFill>
    </fill>
    <fill>
      <patternFill patternType="solid">
        <fgColor rgb="00F4F4F4"/>
      </patternFill>
    </fill>
    <fill>
      <patternFill patternType="solid">
        <fgColor rgb="00FD3400"/>
      </patternFill>
    </fill>
  </fills>
  <borders count="6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  <border>
      <left/>
      <right/>
      <top style="thin">
        <color rgb="00E7E7E9"/>
      </top>
      <bottom/>
      <diagonal/>
    </border>
    <border>
      <left/>
      <right style="thin">
        <color rgb="00E7E7E9"/>
      </right>
      <top style="thin">
        <color rgb="00E7E7E9"/>
      </top>
      <bottom/>
      <diagonal/>
    </border>
    <border>
      <left/>
      <right/>
      <top style="thin">
        <color rgb="00E7E7E9"/>
      </top>
      <bottom style="thin">
        <color rgb="00E7E7E9"/>
      </bottom>
      <diagonal/>
    </border>
    <border>
      <left/>
      <right style="thin">
        <color rgb="00E7E7E9"/>
      </right>
      <top style="thin">
        <color rgb="00E7E7E9"/>
      </top>
      <bottom style="thin">
        <color rgb="00E7E7E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R$/m² - Flow vs comparáveis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'COMPARATIVO'!I1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'COMPARATIVO'!$A$2:$A$12</f>
            </numRef>
          </cat>
          <val>
            <numRef>
              <f>'COMPARATIVO'!$I$2:$I$12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R$/m²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Empreendimento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8" customWidth="1" min="3" max="3"/>
    <col width="12" customWidth="1" min="4" max="4"/>
    <col width="33" customWidth="1" min="5" max="5"/>
    <col width="11" customWidth="1" min="6" max="6"/>
    <col width="10" customWidth="1" min="7" max="7"/>
    <col width="10" customWidth="1" min="8" max="8"/>
    <col width="19" customWidth="1" min="9" max="9"/>
    <col width="19" customWidth="1" min="10" max="10"/>
    <col width="30" customWidth="1" min="11" max="11"/>
    <col width="21" customWidth="1" min="12" max="12"/>
    <col width="22" customWidth="1" min="13" max="13"/>
    <col width="26" customWidth="1" min="14" max="14"/>
    <col width="58" customWidth="1" min="15" max="15"/>
  </cols>
  <sheetData>
    <row r="1">
      <c r="A1" s="1" t="inlineStr">
        <is>
          <t>Empreendimento</t>
        </is>
      </c>
      <c r="B1" s="1" t="inlineStr">
        <is>
          <t>Cliente</t>
        </is>
      </c>
      <c r="C1" s="1" t="inlineStr">
        <is>
          <t>Cidade/UF</t>
        </is>
      </c>
      <c r="D1" s="1" t="inlineStr">
        <is>
          <t>Padrão</t>
        </is>
      </c>
      <c r="E1" s="1" t="inlineStr">
        <is>
          <t>Tipologia</t>
        </is>
      </c>
      <c r="F1" s="1" t="inlineStr">
        <is>
          <t>Data base</t>
        </is>
      </c>
      <c r="G1" s="1" t="inlineStr">
        <is>
          <t>AC (m²)</t>
        </is>
      </c>
      <c r="H1" s="1" t="inlineStr">
        <is>
          <t>UR</t>
        </is>
      </c>
      <c r="I1" s="1" t="inlineStr">
        <is>
          <t>R$/m²</t>
        </is>
      </c>
      <c r="J1" s="1" t="inlineStr">
        <is>
          <t>Total original</t>
        </is>
      </c>
      <c r="K1" s="1" t="inlineStr">
        <is>
          <t>Total normalizado na AC Flow</t>
        </is>
      </c>
      <c r="L1" s="1" t="inlineStr">
        <is>
          <t>Dif. R$/m² vs Flow</t>
        </is>
      </c>
      <c r="M1" s="1" t="inlineStr">
        <is>
          <t>Dif. % R$/m² vs Flow</t>
        </is>
      </c>
      <c r="N1" s="1" t="inlineStr">
        <is>
          <t>Dif. total norm. vs Flow</t>
        </is>
      </c>
      <c r="O1" s="1" t="inlineStr">
        <is>
          <t>Pasta Drive</t>
        </is>
      </c>
    </row>
    <row r="2">
      <c r="A2" s="2" t="inlineStr">
        <is>
          <t>Flow da Lagoa</t>
        </is>
      </c>
      <c r="B2" s="2" t="inlineStr">
        <is>
          <t>AMS</t>
        </is>
      </c>
      <c r="C2" s="2" t="inlineStr">
        <is>
          <t>Florianópolis/SC</t>
        </is>
      </c>
      <c r="D2" s="2" t="inlineStr">
        <is>
          <t>medio-alto</t>
        </is>
      </c>
      <c r="E2" s="2" t="inlineStr">
        <is>
          <t>residencial_vertical_medio_alto</t>
        </is>
      </c>
      <c r="F2" s="2" t="inlineStr">
        <is>
          <t>2026-06</t>
        </is>
      </c>
      <c r="G2" s="3" t="n">
        <v>15000.62</v>
      </c>
      <c r="H2" s="2" t="n">
        <v>236</v>
      </c>
      <c r="I2" s="4" t="n">
        <v>3680</v>
      </c>
      <c r="J2" s="4" t="n">
        <v>55202281.6</v>
      </c>
      <c r="K2" s="4" t="n">
        <v>55202281.6</v>
      </c>
      <c r="L2" s="4" t="n">
        <v>0</v>
      </c>
      <c r="M2" s="5" t="n">
        <v>0</v>
      </c>
      <c r="N2" s="4" t="n">
        <v>0</v>
      </c>
      <c r="O2" s="2" t="inlineStr">
        <is>
          <t>C:\Users\leona\orcamentos\parametricos\flow-da-lagoa\parametrico-flow-da-lagoa-v01.xlsx</t>
        </is>
      </c>
    </row>
    <row r="3">
      <c r="A3" s="6" t="inlineStr">
        <is>
          <t>lumis-live</t>
        </is>
      </c>
      <c r="B3" s="6" t="inlineStr">
        <is>
          <t>lumis</t>
        </is>
      </c>
      <c r="C3" s="6" t="inlineStr">
        <is>
          <t>Florianópolis/SC</t>
        </is>
      </c>
      <c r="D3" s="6" t="inlineStr">
        <is>
          <t>medio-alto</t>
        </is>
      </c>
      <c r="E3" s="6" t="inlineStr">
        <is>
          <t>residencial_vertical_medio_alto</t>
        </is>
      </c>
      <c r="F3" s="6" t="inlineStr">
        <is>
          <t>2023-02</t>
        </is>
      </c>
      <c r="G3" s="7" t="n">
        <v>14888.46</v>
      </c>
      <c r="H3" s="6" t="n"/>
      <c r="I3" s="8" t="n">
        <v>2940.01</v>
      </c>
      <c r="J3" s="8" t="n">
        <v>43772260.74</v>
      </c>
      <c r="K3" s="8" t="n">
        <v>44101972.80620001</v>
      </c>
      <c r="L3" s="8" t="n">
        <v>-739.9899999999998</v>
      </c>
      <c r="M3" s="9" t="n">
        <v>-0.2010842391304347</v>
      </c>
      <c r="N3" s="8" t="n">
        <v>-11100308.7938</v>
      </c>
      <c r="O3" s="6" t="inlineStr">
        <is>
          <t>G:\Drives compartilhados\03 CTN Projetos\2. Projetos em Andamento\Lumis - 10.2021\2021 - Live\03. Custo</t>
        </is>
      </c>
    </row>
    <row r="4">
      <c r="A4" s="2" t="inlineStr">
        <is>
          <t>mussi-empreendimentos-chelsea</t>
        </is>
      </c>
      <c r="B4" s="2" t="inlineStr">
        <is>
          <t>mussi</t>
        </is>
      </c>
      <c r="C4" s="2" t="inlineStr">
        <is>
          <t>Itajaí/SC</t>
        </is>
      </c>
      <c r="D4" s="2" t="inlineStr">
        <is>
          <t>medio-alto</t>
        </is>
      </c>
      <c r="E4" s="2" t="inlineStr">
        <is>
          <t>residencial_vertical_alto</t>
        </is>
      </c>
      <c r="F4" s="2" t="n"/>
      <c r="G4" s="3" t="n">
        <v>15149.39</v>
      </c>
      <c r="H4" s="2" t="n">
        <v>41</v>
      </c>
      <c r="I4" s="4" t="n">
        <v>3443.27</v>
      </c>
      <c r="J4" s="4" t="n">
        <v>52163485.94</v>
      </c>
      <c r="K4" s="4" t="n">
        <v>51651184.8274</v>
      </c>
      <c r="L4" s="4" t="n">
        <v>-236.73</v>
      </c>
      <c r="M4" s="5" t="n">
        <v>-0.06432880434782606</v>
      </c>
      <c r="N4" s="4" t="n">
        <v>-3551096.772600003</v>
      </c>
      <c r="O4" s="2" t="inlineStr">
        <is>
          <t>G:\Drives compartilhados\03 CTN Projetos\2. Projetos em Andamento\Mussi Empreendimentos\Chelsea Residence 11.2022</t>
        </is>
      </c>
    </row>
    <row r="5">
      <c r="A5" s="6" t="inlineStr">
        <is>
          <t>fonseca-empreendimentos-estoril</t>
        </is>
      </c>
      <c r="B5" s="6" t="inlineStr">
        <is>
          <t>fonseca</t>
        </is>
      </c>
      <c r="C5" s="6" t="inlineStr">
        <is>
          <t>Camboriú/SC</t>
        </is>
      </c>
      <c r="D5" s="6" t="inlineStr">
        <is>
          <t>medio-alto</t>
        </is>
      </c>
      <c r="E5" s="6" t="inlineStr">
        <is>
          <t>residencial_vertical_medio_alto</t>
        </is>
      </c>
      <c r="F5" s="6" t="inlineStr">
        <is>
          <t>2025-12</t>
        </is>
      </c>
      <c r="G5" s="7" t="n">
        <v>14491.98</v>
      </c>
      <c r="H5" s="6" t="n">
        <v>110</v>
      </c>
      <c r="I5" s="8" t="n">
        <v>3378.446360574308</v>
      </c>
      <c r="J5" s="8" t="n">
        <v>48960377.08851565</v>
      </c>
      <c r="K5" s="8" t="n">
        <v>50678790.04535818</v>
      </c>
      <c r="L5" s="8" t="n">
        <v>-301.5536394256919</v>
      </c>
      <c r="M5" s="9" t="n">
        <v>-0.08194392375698145</v>
      </c>
      <c r="N5" s="8" t="n">
        <v>-4523491.55464182</v>
      </c>
      <c r="O5" s="6" t="inlineStr">
        <is>
          <t>G:\Drives compartilhados\03 CTN Projetos\2. Projetos em Andamento\Fonseca\Residencial Estoril - Orçamento e Planejamento</t>
        </is>
      </c>
    </row>
    <row r="6">
      <c r="A6" s="2" t="inlineStr">
        <is>
          <t>pavcor</t>
        </is>
      </c>
      <c r="B6" s="2" t="inlineStr">
        <is>
          <t>pavcor</t>
        </is>
      </c>
      <c r="C6" s="2" t="inlineStr">
        <is>
          <t>Chapecó/SC</t>
        </is>
      </c>
      <c r="D6" s="2" t="inlineStr">
        <is>
          <t>medio-alto</t>
        </is>
      </c>
      <c r="E6" s="2" t="inlineStr">
        <is>
          <t>residencial_vertical_medio_alto</t>
        </is>
      </c>
      <c r="F6" s="2" t="n"/>
      <c r="G6" s="3" t="n">
        <v>14283.29</v>
      </c>
      <c r="H6" s="2" t="n"/>
      <c r="I6" s="4" t="n">
        <v>3455.81</v>
      </c>
      <c r="J6" s="4" t="n">
        <v>49360278.61</v>
      </c>
      <c r="K6" s="4" t="n">
        <v>51839292.6022</v>
      </c>
      <c r="L6" s="4" t="n">
        <v>-224.1900000000001</v>
      </c>
      <c r="M6" s="5" t="n">
        <v>-0.06092119565217391</v>
      </c>
      <c r="N6" s="4" t="n">
        <v>-3362988.9978</v>
      </c>
      <c r="O6" s="2" t="inlineStr">
        <is>
          <t>G:\Drives compartilhados\03 CTN Projetos\2. Projetos em Andamento\Pavcor\CTN &amp; Pavcor - Cinque</t>
        </is>
      </c>
    </row>
    <row r="7">
      <c r="A7" s="6" t="inlineStr">
        <is>
          <t>neuhaus-origem</t>
        </is>
      </c>
      <c r="B7" s="6" t="inlineStr">
        <is>
          <t>neuhaus</t>
        </is>
      </c>
      <c r="C7" s="6" t="inlineStr">
        <is>
          <t>Florianópolis/SC</t>
        </is>
      </c>
      <c r="D7" s="6" t="inlineStr">
        <is>
          <t>alto</t>
        </is>
      </c>
      <c r="E7" s="6" t="inlineStr">
        <is>
          <t>residencial_vertical_alto</t>
        </is>
      </c>
      <c r="F7" s="6" t="n"/>
      <c r="G7" s="7" t="n">
        <v>14559.12</v>
      </c>
      <c r="H7" s="6" t="n"/>
      <c r="I7" s="8" t="n">
        <v>4642.46</v>
      </c>
      <c r="J7" s="8" t="n">
        <v>67590131.02</v>
      </c>
      <c r="K7" s="8" t="n">
        <v>69639778.32520001</v>
      </c>
      <c r="L7" s="8" t="n">
        <v>962.46</v>
      </c>
      <c r="M7" s="9" t="n">
        <v>0.2615380434782608</v>
      </c>
      <c r="N7" s="8" t="n">
        <v>14437496.7252</v>
      </c>
      <c r="O7" s="6" t="inlineStr">
        <is>
          <t>G:\Drives compartilhados\03 CTN Projetos\2. Projetos em Andamento\Neuhaus\2023.08 - Origem 3300</t>
        </is>
      </c>
    </row>
    <row r="8">
      <c r="A8" s="2" t="inlineStr">
        <is>
          <t>pass-e-connect</t>
        </is>
      </c>
      <c r="B8" s="2" t="inlineStr">
        <is>
          <t>pass</t>
        </is>
      </c>
      <c r="C8" s="2" t="inlineStr">
        <is>
          <t>Itajaí/SC</t>
        </is>
      </c>
      <c r="D8" s="2" t="inlineStr">
        <is>
          <t>medio-alto</t>
        </is>
      </c>
      <c r="E8" s="2" t="inlineStr">
        <is>
          <t>residencial_vertical_medio_alto</t>
        </is>
      </c>
      <c r="F8" s="2" t="inlineStr">
        <is>
          <t>2025-03</t>
        </is>
      </c>
      <c r="G8" s="3" t="n">
        <v>13144.27</v>
      </c>
      <c r="H8" s="2" t="n">
        <v>156</v>
      </c>
      <c r="I8" s="4" t="n">
        <v>3709.52</v>
      </c>
      <c r="J8" s="4" t="n">
        <v>48758956.42</v>
      </c>
      <c r="K8" s="4" t="n">
        <v>55645099.9024</v>
      </c>
      <c r="L8" s="4" t="n">
        <v>29.51999999999998</v>
      </c>
      <c r="M8" s="5" t="n">
        <v>0.008021739130434691</v>
      </c>
      <c r="N8" s="4" t="n">
        <v>442818.3024000004</v>
      </c>
      <c r="O8" s="2" t="inlineStr">
        <is>
          <t>G:\Drives compartilhados\03 CTN Projetos\2. Projetos em Andamento\Pass-e Empreendimentos\Connect</t>
        </is>
      </c>
    </row>
    <row r="9">
      <c r="A9" s="6" t="inlineStr">
        <is>
          <t>nobria</t>
        </is>
      </c>
      <c r="B9" s="6" t="inlineStr">
        <is>
          <t>nobria</t>
        </is>
      </c>
      <c r="C9" s="6" t="inlineStr">
        <is>
          <t>Bombinhas/SC</t>
        </is>
      </c>
      <c r="D9" s="6" t="inlineStr">
        <is>
          <t>alto</t>
        </is>
      </c>
      <c r="E9" s="6" t="inlineStr">
        <is>
          <t>residencial_vertical_alto</t>
        </is>
      </c>
      <c r="F9" s="6" t="inlineStr">
        <is>
          <t>2024-01</t>
        </is>
      </c>
      <c r="G9" s="7" t="n">
        <v>12879.93</v>
      </c>
      <c r="H9" s="6" t="n"/>
      <c r="I9" s="8" t="n">
        <v>3290.71</v>
      </c>
      <c r="J9" s="8" t="n">
        <v>42384127.48</v>
      </c>
      <c r="K9" s="8" t="n">
        <v>49362690.24020001</v>
      </c>
      <c r="L9" s="8" t="n">
        <v>-389.29</v>
      </c>
      <c r="M9" s="9" t="n">
        <v>-0.1057853260869566</v>
      </c>
      <c r="N9" s="8" t="n">
        <v>-5839591.359799996</v>
      </c>
      <c r="O9" s="6" t="inlineStr">
        <is>
          <t>G:\Drives compartilhados\03 CTN Projetos\2. Projetos em Andamento\Nobria Construtora - 03.2023\03. Custo</t>
        </is>
      </c>
    </row>
    <row r="10">
      <c r="A10" s="2" t="inlineStr">
        <is>
          <t>mabrem-gran-torino</t>
        </is>
      </c>
      <c r="B10" s="2" t="inlineStr">
        <is>
          <t>mabrem</t>
        </is>
      </c>
      <c r="C10" s="2" t="inlineStr">
        <is>
          <t>Piçarras/SC</t>
        </is>
      </c>
      <c r="D10" s="2" t="inlineStr">
        <is>
          <t>medio-alto</t>
        </is>
      </c>
      <c r="E10" s="2" t="inlineStr">
        <is>
          <t>residencial_vertical_alto</t>
        </is>
      </c>
      <c r="F10" s="2" t="inlineStr">
        <is>
          <t>2024-04</t>
        </is>
      </c>
      <c r="G10" s="3" t="n">
        <v>12518.96</v>
      </c>
      <c r="H10" s="2" t="n"/>
      <c r="I10" s="4" t="n">
        <v>2974.48</v>
      </c>
      <c r="J10" s="4" t="n">
        <v>37237429.53</v>
      </c>
      <c r="K10" s="4" t="n">
        <v>44619044.1776</v>
      </c>
      <c r="L10" s="4" t="n">
        <v>-705.52</v>
      </c>
      <c r="M10" s="5" t="n">
        <v>-0.1917173913043478</v>
      </c>
      <c r="N10" s="4" t="n">
        <v>-10583237.4224</v>
      </c>
      <c r="O10" s="2" t="inlineStr">
        <is>
          <t>G:\Drives compartilhados\03 CTN Projetos\2. Projetos em Andamento\Mabrem 10.2020\Gran Torino</t>
        </is>
      </c>
    </row>
    <row r="11">
      <c r="A11" s="6" t="inlineStr">
        <is>
          <t>cota-365</t>
        </is>
      </c>
      <c r="B11" s="6" t="inlineStr">
        <is>
          <t>cota</t>
        </is>
      </c>
      <c r="C11" s="6" t="inlineStr">
        <is>
          <t>Florianópolis/SC</t>
        </is>
      </c>
      <c r="D11" s="6" t="inlineStr">
        <is>
          <t>medio-alto</t>
        </is>
      </c>
      <c r="E11" s="6" t="inlineStr">
        <is>
          <t>residencial_vertical_medio_alto</t>
        </is>
      </c>
      <c r="F11" s="6" t="inlineStr">
        <is>
          <t>2025-07</t>
        </is>
      </c>
      <c r="G11" s="7" t="n">
        <v>17505.56</v>
      </c>
      <c r="H11" s="6" t="n"/>
      <c r="I11" s="8" t="n">
        <v>3483.98</v>
      </c>
      <c r="J11" s="8" t="n">
        <v>60989058.06</v>
      </c>
      <c r="K11" s="8" t="n">
        <v>52261860.0676</v>
      </c>
      <c r="L11" s="8" t="n">
        <v>-196.02</v>
      </c>
      <c r="M11" s="9" t="n">
        <v>-0.05326630434782609</v>
      </c>
      <c r="N11" s="8" t="n">
        <v>-2940421.532399997</v>
      </c>
      <c r="O11" s="6" t="inlineStr">
        <is>
          <t>G:\Drives compartilhados\03 CTN Projetos\2. Projetos em Andamento\COTA\365 (antigo Afonso Pena)</t>
        </is>
      </c>
    </row>
    <row r="12">
      <c r="A12" s="2" t="inlineStr">
        <is>
          <t>hacasa-brisa-da-armacao</t>
        </is>
      </c>
      <c r="B12" s="2" t="inlineStr">
        <is>
          <t>hacasa</t>
        </is>
      </c>
      <c r="C12" s="2" t="inlineStr">
        <is>
          <t>Florianópolis/SC</t>
        </is>
      </c>
      <c r="D12" s="2" t="inlineStr">
        <is>
          <t>medio-alto</t>
        </is>
      </c>
      <c r="E12" s="2" t="inlineStr">
        <is>
          <t>residencial_misto</t>
        </is>
      </c>
      <c r="F12" s="2" t="inlineStr">
        <is>
          <t>2024-11</t>
        </is>
      </c>
      <c r="G12" s="3" t="n">
        <v>12828.33</v>
      </c>
      <c r="H12" s="2" t="n">
        <v>117</v>
      </c>
      <c r="I12" s="4" t="n">
        <v>3296.1</v>
      </c>
      <c r="J12" s="4" t="n">
        <v>42283515.5</v>
      </c>
      <c r="K12" s="4" t="n">
        <v>49443543.582</v>
      </c>
      <c r="L12" s="4" t="n">
        <v>-383.9000000000001</v>
      </c>
      <c r="M12" s="5" t="n">
        <v>-0.1043206521739131</v>
      </c>
      <c r="N12" s="4" t="n">
        <v>-5758738.017999999</v>
      </c>
      <c r="O12" s="2" t="inlineStr">
        <is>
          <t>G:\Drives compartilhados\03 CTN Projetos\2. Projetos em Andamento\Hacasa\2024 - Brisa da Armação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36" customWidth="1" min="3" max="3"/>
    <col width="57" customWidth="1" min="4" max="4"/>
    <col width="19" customWidth="1" min="5" max="5"/>
    <col width="25" customWidth="1" min="6" max="6"/>
    <col width="20" customWidth="1" min="7" max="7"/>
    <col width="27" customWidth="1" min="8" max="8"/>
    <col width="29" customWidth="1" min="9" max="9"/>
    <col width="25" customWidth="1" min="10" max="10"/>
    <col width="26" customWidth="1" min="11" max="11"/>
    <col width="62" customWidth="1" min="12" max="12"/>
    <col width="53" customWidth="1" min="13" max="13"/>
  </cols>
  <sheetData>
    <row r="1">
      <c r="A1" s="10" t="inlineStr">
        <is>
          <t>CORREÇÃO TEMPORAL POR CUB - VALOR PRESENTE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>
      <c r="A2" s="12" t="inlineStr">
        <is>
          <t>CUB presente usado: 2026-05 = R$ 3.096,25/m². Fórmula: valor presente = valor nominal × CUB presente / CUB referência.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>
      <c r="A3" s="1" t="inlineStr">
        <is>
          <t>Empreendimento</t>
        </is>
      </c>
      <c r="B3" s="1" t="inlineStr">
        <is>
          <t>Data ref.</t>
        </is>
      </c>
      <c r="C3" s="1" t="inlineStr">
        <is>
          <t>CUB ref.</t>
        </is>
      </c>
      <c r="D3" s="1" t="inlineStr">
        <is>
          <t>Fonte CUB/data</t>
        </is>
      </c>
      <c r="E3" s="1" t="inlineStr">
        <is>
          <t>R$/m² nominal</t>
        </is>
      </c>
      <c r="F3" s="1" t="inlineStr">
        <is>
          <t>CUB equivalente nominal</t>
        </is>
      </c>
      <c r="G3" s="1" t="inlineStr">
        <is>
          <t>R$/m² presente</t>
        </is>
      </c>
      <c r="H3" s="1" t="inlineStr">
        <is>
          <t>Total presente na AC Flow</t>
        </is>
      </c>
      <c r="I3" s="1" t="inlineStr">
        <is>
          <t>Dif. R$/m² presente vs Flow</t>
        </is>
      </c>
      <c r="J3" s="1" t="inlineStr">
        <is>
          <t>Dif. % presente vs Flow</t>
        </is>
      </c>
      <c r="K3" s="1" t="inlineStr">
        <is>
          <t>Classificação</t>
        </is>
      </c>
      <c r="L3" s="1" t="inlineStr">
        <is>
          <t>Leitura</t>
        </is>
      </c>
      <c r="M3" s="1" t="inlineStr">
        <is>
          <t>Observação</t>
        </is>
      </c>
    </row>
    <row r="4">
      <c r="A4" s="2" t="inlineStr">
        <is>
          <t>Flow da Lagoa</t>
        </is>
      </c>
      <c r="B4" s="2" t="inlineStr">
        <is>
          <t>2026-06</t>
        </is>
      </c>
      <c r="C4" s="4" t="n">
        <v>3096.25</v>
      </c>
      <c r="D4" s="2" t="inlineStr">
        <is>
          <t>CUB presente do próprio Flow</t>
        </is>
      </c>
      <c r="E4" s="4" t="n">
        <v>3680</v>
      </c>
      <c r="F4" s="13" t="n">
        <v>1.188534517561566</v>
      </c>
      <c r="G4" s="4" t="n">
        <v>3680</v>
      </c>
      <c r="H4" s="4" t="n">
        <v>55202281.6</v>
      </c>
      <c r="I4" s="4" t="n">
        <v>0</v>
      </c>
      <c r="J4" s="5" t="n">
        <v>0</v>
      </c>
      <c r="K4" s="2" t="inlineStr">
        <is>
          <t>Base</t>
        </is>
      </c>
      <c r="L4" s="2" t="inlineStr">
        <is>
          <t>Valor presente base.</t>
        </is>
      </c>
      <c r="M4" s="2" t="inlineStr"/>
    </row>
    <row r="5">
      <c r="A5" s="6" t="inlineStr">
        <is>
          <t>lumis-live</t>
        </is>
      </c>
      <c r="B5" s="6" t="inlineStr">
        <is>
          <t>2023-02</t>
        </is>
      </c>
      <c r="C5" s="8" t="n">
        <v>2662.47</v>
      </c>
      <c r="D5" s="6" t="inlineStr">
        <is>
          <t>CUB explícito no JSON: cub_data_base 2023-02</t>
        </is>
      </c>
      <c r="E5" s="8" t="n">
        <v>2940.01</v>
      </c>
      <c r="F5" s="14" t="n">
        <v>1.104241550139532</v>
      </c>
      <c r="G5" s="8" t="n">
        <v>3419.007899619527</v>
      </c>
      <c r="H5" s="8" t="n">
        <v>51287238.27919067</v>
      </c>
      <c r="I5" s="8" t="n">
        <v>-260.9921003804734</v>
      </c>
      <c r="J5" s="9" t="n">
        <v>-0.07092176640773729</v>
      </c>
      <c r="K5" s="6" t="inlineStr">
        <is>
          <t>Abaixo do Flow corrigido</t>
        </is>
      </c>
      <c r="L5" s="6" t="inlineStr">
        <is>
          <t>Serve como piso/pressão de baixa; validar escopo antes de reduzir Flow.</t>
        </is>
      </c>
      <c r="M5" s="6" t="inlineStr"/>
    </row>
    <row r="6">
      <c r="A6" s="2" t="inlineStr">
        <is>
          <t>mussi-empreendimentos-chelsea</t>
        </is>
      </c>
      <c r="B6" s="2" t="inlineStr">
        <is>
          <t>2022-11</t>
        </is>
      </c>
      <c r="C6" s="4" t="n">
        <v>2633.22</v>
      </c>
      <c r="D6" s="2" t="inlineStr">
        <is>
          <t>Data inferida da pasta Chelsea Residence 11.2022</t>
        </is>
      </c>
      <c r="E6" s="4" t="n">
        <v>3443.27</v>
      </c>
      <c r="F6" s="13" t="n">
        <v>1.307627163700716</v>
      </c>
      <c r="G6" s="4" t="n">
        <v>4048.740605608343</v>
      </c>
      <c r="H6" s="4" t="n">
        <v>60733619.30330063</v>
      </c>
      <c r="I6" s="4" t="n">
        <v>368.7406056083432</v>
      </c>
      <c r="J6" s="5" t="n">
        <v>0.1002012515240063</v>
      </c>
      <c r="K6" s="2" t="inlineStr">
        <is>
          <t>Acima do Flow corrigido</t>
        </is>
      </c>
      <c r="L6" s="2" t="inlineStr">
        <is>
          <t>Serve como teto/pressão de alta; checar padrão e escopo.</t>
        </is>
      </c>
      <c r="M6" s="2" t="inlineStr">
        <is>
          <t>Data inferida; revisar se houver data-base oficial.</t>
        </is>
      </c>
    </row>
    <row r="7">
      <c r="A7" s="6" t="inlineStr">
        <is>
          <t>fonseca-empreendimentos-estoril</t>
        </is>
      </c>
      <c r="B7" s="6" t="inlineStr">
        <is>
          <t>2026-01</t>
        </is>
      </c>
      <c r="C7" s="8" t="n">
        <v>3019.26</v>
      </c>
      <c r="D7" s="6" t="inlineStr">
        <is>
          <t>Data de entrega 2026-01-15; CUB da série</t>
        </is>
      </c>
      <c r="E7" s="8" t="n">
        <v>3378.446360574308</v>
      </c>
      <c r="F7" s="14" t="n">
        <v>1.118965031356792</v>
      </c>
      <c r="G7" s="8" t="n">
        <v>3464.595478338467</v>
      </c>
      <c r="H7" s="8" t="n">
        <v>51971080.22427358</v>
      </c>
      <c r="I7" s="8" t="n">
        <v>-215.4045216615327</v>
      </c>
      <c r="J7" s="9" t="n">
        <v>-0.0585338374080252</v>
      </c>
      <c r="K7" s="6" t="inlineStr">
        <is>
          <t>Faixa aderente</t>
        </is>
      </c>
      <c r="L7" s="6" t="inlineStr">
        <is>
          <t>Bom comparável corrigido temporalmente.</t>
        </is>
      </c>
      <c r="M7" s="6" t="inlineStr"/>
    </row>
    <row r="8">
      <c r="A8" s="2" t="inlineStr">
        <is>
          <t>pavcor</t>
        </is>
      </c>
      <c r="B8" s="2" t="inlineStr">
        <is>
          <t>2026-04</t>
        </is>
      </c>
      <c r="C8" s="4" t="n">
        <v>3064.1</v>
      </c>
      <c r="D8" s="2" t="inlineStr">
        <is>
          <t>Data inferida do entregável executivo R02 de 15/04/2026</t>
        </is>
      </c>
      <c r="E8" s="4" t="n">
        <v>3455.81</v>
      </c>
      <c r="F8" s="13" t="n">
        <v>1.12783851701968</v>
      </c>
      <c r="G8" s="4" t="n">
        <v>3492.070008322183</v>
      </c>
      <c r="H8" s="4" t="n">
        <v>52383215.20823791</v>
      </c>
      <c r="I8" s="4" t="n">
        <v>-187.9299916778168</v>
      </c>
      <c r="J8" s="5" t="n">
        <v>-0.05106793252114583</v>
      </c>
      <c r="K8" s="2" t="inlineStr">
        <is>
          <t>Faixa aderente</t>
        </is>
      </c>
      <c r="L8" s="2" t="inlineStr">
        <is>
          <t>Bom comparável corrigido temporalmente.</t>
        </is>
      </c>
      <c r="M8" s="2" t="inlineStr">
        <is>
          <t>Data inferida; revisar se houver data-base oficial.</t>
        </is>
      </c>
    </row>
    <row r="9">
      <c r="A9" s="6" t="inlineStr">
        <is>
          <t>neuhaus-origem</t>
        </is>
      </c>
      <c r="B9" s="6" t="inlineStr">
        <is>
          <t>2023-08</t>
        </is>
      </c>
      <c r="C9" s="8" t="n">
        <v>2718.92</v>
      </c>
      <c r="D9" s="6" t="inlineStr">
        <is>
          <t>Data inferida da pasta 2023.08 - Origem 3300</t>
        </is>
      </c>
      <c r="E9" s="8" t="n">
        <v>4642.46</v>
      </c>
      <c r="F9" s="14" t="n">
        <v>1.707464728642255</v>
      </c>
      <c r="G9" s="8" t="n">
        <v>5286.737666058582</v>
      </c>
      <c r="H9" s="8" t="n">
        <v>79304342.76823169</v>
      </c>
      <c r="I9" s="8" t="n">
        <v>1606.737666058582</v>
      </c>
      <c r="J9" s="9" t="n">
        <v>0.4366134962115713</v>
      </c>
      <c r="K9" s="6" t="inlineStr">
        <is>
          <t>Acima do Flow corrigido</t>
        </is>
      </c>
      <c r="L9" s="6" t="inlineStr">
        <is>
          <t>Serve como teto/pressão de alta; checar padrão e escopo.</t>
        </is>
      </c>
      <c r="M9" s="6" t="inlineStr">
        <is>
          <t>Data inferida; revisar se houver data-base oficial.</t>
        </is>
      </c>
    </row>
    <row r="10">
      <c r="A10" s="2" t="inlineStr">
        <is>
          <t>pass-e-connect</t>
        </is>
      </c>
      <c r="B10" s="2" t="inlineStr">
        <is>
          <t>2025-03</t>
        </is>
      </c>
      <c r="C10" s="4" t="n">
        <v>2907.85</v>
      </c>
      <c r="D10" s="2" t="inlineStr">
        <is>
          <t>CUB explícito no metadata: CUB/SC 2.907,85</t>
        </is>
      </c>
      <c r="E10" s="4" t="n">
        <v>3709.52</v>
      </c>
      <c r="F10" s="13" t="n">
        <v>1.275691662224668</v>
      </c>
      <c r="G10" s="4" t="n">
        <v>3949.860309163127</v>
      </c>
      <c r="H10" s="4" t="n">
        <v>59250353.55083859</v>
      </c>
      <c r="I10" s="4" t="n">
        <v>269.8603091631271</v>
      </c>
      <c r="J10" s="5" t="n">
        <v>0.07333160575084974</v>
      </c>
      <c r="K10" s="2" t="inlineStr">
        <is>
          <t>Faixa aderente</t>
        </is>
      </c>
      <c r="L10" s="2" t="inlineStr">
        <is>
          <t>Bom comparável corrigido temporalmente.</t>
        </is>
      </c>
      <c r="M10" s="2" t="inlineStr"/>
    </row>
    <row r="11">
      <c r="A11" s="6" t="inlineStr">
        <is>
          <t>nobria</t>
        </is>
      </c>
      <c r="B11" s="6" t="inlineStr">
        <is>
          <t>2024-01</t>
        </is>
      </c>
      <c r="C11" s="8" t="n">
        <v>2752.67</v>
      </c>
      <c r="D11" s="6" t="inlineStr">
        <is>
          <t>CUB explícito no metadata: 2.752,67</t>
        </is>
      </c>
      <c r="E11" s="8" t="n">
        <v>3290.71</v>
      </c>
      <c r="F11" s="14" t="n">
        <v>1.195461134098893</v>
      </c>
      <c r="G11" s="8" t="n">
        <v>3701.446536453697</v>
      </c>
      <c r="H11" s="8" t="n">
        <v>55523992.94365806</v>
      </c>
      <c r="I11" s="8" t="n">
        <v>21.44653645369726</v>
      </c>
      <c r="J11" s="9" t="n">
        <v>0.005827863166765646</v>
      </c>
      <c r="K11" s="6" t="inlineStr">
        <is>
          <t>Faixa aderente</t>
        </is>
      </c>
      <c r="L11" s="6" t="inlineStr">
        <is>
          <t>Bom comparável corrigido temporalmente.</t>
        </is>
      </c>
      <c r="M11" s="6" t="inlineStr"/>
    </row>
    <row r="12">
      <c r="A12" s="2" t="inlineStr">
        <is>
          <t>mabrem-gran-torino</t>
        </is>
      </c>
      <c r="B12" s="2" t="inlineStr">
        <is>
          <t>2024-04</t>
        </is>
      </c>
      <c r="C12" s="4" t="n">
        <v>2757.56</v>
      </c>
      <c r="D12" s="2" t="inlineStr">
        <is>
          <t>CUB explícito no JSON: cub_data_base 2024-04</t>
        </is>
      </c>
      <c r="E12" s="4" t="n">
        <v>2974.48</v>
      </c>
      <c r="F12" s="13" t="n">
        <v>1.078663746210418</v>
      </c>
      <c r="G12" s="4" t="n">
        <v>3339.812624204006</v>
      </c>
      <c r="H12" s="4" t="n">
        <v>50099260.0468871</v>
      </c>
      <c r="I12" s="4" t="n">
        <v>-340.1873757959938</v>
      </c>
      <c r="J12" s="5" t="n">
        <v>-0.09244222168369398</v>
      </c>
      <c r="K12" s="2" t="inlineStr">
        <is>
          <t>Abaixo do Flow corrigido</t>
        </is>
      </c>
      <c r="L12" s="2" t="inlineStr">
        <is>
          <t>Serve como piso/pressão de baixa; validar escopo antes de reduzir Flow.</t>
        </is>
      </c>
      <c r="M12" s="2" t="inlineStr"/>
    </row>
    <row r="13">
      <c r="A13" s="6" t="inlineStr">
        <is>
          <t>cota-365</t>
        </is>
      </c>
      <c r="B13" s="6" t="inlineStr">
        <is>
          <t>2025-07</t>
        </is>
      </c>
      <c r="C13" s="8" t="n">
        <v>2965.54</v>
      </c>
      <c r="D13" s="6" t="inlineStr">
        <is>
          <t>CUB explícito no JSON: cub_ref 2.965,54</t>
        </is>
      </c>
      <c r="E13" s="8" t="n">
        <v>3483.98</v>
      </c>
      <c r="F13" s="14" t="n">
        <v>1.174821449044693</v>
      </c>
      <c r="G13" s="8" t="n">
        <v>3637.540911604632</v>
      </c>
      <c r="H13" s="8" t="n">
        <v>54565368.94943468</v>
      </c>
      <c r="I13" s="8" t="n">
        <v>-42.45908839536833</v>
      </c>
      <c r="J13" s="9" t="n">
        <v>-0.011537795759611</v>
      </c>
      <c r="K13" s="6" t="inlineStr">
        <is>
          <t>Faixa aderente</t>
        </is>
      </c>
      <c r="L13" s="6" t="inlineStr">
        <is>
          <t>Bom comparável corrigido temporalmente.</t>
        </is>
      </c>
      <c r="M13" s="6" t="inlineStr"/>
    </row>
    <row r="14">
      <c r="A14" s="2" t="inlineStr">
        <is>
          <t>hacasa-brisa-da-armacao</t>
        </is>
      </c>
      <c r="B14" s="2" t="inlineStr">
        <is>
          <t>2024-11</t>
        </is>
      </c>
      <c r="C14" s="4" t="n">
        <v>2863.73</v>
      </c>
      <c r="D14" s="2" t="inlineStr">
        <is>
          <t>CUB explícito no JSON: cub_ref 2.863,73</t>
        </is>
      </c>
      <c r="E14" s="4" t="n">
        <v>3296.1</v>
      </c>
      <c r="F14" s="13" t="n">
        <v>1.150981412353818</v>
      </c>
      <c r="G14" s="4" t="n">
        <v>3563.72619800051</v>
      </c>
      <c r="H14" s="4" t="n">
        <v>53458102.48025041</v>
      </c>
      <c r="I14" s="4" t="n">
        <v>-116.2738019994904</v>
      </c>
      <c r="J14" s="5" t="n">
        <v>-0.03159614184768755</v>
      </c>
      <c r="K14" s="2" t="inlineStr">
        <is>
          <t>Faixa aderente</t>
        </is>
      </c>
      <c r="L14" s="2" t="inlineStr">
        <is>
          <t>Bom comparável corrigido temporalmente.</t>
        </is>
      </c>
      <c r="M14" s="2" t="inlineStr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1" t="inlineStr">
        <is>
          <t>Indicador</t>
        </is>
      </c>
      <c r="B17" s="1" t="inlineStr">
        <is>
          <t>Valor</t>
        </is>
      </c>
      <c r="C17" s="1" t="inlineStr">
        <is>
          <t>Leitura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6" t="inlineStr">
        <is>
          <t>Flow presente</t>
        </is>
      </c>
      <c r="B18" s="8" t="n">
        <v>3680</v>
      </c>
      <c r="C18" s="6" t="inlineStr">
        <is>
          <t>Base corrigida.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inlineStr">
        <is>
          <t>Média 10 comparáveis corrigidos</t>
        </is>
      </c>
      <c r="B19" s="8" t="n">
        <v>3790.353823737307</v>
      </c>
      <c r="C19" s="6" t="inlineStr">
        <is>
          <t>Inclui alto e misto.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inlineStr">
        <is>
          <t>Mediana 10 comparáveis corrigidos</t>
        </is>
      </c>
      <c r="B20" s="8" t="n">
        <v>3600.633554802571</v>
      </c>
      <c r="C20" s="6" t="inlineStr">
        <is>
          <t>Centro da amostra corrigida.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inlineStr">
        <is>
          <t>Média sem limites acima do Flow</t>
        </is>
      </c>
      <c r="B21" s="8" t="n">
        <v>3571.007495713269</v>
      </c>
      <c r="C21" s="6" t="inlineStr">
        <is>
          <t>Exclui os acima do Flow corrigido.</t>
        </is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inlineStr">
        <is>
          <t>Mediana sem limites acima do Flow</t>
        </is>
      </c>
      <c r="B22" s="8" t="n">
        <v>3527.898103161347</v>
      </c>
      <c r="C22" s="6" t="inlineStr">
        <is>
          <t>Centro dos aderentes/pisos.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3" customWidth="1" min="1" max="1"/>
    <col width="28" customWidth="1" min="2" max="2"/>
    <col width="51" customWidth="1" min="3" max="3"/>
    <col width="19" customWidth="1" min="4" max="4"/>
    <col width="22" customWidth="1" min="5" max="5"/>
    <col width="19" customWidth="1" min="6" max="6"/>
    <col width="58" customWidth="1" min="7" max="7"/>
    <col width="18" customWidth="1" min="8" max="8"/>
  </cols>
  <sheetData>
    <row r="1">
      <c r="A1" s="10" t="inlineStr">
        <is>
          <t>ANÁLISE DETALHADA - FLOW DA LAGOA VS 10 COMPARÁVEIS</t>
        </is>
      </c>
      <c r="B1" s="15" t="n"/>
      <c r="C1" s="15" t="n"/>
      <c r="D1" s="15" t="n"/>
      <c r="E1" s="15" t="n"/>
      <c r="F1" s="15" t="n"/>
      <c r="G1" s="15" t="n"/>
      <c r="H1" s="16" t="n"/>
    </row>
    <row r="2">
      <c r="A2" s="1" t="inlineStr">
        <is>
          <t>Indicador</t>
        </is>
      </c>
      <c r="B2" s="1" t="inlineStr">
        <is>
          <t>Valor</t>
        </is>
      </c>
      <c r="C2" s="1" t="inlineStr">
        <is>
          <t>Leitura</t>
        </is>
      </c>
      <c r="D2" s="1" t="n"/>
      <c r="E2" s="1" t="n"/>
      <c r="F2" s="1" t="n"/>
      <c r="G2" s="1" t="n"/>
      <c r="H2" s="1" t="n"/>
    </row>
    <row r="3">
      <c r="A3" s="6" t="inlineStr">
        <is>
          <t>Flow R$/m²</t>
        </is>
      </c>
      <c r="B3" s="8" t="n">
        <v>3680</v>
      </c>
      <c r="C3" s="6" t="inlineStr">
        <is>
          <t>Custo direto recomendado v01 do paramétrico Flow.</t>
        </is>
      </c>
      <c r="D3" s="6" t="n"/>
      <c r="E3" s="6" t="n"/>
      <c r="F3" s="6" t="n"/>
      <c r="G3" s="6" t="n"/>
      <c r="H3" s="6" t="n"/>
    </row>
    <row r="4">
      <c r="A4" s="2" t="inlineStr">
        <is>
          <t>Média comparáveis diretos</t>
        </is>
      </c>
      <c r="B4" s="4" t="n">
        <v>3340.788051510615</v>
      </c>
      <c r="C4" s="2" t="inlineStr">
        <is>
          <t>Exclui padrão alto e residencial misto.</t>
        </is>
      </c>
      <c r="D4" s="2" t="n"/>
      <c r="E4" s="2" t="n"/>
      <c r="F4" s="2" t="n"/>
      <c r="G4" s="2" t="n"/>
      <c r="H4" s="2" t="n"/>
    </row>
    <row r="5">
      <c r="A5" s="6" t="inlineStr">
        <is>
          <t>Mediana comparáveis diretos</t>
        </is>
      </c>
      <c r="B5" s="8" t="n">
        <v>3443.27</v>
      </c>
      <c r="C5" s="6" t="inlineStr">
        <is>
          <t>Melhor leitura contra outliers.</t>
        </is>
      </c>
      <c r="D5" s="6" t="n"/>
      <c r="E5" s="6" t="n"/>
      <c r="F5" s="6" t="n"/>
      <c r="G5" s="6" t="n"/>
      <c r="H5" s="6" t="n"/>
    </row>
    <row r="6">
      <c r="A6" s="2" t="inlineStr">
        <is>
          <t>Média todos os 10 comparáveis</t>
        </is>
      </c>
      <c r="B6" s="4" t="n">
        <v>3461.478636057431</v>
      </c>
      <c r="C6" s="2" t="inlineStr">
        <is>
          <t>Inclui limites altos e misto local.</t>
        </is>
      </c>
      <c r="D6" s="2" t="n"/>
      <c r="E6" s="2" t="n"/>
      <c r="F6" s="2" t="n"/>
      <c r="G6" s="2" t="n"/>
      <c r="H6" s="2" t="n"/>
    </row>
    <row r="7">
      <c r="A7" s="6" t="inlineStr">
        <is>
          <t>Mediana todos os 10 comparáveis</t>
        </is>
      </c>
      <c r="B7" s="8" t="n">
        <v>3410.858180287154</v>
      </c>
      <c r="C7" s="6" t="inlineStr">
        <is>
          <t>Centro da amostra ampliada.</t>
        </is>
      </c>
      <c r="D7" s="6" t="n"/>
      <c r="E7" s="6" t="n"/>
      <c r="F7" s="6" t="n"/>
      <c r="G7" s="6" t="n"/>
      <c r="H7" s="6" t="n"/>
    </row>
    <row r="8">
      <c r="A8" s="2" t="inlineStr">
        <is>
          <t>Média limites superiores</t>
        </is>
      </c>
      <c r="B8" s="4" t="n">
        <v>3966.585</v>
      </c>
      <c r="C8" s="2" t="inlineStr">
        <is>
          <t>Neuhaus Origem e Nobria.</t>
        </is>
      </c>
      <c r="D8" s="2" t="n"/>
      <c r="E8" s="2" t="n"/>
      <c r="F8" s="2" t="n"/>
      <c r="G8" s="2" t="n"/>
      <c r="H8" s="2" t="n"/>
    </row>
    <row r="9">
      <c r="A9" s="6" t="inlineStr">
        <is>
          <t>Média Florianópolis/locais</t>
        </is>
      </c>
      <c r="B9" s="8" t="n">
        <v>3590.6375</v>
      </c>
      <c r="C9" s="6" t="inlineStr">
        <is>
          <t>Lumis, Neuhaus, Cota e Hacasa.</t>
        </is>
      </c>
      <c r="D9" s="6" t="n"/>
      <c r="E9" s="6" t="n"/>
      <c r="F9" s="6" t="n"/>
      <c r="G9" s="6" t="n"/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11" t="inlineStr">
        <is>
          <t>Leitura por empreendimento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1" t="inlineStr">
        <is>
          <t>Empreendimento</t>
        </is>
      </c>
      <c r="B13" s="1" t="inlineStr">
        <is>
          <t>Grupo</t>
        </is>
      </c>
      <c r="C13" s="1" t="inlineStr">
        <is>
          <t>AC</t>
        </is>
      </c>
      <c r="D13" s="1" t="inlineStr">
        <is>
          <t>R$/m²</t>
        </is>
      </c>
      <c r="E13" s="1" t="inlineStr">
        <is>
          <t>Dif. vs Flow</t>
        </is>
      </c>
      <c r="F13" s="1" t="inlineStr">
        <is>
          <t>Total norm.</t>
        </is>
      </c>
      <c r="G13" s="1" t="inlineStr">
        <is>
          <t>Leitura</t>
        </is>
      </c>
      <c r="H13" s="1" t="inlineStr">
        <is>
          <t>Peso recomendado</t>
        </is>
      </c>
    </row>
    <row r="14">
      <c r="A14" s="2" t="inlineStr">
        <is>
          <t>lumis-live</t>
        </is>
      </c>
      <c r="B14" s="2" t="inlineStr">
        <is>
          <t>Comparável local direto</t>
        </is>
      </c>
      <c r="C14" s="3" t="n">
        <v>14888.46</v>
      </c>
      <c r="D14" s="4" t="n">
        <v>2940.01</v>
      </c>
      <c r="E14" s="5" t="n">
        <v>-0.2010842391304347</v>
      </c>
      <c r="F14" s="4" t="n">
        <v>44101972.80620001</v>
      </c>
      <c r="G14" s="2" t="inlineStr">
        <is>
          <t>Mais barato que Flow; provável diferença de data-base, escopo ou padrão. Usar com cautela.</t>
        </is>
      </c>
      <c r="H14" s="2" t="inlineStr">
        <is>
          <t>Médio</t>
        </is>
      </c>
    </row>
    <row r="15">
      <c r="A15" s="6" t="inlineStr">
        <is>
          <t>mussi-empreendimentos-chelsea</t>
        </is>
      </c>
      <c r="B15" s="6" t="inlineStr">
        <is>
          <t>Comparável regional direto</t>
        </is>
      </c>
      <c r="C15" s="7" t="n">
        <v>15149.39</v>
      </c>
      <c r="D15" s="8" t="n">
        <v>3443.27</v>
      </c>
      <c r="E15" s="9" t="n">
        <v>-0.06432880434782606</v>
      </c>
      <c r="F15" s="8" t="n">
        <v>51651184.8274</v>
      </c>
      <c r="G15" s="6" t="inlineStr">
        <is>
          <t>Comparável direto para faixa de custo do Flow.</t>
        </is>
      </c>
      <c r="H15" s="6" t="inlineStr">
        <is>
          <t>Alto</t>
        </is>
      </c>
    </row>
    <row r="16">
      <c r="A16" s="2" t="inlineStr">
        <is>
          <t>fonseca-empreendimentos-estoril</t>
        </is>
      </c>
      <c r="B16" s="2" t="inlineStr">
        <is>
          <t>Comparável regional direto</t>
        </is>
      </c>
      <c r="C16" s="3" t="n">
        <v>14491.98</v>
      </c>
      <c r="D16" s="4" t="n">
        <v>3378.446360574308</v>
      </c>
      <c r="E16" s="5" t="n">
        <v>-0.08194392375698145</v>
      </c>
      <c r="F16" s="4" t="n">
        <v>50678790.04535818</v>
      </c>
      <c r="G16" s="2" t="inlineStr">
        <is>
          <t>Comparável direto para faixa de custo do Flow.</t>
        </is>
      </c>
      <c r="H16" s="2" t="inlineStr">
        <is>
          <t>Alto</t>
        </is>
      </c>
    </row>
    <row r="17">
      <c r="A17" s="6" t="inlineStr">
        <is>
          <t>pavcor</t>
        </is>
      </c>
      <c r="B17" s="6" t="inlineStr">
        <is>
          <t>Comparável regional direto</t>
        </is>
      </c>
      <c r="C17" s="7" t="n">
        <v>14283.29</v>
      </c>
      <c r="D17" s="8" t="n">
        <v>3455.81</v>
      </c>
      <c r="E17" s="9" t="n">
        <v>-0.06092119565217391</v>
      </c>
      <c r="F17" s="8" t="n">
        <v>51839292.6022</v>
      </c>
      <c r="G17" s="6" t="inlineStr">
        <is>
          <t>Comparável direto para faixa de custo do Flow.</t>
        </is>
      </c>
      <c r="H17" s="6" t="inlineStr">
        <is>
          <t>Alto</t>
        </is>
      </c>
    </row>
    <row r="18">
      <c r="A18" s="2" t="inlineStr">
        <is>
          <t>neuhaus-origem</t>
        </is>
      </c>
      <c r="B18" s="2" t="inlineStr">
        <is>
          <t>Limite superior</t>
        </is>
      </c>
      <c r="C18" s="3" t="n">
        <v>14559.12</v>
      </c>
      <c r="D18" s="4" t="n">
        <v>4642.46</v>
      </c>
      <c r="E18" s="5" t="n">
        <v>0.2615380434782608</v>
      </c>
      <c r="F18" s="4" t="n">
        <v>69639778.32520001</v>
      </c>
      <c r="G18" s="2" t="inlineStr">
        <is>
          <t>Usar como teto/alerta de padrão; não puxar Flow para cima sem memorial premium.</t>
        </is>
      </c>
      <c r="H18" s="2" t="inlineStr">
        <is>
          <t>Médio-baixo</t>
        </is>
      </c>
    </row>
    <row r="19">
      <c r="A19" s="6" t="inlineStr">
        <is>
          <t>pass-e-connect</t>
        </is>
      </c>
      <c r="B19" s="6" t="inlineStr">
        <is>
          <t>Comparável regional direto</t>
        </is>
      </c>
      <c r="C19" s="7" t="n">
        <v>13144.27</v>
      </c>
      <c r="D19" s="8" t="n">
        <v>3709.52</v>
      </c>
      <c r="E19" s="9" t="n">
        <v>0.008021739130434691</v>
      </c>
      <c r="F19" s="8" t="n">
        <v>55645099.9024</v>
      </c>
      <c r="G19" s="6" t="inlineStr">
        <is>
          <t>R$/m² praticamente colado ao Flow; bom teste de plausibilidade para produto compacto.</t>
        </is>
      </c>
      <c r="H19" s="6" t="inlineStr">
        <is>
          <t>Alto</t>
        </is>
      </c>
    </row>
    <row r="20">
      <c r="A20" s="2" t="inlineStr">
        <is>
          <t>nobria</t>
        </is>
      </c>
      <c r="B20" s="2" t="inlineStr">
        <is>
          <t>Limite superior</t>
        </is>
      </c>
      <c r="C20" s="3" t="n">
        <v>12879.93</v>
      </c>
      <c r="D20" s="4" t="n">
        <v>3290.71</v>
      </c>
      <c r="E20" s="5" t="n">
        <v>-0.1057853260869566</v>
      </c>
      <c r="F20" s="4" t="n">
        <v>49362690.24020001</v>
      </c>
      <c r="G20" s="2" t="inlineStr">
        <is>
          <t>Usar como teto/alerta de padrão; não puxar Flow para cima sem memorial premium.</t>
        </is>
      </c>
      <c r="H20" s="2" t="inlineStr">
        <is>
          <t>Médio-baixo</t>
        </is>
      </c>
    </row>
    <row r="21">
      <c r="A21" s="6" t="inlineStr">
        <is>
          <t>mabrem-gran-torino</t>
        </is>
      </c>
      <c r="B21" s="6" t="inlineStr">
        <is>
          <t>Comparável regional direto</t>
        </is>
      </c>
      <c r="C21" s="7" t="n">
        <v>12518.96</v>
      </c>
      <c r="D21" s="8" t="n">
        <v>2974.48</v>
      </c>
      <c r="E21" s="9" t="n">
        <v>-0.1917173913043478</v>
      </c>
      <c r="F21" s="8" t="n">
        <v>44619044.1776</v>
      </c>
      <c r="G21" s="6" t="inlineStr">
        <is>
          <t>Mais barato que Flow; provável diferença de data-base, escopo ou padrão. Usar com cautela.</t>
        </is>
      </c>
      <c r="H21" s="6" t="inlineStr">
        <is>
          <t>Médio</t>
        </is>
      </c>
    </row>
    <row r="22">
      <c r="A22" s="2" t="inlineStr">
        <is>
          <t>cota-365</t>
        </is>
      </c>
      <c r="B22" s="2" t="inlineStr">
        <is>
          <t>Comparável local direto</t>
        </is>
      </c>
      <c r="C22" s="3" t="n">
        <v>17505.56</v>
      </c>
      <c r="D22" s="4" t="n">
        <v>3483.98</v>
      </c>
      <c r="E22" s="5" t="n">
        <v>-0.05326630434782609</v>
      </c>
      <c r="F22" s="4" t="n">
        <v>52261860.0676</v>
      </c>
      <c r="G22" s="2" t="inlineStr">
        <is>
          <t>Comparável direto para faixa de custo do Flow.</t>
        </is>
      </c>
      <c r="H22" s="2" t="inlineStr">
        <is>
          <t>Alto</t>
        </is>
      </c>
    </row>
    <row r="23">
      <c r="A23" s="6" t="inlineStr">
        <is>
          <t>hacasa-brisa-da-armacao</t>
        </is>
      </c>
      <c r="B23" s="6" t="inlineStr">
        <is>
          <t>Controle local misto</t>
        </is>
      </c>
      <c r="C23" s="7" t="n">
        <v>12828.33</v>
      </c>
      <c r="D23" s="8" t="n">
        <v>3296.1</v>
      </c>
      <c r="E23" s="9" t="n">
        <v>-0.1043206521739131</v>
      </c>
      <c r="F23" s="8" t="n">
        <v>49443543.582</v>
      </c>
      <c r="G23" s="6" t="inlineStr">
        <is>
          <t>Útil por Florianópolis, mas tipologia mista reduz comparabilidade direta.</t>
        </is>
      </c>
      <c r="H23" s="6" t="inlineStr">
        <is>
          <t>Médio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58" customWidth="1" min="2" max="2"/>
    <col width="58" customWidth="1" min="3" max="3"/>
  </cols>
  <sheetData>
    <row r="1">
      <c r="A1" s="1" t="inlineStr">
        <is>
          <t>Empreendimento</t>
        </is>
      </c>
      <c r="B1" s="1" t="inlineStr">
        <is>
          <t>Por que entrou</t>
        </is>
      </c>
      <c r="C1" s="1" t="inlineStr">
        <is>
          <t>Risco/uso no comparativo</t>
        </is>
      </c>
    </row>
    <row r="2">
      <c r="A2" s="2" t="inlineStr">
        <is>
          <t>Flow da Lagoa</t>
        </is>
      </c>
      <c r="B2" s="2" t="inlineStr">
        <is>
          <t>Base do comparativo, gerada na v01 do paramétrico Flow.</t>
        </is>
      </c>
      <c r="C2" s="2" t="inlineStr">
        <is>
          <t>Premissas ainda a validar: UR, elevadores, fundação, fachada e gerador.</t>
        </is>
      </c>
    </row>
    <row r="3">
      <c r="A3" s="6" t="inlineStr">
        <is>
          <t>lumis-live</t>
        </is>
      </c>
      <c r="B3" s="6" t="inlineStr">
        <is>
          <t>AC quase idêntica ao Flow (diferença de 112 m²), Florianópolis/SC, residencial vertical médio-alto e orçamento consolidado com R$/m² válido.</t>
        </is>
      </c>
      <c r="C3" s="6" t="inlineStr">
        <is>
          <t>Comparável direto</t>
        </is>
      </c>
    </row>
    <row r="4">
      <c r="A4" s="2" t="inlineStr">
        <is>
          <t>mussi-empreendimentos-chelsea</t>
        </is>
      </c>
      <c r="B4" s="2" t="inlineStr">
        <is>
          <t>AC muito próxima (diferença de 149 m²), residencial vertical em SC, padrão médio-alto e custo total/R$/m² válidos no consolidado.</t>
        </is>
      </c>
      <c r="C4" s="2" t="inlineStr">
        <is>
          <t>Comparável direto</t>
        </is>
      </c>
    </row>
    <row r="5">
      <c r="A5" s="6" t="inlineStr">
        <is>
          <t>fonseca-empreendimentos-estoril</t>
        </is>
      </c>
      <c r="B5" s="6" t="inlineStr">
        <is>
          <t>Residencial vertical médio-alto em SC, AC 14.492 m², UR informado e data-base recente no consolidado; bom comparável de produto não-luxo.</t>
        </is>
      </c>
      <c r="C5" s="6" t="inlineStr">
        <is>
          <t>Comparável direto</t>
        </is>
      </c>
    </row>
    <row r="6">
      <c r="A6" s="2" t="inlineStr">
        <is>
          <t>pavcor</t>
        </is>
      </c>
      <c r="B6" s="2" t="inlineStr">
        <is>
          <t>Residencial vertical médio-alto em SC, AC 14.283 m² e R$/m² próximo do cenário Flow; entra como comparável regional de porte semelhante.</t>
        </is>
      </c>
      <c r="C6" s="2" t="inlineStr">
        <is>
          <t>Comparável direto</t>
        </is>
      </c>
    </row>
    <row r="7">
      <c r="A7" s="6" t="inlineStr">
        <is>
          <t>neuhaus-origem</t>
        </is>
      </c>
      <c r="B7" s="6" t="inlineStr">
        <is>
          <t>AC próxima e Florianópolis/SC, porém padrão alto. Usei como limite superior para testar se o Flow está abaixo de um produto mais premium.</t>
        </is>
      </c>
      <c r="C7" s="6" t="inlineStr">
        <is>
          <t>Limite superior por padrão alto</t>
        </is>
      </c>
    </row>
    <row r="8">
      <c r="A8" s="2" t="inlineStr">
        <is>
          <t>pass-e-connect</t>
        </is>
      </c>
      <c r="B8" s="2" t="inlineStr">
        <is>
          <t>Residencial vertical médio-alto em SC, AC 13.144 m², UR informado e R$/m² muito próximo do Flow; bom controle de produto compacto em Itajaí.</t>
        </is>
      </c>
      <c r="C8" s="2" t="inlineStr">
        <is>
          <t>Comparável direto</t>
        </is>
      </c>
    </row>
    <row r="9">
      <c r="A9" s="6" t="inlineStr">
        <is>
          <t>nobria</t>
        </is>
      </c>
      <c r="B9" s="6" t="inlineStr">
        <is>
          <t>Residencial vertical alto em Bombinhas/SC, AC 12.880 m²; entra como comparável de porte médio e padrão superior fora de Florianópolis.</t>
        </is>
      </c>
      <c r="C9" s="6" t="inlineStr">
        <is>
          <t>Limite superior por padrão alto</t>
        </is>
      </c>
    </row>
    <row r="10">
      <c r="A10" s="2" t="inlineStr">
        <is>
          <t>mabrem-gran-torino</t>
        </is>
      </c>
      <c r="B10" s="2" t="inlineStr">
        <is>
          <t>Residencial vertical médio-alto em Piçarras/SC, AC 12.519 m²; escolhido por porte próximo e R$/m² válido no consolidado.</t>
        </is>
      </c>
      <c r="C10" s="2" t="inlineStr">
        <is>
          <t>Comparável direto</t>
        </is>
      </c>
    </row>
    <row r="11">
      <c r="A11" s="6" t="inlineStr">
        <is>
          <t>cota-365</t>
        </is>
      </c>
      <c r="B11" s="6" t="inlineStr">
        <is>
          <t>Residencial vertical médio-alto em Florianópolis/SC, AC 17.506 m²; entra por cidade e padrão, com área um pouco maior que o Flow.</t>
        </is>
      </c>
      <c r="C11" s="6" t="inlineStr">
        <is>
          <t>Comparável direto</t>
        </is>
      </c>
    </row>
    <row r="12">
      <c r="A12" s="2" t="inlineStr">
        <is>
          <t>hacasa-brisa-da-armacao</t>
        </is>
      </c>
      <c r="B12" s="2" t="inlineStr">
        <is>
          <t>Empreendimento residencial misto médio-alto em Florianópolis/SC, AC 12.828 m² e UR informado; útil como controle local com tipologia menos direta.</t>
        </is>
      </c>
      <c r="C12" s="2" t="inlineStr">
        <is>
          <t>Comparável direto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3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Descrição</t>
        </is>
      </c>
    </row>
    <row r="2">
      <c r="A2" s="2" t="inlineStr">
        <is>
          <t>Fonte principal</t>
        </is>
      </c>
      <c r="B2" s="2" t="inlineStr">
        <is>
          <t>G:\Drives compartilhados\03 CTN Projetos\2. Projetos em Andamento\_Parametrico_IA\REVISAO-OBRAS-131.xlsx</t>
        </is>
      </c>
    </row>
    <row r="3">
      <c r="A3" s="6" t="inlineStr">
        <is>
          <t>Critério 1</t>
        </is>
      </c>
      <c r="B3" s="6" t="inlineStr">
        <is>
          <t>R$/m² preenchido no consolidado de obras revisadas.</t>
        </is>
      </c>
    </row>
    <row r="4">
      <c r="A4" s="2" t="inlineStr">
        <is>
          <t>Critério 2</t>
        </is>
      </c>
      <c r="B4" s="2" t="inlineStr">
        <is>
          <t>Residencial vertical em SC.</t>
        </is>
      </c>
    </row>
    <row r="5">
      <c r="A5" s="6" t="inlineStr">
        <is>
          <t>Critério 3</t>
        </is>
      </c>
      <c r="B5" s="6" t="inlineStr">
        <is>
          <t>Padrão médio-alto como preferência; alto aceito como limite superior.</t>
        </is>
      </c>
    </row>
    <row r="6">
      <c r="A6" s="2" t="inlineStr">
        <is>
          <t>Critério 4</t>
        </is>
      </c>
      <c r="B6" s="2" t="inlineStr">
        <is>
          <t>Área construída mais próxima de 15.000,62 m².</t>
        </is>
      </c>
    </row>
    <row r="7">
      <c r="A7" s="6" t="inlineStr">
        <is>
          <t>Normalização</t>
        </is>
      </c>
      <c r="B7" s="6" t="inlineStr">
        <is>
          <t>Além do total original, calculei o total de cada R$/m² aplicado sobre a AC do Flow para comparação justa.</t>
        </is>
      </c>
    </row>
    <row r="8">
      <c r="A8" s="2" t="inlineStr">
        <is>
          <t>Correção temporal</t>
        </is>
      </c>
      <c r="B8" s="2" t="inlineStr">
        <is>
          <t>Não apliquei correção por CUB entre data-bases; a planilha expõe a data-base quando disponível.</t>
        </is>
      </c>
    </row>
    <row r="9">
      <c r="A9" s="6" t="inlineStr"/>
      <c r="B9" s="6" t="inlineStr"/>
    </row>
    <row r="10">
      <c r="A10" s="2" t="inlineStr">
        <is>
          <t>Slug</t>
        </is>
      </c>
      <c r="B10" s="2" t="inlineStr">
        <is>
          <t>Pasta Drive encontrada</t>
        </is>
      </c>
    </row>
    <row r="11">
      <c r="A11" s="6" t="inlineStr">
        <is>
          <t>lumis-live</t>
        </is>
      </c>
      <c r="B11" s="6" t="inlineStr">
        <is>
          <t>G:\Drives compartilhados\03 CTN Projetos\2. Projetos em Andamento\Lumis - 10.2021\2021 - Live\03. Custo</t>
        </is>
      </c>
    </row>
    <row r="12">
      <c r="A12" s="2" t="inlineStr">
        <is>
          <t>mussi-empreendimentos-chelsea</t>
        </is>
      </c>
      <c r="B12" s="2" t="inlineStr">
        <is>
          <t>G:\Drives compartilhados\03 CTN Projetos\2. Projetos em Andamento\Mussi Empreendimentos\Chelsea Residence 11.2022</t>
        </is>
      </c>
    </row>
    <row r="13">
      <c r="A13" s="6" t="inlineStr">
        <is>
          <t>fonseca-empreendimentos-estoril</t>
        </is>
      </c>
      <c r="B13" s="6" t="inlineStr">
        <is>
          <t>G:\Drives compartilhados\03 CTN Projetos\2. Projetos em Andamento\Fonseca\Residencial Estoril - Orçamento e Planejamento</t>
        </is>
      </c>
    </row>
    <row r="14">
      <c r="A14" s="2" t="inlineStr">
        <is>
          <t>pavcor</t>
        </is>
      </c>
      <c r="B14" s="2" t="inlineStr">
        <is>
          <t>G:\Drives compartilhados\03 CTN Projetos\2. Projetos em Andamento\Pavcor\CTN &amp; Pavcor - Cinque</t>
        </is>
      </c>
    </row>
    <row r="15">
      <c r="A15" s="6" t="inlineStr">
        <is>
          <t>neuhaus-origem</t>
        </is>
      </c>
      <c r="B15" s="6" t="inlineStr">
        <is>
          <t>G:\Drives compartilhados\03 CTN Projetos\2. Projetos em Andamento\Neuhaus\2023.08 - Origem 3300</t>
        </is>
      </c>
    </row>
    <row r="16">
      <c r="A16" s="2" t="inlineStr">
        <is>
          <t>pass-e-connect</t>
        </is>
      </c>
      <c r="B16" s="2" t="inlineStr">
        <is>
          <t>G:\Drives compartilhados\03 CTN Projetos\2. Projetos em Andamento\Pass-e Empreendimentos\Connect</t>
        </is>
      </c>
    </row>
    <row r="17">
      <c r="A17" s="6" t="inlineStr">
        <is>
          <t>nobria</t>
        </is>
      </c>
      <c r="B17" s="6" t="inlineStr">
        <is>
          <t>G:\Drives compartilhados\03 CTN Projetos\2. Projetos em Andamento\Nobria Construtora - 03.2023\03. Custo</t>
        </is>
      </c>
    </row>
    <row r="18">
      <c r="A18" s="2" t="inlineStr">
        <is>
          <t>mabrem-gran-torino</t>
        </is>
      </c>
      <c r="B18" s="2" t="inlineStr">
        <is>
          <t>G:\Drives compartilhados\03 CTN Projetos\2. Projetos em Andamento\Mabrem 10.2020\Gran Torino</t>
        </is>
      </c>
    </row>
    <row r="19">
      <c r="A19" s="6" t="inlineStr">
        <is>
          <t>cota-365</t>
        </is>
      </c>
      <c r="B19" s="6" t="inlineStr">
        <is>
          <t>G:\Drives compartilhados\03 CTN Projetos\2. Projetos em Andamento\COTA\365 (antigo Afonso Pena)</t>
        </is>
      </c>
    </row>
    <row r="20">
      <c r="A20" s="2" t="inlineStr">
        <is>
          <t>hacasa-brisa-da-armacao</t>
        </is>
      </c>
      <c r="B20" s="2" t="inlineStr">
        <is>
          <t>G:\Drives compartilhados\03 CTN Projetos\2. Projetos em Andamento\Hacasa\2024 - Brisa da Armação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0" customWidth="1" min="4" max="4"/>
    <col width="12" customWidth="1" min="5" max="5"/>
    <col width="33" customWidth="1" min="6" max="6"/>
    <col width="11" customWidth="1" min="7" max="7"/>
    <col width="10" customWidth="1" min="8" max="8"/>
    <col width="10" customWidth="1" min="9" max="9"/>
    <col width="19" customWidth="1" min="10" max="10"/>
    <col width="19" customWidth="1" min="11" max="11"/>
    <col width="23" customWidth="1" min="12" max="12"/>
    <col width="22" customWidth="1" min="13" max="13"/>
    <col width="27" customWidth="1" min="14" max="14"/>
    <col width="14" customWidth="1" min="15" max="15"/>
  </cols>
  <sheetData>
    <row r="1">
      <c r="A1" s="1" t="inlineStr">
        <is>
          <t>slug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padrao</t>
        </is>
      </c>
      <c r="F1" s="1" t="inlineStr">
        <is>
          <t>tipologia</t>
        </is>
      </c>
      <c r="G1" s="1" t="inlineStr">
        <is>
          <t>data_base</t>
        </is>
      </c>
      <c r="H1" s="1" t="inlineStr">
        <is>
          <t>ac</t>
        </is>
      </c>
      <c r="I1" s="1" t="inlineStr">
        <is>
          <t>ur</t>
        </is>
      </c>
      <c r="J1" s="1" t="inlineStr">
        <is>
          <t>rsm2</t>
        </is>
      </c>
      <c r="K1" s="1" t="inlineStr">
        <is>
          <t>total</t>
        </is>
      </c>
      <c r="L1" s="1" t="inlineStr">
        <is>
          <t>diff_ac_pct</t>
        </is>
      </c>
      <c r="M1" s="1" t="inlineStr">
        <is>
          <t>diff_rsm2_pct</t>
        </is>
      </c>
      <c r="N1" s="1" t="inlineStr">
        <is>
          <t>total_normalizado_flow_ac</t>
        </is>
      </c>
      <c r="O1" s="1" t="inlineStr">
        <is>
          <t>pasta_existe</t>
        </is>
      </c>
    </row>
    <row r="2">
      <c r="A2" s="2" t="inlineStr">
        <is>
          <t>lumis-live</t>
        </is>
      </c>
      <c r="B2" s="2" t="inlineStr">
        <is>
          <t>lumis</t>
        </is>
      </c>
      <c r="C2" s="2" t="inlineStr">
        <is>
          <t>Florianópolis</t>
        </is>
      </c>
      <c r="D2" s="2" t="inlineStr">
        <is>
          <t>SC</t>
        </is>
      </c>
      <c r="E2" s="2" t="inlineStr">
        <is>
          <t>medio-alto</t>
        </is>
      </c>
      <c r="F2" s="2" t="inlineStr">
        <is>
          <t>residencial_vertical_medio_alto</t>
        </is>
      </c>
      <c r="G2" s="2" t="inlineStr">
        <is>
          <t>2023-02</t>
        </is>
      </c>
      <c r="H2" s="2" t="n">
        <v>14888.46</v>
      </c>
      <c r="I2" s="2" t="n"/>
      <c r="J2" s="2" t="n">
        <v>2940.01</v>
      </c>
      <c r="K2" s="2" t="n">
        <v>43772260.74</v>
      </c>
      <c r="L2" s="2" t="n">
        <v>-0.007477024282996458</v>
      </c>
      <c r="M2" s="2" t="n">
        <v>-0.2010842391304347</v>
      </c>
      <c r="N2" s="2" t="n">
        <v>44101972.80620001</v>
      </c>
      <c r="O2" s="2" t="b">
        <v>1</v>
      </c>
    </row>
    <row r="3">
      <c r="A3" s="6" t="inlineStr">
        <is>
          <t>mussi-empreendimentos-chelsea</t>
        </is>
      </c>
      <c r="B3" s="6" t="inlineStr">
        <is>
          <t>mussi</t>
        </is>
      </c>
      <c r="C3" s="6" t="inlineStr">
        <is>
          <t>Itajaí</t>
        </is>
      </c>
      <c r="D3" s="6" t="inlineStr">
        <is>
          <t>SC</t>
        </is>
      </c>
      <c r="E3" s="6" t="inlineStr">
        <is>
          <t>medio-alto</t>
        </is>
      </c>
      <c r="F3" s="6" t="inlineStr">
        <is>
          <t>residencial_vertical_alto</t>
        </is>
      </c>
      <c r="G3" s="6" t="n"/>
      <c r="H3" s="6" t="n">
        <v>15149.39</v>
      </c>
      <c r="I3" s="6" t="n">
        <v>41</v>
      </c>
      <c r="J3" s="6" t="n">
        <v>3443.27</v>
      </c>
      <c r="K3" s="6" t="n">
        <v>52163485.94</v>
      </c>
      <c r="L3" s="6" t="n">
        <v>0.009917590072943572</v>
      </c>
      <c r="M3" s="6" t="n">
        <v>-0.06432880434782606</v>
      </c>
      <c r="N3" s="6" t="n">
        <v>51651184.8274</v>
      </c>
      <c r="O3" s="6" t="b">
        <v>1</v>
      </c>
    </row>
    <row r="4">
      <c r="A4" s="2" t="inlineStr">
        <is>
          <t>fonseca-empreendimentos-estoril</t>
        </is>
      </c>
      <c r="B4" s="2" t="inlineStr">
        <is>
          <t>fonseca</t>
        </is>
      </c>
      <c r="C4" s="2" t="inlineStr">
        <is>
          <t>Camboriú</t>
        </is>
      </c>
      <c r="D4" s="2" t="inlineStr">
        <is>
          <t>SC</t>
        </is>
      </c>
      <c r="E4" s="2" t="inlineStr">
        <is>
          <t>medio-alto</t>
        </is>
      </c>
      <c r="F4" s="2" t="inlineStr">
        <is>
          <t>residencial_vertical_medio_alto</t>
        </is>
      </c>
      <c r="G4" s="2" t="inlineStr">
        <is>
          <t>2025-12</t>
        </is>
      </c>
      <c r="H4" s="2" t="n">
        <v>14491.98</v>
      </c>
      <c r="I4" s="2" t="n">
        <v>110</v>
      </c>
      <c r="J4" s="2" t="n">
        <v>3378.446360574308</v>
      </c>
      <c r="K4" s="2" t="n">
        <v>48960377.08851565</v>
      </c>
      <c r="L4" s="2" t="n">
        <v>-0.03390793180548546</v>
      </c>
      <c r="M4" s="2" t="n">
        <v>-0.08194392375698145</v>
      </c>
      <c r="N4" s="2" t="n">
        <v>50678790.04535818</v>
      </c>
      <c r="O4" s="2" t="b">
        <v>1</v>
      </c>
    </row>
    <row r="5">
      <c r="A5" s="6" t="inlineStr">
        <is>
          <t>pavcor</t>
        </is>
      </c>
      <c r="B5" s="6" t="inlineStr">
        <is>
          <t>pavcor</t>
        </is>
      </c>
      <c r="C5" s="6" t="inlineStr">
        <is>
          <t>Chapecó</t>
        </is>
      </c>
      <c r="D5" s="6" t="inlineStr">
        <is>
          <t>SC</t>
        </is>
      </c>
      <c r="E5" s="6" t="inlineStr">
        <is>
          <t>medio-alto</t>
        </is>
      </c>
      <c r="F5" s="6" t="inlineStr">
        <is>
          <t>residencial_vertical_medio_alto</t>
        </is>
      </c>
      <c r="G5" s="6" t="n"/>
      <c r="H5" s="6" t="n">
        <v>14283.29</v>
      </c>
      <c r="I5" s="6" t="n"/>
      <c r="J5" s="6" t="n">
        <v>3455.81</v>
      </c>
      <c r="K5" s="6" t="n">
        <v>49360278.61</v>
      </c>
      <c r="L5" s="6" t="n">
        <v>-0.04782002343903113</v>
      </c>
      <c r="M5" s="6" t="n">
        <v>-0.06092119565217391</v>
      </c>
      <c r="N5" s="6" t="n">
        <v>51839292.6022</v>
      </c>
      <c r="O5" s="6" t="b">
        <v>1</v>
      </c>
    </row>
    <row r="6">
      <c r="A6" s="2" t="inlineStr">
        <is>
          <t>neuhaus-origem</t>
        </is>
      </c>
      <c r="B6" s="2" t="inlineStr">
        <is>
          <t>neuhaus</t>
        </is>
      </c>
      <c r="C6" s="2" t="inlineStr">
        <is>
          <t>Florianópolis</t>
        </is>
      </c>
      <c r="D6" s="2" t="inlineStr">
        <is>
          <t>SC</t>
        </is>
      </c>
      <c r="E6" s="2" t="inlineStr">
        <is>
          <t>alto</t>
        </is>
      </c>
      <c r="F6" s="2" t="inlineStr">
        <is>
          <t>residencial_vertical_alto</t>
        </is>
      </c>
      <c r="G6" s="2" t="n"/>
      <c r="H6" s="2" t="n">
        <v>14559.12</v>
      </c>
      <c r="I6" s="2" t="n"/>
      <c r="J6" s="2" t="n">
        <v>4642.46</v>
      </c>
      <c r="K6" s="2" t="n">
        <v>67590131.02</v>
      </c>
      <c r="L6" s="2" t="n">
        <v>-0.02943211680583868</v>
      </c>
      <c r="M6" s="2" t="n">
        <v>0.2615380434782608</v>
      </c>
      <c r="N6" s="2" t="n">
        <v>69639778.32520001</v>
      </c>
      <c r="O6" s="2" t="b">
        <v>1</v>
      </c>
    </row>
    <row r="7">
      <c r="A7" s="6" t="inlineStr">
        <is>
          <t>pass-e-connect</t>
        </is>
      </c>
      <c r="B7" s="6" t="inlineStr">
        <is>
          <t>pass</t>
        </is>
      </c>
      <c r="C7" s="6" t="inlineStr">
        <is>
          <t>Itajaí</t>
        </is>
      </c>
      <c r="D7" s="6" t="inlineStr">
        <is>
          <t>SC</t>
        </is>
      </c>
      <c r="E7" s="6" t="inlineStr">
        <is>
          <t>medio-alto</t>
        </is>
      </c>
      <c r="F7" s="6" t="inlineStr">
        <is>
          <t>residencial_vertical_medio_alto</t>
        </is>
      </c>
      <c r="G7" s="6" t="inlineStr">
        <is>
          <t>2025-03</t>
        </is>
      </c>
      <c r="H7" s="6" t="n">
        <v>13144.27</v>
      </c>
      <c r="I7" s="6" t="n">
        <v>156</v>
      </c>
      <c r="J7" s="6" t="n">
        <v>3709.52</v>
      </c>
      <c r="K7" s="6" t="n">
        <v>48758956.42</v>
      </c>
      <c r="L7" s="6" t="n">
        <v>-0.1237515516025338</v>
      </c>
      <c r="M7" s="6" t="n">
        <v>0.008021739130434691</v>
      </c>
      <c r="N7" s="6" t="n">
        <v>55645099.9024</v>
      </c>
      <c r="O7" s="6" t="b">
        <v>1</v>
      </c>
    </row>
    <row r="8">
      <c r="A8" s="2" t="inlineStr">
        <is>
          <t>nobria</t>
        </is>
      </c>
      <c r="B8" s="2" t="inlineStr">
        <is>
          <t>nobria</t>
        </is>
      </c>
      <c r="C8" s="2" t="inlineStr">
        <is>
          <t>Bombinhas</t>
        </is>
      </c>
      <c r="D8" s="2" t="inlineStr">
        <is>
          <t>SC</t>
        </is>
      </c>
      <c r="E8" s="2" t="inlineStr">
        <is>
          <t>alto</t>
        </is>
      </c>
      <c r="F8" s="2" t="inlineStr">
        <is>
          <t>residencial_vertical_alto</t>
        </is>
      </c>
      <c r="G8" s="2" t="inlineStr">
        <is>
          <t>2024-01</t>
        </is>
      </c>
      <c r="H8" s="2" t="n">
        <v>12879.93</v>
      </c>
      <c r="I8" s="2" t="n"/>
      <c r="J8" s="2" t="n">
        <v>3290.71</v>
      </c>
      <c r="K8" s="2" t="n">
        <v>42384127.48</v>
      </c>
      <c r="L8" s="2" t="n">
        <v>-0.141373489895751</v>
      </c>
      <c r="M8" s="2" t="n">
        <v>-0.1057853260869566</v>
      </c>
      <c r="N8" s="2" t="n">
        <v>49362690.24020001</v>
      </c>
      <c r="O8" s="2" t="b">
        <v>1</v>
      </c>
    </row>
    <row r="9">
      <c r="A9" s="6" t="inlineStr">
        <is>
          <t>mabrem-gran-torino</t>
        </is>
      </c>
      <c r="B9" s="6" t="inlineStr">
        <is>
          <t>mabrem</t>
        </is>
      </c>
      <c r="C9" s="6" t="inlineStr">
        <is>
          <t>Piçarras</t>
        </is>
      </c>
      <c r="D9" s="6" t="inlineStr">
        <is>
          <t>SC</t>
        </is>
      </c>
      <c r="E9" s="6" t="inlineStr">
        <is>
          <t>medio-alto</t>
        </is>
      </c>
      <c r="F9" s="6" t="inlineStr">
        <is>
          <t>residencial_vertical_alto</t>
        </is>
      </c>
      <c r="G9" s="6" t="inlineStr">
        <is>
          <t>2024-04</t>
        </is>
      </c>
      <c r="H9" s="6" t="n">
        <v>12518.96</v>
      </c>
      <c r="I9" s="6" t="n"/>
      <c r="J9" s="6" t="n">
        <v>2974.48</v>
      </c>
      <c r="K9" s="6" t="n">
        <v>37237429.53</v>
      </c>
      <c r="L9" s="6" t="n">
        <v>-0.1654371619306403</v>
      </c>
      <c r="M9" s="6" t="n">
        <v>-0.1917173913043478</v>
      </c>
      <c r="N9" s="6" t="n">
        <v>44619044.1776</v>
      </c>
      <c r="O9" s="6" t="b">
        <v>1</v>
      </c>
    </row>
    <row r="10">
      <c r="A10" s="2" t="inlineStr">
        <is>
          <t>cota-365</t>
        </is>
      </c>
      <c r="B10" s="2" t="inlineStr">
        <is>
          <t>cota</t>
        </is>
      </c>
      <c r="C10" s="2" t="inlineStr">
        <is>
          <t>Florianópolis</t>
        </is>
      </c>
      <c r="D10" s="2" t="inlineStr">
        <is>
          <t>SC</t>
        </is>
      </c>
      <c r="E10" s="2" t="inlineStr">
        <is>
          <t>medio-alto</t>
        </is>
      </c>
      <c r="F10" s="2" t="inlineStr">
        <is>
          <t>residencial_vertical_medio_alto</t>
        </is>
      </c>
      <c r="G10" s="2" t="inlineStr">
        <is>
          <t>2025-07</t>
        </is>
      </c>
      <c r="H10" s="2" t="n">
        <v>17505.56</v>
      </c>
      <c r="I10" s="2" t="n"/>
      <c r="J10" s="2" t="n">
        <v>3483.98</v>
      </c>
      <c r="K10" s="2" t="n">
        <v>60989058.06</v>
      </c>
      <c r="L10" s="2" t="n">
        <v>0.1669890977839583</v>
      </c>
      <c r="M10" s="2" t="n">
        <v>-0.05326630434782609</v>
      </c>
      <c r="N10" s="2" t="n">
        <v>52261860.0676</v>
      </c>
      <c r="O10" s="2" t="b">
        <v>1</v>
      </c>
    </row>
    <row r="11">
      <c r="A11" s="6" t="inlineStr">
        <is>
          <t>hacasa-brisa-da-armacao</t>
        </is>
      </c>
      <c r="B11" s="6" t="inlineStr">
        <is>
          <t>hacasa</t>
        </is>
      </c>
      <c r="C11" s="6" t="inlineStr">
        <is>
          <t>Florianópolis</t>
        </is>
      </c>
      <c r="D11" s="6" t="inlineStr">
        <is>
          <t>SC</t>
        </is>
      </c>
      <c r="E11" s="6" t="inlineStr">
        <is>
          <t>medio-alto</t>
        </is>
      </c>
      <c r="F11" s="6" t="inlineStr">
        <is>
          <t>residencial_misto</t>
        </is>
      </c>
      <c r="G11" s="6" t="inlineStr">
        <is>
          <t>2024-11</t>
        </is>
      </c>
      <c r="H11" s="6" t="n">
        <v>12828.33</v>
      </c>
      <c r="I11" s="6" t="n">
        <v>117</v>
      </c>
      <c r="J11" s="6" t="n">
        <v>3296.1</v>
      </c>
      <c r="K11" s="6" t="n">
        <v>42283515.5</v>
      </c>
      <c r="L11" s="6" t="n">
        <v>-0.1448133477149611</v>
      </c>
      <c r="M11" s="6" t="n">
        <v>-0.1043206521739131</v>
      </c>
      <c r="N11" s="6" t="n">
        <v>49443543.582</v>
      </c>
      <c r="O11" s="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2026-06-10T00:09:13Z</dcterms:created>
  <dcterms:modified xmlns:dcterms="http://purl.org/dc/terms/" xmlns:xsi="http://www.w3.org/2001/XMLSchema-instance" xsi:type="dcterms:W3CDTF">2026-06-10T01:05:04Z</dcterms:modified>
</cp:coreProperties>
</file>