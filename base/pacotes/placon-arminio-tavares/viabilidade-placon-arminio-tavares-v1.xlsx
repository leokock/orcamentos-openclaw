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FLUXO_CAIXA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CENARIOS" sheetId="5" state="visible" r:id="rId5"/>
    <sheet xmlns:r="http://schemas.openxmlformats.org/officeDocument/2006/relationships" name="TORNADO" sheetId="6" state="visible" r:id="rId6"/>
    <sheet xmlns:r="http://schemas.openxmlformats.org/officeDocument/2006/relationships" name="MONTE_CARL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0.0%"/>
    <numFmt numFmtId="166" formatCode="&quot;R$&quot;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C3E50"/>
      <sz val="12"/>
    </font>
    <font>
      <name val="Arial"/>
      <color rgb="00666666"/>
      <sz val="8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C25700"/>
      <sz val="9"/>
    </font>
    <font>
      <name val="Arial"/>
      <sz val="10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FE082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 wrapText="1"/>
    </xf>
    <xf numFmtId="164" fontId="6" fillId="13" borderId="1" applyAlignment="1" pivotButton="0" quotePrefix="0" xfId="0">
      <alignment horizontal="right" vertical="center"/>
    </xf>
    <xf numFmtId="0" fontId="4" fillId="14" borderId="0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164" fontId="6" fillId="1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4" fontId="5" fillId="12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5" fillId="12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5" fillId="1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right" vertical="center"/>
    </xf>
    <xf numFmtId="165" fontId="5" fillId="16" borderId="1" applyAlignment="1" pivotButton="0" quotePrefix="0" xfId="0">
      <alignment horizontal="right" vertical="center"/>
    </xf>
    <xf numFmtId="3" fontId="5" fillId="16" borderId="1" applyAlignment="1" pivotButton="0" quotePrefix="0" xfId="0">
      <alignment horizontal="right" vertical="center"/>
    </xf>
    <xf numFmtId="3" fontId="5" fillId="12" borderId="1" applyAlignment="1" pivotButton="0" quotePrefix="0" xfId="0">
      <alignment horizontal="right" vertical="center"/>
    </xf>
    <xf numFmtId="0" fontId="5" fillId="0" borderId="1" pivotButton="0" quotePrefix="0" xfId="0"/>
    <xf numFmtId="0" fontId="11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2" customHeight="1">
      <c r="A1" s="1" t="inlineStr">
        <is>
          <t>ESTUDO DE VIABILIDADE FINANCEIRA</t>
        </is>
      </c>
    </row>
    <row r="2">
      <c r="A2" s="2" t="inlineStr">
        <is>
          <t>Placon Armínio Tavares — Centro, Florianópolis/SC</t>
        </is>
      </c>
    </row>
    <row r="3">
      <c r="A3" s="3" t="inlineStr">
        <is>
          <t>Cliente: Placon Empreendimentos Imobiliários Ltda.  |  Gerado em: 2026-04-23</t>
        </is>
      </c>
    </row>
    <row r="5">
      <c r="A5" s="4" t="inlineStr">
        <is>
          <t>RESUMO EXECUTIVO — CENÁRIO BASE</t>
        </is>
      </c>
    </row>
    <row r="6">
      <c r="A6" s="5" t="inlineStr">
        <is>
          <t>VGV bruto (antes permuta)</t>
        </is>
      </c>
      <c r="D6" s="6" t="n">
        <v>31258543.785</v>
      </c>
    </row>
    <row r="7">
      <c r="A7" s="5" t="inlineStr">
        <is>
          <t>VGV líquido (pós-permuta)</t>
        </is>
      </c>
      <c r="D7" s="6" t="n">
        <v>31258543.785</v>
      </c>
    </row>
    <row r="8">
      <c r="A8" s="5" t="inlineStr">
        <is>
          <t>Custo de obra (paramétrico)</t>
        </is>
      </c>
      <c r="D8" s="6" t="n">
        <v>17347023.6777</v>
      </c>
    </row>
    <row r="9">
      <c r="A9" s="5" t="inlineStr">
        <is>
          <t>Receita total (horizonte)</t>
        </is>
      </c>
      <c r="D9" s="6" t="n">
        <v>29293093.49987123</v>
      </c>
    </row>
    <row r="10">
      <c r="A10" s="5" t="inlineStr">
        <is>
          <t>Despesa total (horizonte)</t>
        </is>
      </c>
      <c r="D10" s="6" t="n">
        <v>22548191.85863639</v>
      </c>
    </row>
    <row r="11">
      <c r="A11" s="5" t="inlineStr">
        <is>
          <t>Lucro líquido</t>
        </is>
      </c>
      <c r="D11" s="6" t="n">
        <v>6744901.641234837</v>
      </c>
    </row>
    <row r="12">
      <c r="A12" s="5" t="inlineStr">
        <is>
          <t>Margem líquida</t>
        </is>
      </c>
      <c r="D12" s="7" t="n">
        <v>0.2302556963218817</v>
      </c>
    </row>
    <row r="13">
      <c r="A13" s="5" t="inlineStr">
        <is>
          <t>VPL @ TMA</t>
        </is>
      </c>
      <c r="D13" s="6" t="n">
        <v>3495430.0663176</v>
      </c>
    </row>
    <row r="14">
      <c r="A14" s="5" t="inlineStr">
        <is>
          <t>TIR anual</t>
        </is>
      </c>
      <c r="D14" s="7" t="n">
        <v>0.4462893733185387</v>
      </c>
    </row>
    <row r="15">
      <c r="A15" s="5" t="inlineStr">
        <is>
          <t>Payback descontado (meses pós-início obra)</t>
        </is>
      </c>
      <c r="D15" s="8" t="n">
        <v>-1</v>
      </c>
    </row>
    <row r="16">
      <c r="A16" s="5" t="inlineStr">
        <is>
          <t>Exposição máxima (capital)</t>
        </is>
      </c>
      <c r="D16" s="6" t="n">
        <v>10614038.32718957</v>
      </c>
    </row>
    <row r="17">
      <c r="A17" s="5" t="inlineStr">
        <is>
          <t>ROI sobre capital</t>
        </is>
      </c>
      <c r="D17" s="7" t="n">
        <v>0.6354698780347049</v>
      </c>
    </row>
    <row r="19">
      <c r="A19" s="5" t="inlineStr">
        <is>
          <t>Monte Carlo — n iterações</t>
        </is>
      </c>
      <c r="D19" s="8" t="n">
        <v>10000</v>
      </c>
    </row>
    <row r="20">
      <c r="A20" s="5" t="inlineStr">
        <is>
          <t>P(VPL &gt; 0)</t>
        </is>
      </c>
      <c r="D20" s="7" t="n">
        <v>0.9277</v>
      </c>
    </row>
    <row r="21">
      <c r="A21" s="5" t="inlineStr">
        <is>
          <t>P(TIR &gt; TMA)</t>
        </is>
      </c>
      <c r="D21" s="7" t="n">
        <v>0.9277</v>
      </c>
    </row>
    <row r="22">
      <c r="A22" s="5" t="inlineStr">
        <is>
          <t>VPL mediana (MC)</t>
        </is>
      </c>
      <c r="D22" s="6" t="n">
        <v>3226824.974368696</v>
      </c>
    </row>
    <row r="23">
      <c r="A23" s="5" t="inlineStr">
        <is>
          <t>VPL P10 (MC)</t>
        </is>
      </c>
      <c r="D23" s="6" t="n">
        <v>368020.7969901581</v>
      </c>
    </row>
    <row r="24">
      <c r="A24" s="5" t="inlineStr">
        <is>
          <t>VPL P90 (MC)</t>
        </is>
      </c>
      <c r="D24" s="6" t="n">
        <v>6319604.357584033</v>
      </c>
    </row>
    <row r="27">
      <c r="A27" s="9" t="inlineStr">
        <is>
          <t>Fonte custo: parametrico-placon-arminio-tavares.xlsx CUSTOS_MACROGRUPO!D22</t>
        </is>
      </c>
    </row>
    <row r="28">
      <c r="A28" s="9" t="inlineStr">
        <is>
          <t>Fonte preço venda: referência Centro Florianópolis Médio-Alto abr/2026 — R$ 15,000/m² privativo</t>
        </is>
      </c>
    </row>
  </sheetData>
  <mergeCells count="42">
    <mergeCell ref="D11:F11"/>
    <mergeCell ref="D13:F13"/>
    <mergeCell ref="A27:F27"/>
    <mergeCell ref="D17:F17"/>
    <mergeCell ref="A21:C21"/>
    <mergeCell ref="D7:F7"/>
    <mergeCell ref="A12:C12"/>
    <mergeCell ref="A3:F3"/>
    <mergeCell ref="D16:F16"/>
    <mergeCell ref="A2:F2"/>
    <mergeCell ref="A23:C23"/>
    <mergeCell ref="A5:F5"/>
    <mergeCell ref="A8:C8"/>
    <mergeCell ref="A14:C14"/>
    <mergeCell ref="A22:C22"/>
    <mergeCell ref="D12:F12"/>
    <mergeCell ref="A17:C17"/>
    <mergeCell ref="D9:F9"/>
    <mergeCell ref="D8:F8"/>
    <mergeCell ref="D15:F15"/>
    <mergeCell ref="A20:C20"/>
    <mergeCell ref="D24:F24"/>
    <mergeCell ref="A10:C10"/>
    <mergeCell ref="A13:C13"/>
    <mergeCell ref="D14:F14"/>
    <mergeCell ref="A19:C19"/>
    <mergeCell ref="A28:F28"/>
    <mergeCell ref="D23:F23"/>
    <mergeCell ref="A9:C9"/>
    <mergeCell ref="A15:C15"/>
    <mergeCell ref="D20:F20"/>
    <mergeCell ref="A24:C24"/>
    <mergeCell ref="D10:F10"/>
    <mergeCell ref="D19:F19"/>
    <mergeCell ref="A11:C11"/>
    <mergeCell ref="A1:F1"/>
    <mergeCell ref="A6:C6"/>
    <mergeCell ref="D22:F22"/>
    <mergeCell ref="D21:F21"/>
    <mergeCell ref="A7:C7"/>
    <mergeCell ref="D6:F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1" t="inlineStr">
        <is>
          <t>PREMISSAS — editar valores e regerar via gerar_viabilidade_placon_arminio.py</t>
        </is>
      </c>
    </row>
    <row r="3">
      <c r="A3" s="4" t="inlineStr">
        <is>
          <t>PROJETO</t>
        </is>
      </c>
    </row>
    <row r="4">
      <c r="A4" s="10" t="inlineStr">
        <is>
          <t>Nome</t>
        </is>
      </c>
      <c r="B4" s="11" t="inlineStr">
        <is>
          <t>Placon Armínio Tavares</t>
        </is>
      </c>
      <c r="C4" s="12" t="n"/>
      <c r="D4" s="13" t="inlineStr"/>
    </row>
    <row r="5">
      <c r="A5" s="10" t="inlineStr">
        <is>
          <t>Cidade/Bairro</t>
        </is>
      </c>
      <c r="B5" s="11" t="inlineStr">
        <is>
          <t>Centro, Florianópolis/SC</t>
        </is>
      </c>
      <c r="C5" s="12" t="n"/>
      <c r="D5" s="13" t="inlineStr"/>
    </row>
    <row r="6">
      <c r="A6" s="10" t="inlineStr">
        <is>
          <t>Área construída (m²)</t>
        </is>
      </c>
      <c r="B6" s="14" t="n">
        <v>4077.29</v>
      </c>
      <c r="C6" s="12" t="n"/>
      <c r="D6" s="13" t="inlineStr">
        <is>
          <t>do paramétrico</t>
        </is>
      </c>
    </row>
    <row r="7">
      <c r="A7" s="10" t="inlineStr">
        <is>
          <t>% área privativa</t>
        </is>
      </c>
      <c r="B7" s="15" t="n">
        <v>0.5111</v>
      </c>
      <c r="C7" s="12" t="n"/>
      <c r="D7" s="13" t="inlineStr">
        <is>
          <t>AC que vira unidade vendável</t>
        </is>
      </c>
    </row>
    <row r="8">
      <c r="A8" s="10" t="inlineStr">
        <is>
          <t>Área privativa total (m²)</t>
        </is>
      </c>
      <c r="B8" s="14" t="n">
        <v>2083.902919</v>
      </c>
      <c r="C8" s="12" t="n"/>
      <c r="D8" s="13" t="inlineStr">
        <is>
          <t>AC × pct_priv</t>
        </is>
      </c>
    </row>
    <row r="9">
      <c r="A9" s="10" t="inlineStr">
        <is>
          <t>Unidades</t>
        </is>
      </c>
      <c r="B9" s="16" t="n">
        <v>55</v>
      </c>
      <c r="C9" s="12" t="n"/>
      <c r="D9" s="13" t="inlineStr"/>
    </row>
    <row r="10">
      <c r="A10" s="10" t="inlineStr">
        <is>
          <t>Permuta (% das unidades)</t>
        </is>
      </c>
      <c r="B10" s="15" t="n">
        <v>0</v>
      </c>
      <c r="C10" s="12" t="n"/>
      <c r="D10" s="13" t="inlineStr">
        <is>
          <t>terreno via permuta física</t>
        </is>
      </c>
    </row>
    <row r="11">
      <c r="A11" s="10" t="inlineStr">
        <is>
          <t>Prazo obra (meses)</t>
        </is>
      </c>
      <c r="B11" s="16" t="n">
        <v>24</v>
      </c>
      <c r="C11" s="12" t="n"/>
      <c r="D11" s="13" t="inlineStr"/>
    </row>
    <row r="12">
      <c r="A12" s="10" t="inlineStr">
        <is>
          <t>Prazo pré-lançamento (meses)</t>
        </is>
      </c>
      <c r="B12" s="16" t="n">
        <v>3</v>
      </c>
      <c r="C12" s="12" t="n"/>
      <c r="D12" s="13" t="inlineStr">
        <is>
          <t>meses -3 a 0</t>
        </is>
      </c>
    </row>
    <row r="13">
      <c r="A13" s="10" t="inlineStr">
        <is>
          <t>Prazo pós-obra (meses)</t>
        </is>
      </c>
      <c r="B13" s="16" t="n">
        <v>12</v>
      </c>
      <c r="C13" s="12" t="n"/>
      <c r="D13" s="13" t="inlineStr">
        <is>
          <t>cauda de recebimento</t>
        </is>
      </c>
    </row>
    <row r="15">
      <c r="A15" s="4" t="inlineStr">
        <is>
          <t>CUSTO</t>
        </is>
      </c>
    </row>
    <row r="16">
      <c r="A16" s="10" t="inlineStr">
        <is>
          <t>Custo de obra total (R$)</t>
        </is>
      </c>
      <c r="B16" s="17" t="n">
        <v>17347023.6777</v>
      </c>
      <c r="C16" s="12" t="n"/>
      <c r="D16" s="13" t="inlineStr">
        <is>
          <t>paramétrico V2</t>
        </is>
      </c>
    </row>
    <row r="17">
      <c r="A17" s="10" t="inlineStr">
        <is>
          <t>Contingência (%)</t>
        </is>
      </c>
      <c r="B17" s="15" t="n">
        <v>0.05</v>
      </c>
      <c r="C17" s="12" t="n"/>
      <c r="D17" s="13" t="inlineStr">
        <is>
          <t>sobre custo obra</t>
        </is>
      </c>
    </row>
    <row r="19">
      <c r="A19" s="4" t="inlineStr">
        <is>
          <t>RECEITA</t>
        </is>
      </c>
    </row>
    <row r="20">
      <c r="A20" s="10" t="inlineStr">
        <is>
          <t>VGV R$/m² privativo</t>
        </is>
      </c>
      <c r="B20" s="18" t="n">
        <v>15000</v>
      </c>
      <c r="C20" s="12" t="n"/>
      <c r="D20" s="13" t="inlineStr">
        <is>
          <t>Centro Florianópolis médio pesquisa 2026</t>
        </is>
      </c>
    </row>
    <row r="21">
      <c r="A21" s="10" t="inlineStr">
        <is>
          <t>VGV bruto (R$)</t>
        </is>
      </c>
      <c r="B21" s="17" t="n">
        <v>31258543.785</v>
      </c>
      <c r="C21" s="12" t="n"/>
      <c r="D21" s="13" t="inlineStr">
        <is>
          <t>área_priv × R$/m²</t>
        </is>
      </c>
    </row>
    <row r="22">
      <c r="A22" s="10" t="inlineStr">
        <is>
          <t>VGV líquido permuta (R$)</t>
        </is>
      </c>
      <c r="B22" s="17" t="n">
        <v>31258543.785</v>
      </c>
      <c r="C22" s="12" t="n"/>
      <c r="D22" s="13" t="inlineStr">
        <is>
          <t>após 0% de permuta</t>
        </is>
      </c>
    </row>
    <row r="23">
      <c r="A23" s="10" t="inlineStr">
        <is>
          <t>Entrada (% no ato)</t>
        </is>
      </c>
      <c r="B23" s="15" t="n">
        <v>0.2</v>
      </c>
      <c r="C23" s="12" t="n"/>
      <c r="D23" s="13" t="inlineStr"/>
    </row>
    <row r="24">
      <c r="A24" s="10" t="inlineStr">
        <is>
          <t>Obra (% parcelado CUB)</t>
        </is>
      </c>
      <c r="B24" s="15" t="n">
        <v>0.4</v>
      </c>
      <c r="C24" s="12" t="n"/>
      <c r="D24" s="13" t="inlineStr">
        <is>
          <t>durante obra</t>
        </is>
      </c>
    </row>
    <row r="25">
      <c r="A25" s="10" t="inlineStr">
        <is>
          <t>Repasse/chave (%)</t>
        </is>
      </c>
      <c r="B25" s="15" t="n">
        <v>0.4</v>
      </c>
      <c r="C25" s="12" t="n"/>
      <c r="D25" s="13" t="inlineStr">
        <is>
          <t>mês de entrega +2</t>
        </is>
      </c>
    </row>
    <row r="26">
      <c r="A26" s="10" t="inlineStr">
        <is>
          <t>Inadimplência (%)</t>
        </is>
      </c>
      <c r="B26" s="15" t="n">
        <v>0.03</v>
      </c>
      <c r="C26" s="12" t="n"/>
      <c r="D26" s="13" t="inlineStr">
        <is>
          <t>sobre recebido</t>
        </is>
      </c>
    </row>
    <row r="28">
      <c r="A28" s="4" t="inlineStr">
        <is>
          <t>FINANCEIRAS</t>
        </is>
      </c>
    </row>
    <row r="29">
      <c r="A29" s="10" t="inlineStr">
        <is>
          <t>CUB/SC (a.a.)</t>
        </is>
      </c>
      <c r="B29" s="15" t="n">
        <v>0.07000000000000001</v>
      </c>
      <c r="C29" s="12" t="n"/>
      <c r="D29" s="13" t="inlineStr">
        <is>
          <t>indexador parcelas obra</t>
        </is>
      </c>
    </row>
    <row r="30">
      <c r="A30" s="10" t="inlineStr">
        <is>
          <t>TMA (a.a.)</t>
        </is>
      </c>
      <c r="B30" s="15" t="n">
        <v>0.14</v>
      </c>
      <c r="C30" s="12" t="n"/>
      <c r="D30" s="13" t="inlineStr">
        <is>
          <t>custo de capital — desconto VPL</t>
        </is>
      </c>
    </row>
    <row r="32">
      <c r="A32" s="4" t="inlineStr">
        <is>
          <t>COMERCIAL / IMPOSTOS / ADMIN</t>
        </is>
      </c>
    </row>
    <row r="33">
      <c r="A33" s="10" t="inlineStr">
        <is>
          <t>Corretagem (% VGV)</t>
        </is>
      </c>
      <c r="B33" s="15" t="n">
        <v>0.05</v>
      </c>
      <c r="C33" s="12" t="n"/>
      <c r="D33" s="13" t="inlineStr">
        <is>
          <t>paga no mês da venda</t>
        </is>
      </c>
    </row>
    <row r="34">
      <c r="A34" s="10" t="inlineStr">
        <is>
          <t>Marketing (% VGV)</t>
        </is>
      </c>
      <c r="B34" s="15" t="n">
        <v>0.03</v>
      </c>
      <c r="C34" s="12" t="n"/>
      <c r="D34" s="13" t="inlineStr">
        <is>
          <t>stand, material, digital</t>
        </is>
      </c>
    </row>
    <row r="35">
      <c r="A35" s="10" t="inlineStr">
        <is>
          <t>Marketing front-load (% no pré-lanç)</t>
        </is>
      </c>
      <c r="B35" s="15" t="n">
        <v>0</v>
      </c>
      <c r="C35" s="12" t="n"/>
      <c r="D35" s="13" t="inlineStr"/>
    </row>
    <row r="36">
      <c r="A36" s="10" t="inlineStr">
        <is>
          <t>RET (% receita)</t>
        </is>
      </c>
      <c r="B36" s="15" t="n">
        <v>0.04</v>
      </c>
      <c r="C36" s="12" t="n"/>
      <c r="D36" s="13" t="inlineStr">
        <is>
          <t>Regime Especial de Tributação</t>
        </is>
      </c>
    </row>
    <row r="37">
      <c r="A37" s="10" t="inlineStr">
        <is>
          <t>Admin incorporadora (% VGV)</t>
        </is>
      </c>
      <c r="B37" s="15" t="n">
        <v>0.02</v>
      </c>
      <c r="C37" s="12" t="n"/>
      <c r="D37" s="13" t="inlineStr">
        <is>
          <t>equipe, jurídico, contábil</t>
        </is>
      </c>
    </row>
    <row r="39">
      <c r="A39" s="4" t="inlineStr">
        <is>
          <t>CURVA DE VENDAS (logística)</t>
        </is>
      </c>
    </row>
    <row r="40">
      <c r="A40" s="10" t="inlineStr">
        <is>
          <t>t_início (mês — pré-lanç)</t>
        </is>
      </c>
      <c r="B40" s="16" t="n">
        <v>-2</v>
      </c>
      <c r="C40" s="12" t="n"/>
      <c r="D40" s="13" t="inlineStr">
        <is>
          <t>vendas começam em t_início</t>
        </is>
      </c>
    </row>
    <row r="41">
      <c r="A41" s="10" t="inlineStr">
        <is>
          <t>t50 (mês da inflexão)</t>
        </is>
      </c>
      <c r="B41" s="16" t="n">
        <v>12</v>
      </c>
      <c r="C41" s="12" t="n"/>
      <c r="D41" s="13" t="inlineStr">
        <is>
          <t>50% vendido neste mês</t>
        </is>
      </c>
    </row>
    <row r="42">
      <c r="A42" s="10" t="inlineStr">
        <is>
          <t>k (inclinação)</t>
        </is>
      </c>
      <c r="B42" s="14" t="n">
        <v>0.18</v>
      </c>
      <c r="C42" s="12" t="n"/>
      <c r="D42" s="13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</cols>
  <sheetData>
    <row r="1" ht="30" customHeight="1">
      <c r="A1" s="1" t="inlineStr">
        <is>
          <t>FLUXO DE CAIXA MENSAL — 40 meses (3 pré-lançamento + 24 obra + 12 pós-obra)</t>
        </is>
      </c>
    </row>
    <row r="2" ht="20" customHeight="1">
      <c r="A2" s="19" t="inlineStr">
        <is>
          <t>COMO LER:  cada coluna é 1 mês do projeto. Colunas B–E são subtotais por fase (TOTAL / PRÉ-LANÇ / OBRA / PÓS-OBRA). Os blocos VERDE = ENTRADAS de caixa (vendas).  VERMELHO = SAÍDAS (custos).  CINZA = RESULTADO (entradas − saídas).
O 'Saldo mensal' fica verde quando positivo, vermelho quando negativo. O 'Saldo acumulado' é o 'caixa do projeto' ao longo do tempo — o ponto mais negativo dele é a EXPOSIÇÃO MÁXIMA (capital que a incorporadora precisa ter disponível). O mês em que o acumulado volta a zero é o BREAK-EVEN de caixa.</t>
        </is>
      </c>
    </row>
    <row r="3" ht="20" customHeight="1"/>
    <row r="4" ht="20" customHeight="1"/>
    <row r="6" ht="6" customHeight="1"/>
    <row r="7">
      <c r="A7" s="20" t="inlineStr">
        <is>
          <t>Linha  /  Mês do projeto →</t>
        </is>
      </c>
      <c r="B7" s="21" t="inlineStr">
        <is>
          <t>TOTAL</t>
        </is>
      </c>
      <c r="C7" s="21" t="inlineStr">
        <is>
          <t>PRÉ-LANÇ</t>
        </is>
      </c>
      <c r="D7" s="21" t="inlineStr">
        <is>
          <t>OBRA</t>
        </is>
      </c>
      <c r="E7" s="21" t="inlineStr">
        <is>
          <t>PÓS-OBRA</t>
        </is>
      </c>
      <c r="F7" s="22" t="n">
        <v>-3</v>
      </c>
      <c r="G7" s="22" t="n">
        <v>-2</v>
      </c>
      <c r="H7" s="22" t="n">
        <v>-1</v>
      </c>
      <c r="I7" s="22" t="n">
        <v>0</v>
      </c>
      <c r="J7" s="22" t="n">
        <v>1</v>
      </c>
      <c r="K7" s="22" t="n">
        <v>2</v>
      </c>
      <c r="L7" s="22" t="n">
        <v>3</v>
      </c>
      <c r="M7" s="22" t="n">
        <v>4</v>
      </c>
      <c r="N7" s="22" t="n">
        <v>5</v>
      </c>
      <c r="O7" s="22" t="n">
        <v>6</v>
      </c>
      <c r="P7" s="22" t="n">
        <v>7</v>
      </c>
      <c r="Q7" s="22" t="n">
        <v>8</v>
      </c>
      <c r="R7" s="22" t="n">
        <v>9</v>
      </c>
      <c r="S7" s="22" t="n">
        <v>10</v>
      </c>
      <c r="T7" s="22" t="n">
        <v>11</v>
      </c>
      <c r="U7" s="22" t="n">
        <v>12</v>
      </c>
      <c r="V7" s="22" t="n">
        <v>13</v>
      </c>
      <c r="W7" s="22" t="n">
        <v>14</v>
      </c>
      <c r="X7" s="22" t="n">
        <v>15</v>
      </c>
      <c r="Y7" s="22" t="n">
        <v>16</v>
      </c>
      <c r="Z7" s="22" t="n">
        <v>17</v>
      </c>
      <c r="AA7" s="22" t="n">
        <v>18</v>
      </c>
      <c r="AB7" s="22" t="n">
        <v>19</v>
      </c>
      <c r="AC7" s="22" t="n">
        <v>20</v>
      </c>
      <c r="AD7" s="22" t="n">
        <v>21</v>
      </c>
      <c r="AE7" s="22" t="n">
        <v>22</v>
      </c>
      <c r="AF7" s="22" t="n">
        <v>23</v>
      </c>
      <c r="AG7" s="22" t="n">
        <v>24</v>
      </c>
      <c r="AH7" s="22" t="n">
        <v>25</v>
      </c>
      <c r="AI7" s="22" t="n">
        <v>26</v>
      </c>
      <c r="AJ7" s="22" t="n">
        <v>27</v>
      </c>
      <c r="AK7" s="22" t="n">
        <v>28</v>
      </c>
      <c r="AL7" s="22" t="n">
        <v>29</v>
      </c>
      <c r="AM7" s="22" t="n">
        <v>30</v>
      </c>
      <c r="AN7" s="22" t="n">
        <v>31</v>
      </c>
      <c r="AO7" s="22" t="n">
        <v>32</v>
      </c>
      <c r="AP7" s="22" t="n">
        <v>33</v>
      </c>
      <c r="AQ7" s="22" t="n">
        <v>34</v>
      </c>
      <c r="AR7" s="22" t="n">
        <v>35</v>
      </c>
      <c r="AS7" s="22" t="n">
        <v>36</v>
      </c>
    </row>
    <row r="8">
      <c r="A8" s="13" t="inlineStr">
        <is>
          <t>Fase do projeto</t>
        </is>
      </c>
      <c r="B8" s="12" t="n"/>
      <c r="C8" s="12" t="n"/>
      <c r="D8" s="12" t="n"/>
      <c r="E8" s="12" t="n"/>
      <c r="F8" s="23" t="inlineStr">
        <is>
          <t>Pré 1</t>
        </is>
      </c>
      <c r="G8" s="23" t="inlineStr">
        <is>
          <t>Pré 2</t>
        </is>
      </c>
      <c r="H8" s="23" t="inlineStr">
        <is>
          <t>Pré 3</t>
        </is>
      </c>
      <c r="I8" s="24" t="inlineStr">
        <is>
          <t>Obra 1</t>
        </is>
      </c>
      <c r="J8" s="24" t="inlineStr">
        <is>
          <t>Obra 2</t>
        </is>
      </c>
      <c r="K8" s="24" t="inlineStr">
        <is>
          <t>Obra 3</t>
        </is>
      </c>
      <c r="L8" s="24" t="inlineStr">
        <is>
          <t>Obra 4</t>
        </is>
      </c>
      <c r="M8" s="24" t="inlineStr">
        <is>
          <t>Obra 5</t>
        </is>
      </c>
      <c r="N8" s="24" t="inlineStr">
        <is>
          <t>Obra 6</t>
        </is>
      </c>
      <c r="O8" s="24" t="inlineStr">
        <is>
          <t>Obra 7</t>
        </is>
      </c>
      <c r="P8" s="24" t="inlineStr">
        <is>
          <t>Obra 8</t>
        </is>
      </c>
      <c r="Q8" s="24" t="inlineStr">
        <is>
          <t>Obra 9</t>
        </is>
      </c>
      <c r="R8" s="24" t="inlineStr">
        <is>
          <t>Obra 10</t>
        </is>
      </c>
      <c r="S8" s="24" t="inlineStr">
        <is>
          <t>Obra 11</t>
        </is>
      </c>
      <c r="T8" s="24" t="inlineStr">
        <is>
          <t>Obra 12</t>
        </is>
      </c>
      <c r="U8" s="24" t="inlineStr">
        <is>
          <t>Obra 13</t>
        </is>
      </c>
      <c r="V8" s="24" t="inlineStr">
        <is>
          <t>Obra 14</t>
        </is>
      </c>
      <c r="W8" s="24" t="inlineStr">
        <is>
          <t>Obra 15</t>
        </is>
      </c>
      <c r="X8" s="24" t="inlineStr">
        <is>
          <t>Obra 16</t>
        </is>
      </c>
      <c r="Y8" s="24" t="inlineStr">
        <is>
          <t>Obra 17</t>
        </is>
      </c>
      <c r="Z8" s="24" t="inlineStr">
        <is>
          <t>Obra 18</t>
        </is>
      </c>
      <c r="AA8" s="24" t="inlineStr">
        <is>
          <t>Obra 19</t>
        </is>
      </c>
      <c r="AB8" s="24" t="inlineStr">
        <is>
          <t>Obra 20</t>
        </is>
      </c>
      <c r="AC8" s="24" t="inlineStr">
        <is>
          <t>Obra 21</t>
        </is>
      </c>
      <c r="AD8" s="24" t="inlineStr">
        <is>
          <t>Obra 22</t>
        </is>
      </c>
      <c r="AE8" s="24" t="inlineStr">
        <is>
          <t>Obra 23</t>
        </is>
      </c>
      <c r="AF8" s="24" t="inlineStr">
        <is>
          <t>Obra 24</t>
        </is>
      </c>
      <c r="AG8" s="24" t="inlineStr">
        <is>
          <t>Entrega</t>
        </is>
      </c>
      <c r="AH8" s="25" t="inlineStr">
        <is>
          <t>Pós 1</t>
        </is>
      </c>
      <c r="AI8" s="25" t="inlineStr">
        <is>
          <t>Pós 2</t>
        </is>
      </c>
      <c r="AJ8" s="25" t="inlineStr">
        <is>
          <t>Pós 3</t>
        </is>
      </c>
      <c r="AK8" s="25" t="inlineStr">
        <is>
          <t>Pós 4</t>
        </is>
      </c>
      <c r="AL8" s="25" t="inlineStr">
        <is>
          <t>Pós 5</t>
        </is>
      </c>
      <c r="AM8" s="25" t="inlineStr">
        <is>
          <t>Pós 6</t>
        </is>
      </c>
      <c r="AN8" s="25" t="inlineStr">
        <is>
          <t>Pós 7</t>
        </is>
      </c>
      <c r="AO8" s="25" t="inlineStr">
        <is>
          <t>Pós 8</t>
        </is>
      </c>
      <c r="AP8" s="25" t="inlineStr">
        <is>
          <t>Pós 9</t>
        </is>
      </c>
      <c r="AQ8" s="25" t="inlineStr">
        <is>
          <t>Pós 10</t>
        </is>
      </c>
      <c r="AR8" s="25" t="inlineStr">
        <is>
          <t>Pós 11</t>
        </is>
      </c>
      <c r="AS8" s="25" t="inlineStr">
        <is>
          <t>Pós 12</t>
        </is>
      </c>
    </row>
    <row r="9">
      <c r="A9" s="26" t="inlineStr">
        <is>
          <t xml:space="preserve">   ▲  ENTRADAS DE CAIXA   (recebimentos das vendas)</t>
        </is>
      </c>
    </row>
    <row r="10">
      <c r="A10" s="10" t="inlineStr">
        <is>
          <t>% do VGV vendido (acumulado)</t>
        </is>
      </c>
      <c r="B10" s="27" t="n">
        <v>23.31093954562443</v>
      </c>
      <c r="C10" s="27" t="n">
        <v>0.01468201529803057</v>
      </c>
      <c r="D10" s="28" t="n">
        <v>11.65960414945468</v>
      </c>
      <c r="E10" s="27" t="n">
        <v>11.63665338087172</v>
      </c>
      <c r="F10" s="29" t="n">
        <v>0</v>
      </c>
      <c r="G10" s="29" t="n">
        <v>0</v>
      </c>
      <c r="H10" s="29" t="n">
        <v>0.01468201529803057</v>
      </c>
      <c r="I10" s="29" t="n">
        <v>0.03171009719120018</v>
      </c>
      <c r="J10" s="29" t="n">
        <v>0.05134869225712863</v>
      </c>
      <c r="K10" s="29" t="n">
        <v>0.07385206294417902</v>
      </c>
      <c r="L10" s="29" t="n">
        <v>0.0994478902829735</v>
      </c>
      <c r="M10" s="29" t="n">
        <v>0.1283171185747171</v>
      </c>
      <c r="N10" s="29" t="n">
        <v>0.1605708739247811</v>
      </c>
      <c r="O10" s="29" t="n">
        <v>0.1962261613539984</v>
      </c>
      <c r="P10" s="29" t="n">
        <v>0.2351829985745664</v>
      </c>
      <c r="Q10" s="29" t="n">
        <v>0.2772064559028816</v>
      </c>
      <c r="R10" s="29" t="n">
        <v>0.3219174358856546</v>
      </c>
      <c r="S10" s="29" t="n">
        <v>0.3687956339156878</v>
      </c>
      <c r="T10" s="29" t="n">
        <v>0.4171967908981983</v>
      </c>
      <c r="U10" s="29" t="n">
        <v>0.4663841659781872</v>
      </c>
      <c r="V10" s="29" t="n">
        <v>0.515571541058176</v>
      </c>
      <c r="W10" s="29" t="n">
        <v>0.5639726980406865</v>
      </c>
      <c r="X10" s="29" t="n">
        <v>0.6108508960707197</v>
      </c>
      <c r="Y10" s="29" t="n">
        <v>0.6555618760534927</v>
      </c>
      <c r="Z10" s="29" t="n">
        <v>0.6975853333818078</v>
      </c>
      <c r="AA10" s="29" t="n">
        <v>0.7365421706023759</v>
      </c>
      <c r="AB10" s="29" t="n">
        <v>0.7721974580315933</v>
      </c>
      <c r="AC10" s="29" t="n">
        <v>0.8044512133816574</v>
      </c>
      <c r="AD10" s="29" t="n">
        <v>0.833320441673401</v>
      </c>
      <c r="AE10" s="29" t="n">
        <v>0.8589162690121955</v>
      </c>
      <c r="AF10" s="29" t="n">
        <v>0.8814196396992456</v>
      </c>
      <c r="AG10" s="29" t="n">
        <v>0.9010582347651741</v>
      </c>
      <c r="AH10" s="29" t="n">
        <v>0.9180863166583437</v>
      </c>
      <c r="AI10" s="29" t="n">
        <v>0.9327683319563743</v>
      </c>
      <c r="AJ10" s="29" t="n">
        <v>0.9453664295473285</v>
      </c>
      <c r="AK10" s="29" t="n">
        <v>0.9561316061577561</v>
      </c>
      <c r="AL10" s="29" t="n">
        <v>0.9652979494274122</v>
      </c>
      <c r="AM10" s="29" t="n">
        <v>0.9730793612223758</v>
      </c>
      <c r="AN10" s="29" t="n">
        <v>0.979668157522402</v>
      </c>
      <c r="AO10" s="29" t="n">
        <v>0.9852350112062007</v>
      </c>
      <c r="AP10" s="29" t="n">
        <v>0.9899297977597065</v>
      </c>
      <c r="AQ10" s="29" t="n">
        <v>0.9938830004273309</v>
      </c>
      <c r="AR10" s="29" t="n">
        <v>0.9972074189864834</v>
      </c>
      <c r="AS10" s="29" t="n">
        <v>0.9999999999999999</v>
      </c>
    </row>
    <row r="11">
      <c r="A11" s="10" t="inlineStr">
        <is>
          <t>VGV contratado no mês</t>
        </is>
      </c>
      <c r="B11" s="30" t="n">
        <v>31258543.785</v>
      </c>
      <c r="C11" s="30" t="n">
        <v>458938.4180455284</v>
      </c>
      <c r="D11" s="31" t="n">
        <v>27706829.86619648</v>
      </c>
      <c r="E11" s="30" t="n">
        <v>3092775.500757993</v>
      </c>
      <c r="F11" s="32" t="n">
        <v>0</v>
      </c>
      <c r="G11" s="32" t="n">
        <v>0</v>
      </c>
      <c r="H11" s="32" t="n">
        <v>458938.4180455284</v>
      </c>
      <c r="I11" s="32" t="n">
        <v>532273.043432208</v>
      </c>
      <c r="J11" s="32" t="n">
        <v>613873.8837442094</v>
      </c>
      <c r="K11" s="32" t="n">
        <v>703422.5979312502</v>
      </c>
      <c r="L11" s="32" t="n">
        <v>800088.2895830075</v>
      </c>
      <c r="M11" s="32" t="n">
        <v>902410.0365966287</v>
      </c>
      <c r="N11" s="32" t="n">
        <v>1008205.423840653</v>
      </c>
      <c r="O11" s="32" t="n">
        <v>1114532.363272949</v>
      </c>
      <c r="P11" s="32" t="n">
        <v>1217734.001984244</v>
      </c>
      <c r="Q11" s="32" t="n">
        <v>1313592.08089422</v>
      </c>
      <c r="R11" s="32" t="n">
        <v>1397600.125461766</v>
      </c>
      <c r="S11" s="32" t="n">
        <v>1465344.205683696</v>
      </c>
      <c r="T11" s="32" t="n">
        <v>1512949.684782462</v>
      </c>
      <c r="U11" s="32" t="n">
        <v>1537525.71760705</v>
      </c>
      <c r="V11" s="32" t="n">
        <v>1537525.717607051</v>
      </c>
      <c r="W11" s="32" t="n">
        <v>1512949.684782461</v>
      </c>
      <c r="X11" s="32" t="n">
        <v>1465344.205683696</v>
      </c>
      <c r="Y11" s="32" t="n">
        <v>1397600.125461766</v>
      </c>
      <c r="Z11" s="32" t="n">
        <v>1313592.080894219</v>
      </c>
      <c r="AA11" s="32" t="n">
        <v>1217734.001984245</v>
      </c>
      <c r="AB11" s="32" t="n">
        <v>1114532.363272951</v>
      </c>
      <c r="AC11" s="32" t="n">
        <v>1008205.423840653</v>
      </c>
      <c r="AD11" s="32" t="n">
        <v>902410.0365966301</v>
      </c>
      <c r="AE11" s="32" t="n">
        <v>800088.2895830092</v>
      </c>
      <c r="AF11" s="32" t="n">
        <v>703422.5979312417</v>
      </c>
      <c r="AG11" s="32" t="n">
        <v>613873.8837442112</v>
      </c>
      <c r="AH11" s="32" t="n">
        <v>532273.0434322095</v>
      </c>
      <c r="AI11" s="32" t="n">
        <v>458938.4180455281</v>
      </c>
      <c r="AJ11" s="32" t="n">
        <v>393798.1851545458</v>
      </c>
      <c r="AK11" s="32" t="n">
        <v>336503.7444303085</v>
      </c>
      <c r="AL11" s="32" t="n">
        <v>286526.5424428859</v>
      </c>
      <c r="AM11" s="32" t="n">
        <v>243235.6013019848</v>
      </c>
      <c r="AN11" s="32" t="n">
        <v>205956.1776348141</v>
      </c>
      <c r="AO11" s="32" t="n">
        <v>174011.7396197126</v>
      </c>
      <c r="AP11" s="32" t="n">
        <v>146752.1910439871</v>
      </c>
      <c r="AQ11" s="32" t="n">
        <v>123571.358676916</v>
      </c>
      <c r="AR11" s="32" t="n">
        <v>103916.4830909334</v>
      </c>
      <c r="AS11" s="32" t="n">
        <v>87292.01588416763</v>
      </c>
    </row>
    <row r="12">
      <c r="A12" s="10" t="inlineStr">
        <is>
          <t xml:space="preserve">  Entrada (20% no ato)</t>
        </is>
      </c>
      <c r="B12" s="30" t="n">
        <v>6251708.757000001</v>
      </c>
      <c r="C12" s="30" t="n">
        <v>91787.68360910569</v>
      </c>
      <c r="D12" s="31" t="n">
        <v>5541365.973239297</v>
      </c>
      <c r="E12" s="30" t="n">
        <v>618555.1001515986</v>
      </c>
      <c r="F12" s="32" t="n">
        <v>0</v>
      </c>
      <c r="G12" s="32" t="n">
        <v>0</v>
      </c>
      <c r="H12" s="32" t="n">
        <v>91787.68360910569</v>
      </c>
      <c r="I12" s="32" t="n">
        <v>106454.6086864416</v>
      </c>
      <c r="J12" s="32" t="n">
        <v>122774.7767488419</v>
      </c>
      <c r="K12" s="32" t="n">
        <v>140684.51958625</v>
      </c>
      <c r="L12" s="32" t="n">
        <v>160017.6579166015</v>
      </c>
      <c r="M12" s="32" t="n">
        <v>180482.0073193258</v>
      </c>
      <c r="N12" s="32" t="n">
        <v>201641.0847681306</v>
      </c>
      <c r="O12" s="32" t="n">
        <v>222906.4726545898</v>
      </c>
      <c r="P12" s="32" t="n">
        <v>243546.8003968488</v>
      </c>
      <c r="Q12" s="32" t="n">
        <v>262718.4161788441</v>
      </c>
      <c r="R12" s="32" t="n">
        <v>279520.0250923533</v>
      </c>
      <c r="S12" s="32" t="n">
        <v>293068.8411367391</v>
      </c>
      <c r="T12" s="32" t="n">
        <v>302589.9369564924</v>
      </c>
      <c r="U12" s="32" t="n">
        <v>307505.1435214099</v>
      </c>
      <c r="V12" s="32" t="n">
        <v>307505.1435214103</v>
      </c>
      <c r="W12" s="32" t="n">
        <v>302589.9369564921</v>
      </c>
      <c r="X12" s="32" t="n">
        <v>293068.8411367391</v>
      </c>
      <c r="Y12" s="32" t="n">
        <v>279520.0250923533</v>
      </c>
      <c r="Z12" s="32" t="n">
        <v>262718.4161788439</v>
      </c>
      <c r="AA12" s="32" t="n">
        <v>243546.8003968489</v>
      </c>
      <c r="AB12" s="32" t="n">
        <v>222906.4726545903</v>
      </c>
      <c r="AC12" s="32" t="n">
        <v>201641.0847681306</v>
      </c>
      <c r="AD12" s="32" t="n">
        <v>180482.007319326</v>
      </c>
      <c r="AE12" s="32" t="n">
        <v>160017.6579166019</v>
      </c>
      <c r="AF12" s="32" t="n">
        <v>140684.5195862484</v>
      </c>
      <c r="AG12" s="32" t="n">
        <v>122774.7767488422</v>
      </c>
      <c r="AH12" s="32" t="n">
        <v>106454.6086864419</v>
      </c>
      <c r="AI12" s="32" t="n">
        <v>91787.68360910562</v>
      </c>
      <c r="AJ12" s="32" t="n">
        <v>78759.63703090916</v>
      </c>
      <c r="AK12" s="32" t="n">
        <v>67300.7488860617</v>
      </c>
      <c r="AL12" s="32" t="n">
        <v>57305.30848857719</v>
      </c>
      <c r="AM12" s="32" t="n">
        <v>48647.12026039697</v>
      </c>
      <c r="AN12" s="32" t="n">
        <v>41191.23552696282</v>
      </c>
      <c r="AO12" s="32" t="n">
        <v>34802.34792394253</v>
      </c>
      <c r="AP12" s="32" t="n">
        <v>29350.43820879742</v>
      </c>
      <c r="AQ12" s="32" t="n">
        <v>24714.2717353832</v>
      </c>
      <c r="AR12" s="32" t="n">
        <v>20783.29661818668</v>
      </c>
      <c r="AS12" s="32" t="n">
        <v>17458.40317683353</v>
      </c>
    </row>
    <row r="13">
      <c r="A13" s="10" t="inlineStr">
        <is>
          <t xml:space="preserve">  Parcelas obra (40% corrigido CUB)</t>
        </is>
      </c>
      <c r="B13" s="30" t="n">
        <v>11443939.19278477</v>
      </c>
      <c r="C13" s="30" t="n">
        <v>0</v>
      </c>
      <c r="D13" s="31" t="n">
        <v>11443939.19278477</v>
      </c>
      <c r="E13" s="30" t="n">
        <v>0</v>
      </c>
      <c r="F13" s="32" t="n">
        <v>0</v>
      </c>
      <c r="G13" s="32" t="n">
        <v>0</v>
      </c>
      <c r="H13" s="32" t="n">
        <v>0</v>
      </c>
      <c r="I13" s="32" t="n">
        <v>7384.533161360378</v>
      </c>
      <c r="J13" s="32" t="n">
        <v>16347.662928899</v>
      </c>
      <c r="K13" s="32" t="n">
        <v>27176.52657327686</v>
      </c>
      <c r="L13" s="32" t="n">
        <v>40192.00208871486</v>
      </c>
      <c r="M13" s="32" t="n">
        <v>55745.19837088906</v>
      </c>
      <c r="N13" s="32" t="n">
        <v>74210.63770997981</v>
      </c>
      <c r="O13" s="32" t="n">
        <v>95975.62415830343</v>
      </c>
      <c r="P13" s="32" t="n">
        <v>121425.7085419162</v>
      </c>
      <c r="Q13" s="32" t="n">
        <v>150926.8376711844</v>
      </c>
      <c r="R13" s="32" t="n">
        <v>184805.6829917221</v>
      </c>
      <c r="S13" s="32" t="n">
        <v>223330.6641188316</v>
      </c>
      <c r="T13" s="32" t="n">
        <v>266697.1074450887</v>
      </c>
      <c r="U13" s="32" t="n">
        <v>315020.5631192622</v>
      </c>
      <c r="V13" s="32" t="n">
        <v>368342.3722348699</v>
      </c>
      <c r="W13" s="32" t="n">
        <v>426651.1830707832</v>
      </c>
      <c r="X13" s="32" t="n">
        <v>489923.6957801359</v>
      </c>
      <c r="Y13" s="32" t="n">
        <v>558188.438912155</v>
      </c>
      <c r="Z13" s="32" t="n">
        <v>631619.6354875622</v>
      </c>
      <c r="AA13" s="32" t="n">
        <v>710677.7231075396</v>
      </c>
      <c r="AB13" s="32" t="n">
        <v>796337.2814158899</v>
      </c>
      <c r="AC13" s="32" t="n">
        <v>890506.6154859356</v>
      </c>
      <c r="AD13" s="32" t="n">
        <v>996932.2657470811</v>
      </c>
      <c r="AE13" s="32" t="n">
        <v>1123570.718271357</v>
      </c>
      <c r="AF13" s="32" t="n">
        <v>1290845.971484509</v>
      </c>
      <c r="AG13" s="32" t="n">
        <v>1581104.542907522</v>
      </c>
      <c r="AH13" s="32" t="n">
        <v>0</v>
      </c>
      <c r="AI13" s="32" t="n">
        <v>0</v>
      </c>
      <c r="AJ13" s="32" t="n">
        <v>0</v>
      </c>
      <c r="AK13" s="32" t="n">
        <v>0</v>
      </c>
      <c r="AL13" s="32" t="n">
        <v>0</v>
      </c>
      <c r="AM13" s="32" t="n">
        <v>0</v>
      </c>
      <c r="AN13" s="32" t="n">
        <v>0</v>
      </c>
      <c r="AO13" s="32" t="n">
        <v>0</v>
      </c>
      <c r="AP13" s="32" t="n">
        <v>0</v>
      </c>
      <c r="AQ13" s="32" t="n">
        <v>0</v>
      </c>
      <c r="AR13" s="32" t="n">
        <v>0</v>
      </c>
      <c r="AS13" s="32" t="n">
        <v>0</v>
      </c>
    </row>
    <row r="14">
      <c r="A14" s="10" t="inlineStr">
        <is>
          <t xml:space="preserve">  Repasse/chave (40% entrega+2)</t>
        </is>
      </c>
      <c r="B14" s="30" t="n">
        <v>12503417.514</v>
      </c>
      <c r="C14" s="30" t="n">
        <v>0</v>
      </c>
      <c r="D14" s="31" t="n">
        <v>0</v>
      </c>
      <c r="E14" s="30" t="n">
        <v>12503417.514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2" t="n">
        <v>0</v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  <c r="U14" s="32" t="n">
        <v>0</v>
      </c>
      <c r="V14" s="32" t="n">
        <v>0</v>
      </c>
      <c r="W14" s="32" t="n">
        <v>0</v>
      </c>
      <c r="X14" s="32" t="n">
        <v>0</v>
      </c>
      <c r="Y14" s="32" t="n">
        <v>0</v>
      </c>
      <c r="Z14" s="32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2" t="n">
        <v>0</v>
      </c>
      <c r="AF14" s="32" t="n">
        <v>0</v>
      </c>
      <c r="AG14" s="32" t="n">
        <v>0</v>
      </c>
      <c r="AH14" s="32" t="n">
        <v>0</v>
      </c>
      <c r="AI14" s="32" t="n">
        <v>12503417.514</v>
      </c>
      <c r="AJ14" s="32" t="n">
        <v>0</v>
      </c>
      <c r="AK14" s="32" t="n">
        <v>0</v>
      </c>
      <c r="AL14" s="32" t="n">
        <v>0</v>
      </c>
      <c r="AM14" s="32" t="n">
        <v>0</v>
      </c>
      <c r="AN14" s="32" t="n">
        <v>0</v>
      </c>
      <c r="AO14" s="32" t="n">
        <v>0</v>
      </c>
      <c r="AP14" s="32" t="n">
        <v>0</v>
      </c>
      <c r="AQ14" s="32" t="n">
        <v>0</v>
      </c>
      <c r="AR14" s="32" t="n">
        <v>0</v>
      </c>
      <c r="AS14" s="32" t="n">
        <v>0</v>
      </c>
    </row>
    <row r="15">
      <c r="A15" s="10" t="inlineStr">
        <is>
          <t xml:space="preserve">  (−) Inadimplência (3%)</t>
        </is>
      </c>
      <c r="B15" s="30" t="n">
        <v>-905971.963913543</v>
      </c>
      <c r="C15" s="30" t="n">
        <v>-2753.630508273171</v>
      </c>
      <c r="D15" s="31" t="n">
        <v>-509559.1549807219</v>
      </c>
      <c r="E15" s="30" t="n">
        <v>-393659.178424548</v>
      </c>
      <c r="F15" s="32" t="n">
        <v>-0</v>
      </c>
      <c r="G15" s="32" t="n">
        <v>-0</v>
      </c>
      <c r="H15" s="32" t="n">
        <v>-2753.630508273171</v>
      </c>
      <c r="I15" s="32" t="n">
        <v>-3415.174255434059</v>
      </c>
      <c r="J15" s="32" t="n">
        <v>-4173.673190332226</v>
      </c>
      <c r="K15" s="32" t="n">
        <v>-5035.831384785807</v>
      </c>
      <c r="L15" s="32" t="n">
        <v>-6006.289800159491</v>
      </c>
      <c r="M15" s="32" t="n">
        <v>-7086.816170706445</v>
      </c>
      <c r="N15" s="32" t="n">
        <v>-8275.551674343313</v>
      </c>
      <c r="O15" s="32" t="n">
        <v>-9566.462904386797</v>
      </c>
      <c r="P15" s="32" t="n">
        <v>-10949.17526816295</v>
      </c>
      <c r="Q15" s="32" t="n">
        <v>-12409.35761550085</v>
      </c>
      <c r="R15" s="32" t="n">
        <v>-13929.77124252226</v>
      </c>
      <c r="S15" s="32" t="n">
        <v>-15491.98515766712</v>
      </c>
      <c r="T15" s="32" t="n">
        <v>-17078.61133204744</v>
      </c>
      <c r="U15" s="32" t="n">
        <v>-18675.77119922017</v>
      </c>
      <c r="V15" s="32" t="n">
        <v>-20275.4254726884</v>
      </c>
      <c r="W15" s="32" t="n">
        <v>-21877.23360081826</v>
      </c>
      <c r="X15" s="32" t="n">
        <v>-23489.77610750625</v>
      </c>
      <c r="Y15" s="32" t="n">
        <v>-25131.25392013524</v>
      </c>
      <c r="Z15" s="32" t="n">
        <v>-26830.14154999218</v>
      </c>
      <c r="AA15" s="32" t="n">
        <v>-28626.73570513165</v>
      </c>
      <c r="AB15" s="32" t="n">
        <v>-30577.3126221144</v>
      </c>
      <c r="AC15" s="32" t="n">
        <v>-32764.43100762198</v>
      </c>
      <c r="AD15" s="32" t="n">
        <v>-35322.42819199221</v>
      </c>
      <c r="AE15" s="32" t="n">
        <v>-38507.65128563878</v>
      </c>
      <c r="AF15" s="32" t="n">
        <v>-42945.91473212273</v>
      </c>
      <c r="AG15" s="32" t="n">
        <v>-51116.37958969091</v>
      </c>
      <c r="AH15" s="32" t="n">
        <v>-3193.638260593257</v>
      </c>
      <c r="AI15" s="32" t="n">
        <v>-377856.1559282732</v>
      </c>
      <c r="AJ15" s="32" t="n">
        <v>-2362.789110927275</v>
      </c>
      <c r="AK15" s="32" t="n">
        <v>-2019.022466581851</v>
      </c>
      <c r="AL15" s="32" t="n">
        <v>-1719.159254657316</v>
      </c>
      <c r="AM15" s="32" t="n">
        <v>-1459.413607811909</v>
      </c>
      <c r="AN15" s="32" t="n">
        <v>-1235.737065808884</v>
      </c>
      <c r="AO15" s="32" t="n">
        <v>-1044.070437718276</v>
      </c>
      <c r="AP15" s="32" t="n">
        <v>-880.5131462639226</v>
      </c>
      <c r="AQ15" s="32" t="n">
        <v>-741.4281520614961</v>
      </c>
      <c r="AR15" s="32" t="n">
        <v>-623.4988985456004</v>
      </c>
      <c r="AS15" s="32" t="n">
        <v>-523.7520953050058</v>
      </c>
    </row>
    <row r="16">
      <c r="A16" s="33" t="inlineStr">
        <is>
          <t>ENTRADA LÍQUIDA MÊS</t>
        </is>
      </c>
      <c r="B16" s="30" t="n">
        <v>29293093.49987123</v>
      </c>
      <c r="C16" s="30" t="n">
        <v>89034.05310083252</v>
      </c>
      <c r="D16" s="31" t="n">
        <v>16475746.01104334</v>
      </c>
      <c r="E16" s="30" t="n">
        <v>12728313.43572705</v>
      </c>
      <c r="F16" s="34" t="n">
        <v>0</v>
      </c>
      <c r="G16" s="34" t="n">
        <v>0</v>
      </c>
      <c r="H16" s="34" t="n">
        <v>89034.05310083252</v>
      </c>
      <c r="I16" s="34" t="n">
        <v>110423.9675923679</v>
      </c>
      <c r="J16" s="34" t="n">
        <v>134948.7664874087</v>
      </c>
      <c r="K16" s="34" t="n">
        <v>162825.2147747411</v>
      </c>
      <c r="L16" s="34" t="n">
        <v>194203.3702051569</v>
      </c>
      <c r="M16" s="34" t="n">
        <v>229140.3895195084</v>
      </c>
      <c r="N16" s="34" t="n">
        <v>267576.1708037672</v>
      </c>
      <c r="O16" s="34" t="n">
        <v>309315.6339085064</v>
      </c>
      <c r="P16" s="34" t="n">
        <v>354023.3336706021</v>
      </c>
      <c r="Q16" s="34" t="n">
        <v>401235.8962345276</v>
      </c>
      <c r="R16" s="34" t="n">
        <v>450395.9368415531</v>
      </c>
      <c r="S16" s="34" t="n">
        <v>500907.5200979036</v>
      </c>
      <c r="T16" s="34" t="n">
        <v>552208.4330695338</v>
      </c>
      <c r="U16" s="34" t="n">
        <v>603849.935441452</v>
      </c>
      <c r="V16" s="34" t="n">
        <v>655572.0902835918</v>
      </c>
      <c r="W16" s="34" t="n">
        <v>707363.8864264571</v>
      </c>
      <c r="X16" s="34" t="n">
        <v>759502.7608093688</v>
      </c>
      <c r="Y16" s="34" t="n">
        <v>812577.210084373</v>
      </c>
      <c r="Z16" s="34" t="n">
        <v>867507.9101164138</v>
      </c>
      <c r="AA16" s="34" t="n">
        <v>925597.7877992569</v>
      </c>
      <c r="AB16" s="34" t="n">
        <v>988666.4414483657</v>
      </c>
      <c r="AC16" s="34" t="n">
        <v>1059383.269246444</v>
      </c>
      <c r="AD16" s="34" t="n">
        <v>1142091.844874415</v>
      </c>
      <c r="AE16" s="34" t="n">
        <v>1245080.72490232</v>
      </c>
      <c r="AF16" s="34" t="n">
        <v>1388584.576338635</v>
      </c>
      <c r="AG16" s="34" t="n">
        <v>1652762.940066673</v>
      </c>
      <c r="AH16" s="34" t="n">
        <v>103260.9704258486</v>
      </c>
      <c r="AI16" s="34" t="n">
        <v>12217349.04168084</v>
      </c>
      <c r="AJ16" s="34" t="n">
        <v>76396.84791998188</v>
      </c>
      <c r="AK16" s="34" t="n">
        <v>65281.72641947985</v>
      </c>
      <c r="AL16" s="34" t="n">
        <v>55586.14923391987</v>
      </c>
      <c r="AM16" s="34" t="n">
        <v>47187.70665258506</v>
      </c>
      <c r="AN16" s="34" t="n">
        <v>39955.49846115393</v>
      </c>
      <c r="AO16" s="34" t="n">
        <v>33758.27748622425</v>
      </c>
      <c r="AP16" s="34" t="n">
        <v>28469.9250625335</v>
      </c>
      <c r="AQ16" s="34" t="n">
        <v>23972.84358332171</v>
      </c>
      <c r="AR16" s="34" t="n">
        <v>20159.79771964108</v>
      </c>
      <c r="AS16" s="34" t="n">
        <v>16934.65108152852</v>
      </c>
    </row>
    <row r="18">
      <c r="A18" s="35" t="inlineStr">
        <is>
          <t xml:space="preserve">   ▼  SAÍDAS DE CAIXA   (custos da obra + comercial + impostos + admin)</t>
        </is>
      </c>
    </row>
    <row r="19">
      <c r="A19" s="10" t="inlineStr">
        <is>
          <t xml:space="preserve">  Custo da obra (paramétrico)</t>
        </is>
      </c>
      <c r="B19" s="30" t="n">
        <v>17347023.6777</v>
      </c>
      <c r="C19" s="30" t="n">
        <v>0</v>
      </c>
      <c r="D19" s="31" t="n">
        <v>17347023.6777</v>
      </c>
      <c r="E19" s="30" t="n">
        <v>0</v>
      </c>
      <c r="F19" s="32" t="n">
        <v>0</v>
      </c>
      <c r="G19" s="32" t="n">
        <v>0</v>
      </c>
      <c r="H19" s="32" t="n">
        <v>0</v>
      </c>
      <c r="I19" s="32" t="n">
        <v>145926.592451735</v>
      </c>
      <c r="J19" s="32" t="n">
        <v>218889.8886776025</v>
      </c>
      <c r="K19" s="32" t="n">
        <v>328334.8330164038</v>
      </c>
      <c r="L19" s="32" t="n">
        <v>456020.6014116719</v>
      </c>
      <c r="M19" s="32" t="n">
        <v>601947.193863407</v>
      </c>
      <c r="N19" s="32" t="n">
        <v>766114.6103716088</v>
      </c>
      <c r="O19" s="32" t="n">
        <v>912041.2028233438</v>
      </c>
      <c r="P19" s="32" t="n">
        <v>1039726.971218612</v>
      </c>
      <c r="Q19" s="32" t="n">
        <v>1149171.915557413</v>
      </c>
      <c r="R19" s="32" t="n">
        <v>1240376.035839748</v>
      </c>
      <c r="S19" s="32" t="n">
        <v>1276857.683952681</v>
      </c>
      <c r="T19" s="32" t="n">
        <v>1276857.683952681</v>
      </c>
      <c r="U19" s="32" t="n">
        <v>1240376.035839748</v>
      </c>
      <c r="V19" s="32" t="n">
        <v>1185653.563670347</v>
      </c>
      <c r="W19" s="32" t="n">
        <v>1094449.443388012</v>
      </c>
      <c r="X19" s="32" t="n">
        <v>1003245.323105678</v>
      </c>
      <c r="Y19" s="32" t="n">
        <v>875559.5547104101</v>
      </c>
      <c r="Z19" s="32" t="n">
        <v>729632.962258675</v>
      </c>
      <c r="AA19" s="32" t="n">
        <v>583706.36980694</v>
      </c>
      <c r="AB19" s="32" t="n">
        <v>456020.6014116719</v>
      </c>
      <c r="AC19" s="32" t="n">
        <v>328334.8330164038</v>
      </c>
      <c r="AD19" s="32" t="n">
        <v>237130.7127340694</v>
      </c>
      <c r="AE19" s="32" t="n">
        <v>145926.592451735</v>
      </c>
      <c r="AF19" s="32" t="n">
        <v>54722.47216940063</v>
      </c>
      <c r="AG19" s="32" t="n">
        <v>0</v>
      </c>
      <c r="AH19" s="32" t="n">
        <v>0</v>
      </c>
      <c r="AI19" s="32" t="n">
        <v>0</v>
      </c>
      <c r="AJ19" s="32" t="n">
        <v>0</v>
      </c>
      <c r="AK19" s="32" t="n">
        <v>0</v>
      </c>
      <c r="AL19" s="32" t="n">
        <v>0</v>
      </c>
      <c r="AM19" s="32" t="n">
        <v>0</v>
      </c>
      <c r="AN19" s="32" t="n">
        <v>0</v>
      </c>
      <c r="AO19" s="32" t="n">
        <v>0</v>
      </c>
      <c r="AP19" s="32" t="n">
        <v>0</v>
      </c>
      <c r="AQ19" s="32" t="n">
        <v>0</v>
      </c>
      <c r="AR19" s="32" t="n">
        <v>0</v>
      </c>
      <c r="AS19" s="32" t="n">
        <v>0</v>
      </c>
    </row>
    <row r="20">
      <c r="A20" s="10" t="inlineStr">
        <is>
          <t xml:space="preserve">  Contingência (5% do custo obra)</t>
        </is>
      </c>
      <c r="B20" s="30" t="n">
        <v>867351.1838849999</v>
      </c>
      <c r="C20" s="30" t="n">
        <v>0</v>
      </c>
      <c r="D20" s="31" t="n">
        <v>867351.1838849999</v>
      </c>
      <c r="E20" s="30" t="n">
        <v>0</v>
      </c>
      <c r="F20" s="32" t="n">
        <v>0</v>
      </c>
      <c r="G20" s="32" t="n">
        <v>0</v>
      </c>
      <c r="H20" s="32" t="n">
        <v>0</v>
      </c>
      <c r="I20" s="32" t="n">
        <v>7296.32962258675</v>
      </c>
      <c r="J20" s="32" t="n">
        <v>10944.49443388013</v>
      </c>
      <c r="K20" s="32" t="n">
        <v>16416.74165082019</v>
      </c>
      <c r="L20" s="32" t="n">
        <v>22801.0300705836</v>
      </c>
      <c r="M20" s="32" t="n">
        <v>30097.35969317035</v>
      </c>
      <c r="N20" s="32" t="n">
        <v>38305.73051858044</v>
      </c>
      <c r="O20" s="32" t="n">
        <v>45602.0601411672</v>
      </c>
      <c r="P20" s="32" t="n">
        <v>51986.3485609306</v>
      </c>
      <c r="Q20" s="32" t="n">
        <v>57458.59577787066</v>
      </c>
      <c r="R20" s="32" t="n">
        <v>62018.80179198738</v>
      </c>
      <c r="S20" s="32" t="n">
        <v>63842.88419763408</v>
      </c>
      <c r="T20" s="32" t="n">
        <v>63842.88419763408</v>
      </c>
      <c r="U20" s="32" t="n">
        <v>62018.80179198738</v>
      </c>
      <c r="V20" s="32" t="n">
        <v>59282.67818351735</v>
      </c>
      <c r="W20" s="32" t="n">
        <v>54722.47216940063</v>
      </c>
      <c r="X20" s="32" t="n">
        <v>50162.26615528391</v>
      </c>
      <c r="Y20" s="32" t="n">
        <v>43777.97773552051</v>
      </c>
      <c r="Z20" s="32" t="n">
        <v>36481.64811293376</v>
      </c>
      <c r="AA20" s="32" t="n">
        <v>29185.318490347</v>
      </c>
      <c r="AB20" s="32" t="n">
        <v>22801.0300705836</v>
      </c>
      <c r="AC20" s="32" t="n">
        <v>16416.74165082019</v>
      </c>
      <c r="AD20" s="32" t="n">
        <v>11856.53563670347</v>
      </c>
      <c r="AE20" s="32" t="n">
        <v>7296.32962258675</v>
      </c>
      <c r="AF20" s="32" t="n">
        <v>2736.123608470032</v>
      </c>
      <c r="AG20" s="32" t="n">
        <v>0</v>
      </c>
      <c r="AH20" s="32" t="n">
        <v>0</v>
      </c>
      <c r="AI20" s="32" t="n">
        <v>0</v>
      </c>
      <c r="AJ20" s="32" t="n">
        <v>0</v>
      </c>
      <c r="AK20" s="32" t="n">
        <v>0</v>
      </c>
      <c r="AL20" s="32" t="n">
        <v>0</v>
      </c>
      <c r="AM20" s="32" t="n">
        <v>0</v>
      </c>
      <c r="AN20" s="32" t="n">
        <v>0</v>
      </c>
      <c r="AO20" s="32" t="n">
        <v>0</v>
      </c>
      <c r="AP20" s="32" t="n">
        <v>0</v>
      </c>
      <c r="AQ20" s="32" t="n">
        <v>0</v>
      </c>
      <c r="AR20" s="32" t="n">
        <v>0</v>
      </c>
      <c r="AS20" s="32" t="n">
        <v>0</v>
      </c>
    </row>
    <row r="21">
      <c r="A21" s="10" t="inlineStr">
        <is>
          <t xml:space="preserve">  Corretagem (5% VGV — no mês da venda)</t>
        </is>
      </c>
      <c r="B21" s="30" t="n">
        <v>1562927.18925</v>
      </c>
      <c r="C21" s="30" t="n">
        <v>22946.92090227642</v>
      </c>
      <c r="D21" s="31" t="n">
        <v>1385341.493309824</v>
      </c>
      <c r="E21" s="30" t="n">
        <v>154638.7750378996</v>
      </c>
      <c r="F21" s="32" t="n">
        <v>0</v>
      </c>
      <c r="G21" s="32" t="n">
        <v>0</v>
      </c>
      <c r="H21" s="32" t="n">
        <v>22946.92090227642</v>
      </c>
      <c r="I21" s="32" t="n">
        <v>26613.6521716104</v>
      </c>
      <c r="J21" s="32" t="n">
        <v>30693.69418721047</v>
      </c>
      <c r="K21" s="32" t="n">
        <v>35171.12989656251</v>
      </c>
      <c r="L21" s="32" t="n">
        <v>40004.41447915038</v>
      </c>
      <c r="M21" s="32" t="n">
        <v>45120.50182983144</v>
      </c>
      <c r="N21" s="32" t="n">
        <v>50410.27119203266</v>
      </c>
      <c r="O21" s="32" t="n">
        <v>55726.61816364745</v>
      </c>
      <c r="P21" s="32" t="n">
        <v>60886.7000992122</v>
      </c>
      <c r="Q21" s="32" t="n">
        <v>65679.60404471103</v>
      </c>
      <c r="R21" s="32" t="n">
        <v>69880.00627308832</v>
      </c>
      <c r="S21" s="32" t="n">
        <v>73267.21028418478</v>
      </c>
      <c r="T21" s="32" t="n">
        <v>75647.48423912311</v>
      </c>
      <c r="U21" s="32" t="n">
        <v>76876.28588035249</v>
      </c>
      <c r="V21" s="32" t="n">
        <v>76876.28588035257</v>
      </c>
      <c r="W21" s="32" t="n">
        <v>75647.48423912303</v>
      </c>
      <c r="X21" s="32" t="n">
        <v>73267.21028418478</v>
      </c>
      <c r="Y21" s="32" t="n">
        <v>69880.00627308832</v>
      </c>
      <c r="Z21" s="32" t="n">
        <v>65679.60404471097</v>
      </c>
      <c r="AA21" s="32" t="n">
        <v>60886.70009921223</v>
      </c>
      <c r="AB21" s="32" t="n">
        <v>55726.61816364757</v>
      </c>
      <c r="AC21" s="32" t="n">
        <v>50410.27119203266</v>
      </c>
      <c r="AD21" s="32" t="n">
        <v>45120.50182983151</v>
      </c>
      <c r="AE21" s="32" t="n">
        <v>40004.41447915047</v>
      </c>
      <c r="AF21" s="32" t="n">
        <v>35171.12989656209</v>
      </c>
      <c r="AG21" s="32" t="n">
        <v>30693.69418721056</v>
      </c>
      <c r="AH21" s="32" t="n">
        <v>26613.65217161048</v>
      </c>
      <c r="AI21" s="32" t="n">
        <v>22946.9209022764</v>
      </c>
      <c r="AJ21" s="32" t="n">
        <v>19689.90925772729</v>
      </c>
      <c r="AK21" s="32" t="n">
        <v>16825.18722151543</v>
      </c>
      <c r="AL21" s="32" t="n">
        <v>14326.3271221443</v>
      </c>
      <c r="AM21" s="32" t="n">
        <v>12161.78006509924</v>
      </c>
      <c r="AN21" s="32" t="n">
        <v>10297.8088817407</v>
      </c>
      <c r="AO21" s="32" t="n">
        <v>8700.586980985632</v>
      </c>
      <c r="AP21" s="32" t="n">
        <v>7337.609552199356</v>
      </c>
      <c r="AQ21" s="32" t="n">
        <v>6178.567933845801</v>
      </c>
      <c r="AR21" s="32" t="n">
        <v>5195.82415454667</v>
      </c>
      <c r="AS21" s="32" t="n">
        <v>4364.600794208382</v>
      </c>
    </row>
    <row r="22">
      <c r="A22" s="10" t="inlineStr">
        <is>
          <t xml:space="preserve">  Marketing (3% VGV — linear na obra)</t>
        </is>
      </c>
      <c r="B22" s="30" t="n">
        <v>937756.31355</v>
      </c>
      <c r="C22" s="30" t="n">
        <v>0</v>
      </c>
      <c r="D22" s="31" t="n">
        <v>937756.31355</v>
      </c>
      <c r="E22" s="30" t="n">
        <v>0</v>
      </c>
      <c r="F22" s="32" t="n">
        <v>0</v>
      </c>
      <c r="G22" s="32" t="n">
        <v>0</v>
      </c>
      <c r="H22" s="32" t="n">
        <v>0</v>
      </c>
      <c r="I22" s="32" t="n">
        <v>39073.17973125</v>
      </c>
      <c r="J22" s="32" t="n">
        <v>39073.17973125</v>
      </c>
      <c r="K22" s="32" t="n">
        <v>39073.17973125</v>
      </c>
      <c r="L22" s="32" t="n">
        <v>39073.17973125</v>
      </c>
      <c r="M22" s="32" t="n">
        <v>39073.17973125</v>
      </c>
      <c r="N22" s="32" t="n">
        <v>39073.17973125</v>
      </c>
      <c r="O22" s="32" t="n">
        <v>39073.17973125</v>
      </c>
      <c r="P22" s="32" t="n">
        <v>39073.17973125</v>
      </c>
      <c r="Q22" s="32" t="n">
        <v>39073.17973125</v>
      </c>
      <c r="R22" s="32" t="n">
        <v>39073.17973125</v>
      </c>
      <c r="S22" s="32" t="n">
        <v>39073.17973125</v>
      </c>
      <c r="T22" s="32" t="n">
        <v>39073.17973125</v>
      </c>
      <c r="U22" s="32" t="n">
        <v>39073.17973125</v>
      </c>
      <c r="V22" s="32" t="n">
        <v>39073.17973125</v>
      </c>
      <c r="W22" s="32" t="n">
        <v>39073.17973125</v>
      </c>
      <c r="X22" s="32" t="n">
        <v>39073.17973125</v>
      </c>
      <c r="Y22" s="32" t="n">
        <v>39073.17973125</v>
      </c>
      <c r="Z22" s="32" t="n">
        <v>39073.17973125</v>
      </c>
      <c r="AA22" s="32" t="n">
        <v>39073.17973125</v>
      </c>
      <c r="AB22" s="32" t="n">
        <v>39073.17973125</v>
      </c>
      <c r="AC22" s="32" t="n">
        <v>39073.17973125</v>
      </c>
      <c r="AD22" s="32" t="n">
        <v>39073.17973125</v>
      </c>
      <c r="AE22" s="32" t="n">
        <v>39073.17973125</v>
      </c>
      <c r="AF22" s="32" t="n">
        <v>39073.17973125</v>
      </c>
      <c r="AG22" s="32" t="n">
        <v>0</v>
      </c>
      <c r="AH22" s="32" t="n">
        <v>0</v>
      </c>
      <c r="AI22" s="32" t="n">
        <v>0</v>
      </c>
      <c r="AJ22" s="32" t="n">
        <v>0</v>
      </c>
      <c r="AK22" s="32" t="n">
        <v>0</v>
      </c>
      <c r="AL22" s="32" t="n">
        <v>0</v>
      </c>
      <c r="AM22" s="32" t="n">
        <v>0</v>
      </c>
      <c r="AN22" s="32" t="n">
        <v>0</v>
      </c>
      <c r="AO22" s="32" t="n">
        <v>0</v>
      </c>
      <c r="AP22" s="32" t="n">
        <v>0</v>
      </c>
      <c r="AQ22" s="32" t="n">
        <v>0</v>
      </c>
      <c r="AR22" s="32" t="n">
        <v>0</v>
      </c>
      <c r="AS22" s="32" t="n">
        <v>0</v>
      </c>
    </row>
    <row r="23">
      <c r="A23" s="10" t="inlineStr">
        <is>
          <t xml:space="preserve">  RET 4% (Patrimônio de Afetação)</t>
        </is>
      </c>
      <c r="B23" s="30" t="n">
        <v>1207962.618551391</v>
      </c>
      <c r="C23" s="30" t="n">
        <v>3671.507344364228</v>
      </c>
      <c r="D23" s="31" t="n">
        <v>679412.2066409626</v>
      </c>
      <c r="E23" s="30" t="n">
        <v>524878.9045660641</v>
      </c>
      <c r="F23" s="32" t="n">
        <v>0</v>
      </c>
      <c r="G23" s="32" t="n">
        <v>0</v>
      </c>
      <c r="H23" s="32" t="n">
        <v>3671.507344364228</v>
      </c>
      <c r="I23" s="32" t="n">
        <v>4553.56567391208</v>
      </c>
      <c r="J23" s="32" t="n">
        <v>5564.897587109635</v>
      </c>
      <c r="K23" s="32" t="n">
        <v>6714.441846381077</v>
      </c>
      <c r="L23" s="32" t="n">
        <v>8008.386400212655</v>
      </c>
      <c r="M23" s="32" t="n">
        <v>9449.088227608592</v>
      </c>
      <c r="N23" s="32" t="n">
        <v>11034.06889912442</v>
      </c>
      <c r="O23" s="32" t="n">
        <v>12755.28387251573</v>
      </c>
      <c r="P23" s="32" t="n">
        <v>14598.9003575506</v>
      </c>
      <c r="Q23" s="32" t="n">
        <v>16545.81015400114</v>
      </c>
      <c r="R23" s="32" t="n">
        <v>18573.02832336301</v>
      </c>
      <c r="S23" s="32" t="n">
        <v>20655.98021022283</v>
      </c>
      <c r="T23" s="32" t="n">
        <v>22771.48177606325</v>
      </c>
      <c r="U23" s="32" t="n">
        <v>24901.02826562689</v>
      </c>
      <c r="V23" s="32" t="n">
        <v>27033.90063025121</v>
      </c>
      <c r="W23" s="32" t="n">
        <v>29169.64480109101</v>
      </c>
      <c r="X23" s="32" t="n">
        <v>31319.701476675</v>
      </c>
      <c r="Y23" s="32" t="n">
        <v>33508.33856018033</v>
      </c>
      <c r="Z23" s="32" t="n">
        <v>35773.52206665624</v>
      </c>
      <c r="AA23" s="32" t="n">
        <v>38168.98094017554</v>
      </c>
      <c r="AB23" s="32" t="n">
        <v>40769.7501628192</v>
      </c>
      <c r="AC23" s="32" t="n">
        <v>43685.90801016265</v>
      </c>
      <c r="AD23" s="32" t="n">
        <v>47096.57092265628</v>
      </c>
      <c r="AE23" s="32" t="n">
        <v>51343.53504751837</v>
      </c>
      <c r="AF23" s="32" t="n">
        <v>57261.21964283031</v>
      </c>
      <c r="AG23" s="32" t="n">
        <v>68155.17278625455</v>
      </c>
      <c r="AH23" s="32" t="n">
        <v>4258.184347457676</v>
      </c>
      <c r="AI23" s="32" t="n">
        <v>503808.2079043643</v>
      </c>
      <c r="AJ23" s="32" t="n">
        <v>3150.385481236367</v>
      </c>
      <c r="AK23" s="32" t="n">
        <v>2692.029955442468</v>
      </c>
      <c r="AL23" s="32" t="n">
        <v>2292.212339543088</v>
      </c>
      <c r="AM23" s="32" t="n">
        <v>1945.884810415879</v>
      </c>
      <c r="AN23" s="32" t="n">
        <v>1647.649421078513</v>
      </c>
      <c r="AO23" s="32" t="n">
        <v>1392.093916957701</v>
      </c>
      <c r="AP23" s="32" t="n">
        <v>1174.017528351897</v>
      </c>
      <c r="AQ23" s="32" t="n">
        <v>988.5708694153283</v>
      </c>
      <c r="AR23" s="32" t="n">
        <v>831.3318647274672</v>
      </c>
      <c r="AS23" s="32" t="n">
        <v>698.3361270733411</v>
      </c>
    </row>
    <row r="24">
      <c r="A24" s="10" t="inlineStr">
        <is>
          <t xml:space="preserve">  Admin incorporadora (2% VGV — linear)</t>
        </is>
      </c>
      <c r="B24" s="30" t="n">
        <v>625170.8757</v>
      </c>
      <c r="C24" s="30" t="n">
        <v>46887.8156775</v>
      </c>
      <c r="D24" s="31" t="n">
        <v>390731.7973125</v>
      </c>
      <c r="E24" s="30" t="n">
        <v>187551.26271</v>
      </c>
      <c r="F24" s="32" t="n">
        <v>15629.2718925</v>
      </c>
      <c r="G24" s="32" t="n">
        <v>15629.2718925</v>
      </c>
      <c r="H24" s="32" t="n">
        <v>15629.2718925</v>
      </c>
      <c r="I24" s="32" t="n">
        <v>15629.2718925</v>
      </c>
      <c r="J24" s="32" t="n">
        <v>15629.2718925</v>
      </c>
      <c r="K24" s="32" t="n">
        <v>15629.2718925</v>
      </c>
      <c r="L24" s="32" t="n">
        <v>15629.2718925</v>
      </c>
      <c r="M24" s="32" t="n">
        <v>15629.2718925</v>
      </c>
      <c r="N24" s="32" t="n">
        <v>15629.2718925</v>
      </c>
      <c r="O24" s="32" t="n">
        <v>15629.2718925</v>
      </c>
      <c r="P24" s="32" t="n">
        <v>15629.2718925</v>
      </c>
      <c r="Q24" s="32" t="n">
        <v>15629.2718925</v>
      </c>
      <c r="R24" s="32" t="n">
        <v>15629.2718925</v>
      </c>
      <c r="S24" s="32" t="n">
        <v>15629.2718925</v>
      </c>
      <c r="T24" s="32" t="n">
        <v>15629.2718925</v>
      </c>
      <c r="U24" s="32" t="n">
        <v>15629.2718925</v>
      </c>
      <c r="V24" s="32" t="n">
        <v>15629.2718925</v>
      </c>
      <c r="W24" s="32" t="n">
        <v>15629.2718925</v>
      </c>
      <c r="X24" s="32" t="n">
        <v>15629.2718925</v>
      </c>
      <c r="Y24" s="32" t="n">
        <v>15629.2718925</v>
      </c>
      <c r="Z24" s="32" t="n">
        <v>15629.2718925</v>
      </c>
      <c r="AA24" s="32" t="n">
        <v>15629.2718925</v>
      </c>
      <c r="AB24" s="32" t="n">
        <v>15629.2718925</v>
      </c>
      <c r="AC24" s="32" t="n">
        <v>15629.2718925</v>
      </c>
      <c r="AD24" s="32" t="n">
        <v>15629.2718925</v>
      </c>
      <c r="AE24" s="32" t="n">
        <v>15629.2718925</v>
      </c>
      <c r="AF24" s="32" t="n">
        <v>15629.2718925</v>
      </c>
      <c r="AG24" s="32" t="n">
        <v>15629.2718925</v>
      </c>
      <c r="AH24" s="32" t="n">
        <v>15629.2718925</v>
      </c>
      <c r="AI24" s="32" t="n">
        <v>15629.2718925</v>
      </c>
      <c r="AJ24" s="32" t="n">
        <v>15629.2718925</v>
      </c>
      <c r="AK24" s="32" t="n">
        <v>15629.2718925</v>
      </c>
      <c r="AL24" s="32" t="n">
        <v>15629.2718925</v>
      </c>
      <c r="AM24" s="32" t="n">
        <v>15629.2718925</v>
      </c>
      <c r="AN24" s="32" t="n">
        <v>15629.2718925</v>
      </c>
      <c r="AO24" s="32" t="n">
        <v>15629.2718925</v>
      </c>
      <c r="AP24" s="32" t="n">
        <v>15629.2718925</v>
      </c>
      <c r="AQ24" s="32" t="n">
        <v>15629.2718925</v>
      </c>
      <c r="AR24" s="32" t="n">
        <v>15629.2718925</v>
      </c>
      <c r="AS24" s="32" t="n">
        <v>15629.2718925</v>
      </c>
    </row>
    <row r="25">
      <c r="A25" s="36" t="inlineStr">
        <is>
          <t>SAÍDA TOTAL MÊS</t>
        </is>
      </c>
      <c r="B25" s="30" t="n">
        <v>22548191.85863639</v>
      </c>
      <c r="C25" s="30" t="n">
        <v>73506.24392414065</v>
      </c>
      <c r="D25" s="31" t="n">
        <v>21607616.67239829</v>
      </c>
      <c r="E25" s="30" t="n">
        <v>867068.9423139637</v>
      </c>
      <c r="F25" s="37" t="n">
        <v>15629.2718925</v>
      </c>
      <c r="G25" s="37" t="n">
        <v>15629.2718925</v>
      </c>
      <c r="H25" s="37" t="n">
        <v>42247.70013914065</v>
      </c>
      <c r="I25" s="37" t="n">
        <v>239092.5915435942</v>
      </c>
      <c r="J25" s="37" t="n">
        <v>320795.4265095528</v>
      </c>
      <c r="K25" s="37" t="n">
        <v>441339.5980339175</v>
      </c>
      <c r="L25" s="37" t="n">
        <v>581536.8839853685</v>
      </c>
      <c r="M25" s="37" t="n">
        <v>741316.5952377673</v>
      </c>
      <c r="N25" s="37" t="n">
        <v>920567.1326050962</v>
      </c>
      <c r="O25" s="37" t="n">
        <v>1080827.616624424</v>
      </c>
      <c r="P25" s="37" t="n">
        <v>1221901.371860055</v>
      </c>
      <c r="Q25" s="37" t="n">
        <v>1343558.377157746</v>
      </c>
      <c r="R25" s="37" t="n">
        <v>1445550.323851936</v>
      </c>
      <c r="S25" s="37" t="n">
        <v>1489326.210268473</v>
      </c>
      <c r="T25" s="37" t="n">
        <v>1493821.985789252</v>
      </c>
      <c r="U25" s="37" t="n">
        <v>1458874.603401464</v>
      </c>
      <c r="V25" s="37" t="n">
        <v>1403548.879988218</v>
      </c>
      <c r="W25" s="37" t="n">
        <v>1308691.496221377</v>
      </c>
      <c r="X25" s="37" t="n">
        <v>1212696.952645572</v>
      </c>
      <c r="Y25" s="37" t="n">
        <v>1077428.328902949</v>
      </c>
      <c r="Z25" s="37" t="n">
        <v>922270.188106726</v>
      </c>
      <c r="AA25" s="37" t="n">
        <v>766649.8209604248</v>
      </c>
      <c r="AB25" s="37" t="n">
        <v>630020.4514324723</v>
      </c>
      <c r="AC25" s="37" t="n">
        <v>493550.2054931693</v>
      </c>
      <c r="AD25" s="37" t="n">
        <v>395906.7727470106</v>
      </c>
      <c r="AE25" s="37" t="n">
        <v>299273.3232247406</v>
      </c>
      <c r="AF25" s="37" t="n">
        <v>204593.3969410131</v>
      </c>
      <c r="AG25" s="37" t="n">
        <v>114478.1388659651</v>
      </c>
      <c r="AH25" s="37" t="n">
        <v>46501.10841156815</v>
      </c>
      <c r="AI25" s="37" t="n">
        <v>542384.4006991407</v>
      </c>
      <c r="AJ25" s="37" t="n">
        <v>38469.56663146365</v>
      </c>
      <c r="AK25" s="37" t="n">
        <v>35146.48906945789</v>
      </c>
      <c r="AL25" s="37" t="n">
        <v>32247.81135418738</v>
      </c>
      <c r="AM25" s="37" t="n">
        <v>29736.93676801512</v>
      </c>
      <c r="AN25" s="37" t="n">
        <v>27574.73019531921</v>
      </c>
      <c r="AO25" s="37" t="n">
        <v>25721.95279044333</v>
      </c>
      <c r="AP25" s="37" t="n">
        <v>24140.89897305125</v>
      </c>
      <c r="AQ25" s="37" t="n">
        <v>22796.41069576113</v>
      </c>
      <c r="AR25" s="37" t="n">
        <v>21656.42791177414</v>
      </c>
      <c r="AS25" s="37" t="n">
        <v>20692.20881378172</v>
      </c>
    </row>
    <row r="27">
      <c r="A27" s="38" t="inlineStr">
        <is>
          <t xml:space="preserve">   =  SALDO   (entradas − saídas)</t>
        </is>
      </c>
    </row>
    <row r="28">
      <c r="A28" s="5" t="inlineStr">
        <is>
          <t>SALDO MENSAL   (verde=entrou / vermelho=saiu)</t>
        </is>
      </c>
      <c r="B28" s="30" t="n">
        <v>6744901.641234837</v>
      </c>
      <c r="C28" s="30" t="n">
        <v>15527.80917669187</v>
      </c>
      <c r="D28" s="31" t="n">
        <v>-5131870.661354946</v>
      </c>
      <c r="E28" s="30" t="n">
        <v>11861244.49341309</v>
      </c>
      <c r="F28" s="32" t="n">
        <v>-15629.2718925</v>
      </c>
      <c r="G28" s="32" t="n">
        <v>-15629.2718925</v>
      </c>
      <c r="H28" s="32" t="n">
        <v>46786.35296169187</v>
      </c>
      <c r="I28" s="32" t="n">
        <v>-128668.6239512263</v>
      </c>
      <c r="J28" s="32" t="n">
        <v>-185846.6600221441</v>
      </c>
      <c r="K28" s="32" t="n">
        <v>-278514.3832591764</v>
      </c>
      <c r="L28" s="32" t="n">
        <v>-387333.5137802117</v>
      </c>
      <c r="M28" s="32" t="n">
        <v>-512176.205718259</v>
      </c>
      <c r="N28" s="32" t="n">
        <v>-652990.961801329</v>
      </c>
      <c r="O28" s="32" t="n">
        <v>-771511.9827159178</v>
      </c>
      <c r="P28" s="32" t="n">
        <v>-867878.0381894534</v>
      </c>
      <c r="Q28" s="32" t="n">
        <v>-942322.4809232184</v>
      </c>
      <c r="R28" s="32" t="n">
        <v>-995154.3870103834</v>
      </c>
      <c r="S28" s="32" t="n">
        <v>-988418.6901705699</v>
      </c>
      <c r="T28" s="32" t="n">
        <v>-941613.5527197184</v>
      </c>
      <c r="U28" s="32" t="n">
        <v>-855024.6679600124</v>
      </c>
      <c r="V28" s="32" t="n">
        <v>-747976.7897046267</v>
      </c>
      <c r="W28" s="32" t="n">
        <v>-601327.6097949202</v>
      </c>
      <c r="X28" s="32" t="n">
        <v>-453194.1918362033</v>
      </c>
      <c r="Y28" s="32" t="n">
        <v>-264851.1188185763</v>
      </c>
      <c r="Z28" s="32" t="n">
        <v>-54762.2779903122</v>
      </c>
      <c r="AA28" s="32" t="n">
        <v>158947.966838832</v>
      </c>
      <c r="AB28" s="32" t="n">
        <v>358645.9900158934</v>
      </c>
      <c r="AC28" s="32" t="n">
        <v>565833.0637532749</v>
      </c>
      <c r="AD28" s="32" t="n">
        <v>746185.0721274042</v>
      </c>
      <c r="AE28" s="32" t="n">
        <v>945807.4016775799</v>
      </c>
      <c r="AF28" s="32" t="n">
        <v>1183991.179397622</v>
      </c>
      <c r="AG28" s="32" t="n">
        <v>1538284.801200708</v>
      </c>
      <c r="AH28" s="32" t="n">
        <v>56759.86201428049</v>
      </c>
      <c r="AI28" s="32" t="n">
        <v>11674964.64098169</v>
      </c>
      <c r="AJ28" s="32" t="n">
        <v>37927.28128851823</v>
      </c>
      <c r="AK28" s="32" t="n">
        <v>30135.23735002195</v>
      </c>
      <c r="AL28" s="32" t="n">
        <v>23338.33787973249</v>
      </c>
      <c r="AM28" s="32" t="n">
        <v>17450.76988456994</v>
      </c>
      <c r="AN28" s="32" t="n">
        <v>12380.76826583472</v>
      </c>
      <c r="AO28" s="32" t="n">
        <v>8036.324695780917</v>
      </c>
      <c r="AP28" s="32" t="n">
        <v>4329.02608948225</v>
      </c>
      <c r="AQ28" s="32" t="n">
        <v>1176.432887560579</v>
      </c>
      <c r="AR28" s="32" t="n">
        <v>-1496.630192133056</v>
      </c>
      <c r="AS28" s="32" t="n">
        <v>-3757.557732253201</v>
      </c>
    </row>
    <row r="29">
      <c r="A29" s="20" t="inlineStr">
        <is>
          <t>SALDO ACUMULADO   (capital do projeto)</t>
        </is>
      </c>
      <c r="B29" s="30" t="n">
        <v>-85733954.07912488</v>
      </c>
      <c r="C29" s="30" t="n">
        <v>-31360.00650080813</v>
      </c>
      <c r="D29" s="31" t="n">
        <v>-154500122.1006983</v>
      </c>
      <c r="E29" s="30" t="n">
        <v>68797528.0280742</v>
      </c>
      <c r="F29" s="39" t="n">
        <v>-15629.2718925</v>
      </c>
      <c r="G29" s="39" t="n">
        <v>-31258.543785</v>
      </c>
      <c r="H29" s="39" t="n">
        <v>15527.80917669187</v>
      </c>
      <c r="I29" s="39" t="n">
        <v>-113140.8147745344</v>
      </c>
      <c r="J29" s="39" t="n">
        <v>-298987.4747966785</v>
      </c>
      <c r="K29" s="39" t="n">
        <v>-577501.8580558549</v>
      </c>
      <c r="L29" s="39" t="n">
        <v>-964835.3718360666</v>
      </c>
      <c r="M29" s="39" t="n">
        <v>-1477011.577554326</v>
      </c>
      <c r="N29" s="39" t="n">
        <v>-2130002.539355655</v>
      </c>
      <c r="O29" s="39" t="n">
        <v>-2901514.522071572</v>
      </c>
      <c r="P29" s="39" t="n">
        <v>-3769392.560261026</v>
      </c>
      <c r="Q29" s="39" t="n">
        <v>-4711715.041184245</v>
      </c>
      <c r="R29" s="39" t="n">
        <v>-5706869.428194628</v>
      </c>
      <c r="S29" s="39" t="n">
        <v>-6695288.118365198</v>
      </c>
      <c r="T29" s="39" t="n">
        <v>-7636901.671084917</v>
      </c>
      <c r="U29" s="39" t="n">
        <v>-8491926.33904493</v>
      </c>
      <c r="V29" s="39" t="n">
        <v>-9239903.128749557</v>
      </c>
      <c r="W29" s="39" t="n">
        <v>-9841230.738544477</v>
      </c>
      <c r="X29" s="39" t="n">
        <v>-10294424.93038068</v>
      </c>
      <c r="Y29" s="39" t="n">
        <v>-10559276.04919926</v>
      </c>
      <c r="Z29" s="39" t="n">
        <v>-10614038.32718957</v>
      </c>
      <c r="AA29" s="39" t="n">
        <v>-10455090.36035074</v>
      </c>
      <c r="AB29" s="39" t="n">
        <v>-10096444.37033484</v>
      </c>
      <c r="AC29" s="39" t="n">
        <v>-9530611.306581566</v>
      </c>
      <c r="AD29" s="39" t="n">
        <v>-8784426.234454162</v>
      </c>
      <c r="AE29" s="39" t="n">
        <v>-7838618.832776583</v>
      </c>
      <c r="AF29" s="39" t="n">
        <v>-6654627.653378962</v>
      </c>
      <c r="AG29" s="39" t="n">
        <v>-5116342.852178253</v>
      </c>
      <c r="AH29" s="39" t="n">
        <v>-5059582.990163973</v>
      </c>
      <c r="AI29" s="39" t="n">
        <v>6615381.650817722</v>
      </c>
      <c r="AJ29" s="39" t="n">
        <v>6653308.932106241</v>
      </c>
      <c r="AK29" s="39" t="n">
        <v>6683444.169456262</v>
      </c>
      <c r="AL29" s="39" t="n">
        <v>6706782.507335994</v>
      </c>
      <c r="AM29" s="39" t="n">
        <v>6724233.277220564</v>
      </c>
      <c r="AN29" s="39" t="n">
        <v>6736614.045486399</v>
      </c>
      <c r="AO29" s="39" t="n">
        <v>6744650.37018218</v>
      </c>
      <c r="AP29" s="39" t="n">
        <v>6748979.396271662</v>
      </c>
      <c r="AQ29" s="39" t="n">
        <v>6750155.829159223</v>
      </c>
      <c r="AR29" s="39" t="n">
        <v>6748659.19896709</v>
      </c>
      <c r="AS29" s="39" t="n">
        <v>6744901.641234837</v>
      </c>
    </row>
    <row r="30">
      <c r="A30" s="10" t="inlineStr">
        <is>
          <t>Fator de desconto (TMA 14%)</t>
        </is>
      </c>
      <c r="B30" s="40" t="n">
        <v>32.58621345639267</v>
      </c>
      <c r="C30" s="40" t="n">
        <v>2.967539054289688</v>
      </c>
      <c r="D30" s="41" t="n">
        <v>21.28895560760272</v>
      </c>
      <c r="E30" s="40" t="n">
        <v>8.329718794500261</v>
      </c>
      <c r="F30" s="42" t="n">
        <v>1</v>
      </c>
      <c r="G30" s="42" t="n">
        <v>0.9891403742729185</v>
      </c>
      <c r="H30" s="42" t="n">
        <v>0.9783986800167692</v>
      </c>
      <c r="I30" s="42" t="n">
        <v>0.9677736365399165</v>
      </c>
      <c r="J30" s="42" t="n">
        <v>0.9572639770585563</v>
      </c>
      <c r="K30" s="42" t="n">
        <v>0.9468684485456829</v>
      </c>
      <c r="L30" s="42" t="n">
        <v>0.9365858115816944</v>
      </c>
      <c r="M30" s="42" t="n">
        <v>0.9264148402066222</v>
      </c>
      <c r="N30" s="42" t="n">
        <v>0.9163543217739643</v>
      </c>
      <c r="O30" s="42" t="n">
        <v>0.9064030568061054</v>
      </c>
      <c r="P30" s="42" t="n">
        <v>0.8965598588513085</v>
      </c>
      <c r="Q30" s="42" t="n">
        <v>0.8868235543422583</v>
      </c>
      <c r="R30" s="42" t="n">
        <v>0.8771929824561413</v>
      </c>
      <c r="S30" s="42" t="n">
        <v>0.8676669949762452</v>
      </c>
      <c r="T30" s="42" t="n">
        <v>0.8582444561550616</v>
      </c>
      <c r="U30" s="42" t="n">
        <v>0.848924242578875</v>
      </c>
      <c r="V30" s="42" t="n">
        <v>0.8397052430338223</v>
      </c>
      <c r="W30" s="42" t="n">
        <v>0.8305863583734069</v>
      </c>
      <c r="X30" s="42" t="n">
        <v>0.8215665013874521</v>
      </c>
      <c r="Y30" s="42" t="n">
        <v>0.8126445966724767</v>
      </c>
      <c r="Z30" s="42" t="n">
        <v>0.8038195805034783</v>
      </c>
      <c r="AA30" s="42" t="n">
        <v>0.7950904007071108</v>
      </c>
      <c r="AB30" s="42" t="n">
        <v>0.7864560165362364</v>
      </c>
      <c r="AC30" s="42" t="n">
        <v>0.7779153985458415</v>
      </c>
      <c r="AD30" s="42" t="n">
        <v>0.7694675284703001</v>
      </c>
      <c r="AE30" s="42" t="n">
        <v>0.7611113991019702</v>
      </c>
      <c r="AF30" s="42" t="n">
        <v>0.7528460141711074</v>
      </c>
      <c r="AG30" s="42" t="n">
        <v>0.7446703882270841</v>
      </c>
      <c r="AH30" s="42" t="n">
        <v>0.7365835465208974</v>
      </c>
      <c r="AI30" s="42" t="n">
        <v>0.7285845248889542</v>
      </c>
      <c r="AJ30" s="42" t="n">
        <v>0.7206723696381166</v>
      </c>
      <c r="AK30" s="42" t="n">
        <v>0.7128461374319977</v>
      </c>
      <c r="AL30" s="42" t="n">
        <v>0.7051048951784905</v>
      </c>
      <c r="AM30" s="42" t="n">
        <v>0.6974477199185191</v>
      </c>
      <c r="AN30" s="42" t="n">
        <v>0.6898736987159976</v>
      </c>
      <c r="AO30" s="42" t="n">
        <v>0.6823819285489844</v>
      </c>
      <c r="AP30" s="42" t="n">
        <v>0.6749715162020183</v>
      </c>
      <c r="AQ30" s="42" t="n">
        <v>0.6676415781596237</v>
      </c>
      <c r="AR30" s="42" t="n">
        <v>0.6603912405009721</v>
      </c>
      <c r="AS30" s="42" t="n">
        <v>0.6532196387956885</v>
      </c>
    </row>
    <row r="31">
      <c r="A31" s="5" t="inlineStr">
        <is>
          <t>Saldo descontado ao mês 0</t>
        </is>
      </c>
      <c r="B31" s="30" t="n">
        <v>3495430.066317601</v>
      </c>
      <c r="C31" s="30" t="n">
        <v>14686.89023865733</v>
      </c>
      <c r="D31" s="31" t="n">
        <v>-5158995.219585419</v>
      </c>
      <c r="E31" s="30" t="n">
        <v>8639738.395664362</v>
      </c>
      <c r="F31" s="32" t="n">
        <v>-15629.2718925</v>
      </c>
      <c r="G31" s="32" t="n">
        <v>-15459.54384936065</v>
      </c>
      <c r="H31" s="32" t="n">
        <v>45775.70598051798</v>
      </c>
      <c r="I31" s="32" t="n">
        <v>-124522.1021098653</v>
      </c>
      <c r="J31" s="32" t="n">
        <v>-177904.312895847</v>
      </c>
      <c r="K31" s="32" t="n">
        <v>-263716.481974274</v>
      </c>
      <c r="L31" s="32" t="n">
        <v>-362771.0733566289</v>
      </c>
      <c r="M31" s="32" t="n">
        <v>-474487.637778115</v>
      </c>
      <c r="N31" s="32" t="n">
        <v>-598371.0899259854</v>
      </c>
      <c r="O31" s="32" t="n">
        <v>-699300.819496247</v>
      </c>
      <c r="P31" s="32" t="n">
        <v>-778104.6114192869</v>
      </c>
      <c r="Q31" s="32" t="n">
        <v>-835673.7718689435</v>
      </c>
      <c r="R31" s="32" t="n">
        <v>-872942.4447459513</v>
      </c>
      <c r="S31" s="32" t="n">
        <v>-857618.2746786547</v>
      </c>
      <c r="T31" s="32" t="n">
        <v>-808134.6114621701</v>
      </c>
      <c r="U31" s="32" t="n">
        <v>-725851.1686342077</v>
      </c>
      <c r="V31" s="32" t="n">
        <v>-628080.0319825817</v>
      </c>
      <c r="W31" s="32" t="n">
        <v>-499454.5096089478</v>
      </c>
      <c r="X31" s="32" t="n">
        <v>-372329.1666359834</v>
      </c>
      <c r="Y31" s="32" t="n">
        <v>-215229.8306305762</v>
      </c>
      <c r="Z31" s="32" t="n">
        <v>-44018.99132158761</v>
      </c>
      <c r="AA31" s="32" t="n">
        <v>126378.0026454675</v>
      </c>
      <c r="AB31" s="32" t="n">
        <v>282059.2966545943</v>
      </c>
      <c r="AC31" s="32" t="n">
        <v>440170.2533000433</v>
      </c>
      <c r="AD31" s="32" t="n">
        <v>574165.1832313063</v>
      </c>
      <c r="AE31" s="32" t="n">
        <v>719864.7947718219</v>
      </c>
      <c r="AF31" s="32" t="n">
        <v>891363.0402232481</v>
      </c>
      <c r="AG31" s="32" t="n">
        <v>1145515.140113954</v>
      </c>
      <c r="AH31" s="32" t="n">
        <v>41808.3804625155</v>
      </c>
      <c r="AI31" s="32" t="n">
        <v>8506198.566044988</v>
      </c>
      <c r="AJ31" s="32" t="n">
        <v>27333.14368012783</v>
      </c>
      <c r="AK31" s="32" t="n">
        <v>21481.78754555962</v>
      </c>
      <c r="AL31" s="32" t="n">
        <v>16455.97628432897</v>
      </c>
      <c r="AM31" s="32" t="n">
        <v>12170.99966681606</v>
      </c>
      <c r="AN31" s="32" t="n">
        <v>8541.166396497045</v>
      </c>
      <c r="AO31" s="32" t="n">
        <v>5483.842744352813</v>
      </c>
      <c r="AP31" s="32" t="n">
        <v>2921.969303295928</v>
      </c>
      <c r="AQ31" s="32" t="n">
        <v>785.435509649828</v>
      </c>
      <c r="AR31" s="32" t="n">
        <v>-988.361469153957</v>
      </c>
      <c r="AS31" s="32" t="n">
        <v>-2454.510504616382</v>
      </c>
    </row>
    <row r="34">
      <c r="A34" s="43" t="inlineStr">
        <is>
          <t xml:space="preserve">   ★  EVENTOS IMPORTANTES DO PROJETO</t>
        </is>
      </c>
    </row>
    <row r="35">
      <c r="A35" s="21" t="inlineStr">
        <is>
          <t>Evento</t>
        </is>
      </c>
      <c r="B35" s="21" t="inlineStr">
        <is>
          <t>Mês (t)</t>
        </is>
      </c>
      <c r="C35" s="21" t="inlineStr">
        <is>
          <t>Observação</t>
        </is>
      </c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  <c r="AQ35" s="44" t="n"/>
      <c r="AR35" s="44" t="n"/>
      <c r="AS35" s="45" t="n"/>
    </row>
    <row r="36">
      <c r="A36" s="5" t="inlineStr">
        <is>
          <t>Mês 1 do pré-lançamento</t>
        </is>
      </c>
      <c r="B36" s="46" t="n">
        <v>-3</v>
      </c>
      <c r="C36" s="10" t="inlineStr">
        <is>
          <t>início das vendas</t>
        </is>
      </c>
    </row>
    <row r="37">
      <c r="A37" s="5" t="inlineStr">
        <is>
          <t>Início da obra</t>
        </is>
      </c>
      <c r="B37" s="46" t="n">
        <v>0</v>
      </c>
      <c r="C37" s="10" t="inlineStr">
        <is>
          <t>canteiro montado, fundação inicia</t>
        </is>
      </c>
    </row>
    <row r="38">
      <c r="A38" s="5" t="inlineStr">
        <is>
          <t>Pico de exposição de caixa</t>
        </is>
      </c>
      <c r="B38" s="46" t="n">
        <v>17</v>
      </c>
      <c r="C38" s="10" t="inlineStr">
        <is>
          <t>capital máximo exposto: R$ 10.6M</t>
        </is>
      </c>
    </row>
    <row r="39">
      <c r="A39" s="5" t="inlineStr">
        <is>
          <t>Entrega das unidades</t>
        </is>
      </c>
      <c r="B39" s="46" t="n">
        <v>24</v>
      </c>
      <c r="C39" s="10" t="inlineStr">
        <is>
          <t>habite-se, chaves, início repasse bancário</t>
        </is>
      </c>
    </row>
    <row r="40">
      <c r="A40" s="5" t="inlineStr">
        <is>
          <t>Break-even de caixa</t>
        </is>
      </c>
      <c r="B40" s="46" t="n">
        <v>26</v>
      </c>
      <c r="C40" s="10" t="inlineStr">
        <is>
          <t>saldo acumulado volta a zero — projeto pago</t>
        </is>
      </c>
    </row>
    <row r="41">
      <c r="A41" s="5" t="inlineStr">
        <is>
          <t>Fim do horizonte</t>
        </is>
      </c>
      <c r="B41" s="46" t="n">
        <v>36</v>
      </c>
      <c r="C41" s="10" t="inlineStr">
        <is>
          <t>final do pós-obra (12 meses após entrega)</t>
        </is>
      </c>
    </row>
    <row r="44">
      <c r="A44" s="43" t="inlineStr">
        <is>
          <t xml:space="preserve">   📈  SALDO ACUMULADO AO LONGO DOS MESES</t>
        </is>
      </c>
    </row>
  </sheetData>
  <mergeCells count="14">
    <mergeCell ref="C40:AS40"/>
    <mergeCell ref="C35:AS35"/>
    <mergeCell ref="A44:AS44"/>
    <mergeCell ref="A1:AS1"/>
    <mergeCell ref="A9:AS9"/>
    <mergeCell ref="A27:AS27"/>
    <mergeCell ref="A18:AS18"/>
    <mergeCell ref="A2:AS4"/>
    <mergeCell ref="C38:AS38"/>
    <mergeCell ref="A34:AS34"/>
    <mergeCell ref="C36:AS36"/>
    <mergeCell ref="C41:AS41"/>
    <mergeCell ref="C37:AS37"/>
    <mergeCell ref="C39:AS39"/>
  </mergeCells>
  <conditionalFormatting sqref="F28:AS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9:AS29">
    <cfRule type="colorScale" priority="3">
      <colorScale>
        <cfvo type="min"/>
        <cfvo type="num" val="0"/>
        <cfvo type="max"/>
        <color rgb="00B71C1C"/>
        <color rgb="00FFFFFF"/>
        <color rgb="001B5E2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1" t="inlineStr">
        <is>
          <t>RESULTADO — VPL, TIR, margem, validação</t>
        </is>
      </c>
    </row>
    <row r="3">
      <c r="A3" s="21" t="inlineStr">
        <is>
          <t>Indicador</t>
        </is>
      </c>
      <c r="B3" s="21" t="inlineStr">
        <is>
          <t>Valor (Python)</t>
        </is>
      </c>
      <c r="C3" s="21" t="inlineStr">
        <is>
          <t>Fórmula Excel</t>
        </is>
      </c>
      <c r="D3" s="21" t="inlineStr">
        <is>
          <t>Observação</t>
        </is>
      </c>
      <c r="E3" s="21" t="inlineStr">
        <is>
          <t>Status</t>
        </is>
      </c>
    </row>
    <row r="4">
      <c r="A4" s="5" t="inlineStr">
        <is>
          <t>VGV bruto</t>
        </is>
      </c>
      <c r="B4" s="6" t="n">
        <v>31258543.785</v>
      </c>
      <c r="C4" s="12" t="inlineStr"/>
      <c r="D4" s="13" t="inlineStr">
        <is>
          <t>área privativa × R$/m²</t>
        </is>
      </c>
      <c r="E4" s="47" t="inlineStr"/>
    </row>
    <row r="5">
      <c r="A5" s="5" t="inlineStr">
        <is>
          <t>VGV líquido permuta</t>
        </is>
      </c>
      <c r="B5" s="6" t="n">
        <v>31258543.785</v>
      </c>
      <c r="C5" s="12" t="inlineStr"/>
      <c r="D5" s="13" t="inlineStr">
        <is>
          <t>pós permuta</t>
        </is>
      </c>
      <c r="E5" s="47" t="inlineStr"/>
    </row>
    <row r="6">
      <c r="A6" s="5" t="inlineStr">
        <is>
          <t>Custo obra (paramétrico)</t>
        </is>
      </c>
      <c r="B6" s="6" t="n">
        <v>17347023.6777</v>
      </c>
      <c r="C6" s="12" t="inlineStr"/>
      <c r="D6" s="13" t="inlineStr">
        <is>
          <t>CUSTOS_MACROGRUPO!D22</t>
        </is>
      </c>
      <c r="E6" s="47" t="inlineStr"/>
    </row>
    <row r="7">
      <c r="A7" s="5" t="inlineStr">
        <is>
          <t>Receita total (horizonte)</t>
        </is>
      </c>
      <c r="B7" s="6" t="n">
        <v>29293093.49987123</v>
      </c>
      <c r="C7" s="12" t="inlineStr"/>
      <c r="D7" s="13" t="inlineStr">
        <is>
          <t>soma do fluxo</t>
        </is>
      </c>
      <c r="E7" s="47" t="inlineStr"/>
    </row>
    <row r="8">
      <c r="A8" s="5" t="inlineStr">
        <is>
          <t>Despesa total (horizonte)</t>
        </is>
      </c>
      <c r="B8" s="6" t="n">
        <v>22548191.85863639</v>
      </c>
      <c r="C8" s="12" t="inlineStr"/>
      <c r="D8" s="13" t="inlineStr">
        <is>
          <t>custo obra + contingência + comercial + RET + admin</t>
        </is>
      </c>
      <c r="E8" s="47" t="inlineStr"/>
    </row>
    <row r="9">
      <c r="A9" s="5" t="inlineStr">
        <is>
          <t>Lucro líquido</t>
        </is>
      </c>
      <c r="B9" s="6" t="n">
        <v>6744901.641234837</v>
      </c>
      <c r="C9" s="12" t="inlineStr"/>
      <c r="D9" s="13" t="inlineStr">
        <is>
          <t>receita - despesa</t>
        </is>
      </c>
      <c r="E9" s="48" t="inlineStr">
        <is>
          <t>✓</t>
        </is>
      </c>
    </row>
    <row r="10">
      <c r="A10" s="5" t="inlineStr">
        <is>
          <t>Margem líquida</t>
        </is>
      </c>
      <c r="B10" s="7" t="n">
        <v>0.2302556963218817</v>
      </c>
      <c r="C10" s="12" t="inlineStr"/>
      <c r="D10" s="13" t="inlineStr">
        <is>
          <t>lucro / receita</t>
        </is>
      </c>
      <c r="E10" s="48" t="inlineStr">
        <is>
          <t>✓</t>
        </is>
      </c>
    </row>
    <row r="12">
      <c r="A12" s="5" t="inlineStr">
        <is>
          <t>VPL @ TMA (Python)</t>
        </is>
      </c>
      <c r="B12" s="6" t="n">
        <v>3495430.0663176</v>
      </c>
      <c r="C12" s="12" t="inlineStr"/>
      <c r="D12" s="13" t="inlineStr">
        <is>
          <t>numpy_financial.npv</t>
        </is>
      </c>
      <c r="E12" s="47" t="inlineStr"/>
    </row>
    <row r="13">
      <c r="A13" s="5" t="inlineStr">
        <is>
          <t>VPL @ TMA (Excel NPV)</t>
        </is>
      </c>
      <c r="B13" s="49" t="inlineStr">
        <is>
          <t>ver col C</t>
        </is>
      </c>
      <c r="C13" s="31">
        <f>FLUXO_CAIXA!F28+NPV(0.010978851950173452,FLUXO_CAIXA!G28:AS28)</f>
        <v/>
      </c>
      <c r="D13" s="13" t="inlineStr">
        <is>
          <t>deve bater com linha acima</t>
        </is>
      </c>
      <c r="E13" s="47" t="inlineStr"/>
    </row>
    <row r="14">
      <c r="A14" s="5" t="inlineStr">
        <is>
          <t>TIR mensal (Python)</t>
        </is>
      </c>
      <c r="B14" s="50" t="n">
        <v>0.03122776989057252</v>
      </c>
      <c r="C14" s="12" t="inlineStr"/>
      <c r="D14" s="13" t="inlineStr">
        <is>
          <t>numpy_financial.irr</t>
        </is>
      </c>
      <c r="E14" s="47" t="inlineStr"/>
    </row>
    <row r="15">
      <c r="A15" s="5" t="inlineStr">
        <is>
          <t>TIR anual</t>
        </is>
      </c>
      <c r="B15" s="7" t="n">
        <v>0.4462893733185387</v>
      </c>
      <c r="C15" s="12" t="inlineStr"/>
      <c r="D15" s="13" t="inlineStr">
        <is>
          <t>(1+TIR_m)^12 - 1</t>
        </is>
      </c>
      <c r="E15" s="48" t="inlineStr">
        <is>
          <t>✓</t>
        </is>
      </c>
    </row>
    <row r="16">
      <c r="A16" s="5" t="inlineStr">
        <is>
          <t>TIR mensal (Excel IRR)</t>
        </is>
      </c>
      <c r="B16" s="49" t="inlineStr">
        <is>
          <t>ver col C</t>
        </is>
      </c>
      <c r="C16" s="51">
        <f>IRR(FLUXO_CAIXA!F28:AS28)</f>
        <v/>
      </c>
      <c r="D16" s="13" t="inlineStr">
        <is>
          <t>deve bater com linha 3 acima</t>
        </is>
      </c>
      <c r="E16" s="47" t="inlineStr"/>
    </row>
    <row r="17">
      <c r="A17" s="5" t="inlineStr">
        <is>
          <t>Payback descontado (meses da obra)</t>
        </is>
      </c>
      <c r="B17" s="8" t="n">
        <v>-1</v>
      </c>
      <c r="C17" s="12" t="inlineStr"/>
      <c r="D17" s="13" t="inlineStr">
        <is>
          <t>t em que fluxo descontado acumulado ≥ 0</t>
        </is>
      </c>
      <c r="E17" s="47" t="inlineStr"/>
    </row>
    <row r="18">
      <c r="A18" s="5" t="inlineStr">
        <is>
          <t>Exposição máxima</t>
        </is>
      </c>
      <c r="B18" s="6" t="n">
        <v>10614038.32718957</v>
      </c>
      <c r="C18" s="12" t="inlineStr"/>
      <c r="D18" s="13" t="inlineStr">
        <is>
          <t>min(fluxo acum.)</t>
        </is>
      </c>
      <c r="E18" s="47" t="inlineStr"/>
    </row>
    <row r="19">
      <c r="A19" s="5" t="inlineStr">
        <is>
          <t>ROI sobre capital</t>
        </is>
      </c>
      <c r="B19" s="7" t="n">
        <v>0.6354698780347049</v>
      </c>
      <c r="C19" s="12" t="inlineStr"/>
      <c r="D19" s="13" t="inlineStr">
        <is>
          <t>lucro / exposição máxima</t>
        </is>
      </c>
      <c r="E19" s="47" t="inlineStr"/>
    </row>
    <row r="22">
      <c r="A22" s="4" t="inlineStr">
        <is>
          <t>VALIDAÇÃO — semáforo</t>
        </is>
      </c>
    </row>
    <row r="23">
      <c r="A23" s="10" t="inlineStr">
        <is>
          <t>Margem líquida &gt; 18%</t>
        </is>
      </c>
      <c r="B23" s="52" t="n">
        <v>0.2302556963218817</v>
      </c>
      <c r="C23" s="53" t="n">
        <v>0.18</v>
      </c>
      <c r="E23" s="48" t="inlineStr">
        <is>
          <t>✓</t>
        </is>
      </c>
    </row>
    <row r="24">
      <c r="A24" s="10" t="inlineStr">
        <is>
          <t>TIR anual &gt; TMA+5% (19%)</t>
        </is>
      </c>
      <c r="B24" s="52" t="n">
        <v>0.4462893733185387</v>
      </c>
      <c r="C24" s="53" t="n">
        <v>0.19</v>
      </c>
      <c r="E24" s="48" t="inlineStr">
        <is>
          <t>✓</t>
        </is>
      </c>
    </row>
    <row r="25">
      <c r="A25" s="10" t="inlineStr">
        <is>
          <t>VPL @ TMA &gt; 0</t>
        </is>
      </c>
      <c r="B25" s="54" t="n">
        <v>3495430.0663176</v>
      </c>
      <c r="C25" s="55" t="n">
        <v>0</v>
      </c>
      <c r="E25" s="48" t="inlineStr">
        <is>
          <t>✓</t>
        </is>
      </c>
    </row>
    <row r="26">
      <c r="A26" s="10" t="inlineStr">
        <is>
          <t>VGV / Custo obra &gt; 1,80</t>
        </is>
      </c>
      <c r="B26" s="56" t="n">
        <v>1.801954292895996</v>
      </c>
      <c r="C26" s="57" t="n">
        <v>1.8</v>
      </c>
      <c r="E26" s="48" t="inlineStr">
        <is>
          <t>✓</t>
        </is>
      </c>
    </row>
    <row r="27">
      <c r="A27" s="10" t="inlineStr">
        <is>
          <t>Exposição máx / VGV &lt; 25%</t>
        </is>
      </c>
      <c r="B27" s="52" t="n">
        <v>0.3395563913723618</v>
      </c>
      <c r="C27" s="53" t="n">
        <v>0.25</v>
      </c>
      <c r="E27" s="58" t="inlineStr">
        <is>
          <t>✗</t>
        </is>
      </c>
    </row>
    <row r="28">
      <c r="A28" s="10" t="inlineStr">
        <is>
          <t>P(VPL &gt; 0) Monte Carlo &gt; 85%</t>
        </is>
      </c>
      <c r="B28" s="52" t="n">
        <v>0.9277</v>
      </c>
      <c r="C28" s="53" t="n">
        <v>0.85</v>
      </c>
      <c r="E28" s="48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CENÁRIOS — Pessimista / Base / Otimista</t>
        </is>
      </c>
    </row>
    <row r="3">
      <c r="A3" s="21" t="inlineStr">
        <is>
          <t>Indicador</t>
        </is>
      </c>
      <c r="B3" s="21" t="inlineStr">
        <is>
          <t>Pessimista</t>
        </is>
      </c>
      <c r="C3" s="21" t="inlineStr">
        <is>
          <t>Base</t>
        </is>
      </c>
      <c r="D3" s="21" t="inlineStr">
        <is>
          <t>Otimista</t>
        </is>
      </c>
    </row>
    <row r="4">
      <c r="A4" s="59" t="inlineStr">
        <is>
          <t>Perturbação vs base</t>
        </is>
      </c>
      <c r="B4" s="60" t="inlineStr">
        <is>
          <t>vgv×0.85  custo×1.10  t50+6</t>
        </is>
      </c>
      <c r="C4" s="61" t="inlineStr">
        <is>
          <t>vgv×1.00  custo×1.00  t50+0</t>
        </is>
      </c>
      <c r="D4" s="62" t="inlineStr">
        <is>
          <t>vgv×1.10  custo×0.95  t50-3</t>
        </is>
      </c>
    </row>
    <row r="6">
      <c r="A6" s="5" t="inlineStr">
        <is>
          <t>VGV bruto</t>
        </is>
      </c>
      <c r="B6" s="63" t="n">
        <v>26569762.21725</v>
      </c>
      <c r="C6" s="31" t="n">
        <v>31258543.785</v>
      </c>
      <c r="D6" s="6" t="n">
        <v>34384398.1635</v>
      </c>
    </row>
    <row r="7">
      <c r="A7" s="5" t="inlineStr">
        <is>
          <t>VGV líquido</t>
        </is>
      </c>
      <c r="B7" s="63" t="n">
        <v>26569762.21725</v>
      </c>
      <c r="C7" s="31" t="n">
        <v>31258543.785</v>
      </c>
      <c r="D7" s="6" t="n">
        <v>34384398.1635</v>
      </c>
    </row>
    <row r="8">
      <c r="A8" s="5" t="inlineStr">
        <is>
          <t>Custo obra</t>
        </is>
      </c>
      <c r="B8" s="63" t="n">
        <v>19081726.04547</v>
      </c>
      <c r="C8" s="31" t="n">
        <v>17347023.6777</v>
      </c>
      <c r="D8" s="6" t="n">
        <v>16479672.493815</v>
      </c>
    </row>
    <row r="9">
      <c r="A9" s="5" t="inlineStr">
        <is>
          <t>Receita total</t>
        </is>
      </c>
      <c r="B9" s="63" t="n">
        <v>23229771.46935264</v>
      </c>
      <c r="C9" s="31" t="n">
        <v>29293093.49987123</v>
      </c>
      <c r="D9" s="6" t="n">
        <v>32859911.18290376</v>
      </c>
    </row>
    <row r="10">
      <c r="A10" s="5" t="inlineStr">
        <is>
          <t>Despesa total</t>
        </is>
      </c>
      <c r="B10" s="63" t="n">
        <v>23650717.28985418</v>
      </c>
      <c r="C10" s="31" t="n">
        <v>22548191.85863639</v>
      </c>
      <c r="D10" s="6" t="n">
        <v>22097143.81868683</v>
      </c>
    </row>
    <row r="11">
      <c r="A11" s="5" t="inlineStr">
        <is>
          <t>Lucro líquido</t>
        </is>
      </c>
      <c r="B11" s="63" t="n">
        <v>-420945.8205015361</v>
      </c>
      <c r="C11" s="31" t="n">
        <v>6744901.641234837</v>
      </c>
      <c r="D11" s="6" t="n">
        <v>10762767.36421693</v>
      </c>
    </row>
    <row r="12">
      <c r="A12" s="5" t="inlineStr">
        <is>
          <t>Margem líquida</t>
        </is>
      </c>
      <c r="B12" s="64" t="n">
        <v>-0.01812096262147459</v>
      </c>
      <c r="C12" s="28" t="n">
        <v>0.2302556963218817</v>
      </c>
      <c r="D12" s="7" t="n">
        <v>0.327534889072267</v>
      </c>
    </row>
    <row r="13">
      <c r="A13" s="5" t="inlineStr">
        <is>
          <t>VPL @ TMA</t>
        </is>
      </c>
      <c r="B13" s="63" t="n">
        <v>-2449781.077009307</v>
      </c>
      <c r="C13" s="31" t="n">
        <v>3495430.0663176</v>
      </c>
      <c r="D13" s="6" t="n">
        <v>6851497.052726236</v>
      </c>
    </row>
    <row r="14">
      <c r="A14" s="5" t="inlineStr">
        <is>
          <t>TIR anual</t>
        </is>
      </c>
      <c r="B14" s="64" t="n">
        <v>-0.02087294916961624</v>
      </c>
      <c r="C14" s="28" t="n">
        <v>0.4462893733185387</v>
      </c>
      <c r="D14" s="7" t="n">
        <v>0.9047633659366776</v>
      </c>
    </row>
    <row r="15">
      <c r="A15" s="5" t="inlineStr">
        <is>
          <t>Exposição máxima</t>
        </is>
      </c>
      <c r="B15" s="63" t="n">
        <v>15527269.53162398</v>
      </c>
      <c r="C15" s="31" t="n">
        <v>10614038.32718957</v>
      </c>
      <c r="D15" s="6" t="n">
        <v>7917230.870907119</v>
      </c>
    </row>
    <row r="16">
      <c r="A16" s="5" t="inlineStr">
        <is>
          <t>Payback (meses)</t>
        </is>
      </c>
      <c r="B16" s="65" t="n"/>
      <c r="C16" s="66" t="n">
        <v>-1</v>
      </c>
      <c r="D16" s="8" t="n">
        <v>-1</v>
      </c>
    </row>
    <row r="17">
      <c r="A17" s="5" t="inlineStr">
        <is>
          <t>ROI / capital</t>
        </is>
      </c>
      <c r="B17" s="64" t="n">
        <v>-0.02711009940570729</v>
      </c>
      <c r="C17" s="28" t="n">
        <v>0.6354698780347049</v>
      </c>
      <c r="D17" s="7" t="n">
        <v>1.359410574190289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TORNADO — Sensibilidade sobre VPL (±20% por variável)</t>
        </is>
      </c>
    </row>
    <row r="3">
      <c r="A3" s="21" t="inlineStr">
        <is>
          <t>Variável</t>
        </is>
      </c>
      <c r="B3" s="21" t="inlineStr">
        <is>
          <t>VPL (-20%)</t>
        </is>
      </c>
      <c r="C3" s="21" t="inlineStr">
        <is>
          <t>VPL base</t>
        </is>
      </c>
      <c r="D3" s="21" t="inlineStr">
        <is>
          <t>VPL (+20%)</t>
        </is>
      </c>
      <c r="E3" s="21" t="inlineStr">
        <is>
          <t>Δ VPL (high-low)</t>
        </is>
      </c>
    </row>
    <row r="4">
      <c r="A4" s="67" t="inlineStr">
        <is>
          <t>VGV R$/m²</t>
        </is>
      </c>
      <c r="B4" s="32" t="n">
        <v>-334954.4723630436</v>
      </c>
      <c r="C4" s="32" t="n">
        <v>3495430.0663176</v>
      </c>
      <c r="D4" s="32" t="n">
        <v>7325814.604998248</v>
      </c>
      <c r="E4" s="32" t="n">
        <v>7660769.077361291</v>
      </c>
    </row>
    <row r="5">
      <c r="A5" s="67" t="inlineStr">
        <is>
          <t>Custo obra</t>
        </is>
      </c>
      <c r="B5" s="32" t="n">
        <v>6626728.591734726</v>
      </c>
      <c r="C5" s="32" t="n">
        <v>3495430.0663176</v>
      </c>
      <c r="D5" s="32" t="n">
        <v>364131.5409004758</v>
      </c>
      <c r="E5" s="32" t="n">
        <v>-6262597.05083425</v>
      </c>
    </row>
    <row r="6">
      <c r="A6" s="67" t="inlineStr">
        <is>
          <t>Entrada %</t>
        </is>
      </c>
      <c r="B6" s="32" t="n">
        <v>2522753.945466829</v>
      </c>
      <c r="C6" s="32" t="n">
        <v>3495430.0663176</v>
      </c>
      <c r="D6" s="32" t="n">
        <v>4468106.187168369</v>
      </c>
      <c r="E6" s="32" t="n">
        <v>1945352.24170154</v>
      </c>
    </row>
    <row r="7">
      <c r="A7" s="67" t="inlineStr">
        <is>
          <t>t50 vendas</t>
        </is>
      </c>
      <c r="B7" s="32" t="n">
        <v>3987284.750021625</v>
      </c>
      <c r="C7" s="32" t="n">
        <v>3495430.0663176</v>
      </c>
      <c r="D7" s="32" t="n">
        <v>2883936.93531718</v>
      </c>
      <c r="E7" s="32" t="n">
        <v>-1103347.814704445</v>
      </c>
    </row>
    <row r="8">
      <c r="A8" s="67" t="inlineStr">
        <is>
          <t>TMA</t>
        </is>
      </c>
      <c r="B8" s="32" t="n">
        <v>4023206.11322566</v>
      </c>
      <c r="C8" s="32" t="n">
        <v>3495430.0663176</v>
      </c>
      <c r="D8" s="32" t="n">
        <v>3015624.148948697</v>
      </c>
      <c r="E8" s="32" t="n">
        <v>-1007581.964276962</v>
      </c>
    </row>
    <row r="9">
      <c r="A9" s="67" t="inlineStr">
        <is>
          <t>Corretagem</t>
        </is>
      </c>
      <c r="B9" s="32" t="n">
        <v>3756902.141815118</v>
      </c>
      <c r="C9" s="32" t="n">
        <v>3495430.0663176</v>
      </c>
      <c r="D9" s="32" t="n">
        <v>3233957.990820081</v>
      </c>
      <c r="E9" s="32" t="n">
        <v>-522944.1509950371</v>
      </c>
    </row>
    <row r="10">
      <c r="A10" s="67" t="inlineStr">
        <is>
          <t>RET 4%</t>
        </is>
      </c>
      <c r="B10" s="32" t="n">
        <v>3682710.173068348</v>
      </c>
      <c r="C10" s="32" t="n">
        <v>3495430.0663176</v>
      </c>
      <c r="D10" s="32" t="n">
        <v>3308149.959566852</v>
      </c>
      <c r="E10" s="32" t="n">
        <v>-374560.2135014962</v>
      </c>
    </row>
    <row r="11">
      <c r="A11" s="67" t="inlineStr">
        <is>
          <t>CUB/SC</t>
        </is>
      </c>
      <c r="B11" s="32" t="n">
        <v>3433886.056399073</v>
      </c>
      <c r="C11" s="32" t="n">
        <v>3495430.0663176</v>
      </c>
      <c r="D11" s="32" t="n">
        <v>3556873.050760998</v>
      </c>
      <c r="E11" s="32" t="n">
        <v>122986.9943619259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MONTE CARLO — 10.000 iterações</t>
        </is>
      </c>
    </row>
    <row r="2" ht="40" customHeight="1">
      <c r="A2" s="68" t="inlineStr">
        <is>
          <t>ÂNCORA: a simulação usa o ORÇAMENTO PARAMÉTRICO ENTREGUE como custo base (R$ 17.35 milhões — v00-final). custo_obra_fator = 1,00 representa executar exatamente o orçamento entregue. As variações (±10%) simulam desvios realistas de execução (aditivos, concorrência, replanejamento).</t>
        </is>
      </c>
    </row>
    <row r="4">
      <c r="A4" s="21" t="inlineStr">
        <is>
          <t>Estatística</t>
        </is>
      </c>
      <c r="B4" s="21" t="inlineStr">
        <is>
          <t>VPL (R$)</t>
        </is>
      </c>
      <c r="C4" s="21" t="inlineStr">
        <is>
          <t>TIR a.a.</t>
        </is>
      </c>
      <c r="D4" s="21" t="inlineStr">
        <is>
          <t>Margem</t>
        </is>
      </c>
    </row>
    <row r="5">
      <c r="A5" s="5" t="inlineStr">
        <is>
          <t>Mediana</t>
        </is>
      </c>
      <c r="B5" s="6" t="n">
        <v>3226824.974368696</v>
      </c>
      <c r="C5" s="7" t="n">
        <v>0.4064030344514329</v>
      </c>
      <c r="D5" s="7" t="n">
        <v>0.2200824864734138</v>
      </c>
    </row>
    <row r="6">
      <c r="A6" s="5" t="inlineStr">
        <is>
          <t>Média</t>
        </is>
      </c>
      <c r="B6" s="6" t="n">
        <v>3279819.245373345</v>
      </c>
    </row>
    <row r="7">
      <c r="A7" s="5" t="inlineStr">
        <is>
          <t>P10</t>
        </is>
      </c>
      <c r="B7" s="6" t="n">
        <v>368020.7969901581</v>
      </c>
      <c r="C7" s="7" t="n">
        <v>0.167247454873161</v>
      </c>
    </row>
    <row r="8">
      <c r="A8" s="5" t="inlineStr">
        <is>
          <t>P50</t>
        </is>
      </c>
      <c r="B8" s="6" t="n">
        <v>3226824.974368696</v>
      </c>
      <c r="C8" s="7" t="n">
        <v>0.4064030344514329</v>
      </c>
    </row>
    <row r="9">
      <c r="A9" s="5" t="inlineStr">
        <is>
          <t>P90</t>
        </is>
      </c>
      <c r="B9" s="6" t="n">
        <v>6319604.357584033</v>
      </c>
      <c r="C9" s="7" t="n">
        <v>0.7358768422044825</v>
      </c>
    </row>
    <row r="10">
      <c r="A10" s="5" t="inlineStr">
        <is>
          <t>Desvio padrão</t>
        </is>
      </c>
      <c r="B10" s="6" t="n">
        <v>2242091.388038072</v>
      </c>
    </row>
    <row r="12">
      <c r="A12" s="5" t="inlineStr">
        <is>
          <t>P(VPL &gt; 0)</t>
        </is>
      </c>
      <c r="B12" s="7" t="n">
        <v>0.9277</v>
      </c>
    </row>
    <row r="13">
      <c r="A13" s="5" t="inlineStr">
        <is>
          <t>P(TIR &gt; TMA)</t>
        </is>
      </c>
      <c r="B13" s="7" t="n">
        <v>0.9277</v>
      </c>
    </row>
    <row r="14">
      <c r="A14" s="5" t="inlineStr">
        <is>
          <t>P(Margem &gt; 15%)</t>
        </is>
      </c>
      <c r="B14" s="7" t="n">
        <v>0.8083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2026-04-23T17:08:50Z</dcterms:created>
  <dcterms:modified xmlns:dcterms="http://purl.org/dc/terms/" xmlns:xsi="http://www.w3.org/2001/XMLSchema-instance" xsi:type="dcterms:W3CDTF">2026-04-23T17:08:50Z</dcterms:modified>
</cp:coreProperties>
</file>