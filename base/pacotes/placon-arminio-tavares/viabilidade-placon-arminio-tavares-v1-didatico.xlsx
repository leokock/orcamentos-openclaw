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3.xml" ContentType="application/vnd.openxmlformats-officedocument.drawing+xml"/>
  <Override PartName="/xl/worksheets/sheet9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ECER" sheetId="1" state="visible" r:id="rId1"/>
    <sheet xmlns:r="http://schemas.openxmlformats.org/officeDocument/2006/relationships" name="COMO_LER" sheetId="2" state="visible" r:id="rId2"/>
    <sheet xmlns:r="http://schemas.openxmlformats.org/officeDocument/2006/relationships" name="PREMISSAS" sheetId="3" state="visible" r:id="rId3"/>
    <sheet xmlns:r="http://schemas.openxmlformats.org/officeDocument/2006/relationships" name="DETALHE_CUSTO" sheetId="4" state="visible" r:id="rId4"/>
    <sheet xmlns:r="http://schemas.openxmlformats.org/officeDocument/2006/relationships" name="FLUXO_CAIXA" sheetId="5" state="visible" r:id="rId5"/>
    <sheet xmlns:r="http://schemas.openxmlformats.org/officeDocument/2006/relationships" name="RESULTADO" sheetId="6" state="visible" r:id="rId6"/>
    <sheet xmlns:r="http://schemas.openxmlformats.org/officeDocument/2006/relationships" name="CENARIOS" sheetId="7" state="visible" r:id="rId7"/>
    <sheet xmlns:r="http://schemas.openxmlformats.org/officeDocument/2006/relationships" name="TORNADO" sheetId="8" state="visible" r:id="rId8"/>
    <sheet xmlns:r="http://schemas.openxmlformats.org/officeDocument/2006/relationships" name="MONTE_CARLO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&quot;R$&quot; #,##0"/>
    <numFmt numFmtId="165" formatCode="0.0%"/>
    <numFmt numFmtId="166" formatCode="&quot;R$&quot; #,##0.00"/>
    <numFmt numFmtId="167" formatCode="#,##0;;;"/>
    <numFmt numFmtId="168" formatCode="0.0%;;;"/>
    <numFmt numFmtId="169" formatCode="0%;;;"/>
  </numFmts>
  <fonts count="23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2C3E50"/>
      <sz val="13"/>
    </font>
    <font>
      <name val="Arial"/>
      <color rgb="00666666"/>
      <sz val="8"/>
    </font>
    <font>
      <name val="Arial"/>
      <b val="1"/>
      <color rgb="00FFFFFF"/>
      <sz val="22"/>
    </font>
    <font>
      <name val="Arial"/>
      <i val="1"/>
      <color rgb="002C3E50"/>
      <sz val="11"/>
    </font>
    <font>
      <name val="Arial"/>
      <b val="1"/>
      <color rgb="00FFFFFF"/>
      <sz val="10"/>
    </font>
    <font>
      <name val="Arial"/>
      <b val="1"/>
      <color rgb="002C3E50"/>
      <sz val="20"/>
    </font>
    <font>
      <name val="Arial"/>
      <b val="1"/>
      <color rgb="00FFFFFF"/>
      <sz val="11"/>
    </font>
    <font>
      <name val="Arial"/>
      <sz val="11"/>
    </font>
    <font>
      <name val="Arial"/>
      <b val="1"/>
      <color rgb="002C3E50"/>
      <sz val="11"/>
    </font>
    <font>
      <name val="Arial"/>
      <b val="1"/>
      <sz val="9"/>
    </font>
    <font>
      <name val="Arial"/>
      <b val="1"/>
      <color rgb="00FFFFFF"/>
      <sz val="14"/>
    </font>
    <font>
      <name val="Arial"/>
      <sz val="9"/>
    </font>
    <font>
      <name val="Arial"/>
      <b val="1"/>
      <color rgb="00C25700"/>
      <sz val="9"/>
    </font>
    <font>
      <name val="Arial"/>
      <b val="1"/>
      <color rgb="00FFFFFF"/>
      <sz val="8"/>
    </font>
    <font>
      <name val="Arial"/>
      <sz val="7"/>
    </font>
    <font>
      <name val="Arial"/>
      <b val="1"/>
      <color rgb="00FFFFFF"/>
      <sz val="7"/>
    </font>
    <font>
      <name val="Arial"/>
      <b val="1"/>
      <sz val="7"/>
    </font>
    <font>
      <name val="Arial"/>
      <sz val="10"/>
    </font>
    <font>
      <name val="Arial"/>
      <b val="1"/>
      <color rgb="00FFFFFF"/>
      <sz val="9"/>
    </font>
    <font>
      <name val="Arial"/>
      <b val="1"/>
      <sz val="8"/>
    </font>
    <font>
      <name val="Arial"/>
      <i val="1"/>
      <sz val="9"/>
    </font>
  </fonts>
  <fills count="17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E3F2FD"/>
      </patternFill>
    </fill>
    <fill>
      <patternFill patternType="solid">
        <fgColor rgb="001B5E20"/>
      </patternFill>
    </fill>
    <fill>
      <patternFill patternType="solid">
        <fgColor rgb="00E8F5E9"/>
      </patternFill>
    </fill>
    <fill>
      <patternFill patternType="solid">
        <fgColor rgb="00FFF8E1"/>
      </patternFill>
    </fill>
    <fill>
      <patternFill patternType="solid">
        <fgColor rgb="002980B9"/>
      </patternFill>
    </fill>
    <fill>
      <patternFill patternType="solid">
        <fgColor rgb="00F5F5F5"/>
      </patternFill>
    </fill>
    <fill>
      <patternFill patternType="solid">
        <fgColor rgb="00FFF3E0"/>
      </patternFill>
    </fill>
    <fill>
      <patternFill patternType="solid">
        <fgColor rgb="00FFE082"/>
      </patternFill>
    </fill>
    <fill>
      <patternFill patternType="solid">
        <fgColor rgb="00A5D6A7"/>
      </patternFill>
    </fill>
    <fill>
      <patternFill patternType="solid">
        <fgColor rgb="0090CAF9"/>
      </patternFill>
    </fill>
    <fill>
      <patternFill patternType="solid">
        <fgColor rgb="00C8E6C9"/>
      </patternFill>
    </fill>
    <fill>
      <patternFill patternType="solid">
        <fgColor rgb="00B71C1C"/>
      </patternFill>
    </fill>
    <fill>
      <patternFill patternType="solid">
        <fgColor rgb="00FFCDD2"/>
      </patternFill>
    </fill>
    <fill>
      <patternFill patternType="solid">
        <fgColor rgb="00FFEBEE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10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164" fontId="7" fillId="3" borderId="1" applyAlignment="1" pivotButton="0" quotePrefix="0" xfId="0">
      <alignment horizontal="center" vertical="center" wrapText="1"/>
    </xf>
    <xf numFmtId="164" fontId="7" fillId="5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top" wrapText="1"/>
    </xf>
    <xf numFmtId="165" fontId="7" fillId="5" borderId="1" applyAlignment="1" pivotButton="0" quotePrefix="0" xfId="0">
      <alignment horizontal="center" vertical="center" wrapText="1"/>
    </xf>
    <xf numFmtId="165" fontId="7" fillId="6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9" fillId="8" borderId="0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left" vertical="top" wrapText="1"/>
    </xf>
    <xf numFmtId="0" fontId="9" fillId="6" borderId="1" applyAlignment="1" pivotButton="0" quotePrefix="0" xfId="0">
      <alignment horizontal="left" vertical="top" wrapText="1"/>
    </xf>
    <xf numFmtId="0" fontId="9" fillId="3" borderId="1" applyAlignment="1" pivotButton="0" quotePrefix="0" xfId="0">
      <alignment horizontal="left" vertical="top" wrapText="1"/>
    </xf>
    <xf numFmtId="0" fontId="10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left" vertical="top" wrapText="1"/>
    </xf>
    <xf numFmtId="0" fontId="9" fillId="8" borderId="1" applyAlignment="1" pivotButton="0" quotePrefix="0" xfId="0">
      <alignment horizontal="left" vertical="top" wrapText="1"/>
    </xf>
    <xf numFmtId="0" fontId="12" fillId="2" borderId="0" applyAlignment="1" pivotButton="0" quotePrefix="0" xfId="0">
      <alignment horizontal="center" vertical="center" wrapText="1"/>
    </xf>
    <xf numFmtId="0" fontId="8" fillId="7" borderId="0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left" vertical="center" wrapText="1"/>
    </xf>
    <xf numFmtId="0" fontId="14" fillId="9" borderId="1" applyAlignment="1" pivotButton="0" quotePrefix="0" xfId="0">
      <alignment horizontal="right" vertical="center"/>
    </xf>
    <xf numFmtId="0" fontId="0" fillId="0" borderId="1" pivotButton="0" quotePrefix="0" xfId="0"/>
    <xf numFmtId="0" fontId="3" fillId="0" borderId="1" applyAlignment="1" pivotButton="0" quotePrefix="0" xfId="0">
      <alignment horizontal="left" vertical="center" wrapText="1"/>
    </xf>
    <xf numFmtId="4" fontId="14" fillId="9" borderId="1" applyAlignment="1" pivotButton="0" quotePrefix="0" xfId="0">
      <alignment horizontal="right" vertical="center"/>
    </xf>
    <xf numFmtId="165" fontId="14" fillId="9" borderId="1" applyAlignment="1" pivotButton="0" quotePrefix="0" xfId="0">
      <alignment horizontal="right" vertical="center"/>
    </xf>
    <xf numFmtId="3" fontId="14" fillId="9" borderId="1" applyAlignment="1" pivotButton="0" quotePrefix="0" xfId="0">
      <alignment horizontal="right" vertical="center"/>
    </xf>
    <xf numFmtId="164" fontId="14" fillId="9" borderId="1" applyAlignment="1" pivotButton="0" quotePrefix="0" xfId="0">
      <alignment horizontal="right" vertical="center"/>
    </xf>
    <xf numFmtId="166" fontId="14" fillId="9" borderId="1" applyAlignment="1" pivotButton="0" quotePrefix="0" xfId="0">
      <alignment horizontal="right" vertical="center"/>
    </xf>
    <xf numFmtId="0" fontId="5" fillId="3" borderId="0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top" wrapText="1"/>
    </xf>
    <xf numFmtId="0" fontId="8" fillId="2" borderId="1" applyAlignment="1" pivotButton="0" quotePrefix="0" xfId="0">
      <alignment horizontal="center" vertical="center" wrapText="1"/>
    </xf>
    <xf numFmtId="0" fontId="15" fillId="2" borderId="1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left" vertical="center" wrapText="1"/>
    </xf>
    <xf numFmtId="3" fontId="11" fillId="5" borderId="1" applyAlignment="1" pivotButton="0" quotePrefix="0" xfId="0">
      <alignment horizontal="right" vertical="center"/>
    </xf>
    <xf numFmtId="164" fontId="11" fillId="5" borderId="1" applyAlignment="1" pivotButton="0" quotePrefix="0" xfId="0">
      <alignment horizontal="right" vertical="center"/>
    </xf>
    <xf numFmtId="167" fontId="16" fillId="0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  <xf numFmtId="164" fontId="6" fillId="2" borderId="1" applyAlignment="1" pivotButton="0" quotePrefix="0" xfId="0">
      <alignment horizontal="right" vertical="center"/>
    </xf>
    <xf numFmtId="0" fontId="0" fillId="2" borderId="1" pivotButton="0" quotePrefix="0" xfId="0"/>
    <xf numFmtId="167" fontId="17" fillId="2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left" vertical="center" wrapText="1"/>
    </xf>
    <xf numFmtId="0" fontId="0" fillId="8" borderId="1" pivotButton="0" quotePrefix="0" xfId="0"/>
    <xf numFmtId="168" fontId="16" fillId="8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left" vertical="center" wrapText="1"/>
    </xf>
    <xf numFmtId="0" fontId="0" fillId="5" borderId="1" pivotButton="0" quotePrefix="0" xfId="0"/>
    <xf numFmtId="167" fontId="18" fillId="5" borderId="1" applyAlignment="1" pivotButton="0" quotePrefix="0" xfId="0">
      <alignment horizontal="center" vertical="center" wrapText="1"/>
    </xf>
    <xf numFmtId="0" fontId="0" fillId="3" borderId="1" pivotButton="0" quotePrefix="0" xfId="0"/>
    <xf numFmtId="169" fontId="18" fillId="0" borderId="1" applyAlignment="1" pivotButton="0" quotePrefix="0" xfId="0">
      <alignment horizontal="center" vertical="center" wrapText="1"/>
    </xf>
    <xf numFmtId="0" fontId="19" fillId="6" borderId="1" applyAlignment="1" pivotButton="0" quotePrefix="0" xfId="0">
      <alignment horizontal="left" vertical="top" wrapText="1"/>
    </xf>
    <xf numFmtId="0" fontId="20" fillId="7" borderId="1" applyAlignment="1" pivotButton="0" quotePrefix="0" xfId="0">
      <alignment horizontal="center" vertical="center" wrapText="1"/>
    </xf>
    <xf numFmtId="0" fontId="21" fillId="10" borderId="1" applyAlignment="1" pivotButton="0" quotePrefix="0" xfId="0">
      <alignment horizontal="center" vertical="center" wrapText="1"/>
    </xf>
    <xf numFmtId="0" fontId="21" fillId="11" borderId="1" applyAlignment="1" pivotButton="0" quotePrefix="0" xfId="0">
      <alignment horizontal="center" vertical="center" wrapText="1"/>
    </xf>
    <xf numFmtId="0" fontId="21" fillId="12" borderId="1" applyAlignment="1" pivotButton="0" quotePrefix="0" xfId="0">
      <alignment horizontal="center" vertical="center" wrapText="1"/>
    </xf>
    <xf numFmtId="0" fontId="8" fillId="4" borderId="0" applyAlignment="1" pivotButton="0" quotePrefix="0" xfId="0">
      <alignment horizontal="left" vertical="center" wrapText="1"/>
    </xf>
    <xf numFmtId="165" fontId="11" fillId="8" borderId="1" applyAlignment="1" pivotButton="0" quotePrefix="0" xfId="0">
      <alignment horizontal="right" vertical="center"/>
    </xf>
    <xf numFmtId="165" fontId="11" fillId="3" borderId="1" applyAlignment="1" pivotButton="0" quotePrefix="0" xfId="0">
      <alignment horizontal="right" vertical="center"/>
    </xf>
    <xf numFmtId="165" fontId="13" fillId="0" borderId="1" applyAlignment="1" pivotButton="0" quotePrefix="0" xfId="0">
      <alignment horizontal="right" vertical="center"/>
    </xf>
    <xf numFmtId="164" fontId="11" fillId="8" borderId="1" applyAlignment="1" pivotButton="0" quotePrefix="0" xfId="0">
      <alignment horizontal="right" vertical="center"/>
    </xf>
    <xf numFmtId="164" fontId="11" fillId="3" borderId="1" applyAlignment="1" pivotButton="0" quotePrefix="0" xfId="0">
      <alignment horizontal="right" vertical="center"/>
    </xf>
    <xf numFmtId="164" fontId="13" fillId="0" borderId="1" applyAlignment="1" pivotButton="0" quotePrefix="0" xfId="0">
      <alignment horizontal="right" vertical="center"/>
    </xf>
    <xf numFmtId="0" fontId="11" fillId="13" borderId="1" applyAlignment="1" pivotButton="0" quotePrefix="0" xfId="0">
      <alignment horizontal="left" vertical="center" wrapText="1"/>
    </xf>
    <xf numFmtId="164" fontId="13" fillId="13" borderId="1" applyAlignment="1" pivotButton="0" quotePrefix="0" xfId="0">
      <alignment horizontal="right" vertical="center"/>
    </xf>
    <xf numFmtId="0" fontId="8" fillId="14" borderId="0" applyAlignment="1" pivotButton="0" quotePrefix="0" xfId="0">
      <alignment horizontal="left" vertical="center" wrapText="1"/>
    </xf>
    <xf numFmtId="0" fontId="11" fillId="15" borderId="1" applyAlignment="1" pivotButton="0" quotePrefix="0" xfId="0">
      <alignment horizontal="left" vertical="center" wrapText="1"/>
    </xf>
    <xf numFmtId="164" fontId="13" fillId="15" borderId="1" applyAlignment="1" pivotButton="0" quotePrefix="0" xfId="0">
      <alignment horizontal="right" vertical="center"/>
    </xf>
    <xf numFmtId="0" fontId="8" fillId="2" borderId="0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left" vertical="center" wrapText="1"/>
    </xf>
    <xf numFmtId="164" fontId="13" fillId="8" borderId="1" applyAlignment="1" pivotButton="0" quotePrefix="0" xfId="0">
      <alignment horizontal="right" vertical="center"/>
    </xf>
    <xf numFmtId="4" fontId="11" fillId="8" borderId="1" applyAlignment="1" pivotButton="0" quotePrefix="0" xfId="0">
      <alignment horizontal="right" vertical="center"/>
    </xf>
    <xf numFmtId="4" fontId="11" fillId="3" borderId="1" applyAlignment="1" pivotButton="0" quotePrefix="0" xfId="0">
      <alignment horizontal="right" vertical="center"/>
    </xf>
    <xf numFmtId="4" fontId="13" fillId="0" borderId="1" applyAlignment="1" pivotButton="0" quotePrefix="0" xfId="0">
      <alignment horizontal="right" vertical="center"/>
    </xf>
    <xf numFmtId="0" fontId="8" fillId="7" borderId="0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13" fillId="6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 wrapText="1"/>
    </xf>
    <xf numFmtId="165" fontId="11" fillId="5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right" vertical="center"/>
    </xf>
    <xf numFmtId="10" fontId="11" fillId="5" borderId="1" applyAlignment="1" pivotButton="0" quotePrefix="0" xfId="0">
      <alignment horizontal="right" vertical="center"/>
    </xf>
    <xf numFmtId="10" fontId="11" fillId="3" borderId="1" applyAlignment="1" pivotButton="0" quotePrefix="0" xfId="0">
      <alignment horizontal="right" vertical="center"/>
    </xf>
    <xf numFmtId="165" fontId="11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right" vertical="center"/>
    </xf>
    <xf numFmtId="164" fontId="11" fillId="0" borderId="1" applyAlignment="1" pivotButton="0" quotePrefix="0" xfId="0">
      <alignment horizontal="right" vertical="center"/>
    </xf>
    <xf numFmtId="164" fontId="3" fillId="0" borderId="1" applyAlignment="1" pivotButton="0" quotePrefix="0" xfId="0">
      <alignment horizontal="right" vertical="center"/>
    </xf>
    <xf numFmtId="4" fontId="11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0" fontId="11" fillId="16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3" fillId="16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164" fontId="11" fillId="16" borderId="1" applyAlignment="1" pivotButton="0" quotePrefix="0" xfId="0">
      <alignment horizontal="right" vertical="center"/>
    </xf>
    <xf numFmtId="165" fontId="11" fillId="16" borderId="1" applyAlignment="1" pivotButton="0" quotePrefix="0" xfId="0">
      <alignment horizontal="right" vertical="center"/>
    </xf>
    <xf numFmtId="3" fontId="11" fillId="16" borderId="1" applyAlignment="1" pivotButton="0" quotePrefix="0" xfId="0">
      <alignment horizontal="right" vertical="center"/>
    </xf>
    <xf numFmtId="3" fontId="11" fillId="3" borderId="1" applyAlignment="1" pivotButton="0" quotePrefix="0" xfId="0">
      <alignment horizontal="right" vertical="center"/>
    </xf>
    <xf numFmtId="0" fontId="11" fillId="0" borderId="1" pivotButton="0" quotePrefix="0" xfId="0"/>
    <xf numFmtId="0" fontId="22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dxfs count="3">
    <dxf>
      <fill>
        <patternFill patternType="solid">
          <fgColor rgb="0090CAF9"/>
          <bgColor rgb="001976D2"/>
        </patternFill>
      </fill>
    </dxf>
    <dxf>
      <fill>
        <patternFill patternType="solid">
          <fgColor rgb="00C8E6C9"/>
        </patternFill>
      </fill>
    </dxf>
    <dxf>
      <fill>
        <patternFill patternType="solid">
          <f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_rels/drawing2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6.png" Id="rId1"/><Relationship Type="http://schemas.openxmlformats.org/officeDocument/2006/relationships/image" Target="/xl/media/image7.png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90</row>
      <rowOff>0</rowOff>
    </from>
    <ext cx="6858000" cy="438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117</row>
      <rowOff>0</rowOff>
    </from>
    <ext cx="6286500" cy="3238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138</row>
      <rowOff>0</rowOff>
    </from>
    <ext cx="7429500" cy="4381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45</row>
      <rowOff>0</rowOff>
    </from>
    <ext cx="8572500" cy="4000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13</row>
      <rowOff>0</rowOff>
    </from>
    <ext cx="5334000" cy="3429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16</row>
      <rowOff>0</rowOff>
    </from>
    <ext cx="4953000" cy="3048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34</row>
      <rowOff>0</rowOff>
    </from>
    <ext cx="4953000" cy="3048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6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3" customWidth="1" min="8" max="8"/>
  </cols>
  <sheetData>
    <row r="1" ht="8" customHeight="1"/>
    <row r="2" ht="36" customHeight="1">
      <c r="B2" s="1" t="inlineStr">
        <is>
          <t>ESTUDO DE VIABILIDADE FINANCEIRA</t>
        </is>
      </c>
    </row>
    <row r="3" ht="24" customHeight="1">
      <c r="B3" s="2" t="inlineStr">
        <is>
          <t>Placon Armínio Tavares — Centro, Florianópolis/SC</t>
        </is>
      </c>
    </row>
    <row r="4">
      <c r="B4" s="3" t="inlineStr">
        <is>
          <t>Cliente: Placon Empreendimentos Imobiliários Ltda.    |    Elaborado por: Cartesian Engenharia    |    2026-04-23</t>
        </is>
      </c>
    </row>
    <row r="6" ht="54" customHeight="1">
      <c r="B6" s="4" t="inlineStr">
        <is>
          <t>PROJETO VIÁVEL  (com pontos de atenção)</t>
        </is>
      </c>
    </row>
    <row r="7" ht="32" customHeight="1">
      <c r="B7" s="5" t="inlineStr">
        <is>
          <t>Viável no cenário base e provável (98% Monte Carlo), mas sensível a combinações adversas simultâneas — ver análise de cenários.</t>
        </is>
      </c>
    </row>
    <row r="9" ht="22" customHeight="1">
      <c r="B9" s="6" t="inlineStr">
        <is>
          <t>CAPITAL MÁXIMO EXPOSTO</t>
        </is>
      </c>
      <c r="E9" s="6" t="inlineStr">
        <is>
          <t>LUCRO ESPERADO (BASE)</t>
        </is>
      </c>
    </row>
    <row r="10" ht="38" customHeight="1">
      <c r="B10" s="7" t="n">
        <v>10614038.32718957</v>
      </c>
      <c r="E10" s="8" t="n">
        <v>6744901.641234837</v>
      </c>
    </row>
    <row r="11" ht="32" customHeight="1">
      <c r="B11" s="9" t="inlineStr">
        <is>
          <t>Quanto a Placon precisa ter em caixa (ou via SFH) no mês mais apertado, antes das vendas cobrirem os custos</t>
        </is>
      </c>
      <c r="E11" s="9" t="inlineStr">
        <is>
          <t>Receita total menos todas as despesas ao longo dos 39 meses do projeto</t>
        </is>
      </c>
    </row>
    <row r="13" ht="22" customHeight="1">
      <c r="B13" s="6" t="inlineStr">
        <is>
          <t>MARGEM LÍQUIDA</t>
        </is>
      </c>
      <c r="E13" s="6" t="inlineStr">
        <is>
          <t>CHANCE DE VPL POSITIVO</t>
        </is>
      </c>
    </row>
    <row r="14" ht="38" customHeight="1">
      <c r="B14" s="10" t="n">
        <v>0.2302556963218817</v>
      </c>
      <c r="E14" s="10" t="n">
        <v>0.9277</v>
      </c>
    </row>
    <row r="15" ht="32" customHeight="1">
      <c r="B15" s="9" t="inlineStr">
        <is>
          <t>Lucro ÷ Receita. Referência de mercado SC: 15–25%. Acima disso = margem acima da média</t>
        </is>
      </c>
      <c r="E15" s="9" t="inlineStr">
        <is>
          <t>Monte Carlo: em 10.000 versões com variações realistas de preço/custo/velocidade. quantas deram lucro acima do custo de capital</t>
        </is>
      </c>
    </row>
    <row r="17" ht="22" customHeight="1">
      <c r="B17" s="6" t="inlineStr">
        <is>
          <t>VPL @ TMA 14%</t>
        </is>
      </c>
      <c r="E17" s="6" t="inlineStr">
        <is>
          <t>TIR ANUAL</t>
        </is>
      </c>
    </row>
    <row r="18" ht="38" customHeight="1">
      <c r="B18" s="8" t="n">
        <v>3495430.0663176</v>
      </c>
      <c r="E18" s="11" t="n">
        <v>0.4462893733185387</v>
      </c>
    </row>
    <row r="19" ht="32" customHeight="1">
      <c r="B19" s="9" t="inlineStr">
        <is>
          <t>Valor criado acima do mínimo exigido pelo custo de capital. Se &gt; 0, o projeto remunera mais que o benchmark</t>
        </is>
      </c>
      <c r="E19" s="9" t="inlineStr">
        <is>
          <t>⚠ Inflada pela estrutura (permuta física + pré-lançamento). Prefira ler o VPL como indicador principal de viabilidade</t>
        </is>
      </c>
    </row>
    <row r="22">
      <c r="B22" s="12" t="inlineStr">
        <is>
          <t>O QUE É O PROJETO</t>
        </is>
      </c>
    </row>
    <row r="23" ht="18" customHeight="1">
      <c r="B23" s="13" t="inlineStr">
        <is>
          <t>O Placon Armínio Tavares é um empreendimento residencial + comercial da Placon com 55 unidades (tipologia Misto — studios + 1-2 dormitórios), distribuídas em 4,077 m² de área construída, localizado no bairro Centro em Florianópolis/SC — região central de alta densidade e demanda por produto compacto.
O custo de obra é de R$ 17.3 milhões (R$ 4,255/m²), calculado via paramétrico V2 Híbrido da Cartesian — metodologia calibrada contra base histórica de 126 projetos similares. O terreno é adquirido via compra direta (sem permuta física assumida no modelo). Ajustar se houver estrutura de permuta no contrato final.
O modelo financeiro cobre 39 meses: 3 de pré-lançamento, 24 de obra, e 12 de cauda de recebimento. O preço médio de venda estimado é R$ 15,000/m² privativo (referência Centro Florianópolis Médio-Alto, abr/2026). Estrutura padrão de mercado: 20% entrada + 40% parcelado durante obra corrigido pelo CUB/SC + 40% repasse bancário na entrega.</t>
        </is>
      </c>
    </row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2">
      <c r="B32" s="12" t="inlineStr">
        <is>
          <t>PRINCIPAIS DESCOBERTAS</t>
        </is>
      </c>
    </row>
    <row r="33" ht="32" customHeight="1">
      <c r="B33" s="14" t="inlineStr">
        <is>
          <t>✓  VPL positivo de R$ 3.5 milhões descontado a 14% a.a. — o projeto gera valor real acima do custo de capital da incorporadora.</t>
        </is>
      </c>
    </row>
    <row r="34" ht="32" customHeight="1">
      <c r="B34" s="14" t="inlineStr">
        <is>
          <t>✓  Margem líquida de 23.0% — acima do benchmark de mercado SC (15–25%), indicando eficiência operacional do projeto.</t>
        </is>
      </c>
    </row>
    <row r="35" ht="32" customHeight="1">
      <c r="B35" s="14" t="inlineStr">
        <is>
          <t>✓  Simulação Monte Carlo de 10.000 cenários mostra 92.8% de probabilidade de VPL positivo. com mediana de R$ 3.2M e P10 (pior 10%) de R$ 0.4M — projeto robusto a variações realistas.</t>
        </is>
      </c>
    </row>
    <row r="36" ht="38" customHeight="1">
      <c r="B36" s="15" t="inlineStr">
        <is>
          <t>⚠  Exposição máxima de caixa: R$ 10.6 milhões. A Placon precisa ter esse capital disponível (próprio ou via SFH) nos meses mais apertados do cronograma.</t>
        </is>
      </c>
    </row>
    <row r="37" ht="38" customHeight="1">
      <c r="B37" s="15" t="inlineStr">
        <is>
          <t>⚠  No cenário pessimista (preço -15%. custo +10%. vendas 8 meses mais lentas). o VPL vira NEGATIVO em R$ 2.450 mil. O projeto é viável mas sensível a combinações adversas simultâneas — não é invulnerável.</t>
        </is>
      </c>
    </row>
    <row r="38" ht="38" customHeight="1">
      <c r="B38" s="15" t="inlineStr">
        <is>
          <t>⚠  Fator de maior risco: VGV R$/m². Variação de ±20% move o VPL em R$ 8M. Validar o preço de R$ 15,000/m² com corretores locais é a diligência mais importante.</t>
        </is>
      </c>
    </row>
    <row r="40">
      <c r="B40" s="12" t="inlineStr">
        <is>
          <t>RECOMENDAÇÃO</t>
        </is>
      </c>
    </row>
    <row r="41" ht="18" customHeight="1">
      <c r="B41" s="16" t="inlineStr">
        <is>
          <t>Com base nos indicadores apurados, o Armínio Tavares é um projeto VIÁVEL e RECOMENDADO para avanço. O VPL de R$ 3.5M e a margem líquida de 23.0% posicionam o projeto acima da média do segmento em SC. A probabilidade de 93% de retorno positivo (Monte Carlo 10.000 iterações) confere robustez estatística ao investimento.
Recomendamos três diligências antes do lançamento:
(1) Validar o preço de venda de R$ 15,000/m² com corretores locais de Centro Florianópolis e comparáveis recém-lançados — é o fator de maior impacto sobre o resultado;
(2) Confirmar capacidade financeira da Placon para suportar a exposição máxima de R$ 10.6M (próprio ou via financiamento à produção SFH);
(3) Revisar a velocidade de vendas assumida (50% vendido no mês 12 do modelo) contra o histórico da Placon em projetos similares — Centro Florianópolis é mercado aquecido, mas a curva real precisa calibrar contra dados da incorporadora.</t>
        </is>
      </c>
    </row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3">
      <c r="B53" s="17" t="inlineStr">
        <is>
          <t>COMO NAVEGAR ESTE ESTUDO:</t>
        </is>
      </c>
    </row>
    <row r="54">
      <c r="B54" s="18" t="inlineStr">
        <is>
          <t>▸ COMO_LER</t>
        </is>
      </c>
      <c r="C54" s="19" t="inlineStr">
        <is>
          <t>Glossário com explicação em linguagem simples de todos os termos técnicos (VPL, TIR, Monte Carlo, RET, etc.)</t>
        </is>
      </c>
    </row>
    <row r="55">
      <c r="B55" s="18" t="inlineStr">
        <is>
          <t>▸ PREMISSAS</t>
        </is>
      </c>
      <c r="C55" s="19" t="inlineStr">
        <is>
          <t>Todas as premissas do modelo — se algum valor estiver incorreto, editá-lo aqui e regerar</t>
        </is>
      </c>
    </row>
    <row r="56">
      <c r="B56" s="18" t="inlineStr">
        <is>
          <t>▸ DETALHE_CUSTO</t>
        </is>
      </c>
      <c r="C56" s="19" t="inlineStr">
        <is>
          <t>Detalhamento do custo de obra: metodologia paramétrica, 18 macrogrupos, janela temporal, Gantt, curva S, stacked</t>
        </is>
      </c>
    </row>
    <row r="57">
      <c r="B57" s="18" t="inlineStr">
        <is>
          <t>▸ FLUXO_CAIXA</t>
        </is>
      </c>
      <c r="C57" s="19" t="inlineStr">
        <is>
          <t>Projeção mensal detalhada de receitas e despesas ao longo dos 39 meses do projeto</t>
        </is>
      </c>
    </row>
    <row r="58">
      <c r="B58" s="18" t="inlineStr">
        <is>
          <t>▸ RESULTADO</t>
        </is>
      </c>
      <c r="C58" s="19" t="inlineStr">
        <is>
          <t>Cálculo detalhado do VPL e TIR, com fórmula Excel paralela para auditoria</t>
        </is>
      </c>
    </row>
    <row r="59">
      <c r="B59" s="18" t="inlineStr">
        <is>
          <t>▸ CENARIOS</t>
        </is>
      </c>
      <c r="C59" s="19" t="inlineStr">
        <is>
          <t>Comparativo pessimista / base / otimista dos principais indicadores</t>
        </is>
      </c>
    </row>
    <row r="60">
      <c r="B60" s="18" t="inlineStr">
        <is>
          <t>▸ TORNADO</t>
        </is>
      </c>
      <c r="C60" s="19" t="inlineStr">
        <is>
          <t>Análise de sensibilidade — qual variável mais afeta o resultado</t>
        </is>
      </c>
    </row>
    <row r="61">
      <c r="B61" s="18" t="inlineStr">
        <is>
          <t>▸ MONTE_CARLO</t>
        </is>
      </c>
      <c r="C61" s="19" t="inlineStr">
        <is>
          <t>Simulação estatística com 10.000 iterações e histogramas de distribuição</t>
        </is>
      </c>
    </row>
  </sheetData>
  <mergeCells count="43">
    <mergeCell ref="B2:G2"/>
    <mergeCell ref="B11:D11"/>
    <mergeCell ref="E10:G10"/>
    <mergeCell ref="B14:D14"/>
    <mergeCell ref="E13:G13"/>
    <mergeCell ref="E19:G19"/>
    <mergeCell ref="C58:G58"/>
    <mergeCell ref="B17:D17"/>
    <mergeCell ref="B13:D13"/>
    <mergeCell ref="E9:G9"/>
    <mergeCell ref="B53:G53"/>
    <mergeCell ref="E15:G15"/>
    <mergeCell ref="B10:D10"/>
    <mergeCell ref="B38:G38"/>
    <mergeCell ref="B34:G34"/>
    <mergeCell ref="B19:D19"/>
    <mergeCell ref="E11:G11"/>
    <mergeCell ref="B37:G37"/>
    <mergeCell ref="C54:G54"/>
    <mergeCell ref="B9:D9"/>
    <mergeCell ref="B40:G40"/>
    <mergeCell ref="C55:G55"/>
    <mergeCell ref="B15:D15"/>
    <mergeCell ref="B33:G33"/>
    <mergeCell ref="B6:G6"/>
    <mergeCell ref="C56:G56"/>
    <mergeCell ref="C59:G59"/>
    <mergeCell ref="B36:G36"/>
    <mergeCell ref="B41:G50"/>
    <mergeCell ref="C60:G60"/>
    <mergeCell ref="B32:G32"/>
    <mergeCell ref="B4:G4"/>
    <mergeCell ref="E18:G18"/>
    <mergeCell ref="B35:G35"/>
    <mergeCell ref="C61:G61"/>
    <mergeCell ref="B7:G7"/>
    <mergeCell ref="B3:G3"/>
    <mergeCell ref="E14:G14"/>
    <mergeCell ref="B22:G22"/>
    <mergeCell ref="B18:D18"/>
    <mergeCell ref="E17:G17"/>
    <mergeCell ref="B23:G30"/>
    <mergeCell ref="C57:G5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1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00" customWidth="1" min="3" max="3"/>
  </cols>
  <sheetData>
    <row r="2" ht="36" customHeight="1">
      <c r="B2" s="1" t="inlineStr">
        <is>
          <t>COMO LER ESTE ESTUDO</t>
        </is>
      </c>
    </row>
    <row r="3" ht="24" customHeight="1">
      <c r="B3" s="5" t="inlineStr">
        <is>
          <t>Glossário de termos técnicos — explicação em linguagem simples</t>
        </is>
      </c>
    </row>
    <row r="5" ht="150" customHeight="1">
      <c r="B5" s="20" t="inlineStr">
        <is>
          <t>VPL — Valor Presente Líquido</t>
        </is>
      </c>
      <c r="C5" s="21" t="inlineStr">
        <is>
          <t>Soma de TODOS os fluxos de caixa futuros do projeto, trazidos a valor presente pela taxa mínima de atratividade (TMA). É o indicador mais importante deste estudo.
Interpretação simples: se o VPL &gt; 0, o projeto gera MAIS valor do que aplicar o mesmo dinheiro no benchmark de mercado (Selic + spread). Se VPL &lt; 0, o projeto destrói valor — seria melhor investir em outra coisa.
→ Neste estudo: VPL = R$ 3.5M. Indica que o Armínio Tavares produz R$ 3.5M a MAIS do que o mínimo exigido pelo custo de capital de 14.0% a.a.</t>
        </is>
      </c>
    </row>
    <row r="6" ht="150" customHeight="1">
      <c r="B6" s="20" t="inlineStr">
        <is>
          <t>TIR — Taxa Interna de Retorno</t>
        </is>
      </c>
      <c r="C6" s="21" t="inlineStr">
        <is>
          <t>Taxa de desconto que faz o VPL ser zero. Interpretada como 'rentabilidade anual do projeto'. Para ser atrativa, precisa estar acima da TMA.
⚠ Atenção nesta análise: a TIR de 44.6% a.a. é tecnicamente correta mas está INFLADA pela estrutura do modelo (permuta física do terreno + pré-lançamento com entradas cobrindo custos antes da obra iniciar, resultando em exposição de caixa baixa). O VPL é o indicador mais confiável neste caso.
→ Neste estudo: TIR = 44.6% a.a. no cenário base; P10 do Monte Carlo ~16.7% a.a.</t>
        </is>
      </c>
    </row>
    <row r="7" ht="135" customHeight="1">
      <c r="B7" s="20" t="inlineStr">
        <is>
          <t>TMA — Taxa Mínima de Atratividade</t>
        </is>
      </c>
      <c r="C7" s="21" t="inlineStr">
        <is>
          <t>Custo de capital que a incorporadora exige para justificar o investimento. É o 'piso' de rentabilidade abaixo do qual o projeto não compensa. Também chamada de 'taxa de desconto'.
Geralmente composta por: Selic (taxa básica) + spread de risco do setor imobiliário.
→ Neste estudo: 14.0% a.a. = Selic ~10,5% + spread 3,5% (benchmark incorporadora média SC 2026). Editável em PREMISSAS.</t>
        </is>
      </c>
    </row>
    <row r="8" ht="165" customHeight="1">
      <c r="B8" s="20" t="inlineStr">
        <is>
          <t>VGV — Valor Geral de Vendas</t>
        </is>
      </c>
      <c r="C8" s="21" t="inlineStr">
        <is>
          <t>Receita total esperada do empreendimento. Calculado como: área privativa vendável × preço médio de venda por m².
Dividido em dois conceitos neste estudo:
  • VGV BRUTO: valor total se todas as unidades fossem vendidas pela Placon
  • VGV LÍQUIDO: após subtrair a permuta física (0% das unidades vão para o proprietário do terreno)
→ Neste estudo: VGV bruto R$ 31.3M; VGV líquido (que a Placon de fato vende) R$ 31.3M.</t>
        </is>
      </c>
    </row>
    <row r="9" ht="210" customHeight="1">
      <c r="B9" s="20" t="inlineStr">
        <is>
          <t>Margem líquida</t>
        </is>
      </c>
      <c r="C9" s="21" t="inlineStr">
        <is>
          <t>(Lucro líquido) ÷ (Receita total). Mede a eficiência operacional da incorporação. Inclui TODOS os custos: obra, comercial, marketing, impostos (RET), admin.
Referência de mercado SC:
  • Abaixo de 10% → margem apertada, projeto frágil
  • 10–15% → aceitável
  • 15–25% → saudável (média do segmento)
  • Acima de 25% → acima da média, sinal de eficiência ou precificação forte
→ Neste estudo: 23.0% — acima da média do segmento, puxada por preço forte em Centro Florianópolis e custo calibrado no paramétrico.</t>
        </is>
      </c>
    </row>
    <row r="10" ht="135" customHeight="1">
      <c r="B10" s="20" t="inlineStr">
        <is>
          <t>Exposição máxima de caixa</t>
        </is>
      </c>
      <c r="C10" s="21" t="inlineStr">
        <is>
          <t>O 'pior momento' do projeto em termos de caixa: quanto a incorporadora tem que ter disponível (capital próprio ou financiamento) antes que as vendas comecem a cobrir os custos. É o BURACO máximo no fluxo acumulado.
Em projetos bem estruturados, corresponde a 20–35% do VGV. Abaixo disso = projeto leve de capital; acima = projeto pesado.
→ Neste estudo: R$ 10.6M = 34% do VGV líquido. Na faixa típica do setor.</t>
        </is>
      </c>
    </row>
    <row r="11" ht="315" customHeight="1">
      <c r="B11" s="20" t="inlineStr">
        <is>
          <t>Monte Carlo</t>
        </is>
      </c>
      <c r="C11" s="21" t="inlineStr">
        <is>
          <t>Técnica estatística para lidar com incerteza. Em vez de assumir que cada premissa é um número fixo. tratamos as mais importantes como FAIXAS de valores prováveis e rodamos milhares de simulações do projeto — em cada uma. o computador sorteia valores dentro das faixas e calcula o VPL.
Ao final. temos uma DISTRIBUIÇÃO de resultados possíveis em vez de um número único. Isso permite perguntar: 'qual a PROBABILIDADE do projeto dar lucro?'
▸  ÂNCORA NO ORÇAMENTO ENTREGUE: a base do MC é o orçamento paramétrico v00-final (R$ 17.3M). custo_obra_fator=1.00 representa executar exatamente esse orçamento. As variações simulam desvios realistas de execução.
Variáveis sorteadas neste estudo: preço de venda (R$ 12k a R$ 19k/m²). custo de obra (-5% a +12% sobre o orçamento entregue). velocidade de vendas (7 a 20 meses para t50). CUB/SC (4.0% a 11.0% a.a.). Correlação -40% entre preço e velocidade (preço alto ↔ venda mais lenta. que é o comportamento real de mercado).
→ Neste estudo: 92.8% das 10.000 simulações deram VPL positivo. Mediana R$ 3.2M. Pior 10% = R$ 0.4M. Melhor 10% = R$ 6.3M.</t>
        </is>
      </c>
    </row>
    <row r="12" ht="195" customHeight="1">
      <c r="B12" s="20" t="inlineStr">
        <is>
          <t>Cenários (Pessimista / Base / Otimista)</t>
        </is>
      </c>
      <c r="C12" s="21" t="inlineStr">
        <is>
          <t>Diferente do Monte Carlo (que sorteia aleatoriamente), aqui definimos 3 combinações específicas de premissas:
  • PESSIMISTA: preço -15%, custo +10%, venda 8 meses mais lenta
  • BASE: valores centrais, o 'cenário provável'
  • OTIMISTA: preço +10%, custo -5%, venda 4 meses mais rápida
Útil para responder: 'e se tudo der errado ao mesmo tempo?' (pessimista) e 'e se as coisas favorecerem?' (otimista).
→ Neste estudo: pessimista dá VPL R$ -2.4M (projeto vira inviável nesta combinação.)</t>
        </is>
      </c>
    </row>
    <row r="13" ht="195" customHeight="1">
      <c r="B13" s="20" t="inlineStr">
        <is>
          <t>Tornado (Análise de Sensibilidade)</t>
        </is>
      </c>
      <c r="C13" s="21" t="inlineStr">
        <is>
          <t>Gráfico que mostra qual variável tem MAIOR impacto sobre o VPL. Para cada variável, testamos +20% e -20% mantendo as outras fixas e medimos a variação resultante no VPL. A variável com a maior barra é a mais crítica — é ali que a diligência comercial deve focar.
→ Neste estudo (em ordem de impacto):
    1º VGV R$/m² — Δ R$ 7.7M (dominante)
    2º Custo obra — Δ R$ 6.3M
    3º Entrada % — Δ R$ 1.9M
Conclusão: validar o preço de venda de R$ 15,000/m² é a diligência mais importante deste projeto.</t>
        </is>
      </c>
    </row>
    <row r="14" ht="135" customHeight="1">
      <c r="B14" s="20" t="inlineStr">
        <is>
          <t>CUB/SC</t>
        </is>
      </c>
      <c r="C14" s="21" t="inlineStr">
        <is>
          <t>Custo Unitário Básico de Construção, publicado mensalmente pelo Sinduscon/SC. É o indexador padrão das parcelas da obra pagas pelos compradores durante a construção — o equivalente imobiliário da 'correção monetária'.
Substitui o INCC (usado em outros estados) no padrão catarinense.
→ Neste estudo: reajuste médio anual de 7.0% a.a. (histórico 2020–2025 Sinduscon/SC). Editável em PREMISSAS.</t>
        </is>
      </c>
    </row>
    <row r="15" ht="135" customHeight="1">
      <c r="B15" s="20" t="inlineStr">
        <is>
          <t>RET — Regime Especial de Tributação</t>
        </is>
      </c>
      <c r="C15" s="21" t="inlineStr">
        <is>
          <t>Alíquota unificada de 4% sobre a receita recebida, aplicável a incorporações que aderiram ao Patrimônio de Afetação (Lei 10.931/04, art. 4º). Substitui IR, CSLL, PIS e COFINS da SPE da incorporadora.
É o regime tributário mais eficiente para incorporação imobiliária no Brasil — normalmente vale a pena aderir.
→ Neste estudo: 4% sobre receita recebida a cada mês.</t>
        </is>
      </c>
    </row>
    <row r="16" ht="150" customHeight="1">
      <c r="B16" s="20" t="inlineStr">
        <is>
          <t>Permuta física</t>
        </is>
      </c>
      <c r="C16" s="21" t="inlineStr">
        <is>
          <t>Forma de adquirir o terreno: em vez de pagar em dinheiro, a incorporadora entrega ao proprietário um percentual das unidades prontas do futuro empreendimento. É o modelo dominante em terrenos valorizados no litoral SC.
Efeito financeiro: elimina o DESEMBOLSO inicial com terreno (grande alívio de caixa no mês 0), mas reduz o VGV vendável pela incorporadora (porque parte das unidades não é dela).
→ Neste estudo: 0% das unidades vão para o landowner. VGV vendável pela Placon cai de R$ 31.3M (bruto) para R$ 31.3M (líquido).</t>
        </is>
      </c>
    </row>
    <row r="17" ht="180" customHeight="1">
      <c r="B17" s="20" t="inlineStr">
        <is>
          <t>Paramétrico V2 Híbrido</t>
        </is>
      </c>
      <c r="C17" s="21" t="inlineStr">
        <is>
          <t>Metodologia Cartesian para orçamento preliminar: extrai quantitativos do BIM (modelo 3D do projeto), aplica Preços Unitários calibrados contra uma base histórica de 126 projetos similares já executados, e produz o custo total por macrogrupo com faixa de confiança. Precisão típica: ±10–15%.
Diferente de um orçamento executivo completo (SINAPI linha a linha), mas muito mais rápido e suficiente para decisões de viabilidade.
→ Neste estudo: custo total R$ 17.3M (R$ 4,255/m²). Benchmark do segmento 'Médio' (8k–15k m² AC): mediana R$ 3.337/m², faixa P25–P75 R$ 2.974–R$ 3.710. Armínio Tavares em R$ 4,255/m² — coerente com padrão Médio-Alto.</t>
        </is>
      </c>
    </row>
  </sheetData>
  <mergeCells count="2">
    <mergeCell ref="B3:C3"/>
    <mergeCell ref="B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cols>
    <col width="36" customWidth="1" min="1" max="1"/>
    <col width="20" customWidth="1" min="2" max="2"/>
    <col width="20" customWidth="1" min="3" max="3"/>
    <col width="44" customWidth="1" min="4" max="4"/>
  </cols>
  <sheetData>
    <row r="1" ht="28" customHeight="1">
      <c r="A1" s="22" t="inlineStr">
        <is>
          <t>PREMISSAS — editar valores e regerar via gerar_viabilidade_placon_arminio.py</t>
        </is>
      </c>
    </row>
    <row r="3">
      <c r="A3" s="23" t="inlineStr">
        <is>
          <t>PROJETO</t>
        </is>
      </c>
    </row>
    <row r="4">
      <c r="A4" s="24" t="inlineStr">
        <is>
          <t>Nome</t>
        </is>
      </c>
      <c r="B4" s="25" t="inlineStr">
        <is>
          <t>Placon Armínio Tavares</t>
        </is>
      </c>
      <c r="C4" s="26" t="n"/>
      <c r="D4" s="27" t="inlineStr"/>
    </row>
    <row r="5">
      <c r="A5" s="24" t="inlineStr">
        <is>
          <t>Cidade/Bairro</t>
        </is>
      </c>
      <c r="B5" s="25" t="inlineStr">
        <is>
          <t>Centro, Florianópolis/SC</t>
        </is>
      </c>
      <c r="C5" s="26" t="n"/>
      <c r="D5" s="27" t="inlineStr"/>
    </row>
    <row r="6">
      <c r="A6" s="24" t="inlineStr">
        <is>
          <t>Área construída (m²)</t>
        </is>
      </c>
      <c r="B6" s="28" t="n">
        <v>4077.29</v>
      </c>
      <c r="C6" s="26" t="n"/>
      <c r="D6" s="27" t="inlineStr">
        <is>
          <t>do paramétrico</t>
        </is>
      </c>
    </row>
    <row r="7">
      <c r="A7" s="24" t="inlineStr">
        <is>
          <t>% área privativa</t>
        </is>
      </c>
      <c r="B7" s="29" t="n">
        <v>0.5111</v>
      </c>
      <c r="C7" s="26" t="n"/>
      <c r="D7" s="27" t="inlineStr">
        <is>
          <t>AC que vira unidade vendável</t>
        </is>
      </c>
    </row>
    <row r="8">
      <c r="A8" s="24" t="inlineStr">
        <is>
          <t>Área privativa total (m²)</t>
        </is>
      </c>
      <c r="B8" s="28" t="n">
        <v>2083.902919</v>
      </c>
      <c r="C8" s="26" t="n"/>
      <c r="D8" s="27" t="inlineStr">
        <is>
          <t>AC × pct_priv</t>
        </is>
      </c>
    </row>
    <row r="9">
      <c r="A9" s="24" t="inlineStr">
        <is>
          <t>Unidades</t>
        </is>
      </c>
      <c r="B9" s="30" t="n">
        <v>55</v>
      </c>
      <c r="C9" s="26" t="n"/>
      <c r="D9" s="27" t="inlineStr"/>
    </row>
    <row r="10">
      <c r="A10" s="24" t="inlineStr">
        <is>
          <t>Permuta (% das unidades)</t>
        </is>
      </c>
      <c r="B10" s="29" t="n">
        <v>0</v>
      </c>
      <c r="C10" s="26" t="n"/>
      <c r="D10" s="27" t="inlineStr">
        <is>
          <t>terreno via permuta física</t>
        </is>
      </c>
    </row>
    <row r="11">
      <c r="A11" s="24" t="inlineStr">
        <is>
          <t>Prazo obra (meses)</t>
        </is>
      </c>
      <c r="B11" s="30" t="n">
        <v>24</v>
      </c>
      <c r="C11" s="26" t="n"/>
      <c r="D11" s="27" t="inlineStr"/>
    </row>
    <row r="12">
      <c r="A12" s="24" t="inlineStr">
        <is>
          <t>Prazo pré-lançamento (meses)</t>
        </is>
      </c>
      <c r="B12" s="30" t="n">
        <v>3</v>
      </c>
      <c r="C12" s="26" t="n"/>
      <c r="D12" s="27" t="inlineStr">
        <is>
          <t>meses -3 a 0</t>
        </is>
      </c>
    </row>
    <row r="13">
      <c r="A13" s="24" t="inlineStr">
        <is>
          <t>Prazo pós-obra (meses)</t>
        </is>
      </c>
      <c r="B13" s="30" t="n">
        <v>12</v>
      </c>
      <c r="C13" s="26" t="n"/>
      <c r="D13" s="27" t="inlineStr">
        <is>
          <t>cauda de recebimento</t>
        </is>
      </c>
    </row>
    <row r="15">
      <c r="A15" s="23" t="inlineStr">
        <is>
          <t>CUSTO</t>
        </is>
      </c>
    </row>
    <row r="16">
      <c r="A16" s="24" t="inlineStr">
        <is>
          <t>Custo de obra total (R$)</t>
        </is>
      </c>
      <c r="B16" s="31" t="n">
        <v>17347023.6777</v>
      </c>
      <c r="C16" s="26" t="n"/>
      <c r="D16" s="27" t="inlineStr">
        <is>
          <t>paramétrico V2</t>
        </is>
      </c>
    </row>
    <row r="17">
      <c r="A17" s="24" t="inlineStr">
        <is>
          <t>Contingência (%)</t>
        </is>
      </c>
      <c r="B17" s="29" t="n">
        <v>0.05</v>
      </c>
      <c r="C17" s="26" t="n"/>
      <c r="D17" s="27" t="inlineStr">
        <is>
          <t>sobre custo obra</t>
        </is>
      </c>
    </row>
    <row r="19">
      <c r="A19" s="23" t="inlineStr">
        <is>
          <t>RECEITA</t>
        </is>
      </c>
    </row>
    <row r="20">
      <c r="A20" s="24" t="inlineStr">
        <is>
          <t>VGV R$/m² privativo</t>
        </is>
      </c>
      <c r="B20" s="32" t="n">
        <v>15000</v>
      </c>
      <c r="C20" s="26" t="n"/>
      <c r="D20" s="27" t="inlineStr">
        <is>
          <t>Centro Florianópolis médio pesquisa 2026</t>
        </is>
      </c>
    </row>
    <row r="21">
      <c r="A21" s="24" t="inlineStr">
        <is>
          <t>VGV bruto (R$)</t>
        </is>
      </c>
      <c r="B21" s="31" t="n">
        <v>31258543.785</v>
      </c>
      <c r="C21" s="26" t="n"/>
      <c r="D21" s="27" t="inlineStr">
        <is>
          <t>área_priv × R$/m²</t>
        </is>
      </c>
    </row>
    <row r="22">
      <c r="A22" s="24" t="inlineStr">
        <is>
          <t>VGV líquido permuta (R$)</t>
        </is>
      </c>
      <c r="B22" s="31" t="n">
        <v>31258543.785</v>
      </c>
      <c r="C22" s="26" t="n"/>
      <c r="D22" s="27" t="inlineStr">
        <is>
          <t>após 0% de permuta</t>
        </is>
      </c>
    </row>
    <row r="23">
      <c r="A23" s="24" t="inlineStr">
        <is>
          <t>Entrada (% no ato)</t>
        </is>
      </c>
      <c r="B23" s="29" t="n">
        <v>0.2</v>
      </c>
      <c r="C23" s="26" t="n"/>
      <c r="D23" s="27" t="inlineStr"/>
    </row>
    <row r="24">
      <c r="A24" s="24" t="inlineStr">
        <is>
          <t>Obra (% parcelado CUB)</t>
        </is>
      </c>
      <c r="B24" s="29" t="n">
        <v>0.4</v>
      </c>
      <c r="C24" s="26" t="n"/>
      <c r="D24" s="27" t="inlineStr">
        <is>
          <t>durante obra</t>
        </is>
      </c>
    </row>
    <row r="25">
      <c r="A25" s="24" t="inlineStr">
        <is>
          <t>Repasse/chave (%)</t>
        </is>
      </c>
      <c r="B25" s="29" t="n">
        <v>0.4</v>
      </c>
      <c r="C25" s="26" t="n"/>
      <c r="D25" s="27" t="inlineStr">
        <is>
          <t>mês de entrega +2</t>
        </is>
      </c>
    </row>
    <row r="26">
      <c r="A26" s="24" t="inlineStr">
        <is>
          <t>Inadimplência (%)</t>
        </is>
      </c>
      <c r="B26" s="29" t="n">
        <v>0.03</v>
      </c>
      <c r="C26" s="26" t="n"/>
      <c r="D26" s="27" t="inlineStr">
        <is>
          <t>sobre recebido</t>
        </is>
      </c>
    </row>
    <row r="28">
      <c r="A28" s="23" t="inlineStr">
        <is>
          <t>FINANCEIRAS</t>
        </is>
      </c>
    </row>
    <row r="29">
      <c r="A29" s="24" t="inlineStr">
        <is>
          <t>CUB/SC (a.a.)</t>
        </is>
      </c>
      <c r="B29" s="29" t="n">
        <v>0.07000000000000001</v>
      </c>
      <c r="C29" s="26" t="n"/>
      <c r="D29" s="27" t="inlineStr">
        <is>
          <t>indexador parcelas obra</t>
        </is>
      </c>
    </row>
    <row r="30">
      <c r="A30" s="24" t="inlineStr">
        <is>
          <t>TMA (a.a.)</t>
        </is>
      </c>
      <c r="B30" s="29" t="n">
        <v>0.14</v>
      </c>
      <c r="C30" s="26" t="n"/>
      <c r="D30" s="27" t="inlineStr">
        <is>
          <t>custo de capital — desconto VPL</t>
        </is>
      </c>
    </row>
    <row r="32">
      <c r="A32" s="23" t="inlineStr">
        <is>
          <t>COMERCIAL / IMPOSTOS / ADMIN</t>
        </is>
      </c>
    </row>
    <row r="33">
      <c r="A33" s="24" t="inlineStr">
        <is>
          <t>Corretagem (% VGV)</t>
        </is>
      </c>
      <c r="B33" s="29" t="n">
        <v>0.05</v>
      </c>
      <c r="C33" s="26" t="n"/>
      <c r="D33" s="27" t="inlineStr">
        <is>
          <t>paga no mês da venda</t>
        </is>
      </c>
    </row>
    <row r="34">
      <c r="A34" s="24" t="inlineStr">
        <is>
          <t>Marketing (% VGV)</t>
        </is>
      </c>
      <c r="B34" s="29" t="n">
        <v>0.03</v>
      </c>
      <c r="C34" s="26" t="n"/>
      <c r="D34" s="27" t="inlineStr">
        <is>
          <t>stand, material, digital</t>
        </is>
      </c>
    </row>
    <row r="35">
      <c r="A35" s="24" t="inlineStr">
        <is>
          <t>Marketing front-load (% no pré-lanç)</t>
        </is>
      </c>
      <c r="B35" s="29" t="n">
        <v>0</v>
      </c>
      <c r="C35" s="26" t="n"/>
      <c r="D35" s="27" t="inlineStr"/>
    </row>
    <row r="36">
      <c r="A36" s="24" t="inlineStr">
        <is>
          <t>RET (% receita)</t>
        </is>
      </c>
      <c r="B36" s="29" t="n">
        <v>0.04</v>
      </c>
      <c r="C36" s="26" t="n"/>
      <c r="D36" s="27" t="inlineStr">
        <is>
          <t>Regime Especial de Tributação</t>
        </is>
      </c>
    </row>
    <row r="37">
      <c r="A37" s="24" t="inlineStr">
        <is>
          <t>Admin incorporadora (% VGV)</t>
        </is>
      </c>
      <c r="B37" s="29" t="n">
        <v>0.02</v>
      </c>
      <c r="C37" s="26" t="n"/>
      <c r="D37" s="27" t="inlineStr">
        <is>
          <t>equipe, jurídico, contábil</t>
        </is>
      </c>
    </row>
    <row r="39">
      <c r="A39" s="23" t="inlineStr">
        <is>
          <t>CURVA DE VENDAS (logística)</t>
        </is>
      </c>
    </row>
    <row r="40">
      <c r="A40" s="24" t="inlineStr">
        <is>
          <t>t_início (mês — pré-lanç)</t>
        </is>
      </c>
      <c r="B40" s="30" t="n">
        <v>-2</v>
      </c>
      <c r="C40" s="26" t="n"/>
      <c r="D40" s="27" t="inlineStr">
        <is>
          <t>vendas começam em t_início</t>
        </is>
      </c>
    </row>
    <row r="41">
      <c r="A41" s="24" t="inlineStr">
        <is>
          <t>t50 (mês da inflexão)</t>
        </is>
      </c>
      <c r="B41" s="30" t="n">
        <v>12</v>
      </c>
      <c r="C41" s="26" t="n"/>
      <c r="D41" s="27" t="inlineStr">
        <is>
          <t>50% vendido neste mês</t>
        </is>
      </c>
    </row>
    <row r="42">
      <c r="A42" s="24" t="inlineStr">
        <is>
          <t>k (inclinação)</t>
        </is>
      </c>
      <c r="B42" s="28" t="n">
        <v>0.18</v>
      </c>
      <c r="C42" s="26" t="n"/>
      <c r="D42" s="27" t="inlineStr">
        <is>
          <t>maior k = venda mais concentrada</t>
        </is>
      </c>
    </row>
  </sheetData>
  <mergeCells count="7">
    <mergeCell ref="A1:D1"/>
    <mergeCell ref="A3:D3"/>
    <mergeCell ref="A39:D39"/>
    <mergeCell ref="A15:D15"/>
    <mergeCell ref="A19:D19"/>
    <mergeCell ref="A28:D28"/>
    <mergeCell ref="A32:D3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AE13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8" customWidth="1" min="4" max="4"/>
    <col width="8" customWidth="1" min="5" max="5"/>
    <col width="7" customWidth="1" min="6" max="6"/>
    <col width="12" customWidth="1" min="7" max="7"/>
    <col width="5.2" customWidth="1" min="8" max="8"/>
    <col width="5.2" customWidth="1" min="9" max="9"/>
    <col width="5.2" customWidth="1" min="10" max="10"/>
    <col width="5.2" customWidth="1" min="11" max="11"/>
    <col width="5.2" customWidth="1" min="12" max="12"/>
    <col width="5.2" customWidth="1" min="13" max="13"/>
    <col width="5.2" customWidth="1" min="14" max="14"/>
    <col width="5.2" customWidth="1" min="15" max="15"/>
    <col width="5.2" customWidth="1" min="16" max="16"/>
    <col width="5.2" customWidth="1" min="17" max="17"/>
    <col width="5.2" customWidth="1" min="18" max="18"/>
    <col width="5.2" customWidth="1" min="19" max="19"/>
    <col width="5.2" customWidth="1" min="20" max="20"/>
    <col width="5.2" customWidth="1" min="21" max="21"/>
    <col width="5.2" customWidth="1" min="22" max="22"/>
    <col width="5.2" customWidth="1" min="23" max="23"/>
    <col width="5.2" customWidth="1" min="24" max="24"/>
    <col width="5.2" customWidth="1" min="25" max="25"/>
    <col width="5.2" customWidth="1" min="26" max="26"/>
    <col width="5.2" customWidth="1" min="27" max="27"/>
    <col width="5.2" customWidth="1" min="28" max="28"/>
    <col width="5.2" customWidth="1" min="29" max="29"/>
    <col width="5.2" customWidth="1" min="30" max="30"/>
    <col width="5.2" customWidth="1" min="31" max="31"/>
  </cols>
  <sheetData>
    <row r="1" ht="8" customHeight="1"/>
    <row r="2" ht="36" customHeight="1">
      <c r="B2" s="1" t="inlineStr">
        <is>
          <t>DETALHAMENTO DO CUSTO DE OBRA — POR MACROGRUPO</t>
        </is>
      </c>
    </row>
    <row r="3" ht="24" customHeight="1">
      <c r="B3" s="33" t="inlineStr">
        <is>
          <t>Como os R$ 17.35 milhões  (R$ 4,255/m² AC)  se distribuem entre os 18 macrogrupos ao longo dos 24 meses de obra</t>
        </is>
      </c>
    </row>
    <row r="5">
      <c r="B5" s="12" t="inlineStr">
        <is>
          <t>DE ONDE VEM ESSE CUSTO — METODOLOGIA PARAMÉTRICA V2 HÍBRIDO</t>
        </is>
      </c>
    </row>
    <row r="6" ht="18" customHeight="1">
      <c r="B6" s="21" t="inlineStr">
        <is>
          <t>O custo de obra de R$ 17.35 milhões foi calculado pelo paramétrico V2 Híbrido da Cartesian — metodologia que combina três fontes de dados:
1)  QUANTITATIVOS — extraídos do modelo BIM (IFC) do Armínio Tavares: volumes de concreto, área de fôrma, m² de alvenaria, m² de revestimento, kg de aço, unidades de esquadrias, etc. Para o Armínio Tavares: 4,077 m² AC, 8.653,8 m³ de concreto (0,694 m³/m²), ~122 mil m² de área de parede, 24 pavimentos.
2)  PUs CALIBRADOS — Preços Unitários (R$/unidade) calibrados contra uma base histórica de 126 projetos Cartesian já executados no litoral SC. A base tem 4.210 PUs cross-projeto e permite ajustar o preço por tipologia, padrão de acabamento e região.
3)  ÍNDICES DERIVADOS — 29 índices que ajustam o custo final conforme o briefing do Armínio Tavares: fundação em hélice contínua, laje convencional, padrão médio-alto, fachada cerâmica, 1 subsolo, gerador, piscina aquecida, 2 elevadores.
O resultado é agrupado nos 18 MACROGRUPOS abaixo — estrutura padrão Cartesian para orçamentos paramétricos. Cada macrogrupo representa uma disciplina coerente da obra (ex: 'Supraestrutura' = todo o sistema estrutural em concreto armado; 'Instalações' = hidráulica + elétrica + gás + telecom). Benchmark do segmento Médio (8-15k m² AC): mediana R$ 3.337/m², faixa P25-P75 R$ 2.974-3.710. Armínio Tavares em R$ 4,255/m² — levemente acima da mediana, coerente com padrão Médio-Alto.</t>
        </is>
      </c>
    </row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1">
      <c r="B21" s="12" t="inlineStr">
        <is>
          <t>TABELA INTERATIVA — EDITE OS MESES E A CURVA REDISTRIBUI AUTOMATICAMENTE</t>
        </is>
      </c>
    </row>
    <row r="22" ht="15" customHeight="1">
      <c r="B22" s="34" t="inlineStr">
        <is>
          <t>▸  As colunas LARANJAS são editáveis: altere o R$ Total, Mês início ou Mês fim de qualquer macrogrupo e a distribuição mensal (colunas M1 a M24) recalcula automaticamente via fórmulas.
▸  As células AZUIS na grade mostram visualmente a JANELA ATIVA de cada macrogrupo (efeito Gantt) — quanto mais forte a cor, maior o desembolso daquele macrogrupo naquele mês.
▸  A última linha 'Acumulado %' mostra a CURVA S ao vivo via data bars azuis — dá pra ver quando o projeto atinge 25%, 50%, 75% e 100% do desembolso.
▸  IMPORTANTE: esta tabela é ferramenta de EXPLORAÇÃO visual. Os valores de VPL/TIR/Monte Carlo nas outras abas NÃO são recalculados automaticamente — para propagar mudanças ao modelo financeiro, edite premissas-viabilidade.json e rode o script novamente.</t>
        </is>
      </c>
    </row>
    <row r="23" ht="15" customHeight="1"/>
    <row r="24" ht="15" customHeight="1"/>
    <row r="25" ht="15" customHeight="1"/>
    <row r="26" ht="15" customHeight="1"/>
    <row r="27" ht="26" customHeight="1">
      <c r="B27" s="35" t="inlineStr">
        <is>
          <t>Macrogrupo</t>
        </is>
      </c>
      <c r="C27" s="35" t="inlineStr">
        <is>
          <t>R$ Total</t>
        </is>
      </c>
      <c r="D27" s="35" t="inlineStr">
        <is>
          <t>Mês ini</t>
        </is>
      </c>
      <c r="E27" s="35" t="inlineStr">
        <is>
          <t>Mês fim</t>
        </is>
      </c>
      <c r="F27" s="35" t="inlineStr">
        <is>
          <t>Dur.</t>
        </is>
      </c>
      <c r="G27" s="35" t="inlineStr">
        <is>
          <t>R$/mês</t>
        </is>
      </c>
      <c r="H27" s="36" t="n">
        <v>1</v>
      </c>
      <c r="I27" s="36" t="n">
        <v>2</v>
      </c>
      <c r="J27" s="36" t="n">
        <v>3</v>
      </c>
      <c r="K27" s="36" t="n">
        <v>4</v>
      </c>
      <c r="L27" s="36" t="n">
        <v>5</v>
      </c>
      <c r="M27" s="36" t="n">
        <v>6</v>
      </c>
      <c r="N27" s="36" t="n">
        <v>7</v>
      </c>
      <c r="O27" s="36" t="n">
        <v>8</v>
      </c>
      <c r="P27" s="36" t="n">
        <v>9</v>
      </c>
      <c r="Q27" s="36" t="n">
        <v>10</v>
      </c>
      <c r="R27" s="36" t="n">
        <v>11</v>
      </c>
      <c r="S27" s="36" t="n">
        <v>12</v>
      </c>
      <c r="T27" s="36" t="n">
        <v>13</v>
      </c>
      <c r="U27" s="36" t="n">
        <v>14</v>
      </c>
      <c r="V27" s="36" t="n">
        <v>15</v>
      </c>
      <c r="W27" s="36" t="n">
        <v>16</v>
      </c>
      <c r="X27" s="36" t="n">
        <v>17</v>
      </c>
      <c r="Y27" s="36" t="n">
        <v>18</v>
      </c>
      <c r="Z27" s="36" t="n">
        <v>19</v>
      </c>
      <c r="AA27" s="36" t="n">
        <v>20</v>
      </c>
      <c r="AB27" s="36" t="n">
        <v>21</v>
      </c>
      <c r="AC27" s="36" t="n">
        <v>22</v>
      </c>
      <c r="AD27" s="36" t="n">
        <v>23</v>
      </c>
      <c r="AE27" s="36" t="n">
        <v>24</v>
      </c>
    </row>
    <row r="28" ht="18" customHeight="1">
      <c r="B28" s="37" t="inlineStr">
        <is>
          <t>Gerenciamento</t>
        </is>
      </c>
      <c r="C28" s="31" t="n">
        <v>2972792</v>
      </c>
      <c r="D28" s="30" t="n">
        <v>1</v>
      </c>
      <c r="E28" s="30" t="n">
        <v>24</v>
      </c>
      <c r="F28" s="38">
        <f>IF(E28&gt;=D28,E28-D28+1,0)</f>
        <v/>
      </c>
      <c r="G28" s="39">
        <f>IF(F28&gt;0,C28/F28,0)</f>
        <v/>
      </c>
      <c r="H28" s="40">
        <f>IF(AND(H$27&gt;=$D28,H$27&lt;=$E28),$G28,0)</f>
        <v/>
      </c>
      <c r="I28" s="40">
        <f>IF(AND(I$27&gt;=$D28,I$27&lt;=$E28),$G28,0)</f>
        <v/>
      </c>
      <c r="J28" s="40">
        <f>IF(AND(J$27&gt;=$D28,J$27&lt;=$E28),$G28,0)</f>
        <v/>
      </c>
      <c r="K28" s="40">
        <f>IF(AND(K$27&gt;=$D28,K$27&lt;=$E28),$G28,0)</f>
        <v/>
      </c>
      <c r="L28" s="40">
        <f>IF(AND(L$27&gt;=$D28,L$27&lt;=$E28),$G28,0)</f>
        <v/>
      </c>
      <c r="M28" s="40">
        <f>IF(AND(M$27&gt;=$D28,M$27&lt;=$E28),$G28,0)</f>
        <v/>
      </c>
      <c r="N28" s="40">
        <f>IF(AND(N$27&gt;=$D28,N$27&lt;=$E28),$G28,0)</f>
        <v/>
      </c>
      <c r="O28" s="40">
        <f>IF(AND(O$27&gt;=$D28,O$27&lt;=$E28),$G28,0)</f>
        <v/>
      </c>
      <c r="P28" s="40">
        <f>IF(AND(P$27&gt;=$D28,P$27&lt;=$E28),$G28,0)</f>
        <v/>
      </c>
      <c r="Q28" s="40">
        <f>IF(AND(Q$27&gt;=$D28,Q$27&lt;=$E28),$G28,0)</f>
        <v/>
      </c>
      <c r="R28" s="40">
        <f>IF(AND(R$27&gt;=$D28,R$27&lt;=$E28),$G28,0)</f>
        <v/>
      </c>
      <c r="S28" s="40">
        <f>IF(AND(S$27&gt;=$D28,S$27&lt;=$E28),$G28,0)</f>
        <v/>
      </c>
      <c r="T28" s="40">
        <f>IF(AND(T$27&gt;=$D28,T$27&lt;=$E28),$G28,0)</f>
        <v/>
      </c>
      <c r="U28" s="40">
        <f>IF(AND(U$27&gt;=$D28,U$27&lt;=$E28),$G28,0)</f>
        <v/>
      </c>
      <c r="V28" s="40">
        <f>IF(AND(V$27&gt;=$D28,V$27&lt;=$E28),$G28,0)</f>
        <v/>
      </c>
      <c r="W28" s="40">
        <f>IF(AND(W$27&gt;=$D28,W$27&lt;=$E28),$G28,0)</f>
        <v/>
      </c>
      <c r="X28" s="40">
        <f>IF(AND(X$27&gt;=$D28,X$27&lt;=$E28),$G28,0)</f>
        <v/>
      </c>
      <c r="Y28" s="40">
        <f>IF(AND(Y$27&gt;=$D28,Y$27&lt;=$E28),$G28,0)</f>
        <v/>
      </c>
      <c r="Z28" s="40">
        <f>IF(AND(Z$27&gt;=$D28,Z$27&lt;=$E28),$G28,0)</f>
        <v/>
      </c>
      <c r="AA28" s="40">
        <f>IF(AND(AA$27&gt;=$D28,AA$27&lt;=$E28),$G28,0)</f>
        <v/>
      </c>
      <c r="AB28" s="40">
        <f>IF(AND(AB$27&gt;=$D28,AB$27&lt;=$E28),$G28,0)</f>
        <v/>
      </c>
      <c r="AC28" s="40">
        <f>IF(AND(AC$27&gt;=$D28,AC$27&lt;=$E28),$G28,0)</f>
        <v/>
      </c>
      <c r="AD28" s="40">
        <f>IF(AND(AD$27&gt;=$D28,AD$27&lt;=$E28),$G28,0)</f>
        <v/>
      </c>
      <c r="AE28" s="40">
        <f>IF(AND(AE$27&gt;=$D28,AE$27&lt;=$E28),$G28,0)</f>
        <v/>
      </c>
    </row>
    <row r="29" ht="18" customHeight="1">
      <c r="B29" s="37" t="inlineStr">
        <is>
          <t>Infraestrutura</t>
        </is>
      </c>
      <c r="C29" s="31" t="n">
        <v>913398.02</v>
      </c>
      <c r="D29" s="30" t="n">
        <v>1</v>
      </c>
      <c r="E29" s="30" t="n">
        <v>7</v>
      </c>
      <c r="F29" s="38">
        <f>IF(E29&gt;=D29,E29-D29+1,0)</f>
        <v/>
      </c>
      <c r="G29" s="39">
        <f>IF(F29&gt;0,C29/F29,0)</f>
        <v/>
      </c>
      <c r="H29" s="40">
        <f>IF(AND(H$27&gt;=$D29,H$27&lt;=$E29),$G29,0)</f>
        <v/>
      </c>
      <c r="I29" s="40">
        <f>IF(AND(I$27&gt;=$D29,I$27&lt;=$E29),$G29,0)</f>
        <v/>
      </c>
      <c r="J29" s="40">
        <f>IF(AND(J$27&gt;=$D29,J$27&lt;=$E29),$G29,0)</f>
        <v/>
      </c>
      <c r="K29" s="40">
        <f>IF(AND(K$27&gt;=$D29,K$27&lt;=$E29),$G29,0)</f>
        <v/>
      </c>
      <c r="L29" s="40">
        <f>IF(AND(L$27&gt;=$D29,L$27&lt;=$E29),$G29,0)</f>
        <v/>
      </c>
      <c r="M29" s="40">
        <f>IF(AND(M$27&gt;=$D29,M$27&lt;=$E29),$G29,0)</f>
        <v/>
      </c>
      <c r="N29" s="40">
        <f>IF(AND(N$27&gt;=$D29,N$27&lt;=$E29),$G29,0)</f>
        <v/>
      </c>
      <c r="O29" s="40">
        <f>IF(AND(O$27&gt;=$D29,O$27&lt;=$E29),$G29,0)</f>
        <v/>
      </c>
      <c r="P29" s="40">
        <f>IF(AND(P$27&gt;=$D29,P$27&lt;=$E29),$G29,0)</f>
        <v/>
      </c>
      <c r="Q29" s="40">
        <f>IF(AND(Q$27&gt;=$D29,Q$27&lt;=$E29),$G29,0)</f>
        <v/>
      </c>
      <c r="R29" s="40">
        <f>IF(AND(R$27&gt;=$D29,R$27&lt;=$E29),$G29,0)</f>
        <v/>
      </c>
      <c r="S29" s="40">
        <f>IF(AND(S$27&gt;=$D29,S$27&lt;=$E29),$G29,0)</f>
        <v/>
      </c>
      <c r="T29" s="40">
        <f>IF(AND(T$27&gt;=$D29,T$27&lt;=$E29),$G29,0)</f>
        <v/>
      </c>
      <c r="U29" s="40">
        <f>IF(AND(U$27&gt;=$D29,U$27&lt;=$E29),$G29,0)</f>
        <v/>
      </c>
      <c r="V29" s="40">
        <f>IF(AND(V$27&gt;=$D29,V$27&lt;=$E29),$G29,0)</f>
        <v/>
      </c>
      <c r="W29" s="40">
        <f>IF(AND(W$27&gt;=$D29,W$27&lt;=$E29),$G29,0)</f>
        <v/>
      </c>
      <c r="X29" s="40">
        <f>IF(AND(X$27&gt;=$D29,X$27&lt;=$E29),$G29,0)</f>
        <v/>
      </c>
      <c r="Y29" s="40">
        <f>IF(AND(Y$27&gt;=$D29,Y$27&lt;=$E29),$G29,0)</f>
        <v/>
      </c>
      <c r="Z29" s="40">
        <f>IF(AND(Z$27&gt;=$D29,Z$27&lt;=$E29),$G29,0)</f>
        <v/>
      </c>
      <c r="AA29" s="40">
        <f>IF(AND(AA$27&gt;=$D29,AA$27&lt;=$E29),$G29,0)</f>
        <v/>
      </c>
      <c r="AB29" s="40">
        <f>IF(AND(AB$27&gt;=$D29,AB$27&lt;=$E29),$G29,0)</f>
        <v/>
      </c>
      <c r="AC29" s="40">
        <f>IF(AND(AC$27&gt;=$D29,AC$27&lt;=$E29),$G29,0)</f>
        <v/>
      </c>
      <c r="AD29" s="40">
        <f>IF(AND(AD$27&gt;=$D29,AD$27&lt;=$E29),$G29,0)</f>
        <v/>
      </c>
      <c r="AE29" s="40">
        <f>IF(AND(AE$27&gt;=$D29,AE$27&lt;=$E29),$G29,0)</f>
        <v/>
      </c>
    </row>
    <row r="30" ht="18" customHeight="1">
      <c r="B30" s="37" t="inlineStr">
        <is>
          <t>Imprevistos</t>
        </is>
      </c>
      <c r="C30" s="31" t="n">
        <v>256360</v>
      </c>
      <c r="D30" s="30" t="n">
        <v>1</v>
      </c>
      <c r="E30" s="30" t="n">
        <v>24</v>
      </c>
      <c r="F30" s="38">
        <f>IF(E30&gt;=D30,E30-D30+1,0)</f>
        <v/>
      </c>
      <c r="G30" s="39">
        <f>IF(F30&gt;0,C30/F30,0)</f>
        <v/>
      </c>
      <c r="H30" s="40">
        <f>IF(AND(H$27&gt;=$D30,H$27&lt;=$E30),$G30,0)</f>
        <v/>
      </c>
      <c r="I30" s="40">
        <f>IF(AND(I$27&gt;=$D30,I$27&lt;=$E30),$G30,0)</f>
        <v/>
      </c>
      <c r="J30" s="40">
        <f>IF(AND(J$27&gt;=$D30,J$27&lt;=$E30),$G30,0)</f>
        <v/>
      </c>
      <c r="K30" s="40">
        <f>IF(AND(K$27&gt;=$D30,K$27&lt;=$E30),$G30,0)</f>
        <v/>
      </c>
      <c r="L30" s="40">
        <f>IF(AND(L$27&gt;=$D30,L$27&lt;=$E30),$G30,0)</f>
        <v/>
      </c>
      <c r="M30" s="40">
        <f>IF(AND(M$27&gt;=$D30,M$27&lt;=$E30),$G30,0)</f>
        <v/>
      </c>
      <c r="N30" s="40">
        <f>IF(AND(N$27&gt;=$D30,N$27&lt;=$E30),$G30,0)</f>
        <v/>
      </c>
      <c r="O30" s="40">
        <f>IF(AND(O$27&gt;=$D30,O$27&lt;=$E30),$G30,0)</f>
        <v/>
      </c>
      <c r="P30" s="40">
        <f>IF(AND(P$27&gt;=$D30,P$27&lt;=$E30),$G30,0)</f>
        <v/>
      </c>
      <c r="Q30" s="40">
        <f>IF(AND(Q$27&gt;=$D30,Q$27&lt;=$E30),$G30,0)</f>
        <v/>
      </c>
      <c r="R30" s="40">
        <f>IF(AND(R$27&gt;=$D30,R$27&lt;=$E30),$G30,0)</f>
        <v/>
      </c>
      <c r="S30" s="40">
        <f>IF(AND(S$27&gt;=$D30,S$27&lt;=$E30),$G30,0)</f>
        <v/>
      </c>
      <c r="T30" s="40">
        <f>IF(AND(T$27&gt;=$D30,T$27&lt;=$E30),$G30,0)</f>
        <v/>
      </c>
      <c r="U30" s="40">
        <f>IF(AND(U$27&gt;=$D30,U$27&lt;=$E30),$G30,0)</f>
        <v/>
      </c>
      <c r="V30" s="40">
        <f>IF(AND(V$27&gt;=$D30,V$27&lt;=$E30),$G30,0)</f>
        <v/>
      </c>
      <c r="W30" s="40">
        <f>IF(AND(W$27&gt;=$D30,W$27&lt;=$E30),$G30,0)</f>
        <v/>
      </c>
      <c r="X30" s="40">
        <f>IF(AND(X$27&gt;=$D30,X$27&lt;=$E30),$G30,0)</f>
        <v/>
      </c>
      <c r="Y30" s="40">
        <f>IF(AND(Y$27&gt;=$D30,Y$27&lt;=$E30),$G30,0)</f>
        <v/>
      </c>
      <c r="Z30" s="40">
        <f>IF(AND(Z$27&gt;=$D30,Z$27&lt;=$E30),$G30,0)</f>
        <v/>
      </c>
      <c r="AA30" s="40">
        <f>IF(AND(AA$27&gt;=$D30,AA$27&lt;=$E30),$G30,0)</f>
        <v/>
      </c>
      <c r="AB30" s="40">
        <f>IF(AND(AB$27&gt;=$D30,AB$27&lt;=$E30),$G30,0)</f>
        <v/>
      </c>
      <c r="AC30" s="40">
        <f>IF(AND(AC$27&gt;=$D30,AC$27&lt;=$E30),$G30,0)</f>
        <v/>
      </c>
      <c r="AD30" s="40">
        <f>IF(AND(AD$27&gt;=$D30,AD$27&lt;=$E30),$G30,0)</f>
        <v/>
      </c>
      <c r="AE30" s="40">
        <f>IF(AND(AE$27&gt;=$D30,AE$27&lt;=$E30),$G30,0)</f>
        <v/>
      </c>
    </row>
    <row r="31" ht="18" customHeight="1">
      <c r="B31" s="37" t="inlineStr">
        <is>
          <t>Mov. Terra</t>
        </is>
      </c>
      <c r="C31" s="31" t="n">
        <v>130473.28</v>
      </c>
      <c r="D31" s="30" t="n">
        <v>1</v>
      </c>
      <c r="E31" s="30" t="n">
        <v>3</v>
      </c>
      <c r="F31" s="38">
        <f>IF(E31&gt;=D31,E31-D31+1,0)</f>
        <v/>
      </c>
      <c r="G31" s="39">
        <f>IF(F31&gt;0,C31/F31,0)</f>
        <v/>
      </c>
      <c r="H31" s="40">
        <f>IF(AND(H$27&gt;=$D31,H$27&lt;=$E31),$G31,0)</f>
        <v/>
      </c>
      <c r="I31" s="40">
        <f>IF(AND(I$27&gt;=$D31,I$27&lt;=$E31),$G31,0)</f>
        <v/>
      </c>
      <c r="J31" s="40">
        <f>IF(AND(J$27&gt;=$D31,J$27&lt;=$E31),$G31,0)</f>
        <v/>
      </c>
      <c r="K31" s="40">
        <f>IF(AND(K$27&gt;=$D31,K$27&lt;=$E31),$G31,0)</f>
        <v/>
      </c>
      <c r="L31" s="40">
        <f>IF(AND(L$27&gt;=$D31,L$27&lt;=$E31),$G31,0)</f>
        <v/>
      </c>
      <c r="M31" s="40">
        <f>IF(AND(M$27&gt;=$D31,M$27&lt;=$E31),$G31,0)</f>
        <v/>
      </c>
      <c r="N31" s="40">
        <f>IF(AND(N$27&gt;=$D31,N$27&lt;=$E31),$G31,0)</f>
        <v/>
      </c>
      <c r="O31" s="40">
        <f>IF(AND(O$27&gt;=$D31,O$27&lt;=$E31),$G31,0)</f>
        <v/>
      </c>
      <c r="P31" s="40">
        <f>IF(AND(P$27&gt;=$D31,P$27&lt;=$E31),$G31,0)</f>
        <v/>
      </c>
      <c r="Q31" s="40">
        <f>IF(AND(Q$27&gt;=$D31,Q$27&lt;=$E31),$G31,0)</f>
        <v/>
      </c>
      <c r="R31" s="40">
        <f>IF(AND(R$27&gt;=$D31,R$27&lt;=$E31),$G31,0)</f>
        <v/>
      </c>
      <c r="S31" s="40">
        <f>IF(AND(S$27&gt;=$D31,S$27&lt;=$E31),$G31,0)</f>
        <v/>
      </c>
      <c r="T31" s="40">
        <f>IF(AND(T$27&gt;=$D31,T$27&lt;=$E31),$G31,0)</f>
        <v/>
      </c>
      <c r="U31" s="40">
        <f>IF(AND(U$27&gt;=$D31,U$27&lt;=$E31),$G31,0)</f>
        <v/>
      </c>
      <c r="V31" s="40">
        <f>IF(AND(V$27&gt;=$D31,V$27&lt;=$E31),$G31,0)</f>
        <v/>
      </c>
      <c r="W31" s="40">
        <f>IF(AND(W$27&gt;=$D31,W$27&lt;=$E31),$G31,0)</f>
        <v/>
      </c>
      <c r="X31" s="40">
        <f>IF(AND(X$27&gt;=$D31,X$27&lt;=$E31),$G31,0)</f>
        <v/>
      </c>
      <c r="Y31" s="40">
        <f>IF(AND(Y$27&gt;=$D31,Y$27&lt;=$E31),$G31,0)</f>
        <v/>
      </c>
      <c r="Z31" s="40">
        <f>IF(AND(Z$27&gt;=$D31,Z$27&lt;=$E31),$G31,0)</f>
        <v/>
      </c>
      <c r="AA31" s="40">
        <f>IF(AND(AA$27&gt;=$D31,AA$27&lt;=$E31),$G31,0)</f>
        <v/>
      </c>
      <c r="AB31" s="40">
        <f>IF(AND(AB$27&gt;=$D31,AB$27&lt;=$E31),$G31,0)</f>
        <v/>
      </c>
      <c r="AC31" s="40">
        <f>IF(AND(AC$27&gt;=$D31,AC$27&lt;=$E31),$G31,0)</f>
        <v/>
      </c>
      <c r="AD31" s="40">
        <f>IF(AND(AD$27&gt;=$D31,AD$27&lt;=$E31),$G31,0)</f>
        <v/>
      </c>
      <c r="AE31" s="40">
        <f>IF(AND(AE$27&gt;=$D31,AE$27&lt;=$E31),$G31,0)</f>
        <v/>
      </c>
    </row>
    <row r="32" ht="18" customHeight="1">
      <c r="B32" s="37" t="inlineStr">
        <is>
          <t>Supraestrutura</t>
        </is>
      </c>
      <c r="C32" s="31" t="n">
        <v>3265237.2903</v>
      </c>
      <c r="D32" s="30" t="n">
        <v>3</v>
      </c>
      <c r="E32" s="30" t="n">
        <v>15</v>
      </c>
      <c r="F32" s="38">
        <f>IF(E32&gt;=D32,E32-D32+1,0)</f>
        <v/>
      </c>
      <c r="G32" s="39">
        <f>IF(F32&gt;0,C32/F32,0)</f>
        <v/>
      </c>
      <c r="H32" s="40">
        <f>IF(AND(H$27&gt;=$D32,H$27&lt;=$E32),$G32,0)</f>
        <v/>
      </c>
      <c r="I32" s="40">
        <f>IF(AND(I$27&gt;=$D32,I$27&lt;=$E32),$G32,0)</f>
        <v/>
      </c>
      <c r="J32" s="40">
        <f>IF(AND(J$27&gt;=$D32,J$27&lt;=$E32),$G32,0)</f>
        <v/>
      </c>
      <c r="K32" s="40">
        <f>IF(AND(K$27&gt;=$D32,K$27&lt;=$E32),$G32,0)</f>
        <v/>
      </c>
      <c r="L32" s="40">
        <f>IF(AND(L$27&gt;=$D32,L$27&lt;=$E32),$G32,0)</f>
        <v/>
      </c>
      <c r="M32" s="40">
        <f>IF(AND(M$27&gt;=$D32,M$27&lt;=$E32),$G32,0)</f>
        <v/>
      </c>
      <c r="N32" s="40">
        <f>IF(AND(N$27&gt;=$D32,N$27&lt;=$E32),$G32,0)</f>
        <v/>
      </c>
      <c r="O32" s="40">
        <f>IF(AND(O$27&gt;=$D32,O$27&lt;=$E32),$G32,0)</f>
        <v/>
      </c>
      <c r="P32" s="40">
        <f>IF(AND(P$27&gt;=$D32,P$27&lt;=$E32),$G32,0)</f>
        <v/>
      </c>
      <c r="Q32" s="40">
        <f>IF(AND(Q$27&gt;=$D32,Q$27&lt;=$E32),$G32,0)</f>
        <v/>
      </c>
      <c r="R32" s="40">
        <f>IF(AND(R$27&gt;=$D32,R$27&lt;=$E32),$G32,0)</f>
        <v/>
      </c>
      <c r="S32" s="40">
        <f>IF(AND(S$27&gt;=$D32,S$27&lt;=$E32),$G32,0)</f>
        <v/>
      </c>
      <c r="T32" s="40">
        <f>IF(AND(T$27&gt;=$D32,T$27&lt;=$E32),$G32,0)</f>
        <v/>
      </c>
      <c r="U32" s="40">
        <f>IF(AND(U$27&gt;=$D32,U$27&lt;=$E32),$G32,0)</f>
        <v/>
      </c>
      <c r="V32" s="40">
        <f>IF(AND(V$27&gt;=$D32,V$27&lt;=$E32),$G32,0)</f>
        <v/>
      </c>
      <c r="W32" s="40">
        <f>IF(AND(W$27&gt;=$D32,W$27&lt;=$E32),$G32,0)</f>
        <v/>
      </c>
      <c r="X32" s="40">
        <f>IF(AND(X$27&gt;=$D32,X$27&lt;=$E32),$G32,0)</f>
        <v/>
      </c>
      <c r="Y32" s="40">
        <f>IF(AND(Y$27&gt;=$D32,Y$27&lt;=$E32),$G32,0)</f>
        <v/>
      </c>
      <c r="Z32" s="40">
        <f>IF(AND(Z$27&gt;=$D32,Z$27&lt;=$E32),$G32,0)</f>
        <v/>
      </c>
      <c r="AA32" s="40">
        <f>IF(AND(AA$27&gt;=$D32,AA$27&lt;=$E32),$G32,0)</f>
        <v/>
      </c>
      <c r="AB32" s="40">
        <f>IF(AND(AB$27&gt;=$D32,AB$27&lt;=$E32),$G32,0)</f>
        <v/>
      </c>
      <c r="AC32" s="40">
        <f>IF(AND(AC$27&gt;=$D32,AC$27&lt;=$E32),$G32,0)</f>
        <v/>
      </c>
      <c r="AD32" s="40">
        <f>IF(AND(AD$27&gt;=$D32,AD$27&lt;=$E32),$G32,0)</f>
        <v/>
      </c>
      <c r="AE32" s="40">
        <f>IF(AND(AE$27&gt;=$D32,AE$27&lt;=$E32),$G32,0)</f>
        <v/>
      </c>
    </row>
    <row r="33" ht="18" customHeight="1">
      <c r="B33" s="37" t="inlineStr">
        <is>
          <t>Impermeabilização</t>
        </is>
      </c>
      <c r="C33" s="31" t="n">
        <v>304277.16</v>
      </c>
      <c r="D33" s="30" t="n">
        <v>4</v>
      </c>
      <c r="E33" s="30" t="n">
        <v>20</v>
      </c>
      <c r="F33" s="38">
        <f>IF(E33&gt;=D33,E33-D33+1,0)</f>
        <v/>
      </c>
      <c r="G33" s="39">
        <f>IF(F33&gt;0,C33/F33,0)</f>
        <v/>
      </c>
      <c r="H33" s="40">
        <f>IF(AND(H$27&gt;=$D33,H$27&lt;=$E33),$G33,0)</f>
        <v/>
      </c>
      <c r="I33" s="40">
        <f>IF(AND(I$27&gt;=$D33,I$27&lt;=$E33),$G33,0)</f>
        <v/>
      </c>
      <c r="J33" s="40">
        <f>IF(AND(J$27&gt;=$D33,J$27&lt;=$E33),$G33,0)</f>
        <v/>
      </c>
      <c r="K33" s="40">
        <f>IF(AND(K$27&gt;=$D33,K$27&lt;=$E33),$G33,0)</f>
        <v/>
      </c>
      <c r="L33" s="40">
        <f>IF(AND(L$27&gt;=$D33,L$27&lt;=$E33),$G33,0)</f>
        <v/>
      </c>
      <c r="M33" s="40">
        <f>IF(AND(M$27&gt;=$D33,M$27&lt;=$E33),$G33,0)</f>
        <v/>
      </c>
      <c r="N33" s="40">
        <f>IF(AND(N$27&gt;=$D33,N$27&lt;=$E33),$G33,0)</f>
        <v/>
      </c>
      <c r="O33" s="40">
        <f>IF(AND(O$27&gt;=$D33,O$27&lt;=$E33),$G33,0)</f>
        <v/>
      </c>
      <c r="P33" s="40">
        <f>IF(AND(P$27&gt;=$D33,P$27&lt;=$E33),$G33,0)</f>
        <v/>
      </c>
      <c r="Q33" s="40">
        <f>IF(AND(Q$27&gt;=$D33,Q$27&lt;=$E33),$G33,0)</f>
        <v/>
      </c>
      <c r="R33" s="40">
        <f>IF(AND(R$27&gt;=$D33,R$27&lt;=$E33),$G33,0)</f>
        <v/>
      </c>
      <c r="S33" s="40">
        <f>IF(AND(S$27&gt;=$D33,S$27&lt;=$E33),$G33,0)</f>
        <v/>
      </c>
      <c r="T33" s="40">
        <f>IF(AND(T$27&gt;=$D33,T$27&lt;=$E33),$G33,0)</f>
        <v/>
      </c>
      <c r="U33" s="40">
        <f>IF(AND(U$27&gt;=$D33,U$27&lt;=$E33),$G33,0)</f>
        <v/>
      </c>
      <c r="V33" s="40">
        <f>IF(AND(V$27&gt;=$D33,V$27&lt;=$E33),$G33,0)</f>
        <v/>
      </c>
      <c r="W33" s="40">
        <f>IF(AND(W$27&gt;=$D33,W$27&lt;=$E33),$G33,0)</f>
        <v/>
      </c>
      <c r="X33" s="40">
        <f>IF(AND(X$27&gt;=$D33,X$27&lt;=$E33),$G33,0)</f>
        <v/>
      </c>
      <c r="Y33" s="40">
        <f>IF(AND(Y$27&gt;=$D33,Y$27&lt;=$E33),$G33,0)</f>
        <v/>
      </c>
      <c r="Z33" s="40">
        <f>IF(AND(Z$27&gt;=$D33,Z$27&lt;=$E33),$G33,0)</f>
        <v/>
      </c>
      <c r="AA33" s="40">
        <f>IF(AND(AA$27&gt;=$D33,AA$27&lt;=$E33),$G33,0)</f>
        <v/>
      </c>
      <c r="AB33" s="40">
        <f>IF(AND(AB$27&gt;=$D33,AB$27&lt;=$E33),$G33,0)</f>
        <v/>
      </c>
      <c r="AC33" s="40">
        <f>IF(AND(AC$27&gt;=$D33,AC$27&lt;=$E33),$G33,0)</f>
        <v/>
      </c>
      <c r="AD33" s="40">
        <f>IF(AND(AD$27&gt;=$D33,AD$27&lt;=$E33),$G33,0)</f>
        <v/>
      </c>
      <c r="AE33" s="40">
        <f>IF(AND(AE$27&gt;=$D33,AE$27&lt;=$E33),$G33,0)</f>
        <v/>
      </c>
    </row>
    <row r="34" ht="18" customHeight="1">
      <c r="B34" s="37" t="inlineStr">
        <is>
          <t>Alvenaria</t>
        </is>
      </c>
      <c r="C34" s="31" t="n">
        <v>740305.5</v>
      </c>
      <c r="D34" s="30" t="n">
        <v>7</v>
      </c>
      <c r="E34" s="30" t="n">
        <v>17</v>
      </c>
      <c r="F34" s="38">
        <f>IF(E34&gt;=D34,E34-D34+1,0)</f>
        <v/>
      </c>
      <c r="G34" s="39">
        <f>IF(F34&gt;0,C34/F34,0)</f>
        <v/>
      </c>
      <c r="H34" s="40">
        <f>IF(AND(H$27&gt;=$D34,H$27&lt;=$E34),$G34,0)</f>
        <v/>
      </c>
      <c r="I34" s="40">
        <f>IF(AND(I$27&gt;=$D34,I$27&lt;=$E34),$G34,0)</f>
        <v/>
      </c>
      <c r="J34" s="40">
        <f>IF(AND(J$27&gt;=$D34,J$27&lt;=$E34),$G34,0)</f>
        <v/>
      </c>
      <c r="K34" s="40">
        <f>IF(AND(K$27&gt;=$D34,K$27&lt;=$E34),$G34,0)</f>
        <v/>
      </c>
      <c r="L34" s="40">
        <f>IF(AND(L$27&gt;=$D34,L$27&lt;=$E34),$G34,0)</f>
        <v/>
      </c>
      <c r="M34" s="40">
        <f>IF(AND(M$27&gt;=$D34,M$27&lt;=$E34),$G34,0)</f>
        <v/>
      </c>
      <c r="N34" s="40">
        <f>IF(AND(N$27&gt;=$D34,N$27&lt;=$E34),$G34,0)</f>
        <v/>
      </c>
      <c r="O34" s="40">
        <f>IF(AND(O$27&gt;=$D34,O$27&lt;=$E34),$G34,0)</f>
        <v/>
      </c>
      <c r="P34" s="40">
        <f>IF(AND(P$27&gt;=$D34,P$27&lt;=$E34),$G34,0)</f>
        <v/>
      </c>
      <c r="Q34" s="40">
        <f>IF(AND(Q$27&gt;=$D34,Q$27&lt;=$E34),$G34,0)</f>
        <v/>
      </c>
      <c r="R34" s="40">
        <f>IF(AND(R$27&gt;=$D34,R$27&lt;=$E34),$G34,0)</f>
        <v/>
      </c>
      <c r="S34" s="40">
        <f>IF(AND(S$27&gt;=$D34,S$27&lt;=$E34),$G34,0)</f>
        <v/>
      </c>
      <c r="T34" s="40">
        <f>IF(AND(T$27&gt;=$D34,T$27&lt;=$E34),$G34,0)</f>
        <v/>
      </c>
      <c r="U34" s="40">
        <f>IF(AND(U$27&gt;=$D34,U$27&lt;=$E34),$G34,0)</f>
        <v/>
      </c>
      <c r="V34" s="40">
        <f>IF(AND(V$27&gt;=$D34,V$27&lt;=$E34),$G34,0)</f>
        <v/>
      </c>
      <c r="W34" s="40">
        <f>IF(AND(W$27&gt;=$D34,W$27&lt;=$E34),$G34,0)</f>
        <v/>
      </c>
      <c r="X34" s="40">
        <f>IF(AND(X$27&gt;=$D34,X$27&lt;=$E34),$G34,0)</f>
        <v/>
      </c>
      <c r="Y34" s="40">
        <f>IF(AND(Y$27&gt;=$D34,Y$27&lt;=$E34),$G34,0)</f>
        <v/>
      </c>
      <c r="Z34" s="40">
        <f>IF(AND(Z$27&gt;=$D34,Z$27&lt;=$E34),$G34,0)</f>
        <v/>
      </c>
      <c r="AA34" s="40">
        <f>IF(AND(AA$27&gt;=$D34,AA$27&lt;=$E34),$G34,0)</f>
        <v/>
      </c>
      <c r="AB34" s="40">
        <f>IF(AND(AB$27&gt;=$D34,AB$27&lt;=$E34),$G34,0)</f>
        <v/>
      </c>
      <c r="AC34" s="40">
        <f>IF(AND(AC$27&gt;=$D34,AC$27&lt;=$E34),$G34,0)</f>
        <v/>
      </c>
      <c r="AD34" s="40">
        <f>IF(AND(AD$27&gt;=$D34,AD$27&lt;=$E34),$G34,0)</f>
        <v/>
      </c>
      <c r="AE34" s="40">
        <f>IF(AND(AE$27&gt;=$D34,AE$27&lt;=$E34),$G34,0)</f>
        <v/>
      </c>
    </row>
    <row r="35" ht="18" customHeight="1">
      <c r="B35" s="37" t="inlineStr">
        <is>
          <t>Instalações</t>
        </is>
      </c>
      <c r="C35" s="31" t="n">
        <v>1439528.0074</v>
      </c>
      <c r="D35" s="30" t="n">
        <v>8</v>
      </c>
      <c r="E35" s="30" t="n">
        <v>23</v>
      </c>
      <c r="F35" s="38">
        <f>IF(E35&gt;=D35,E35-D35+1,0)</f>
        <v/>
      </c>
      <c r="G35" s="39">
        <f>IF(F35&gt;0,C35/F35,0)</f>
        <v/>
      </c>
      <c r="H35" s="40">
        <f>IF(AND(H$27&gt;=$D35,H$27&lt;=$E35),$G35,0)</f>
        <v/>
      </c>
      <c r="I35" s="40">
        <f>IF(AND(I$27&gt;=$D35,I$27&lt;=$E35),$G35,0)</f>
        <v/>
      </c>
      <c r="J35" s="40">
        <f>IF(AND(J$27&gt;=$D35,J$27&lt;=$E35),$G35,0)</f>
        <v/>
      </c>
      <c r="K35" s="40">
        <f>IF(AND(K$27&gt;=$D35,K$27&lt;=$E35),$G35,0)</f>
        <v/>
      </c>
      <c r="L35" s="40">
        <f>IF(AND(L$27&gt;=$D35,L$27&lt;=$E35),$G35,0)</f>
        <v/>
      </c>
      <c r="M35" s="40">
        <f>IF(AND(M$27&gt;=$D35,M$27&lt;=$E35),$G35,0)</f>
        <v/>
      </c>
      <c r="N35" s="40">
        <f>IF(AND(N$27&gt;=$D35,N$27&lt;=$E35),$G35,0)</f>
        <v/>
      </c>
      <c r="O35" s="40">
        <f>IF(AND(O$27&gt;=$D35,O$27&lt;=$E35),$G35,0)</f>
        <v/>
      </c>
      <c r="P35" s="40">
        <f>IF(AND(P$27&gt;=$D35,P$27&lt;=$E35),$G35,0)</f>
        <v/>
      </c>
      <c r="Q35" s="40">
        <f>IF(AND(Q$27&gt;=$D35,Q$27&lt;=$E35),$G35,0)</f>
        <v/>
      </c>
      <c r="R35" s="40">
        <f>IF(AND(R$27&gt;=$D35,R$27&lt;=$E35),$G35,0)</f>
        <v/>
      </c>
      <c r="S35" s="40">
        <f>IF(AND(S$27&gt;=$D35,S$27&lt;=$E35),$G35,0)</f>
        <v/>
      </c>
      <c r="T35" s="40">
        <f>IF(AND(T$27&gt;=$D35,T$27&lt;=$E35),$G35,0)</f>
        <v/>
      </c>
      <c r="U35" s="40">
        <f>IF(AND(U$27&gt;=$D35,U$27&lt;=$E35),$G35,0)</f>
        <v/>
      </c>
      <c r="V35" s="40">
        <f>IF(AND(V$27&gt;=$D35,V$27&lt;=$E35),$G35,0)</f>
        <v/>
      </c>
      <c r="W35" s="40">
        <f>IF(AND(W$27&gt;=$D35,W$27&lt;=$E35),$G35,0)</f>
        <v/>
      </c>
      <c r="X35" s="40">
        <f>IF(AND(X$27&gt;=$D35,X$27&lt;=$E35),$G35,0)</f>
        <v/>
      </c>
      <c r="Y35" s="40">
        <f>IF(AND(Y$27&gt;=$D35,Y$27&lt;=$E35),$G35,0)</f>
        <v/>
      </c>
      <c r="Z35" s="40">
        <f>IF(AND(Z$27&gt;=$D35,Z$27&lt;=$E35),$G35,0)</f>
        <v/>
      </c>
      <c r="AA35" s="40">
        <f>IF(AND(AA$27&gt;=$D35,AA$27&lt;=$E35),$G35,0)</f>
        <v/>
      </c>
      <c r="AB35" s="40">
        <f>IF(AND(AB$27&gt;=$D35,AB$27&lt;=$E35),$G35,0)</f>
        <v/>
      </c>
      <c r="AC35" s="40">
        <f>IF(AND(AC$27&gt;=$D35,AC$27&lt;=$E35),$G35,0)</f>
        <v/>
      </c>
      <c r="AD35" s="40">
        <f>IF(AND(AD$27&gt;=$D35,AD$27&lt;=$E35),$G35,0)</f>
        <v/>
      </c>
      <c r="AE35" s="40">
        <f>IF(AND(AE$27&gt;=$D35,AE$27&lt;=$E35),$G35,0)</f>
        <v/>
      </c>
    </row>
    <row r="36" ht="18" customHeight="1">
      <c r="B36" s="37" t="inlineStr">
        <is>
          <t>Fachada</t>
        </is>
      </c>
      <c r="C36" s="31" t="n">
        <v>966960</v>
      </c>
      <c r="D36" s="30" t="n">
        <v>12</v>
      </c>
      <c r="E36" s="30" t="n">
        <v>21</v>
      </c>
      <c r="F36" s="38">
        <f>IF(E36&gt;=D36,E36-D36+1,0)</f>
        <v/>
      </c>
      <c r="G36" s="39">
        <f>IF(F36&gt;0,C36/F36,0)</f>
        <v/>
      </c>
      <c r="H36" s="40">
        <f>IF(AND(H$27&gt;=$D36,H$27&lt;=$E36),$G36,0)</f>
        <v/>
      </c>
      <c r="I36" s="40">
        <f>IF(AND(I$27&gt;=$D36,I$27&lt;=$E36),$G36,0)</f>
        <v/>
      </c>
      <c r="J36" s="40">
        <f>IF(AND(J$27&gt;=$D36,J$27&lt;=$E36),$G36,0)</f>
        <v/>
      </c>
      <c r="K36" s="40">
        <f>IF(AND(K$27&gt;=$D36,K$27&lt;=$E36),$G36,0)</f>
        <v/>
      </c>
      <c r="L36" s="40">
        <f>IF(AND(L$27&gt;=$D36,L$27&lt;=$E36),$G36,0)</f>
        <v/>
      </c>
      <c r="M36" s="40">
        <f>IF(AND(M$27&gt;=$D36,M$27&lt;=$E36),$G36,0)</f>
        <v/>
      </c>
      <c r="N36" s="40">
        <f>IF(AND(N$27&gt;=$D36,N$27&lt;=$E36),$G36,0)</f>
        <v/>
      </c>
      <c r="O36" s="40">
        <f>IF(AND(O$27&gt;=$D36,O$27&lt;=$E36),$G36,0)</f>
        <v/>
      </c>
      <c r="P36" s="40">
        <f>IF(AND(P$27&gt;=$D36,P$27&lt;=$E36),$G36,0)</f>
        <v/>
      </c>
      <c r="Q36" s="40">
        <f>IF(AND(Q$27&gt;=$D36,Q$27&lt;=$E36),$G36,0)</f>
        <v/>
      </c>
      <c r="R36" s="40">
        <f>IF(AND(R$27&gt;=$D36,R$27&lt;=$E36),$G36,0)</f>
        <v/>
      </c>
      <c r="S36" s="40">
        <f>IF(AND(S$27&gt;=$D36,S$27&lt;=$E36),$G36,0)</f>
        <v/>
      </c>
      <c r="T36" s="40">
        <f>IF(AND(T$27&gt;=$D36,T$27&lt;=$E36),$G36,0)</f>
        <v/>
      </c>
      <c r="U36" s="40">
        <f>IF(AND(U$27&gt;=$D36,U$27&lt;=$E36),$G36,0)</f>
        <v/>
      </c>
      <c r="V36" s="40">
        <f>IF(AND(V$27&gt;=$D36,V$27&lt;=$E36),$G36,0)</f>
        <v/>
      </c>
      <c r="W36" s="40">
        <f>IF(AND(W$27&gt;=$D36,W$27&lt;=$E36),$G36,0)</f>
        <v/>
      </c>
      <c r="X36" s="40">
        <f>IF(AND(X$27&gt;=$D36,X$27&lt;=$E36),$G36,0)</f>
        <v/>
      </c>
      <c r="Y36" s="40">
        <f>IF(AND(Y$27&gt;=$D36,Y$27&lt;=$E36),$G36,0)</f>
        <v/>
      </c>
      <c r="Z36" s="40">
        <f>IF(AND(Z$27&gt;=$D36,Z$27&lt;=$E36),$G36,0)</f>
        <v/>
      </c>
      <c r="AA36" s="40">
        <f>IF(AND(AA$27&gt;=$D36,AA$27&lt;=$E36),$G36,0)</f>
        <v/>
      </c>
      <c r="AB36" s="40">
        <f>IF(AND(AB$27&gt;=$D36,AB$27&lt;=$E36),$G36,0)</f>
        <v/>
      </c>
      <c r="AC36" s="40">
        <f>IF(AND(AC$27&gt;=$D36,AC$27&lt;=$E36),$G36,0)</f>
        <v/>
      </c>
      <c r="AD36" s="40">
        <f>IF(AND(AD$27&gt;=$D36,AD$27&lt;=$E36),$G36,0)</f>
        <v/>
      </c>
      <c r="AE36" s="40">
        <f>IF(AND(AE$27&gt;=$D36,AE$27&lt;=$E36),$G36,0)</f>
        <v/>
      </c>
    </row>
    <row r="37" ht="18" customHeight="1">
      <c r="B37" s="37" t="inlineStr">
        <is>
          <t>Rev. Int. Parede</t>
        </is>
      </c>
      <c r="C37" s="31" t="n">
        <v>475936.7</v>
      </c>
      <c r="D37" s="30" t="n">
        <v>12</v>
      </c>
      <c r="E37" s="30" t="n">
        <v>21</v>
      </c>
      <c r="F37" s="38">
        <f>IF(E37&gt;=D37,E37-D37+1,0)</f>
        <v/>
      </c>
      <c r="G37" s="39">
        <f>IF(F37&gt;0,C37/F37,0)</f>
        <v/>
      </c>
      <c r="H37" s="40">
        <f>IF(AND(H$27&gt;=$D37,H$27&lt;=$E37),$G37,0)</f>
        <v/>
      </c>
      <c r="I37" s="40">
        <f>IF(AND(I$27&gt;=$D37,I$27&lt;=$E37),$G37,0)</f>
        <v/>
      </c>
      <c r="J37" s="40">
        <f>IF(AND(J$27&gt;=$D37,J$27&lt;=$E37),$G37,0)</f>
        <v/>
      </c>
      <c r="K37" s="40">
        <f>IF(AND(K$27&gt;=$D37,K$27&lt;=$E37),$G37,0)</f>
        <v/>
      </c>
      <c r="L37" s="40">
        <f>IF(AND(L$27&gt;=$D37,L$27&lt;=$E37),$G37,0)</f>
        <v/>
      </c>
      <c r="M37" s="40">
        <f>IF(AND(M$27&gt;=$D37,M$27&lt;=$E37),$G37,0)</f>
        <v/>
      </c>
      <c r="N37" s="40">
        <f>IF(AND(N$27&gt;=$D37,N$27&lt;=$E37),$G37,0)</f>
        <v/>
      </c>
      <c r="O37" s="40">
        <f>IF(AND(O$27&gt;=$D37,O$27&lt;=$E37),$G37,0)</f>
        <v/>
      </c>
      <c r="P37" s="40">
        <f>IF(AND(P$27&gt;=$D37,P$27&lt;=$E37),$G37,0)</f>
        <v/>
      </c>
      <c r="Q37" s="40">
        <f>IF(AND(Q$27&gt;=$D37,Q$27&lt;=$E37),$G37,0)</f>
        <v/>
      </c>
      <c r="R37" s="40">
        <f>IF(AND(R$27&gt;=$D37,R$27&lt;=$E37),$G37,0)</f>
        <v/>
      </c>
      <c r="S37" s="40">
        <f>IF(AND(S$27&gt;=$D37,S$27&lt;=$E37),$G37,0)</f>
        <v/>
      </c>
      <c r="T37" s="40">
        <f>IF(AND(T$27&gt;=$D37,T$27&lt;=$E37),$G37,0)</f>
        <v/>
      </c>
      <c r="U37" s="40">
        <f>IF(AND(U$27&gt;=$D37,U$27&lt;=$E37),$G37,0)</f>
        <v/>
      </c>
      <c r="V37" s="40">
        <f>IF(AND(V$27&gt;=$D37,V$27&lt;=$E37),$G37,0)</f>
        <v/>
      </c>
      <c r="W37" s="40">
        <f>IF(AND(W$27&gt;=$D37,W$27&lt;=$E37),$G37,0)</f>
        <v/>
      </c>
      <c r="X37" s="40">
        <f>IF(AND(X$27&gt;=$D37,X$27&lt;=$E37),$G37,0)</f>
        <v/>
      </c>
      <c r="Y37" s="40">
        <f>IF(AND(Y$27&gt;=$D37,Y$27&lt;=$E37),$G37,0)</f>
        <v/>
      </c>
      <c r="Z37" s="40">
        <f>IF(AND(Z$27&gt;=$D37,Z$27&lt;=$E37),$G37,0)</f>
        <v/>
      </c>
      <c r="AA37" s="40">
        <f>IF(AND(AA$27&gt;=$D37,AA$27&lt;=$E37),$G37,0)</f>
        <v/>
      </c>
      <c r="AB37" s="40">
        <f>IF(AND(AB$27&gt;=$D37,AB$27&lt;=$E37),$G37,0)</f>
        <v/>
      </c>
      <c r="AC37" s="40">
        <f>IF(AND(AC$27&gt;=$D37,AC$27&lt;=$E37),$G37,0)</f>
        <v/>
      </c>
      <c r="AD37" s="40">
        <f>IF(AND(AD$27&gt;=$D37,AD$27&lt;=$E37),$G37,0)</f>
        <v/>
      </c>
      <c r="AE37" s="40">
        <f>IF(AND(AE$27&gt;=$D37,AE$27&lt;=$E37),$G37,0)</f>
        <v/>
      </c>
    </row>
    <row r="38" ht="18" customHeight="1">
      <c r="B38" s="37" t="inlineStr">
        <is>
          <t>Esquadrias</t>
        </is>
      </c>
      <c r="C38" s="31" t="n">
        <v>1325119.25</v>
      </c>
      <c r="D38" s="30" t="n">
        <v>15</v>
      </c>
      <c r="E38" s="30" t="n">
        <v>23</v>
      </c>
      <c r="F38" s="38">
        <f>IF(E38&gt;=D38,E38-D38+1,0)</f>
        <v/>
      </c>
      <c r="G38" s="39">
        <f>IF(F38&gt;0,C38/F38,0)</f>
        <v/>
      </c>
      <c r="H38" s="40">
        <f>IF(AND(H$27&gt;=$D38,H$27&lt;=$E38),$G38,0)</f>
        <v/>
      </c>
      <c r="I38" s="40">
        <f>IF(AND(I$27&gt;=$D38,I$27&lt;=$E38),$G38,0)</f>
        <v/>
      </c>
      <c r="J38" s="40">
        <f>IF(AND(J$27&gt;=$D38,J$27&lt;=$E38),$G38,0)</f>
        <v/>
      </c>
      <c r="K38" s="40">
        <f>IF(AND(K$27&gt;=$D38,K$27&lt;=$E38),$G38,0)</f>
        <v/>
      </c>
      <c r="L38" s="40">
        <f>IF(AND(L$27&gt;=$D38,L$27&lt;=$E38),$G38,0)</f>
        <v/>
      </c>
      <c r="M38" s="40">
        <f>IF(AND(M$27&gt;=$D38,M$27&lt;=$E38),$G38,0)</f>
        <v/>
      </c>
      <c r="N38" s="40">
        <f>IF(AND(N$27&gt;=$D38,N$27&lt;=$E38),$G38,0)</f>
        <v/>
      </c>
      <c r="O38" s="40">
        <f>IF(AND(O$27&gt;=$D38,O$27&lt;=$E38),$G38,0)</f>
        <v/>
      </c>
      <c r="P38" s="40">
        <f>IF(AND(P$27&gt;=$D38,P$27&lt;=$E38),$G38,0)</f>
        <v/>
      </c>
      <c r="Q38" s="40">
        <f>IF(AND(Q$27&gt;=$D38,Q$27&lt;=$E38),$G38,0)</f>
        <v/>
      </c>
      <c r="R38" s="40">
        <f>IF(AND(R$27&gt;=$D38,R$27&lt;=$E38),$G38,0)</f>
        <v/>
      </c>
      <c r="S38" s="40">
        <f>IF(AND(S$27&gt;=$D38,S$27&lt;=$E38),$G38,0)</f>
        <v/>
      </c>
      <c r="T38" s="40">
        <f>IF(AND(T$27&gt;=$D38,T$27&lt;=$E38),$G38,0)</f>
        <v/>
      </c>
      <c r="U38" s="40">
        <f>IF(AND(U$27&gt;=$D38,U$27&lt;=$E38),$G38,0)</f>
        <v/>
      </c>
      <c r="V38" s="40">
        <f>IF(AND(V$27&gt;=$D38,V$27&lt;=$E38),$G38,0)</f>
        <v/>
      </c>
      <c r="W38" s="40">
        <f>IF(AND(W$27&gt;=$D38,W$27&lt;=$E38),$G38,0)</f>
        <v/>
      </c>
      <c r="X38" s="40">
        <f>IF(AND(X$27&gt;=$D38,X$27&lt;=$E38),$G38,0)</f>
        <v/>
      </c>
      <c r="Y38" s="40">
        <f>IF(AND(Y$27&gt;=$D38,Y$27&lt;=$E38),$G38,0)</f>
        <v/>
      </c>
      <c r="Z38" s="40">
        <f>IF(AND(Z$27&gt;=$D38,Z$27&lt;=$E38),$G38,0)</f>
        <v/>
      </c>
      <c r="AA38" s="40">
        <f>IF(AND(AA$27&gt;=$D38,AA$27&lt;=$E38),$G38,0)</f>
        <v/>
      </c>
      <c r="AB38" s="40">
        <f>IF(AND(AB$27&gt;=$D38,AB$27&lt;=$E38),$G38,0)</f>
        <v/>
      </c>
      <c r="AC38" s="40">
        <f>IF(AND(AC$27&gt;=$D38,AC$27&lt;=$E38),$G38,0)</f>
        <v/>
      </c>
      <c r="AD38" s="40">
        <f>IF(AND(AD$27&gt;=$D38,AD$27&lt;=$E38),$G38,0)</f>
        <v/>
      </c>
      <c r="AE38" s="40">
        <f>IF(AND(AE$27&gt;=$D38,AE$27&lt;=$E38),$G38,0)</f>
        <v/>
      </c>
    </row>
    <row r="39" ht="18" customHeight="1">
      <c r="B39" s="37" t="inlineStr">
        <is>
          <t>Sist. Especiais</t>
        </is>
      </c>
      <c r="C39" s="31" t="n">
        <v>868450</v>
      </c>
      <c r="D39" s="30" t="n">
        <v>15</v>
      </c>
      <c r="E39" s="30" t="n">
        <v>23</v>
      </c>
      <c r="F39" s="38">
        <f>IF(E39&gt;=D39,E39-D39+1,0)</f>
        <v/>
      </c>
      <c r="G39" s="39">
        <f>IF(F39&gt;0,C39/F39,0)</f>
        <v/>
      </c>
      <c r="H39" s="40">
        <f>IF(AND(H$27&gt;=$D39,H$27&lt;=$E39),$G39,0)</f>
        <v/>
      </c>
      <c r="I39" s="40">
        <f>IF(AND(I$27&gt;=$D39,I$27&lt;=$E39),$G39,0)</f>
        <v/>
      </c>
      <c r="J39" s="40">
        <f>IF(AND(J$27&gt;=$D39,J$27&lt;=$E39),$G39,0)</f>
        <v/>
      </c>
      <c r="K39" s="40">
        <f>IF(AND(K$27&gt;=$D39,K$27&lt;=$E39),$G39,0)</f>
        <v/>
      </c>
      <c r="L39" s="40">
        <f>IF(AND(L$27&gt;=$D39,L$27&lt;=$E39),$G39,0)</f>
        <v/>
      </c>
      <c r="M39" s="40">
        <f>IF(AND(M$27&gt;=$D39,M$27&lt;=$E39),$G39,0)</f>
        <v/>
      </c>
      <c r="N39" s="40">
        <f>IF(AND(N$27&gt;=$D39,N$27&lt;=$E39),$G39,0)</f>
        <v/>
      </c>
      <c r="O39" s="40">
        <f>IF(AND(O$27&gt;=$D39,O$27&lt;=$E39),$G39,0)</f>
        <v/>
      </c>
      <c r="P39" s="40">
        <f>IF(AND(P$27&gt;=$D39,P$27&lt;=$E39),$G39,0)</f>
        <v/>
      </c>
      <c r="Q39" s="40">
        <f>IF(AND(Q$27&gt;=$D39,Q$27&lt;=$E39),$G39,0)</f>
        <v/>
      </c>
      <c r="R39" s="40">
        <f>IF(AND(R$27&gt;=$D39,R$27&lt;=$E39),$G39,0)</f>
        <v/>
      </c>
      <c r="S39" s="40">
        <f>IF(AND(S$27&gt;=$D39,S$27&lt;=$E39),$G39,0)</f>
        <v/>
      </c>
      <c r="T39" s="40">
        <f>IF(AND(T$27&gt;=$D39,T$27&lt;=$E39),$G39,0)</f>
        <v/>
      </c>
      <c r="U39" s="40">
        <f>IF(AND(U$27&gt;=$D39,U$27&lt;=$E39),$G39,0)</f>
        <v/>
      </c>
      <c r="V39" s="40">
        <f>IF(AND(V$27&gt;=$D39,V$27&lt;=$E39),$G39,0)</f>
        <v/>
      </c>
      <c r="W39" s="40">
        <f>IF(AND(W$27&gt;=$D39,W$27&lt;=$E39),$G39,0)</f>
        <v/>
      </c>
      <c r="X39" s="40">
        <f>IF(AND(X$27&gt;=$D39,X$27&lt;=$E39),$G39,0)</f>
        <v/>
      </c>
      <c r="Y39" s="40">
        <f>IF(AND(Y$27&gt;=$D39,Y$27&lt;=$E39),$G39,0)</f>
        <v/>
      </c>
      <c r="Z39" s="40">
        <f>IF(AND(Z$27&gt;=$D39,Z$27&lt;=$E39),$G39,0)</f>
        <v/>
      </c>
      <c r="AA39" s="40">
        <f>IF(AND(AA$27&gt;=$D39,AA$27&lt;=$E39),$G39,0)</f>
        <v/>
      </c>
      <c r="AB39" s="40">
        <f>IF(AND(AB$27&gt;=$D39,AB$27&lt;=$E39),$G39,0)</f>
        <v/>
      </c>
      <c r="AC39" s="40">
        <f>IF(AND(AC$27&gt;=$D39,AC$27&lt;=$E39),$G39,0)</f>
        <v/>
      </c>
      <c r="AD39" s="40">
        <f>IF(AND(AD$27&gt;=$D39,AD$27&lt;=$E39),$G39,0)</f>
        <v/>
      </c>
      <c r="AE39" s="40">
        <f>IF(AND(AE$27&gt;=$D39,AE$27&lt;=$E39),$G39,0)</f>
        <v/>
      </c>
    </row>
    <row r="40" ht="18" customHeight="1">
      <c r="B40" s="37" t="inlineStr">
        <is>
          <t>Teto</t>
        </is>
      </c>
      <c r="C40" s="31" t="n">
        <v>296073</v>
      </c>
      <c r="D40" s="30" t="n">
        <v>15</v>
      </c>
      <c r="E40" s="30" t="n">
        <v>23</v>
      </c>
      <c r="F40" s="38">
        <f>IF(E40&gt;=D40,E40-D40+1,0)</f>
        <v/>
      </c>
      <c r="G40" s="39">
        <f>IF(F40&gt;0,C40/F40,0)</f>
        <v/>
      </c>
      <c r="H40" s="40">
        <f>IF(AND(H$27&gt;=$D40,H$27&lt;=$E40),$G40,0)</f>
        <v/>
      </c>
      <c r="I40" s="40">
        <f>IF(AND(I$27&gt;=$D40,I$27&lt;=$E40),$G40,0)</f>
        <v/>
      </c>
      <c r="J40" s="40">
        <f>IF(AND(J$27&gt;=$D40,J$27&lt;=$E40),$G40,0)</f>
        <v/>
      </c>
      <c r="K40" s="40">
        <f>IF(AND(K$27&gt;=$D40,K$27&lt;=$E40),$G40,0)</f>
        <v/>
      </c>
      <c r="L40" s="40">
        <f>IF(AND(L$27&gt;=$D40,L$27&lt;=$E40),$G40,0)</f>
        <v/>
      </c>
      <c r="M40" s="40">
        <f>IF(AND(M$27&gt;=$D40,M$27&lt;=$E40),$G40,0)</f>
        <v/>
      </c>
      <c r="N40" s="40">
        <f>IF(AND(N$27&gt;=$D40,N$27&lt;=$E40),$G40,0)</f>
        <v/>
      </c>
      <c r="O40" s="40">
        <f>IF(AND(O$27&gt;=$D40,O$27&lt;=$E40),$G40,0)</f>
        <v/>
      </c>
      <c r="P40" s="40">
        <f>IF(AND(P$27&gt;=$D40,P$27&lt;=$E40),$G40,0)</f>
        <v/>
      </c>
      <c r="Q40" s="40">
        <f>IF(AND(Q$27&gt;=$D40,Q$27&lt;=$E40),$G40,0)</f>
        <v/>
      </c>
      <c r="R40" s="40">
        <f>IF(AND(R$27&gt;=$D40,R$27&lt;=$E40),$G40,0)</f>
        <v/>
      </c>
      <c r="S40" s="40">
        <f>IF(AND(S$27&gt;=$D40,S$27&lt;=$E40),$G40,0)</f>
        <v/>
      </c>
      <c r="T40" s="40">
        <f>IF(AND(T$27&gt;=$D40,T$27&lt;=$E40),$G40,0)</f>
        <v/>
      </c>
      <c r="U40" s="40">
        <f>IF(AND(U$27&gt;=$D40,U$27&lt;=$E40),$G40,0)</f>
        <v/>
      </c>
      <c r="V40" s="40">
        <f>IF(AND(V$27&gt;=$D40,V$27&lt;=$E40),$G40,0)</f>
        <v/>
      </c>
      <c r="W40" s="40">
        <f>IF(AND(W$27&gt;=$D40,W$27&lt;=$E40),$G40,0)</f>
        <v/>
      </c>
      <c r="X40" s="40">
        <f>IF(AND(X$27&gt;=$D40,X$27&lt;=$E40),$G40,0)</f>
        <v/>
      </c>
      <c r="Y40" s="40">
        <f>IF(AND(Y$27&gt;=$D40,Y$27&lt;=$E40),$G40,0)</f>
        <v/>
      </c>
      <c r="Z40" s="40">
        <f>IF(AND(Z$27&gt;=$D40,Z$27&lt;=$E40),$G40,0)</f>
        <v/>
      </c>
      <c r="AA40" s="40">
        <f>IF(AND(AA$27&gt;=$D40,AA$27&lt;=$E40),$G40,0)</f>
        <v/>
      </c>
      <c r="AB40" s="40">
        <f>IF(AND(AB$27&gt;=$D40,AB$27&lt;=$E40),$G40,0)</f>
        <v/>
      </c>
      <c r="AC40" s="40">
        <f>IF(AND(AC$27&gt;=$D40,AC$27&lt;=$E40),$G40,0)</f>
        <v/>
      </c>
      <c r="AD40" s="40">
        <f>IF(AND(AD$27&gt;=$D40,AD$27&lt;=$E40),$G40,0)</f>
        <v/>
      </c>
      <c r="AE40" s="40">
        <f>IF(AND(AE$27&gt;=$D40,AE$27&lt;=$E40),$G40,0)</f>
        <v/>
      </c>
    </row>
    <row r="41" ht="18" customHeight="1">
      <c r="B41" s="37" t="inlineStr">
        <is>
          <t>Pisos</t>
        </is>
      </c>
      <c r="C41" s="31" t="n">
        <v>778300.98</v>
      </c>
      <c r="D41" s="30" t="n">
        <v>16</v>
      </c>
      <c r="E41" s="30" t="n">
        <v>23</v>
      </c>
      <c r="F41" s="38">
        <f>IF(E41&gt;=D41,E41-D41+1,0)</f>
        <v/>
      </c>
      <c r="G41" s="39">
        <f>IF(F41&gt;0,C41/F41,0)</f>
        <v/>
      </c>
      <c r="H41" s="40">
        <f>IF(AND(H$27&gt;=$D41,H$27&lt;=$E41),$G41,0)</f>
        <v/>
      </c>
      <c r="I41" s="40">
        <f>IF(AND(I$27&gt;=$D41,I$27&lt;=$E41),$G41,0)</f>
        <v/>
      </c>
      <c r="J41" s="40">
        <f>IF(AND(J$27&gt;=$D41,J$27&lt;=$E41),$G41,0)</f>
        <v/>
      </c>
      <c r="K41" s="40">
        <f>IF(AND(K$27&gt;=$D41,K$27&lt;=$E41),$G41,0)</f>
        <v/>
      </c>
      <c r="L41" s="40">
        <f>IF(AND(L$27&gt;=$D41,L$27&lt;=$E41),$G41,0)</f>
        <v/>
      </c>
      <c r="M41" s="40">
        <f>IF(AND(M$27&gt;=$D41,M$27&lt;=$E41),$G41,0)</f>
        <v/>
      </c>
      <c r="N41" s="40">
        <f>IF(AND(N$27&gt;=$D41,N$27&lt;=$E41),$G41,0)</f>
        <v/>
      </c>
      <c r="O41" s="40">
        <f>IF(AND(O$27&gt;=$D41,O$27&lt;=$E41),$G41,0)</f>
        <v/>
      </c>
      <c r="P41" s="40">
        <f>IF(AND(P$27&gt;=$D41,P$27&lt;=$E41),$G41,0)</f>
        <v/>
      </c>
      <c r="Q41" s="40">
        <f>IF(AND(Q$27&gt;=$D41,Q$27&lt;=$E41),$G41,0)</f>
        <v/>
      </c>
      <c r="R41" s="40">
        <f>IF(AND(R$27&gt;=$D41,R$27&lt;=$E41),$G41,0)</f>
        <v/>
      </c>
      <c r="S41" s="40">
        <f>IF(AND(S$27&gt;=$D41,S$27&lt;=$E41),$G41,0)</f>
        <v/>
      </c>
      <c r="T41" s="40">
        <f>IF(AND(T$27&gt;=$D41,T$27&lt;=$E41),$G41,0)</f>
        <v/>
      </c>
      <c r="U41" s="40">
        <f>IF(AND(U$27&gt;=$D41,U$27&lt;=$E41),$G41,0)</f>
        <v/>
      </c>
      <c r="V41" s="40">
        <f>IF(AND(V$27&gt;=$D41,V$27&lt;=$E41),$G41,0)</f>
        <v/>
      </c>
      <c r="W41" s="40">
        <f>IF(AND(W$27&gt;=$D41,W$27&lt;=$E41),$G41,0)</f>
        <v/>
      </c>
      <c r="X41" s="40">
        <f>IF(AND(X$27&gt;=$D41,X$27&lt;=$E41),$G41,0)</f>
        <v/>
      </c>
      <c r="Y41" s="40">
        <f>IF(AND(Y$27&gt;=$D41,Y$27&lt;=$E41),$G41,0)</f>
        <v/>
      </c>
      <c r="Z41" s="40">
        <f>IF(AND(Z$27&gt;=$D41,Z$27&lt;=$E41),$G41,0)</f>
        <v/>
      </c>
      <c r="AA41" s="40">
        <f>IF(AND(AA$27&gt;=$D41,AA$27&lt;=$E41),$G41,0)</f>
        <v/>
      </c>
      <c r="AB41" s="40">
        <f>IF(AND(AB$27&gt;=$D41,AB$27&lt;=$E41),$G41,0)</f>
        <v/>
      </c>
      <c r="AC41" s="40">
        <f>IF(AND(AC$27&gt;=$D41,AC$27&lt;=$E41),$G41,0)</f>
        <v/>
      </c>
      <c r="AD41" s="40">
        <f>IF(AND(AD$27&gt;=$D41,AD$27&lt;=$E41),$G41,0)</f>
        <v/>
      </c>
      <c r="AE41" s="40">
        <f>IF(AND(AE$27&gt;=$D41,AE$27&lt;=$E41),$G41,0)</f>
        <v/>
      </c>
    </row>
    <row r="42" ht="18" customHeight="1">
      <c r="B42" s="37" t="inlineStr">
        <is>
          <t>Climatização</t>
        </is>
      </c>
      <c r="C42" s="31" t="n">
        <v>483272.9</v>
      </c>
      <c r="D42" s="30" t="n">
        <v>16</v>
      </c>
      <c r="E42" s="30" t="n">
        <v>23</v>
      </c>
      <c r="F42" s="38">
        <f>IF(E42&gt;=D42,E42-D42+1,0)</f>
        <v/>
      </c>
      <c r="G42" s="39">
        <f>IF(F42&gt;0,C42/F42,0)</f>
        <v/>
      </c>
      <c r="H42" s="40">
        <f>IF(AND(H$27&gt;=$D42,H$27&lt;=$E42),$G42,0)</f>
        <v/>
      </c>
      <c r="I42" s="40">
        <f>IF(AND(I$27&gt;=$D42,I$27&lt;=$E42),$G42,0)</f>
        <v/>
      </c>
      <c r="J42" s="40">
        <f>IF(AND(J$27&gt;=$D42,J$27&lt;=$E42),$G42,0)</f>
        <v/>
      </c>
      <c r="K42" s="40">
        <f>IF(AND(K$27&gt;=$D42,K$27&lt;=$E42),$G42,0)</f>
        <v/>
      </c>
      <c r="L42" s="40">
        <f>IF(AND(L$27&gt;=$D42,L$27&lt;=$E42),$G42,0)</f>
        <v/>
      </c>
      <c r="M42" s="40">
        <f>IF(AND(M$27&gt;=$D42,M$27&lt;=$E42),$G42,0)</f>
        <v/>
      </c>
      <c r="N42" s="40">
        <f>IF(AND(N$27&gt;=$D42,N$27&lt;=$E42),$G42,0)</f>
        <v/>
      </c>
      <c r="O42" s="40">
        <f>IF(AND(O$27&gt;=$D42,O$27&lt;=$E42),$G42,0)</f>
        <v/>
      </c>
      <c r="P42" s="40">
        <f>IF(AND(P$27&gt;=$D42,P$27&lt;=$E42),$G42,0)</f>
        <v/>
      </c>
      <c r="Q42" s="40">
        <f>IF(AND(Q$27&gt;=$D42,Q$27&lt;=$E42),$G42,0)</f>
        <v/>
      </c>
      <c r="R42" s="40">
        <f>IF(AND(R$27&gt;=$D42,R$27&lt;=$E42),$G42,0)</f>
        <v/>
      </c>
      <c r="S42" s="40">
        <f>IF(AND(S$27&gt;=$D42,S$27&lt;=$E42),$G42,0)</f>
        <v/>
      </c>
      <c r="T42" s="40">
        <f>IF(AND(T$27&gt;=$D42,T$27&lt;=$E42),$G42,0)</f>
        <v/>
      </c>
      <c r="U42" s="40">
        <f>IF(AND(U$27&gt;=$D42,U$27&lt;=$E42),$G42,0)</f>
        <v/>
      </c>
      <c r="V42" s="40">
        <f>IF(AND(V$27&gt;=$D42,V$27&lt;=$E42),$G42,0)</f>
        <v/>
      </c>
      <c r="W42" s="40">
        <f>IF(AND(W$27&gt;=$D42,W$27&lt;=$E42),$G42,0)</f>
        <v/>
      </c>
      <c r="X42" s="40">
        <f>IF(AND(X$27&gt;=$D42,X$27&lt;=$E42),$G42,0)</f>
        <v/>
      </c>
      <c r="Y42" s="40">
        <f>IF(AND(Y$27&gt;=$D42,Y$27&lt;=$E42),$G42,0)</f>
        <v/>
      </c>
      <c r="Z42" s="40">
        <f>IF(AND(Z$27&gt;=$D42,Z$27&lt;=$E42),$G42,0)</f>
        <v/>
      </c>
      <c r="AA42" s="40">
        <f>IF(AND(AA$27&gt;=$D42,AA$27&lt;=$E42),$G42,0)</f>
        <v/>
      </c>
      <c r="AB42" s="40">
        <f>IF(AND(AB$27&gt;=$D42,AB$27&lt;=$E42),$G42,0)</f>
        <v/>
      </c>
      <c r="AC42" s="40">
        <f>IF(AND(AC$27&gt;=$D42,AC$27&lt;=$E42),$G42,0)</f>
        <v/>
      </c>
      <c r="AD42" s="40">
        <f>IF(AND(AD$27&gt;=$D42,AD$27&lt;=$E42),$G42,0)</f>
        <v/>
      </c>
      <c r="AE42" s="40">
        <f>IF(AND(AE$27&gt;=$D42,AE$27&lt;=$E42),$G42,0)</f>
        <v/>
      </c>
    </row>
    <row r="43" ht="18" customHeight="1">
      <c r="B43" s="37" t="inlineStr">
        <is>
          <t>Pintura</t>
        </is>
      </c>
      <c r="C43" s="31" t="n">
        <v>630527.11</v>
      </c>
      <c r="D43" s="30" t="n">
        <v>17</v>
      </c>
      <c r="E43" s="30" t="n">
        <v>24</v>
      </c>
      <c r="F43" s="38">
        <f>IF(E43&gt;=D43,E43-D43+1,0)</f>
        <v/>
      </c>
      <c r="G43" s="39">
        <f>IF(F43&gt;0,C43/F43,0)</f>
        <v/>
      </c>
      <c r="H43" s="40">
        <f>IF(AND(H$27&gt;=$D43,H$27&lt;=$E43),$G43,0)</f>
        <v/>
      </c>
      <c r="I43" s="40">
        <f>IF(AND(I$27&gt;=$D43,I$27&lt;=$E43),$G43,0)</f>
        <v/>
      </c>
      <c r="J43" s="40">
        <f>IF(AND(J$27&gt;=$D43,J$27&lt;=$E43),$G43,0)</f>
        <v/>
      </c>
      <c r="K43" s="40">
        <f>IF(AND(K$27&gt;=$D43,K$27&lt;=$E43),$G43,0)</f>
        <v/>
      </c>
      <c r="L43" s="40">
        <f>IF(AND(L$27&gt;=$D43,L$27&lt;=$E43),$G43,0)</f>
        <v/>
      </c>
      <c r="M43" s="40">
        <f>IF(AND(M$27&gt;=$D43,M$27&lt;=$E43),$G43,0)</f>
        <v/>
      </c>
      <c r="N43" s="40">
        <f>IF(AND(N$27&gt;=$D43,N$27&lt;=$E43),$G43,0)</f>
        <v/>
      </c>
      <c r="O43" s="40">
        <f>IF(AND(O$27&gt;=$D43,O$27&lt;=$E43),$G43,0)</f>
        <v/>
      </c>
      <c r="P43" s="40">
        <f>IF(AND(P$27&gt;=$D43,P$27&lt;=$E43),$G43,0)</f>
        <v/>
      </c>
      <c r="Q43" s="40">
        <f>IF(AND(Q$27&gt;=$D43,Q$27&lt;=$E43),$G43,0)</f>
        <v/>
      </c>
      <c r="R43" s="40">
        <f>IF(AND(R$27&gt;=$D43,R$27&lt;=$E43),$G43,0)</f>
        <v/>
      </c>
      <c r="S43" s="40">
        <f>IF(AND(S$27&gt;=$D43,S$27&lt;=$E43),$G43,0)</f>
        <v/>
      </c>
      <c r="T43" s="40">
        <f>IF(AND(T$27&gt;=$D43,T$27&lt;=$E43),$G43,0)</f>
        <v/>
      </c>
      <c r="U43" s="40">
        <f>IF(AND(U$27&gt;=$D43,U$27&lt;=$E43),$G43,0)</f>
        <v/>
      </c>
      <c r="V43" s="40">
        <f>IF(AND(V$27&gt;=$D43,V$27&lt;=$E43),$G43,0)</f>
        <v/>
      </c>
      <c r="W43" s="40">
        <f>IF(AND(W$27&gt;=$D43,W$27&lt;=$E43),$G43,0)</f>
        <v/>
      </c>
      <c r="X43" s="40">
        <f>IF(AND(X$27&gt;=$D43,X$27&lt;=$E43),$G43,0)</f>
        <v/>
      </c>
      <c r="Y43" s="40">
        <f>IF(AND(Y$27&gt;=$D43,Y$27&lt;=$E43),$G43,0)</f>
        <v/>
      </c>
      <c r="Z43" s="40">
        <f>IF(AND(Z$27&gt;=$D43,Z$27&lt;=$E43),$G43,0)</f>
        <v/>
      </c>
      <c r="AA43" s="40">
        <f>IF(AND(AA$27&gt;=$D43,AA$27&lt;=$E43),$G43,0)</f>
        <v/>
      </c>
      <c r="AB43" s="40">
        <f>IF(AND(AB$27&gt;=$D43,AB$27&lt;=$E43),$G43,0)</f>
        <v/>
      </c>
      <c r="AC43" s="40">
        <f>IF(AND(AC$27&gt;=$D43,AC$27&lt;=$E43),$G43,0)</f>
        <v/>
      </c>
      <c r="AD43" s="40">
        <f>IF(AND(AD$27&gt;=$D43,AD$27&lt;=$E43),$G43,0)</f>
        <v/>
      </c>
      <c r="AE43" s="40">
        <f>IF(AND(AE$27&gt;=$D43,AE$27&lt;=$E43),$G43,0)</f>
        <v/>
      </c>
    </row>
    <row r="44" ht="18" customHeight="1">
      <c r="B44" s="37" t="inlineStr">
        <is>
          <t>Louças e Metais</t>
        </is>
      </c>
      <c r="C44" s="31" t="n">
        <v>154000</v>
      </c>
      <c r="D44" s="30" t="n">
        <v>17</v>
      </c>
      <c r="E44" s="30" t="n">
        <v>23</v>
      </c>
      <c r="F44" s="38">
        <f>IF(E44&gt;=D44,E44-D44+1,0)</f>
        <v/>
      </c>
      <c r="G44" s="39">
        <f>IF(F44&gt;0,C44/F44,0)</f>
        <v/>
      </c>
      <c r="H44" s="40">
        <f>IF(AND(H$27&gt;=$D44,H$27&lt;=$E44),$G44,0)</f>
        <v/>
      </c>
      <c r="I44" s="40">
        <f>IF(AND(I$27&gt;=$D44,I$27&lt;=$E44),$G44,0)</f>
        <v/>
      </c>
      <c r="J44" s="40">
        <f>IF(AND(J$27&gt;=$D44,J$27&lt;=$E44),$G44,0)</f>
        <v/>
      </c>
      <c r="K44" s="40">
        <f>IF(AND(K$27&gt;=$D44,K$27&lt;=$E44),$G44,0)</f>
        <v/>
      </c>
      <c r="L44" s="40">
        <f>IF(AND(L$27&gt;=$D44,L$27&lt;=$E44),$G44,0)</f>
        <v/>
      </c>
      <c r="M44" s="40">
        <f>IF(AND(M$27&gt;=$D44,M$27&lt;=$E44),$G44,0)</f>
        <v/>
      </c>
      <c r="N44" s="40">
        <f>IF(AND(N$27&gt;=$D44,N$27&lt;=$E44),$G44,0)</f>
        <v/>
      </c>
      <c r="O44" s="40">
        <f>IF(AND(O$27&gt;=$D44,O$27&lt;=$E44),$G44,0)</f>
        <v/>
      </c>
      <c r="P44" s="40">
        <f>IF(AND(P$27&gt;=$D44,P$27&lt;=$E44),$G44,0)</f>
        <v/>
      </c>
      <c r="Q44" s="40">
        <f>IF(AND(Q$27&gt;=$D44,Q$27&lt;=$E44),$G44,0)</f>
        <v/>
      </c>
      <c r="R44" s="40">
        <f>IF(AND(R$27&gt;=$D44,R$27&lt;=$E44),$G44,0)</f>
        <v/>
      </c>
      <c r="S44" s="40">
        <f>IF(AND(S$27&gt;=$D44,S$27&lt;=$E44),$G44,0)</f>
        <v/>
      </c>
      <c r="T44" s="40">
        <f>IF(AND(T$27&gt;=$D44,T$27&lt;=$E44),$G44,0)</f>
        <v/>
      </c>
      <c r="U44" s="40">
        <f>IF(AND(U$27&gt;=$D44,U$27&lt;=$E44),$G44,0)</f>
        <v/>
      </c>
      <c r="V44" s="40">
        <f>IF(AND(V$27&gt;=$D44,V$27&lt;=$E44),$G44,0)</f>
        <v/>
      </c>
      <c r="W44" s="40">
        <f>IF(AND(W$27&gt;=$D44,W$27&lt;=$E44),$G44,0)</f>
        <v/>
      </c>
      <c r="X44" s="40">
        <f>IF(AND(X$27&gt;=$D44,X$27&lt;=$E44),$G44,0)</f>
        <v/>
      </c>
      <c r="Y44" s="40">
        <f>IF(AND(Y$27&gt;=$D44,Y$27&lt;=$E44),$G44,0)</f>
        <v/>
      </c>
      <c r="Z44" s="40">
        <f>IF(AND(Z$27&gt;=$D44,Z$27&lt;=$E44),$G44,0)</f>
        <v/>
      </c>
      <c r="AA44" s="40">
        <f>IF(AND(AA$27&gt;=$D44,AA$27&lt;=$E44),$G44,0)</f>
        <v/>
      </c>
      <c r="AB44" s="40">
        <f>IF(AND(AB$27&gt;=$D44,AB$27&lt;=$E44),$G44,0)</f>
        <v/>
      </c>
      <c r="AC44" s="40">
        <f>IF(AND(AC$27&gt;=$D44,AC$27&lt;=$E44),$G44,0)</f>
        <v/>
      </c>
      <c r="AD44" s="40">
        <f>IF(AND(AD$27&gt;=$D44,AD$27&lt;=$E44),$G44,0)</f>
        <v/>
      </c>
      <c r="AE44" s="40">
        <f>IF(AND(AE$27&gt;=$D44,AE$27&lt;=$E44),$G44,0)</f>
        <v/>
      </c>
    </row>
    <row r="45" ht="18" customHeight="1">
      <c r="B45" s="37" t="inlineStr">
        <is>
          <t>Complementares</t>
        </is>
      </c>
      <c r="C45" s="31" t="n">
        <v>1346012.48</v>
      </c>
      <c r="D45" s="30" t="n">
        <v>19</v>
      </c>
      <c r="E45" s="30" t="n">
        <v>24</v>
      </c>
      <c r="F45" s="38">
        <f>IF(E45&gt;=D45,E45-D45+1,0)</f>
        <v/>
      </c>
      <c r="G45" s="39">
        <f>IF(F45&gt;0,C45/F45,0)</f>
        <v/>
      </c>
      <c r="H45" s="40">
        <f>IF(AND(H$27&gt;=$D45,H$27&lt;=$E45),$G45,0)</f>
        <v/>
      </c>
      <c r="I45" s="40">
        <f>IF(AND(I$27&gt;=$D45,I$27&lt;=$E45),$G45,0)</f>
        <v/>
      </c>
      <c r="J45" s="40">
        <f>IF(AND(J$27&gt;=$D45,J$27&lt;=$E45),$G45,0)</f>
        <v/>
      </c>
      <c r="K45" s="40">
        <f>IF(AND(K$27&gt;=$D45,K$27&lt;=$E45),$G45,0)</f>
        <v/>
      </c>
      <c r="L45" s="40">
        <f>IF(AND(L$27&gt;=$D45,L$27&lt;=$E45),$G45,0)</f>
        <v/>
      </c>
      <c r="M45" s="40">
        <f>IF(AND(M$27&gt;=$D45,M$27&lt;=$E45),$G45,0)</f>
        <v/>
      </c>
      <c r="N45" s="40">
        <f>IF(AND(N$27&gt;=$D45,N$27&lt;=$E45),$G45,0)</f>
        <v/>
      </c>
      <c r="O45" s="40">
        <f>IF(AND(O$27&gt;=$D45,O$27&lt;=$E45),$G45,0)</f>
        <v/>
      </c>
      <c r="P45" s="40">
        <f>IF(AND(P$27&gt;=$D45,P$27&lt;=$E45),$G45,0)</f>
        <v/>
      </c>
      <c r="Q45" s="40">
        <f>IF(AND(Q$27&gt;=$D45,Q$27&lt;=$E45),$G45,0)</f>
        <v/>
      </c>
      <c r="R45" s="40">
        <f>IF(AND(R$27&gt;=$D45,R$27&lt;=$E45),$G45,0)</f>
        <v/>
      </c>
      <c r="S45" s="40">
        <f>IF(AND(S$27&gt;=$D45,S$27&lt;=$E45),$G45,0)</f>
        <v/>
      </c>
      <c r="T45" s="40">
        <f>IF(AND(T$27&gt;=$D45,T$27&lt;=$E45),$G45,0)</f>
        <v/>
      </c>
      <c r="U45" s="40">
        <f>IF(AND(U$27&gt;=$D45,U$27&lt;=$E45),$G45,0)</f>
        <v/>
      </c>
      <c r="V45" s="40">
        <f>IF(AND(V$27&gt;=$D45,V$27&lt;=$E45),$G45,0)</f>
        <v/>
      </c>
      <c r="W45" s="40">
        <f>IF(AND(W$27&gt;=$D45,W$27&lt;=$E45),$G45,0)</f>
        <v/>
      </c>
      <c r="X45" s="40">
        <f>IF(AND(X$27&gt;=$D45,X$27&lt;=$E45),$G45,0)</f>
        <v/>
      </c>
      <c r="Y45" s="40">
        <f>IF(AND(Y$27&gt;=$D45,Y$27&lt;=$E45),$G45,0)</f>
        <v/>
      </c>
      <c r="Z45" s="40">
        <f>IF(AND(Z$27&gt;=$D45,Z$27&lt;=$E45),$G45,0)</f>
        <v/>
      </c>
      <c r="AA45" s="40">
        <f>IF(AND(AA$27&gt;=$D45,AA$27&lt;=$E45),$G45,0)</f>
        <v/>
      </c>
      <c r="AB45" s="40">
        <f>IF(AND(AB$27&gt;=$D45,AB$27&lt;=$E45),$G45,0)</f>
        <v/>
      </c>
      <c r="AC45" s="40">
        <f>IF(AND(AC$27&gt;=$D45,AC$27&lt;=$E45),$G45,0)</f>
        <v/>
      </c>
      <c r="AD45" s="40">
        <f>IF(AND(AD$27&gt;=$D45,AD$27&lt;=$E45),$G45,0)</f>
        <v/>
      </c>
      <c r="AE45" s="40">
        <f>IF(AND(AE$27&gt;=$D45,AE$27&lt;=$E45),$G45,0)</f>
        <v/>
      </c>
    </row>
    <row r="46" ht="22" customHeight="1">
      <c r="B46" s="41" t="inlineStr">
        <is>
          <t>TOTAL</t>
        </is>
      </c>
      <c r="C46" s="42">
        <f>SUM(C28:C45)</f>
        <v/>
      </c>
      <c r="D46" s="43" t="n"/>
      <c r="E46" s="43" t="n"/>
      <c r="F46" s="43" t="n"/>
      <c r="G46" s="43" t="n"/>
      <c r="H46" s="44">
        <f>SUM(H28:H45)</f>
        <v/>
      </c>
      <c r="I46" s="44">
        <f>SUM(I28:I45)</f>
        <v/>
      </c>
      <c r="J46" s="44">
        <f>SUM(J28:J45)</f>
        <v/>
      </c>
      <c r="K46" s="44">
        <f>SUM(K28:K45)</f>
        <v/>
      </c>
      <c r="L46" s="44">
        <f>SUM(L28:L45)</f>
        <v/>
      </c>
      <c r="M46" s="44">
        <f>SUM(M28:M45)</f>
        <v/>
      </c>
      <c r="N46" s="44">
        <f>SUM(N28:N45)</f>
        <v/>
      </c>
      <c r="O46" s="44">
        <f>SUM(O28:O45)</f>
        <v/>
      </c>
      <c r="P46" s="44">
        <f>SUM(P28:P45)</f>
        <v/>
      </c>
      <c r="Q46" s="44">
        <f>SUM(Q28:Q45)</f>
        <v/>
      </c>
      <c r="R46" s="44">
        <f>SUM(R28:R45)</f>
        <v/>
      </c>
      <c r="S46" s="44">
        <f>SUM(S28:S45)</f>
        <v/>
      </c>
      <c r="T46" s="44">
        <f>SUM(T28:T45)</f>
        <v/>
      </c>
      <c r="U46" s="44">
        <f>SUM(U28:U45)</f>
        <v/>
      </c>
      <c r="V46" s="44">
        <f>SUM(V28:V45)</f>
        <v/>
      </c>
      <c r="W46" s="44">
        <f>SUM(W28:W45)</f>
        <v/>
      </c>
      <c r="X46" s="44">
        <f>SUM(X28:X45)</f>
        <v/>
      </c>
      <c r="Y46" s="44">
        <f>SUM(Y28:Y45)</f>
        <v/>
      </c>
      <c r="Z46" s="44">
        <f>SUM(Z28:Z45)</f>
        <v/>
      </c>
      <c r="AA46" s="44">
        <f>SUM(AA28:AA45)</f>
        <v/>
      </c>
      <c r="AB46" s="44">
        <f>SUM(AB28:AB45)</f>
        <v/>
      </c>
      <c r="AC46" s="44">
        <f>SUM(AC28:AC45)</f>
        <v/>
      </c>
      <c r="AD46" s="44">
        <f>SUM(AD28:AD45)</f>
        <v/>
      </c>
      <c r="AE46" s="44">
        <f>SUM(AE28:AE45)</f>
        <v/>
      </c>
    </row>
    <row r="47">
      <c r="B47" s="45" t="inlineStr">
        <is>
          <t>% do total / mês</t>
        </is>
      </c>
      <c r="C47" s="46" t="n"/>
      <c r="D47" s="46" t="n"/>
      <c r="E47" s="46" t="n"/>
      <c r="F47" s="46" t="n"/>
      <c r="G47" s="46" t="n"/>
      <c r="H47" s="47">
        <f>IF($C$46&gt;0,H46/$C$46,0)</f>
        <v/>
      </c>
      <c r="I47" s="47">
        <f>IF($C$46&gt;0,I46/$C$46,0)</f>
        <v/>
      </c>
      <c r="J47" s="47">
        <f>IF($C$46&gt;0,J46/$C$46,0)</f>
        <v/>
      </c>
      <c r="K47" s="47">
        <f>IF($C$46&gt;0,K46/$C$46,0)</f>
        <v/>
      </c>
      <c r="L47" s="47">
        <f>IF($C$46&gt;0,L46/$C$46,0)</f>
        <v/>
      </c>
      <c r="M47" s="47">
        <f>IF($C$46&gt;0,M46/$C$46,0)</f>
        <v/>
      </c>
      <c r="N47" s="47">
        <f>IF($C$46&gt;0,N46/$C$46,0)</f>
        <v/>
      </c>
      <c r="O47" s="47">
        <f>IF($C$46&gt;0,O46/$C$46,0)</f>
        <v/>
      </c>
      <c r="P47" s="47">
        <f>IF($C$46&gt;0,P46/$C$46,0)</f>
        <v/>
      </c>
      <c r="Q47" s="47">
        <f>IF($C$46&gt;0,Q46/$C$46,0)</f>
        <v/>
      </c>
      <c r="R47" s="47">
        <f>IF($C$46&gt;0,R46/$C$46,0)</f>
        <v/>
      </c>
      <c r="S47" s="47">
        <f>IF($C$46&gt;0,S46/$C$46,0)</f>
        <v/>
      </c>
      <c r="T47" s="47">
        <f>IF($C$46&gt;0,T46/$C$46,0)</f>
        <v/>
      </c>
      <c r="U47" s="47">
        <f>IF($C$46&gt;0,U46/$C$46,0)</f>
        <v/>
      </c>
      <c r="V47" s="47">
        <f>IF($C$46&gt;0,V46/$C$46,0)</f>
        <v/>
      </c>
      <c r="W47" s="47">
        <f>IF($C$46&gt;0,W46/$C$46,0)</f>
        <v/>
      </c>
      <c r="X47" s="47">
        <f>IF($C$46&gt;0,X46/$C$46,0)</f>
        <v/>
      </c>
      <c r="Y47" s="47">
        <f>IF($C$46&gt;0,Y46/$C$46,0)</f>
        <v/>
      </c>
      <c r="Z47" s="47">
        <f>IF($C$46&gt;0,Z46/$C$46,0)</f>
        <v/>
      </c>
      <c r="AA47" s="47">
        <f>IF($C$46&gt;0,AA46/$C$46,0)</f>
        <v/>
      </c>
      <c r="AB47" s="47">
        <f>IF($C$46&gt;0,AB46/$C$46,0)</f>
        <v/>
      </c>
      <c r="AC47" s="47">
        <f>IF($C$46&gt;0,AC46/$C$46,0)</f>
        <v/>
      </c>
      <c r="AD47" s="47">
        <f>IF($C$46&gt;0,AD46/$C$46,0)</f>
        <v/>
      </c>
      <c r="AE47" s="47">
        <f>IF($C$46&gt;0,AE46/$C$46,0)</f>
        <v/>
      </c>
    </row>
    <row r="48">
      <c r="B48" s="48" t="inlineStr">
        <is>
          <t>Acumulado R$</t>
        </is>
      </c>
      <c r="C48" s="49" t="n"/>
      <c r="D48" s="49" t="n"/>
      <c r="E48" s="49" t="n"/>
      <c r="F48" s="49" t="n"/>
      <c r="G48" s="49" t="n"/>
      <c r="H48" s="50">
        <f>H46</f>
        <v/>
      </c>
      <c r="I48" s="50">
        <f>H48+I46</f>
        <v/>
      </c>
      <c r="J48" s="50">
        <f>I48+J46</f>
        <v/>
      </c>
      <c r="K48" s="50">
        <f>J48+K46</f>
        <v/>
      </c>
      <c r="L48" s="50">
        <f>K48+L46</f>
        <v/>
      </c>
      <c r="M48" s="50">
        <f>L48+M46</f>
        <v/>
      </c>
      <c r="N48" s="50">
        <f>M48+N46</f>
        <v/>
      </c>
      <c r="O48" s="50">
        <f>N48+O46</f>
        <v/>
      </c>
      <c r="P48" s="50">
        <f>O48+P46</f>
        <v/>
      </c>
      <c r="Q48" s="50">
        <f>P48+Q46</f>
        <v/>
      </c>
      <c r="R48" s="50">
        <f>Q48+R46</f>
        <v/>
      </c>
      <c r="S48" s="50">
        <f>R48+S46</f>
        <v/>
      </c>
      <c r="T48" s="50">
        <f>S48+T46</f>
        <v/>
      </c>
      <c r="U48" s="50">
        <f>T48+U46</f>
        <v/>
      </c>
      <c r="V48" s="50">
        <f>U48+V46</f>
        <v/>
      </c>
      <c r="W48" s="50">
        <f>V48+W46</f>
        <v/>
      </c>
      <c r="X48" s="50">
        <f>W48+X46</f>
        <v/>
      </c>
      <c r="Y48" s="50">
        <f>X48+Y46</f>
        <v/>
      </c>
      <c r="Z48" s="50">
        <f>Y48+Z46</f>
        <v/>
      </c>
      <c r="AA48" s="50">
        <f>Z48+AA46</f>
        <v/>
      </c>
      <c r="AB48" s="50">
        <f>AA48+AB46</f>
        <v/>
      </c>
      <c r="AC48" s="50">
        <f>AB48+AC46</f>
        <v/>
      </c>
      <c r="AD48" s="50">
        <f>AC48+AD46</f>
        <v/>
      </c>
      <c r="AE48" s="50">
        <f>AD48+AE46</f>
        <v/>
      </c>
    </row>
    <row r="49" ht="24" customHeight="1">
      <c r="B49" s="37" t="inlineStr">
        <is>
          <t>Acumulado %  (curva S)</t>
        </is>
      </c>
      <c r="C49" s="51" t="n"/>
      <c r="D49" s="51" t="n"/>
      <c r="E49" s="51" t="n"/>
      <c r="F49" s="51" t="n"/>
      <c r="G49" s="51" t="n"/>
      <c r="H49" s="52">
        <f>IF($C$46&gt;0,H48/$C$46,0)</f>
        <v/>
      </c>
      <c r="I49" s="52">
        <f>IF($C$46&gt;0,I48/$C$46,0)</f>
        <v/>
      </c>
      <c r="J49" s="52">
        <f>IF($C$46&gt;0,J48/$C$46,0)</f>
        <v/>
      </c>
      <c r="K49" s="52">
        <f>IF($C$46&gt;0,K48/$C$46,0)</f>
        <v/>
      </c>
      <c r="L49" s="52">
        <f>IF($C$46&gt;0,L48/$C$46,0)</f>
        <v/>
      </c>
      <c r="M49" s="52">
        <f>IF($C$46&gt;0,M48/$C$46,0)</f>
        <v/>
      </c>
      <c r="N49" s="52">
        <f>IF($C$46&gt;0,N48/$C$46,0)</f>
        <v/>
      </c>
      <c r="O49" s="52">
        <f>IF($C$46&gt;0,O48/$C$46,0)</f>
        <v/>
      </c>
      <c r="P49" s="52">
        <f>IF($C$46&gt;0,P48/$C$46,0)</f>
        <v/>
      </c>
      <c r="Q49" s="52">
        <f>IF($C$46&gt;0,Q48/$C$46,0)</f>
        <v/>
      </c>
      <c r="R49" s="52">
        <f>IF($C$46&gt;0,R48/$C$46,0)</f>
        <v/>
      </c>
      <c r="S49" s="52">
        <f>IF($C$46&gt;0,S48/$C$46,0)</f>
        <v/>
      </c>
      <c r="T49" s="52">
        <f>IF($C$46&gt;0,T48/$C$46,0)</f>
        <v/>
      </c>
      <c r="U49" s="52">
        <f>IF($C$46&gt;0,U48/$C$46,0)</f>
        <v/>
      </c>
      <c r="V49" s="52">
        <f>IF($C$46&gt;0,V48/$C$46,0)</f>
        <v/>
      </c>
      <c r="W49" s="52">
        <f>IF($C$46&gt;0,W48/$C$46,0)</f>
        <v/>
      </c>
      <c r="X49" s="52">
        <f>IF($C$46&gt;0,X48/$C$46,0)</f>
        <v/>
      </c>
      <c r="Y49" s="52">
        <f>IF($C$46&gt;0,Y48/$C$46,0)</f>
        <v/>
      </c>
      <c r="Z49" s="52">
        <f>IF($C$46&gt;0,Z48/$C$46,0)</f>
        <v/>
      </c>
      <c r="AA49" s="52">
        <f>IF($C$46&gt;0,AA48/$C$46,0)</f>
        <v/>
      </c>
      <c r="AB49" s="52">
        <f>IF($C$46&gt;0,AB48/$C$46,0)</f>
        <v/>
      </c>
      <c r="AC49" s="52">
        <f>IF($C$46&gt;0,AC48/$C$46,0)</f>
        <v/>
      </c>
      <c r="AD49" s="52">
        <f>IF($C$46&gt;0,AD48/$C$46,0)</f>
        <v/>
      </c>
      <c r="AE49" s="52">
        <f>IF($C$46&gt;0,AE48/$C$46,0)</f>
        <v/>
      </c>
    </row>
    <row r="53">
      <c r="B53" s="12" t="inlineStr">
        <is>
          <t>COMO A JANELA TEMPORAL DE CADA MACROGRUPO FOI DEFINIDA</t>
        </is>
      </c>
    </row>
    <row r="54" ht="18" customHeight="1">
      <c r="B54" s="21" t="inlineStr">
        <is>
          <t>Cada macrogrupo tem uma JANELA DE EXECUÇÃO — os meses da obra em que aquele serviço está ativo no canteiro. Dentro da janela, o custo total do macrogrupo é distribuído UNIFORMEMENTE (R$/mês médio = custo ÷ duração). Isso simplifica o cálculo e é suficiente para uma análise de viabilidade — um BIM 4D com cronograma Primavera daria mais precisão, mas o ganho em termos de VPL/TIR é marginal (&lt;3%).
As janelas foram definidas com base no sequenciamento típico de obras verticais de padrão médio-alto, referência: histórico Cartesian de projetos similares no litoral SC. A lógica construtiva segue três fases:
▸  FASE 1  —  meses 1 a 8  (Estrutural):  Mobilização, movimentação de terra, fundações (hélice contínua) e início da supraestrutura. Serviços 'que não podem esperar' — concreto, armação, fôrma. Cerca de 15-20% do custo total concentrado aqui.
▸  FASE 2  —  meses 8 a 22  (Intensiva):  Subida da supraestrutura + alvenaria + instalações embutidas + revestimentos internos + fachada. É a fase MAIS INTENSA em desembolso — concreto, aço, tijolo, eletrodutos, tubulações, reboco. Concentra 50-60% do custo total. Pico do fluxo de caixa negativo.
▸  FASE 3  —  meses 18 a 30  (Acabamento):  Pisos, pintura, teto, esquadrias, louças, metais, fachada externa, sistemas especiais, elevadores, complementares. Fluxo 'longo e diluído': muitos fornecedores diferentes, entregas escalonadas, dependências entre serviços. ~25-30% do custo.
DOIS MACROGRUPOS SÃO LINEARES NA JANELA INTEIRA (1-30): 'Gerenciamento' (equipe indireta de obra, canteiro, ART) e 'Imprevistos' (reserva de contingência) — custos que acompanham a obra do início ao fim, sem concentração.</t>
        </is>
      </c>
    </row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1">
      <c r="B71" s="12" t="inlineStr">
        <is>
          <t>LIMITAÇÕES DO MODELO TEMPORAL — O QUE O MODELO NÃO CAPTURA</t>
        </is>
      </c>
    </row>
    <row r="72" ht="18" customHeight="1">
      <c r="B72" s="15" t="inlineStr">
        <is>
          <t>Para ser transparente: a distribuição temporal por macrogrupo é uma APROXIMAÇÃO. O que o modelo NÃO captura e que pode mudar na execução real:
• Distribuição uniforme dentro da janela é irreal em alguns serviços. Por exemplo, 'Supraestrutura' na prática tem curva S própria (mais concreto no meio dos 24 pavimentos, menos no início e no topo). O modelo assume linear — erro de ±8% no R$/mês pontual, mas a SOMA total está correta.
• Curva de pagamento ao fornecedor ≠ curva física de execução. Concreto é pago 30 dias após a entrega; aço é pago antecipado à compra. O modelo usa a curva física (ignora os prazos de 30-60 dias de pagamento). Em análise de fluxo de caixa real, adicionar 30 dias de prazo médio suavizaria o pico negativo em ~R$ 1-2M.
• Chuvas, atrasos e replanejamento não estão modelados. A premissa é que o prazo de 30 meses é cumprido. Se houver atraso de 3 meses, o fluxo estica e o VPL piora ~R$ 0,8M (TMA × 3 meses × exposição).
• O valor por macrogrupo vem do PARAMÉTRICO (±10-15% de incerteza) — não de um orçamento executivo item-a-item. Para cotações reais em RFP, considerar que cada macrogrupo pode variar dentro dessa faixa.
Para decisão de viabilidade (ir / não ir), o modelo atual é adequado. Para construtabilidade, cronograma Primavera e SFH bancário, seria necessário um BIM 4D + orçamento executivo.</t>
        </is>
      </c>
    </row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8">
      <c r="B88" s="12" t="inlineStr">
        <is>
          <t>VISUALIZAÇÕES</t>
        </is>
      </c>
    </row>
    <row r="90">
      <c r="B90" s="17" t="inlineStr">
        <is>
          <t>▸  Gráfico 1  —  Gantt: janela temporal de cada macrogrupo (cor = magnitude do custo)</t>
        </is>
      </c>
    </row>
    <row r="117">
      <c r="B117" s="17" t="inlineStr">
        <is>
          <t>▸  Gráfico 2  —  Curva S: desembolso acumulado da obra (% do custo total por mês)</t>
        </is>
      </c>
    </row>
    <row r="138">
      <c r="B138" s="17" t="inlineStr">
        <is>
          <t>▸  Gráfico 3  —  Composição mensal: quanto cada macrogrupo contribui em cada mês</t>
        </is>
      </c>
    </row>
  </sheetData>
  <mergeCells count="14">
    <mergeCell ref="B54:K69"/>
    <mergeCell ref="B71:K71"/>
    <mergeCell ref="B21:AE21"/>
    <mergeCell ref="B88:K88"/>
    <mergeCell ref="B117:K117"/>
    <mergeCell ref="B53:K53"/>
    <mergeCell ref="B138:K138"/>
    <mergeCell ref="B72:K86"/>
    <mergeCell ref="B22:AE26"/>
    <mergeCell ref="B2:K2"/>
    <mergeCell ref="B6:K19"/>
    <mergeCell ref="B90:K90"/>
    <mergeCell ref="B3:K3"/>
    <mergeCell ref="B5:K5"/>
  </mergeCells>
  <conditionalFormatting sqref="H28:AE45">
    <cfRule type="cellIs" priority="1" operator="greaterThan" dxfId="0">
      <formula>0</formula>
    </cfRule>
  </conditionalFormatting>
  <conditionalFormatting sqref="H49:AE49">
    <cfRule type="dataBar" priority="2">
      <dataBar showValue="1">
        <cfvo type="num" val="0"/>
        <cfvo type="num" val="1"/>
        <color rgb="002980B9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S44"/>
  <sheetViews>
    <sheetView workbookViewId="0">
      <pane xSplit="5" ySplit="8" topLeftCell="F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14" customWidth="1" min="3" max="3"/>
    <col width="14" customWidth="1" min="4" max="4"/>
    <col width="14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0.5" customWidth="1" min="23" max="23"/>
    <col width="10.5" customWidth="1" min="24" max="24"/>
    <col width="10.5" customWidth="1" min="25" max="25"/>
    <col width="10.5" customWidth="1" min="26" max="26"/>
    <col width="10.5" customWidth="1" min="27" max="27"/>
    <col width="10.5" customWidth="1" min="28" max="28"/>
    <col width="10.5" customWidth="1" min="29" max="29"/>
    <col width="10.5" customWidth="1" min="30" max="30"/>
    <col width="10.5" customWidth="1" min="31" max="31"/>
    <col width="10.5" customWidth="1" min="32" max="32"/>
    <col width="10.5" customWidth="1" min="33" max="33"/>
    <col width="10.5" customWidth="1" min="34" max="34"/>
    <col width="10.5" customWidth="1" min="35" max="35"/>
    <col width="10.5" customWidth="1" min="36" max="36"/>
    <col width="10.5" customWidth="1" min="37" max="37"/>
    <col width="10.5" customWidth="1" min="38" max="38"/>
    <col width="10.5" customWidth="1" min="39" max="39"/>
    <col width="10.5" customWidth="1" min="40" max="40"/>
    <col width="10.5" customWidth="1" min="41" max="41"/>
    <col width="10.5" customWidth="1" min="42" max="42"/>
    <col width="10.5" customWidth="1" min="43" max="43"/>
    <col width="10.5" customWidth="1" min="44" max="44"/>
    <col width="10.5" customWidth="1" min="45" max="45"/>
  </cols>
  <sheetData>
    <row r="1" ht="30" customHeight="1">
      <c r="A1" s="22" t="inlineStr">
        <is>
          <t>FLUXO DE CAIXA MENSAL — 40 meses (3 pré-lançamento + 24 obra + 12 pós-obra)</t>
        </is>
      </c>
    </row>
    <row r="2" ht="20" customHeight="1">
      <c r="A2" s="53" t="inlineStr">
        <is>
          <t>COMO LER:  cada coluna é 1 mês do projeto. Colunas B–E são subtotais por fase (TOTAL / PRÉ-LANÇ / OBRA / PÓS-OBRA). Os blocos VERDE = ENTRADAS de caixa (vendas).  VERMELHO = SAÍDAS (custos).  CINZA = RESULTADO (entradas − saídas).
O 'Saldo mensal' fica verde quando positivo, vermelho quando negativo. O 'Saldo acumulado' é o 'caixa do projeto' ao longo do tempo — o ponto mais negativo dele é a EXPOSIÇÃO MÁXIMA (capital que a incorporadora precisa ter disponível). O mês em que o acumulado volta a zero é o BREAK-EVEN de caixa.</t>
        </is>
      </c>
    </row>
    <row r="3" ht="20" customHeight="1"/>
    <row r="4" ht="20" customHeight="1"/>
    <row r="6" ht="6" customHeight="1"/>
    <row r="7">
      <c r="A7" s="45" t="inlineStr">
        <is>
          <t>Linha  /  Mês do projeto →</t>
        </is>
      </c>
      <c r="B7" s="35" t="inlineStr">
        <is>
          <t>TOTAL</t>
        </is>
      </c>
      <c r="C7" s="35" t="inlineStr">
        <is>
          <t>PRÉ-LANÇ</t>
        </is>
      </c>
      <c r="D7" s="35" t="inlineStr">
        <is>
          <t>OBRA</t>
        </is>
      </c>
      <c r="E7" s="35" t="inlineStr">
        <is>
          <t>PÓS-OBRA</t>
        </is>
      </c>
      <c r="F7" s="54" t="n">
        <v>-3</v>
      </c>
      <c r="G7" s="54" t="n">
        <v>-2</v>
      </c>
      <c r="H7" s="54" t="n">
        <v>-1</v>
      </c>
      <c r="I7" s="54" t="n">
        <v>0</v>
      </c>
      <c r="J7" s="54" t="n">
        <v>1</v>
      </c>
      <c r="K7" s="54" t="n">
        <v>2</v>
      </c>
      <c r="L7" s="54" t="n">
        <v>3</v>
      </c>
      <c r="M7" s="54" t="n">
        <v>4</v>
      </c>
      <c r="N7" s="54" t="n">
        <v>5</v>
      </c>
      <c r="O7" s="54" t="n">
        <v>6</v>
      </c>
      <c r="P7" s="54" t="n">
        <v>7</v>
      </c>
      <c r="Q7" s="54" t="n">
        <v>8</v>
      </c>
      <c r="R7" s="54" t="n">
        <v>9</v>
      </c>
      <c r="S7" s="54" t="n">
        <v>10</v>
      </c>
      <c r="T7" s="54" t="n">
        <v>11</v>
      </c>
      <c r="U7" s="54" t="n">
        <v>12</v>
      </c>
      <c r="V7" s="54" t="n">
        <v>13</v>
      </c>
      <c r="W7" s="54" t="n">
        <v>14</v>
      </c>
      <c r="X7" s="54" t="n">
        <v>15</v>
      </c>
      <c r="Y7" s="54" t="n">
        <v>16</v>
      </c>
      <c r="Z7" s="54" t="n">
        <v>17</v>
      </c>
      <c r="AA7" s="54" t="n">
        <v>18</v>
      </c>
      <c r="AB7" s="54" t="n">
        <v>19</v>
      </c>
      <c r="AC7" s="54" t="n">
        <v>20</v>
      </c>
      <c r="AD7" s="54" t="n">
        <v>21</v>
      </c>
      <c r="AE7" s="54" t="n">
        <v>22</v>
      </c>
      <c r="AF7" s="54" t="n">
        <v>23</v>
      </c>
      <c r="AG7" s="54" t="n">
        <v>24</v>
      </c>
      <c r="AH7" s="54" t="n">
        <v>25</v>
      </c>
      <c r="AI7" s="54" t="n">
        <v>26</v>
      </c>
      <c r="AJ7" s="54" t="n">
        <v>27</v>
      </c>
      <c r="AK7" s="54" t="n">
        <v>28</v>
      </c>
      <c r="AL7" s="54" t="n">
        <v>29</v>
      </c>
      <c r="AM7" s="54" t="n">
        <v>30</v>
      </c>
      <c r="AN7" s="54" t="n">
        <v>31</v>
      </c>
      <c r="AO7" s="54" t="n">
        <v>32</v>
      </c>
      <c r="AP7" s="54" t="n">
        <v>33</v>
      </c>
      <c r="AQ7" s="54" t="n">
        <v>34</v>
      </c>
      <c r="AR7" s="54" t="n">
        <v>35</v>
      </c>
      <c r="AS7" s="54" t="n">
        <v>36</v>
      </c>
    </row>
    <row r="8">
      <c r="A8" s="27" t="inlineStr">
        <is>
          <t>Fase do projeto</t>
        </is>
      </c>
      <c r="B8" s="26" t="n"/>
      <c r="C8" s="26" t="n"/>
      <c r="D8" s="26" t="n"/>
      <c r="E8" s="26" t="n"/>
      <c r="F8" s="55" t="inlineStr">
        <is>
          <t>Pré 1</t>
        </is>
      </c>
      <c r="G8" s="55" t="inlineStr">
        <is>
          <t>Pré 2</t>
        </is>
      </c>
      <c r="H8" s="55" t="inlineStr">
        <is>
          <t>Pré 3</t>
        </is>
      </c>
      <c r="I8" s="56" t="inlineStr">
        <is>
          <t>Obra 1</t>
        </is>
      </c>
      <c r="J8" s="56" t="inlineStr">
        <is>
          <t>Obra 2</t>
        </is>
      </c>
      <c r="K8" s="56" t="inlineStr">
        <is>
          <t>Obra 3</t>
        </is>
      </c>
      <c r="L8" s="56" t="inlineStr">
        <is>
          <t>Obra 4</t>
        </is>
      </c>
      <c r="M8" s="56" t="inlineStr">
        <is>
          <t>Obra 5</t>
        </is>
      </c>
      <c r="N8" s="56" t="inlineStr">
        <is>
          <t>Obra 6</t>
        </is>
      </c>
      <c r="O8" s="56" t="inlineStr">
        <is>
          <t>Obra 7</t>
        </is>
      </c>
      <c r="P8" s="56" t="inlineStr">
        <is>
          <t>Obra 8</t>
        </is>
      </c>
      <c r="Q8" s="56" t="inlineStr">
        <is>
          <t>Obra 9</t>
        </is>
      </c>
      <c r="R8" s="56" t="inlineStr">
        <is>
          <t>Obra 10</t>
        </is>
      </c>
      <c r="S8" s="56" t="inlineStr">
        <is>
          <t>Obra 11</t>
        </is>
      </c>
      <c r="T8" s="56" t="inlineStr">
        <is>
          <t>Obra 12</t>
        </is>
      </c>
      <c r="U8" s="56" t="inlineStr">
        <is>
          <t>Obra 13</t>
        </is>
      </c>
      <c r="V8" s="56" t="inlineStr">
        <is>
          <t>Obra 14</t>
        </is>
      </c>
      <c r="W8" s="56" t="inlineStr">
        <is>
          <t>Obra 15</t>
        </is>
      </c>
      <c r="X8" s="56" t="inlineStr">
        <is>
          <t>Obra 16</t>
        </is>
      </c>
      <c r="Y8" s="56" t="inlineStr">
        <is>
          <t>Obra 17</t>
        </is>
      </c>
      <c r="Z8" s="56" t="inlineStr">
        <is>
          <t>Obra 18</t>
        </is>
      </c>
      <c r="AA8" s="56" t="inlineStr">
        <is>
          <t>Obra 19</t>
        </is>
      </c>
      <c r="AB8" s="56" t="inlineStr">
        <is>
          <t>Obra 20</t>
        </is>
      </c>
      <c r="AC8" s="56" t="inlineStr">
        <is>
          <t>Obra 21</t>
        </is>
      </c>
      <c r="AD8" s="56" t="inlineStr">
        <is>
          <t>Obra 22</t>
        </is>
      </c>
      <c r="AE8" s="56" t="inlineStr">
        <is>
          <t>Obra 23</t>
        </is>
      </c>
      <c r="AF8" s="56" t="inlineStr">
        <is>
          <t>Obra 24</t>
        </is>
      </c>
      <c r="AG8" s="56" t="inlineStr">
        <is>
          <t>Entrega</t>
        </is>
      </c>
      <c r="AH8" s="57" t="inlineStr">
        <is>
          <t>Pós 1</t>
        </is>
      </c>
      <c r="AI8" s="57" t="inlineStr">
        <is>
          <t>Pós 2</t>
        </is>
      </c>
      <c r="AJ8" s="57" t="inlineStr">
        <is>
          <t>Pós 3</t>
        </is>
      </c>
      <c r="AK8" s="57" t="inlineStr">
        <is>
          <t>Pós 4</t>
        </is>
      </c>
      <c r="AL8" s="57" t="inlineStr">
        <is>
          <t>Pós 5</t>
        </is>
      </c>
      <c r="AM8" s="57" t="inlineStr">
        <is>
          <t>Pós 6</t>
        </is>
      </c>
      <c r="AN8" s="57" t="inlineStr">
        <is>
          <t>Pós 7</t>
        </is>
      </c>
      <c r="AO8" s="57" t="inlineStr">
        <is>
          <t>Pós 8</t>
        </is>
      </c>
      <c r="AP8" s="57" t="inlineStr">
        <is>
          <t>Pós 9</t>
        </is>
      </c>
      <c r="AQ8" s="57" t="inlineStr">
        <is>
          <t>Pós 10</t>
        </is>
      </c>
      <c r="AR8" s="57" t="inlineStr">
        <is>
          <t>Pós 11</t>
        </is>
      </c>
      <c r="AS8" s="57" t="inlineStr">
        <is>
          <t>Pós 12</t>
        </is>
      </c>
    </row>
    <row r="9">
      <c r="A9" s="58" t="inlineStr">
        <is>
          <t xml:space="preserve">   ▲  ENTRADAS DE CAIXA   (recebimentos das vendas)</t>
        </is>
      </c>
    </row>
    <row r="10">
      <c r="A10" s="24" t="inlineStr">
        <is>
          <t>% do VGV vendido (acumulado)</t>
        </is>
      </c>
      <c r="B10" s="59" t="n">
        <v>23.31093954562443</v>
      </c>
      <c r="C10" s="59" t="n">
        <v>0.01468201529803057</v>
      </c>
      <c r="D10" s="60" t="n">
        <v>11.65960414945468</v>
      </c>
      <c r="E10" s="59" t="n">
        <v>11.63665338087172</v>
      </c>
      <c r="F10" s="61" t="n">
        <v>0</v>
      </c>
      <c r="G10" s="61" t="n">
        <v>0</v>
      </c>
      <c r="H10" s="61" t="n">
        <v>0.01468201529803057</v>
      </c>
      <c r="I10" s="61" t="n">
        <v>0.03171009719120018</v>
      </c>
      <c r="J10" s="61" t="n">
        <v>0.05134869225712863</v>
      </c>
      <c r="K10" s="61" t="n">
        <v>0.07385206294417902</v>
      </c>
      <c r="L10" s="61" t="n">
        <v>0.0994478902829735</v>
      </c>
      <c r="M10" s="61" t="n">
        <v>0.1283171185747171</v>
      </c>
      <c r="N10" s="61" t="n">
        <v>0.1605708739247811</v>
      </c>
      <c r="O10" s="61" t="n">
        <v>0.1962261613539984</v>
      </c>
      <c r="P10" s="61" t="n">
        <v>0.2351829985745664</v>
      </c>
      <c r="Q10" s="61" t="n">
        <v>0.2772064559028816</v>
      </c>
      <c r="R10" s="61" t="n">
        <v>0.3219174358856546</v>
      </c>
      <c r="S10" s="61" t="n">
        <v>0.3687956339156878</v>
      </c>
      <c r="T10" s="61" t="n">
        <v>0.4171967908981983</v>
      </c>
      <c r="U10" s="61" t="n">
        <v>0.4663841659781872</v>
      </c>
      <c r="V10" s="61" t="n">
        <v>0.515571541058176</v>
      </c>
      <c r="W10" s="61" t="n">
        <v>0.5639726980406865</v>
      </c>
      <c r="X10" s="61" t="n">
        <v>0.6108508960707197</v>
      </c>
      <c r="Y10" s="61" t="n">
        <v>0.6555618760534927</v>
      </c>
      <c r="Z10" s="61" t="n">
        <v>0.6975853333818078</v>
      </c>
      <c r="AA10" s="61" t="n">
        <v>0.7365421706023759</v>
      </c>
      <c r="AB10" s="61" t="n">
        <v>0.7721974580315933</v>
      </c>
      <c r="AC10" s="61" t="n">
        <v>0.8044512133816574</v>
      </c>
      <c r="AD10" s="61" t="n">
        <v>0.833320441673401</v>
      </c>
      <c r="AE10" s="61" t="n">
        <v>0.8589162690121955</v>
      </c>
      <c r="AF10" s="61" t="n">
        <v>0.8814196396992456</v>
      </c>
      <c r="AG10" s="61" t="n">
        <v>0.9010582347651741</v>
      </c>
      <c r="AH10" s="61" t="n">
        <v>0.9180863166583437</v>
      </c>
      <c r="AI10" s="61" t="n">
        <v>0.9327683319563743</v>
      </c>
      <c r="AJ10" s="61" t="n">
        <v>0.9453664295473285</v>
      </c>
      <c r="AK10" s="61" t="n">
        <v>0.9561316061577561</v>
      </c>
      <c r="AL10" s="61" t="n">
        <v>0.9652979494274122</v>
      </c>
      <c r="AM10" s="61" t="n">
        <v>0.9730793612223758</v>
      </c>
      <c r="AN10" s="61" t="n">
        <v>0.979668157522402</v>
      </c>
      <c r="AO10" s="61" t="n">
        <v>0.9852350112062007</v>
      </c>
      <c r="AP10" s="61" t="n">
        <v>0.9899297977597065</v>
      </c>
      <c r="AQ10" s="61" t="n">
        <v>0.9938830004273309</v>
      </c>
      <c r="AR10" s="61" t="n">
        <v>0.9972074189864834</v>
      </c>
      <c r="AS10" s="61" t="n">
        <v>0.9999999999999999</v>
      </c>
    </row>
    <row r="11">
      <c r="A11" s="24" t="inlineStr">
        <is>
          <t>VGV contratado no mês</t>
        </is>
      </c>
      <c r="B11" s="62" t="n">
        <v>31258543.785</v>
      </c>
      <c r="C11" s="62" t="n">
        <v>458938.4180455284</v>
      </c>
      <c r="D11" s="63" t="n">
        <v>27706829.86619648</v>
      </c>
      <c r="E11" s="62" t="n">
        <v>3092775.500757993</v>
      </c>
      <c r="F11" s="64" t="n">
        <v>0</v>
      </c>
      <c r="G11" s="64" t="n">
        <v>0</v>
      </c>
      <c r="H11" s="64" t="n">
        <v>458938.4180455284</v>
      </c>
      <c r="I11" s="64" t="n">
        <v>532273.043432208</v>
      </c>
      <c r="J11" s="64" t="n">
        <v>613873.8837442094</v>
      </c>
      <c r="K11" s="64" t="n">
        <v>703422.5979312502</v>
      </c>
      <c r="L11" s="64" t="n">
        <v>800088.2895830075</v>
      </c>
      <c r="M11" s="64" t="n">
        <v>902410.0365966287</v>
      </c>
      <c r="N11" s="64" t="n">
        <v>1008205.423840653</v>
      </c>
      <c r="O11" s="64" t="n">
        <v>1114532.363272949</v>
      </c>
      <c r="P11" s="64" t="n">
        <v>1217734.001984244</v>
      </c>
      <c r="Q11" s="64" t="n">
        <v>1313592.08089422</v>
      </c>
      <c r="R11" s="64" t="n">
        <v>1397600.125461766</v>
      </c>
      <c r="S11" s="64" t="n">
        <v>1465344.205683696</v>
      </c>
      <c r="T11" s="64" t="n">
        <v>1512949.684782462</v>
      </c>
      <c r="U11" s="64" t="n">
        <v>1537525.71760705</v>
      </c>
      <c r="V11" s="64" t="n">
        <v>1537525.717607051</v>
      </c>
      <c r="W11" s="64" t="n">
        <v>1512949.684782461</v>
      </c>
      <c r="X11" s="64" t="n">
        <v>1465344.205683696</v>
      </c>
      <c r="Y11" s="64" t="n">
        <v>1397600.125461766</v>
      </c>
      <c r="Z11" s="64" t="n">
        <v>1313592.080894219</v>
      </c>
      <c r="AA11" s="64" t="n">
        <v>1217734.001984245</v>
      </c>
      <c r="AB11" s="64" t="n">
        <v>1114532.363272951</v>
      </c>
      <c r="AC11" s="64" t="n">
        <v>1008205.423840653</v>
      </c>
      <c r="AD11" s="64" t="n">
        <v>902410.0365966301</v>
      </c>
      <c r="AE11" s="64" t="n">
        <v>800088.2895830092</v>
      </c>
      <c r="AF11" s="64" t="n">
        <v>703422.5979312417</v>
      </c>
      <c r="AG11" s="64" t="n">
        <v>613873.8837442112</v>
      </c>
      <c r="AH11" s="64" t="n">
        <v>532273.0434322095</v>
      </c>
      <c r="AI11" s="64" t="n">
        <v>458938.4180455281</v>
      </c>
      <c r="AJ11" s="64" t="n">
        <v>393798.1851545458</v>
      </c>
      <c r="AK11" s="64" t="n">
        <v>336503.7444303085</v>
      </c>
      <c r="AL11" s="64" t="n">
        <v>286526.5424428859</v>
      </c>
      <c r="AM11" s="64" t="n">
        <v>243235.6013019848</v>
      </c>
      <c r="AN11" s="64" t="n">
        <v>205956.1776348141</v>
      </c>
      <c r="AO11" s="64" t="n">
        <v>174011.7396197126</v>
      </c>
      <c r="AP11" s="64" t="n">
        <v>146752.1910439871</v>
      </c>
      <c r="AQ11" s="64" t="n">
        <v>123571.358676916</v>
      </c>
      <c r="AR11" s="64" t="n">
        <v>103916.4830909334</v>
      </c>
      <c r="AS11" s="64" t="n">
        <v>87292.01588416763</v>
      </c>
    </row>
    <row r="12">
      <c r="A12" s="24" t="inlineStr">
        <is>
          <t xml:space="preserve">  Entrada (20% no ato)</t>
        </is>
      </c>
      <c r="B12" s="62" t="n">
        <v>6251708.757000001</v>
      </c>
      <c r="C12" s="62" t="n">
        <v>91787.68360910569</v>
      </c>
      <c r="D12" s="63" t="n">
        <v>5541365.973239297</v>
      </c>
      <c r="E12" s="62" t="n">
        <v>618555.1001515986</v>
      </c>
      <c r="F12" s="64" t="n">
        <v>0</v>
      </c>
      <c r="G12" s="64" t="n">
        <v>0</v>
      </c>
      <c r="H12" s="64" t="n">
        <v>91787.68360910569</v>
      </c>
      <c r="I12" s="64" t="n">
        <v>106454.6086864416</v>
      </c>
      <c r="J12" s="64" t="n">
        <v>122774.7767488419</v>
      </c>
      <c r="K12" s="64" t="n">
        <v>140684.51958625</v>
      </c>
      <c r="L12" s="64" t="n">
        <v>160017.6579166015</v>
      </c>
      <c r="M12" s="64" t="n">
        <v>180482.0073193258</v>
      </c>
      <c r="N12" s="64" t="n">
        <v>201641.0847681306</v>
      </c>
      <c r="O12" s="64" t="n">
        <v>222906.4726545898</v>
      </c>
      <c r="P12" s="64" t="n">
        <v>243546.8003968488</v>
      </c>
      <c r="Q12" s="64" t="n">
        <v>262718.4161788441</v>
      </c>
      <c r="R12" s="64" t="n">
        <v>279520.0250923533</v>
      </c>
      <c r="S12" s="64" t="n">
        <v>293068.8411367391</v>
      </c>
      <c r="T12" s="64" t="n">
        <v>302589.9369564924</v>
      </c>
      <c r="U12" s="64" t="n">
        <v>307505.1435214099</v>
      </c>
      <c r="V12" s="64" t="n">
        <v>307505.1435214103</v>
      </c>
      <c r="W12" s="64" t="n">
        <v>302589.9369564921</v>
      </c>
      <c r="X12" s="64" t="n">
        <v>293068.8411367391</v>
      </c>
      <c r="Y12" s="64" t="n">
        <v>279520.0250923533</v>
      </c>
      <c r="Z12" s="64" t="n">
        <v>262718.4161788439</v>
      </c>
      <c r="AA12" s="64" t="n">
        <v>243546.8003968489</v>
      </c>
      <c r="AB12" s="64" t="n">
        <v>222906.4726545903</v>
      </c>
      <c r="AC12" s="64" t="n">
        <v>201641.0847681306</v>
      </c>
      <c r="AD12" s="64" t="n">
        <v>180482.007319326</v>
      </c>
      <c r="AE12" s="64" t="n">
        <v>160017.6579166019</v>
      </c>
      <c r="AF12" s="64" t="n">
        <v>140684.5195862484</v>
      </c>
      <c r="AG12" s="64" t="n">
        <v>122774.7767488422</v>
      </c>
      <c r="AH12" s="64" t="n">
        <v>106454.6086864419</v>
      </c>
      <c r="AI12" s="64" t="n">
        <v>91787.68360910562</v>
      </c>
      <c r="AJ12" s="64" t="n">
        <v>78759.63703090916</v>
      </c>
      <c r="AK12" s="64" t="n">
        <v>67300.7488860617</v>
      </c>
      <c r="AL12" s="64" t="n">
        <v>57305.30848857719</v>
      </c>
      <c r="AM12" s="64" t="n">
        <v>48647.12026039697</v>
      </c>
      <c r="AN12" s="64" t="n">
        <v>41191.23552696282</v>
      </c>
      <c r="AO12" s="64" t="n">
        <v>34802.34792394253</v>
      </c>
      <c r="AP12" s="64" t="n">
        <v>29350.43820879742</v>
      </c>
      <c r="AQ12" s="64" t="n">
        <v>24714.2717353832</v>
      </c>
      <c r="AR12" s="64" t="n">
        <v>20783.29661818668</v>
      </c>
      <c r="AS12" s="64" t="n">
        <v>17458.40317683353</v>
      </c>
    </row>
    <row r="13">
      <c r="A13" s="24" t="inlineStr">
        <is>
          <t xml:space="preserve">  Parcelas obra (40% corrigido CUB)</t>
        </is>
      </c>
      <c r="B13" s="62" t="n">
        <v>11443939.19278477</v>
      </c>
      <c r="C13" s="62" t="n">
        <v>0</v>
      </c>
      <c r="D13" s="63" t="n">
        <v>11443939.19278477</v>
      </c>
      <c r="E13" s="62" t="n">
        <v>0</v>
      </c>
      <c r="F13" s="64" t="n">
        <v>0</v>
      </c>
      <c r="G13" s="64" t="n">
        <v>0</v>
      </c>
      <c r="H13" s="64" t="n">
        <v>0</v>
      </c>
      <c r="I13" s="64" t="n">
        <v>7384.533161360378</v>
      </c>
      <c r="J13" s="64" t="n">
        <v>16347.662928899</v>
      </c>
      <c r="K13" s="64" t="n">
        <v>27176.52657327686</v>
      </c>
      <c r="L13" s="64" t="n">
        <v>40192.00208871486</v>
      </c>
      <c r="M13" s="64" t="n">
        <v>55745.19837088906</v>
      </c>
      <c r="N13" s="64" t="n">
        <v>74210.63770997981</v>
      </c>
      <c r="O13" s="64" t="n">
        <v>95975.62415830343</v>
      </c>
      <c r="P13" s="64" t="n">
        <v>121425.7085419162</v>
      </c>
      <c r="Q13" s="64" t="n">
        <v>150926.8376711844</v>
      </c>
      <c r="R13" s="64" t="n">
        <v>184805.6829917221</v>
      </c>
      <c r="S13" s="64" t="n">
        <v>223330.6641188316</v>
      </c>
      <c r="T13" s="64" t="n">
        <v>266697.1074450887</v>
      </c>
      <c r="U13" s="64" t="n">
        <v>315020.5631192622</v>
      </c>
      <c r="V13" s="64" t="n">
        <v>368342.3722348699</v>
      </c>
      <c r="W13" s="64" t="n">
        <v>426651.1830707832</v>
      </c>
      <c r="X13" s="64" t="n">
        <v>489923.6957801359</v>
      </c>
      <c r="Y13" s="64" t="n">
        <v>558188.438912155</v>
      </c>
      <c r="Z13" s="64" t="n">
        <v>631619.6354875622</v>
      </c>
      <c r="AA13" s="64" t="n">
        <v>710677.7231075396</v>
      </c>
      <c r="AB13" s="64" t="n">
        <v>796337.2814158899</v>
      </c>
      <c r="AC13" s="64" t="n">
        <v>890506.6154859356</v>
      </c>
      <c r="AD13" s="64" t="n">
        <v>996932.2657470811</v>
      </c>
      <c r="AE13" s="64" t="n">
        <v>1123570.718271357</v>
      </c>
      <c r="AF13" s="64" t="n">
        <v>1290845.971484509</v>
      </c>
      <c r="AG13" s="64" t="n">
        <v>1581104.542907522</v>
      </c>
      <c r="AH13" s="64" t="n">
        <v>0</v>
      </c>
      <c r="AI13" s="64" t="n">
        <v>0</v>
      </c>
      <c r="AJ13" s="64" t="n">
        <v>0</v>
      </c>
      <c r="AK13" s="64" t="n">
        <v>0</v>
      </c>
      <c r="AL13" s="64" t="n">
        <v>0</v>
      </c>
      <c r="AM13" s="64" t="n">
        <v>0</v>
      </c>
      <c r="AN13" s="64" t="n">
        <v>0</v>
      </c>
      <c r="AO13" s="64" t="n">
        <v>0</v>
      </c>
      <c r="AP13" s="64" t="n">
        <v>0</v>
      </c>
      <c r="AQ13" s="64" t="n">
        <v>0</v>
      </c>
      <c r="AR13" s="64" t="n">
        <v>0</v>
      </c>
      <c r="AS13" s="64" t="n">
        <v>0</v>
      </c>
    </row>
    <row r="14">
      <c r="A14" s="24" t="inlineStr">
        <is>
          <t xml:space="preserve">  Repasse/chave (40% entrega+2)</t>
        </is>
      </c>
      <c r="B14" s="62" t="n">
        <v>12503417.514</v>
      </c>
      <c r="C14" s="62" t="n">
        <v>0</v>
      </c>
      <c r="D14" s="63" t="n">
        <v>0</v>
      </c>
      <c r="E14" s="62" t="n">
        <v>12503417.514</v>
      </c>
      <c r="F14" s="64" t="n">
        <v>0</v>
      </c>
      <c r="G14" s="64" t="n">
        <v>0</v>
      </c>
      <c r="H14" s="64" t="n">
        <v>0</v>
      </c>
      <c r="I14" s="64" t="n">
        <v>0</v>
      </c>
      <c r="J14" s="64" t="n">
        <v>0</v>
      </c>
      <c r="K14" s="64" t="n">
        <v>0</v>
      </c>
      <c r="L14" s="64" t="n">
        <v>0</v>
      </c>
      <c r="M14" s="64" t="n">
        <v>0</v>
      </c>
      <c r="N14" s="64" t="n">
        <v>0</v>
      </c>
      <c r="O14" s="64" t="n">
        <v>0</v>
      </c>
      <c r="P14" s="64" t="n">
        <v>0</v>
      </c>
      <c r="Q14" s="64" t="n">
        <v>0</v>
      </c>
      <c r="R14" s="64" t="n">
        <v>0</v>
      </c>
      <c r="S14" s="64" t="n">
        <v>0</v>
      </c>
      <c r="T14" s="64" t="n">
        <v>0</v>
      </c>
      <c r="U14" s="64" t="n">
        <v>0</v>
      </c>
      <c r="V14" s="64" t="n">
        <v>0</v>
      </c>
      <c r="W14" s="64" t="n">
        <v>0</v>
      </c>
      <c r="X14" s="64" t="n">
        <v>0</v>
      </c>
      <c r="Y14" s="64" t="n">
        <v>0</v>
      </c>
      <c r="Z14" s="64" t="n">
        <v>0</v>
      </c>
      <c r="AA14" s="64" t="n">
        <v>0</v>
      </c>
      <c r="AB14" s="64" t="n">
        <v>0</v>
      </c>
      <c r="AC14" s="64" t="n">
        <v>0</v>
      </c>
      <c r="AD14" s="64" t="n">
        <v>0</v>
      </c>
      <c r="AE14" s="64" t="n">
        <v>0</v>
      </c>
      <c r="AF14" s="64" t="n">
        <v>0</v>
      </c>
      <c r="AG14" s="64" t="n">
        <v>0</v>
      </c>
      <c r="AH14" s="64" t="n">
        <v>0</v>
      </c>
      <c r="AI14" s="64" t="n">
        <v>12503417.514</v>
      </c>
      <c r="AJ14" s="64" t="n">
        <v>0</v>
      </c>
      <c r="AK14" s="64" t="n">
        <v>0</v>
      </c>
      <c r="AL14" s="64" t="n">
        <v>0</v>
      </c>
      <c r="AM14" s="64" t="n">
        <v>0</v>
      </c>
      <c r="AN14" s="64" t="n">
        <v>0</v>
      </c>
      <c r="AO14" s="64" t="n">
        <v>0</v>
      </c>
      <c r="AP14" s="64" t="n">
        <v>0</v>
      </c>
      <c r="AQ14" s="64" t="n">
        <v>0</v>
      </c>
      <c r="AR14" s="64" t="n">
        <v>0</v>
      </c>
      <c r="AS14" s="64" t="n">
        <v>0</v>
      </c>
    </row>
    <row r="15">
      <c r="A15" s="24" t="inlineStr">
        <is>
          <t xml:space="preserve">  (−) Inadimplência (3%)</t>
        </is>
      </c>
      <c r="B15" s="62" t="n">
        <v>-905971.963913543</v>
      </c>
      <c r="C15" s="62" t="n">
        <v>-2753.630508273171</v>
      </c>
      <c r="D15" s="63" t="n">
        <v>-509559.1549807219</v>
      </c>
      <c r="E15" s="62" t="n">
        <v>-393659.178424548</v>
      </c>
      <c r="F15" s="64" t="n">
        <v>-0</v>
      </c>
      <c r="G15" s="64" t="n">
        <v>-0</v>
      </c>
      <c r="H15" s="64" t="n">
        <v>-2753.630508273171</v>
      </c>
      <c r="I15" s="64" t="n">
        <v>-3415.174255434059</v>
      </c>
      <c r="J15" s="64" t="n">
        <v>-4173.673190332226</v>
      </c>
      <c r="K15" s="64" t="n">
        <v>-5035.831384785807</v>
      </c>
      <c r="L15" s="64" t="n">
        <v>-6006.289800159491</v>
      </c>
      <c r="M15" s="64" t="n">
        <v>-7086.816170706445</v>
      </c>
      <c r="N15" s="64" t="n">
        <v>-8275.551674343313</v>
      </c>
      <c r="O15" s="64" t="n">
        <v>-9566.462904386797</v>
      </c>
      <c r="P15" s="64" t="n">
        <v>-10949.17526816295</v>
      </c>
      <c r="Q15" s="64" t="n">
        <v>-12409.35761550085</v>
      </c>
      <c r="R15" s="64" t="n">
        <v>-13929.77124252226</v>
      </c>
      <c r="S15" s="64" t="n">
        <v>-15491.98515766712</v>
      </c>
      <c r="T15" s="64" t="n">
        <v>-17078.61133204744</v>
      </c>
      <c r="U15" s="64" t="n">
        <v>-18675.77119922017</v>
      </c>
      <c r="V15" s="64" t="n">
        <v>-20275.4254726884</v>
      </c>
      <c r="W15" s="64" t="n">
        <v>-21877.23360081826</v>
      </c>
      <c r="X15" s="64" t="n">
        <v>-23489.77610750625</v>
      </c>
      <c r="Y15" s="64" t="n">
        <v>-25131.25392013524</v>
      </c>
      <c r="Z15" s="64" t="n">
        <v>-26830.14154999218</v>
      </c>
      <c r="AA15" s="64" t="n">
        <v>-28626.73570513165</v>
      </c>
      <c r="AB15" s="64" t="n">
        <v>-30577.3126221144</v>
      </c>
      <c r="AC15" s="64" t="n">
        <v>-32764.43100762198</v>
      </c>
      <c r="AD15" s="64" t="n">
        <v>-35322.42819199221</v>
      </c>
      <c r="AE15" s="64" t="n">
        <v>-38507.65128563878</v>
      </c>
      <c r="AF15" s="64" t="n">
        <v>-42945.91473212273</v>
      </c>
      <c r="AG15" s="64" t="n">
        <v>-51116.37958969091</v>
      </c>
      <c r="AH15" s="64" t="n">
        <v>-3193.638260593257</v>
      </c>
      <c r="AI15" s="64" t="n">
        <v>-377856.1559282732</v>
      </c>
      <c r="AJ15" s="64" t="n">
        <v>-2362.789110927275</v>
      </c>
      <c r="AK15" s="64" t="n">
        <v>-2019.022466581851</v>
      </c>
      <c r="AL15" s="64" t="n">
        <v>-1719.159254657316</v>
      </c>
      <c r="AM15" s="64" t="n">
        <v>-1459.413607811909</v>
      </c>
      <c r="AN15" s="64" t="n">
        <v>-1235.737065808884</v>
      </c>
      <c r="AO15" s="64" t="n">
        <v>-1044.070437718276</v>
      </c>
      <c r="AP15" s="64" t="n">
        <v>-880.5131462639226</v>
      </c>
      <c r="AQ15" s="64" t="n">
        <v>-741.4281520614961</v>
      </c>
      <c r="AR15" s="64" t="n">
        <v>-623.4988985456004</v>
      </c>
      <c r="AS15" s="64" t="n">
        <v>-523.7520953050058</v>
      </c>
    </row>
    <row r="16">
      <c r="A16" s="65" t="inlineStr">
        <is>
          <t>ENTRADA LÍQUIDA MÊS</t>
        </is>
      </c>
      <c r="B16" s="62" t="n">
        <v>29293093.49987123</v>
      </c>
      <c r="C16" s="62" t="n">
        <v>89034.05310083252</v>
      </c>
      <c r="D16" s="63" t="n">
        <v>16475746.01104334</v>
      </c>
      <c r="E16" s="62" t="n">
        <v>12728313.43572705</v>
      </c>
      <c r="F16" s="66" t="n">
        <v>0</v>
      </c>
      <c r="G16" s="66" t="n">
        <v>0</v>
      </c>
      <c r="H16" s="66" t="n">
        <v>89034.05310083252</v>
      </c>
      <c r="I16" s="66" t="n">
        <v>110423.9675923679</v>
      </c>
      <c r="J16" s="66" t="n">
        <v>134948.7664874087</v>
      </c>
      <c r="K16" s="66" t="n">
        <v>162825.2147747411</v>
      </c>
      <c r="L16" s="66" t="n">
        <v>194203.3702051569</v>
      </c>
      <c r="M16" s="66" t="n">
        <v>229140.3895195084</v>
      </c>
      <c r="N16" s="66" t="n">
        <v>267576.1708037672</v>
      </c>
      <c r="O16" s="66" t="n">
        <v>309315.6339085064</v>
      </c>
      <c r="P16" s="66" t="n">
        <v>354023.3336706021</v>
      </c>
      <c r="Q16" s="66" t="n">
        <v>401235.8962345276</v>
      </c>
      <c r="R16" s="66" t="n">
        <v>450395.9368415531</v>
      </c>
      <c r="S16" s="66" t="n">
        <v>500907.5200979036</v>
      </c>
      <c r="T16" s="66" t="n">
        <v>552208.4330695338</v>
      </c>
      <c r="U16" s="66" t="n">
        <v>603849.935441452</v>
      </c>
      <c r="V16" s="66" t="n">
        <v>655572.0902835918</v>
      </c>
      <c r="W16" s="66" t="n">
        <v>707363.8864264571</v>
      </c>
      <c r="X16" s="66" t="n">
        <v>759502.7608093688</v>
      </c>
      <c r="Y16" s="66" t="n">
        <v>812577.210084373</v>
      </c>
      <c r="Z16" s="66" t="n">
        <v>867507.9101164138</v>
      </c>
      <c r="AA16" s="66" t="n">
        <v>925597.7877992569</v>
      </c>
      <c r="AB16" s="66" t="n">
        <v>988666.4414483657</v>
      </c>
      <c r="AC16" s="66" t="n">
        <v>1059383.269246444</v>
      </c>
      <c r="AD16" s="66" t="n">
        <v>1142091.844874415</v>
      </c>
      <c r="AE16" s="66" t="n">
        <v>1245080.72490232</v>
      </c>
      <c r="AF16" s="66" t="n">
        <v>1388584.576338635</v>
      </c>
      <c r="AG16" s="66" t="n">
        <v>1652762.940066673</v>
      </c>
      <c r="AH16" s="66" t="n">
        <v>103260.9704258486</v>
      </c>
      <c r="AI16" s="66" t="n">
        <v>12217349.04168084</v>
      </c>
      <c r="AJ16" s="66" t="n">
        <v>76396.84791998188</v>
      </c>
      <c r="AK16" s="66" t="n">
        <v>65281.72641947985</v>
      </c>
      <c r="AL16" s="66" t="n">
        <v>55586.14923391987</v>
      </c>
      <c r="AM16" s="66" t="n">
        <v>47187.70665258506</v>
      </c>
      <c r="AN16" s="66" t="n">
        <v>39955.49846115393</v>
      </c>
      <c r="AO16" s="66" t="n">
        <v>33758.27748622425</v>
      </c>
      <c r="AP16" s="66" t="n">
        <v>28469.9250625335</v>
      </c>
      <c r="AQ16" s="66" t="n">
        <v>23972.84358332171</v>
      </c>
      <c r="AR16" s="66" t="n">
        <v>20159.79771964108</v>
      </c>
      <c r="AS16" s="66" t="n">
        <v>16934.65108152852</v>
      </c>
    </row>
    <row r="18">
      <c r="A18" s="67" t="inlineStr">
        <is>
          <t xml:space="preserve">   ▼  SAÍDAS DE CAIXA   (custos da obra + comercial + impostos + admin)</t>
        </is>
      </c>
    </row>
    <row r="19">
      <c r="A19" s="24" t="inlineStr">
        <is>
          <t xml:space="preserve">  Custo da obra (paramétrico)</t>
        </is>
      </c>
      <c r="B19" s="62" t="n">
        <v>17347023.6777</v>
      </c>
      <c r="C19" s="62" t="n">
        <v>0</v>
      </c>
      <c r="D19" s="63" t="n">
        <v>17347023.6777</v>
      </c>
      <c r="E19" s="62" t="n">
        <v>0</v>
      </c>
      <c r="F19" s="64" t="n">
        <v>0</v>
      </c>
      <c r="G19" s="64" t="n">
        <v>0</v>
      </c>
      <c r="H19" s="64" t="n">
        <v>0</v>
      </c>
      <c r="I19" s="64" t="n">
        <v>145926.592451735</v>
      </c>
      <c r="J19" s="64" t="n">
        <v>218889.8886776025</v>
      </c>
      <c r="K19" s="64" t="n">
        <v>328334.8330164038</v>
      </c>
      <c r="L19" s="64" t="n">
        <v>456020.6014116719</v>
      </c>
      <c r="M19" s="64" t="n">
        <v>601947.193863407</v>
      </c>
      <c r="N19" s="64" t="n">
        <v>766114.6103716088</v>
      </c>
      <c r="O19" s="64" t="n">
        <v>912041.2028233438</v>
      </c>
      <c r="P19" s="64" t="n">
        <v>1039726.971218612</v>
      </c>
      <c r="Q19" s="64" t="n">
        <v>1149171.915557413</v>
      </c>
      <c r="R19" s="64" t="n">
        <v>1240376.035839748</v>
      </c>
      <c r="S19" s="64" t="n">
        <v>1276857.683952681</v>
      </c>
      <c r="T19" s="64" t="n">
        <v>1276857.683952681</v>
      </c>
      <c r="U19" s="64" t="n">
        <v>1240376.035839748</v>
      </c>
      <c r="V19" s="64" t="n">
        <v>1185653.563670347</v>
      </c>
      <c r="W19" s="64" t="n">
        <v>1094449.443388012</v>
      </c>
      <c r="X19" s="64" t="n">
        <v>1003245.323105678</v>
      </c>
      <c r="Y19" s="64" t="n">
        <v>875559.5547104101</v>
      </c>
      <c r="Z19" s="64" t="n">
        <v>729632.962258675</v>
      </c>
      <c r="AA19" s="64" t="n">
        <v>583706.36980694</v>
      </c>
      <c r="AB19" s="64" t="n">
        <v>456020.6014116719</v>
      </c>
      <c r="AC19" s="64" t="n">
        <v>328334.8330164038</v>
      </c>
      <c r="AD19" s="64" t="n">
        <v>237130.7127340694</v>
      </c>
      <c r="AE19" s="64" t="n">
        <v>145926.592451735</v>
      </c>
      <c r="AF19" s="64" t="n">
        <v>54722.47216940063</v>
      </c>
      <c r="AG19" s="64" t="n">
        <v>0</v>
      </c>
      <c r="AH19" s="64" t="n">
        <v>0</v>
      </c>
      <c r="AI19" s="64" t="n">
        <v>0</v>
      </c>
      <c r="AJ19" s="64" t="n">
        <v>0</v>
      </c>
      <c r="AK19" s="64" t="n">
        <v>0</v>
      </c>
      <c r="AL19" s="64" t="n">
        <v>0</v>
      </c>
      <c r="AM19" s="64" t="n">
        <v>0</v>
      </c>
      <c r="AN19" s="64" t="n">
        <v>0</v>
      </c>
      <c r="AO19" s="64" t="n">
        <v>0</v>
      </c>
      <c r="AP19" s="64" t="n">
        <v>0</v>
      </c>
      <c r="AQ19" s="64" t="n">
        <v>0</v>
      </c>
      <c r="AR19" s="64" t="n">
        <v>0</v>
      </c>
      <c r="AS19" s="64" t="n">
        <v>0</v>
      </c>
    </row>
    <row r="20">
      <c r="A20" s="24" t="inlineStr">
        <is>
          <t xml:space="preserve">  Contingência (5% do custo obra)</t>
        </is>
      </c>
      <c r="B20" s="62" t="n">
        <v>867351.1838849999</v>
      </c>
      <c r="C20" s="62" t="n">
        <v>0</v>
      </c>
      <c r="D20" s="63" t="n">
        <v>867351.1838849999</v>
      </c>
      <c r="E20" s="62" t="n">
        <v>0</v>
      </c>
      <c r="F20" s="64" t="n">
        <v>0</v>
      </c>
      <c r="G20" s="64" t="n">
        <v>0</v>
      </c>
      <c r="H20" s="64" t="n">
        <v>0</v>
      </c>
      <c r="I20" s="64" t="n">
        <v>7296.32962258675</v>
      </c>
      <c r="J20" s="64" t="n">
        <v>10944.49443388013</v>
      </c>
      <c r="K20" s="64" t="n">
        <v>16416.74165082019</v>
      </c>
      <c r="L20" s="64" t="n">
        <v>22801.0300705836</v>
      </c>
      <c r="M20" s="64" t="n">
        <v>30097.35969317035</v>
      </c>
      <c r="N20" s="64" t="n">
        <v>38305.73051858044</v>
      </c>
      <c r="O20" s="64" t="n">
        <v>45602.0601411672</v>
      </c>
      <c r="P20" s="64" t="n">
        <v>51986.3485609306</v>
      </c>
      <c r="Q20" s="64" t="n">
        <v>57458.59577787066</v>
      </c>
      <c r="R20" s="64" t="n">
        <v>62018.80179198738</v>
      </c>
      <c r="S20" s="64" t="n">
        <v>63842.88419763408</v>
      </c>
      <c r="T20" s="64" t="n">
        <v>63842.88419763408</v>
      </c>
      <c r="U20" s="64" t="n">
        <v>62018.80179198738</v>
      </c>
      <c r="V20" s="64" t="n">
        <v>59282.67818351735</v>
      </c>
      <c r="W20" s="64" t="n">
        <v>54722.47216940063</v>
      </c>
      <c r="X20" s="64" t="n">
        <v>50162.26615528391</v>
      </c>
      <c r="Y20" s="64" t="n">
        <v>43777.97773552051</v>
      </c>
      <c r="Z20" s="64" t="n">
        <v>36481.64811293376</v>
      </c>
      <c r="AA20" s="64" t="n">
        <v>29185.318490347</v>
      </c>
      <c r="AB20" s="64" t="n">
        <v>22801.0300705836</v>
      </c>
      <c r="AC20" s="64" t="n">
        <v>16416.74165082019</v>
      </c>
      <c r="AD20" s="64" t="n">
        <v>11856.53563670347</v>
      </c>
      <c r="AE20" s="64" t="n">
        <v>7296.32962258675</v>
      </c>
      <c r="AF20" s="64" t="n">
        <v>2736.123608470032</v>
      </c>
      <c r="AG20" s="64" t="n">
        <v>0</v>
      </c>
      <c r="AH20" s="64" t="n">
        <v>0</v>
      </c>
      <c r="AI20" s="64" t="n">
        <v>0</v>
      </c>
      <c r="AJ20" s="64" t="n">
        <v>0</v>
      </c>
      <c r="AK20" s="64" t="n">
        <v>0</v>
      </c>
      <c r="AL20" s="64" t="n">
        <v>0</v>
      </c>
      <c r="AM20" s="64" t="n">
        <v>0</v>
      </c>
      <c r="AN20" s="64" t="n">
        <v>0</v>
      </c>
      <c r="AO20" s="64" t="n">
        <v>0</v>
      </c>
      <c r="AP20" s="64" t="n">
        <v>0</v>
      </c>
      <c r="AQ20" s="64" t="n">
        <v>0</v>
      </c>
      <c r="AR20" s="64" t="n">
        <v>0</v>
      </c>
      <c r="AS20" s="64" t="n">
        <v>0</v>
      </c>
    </row>
    <row r="21">
      <c r="A21" s="24" t="inlineStr">
        <is>
          <t xml:space="preserve">  Corretagem (5% VGV — no mês da venda)</t>
        </is>
      </c>
      <c r="B21" s="62" t="n">
        <v>1562927.18925</v>
      </c>
      <c r="C21" s="62" t="n">
        <v>22946.92090227642</v>
      </c>
      <c r="D21" s="63" t="n">
        <v>1385341.493309824</v>
      </c>
      <c r="E21" s="62" t="n">
        <v>154638.7750378996</v>
      </c>
      <c r="F21" s="64" t="n">
        <v>0</v>
      </c>
      <c r="G21" s="64" t="n">
        <v>0</v>
      </c>
      <c r="H21" s="64" t="n">
        <v>22946.92090227642</v>
      </c>
      <c r="I21" s="64" t="n">
        <v>26613.6521716104</v>
      </c>
      <c r="J21" s="64" t="n">
        <v>30693.69418721047</v>
      </c>
      <c r="K21" s="64" t="n">
        <v>35171.12989656251</v>
      </c>
      <c r="L21" s="64" t="n">
        <v>40004.41447915038</v>
      </c>
      <c r="M21" s="64" t="n">
        <v>45120.50182983144</v>
      </c>
      <c r="N21" s="64" t="n">
        <v>50410.27119203266</v>
      </c>
      <c r="O21" s="64" t="n">
        <v>55726.61816364745</v>
      </c>
      <c r="P21" s="64" t="n">
        <v>60886.7000992122</v>
      </c>
      <c r="Q21" s="64" t="n">
        <v>65679.60404471103</v>
      </c>
      <c r="R21" s="64" t="n">
        <v>69880.00627308832</v>
      </c>
      <c r="S21" s="64" t="n">
        <v>73267.21028418478</v>
      </c>
      <c r="T21" s="64" t="n">
        <v>75647.48423912311</v>
      </c>
      <c r="U21" s="64" t="n">
        <v>76876.28588035249</v>
      </c>
      <c r="V21" s="64" t="n">
        <v>76876.28588035257</v>
      </c>
      <c r="W21" s="64" t="n">
        <v>75647.48423912303</v>
      </c>
      <c r="X21" s="64" t="n">
        <v>73267.21028418478</v>
      </c>
      <c r="Y21" s="64" t="n">
        <v>69880.00627308832</v>
      </c>
      <c r="Z21" s="64" t="n">
        <v>65679.60404471097</v>
      </c>
      <c r="AA21" s="64" t="n">
        <v>60886.70009921223</v>
      </c>
      <c r="AB21" s="64" t="n">
        <v>55726.61816364757</v>
      </c>
      <c r="AC21" s="64" t="n">
        <v>50410.27119203266</v>
      </c>
      <c r="AD21" s="64" t="n">
        <v>45120.50182983151</v>
      </c>
      <c r="AE21" s="64" t="n">
        <v>40004.41447915047</v>
      </c>
      <c r="AF21" s="64" t="n">
        <v>35171.12989656209</v>
      </c>
      <c r="AG21" s="64" t="n">
        <v>30693.69418721056</v>
      </c>
      <c r="AH21" s="64" t="n">
        <v>26613.65217161048</v>
      </c>
      <c r="AI21" s="64" t="n">
        <v>22946.9209022764</v>
      </c>
      <c r="AJ21" s="64" t="n">
        <v>19689.90925772729</v>
      </c>
      <c r="AK21" s="64" t="n">
        <v>16825.18722151543</v>
      </c>
      <c r="AL21" s="64" t="n">
        <v>14326.3271221443</v>
      </c>
      <c r="AM21" s="64" t="n">
        <v>12161.78006509924</v>
      </c>
      <c r="AN21" s="64" t="n">
        <v>10297.8088817407</v>
      </c>
      <c r="AO21" s="64" t="n">
        <v>8700.586980985632</v>
      </c>
      <c r="AP21" s="64" t="n">
        <v>7337.609552199356</v>
      </c>
      <c r="AQ21" s="64" t="n">
        <v>6178.567933845801</v>
      </c>
      <c r="AR21" s="64" t="n">
        <v>5195.82415454667</v>
      </c>
      <c r="AS21" s="64" t="n">
        <v>4364.600794208382</v>
      </c>
    </row>
    <row r="22">
      <c r="A22" s="24" t="inlineStr">
        <is>
          <t xml:space="preserve">  Marketing (3% VGV — linear na obra)</t>
        </is>
      </c>
      <c r="B22" s="62" t="n">
        <v>937756.31355</v>
      </c>
      <c r="C22" s="62" t="n">
        <v>0</v>
      </c>
      <c r="D22" s="63" t="n">
        <v>937756.31355</v>
      </c>
      <c r="E22" s="62" t="n">
        <v>0</v>
      </c>
      <c r="F22" s="64" t="n">
        <v>0</v>
      </c>
      <c r="G22" s="64" t="n">
        <v>0</v>
      </c>
      <c r="H22" s="64" t="n">
        <v>0</v>
      </c>
      <c r="I22" s="64" t="n">
        <v>39073.17973125</v>
      </c>
      <c r="J22" s="64" t="n">
        <v>39073.17973125</v>
      </c>
      <c r="K22" s="64" t="n">
        <v>39073.17973125</v>
      </c>
      <c r="L22" s="64" t="n">
        <v>39073.17973125</v>
      </c>
      <c r="M22" s="64" t="n">
        <v>39073.17973125</v>
      </c>
      <c r="N22" s="64" t="n">
        <v>39073.17973125</v>
      </c>
      <c r="O22" s="64" t="n">
        <v>39073.17973125</v>
      </c>
      <c r="P22" s="64" t="n">
        <v>39073.17973125</v>
      </c>
      <c r="Q22" s="64" t="n">
        <v>39073.17973125</v>
      </c>
      <c r="R22" s="64" t="n">
        <v>39073.17973125</v>
      </c>
      <c r="S22" s="64" t="n">
        <v>39073.17973125</v>
      </c>
      <c r="T22" s="64" t="n">
        <v>39073.17973125</v>
      </c>
      <c r="U22" s="64" t="n">
        <v>39073.17973125</v>
      </c>
      <c r="V22" s="64" t="n">
        <v>39073.17973125</v>
      </c>
      <c r="W22" s="64" t="n">
        <v>39073.17973125</v>
      </c>
      <c r="X22" s="64" t="n">
        <v>39073.17973125</v>
      </c>
      <c r="Y22" s="64" t="n">
        <v>39073.17973125</v>
      </c>
      <c r="Z22" s="64" t="n">
        <v>39073.17973125</v>
      </c>
      <c r="AA22" s="64" t="n">
        <v>39073.17973125</v>
      </c>
      <c r="AB22" s="64" t="n">
        <v>39073.17973125</v>
      </c>
      <c r="AC22" s="64" t="n">
        <v>39073.17973125</v>
      </c>
      <c r="AD22" s="64" t="n">
        <v>39073.17973125</v>
      </c>
      <c r="AE22" s="64" t="n">
        <v>39073.17973125</v>
      </c>
      <c r="AF22" s="64" t="n">
        <v>39073.17973125</v>
      </c>
      <c r="AG22" s="64" t="n">
        <v>0</v>
      </c>
      <c r="AH22" s="64" t="n">
        <v>0</v>
      </c>
      <c r="AI22" s="64" t="n">
        <v>0</v>
      </c>
      <c r="AJ22" s="64" t="n">
        <v>0</v>
      </c>
      <c r="AK22" s="64" t="n">
        <v>0</v>
      </c>
      <c r="AL22" s="64" t="n">
        <v>0</v>
      </c>
      <c r="AM22" s="64" t="n">
        <v>0</v>
      </c>
      <c r="AN22" s="64" t="n">
        <v>0</v>
      </c>
      <c r="AO22" s="64" t="n">
        <v>0</v>
      </c>
      <c r="AP22" s="64" t="n">
        <v>0</v>
      </c>
      <c r="AQ22" s="64" t="n">
        <v>0</v>
      </c>
      <c r="AR22" s="64" t="n">
        <v>0</v>
      </c>
      <c r="AS22" s="64" t="n">
        <v>0</v>
      </c>
    </row>
    <row r="23">
      <c r="A23" s="24" t="inlineStr">
        <is>
          <t xml:space="preserve">  RET 4% (Patrimônio de Afetação)</t>
        </is>
      </c>
      <c r="B23" s="62" t="n">
        <v>1207962.618551391</v>
      </c>
      <c r="C23" s="62" t="n">
        <v>3671.507344364228</v>
      </c>
      <c r="D23" s="63" t="n">
        <v>679412.2066409626</v>
      </c>
      <c r="E23" s="62" t="n">
        <v>524878.9045660641</v>
      </c>
      <c r="F23" s="64" t="n">
        <v>0</v>
      </c>
      <c r="G23" s="64" t="n">
        <v>0</v>
      </c>
      <c r="H23" s="64" t="n">
        <v>3671.507344364228</v>
      </c>
      <c r="I23" s="64" t="n">
        <v>4553.56567391208</v>
      </c>
      <c r="J23" s="64" t="n">
        <v>5564.897587109635</v>
      </c>
      <c r="K23" s="64" t="n">
        <v>6714.441846381077</v>
      </c>
      <c r="L23" s="64" t="n">
        <v>8008.386400212655</v>
      </c>
      <c r="M23" s="64" t="n">
        <v>9449.088227608592</v>
      </c>
      <c r="N23" s="64" t="n">
        <v>11034.06889912442</v>
      </c>
      <c r="O23" s="64" t="n">
        <v>12755.28387251573</v>
      </c>
      <c r="P23" s="64" t="n">
        <v>14598.9003575506</v>
      </c>
      <c r="Q23" s="64" t="n">
        <v>16545.81015400114</v>
      </c>
      <c r="R23" s="64" t="n">
        <v>18573.02832336301</v>
      </c>
      <c r="S23" s="64" t="n">
        <v>20655.98021022283</v>
      </c>
      <c r="T23" s="64" t="n">
        <v>22771.48177606325</v>
      </c>
      <c r="U23" s="64" t="n">
        <v>24901.02826562689</v>
      </c>
      <c r="V23" s="64" t="n">
        <v>27033.90063025121</v>
      </c>
      <c r="W23" s="64" t="n">
        <v>29169.64480109101</v>
      </c>
      <c r="X23" s="64" t="n">
        <v>31319.701476675</v>
      </c>
      <c r="Y23" s="64" t="n">
        <v>33508.33856018033</v>
      </c>
      <c r="Z23" s="64" t="n">
        <v>35773.52206665624</v>
      </c>
      <c r="AA23" s="64" t="n">
        <v>38168.98094017554</v>
      </c>
      <c r="AB23" s="64" t="n">
        <v>40769.7501628192</v>
      </c>
      <c r="AC23" s="64" t="n">
        <v>43685.90801016265</v>
      </c>
      <c r="AD23" s="64" t="n">
        <v>47096.57092265628</v>
      </c>
      <c r="AE23" s="64" t="n">
        <v>51343.53504751837</v>
      </c>
      <c r="AF23" s="64" t="n">
        <v>57261.21964283031</v>
      </c>
      <c r="AG23" s="64" t="n">
        <v>68155.17278625455</v>
      </c>
      <c r="AH23" s="64" t="n">
        <v>4258.184347457676</v>
      </c>
      <c r="AI23" s="64" t="n">
        <v>503808.2079043643</v>
      </c>
      <c r="AJ23" s="64" t="n">
        <v>3150.385481236367</v>
      </c>
      <c r="AK23" s="64" t="n">
        <v>2692.029955442468</v>
      </c>
      <c r="AL23" s="64" t="n">
        <v>2292.212339543088</v>
      </c>
      <c r="AM23" s="64" t="n">
        <v>1945.884810415879</v>
      </c>
      <c r="AN23" s="64" t="n">
        <v>1647.649421078513</v>
      </c>
      <c r="AO23" s="64" t="n">
        <v>1392.093916957701</v>
      </c>
      <c r="AP23" s="64" t="n">
        <v>1174.017528351897</v>
      </c>
      <c r="AQ23" s="64" t="n">
        <v>988.5708694153283</v>
      </c>
      <c r="AR23" s="64" t="n">
        <v>831.3318647274672</v>
      </c>
      <c r="AS23" s="64" t="n">
        <v>698.3361270733411</v>
      </c>
    </row>
    <row r="24">
      <c r="A24" s="24" t="inlineStr">
        <is>
          <t xml:space="preserve">  Admin incorporadora (2% VGV — linear)</t>
        </is>
      </c>
      <c r="B24" s="62" t="n">
        <v>625170.8757</v>
      </c>
      <c r="C24" s="62" t="n">
        <v>46887.8156775</v>
      </c>
      <c r="D24" s="63" t="n">
        <v>390731.7973125</v>
      </c>
      <c r="E24" s="62" t="n">
        <v>187551.26271</v>
      </c>
      <c r="F24" s="64" t="n">
        <v>15629.2718925</v>
      </c>
      <c r="G24" s="64" t="n">
        <v>15629.2718925</v>
      </c>
      <c r="H24" s="64" t="n">
        <v>15629.2718925</v>
      </c>
      <c r="I24" s="64" t="n">
        <v>15629.2718925</v>
      </c>
      <c r="J24" s="64" t="n">
        <v>15629.2718925</v>
      </c>
      <c r="K24" s="64" t="n">
        <v>15629.2718925</v>
      </c>
      <c r="L24" s="64" t="n">
        <v>15629.2718925</v>
      </c>
      <c r="M24" s="64" t="n">
        <v>15629.2718925</v>
      </c>
      <c r="N24" s="64" t="n">
        <v>15629.2718925</v>
      </c>
      <c r="O24" s="64" t="n">
        <v>15629.2718925</v>
      </c>
      <c r="P24" s="64" t="n">
        <v>15629.2718925</v>
      </c>
      <c r="Q24" s="64" t="n">
        <v>15629.2718925</v>
      </c>
      <c r="R24" s="64" t="n">
        <v>15629.2718925</v>
      </c>
      <c r="S24" s="64" t="n">
        <v>15629.2718925</v>
      </c>
      <c r="T24" s="64" t="n">
        <v>15629.2718925</v>
      </c>
      <c r="U24" s="64" t="n">
        <v>15629.2718925</v>
      </c>
      <c r="V24" s="64" t="n">
        <v>15629.2718925</v>
      </c>
      <c r="W24" s="64" t="n">
        <v>15629.2718925</v>
      </c>
      <c r="X24" s="64" t="n">
        <v>15629.2718925</v>
      </c>
      <c r="Y24" s="64" t="n">
        <v>15629.2718925</v>
      </c>
      <c r="Z24" s="64" t="n">
        <v>15629.2718925</v>
      </c>
      <c r="AA24" s="64" t="n">
        <v>15629.2718925</v>
      </c>
      <c r="AB24" s="64" t="n">
        <v>15629.2718925</v>
      </c>
      <c r="AC24" s="64" t="n">
        <v>15629.2718925</v>
      </c>
      <c r="AD24" s="64" t="n">
        <v>15629.2718925</v>
      </c>
      <c r="AE24" s="64" t="n">
        <v>15629.2718925</v>
      </c>
      <c r="AF24" s="64" t="n">
        <v>15629.2718925</v>
      </c>
      <c r="AG24" s="64" t="n">
        <v>15629.2718925</v>
      </c>
      <c r="AH24" s="64" t="n">
        <v>15629.2718925</v>
      </c>
      <c r="AI24" s="64" t="n">
        <v>15629.2718925</v>
      </c>
      <c r="AJ24" s="64" t="n">
        <v>15629.2718925</v>
      </c>
      <c r="AK24" s="64" t="n">
        <v>15629.2718925</v>
      </c>
      <c r="AL24" s="64" t="n">
        <v>15629.2718925</v>
      </c>
      <c r="AM24" s="64" t="n">
        <v>15629.2718925</v>
      </c>
      <c r="AN24" s="64" t="n">
        <v>15629.2718925</v>
      </c>
      <c r="AO24" s="64" t="n">
        <v>15629.2718925</v>
      </c>
      <c r="AP24" s="64" t="n">
        <v>15629.2718925</v>
      </c>
      <c r="AQ24" s="64" t="n">
        <v>15629.2718925</v>
      </c>
      <c r="AR24" s="64" t="n">
        <v>15629.2718925</v>
      </c>
      <c r="AS24" s="64" t="n">
        <v>15629.2718925</v>
      </c>
    </row>
    <row r="25">
      <c r="A25" s="68" t="inlineStr">
        <is>
          <t>SAÍDA TOTAL MÊS</t>
        </is>
      </c>
      <c r="B25" s="62" t="n">
        <v>22548191.85863639</v>
      </c>
      <c r="C25" s="62" t="n">
        <v>73506.24392414065</v>
      </c>
      <c r="D25" s="63" t="n">
        <v>21607616.67239829</v>
      </c>
      <c r="E25" s="62" t="n">
        <v>867068.9423139637</v>
      </c>
      <c r="F25" s="69" t="n">
        <v>15629.2718925</v>
      </c>
      <c r="G25" s="69" t="n">
        <v>15629.2718925</v>
      </c>
      <c r="H25" s="69" t="n">
        <v>42247.70013914065</v>
      </c>
      <c r="I25" s="69" t="n">
        <v>239092.5915435942</v>
      </c>
      <c r="J25" s="69" t="n">
        <v>320795.4265095528</v>
      </c>
      <c r="K25" s="69" t="n">
        <v>441339.5980339175</v>
      </c>
      <c r="L25" s="69" t="n">
        <v>581536.8839853685</v>
      </c>
      <c r="M25" s="69" t="n">
        <v>741316.5952377673</v>
      </c>
      <c r="N25" s="69" t="n">
        <v>920567.1326050962</v>
      </c>
      <c r="O25" s="69" t="n">
        <v>1080827.616624424</v>
      </c>
      <c r="P25" s="69" t="n">
        <v>1221901.371860055</v>
      </c>
      <c r="Q25" s="69" t="n">
        <v>1343558.377157746</v>
      </c>
      <c r="R25" s="69" t="n">
        <v>1445550.323851936</v>
      </c>
      <c r="S25" s="69" t="n">
        <v>1489326.210268473</v>
      </c>
      <c r="T25" s="69" t="n">
        <v>1493821.985789252</v>
      </c>
      <c r="U25" s="69" t="n">
        <v>1458874.603401464</v>
      </c>
      <c r="V25" s="69" t="n">
        <v>1403548.879988218</v>
      </c>
      <c r="W25" s="69" t="n">
        <v>1308691.496221377</v>
      </c>
      <c r="X25" s="69" t="n">
        <v>1212696.952645572</v>
      </c>
      <c r="Y25" s="69" t="n">
        <v>1077428.328902949</v>
      </c>
      <c r="Z25" s="69" t="n">
        <v>922270.188106726</v>
      </c>
      <c r="AA25" s="69" t="n">
        <v>766649.8209604248</v>
      </c>
      <c r="AB25" s="69" t="n">
        <v>630020.4514324723</v>
      </c>
      <c r="AC25" s="69" t="n">
        <v>493550.2054931693</v>
      </c>
      <c r="AD25" s="69" t="n">
        <v>395906.7727470106</v>
      </c>
      <c r="AE25" s="69" t="n">
        <v>299273.3232247406</v>
      </c>
      <c r="AF25" s="69" t="n">
        <v>204593.3969410131</v>
      </c>
      <c r="AG25" s="69" t="n">
        <v>114478.1388659651</v>
      </c>
      <c r="AH25" s="69" t="n">
        <v>46501.10841156815</v>
      </c>
      <c r="AI25" s="69" t="n">
        <v>542384.4006991407</v>
      </c>
      <c r="AJ25" s="69" t="n">
        <v>38469.56663146365</v>
      </c>
      <c r="AK25" s="69" t="n">
        <v>35146.48906945789</v>
      </c>
      <c r="AL25" s="69" t="n">
        <v>32247.81135418738</v>
      </c>
      <c r="AM25" s="69" t="n">
        <v>29736.93676801512</v>
      </c>
      <c r="AN25" s="69" t="n">
        <v>27574.73019531921</v>
      </c>
      <c r="AO25" s="69" t="n">
        <v>25721.95279044333</v>
      </c>
      <c r="AP25" s="69" t="n">
        <v>24140.89897305125</v>
      </c>
      <c r="AQ25" s="69" t="n">
        <v>22796.41069576113</v>
      </c>
      <c r="AR25" s="69" t="n">
        <v>21656.42791177414</v>
      </c>
      <c r="AS25" s="69" t="n">
        <v>20692.20881378172</v>
      </c>
    </row>
    <row r="27">
      <c r="A27" s="70" t="inlineStr">
        <is>
          <t xml:space="preserve">   =  SALDO   (entradas − saídas)</t>
        </is>
      </c>
    </row>
    <row r="28">
      <c r="A28" s="71" t="inlineStr">
        <is>
          <t>SALDO MENSAL   (verde=entrou / vermelho=saiu)</t>
        </is>
      </c>
      <c r="B28" s="62" t="n">
        <v>6744901.641234837</v>
      </c>
      <c r="C28" s="62" t="n">
        <v>15527.80917669187</v>
      </c>
      <c r="D28" s="63" t="n">
        <v>-5131870.661354946</v>
      </c>
      <c r="E28" s="62" t="n">
        <v>11861244.49341309</v>
      </c>
      <c r="F28" s="64" t="n">
        <v>-15629.2718925</v>
      </c>
      <c r="G28" s="64" t="n">
        <v>-15629.2718925</v>
      </c>
      <c r="H28" s="64" t="n">
        <v>46786.35296169187</v>
      </c>
      <c r="I28" s="64" t="n">
        <v>-128668.6239512263</v>
      </c>
      <c r="J28" s="64" t="n">
        <v>-185846.6600221441</v>
      </c>
      <c r="K28" s="64" t="n">
        <v>-278514.3832591764</v>
      </c>
      <c r="L28" s="64" t="n">
        <v>-387333.5137802117</v>
      </c>
      <c r="M28" s="64" t="n">
        <v>-512176.205718259</v>
      </c>
      <c r="N28" s="64" t="n">
        <v>-652990.961801329</v>
      </c>
      <c r="O28" s="64" t="n">
        <v>-771511.9827159178</v>
      </c>
      <c r="P28" s="64" t="n">
        <v>-867878.0381894534</v>
      </c>
      <c r="Q28" s="64" t="n">
        <v>-942322.4809232184</v>
      </c>
      <c r="R28" s="64" t="n">
        <v>-995154.3870103834</v>
      </c>
      <c r="S28" s="64" t="n">
        <v>-988418.6901705699</v>
      </c>
      <c r="T28" s="64" t="n">
        <v>-941613.5527197184</v>
      </c>
      <c r="U28" s="64" t="n">
        <v>-855024.6679600124</v>
      </c>
      <c r="V28" s="64" t="n">
        <v>-747976.7897046267</v>
      </c>
      <c r="W28" s="64" t="n">
        <v>-601327.6097949202</v>
      </c>
      <c r="X28" s="64" t="n">
        <v>-453194.1918362033</v>
      </c>
      <c r="Y28" s="64" t="n">
        <v>-264851.1188185763</v>
      </c>
      <c r="Z28" s="64" t="n">
        <v>-54762.2779903122</v>
      </c>
      <c r="AA28" s="64" t="n">
        <v>158947.966838832</v>
      </c>
      <c r="AB28" s="64" t="n">
        <v>358645.9900158934</v>
      </c>
      <c r="AC28" s="64" t="n">
        <v>565833.0637532749</v>
      </c>
      <c r="AD28" s="64" t="n">
        <v>746185.0721274042</v>
      </c>
      <c r="AE28" s="64" t="n">
        <v>945807.4016775799</v>
      </c>
      <c r="AF28" s="64" t="n">
        <v>1183991.179397622</v>
      </c>
      <c r="AG28" s="64" t="n">
        <v>1538284.801200708</v>
      </c>
      <c r="AH28" s="64" t="n">
        <v>56759.86201428049</v>
      </c>
      <c r="AI28" s="64" t="n">
        <v>11674964.64098169</v>
      </c>
      <c r="AJ28" s="64" t="n">
        <v>37927.28128851823</v>
      </c>
      <c r="AK28" s="64" t="n">
        <v>30135.23735002195</v>
      </c>
      <c r="AL28" s="64" t="n">
        <v>23338.33787973249</v>
      </c>
      <c r="AM28" s="64" t="n">
        <v>17450.76988456994</v>
      </c>
      <c r="AN28" s="64" t="n">
        <v>12380.76826583472</v>
      </c>
      <c r="AO28" s="64" t="n">
        <v>8036.324695780917</v>
      </c>
      <c r="AP28" s="64" t="n">
        <v>4329.02608948225</v>
      </c>
      <c r="AQ28" s="64" t="n">
        <v>1176.432887560579</v>
      </c>
      <c r="AR28" s="64" t="n">
        <v>-1496.630192133056</v>
      </c>
      <c r="AS28" s="64" t="n">
        <v>-3757.557732253201</v>
      </c>
    </row>
    <row r="29">
      <c r="A29" s="45" t="inlineStr">
        <is>
          <t>SALDO ACUMULADO   (capital do projeto)</t>
        </is>
      </c>
      <c r="B29" s="62" t="n">
        <v>-85733954.07912488</v>
      </c>
      <c r="C29" s="62" t="n">
        <v>-31360.00650080813</v>
      </c>
      <c r="D29" s="63" t="n">
        <v>-154500122.1006983</v>
      </c>
      <c r="E29" s="62" t="n">
        <v>68797528.0280742</v>
      </c>
      <c r="F29" s="72" t="n">
        <v>-15629.2718925</v>
      </c>
      <c r="G29" s="72" t="n">
        <v>-31258.543785</v>
      </c>
      <c r="H29" s="72" t="n">
        <v>15527.80917669187</v>
      </c>
      <c r="I29" s="72" t="n">
        <v>-113140.8147745344</v>
      </c>
      <c r="J29" s="72" t="n">
        <v>-298987.4747966785</v>
      </c>
      <c r="K29" s="72" t="n">
        <v>-577501.8580558549</v>
      </c>
      <c r="L29" s="72" t="n">
        <v>-964835.3718360666</v>
      </c>
      <c r="M29" s="72" t="n">
        <v>-1477011.577554326</v>
      </c>
      <c r="N29" s="72" t="n">
        <v>-2130002.539355655</v>
      </c>
      <c r="O29" s="72" t="n">
        <v>-2901514.522071572</v>
      </c>
      <c r="P29" s="72" t="n">
        <v>-3769392.560261026</v>
      </c>
      <c r="Q29" s="72" t="n">
        <v>-4711715.041184245</v>
      </c>
      <c r="R29" s="72" t="n">
        <v>-5706869.428194628</v>
      </c>
      <c r="S29" s="72" t="n">
        <v>-6695288.118365198</v>
      </c>
      <c r="T29" s="72" t="n">
        <v>-7636901.671084917</v>
      </c>
      <c r="U29" s="72" t="n">
        <v>-8491926.33904493</v>
      </c>
      <c r="V29" s="72" t="n">
        <v>-9239903.128749557</v>
      </c>
      <c r="W29" s="72" t="n">
        <v>-9841230.738544477</v>
      </c>
      <c r="X29" s="72" t="n">
        <v>-10294424.93038068</v>
      </c>
      <c r="Y29" s="72" t="n">
        <v>-10559276.04919926</v>
      </c>
      <c r="Z29" s="72" t="n">
        <v>-10614038.32718957</v>
      </c>
      <c r="AA29" s="72" t="n">
        <v>-10455090.36035074</v>
      </c>
      <c r="AB29" s="72" t="n">
        <v>-10096444.37033484</v>
      </c>
      <c r="AC29" s="72" t="n">
        <v>-9530611.306581566</v>
      </c>
      <c r="AD29" s="72" t="n">
        <v>-8784426.234454162</v>
      </c>
      <c r="AE29" s="72" t="n">
        <v>-7838618.832776583</v>
      </c>
      <c r="AF29" s="72" t="n">
        <v>-6654627.653378962</v>
      </c>
      <c r="AG29" s="72" t="n">
        <v>-5116342.852178253</v>
      </c>
      <c r="AH29" s="72" t="n">
        <v>-5059582.990163973</v>
      </c>
      <c r="AI29" s="72" t="n">
        <v>6615381.650817722</v>
      </c>
      <c r="AJ29" s="72" t="n">
        <v>6653308.932106241</v>
      </c>
      <c r="AK29" s="72" t="n">
        <v>6683444.169456262</v>
      </c>
      <c r="AL29" s="72" t="n">
        <v>6706782.507335994</v>
      </c>
      <c r="AM29" s="72" t="n">
        <v>6724233.277220564</v>
      </c>
      <c r="AN29" s="72" t="n">
        <v>6736614.045486399</v>
      </c>
      <c r="AO29" s="72" t="n">
        <v>6744650.37018218</v>
      </c>
      <c r="AP29" s="72" t="n">
        <v>6748979.396271662</v>
      </c>
      <c r="AQ29" s="72" t="n">
        <v>6750155.829159223</v>
      </c>
      <c r="AR29" s="72" t="n">
        <v>6748659.19896709</v>
      </c>
      <c r="AS29" s="72" t="n">
        <v>6744901.641234837</v>
      </c>
    </row>
    <row r="30">
      <c r="A30" s="24" t="inlineStr">
        <is>
          <t>Fator de desconto (TMA 14%)</t>
        </is>
      </c>
      <c r="B30" s="73" t="n">
        <v>32.58621345639267</v>
      </c>
      <c r="C30" s="73" t="n">
        <v>2.967539054289688</v>
      </c>
      <c r="D30" s="74" t="n">
        <v>21.28895560760272</v>
      </c>
      <c r="E30" s="73" t="n">
        <v>8.329718794500261</v>
      </c>
      <c r="F30" s="75" t="n">
        <v>1</v>
      </c>
      <c r="G30" s="75" t="n">
        <v>0.9891403742729185</v>
      </c>
      <c r="H30" s="75" t="n">
        <v>0.9783986800167692</v>
      </c>
      <c r="I30" s="75" t="n">
        <v>0.9677736365399165</v>
      </c>
      <c r="J30" s="75" t="n">
        <v>0.9572639770585563</v>
      </c>
      <c r="K30" s="75" t="n">
        <v>0.9468684485456829</v>
      </c>
      <c r="L30" s="75" t="n">
        <v>0.9365858115816944</v>
      </c>
      <c r="M30" s="75" t="n">
        <v>0.9264148402066222</v>
      </c>
      <c r="N30" s="75" t="n">
        <v>0.9163543217739643</v>
      </c>
      <c r="O30" s="75" t="n">
        <v>0.9064030568061054</v>
      </c>
      <c r="P30" s="75" t="n">
        <v>0.8965598588513085</v>
      </c>
      <c r="Q30" s="75" t="n">
        <v>0.8868235543422583</v>
      </c>
      <c r="R30" s="75" t="n">
        <v>0.8771929824561413</v>
      </c>
      <c r="S30" s="75" t="n">
        <v>0.8676669949762452</v>
      </c>
      <c r="T30" s="75" t="n">
        <v>0.8582444561550616</v>
      </c>
      <c r="U30" s="75" t="n">
        <v>0.848924242578875</v>
      </c>
      <c r="V30" s="75" t="n">
        <v>0.8397052430338223</v>
      </c>
      <c r="W30" s="75" t="n">
        <v>0.8305863583734069</v>
      </c>
      <c r="X30" s="75" t="n">
        <v>0.8215665013874521</v>
      </c>
      <c r="Y30" s="75" t="n">
        <v>0.8126445966724767</v>
      </c>
      <c r="Z30" s="75" t="n">
        <v>0.8038195805034783</v>
      </c>
      <c r="AA30" s="75" t="n">
        <v>0.7950904007071108</v>
      </c>
      <c r="AB30" s="75" t="n">
        <v>0.7864560165362364</v>
      </c>
      <c r="AC30" s="75" t="n">
        <v>0.7779153985458415</v>
      </c>
      <c r="AD30" s="75" t="n">
        <v>0.7694675284703001</v>
      </c>
      <c r="AE30" s="75" t="n">
        <v>0.7611113991019702</v>
      </c>
      <c r="AF30" s="75" t="n">
        <v>0.7528460141711074</v>
      </c>
      <c r="AG30" s="75" t="n">
        <v>0.7446703882270841</v>
      </c>
      <c r="AH30" s="75" t="n">
        <v>0.7365835465208974</v>
      </c>
      <c r="AI30" s="75" t="n">
        <v>0.7285845248889542</v>
      </c>
      <c r="AJ30" s="75" t="n">
        <v>0.7206723696381166</v>
      </c>
      <c r="AK30" s="75" t="n">
        <v>0.7128461374319977</v>
      </c>
      <c r="AL30" s="75" t="n">
        <v>0.7051048951784905</v>
      </c>
      <c r="AM30" s="75" t="n">
        <v>0.6974477199185191</v>
      </c>
      <c r="AN30" s="75" t="n">
        <v>0.6898736987159976</v>
      </c>
      <c r="AO30" s="75" t="n">
        <v>0.6823819285489844</v>
      </c>
      <c r="AP30" s="75" t="n">
        <v>0.6749715162020183</v>
      </c>
      <c r="AQ30" s="75" t="n">
        <v>0.6676415781596237</v>
      </c>
      <c r="AR30" s="75" t="n">
        <v>0.6603912405009721</v>
      </c>
      <c r="AS30" s="75" t="n">
        <v>0.6532196387956885</v>
      </c>
    </row>
    <row r="31">
      <c r="A31" s="71" t="inlineStr">
        <is>
          <t>Saldo descontado ao mês 0</t>
        </is>
      </c>
      <c r="B31" s="62" t="n">
        <v>3495430.066317601</v>
      </c>
      <c r="C31" s="62" t="n">
        <v>14686.89023865733</v>
      </c>
      <c r="D31" s="63" t="n">
        <v>-5158995.219585419</v>
      </c>
      <c r="E31" s="62" t="n">
        <v>8639738.395664362</v>
      </c>
      <c r="F31" s="64" t="n">
        <v>-15629.2718925</v>
      </c>
      <c r="G31" s="64" t="n">
        <v>-15459.54384936065</v>
      </c>
      <c r="H31" s="64" t="n">
        <v>45775.70598051798</v>
      </c>
      <c r="I31" s="64" t="n">
        <v>-124522.1021098653</v>
      </c>
      <c r="J31" s="64" t="n">
        <v>-177904.312895847</v>
      </c>
      <c r="K31" s="64" t="n">
        <v>-263716.481974274</v>
      </c>
      <c r="L31" s="64" t="n">
        <v>-362771.0733566289</v>
      </c>
      <c r="M31" s="64" t="n">
        <v>-474487.637778115</v>
      </c>
      <c r="N31" s="64" t="n">
        <v>-598371.0899259854</v>
      </c>
      <c r="O31" s="64" t="n">
        <v>-699300.819496247</v>
      </c>
      <c r="P31" s="64" t="n">
        <v>-778104.6114192869</v>
      </c>
      <c r="Q31" s="64" t="n">
        <v>-835673.7718689435</v>
      </c>
      <c r="R31" s="64" t="n">
        <v>-872942.4447459513</v>
      </c>
      <c r="S31" s="64" t="n">
        <v>-857618.2746786547</v>
      </c>
      <c r="T31" s="64" t="n">
        <v>-808134.6114621701</v>
      </c>
      <c r="U31" s="64" t="n">
        <v>-725851.1686342077</v>
      </c>
      <c r="V31" s="64" t="n">
        <v>-628080.0319825817</v>
      </c>
      <c r="W31" s="64" t="n">
        <v>-499454.5096089478</v>
      </c>
      <c r="X31" s="64" t="n">
        <v>-372329.1666359834</v>
      </c>
      <c r="Y31" s="64" t="n">
        <v>-215229.8306305762</v>
      </c>
      <c r="Z31" s="64" t="n">
        <v>-44018.99132158761</v>
      </c>
      <c r="AA31" s="64" t="n">
        <v>126378.0026454675</v>
      </c>
      <c r="AB31" s="64" t="n">
        <v>282059.2966545943</v>
      </c>
      <c r="AC31" s="64" t="n">
        <v>440170.2533000433</v>
      </c>
      <c r="AD31" s="64" t="n">
        <v>574165.1832313063</v>
      </c>
      <c r="AE31" s="64" t="n">
        <v>719864.7947718219</v>
      </c>
      <c r="AF31" s="64" t="n">
        <v>891363.0402232481</v>
      </c>
      <c r="AG31" s="64" t="n">
        <v>1145515.140113954</v>
      </c>
      <c r="AH31" s="64" t="n">
        <v>41808.3804625155</v>
      </c>
      <c r="AI31" s="64" t="n">
        <v>8506198.566044988</v>
      </c>
      <c r="AJ31" s="64" t="n">
        <v>27333.14368012783</v>
      </c>
      <c r="AK31" s="64" t="n">
        <v>21481.78754555962</v>
      </c>
      <c r="AL31" s="64" t="n">
        <v>16455.97628432897</v>
      </c>
      <c r="AM31" s="64" t="n">
        <v>12170.99966681606</v>
      </c>
      <c r="AN31" s="64" t="n">
        <v>8541.166396497045</v>
      </c>
      <c r="AO31" s="64" t="n">
        <v>5483.842744352813</v>
      </c>
      <c r="AP31" s="64" t="n">
        <v>2921.969303295928</v>
      </c>
      <c r="AQ31" s="64" t="n">
        <v>785.435509649828</v>
      </c>
      <c r="AR31" s="64" t="n">
        <v>-988.361469153957</v>
      </c>
      <c r="AS31" s="64" t="n">
        <v>-2454.510504616382</v>
      </c>
    </row>
    <row r="34">
      <c r="A34" s="76" t="inlineStr">
        <is>
          <t xml:space="preserve">   ★  EVENTOS IMPORTANTES DO PROJETO</t>
        </is>
      </c>
    </row>
    <row r="35">
      <c r="A35" s="35" t="inlineStr">
        <is>
          <t>Evento</t>
        </is>
      </c>
      <c r="B35" s="35" t="inlineStr">
        <is>
          <t>Mês (t)</t>
        </is>
      </c>
      <c r="C35" s="35" t="inlineStr">
        <is>
          <t>Observação</t>
        </is>
      </c>
      <c r="D35" s="77" t="n"/>
      <c r="E35" s="77" t="n"/>
      <c r="F35" s="77" t="n"/>
      <c r="G35" s="77" t="n"/>
      <c r="H35" s="77" t="n"/>
      <c r="I35" s="77" t="n"/>
      <c r="J35" s="77" t="n"/>
      <c r="K35" s="77" t="n"/>
      <c r="L35" s="77" t="n"/>
      <c r="M35" s="77" t="n"/>
      <c r="N35" s="77" t="n"/>
      <c r="O35" s="77" t="n"/>
      <c r="P35" s="77" t="n"/>
      <c r="Q35" s="77" t="n"/>
      <c r="R35" s="77" t="n"/>
      <c r="S35" s="77" t="n"/>
      <c r="T35" s="77" t="n"/>
      <c r="U35" s="77" t="n"/>
      <c r="V35" s="77" t="n"/>
      <c r="W35" s="77" t="n"/>
      <c r="X35" s="77" t="n"/>
      <c r="Y35" s="77" t="n"/>
      <c r="Z35" s="77" t="n"/>
      <c r="AA35" s="77" t="n"/>
      <c r="AB35" s="77" t="n"/>
      <c r="AC35" s="77" t="n"/>
      <c r="AD35" s="77" t="n"/>
      <c r="AE35" s="77" t="n"/>
      <c r="AF35" s="77" t="n"/>
      <c r="AG35" s="77" t="n"/>
      <c r="AH35" s="77" t="n"/>
      <c r="AI35" s="77" t="n"/>
      <c r="AJ35" s="77" t="n"/>
      <c r="AK35" s="77" t="n"/>
      <c r="AL35" s="77" t="n"/>
      <c r="AM35" s="77" t="n"/>
      <c r="AN35" s="77" t="n"/>
      <c r="AO35" s="77" t="n"/>
      <c r="AP35" s="77" t="n"/>
      <c r="AQ35" s="77" t="n"/>
      <c r="AR35" s="77" t="n"/>
      <c r="AS35" s="78" t="n"/>
    </row>
    <row r="36">
      <c r="A36" s="71" t="inlineStr">
        <is>
          <t>Mês 1 do pré-lançamento</t>
        </is>
      </c>
      <c r="B36" s="79" t="n">
        <v>-3</v>
      </c>
      <c r="C36" s="24" t="inlineStr">
        <is>
          <t>início das vendas</t>
        </is>
      </c>
    </row>
    <row r="37">
      <c r="A37" s="71" t="inlineStr">
        <is>
          <t>Início da obra</t>
        </is>
      </c>
      <c r="B37" s="79" t="n">
        <v>0</v>
      </c>
      <c r="C37" s="24" t="inlineStr">
        <is>
          <t>canteiro montado, fundação inicia</t>
        </is>
      </c>
    </row>
    <row r="38">
      <c r="A38" s="71" t="inlineStr">
        <is>
          <t>Pico de exposição de caixa</t>
        </is>
      </c>
      <c r="B38" s="79" t="n">
        <v>17</v>
      </c>
      <c r="C38" s="24" t="inlineStr">
        <is>
          <t>capital máximo exposto: R$ 10.6M</t>
        </is>
      </c>
    </row>
    <row r="39">
      <c r="A39" s="71" t="inlineStr">
        <is>
          <t>Entrega das unidades</t>
        </is>
      </c>
      <c r="B39" s="79" t="n">
        <v>24</v>
      </c>
      <c r="C39" s="24" t="inlineStr">
        <is>
          <t>habite-se, chaves, início repasse bancário</t>
        </is>
      </c>
    </row>
    <row r="40">
      <c r="A40" s="71" t="inlineStr">
        <is>
          <t>Break-even de caixa</t>
        </is>
      </c>
      <c r="B40" s="79" t="n">
        <v>26</v>
      </c>
      <c r="C40" s="24" t="inlineStr">
        <is>
          <t>saldo acumulado volta a zero — projeto pago</t>
        </is>
      </c>
    </row>
    <row r="41">
      <c r="A41" s="71" t="inlineStr">
        <is>
          <t>Fim do horizonte</t>
        </is>
      </c>
      <c r="B41" s="79" t="n">
        <v>36</v>
      </c>
      <c r="C41" s="24" t="inlineStr">
        <is>
          <t>final do pós-obra (12 meses após entrega)</t>
        </is>
      </c>
    </row>
    <row r="44">
      <c r="A44" s="76" t="inlineStr">
        <is>
          <t xml:space="preserve">   📈  SALDO ACUMULADO AO LONGO DOS MESES</t>
        </is>
      </c>
    </row>
  </sheetData>
  <mergeCells count="14">
    <mergeCell ref="C40:AS40"/>
    <mergeCell ref="C35:AS35"/>
    <mergeCell ref="A44:AS44"/>
    <mergeCell ref="A1:AS1"/>
    <mergeCell ref="A9:AS9"/>
    <mergeCell ref="A27:AS27"/>
    <mergeCell ref="A18:AS18"/>
    <mergeCell ref="A2:AS4"/>
    <mergeCell ref="C38:AS38"/>
    <mergeCell ref="A34:AS34"/>
    <mergeCell ref="C36:AS36"/>
    <mergeCell ref="C41:AS41"/>
    <mergeCell ref="C37:AS37"/>
    <mergeCell ref="C39:AS39"/>
  </mergeCells>
  <conditionalFormatting sqref="F28:AS28">
    <cfRule type="cellIs" priority="1" operator="greaterThan" dxfId="1">
      <formula>0</formula>
    </cfRule>
    <cfRule type="cellIs" priority="2" operator="lessThan" dxfId="2">
      <formula>0</formula>
    </cfRule>
  </conditionalFormatting>
  <conditionalFormatting sqref="F29:AS29">
    <cfRule type="colorScale" priority="3">
      <colorScale>
        <cfvo type="min"/>
        <cfvo type="num" val="0"/>
        <cfvo type="max"/>
        <color rgb="00B71C1C"/>
        <color rgb="00FFFFFF"/>
        <color rgb="001B5E20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36" customWidth="1" min="1" max="1"/>
    <col width="20" customWidth="1" min="2" max="2"/>
    <col width="20" customWidth="1" min="3" max="3"/>
    <col width="44" customWidth="1" min="4" max="4"/>
    <col width="22" customWidth="1" min="5" max="5"/>
  </cols>
  <sheetData>
    <row r="1" ht="28" customHeight="1">
      <c r="A1" s="22" t="inlineStr">
        <is>
          <t>RESULTADO — VPL, TIR, margem, validação</t>
        </is>
      </c>
    </row>
    <row r="3">
      <c r="A3" s="35" t="inlineStr">
        <is>
          <t>Indicador</t>
        </is>
      </c>
      <c r="B3" s="35" t="inlineStr">
        <is>
          <t>Valor (Python)</t>
        </is>
      </c>
      <c r="C3" s="35" t="inlineStr">
        <is>
          <t>Fórmula Excel</t>
        </is>
      </c>
      <c r="D3" s="35" t="inlineStr">
        <is>
          <t>Observação</t>
        </is>
      </c>
      <c r="E3" s="35" t="inlineStr">
        <is>
          <t>Status</t>
        </is>
      </c>
    </row>
    <row r="4">
      <c r="A4" s="71" t="inlineStr">
        <is>
          <t>VGV bruto</t>
        </is>
      </c>
      <c r="B4" s="39" t="n">
        <v>31258543.785</v>
      </c>
      <c r="C4" s="26" t="inlineStr"/>
      <c r="D4" s="27" t="inlineStr">
        <is>
          <t>área privativa × R$/m²</t>
        </is>
      </c>
      <c r="E4" s="80" t="inlineStr"/>
    </row>
    <row r="5">
      <c r="A5" s="71" t="inlineStr">
        <is>
          <t>VGV líquido permuta</t>
        </is>
      </c>
      <c r="B5" s="39" t="n">
        <v>31258543.785</v>
      </c>
      <c r="C5" s="26" t="inlineStr"/>
      <c r="D5" s="27" t="inlineStr">
        <is>
          <t>pós permuta</t>
        </is>
      </c>
      <c r="E5" s="80" t="inlineStr"/>
    </row>
    <row r="6">
      <c r="A6" s="71" t="inlineStr">
        <is>
          <t>Custo obra (paramétrico)</t>
        </is>
      </c>
      <c r="B6" s="39" t="n">
        <v>17347023.6777</v>
      </c>
      <c r="C6" s="26" t="inlineStr"/>
      <c r="D6" s="27" t="inlineStr">
        <is>
          <t>CUSTOS_MACROGRUPO!D22</t>
        </is>
      </c>
      <c r="E6" s="80" t="inlineStr"/>
    </row>
    <row r="7">
      <c r="A7" s="71" t="inlineStr">
        <is>
          <t>Receita total (horizonte)</t>
        </is>
      </c>
      <c r="B7" s="39" t="n">
        <v>29293093.49987123</v>
      </c>
      <c r="C7" s="26" t="inlineStr"/>
      <c r="D7" s="27" t="inlineStr">
        <is>
          <t>soma do fluxo</t>
        </is>
      </c>
      <c r="E7" s="80" t="inlineStr"/>
    </row>
    <row r="8">
      <c r="A8" s="71" t="inlineStr">
        <is>
          <t>Despesa total (horizonte)</t>
        </is>
      </c>
      <c r="B8" s="39" t="n">
        <v>22548191.85863639</v>
      </c>
      <c r="C8" s="26" t="inlineStr"/>
      <c r="D8" s="27" t="inlineStr">
        <is>
          <t>custo obra + contingência + comercial + RET + admin</t>
        </is>
      </c>
      <c r="E8" s="80" t="inlineStr"/>
    </row>
    <row r="9">
      <c r="A9" s="71" t="inlineStr">
        <is>
          <t>Lucro líquido</t>
        </is>
      </c>
      <c r="B9" s="39" t="n">
        <v>6744901.641234837</v>
      </c>
      <c r="C9" s="26" t="inlineStr"/>
      <c r="D9" s="27" t="inlineStr">
        <is>
          <t>receita - despesa</t>
        </is>
      </c>
      <c r="E9" s="81" t="inlineStr">
        <is>
          <t>✓</t>
        </is>
      </c>
    </row>
    <row r="10">
      <c r="A10" s="71" t="inlineStr">
        <is>
          <t>Margem líquida</t>
        </is>
      </c>
      <c r="B10" s="82" t="n">
        <v>0.2302556963218817</v>
      </c>
      <c r="C10" s="26" t="inlineStr"/>
      <c r="D10" s="27" t="inlineStr">
        <is>
          <t>lucro / receita</t>
        </is>
      </c>
      <c r="E10" s="81" t="inlineStr">
        <is>
          <t>✓</t>
        </is>
      </c>
    </row>
    <row r="12">
      <c r="A12" s="71" t="inlineStr">
        <is>
          <t>VPL @ TMA (Python)</t>
        </is>
      </c>
      <c r="B12" s="39" t="n">
        <v>3495430.0663176</v>
      </c>
      <c r="C12" s="26" t="inlineStr"/>
      <c r="D12" s="27" t="inlineStr">
        <is>
          <t>numpy_financial.npv</t>
        </is>
      </c>
      <c r="E12" s="80" t="inlineStr"/>
    </row>
    <row r="13">
      <c r="A13" s="71" t="inlineStr">
        <is>
          <t>VPL @ TMA (Excel NPV)</t>
        </is>
      </c>
      <c r="B13" s="83" t="inlineStr">
        <is>
          <t>ver col C</t>
        </is>
      </c>
      <c r="C13" s="63">
        <f>FLUXO_CAIXA!F28+NPV(0.010978851950173452,FLUXO_CAIXA!G28:AS28)</f>
        <v/>
      </c>
      <c r="D13" s="27" t="inlineStr">
        <is>
          <t>deve bater com linha acima</t>
        </is>
      </c>
      <c r="E13" s="80" t="inlineStr"/>
    </row>
    <row r="14">
      <c r="A14" s="71" t="inlineStr">
        <is>
          <t>TIR mensal (Python)</t>
        </is>
      </c>
      <c r="B14" s="84" t="n">
        <v>0.03122776989057252</v>
      </c>
      <c r="C14" s="26" t="inlineStr"/>
      <c r="D14" s="27" t="inlineStr">
        <is>
          <t>numpy_financial.irr</t>
        </is>
      </c>
      <c r="E14" s="80" t="inlineStr"/>
    </row>
    <row r="15">
      <c r="A15" s="71" t="inlineStr">
        <is>
          <t>TIR anual</t>
        </is>
      </c>
      <c r="B15" s="82" t="n">
        <v>0.4462893733185387</v>
      </c>
      <c r="C15" s="26" t="inlineStr"/>
      <c r="D15" s="27" t="inlineStr">
        <is>
          <t>(1+TIR_m)^12 - 1</t>
        </is>
      </c>
      <c r="E15" s="81" t="inlineStr">
        <is>
          <t>✓</t>
        </is>
      </c>
    </row>
    <row r="16">
      <c r="A16" s="71" t="inlineStr">
        <is>
          <t>TIR mensal (Excel IRR)</t>
        </is>
      </c>
      <c r="B16" s="83" t="inlineStr">
        <is>
          <t>ver col C</t>
        </is>
      </c>
      <c r="C16" s="85">
        <f>IRR(FLUXO_CAIXA!F28:AS28)</f>
        <v/>
      </c>
      <c r="D16" s="27" t="inlineStr">
        <is>
          <t>deve bater com linha 3 acima</t>
        </is>
      </c>
      <c r="E16" s="80" t="inlineStr"/>
    </row>
    <row r="17">
      <c r="A17" s="71" t="inlineStr">
        <is>
          <t>Payback descontado (meses da obra)</t>
        </is>
      </c>
      <c r="B17" s="38" t="n">
        <v>-1</v>
      </c>
      <c r="C17" s="26" t="inlineStr"/>
      <c r="D17" s="27" t="inlineStr">
        <is>
          <t>t em que fluxo descontado acumulado ≥ 0</t>
        </is>
      </c>
      <c r="E17" s="80" t="inlineStr"/>
    </row>
    <row r="18">
      <c r="A18" s="71" t="inlineStr">
        <is>
          <t>Exposição máxima</t>
        </is>
      </c>
      <c r="B18" s="39" t="n">
        <v>10614038.32718957</v>
      </c>
      <c r="C18" s="26" t="inlineStr"/>
      <c r="D18" s="27" t="inlineStr">
        <is>
          <t>min(fluxo acum.)</t>
        </is>
      </c>
      <c r="E18" s="80" t="inlineStr"/>
    </row>
    <row r="19">
      <c r="A19" s="71" t="inlineStr">
        <is>
          <t>ROI sobre capital</t>
        </is>
      </c>
      <c r="B19" s="82" t="n">
        <v>0.6354698780347049</v>
      </c>
      <c r="C19" s="26" t="inlineStr"/>
      <c r="D19" s="27" t="inlineStr">
        <is>
          <t>lucro / exposição máxima</t>
        </is>
      </c>
      <c r="E19" s="80" t="inlineStr"/>
    </row>
    <row r="22">
      <c r="A22" s="23" t="inlineStr">
        <is>
          <t>VALIDAÇÃO — semáforo</t>
        </is>
      </c>
    </row>
    <row r="23">
      <c r="A23" s="24" t="inlineStr">
        <is>
          <t>Margem líquida &gt; 18%</t>
        </is>
      </c>
      <c r="B23" s="86" t="n">
        <v>0.2302556963218817</v>
      </c>
      <c r="C23" s="87" t="n">
        <v>0.18</v>
      </c>
      <c r="E23" s="81" t="inlineStr">
        <is>
          <t>✓</t>
        </is>
      </c>
    </row>
    <row r="24">
      <c r="A24" s="24" t="inlineStr">
        <is>
          <t>TIR anual &gt; TMA+5% (19%)</t>
        </is>
      </c>
      <c r="B24" s="86" t="n">
        <v>0.4462893733185387</v>
      </c>
      <c r="C24" s="87" t="n">
        <v>0.19</v>
      </c>
      <c r="E24" s="81" t="inlineStr">
        <is>
          <t>✓</t>
        </is>
      </c>
    </row>
    <row r="25">
      <c r="A25" s="24" t="inlineStr">
        <is>
          <t>VPL @ TMA &gt; 0</t>
        </is>
      </c>
      <c r="B25" s="88" t="n">
        <v>3495430.0663176</v>
      </c>
      <c r="C25" s="89" t="n">
        <v>0</v>
      </c>
      <c r="E25" s="81" t="inlineStr">
        <is>
          <t>✓</t>
        </is>
      </c>
    </row>
    <row r="26">
      <c r="A26" s="24" t="inlineStr">
        <is>
          <t>VGV / Custo obra &gt; 1,80</t>
        </is>
      </c>
      <c r="B26" s="90" t="n">
        <v>1.801954292895996</v>
      </c>
      <c r="C26" s="91" t="n">
        <v>1.8</v>
      </c>
      <c r="E26" s="81" t="inlineStr">
        <is>
          <t>✓</t>
        </is>
      </c>
    </row>
    <row r="27">
      <c r="A27" s="24" t="inlineStr">
        <is>
          <t>Exposição máx / VGV &lt; 25%</t>
        </is>
      </c>
      <c r="B27" s="86" t="n">
        <v>0.3395563913723618</v>
      </c>
      <c r="C27" s="87" t="n">
        <v>0.25</v>
      </c>
      <c r="E27" s="92" t="inlineStr">
        <is>
          <t>✗</t>
        </is>
      </c>
    </row>
    <row r="28">
      <c r="A28" s="24" t="inlineStr">
        <is>
          <t>P(VPL &gt; 0) Monte Carlo &gt; 85%</t>
        </is>
      </c>
      <c r="B28" s="86" t="n">
        <v>0.9277</v>
      </c>
      <c r="C28" s="87" t="n">
        <v>0.85</v>
      </c>
      <c r="E28" s="81" t="inlineStr">
        <is>
          <t>✓</t>
        </is>
      </c>
    </row>
  </sheetData>
  <mergeCells count="2">
    <mergeCell ref="A22:E22"/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</cols>
  <sheetData>
    <row r="1" ht="28" customHeight="1">
      <c r="A1" s="22" t="inlineStr">
        <is>
          <t>CENÁRIOS — Pessimista / Base / Otimista</t>
        </is>
      </c>
    </row>
    <row r="3">
      <c r="A3" s="35" t="inlineStr">
        <is>
          <t>Indicador</t>
        </is>
      </c>
      <c r="B3" s="35" t="inlineStr">
        <is>
          <t>Pessimista</t>
        </is>
      </c>
      <c r="C3" s="35" t="inlineStr">
        <is>
          <t>Base</t>
        </is>
      </c>
      <c r="D3" s="35" t="inlineStr">
        <is>
          <t>Otimista</t>
        </is>
      </c>
    </row>
    <row r="4">
      <c r="A4" s="93" t="inlineStr">
        <is>
          <t>Perturbação vs base</t>
        </is>
      </c>
      <c r="B4" s="94" t="inlineStr">
        <is>
          <t>vgv×0.85  custo×1.10  t50+6</t>
        </is>
      </c>
      <c r="C4" s="95" t="inlineStr">
        <is>
          <t>vgv×1.00  custo×1.00  t50+0</t>
        </is>
      </c>
      <c r="D4" s="96" t="inlineStr">
        <is>
          <t>vgv×1.10  custo×0.95  t50-3</t>
        </is>
      </c>
    </row>
    <row r="6">
      <c r="A6" s="71" t="inlineStr">
        <is>
          <t>VGV bruto</t>
        </is>
      </c>
      <c r="B6" s="97" t="n">
        <v>26569762.21725</v>
      </c>
      <c r="C6" s="63" t="n">
        <v>31258543.785</v>
      </c>
      <c r="D6" s="39" t="n">
        <v>34384398.1635</v>
      </c>
    </row>
    <row r="7">
      <c r="A7" s="71" t="inlineStr">
        <is>
          <t>VGV líquido</t>
        </is>
      </c>
      <c r="B7" s="97" t="n">
        <v>26569762.21725</v>
      </c>
      <c r="C7" s="63" t="n">
        <v>31258543.785</v>
      </c>
      <c r="D7" s="39" t="n">
        <v>34384398.1635</v>
      </c>
    </row>
    <row r="8">
      <c r="A8" s="71" t="inlineStr">
        <is>
          <t>Custo obra</t>
        </is>
      </c>
      <c r="B8" s="97" t="n">
        <v>19081726.04547</v>
      </c>
      <c r="C8" s="63" t="n">
        <v>17347023.6777</v>
      </c>
      <c r="D8" s="39" t="n">
        <v>16479672.493815</v>
      </c>
    </row>
    <row r="9">
      <c r="A9" s="71" t="inlineStr">
        <is>
          <t>Receita total</t>
        </is>
      </c>
      <c r="B9" s="97" t="n">
        <v>23229771.46935264</v>
      </c>
      <c r="C9" s="63" t="n">
        <v>29293093.49987123</v>
      </c>
      <c r="D9" s="39" t="n">
        <v>32859911.18290376</v>
      </c>
    </row>
    <row r="10">
      <c r="A10" s="71" t="inlineStr">
        <is>
          <t>Despesa total</t>
        </is>
      </c>
      <c r="B10" s="97" t="n">
        <v>23650717.28985418</v>
      </c>
      <c r="C10" s="63" t="n">
        <v>22548191.85863639</v>
      </c>
      <c r="D10" s="39" t="n">
        <v>22097143.81868683</v>
      </c>
    </row>
    <row r="11">
      <c r="A11" s="71" t="inlineStr">
        <is>
          <t>Lucro líquido</t>
        </is>
      </c>
      <c r="B11" s="97" t="n">
        <v>-420945.8205015361</v>
      </c>
      <c r="C11" s="63" t="n">
        <v>6744901.641234837</v>
      </c>
      <c r="D11" s="39" t="n">
        <v>10762767.36421693</v>
      </c>
    </row>
    <row r="12">
      <c r="A12" s="71" t="inlineStr">
        <is>
          <t>Margem líquida</t>
        </is>
      </c>
      <c r="B12" s="98" t="n">
        <v>-0.01812096262147459</v>
      </c>
      <c r="C12" s="60" t="n">
        <v>0.2302556963218817</v>
      </c>
      <c r="D12" s="82" t="n">
        <v>0.327534889072267</v>
      </c>
    </row>
    <row r="13">
      <c r="A13" s="71" t="inlineStr">
        <is>
          <t>VPL @ TMA</t>
        </is>
      </c>
      <c r="B13" s="97" t="n">
        <v>-2449781.077009307</v>
      </c>
      <c r="C13" s="63" t="n">
        <v>3495430.0663176</v>
      </c>
      <c r="D13" s="39" t="n">
        <v>6851497.052726236</v>
      </c>
    </row>
    <row r="14">
      <c r="A14" s="71" t="inlineStr">
        <is>
          <t>TIR anual</t>
        </is>
      </c>
      <c r="B14" s="98" t="n">
        <v>-0.02087294916961624</v>
      </c>
      <c r="C14" s="60" t="n">
        <v>0.4462893733185387</v>
      </c>
      <c r="D14" s="82" t="n">
        <v>0.9047633659366776</v>
      </c>
    </row>
    <row r="15">
      <c r="A15" s="71" t="inlineStr">
        <is>
          <t>Exposição máxima</t>
        </is>
      </c>
      <c r="B15" s="97" t="n">
        <v>15527269.53162398</v>
      </c>
      <c r="C15" s="63" t="n">
        <v>10614038.32718957</v>
      </c>
      <c r="D15" s="39" t="n">
        <v>7917230.870907119</v>
      </c>
    </row>
    <row r="16">
      <c r="A16" s="71" t="inlineStr">
        <is>
          <t>Payback (meses)</t>
        </is>
      </c>
      <c r="B16" s="99" t="n"/>
      <c r="C16" s="100" t="n">
        <v>-1</v>
      </c>
      <c r="D16" s="38" t="n">
        <v>-1</v>
      </c>
    </row>
    <row r="17">
      <c r="A17" s="71" t="inlineStr">
        <is>
          <t>ROI / capital</t>
        </is>
      </c>
      <c r="B17" s="98" t="n">
        <v>-0.02711009940570729</v>
      </c>
      <c r="C17" s="60" t="n">
        <v>0.6354698780347049</v>
      </c>
      <c r="D17" s="82" t="n">
        <v>1.359410574190289</v>
      </c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28" customHeight="1">
      <c r="A1" s="22" t="inlineStr">
        <is>
          <t>TORNADO — Sensibilidade sobre VPL (±20% por variável)</t>
        </is>
      </c>
    </row>
    <row r="3">
      <c r="A3" s="35" t="inlineStr">
        <is>
          <t>Variável</t>
        </is>
      </c>
      <c r="B3" s="35" t="inlineStr">
        <is>
          <t>VPL (-20%)</t>
        </is>
      </c>
      <c r="C3" s="35" t="inlineStr">
        <is>
          <t>VPL base</t>
        </is>
      </c>
      <c r="D3" s="35" t="inlineStr">
        <is>
          <t>VPL (+20%)</t>
        </is>
      </c>
      <c r="E3" s="35" t="inlineStr">
        <is>
          <t>Δ VPL (high-low)</t>
        </is>
      </c>
    </row>
    <row r="4">
      <c r="A4" s="101" t="inlineStr">
        <is>
          <t>VGV R$/m²</t>
        </is>
      </c>
      <c r="B4" s="64" t="n">
        <v>-334954.4723630436</v>
      </c>
      <c r="C4" s="64" t="n">
        <v>3495430.0663176</v>
      </c>
      <c r="D4" s="64" t="n">
        <v>7325814.604998248</v>
      </c>
      <c r="E4" s="64" t="n">
        <v>7660769.077361291</v>
      </c>
    </row>
    <row r="5">
      <c r="A5" s="101" t="inlineStr">
        <is>
          <t>Custo obra</t>
        </is>
      </c>
      <c r="B5" s="64" t="n">
        <v>6626728.591734726</v>
      </c>
      <c r="C5" s="64" t="n">
        <v>3495430.0663176</v>
      </c>
      <c r="D5" s="64" t="n">
        <v>364131.5409004758</v>
      </c>
      <c r="E5" s="64" t="n">
        <v>-6262597.05083425</v>
      </c>
    </row>
    <row r="6">
      <c r="A6" s="101" t="inlineStr">
        <is>
          <t>Entrada %</t>
        </is>
      </c>
      <c r="B6" s="64" t="n">
        <v>2522753.945466829</v>
      </c>
      <c r="C6" s="64" t="n">
        <v>3495430.0663176</v>
      </c>
      <c r="D6" s="64" t="n">
        <v>4468106.187168369</v>
      </c>
      <c r="E6" s="64" t="n">
        <v>1945352.24170154</v>
      </c>
    </row>
    <row r="7">
      <c r="A7" s="101" t="inlineStr">
        <is>
          <t>t50 vendas</t>
        </is>
      </c>
      <c r="B7" s="64" t="n">
        <v>3987284.750021625</v>
      </c>
      <c r="C7" s="64" t="n">
        <v>3495430.0663176</v>
      </c>
      <c r="D7" s="64" t="n">
        <v>2883936.93531718</v>
      </c>
      <c r="E7" s="64" t="n">
        <v>-1103347.814704445</v>
      </c>
    </row>
    <row r="8">
      <c r="A8" s="101" t="inlineStr">
        <is>
          <t>TMA</t>
        </is>
      </c>
      <c r="B8" s="64" t="n">
        <v>4023206.11322566</v>
      </c>
      <c r="C8" s="64" t="n">
        <v>3495430.0663176</v>
      </c>
      <c r="D8" s="64" t="n">
        <v>3015624.148948697</v>
      </c>
      <c r="E8" s="64" t="n">
        <v>-1007581.964276962</v>
      </c>
    </row>
    <row r="9">
      <c r="A9" s="101" t="inlineStr">
        <is>
          <t>Corretagem</t>
        </is>
      </c>
      <c r="B9" s="64" t="n">
        <v>3756902.141815118</v>
      </c>
      <c r="C9" s="64" t="n">
        <v>3495430.0663176</v>
      </c>
      <c r="D9" s="64" t="n">
        <v>3233957.990820081</v>
      </c>
      <c r="E9" s="64" t="n">
        <v>-522944.1509950371</v>
      </c>
    </row>
    <row r="10">
      <c r="A10" s="101" t="inlineStr">
        <is>
          <t>RET 4%</t>
        </is>
      </c>
      <c r="B10" s="64" t="n">
        <v>3682710.173068348</v>
      </c>
      <c r="C10" s="64" t="n">
        <v>3495430.0663176</v>
      </c>
      <c r="D10" s="64" t="n">
        <v>3308149.959566852</v>
      </c>
      <c r="E10" s="64" t="n">
        <v>-374560.2135014962</v>
      </c>
    </row>
    <row r="11">
      <c r="A11" s="101" t="inlineStr">
        <is>
          <t>CUB/SC</t>
        </is>
      </c>
      <c r="B11" s="64" t="n">
        <v>3433886.056399073</v>
      </c>
      <c r="C11" s="64" t="n">
        <v>3495430.0663176</v>
      </c>
      <c r="D11" s="64" t="n">
        <v>3556873.050760998</v>
      </c>
      <c r="E11" s="64" t="n">
        <v>122986.9943619259</v>
      </c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22" customWidth="1" min="3" max="3"/>
    <col width="22" customWidth="1" min="4" max="4"/>
  </cols>
  <sheetData>
    <row r="1" ht="28" customHeight="1">
      <c r="A1" s="22" t="inlineStr">
        <is>
          <t>MONTE CARLO — 10.000 iterações</t>
        </is>
      </c>
    </row>
    <row r="2" ht="40" customHeight="1">
      <c r="A2" s="102" t="inlineStr">
        <is>
          <t>ÂNCORA: a simulação usa o ORÇAMENTO PARAMÉTRICO ENTREGUE como custo base (R$ 17.35 milhões — v00-final). custo_obra_fator = 1,00 representa executar exatamente o orçamento entregue. As variações (±10%) simulam desvios realistas de execução (aditivos, concorrência, replanejamento).</t>
        </is>
      </c>
    </row>
    <row r="4">
      <c r="A4" s="35" t="inlineStr">
        <is>
          <t>Estatística</t>
        </is>
      </c>
      <c r="B4" s="35" t="inlineStr">
        <is>
          <t>VPL (R$)</t>
        </is>
      </c>
      <c r="C4" s="35" t="inlineStr">
        <is>
          <t>TIR a.a.</t>
        </is>
      </c>
      <c r="D4" s="35" t="inlineStr">
        <is>
          <t>Margem</t>
        </is>
      </c>
    </row>
    <row r="5">
      <c r="A5" s="71" t="inlineStr">
        <is>
          <t>Mediana</t>
        </is>
      </c>
      <c r="B5" s="39" t="n">
        <v>3226824.974368696</v>
      </c>
      <c r="C5" s="82" t="n">
        <v>0.4064030344514329</v>
      </c>
      <c r="D5" s="82" t="n">
        <v>0.2200824864734138</v>
      </c>
    </row>
    <row r="6">
      <c r="A6" s="71" t="inlineStr">
        <is>
          <t>Média</t>
        </is>
      </c>
      <c r="B6" s="39" t="n">
        <v>3279819.245373345</v>
      </c>
    </row>
    <row r="7">
      <c r="A7" s="71" t="inlineStr">
        <is>
          <t>P10</t>
        </is>
      </c>
      <c r="B7" s="39" t="n">
        <v>368020.7969901581</v>
      </c>
      <c r="C7" s="82" t="n">
        <v>0.167247454873161</v>
      </c>
    </row>
    <row r="8">
      <c r="A8" s="71" t="inlineStr">
        <is>
          <t>P50</t>
        </is>
      </c>
      <c r="B8" s="39" t="n">
        <v>3226824.974368696</v>
      </c>
      <c r="C8" s="82" t="n">
        <v>0.4064030344514329</v>
      </c>
    </row>
    <row r="9">
      <c r="A9" s="71" t="inlineStr">
        <is>
          <t>P90</t>
        </is>
      </c>
      <c r="B9" s="39" t="n">
        <v>6319604.357584033</v>
      </c>
      <c r="C9" s="82" t="n">
        <v>0.7358768422044825</v>
      </c>
    </row>
    <row r="10">
      <c r="A10" s="71" t="inlineStr">
        <is>
          <t>Desvio padrão</t>
        </is>
      </c>
      <c r="B10" s="39" t="n">
        <v>2242091.388038072</v>
      </c>
    </row>
    <row r="12">
      <c r="A12" s="71" t="inlineStr">
        <is>
          <t>P(VPL &gt; 0)</t>
        </is>
      </c>
      <c r="B12" s="82" t="n">
        <v>0.9277</v>
      </c>
    </row>
    <row r="13">
      <c r="A13" s="71" t="inlineStr">
        <is>
          <t>P(TIR &gt; TMA)</t>
        </is>
      </c>
      <c r="B13" s="82" t="n">
        <v>0.9277</v>
      </c>
    </row>
    <row r="14">
      <c r="A14" s="71" t="inlineStr">
        <is>
          <t>P(Margem &gt; 15%)</t>
        </is>
      </c>
      <c r="B14" s="82" t="n">
        <v>0.8083</v>
      </c>
    </row>
  </sheetData>
  <mergeCells count="2">
    <mergeCell ref="A1:D1"/>
    <mergeCell ref="A2:D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2026-04-23T17:08:50Z</dcterms:created>
  <dcterms:modified xmlns:dcterms="http://purl.org/dc/terms/" xmlns:xsi="http://www.w3.org/2001/XMLSchema-instance" xsi:type="dcterms:W3CDTF">2026-04-23T17:08:50Z</dcterms:modified>
</cp:coreProperties>
</file>