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REMISSAS" sheetId="2" state="visible" r:id="rId2"/>
    <sheet xmlns:r="http://schemas.openxmlformats.org/officeDocument/2006/relationships" name="FLUXO_CAIXA" sheetId="3" state="visible" r:id="rId3"/>
    <sheet xmlns:r="http://schemas.openxmlformats.org/officeDocument/2006/relationships" name="RESULTADO" sheetId="4" state="visible" r:id="rId4"/>
    <sheet xmlns:r="http://schemas.openxmlformats.org/officeDocument/2006/relationships" name="CENARIOS" sheetId="5" state="visible" r:id="rId5"/>
    <sheet xmlns:r="http://schemas.openxmlformats.org/officeDocument/2006/relationships" name="TORNADO" sheetId="6" state="visible" r:id="rId6"/>
    <sheet xmlns:r="http://schemas.openxmlformats.org/officeDocument/2006/relationships" name="MONTE_CARL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R$&quot; #,##0"/>
    <numFmt numFmtId="165" formatCode="0.0%"/>
    <numFmt numFmtId="166" formatCode="&quot;R$&quot; #,##0.0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2C3E50"/>
      <sz val="12"/>
    </font>
    <font>
      <name val="Arial"/>
      <color rgb="00666666"/>
      <sz val="8"/>
    </font>
    <font>
      <name val="Arial"/>
      <b val="1"/>
      <color rgb="00FFFFFF"/>
      <sz val="11"/>
    </font>
    <font>
      <name val="Arial"/>
      <b val="1"/>
      <sz val="9"/>
    </font>
    <font>
      <name val="Arial"/>
      <sz val="9"/>
    </font>
    <font>
      <name val="Arial"/>
      <b val="1"/>
      <color rgb="00C25700"/>
      <sz val="9"/>
    </font>
    <font>
      <name val="Arial"/>
      <sz val="10"/>
    </font>
    <font>
      <name val="Arial"/>
      <b val="1"/>
      <color rgb="00FFFFFF"/>
      <sz val="9"/>
    </font>
    <font>
      <name val="Arial"/>
      <b val="1"/>
      <sz val="8"/>
    </font>
    <font>
      <name val="Arial"/>
      <i val="1"/>
      <sz val="9"/>
    </font>
  </fonts>
  <fills count="17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FF8E1"/>
      </patternFill>
    </fill>
    <fill>
      <patternFill patternType="solid">
        <fgColor rgb="00F5F5F5"/>
      </patternFill>
    </fill>
    <fill>
      <patternFill patternType="solid">
        <fgColor rgb="00FFE082"/>
      </patternFill>
    </fill>
    <fill>
      <patternFill patternType="solid">
        <fgColor rgb="00A5D6A7"/>
      </patternFill>
    </fill>
    <fill>
      <patternFill patternType="solid">
        <fgColor rgb="0090CAF9"/>
      </patternFill>
    </fill>
    <fill>
      <patternFill patternType="solid">
        <fgColor rgb="001B5E20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B71C1C"/>
      </patternFill>
    </fill>
    <fill>
      <patternFill patternType="solid">
        <fgColor rgb="00FFCDD2"/>
      </patternFill>
    </fill>
    <fill>
      <patternFill patternType="solid">
        <fgColor rgb="00FFEBEE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3" fontId="5" fillId="4" borderId="1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 wrapText="1"/>
    </xf>
    <xf numFmtId="4" fontId="7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3" fontId="7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166" fontId="7" fillId="5" borderId="1" applyAlignment="1" pivotButton="0" quotePrefix="0" xfId="0">
      <alignment horizontal="right" vertical="center"/>
    </xf>
    <xf numFmtId="0" fontId="8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left" vertical="center" wrapText="1"/>
    </xf>
    <xf numFmtId="165" fontId="5" fillId="7" borderId="1" applyAlignment="1" pivotButton="0" quotePrefix="0" xfId="0">
      <alignment horizontal="right" vertical="center"/>
    </xf>
    <xf numFmtId="165" fontId="5" fillId="12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4" fontId="5" fillId="7" borderId="1" applyAlignment="1" pivotButton="0" quotePrefix="0" xfId="0">
      <alignment horizontal="right" vertical="center"/>
    </xf>
    <xf numFmtId="164" fontId="5" fillId="12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 wrapText="1"/>
    </xf>
    <xf numFmtId="164" fontId="6" fillId="13" borderId="1" applyAlignment="1" pivotButton="0" quotePrefix="0" xfId="0">
      <alignment horizontal="right" vertical="center"/>
    </xf>
    <xf numFmtId="0" fontId="4" fillId="14" borderId="0" applyAlignment="1" pivotButton="0" quotePrefix="0" xfId="0">
      <alignment horizontal="left" vertical="center" wrapText="1"/>
    </xf>
    <xf numFmtId="0" fontId="5" fillId="15" borderId="1" applyAlignment="1" pivotButton="0" quotePrefix="0" xfId="0">
      <alignment horizontal="left" vertical="center" wrapText="1"/>
    </xf>
    <xf numFmtId="164" fontId="6" fillId="15" borderId="1" applyAlignment="1" pivotButton="0" quotePrefix="0" xfId="0">
      <alignment horizontal="right" vertical="center"/>
    </xf>
    <xf numFmtId="0" fontId="4" fillId="2" borderId="0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4" fontId="5" fillId="7" borderId="1" applyAlignment="1" pivotButton="0" quotePrefix="0" xfId="0">
      <alignment horizontal="right" vertical="center"/>
    </xf>
    <xf numFmtId="4" fontId="5" fillId="12" borderId="1" applyAlignment="1" pivotButton="0" quotePrefix="0" xfId="0">
      <alignment horizontal="right" vertical="center"/>
    </xf>
    <xf numFmtId="4" fontId="6" fillId="0" borderId="1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10" fontId="5" fillId="4" borderId="1" applyAlignment="1" pivotButton="0" quotePrefix="0" xfId="0">
      <alignment horizontal="right" vertical="center"/>
    </xf>
    <xf numFmtId="10" fontId="5" fillId="12" borderId="1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0" fontId="3" fillId="0" borderId="0" pivotButton="0" quotePrefix="0" xfId="0"/>
    <xf numFmtId="0" fontId="3" fillId="16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164" fontId="5" fillId="16" borderId="1" applyAlignment="1" pivotButton="0" quotePrefix="0" xfId="0">
      <alignment horizontal="right" vertical="center"/>
    </xf>
    <xf numFmtId="165" fontId="5" fillId="16" borderId="1" applyAlignment="1" pivotButton="0" quotePrefix="0" xfId="0">
      <alignment horizontal="right" vertical="center"/>
    </xf>
    <xf numFmtId="3" fontId="5" fillId="16" borderId="1" applyAlignment="1" pivotButton="0" quotePrefix="0" xfId="0">
      <alignment horizontal="right" vertical="center"/>
    </xf>
    <xf numFmtId="3" fontId="5" fillId="12" borderId="1" applyAlignment="1" pivotButton="0" quotePrefix="0" xfId="0">
      <alignment horizontal="right" vertical="center"/>
    </xf>
    <xf numFmtId="0" fontId="5" fillId="0" borderId="1" pivotButton="0" quotePrefix="0" xfId="0"/>
    <xf numFmtId="0" fontId="11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ill>
        <patternFill patternType="solid">
          <fgColor rgb="00C8E6C9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Relationship Type="http://schemas.openxmlformats.org/officeDocument/2006/relationships/image" Target="/xl/media/image4.png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45</row>
      <rowOff>0</rowOff>
    </from>
    <ext cx="8572500" cy="4000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13</row>
      <rowOff>0</rowOff>
    </from>
    <ext cx="5334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4953000" cy="3048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953000" cy="3048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 ht="32" customHeight="1">
      <c r="A1" s="1" t="inlineStr">
        <is>
          <t>ESTUDO DE VIABILIDADE FINANCEIRA</t>
        </is>
      </c>
    </row>
    <row r="2">
      <c r="A2" s="2" t="inlineStr">
        <is>
          <t>Arthen Arboris — Perequê, Itapema/SC</t>
        </is>
      </c>
    </row>
    <row r="3">
      <c r="A3" s="3" t="inlineStr">
        <is>
          <t>Cliente: Arthen Engenharia e Construções  |  Gerado em: 2026-04-20</t>
        </is>
      </c>
    </row>
    <row r="5">
      <c r="A5" s="4" t="inlineStr">
        <is>
          <t>RESUMO EXECUTIVO — CENÁRIO BASE</t>
        </is>
      </c>
    </row>
    <row r="6">
      <c r="A6" s="5" t="inlineStr">
        <is>
          <t>VGV bruto (antes permuta)</t>
        </is>
      </c>
      <c r="D6" s="6" t="n">
        <v>134406337.884</v>
      </c>
    </row>
    <row r="7">
      <c r="A7" s="5" t="inlineStr">
        <is>
          <t>VGV líquido (pós-permuta 30%)</t>
        </is>
      </c>
      <c r="D7" s="6" t="n">
        <v>94084436.51879998</v>
      </c>
    </row>
    <row r="8">
      <c r="A8" s="5" t="inlineStr">
        <is>
          <t>Custo de obra (paramétrico)</t>
        </is>
      </c>
      <c r="D8" s="6" t="n">
        <v>39379139.4038</v>
      </c>
    </row>
    <row r="9">
      <c r="A9" s="5" t="inlineStr">
        <is>
          <t>Receita total (horizonte)</t>
        </is>
      </c>
      <c r="D9" s="6" t="n">
        <v>91169174.26130962</v>
      </c>
    </row>
    <row r="10">
      <c r="A10" s="5" t="inlineStr">
        <is>
          <t>Despesa total (horizonte)</t>
        </is>
      </c>
      <c r="D10" s="6" t="n">
        <v>56397782.33403196</v>
      </c>
    </row>
    <row r="11">
      <c r="A11" s="5" t="inlineStr">
        <is>
          <t>Lucro líquido</t>
        </is>
      </c>
      <c r="D11" s="6" t="n">
        <v>34771391.92727766</v>
      </c>
    </row>
    <row r="12">
      <c r="A12" s="5" t="inlineStr">
        <is>
          <t>Margem líquida</t>
        </is>
      </c>
      <c r="D12" s="7" t="n">
        <v>0.3813941741713673</v>
      </c>
    </row>
    <row r="13">
      <c r="A13" s="5" t="inlineStr">
        <is>
          <t>VPL @ TMA</t>
        </is>
      </c>
      <c r="D13" s="6" t="n">
        <v>18864903.02881071</v>
      </c>
    </row>
    <row r="14">
      <c r="A14" s="5" t="inlineStr">
        <is>
          <t>TIR anual</t>
        </is>
      </c>
      <c r="D14" s="7" t="n">
        <v>0.6553925090834432</v>
      </c>
    </row>
    <row r="15">
      <c r="A15" s="5" t="inlineStr">
        <is>
          <t>Payback descontado (meses pós-início obra)</t>
        </is>
      </c>
      <c r="D15" s="8" t="n">
        <v>38</v>
      </c>
    </row>
    <row r="16">
      <c r="A16" s="5" t="inlineStr">
        <is>
          <t>Exposição máxima (capital)</t>
        </is>
      </c>
      <c r="D16" s="6" t="n">
        <v>21078790.2154105</v>
      </c>
    </row>
    <row r="17">
      <c r="A17" s="5" t="inlineStr">
        <is>
          <t>ROI sobre capital</t>
        </is>
      </c>
      <c r="D17" s="7" t="n">
        <v>1.649591441061766</v>
      </c>
    </row>
    <row r="19">
      <c r="A19" s="5" t="inlineStr">
        <is>
          <t>Monte Carlo — n iterações</t>
        </is>
      </c>
      <c r="D19" s="8" t="n">
        <v>10000</v>
      </c>
    </row>
    <row r="20">
      <c r="A20" s="5" t="inlineStr">
        <is>
          <t>P(VPL &gt; 0)</t>
        </is>
      </c>
      <c r="D20" s="7" t="n">
        <v>0.9987</v>
      </c>
    </row>
    <row r="21">
      <c r="A21" s="5" t="inlineStr">
        <is>
          <t>P(TIR &gt; TMA)</t>
        </is>
      </c>
      <c r="D21" s="7" t="n">
        <v>0.9987</v>
      </c>
    </row>
    <row r="22">
      <c r="A22" s="5" t="inlineStr">
        <is>
          <t>VPL mediana (MC)</t>
        </is>
      </c>
      <c r="D22" s="6" t="n">
        <v>19502493.86841707</v>
      </c>
    </row>
    <row r="23">
      <c r="A23" s="5" t="inlineStr">
        <is>
          <t>VPL P10 (MC)</t>
        </is>
      </c>
      <c r="D23" s="6" t="n">
        <v>8930057.598152699</v>
      </c>
    </row>
    <row r="24">
      <c r="A24" s="5" t="inlineStr">
        <is>
          <t>VPL P90 (MC)</t>
        </is>
      </c>
      <c r="D24" s="6" t="n">
        <v>31707079.07959078</v>
      </c>
    </row>
    <row r="27">
      <c r="A27" s="9" t="inlineStr">
        <is>
          <t>Fonte custo: parametrico-arthen-arboris.xlsx CUSTOS_MACROGRUPO!D22</t>
        </is>
      </c>
    </row>
    <row r="28">
      <c r="A28" s="9" t="inlineStr">
        <is>
          <t>Fonte preço venda: pesquisa Perequê abr/2026 (Viva Real, MySide, Imovelweb) — mediana R$ 15.394/m²</t>
        </is>
      </c>
    </row>
  </sheetData>
  <mergeCells count="42">
    <mergeCell ref="D11:F11"/>
    <mergeCell ref="D13:F13"/>
    <mergeCell ref="A27:F27"/>
    <mergeCell ref="D17:F17"/>
    <mergeCell ref="A21:C21"/>
    <mergeCell ref="D7:F7"/>
    <mergeCell ref="A12:C12"/>
    <mergeCell ref="A3:F3"/>
    <mergeCell ref="D16:F16"/>
    <mergeCell ref="A2:F2"/>
    <mergeCell ref="A23:C23"/>
    <mergeCell ref="A5:F5"/>
    <mergeCell ref="A8:C8"/>
    <mergeCell ref="A14:C14"/>
    <mergeCell ref="A22:C22"/>
    <mergeCell ref="D12:F12"/>
    <mergeCell ref="A17:C17"/>
    <mergeCell ref="D9:F9"/>
    <mergeCell ref="D8:F8"/>
    <mergeCell ref="D15:F15"/>
    <mergeCell ref="A20:C20"/>
    <mergeCell ref="D24:F24"/>
    <mergeCell ref="A10:C10"/>
    <mergeCell ref="A13:C13"/>
    <mergeCell ref="D14:F14"/>
    <mergeCell ref="A19:C19"/>
    <mergeCell ref="A28:F28"/>
    <mergeCell ref="D23:F23"/>
    <mergeCell ref="A9:C9"/>
    <mergeCell ref="A15:C15"/>
    <mergeCell ref="D20:F20"/>
    <mergeCell ref="A24:C24"/>
    <mergeCell ref="D10:F10"/>
    <mergeCell ref="D19:F19"/>
    <mergeCell ref="A11:C11"/>
    <mergeCell ref="A1:F1"/>
    <mergeCell ref="A6:C6"/>
    <mergeCell ref="D22:F22"/>
    <mergeCell ref="D21:F21"/>
    <mergeCell ref="A7:C7"/>
    <mergeCell ref="D6:F6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</cols>
  <sheetData>
    <row r="1" ht="28" customHeight="1">
      <c r="A1" s="1" t="inlineStr">
        <is>
          <t>PREMISSAS — editar valores e regerar via gerar_viabilidade_arthen_arboris.py</t>
        </is>
      </c>
    </row>
    <row r="3">
      <c r="A3" s="4" t="inlineStr">
        <is>
          <t>PROJETO</t>
        </is>
      </c>
    </row>
    <row r="4">
      <c r="A4" s="10" t="inlineStr">
        <is>
          <t>Nome</t>
        </is>
      </c>
      <c r="B4" s="11" t="inlineStr">
        <is>
          <t>Arthen Arboris</t>
        </is>
      </c>
      <c r="C4" s="12" t="n"/>
      <c r="D4" s="13" t="inlineStr"/>
    </row>
    <row r="5">
      <c r="A5" s="10" t="inlineStr">
        <is>
          <t>Cidade/Bairro</t>
        </is>
      </c>
      <c r="B5" s="11" t="inlineStr">
        <is>
          <t>Perequê, Itapema/SC</t>
        </is>
      </c>
      <c r="C5" s="12" t="n"/>
      <c r="D5" s="13" t="inlineStr"/>
    </row>
    <row r="6">
      <c r="A6" s="10" t="inlineStr">
        <is>
          <t>Área construída (m²)</t>
        </is>
      </c>
      <c r="B6" s="14" t="n">
        <v>12472.98</v>
      </c>
      <c r="C6" s="12" t="n"/>
      <c r="D6" s="13" t="inlineStr">
        <is>
          <t>do paramétrico</t>
        </is>
      </c>
    </row>
    <row r="7">
      <c r="A7" s="10" t="inlineStr">
        <is>
          <t>% área privativa</t>
        </is>
      </c>
      <c r="B7" s="15" t="n">
        <v>0.7</v>
      </c>
      <c r="C7" s="12" t="n"/>
      <c r="D7" s="13" t="inlineStr">
        <is>
          <t>AC que vira unidade vendável</t>
        </is>
      </c>
    </row>
    <row r="8">
      <c r="A8" s="10" t="inlineStr">
        <is>
          <t>Área privativa total (m²)</t>
        </is>
      </c>
      <c r="B8" s="14" t="n">
        <v>8731.085999999999</v>
      </c>
      <c r="C8" s="12" t="n"/>
      <c r="D8" s="13" t="inlineStr">
        <is>
          <t>AC × pct_priv</t>
        </is>
      </c>
    </row>
    <row r="9">
      <c r="A9" s="10" t="inlineStr">
        <is>
          <t>Unidades</t>
        </is>
      </c>
      <c r="B9" s="16" t="n">
        <v>98</v>
      </c>
      <c r="C9" s="12" t="n"/>
      <c r="D9" s="13" t="inlineStr"/>
    </row>
    <row r="10">
      <c r="A10" s="10" t="inlineStr">
        <is>
          <t>Permuta (% das unidades)</t>
        </is>
      </c>
      <c r="B10" s="15" t="n">
        <v>0.3</v>
      </c>
      <c r="C10" s="12" t="n"/>
      <c r="D10" s="13" t="inlineStr">
        <is>
          <t>terreno via permuta física</t>
        </is>
      </c>
    </row>
    <row r="11">
      <c r="A11" s="10" t="inlineStr">
        <is>
          <t>Prazo obra (meses)</t>
        </is>
      </c>
      <c r="B11" s="16" t="n">
        <v>36</v>
      </c>
      <c r="C11" s="12" t="n"/>
      <c r="D11" s="13" t="inlineStr"/>
    </row>
    <row r="12">
      <c r="A12" s="10" t="inlineStr">
        <is>
          <t>Prazo pré-lançamento (meses)</t>
        </is>
      </c>
      <c r="B12" s="16" t="n">
        <v>3</v>
      </c>
      <c r="C12" s="12" t="n"/>
      <c r="D12" s="13" t="inlineStr">
        <is>
          <t>meses -3 a 0</t>
        </is>
      </c>
    </row>
    <row r="13">
      <c r="A13" s="10" t="inlineStr">
        <is>
          <t>Prazo pós-obra (meses)</t>
        </is>
      </c>
      <c r="B13" s="16" t="n">
        <v>12</v>
      </c>
      <c r="C13" s="12" t="n"/>
      <c r="D13" s="13" t="inlineStr">
        <is>
          <t>cauda de recebimento</t>
        </is>
      </c>
    </row>
    <row r="15">
      <c r="A15" s="4" t="inlineStr">
        <is>
          <t>CUSTO</t>
        </is>
      </c>
    </row>
    <row r="16">
      <c r="A16" s="10" t="inlineStr">
        <is>
          <t>Custo de obra total (R$)</t>
        </is>
      </c>
      <c r="B16" s="17" t="n">
        <v>39379139.4038</v>
      </c>
      <c r="C16" s="12" t="n"/>
      <c r="D16" s="13" t="inlineStr">
        <is>
          <t>paramétrico V2</t>
        </is>
      </c>
    </row>
    <row r="17">
      <c r="A17" s="10" t="inlineStr">
        <is>
          <t>Contingência (%)</t>
        </is>
      </c>
      <c r="B17" s="15" t="n">
        <v>0.05</v>
      </c>
      <c r="C17" s="12" t="n"/>
      <c r="D17" s="13" t="inlineStr">
        <is>
          <t>sobre custo obra</t>
        </is>
      </c>
    </row>
    <row r="19">
      <c r="A19" s="4" t="inlineStr">
        <is>
          <t>RECEITA</t>
        </is>
      </c>
    </row>
    <row r="20">
      <c r="A20" s="10" t="inlineStr">
        <is>
          <t>VGV R$/m² privativo</t>
        </is>
      </c>
      <c r="B20" s="18" t="n">
        <v>15394</v>
      </c>
      <c r="C20" s="12" t="n"/>
      <c r="D20" s="13" t="inlineStr">
        <is>
          <t>Perequê médio pesquisa 2026</t>
        </is>
      </c>
    </row>
    <row r="21">
      <c r="A21" s="10" t="inlineStr">
        <is>
          <t>VGV bruto (R$)</t>
        </is>
      </c>
      <c r="B21" s="17" t="n">
        <v>134406337.884</v>
      </c>
      <c r="C21" s="12" t="n"/>
      <c r="D21" s="13" t="inlineStr">
        <is>
          <t>área_priv × R$/m²</t>
        </is>
      </c>
    </row>
    <row r="22">
      <c r="A22" s="10" t="inlineStr">
        <is>
          <t>VGV líquido permuta (R$)</t>
        </is>
      </c>
      <c r="B22" s="17" t="n">
        <v>94084436.51879998</v>
      </c>
      <c r="C22" s="12" t="n"/>
      <c r="D22" s="13" t="inlineStr">
        <is>
          <t>após 30% de permuta</t>
        </is>
      </c>
    </row>
    <row r="23">
      <c r="A23" s="10" t="inlineStr">
        <is>
          <t>Entrada (% no ato)</t>
        </is>
      </c>
      <c r="B23" s="15" t="n">
        <v>0.2</v>
      </c>
      <c r="C23" s="12" t="n"/>
      <c r="D23" s="13" t="inlineStr"/>
    </row>
    <row r="24">
      <c r="A24" s="10" t="inlineStr">
        <is>
          <t>Obra (% parcelado CUB)</t>
        </is>
      </c>
      <c r="B24" s="15" t="n">
        <v>0.4</v>
      </c>
      <c r="C24" s="12" t="n"/>
      <c r="D24" s="13" t="inlineStr">
        <is>
          <t>durante obra</t>
        </is>
      </c>
    </row>
    <row r="25">
      <c r="A25" s="10" t="inlineStr">
        <is>
          <t>Repasse/chave (%)</t>
        </is>
      </c>
      <c r="B25" s="15" t="n">
        <v>0.4</v>
      </c>
      <c r="C25" s="12" t="n"/>
      <c r="D25" s="13" t="inlineStr">
        <is>
          <t>mês de entrega +2</t>
        </is>
      </c>
    </row>
    <row r="26">
      <c r="A26" s="10" t="inlineStr">
        <is>
          <t>Inadimplência (%)</t>
        </is>
      </c>
      <c r="B26" s="15" t="n">
        <v>0.03</v>
      </c>
      <c r="C26" s="12" t="n"/>
      <c r="D26" s="13" t="inlineStr">
        <is>
          <t>sobre recebido</t>
        </is>
      </c>
    </row>
    <row r="28">
      <c r="A28" s="4" t="inlineStr">
        <is>
          <t>FINANCEIRAS</t>
        </is>
      </c>
    </row>
    <row r="29">
      <c r="A29" s="10" t="inlineStr">
        <is>
          <t>CUB/SC (a.a.)</t>
        </is>
      </c>
      <c r="B29" s="15" t="n">
        <v>0.07000000000000001</v>
      </c>
      <c r="C29" s="12" t="n"/>
      <c r="D29" s="13" t="inlineStr">
        <is>
          <t>indexador parcelas obra</t>
        </is>
      </c>
    </row>
    <row r="30">
      <c r="A30" s="10" t="inlineStr">
        <is>
          <t>TMA (a.a.)</t>
        </is>
      </c>
      <c r="B30" s="15" t="n">
        <v>0.14</v>
      </c>
      <c r="C30" s="12" t="n"/>
      <c r="D30" s="13" t="inlineStr">
        <is>
          <t>custo de capital — desconto VPL</t>
        </is>
      </c>
    </row>
    <row r="32">
      <c r="A32" s="4" t="inlineStr">
        <is>
          <t>COMERCIAL / IMPOSTOS / ADMIN</t>
        </is>
      </c>
    </row>
    <row r="33">
      <c r="A33" s="10" t="inlineStr">
        <is>
          <t>Corretagem (% VGV)</t>
        </is>
      </c>
      <c r="B33" s="15" t="n">
        <v>0.06</v>
      </c>
      <c r="C33" s="12" t="n"/>
      <c r="D33" s="13" t="inlineStr">
        <is>
          <t>paga no mês da venda</t>
        </is>
      </c>
    </row>
    <row r="34">
      <c r="A34" s="10" t="inlineStr">
        <is>
          <t>Marketing (% VGV)</t>
        </is>
      </c>
      <c r="B34" s="15" t="n">
        <v>0.03</v>
      </c>
      <c r="C34" s="12" t="n"/>
      <c r="D34" s="13" t="inlineStr">
        <is>
          <t>stand, material, digital</t>
        </is>
      </c>
    </row>
    <row r="35">
      <c r="A35" s="10" t="inlineStr">
        <is>
          <t>Marketing front-load (% no pré-lanç)</t>
        </is>
      </c>
      <c r="B35" s="15" t="n">
        <v>0</v>
      </c>
      <c r="C35" s="12" t="n"/>
      <c r="D35" s="13" t="inlineStr"/>
    </row>
    <row r="36">
      <c r="A36" s="10" t="inlineStr">
        <is>
          <t>RET (% receita)</t>
        </is>
      </c>
      <c r="B36" s="15" t="n">
        <v>0.04</v>
      </c>
      <c r="C36" s="12" t="n"/>
      <c r="D36" s="13" t="inlineStr">
        <is>
          <t>Regime Especial de Tributação</t>
        </is>
      </c>
    </row>
    <row r="37">
      <c r="A37" s="10" t="inlineStr">
        <is>
          <t>Admin incorporadora (% VGV)</t>
        </is>
      </c>
      <c r="B37" s="15" t="n">
        <v>0.03</v>
      </c>
      <c r="C37" s="12" t="n"/>
      <c r="D37" s="13" t="inlineStr">
        <is>
          <t>equipe, jurídico, contábil</t>
        </is>
      </c>
    </row>
    <row r="39">
      <c r="A39" s="4" t="inlineStr">
        <is>
          <t>CURVA DE VENDAS (logística)</t>
        </is>
      </c>
    </row>
    <row r="40">
      <c r="A40" s="10" t="inlineStr">
        <is>
          <t>t_início (mês — pré-lanç)</t>
        </is>
      </c>
      <c r="B40" s="16" t="n">
        <v>-2</v>
      </c>
      <c r="C40" s="12" t="n"/>
      <c r="D40" s="13" t="inlineStr">
        <is>
          <t>vendas começam em t_início</t>
        </is>
      </c>
    </row>
    <row r="41">
      <c r="A41" s="10" t="inlineStr">
        <is>
          <t>t50 (mês da inflexão)</t>
        </is>
      </c>
      <c r="B41" s="16" t="n">
        <v>17</v>
      </c>
      <c r="C41" s="12" t="n"/>
      <c r="D41" s="13" t="inlineStr">
        <is>
          <t>50% vendido neste mês</t>
        </is>
      </c>
    </row>
    <row r="42">
      <c r="A42" s="10" t="inlineStr">
        <is>
          <t>k (inclinação)</t>
        </is>
      </c>
      <c r="B42" s="14" t="n">
        <v>0.15</v>
      </c>
      <c r="C42" s="12" t="n"/>
      <c r="D42" s="13" t="inlineStr">
        <is>
          <t>maior k = venda mais concentrada</t>
        </is>
      </c>
    </row>
  </sheetData>
  <mergeCells count="7">
    <mergeCell ref="A1:D1"/>
    <mergeCell ref="A3:D3"/>
    <mergeCell ref="A39:D39"/>
    <mergeCell ref="A15:D15"/>
    <mergeCell ref="A19:D19"/>
    <mergeCell ref="A28:D28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4"/>
  <sheetViews>
    <sheetView workbookViewId="0">
      <pane xSplit="5" ySplit="8" topLeftCell="F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4" customWidth="1" min="3" max="3"/>
    <col width="14" customWidth="1" min="4" max="4"/>
    <col width="14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10.5" customWidth="1" min="33" max="33"/>
    <col width="10.5" customWidth="1" min="34" max="34"/>
    <col width="10.5" customWidth="1" min="35" max="35"/>
    <col width="10.5" customWidth="1" min="36" max="36"/>
    <col width="10.5" customWidth="1" min="37" max="37"/>
    <col width="10.5" customWidth="1" min="38" max="38"/>
    <col width="10.5" customWidth="1" min="39" max="39"/>
    <col width="10.5" customWidth="1" min="40" max="40"/>
    <col width="10.5" customWidth="1" min="41" max="41"/>
    <col width="10.5" customWidth="1" min="42" max="42"/>
    <col width="10.5" customWidth="1" min="43" max="43"/>
    <col width="10.5" customWidth="1" min="44" max="44"/>
    <col width="10.5" customWidth="1" min="45" max="45"/>
    <col width="10.5" customWidth="1" min="46" max="46"/>
    <col width="10.5" customWidth="1" min="47" max="47"/>
    <col width="10.5" customWidth="1" min="48" max="48"/>
    <col width="10.5" customWidth="1" min="49" max="49"/>
    <col width="10.5" customWidth="1" min="50" max="50"/>
    <col width="10.5" customWidth="1" min="51" max="51"/>
    <col width="10.5" customWidth="1" min="52" max="52"/>
    <col width="10.5" customWidth="1" min="53" max="53"/>
    <col width="10.5" customWidth="1" min="54" max="54"/>
    <col width="10.5" customWidth="1" min="55" max="55"/>
    <col width="10.5" customWidth="1" min="56" max="56"/>
    <col width="10.5" customWidth="1" min="57" max="57"/>
  </cols>
  <sheetData>
    <row r="1" ht="30" customHeight="1">
      <c r="A1" s="1" t="inlineStr">
        <is>
          <t>FLUXO DE CAIXA MENSAL — 52 meses (3 pré-lançamento + 36 obra + 12 pós-obra)</t>
        </is>
      </c>
    </row>
    <row r="2" ht="20" customHeight="1">
      <c r="A2" s="19" t="inlineStr">
        <is>
          <t>COMO LER:  cada coluna é 1 mês do projeto. Colunas B–E são subtotais por fase (TOTAL / PRÉ-LANÇ / OBRA / PÓS-OBRA). Os blocos VERDE = ENTRADAS de caixa (vendas).  VERMELHO = SAÍDAS (custos).  CINZA = RESULTADO (entradas − saídas).
O 'Saldo mensal' fica verde quando positivo, vermelho quando negativo. O 'Saldo acumulado' é o 'caixa do projeto' ao longo do tempo — o ponto mais negativo dele é a EXPOSIÇÃO MÁXIMA (capital que a incorporadora precisa ter disponível). O mês em que o acumulado volta a zero é o BREAK-EVEN de caixa.</t>
        </is>
      </c>
    </row>
    <row r="3" ht="20" customHeight="1"/>
    <row r="4" ht="20" customHeight="1"/>
    <row r="6" ht="6" customHeight="1"/>
    <row r="7">
      <c r="A7" s="20" t="inlineStr">
        <is>
          <t>Linha  /  Mês do projeto →</t>
        </is>
      </c>
      <c r="B7" s="21" t="inlineStr">
        <is>
          <t>TOTAL</t>
        </is>
      </c>
      <c r="C7" s="21" t="inlineStr">
        <is>
          <t>PRÉ-LANÇ</t>
        </is>
      </c>
      <c r="D7" s="21" t="inlineStr">
        <is>
          <t>OBRA</t>
        </is>
      </c>
      <c r="E7" s="21" t="inlineStr">
        <is>
          <t>PÓS-OBRA</t>
        </is>
      </c>
      <c r="F7" s="22" t="n">
        <v>-3</v>
      </c>
      <c r="G7" s="22" t="n">
        <v>-2</v>
      </c>
      <c r="H7" s="22" t="n">
        <v>-1</v>
      </c>
      <c r="I7" s="22" t="n">
        <v>0</v>
      </c>
      <c r="J7" s="22" t="n">
        <v>1</v>
      </c>
      <c r="K7" s="22" t="n">
        <v>2</v>
      </c>
      <c r="L7" s="22" t="n">
        <v>3</v>
      </c>
      <c r="M7" s="22" t="n">
        <v>4</v>
      </c>
      <c r="N7" s="22" t="n">
        <v>5</v>
      </c>
      <c r="O7" s="22" t="n">
        <v>6</v>
      </c>
      <c r="P7" s="22" t="n">
        <v>7</v>
      </c>
      <c r="Q7" s="22" t="n">
        <v>8</v>
      </c>
      <c r="R7" s="22" t="n">
        <v>9</v>
      </c>
      <c r="S7" s="22" t="n">
        <v>10</v>
      </c>
      <c r="T7" s="22" t="n">
        <v>11</v>
      </c>
      <c r="U7" s="22" t="n">
        <v>12</v>
      </c>
      <c r="V7" s="22" t="n">
        <v>13</v>
      </c>
      <c r="W7" s="22" t="n">
        <v>14</v>
      </c>
      <c r="X7" s="22" t="n">
        <v>15</v>
      </c>
      <c r="Y7" s="22" t="n">
        <v>16</v>
      </c>
      <c r="Z7" s="22" t="n">
        <v>17</v>
      </c>
      <c r="AA7" s="22" t="n">
        <v>18</v>
      </c>
      <c r="AB7" s="22" t="n">
        <v>19</v>
      </c>
      <c r="AC7" s="22" t="n">
        <v>20</v>
      </c>
      <c r="AD7" s="22" t="n">
        <v>21</v>
      </c>
      <c r="AE7" s="22" t="n">
        <v>22</v>
      </c>
      <c r="AF7" s="22" t="n">
        <v>23</v>
      </c>
      <c r="AG7" s="22" t="n">
        <v>24</v>
      </c>
      <c r="AH7" s="22" t="n">
        <v>25</v>
      </c>
      <c r="AI7" s="22" t="n">
        <v>26</v>
      </c>
      <c r="AJ7" s="22" t="n">
        <v>27</v>
      </c>
      <c r="AK7" s="22" t="n">
        <v>28</v>
      </c>
      <c r="AL7" s="22" t="n">
        <v>29</v>
      </c>
      <c r="AM7" s="22" t="n">
        <v>30</v>
      </c>
      <c r="AN7" s="22" t="n">
        <v>31</v>
      </c>
      <c r="AO7" s="22" t="n">
        <v>32</v>
      </c>
      <c r="AP7" s="22" t="n">
        <v>33</v>
      </c>
      <c r="AQ7" s="22" t="n">
        <v>34</v>
      </c>
      <c r="AR7" s="22" t="n">
        <v>35</v>
      </c>
      <c r="AS7" s="22" t="n">
        <v>36</v>
      </c>
      <c r="AT7" s="22" t="n">
        <v>37</v>
      </c>
      <c r="AU7" s="22" t="n">
        <v>38</v>
      </c>
      <c r="AV7" s="22" t="n">
        <v>39</v>
      </c>
      <c r="AW7" s="22" t="n">
        <v>40</v>
      </c>
      <c r="AX7" s="22" t="n">
        <v>41</v>
      </c>
      <c r="AY7" s="22" t="n">
        <v>42</v>
      </c>
      <c r="AZ7" s="22" t="n">
        <v>43</v>
      </c>
      <c r="BA7" s="22" t="n">
        <v>44</v>
      </c>
      <c r="BB7" s="22" t="n">
        <v>45</v>
      </c>
      <c r="BC7" s="22" t="n">
        <v>46</v>
      </c>
      <c r="BD7" s="22" t="n">
        <v>47</v>
      </c>
      <c r="BE7" s="22" t="n">
        <v>48</v>
      </c>
    </row>
    <row r="8">
      <c r="A8" s="13" t="inlineStr">
        <is>
          <t>Fase do projeto</t>
        </is>
      </c>
      <c r="B8" s="12" t="n"/>
      <c r="C8" s="12" t="n"/>
      <c r="D8" s="12" t="n"/>
      <c r="E8" s="12" t="n"/>
      <c r="F8" s="23" t="inlineStr">
        <is>
          <t>Pré 1</t>
        </is>
      </c>
      <c r="G8" s="23" t="inlineStr">
        <is>
          <t>Pré 2</t>
        </is>
      </c>
      <c r="H8" s="23" t="inlineStr">
        <is>
          <t>Pré 3</t>
        </is>
      </c>
      <c r="I8" s="24" t="inlineStr">
        <is>
          <t>Obra 1</t>
        </is>
      </c>
      <c r="J8" s="24" t="inlineStr">
        <is>
          <t>Obra 2</t>
        </is>
      </c>
      <c r="K8" s="24" t="inlineStr">
        <is>
          <t>Obra 3</t>
        </is>
      </c>
      <c r="L8" s="24" t="inlineStr">
        <is>
          <t>Obra 4</t>
        </is>
      </c>
      <c r="M8" s="24" t="inlineStr">
        <is>
          <t>Obra 5</t>
        </is>
      </c>
      <c r="N8" s="24" t="inlineStr">
        <is>
          <t>Obra 6</t>
        </is>
      </c>
      <c r="O8" s="24" t="inlineStr">
        <is>
          <t>Obra 7</t>
        </is>
      </c>
      <c r="P8" s="24" t="inlineStr">
        <is>
          <t>Obra 8</t>
        </is>
      </c>
      <c r="Q8" s="24" t="inlineStr">
        <is>
          <t>Obra 9</t>
        </is>
      </c>
      <c r="R8" s="24" t="inlineStr">
        <is>
          <t>Obra 10</t>
        </is>
      </c>
      <c r="S8" s="24" t="inlineStr">
        <is>
          <t>Obra 11</t>
        </is>
      </c>
      <c r="T8" s="24" t="inlineStr">
        <is>
          <t>Obra 12</t>
        </is>
      </c>
      <c r="U8" s="24" t="inlineStr">
        <is>
          <t>Obra 13</t>
        </is>
      </c>
      <c r="V8" s="24" t="inlineStr">
        <is>
          <t>Obra 14</t>
        </is>
      </c>
      <c r="W8" s="24" t="inlineStr">
        <is>
          <t>Obra 15</t>
        </is>
      </c>
      <c r="X8" s="24" t="inlineStr">
        <is>
          <t>Obra 16</t>
        </is>
      </c>
      <c r="Y8" s="24" t="inlineStr">
        <is>
          <t>Obra 17</t>
        </is>
      </c>
      <c r="Z8" s="24" t="inlineStr">
        <is>
          <t>Obra 18</t>
        </is>
      </c>
      <c r="AA8" s="24" t="inlineStr">
        <is>
          <t>Obra 19</t>
        </is>
      </c>
      <c r="AB8" s="24" t="inlineStr">
        <is>
          <t>Obra 20</t>
        </is>
      </c>
      <c r="AC8" s="24" t="inlineStr">
        <is>
          <t>Obra 21</t>
        </is>
      </c>
      <c r="AD8" s="24" t="inlineStr">
        <is>
          <t>Obra 22</t>
        </is>
      </c>
      <c r="AE8" s="24" t="inlineStr">
        <is>
          <t>Obra 23</t>
        </is>
      </c>
      <c r="AF8" s="24" t="inlineStr">
        <is>
          <t>Obra 24</t>
        </is>
      </c>
      <c r="AG8" s="24" t="inlineStr">
        <is>
          <t>Obra 25</t>
        </is>
      </c>
      <c r="AH8" s="24" t="inlineStr">
        <is>
          <t>Obra 26</t>
        </is>
      </c>
      <c r="AI8" s="24" t="inlineStr">
        <is>
          <t>Obra 27</t>
        </is>
      </c>
      <c r="AJ8" s="24" t="inlineStr">
        <is>
          <t>Obra 28</t>
        </is>
      </c>
      <c r="AK8" s="24" t="inlineStr">
        <is>
          <t>Obra 29</t>
        </is>
      </c>
      <c r="AL8" s="24" t="inlineStr">
        <is>
          <t>Obra 30</t>
        </is>
      </c>
      <c r="AM8" s="24" t="inlineStr">
        <is>
          <t>Obra 31</t>
        </is>
      </c>
      <c r="AN8" s="24" t="inlineStr">
        <is>
          <t>Obra 32</t>
        </is>
      </c>
      <c r="AO8" s="24" t="inlineStr">
        <is>
          <t>Obra 33</t>
        </is>
      </c>
      <c r="AP8" s="24" t="inlineStr">
        <is>
          <t>Obra 34</t>
        </is>
      </c>
      <c r="AQ8" s="24" t="inlineStr">
        <is>
          <t>Obra 35</t>
        </is>
      </c>
      <c r="AR8" s="24" t="inlineStr">
        <is>
          <t>Obra 36</t>
        </is>
      </c>
      <c r="AS8" s="24" t="inlineStr">
        <is>
          <t>Entrega</t>
        </is>
      </c>
      <c r="AT8" s="25" t="inlineStr">
        <is>
          <t>Pós 1</t>
        </is>
      </c>
      <c r="AU8" s="25" t="inlineStr">
        <is>
          <t>Pós 2</t>
        </is>
      </c>
      <c r="AV8" s="25" t="inlineStr">
        <is>
          <t>Pós 3</t>
        </is>
      </c>
      <c r="AW8" s="25" t="inlineStr">
        <is>
          <t>Pós 4</t>
        </is>
      </c>
      <c r="AX8" s="25" t="inlineStr">
        <is>
          <t>Pós 5</t>
        </is>
      </c>
      <c r="AY8" s="25" t="inlineStr">
        <is>
          <t>Pós 6</t>
        </is>
      </c>
      <c r="AZ8" s="25" t="inlineStr">
        <is>
          <t>Pós 7</t>
        </is>
      </c>
      <c r="BA8" s="25" t="inlineStr">
        <is>
          <t>Pós 8</t>
        </is>
      </c>
      <c r="BB8" s="25" t="inlineStr">
        <is>
          <t>Pós 9</t>
        </is>
      </c>
      <c r="BC8" s="25" t="inlineStr">
        <is>
          <t>Pós 10</t>
        </is>
      </c>
      <c r="BD8" s="25" t="inlineStr">
        <is>
          <t>Pós 11</t>
        </is>
      </c>
      <c r="BE8" s="25" t="inlineStr">
        <is>
          <t>Pós 12</t>
        </is>
      </c>
    </row>
    <row r="9">
      <c r="A9" s="26" t="inlineStr">
        <is>
          <t xml:space="preserve">   ▲  ENTRADAS DE CAIXA   (recebimentos das vendas)</t>
        </is>
      </c>
    </row>
    <row r="10">
      <c r="A10" s="10" t="inlineStr">
        <is>
          <t>% do VGV vendido (acumulado)</t>
        </is>
      </c>
      <c r="B10" s="27" t="n">
        <v>30.37020275683398</v>
      </c>
      <c r="C10" s="27" t="n">
        <v>0.008860458149069432</v>
      </c>
      <c r="D10" s="28" t="n">
        <v>18.54910549813145</v>
      </c>
      <c r="E10" s="27" t="n">
        <v>11.81223680055346</v>
      </c>
      <c r="F10" s="29" t="n">
        <v>0</v>
      </c>
      <c r="G10" s="29" t="n">
        <v>0</v>
      </c>
      <c r="H10" s="29" t="n">
        <v>0.008860458149069432</v>
      </c>
      <c r="I10" s="29" t="n">
        <v>0.01896159951924031</v>
      </c>
      <c r="J10" s="29" t="n">
        <v>0.03044446348368508</v>
      </c>
      <c r="K10" s="29" t="n">
        <v>0.04345594942980426</v>
      </c>
      <c r="L10" s="29" t="n">
        <v>0.05814568707579992</v>
      </c>
      <c r="M10" s="29" t="n">
        <v>0.07466176976312867</v>
      </c>
      <c r="N10" s="29" t="n">
        <v>0.09314523436621201</v>
      </c>
      <c r="O10" s="29" t="n">
        <v>0.1137232471424331</v>
      </c>
      <c r="P10" s="29" t="n">
        <v>0.1365010726525185</v>
      </c>
      <c r="Q10" s="29" t="n">
        <v>0.16155306510567</v>
      </c>
      <c r="R10" s="29" t="n">
        <v>0.1889131220502655</v>
      </c>
      <c r="S10" s="29" t="n">
        <v>0.2185652610891828</v>
      </c>
      <c r="T10" s="29" t="n">
        <v>0.2504351887438368</v>
      </c>
      <c r="U10" s="29" t="n">
        <v>0.2843838809440952</v>
      </c>
      <c r="V10" s="29" t="n">
        <v>0.3202042341141668</v>
      </c>
      <c r="W10" s="29" t="n">
        <v>0.357621726887273</v>
      </c>
      <c r="X10" s="29" t="n">
        <v>0.3962997291830566</v>
      </c>
      <c r="Y10" s="29" t="n">
        <v>0.4358496194830052</v>
      </c>
      <c r="Z10" s="29" t="n">
        <v>0.4758452809302698</v>
      </c>
      <c r="AA10" s="29" t="n">
        <v>0.5158409423775344</v>
      </c>
      <c r="AB10" s="29" t="n">
        <v>0.555390832677483</v>
      </c>
      <c r="AC10" s="29" t="n">
        <v>0.5940688349732667</v>
      </c>
      <c r="AD10" s="29" t="n">
        <v>0.6314863277463726</v>
      </c>
      <c r="AE10" s="29" t="n">
        <v>0.6673066809164444</v>
      </c>
      <c r="AF10" s="29" t="n">
        <v>0.7012553731167027</v>
      </c>
      <c r="AG10" s="29" t="n">
        <v>0.7331253007713567</v>
      </c>
      <c r="AH10" s="29" t="n">
        <v>0.762777439810274</v>
      </c>
      <c r="AI10" s="29" t="n">
        <v>0.7901374967548694</v>
      </c>
      <c r="AJ10" s="29" t="n">
        <v>0.815189489208021</v>
      </c>
      <c r="AK10" s="29" t="n">
        <v>0.8379673147181065</v>
      </c>
      <c r="AL10" s="29" t="n">
        <v>0.8585453274943277</v>
      </c>
      <c r="AM10" s="29" t="n">
        <v>0.8770287920974109</v>
      </c>
      <c r="AN10" s="29" t="n">
        <v>0.8935448747847397</v>
      </c>
      <c r="AO10" s="29" t="n">
        <v>0.9082346124307352</v>
      </c>
      <c r="AP10" s="29" t="n">
        <v>0.9212460983768544</v>
      </c>
      <c r="AQ10" s="29" t="n">
        <v>0.9327289623412991</v>
      </c>
      <c r="AR10" s="29" t="n">
        <v>0.94283010371147</v>
      </c>
      <c r="AS10" s="29" t="n">
        <v>0.9516905618605395</v>
      </c>
      <c r="AT10" s="29" t="n">
        <v>0.9594433666275206</v>
      </c>
      <c r="AU10" s="29" t="n">
        <v>0.9662121981250306</v>
      </c>
      <c r="AV10" s="29" t="n">
        <v>0.9721106891791248</v>
      </c>
      <c r="AW10" s="29" t="n">
        <v>0.9772422188366474</v>
      </c>
      <c r="AX10" s="29" t="n">
        <v>0.9817000660390391</v>
      </c>
      <c r="AY10" s="29" t="n">
        <v>0.9855678149280852</v>
      </c>
      <c r="AZ10" s="29" t="n">
        <v>0.988919924870493</v>
      </c>
      <c r="BA10" s="29" t="n">
        <v>0.9918223977780121</v>
      </c>
      <c r="BB10" s="29" t="n">
        <v>0.9943334920245692</v>
      </c>
      <c r="BC10" s="29" t="n">
        <v>0.996504446081678</v>
      </c>
      <c r="BD10" s="29" t="n">
        <v>0.9983801860632577</v>
      </c>
      <c r="BE10" s="29" t="n">
        <v>1</v>
      </c>
    </row>
    <row r="11">
      <c r="A11" s="10" t="inlineStr">
        <is>
          <t>VGV contratado no mês</t>
        </is>
      </c>
      <c r="B11" s="30" t="n">
        <v>94084436.51879999</v>
      </c>
      <c r="C11" s="30" t="n">
        <v>833631.2122536069</v>
      </c>
      <c r="D11" s="31" t="n">
        <v>88705639.04065539</v>
      </c>
      <c r="E11" s="30" t="n">
        <v>4545166.265890967</v>
      </c>
      <c r="F11" s="32" t="n">
        <v>0</v>
      </c>
      <c r="G11" s="32" t="n">
        <v>0</v>
      </c>
      <c r="H11" s="32" t="n">
        <v>833631.2122536069</v>
      </c>
      <c r="I11" s="32" t="n">
        <v>950360.1940092667</v>
      </c>
      <c r="J11" s="32" t="n">
        <v>1080358.785716819</v>
      </c>
      <c r="K11" s="32" t="n">
        <v>1224178.323512908</v>
      </c>
      <c r="L11" s="32" t="n">
        <v>1382075.689032505</v>
      </c>
      <c r="M11" s="32" t="n">
        <v>1553906.333135233</v>
      </c>
      <c r="N11" s="32" t="n">
        <v>1739006.352096281</v>
      </c>
      <c r="O11" s="32" t="n">
        <v>1936070.736727429</v>
      </c>
      <c r="P11" s="32" t="n">
        <v>2143038.878239931</v>
      </c>
      <c r="Q11" s="32" t="n">
        <v>2357002.59362799</v>
      </c>
      <c r="R11" s="32" t="n">
        <v>2574155.540754546</v>
      </c>
      <c r="S11" s="32" t="n">
        <v>2789804.793053646</v>
      </c>
      <c r="T11" s="32" t="n">
        <v>2998464.18528304</v>
      </c>
      <c r="U11" s="32" t="n">
        <v>3194043.576211489</v>
      </c>
      <c r="V11" s="32" t="n">
        <v>3370137.743910602</v>
      </c>
      <c r="W11" s="32" t="n">
        <v>3520403.72350396</v>
      </c>
      <c r="X11" s="32" t="n">
        <v>3638998.051671654</v>
      </c>
      <c r="Y11" s="32" t="n">
        <v>3721029.143251015</v>
      </c>
      <c r="Z11" s="32" t="n">
        <v>3762969.270462582</v>
      </c>
      <c r="AA11" s="32" t="n">
        <v>3762969.270462587</v>
      </c>
      <c r="AB11" s="32" t="n">
        <v>3721029.143251015</v>
      </c>
      <c r="AC11" s="32" t="n">
        <v>3638998.051671659</v>
      </c>
      <c r="AD11" s="32" t="n">
        <v>3520403.723503939</v>
      </c>
      <c r="AE11" s="32" t="n">
        <v>3370137.743910618</v>
      </c>
      <c r="AF11" s="32" t="n">
        <v>3194043.576211481</v>
      </c>
      <c r="AG11" s="32" t="n">
        <v>2998464.185283042</v>
      </c>
      <c r="AH11" s="32" t="n">
        <v>2789804.793053641</v>
      </c>
      <c r="AI11" s="32" t="n">
        <v>2574155.540754541</v>
      </c>
      <c r="AJ11" s="32" t="n">
        <v>2357002.593627998</v>
      </c>
      <c r="AK11" s="32" t="n">
        <v>2143038.878239938</v>
      </c>
      <c r="AL11" s="32" t="n">
        <v>1936070.736727438</v>
      </c>
      <c r="AM11" s="32" t="n">
        <v>1739006.352096274</v>
      </c>
      <c r="AN11" s="32" t="n">
        <v>1553906.333135232</v>
      </c>
      <c r="AO11" s="32" t="n">
        <v>1382075.689032501</v>
      </c>
      <c r="AP11" s="32" t="n">
        <v>1224178.323512913</v>
      </c>
      <c r="AQ11" s="32" t="n">
        <v>1080358.785716811</v>
      </c>
      <c r="AR11" s="32" t="n">
        <v>950360.1940092702</v>
      </c>
      <c r="AS11" s="32" t="n">
        <v>833631.2122536049</v>
      </c>
      <c r="AT11" s="32" t="n">
        <v>729418.2679416838</v>
      </c>
      <c r="AU11" s="32" t="n">
        <v>636841.6973339284</v>
      </c>
      <c r="AV11" s="32" t="n">
        <v>554956.2071356393</v>
      </c>
      <c r="AW11" s="32" t="n">
        <v>482797.0763075225</v>
      </c>
      <c r="AX11" s="32" t="n">
        <v>419414.0421239357</v>
      </c>
      <c r="AY11" s="32" t="n">
        <v>363894.9748221117</v>
      </c>
      <c r="AZ11" s="32" t="n">
        <v>315381.3750804966</v>
      </c>
      <c r="BA11" s="32" t="n">
        <v>273077.5280150169</v>
      </c>
      <c r="BB11" s="32" t="n">
        <v>236254.88723293</v>
      </c>
      <c r="BC11" s="32" t="n">
        <v>204252.9891712787</v>
      </c>
      <c r="BD11" s="32" t="n">
        <v>176477.9392227138</v>
      </c>
      <c r="BE11" s="32" t="n">
        <v>152399.2815037104</v>
      </c>
    </row>
    <row r="12">
      <c r="A12" s="10" t="inlineStr">
        <is>
          <t xml:space="preserve">  Entrada (20% no ato)</t>
        </is>
      </c>
      <c r="B12" s="30" t="n">
        <v>18816887.30376</v>
      </c>
      <c r="C12" s="30" t="n">
        <v>166726.2424507214</v>
      </c>
      <c r="D12" s="31" t="n">
        <v>17741127.80813108</v>
      </c>
      <c r="E12" s="30" t="n">
        <v>909033.2531781937</v>
      </c>
      <c r="F12" s="32" t="n">
        <v>0</v>
      </c>
      <c r="G12" s="32" t="n">
        <v>0</v>
      </c>
      <c r="H12" s="32" t="n">
        <v>166726.2424507214</v>
      </c>
      <c r="I12" s="32" t="n">
        <v>190072.0388018533</v>
      </c>
      <c r="J12" s="32" t="n">
        <v>216071.7571433638</v>
      </c>
      <c r="K12" s="32" t="n">
        <v>244835.6647025817</v>
      </c>
      <c r="L12" s="32" t="n">
        <v>276415.1378065011</v>
      </c>
      <c r="M12" s="32" t="n">
        <v>310781.2666270467</v>
      </c>
      <c r="N12" s="32" t="n">
        <v>347801.2704192562</v>
      </c>
      <c r="O12" s="32" t="n">
        <v>387214.1473454859</v>
      </c>
      <c r="P12" s="32" t="n">
        <v>428607.7756479862</v>
      </c>
      <c r="Q12" s="32" t="n">
        <v>471400.5187255981</v>
      </c>
      <c r="R12" s="32" t="n">
        <v>514831.1081509092</v>
      </c>
      <c r="S12" s="32" t="n">
        <v>557960.9586107292</v>
      </c>
      <c r="T12" s="32" t="n">
        <v>599692.8370566079</v>
      </c>
      <c r="U12" s="32" t="n">
        <v>638808.7152422979</v>
      </c>
      <c r="V12" s="32" t="n">
        <v>674027.5487821205</v>
      </c>
      <c r="W12" s="32" t="n">
        <v>704080.744700792</v>
      </c>
      <c r="X12" s="32" t="n">
        <v>727799.6103343307</v>
      </c>
      <c r="Y12" s="32" t="n">
        <v>744205.8286502031</v>
      </c>
      <c r="Z12" s="32" t="n">
        <v>752593.8540925165</v>
      </c>
      <c r="AA12" s="32" t="n">
        <v>752593.8540925174</v>
      </c>
      <c r="AB12" s="32" t="n">
        <v>744205.8286502031</v>
      </c>
      <c r="AC12" s="32" t="n">
        <v>727799.6103343318</v>
      </c>
      <c r="AD12" s="32" t="n">
        <v>704080.7447007879</v>
      </c>
      <c r="AE12" s="32" t="n">
        <v>674027.5487821237</v>
      </c>
      <c r="AF12" s="32" t="n">
        <v>638808.7152422962</v>
      </c>
      <c r="AG12" s="32" t="n">
        <v>599692.8370566085</v>
      </c>
      <c r="AH12" s="32" t="n">
        <v>557960.9586107282</v>
      </c>
      <c r="AI12" s="32" t="n">
        <v>514831.1081509082</v>
      </c>
      <c r="AJ12" s="32" t="n">
        <v>471400.5187255996</v>
      </c>
      <c r="AK12" s="32" t="n">
        <v>428607.7756479876</v>
      </c>
      <c r="AL12" s="32" t="n">
        <v>387214.1473454877</v>
      </c>
      <c r="AM12" s="32" t="n">
        <v>347801.2704192549</v>
      </c>
      <c r="AN12" s="32" t="n">
        <v>310781.2666270465</v>
      </c>
      <c r="AO12" s="32" t="n">
        <v>276415.1378065003</v>
      </c>
      <c r="AP12" s="32" t="n">
        <v>244835.6647025827</v>
      </c>
      <c r="AQ12" s="32" t="n">
        <v>216071.7571433623</v>
      </c>
      <c r="AR12" s="32" t="n">
        <v>190072.038801854</v>
      </c>
      <c r="AS12" s="32" t="n">
        <v>166726.242450721</v>
      </c>
      <c r="AT12" s="32" t="n">
        <v>145883.6535883367</v>
      </c>
      <c r="AU12" s="32" t="n">
        <v>127368.3394667857</v>
      </c>
      <c r="AV12" s="32" t="n">
        <v>110991.2414271279</v>
      </c>
      <c r="AW12" s="32" t="n">
        <v>96559.41526150452</v>
      </c>
      <c r="AX12" s="32" t="n">
        <v>83882.80842478714</v>
      </c>
      <c r="AY12" s="32" t="n">
        <v>72778.99496442234</v>
      </c>
      <c r="AZ12" s="32" t="n">
        <v>63076.27501609932</v>
      </c>
      <c r="BA12" s="32" t="n">
        <v>54615.50560300337</v>
      </c>
      <c r="BB12" s="32" t="n">
        <v>47250.977446586</v>
      </c>
      <c r="BC12" s="32" t="n">
        <v>40850.59783425575</v>
      </c>
      <c r="BD12" s="32" t="n">
        <v>35295.58784454277</v>
      </c>
      <c r="BE12" s="32" t="n">
        <v>30479.85630074208</v>
      </c>
    </row>
    <row r="13">
      <c r="A13" s="10" t="inlineStr">
        <is>
          <t xml:space="preserve">  Parcelas obra (40% corrigido CUB)</t>
        </is>
      </c>
      <c r="B13" s="30" t="n">
        <v>37538177.53336913</v>
      </c>
      <c r="C13" s="30" t="n">
        <v>0</v>
      </c>
      <c r="D13" s="31" t="n">
        <v>37538177.53336913</v>
      </c>
      <c r="E13" s="30" t="n">
        <v>0</v>
      </c>
      <c r="F13" s="32" t="n">
        <v>0</v>
      </c>
      <c r="G13" s="32" t="n">
        <v>0</v>
      </c>
      <c r="H13" s="32" t="n">
        <v>0</v>
      </c>
      <c r="I13" s="32" t="n">
        <v>9063.185776509921</v>
      </c>
      <c r="J13" s="32" t="n">
        <v>19733.69333230335</v>
      </c>
      <c r="K13" s="32" t="n">
        <v>32262.03954756977</v>
      </c>
      <c r="L13" s="32" t="n">
        <v>46927.98328889137</v>
      </c>
      <c r="M13" s="32" t="n">
        <v>64040.47421295896</v>
      </c>
      <c r="N13" s="32" t="n">
        <v>83936.22268310227</v>
      </c>
      <c r="O13" s="32" t="n">
        <v>106976.4741196242</v>
      </c>
      <c r="P13" s="32" t="n">
        <v>133541.568819371</v>
      </c>
      <c r="Q13" s="32" t="n">
        <v>164022.9209768532</v>
      </c>
      <c r="R13" s="32" t="n">
        <v>198812.1794042212</v>
      </c>
      <c r="S13" s="32" t="n">
        <v>238287.5544518302</v>
      </c>
      <c r="T13" s="32" t="n">
        <v>282797.6170049571</v>
      </c>
      <c r="U13" s="32" t="n">
        <v>332643.2828503237</v>
      </c>
      <c r="V13" s="32" t="n">
        <v>388059.1490497881</v>
      </c>
      <c r="W13" s="32" t="n">
        <v>449195.7787268242</v>
      </c>
      <c r="X13" s="32" t="n">
        <v>516104.8442031365</v>
      </c>
      <c r="Y13" s="32" t="n">
        <v>588729.1374696963</v>
      </c>
      <c r="Z13" s="32" t="n">
        <v>666899.2652671064</v>
      </c>
      <c r="AA13" s="32" t="n">
        <v>750338.3400570722</v>
      </c>
      <c r="AB13" s="32" t="n">
        <v>838675.2098060796</v>
      </c>
      <c r="AC13" s="32" t="n">
        <v>931465.8692108473</v>
      </c>
      <c r="AD13" s="32" t="n">
        <v>1028221.849551778</v>
      </c>
      <c r="AE13" s="32" t="n">
        <v>1128443.794659091</v>
      </c>
      <c r="AF13" s="32" t="n">
        <v>1231658.265441045</v>
      </c>
      <c r="AG13" s="32" t="n">
        <v>1337456.183817297</v>
      </c>
      <c r="AH13" s="32" t="n">
        <v>1445532.286787403</v>
      </c>
      <c r="AI13" s="32" t="n">
        <v>1555726.582133853</v>
      </c>
      <c r="AJ13" s="32" t="n">
        <v>1668071.294029559</v>
      </c>
      <c r="AK13" s="32" t="n">
        <v>1782850.786263486</v>
      </c>
      <c r="AL13" s="32" t="n">
        <v>1900689.080394489</v>
      </c>
      <c r="AM13" s="32" t="n">
        <v>2022693.999200047</v>
      </c>
      <c r="AN13" s="32" t="n">
        <v>2150719.868268465</v>
      </c>
      <c r="AO13" s="32" t="n">
        <v>2287895.738728132</v>
      </c>
      <c r="AP13" s="32" t="n">
        <v>2439820.848457594</v>
      </c>
      <c r="AQ13" s="32" t="n">
        <v>2617762.617685218</v>
      </c>
      <c r="AR13" s="32" t="n">
        <v>2849857.286387688</v>
      </c>
      <c r="AS13" s="32" t="n">
        <v>3248264.26130492</v>
      </c>
      <c r="AT13" s="32" t="n">
        <v>0</v>
      </c>
      <c r="AU13" s="32" t="n">
        <v>0</v>
      </c>
      <c r="AV13" s="32" t="n">
        <v>0</v>
      </c>
      <c r="AW13" s="32" t="n">
        <v>0</v>
      </c>
      <c r="AX13" s="32" t="n">
        <v>0</v>
      </c>
      <c r="AY13" s="32" t="n">
        <v>0</v>
      </c>
      <c r="AZ13" s="32" t="n">
        <v>0</v>
      </c>
      <c r="BA13" s="32" t="n">
        <v>0</v>
      </c>
      <c r="BB13" s="32" t="n">
        <v>0</v>
      </c>
      <c r="BC13" s="32" t="n">
        <v>0</v>
      </c>
      <c r="BD13" s="32" t="n">
        <v>0</v>
      </c>
      <c r="BE13" s="32" t="n">
        <v>0</v>
      </c>
    </row>
    <row r="14">
      <c r="A14" s="10" t="inlineStr">
        <is>
          <t xml:space="preserve">  Repasse/chave (40% entrega+2)</t>
        </is>
      </c>
      <c r="B14" s="30" t="n">
        <v>37633774.60751999</v>
      </c>
      <c r="C14" s="30" t="n">
        <v>0</v>
      </c>
      <c r="D14" s="31" t="n">
        <v>0</v>
      </c>
      <c r="E14" s="30" t="n">
        <v>37633774.60751999</v>
      </c>
      <c r="F14" s="32" t="n">
        <v>0</v>
      </c>
      <c r="G14" s="32" t="n">
        <v>0</v>
      </c>
      <c r="H14" s="32" t="n">
        <v>0</v>
      </c>
      <c r="I14" s="32" t="n">
        <v>0</v>
      </c>
      <c r="J14" s="32" t="n">
        <v>0</v>
      </c>
      <c r="K14" s="32" t="n">
        <v>0</v>
      </c>
      <c r="L14" s="32" t="n">
        <v>0</v>
      </c>
      <c r="M14" s="32" t="n">
        <v>0</v>
      </c>
      <c r="N14" s="32" t="n">
        <v>0</v>
      </c>
      <c r="O14" s="32" t="n">
        <v>0</v>
      </c>
      <c r="P14" s="32" t="n">
        <v>0</v>
      </c>
      <c r="Q14" s="32" t="n">
        <v>0</v>
      </c>
      <c r="R14" s="32" t="n">
        <v>0</v>
      </c>
      <c r="S14" s="32" t="n">
        <v>0</v>
      </c>
      <c r="T14" s="32" t="n">
        <v>0</v>
      </c>
      <c r="U14" s="32" t="n">
        <v>0</v>
      </c>
      <c r="V14" s="32" t="n">
        <v>0</v>
      </c>
      <c r="W14" s="32" t="n">
        <v>0</v>
      </c>
      <c r="X14" s="32" t="n">
        <v>0</v>
      </c>
      <c r="Y14" s="32" t="n">
        <v>0</v>
      </c>
      <c r="Z14" s="32" t="n">
        <v>0</v>
      </c>
      <c r="AA14" s="32" t="n">
        <v>0</v>
      </c>
      <c r="AB14" s="32" t="n">
        <v>0</v>
      </c>
      <c r="AC14" s="32" t="n">
        <v>0</v>
      </c>
      <c r="AD14" s="32" t="n">
        <v>0</v>
      </c>
      <c r="AE14" s="32" t="n">
        <v>0</v>
      </c>
      <c r="AF14" s="32" t="n">
        <v>0</v>
      </c>
      <c r="AG14" s="32" t="n">
        <v>0</v>
      </c>
      <c r="AH14" s="32" t="n">
        <v>0</v>
      </c>
      <c r="AI14" s="32" t="n">
        <v>0</v>
      </c>
      <c r="AJ14" s="32" t="n">
        <v>0</v>
      </c>
      <c r="AK14" s="32" t="n">
        <v>0</v>
      </c>
      <c r="AL14" s="32" t="n">
        <v>0</v>
      </c>
      <c r="AM14" s="32" t="n">
        <v>0</v>
      </c>
      <c r="AN14" s="32" t="n">
        <v>0</v>
      </c>
      <c r="AO14" s="32" t="n">
        <v>0</v>
      </c>
      <c r="AP14" s="32" t="n">
        <v>0</v>
      </c>
      <c r="AQ14" s="32" t="n">
        <v>0</v>
      </c>
      <c r="AR14" s="32" t="n">
        <v>0</v>
      </c>
      <c r="AS14" s="32" t="n">
        <v>0</v>
      </c>
      <c r="AT14" s="32" t="n">
        <v>0</v>
      </c>
      <c r="AU14" s="32" t="n">
        <v>37633774.60751999</v>
      </c>
      <c r="AV14" s="32" t="n">
        <v>0</v>
      </c>
      <c r="AW14" s="32" t="n">
        <v>0</v>
      </c>
      <c r="AX14" s="32" t="n">
        <v>0</v>
      </c>
      <c r="AY14" s="32" t="n">
        <v>0</v>
      </c>
      <c r="AZ14" s="32" t="n">
        <v>0</v>
      </c>
      <c r="BA14" s="32" t="n">
        <v>0</v>
      </c>
      <c r="BB14" s="32" t="n">
        <v>0</v>
      </c>
      <c r="BC14" s="32" t="n">
        <v>0</v>
      </c>
      <c r="BD14" s="32" t="n">
        <v>0</v>
      </c>
      <c r="BE14" s="32" t="n">
        <v>0</v>
      </c>
    </row>
    <row r="15">
      <c r="A15" s="10" t="inlineStr">
        <is>
          <t xml:space="preserve">  (−) Inadimplência (3%)</t>
        </is>
      </c>
      <c r="B15" s="30" t="n">
        <v>-2819665.183339474</v>
      </c>
      <c r="C15" s="30" t="n">
        <v>-5001.787273521642</v>
      </c>
      <c r="D15" s="31" t="n">
        <v>-1658379.160245006</v>
      </c>
      <c r="E15" s="30" t="n">
        <v>-1156284.235820946</v>
      </c>
      <c r="F15" s="32" t="n">
        <v>-0</v>
      </c>
      <c r="G15" s="32" t="n">
        <v>-0</v>
      </c>
      <c r="H15" s="32" t="n">
        <v>-5001.787273521642</v>
      </c>
      <c r="I15" s="32" t="n">
        <v>-5974.056737350897</v>
      </c>
      <c r="J15" s="32" t="n">
        <v>-7074.163514270014</v>
      </c>
      <c r="K15" s="32" t="n">
        <v>-8312.931127504544</v>
      </c>
      <c r="L15" s="32" t="n">
        <v>-9700.293632861772</v>
      </c>
      <c r="M15" s="32" t="n">
        <v>-11244.65222520017</v>
      </c>
      <c r="N15" s="32" t="n">
        <v>-12952.12479307076</v>
      </c>
      <c r="O15" s="32" t="n">
        <v>-14825.7186439533</v>
      </c>
      <c r="P15" s="32" t="n">
        <v>-16864.48033402071</v>
      </c>
      <c r="Q15" s="32" t="n">
        <v>-19062.70319107353</v>
      </c>
      <c r="R15" s="32" t="n">
        <v>-21409.29862665391</v>
      </c>
      <c r="S15" s="32" t="n">
        <v>-23887.45539187678</v>
      </c>
      <c r="T15" s="32" t="n">
        <v>-26474.71362184695</v>
      </c>
      <c r="U15" s="32" t="n">
        <v>-29143.55994277865</v>
      </c>
      <c r="V15" s="32" t="n">
        <v>-31862.60093495726</v>
      </c>
      <c r="W15" s="32" t="n">
        <v>-34598.29570282849</v>
      </c>
      <c r="X15" s="32" t="n">
        <v>-37317.13363612401</v>
      </c>
      <c r="Y15" s="32" t="n">
        <v>-39988.04898359698</v>
      </c>
      <c r="Z15" s="32" t="n">
        <v>-42584.79358078868</v>
      </c>
      <c r="AA15" s="32" t="n">
        <v>-45087.96582448768</v>
      </c>
      <c r="AB15" s="32" t="n">
        <v>-47486.43115368848</v>
      </c>
      <c r="AC15" s="32" t="n">
        <v>-49777.96438635537</v>
      </c>
      <c r="AD15" s="32" t="n">
        <v>-51969.07782757699</v>
      </c>
      <c r="AE15" s="32" t="n">
        <v>-54074.14030323643</v>
      </c>
      <c r="AF15" s="32" t="n">
        <v>-56114.00942050023</v>
      </c>
      <c r="AG15" s="32" t="n">
        <v>-58114.47062621715</v>
      </c>
      <c r="AH15" s="32" t="n">
        <v>-60104.79736194393</v>
      </c>
      <c r="AI15" s="32" t="n">
        <v>-62116.73070854283</v>
      </c>
      <c r="AJ15" s="32" t="n">
        <v>-64184.15438265474</v>
      </c>
      <c r="AK15" s="32" t="n">
        <v>-66343.7568573442</v>
      </c>
      <c r="AL15" s="32" t="n">
        <v>-68637.09683219928</v>
      </c>
      <c r="AM15" s="32" t="n">
        <v>-71114.85808857904</v>
      </c>
      <c r="AN15" s="32" t="n">
        <v>-73845.03404686534</v>
      </c>
      <c r="AO15" s="32" t="n">
        <v>-76929.32629603897</v>
      </c>
      <c r="AP15" s="32" t="n">
        <v>-80539.69539480531</v>
      </c>
      <c r="AQ15" s="32" t="n">
        <v>-85015.03124485743</v>
      </c>
      <c r="AR15" s="32" t="n">
        <v>-91197.87975568626</v>
      </c>
      <c r="AS15" s="32" t="n">
        <v>-102449.7151126692</v>
      </c>
      <c r="AT15" s="32" t="n">
        <v>-4376.509607650102</v>
      </c>
      <c r="AU15" s="32" t="n">
        <v>-1132834.288409603</v>
      </c>
      <c r="AV15" s="32" t="n">
        <v>-3329.737242813836</v>
      </c>
      <c r="AW15" s="32" t="n">
        <v>-2896.782457845135</v>
      </c>
      <c r="AX15" s="32" t="n">
        <v>-2516.484252743614</v>
      </c>
      <c r="AY15" s="32" t="n">
        <v>-2183.36984893267</v>
      </c>
      <c r="AZ15" s="32" t="n">
        <v>-1892.28825048298</v>
      </c>
      <c r="BA15" s="32" t="n">
        <v>-1638.465168090101</v>
      </c>
      <c r="BB15" s="32" t="n">
        <v>-1417.52932339758</v>
      </c>
      <c r="BC15" s="32" t="n">
        <v>-1225.517935027672</v>
      </c>
      <c r="BD15" s="32" t="n">
        <v>-1058.867635336283</v>
      </c>
      <c r="BE15" s="32" t="n">
        <v>-914.3956890222624</v>
      </c>
    </row>
    <row r="16">
      <c r="A16" s="33" t="inlineStr">
        <is>
          <t>ENTRADA LÍQUIDA MÊS</t>
        </is>
      </c>
      <c r="B16" s="30" t="n">
        <v>91169174.26130962</v>
      </c>
      <c r="C16" s="30" t="n">
        <v>161724.4551771997</v>
      </c>
      <c r="D16" s="31" t="n">
        <v>53620926.18125521</v>
      </c>
      <c r="E16" s="30" t="n">
        <v>37386523.62487724</v>
      </c>
      <c r="F16" s="34" t="n">
        <v>0</v>
      </c>
      <c r="G16" s="34" t="n">
        <v>0</v>
      </c>
      <c r="H16" s="34" t="n">
        <v>161724.4551771997</v>
      </c>
      <c r="I16" s="34" t="n">
        <v>193161.1678410124</v>
      </c>
      <c r="J16" s="34" t="n">
        <v>228731.2869613971</v>
      </c>
      <c r="K16" s="34" t="n">
        <v>268784.7731226469</v>
      </c>
      <c r="L16" s="34" t="n">
        <v>313642.8274625307</v>
      </c>
      <c r="M16" s="34" t="n">
        <v>363577.0886148055</v>
      </c>
      <c r="N16" s="34" t="n">
        <v>418785.3683092878</v>
      </c>
      <c r="O16" s="34" t="n">
        <v>479364.9028211567</v>
      </c>
      <c r="P16" s="34" t="n">
        <v>545284.8641333365</v>
      </c>
      <c r="Q16" s="34" t="n">
        <v>616360.7365113777</v>
      </c>
      <c r="R16" s="34" t="n">
        <v>692233.9889284765</v>
      </c>
      <c r="S16" s="34" t="n">
        <v>772361.0576706826</v>
      </c>
      <c r="T16" s="34" t="n">
        <v>856015.740439718</v>
      </c>
      <c r="U16" s="34" t="n">
        <v>942308.4381498429</v>
      </c>
      <c r="V16" s="34" t="n">
        <v>1030224.096896951</v>
      </c>
      <c r="W16" s="34" t="n">
        <v>1118678.227724788</v>
      </c>
      <c r="X16" s="34" t="n">
        <v>1206587.320901343</v>
      </c>
      <c r="Y16" s="34" t="n">
        <v>1292946.917136302</v>
      </c>
      <c r="Z16" s="34" t="n">
        <v>1376908.325778834</v>
      </c>
      <c r="AA16" s="34" t="n">
        <v>1457844.228325102</v>
      </c>
      <c r="AB16" s="34" t="n">
        <v>1535394.607302594</v>
      </c>
      <c r="AC16" s="34" t="n">
        <v>1609487.515158824</v>
      </c>
      <c r="AD16" s="34" t="n">
        <v>1680333.516424989</v>
      </c>
      <c r="AE16" s="34" t="n">
        <v>1748397.203137978</v>
      </c>
      <c r="AF16" s="34" t="n">
        <v>1814352.971262841</v>
      </c>
      <c r="AG16" s="34" t="n">
        <v>1879034.550247688</v>
      </c>
      <c r="AH16" s="34" t="n">
        <v>1943388.448036187</v>
      </c>
      <c r="AI16" s="34" t="n">
        <v>2008440.959576218</v>
      </c>
      <c r="AJ16" s="34" t="n">
        <v>2075287.658372503</v>
      </c>
      <c r="AK16" s="34" t="n">
        <v>2145114.805054129</v>
      </c>
      <c r="AL16" s="34" t="n">
        <v>2219266.130907777</v>
      </c>
      <c r="AM16" s="34" t="n">
        <v>2299380.411530722</v>
      </c>
      <c r="AN16" s="34" t="n">
        <v>2387656.100848646</v>
      </c>
      <c r="AO16" s="34" t="n">
        <v>2487381.550238593</v>
      </c>
      <c r="AP16" s="34" t="n">
        <v>2604116.817765372</v>
      </c>
      <c r="AQ16" s="34" t="n">
        <v>2748819.343583724</v>
      </c>
      <c r="AR16" s="34" t="n">
        <v>2948731.445433856</v>
      </c>
      <c r="AS16" s="34" t="n">
        <v>3312540.788642972</v>
      </c>
      <c r="AT16" s="34" t="n">
        <v>141507.1439806866</v>
      </c>
      <c r="AU16" s="34" t="n">
        <v>36628308.65857717</v>
      </c>
      <c r="AV16" s="34" t="n">
        <v>107661.504184314</v>
      </c>
      <c r="AW16" s="34" t="n">
        <v>93662.63280365938</v>
      </c>
      <c r="AX16" s="34" t="n">
        <v>81366.32417204353</v>
      </c>
      <c r="AY16" s="34" t="n">
        <v>70595.62511548967</v>
      </c>
      <c r="AZ16" s="34" t="n">
        <v>61183.98676561634</v>
      </c>
      <c r="BA16" s="34" t="n">
        <v>52977.04043491327</v>
      </c>
      <c r="BB16" s="34" t="n">
        <v>45833.44812318842</v>
      </c>
      <c r="BC16" s="34" t="n">
        <v>39625.07989922808</v>
      </c>
      <c r="BD16" s="34" t="n">
        <v>34236.72020920649</v>
      </c>
      <c r="BE16" s="34" t="n">
        <v>29565.46061171982</v>
      </c>
    </row>
    <row r="18">
      <c r="A18" s="35" t="inlineStr">
        <is>
          <t xml:space="preserve">   ▼  SAÍDAS DE CAIXA   (custos da obra + comercial + impostos + admin)</t>
        </is>
      </c>
    </row>
    <row r="19">
      <c r="A19" s="10" t="inlineStr">
        <is>
          <t xml:space="preserve">  Custo da obra (paramétrico)</t>
        </is>
      </c>
      <c r="B19" s="30" t="n">
        <v>39379139.4038</v>
      </c>
      <c r="C19" s="30" t="n">
        <v>0</v>
      </c>
      <c r="D19" s="31" t="n">
        <v>39379139.4038</v>
      </c>
      <c r="E19" s="30" t="n">
        <v>0</v>
      </c>
      <c r="F19" s="32" t="n">
        <v>0</v>
      </c>
      <c r="G19" s="32" t="n">
        <v>0</v>
      </c>
      <c r="H19" s="32" t="n">
        <v>0</v>
      </c>
      <c r="I19" s="32" t="n">
        <v>157516.5576152</v>
      </c>
      <c r="J19" s="32" t="n">
        <v>236274.8364228</v>
      </c>
      <c r="K19" s="32" t="n">
        <v>315033.1152304</v>
      </c>
      <c r="L19" s="32" t="n">
        <v>393791.394038</v>
      </c>
      <c r="M19" s="32" t="n">
        <v>511928.8122493999</v>
      </c>
      <c r="N19" s="32" t="n">
        <v>669445.3698646</v>
      </c>
      <c r="O19" s="32" t="n">
        <v>826961.9274798</v>
      </c>
      <c r="P19" s="32" t="n">
        <v>984478.4850949999</v>
      </c>
      <c r="Q19" s="32" t="n">
        <v>1181374.182114</v>
      </c>
      <c r="R19" s="32" t="n">
        <v>1378269.879133</v>
      </c>
      <c r="S19" s="32" t="n">
        <v>1575165.576152</v>
      </c>
      <c r="T19" s="32" t="n">
        <v>1772061.273171</v>
      </c>
      <c r="U19" s="32" t="n">
        <v>1929577.8307862</v>
      </c>
      <c r="V19" s="32" t="n">
        <v>2087094.3884014</v>
      </c>
      <c r="W19" s="32" t="n">
        <v>2165852.667209</v>
      </c>
      <c r="X19" s="32" t="n">
        <v>2244610.9460166</v>
      </c>
      <c r="Y19" s="32" t="n">
        <v>2283990.0854204</v>
      </c>
      <c r="Z19" s="32" t="n">
        <v>2244610.9460166</v>
      </c>
      <c r="AA19" s="32" t="n">
        <v>2165852.667209</v>
      </c>
      <c r="AB19" s="32" t="n">
        <v>2087094.3884014</v>
      </c>
      <c r="AC19" s="32" t="n">
        <v>1929577.8307862</v>
      </c>
      <c r="AD19" s="32" t="n">
        <v>1772061.273171</v>
      </c>
      <c r="AE19" s="32" t="n">
        <v>1575165.576152</v>
      </c>
      <c r="AF19" s="32" t="n">
        <v>1378269.879133</v>
      </c>
      <c r="AG19" s="32" t="n">
        <v>1181374.182114</v>
      </c>
      <c r="AH19" s="32" t="n">
        <v>984478.4850949999</v>
      </c>
      <c r="AI19" s="32" t="n">
        <v>826961.9274798</v>
      </c>
      <c r="AJ19" s="32" t="n">
        <v>669445.3698646</v>
      </c>
      <c r="AK19" s="32" t="n">
        <v>511928.8122493999</v>
      </c>
      <c r="AL19" s="32" t="n">
        <v>393791.394038</v>
      </c>
      <c r="AM19" s="32" t="n">
        <v>315033.1152304</v>
      </c>
      <c r="AN19" s="32" t="n">
        <v>236274.8364228</v>
      </c>
      <c r="AO19" s="32" t="n">
        <v>157516.5576152</v>
      </c>
      <c r="AP19" s="32" t="n">
        <v>118137.4182114</v>
      </c>
      <c r="AQ19" s="32" t="n">
        <v>78758.2788076</v>
      </c>
      <c r="AR19" s="32" t="n">
        <v>39379.1394038</v>
      </c>
      <c r="AS19" s="32" t="n">
        <v>0</v>
      </c>
      <c r="AT19" s="32" t="n">
        <v>0</v>
      </c>
      <c r="AU19" s="32" t="n">
        <v>0</v>
      </c>
      <c r="AV19" s="32" t="n">
        <v>0</v>
      </c>
      <c r="AW19" s="32" t="n">
        <v>0</v>
      </c>
      <c r="AX19" s="32" t="n">
        <v>0</v>
      </c>
      <c r="AY19" s="32" t="n">
        <v>0</v>
      </c>
      <c r="AZ19" s="32" t="n">
        <v>0</v>
      </c>
      <c r="BA19" s="32" t="n">
        <v>0</v>
      </c>
      <c r="BB19" s="32" t="n">
        <v>0</v>
      </c>
      <c r="BC19" s="32" t="n">
        <v>0</v>
      </c>
      <c r="BD19" s="32" t="n">
        <v>0</v>
      </c>
      <c r="BE19" s="32" t="n">
        <v>0</v>
      </c>
    </row>
    <row r="20">
      <c r="A20" s="10" t="inlineStr">
        <is>
          <t xml:space="preserve">  Contingência (5% do custo obra)</t>
        </is>
      </c>
      <c r="B20" s="30" t="n">
        <v>1968956.97019</v>
      </c>
      <c r="C20" s="30" t="n">
        <v>0</v>
      </c>
      <c r="D20" s="31" t="n">
        <v>1968956.97019</v>
      </c>
      <c r="E20" s="30" t="n">
        <v>0</v>
      </c>
      <c r="F20" s="32" t="n">
        <v>0</v>
      </c>
      <c r="G20" s="32" t="n">
        <v>0</v>
      </c>
      <c r="H20" s="32" t="n">
        <v>0</v>
      </c>
      <c r="I20" s="32" t="n">
        <v>7875.82788076</v>
      </c>
      <c r="J20" s="32" t="n">
        <v>11813.74182114</v>
      </c>
      <c r="K20" s="32" t="n">
        <v>15751.65576152</v>
      </c>
      <c r="L20" s="32" t="n">
        <v>19689.5697019</v>
      </c>
      <c r="M20" s="32" t="n">
        <v>25596.44061247</v>
      </c>
      <c r="N20" s="32" t="n">
        <v>33472.26849323</v>
      </c>
      <c r="O20" s="32" t="n">
        <v>41348.09637399</v>
      </c>
      <c r="P20" s="32" t="n">
        <v>49223.92425475</v>
      </c>
      <c r="Q20" s="32" t="n">
        <v>59068.70910569999</v>
      </c>
      <c r="R20" s="32" t="n">
        <v>68913.49395665001</v>
      </c>
      <c r="S20" s="32" t="n">
        <v>78758.2788076</v>
      </c>
      <c r="T20" s="32" t="n">
        <v>88603.06365854999</v>
      </c>
      <c r="U20" s="32" t="n">
        <v>96478.89153930999</v>
      </c>
      <c r="V20" s="32" t="n">
        <v>104354.71942007</v>
      </c>
      <c r="W20" s="32" t="n">
        <v>108292.63336045</v>
      </c>
      <c r="X20" s="32" t="n">
        <v>112230.54730083</v>
      </c>
      <c r="Y20" s="32" t="n">
        <v>114199.50427102</v>
      </c>
      <c r="Z20" s="32" t="n">
        <v>112230.54730083</v>
      </c>
      <c r="AA20" s="32" t="n">
        <v>108292.63336045</v>
      </c>
      <c r="AB20" s="32" t="n">
        <v>104354.71942007</v>
      </c>
      <c r="AC20" s="32" t="n">
        <v>96478.89153930999</v>
      </c>
      <c r="AD20" s="32" t="n">
        <v>88603.06365854999</v>
      </c>
      <c r="AE20" s="32" t="n">
        <v>78758.2788076</v>
      </c>
      <c r="AF20" s="32" t="n">
        <v>68913.49395665001</v>
      </c>
      <c r="AG20" s="32" t="n">
        <v>59068.70910569999</v>
      </c>
      <c r="AH20" s="32" t="n">
        <v>49223.92425475</v>
      </c>
      <c r="AI20" s="32" t="n">
        <v>41348.09637399</v>
      </c>
      <c r="AJ20" s="32" t="n">
        <v>33472.26849323</v>
      </c>
      <c r="AK20" s="32" t="n">
        <v>25596.44061247</v>
      </c>
      <c r="AL20" s="32" t="n">
        <v>19689.5697019</v>
      </c>
      <c r="AM20" s="32" t="n">
        <v>15751.65576152</v>
      </c>
      <c r="AN20" s="32" t="n">
        <v>11813.74182114</v>
      </c>
      <c r="AO20" s="32" t="n">
        <v>7875.82788076</v>
      </c>
      <c r="AP20" s="32" t="n">
        <v>5906.87091057</v>
      </c>
      <c r="AQ20" s="32" t="n">
        <v>3937.91394038</v>
      </c>
      <c r="AR20" s="32" t="n">
        <v>1968.95697019</v>
      </c>
      <c r="AS20" s="32" t="n">
        <v>0</v>
      </c>
      <c r="AT20" s="32" t="n">
        <v>0</v>
      </c>
      <c r="AU20" s="32" t="n">
        <v>0</v>
      </c>
      <c r="AV20" s="32" t="n">
        <v>0</v>
      </c>
      <c r="AW20" s="32" t="n">
        <v>0</v>
      </c>
      <c r="AX20" s="32" t="n">
        <v>0</v>
      </c>
      <c r="AY20" s="32" t="n">
        <v>0</v>
      </c>
      <c r="AZ20" s="32" t="n">
        <v>0</v>
      </c>
      <c r="BA20" s="32" t="n">
        <v>0</v>
      </c>
      <c r="BB20" s="32" t="n">
        <v>0</v>
      </c>
      <c r="BC20" s="32" t="n">
        <v>0</v>
      </c>
      <c r="BD20" s="32" t="n">
        <v>0</v>
      </c>
      <c r="BE20" s="32" t="n">
        <v>0</v>
      </c>
    </row>
    <row r="21">
      <c r="A21" s="10" t="inlineStr">
        <is>
          <t xml:space="preserve">  Corretagem (6% VGV — no mês da venda)</t>
        </is>
      </c>
      <c r="B21" s="30" t="n">
        <v>5645066.191127998</v>
      </c>
      <c r="C21" s="30" t="n">
        <v>50017.87273521641</v>
      </c>
      <c r="D21" s="31" t="n">
        <v>5322338.342439323</v>
      </c>
      <c r="E21" s="30" t="n">
        <v>272709.9759534581</v>
      </c>
      <c r="F21" s="32" t="n">
        <v>0</v>
      </c>
      <c r="G21" s="32" t="n">
        <v>0</v>
      </c>
      <c r="H21" s="32" t="n">
        <v>50017.87273521641</v>
      </c>
      <c r="I21" s="32" t="n">
        <v>57021.611640556</v>
      </c>
      <c r="J21" s="32" t="n">
        <v>64821.52714300913</v>
      </c>
      <c r="K21" s="32" t="n">
        <v>73450.6994107745</v>
      </c>
      <c r="L21" s="32" t="n">
        <v>82924.54134195032</v>
      </c>
      <c r="M21" s="32" t="n">
        <v>93234.379988114</v>
      </c>
      <c r="N21" s="32" t="n">
        <v>104340.3811257769</v>
      </c>
      <c r="O21" s="32" t="n">
        <v>116164.2442036457</v>
      </c>
      <c r="P21" s="32" t="n">
        <v>128582.3326943958</v>
      </c>
      <c r="Q21" s="32" t="n">
        <v>141420.1556176794</v>
      </c>
      <c r="R21" s="32" t="n">
        <v>154449.3324452727</v>
      </c>
      <c r="S21" s="32" t="n">
        <v>167388.2875832188</v>
      </c>
      <c r="T21" s="32" t="n">
        <v>179907.8511169824</v>
      </c>
      <c r="U21" s="32" t="n">
        <v>191642.6145726893</v>
      </c>
      <c r="V21" s="32" t="n">
        <v>202208.2646346361</v>
      </c>
      <c r="W21" s="32" t="n">
        <v>211224.2234102376</v>
      </c>
      <c r="X21" s="32" t="n">
        <v>218339.8831002992</v>
      </c>
      <c r="Y21" s="32" t="n">
        <v>223261.7485950609</v>
      </c>
      <c r="Z21" s="32" t="n">
        <v>225778.1562277549</v>
      </c>
      <c r="AA21" s="32" t="n">
        <v>225778.1562277552</v>
      </c>
      <c r="AB21" s="32" t="n">
        <v>223261.7485950609</v>
      </c>
      <c r="AC21" s="32" t="n">
        <v>218339.8831002995</v>
      </c>
      <c r="AD21" s="32" t="n">
        <v>211224.2234102364</v>
      </c>
      <c r="AE21" s="32" t="n">
        <v>202208.2646346371</v>
      </c>
      <c r="AF21" s="32" t="n">
        <v>191642.6145726888</v>
      </c>
      <c r="AG21" s="32" t="n">
        <v>179907.8511169826</v>
      </c>
      <c r="AH21" s="32" t="n">
        <v>167388.2875832184</v>
      </c>
      <c r="AI21" s="32" t="n">
        <v>154449.3324452724</v>
      </c>
      <c r="AJ21" s="32" t="n">
        <v>141420.1556176799</v>
      </c>
      <c r="AK21" s="32" t="n">
        <v>128582.3326943962</v>
      </c>
      <c r="AL21" s="32" t="n">
        <v>116164.2442036463</v>
      </c>
      <c r="AM21" s="32" t="n">
        <v>104340.3811257765</v>
      </c>
      <c r="AN21" s="32" t="n">
        <v>93234.37998811393</v>
      </c>
      <c r="AO21" s="32" t="n">
        <v>82924.54134195007</v>
      </c>
      <c r="AP21" s="32" t="n">
        <v>73450.6994107748</v>
      </c>
      <c r="AQ21" s="32" t="n">
        <v>64821.52714300867</v>
      </c>
      <c r="AR21" s="32" t="n">
        <v>57021.61164055621</v>
      </c>
      <c r="AS21" s="32" t="n">
        <v>50017.87273521629</v>
      </c>
      <c r="AT21" s="32" t="n">
        <v>43765.09607650102</v>
      </c>
      <c r="AU21" s="32" t="n">
        <v>38210.50184003571</v>
      </c>
      <c r="AV21" s="32" t="n">
        <v>33297.37242813835</v>
      </c>
      <c r="AW21" s="32" t="n">
        <v>28967.82457845135</v>
      </c>
      <c r="AX21" s="32" t="n">
        <v>25164.84252743614</v>
      </c>
      <c r="AY21" s="32" t="n">
        <v>21833.6984893267</v>
      </c>
      <c r="AZ21" s="32" t="n">
        <v>18922.88250482979</v>
      </c>
      <c r="BA21" s="32" t="n">
        <v>16384.65168090101</v>
      </c>
      <c r="BB21" s="32" t="n">
        <v>14175.2932339758</v>
      </c>
      <c r="BC21" s="32" t="n">
        <v>12255.17935027672</v>
      </c>
      <c r="BD21" s="32" t="n">
        <v>10588.67635336283</v>
      </c>
      <c r="BE21" s="32" t="n">
        <v>9143.956890222624</v>
      </c>
    </row>
    <row r="22">
      <c r="A22" s="10" t="inlineStr">
        <is>
          <t xml:space="preserve">  Marketing (3% VGV — linear na obra)</t>
        </is>
      </c>
      <c r="B22" s="30" t="n">
        <v>2822533.095563999</v>
      </c>
      <c r="C22" s="30" t="n">
        <v>0</v>
      </c>
      <c r="D22" s="31" t="n">
        <v>2822533.095564</v>
      </c>
      <c r="E22" s="30" t="n">
        <v>0</v>
      </c>
      <c r="F22" s="32" t="n">
        <v>0</v>
      </c>
      <c r="G22" s="32" t="n">
        <v>0</v>
      </c>
      <c r="H22" s="32" t="n">
        <v>0</v>
      </c>
      <c r="I22" s="32" t="n">
        <v>78403.69709899998</v>
      </c>
      <c r="J22" s="32" t="n">
        <v>78403.69709899998</v>
      </c>
      <c r="K22" s="32" t="n">
        <v>78403.69709899998</v>
      </c>
      <c r="L22" s="32" t="n">
        <v>78403.69709899998</v>
      </c>
      <c r="M22" s="32" t="n">
        <v>78403.69709899998</v>
      </c>
      <c r="N22" s="32" t="n">
        <v>78403.69709899998</v>
      </c>
      <c r="O22" s="32" t="n">
        <v>78403.69709899998</v>
      </c>
      <c r="P22" s="32" t="n">
        <v>78403.69709899998</v>
      </c>
      <c r="Q22" s="32" t="n">
        <v>78403.69709899998</v>
      </c>
      <c r="R22" s="32" t="n">
        <v>78403.69709899998</v>
      </c>
      <c r="S22" s="32" t="n">
        <v>78403.69709899998</v>
      </c>
      <c r="T22" s="32" t="n">
        <v>78403.69709899998</v>
      </c>
      <c r="U22" s="32" t="n">
        <v>78403.69709899998</v>
      </c>
      <c r="V22" s="32" t="n">
        <v>78403.69709899998</v>
      </c>
      <c r="W22" s="32" t="n">
        <v>78403.69709899998</v>
      </c>
      <c r="X22" s="32" t="n">
        <v>78403.69709899998</v>
      </c>
      <c r="Y22" s="32" t="n">
        <v>78403.69709899998</v>
      </c>
      <c r="Z22" s="32" t="n">
        <v>78403.69709899998</v>
      </c>
      <c r="AA22" s="32" t="n">
        <v>78403.69709899998</v>
      </c>
      <c r="AB22" s="32" t="n">
        <v>78403.69709899998</v>
      </c>
      <c r="AC22" s="32" t="n">
        <v>78403.69709899998</v>
      </c>
      <c r="AD22" s="32" t="n">
        <v>78403.69709899998</v>
      </c>
      <c r="AE22" s="32" t="n">
        <v>78403.69709899998</v>
      </c>
      <c r="AF22" s="32" t="n">
        <v>78403.69709899998</v>
      </c>
      <c r="AG22" s="32" t="n">
        <v>78403.69709899998</v>
      </c>
      <c r="AH22" s="32" t="n">
        <v>78403.69709899998</v>
      </c>
      <c r="AI22" s="32" t="n">
        <v>78403.69709899998</v>
      </c>
      <c r="AJ22" s="32" t="n">
        <v>78403.69709899998</v>
      </c>
      <c r="AK22" s="32" t="n">
        <v>78403.69709899998</v>
      </c>
      <c r="AL22" s="32" t="n">
        <v>78403.69709899998</v>
      </c>
      <c r="AM22" s="32" t="n">
        <v>78403.69709899998</v>
      </c>
      <c r="AN22" s="32" t="n">
        <v>78403.69709899998</v>
      </c>
      <c r="AO22" s="32" t="n">
        <v>78403.69709899998</v>
      </c>
      <c r="AP22" s="32" t="n">
        <v>78403.69709899998</v>
      </c>
      <c r="AQ22" s="32" t="n">
        <v>78403.69709899998</v>
      </c>
      <c r="AR22" s="32" t="n">
        <v>78403.69709899998</v>
      </c>
      <c r="AS22" s="32" t="n">
        <v>0</v>
      </c>
      <c r="AT22" s="32" t="n">
        <v>0</v>
      </c>
      <c r="AU22" s="32" t="n">
        <v>0</v>
      </c>
      <c r="AV22" s="32" t="n">
        <v>0</v>
      </c>
      <c r="AW22" s="32" t="n">
        <v>0</v>
      </c>
      <c r="AX22" s="32" t="n">
        <v>0</v>
      </c>
      <c r="AY22" s="32" t="n">
        <v>0</v>
      </c>
      <c r="AZ22" s="32" t="n">
        <v>0</v>
      </c>
      <c r="BA22" s="32" t="n">
        <v>0</v>
      </c>
      <c r="BB22" s="32" t="n">
        <v>0</v>
      </c>
      <c r="BC22" s="32" t="n">
        <v>0</v>
      </c>
      <c r="BD22" s="32" t="n">
        <v>0</v>
      </c>
      <c r="BE22" s="32" t="n">
        <v>0</v>
      </c>
    </row>
    <row r="23">
      <c r="A23" s="10" t="inlineStr">
        <is>
          <t xml:space="preserve">  RET 4% (Patrimônio de Afetação)</t>
        </is>
      </c>
      <c r="B23" s="30" t="n">
        <v>3759553.577785965</v>
      </c>
      <c r="C23" s="30" t="n">
        <v>6669.049698028855</v>
      </c>
      <c r="D23" s="31" t="n">
        <v>2211172.213660008</v>
      </c>
      <c r="E23" s="30" t="n">
        <v>1541712.314427928</v>
      </c>
      <c r="F23" s="32" t="n">
        <v>0</v>
      </c>
      <c r="G23" s="32" t="n">
        <v>0</v>
      </c>
      <c r="H23" s="32" t="n">
        <v>6669.049698028855</v>
      </c>
      <c r="I23" s="32" t="n">
        <v>7965.408983134531</v>
      </c>
      <c r="J23" s="32" t="n">
        <v>9432.218019026686</v>
      </c>
      <c r="K23" s="32" t="n">
        <v>11083.90817000606</v>
      </c>
      <c r="L23" s="32" t="n">
        <v>12933.7248438157</v>
      </c>
      <c r="M23" s="32" t="n">
        <v>14992.86963360022</v>
      </c>
      <c r="N23" s="32" t="n">
        <v>17269.49972409434</v>
      </c>
      <c r="O23" s="32" t="n">
        <v>19767.6248586044</v>
      </c>
      <c r="P23" s="32" t="n">
        <v>22485.97377869429</v>
      </c>
      <c r="Q23" s="32" t="n">
        <v>25416.93758809805</v>
      </c>
      <c r="R23" s="32" t="n">
        <v>28545.73150220522</v>
      </c>
      <c r="S23" s="32" t="n">
        <v>31849.94052250237</v>
      </c>
      <c r="T23" s="32" t="n">
        <v>35299.6181624626</v>
      </c>
      <c r="U23" s="32" t="n">
        <v>38858.07992370486</v>
      </c>
      <c r="V23" s="32" t="n">
        <v>42483.46791327635</v>
      </c>
      <c r="W23" s="32" t="n">
        <v>46131.06093710465</v>
      </c>
      <c r="X23" s="32" t="n">
        <v>49756.17818149868</v>
      </c>
      <c r="Y23" s="32" t="n">
        <v>53317.39864479598</v>
      </c>
      <c r="Z23" s="32" t="n">
        <v>56779.72477438491</v>
      </c>
      <c r="AA23" s="32" t="n">
        <v>60117.28776598359</v>
      </c>
      <c r="AB23" s="32" t="n">
        <v>63315.24153825131</v>
      </c>
      <c r="AC23" s="32" t="n">
        <v>66370.61918180717</v>
      </c>
      <c r="AD23" s="32" t="n">
        <v>69292.10377010265</v>
      </c>
      <c r="AE23" s="32" t="n">
        <v>72098.85373764858</v>
      </c>
      <c r="AF23" s="32" t="n">
        <v>74818.67922733365</v>
      </c>
      <c r="AG23" s="32" t="n">
        <v>77485.9608349562</v>
      </c>
      <c r="AH23" s="32" t="n">
        <v>80139.72981592524</v>
      </c>
      <c r="AI23" s="32" t="n">
        <v>82822.30761139044</v>
      </c>
      <c r="AJ23" s="32" t="n">
        <v>85578.87251020633</v>
      </c>
      <c r="AK23" s="32" t="n">
        <v>88458.34247645894</v>
      </c>
      <c r="AL23" s="32" t="n">
        <v>91516.12910959905</v>
      </c>
      <c r="AM23" s="32" t="n">
        <v>94819.81078477205</v>
      </c>
      <c r="AN23" s="32" t="n">
        <v>98460.04539582046</v>
      </c>
      <c r="AO23" s="32" t="n">
        <v>102572.4350613853</v>
      </c>
      <c r="AP23" s="32" t="n">
        <v>107386.2605264071</v>
      </c>
      <c r="AQ23" s="32" t="n">
        <v>113353.3749931432</v>
      </c>
      <c r="AR23" s="32" t="n">
        <v>121597.1730075817</v>
      </c>
      <c r="AS23" s="32" t="n">
        <v>136599.6201502256</v>
      </c>
      <c r="AT23" s="32" t="n">
        <v>5835.34614353347</v>
      </c>
      <c r="AU23" s="32" t="n">
        <v>1510445.717879471</v>
      </c>
      <c r="AV23" s="32" t="n">
        <v>4439.649657085114</v>
      </c>
      <c r="AW23" s="32" t="n">
        <v>3862.376610460181</v>
      </c>
      <c r="AX23" s="32" t="n">
        <v>3355.312336991486</v>
      </c>
      <c r="AY23" s="32" t="n">
        <v>2911.159798576894</v>
      </c>
      <c r="AZ23" s="32" t="n">
        <v>2523.051000643973</v>
      </c>
      <c r="BA23" s="32" t="n">
        <v>2184.620224120135</v>
      </c>
      <c r="BB23" s="32" t="n">
        <v>1890.03909786344</v>
      </c>
      <c r="BC23" s="32" t="n">
        <v>1634.02391337023</v>
      </c>
      <c r="BD23" s="32" t="n">
        <v>1411.823513781711</v>
      </c>
      <c r="BE23" s="32" t="n">
        <v>1219.194252029683</v>
      </c>
    </row>
    <row r="24">
      <c r="A24" s="10" t="inlineStr">
        <is>
          <t xml:space="preserve">  Admin incorporadora (3% VGV — linear)</t>
        </is>
      </c>
      <c r="B24" s="30" t="n">
        <v>2822533.095564</v>
      </c>
      <c r="C24" s="30" t="n">
        <v>162838.447821</v>
      </c>
      <c r="D24" s="31" t="n">
        <v>2008340.856459</v>
      </c>
      <c r="E24" s="30" t="n">
        <v>651353.791284</v>
      </c>
      <c r="F24" s="32" t="n">
        <v>54279.48260699999</v>
      </c>
      <c r="G24" s="32" t="n">
        <v>54279.48260699999</v>
      </c>
      <c r="H24" s="32" t="n">
        <v>54279.48260699999</v>
      </c>
      <c r="I24" s="32" t="n">
        <v>54279.48260699999</v>
      </c>
      <c r="J24" s="32" t="n">
        <v>54279.48260699999</v>
      </c>
      <c r="K24" s="32" t="n">
        <v>54279.48260699999</v>
      </c>
      <c r="L24" s="32" t="n">
        <v>54279.48260699999</v>
      </c>
      <c r="M24" s="32" t="n">
        <v>54279.48260699999</v>
      </c>
      <c r="N24" s="32" t="n">
        <v>54279.48260699999</v>
      </c>
      <c r="O24" s="32" t="n">
        <v>54279.48260699999</v>
      </c>
      <c r="P24" s="32" t="n">
        <v>54279.48260699999</v>
      </c>
      <c r="Q24" s="32" t="n">
        <v>54279.48260699999</v>
      </c>
      <c r="R24" s="32" t="n">
        <v>54279.48260699999</v>
      </c>
      <c r="S24" s="32" t="n">
        <v>54279.48260699999</v>
      </c>
      <c r="T24" s="32" t="n">
        <v>54279.48260699999</v>
      </c>
      <c r="U24" s="32" t="n">
        <v>54279.48260699999</v>
      </c>
      <c r="V24" s="32" t="n">
        <v>54279.48260699999</v>
      </c>
      <c r="W24" s="32" t="n">
        <v>54279.48260699999</v>
      </c>
      <c r="X24" s="32" t="n">
        <v>54279.48260699999</v>
      </c>
      <c r="Y24" s="32" t="n">
        <v>54279.48260699999</v>
      </c>
      <c r="Z24" s="32" t="n">
        <v>54279.48260699999</v>
      </c>
      <c r="AA24" s="32" t="n">
        <v>54279.48260699999</v>
      </c>
      <c r="AB24" s="32" t="n">
        <v>54279.48260699999</v>
      </c>
      <c r="AC24" s="32" t="n">
        <v>54279.48260699999</v>
      </c>
      <c r="AD24" s="32" t="n">
        <v>54279.48260699999</v>
      </c>
      <c r="AE24" s="32" t="n">
        <v>54279.48260699999</v>
      </c>
      <c r="AF24" s="32" t="n">
        <v>54279.48260699999</v>
      </c>
      <c r="AG24" s="32" t="n">
        <v>54279.48260699999</v>
      </c>
      <c r="AH24" s="32" t="n">
        <v>54279.48260699999</v>
      </c>
      <c r="AI24" s="32" t="n">
        <v>54279.48260699999</v>
      </c>
      <c r="AJ24" s="32" t="n">
        <v>54279.48260699999</v>
      </c>
      <c r="AK24" s="32" t="n">
        <v>54279.48260699999</v>
      </c>
      <c r="AL24" s="32" t="n">
        <v>54279.48260699999</v>
      </c>
      <c r="AM24" s="32" t="n">
        <v>54279.48260699999</v>
      </c>
      <c r="AN24" s="32" t="n">
        <v>54279.48260699999</v>
      </c>
      <c r="AO24" s="32" t="n">
        <v>54279.48260699999</v>
      </c>
      <c r="AP24" s="32" t="n">
        <v>54279.48260699999</v>
      </c>
      <c r="AQ24" s="32" t="n">
        <v>54279.48260699999</v>
      </c>
      <c r="AR24" s="32" t="n">
        <v>54279.48260699999</v>
      </c>
      <c r="AS24" s="32" t="n">
        <v>54279.48260699999</v>
      </c>
      <c r="AT24" s="32" t="n">
        <v>54279.48260699999</v>
      </c>
      <c r="AU24" s="32" t="n">
        <v>54279.48260699999</v>
      </c>
      <c r="AV24" s="32" t="n">
        <v>54279.48260699999</v>
      </c>
      <c r="AW24" s="32" t="n">
        <v>54279.48260699999</v>
      </c>
      <c r="AX24" s="32" t="n">
        <v>54279.48260699999</v>
      </c>
      <c r="AY24" s="32" t="n">
        <v>54279.48260699999</v>
      </c>
      <c r="AZ24" s="32" t="n">
        <v>54279.48260699999</v>
      </c>
      <c r="BA24" s="32" t="n">
        <v>54279.48260699999</v>
      </c>
      <c r="BB24" s="32" t="n">
        <v>54279.48260699999</v>
      </c>
      <c r="BC24" s="32" t="n">
        <v>54279.48260699999</v>
      </c>
      <c r="BD24" s="32" t="n">
        <v>54279.48260699999</v>
      </c>
      <c r="BE24" s="32" t="n">
        <v>54279.48260699999</v>
      </c>
    </row>
    <row r="25">
      <c r="A25" s="36" t="inlineStr">
        <is>
          <t>SAÍDA TOTAL MÊS</t>
        </is>
      </c>
      <c r="B25" s="30" t="n">
        <v>56397782.33403196</v>
      </c>
      <c r="C25" s="30" t="n">
        <v>219525.3702542452</v>
      </c>
      <c r="D25" s="31" t="n">
        <v>53712480.88211233</v>
      </c>
      <c r="E25" s="30" t="n">
        <v>2465776.081665386</v>
      </c>
      <c r="F25" s="37" t="n">
        <v>54279.48260699999</v>
      </c>
      <c r="G25" s="37" t="n">
        <v>54279.48260699999</v>
      </c>
      <c r="H25" s="37" t="n">
        <v>110966.4050402453</v>
      </c>
      <c r="I25" s="37" t="n">
        <v>363062.5858256505</v>
      </c>
      <c r="J25" s="37" t="n">
        <v>455025.5031119757</v>
      </c>
      <c r="K25" s="37" t="n">
        <v>548002.5582787006</v>
      </c>
      <c r="L25" s="37" t="n">
        <v>642022.409631666</v>
      </c>
      <c r="M25" s="37" t="n">
        <v>778435.6821895841</v>
      </c>
      <c r="N25" s="37" t="n">
        <v>957210.6989137011</v>
      </c>
      <c r="O25" s="37" t="n">
        <v>1136925.07262204</v>
      </c>
      <c r="P25" s="37" t="n">
        <v>1317453.89552884</v>
      </c>
      <c r="Q25" s="37" t="n">
        <v>1539963.164131477</v>
      </c>
      <c r="R25" s="37" t="n">
        <v>1762861.616743128</v>
      </c>
      <c r="S25" s="37" t="n">
        <v>1985845.262771321</v>
      </c>
      <c r="T25" s="37" t="n">
        <v>2208554.985814995</v>
      </c>
      <c r="U25" s="37" t="n">
        <v>2389240.596527904</v>
      </c>
      <c r="V25" s="37" t="n">
        <v>2568824.020075382</v>
      </c>
      <c r="W25" s="37" t="n">
        <v>2664183.764622792</v>
      </c>
      <c r="X25" s="37" t="n">
        <v>2757620.734305228</v>
      </c>
      <c r="Y25" s="37" t="n">
        <v>2807451.916637277</v>
      </c>
      <c r="Z25" s="37" t="n">
        <v>2772082.554025569</v>
      </c>
      <c r="AA25" s="37" t="n">
        <v>2692723.924269189</v>
      </c>
      <c r="AB25" s="37" t="n">
        <v>2610709.277660782</v>
      </c>
      <c r="AC25" s="37" t="n">
        <v>2443450.404313617</v>
      </c>
      <c r="AD25" s="37" t="n">
        <v>2273863.843715889</v>
      </c>
      <c r="AE25" s="37" t="n">
        <v>2060914.153037886</v>
      </c>
      <c r="AF25" s="37" t="n">
        <v>1846327.846595673</v>
      </c>
      <c r="AG25" s="37" t="n">
        <v>1630519.882877639</v>
      </c>
      <c r="AH25" s="37" t="n">
        <v>1413913.606454893</v>
      </c>
      <c r="AI25" s="37" t="n">
        <v>1238264.843616453</v>
      </c>
      <c r="AJ25" s="37" t="n">
        <v>1062599.846191716</v>
      </c>
      <c r="AK25" s="37" t="n">
        <v>887249.1077387251</v>
      </c>
      <c r="AL25" s="37" t="n">
        <v>753844.5167591453</v>
      </c>
      <c r="AM25" s="37" t="n">
        <v>662628.1426084685</v>
      </c>
      <c r="AN25" s="37" t="n">
        <v>572466.1833338743</v>
      </c>
      <c r="AO25" s="37" t="n">
        <v>483572.5416052953</v>
      </c>
      <c r="AP25" s="37" t="n">
        <v>437564.4287651519</v>
      </c>
      <c r="AQ25" s="37" t="n">
        <v>393554.2745901319</v>
      </c>
      <c r="AR25" s="37" t="n">
        <v>352650.0607281278</v>
      </c>
      <c r="AS25" s="37" t="n">
        <v>240896.9754924419</v>
      </c>
      <c r="AT25" s="37" t="n">
        <v>103879.9248270345</v>
      </c>
      <c r="AU25" s="37" t="n">
        <v>1602935.702326507</v>
      </c>
      <c r="AV25" s="37" t="n">
        <v>92016.50469222346</v>
      </c>
      <c r="AW25" s="37" t="n">
        <v>87109.68379591152</v>
      </c>
      <c r="AX25" s="37" t="n">
        <v>82799.63747142762</v>
      </c>
      <c r="AY25" s="37" t="n">
        <v>79024.34089490358</v>
      </c>
      <c r="AZ25" s="37" t="n">
        <v>75725.41611247376</v>
      </c>
      <c r="BA25" s="37" t="n">
        <v>72848.75451202114</v>
      </c>
      <c r="BB25" s="37" t="n">
        <v>70344.81493883923</v>
      </c>
      <c r="BC25" s="37" t="n">
        <v>68168.68587064695</v>
      </c>
      <c r="BD25" s="37" t="n">
        <v>66279.98247414453</v>
      </c>
      <c r="BE25" s="37" t="n">
        <v>64642.6337492523</v>
      </c>
    </row>
    <row r="27">
      <c r="A27" s="38" t="inlineStr">
        <is>
          <t xml:space="preserve">   =  SALDO   (entradas − saídas)</t>
        </is>
      </c>
    </row>
    <row r="28">
      <c r="A28" s="5" t="inlineStr">
        <is>
          <t>SALDO MENSAL   (verde=entrou / vermelho=saiu)</t>
        </is>
      </c>
      <c r="B28" s="30" t="n">
        <v>34771391.92727768</v>
      </c>
      <c r="C28" s="30" t="n">
        <v>-57800.91507704552</v>
      </c>
      <c r="D28" s="31" t="n">
        <v>-91554.70085712336</v>
      </c>
      <c r="E28" s="30" t="n">
        <v>34920747.54321185</v>
      </c>
      <c r="F28" s="32" t="n">
        <v>-54279.48260699999</v>
      </c>
      <c r="G28" s="32" t="n">
        <v>-54279.48260699999</v>
      </c>
      <c r="H28" s="32" t="n">
        <v>50758.05013695447</v>
      </c>
      <c r="I28" s="32" t="n">
        <v>-169901.4179846382</v>
      </c>
      <c r="J28" s="32" t="n">
        <v>-226294.2161505786</v>
      </c>
      <c r="K28" s="32" t="n">
        <v>-279217.7851560537</v>
      </c>
      <c r="L28" s="32" t="n">
        <v>-328379.5821691353</v>
      </c>
      <c r="M28" s="32" t="n">
        <v>-414858.5935747786</v>
      </c>
      <c r="N28" s="32" t="n">
        <v>-538425.3306044133</v>
      </c>
      <c r="O28" s="32" t="n">
        <v>-657560.1698008836</v>
      </c>
      <c r="P28" s="32" t="n">
        <v>-772169.0313955034</v>
      </c>
      <c r="Q28" s="32" t="n">
        <v>-923602.4276200995</v>
      </c>
      <c r="R28" s="32" t="n">
        <v>-1070627.627814651</v>
      </c>
      <c r="S28" s="32" t="n">
        <v>-1213484.205100638</v>
      </c>
      <c r="T28" s="32" t="n">
        <v>-1352539.245375277</v>
      </c>
      <c r="U28" s="32" t="n">
        <v>-1446932.158378061</v>
      </c>
      <c r="V28" s="32" t="n">
        <v>-1538599.923178431</v>
      </c>
      <c r="W28" s="32" t="n">
        <v>-1545505.536898004</v>
      </c>
      <c r="X28" s="32" t="n">
        <v>-1551033.413403885</v>
      </c>
      <c r="Y28" s="32" t="n">
        <v>-1514504.999500975</v>
      </c>
      <c r="Z28" s="32" t="n">
        <v>-1395174.228246735</v>
      </c>
      <c r="AA28" s="32" t="n">
        <v>-1234879.695944087</v>
      </c>
      <c r="AB28" s="32" t="n">
        <v>-1075314.670358188</v>
      </c>
      <c r="AC28" s="32" t="n">
        <v>-833962.8891547932</v>
      </c>
      <c r="AD28" s="32" t="n">
        <v>-593530.3272908996</v>
      </c>
      <c r="AE28" s="32" t="n">
        <v>-312516.9498999077</v>
      </c>
      <c r="AF28" s="32" t="n">
        <v>-31974.87533283164</v>
      </c>
      <c r="AG28" s="32" t="n">
        <v>248514.6673700495</v>
      </c>
      <c r="AH28" s="32" t="n">
        <v>529474.8415812936</v>
      </c>
      <c r="AI28" s="32" t="n">
        <v>770176.1159597652</v>
      </c>
      <c r="AJ28" s="32" t="n">
        <v>1012687.812180787</v>
      </c>
      <c r="AK28" s="32" t="n">
        <v>1257865.697315404</v>
      </c>
      <c r="AL28" s="32" t="n">
        <v>1465421.614148631</v>
      </c>
      <c r="AM28" s="32" t="n">
        <v>1636752.268922254</v>
      </c>
      <c r="AN28" s="32" t="n">
        <v>1815189.917514772</v>
      </c>
      <c r="AO28" s="32" t="n">
        <v>2003809.008633298</v>
      </c>
      <c r="AP28" s="32" t="n">
        <v>2166552.38900022</v>
      </c>
      <c r="AQ28" s="32" t="n">
        <v>2355265.068993592</v>
      </c>
      <c r="AR28" s="32" t="n">
        <v>2596081.384705728</v>
      </c>
      <c r="AS28" s="32" t="n">
        <v>3071643.81315053</v>
      </c>
      <c r="AT28" s="32" t="n">
        <v>37627.21915365216</v>
      </c>
      <c r="AU28" s="32" t="n">
        <v>35025372.95625067</v>
      </c>
      <c r="AV28" s="32" t="n">
        <v>15644.99949209056</v>
      </c>
      <c r="AW28" s="32" t="n">
        <v>6552.949007747855</v>
      </c>
      <c r="AX28" s="32" t="n">
        <v>-1433.313299384085</v>
      </c>
      <c r="AY28" s="32" t="n">
        <v>-8428.715779413906</v>
      </c>
      <c r="AZ28" s="32" t="n">
        <v>-14541.42934685742</v>
      </c>
      <c r="BA28" s="32" t="n">
        <v>-19871.71407710787</v>
      </c>
      <c r="BB28" s="32" t="n">
        <v>-24511.36681565081</v>
      </c>
      <c r="BC28" s="32" t="n">
        <v>-28543.60597141887</v>
      </c>
      <c r="BD28" s="32" t="n">
        <v>-32043.26226493804</v>
      </c>
      <c r="BE28" s="32" t="n">
        <v>-35077.17313753248</v>
      </c>
    </row>
    <row r="29">
      <c r="A29" s="20" t="inlineStr">
        <is>
          <t>SALDO ACUMULADO   (capital do projeto)</t>
        </is>
      </c>
      <c r="B29" s="30" t="n">
        <v>-19791549.48598701</v>
      </c>
      <c r="C29" s="30" t="n">
        <v>-220639.3628980455</v>
      </c>
      <c r="D29" s="31" t="n">
        <v>-403184783.7703088</v>
      </c>
      <c r="E29" s="30" t="n">
        <v>383613873.6472198</v>
      </c>
      <c r="F29" s="39" t="n">
        <v>-54279.48260699999</v>
      </c>
      <c r="G29" s="39" t="n">
        <v>-108558.965214</v>
      </c>
      <c r="H29" s="39" t="n">
        <v>-57800.91507704552</v>
      </c>
      <c r="I29" s="39" t="n">
        <v>-227702.3330616837</v>
      </c>
      <c r="J29" s="39" t="n">
        <v>-453996.5492122623</v>
      </c>
      <c r="K29" s="39" t="n">
        <v>-733214.334368316</v>
      </c>
      <c r="L29" s="39" t="n">
        <v>-1061593.916537451</v>
      </c>
      <c r="M29" s="39" t="n">
        <v>-1476452.51011223</v>
      </c>
      <c r="N29" s="39" t="n">
        <v>-2014877.840716643</v>
      </c>
      <c r="O29" s="39" t="n">
        <v>-2672438.010517527</v>
      </c>
      <c r="P29" s="39" t="n">
        <v>-3444607.04191303</v>
      </c>
      <c r="Q29" s="39" t="n">
        <v>-4368209.46953313</v>
      </c>
      <c r="R29" s="39" t="n">
        <v>-5438837.097347781</v>
      </c>
      <c r="S29" s="39" t="n">
        <v>-6652321.30244842</v>
      </c>
      <c r="T29" s="39" t="n">
        <v>-8004860.547823696</v>
      </c>
      <c r="U29" s="39" t="n">
        <v>-9451792.706201758</v>
      </c>
      <c r="V29" s="39" t="n">
        <v>-10990392.62938019</v>
      </c>
      <c r="W29" s="39" t="n">
        <v>-12535898.16627819</v>
      </c>
      <c r="X29" s="39" t="n">
        <v>-14086931.57968208</v>
      </c>
      <c r="Y29" s="39" t="n">
        <v>-15601436.57918305</v>
      </c>
      <c r="Z29" s="39" t="n">
        <v>-16996610.80742979</v>
      </c>
      <c r="AA29" s="39" t="n">
        <v>-18231490.50337388</v>
      </c>
      <c r="AB29" s="39" t="n">
        <v>-19306805.17373206</v>
      </c>
      <c r="AC29" s="39" t="n">
        <v>-20140768.06288686</v>
      </c>
      <c r="AD29" s="39" t="n">
        <v>-20734298.39017776</v>
      </c>
      <c r="AE29" s="39" t="n">
        <v>-21046815.34007766</v>
      </c>
      <c r="AF29" s="39" t="n">
        <v>-21078790.2154105</v>
      </c>
      <c r="AG29" s="39" t="n">
        <v>-20830275.54804045</v>
      </c>
      <c r="AH29" s="39" t="n">
        <v>-20300800.70645915</v>
      </c>
      <c r="AI29" s="39" t="n">
        <v>-19530624.59049939</v>
      </c>
      <c r="AJ29" s="39" t="n">
        <v>-18517936.7783186</v>
      </c>
      <c r="AK29" s="39" t="n">
        <v>-17260071.0810032</v>
      </c>
      <c r="AL29" s="39" t="n">
        <v>-15794649.46685457</v>
      </c>
      <c r="AM29" s="39" t="n">
        <v>-14157897.19793231</v>
      </c>
      <c r="AN29" s="39" t="n">
        <v>-12342707.28041754</v>
      </c>
      <c r="AO29" s="39" t="n">
        <v>-10338898.27178424</v>
      </c>
      <c r="AP29" s="39" t="n">
        <v>-8172345.882784024</v>
      </c>
      <c r="AQ29" s="39" t="n">
        <v>-5817080.813790432</v>
      </c>
      <c r="AR29" s="39" t="n">
        <v>-3220999.429084704</v>
      </c>
      <c r="AS29" s="39" t="n">
        <v>-149355.6159341745</v>
      </c>
      <c r="AT29" s="39" t="n">
        <v>-111728.3967805224</v>
      </c>
      <c r="AU29" s="39" t="n">
        <v>34913644.55947015</v>
      </c>
      <c r="AV29" s="39" t="n">
        <v>34929289.55896224</v>
      </c>
      <c r="AW29" s="39" t="n">
        <v>34935842.50796999</v>
      </c>
      <c r="AX29" s="39" t="n">
        <v>34934409.1946706</v>
      </c>
      <c r="AY29" s="39" t="n">
        <v>34925980.47889119</v>
      </c>
      <c r="AZ29" s="39" t="n">
        <v>34911439.04954433</v>
      </c>
      <c r="BA29" s="39" t="n">
        <v>34891567.33546722</v>
      </c>
      <c r="BB29" s="39" t="n">
        <v>34867055.96865157</v>
      </c>
      <c r="BC29" s="39" t="n">
        <v>34838512.36268015</v>
      </c>
      <c r="BD29" s="39" t="n">
        <v>34806469.10041521</v>
      </c>
      <c r="BE29" s="39" t="n">
        <v>34771391.92727768</v>
      </c>
    </row>
    <row r="30">
      <c r="A30" s="10" t="inlineStr">
        <is>
          <t>Fator de desconto (TMA 14%)</t>
        </is>
      </c>
      <c r="B30" s="40" t="n">
        <v>39.89298432876133</v>
      </c>
      <c r="C30" s="40" t="n">
        <v>2.967539054289688</v>
      </c>
      <c r="D30" s="41" t="n">
        <v>29.61867440210298</v>
      </c>
      <c r="E30" s="40" t="n">
        <v>7.306770872368656</v>
      </c>
      <c r="F30" s="42" t="n">
        <v>1</v>
      </c>
      <c r="G30" s="42" t="n">
        <v>0.9891403742729185</v>
      </c>
      <c r="H30" s="42" t="n">
        <v>0.9783986800167692</v>
      </c>
      <c r="I30" s="42" t="n">
        <v>0.9677736365399165</v>
      </c>
      <c r="J30" s="42" t="n">
        <v>0.9572639770585563</v>
      </c>
      <c r="K30" s="42" t="n">
        <v>0.9468684485456829</v>
      </c>
      <c r="L30" s="42" t="n">
        <v>0.9365858115816944</v>
      </c>
      <c r="M30" s="42" t="n">
        <v>0.9264148402066222</v>
      </c>
      <c r="N30" s="42" t="n">
        <v>0.9163543217739643</v>
      </c>
      <c r="O30" s="42" t="n">
        <v>0.9064030568061054</v>
      </c>
      <c r="P30" s="42" t="n">
        <v>0.8965598588513085</v>
      </c>
      <c r="Q30" s="42" t="n">
        <v>0.8868235543422583</v>
      </c>
      <c r="R30" s="42" t="n">
        <v>0.8771929824561413</v>
      </c>
      <c r="S30" s="42" t="n">
        <v>0.8676669949762452</v>
      </c>
      <c r="T30" s="42" t="n">
        <v>0.8582444561550616</v>
      </c>
      <c r="U30" s="42" t="n">
        <v>0.848924242578875</v>
      </c>
      <c r="V30" s="42" t="n">
        <v>0.8397052430338223</v>
      </c>
      <c r="W30" s="42" t="n">
        <v>0.8305863583734069</v>
      </c>
      <c r="X30" s="42" t="n">
        <v>0.8215665013874521</v>
      </c>
      <c r="Y30" s="42" t="n">
        <v>0.8126445966724767</v>
      </c>
      <c r="Z30" s="42" t="n">
        <v>0.8038195805034783</v>
      </c>
      <c r="AA30" s="42" t="n">
        <v>0.7950904007071108</v>
      </c>
      <c r="AB30" s="42" t="n">
        <v>0.7864560165362364</v>
      </c>
      <c r="AC30" s="42" t="n">
        <v>0.7779153985458415</v>
      </c>
      <c r="AD30" s="42" t="n">
        <v>0.7694675284703001</v>
      </c>
      <c r="AE30" s="42" t="n">
        <v>0.7611113991019702</v>
      </c>
      <c r="AF30" s="42" t="n">
        <v>0.7528460141711074</v>
      </c>
      <c r="AG30" s="42" t="n">
        <v>0.7446703882270841</v>
      </c>
      <c r="AH30" s="42" t="n">
        <v>0.7365835465208974</v>
      </c>
      <c r="AI30" s="42" t="n">
        <v>0.7285845248889542</v>
      </c>
      <c r="AJ30" s="42" t="n">
        <v>0.7206723696381166</v>
      </c>
      <c r="AK30" s="42" t="n">
        <v>0.7128461374319977</v>
      </c>
      <c r="AL30" s="42" t="n">
        <v>0.7051048951784905</v>
      </c>
      <c r="AM30" s="42" t="n">
        <v>0.6974477199185191</v>
      </c>
      <c r="AN30" s="42" t="n">
        <v>0.6898736987159976</v>
      </c>
      <c r="AO30" s="42" t="n">
        <v>0.6823819285489844</v>
      </c>
      <c r="AP30" s="42" t="n">
        <v>0.6749715162020183</v>
      </c>
      <c r="AQ30" s="42" t="n">
        <v>0.6676415781596237</v>
      </c>
      <c r="AR30" s="42" t="n">
        <v>0.6603912405009721</v>
      </c>
      <c r="AS30" s="42" t="n">
        <v>0.6532196387956885</v>
      </c>
      <c r="AT30" s="42" t="n">
        <v>0.6461259180007879</v>
      </c>
      <c r="AU30" s="42" t="n">
        <v>0.6391092323587324</v>
      </c>
      <c r="AV30" s="42" t="n">
        <v>0.6321687452965942</v>
      </c>
      <c r="AW30" s="42" t="n">
        <v>0.6253036293263144</v>
      </c>
      <c r="AX30" s="42" t="n">
        <v>0.6185130659460449</v>
      </c>
      <c r="AY30" s="42" t="n">
        <v>0.6117962455425612</v>
      </c>
      <c r="AZ30" s="42" t="n">
        <v>0.6051523672947352</v>
      </c>
      <c r="BA30" s="42" t="n">
        <v>0.598580639078057</v>
      </c>
      <c r="BB30" s="42" t="n">
        <v>0.5920802773701921</v>
      </c>
      <c r="BC30" s="42" t="n">
        <v>0.5856505071575652</v>
      </c>
      <c r="BD30" s="42" t="n">
        <v>0.5792905618429586</v>
      </c>
      <c r="BE30" s="42" t="n">
        <v>0.5729996831541133</v>
      </c>
    </row>
    <row r="31">
      <c r="A31" s="5" t="inlineStr">
        <is>
          <t>Saldo descontado ao mês 0</t>
        </is>
      </c>
      <c r="B31" s="30" t="n">
        <v>18864903.02881072</v>
      </c>
      <c r="C31" s="30" t="n">
        <v>-58307.90109400709</v>
      </c>
      <c r="D31" s="31" t="n">
        <v>-3403499.45120934</v>
      </c>
      <c r="E31" s="30" t="n">
        <v>22326710.38111407</v>
      </c>
      <c r="F31" s="32" t="n">
        <v>-54279.48260699999</v>
      </c>
      <c r="G31" s="32" t="n">
        <v>-53690.02774122834</v>
      </c>
      <c r="H31" s="32" t="n">
        <v>49661.60925422124</v>
      </c>
      <c r="I31" s="32" t="n">
        <v>-164426.1131362817</v>
      </c>
      <c r="J31" s="32" t="n">
        <v>-216623.3013376514</v>
      </c>
      <c r="K31" s="32" t="n">
        <v>-264382.5110370743</v>
      </c>
      <c r="L31" s="32" t="n">
        <v>-307555.6574727373</v>
      </c>
      <c r="M31" s="32" t="n">
        <v>-384331.1576749226</v>
      </c>
      <c r="N31" s="32" t="n">
        <v>-493388.3786519296</v>
      </c>
      <c r="O31" s="32" t="n">
        <v>-596014.5479414627</v>
      </c>
      <c r="P31" s="32" t="n">
        <v>-692295.7577973042</v>
      </c>
      <c r="Q31" s="32" t="n">
        <v>-819072.387661195</v>
      </c>
      <c r="R31" s="32" t="n">
        <v>-939147.0419426777</v>
      </c>
      <c r="S31" s="32" t="n">
        <v>-1052900.193690808</v>
      </c>
      <c r="T31" s="32" t="n">
        <v>-1160809.309075482</v>
      </c>
      <c r="U31" s="32" t="n">
        <v>-1228335.786614113</v>
      </c>
      <c r="V31" s="32" t="n">
        <v>-1291970.422424364</v>
      </c>
      <c r="W31" s="32" t="n">
        <v>-1283675.81573805</v>
      </c>
      <c r="X31" s="32" t="n">
        <v>-1274277.094985267</v>
      </c>
      <c r="Y31" s="32" t="n">
        <v>-1230754.304477919</v>
      </c>
      <c r="Z31" s="32" t="n">
        <v>-1121468.362878555</v>
      </c>
      <c r="AA31" s="32" t="n">
        <v>-981840.992273259</v>
      </c>
      <c r="AB31" s="32" t="n">
        <v>-845687.6921728763</v>
      </c>
      <c r="AC31" s="32" t="n">
        <v>-648752.5732892924</v>
      </c>
      <c r="AD31" s="32" t="n">
        <v>-456702.3140126968</v>
      </c>
      <c r="AE31" s="32" t="n">
        <v>-237860.2129813991</v>
      </c>
      <c r="AF31" s="32" t="n">
        <v>-24072.15744794036</v>
      </c>
      <c r="AG31" s="32" t="n">
        <v>185061.5138305794</v>
      </c>
      <c r="AH31" s="32" t="n">
        <v>390002.4566055396</v>
      </c>
      <c r="AI31" s="32" t="n">
        <v>561138.3995273656</v>
      </c>
      <c r="AJ31" s="32" t="n">
        <v>729816.125307968</v>
      </c>
      <c r="AK31" s="32" t="n">
        <v>896664.703739492</v>
      </c>
      <c r="AL31" s="32" t="n">
        <v>1033275.953636565</v>
      </c>
      <c r="AM31" s="32" t="n">
        <v>1141549.138031289</v>
      </c>
      <c r="AN31" s="32" t="n">
        <v>1252251.782267902</v>
      </c>
      <c r="AO31" s="32" t="n">
        <v>1367363.055755018</v>
      </c>
      <c r="AP31" s="32" t="n">
        <v>1462361.150934584</v>
      </c>
      <c r="AQ31" s="32" t="n">
        <v>1572472.887647117</v>
      </c>
      <c r="AR31" s="32" t="n">
        <v>1714429.406087297</v>
      </c>
      <c r="AS31" s="32" t="n">
        <v>2006458.0621352</v>
      </c>
      <c r="AT31" s="32" t="n">
        <v>24311.92151747033</v>
      </c>
      <c r="AU31" s="32" t="n">
        <v>22385039.22314767</v>
      </c>
      <c r="AV31" s="32" t="n">
        <v>9890.279699080742</v>
      </c>
      <c r="AW31" s="32" t="n">
        <v>4097.582797335005</v>
      </c>
      <c r="AX31" s="32" t="n">
        <v>-886.5230032632916</v>
      </c>
      <c r="AY31" s="32" t="n">
        <v>-5156.65666859077</v>
      </c>
      <c r="AZ31" s="32" t="n">
        <v>-8799.780393099902</v>
      </c>
      <c r="BA31" s="32" t="n">
        <v>-11894.82331185165</v>
      </c>
      <c r="BB31" s="32" t="n">
        <v>-14512.69686293305</v>
      </c>
      <c r="BC31" s="32" t="n">
        <v>-16716.57731326717</v>
      </c>
      <c r="BD31" s="32" t="n">
        <v>-18562.35940073723</v>
      </c>
      <c r="BE31" s="32" t="n">
        <v>-20099.20909374809</v>
      </c>
    </row>
    <row r="34">
      <c r="A34" s="43" t="inlineStr">
        <is>
          <t xml:space="preserve">   ★  EVENTOS IMPORTANTES DO PROJETO</t>
        </is>
      </c>
    </row>
    <row r="35">
      <c r="A35" s="21" t="inlineStr">
        <is>
          <t>Evento</t>
        </is>
      </c>
      <c r="B35" s="21" t="inlineStr">
        <is>
          <t>Mês (t)</t>
        </is>
      </c>
      <c r="C35" s="21" t="inlineStr">
        <is>
          <t>Observação</t>
        </is>
      </c>
      <c r="D35" s="44" t="n"/>
      <c r="E35" s="44" t="n"/>
      <c r="F35" s="44" t="n"/>
      <c r="G35" s="44" t="n"/>
      <c r="H35" s="44" t="n"/>
      <c r="I35" s="44" t="n"/>
      <c r="J35" s="44" t="n"/>
      <c r="K35" s="44" t="n"/>
      <c r="L35" s="44" t="n"/>
      <c r="M35" s="44" t="n"/>
      <c r="N35" s="44" t="n"/>
      <c r="O35" s="44" t="n"/>
      <c r="P35" s="44" t="n"/>
      <c r="Q35" s="44" t="n"/>
      <c r="R35" s="44" t="n"/>
      <c r="S35" s="44" t="n"/>
      <c r="T35" s="44" t="n"/>
      <c r="U35" s="44" t="n"/>
      <c r="V35" s="44" t="n"/>
      <c r="W35" s="44" t="n"/>
      <c r="X35" s="44" t="n"/>
      <c r="Y35" s="44" t="n"/>
      <c r="Z35" s="44" t="n"/>
      <c r="AA35" s="44" t="n"/>
      <c r="AB35" s="44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5" t="n"/>
    </row>
    <row r="36">
      <c r="A36" s="5" t="inlineStr">
        <is>
          <t>Mês 1 do pré-lançamento</t>
        </is>
      </c>
      <c r="B36" s="46" t="n">
        <v>-3</v>
      </c>
      <c r="C36" s="10" t="inlineStr">
        <is>
          <t>início das vendas</t>
        </is>
      </c>
    </row>
    <row r="37">
      <c r="A37" s="5" t="inlineStr">
        <is>
          <t>Início da obra</t>
        </is>
      </c>
      <c r="B37" s="46" t="n">
        <v>0</v>
      </c>
      <c r="C37" s="10" t="inlineStr">
        <is>
          <t>canteiro montado, fundação inicia</t>
        </is>
      </c>
    </row>
    <row r="38">
      <c r="A38" s="5" t="inlineStr">
        <is>
          <t>Pico de exposição de caixa</t>
        </is>
      </c>
      <c r="B38" s="46" t="n">
        <v>23</v>
      </c>
      <c r="C38" s="10" t="inlineStr">
        <is>
          <t>capital máximo exposto: R$ 21.1M</t>
        </is>
      </c>
    </row>
    <row r="39">
      <c r="A39" s="5" t="inlineStr">
        <is>
          <t>Entrega das unidades</t>
        </is>
      </c>
      <c r="B39" s="46" t="n">
        <v>36</v>
      </c>
      <c r="C39" s="10" t="inlineStr">
        <is>
          <t>habite-se, chaves, início repasse bancário</t>
        </is>
      </c>
    </row>
    <row r="40">
      <c r="A40" s="5" t="inlineStr">
        <is>
          <t>Break-even de caixa</t>
        </is>
      </c>
      <c r="B40" s="46" t="n">
        <v>38</v>
      </c>
      <c r="C40" s="10" t="inlineStr">
        <is>
          <t>saldo acumulado volta a zero — projeto pago</t>
        </is>
      </c>
    </row>
    <row r="41">
      <c r="A41" s="5" t="inlineStr">
        <is>
          <t>Fim do horizonte</t>
        </is>
      </c>
      <c r="B41" s="46" t="n">
        <v>48</v>
      </c>
      <c r="C41" s="10" t="inlineStr">
        <is>
          <t>final do pós-obra (12 meses após entrega)</t>
        </is>
      </c>
    </row>
    <row r="44">
      <c r="A44" s="43" t="inlineStr">
        <is>
          <t xml:space="preserve">   📈  SALDO ACUMULADO AO LONGO DOS MESES</t>
        </is>
      </c>
    </row>
  </sheetData>
  <mergeCells count="14">
    <mergeCell ref="C41:BE41"/>
    <mergeCell ref="C37:BE37"/>
    <mergeCell ref="C39:BE39"/>
    <mergeCell ref="C40:BE40"/>
    <mergeCell ref="A1:BE1"/>
    <mergeCell ref="C38:BE38"/>
    <mergeCell ref="C35:BE35"/>
    <mergeCell ref="A44:BE44"/>
    <mergeCell ref="A27:BE27"/>
    <mergeCell ref="A18:BE18"/>
    <mergeCell ref="A9:BE9"/>
    <mergeCell ref="A2:BE4"/>
    <mergeCell ref="A34:BE34"/>
    <mergeCell ref="C36:BE36"/>
  </mergeCells>
  <conditionalFormatting sqref="F28:BE28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29:BE29">
    <cfRule type="colorScale" priority="3">
      <colorScale>
        <cfvo type="min"/>
        <cfvo type="num" val="0"/>
        <cfvo type="max"/>
        <color rgb="00B71C1C"/>
        <color rgb="00FFFFFF"/>
        <color rgb="001B5E2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44" customWidth="1" min="4" max="4"/>
    <col width="22" customWidth="1" min="5" max="5"/>
  </cols>
  <sheetData>
    <row r="1" ht="28" customHeight="1">
      <c r="A1" s="1" t="inlineStr">
        <is>
          <t>RESULTADO — VPL, TIR, margem, validação</t>
        </is>
      </c>
    </row>
    <row r="3">
      <c r="A3" s="21" t="inlineStr">
        <is>
          <t>Indicador</t>
        </is>
      </c>
      <c r="B3" s="21" t="inlineStr">
        <is>
          <t>Valor (Python)</t>
        </is>
      </c>
      <c r="C3" s="21" t="inlineStr">
        <is>
          <t>Fórmula Excel</t>
        </is>
      </c>
      <c r="D3" s="21" t="inlineStr">
        <is>
          <t>Observação</t>
        </is>
      </c>
      <c r="E3" s="21" t="inlineStr">
        <is>
          <t>Status</t>
        </is>
      </c>
    </row>
    <row r="4">
      <c r="A4" s="5" t="inlineStr">
        <is>
          <t>VGV bruto</t>
        </is>
      </c>
      <c r="B4" s="6" t="n">
        <v>134406337.884</v>
      </c>
      <c r="C4" s="12" t="inlineStr"/>
      <c r="D4" s="13" t="inlineStr">
        <is>
          <t>área privativa × R$/m²</t>
        </is>
      </c>
      <c r="E4" s="47" t="inlineStr"/>
    </row>
    <row r="5">
      <c r="A5" s="5" t="inlineStr">
        <is>
          <t>VGV líquido permuta</t>
        </is>
      </c>
      <c r="B5" s="6" t="n">
        <v>94084436.51879998</v>
      </c>
      <c r="C5" s="12" t="inlineStr"/>
      <c r="D5" s="13" t="inlineStr">
        <is>
          <t>pós permuta 30%</t>
        </is>
      </c>
      <c r="E5" s="47" t="inlineStr"/>
    </row>
    <row r="6">
      <c r="A6" s="5" t="inlineStr">
        <is>
          <t>Custo obra (paramétrico)</t>
        </is>
      </c>
      <c r="B6" s="6" t="n">
        <v>39379139.4038</v>
      </c>
      <c r="C6" s="12" t="inlineStr"/>
      <c r="D6" s="13" t="inlineStr">
        <is>
          <t>CUSTOS_MACROGRUPO!D22</t>
        </is>
      </c>
      <c r="E6" s="47" t="inlineStr"/>
    </row>
    <row r="7">
      <c r="A7" s="5" t="inlineStr">
        <is>
          <t>Receita total (horizonte)</t>
        </is>
      </c>
      <c r="B7" s="6" t="n">
        <v>91169174.26130962</v>
      </c>
      <c r="C7" s="12" t="inlineStr"/>
      <c r="D7" s="13" t="inlineStr">
        <is>
          <t>soma do fluxo</t>
        </is>
      </c>
      <c r="E7" s="47" t="inlineStr"/>
    </row>
    <row r="8">
      <c r="A8" s="5" t="inlineStr">
        <is>
          <t>Despesa total (horizonte)</t>
        </is>
      </c>
      <c r="B8" s="6" t="n">
        <v>56397782.33403196</v>
      </c>
      <c r="C8" s="12" t="inlineStr"/>
      <c r="D8" s="13" t="inlineStr">
        <is>
          <t>custo obra + contingência + comercial + RET + admin</t>
        </is>
      </c>
      <c r="E8" s="47" t="inlineStr"/>
    </row>
    <row r="9">
      <c r="A9" s="5" t="inlineStr">
        <is>
          <t>Lucro líquido</t>
        </is>
      </c>
      <c r="B9" s="6" t="n">
        <v>34771391.92727766</v>
      </c>
      <c r="C9" s="12" t="inlineStr"/>
      <c r="D9" s="13" t="inlineStr">
        <is>
          <t>receita - despesa</t>
        </is>
      </c>
      <c r="E9" s="48" t="inlineStr">
        <is>
          <t>✓</t>
        </is>
      </c>
    </row>
    <row r="10">
      <c r="A10" s="5" t="inlineStr">
        <is>
          <t>Margem líquida</t>
        </is>
      </c>
      <c r="B10" s="7" t="n">
        <v>0.3813941741713673</v>
      </c>
      <c r="C10" s="12" t="inlineStr"/>
      <c r="D10" s="13" t="inlineStr">
        <is>
          <t>lucro / receita</t>
        </is>
      </c>
      <c r="E10" s="48" t="inlineStr">
        <is>
          <t>✓</t>
        </is>
      </c>
    </row>
    <row r="12">
      <c r="A12" s="5" t="inlineStr">
        <is>
          <t>VPL @ TMA (Python)</t>
        </is>
      </c>
      <c r="B12" s="6" t="n">
        <v>18864903.02881071</v>
      </c>
      <c r="C12" s="12" t="inlineStr"/>
      <c r="D12" s="13" t="inlineStr">
        <is>
          <t>numpy_financial.npv</t>
        </is>
      </c>
      <c r="E12" s="47" t="inlineStr"/>
    </row>
    <row r="13">
      <c r="A13" s="5" t="inlineStr">
        <is>
          <t>VPL @ TMA (Excel NPV)</t>
        </is>
      </c>
      <c r="B13" s="49" t="inlineStr">
        <is>
          <t>ver col C</t>
        </is>
      </c>
      <c r="C13" s="31">
        <f>FLUXO_CAIXA!F28+NPV(0.010978851950173452,FLUXO_CAIXA!G28:BE28)</f>
        <v/>
      </c>
      <c r="D13" s="13" t="inlineStr">
        <is>
          <t>deve bater com linha acima</t>
        </is>
      </c>
      <c r="E13" s="47" t="inlineStr"/>
    </row>
    <row r="14">
      <c r="A14" s="5" t="inlineStr">
        <is>
          <t>TIR mensal (Python)</t>
        </is>
      </c>
      <c r="B14" s="50" t="n">
        <v>0.04289779397149185</v>
      </c>
      <c r="C14" s="12" t="inlineStr"/>
      <c r="D14" s="13" t="inlineStr">
        <is>
          <t>numpy_financial.irr</t>
        </is>
      </c>
      <c r="E14" s="47" t="inlineStr"/>
    </row>
    <row r="15">
      <c r="A15" s="5" t="inlineStr">
        <is>
          <t>TIR anual</t>
        </is>
      </c>
      <c r="B15" s="7" t="n">
        <v>0.6553925090834432</v>
      </c>
      <c r="C15" s="12" t="inlineStr"/>
      <c r="D15" s="13" t="inlineStr">
        <is>
          <t>(1+TIR_m)^12 - 1</t>
        </is>
      </c>
      <c r="E15" s="48" t="inlineStr">
        <is>
          <t>✓</t>
        </is>
      </c>
    </row>
    <row r="16">
      <c r="A16" s="5" t="inlineStr">
        <is>
          <t>TIR mensal (Excel IRR)</t>
        </is>
      </c>
      <c r="B16" s="49" t="inlineStr">
        <is>
          <t>ver col C</t>
        </is>
      </c>
      <c r="C16" s="51">
        <f>IRR(FLUXO_CAIXA!F28:BE28)</f>
        <v/>
      </c>
      <c r="D16" s="13" t="inlineStr">
        <is>
          <t>deve bater com linha 3 acima</t>
        </is>
      </c>
      <c r="E16" s="47" t="inlineStr"/>
    </row>
    <row r="17">
      <c r="A17" s="5" t="inlineStr">
        <is>
          <t>Payback descontado (meses da obra)</t>
        </is>
      </c>
      <c r="B17" s="8" t="n">
        <v>38</v>
      </c>
      <c r="C17" s="12" t="inlineStr"/>
      <c r="D17" s="13" t="inlineStr">
        <is>
          <t>t em que fluxo descontado acumulado ≥ 0</t>
        </is>
      </c>
      <c r="E17" s="47" t="inlineStr"/>
    </row>
    <row r="18">
      <c r="A18" s="5" t="inlineStr">
        <is>
          <t>Exposição máxima</t>
        </is>
      </c>
      <c r="B18" s="6" t="n">
        <v>21078790.2154105</v>
      </c>
      <c r="C18" s="12" t="inlineStr"/>
      <c r="D18" s="13" t="inlineStr">
        <is>
          <t>min(fluxo acum.)</t>
        </is>
      </c>
      <c r="E18" s="47" t="inlineStr"/>
    </row>
    <row r="19">
      <c r="A19" s="5" t="inlineStr">
        <is>
          <t>ROI sobre capital</t>
        </is>
      </c>
      <c r="B19" s="7" t="n">
        <v>1.649591441061766</v>
      </c>
      <c r="C19" s="12" t="inlineStr"/>
      <c r="D19" s="13" t="inlineStr">
        <is>
          <t>lucro / exposição máxima</t>
        </is>
      </c>
      <c r="E19" s="47" t="inlineStr"/>
    </row>
    <row r="22">
      <c r="A22" s="4" t="inlineStr">
        <is>
          <t>VALIDAÇÃO — semáforo</t>
        </is>
      </c>
    </row>
    <row r="23">
      <c r="A23" s="10" t="inlineStr">
        <is>
          <t>Margem líquida &gt; 18%</t>
        </is>
      </c>
      <c r="B23" s="52" t="n">
        <v>0.3813941741713673</v>
      </c>
      <c r="C23" s="53" t="n">
        <v>0.18</v>
      </c>
      <c r="E23" s="48" t="inlineStr">
        <is>
          <t>✓</t>
        </is>
      </c>
    </row>
    <row r="24">
      <c r="A24" s="10" t="inlineStr">
        <is>
          <t>TIR anual &gt; TMA+5% (19%)</t>
        </is>
      </c>
      <c r="B24" s="52" t="n">
        <v>0.6553925090834432</v>
      </c>
      <c r="C24" s="53" t="n">
        <v>0.19</v>
      </c>
      <c r="E24" s="48" t="inlineStr">
        <is>
          <t>✓</t>
        </is>
      </c>
    </row>
    <row r="25">
      <c r="A25" s="10" t="inlineStr">
        <is>
          <t>VPL @ TMA &gt; 0</t>
        </is>
      </c>
      <c r="B25" s="54" t="n">
        <v>18864903.02881071</v>
      </c>
      <c r="C25" s="55" t="n">
        <v>0</v>
      </c>
      <c r="E25" s="48" t="inlineStr">
        <is>
          <t>✓</t>
        </is>
      </c>
    </row>
    <row r="26">
      <c r="A26" s="10" t="inlineStr">
        <is>
          <t>VGV / Custo obra &gt; 1,80</t>
        </is>
      </c>
      <c r="B26" s="56" t="n">
        <v>2.389194836231516</v>
      </c>
      <c r="C26" s="57" t="n">
        <v>1.8</v>
      </c>
      <c r="E26" s="48" t="inlineStr">
        <is>
          <t>✓</t>
        </is>
      </c>
    </row>
    <row r="27">
      <c r="A27" s="10" t="inlineStr">
        <is>
          <t>Exposição máx / VGV &lt; 25%</t>
        </is>
      </c>
      <c r="B27" s="52" t="n">
        <v>0.2240412016624931</v>
      </c>
      <c r="C27" s="53" t="n">
        <v>0.25</v>
      </c>
      <c r="E27" s="48" t="inlineStr">
        <is>
          <t>✓</t>
        </is>
      </c>
    </row>
    <row r="28">
      <c r="A28" s="10" t="inlineStr">
        <is>
          <t>P(VPL &gt; 0) Monte Carlo &gt; 85%</t>
        </is>
      </c>
      <c r="B28" s="52" t="n">
        <v>0.9987</v>
      </c>
      <c r="C28" s="53" t="n">
        <v>0.85</v>
      </c>
      <c r="E28" s="48" t="inlineStr">
        <is>
          <t>✓</t>
        </is>
      </c>
    </row>
  </sheetData>
  <mergeCells count="2">
    <mergeCell ref="A22:E2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CENÁRIOS — Pessimista / Base / Otimista</t>
        </is>
      </c>
    </row>
    <row r="3">
      <c r="A3" s="21" t="inlineStr">
        <is>
          <t>Indicador</t>
        </is>
      </c>
      <c r="B3" s="21" t="inlineStr">
        <is>
          <t>Pessimista</t>
        </is>
      </c>
      <c r="C3" s="21" t="inlineStr">
        <is>
          <t>Base</t>
        </is>
      </c>
      <c r="D3" s="21" t="inlineStr">
        <is>
          <t>Otimista</t>
        </is>
      </c>
    </row>
    <row r="4">
      <c r="A4" s="58" t="inlineStr">
        <is>
          <t>Perturbação vs base</t>
        </is>
      </c>
      <c r="B4" s="59" t="inlineStr">
        <is>
          <t>vgv×0.85  custo×1.10  t50+8</t>
        </is>
      </c>
      <c r="C4" s="60" t="inlineStr">
        <is>
          <t>vgv×1.00  custo×1.00  t50+0</t>
        </is>
      </c>
      <c r="D4" s="61" t="inlineStr">
        <is>
          <t>vgv×1.10  custo×0.95  t50-4</t>
        </is>
      </c>
    </row>
    <row r="6">
      <c r="A6" s="5" t="inlineStr">
        <is>
          <t>VGV bruto</t>
        </is>
      </c>
      <c r="B6" s="62" t="n">
        <v>114245387.2014</v>
      </c>
      <c r="C6" s="31" t="n">
        <v>134406337.884</v>
      </c>
      <c r="D6" s="6" t="n">
        <v>147846971.6724</v>
      </c>
    </row>
    <row r="7">
      <c r="A7" s="5" t="inlineStr">
        <is>
          <t>VGV líquido</t>
        </is>
      </c>
      <c r="B7" s="62" t="n">
        <v>79971771.04097998</v>
      </c>
      <c r="C7" s="31" t="n">
        <v>94084436.51879998</v>
      </c>
      <c r="D7" s="6" t="n">
        <v>103492880.17068</v>
      </c>
    </row>
    <row r="8">
      <c r="A8" s="5" t="inlineStr">
        <is>
          <t>Custo obra</t>
        </is>
      </c>
      <c r="B8" s="62" t="n">
        <v>43317053.34418</v>
      </c>
      <c r="C8" s="31" t="n">
        <v>39379139.4038</v>
      </c>
      <c r="D8" s="6" t="n">
        <v>37410182.43360999</v>
      </c>
    </row>
    <row r="9">
      <c r="A9" s="5" t="inlineStr">
        <is>
          <t>Receita total</t>
        </is>
      </c>
      <c r="B9" s="62" t="n">
        <v>73753437.85488299</v>
      </c>
      <c r="C9" s="31" t="n">
        <v>91169174.26130962</v>
      </c>
      <c r="D9" s="6" t="n">
        <v>101587353.0834436</v>
      </c>
    </row>
    <row r="10">
      <c r="A10" s="5" t="inlineStr">
        <is>
          <t>Despesa total</t>
        </is>
      </c>
      <c r="B10" s="62" t="n">
        <v>58120897.41692032</v>
      </c>
      <c r="C10" s="31" t="n">
        <v>56397782.33403196</v>
      </c>
      <c r="D10" s="6" t="n">
        <v>55889006.37508935</v>
      </c>
    </row>
    <row r="11">
      <c r="A11" s="5" t="inlineStr">
        <is>
          <t>Lucro líquido</t>
        </is>
      </c>
      <c r="B11" s="62" t="n">
        <v>15632540.43796267</v>
      </c>
      <c r="C11" s="31" t="n">
        <v>34771391.92727766</v>
      </c>
      <c r="D11" s="6" t="n">
        <v>45698346.7083542</v>
      </c>
    </row>
    <row r="12">
      <c r="A12" s="5" t="inlineStr">
        <is>
          <t>Margem líquida</t>
        </is>
      </c>
      <c r="B12" s="63" t="n">
        <v>0.2119567696453852</v>
      </c>
      <c r="C12" s="28" t="n">
        <v>0.3813941741713673</v>
      </c>
      <c r="D12" s="7" t="n">
        <v>0.4498428723781957</v>
      </c>
    </row>
    <row r="13">
      <c r="A13" s="5" t="inlineStr">
        <is>
          <t>VPL @ TMA</t>
        </is>
      </c>
      <c r="B13" s="62" t="n">
        <v>3986485.537243125</v>
      </c>
      <c r="C13" s="31" t="n">
        <v>18864903.02881071</v>
      </c>
      <c r="D13" s="6" t="n">
        <v>27448178.61178178</v>
      </c>
    </row>
    <row r="14">
      <c r="A14" s="5" t="inlineStr">
        <is>
          <t>TIR anual</t>
        </is>
      </c>
      <c r="B14" s="63" t="n">
        <v>0.2214810654177717</v>
      </c>
      <c r="C14" s="28" t="n">
        <v>0.6553925090834432</v>
      </c>
      <c r="D14" s="7" t="n">
        <v>1.150948785054133</v>
      </c>
    </row>
    <row r="15">
      <c r="A15" s="5" t="inlineStr">
        <is>
          <t>Exposição máxima</t>
        </is>
      </c>
      <c r="B15" s="62" t="n">
        <v>34022266.85637946</v>
      </c>
      <c r="C15" s="31" t="n">
        <v>21078790.2154105</v>
      </c>
      <c r="D15" s="6" t="n">
        <v>13863149.14570057</v>
      </c>
    </row>
    <row r="16">
      <c r="A16" s="5" t="inlineStr">
        <is>
          <t>Payback (meses)</t>
        </is>
      </c>
      <c r="B16" s="64" t="n">
        <v>38</v>
      </c>
      <c r="C16" s="65" t="n">
        <v>38</v>
      </c>
      <c r="D16" s="8" t="n">
        <v>-1</v>
      </c>
    </row>
    <row r="17">
      <c r="A17" s="5" t="inlineStr">
        <is>
          <t>ROI / capital</t>
        </is>
      </c>
      <c r="B17" s="63" t="n">
        <v>0.4594796844064915</v>
      </c>
      <c r="C17" s="28" t="n">
        <v>1.649591441061766</v>
      </c>
      <c r="D17" s="7" t="n">
        <v>3.296390035775298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8" customHeight="1">
      <c r="A1" s="1" t="inlineStr">
        <is>
          <t>TORNADO — Sensibilidade sobre VPL (±20% por variável)</t>
        </is>
      </c>
    </row>
    <row r="3">
      <c r="A3" s="21" t="inlineStr">
        <is>
          <t>Variável</t>
        </is>
      </c>
      <c r="B3" s="21" t="inlineStr">
        <is>
          <t>VPL (-20%)</t>
        </is>
      </c>
      <c r="C3" s="21" t="inlineStr">
        <is>
          <t>VPL base</t>
        </is>
      </c>
      <c r="D3" s="21" t="inlineStr">
        <is>
          <t>VPL (+20%)</t>
        </is>
      </c>
      <c r="E3" s="21" t="inlineStr">
        <is>
          <t>Δ VPL (high-low)</t>
        </is>
      </c>
    </row>
    <row r="4">
      <c r="A4" s="66" t="inlineStr">
        <is>
          <t>VGV R$/m²</t>
        </is>
      </c>
      <c r="B4" s="32" t="n">
        <v>8361549.654649772</v>
      </c>
      <c r="C4" s="32" t="n">
        <v>18864903.02881071</v>
      </c>
      <c r="D4" s="32" t="n">
        <v>29368256.40297168</v>
      </c>
      <c r="E4" s="32" t="n">
        <v>21006706.74832191</v>
      </c>
    </row>
    <row r="5">
      <c r="A5" s="66" t="inlineStr">
        <is>
          <t>Custo obra</t>
        </is>
      </c>
      <c r="B5" s="32" t="n">
        <v>25595275.79720952</v>
      </c>
      <c r="C5" s="32" t="n">
        <v>18864903.02881071</v>
      </c>
      <c r="D5" s="32" t="n">
        <v>12134530.2604119</v>
      </c>
      <c r="E5" s="32" t="n">
        <v>-13460745.53679762</v>
      </c>
    </row>
    <row r="6">
      <c r="A6" s="66" t="inlineStr">
        <is>
          <t>Entrada %</t>
        </is>
      </c>
      <c r="B6" s="32" t="n">
        <v>16085133.29114852</v>
      </c>
      <c r="C6" s="32" t="n">
        <v>18864903.02881071</v>
      </c>
      <c r="D6" s="32" t="n">
        <v>21644672.76647291</v>
      </c>
      <c r="E6" s="32" t="n">
        <v>5559539.47532439</v>
      </c>
    </row>
    <row r="7">
      <c r="A7" s="66" t="inlineStr">
        <is>
          <t>TMA</t>
        </is>
      </c>
      <c r="B7" s="32" t="n">
        <v>21331901.03418105</v>
      </c>
      <c r="C7" s="32" t="n">
        <v>18864903.02881071</v>
      </c>
      <c r="D7" s="32" t="n">
        <v>16665698.94675298</v>
      </c>
      <c r="E7" s="32" t="n">
        <v>-4666202.087428067</v>
      </c>
    </row>
    <row r="8">
      <c r="A8" s="66" t="inlineStr">
        <is>
          <t>t50 vendas</t>
        </is>
      </c>
      <c r="B8" s="32" t="n">
        <v>20159953.32604117</v>
      </c>
      <c r="C8" s="32" t="n">
        <v>18864903.02881071</v>
      </c>
      <c r="D8" s="32" t="n">
        <v>17290176.42565265</v>
      </c>
      <c r="E8" s="32" t="n">
        <v>-2869776.900388524</v>
      </c>
    </row>
    <row r="9">
      <c r="A9" s="66" t="inlineStr">
        <is>
          <t>Corretagem</t>
        </is>
      </c>
      <c r="B9" s="32" t="n">
        <v>19761602.94418561</v>
      </c>
      <c r="C9" s="32" t="n">
        <v>18864903.02881071</v>
      </c>
      <c r="D9" s="32" t="n">
        <v>17968203.11343581</v>
      </c>
      <c r="E9" s="32" t="n">
        <v>-1793399.830749806</v>
      </c>
    </row>
    <row r="10">
      <c r="A10" s="66" t="inlineStr">
        <is>
          <t>RET 4%</t>
        </is>
      </c>
      <c r="B10" s="32" t="n">
        <v>19393390.2179573</v>
      </c>
      <c r="C10" s="32" t="n">
        <v>18864903.02881071</v>
      </c>
      <c r="D10" s="32" t="n">
        <v>18336415.83966413</v>
      </c>
      <c r="E10" s="32" t="n">
        <v>-1056974.378293175</v>
      </c>
    </row>
    <row r="11">
      <c r="A11" s="66" t="inlineStr">
        <is>
          <t>CUB/SC</t>
        </is>
      </c>
      <c r="B11" s="32" t="n">
        <v>18592373.15555139</v>
      </c>
      <c r="C11" s="32" t="n">
        <v>18864903.02881071</v>
      </c>
      <c r="D11" s="32" t="n">
        <v>19138448.07883619</v>
      </c>
      <c r="E11" s="32" t="n">
        <v>546074.9232848063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</cols>
  <sheetData>
    <row r="1" ht="28" customHeight="1">
      <c r="A1" s="1" t="inlineStr">
        <is>
          <t>MONTE CARLO — 10.000 iterações</t>
        </is>
      </c>
    </row>
    <row r="2" ht="40" customHeight="1">
      <c r="A2" s="67" t="inlineStr">
        <is>
          <t>ÂNCORA: a simulação usa o ORÇAMENTO PARAMÉTRICO ENTREGUE como custo base (R$ 39.38 milhões — v00-final). custo_obra_fator = 1,00 representa executar exatamente o orçamento entregue. As variações (±10%) simulam desvios realistas de execução (aditivos, concorrência, replanejamento).</t>
        </is>
      </c>
    </row>
    <row r="4">
      <c r="A4" s="21" t="inlineStr">
        <is>
          <t>Estatística</t>
        </is>
      </c>
      <c r="B4" s="21" t="inlineStr">
        <is>
          <t>VPL (R$)</t>
        </is>
      </c>
      <c r="C4" s="21" t="inlineStr">
        <is>
          <t>TIR a.a.</t>
        </is>
      </c>
      <c r="D4" s="21" t="inlineStr">
        <is>
          <t>Margem</t>
        </is>
      </c>
    </row>
    <row r="5">
      <c r="A5" s="5" t="inlineStr">
        <is>
          <t>Mediana</t>
        </is>
      </c>
      <c r="B5" s="6" t="n">
        <v>19502493.86841707</v>
      </c>
      <c r="C5" s="7" t="n">
        <v>0.6386958358810947</v>
      </c>
      <c r="D5" s="7" t="n">
        <v>0.3845631837060892</v>
      </c>
    </row>
    <row r="6">
      <c r="A6" s="5" t="inlineStr">
        <is>
          <t>Média</t>
        </is>
      </c>
      <c r="B6" s="6" t="n">
        <v>20005298.13609606</v>
      </c>
    </row>
    <row r="7">
      <c r="A7" s="5" t="inlineStr">
        <is>
          <t>P10</t>
        </is>
      </c>
      <c r="B7" s="6" t="n">
        <v>8930057.598152699</v>
      </c>
      <c r="C7" s="7" t="n">
        <v>0.3490514355620074</v>
      </c>
    </row>
    <row r="8">
      <c r="A8" s="5" t="inlineStr">
        <is>
          <t>P50</t>
        </is>
      </c>
      <c r="B8" s="6" t="n">
        <v>19502493.86841707</v>
      </c>
      <c r="C8" s="7" t="n">
        <v>0.6386958358810947</v>
      </c>
    </row>
    <row r="9">
      <c r="A9" s="5" t="inlineStr">
        <is>
          <t>P90</t>
        </is>
      </c>
      <c r="B9" s="6" t="n">
        <v>31707079.07959078</v>
      </c>
      <c r="C9" s="7" t="n">
        <v>1.106039895852982</v>
      </c>
    </row>
    <row r="10">
      <c r="A10" s="5" t="inlineStr">
        <is>
          <t>Desvio padrão</t>
        </is>
      </c>
      <c r="B10" s="6" t="n">
        <v>8547618.641226724</v>
      </c>
    </row>
    <row r="12">
      <c r="A12" s="5" t="inlineStr">
        <is>
          <t>P(VPL &gt; 0)</t>
        </is>
      </c>
      <c r="B12" s="7" t="n">
        <v>0.9987</v>
      </c>
    </row>
    <row r="13">
      <c r="A13" s="5" t="inlineStr">
        <is>
          <t>P(TIR &gt; TMA)</t>
        </is>
      </c>
      <c r="B13" s="7" t="n">
        <v>0.9987</v>
      </c>
    </row>
    <row r="14">
      <c r="A14" s="5" t="inlineStr">
        <is>
          <t>P(Margem &gt; 15%)</t>
        </is>
      </c>
      <c r="B14" s="7" t="n">
        <v>0.9986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2026-04-20T17:58:05Z</dcterms:created>
  <dcterms:modified xmlns:dcterms="http://purl.org/dc/terms/" xmlns:xsi="http://www.w3.org/2001/XMLSchema-instance" xsi:type="dcterms:W3CDTF">2026-04-20T17:58:05Z</dcterms:modified>
</cp:coreProperties>
</file>