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" sheetId="1" state="visible" r:id="rId1"/>
    <sheet xmlns:r="http://schemas.openxmlformats.org/officeDocument/2006/relationships" name="COMO_L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DETALHE_CUSTO" sheetId="4" state="visible" r:id="rId4"/>
    <sheet xmlns:r="http://schemas.openxmlformats.org/officeDocument/2006/relationships" name="FLUXO_CAIXA" sheetId="5" state="visible" r:id="rId5"/>
    <sheet xmlns:r="http://schemas.openxmlformats.org/officeDocument/2006/relationships" name="RESULTADO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ORNADO" sheetId="8" state="visible" r:id="rId8"/>
    <sheet xmlns:r="http://schemas.openxmlformats.org/officeDocument/2006/relationships" name="MONTE_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"/>
    <numFmt numFmtId="165" formatCode="0.0%"/>
    <numFmt numFmtId="166" formatCode="&quot;R$&quot; #,##0.00"/>
    <numFmt numFmtId="167" formatCode="#,##0;;;"/>
    <numFmt numFmtId="168" formatCode="0.0%;;;"/>
    <numFmt numFmtId="169" formatCode="0%;;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13"/>
    </font>
    <font>
      <name val="Arial"/>
      <color rgb="00666666"/>
      <sz val="8"/>
    </font>
    <font>
      <name val="Arial"/>
      <b val="1"/>
      <color rgb="00FFFFFF"/>
      <sz val="22"/>
    </font>
    <font>
      <name val="Arial"/>
      <i val="1"/>
      <color rgb="002C3E50"/>
      <sz val="11"/>
    </font>
    <font>
      <name val="Arial"/>
      <b val="1"/>
      <color rgb="00FFFFFF"/>
      <sz val="10"/>
    </font>
    <font>
      <name val="Arial"/>
      <b val="1"/>
      <color rgb="002C3E50"/>
      <sz val="2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C3E50"/>
      <sz val="11"/>
    </font>
    <font>
      <name val="Arial"/>
      <b val="1"/>
      <sz val="9"/>
    </font>
    <font>
      <name val="Arial"/>
      <b val="1"/>
      <color rgb="00FFFFFF"/>
      <sz val="14"/>
    </font>
    <font>
      <name val="Arial"/>
      <sz val="9"/>
    </font>
    <font>
      <name val="Arial"/>
      <b val="1"/>
      <color rgb="00C25700"/>
      <sz val="9"/>
    </font>
    <font>
      <name val="Arial"/>
      <b val="1"/>
      <color rgb="00FFFFFF"/>
      <sz val="8"/>
    </font>
    <font>
      <name val="Arial"/>
      <sz val="7"/>
    </font>
    <font>
      <name val="Arial"/>
      <b val="1"/>
      <color rgb="00FFFFFF"/>
      <sz val="7"/>
    </font>
    <font>
      <name val="Arial"/>
      <b val="1"/>
      <sz val="7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165" fontId="7" fillId="5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14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right" vertical="center"/>
    </xf>
    <xf numFmtId="3" fontId="14" fillId="9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167" fontId="17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8" fontId="1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7" fontId="18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9" fontId="18" fillId="0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 wrapText="1"/>
    </xf>
    <xf numFmtId="164" fontId="13" fillId="13" borderId="1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164" fontId="13" fillId="1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4" fontId="11" fillId="3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11" fillId="3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11" fillId="16" borderId="1" applyAlignment="1" pivotButton="0" quotePrefix="0" xfId="0">
      <alignment horizontal="right" vertical="center"/>
    </xf>
    <xf numFmtId="165" fontId="11" fillId="16" borderId="1" applyAlignment="1" pivotButton="0" quotePrefix="0" xfId="0">
      <alignment horizontal="right" vertical="center"/>
    </xf>
    <xf numFmtId="3" fontId="11" fillId="16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11" fillId="0" borderId="1" pivotButton="0" quotePrefix="0" xfId="0"/>
    <xf numFmtId="0" fontId="2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90CAF9"/>
          <bgColor rgb="001976D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90</row>
      <rowOff>0</rowOff>
    </from>
    <ext cx="6858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2865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7429500" cy="438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/>
    <row r="2" ht="36" customHeight="1">
      <c r="B2" s="1" t="inlineStr">
        <is>
          <t>ESTUDO DE VIABILIDADE FINANCEIRA</t>
        </is>
      </c>
    </row>
    <row r="3" ht="24" customHeight="1">
      <c r="B3" s="2" t="inlineStr">
        <is>
          <t>Arthen Arboris — Perequê, Itapema/SC</t>
        </is>
      </c>
    </row>
    <row r="4">
      <c r="B4" s="3" t="inlineStr">
        <is>
          <t>Cliente: Arthen Engenharia e Construções    |    Elaborado por: Cartesian Engenharia    |    2026-04-20</t>
        </is>
      </c>
    </row>
    <row r="6" ht="54" customHeight="1">
      <c r="B6" s="4" t="inlineStr">
        <is>
          <t>PROJETO VIÁVEL</t>
        </is>
      </c>
    </row>
    <row r="7" ht="32" customHeight="1">
      <c r="B7" s="5" t="inlineStr">
        <is>
          <t>Indicadores positivos em todos os cenários analisados, inclusive no pessimista.</t>
        </is>
      </c>
    </row>
    <row r="9" ht="22" customHeight="1">
      <c r="B9" s="6" t="inlineStr">
        <is>
          <t>CAPITAL MÁXIMO EXPOSTO</t>
        </is>
      </c>
      <c r="E9" s="6" t="inlineStr">
        <is>
          <t>LUCRO ESPERADO (BASE)</t>
        </is>
      </c>
    </row>
    <row r="10" ht="38" customHeight="1">
      <c r="B10" s="7" t="n">
        <v>21078790.2154105</v>
      </c>
      <c r="E10" s="8" t="n">
        <v>34771391.92727766</v>
      </c>
    </row>
    <row r="11" ht="32" customHeight="1">
      <c r="B11" s="9" t="inlineStr">
        <is>
          <t>Quanto a Arthen precisa ter em caixa (ou via SFH) no mês mais apertado, antes das vendas cobrirem os custos</t>
        </is>
      </c>
      <c r="E11" s="9" t="inlineStr">
        <is>
          <t>Receita total menos todas as despesas ao longo dos 51 meses do projeto</t>
        </is>
      </c>
    </row>
    <row r="13" ht="22" customHeight="1">
      <c r="B13" s="6" t="inlineStr">
        <is>
          <t>MARGEM LÍQUIDA</t>
        </is>
      </c>
      <c r="E13" s="6" t="inlineStr">
        <is>
          <t>CHANCE DE VPL POSITIVO</t>
        </is>
      </c>
    </row>
    <row r="14" ht="38" customHeight="1">
      <c r="B14" s="10" t="n">
        <v>0.3813941741713673</v>
      </c>
      <c r="E14" s="10" t="n">
        <v>0.9987</v>
      </c>
    </row>
    <row r="15" ht="32" customHeight="1">
      <c r="B15" s="9" t="inlineStr">
        <is>
          <t>Lucro ÷ Receita. Referência de mercado SC: 15–25%. Acima disso = margem acima da média</t>
        </is>
      </c>
      <c r="E15" s="9" t="inlineStr">
        <is>
          <t>Monte Carlo: em 10.000 versões com variações realistas de preço/custo/velocidade. quantas deram lucro acima do custo de capital</t>
        </is>
      </c>
    </row>
    <row r="17" ht="22" customHeight="1">
      <c r="B17" s="6" t="inlineStr">
        <is>
          <t>VPL @ TMA 14%</t>
        </is>
      </c>
      <c r="E17" s="6" t="inlineStr">
        <is>
          <t>TIR ANUAL</t>
        </is>
      </c>
    </row>
    <row r="18" ht="38" customHeight="1">
      <c r="B18" s="8" t="n">
        <v>18864903.02881071</v>
      </c>
      <c r="E18" s="11" t="n">
        <v>0.6553925090834432</v>
      </c>
    </row>
    <row r="19" ht="32" customHeight="1">
      <c r="B19" s="9" t="inlineStr">
        <is>
          <t>Valor criado acima do mínimo exigido pelo custo de capital. Se &gt; 0, o projeto remunera mais que o benchmark</t>
        </is>
      </c>
      <c r="E19" s="9" t="inlineStr">
        <is>
          <t>⚠ Inflada pela estrutura (permuta física + pré-lançamento). Prefira ler o VPL como indicador principal de viabilidade</t>
        </is>
      </c>
    </row>
    <row r="22">
      <c r="B22" s="12" t="inlineStr">
        <is>
          <t>O QUE É O PROJETO</t>
        </is>
      </c>
    </row>
    <row r="23" ht="18" customHeight="1">
      <c r="B23" s="13" t="inlineStr">
        <is>
          <t>O Arboris é um empreendimento residencial + comercial da Arthen com 98 unidades (90 residenciais de 3-4 dormitórios + 8 comerciais), distribuídas em 12,473 m² de área construída, localizado no bairro Perequê em Itapema/SC — região que liderou velocidade de vendas imobiliárias no Brasil em 2025.
O custo de obra é de R$ 39.4 milhões (R$ 3,157/m²), calculado via paramétrico V2 Híbrido da Cartesian — metodologia calibrada contra base histórica de 126 projetos similares. O terreno será adquirido por permuta física de 30% das unidades, eliminando desembolso monetário com o landowner.
O modelo financeiro cobre 51 meses: 3 de pré-lançamento, 36 de obra, e 12 de cauda de recebimento. O preço médio de venda estimado é R$ 15,394/m² privativo (mediana Perequê abr/2026, range R$ 10k–25k). Estrutura padrão de mercado: 20% entrada + 40% parcelado durante obra corrigido pelo CUB/SC + 40% repasse bancário na entrega.</t>
        </is>
      </c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>
      <c r="B32" s="12" t="inlineStr">
        <is>
          <t>PRINCIPAIS DESCOBERTAS</t>
        </is>
      </c>
    </row>
    <row r="33" ht="32" customHeight="1">
      <c r="B33" s="14" t="inlineStr">
        <is>
          <t>✓  VPL positivo de R$ 18.9 milhões descontado a 14% a.a. — o projeto gera valor real acima do custo de capital da incorporadora.</t>
        </is>
      </c>
    </row>
    <row r="34" ht="32" customHeight="1">
      <c r="B34" s="14" t="inlineStr">
        <is>
          <t>✓  Margem líquida de 38.1% — acima do benchmark de mercado SC (15–25%), indicando eficiência operacional do projeto.</t>
        </is>
      </c>
    </row>
    <row r="35" ht="32" customHeight="1">
      <c r="B35" s="14" t="inlineStr">
        <is>
          <t>✓  Simulação Monte Carlo de 10.000 cenários mostra 99.9% de probabilidade de VPL positivo. com mediana de R$ 19.5M e P10 (pior 10%) de R$ 8.9M — projeto robusto a variações realistas.</t>
        </is>
      </c>
    </row>
    <row r="36" ht="38" customHeight="1">
      <c r="B36" s="15" t="inlineStr">
        <is>
          <t>⚠  Exposição máxima de caixa: R$ 21.1 milhões. A Arthen precisa ter esse capital disponível (próprio ou via SFH) nos meses mais apertados do cronograma.</t>
        </is>
      </c>
    </row>
    <row r="37" ht="38" customHeight="1">
      <c r="B37" s="15" t="inlineStr">
        <is>
          <t>⚠  No cenário pessimista (preço -15%. custo +10%. vendas 8 meses mais lentas). o VPL vira NEGATIVO em R$ 3.986 mil. O projeto é viável mas sensível a combinações adversas simultâneas — não é invulnerável.</t>
        </is>
      </c>
    </row>
    <row r="38" ht="38" customHeight="1">
      <c r="B38" s="15" t="inlineStr">
        <is>
          <t>⚠  Fator de maior risco: VGV R$/m². Variação de ±20% move o VPL em R$ 21M. Validar o preço de R$ 15,394/m² com corretores locais é a diligência mais importante.</t>
        </is>
      </c>
    </row>
    <row r="40">
      <c r="B40" s="12" t="inlineStr">
        <is>
          <t>RECOMENDAÇÃO</t>
        </is>
      </c>
    </row>
    <row r="41" ht="18" customHeight="1">
      <c r="B41" s="16" t="inlineStr">
        <is>
          <t>Com base nos indicadores apurados, o Arboris é um projeto VIÁVEL e RECOMENDADO para avanço. O VPL de R$ 18.9M e a margem líquida de 38.1% posicionam o projeto acima da média do segmento em SC. A probabilidade de 100% de retorno positivo (Monte Carlo 10.000 iterações) confere robustez estatística ao investimento.
Recomendamos três diligências antes do lançamento:
(1) Validar o preço de venda de R$ 15,394/m² com corretores locais de Perequê e comparáveis recém-lançados — é o fator de maior impacto sobre o resultado;
(2) Confirmar capacidade financeira da Arthen para suportar a exposição máxima de R$ 21.1M (próprio ou via financiamento à produção SFH);
(3) Revisar a velocidade de vendas assumida (50% vendido no mês 14 da obra) contra o histórico da Arthen em projetos similares — Perequê é mercado aquecido, mas a curva real precisa calibrar contra dados da incorporadora.</t>
        </is>
      </c>
    </row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3">
      <c r="B53" s="17" t="inlineStr">
        <is>
          <t>COMO NAVEGAR ESTE ESTUDO:</t>
        </is>
      </c>
    </row>
    <row r="54">
      <c r="B54" s="18" t="inlineStr">
        <is>
          <t>▸ COMO_LER</t>
        </is>
      </c>
      <c r="C54" s="19" t="inlineStr">
        <is>
          <t>Glossário com explicação em linguagem simples de todos os termos técnicos (VPL, TIR, Monte Carlo, RET, etc.)</t>
        </is>
      </c>
    </row>
    <row r="55">
      <c r="B55" s="18" t="inlineStr">
        <is>
          <t>▸ PREMISSAS</t>
        </is>
      </c>
      <c r="C55" s="19" t="inlineStr">
        <is>
          <t>Todas as premissas do modelo — se algum valor estiver incorreto, editá-lo aqui e regerar</t>
        </is>
      </c>
    </row>
    <row r="56">
      <c r="B56" s="18" t="inlineStr">
        <is>
          <t>▸ DETALHE_CUSTO</t>
        </is>
      </c>
      <c r="C56" s="19" t="inlineStr">
        <is>
          <t>Detalhamento do custo de obra: metodologia paramétrica, 18 macrogrupos, janela temporal, Gantt, curva S, stacked</t>
        </is>
      </c>
    </row>
    <row r="57">
      <c r="B57" s="18" t="inlineStr">
        <is>
          <t>▸ FLUXO_CAIXA</t>
        </is>
      </c>
      <c r="C57" s="19" t="inlineStr">
        <is>
          <t>Projeção mensal detalhada de receitas e despesas ao longo dos 51 meses do projeto</t>
        </is>
      </c>
    </row>
    <row r="58">
      <c r="B58" s="18" t="inlineStr">
        <is>
          <t>▸ RESULTADO</t>
        </is>
      </c>
      <c r="C58" s="19" t="inlineStr">
        <is>
          <t>Cálculo detalhado do VPL e TIR, com fórmula Excel paralela para auditoria</t>
        </is>
      </c>
    </row>
    <row r="59">
      <c r="B59" s="18" t="inlineStr">
        <is>
          <t>▸ CENARIOS</t>
        </is>
      </c>
      <c r="C59" s="19" t="inlineStr">
        <is>
          <t>Comparativo pessimista / base / otimista dos principais indicadores</t>
        </is>
      </c>
    </row>
    <row r="60">
      <c r="B60" s="18" t="inlineStr">
        <is>
          <t>▸ TORNADO</t>
        </is>
      </c>
      <c r="C60" s="19" t="inlineStr">
        <is>
          <t>Análise de sensibilidade — qual variável mais afeta o resultado</t>
        </is>
      </c>
    </row>
    <row r="61">
      <c r="B61" s="18" t="inlineStr">
        <is>
          <t>▸ MONTE_CARLO</t>
        </is>
      </c>
      <c r="C61" s="19" t="inlineStr">
        <is>
          <t>Simulação estatística com 10.000 iterações e histogramas de distribuição</t>
        </is>
      </c>
    </row>
  </sheetData>
  <mergeCells count="43">
    <mergeCell ref="B2:G2"/>
    <mergeCell ref="B11:D11"/>
    <mergeCell ref="E10:G10"/>
    <mergeCell ref="B14:D14"/>
    <mergeCell ref="E13:G13"/>
    <mergeCell ref="E19:G19"/>
    <mergeCell ref="C58:G58"/>
    <mergeCell ref="B17:D17"/>
    <mergeCell ref="B13:D13"/>
    <mergeCell ref="E9:G9"/>
    <mergeCell ref="B53:G53"/>
    <mergeCell ref="E15:G15"/>
    <mergeCell ref="B10:D10"/>
    <mergeCell ref="B38:G38"/>
    <mergeCell ref="B34:G34"/>
    <mergeCell ref="B19:D19"/>
    <mergeCell ref="E11:G11"/>
    <mergeCell ref="B37:G37"/>
    <mergeCell ref="C54:G54"/>
    <mergeCell ref="B9:D9"/>
    <mergeCell ref="B40:G40"/>
    <mergeCell ref="C55:G55"/>
    <mergeCell ref="B15:D15"/>
    <mergeCell ref="B33:G33"/>
    <mergeCell ref="B6:G6"/>
    <mergeCell ref="C56:G56"/>
    <mergeCell ref="C59:G59"/>
    <mergeCell ref="B36:G36"/>
    <mergeCell ref="B41:G50"/>
    <mergeCell ref="C60:G60"/>
    <mergeCell ref="B32:G32"/>
    <mergeCell ref="B4:G4"/>
    <mergeCell ref="E18:G18"/>
    <mergeCell ref="B35:G35"/>
    <mergeCell ref="C61:G61"/>
    <mergeCell ref="B7:G7"/>
    <mergeCell ref="B3:G3"/>
    <mergeCell ref="E14:G14"/>
    <mergeCell ref="B22:G22"/>
    <mergeCell ref="B18:D18"/>
    <mergeCell ref="E17:G17"/>
    <mergeCell ref="B23:G30"/>
    <mergeCell ref="C57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 ht="36" customHeight="1">
      <c r="B2" s="1" t="inlineStr">
        <is>
          <t>COMO LER ESTE ESTUDO</t>
        </is>
      </c>
    </row>
    <row r="3" ht="24" customHeight="1">
      <c r="B3" s="5" t="inlineStr">
        <is>
          <t>Glossário de termos técnicos — explicação em linguagem simples</t>
        </is>
      </c>
    </row>
    <row r="5" ht="150" customHeight="1">
      <c r="B5" s="20" t="inlineStr">
        <is>
          <t>VPL — Valor Presente Líquido</t>
        </is>
      </c>
      <c r="C5" s="21" t="inlineStr">
        <is>
          <t>Soma de TODOS os fluxos de caixa futuros do projeto, trazidos a valor presente pela taxa mínima de atratividade (TMA). É o indicador mais importante deste estudo.
Interpretação simples: se o VPL &gt; 0, o projeto gera MAIS valor do que aplicar o mesmo dinheiro no benchmark de mercado (Selic + spread). Se VPL &lt; 0, o projeto destrói valor — seria melhor investir em outra coisa.
→ Neste estudo: VPL = R$ 18.9M. Indica que o Arboris produz R$ 18.9M a MAIS do que o mínimo exigido pelo custo de capital de 14.0% a.a.</t>
        </is>
      </c>
    </row>
    <row r="6" ht="150" customHeight="1">
      <c r="B6" s="20" t="inlineStr">
        <is>
          <t>TIR — Taxa Interna de Retorno</t>
        </is>
      </c>
      <c r="C6" s="21" t="inlineStr">
        <is>
          <t>Taxa de desconto que faz o VPL ser zero. Interpretada como 'rentabilidade anual do projeto'. Para ser atrativa, precisa estar acima da TMA.
⚠ Atenção nesta análise: a TIR de 65.5% a.a. é tecnicamente correta mas está INFLADA pela estrutura do modelo (permuta física do terreno + pré-lançamento com entradas cobrindo custos antes da obra iniciar, resultando em exposição de caixa baixa). O VPL é o indicador mais confiável neste caso.
→ Neste estudo: TIR = 65.5% a.a. no cenário base; P10 do Monte Carlo ~34.9% a.a.</t>
        </is>
      </c>
    </row>
    <row r="7" ht="135" customHeight="1">
      <c r="B7" s="20" t="inlineStr">
        <is>
          <t>TMA — Taxa Mínima de Atratividade</t>
        </is>
      </c>
      <c r="C7" s="21" t="inlineStr">
        <is>
          <t>Custo de capital que a incorporadora exige para justificar o investimento. É o 'piso' de rentabilidade abaixo do qual o projeto não compensa. Também chamada de 'taxa de desconto'.
Geralmente composta por: Selic (taxa básica) + spread de risco do setor imobiliário.
→ Neste estudo: 14.0% a.a. = Selic ~10,5% + spread 3,5% (benchmark incorporadora média SC 2026). Editável em PREMISSAS.</t>
        </is>
      </c>
    </row>
    <row r="8" ht="165" customHeight="1">
      <c r="B8" s="20" t="inlineStr">
        <is>
          <t>VGV — Valor Geral de Vendas</t>
        </is>
      </c>
      <c r="C8" s="21" t="inlineStr">
        <is>
          <t>Receita total esperada do empreendimento. Calculado como: área privativa vendável × preço médio de venda por m².
Dividido em dois conceitos neste estudo:
  • VGV BRUTO: valor total se todas as unidades fossem vendidas pela Arthen
  • VGV LÍQUIDO: após subtrair a permuta física (30% das unidades vão para o proprietário do terreno)
→ Neste estudo: VGV bruto R$ 134.4M; VGV líquido (que a Arthen de fato vende) R$ 94.1M.</t>
        </is>
      </c>
    </row>
    <row r="9" ht="210" customHeight="1">
      <c r="B9" s="20" t="inlineStr">
        <is>
          <t>Margem líquida</t>
        </is>
      </c>
      <c r="C9" s="21" t="inlineStr">
        <is>
          <t>(Lucro líquido) ÷ (Receita total). Mede a eficiência operacional da incorporação. Inclui TODOS os custos: obra, comercial, marketing, impostos (RET), admin.
Referência de mercado SC:
  • Abaixo de 10% → margem apertada, projeto frágil
  • 10–15% → aceitável
  • 15–25% → saudável (média do segmento)
  • Acima de 25% → acima da média, sinal de eficiência ou precificação forte
→ Neste estudo: 38.1% — acima da média do segmento, puxada por preço forte em Perequê e custo calibrado no paramétrico.</t>
        </is>
      </c>
    </row>
    <row r="10" ht="150" customHeight="1">
      <c r="B10" s="20" t="inlineStr">
        <is>
          <t>Exposição máxima de caixa</t>
        </is>
      </c>
      <c r="C10" s="21" t="inlineStr">
        <is>
          <t>O 'pior momento' do projeto em termos de caixa: quanto a incorporadora tem que ter disponível (capital próprio ou financiamento) antes que as vendas comecem a cobrir os custos. É o BURACO máximo no fluxo acumulado.
Em projetos bem estruturados, corresponde a 20–35% do VGV. Abaixo disso = projeto leve de capital; acima = projeto pesado.
→ Neste estudo: R$ 21.1M = 22% do VGV líquido. Relativamente baixo, porque as entradas começam a pagar a obra rapidamente.</t>
        </is>
      </c>
    </row>
    <row r="11" ht="315" customHeight="1">
      <c r="B11" s="20" t="inlineStr">
        <is>
          <t>Monte Carlo</t>
        </is>
      </c>
      <c r="C11" s="21" t="inlineStr">
        <is>
          <t>Técnica estatística para lidar com incerteza. Em vez de assumir que cada premissa é um número fixo. tratamos as mais importantes como FAIXAS de valores prováveis e rodamos milhares de simulações do projeto — em cada uma. o computador sorteia valores dentro das faixas e calcula o VPL.
Ao final. temos uma DISTRIBUIÇÃO de resultados possíveis em vez de um número único. Isso permite perguntar: 'qual a PROBABILIDADE do projeto dar lucro?'
▸  ÂNCORA NO ORÇAMENTO ENTREGUE: a base do MC é o orçamento paramétrico v00-final (R$ 39.4M). custo_obra_fator=1.00 representa executar exatamente esse orçamento. As variações simulam desvios realistas de execução.
Variáveis sorteadas neste estudo: preço de venda (R$ 11k a R$ 22k/m²). custo de obra (-5% a +12% sobre o orçamento entregue). velocidade de vendas (10 a 28 meses para t50). CUB/SC (4.0% a 11.0% a.a.). Correlação -40% entre preço e velocidade (preço alto ↔ venda mais lenta. que é o comportamento real de mercado).
→ Neste estudo: 99.9% das 10.000 simulações deram VPL positivo. Mediana R$ 19.5M. Pior 10% = R$ 8.9M. Melhor 10% = R$ 31.7M.</t>
        </is>
      </c>
    </row>
    <row r="12" ht="195" customHeight="1">
      <c r="B12" s="20" t="inlineStr">
        <is>
          <t>Cenários (Pessimista / Base / Otimista)</t>
        </is>
      </c>
      <c r="C12" s="21" t="inlineStr">
        <is>
          <t>Diferente do Monte Carlo (que sorteia aleatoriamente), aqui definimos 3 combinações específicas de premissas:
  • PESSIMISTA: preço -15%, custo +10%, venda 8 meses mais lenta
  • BASE: valores centrais, o 'cenário provável'
  • OTIMISTA: preço +10%, custo -5%, venda 4 meses mais rápida
Útil para responder: 'e se tudo der errado ao mesmo tempo?' (pessimista) e 'e se as coisas favorecerem?' (otimista).
→ Neste estudo: pessimista dá VPL R$ 4.0M (projeto mantém VPL positivo mesmo nesta combinação.)</t>
        </is>
      </c>
    </row>
    <row r="13" ht="195" customHeight="1">
      <c r="B13" s="20" t="inlineStr">
        <is>
          <t>Tornado (Análise de Sensibilidade)</t>
        </is>
      </c>
      <c r="C13" s="21" t="inlineStr">
        <is>
          <t>Gráfico que mostra qual variável tem MAIOR impacto sobre o VPL. Para cada variável, testamos +20% e -20% mantendo as outras fixas e medimos a variação resultante no VPL. A variável com a maior barra é a mais crítica — é ali que a diligência comercial deve focar.
→ Neste estudo (em ordem de impacto):
    1º VGV R$/m² — Δ R$ 21.0M (dominante)
    2º Custo obra — Δ R$ 13.5M
    3º Entrada % — Δ R$ 5.6M
Conclusão: validar o preço de venda de R$ 15,394/m² é a diligência mais importante deste projeto.</t>
        </is>
      </c>
    </row>
    <row r="14" ht="135" customHeight="1">
      <c r="B14" s="20" t="inlineStr">
        <is>
          <t>CUB/SC</t>
        </is>
      </c>
      <c r="C14" s="21" t="inlineStr">
        <is>
          <t>Custo Unitário Básico de Construção, publicado mensalmente pelo Sinduscon/SC. É o indexador padrão das parcelas da obra pagas pelos compradores durante a construção — o equivalente imobiliário da 'correção monetária'.
Substitui o INCC (usado em outros estados) no padrão catarinense.
→ Neste estudo: reajuste médio anual de 7.0% a.a. (histórico 2020–2025 Sinduscon/SC). Editável em PREMISSAS.</t>
        </is>
      </c>
    </row>
    <row r="15" ht="135" customHeight="1">
      <c r="B15" s="20" t="inlineStr">
        <is>
          <t>RET — Regime Especial de Tributação</t>
        </is>
      </c>
      <c r="C15" s="21" t="inlineStr">
        <is>
          <t>Alíquota unificada de 4% sobre a receita recebida, aplicável a incorporações que aderiram ao Patrimônio de Afetação (Lei 10.931/04, art. 4º). Substitui IR, CSLL, PIS e COFINS da SPE da incorporadora.
É o regime tributário mais eficiente para incorporação imobiliária no Brasil — normalmente vale a pena aderir.
→ Neste estudo: 4% sobre receita recebida a cada mês.</t>
        </is>
      </c>
    </row>
    <row r="16" ht="150" customHeight="1">
      <c r="B16" s="20" t="inlineStr">
        <is>
          <t>Permuta física</t>
        </is>
      </c>
      <c r="C16" s="21" t="inlineStr">
        <is>
          <t>Forma de adquirir o terreno: em vez de pagar em dinheiro, a incorporadora entrega ao proprietário um percentual das unidades prontas do futuro empreendimento. É o modelo dominante em terrenos valorizados no litoral SC.
Efeito financeiro: elimina o DESEMBOLSO inicial com terreno (grande alívio de caixa no mês 0), mas reduz o VGV vendável pela incorporadora (porque parte das unidades não é dela).
→ Neste estudo: 30% das unidades vão para o landowner. VGV vendável pela Arthen cai de R$ 134.4M (bruto) para R$ 94.1M (líquido).</t>
        </is>
      </c>
    </row>
    <row r="17" ht="180" customHeight="1">
      <c r="B17" s="20" t="inlineStr">
        <is>
          <t>Paramétrico V2 Híbrido</t>
        </is>
      </c>
      <c r="C17" s="21" t="inlineStr">
        <is>
          <t>Metodologia Cartesian para orçamento preliminar: extrai quantitativos do BIM (modelo 3D do projeto), aplica Preços Unitários calibrados contra uma base histórica de 126 projetos similares já executados, e produz o custo total por macrogrupo com faixa de confiança. Precisão típica: ±10–15%.
Diferente de um orçamento executivo completo (SINAPI linha a linha), mas muito mais rápido e suficiente para decisões de viabilidade.
→ Neste estudo: custo total R$ 39.4M (R$ 3,157/m²). Benchmark do segmento 'Médio' (8k–15k m² AC): mediana R$ 3.337/m², faixa P25–P75 R$ 2.974–R$ 3.710. Arboris em R$ 3,157/m² — coerente com padrão Médio-Alto.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22" t="inlineStr">
        <is>
          <t>PREMISSAS — editar valores e regerar via gerar_viabilidade_arthen_arboris.py</t>
        </is>
      </c>
    </row>
    <row r="3">
      <c r="A3" s="23" t="inlineStr">
        <is>
          <t>PROJETO</t>
        </is>
      </c>
    </row>
    <row r="4">
      <c r="A4" s="24" t="inlineStr">
        <is>
          <t>Nome</t>
        </is>
      </c>
      <c r="B4" s="25" t="inlineStr">
        <is>
          <t>Arthen Arboris</t>
        </is>
      </c>
      <c r="C4" s="26" t="n"/>
      <c r="D4" s="27" t="inlineStr"/>
    </row>
    <row r="5">
      <c r="A5" s="24" t="inlineStr">
        <is>
          <t>Cidade/Bairro</t>
        </is>
      </c>
      <c r="B5" s="25" t="inlineStr">
        <is>
          <t>Perequê, Itapema/SC</t>
        </is>
      </c>
      <c r="C5" s="26" t="n"/>
      <c r="D5" s="27" t="inlineStr"/>
    </row>
    <row r="6">
      <c r="A6" s="24" t="inlineStr">
        <is>
          <t>Área construída (m²)</t>
        </is>
      </c>
      <c r="B6" s="28" t="n">
        <v>12472.98</v>
      </c>
      <c r="C6" s="26" t="n"/>
      <c r="D6" s="27" t="inlineStr">
        <is>
          <t>do paramétrico</t>
        </is>
      </c>
    </row>
    <row r="7">
      <c r="A7" s="24" t="inlineStr">
        <is>
          <t>% área privativa</t>
        </is>
      </c>
      <c r="B7" s="29" t="n">
        <v>0.7</v>
      </c>
      <c r="C7" s="26" t="n"/>
      <c r="D7" s="27" t="inlineStr">
        <is>
          <t>AC que vira unidade vendável</t>
        </is>
      </c>
    </row>
    <row r="8">
      <c r="A8" s="24" t="inlineStr">
        <is>
          <t>Área privativa total (m²)</t>
        </is>
      </c>
      <c r="B8" s="28" t="n">
        <v>8731.085999999999</v>
      </c>
      <c r="C8" s="26" t="n"/>
      <c r="D8" s="27" t="inlineStr">
        <is>
          <t>AC × pct_priv</t>
        </is>
      </c>
    </row>
    <row r="9">
      <c r="A9" s="24" t="inlineStr">
        <is>
          <t>Unidades</t>
        </is>
      </c>
      <c r="B9" s="30" t="n">
        <v>98</v>
      </c>
      <c r="C9" s="26" t="n"/>
      <c r="D9" s="27" t="inlineStr"/>
    </row>
    <row r="10">
      <c r="A10" s="24" t="inlineStr">
        <is>
          <t>Permuta (% das unidades)</t>
        </is>
      </c>
      <c r="B10" s="29" t="n">
        <v>0.3</v>
      </c>
      <c r="C10" s="26" t="n"/>
      <c r="D10" s="27" t="inlineStr">
        <is>
          <t>terreno via permuta física</t>
        </is>
      </c>
    </row>
    <row r="11">
      <c r="A11" s="24" t="inlineStr">
        <is>
          <t>Prazo obra (meses)</t>
        </is>
      </c>
      <c r="B11" s="30" t="n">
        <v>36</v>
      </c>
      <c r="C11" s="26" t="n"/>
      <c r="D11" s="27" t="inlineStr"/>
    </row>
    <row r="12">
      <c r="A12" s="24" t="inlineStr">
        <is>
          <t>Prazo pré-lançamento (meses)</t>
        </is>
      </c>
      <c r="B12" s="30" t="n">
        <v>3</v>
      </c>
      <c r="C12" s="26" t="n"/>
      <c r="D12" s="27" t="inlineStr">
        <is>
          <t>meses -3 a 0</t>
        </is>
      </c>
    </row>
    <row r="13">
      <c r="A13" s="24" t="inlineStr">
        <is>
          <t>Prazo pós-obra (meses)</t>
        </is>
      </c>
      <c r="B13" s="30" t="n">
        <v>12</v>
      </c>
      <c r="C13" s="26" t="n"/>
      <c r="D13" s="27" t="inlineStr">
        <is>
          <t>cauda de recebimento</t>
        </is>
      </c>
    </row>
    <row r="15">
      <c r="A15" s="23" t="inlineStr">
        <is>
          <t>CUSTO</t>
        </is>
      </c>
    </row>
    <row r="16">
      <c r="A16" s="24" t="inlineStr">
        <is>
          <t>Custo de obra total (R$)</t>
        </is>
      </c>
      <c r="B16" s="31" t="n">
        <v>39379139.4038</v>
      </c>
      <c r="C16" s="26" t="n"/>
      <c r="D16" s="27" t="inlineStr">
        <is>
          <t>paramétrico V2</t>
        </is>
      </c>
    </row>
    <row r="17">
      <c r="A17" s="24" t="inlineStr">
        <is>
          <t>Contingência (%)</t>
        </is>
      </c>
      <c r="B17" s="29" t="n">
        <v>0.05</v>
      </c>
      <c r="C17" s="26" t="n"/>
      <c r="D17" s="27" t="inlineStr">
        <is>
          <t>sobre custo obra</t>
        </is>
      </c>
    </row>
    <row r="19">
      <c r="A19" s="23" t="inlineStr">
        <is>
          <t>RECEITA</t>
        </is>
      </c>
    </row>
    <row r="20">
      <c r="A20" s="24" t="inlineStr">
        <is>
          <t>VGV R$/m² privativo</t>
        </is>
      </c>
      <c r="B20" s="32" t="n">
        <v>15394</v>
      </c>
      <c r="C20" s="26" t="n"/>
      <c r="D20" s="27" t="inlineStr">
        <is>
          <t>Perequê médio pesquisa 2026</t>
        </is>
      </c>
    </row>
    <row r="21">
      <c r="A21" s="24" t="inlineStr">
        <is>
          <t>VGV bruto (R$)</t>
        </is>
      </c>
      <c r="B21" s="31" t="n">
        <v>134406337.884</v>
      </c>
      <c r="C21" s="26" t="n"/>
      <c r="D21" s="27" t="inlineStr">
        <is>
          <t>área_priv × R$/m²</t>
        </is>
      </c>
    </row>
    <row r="22">
      <c r="A22" s="24" t="inlineStr">
        <is>
          <t>VGV líquido permuta (R$)</t>
        </is>
      </c>
      <c r="B22" s="31" t="n">
        <v>94084436.51879998</v>
      </c>
      <c r="C22" s="26" t="n"/>
      <c r="D22" s="27" t="inlineStr">
        <is>
          <t>após 30% de permuta</t>
        </is>
      </c>
    </row>
    <row r="23">
      <c r="A23" s="24" t="inlineStr">
        <is>
          <t>Entrada (% no ato)</t>
        </is>
      </c>
      <c r="B23" s="29" t="n">
        <v>0.2</v>
      </c>
      <c r="C23" s="26" t="n"/>
      <c r="D23" s="27" t="inlineStr"/>
    </row>
    <row r="24">
      <c r="A24" s="24" t="inlineStr">
        <is>
          <t>Obra (% parcelado CUB)</t>
        </is>
      </c>
      <c r="B24" s="29" t="n">
        <v>0.4</v>
      </c>
      <c r="C24" s="26" t="n"/>
      <c r="D24" s="27" t="inlineStr">
        <is>
          <t>durante obra</t>
        </is>
      </c>
    </row>
    <row r="25">
      <c r="A25" s="24" t="inlineStr">
        <is>
          <t>Repasse/chave (%)</t>
        </is>
      </c>
      <c r="B25" s="29" t="n">
        <v>0.4</v>
      </c>
      <c r="C25" s="26" t="n"/>
      <c r="D25" s="27" t="inlineStr">
        <is>
          <t>mês de entrega +2</t>
        </is>
      </c>
    </row>
    <row r="26">
      <c r="A26" s="24" t="inlineStr">
        <is>
          <t>Inadimplência (%)</t>
        </is>
      </c>
      <c r="B26" s="29" t="n">
        <v>0.03</v>
      </c>
      <c r="C26" s="26" t="n"/>
      <c r="D26" s="27" t="inlineStr">
        <is>
          <t>sobre recebido</t>
        </is>
      </c>
    </row>
    <row r="28">
      <c r="A28" s="23" t="inlineStr">
        <is>
          <t>FINANCEIRAS</t>
        </is>
      </c>
    </row>
    <row r="29">
      <c r="A29" s="24" t="inlineStr">
        <is>
          <t>CUB/SC (a.a.)</t>
        </is>
      </c>
      <c r="B29" s="29" t="n">
        <v>0.07000000000000001</v>
      </c>
      <c r="C29" s="26" t="n"/>
      <c r="D29" s="27" t="inlineStr">
        <is>
          <t>indexador parcelas obra</t>
        </is>
      </c>
    </row>
    <row r="30">
      <c r="A30" s="24" t="inlineStr">
        <is>
          <t>TMA (a.a.)</t>
        </is>
      </c>
      <c r="B30" s="29" t="n">
        <v>0.14</v>
      </c>
      <c r="C30" s="26" t="n"/>
      <c r="D30" s="27" t="inlineStr">
        <is>
          <t>custo de capital — desconto VPL</t>
        </is>
      </c>
    </row>
    <row r="32">
      <c r="A32" s="23" t="inlineStr">
        <is>
          <t>COMERCIAL / IMPOSTOS / ADMIN</t>
        </is>
      </c>
    </row>
    <row r="33">
      <c r="A33" s="24" t="inlineStr">
        <is>
          <t>Corretagem (% VGV)</t>
        </is>
      </c>
      <c r="B33" s="29" t="n">
        <v>0.06</v>
      </c>
      <c r="C33" s="26" t="n"/>
      <c r="D33" s="27" t="inlineStr">
        <is>
          <t>paga no mês da venda</t>
        </is>
      </c>
    </row>
    <row r="34">
      <c r="A34" s="24" t="inlineStr">
        <is>
          <t>Marketing (% VGV)</t>
        </is>
      </c>
      <c r="B34" s="29" t="n">
        <v>0.03</v>
      </c>
      <c r="C34" s="26" t="n"/>
      <c r="D34" s="27" t="inlineStr">
        <is>
          <t>stand, material, digital</t>
        </is>
      </c>
    </row>
    <row r="35">
      <c r="A35" s="24" t="inlineStr">
        <is>
          <t>Marketing front-load (% no pré-lanç)</t>
        </is>
      </c>
      <c r="B35" s="29" t="n">
        <v>0</v>
      </c>
      <c r="C35" s="26" t="n"/>
      <c r="D35" s="27" t="inlineStr"/>
    </row>
    <row r="36">
      <c r="A36" s="24" t="inlineStr">
        <is>
          <t>RET (% receita)</t>
        </is>
      </c>
      <c r="B36" s="29" t="n">
        <v>0.04</v>
      </c>
      <c r="C36" s="26" t="n"/>
      <c r="D36" s="27" t="inlineStr">
        <is>
          <t>Regime Especial de Tributação</t>
        </is>
      </c>
    </row>
    <row r="37">
      <c r="A37" s="24" t="inlineStr">
        <is>
          <t>Admin incorporadora (% VGV)</t>
        </is>
      </c>
      <c r="B37" s="29" t="n">
        <v>0.03</v>
      </c>
      <c r="C37" s="26" t="n"/>
      <c r="D37" s="27" t="inlineStr">
        <is>
          <t>equipe, jurídico, contábil</t>
        </is>
      </c>
    </row>
    <row r="39">
      <c r="A39" s="23" t="inlineStr">
        <is>
          <t>CURVA DE VENDAS (logística)</t>
        </is>
      </c>
    </row>
    <row r="40">
      <c r="A40" s="24" t="inlineStr">
        <is>
          <t>t_início (mês — pré-lanç)</t>
        </is>
      </c>
      <c r="B40" s="30" t="n">
        <v>-2</v>
      </c>
      <c r="C40" s="26" t="n"/>
      <c r="D40" s="27" t="inlineStr">
        <is>
          <t>vendas começam em t_início</t>
        </is>
      </c>
    </row>
    <row r="41">
      <c r="A41" s="24" t="inlineStr">
        <is>
          <t>t50 (mês da inflexão)</t>
        </is>
      </c>
      <c r="B41" s="30" t="n">
        <v>17</v>
      </c>
      <c r="C41" s="26" t="n"/>
      <c r="D41" s="27" t="inlineStr">
        <is>
          <t>50% vendido neste mês</t>
        </is>
      </c>
    </row>
    <row r="42">
      <c r="A42" s="24" t="inlineStr">
        <is>
          <t>k (inclinação)</t>
        </is>
      </c>
      <c r="B42" s="28" t="n">
        <v>0.15</v>
      </c>
      <c r="C42" s="26" t="n"/>
      <c r="D42" s="27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Q1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7" customWidth="1" min="6" max="6"/>
    <col width="1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</cols>
  <sheetData>
    <row r="1" ht="8" customHeight="1"/>
    <row r="2" ht="36" customHeight="1">
      <c r="B2" s="1" t="inlineStr">
        <is>
          <t>DETALHAMENTO DO CUSTO DE OBRA — POR MACROGRUPO</t>
        </is>
      </c>
    </row>
    <row r="3" ht="24" customHeight="1">
      <c r="B3" s="33" t="inlineStr">
        <is>
          <t>Como os R$ 39.38 milhões  (R$ 3,157/m² AC)  se distribuem entre os 18 macrogrupos ao longo dos 36 meses de obra</t>
        </is>
      </c>
    </row>
    <row r="5">
      <c r="B5" s="12" t="inlineStr">
        <is>
          <t>DE ONDE VEM ESSE CUSTO — METODOLOGIA PARAMÉTRICA V2 HÍBRIDO</t>
        </is>
      </c>
    </row>
    <row r="6" ht="18" customHeight="1">
      <c r="B6" s="21" t="inlineStr">
        <is>
          <t>O custo de obra de R$ 39.38 milhões foi calculado pelo paramétrico V2 Híbrido da Cartesian — metodologia que combina três fontes de dados:
1)  QUANTITATIVOS — extraídos do modelo BIM (IFC) do Arboris: volumes de concreto, área de fôrma, m² de alvenaria, m² de revestimento, kg de aço, unidades de esquadrias, etc. Para o Arboris: 12,473 m² AC, 8.653,8 m³ de concreto (0,694 m³/m²), ~122 mil m² de área de parede, 24 pavimentos.
2)  PUs CALIBRADOS — Preços Unitários (R$/unidade) calibrados contra uma base histórica de 126 projetos Cartesian já executados no litoral SC. A base tem 4.210 PUs cross-projeto e permite ajustar o preço por tipologia, padrão de acabamento e região.
3)  ÍNDICES DERIVADOS — 29 índices que ajustam o custo final conforme o briefing do Arboris: fundação em hélice contínua, laje convencional, padrão médio-alto, fachada cerâmica, 1 subsolo, gerador, piscina aquecida, 2 elevadores.
O resultado é agrupado nos 18 MACROGRUPOS abaixo — estrutura padrão Cartesian para orçamentos paramétricos. Cada macrogrupo representa uma disciplina coerente da obra (ex: 'Supraestrutura' = todo o sistema estrutural em concreto armado; 'Instalações' = hidráulica + elétrica + gás + telecom). Benchmark do segmento Médio (8-15k m² AC): mediana R$ 3.337/m², faixa P25-P75 R$ 2.974-3.710. Arboris em R$ 3,157/m² — levemente acima da mediana, coerente com padrão Médio-Alto.</t>
        </is>
      </c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1">
      <c r="B21" s="12" t="inlineStr">
        <is>
          <t>TABELA INTERATIVA — EDITE OS MESES E A CURVA REDISTRIBUI AUTOMATICAMENTE</t>
        </is>
      </c>
    </row>
    <row r="22" ht="15" customHeight="1">
      <c r="B22" s="34" t="inlineStr">
        <is>
          <t>▸  As colunas LARANJAS são editáveis: altere o R$ Total, Mês início ou Mês fim de qualquer macrogrupo e a distribuição mensal (colunas M1 a M36) recalcula automaticamente via fórmulas.
▸  As células AZUIS na grade mostram visualmente a JANELA ATIVA de cada macrogrupo (efeito Gantt) — quanto mais forte a cor, maior o desembolso daquele macrogrupo naquele mês.
▸  A última linha 'Acumulado %' mostra a CURVA S ao vivo via data bars azuis — dá pra ver quando o projeto atinge 25%, 50%, 75% e 100% do desembolso.
▸  IMPORTANTE: esta tabela é ferramenta de EXPLORAÇÃO visual. Os valores de VPL/TIR/Monte Carlo nas outras abas NÃO são recalculados automaticamente — para propagar mudanças ao modelo financeiro, edite premissas-viabilidade.json e rode o script novamente.</t>
        </is>
      </c>
    </row>
    <row r="23" ht="15" customHeight="1"/>
    <row r="24" ht="15" customHeight="1"/>
    <row r="25" ht="15" customHeight="1"/>
    <row r="26" ht="15" customHeight="1"/>
    <row r="27" ht="26" customHeight="1">
      <c r="B27" s="35" t="inlineStr">
        <is>
          <t>Macrogrupo</t>
        </is>
      </c>
      <c r="C27" s="35" t="inlineStr">
        <is>
          <t>R$ Total</t>
        </is>
      </c>
      <c r="D27" s="35" t="inlineStr">
        <is>
          <t>Mês ini</t>
        </is>
      </c>
      <c r="E27" s="35" t="inlineStr">
        <is>
          <t>Mês fim</t>
        </is>
      </c>
      <c r="F27" s="35" t="inlineStr">
        <is>
          <t>Dur.</t>
        </is>
      </c>
      <c r="G27" s="35" t="inlineStr">
        <is>
          <t>R$/mês</t>
        </is>
      </c>
      <c r="H27" s="36" t="n">
        <v>1</v>
      </c>
      <c r="I27" s="36" t="n">
        <v>2</v>
      </c>
      <c r="J27" s="36" t="n">
        <v>3</v>
      </c>
      <c r="K27" s="36" t="n">
        <v>4</v>
      </c>
      <c r="L27" s="36" t="n">
        <v>5</v>
      </c>
      <c r="M27" s="36" t="n">
        <v>6</v>
      </c>
      <c r="N27" s="36" t="n">
        <v>7</v>
      </c>
      <c r="O27" s="36" t="n">
        <v>8</v>
      </c>
      <c r="P27" s="36" t="n">
        <v>9</v>
      </c>
      <c r="Q27" s="36" t="n">
        <v>10</v>
      </c>
      <c r="R27" s="36" t="n">
        <v>11</v>
      </c>
      <c r="S27" s="36" t="n">
        <v>12</v>
      </c>
      <c r="T27" s="36" t="n">
        <v>13</v>
      </c>
      <c r="U27" s="36" t="n">
        <v>14</v>
      </c>
      <c r="V27" s="36" t="n">
        <v>15</v>
      </c>
      <c r="W27" s="36" t="n">
        <v>16</v>
      </c>
      <c r="X27" s="36" t="n">
        <v>17</v>
      </c>
      <c r="Y27" s="36" t="n">
        <v>18</v>
      </c>
      <c r="Z27" s="36" t="n">
        <v>19</v>
      </c>
      <c r="AA27" s="36" t="n">
        <v>20</v>
      </c>
      <c r="AB27" s="36" t="n">
        <v>21</v>
      </c>
      <c r="AC27" s="36" t="n">
        <v>22</v>
      </c>
      <c r="AD27" s="36" t="n">
        <v>23</v>
      </c>
      <c r="AE27" s="36" t="n">
        <v>24</v>
      </c>
      <c r="AF27" s="36" t="n">
        <v>25</v>
      </c>
      <c r="AG27" s="36" t="n">
        <v>26</v>
      </c>
      <c r="AH27" s="36" t="n">
        <v>27</v>
      </c>
      <c r="AI27" s="36" t="n">
        <v>28</v>
      </c>
      <c r="AJ27" s="36" t="n">
        <v>29</v>
      </c>
      <c r="AK27" s="36" t="n">
        <v>30</v>
      </c>
      <c r="AL27" s="36" t="n">
        <v>31</v>
      </c>
      <c r="AM27" s="36" t="n">
        <v>32</v>
      </c>
      <c r="AN27" s="36" t="n">
        <v>33</v>
      </c>
      <c r="AO27" s="36" t="n">
        <v>34</v>
      </c>
      <c r="AP27" s="36" t="n">
        <v>35</v>
      </c>
      <c r="AQ27" s="36" t="n">
        <v>36</v>
      </c>
    </row>
    <row r="28" ht="18" customHeight="1">
      <c r="B28" s="37" t="inlineStr">
        <is>
          <t>Gerenciamento</t>
        </is>
      </c>
      <c r="C28" s="31" t="n">
        <v>4039260</v>
      </c>
      <c r="D28" s="30" t="n">
        <v>1</v>
      </c>
      <c r="E28" s="30" t="n">
        <v>36</v>
      </c>
      <c r="F28" s="38">
        <f>IF(E28&gt;=D28,E28-D28+1,0)</f>
        <v/>
      </c>
      <c r="G28" s="39">
        <f>IF(F28&gt;0,C28/F28,0)</f>
        <v/>
      </c>
      <c r="H28" s="40">
        <f>IF(AND(H$27&gt;=$D28,H$27&lt;=$E28),$G28,0)</f>
        <v/>
      </c>
      <c r="I28" s="40">
        <f>IF(AND(I$27&gt;=$D28,I$27&lt;=$E28),$G28,0)</f>
        <v/>
      </c>
      <c r="J28" s="40">
        <f>IF(AND(J$27&gt;=$D28,J$27&lt;=$E28),$G28,0)</f>
        <v/>
      </c>
      <c r="K28" s="40">
        <f>IF(AND(K$27&gt;=$D28,K$27&lt;=$E28),$G28,0)</f>
        <v/>
      </c>
      <c r="L28" s="40">
        <f>IF(AND(L$27&gt;=$D28,L$27&lt;=$E28),$G28,0)</f>
        <v/>
      </c>
      <c r="M28" s="40">
        <f>IF(AND(M$27&gt;=$D28,M$27&lt;=$E28),$G28,0)</f>
        <v/>
      </c>
      <c r="N28" s="40">
        <f>IF(AND(N$27&gt;=$D28,N$27&lt;=$E28),$G28,0)</f>
        <v/>
      </c>
      <c r="O28" s="40">
        <f>IF(AND(O$27&gt;=$D28,O$27&lt;=$E28),$G28,0)</f>
        <v/>
      </c>
      <c r="P28" s="40">
        <f>IF(AND(P$27&gt;=$D28,P$27&lt;=$E28),$G28,0)</f>
        <v/>
      </c>
      <c r="Q28" s="40">
        <f>IF(AND(Q$27&gt;=$D28,Q$27&lt;=$E28),$G28,0)</f>
        <v/>
      </c>
      <c r="R28" s="40">
        <f>IF(AND(R$27&gt;=$D28,R$27&lt;=$E28),$G28,0)</f>
        <v/>
      </c>
      <c r="S28" s="40">
        <f>IF(AND(S$27&gt;=$D28,S$27&lt;=$E28),$G28,0)</f>
        <v/>
      </c>
      <c r="T28" s="40">
        <f>IF(AND(T$27&gt;=$D28,T$27&lt;=$E28),$G28,0)</f>
        <v/>
      </c>
      <c r="U28" s="40">
        <f>IF(AND(U$27&gt;=$D28,U$27&lt;=$E28),$G28,0)</f>
        <v/>
      </c>
      <c r="V28" s="40">
        <f>IF(AND(V$27&gt;=$D28,V$27&lt;=$E28),$G28,0)</f>
        <v/>
      </c>
      <c r="W28" s="40">
        <f>IF(AND(W$27&gt;=$D28,W$27&lt;=$E28),$G28,0)</f>
        <v/>
      </c>
      <c r="X28" s="40">
        <f>IF(AND(X$27&gt;=$D28,X$27&lt;=$E28),$G28,0)</f>
        <v/>
      </c>
      <c r="Y28" s="40">
        <f>IF(AND(Y$27&gt;=$D28,Y$27&lt;=$E28),$G28,0)</f>
        <v/>
      </c>
      <c r="Z28" s="40">
        <f>IF(AND(Z$27&gt;=$D28,Z$27&lt;=$E28),$G28,0)</f>
        <v/>
      </c>
      <c r="AA28" s="40">
        <f>IF(AND(AA$27&gt;=$D28,AA$27&lt;=$E28),$G28,0)</f>
        <v/>
      </c>
      <c r="AB28" s="40">
        <f>IF(AND(AB$27&gt;=$D28,AB$27&lt;=$E28),$G28,0)</f>
        <v/>
      </c>
      <c r="AC28" s="40">
        <f>IF(AND(AC$27&gt;=$D28,AC$27&lt;=$E28),$G28,0)</f>
        <v/>
      </c>
      <c r="AD28" s="40">
        <f>IF(AND(AD$27&gt;=$D28,AD$27&lt;=$E28),$G28,0)</f>
        <v/>
      </c>
      <c r="AE28" s="40">
        <f>IF(AND(AE$27&gt;=$D28,AE$27&lt;=$E28),$G28,0)</f>
        <v/>
      </c>
      <c r="AF28" s="40">
        <f>IF(AND(AF$27&gt;=$D28,AF$27&lt;=$E28),$G28,0)</f>
        <v/>
      </c>
      <c r="AG28" s="40">
        <f>IF(AND(AG$27&gt;=$D28,AG$27&lt;=$E28),$G28,0)</f>
        <v/>
      </c>
      <c r="AH28" s="40">
        <f>IF(AND(AH$27&gt;=$D28,AH$27&lt;=$E28),$G28,0)</f>
        <v/>
      </c>
      <c r="AI28" s="40">
        <f>IF(AND(AI$27&gt;=$D28,AI$27&lt;=$E28),$G28,0)</f>
        <v/>
      </c>
      <c r="AJ28" s="40">
        <f>IF(AND(AJ$27&gt;=$D28,AJ$27&lt;=$E28),$G28,0)</f>
        <v/>
      </c>
      <c r="AK28" s="40">
        <f>IF(AND(AK$27&gt;=$D28,AK$27&lt;=$E28),$G28,0)</f>
        <v/>
      </c>
      <c r="AL28" s="40">
        <f>IF(AND(AL$27&gt;=$D28,AL$27&lt;=$E28),$G28,0)</f>
        <v/>
      </c>
      <c r="AM28" s="40">
        <f>IF(AND(AM$27&gt;=$D28,AM$27&lt;=$E28),$G28,0)</f>
        <v/>
      </c>
      <c r="AN28" s="40">
        <f>IF(AND(AN$27&gt;=$D28,AN$27&lt;=$E28),$G28,0)</f>
        <v/>
      </c>
      <c r="AO28" s="40">
        <f>IF(AND(AO$27&gt;=$D28,AO$27&lt;=$E28),$G28,0)</f>
        <v/>
      </c>
      <c r="AP28" s="40">
        <f>IF(AND(AP$27&gt;=$D28,AP$27&lt;=$E28),$G28,0)</f>
        <v/>
      </c>
      <c r="AQ28" s="40">
        <f>IF(AND(AQ$27&gt;=$D28,AQ$27&lt;=$E28),$G28,0)</f>
        <v/>
      </c>
    </row>
    <row r="29" ht="18" customHeight="1">
      <c r="B29" s="37" t="inlineStr">
        <is>
          <t>Infraestrutura</t>
        </is>
      </c>
      <c r="C29" s="31" t="n">
        <v>1897910.28</v>
      </c>
      <c r="D29" s="30" t="n">
        <v>1</v>
      </c>
      <c r="E29" s="30" t="n">
        <v>10</v>
      </c>
      <c r="F29" s="38">
        <f>IF(E29&gt;=D29,E29-D29+1,0)</f>
        <v/>
      </c>
      <c r="G29" s="39">
        <f>IF(F29&gt;0,C29/F29,0)</f>
        <v/>
      </c>
      <c r="H29" s="40">
        <f>IF(AND(H$27&gt;=$D29,H$27&lt;=$E29),$G29,0)</f>
        <v/>
      </c>
      <c r="I29" s="40">
        <f>IF(AND(I$27&gt;=$D29,I$27&lt;=$E29),$G29,0)</f>
        <v/>
      </c>
      <c r="J29" s="40">
        <f>IF(AND(J$27&gt;=$D29,J$27&lt;=$E29),$G29,0)</f>
        <v/>
      </c>
      <c r="K29" s="40">
        <f>IF(AND(K$27&gt;=$D29,K$27&lt;=$E29),$G29,0)</f>
        <v/>
      </c>
      <c r="L29" s="40">
        <f>IF(AND(L$27&gt;=$D29,L$27&lt;=$E29),$G29,0)</f>
        <v/>
      </c>
      <c r="M29" s="40">
        <f>IF(AND(M$27&gt;=$D29,M$27&lt;=$E29),$G29,0)</f>
        <v/>
      </c>
      <c r="N29" s="40">
        <f>IF(AND(N$27&gt;=$D29,N$27&lt;=$E29),$G29,0)</f>
        <v/>
      </c>
      <c r="O29" s="40">
        <f>IF(AND(O$27&gt;=$D29,O$27&lt;=$E29),$G29,0)</f>
        <v/>
      </c>
      <c r="P29" s="40">
        <f>IF(AND(P$27&gt;=$D29,P$27&lt;=$E29),$G29,0)</f>
        <v/>
      </c>
      <c r="Q29" s="40">
        <f>IF(AND(Q$27&gt;=$D29,Q$27&lt;=$E29),$G29,0)</f>
        <v/>
      </c>
      <c r="R29" s="40">
        <f>IF(AND(R$27&gt;=$D29,R$27&lt;=$E29),$G29,0)</f>
        <v/>
      </c>
      <c r="S29" s="40">
        <f>IF(AND(S$27&gt;=$D29,S$27&lt;=$E29),$G29,0)</f>
        <v/>
      </c>
      <c r="T29" s="40">
        <f>IF(AND(T$27&gt;=$D29,T$27&lt;=$E29),$G29,0)</f>
        <v/>
      </c>
      <c r="U29" s="40">
        <f>IF(AND(U$27&gt;=$D29,U$27&lt;=$E29),$G29,0)</f>
        <v/>
      </c>
      <c r="V29" s="40">
        <f>IF(AND(V$27&gt;=$D29,V$27&lt;=$E29),$G29,0)</f>
        <v/>
      </c>
      <c r="W29" s="40">
        <f>IF(AND(W$27&gt;=$D29,W$27&lt;=$E29),$G29,0)</f>
        <v/>
      </c>
      <c r="X29" s="40">
        <f>IF(AND(X$27&gt;=$D29,X$27&lt;=$E29),$G29,0)</f>
        <v/>
      </c>
      <c r="Y29" s="40">
        <f>IF(AND(Y$27&gt;=$D29,Y$27&lt;=$E29),$G29,0)</f>
        <v/>
      </c>
      <c r="Z29" s="40">
        <f>IF(AND(Z$27&gt;=$D29,Z$27&lt;=$E29),$G29,0)</f>
        <v/>
      </c>
      <c r="AA29" s="40">
        <f>IF(AND(AA$27&gt;=$D29,AA$27&lt;=$E29),$G29,0)</f>
        <v/>
      </c>
      <c r="AB29" s="40">
        <f>IF(AND(AB$27&gt;=$D29,AB$27&lt;=$E29),$G29,0)</f>
        <v/>
      </c>
      <c r="AC29" s="40">
        <f>IF(AND(AC$27&gt;=$D29,AC$27&lt;=$E29),$G29,0)</f>
        <v/>
      </c>
      <c r="AD29" s="40">
        <f>IF(AND(AD$27&gt;=$D29,AD$27&lt;=$E29),$G29,0)</f>
        <v/>
      </c>
      <c r="AE29" s="40">
        <f>IF(AND(AE$27&gt;=$D29,AE$27&lt;=$E29),$G29,0)</f>
        <v/>
      </c>
      <c r="AF29" s="40">
        <f>IF(AND(AF$27&gt;=$D29,AF$27&lt;=$E29),$G29,0)</f>
        <v/>
      </c>
      <c r="AG29" s="40">
        <f>IF(AND(AG$27&gt;=$D29,AG$27&lt;=$E29),$G29,0)</f>
        <v/>
      </c>
      <c r="AH29" s="40">
        <f>IF(AND(AH$27&gt;=$D29,AH$27&lt;=$E29),$G29,0)</f>
        <v/>
      </c>
      <c r="AI29" s="40">
        <f>IF(AND(AI$27&gt;=$D29,AI$27&lt;=$E29),$G29,0)</f>
        <v/>
      </c>
      <c r="AJ29" s="40">
        <f>IF(AND(AJ$27&gt;=$D29,AJ$27&lt;=$E29),$G29,0)</f>
        <v/>
      </c>
      <c r="AK29" s="40">
        <f>IF(AND(AK$27&gt;=$D29,AK$27&lt;=$E29),$G29,0)</f>
        <v/>
      </c>
      <c r="AL29" s="40">
        <f>IF(AND(AL$27&gt;=$D29,AL$27&lt;=$E29),$G29,0)</f>
        <v/>
      </c>
      <c r="AM29" s="40">
        <f>IF(AND(AM$27&gt;=$D29,AM$27&lt;=$E29),$G29,0)</f>
        <v/>
      </c>
      <c r="AN29" s="40">
        <f>IF(AND(AN$27&gt;=$D29,AN$27&lt;=$E29),$G29,0)</f>
        <v/>
      </c>
      <c r="AO29" s="40">
        <f>IF(AND(AO$27&gt;=$D29,AO$27&lt;=$E29),$G29,0)</f>
        <v/>
      </c>
      <c r="AP29" s="40">
        <f>IF(AND(AP$27&gt;=$D29,AP$27&lt;=$E29),$G29,0)</f>
        <v/>
      </c>
      <c r="AQ29" s="40">
        <f>IF(AND(AQ$27&gt;=$D29,AQ$27&lt;=$E29),$G29,0)</f>
        <v/>
      </c>
    </row>
    <row r="30" ht="18" customHeight="1">
      <c r="B30" s="37" t="inlineStr">
        <is>
          <t>Imprevistos</t>
        </is>
      </c>
      <c r="C30" s="31" t="n">
        <v>581958</v>
      </c>
      <c r="D30" s="30" t="n">
        <v>1</v>
      </c>
      <c r="E30" s="30" t="n">
        <v>36</v>
      </c>
      <c r="F30" s="38">
        <f>IF(E30&gt;=D30,E30-D30+1,0)</f>
        <v/>
      </c>
      <c r="G30" s="39">
        <f>IF(F30&gt;0,C30/F30,0)</f>
        <v/>
      </c>
      <c r="H30" s="40">
        <f>IF(AND(H$27&gt;=$D30,H$27&lt;=$E30),$G30,0)</f>
        <v/>
      </c>
      <c r="I30" s="40">
        <f>IF(AND(I$27&gt;=$D30,I$27&lt;=$E30),$G30,0)</f>
        <v/>
      </c>
      <c r="J30" s="40">
        <f>IF(AND(J$27&gt;=$D30,J$27&lt;=$E30),$G30,0)</f>
        <v/>
      </c>
      <c r="K30" s="40">
        <f>IF(AND(K$27&gt;=$D30,K$27&lt;=$E30),$G30,0)</f>
        <v/>
      </c>
      <c r="L30" s="40">
        <f>IF(AND(L$27&gt;=$D30,L$27&lt;=$E30),$G30,0)</f>
        <v/>
      </c>
      <c r="M30" s="40">
        <f>IF(AND(M$27&gt;=$D30,M$27&lt;=$E30),$G30,0)</f>
        <v/>
      </c>
      <c r="N30" s="40">
        <f>IF(AND(N$27&gt;=$D30,N$27&lt;=$E30),$G30,0)</f>
        <v/>
      </c>
      <c r="O30" s="40">
        <f>IF(AND(O$27&gt;=$D30,O$27&lt;=$E30),$G30,0)</f>
        <v/>
      </c>
      <c r="P30" s="40">
        <f>IF(AND(P$27&gt;=$D30,P$27&lt;=$E30),$G30,0)</f>
        <v/>
      </c>
      <c r="Q30" s="40">
        <f>IF(AND(Q$27&gt;=$D30,Q$27&lt;=$E30),$G30,0)</f>
        <v/>
      </c>
      <c r="R30" s="40">
        <f>IF(AND(R$27&gt;=$D30,R$27&lt;=$E30),$G30,0)</f>
        <v/>
      </c>
      <c r="S30" s="40">
        <f>IF(AND(S$27&gt;=$D30,S$27&lt;=$E30),$G30,0)</f>
        <v/>
      </c>
      <c r="T30" s="40">
        <f>IF(AND(T$27&gt;=$D30,T$27&lt;=$E30),$G30,0)</f>
        <v/>
      </c>
      <c r="U30" s="40">
        <f>IF(AND(U$27&gt;=$D30,U$27&lt;=$E30),$G30,0)</f>
        <v/>
      </c>
      <c r="V30" s="40">
        <f>IF(AND(V$27&gt;=$D30,V$27&lt;=$E30),$G30,0)</f>
        <v/>
      </c>
      <c r="W30" s="40">
        <f>IF(AND(W$27&gt;=$D30,W$27&lt;=$E30),$G30,0)</f>
        <v/>
      </c>
      <c r="X30" s="40">
        <f>IF(AND(X$27&gt;=$D30,X$27&lt;=$E30),$G30,0)</f>
        <v/>
      </c>
      <c r="Y30" s="40">
        <f>IF(AND(Y$27&gt;=$D30,Y$27&lt;=$E30),$G30,0)</f>
        <v/>
      </c>
      <c r="Z30" s="40">
        <f>IF(AND(Z$27&gt;=$D30,Z$27&lt;=$E30),$G30,0)</f>
        <v/>
      </c>
      <c r="AA30" s="40">
        <f>IF(AND(AA$27&gt;=$D30,AA$27&lt;=$E30),$G30,0)</f>
        <v/>
      </c>
      <c r="AB30" s="40">
        <f>IF(AND(AB$27&gt;=$D30,AB$27&lt;=$E30),$G30,0)</f>
        <v/>
      </c>
      <c r="AC30" s="40">
        <f>IF(AND(AC$27&gt;=$D30,AC$27&lt;=$E30),$G30,0)</f>
        <v/>
      </c>
      <c r="AD30" s="40">
        <f>IF(AND(AD$27&gt;=$D30,AD$27&lt;=$E30),$G30,0)</f>
        <v/>
      </c>
      <c r="AE30" s="40">
        <f>IF(AND(AE$27&gt;=$D30,AE$27&lt;=$E30),$G30,0)</f>
        <v/>
      </c>
      <c r="AF30" s="40">
        <f>IF(AND(AF$27&gt;=$D30,AF$27&lt;=$E30),$G30,0)</f>
        <v/>
      </c>
      <c r="AG30" s="40">
        <f>IF(AND(AG$27&gt;=$D30,AG$27&lt;=$E30),$G30,0)</f>
        <v/>
      </c>
      <c r="AH30" s="40">
        <f>IF(AND(AH$27&gt;=$D30,AH$27&lt;=$E30),$G30,0)</f>
        <v/>
      </c>
      <c r="AI30" s="40">
        <f>IF(AND(AI$27&gt;=$D30,AI$27&lt;=$E30),$G30,0)</f>
        <v/>
      </c>
      <c r="AJ30" s="40">
        <f>IF(AND(AJ$27&gt;=$D30,AJ$27&lt;=$E30),$G30,0)</f>
        <v/>
      </c>
      <c r="AK30" s="40">
        <f>IF(AND(AK$27&gt;=$D30,AK$27&lt;=$E30),$G30,0)</f>
        <v/>
      </c>
      <c r="AL30" s="40">
        <f>IF(AND(AL$27&gt;=$D30,AL$27&lt;=$E30),$G30,0)</f>
        <v/>
      </c>
      <c r="AM30" s="40">
        <f>IF(AND(AM$27&gt;=$D30,AM$27&lt;=$E30),$G30,0)</f>
        <v/>
      </c>
      <c r="AN30" s="40">
        <f>IF(AND(AN$27&gt;=$D30,AN$27&lt;=$E30),$G30,0)</f>
        <v/>
      </c>
      <c r="AO30" s="40">
        <f>IF(AND(AO$27&gt;=$D30,AO$27&lt;=$E30),$G30,0)</f>
        <v/>
      </c>
      <c r="AP30" s="40">
        <f>IF(AND(AP$27&gt;=$D30,AP$27&lt;=$E30),$G30,0)</f>
        <v/>
      </c>
      <c r="AQ30" s="40">
        <f>IF(AND(AQ$27&gt;=$D30,AQ$27&lt;=$E30),$G30,0)</f>
        <v/>
      </c>
    </row>
    <row r="31" ht="18" customHeight="1">
      <c r="B31" s="37" t="inlineStr">
        <is>
          <t>Mov. Terra</t>
        </is>
      </c>
      <c r="C31" s="31" t="n">
        <v>187094.7</v>
      </c>
      <c r="D31" s="30" t="n">
        <v>1</v>
      </c>
      <c r="E31" s="30" t="n">
        <v>4</v>
      </c>
      <c r="F31" s="38">
        <f>IF(E31&gt;=D31,E31-D31+1,0)</f>
        <v/>
      </c>
      <c r="G31" s="39">
        <f>IF(F31&gt;0,C31/F31,0)</f>
        <v/>
      </c>
      <c r="H31" s="40">
        <f>IF(AND(H$27&gt;=$D31,H$27&lt;=$E31),$G31,0)</f>
        <v/>
      </c>
      <c r="I31" s="40">
        <f>IF(AND(I$27&gt;=$D31,I$27&lt;=$E31),$G31,0)</f>
        <v/>
      </c>
      <c r="J31" s="40">
        <f>IF(AND(J$27&gt;=$D31,J$27&lt;=$E31),$G31,0)</f>
        <v/>
      </c>
      <c r="K31" s="40">
        <f>IF(AND(K$27&gt;=$D31,K$27&lt;=$E31),$G31,0)</f>
        <v/>
      </c>
      <c r="L31" s="40">
        <f>IF(AND(L$27&gt;=$D31,L$27&lt;=$E31),$G31,0)</f>
        <v/>
      </c>
      <c r="M31" s="40">
        <f>IF(AND(M$27&gt;=$D31,M$27&lt;=$E31),$G31,0)</f>
        <v/>
      </c>
      <c r="N31" s="40">
        <f>IF(AND(N$27&gt;=$D31,N$27&lt;=$E31),$G31,0)</f>
        <v/>
      </c>
      <c r="O31" s="40">
        <f>IF(AND(O$27&gt;=$D31,O$27&lt;=$E31),$G31,0)</f>
        <v/>
      </c>
      <c r="P31" s="40">
        <f>IF(AND(P$27&gt;=$D31,P$27&lt;=$E31),$G31,0)</f>
        <v/>
      </c>
      <c r="Q31" s="40">
        <f>IF(AND(Q$27&gt;=$D31,Q$27&lt;=$E31),$G31,0)</f>
        <v/>
      </c>
      <c r="R31" s="40">
        <f>IF(AND(R$27&gt;=$D31,R$27&lt;=$E31),$G31,0)</f>
        <v/>
      </c>
      <c r="S31" s="40">
        <f>IF(AND(S$27&gt;=$D31,S$27&lt;=$E31),$G31,0)</f>
        <v/>
      </c>
      <c r="T31" s="40">
        <f>IF(AND(T$27&gt;=$D31,T$27&lt;=$E31),$G31,0)</f>
        <v/>
      </c>
      <c r="U31" s="40">
        <f>IF(AND(U$27&gt;=$D31,U$27&lt;=$E31),$G31,0)</f>
        <v/>
      </c>
      <c r="V31" s="40">
        <f>IF(AND(V$27&gt;=$D31,V$27&lt;=$E31),$G31,0)</f>
        <v/>
      </c>
      <c r="W31" s="40">
        <f>IF(AND(W$27&gt;=$D31,W$27&lt;=$E31),$G31,0)</f>
        <v/>
      </c>
      <c r="X31" s="40">
        <f>IF(AND(X$27&gt;=$D31,X$27&lt;=$E31),$G31,0)</f>
        <v/>
      </c>
      <c r="Y31" s="40">
        <f>IF(AND(Y$27&gt;=$D31,Y$27&lt;=$E31),$G31,0)</f>
        <v/>
      </c>
      <c r="Z31" s="40">
        <f>IF(AND(Z$27&gt;=$D31,Z$27&lt;=$E31),$G31,0)</f>
        <v/>
      </c>
      <c r="AA31" s="40">
        <f>IF(AND(AA$27&gt;=$D31,AA$27&lt;=$E31),$G31,0)</f>
        <v/>
      </c>
      <c r="AB31" s="40">
        <f>IF(AND(AB$27&gt;=$D31,AB$27&lt;=$E31),$G31,0)</f>
        <v/>
      </c>
      <c r="AC31" s="40">
        <f>IF(AND(AC$27&gt;=$D31,AC$27&lt;=$E31),$G31,0)</f>
        <v/>
      </c>
      <c r="AD31" s="40">
        <f>IF(AND(AD$27&gt;=$D31,AD$27&lt;=$E31),$G31,0)</f>
        <v/>
      </c>
      <c r="AE31" s="40">
        <f>IF(AND(AE$27&gt;=$D31,AE$27&lt;=$E31),$G31,0)</f>
        <v/>
      </c>
      <c r="AF31" s="40">
        <f>IF(AND(AF$27&gt;=$D31,AF$27&lt;=$E31),$G31,0)</f>
        <v/>
      </c>
      <c r="AG31" s="40">
        <f>IF(AND(AG$27&gt;=$D31,AG$27&lt;=$E31),$G31,0)</f>
        <v/>
      </c>
      <c r="AH31" s="40">
        <f>IF(AND(AH$27&gt;=$D31,AH$27&lt;=$E31),$G31,0)</f>
        <v/>
      </c>
      <c r="AI31" s="40">
        <f>IF(AND(AI$27&gt;=$D31,AI$27&lt;=$E31),$G31,0)</f>
        <v/>
      </c>
      <c r="AJ31" s="40">
        <f>IF(AND(AJ$27&gt;=$D31,AJ$27&lt;=$E31),$G31,0)</f>
        <v/>
      </c>
      <c r="AK31" s="40">
        <f>IF(AND(AK$27&gt;=$D31,AK$27&lt;=$E31),$G31,0)</f>
        <v/>
      </c>
      <c r="AL31" s="40">
        <f>IF(AND(AL$27&gt;=$D31,AL$27&lt;=$E31),$G31,0)</f>
        <v/>
      </c>
      <c r="AM31" s="40">
        <f>IF(AND(AM$27&gt;=$D31,AM$27&lt;=$E31),$G31,0)</f>
        <v/>
      </c>
      <c r="AN31" s="40">
        <f>IF(AND(AN$27&gt;=$D31,AN$27&lt;=$E31),$G31,0)</f>
        <v/>
      </c>
      <c r="AO31" s="40">
        <f>IF(AND(AO$27&gt;=$D31,AO$27&lt;=$E31),$G31,0)</f>
        <v/>
      </c>
      <c r="AP31" s="40">
        <f>IF(AND(AP$27&gt;=$D31,AP$27&lt;=$E31),$G31,0)</f>
        <v/>
      </c>
      <c r="AQ31" s="40">
        <f>IF(AND(AQ$27&gt;=$D31,AQ$27&lt;=$E31),$G31,0)</f>
        <v/>
      </c>
    </row>
    <row r="32" ht="18" customHeight="1">
      <c r="B32" s="37" t="inlineStr">
        <is>
          <t>Supraestrutura</t>
        </is>
      </c>
      <c r="C32" s="31" t="n">
        <v>9074861.219999999</v>
      </c>
      <c r="D32" s="30" t="n">
        <v>4</v>
      </c>
      <c r="E32" s="30" t="n">
        <v>22</v>
      </c>
      <c r="F32" s="38">
        <f>IF(E32&gt;=D32,E32-D32+1,0)</f>
        <v/>
      </c>
      <c r="G32" s="39">
        <f>IF(F32&gt;0,C32/F32,0)</f>
        <v/>
      </c>
      <c r="H32" s="40">
        <f>IF(AND(H$27&gt;=$D32,H$27&lt;=$E32),$G32,0)</f>
        <v/>
      </c>
      <c r="I32" s="40">
        <f>IF(AND(I$27&gt;=$D32,I$27&lt;=$E32),$G32,0)</f>
        <v/>
      </c>
      <c r="J32" s="40">
        <f>IF(AND(J$27&gt;=$D32,J$27&lt;=$E32),$G32,0)</f>
        <v/>
      </c>
      <c r="K32" s="40">
        <f>IF(AND(K$27&gt;=$D32,K$27&lt;=$E32),$G32,0)</f>
        <v/>
      </c>
      <c r="L32" s="40">
        <f>IF(AND(L$27&gt;=$D32,L$27&lt;=$E32),$G32,0)</f>
        <v/>
      </c>
      <c r="M32" s="40">
        <f>IF(AND(M$27&gt;=$D32,M$27&lt;=$E32),$G32,0)</f>
        <v/>
      </c>
      <c r="N32" s="40">
        <f>IF(AND(N$27&gt;=$D32,N$27&lt;=$E32),$G32,0)</f>
        <v/>
      </c>
      <c r="O32" s="40">
        <f>IF(AND(O$27&gt;=$D32,O$27&lt;=$E32),$G32,0)</f>
        <v/>
      </c>
      <c r="P32" s="40">
        <f>IF(AND(P$27&gt;=$D32,P$27&lt;=$E32),$G32,0)</f>
        <v/>
      </c>
      <c r="Q32" s="40">
        <f>IF(AND(Q$27&gt;=$D32,Q$27&lt;=$E32),$G32,0)</f>
        <v/>
      </c>
      <c r="R32" s="40">
        <f>IF(AND(R$27&gt;=$D32,R$27&lt;=$E32),$G32,0)</f>
        <v/>
      </c>
      <c r="S32" s="40">
        <f>IF(AND(S$27&gt;=$D32,S$27&lt;=$E32),$G32,0)</f>
        <v/>
      </c>
      <c r="T32" s="40">
        <f>IF(AND(T$27&gt;=$D32,T$27&lt;=$E32),$G32,0)</f>
        <v/>
      </c>
      <c r="U32" s="40">
        <f>IF(AND(U$27&gt;=$D32,U$27&lt;=$E32),$G32,0)</f>
        <v/>
      </c>
      <c r="V32" s="40">
        <f>IF(AND(V$27&gt;=$D32,V$27&lt;=$E32),$G32,0)</f>
        <v/>
      </c>
      <c r="W32" s="40">
        <f>IF(AND(W$27&gt;=$D32,W$27&lt;=$E32),$G32,0)</f>
        <v/>
      </c>
      <c r="X32" s="40">
        <f>IF(AND(X$27&gt;=$D32,X$27&lt;=$E32),$G32,0)</f>
        <v/>
      </c>
      <c r="Y32" s="40">
        <f>IF(AND(Y$27&gt;=$D32,Y$27&lt;=$E32),$G32,0)</f>
        <v/>
      </c>
      <c r="Z32" s="40">
        <f>IF(AND(Z$27&gt;=$D32,Z$27&lt;=$E32),$G32,0)</f>
        <v/>
      </c>
      <c r="AA32" s="40">
        <f>IF(AND(AA$27&gt;=$D32,AA$27&lt;=$E32),$G32,0)</f>
        <v/>
      </c>
      <c r="AB32" s="40">
        <f>IF(AND(AB$27&gt;=$D32,AB$27&lt;=$E32),$G32,0)</f>
        <v/>
      </c>
      <c r="AC32" s="40">
        <f>IF(AND(AC$27&gt;=$D32,AC$27&lt;=$E32),$G32,0)</f>
        <v/>
      </c>
      <c r="AD32" s="40">
        <f>IF(AND(AD$27&gt;=$D32,AD$27&lt;=$E32),$G32,0)</f>
        <v/>
      </c>
      <c r="AE32" s="40">
        <f>IF(AND(AE$27&gt;=$D32,AE$27&lt;=$E32),$G32,0)</f>
        <v/>
      </c>
      <c r="AF32" s="40">
        <f>IF(AND(AF$27&gt;=$D32,AF$27&lt;=$E32),$G32,0)</f>
        <v/>
      </c>
      <c r="AG32" s="40">
        <f>IF(AND(AG$27&gt;=$D32,AG$27&lt;=$E32),$G32,0)</f>
        <v/>
      </c>
      <c r="AH32" s="40">
        <f>IF(AND(AH$27&gt;=$D32,AH$27&lt;=$E32),$G32,0)</f>
        <v/>
      </c>
      <c r="AI32" s="40">
        <f>IF(AND(AI$27&gt;=$D32,AI$27&lt;=$E32),$G32,0)</f>
        <v/>
      </c>
      <c r="AJ32" s="40">
        <f>IF(AND(AJ$27&gt;=$D32,AJ$27&lt;=$E32),$G32,0)</f>
        <v/>
      </c>
      <c r="AK32" s="40">
        <f>IF(AND(AK$27&gt;=$D32,AK$27&lt;=$E32),$G32,0)</f>
        <v/>
      </c>
      <c r="AL32" s="40">
        <f>IF(AND(AL$27&gt;=$D32,AL$27&lt;=$E32),$G32,0)</f>
        <v/>
      </c>
      <c r="AM32" s="40">
        <f>IF(AND(AM$27&gt;=$D32,AM$27&lt;=$E32),$G32,0)</f>
        <v/>
      </c>
      <c r="AN32" s="40">
        <f>IF(AND(AN$27&gt;=$D32,AN$27&lt;=$E32),$G32,0)</f>
        <v/>
      </c>
      <c r="AO32" s="40">
        <f>IF(AND(AO$27&gt;=$D32,AO$27&lt;=$E32),$G32,0)</f>
        <v/>
      </c>
      <c r="AP32" s="40">
        <f>IF(AND(AP$27&gt;=$D32,AP$27&lt;=$E32),$G32,0)</f>
        <v/>
      </c>
      <c r="AQ32" s="40">
        <f>IF(AND(AQ$27&gt;=$D32,AQ$27&lt;=$E32),$G32,0)</f>
        <v/>
      </c>
    </row>
    <row r="33" ht="18" customHeight="1">
      <c r="B33" s="37" t="inlineStr">
        <is>
          <t>Impermeabilização</t>
        </is>
      </c>
      <c r="C33" s="31" t="n">
        <v>665069.0600000001</v>
      </c>
      <c r="D33" s="30" t="n">
        <v>6</v>
      </c>
      <c r="E33" s="30" t="n">
        <v>30</v>
      </c>
      <c r="F33" s="38">
        <f>IF(E33&gt;=D33,E33-D33+1,0)</f>
        <v/>
      </c>
      <c r="G33" s="39">
        <f>IF(F33&gt;0,C33/F33,0)</f>
        <v/>
      </c>
      <c r="H33" s="40">
        <f>IF(AND(H$27&gt;=$D33,H$27&lt;=$E33),$G33,0)</f>
        <v/>
      </c>
      <c r="I33" s="40">
        <f>IF(AND(I$27&gt;=$D33,I$27&lt;=$E33),$G33,0)</f>
        <v/>
      </c>
      <c r="J33" s="40">
        <f>IF(AND(J$27&gt;=$D33,J$27&lt;=$E33),$G33,0)</f>
        <v/>
      </c>
      <c r="K33" s="40">
        <f>IF(AND(K$27&gt;=$D33,K$27&lt;=$E33),$G33,0)</f>
        <v/>
      </c>
      <c r="L33" s="40">
        <f>IF(AND(L$27&gt;=$D33,L$27&lt;=$E33),$G33,0)</f>
        <v/>
      </c>
      <c r="M33" s="40">
        <f>IF(AND(M$27&gt;=$D33,M$27&lt;=$E33),$G33,0)</f>
        <v/>
      </c>
      <c r="N33" s="40">
        <f>IF(AND(N$27&gt;=$D33,N$27&lt;=$E33),$G33,0)</f>
        <v/>
      </c>
      <c r="O33" s="40">
        <f>IF(AND(O$27&gt;=$D33,O$27&lt;=$E33),$G33,0)</f>
        <v/>
      </c>
      <c r="P33" s="40">
        <f>IF(AND(P$27&gt;=$D33,P$27&lt;=$E33),$G33,0)</f>
        <v/>
      </c>
      <c r="Q33" s="40">
        <f>IF(AND(Q$27&gt;=$D33,Q$27&lt;=$E33),$G33,0)</f>
        <v/>
      </c>
      <c r="R33" s="40">
        <f>IF(AND(R$27&gt;=$D33,R$27&lt;=$E33),$G33,0)</f>
        <v/>
      </c>
      <c r="S33" s="40">
        <f>IF(AND(S$27&gt;=$D33,S$27&lt;=$E33),$G33,0)</f>
        <v/>
      </c>
      <c r="T33" s="40">
        <f>IF(AND(T$27&gt;=$D33,T$27&lt;=$E33),$G33,0)</f>
        <v/>
      </c>
      <c r="U33" s="40">
        <f>IF(AND(U$27&gt;=$D33,U$27&lt;=$E33),$G33,0)</f>
        <v/>
      </c>
      <c r="V33" s="40">
        <f>IF(AND(V$27&gt;=$D33,V$27&lt;=$E33),$G33,0)</f>
        <v/>
      </c>
      <c r="W33" s="40">
        <f>IF(AND(W$27&gt;=$D33,W$27&lt;=$E33),$G33,0)</f>
        <v/>
      </c>
      <c r="X33" s="40">
        <f>IF(AND(X$27&gt;=$D33,X$27&lt;=$E33),$G33,0)</f>
        <v/>
      </c>
      <c r="Y33" s="40">
        <f>IF(AND(Y$27&gt;=$D33,Y$27&lt;=$E33),$G33,0)</f>
        <v/>
      </c>
      <c r="Z33" s="40">
        <f>IF(AND(Z$27&gt;=$D33,Z$27&lt;=$E33),$G33,0)</f>
        <v/>
      </c>
      <c r="AA33" s="40">
        <f>IF(AND(AA$27&gt;=$D33,AA$27&lt;=$E33),$G33,0)</f>
        <v/>
      </c>
      <c r="AB33" s="40">
        <f>IF(AND(AB$27&gt;=$D33,AB$27&lt;=$E33),$G33,0)</f>
        <v/>
      </c>
      <c r="AC33" s="40">
        <f>IF(AND(AC$27&gt;=$D33,AC$27&lt;=$E33),$G33,0)</f>
        <v/>
      </c>
      <c r="AD33" s="40">
        <f>IF(AND(AD$27&gt;=$D33,AD$27&lt;=$E33),$G33,0)</f>
        <v/>
      </c>
      <c r="AE33" s="40">
        <f>IF(AND(AE$27&gt;=$D33,AE$27&lt;=$E33),$G33,0)</f>
        <v/>
      </c>
      <c r="AF33" s="40">
        <f>IF(AND(AF$27&gt;=$D33,AF$27&lt;=$E33),$G33,0)</f>
        <v/>
      </c>
      <c r="AG33" s="40">
        <f>IF(AND(AG$27&gt;=$D33,AG$27&lt;=$E33),$G33,0)</f>
        <v/>
      </c>
      <c r="AH33" s="40">
        <f>IF(AND(AH$27&gt;=$D33,AH$27&lt;=$E33),$G33,0)</f>
        <v/>
      </c>
      <c r="AI33" s="40">
        <f>IF(AND(AI$27&gt;=$D33,AI$27&lt;=$E33),$G33,0)</f>
        <v/>
      </c>
      <c r="AJ33" s="40">
        <f>IF(AND(AJ$27&gt;=$D33,AJ$27&lt;=$E33),$G33,0)</f>
        <v/>
      </c>
      <c r="AK33" s="40">
        <f>IF(AND(AK$27&gt;=$D33,AK$27&lt;=$E33),$G33,0)</f>
        <v/>
      </c>
      <c r="AL33" s="40">
        <f>IF(AND(AL$27&gt;=$D33,AL$27&lt;=$E33),$G33,0)</f>
        <v/>
      </c>
      <c r="AM33" s="40">
        <f>IF(AND(AM$27&gt;=$D33,AM$27&lt;=$E33),$G33,0)</f>
        <v/>
      </c>
      <c r="AN33" s="40">
        <f>IF(AND(AN$27&gt;=$D33,AN$27&lt;=$E33),$G33,0)</f>
        <v/>
      </c>
      <c r="AO33" s="40">
        <f>IF(AND(AO$27&gt;=$D33,AO$27&lt;=$E33),$G33,0)</f>
        <v/>
      </c>
      <c r="AP33" s="40">
        <f>IF(AND(AP$27&gt;=$D33,AP$27&lt;=$E33),$G33,0)</f>
        <v/>
      </c>
      <c r="AQ33" s="40">
        <f>IF(AND(AQ$27&gt;=$D33,AQ$27&lt;=$E33),$G33,0)</f>
        <v/>
      </c>
    </row>
    <row r="34" ht="18" customHeight="1">
      <c r="B34" s="37" t="inlineStr">
        <is>
          <t>Alvenaria</t>
        </is>
      </c>
      <c r="C34" s="31" t="n">
        <v>1336776.75</v>
      </c>
      <c r="D34" s="30" t="n">
        <v>10</v>
      </c>
      <c r="E34" s="30" t="n">
        <v>26</v>
      </c>
      <c r="F34" s="38">
        <f>IF(E34&gt;=D34,E34-D34+1,0)</f>
        <v/>
      </c>
      <c r="G34" s="39">
        <f>IF(F34&gt;0,C34/F34,0)</f>
        <v/>
      </c>
      <c r="H34" s="40">
        <f>IF(AND(H$27&gt;=$D34,H$27&lt;=$E34),$G34,0)</f>
        <v/>
      </c>
      <c r="I34" s="40">
        <f>IF(AND(I$27&gt;=$D34,I$27&lt;=$E34),$G34,0)</f>
        <v/>
      </c>
      <c r="J34" s="40">
        <f>IF(AND(J$27&gt;=$D34,J$27&lt;=$E34),$G34,0)</f>
        <v/>
      </c>
      <c r="K34" s="40">
        <f>IF(AND(K$27&gt;=$D34,K$27&lt;=$E34),$G34,0)</f>
        <v/>
      </c>
      <c r="L34" s="40">
        <f>IF(AND(L$27&gt;=$D34,L$27&lt;=$E34),$G34,0)</f>
        <v/>
      </c>
      <c r="M34" s="40">
        <f>IF(AND(M$27&gt;=$D34,M$27&lt;=$E34),$G34,0)</f>
        <v/>
      </c>
      <c r="N34" s="40">
        <f>IF(AND(N$27&gt;=$D34,N$27&lt;=$E34),$G34,0)</f>
        <v/>
      </c>
      <c r="O34" s="40">
        <f>IF(AND(O$27&gt;=$D34,O$27&lt;=$E34),$G34,0)</f>
        <v/>
      </c>
      <c r="P34" s="40">
        <f>IF(AND(P$27&gt;=$D34,P$27&lt;=$E34),$G34,0)</f>
        <v/>
      </c>
      <c r="Q34" s="40">
        <f>IF(AND(Q$27&gt;=$D34,Q$27&lt;=$E34),$G34,0)</f>
        <v/>
      </c>
      <c r="R34" s="40">
        <f>IF(AND(R$27&gt;=$D34,R$27&lt;=$E34),$G34,0)</f>
        <v/>
      </c>
      <c r="S34" s="40">
        <f>IF(AND(S$27&gt;=$D34,S$27&lt;=$E34),$G34,0)</f>
        <v/>
      </c>
      <c r="T34" s="40">
        <f>IF(AND(T$27&gt;=$D34,T$27&lt;=$E34),$G34,0)</f>
        <v/>
      </c>
      <c r="U34" s="40">
        <f>IF(AND(U$27&gt;=$D34,U$27&lt;=$E34),$G34,0)</f>
        <v/>
      </c>
      <c r="V34" s="40">
        <f>IF(AND(V$27&gt;=$D34,V$27&lt;=$E34),$G34,0)</f>
        <v/>
      </c>
      <c r="W34" s="40">
        <f>IF(AND(W$27&gt;=$D34,W$27&lt;=$E34),$G34,0)</f>
        <v/>
      </c>
      <c r="X34" s="40">
        <f>IF(AND(X$27&gt;=$D34,X$27&lt;=$E34),$G34,0)</f>
        <v/>
      </c>
      <c r="Y34" s="40">
        <f>IF(AND(Y$27&gt;=$D34,Y$27&lt;=$E34),$G34,0)</f>
        <v/>
      </c>
      <c r="Z34" s="40">
        <f>IF(AND(Z$27&gt;=$D34,Z$27&lt;=$E34),$G34,0)</f>
        <v/>
      </c>
      <c r="AA34" s="40">
        <f>IF(AND(AA$27&gt;=$D34,AA$27&lt;=$E34),$G34,0)</f>
        <v/>
      </c>
      <c r="AB34" s="40">
        <f>IF(AND(AB$27&gt;=$D34,AB$27&lt;=$E34),$G34,0)</f>
        <v/>
      </c>
      <c r="AC34" s="40">
        <f>IF(AND(AC$27&gt;=$D34,AC$27&lt;=$E34),$G34,0)</f>
        <v/>
      </c>
      <c r="AD34" s="40">
        <f>IF(AND(AD$27&gt;=$D34,AD$27&lt;=$E34),$G34,0)</f>
        <v/>
      </c>
      <c r="AE34" s="40">
        <f>IF(AND(AE$27&gt;=$D34,AE$27&lt;=$E34),$G34,0)</f>
        <v/>
      </c>
      <c r="AF34" s="40">
        <f>IF(AND(AF$27&gt;=$D34,AF$27&lt;=$E34),$G34,0)</f>
        <v/>
      </c>
      <c r="AG34" s="40">
        <f>IF(AND(AG$27&gt;=$D34,AG$27&lt;=$E34),$G34,0)</f>
        <v/>
      </c>
      <c r="AH34" s="40">
        <f>IF(AND(AH$27&gt;=$D34,AH$27&lt;=$E34),$G34,0)</f>
        <v/>
      </c>
      <c r="AI34" s="40">
        <f>IF(AND(AI$27&gt;=$D34,AI$27&lt;=$E34),$G34,0)</f>
        <v/>
      </c>
      <c r="AJ34" s="40">
        <f>IF(AND(AJ$27&gt;=$D34,AJ$27&lt;=$E34),$G34,0)</f>
        <v/>
      </c>
      <c r="AK34" s="40">
        <f>IF(AND(AK$27&gt;=$D34,AK$27&lt;=$E34),$G34,0)</f>
        <v/>
      </c>
      <c r="AL34" s="40">
        <f>IF(AND(AL$27&gt;=$D34,AL$27&lt;=$E34),$G34,0)</f>
        <v/>
      </c>
      <c r="AM34" s="40">
        <f>IF(AND(AM$27&gt;=$D34,AM$27&lt;=$E34),$G34,0)</f>
        <v/>
      </c>
      <c r="AN34" s="40">
        <f>IF(AND(AN$27&gt;=$D34,AN$27&lt;=$E34),$G34,0)</f>
        <v/>
      </c>
      <c r="AO34" s="40">
        <f>IF(AND(AO$27&gt;=$D34,AO$27&lt;=$E34),$G34,0)</f>
        <v/>
      </c>
      <c r="AP34" s="40">
        <f>IF(AND(AP$27&gt;=$D34,AP$27&lt;=$E34),$G34,0)</f>
        <v/>
      </c>
      <c r="AQ34" s="40">
        <f>IF(AND(AQ$27&gt;=$D34,AQ$27&lt;=$E34),$G34,0)</f>
        <v/>
      </c>
    </row>
    <row r="35" ht="18" customHeight="1">
      <c r="B35" s="37" t="inlineStr">
        <is>
          <t>Instalações</t>
        </is>
      </c>
      <c r="C35" s="31" t="n">
        <v>4918220.743799999</v>
      </c>
      <c r="D35" s="30" t="n">
        <v>12</v>
      </c>
      <c r="E35" s="30" t="n">
        <v>34</v>
      </c>
      <c r="F35" s="38">
        <f>IF(E35&gt;=D35,E35-D35+1,0)</f>
        <v/>
      </c>
      <c r="G35" s="39">
        <f>IF(F35&gt;0,C35/F35,0)</f>
        <v/>
      </c>
      <c r="H35" s="40">
        <f>IF(AND(H$27&gt;=$D35,H$27&lt;=$E35),$G35,0)</f>
        <v/>
      </c>
      <c r="I35" s="40">
        <f>IF(AND(I$27&gt;=$D35,I$27&lt;=$E35),$G35,0)</f>
        <v/>
      </c>
      <c r="J35" s="40">
        <f>IF(AND(J$27&gt;=$D35,J$27&lt;=$E35),$G35,0)</f>
        <v/>
      </c>
      <c r="K35" s="40">
        <f>IF(AND(K$27&gt;=$D35,K$27&lt;=$E35),$G35,0)</f>
        <v/>
      </c>
      <c r="L35" s="40">
        <f>IF(AND(L$27&gt;=$D35,L$27&lt;=$E35),$G35,0)</f>
        <v/>
      </c>
      <c r="M35" s="40">
        <f>IF(AND(M$27&gt;=$D35,M$27&lt;=$E35),$G35,0)</f>
        <v/>
      </c>
      <c r="N35" s="40">
        <f>IF(AND(N$27&gt;=$D35,N$27&lt;=$E35),$G35,0)</f>
        <v/>
      </c>
      <c r="O35" s="40">
        <f>IF(AND(O$27&gt;=$D35,O$27&lt;=$E35),$G35,0)</f>
        <v/>
      </c>
      <c r="P35" s="40">
        <f>IF(AND(P$27&gt;=$D35,P$27&lt;=$E35),$G35,0)</f>
        <v/>
      </c>
      <c r="Q35" s="40">
        <f>IF(AND(Q$27&gt;=$D35,Q$27&lt;=$E35),$G35,0)</f>
        <v/>
      </c>
      <c r="R35" s="40">
        <f>IF(AND(R$27&gt;=$D35,R$27&lt;=$E35),$G35,0)</f>
        <v/>
      </c>
      <c r="S35" s="40">
        <f>IF(AND(S$27&gt;=$D35,S$27&lt;=$E35),$G35,0)</f>
        <v/>
      </c>
      <c r="T35" s="40">
        <f>IF(AND(T$27&gt;=$D35,T$27&lt;=$E35),$G35,0)</f>
        <v/>
      </c>
      <c r="U35" s="40">
        <f>IF(AND(U$27&gt;=$D35,U$27&lt;=$E35),$G35,0)</f>
        <v/>
      </c>
      <c r="V35" s="40">
        <f>IF(AND(V$27&gt;=$D35,V$27&lt;=$E35),$G35,0)</f>
        <v/>
      </c>
      <c r="W35" s="40">
        <f>IF(AND(W$27&gt;=$D35,W$27&lt;=$E35),$G35,0)</f>
        <v/>
      </c>
      <c r="X35" s="40">
        <f>IF(AND(X$27&gt;=$D35,X$27&lt;=$E35),$G35,0)</f>
        <v/>
      </c>
      <c r="Y35" s="40">
        <f>IF(AND(Y$27&gt;=$D35,Y$27&lt;=$E35),$G35,0)</f>
        <v/>
      </c>
      <c r="Z35" s="40">
        <f>IF(AND(Z$27&gt;=$D35,Z$27&lt;=$E35),$G35,0)</f>
        <v/>
      </c>
      <c r="AA35" s="40">
        <f>IF(AND(AA$27&gt;=$D35,AA$27&lt;=$E35),$G35,0)</f>
        <v/>
      </c>
      <c r="AB35" s="40">
        <f>IF(AND(AB$27&gt;=$D35,AB$27&lt;=$E35),$G35,0)</f>
        <v/>
      </c>
      <c r="AC35" s="40">
        <f>IF(AND(AC$27&gt;=$D35,AC$27&lt;=$E35),$G35,0)</f>
        <v/>
      </c>
      <c r="AD35" s="40">
        <f>IF(AND(AD$27&gt;=$D35,AD$27&lt;=$E35),$G35,0)</f>
        <v/>
      </c>
      <c r="AE35" s="40">
        <f>IF(AND(AE$27&gt;=$D35,AE$27&lt;=$E35),$G35,0)</f>
        <v/>
      </c>
      <c r="AF35" s="40">
        <f>IF(AND(AF$27&gt;=$D35,AF$27&lt;=$E35),$G35,0)</f>
        <v/>
      </c>
      <c r="AG35" s="40">
        <f>IF(AND(AG$27&gt;=$D35,AG$27&lt;=$E35),$G35,0)</f>
        <v/>
      </c>
      <c r="AH35" s="40">
        <f>IF(AND(AH$27&gt;=$D35,AH$27&lt;=$E35),$G35,0)</f>
        <v/>
      </c>
      <c r="AI35" s="40">
        <f>IF(AND(AI$27&gt;=$D35,AI$27&lt;=$E35),$G35,0)</f>
        <v/>
      </c>
      <c r="AJ35" s="40">
        <f>IF(AND(AJ$27&gt;=$D35,AJ$27&lt;=$E35),$G35,0)</f>
        <v/>
      </c>
      <c r="AK35" s="40">
        <f>IF(AND(AK$27&gt;=$D35,AK$27&lt;=$E35),$G35,0)</f>
        <v/>
      </c>
      <c r="AL35" s="40">
        <f>IF(AND(AL$27&gt;=$D35,AL$27&lt;=$E35),$G35,0)</f>
        <v/>
      </c>
      <c r="AM35" s="40">
        <f>IF(AND(AM$27&gt;=$D35,AM$27&lt;=$E35),$G35,0)</f>
        <v/>
      </c>
      <c r="AN35" s="40">
        <f>IF(AND(AN$27&gt;=$D35,AN$27&lt;=$E35),$G35,0)</f>
        <v/>
      </c>
      <c r="AO35" s="40">
        <f>IF(AND(AO$27&gt;=$D35,AO$27&lt;=$E35),$G35,0)</f>
        <v/>
      </c>
      <c r="AP35" s="40">
        <f>IF(AND(AP$27&gt;=$D35,AP$27&lt;=$E35),$G35,0)</f>
        <v/>
      </c>
      <c r="AQ35" s="40">
        <f>IF(AND(AQ$27&gt;=$D35,AQ$27&lt;=$E35),$G35,0)</f>
        <v/>
      </c>
    </row>
    <row r="36" ht="18" customHeight="1">
      <c r="B36" s="37" t="inlineStr">
        <is>
          <t>Rev. Int. Parede</t>
        </is>
      </c>
      <c r="C36" s="31" t="n">
        <v>2112243</v>
      </c>
      <c r="D36" s="30" t="n">
        <v>18</v>
      </c>
      <c r="E36" s="30" t="n">
        <v>32</v>
      </c>
      <c r="F36" s="38">
        <f>IF(E36&gt;=D36,E36-D36+1,0)</f>
        <v/>
      </c>
      <c r="G36" s="39">
        <f>IF(F36&gt;0,C36/F36,0)</f>
        <v/>
      </c>
      <c r="H36" s="40">
        <f>IF(AND(H$27&gt;=$D36,H$27&lt;=$E36),$G36,0)</f>
        <v/>
      </c>
      <c r="I36" s="40">
        <f>IF(AND(I$27&gt;=$D36,I$27&lt;=$E36),$G36,0)</f>
        <v/>
      </c>
      <c r="J36" s="40">
        <f>IF(AND(J$27&gt;=$D36,J$27&lt;=$E36),$G36,0)</f>
        <v/>
      </c>
      <c r="K36" s="40">
        <f>IF(AND(K$27&gt;=$D36,K$27&lt;=$E36),$G36,0)</f>
        <v/>
      </c>
      <c r="L36" s="40">
        <f>IF(AND(L$27&gt;=$D36,L$27&lt;=$E36),$G36,0)</f>
        <v/>
      </c>
      <c r="M36" s="40">
        <f>IF(AND(M$27&gt;=$D36,M$27&lt;=$E36),$G36,0)</f>
        <v/>
      </c>
      <c r="N36" s="40">
        <f>IF(AND(N$27&gt;=$D36,N$27&lt;=$E36),$G36,0)</f>
        <v/>
      </c>
      <c r="O36" s="40">
        <f>IF(AND(O$27&gt;=$D36,O$27&lt;=$E36),$G36,0)</f>
        <v/>
      </c>
      <c r="P36" s="40">
        <f>IF(AND(P$27&gt;=$D36,P$27&lt;=$E36),$G36,0)</f>
        <v/>
      </c>
      <c r="Q36" s="40">
        <f>IF(AND(Q$27&gt;=$D36,Q$27&lt;=$E36),$G36,0)</f>
        <v/>
      </c>
      <c r="R36" s="40">
        <f>IF(AND(R$27&gt;=$D36,R$27&lt;=$E36),$G36,0)</f>
        <v/>
      </c>
      <c r="S36" s="40">
        <f>IF(AND(S$27&gt;=$D36,S$27&lt;=$E36),$G36,0)</f>
        <v/>
      </c>
      <c r="T36" s="40">
        <f>IF(AND(T$27&gt;=$D36,T$27&lt;=$E36),$G36,0)</f>
        <v/>
      </c>
      <c r="U36" s="40">
        <f>IF(AND(U$27&gt;=$D36,U$27&lt;=$E36),$G36,0)</f>
        <v/>
      </c>
      <c r="V36" s="40">
        <f>IF(AND(V$27&gt;=$D36,V$27&lt;=$E36),$G36,0)</f>
        <v/>
      </c>
      <c r="W36" s="40">
        <f>IF(AND(W$27&gt;=$D36,W$27&lt;=$E36),$G36,0)</f>
        <v/>
      </c>
      <c r="X36" s="40">
        <f>IF(AND(X$27&gt;=$D36,X$27&lt;=$E36),$G36,0)</f>
        <v/>
      </c>
      <c r="Y36" s="40">
        <f>IF(AND(Y$27&gt;=$D36,Y$27&lt;=$E36),$G36,0)</f>
        <v/>
      </c>
      <c r="Z36" s="40">
        <f>IF(AND(Z$27&gt;=$D36,Z$27&lt;=$E36),$G36,0)</f>
        <v/>
      </c>
      <c r="AA36" s="40">
        <f>IF(AND(AA$27&gt;=$D36,AA$27&lt;=$E36),$G36,0)</f>
        <v/>
      </c>
      <c r="AB36" s="40">
        <f>IF(AND(AB$27&gt;=$D36,AB$27&lt;=$E36),$G36,0)</f>
        <v/>
      </c>
      <c r="AC36" s="40">
        <f>IF(AND(AC$27&gt;=$D36,AC$27&lt;=$E36),$G36,0)</f>
        <v/>
      </c>
      <c r="AD36" s="40">
        <f>IF(AND(AD$27&gt;=$D36,AD$27&lt;=$E36),$G36,0)</f>
        <v/>
      </c>
      <c r="AE36" s="40">
        <f>IF(AND(AE$27&gt;=$D36,AE$27&lt;=$E36),$G36,0)</f>
        <v/>
      </c>
      <c r="AF36" s="40">
        <f>IF(AND(AF$27&gt;=$D36,AF$27&lt;=$E36),$G36,0)</f>
        <v/>
      </c>
      <c r="AG36" s="40">
        <f>IF(AND(AG$27&gt;=$D36,AG$27&lt;=$E36),$G36,0)</f>
        <v/>
      </c>
      <c r="AH36" s="40">
        <f>IF(AND(AH$27&gt;=$D36,AH$27&lt;=$E36),$G36,0)</f>
        <v/>
      </c>
      <c r="AI36" s="40">
        <f>IF(AND(AI$27&gt;=$D36,AI$27&lt;=$E36),$G36,0)</f>
        <v/>
      </c>
      <c r="AJ36" s="40">
        <f>IF(AND(AJ$27&gt;=$D36,AJ$27&lt;=$E36),$G36,0)</f>
        <v/>
      </c>
      <c r="AK36" s="40">
        <f>IF(AND(AK$27&gt;=$D36,AK$27&lt;=$E36),$G36,0)</f>
        <v/>
      </c>
      <c r="AL36" s="40">
        <f>IF(AND(AL$27&gt;=$D36,AL$27&lt;=$E36),$G36,0)</f>
        <v/>
      </c>
      <c r="AM36" s="40">
        <f>IF(AND(AM$27&gt;=$D36,AM$27&lt;=$E36),$G36,0)</f>
        <v/>
      </c>
      <c r="AN36" s="40">
        <f>IF(AND(AN$27&gt;=$D36,AN$27&lt;=$E36),$G36,0)</f>
        <v/>
      </c>
      <c r="AO36" s="40">
        <f>IF(AND(AO$27&gt;=$D36,AO$27&lt;=$E36),$G36,0)</f>
        <v/>
      </c>
      <c r="AP36" s="40">
        <f>IF(AND(AP$27&gt;=$D36,AP$27&lt;=$E36),$G36,0)</f>
        <v/>
      </c>
      <c r="AQ36" s="40">
        <f>IF(AND(AQ$27&gt;=$D36,AQ$27&lt;=$E36),$G36,0)</f>
        <v/>
      </c>
    </row>
    <row r="37" ht="18" customHeight="1">
      <c r="B37" s="37" t="inlineStr">
        <is>
          <t>Fachada</t>
        </is>
      </c>
      <c r="C37" s="31" t="n">
        <v>1894634</v>
      </c>
      <c r="D37" s="30" t="n">
        <v>18</v>
      </c>
      <c r="E37" s="30" t="n">
        <v>32</v>
      </c>
      <c r="F37" s="38">
        <f>IF(E37&gt;=D37,E37-D37+1,0)</f>
        <v/>
      </c>
      <c r="G37" s="39">
        <f>IF(F37&gt;0,C37/F37,0)</f>
        <v/>
      </c>
      <c r="H37" s="40">
        <f>IF(AND(H$27&gt;=$D37,H$27&lt;=$E37),$G37,0)</f>
        <v/>
      </c>
      <c r="I37" s="40">
        <f>IF(AND(I$27&gt;=$D37,I$27&lt;=$E37),$G37,0)</f>
        <v/>
      </c>
      <c r="J37" s="40">
        <f>IF(AND(J$27&gt;=$D37,J$27&lt;=$E37),$G37,0)</f>
        <v/>
      </c>
      <c r="K37" s="40">
        <f>IF(AND(K$27&gt;=$D37,K$27&lt;=$E37),$G37,0)</f>
        <v/>
      </c>
      <c r="L37" s="40">
        <f>IF(AND(L$27&gt;=$D37,L$27&lt;=$E37),$G37,0)</f>
        <v/>
      </c>
      <c r="M37" s="40">
        <f>IF(AND(M$27&gt;=$D37,M$27&lt;=$E37),$G37,0)</f>
        <v/>
      </c>
      <c r="N37" s="40">
        <f>IF(AND(N$27&gt;=$D37,N$27&lt;=$E37),$G37,0)</f>
        <v/>
      </c>
      <c r="O37" s="40">
        <f>IF(AND(O$27&gt;=$D37,O$27&lt;=$E37),$G37,0)</f>
        <v/>
      </c>
      <c r="P37" s="40">
        <f>IF(AND(P$27&gt;=$D37,P$27&lt;=$E37),$G37,0)</f>
        <v/>
      </c>
      <c r="Q37" s="40">
        <f>IF(AND(Q$27&gt;=$D37,Q$27&lt;=$E37),$G37,0)</f>
        <v/>
      </c>
      <c r="R37" s="40">
        <f>IF(AND(R$27&gt;=$D37,R$27&lt;=$E37),$G37,0)</f>
        <v/>
      </c>
      <c r="S37" s="40">
        <f>IF(AND(S$27&gt;=$D37,S$27&lt;=$E37),$G37,0)</f>
        <v/>
      </c>
      <c r="T37" s="40">
        <f>IF(AND(T$27&gt;=$D37,T$27&lt;=$E37),$G37,0)</f>
        <v/>
      </c>
      <c r="U37" s="40">
        <f>IF(AND(U$27&gt;=$D37,U$27&lt;=$E37),$G37,0)</f>
        <v/>
      </c>
      <c r="V37" s="40">
        <f>IF(AND(V$27&gt;=$D37,V$27&lt;=$E37),$G37,0)</f>
        <v/>
      </c>
      <c r="W37" s="40">
        <f>IF(AND(W$27&gt;=$D37,W$27&lt;=$E37),$G37,0)</f>
        <v/>
      </c>
      <c r="X37" s="40">
        <f>IF(AND(X$27&gt;=$D37,X$27&lt;=$E37),$G37,0)</f>
        <v/>
      </c>
      <c r="Y37" s="40">
        <f>IF(AND(Y$27&gt;=$D37,Y$27&lt;=$E37),$G37,0)</f>
        <v/>
      </c>
      <c r="Z37" s="40">
        <f>IF(AND(Z$27&gt;=$D37,Z$27&lt;=$E37),$G37,0)</f>
        <v/>
      </c>
      <c r="AA37" s="40">
        <f>IF(AND(AA$27&gt;=$D37,AA$27&lt;=$E37),$G37,0)</f>
        <v/>
      </c>
      <c r="AB37" s="40">
        <f>IF(AND(AB$27&gt;=$D37,AB$27&lt;=$E37),$G37,0)</f>
        <v/>
      </c>
      <c r="AC37" s="40">
        <f>IF(AND(AC$27&gt;=$D37,AC$27&lt;=$E37),$G37,0)</f>
        <v/>
      </c>
      <c r="AD37" s="40">
        <f>IF(AND(AD$27&gt;=$D37,AD$27&lt;=$E37),$G37,0)</f>
        <v/>
      </c>
      <c r="AE37" s="40">
        <f>IF(AND(AE$27&gt;=$D37,AE$27&lt;=$E37),$G37,0)</f>
        <v/>
      </c>
      <c r="AF37" s="40">
        <f>IF(AND(AF$27&gt;=$D37,AF$27&lt;=$E37),$G37,0)</f>
        <v/>
      </c>
      <c r="AG37" s="40">
        <f>IF(AND(AG$27&gt;=$D37,AG$27&lt;=$E37),$G37,0)</f>
        <v/>
      </c>
      <c r="AH37" s="40">
        <f>IF(AND(AH$27&gt;=$D37,AH$27&lt;=$E37),$G37,0)</f>
        <v/>
      </c>
      <c r="AI37" s="40">
        <f>IF(AND(AI$27&gt;=$D37,AI$27&lt;=$E37),$G37,0)</f>
        <v/>
      </c>
      <c r="AJ37" s="40">
        <f>IF(AND(AJ$27&gt;=$D37,AJ$27&lt;=$E37),$G37,0)</f>
        <v/>
      </c>
      <c r="AK37" s="40">
        <f>IF(AND(AK$27&gt;=$D37,AK$27&lt;=$E37),$G37,0)</f>
        <v/>
      </c>
      <c r="AL37" s="40">
        <f>IF(AND(AL$27&gt;=$D37,AL$27&lt;=$E37),$G37,0)</f>
        <v/>
      </c>
      <c r="AM37" s="40">
        <f>IF(AND(AM$27&gt;=$D37,AM$27&lt;=$E37),$G37,0)</f>
        <v/>
      </c>
      <c r="AN37" s="40">
        <f>IF(AND(AN$27&gt;=$D37,AN$27&lt;=$E37),$G37,0)</f>
        <v/>
      </c>
      <c r="AO37" s="40">
        <f>IF(AND(AO$27&gt;=$D37,AO$27&lt;=$E37),$G37,0)</f>
        <v/>
      </c>
      <c r="AP37" s="40">
        <f>IF(AND(AP$27&gt;=$D37,AP$27&lt;=$E37),$G37,0)</f>
        <v/>
      </c>
      <c r="AQ37" s="40">
        <f>IF(AND(AQ$27&gt;=$D37,AQ$27&lt;=$E37),$G37,0)</f>
        <v/>
      </c>
    </row>
    <row r="38" ht="18" customHeight="1">
      <c r="B38" s="37" t="inlineStr">
        <is>
          <t>Esquadrias</t>
        </is>
      </c>
      <c r="C38" s="31" t="n">
        <v>4053718.5</v>
      </c>
      <c r="D38" s="30" t="n">
        <v>22</v>
      </c>
      <c r="E38" s="30" t="n">
        <v>34</v>
      </c>
      <c r="F38" s="38">
        <f>IF(E38&gt;=D38,E38-D38+1,0)</f>
        <v/>
      </c>
      <c r="G38" s="39">
        <f>IF(F38&gt;0,C38/F38,0)</f>
        <v/>
      </c>
      <c r="H38" s="40">
        <f>IF(AND(H$27&gt;=$D38,H$27&lt;=$E38),$G38,0)</f>
        <v/>
      </c>
      <c r="I38" s="40">
        <f>IF(AND(I$27&gt;=$D38,I$27&lt;=$E38),$G38,0)</f>
        <v/>
      </c>
      <c r="J38" s="40">
        <f>IF(AND(J$27&gt;=$D38,J$27&lt;=$E38),$G38,0)</f>
        <v/>
      </c>
      <c r="K38" s="40">
        <f>IF(AND(K$27&gt;=$D38,K$27&lt;=$E38),$G38,0)</f>
        <v/>
      </c>
      <c r="L38" s="40">
        <f>IF(AND(L$27&gt;=$D38,L$27&lt;=$E38),$G38,0)</f>
        <v/>
      </c>
      <c r="M38" s="40">
        <f>IF(AND(M$27&gt;=$D38,M$27&lt;=$E38),$G38,0)</f>
        <v/>
      </c>
      <c r="N38" s="40">
        <f>IF(AND(N$27&gt;=$D38,N$27&lt;=$E38),$G38,0)</f>
        <v/>
      </c>
      <c r="O38" s="40">
        <f>IF(AND(O$27&gt;=$D38,O$27&lt;=$E38),$G38,0)</f>
        <v/>
      </c>
      <c r="P38" s="40">
        <f>IF(AND(P$27&gt;=$D38,P$27&lt;=$E38),$G38,0)</f>
        <v/>
      </c>
      <c r="Q38" s="40">
        <f>IF(AND(Q$27&gt;=$D38,Q$27&lt;=$E38),$G38,0)</f>
        <v/>
      </c>
      <c r="R38" s="40">
        <f>IF(AND(R$27&gt;=$D38,R$27&lt;=$E38),$G38,0)</f>
        <v/>
      </c>
      <c r="S38" s="40">
        <f>IF(AND(S$27&gt;=$D38,S$27&lt;=$E38),$G38,0)</f>
        <v/>
      </c>
      <c r="T38" s="40">
        <f>IF(AND(T$27&gt;=$D38,T$27&lt;=$E38),$G38,0)</f>
        <v/>
      </c>
      <c r="U38" s="40">
        <f>IF(AND(U$27&gt;=$D38,U$27&lt;=$E38),$G38,0)</f>
        <v/>
      </c>
      <c r="V38" s="40">
        <f>IF(AND(V$27&gt;=$D38,V$27&lt;=$E38),$G38,0)</f>
        <v/>
      </c>
      <c r="W38" s="40">
        <f>IF(AND(W$27&gt;=$D38,W$27&lt;=$E38),$G38,0)</f>
        <v/>
      </c>
      <c r="X38" s="40">
        <f>IF(AND(X$27&gt;=$D38,X$27&lt;=$E38),$G38,0)</f>
        <v/>
      </c>
      <c r="Y38" s="40">
        <f>IF(AND(Y$27&gt;=$D38,Y$27&lt;=$E38),$G38,0)</f>
        <v/>
      </c>
      <c r="Z38" s="40">
        <f>IF(AND(Z$27&gt;=$D38,Z$27&lt;=$E38),$G38,0)</f>
        <v/>
      </c>
      <c r="AA38" s="40">
        <f>IF(AND(AA$27&gt;=$D38,AA$27&lt;=$E38),$G38,0)</f>
        <v/>
      </c>
      <c r="AB38" s="40">
        <f>IF(AND(AB$27&gt;=$D38,AB$27&lt;=$E38),$G38,0)</f>
        <v/>
      </c>
      <c r="AC38" s="40">
        <f>IF(AND(AC$27&gt;=$D38,AC$27&lt;=$E38),$G38,0)</f>
        <v/>
      </c>
      <c r="AD38" s="40">
        <f>IF(AND(AD$27&gt;=$D38,AD$27&lt;=$E38),$G38,0)</f>
        <v/>
      </c>
      <c r="AE38" s="40">
        <f>IF(AND(AE$27&gt;=$D38,AE$27&lt;=$E38),$G38,0)</f>
        <v/>
      </c>
      <c r="AF38" s="40">
        <f>IF(AND(AF$27&gt;=$D38,AF$27&lt;=$E38),$G38,0)</f>
        <v/>
      </c>
      <c r="AG38" s="40">
        <f>IF(AND(AG$27&gt;=$D38,AG$27&lt;=$E38),$G38,0)</f>
        <v/>
      </c>
      <c r="AH38" s="40">
        <f>IF(AND(AH$27&gt;=$D38,AH$27&lt;=$E38),$G38,0)</f>
        <v/>
      </c>
      <c r="AI38" s="40">
        <f>IF(AND(AI$27&gt;=$D38,AI$27&lt;=$E38),$G38,0)</f>
        <v/>
      </c>
      <c r="AJ38" s="40">
        <f>IF(AND(AJ$27&gt;=$D38,AJ$27&lt;=$E38),$G38,0)</f>
        <v/>
      </c>
      <c r="AK38" s="40">
        <f>IF(AND(AK$27&gt;=$D38,AK$27&lt;=$E38),$G38,0)</f>
        <v/>
      </c>
      <c r="AL38" s="40">
        <f>IF(AND(AL$27&gt;=$D38,AL$27&lt;=$E38),$G38,0)</f>
        <v/>
      </c>
      <c r="AM38" s="40">
        <f>IF(AND(AM$27&gt;=$D38,AM$27&lt;=$E38),$G38,0)</f>
        <v/>
      </c>
      <c r="AN38" s="40">
        <f>IF(AND(AN$27&gt;=$D38,AN$27&lt;=$E38),$G38,0)</f>
        <v/>
      </c>
      <c r="AO38" s="40">
        <f>IF(AND(AO$27&gt;=$D38,AO$27&lt;=$E38),$G38,0)</f>
        <v/>
      </c>
      <c r="AP38" s="40">
        <f>IF(AND(AP$27&gt;=$D38,AP$27&lt;=$E38),$G38,0)</f>
        <v/>
      </c>
      <c r="AQ38" s="40">
        <f>IF(AND(AQ$27&gt;=$D38,AQ$27&lt;=$E38),$G38,0)</f>
        <v/>
      </c>
    </row>
    <row r="39" ht="18" customHeight="1">
      <c r="B39" s="37" t="inlineStr">
        <is>
          <t>Sist. Especiais</t>
        </is>
      </c>
      <c r="C39" s="31" t="n">
        <v>1490000</v>
      </c>
      <c r="D39" s="30" t="n">
        <v>22</v>
      </c>
      <c r="E39" s="30" t="n">
        <v>35</v>
      </c>
      <c r="F39" s="38">
        <f>IF(E39&gt;=D39,E39-D39+1,0)</f>
        <v/>
      </c>
      <c r="G39" s="39">
        <f>IF(F39&gt;0,C39/F39,0)</f>
        <v/>
      </c>
      <c r="H39" s="40">
        <f>IF(AND(H$27&gt;=$D39,H$27&lt;=$E39),$G39,0)</f>
        <v/>
      </c>
      <c r="I39" s="40">
        <f>IF(AND(I$27&gt;=$D39,I$27&lt;=$E39),$G39,0)</f>
        <v/>
      </c>
      <c r="J39" s="40">
        <f>IF(AND(J$27&gt;=$D39,J$27&lt;=$E39),$G39,0)</f>
        <v/>
      </c>
      <c r="K39" s="40">
        <f>IF(AND(K$27&gt;=$D39,K$27&lt;=$E39),$G39,0)</f>
        <v/>
      </c>
      <c r="L39" s="40">
        <f>IF(AND(L$27&gt;=$D39,L$27&lt;=$E39),$G39,0)</f>
        <v/>
      </c>
      <c r="M39" s="40">
        <f>IF(AND(M$27&gt;=$D39,M$27&lt;=$E39),$G39,0)</f>
        <v/>
      </c>
      <c r="N39" s="40">
        <f>IF(AND(N$27&gt;=$D39,N$27&lt;=$E39),$G39,0)</f>
        <v/>
      </c>
      <c r="O39" s="40">
        <f>IF(AND(O$27&gt;=$D39,O$27&lt;=$E39),$G39,0)</f>
        <v/>
      </c>
      <c r="P39" s="40">
        <f>IF(AND(P$27&gt;=$D39,P$27&lt;=$E39),$G39,0)</f>
        <v/>
      </c>
      <c r="Q39" s="40">
        <f>IF(AND(Q$27&gt;=$D39,Q$27&lt;=$E39),$G39,0)</f>
        <v/>
      </c>
      <c r="R39" s="40">
        <f>IF(AND(R$27&gt;=$D39,R$27&lt;=$E39),$G39,0)</f>
        <v/>
      </c>
      <c r="S39" s="40">
        <f>IF(AND(S$27&gt;=$D39,S$27&lt;=$E39),$G39,0)</f>
        <v/>
      </c>
      <c r="T39" s="40">
        <f>IF(AND(T$27&gt;=$D39,T$27&lt;=$E39),$G39,0)</f>
        <v/>
      </c>
      <c r="U39" s="40">
        <f>IF(AND(U$27&gt;=$D39,U$27&lt;=$E39),$G39,0)</f>
        <v/>
      </c>
      <c r="V39" s="40">
        <f>IF(AND(V$27&gt;=$D39,V$27&lt;=$E39),$G39,0)</f>
        <v/>
      </c>
      <c r="W39" s="40">
        <f>IF(AND(W$27&gt;=$D39,W$27&lt;=$E39),$G39,0)</f>
        <v/>
      </c>
      <c r="X39" s="40">
        <f>IF(AND(X$27&gt;=$D39,X$27&lt;=$E39),$G39,0)</f>
        <v/>
      </c>
      <c r="Y39" s="40">
        <f>IF(AND(Y$27&gt;=$D39,Y$27&lt;=$E39),$G39,0)</f>
        <v/>
      </c>
      <c r="Z39" s="40">
        <f>IF(AND(Z$27&gt;=$D39,Z$27&lt;=$E39),$G39,0)</f>
        <v/>
      </c>
      <c r="AA39" s="40">
        <f>IF(AND(AA$27&gt;=$D39,AA$27&lt;=$E39),$G39,0)</f>
        <v/>
      </c>
      <c r="AB39" s="40">
        <f>IF(AND(AB$27&gt;=$D39,AB$27&lt;=$E39),$G39,0)</f>
        <v/>
      </c>
      <c r="AC39" s="40">
        <f>IF(AND(AC$27&gt;=$D39,AC$27&lt;=$E39),$G39,0)</f>
        <v/>
      </c>
      <c r="AD39" s="40">
        <f>IF(AND(AD$27&gt;=$D39,AD$27&lt;=$E39),$G39,0)</f>
        <v/>
      </c>
      <c r="AE39" s="40">
        <f>IF(AND(AE$27&gt;=$D39,AE$27&lt;=$E39),$G39,0)</f>
        <v/>
      </c>
      <c r="AF39" s="40">
        <f>IF(AND(AF$27&gt;=$D39,AF$27&lt;=$E39),$G39,0)</f>
        <v/>
      </c>
      <c r="AG39" s="40">
        <f>IF(AND(AG$27&gt;=$D39,AG$27&lt;=$E39),$G39,0)</f>
        <v/>
      </c>
      <c r="AH39" s="40">
        <f>IF(AND(AH$27&gt;=$D39,AH$27&lt;=$E39),$G39,0)</f>
        <v/>
      </c>
      <c r="AI39" s="40">
        <f>IF(AND(AI$27&gt;=$D39,AI$27&lt;=$E39),$G39,0)</f>
        <v/>
      </c>
      <c r="AJ39" s="40">
        <f>IF(AND(AJ$27&gt;=$D39,AJ$27&lt;=$E39),$G39,0)</f>
        <v/>
      </c>
      <c r="AK39" s="40">
        <f>IF(AND(AK$27&gt;=$D39,AK$27&lt;=$E39),$G39,0)</f>
        <v/>
      </c>
      <c r="AL39" s="40">
        <f>IF(AND(AL$27&gt;=$D39,AL$27&lt;=$E39),$G39,0)</f>
        <v/>
      </c>
      <c r="AM39" s="40">
        <f>IF(AND(AM$27&gt;=$D39,AM$27&lt;=$E39),$G39,0)</f>
        <v/>
      </c>
      <c r="AN39" s="40">
        <f>IF(AND(AN$27&gt;=$D39,AN$27&lt;=$E39),$G39,0)</f>
        <v/>
      </c>
      <c r="AO39" s="40">
        <f>IF(AND(AO$27&gt;=$D39,AO$27&lt;=$E39),$G39,0)</f>
        <v/>
      </c>
      <c r="AP39" s="40">
        <f>IF(AND(AP$27&gt;=$D39,AP$27&lt;=$E39),$G39,0)</f>
        <v/>
      </c>
      <c r="AQ39" s="40">
        <f>IF(AND(AQ$27&gt;=$D39,AQ$27&lt;=$E39),$G39,0)</f>
        <v/>
      </c>
    </row>
    <row r="40" ht="18" customHeight="1">
      <c r="B40" s="37" t="inlineStr">
        <is>
          <t>Teto</t>
        </is>
      </c>
      <c r="C40" s="31" t="n">
        <v>905729</v>
      </c>
      <c r="D40" s="30" t="n">
        <v>22</v>
      </c>
      <c r="E40" s="30" t="n">
        <v>34</v>
      </c>
      <c r="F40" s="38">
        <f>IF(E40&gt;=D40,E40-D40+1,0)</f>
        <v/>
      </c>
      <c r="G40" s="39">
        <f>IF(F40&gt;0,C40/F40,0)</f>
        <v/>
      </c>
      <c r="H40" s="40">
        <f>IF(AND(H$27&gt;=$D40,H$27&lt;=$E40),$G40,0)</f>
        <v/>
      </c>
      <c r="I40" s="40">
        <f>IF(AND(I$27&gt;=$D40,I$27&lt;=$E40),$G40,0)</f>
        <v/>
      </c>
      <c r="J40" s="40">
        <f>IF(AND(J$27&gt;=$D40,J$27&lt;=$E40),$G40,0)</f>
        <v/>
      </c>
      <c r="K40" s="40">
        <f>IF(AND(K$27&gt;=$D40,K$27&lt;=$E40),$G40,0)</f>
        <v/>
      </c>
      <c r="L40" s="40">
        <f>IF(AND(L$27&gt;=$D40,L$27&lt;=$E40),$G40,0)</f>
        <v/>
      </c>
      <c r="M40" s="40">
        <f>IF(AND(M$27&gt;=$D40,M$27&lt;=$E40),$G40,0)</f>
        <v/>
      </c>
      <c r="N40" s="40">
        <f>IF(AND(N$27&gt;=$D40,N$27&lt;=$E40),$G40,0)</f>
        <v/>
      </c>
      <c r="O40" s="40">
        <f>IF(AND(O$27&gt;=$D40,O$27&lt;=$E40),$G40,0)</f>
        <v/>
      </c>
      <c r="P40" s="40">
        <f>IF(AND(P$27&gt;=$D40,P$27&lt;=$E40),$G40,0)</f>
        <v/>
      </c>
      <c r="Q40" s="40">
        <f>IF(AND(Q$27&gt;=$D40,Q$27&lt;=$E40),$G40,0)</f>
        <v/>
      </c>
      <c r="R40" s="40">
        <f>IF(AND(R$27&gt;=$D40,R$27&lt;=$E40),$G40,0)</f>
        <v/>
      </c>
      <c r="S40" s="40">
        <f>IF(AND(S$27&gt;=$D40,S$27&lt;=$E40),$G40,0)</f>
        <v/>
      </c>
      <c r="T40" s="40">
        <f>IF(AND(T$27&gt;=$D40,T$27&lt;=$E40),$G40,0)</f>
        <v/>
      </c>
      <c r="U40" s="40">
        <f>IF(AND(U$27&gt;=$D40,U$27&lt;=$E40),$G40,0)</f>
        <v/>
      </c>
      <c r="V40" s="40">
        <f>IF(AND(V$27&gt;=$D40,V$27&lt;=$E40),$G40,0)</f>
        <v/>
      </c>
      <c r="W40" s="40">
        <f>IF(AND(W$27&gt;=$D40,W$27&lt;=$E40),$G40,0)</f>
        <v/>
      </c>
      <c r="X40" s="40">
        <f>IF(AND(X$27&gt;=$D40,X$27&lt;=$E40),$G40,0)</f>
        <v/>
      </c>
      <c r="Y40" s="40">
        <f>IF(AND(Y$27&gt;=$D40,Y$27&lt;=$E40),$G40,0)</f>
        <v/>
      </c>
      <c r="Z40" s="40">
        <f>IF(AND(Z$27&gt;=$D40,Z$27&lt;=$E40),$G40,0)</f>
        <v/>
      </c>
      <c r="AA40" s="40">
        <f>IF(AND(AA$27&gt;=$D40,AA$27&lt;=$E40),$G40,0)</f>
        <v/>
      </c>
      <c r="AB40" s="40">
        <f>IF(AND(AB$27&gt;=$D40,AB$27&lt;=$E40),$G40,0)</f>
        <v/>
      </c>
      <c r="AC40" s="40">
        <f>IF(AND(AC$27&gt;=$D40,AC$27&lt;=$E40),$G40,0)</f>
        <v/>
      </c>
      <c r="AD40" s="40">
        <f>IF(AND(AD$27&gt;=$D40,AD$27&lt;=$E40),$G40,0)</f>
        <v/>
      </c>
      <c r="AE40" s="40">
        <f>IF(AND(AE$27&gt;=$D40,AE$27&lt;=$E40),$G40,0)</f>
        <v/>
      </c>
      <c r="AF40" s="40">
        <f>IF(AND(AF$27&gt;=$D40,AF$27&lt;=$E40),$G40,0)</f>
        <v/>
      </c>
      <c r="AG40" s="40">
        <f>IF(AND(AG$27&gt;=$D40,AG$27&lt;=$E40),$G40,0)</f>
        <v/>
      </c>
      <c r="AH40" s="40">
        <f>IF(AND(AH$27&gt;=$D40,AH$27&lt;=$E40),$G40,0)</f>
        <v/>
      </c>
      <c r="AI40" s="40">
        <f>IF(AND(AI$27&gt;=$D40,AI$27&lt;=$E40),$G40,0)</f>
        <v/>
      </c>
      <c r="AJ40" s="40">
        <f>IF(AND(AJ$27&gt;=$D40,AJ$27&lt;=$E40),$G40,0)</f>
        <v/>
      </c>
      <c r="AK40" s="40">
        <f>IF(AND(AK$27&gt;=$D40,AK$27&lt;=$E40),$G40,0)</f>
        <v/>
      </c>
      <c r="AL40" s="40">
        <f>IF(AND(AL$27&gt;=$D40,AL$27&lt;=$E40),$G40,0)</f>
        <v/>
      </c>
      <c r="AM40" s="40">
        <f>IF(AND(AM$27&gt;=$D40,AM$27&lt;=$E40),$G40,0)</f>
        <v/>
      </c>
      <c r="AN40" s="40">
        <f>IF(AND(AN$27&gt;=$D40,AN$27&lt;=$E40),$G40,0)</f>
        <v/>
      </c>
      <c r="AO40" s="40">
        <f>IF(AND(AO$27&gt;=$D40,AO$27&lt;=$E40),$G40,0)</f>
        <v/>
      </c>
      <c r="AP40" s="40">
        <f>IF(AND(AP$27&gt;=$D40,AP$27&lt;=$E40),$G40,0)</f>
        <v/>
      </c>
      <c r="AQ40" s="40">
        <f>IF(AND(AQ$27&gt;=$D40,AQ$27&lt;=$E40),$G40,0)</f>
        <v/>
      </c>
    </row>
    <row r="41" ht="18" customHeight="1">
      <c r="B41" s="37" t="inlineStr">
        <is>
          <t>Pisos</t>
        </is>
      </c>
      <c r="C41" s="31" t="n">
        <v>2293598.57</v>
      </c>
      <c r="D41" s="30" t="n">
        <v>24</v>
      </c>
      <c r="E41" s="30" t="n">
        <v>35</v>
      </c>
      <c r="F41" s="38">
        <f>IF(E41&gt;=D41,E41-D41+1,0)</f>
        <v/>
      </c>
      <c r="G41" s="39">
        <f>IF(F41&gt;0,C41/F41,0)</f>
        <v/>
      </c>
      <c r="H41" s="40">
        <f>IF(AND(H$27&gt;=$D41,H$27&lt;=$E41),$G41,0)</f>
        <v/>
      </c>
      <c r="I41" s="40">
        <f>IF(AND(I$27&gt;=$D41,I$27&lt;=$E41),$G41,0)</f>
        <v/>
      </c>
      <c r="J41" s="40">
        <f>IF(AND(J$27&gt;=$D41,J$27&lt;=$E41),$G41,0)</f>
        <v/>
      </c>
      <c r="K41" s="40">
        <f>IF(AND(K$27&gt;=$D41,K$27&lt;=$E41),$G41,0)</f>
        <v/>
      </c>
      <c r="L41" s="40">
        <f>IF(AND(L$27&gt;=$D41,L$27&lt;=$E41),$G41,0)</f>
        <v/>
      </c>
      <c r="M41" s="40">
        <f>IF(AND(M$27&gt;=$D41,M$27&lt;=$E41),$G41,0)</f>
        <v/>
      </c>
      <c r="N41" s="40">
        <f>IF(AND(N$27&gt;=$D41,N$27&lt;=$E41),$G41,0)</f>
        <v/>
      </c>
      <c r="O41" s="40">
        <f>IF(AND(O$27&gt;=$D41,O$27&lt;=$E41),$G41,0)</f>
        <v/>
      </c>
      <c r="P41" s="40">
        <f>IF(AND(P$27&gt;=$D41,P$27&lt;=$E41),$G41,0)</f>
        <v/>
      </c>
      <c r="Q41" s="40">
        <f>IF(AND(Q$27&gt;=$D41,Q$27&lt;=$E41),$G41,0)</f>
        <v/>
      </c>
      <c r="R41" s="40">
        <f>IF(AND(R$27&gt;=$D41,R$27&lt;=$E41),$G41,0)</f>
        <v/>
      </c>
      <c r="S41" s="40">
        <f>IF(AND(S$27&gt;=$D41,S$27&lt;=$E41),$G41,0)</f>
        <v/>
      </c>
      <c r="T41" s="40">
        <f>IF(AND(T$27&gt;=$D41,T$27&lt;=$E41),$G41,0)</f>
        <v/>
      </c>
      <c r="U41" s="40">
        <f>IF(AND(U$27&gt;=$D41,U$27&lt;=$E41),$G41,0)</f>
        <v/>
      </c>
      <c r="V41" s="40">
        <f>IF(AND(V$27&gt;=$D41,V$27&lt;=$E41),$G41,0)</f>
        <v/>
      </c>
      <c r="W41" s="40">
        <f>IF(AND(W$27&gt;=$D41,W$27&lt;=$E41),$G41,0)</f>
        <v/>
      </c>
      <c r="X41" s="40">
        <f>IF(AND(X$27&gt;=$D41,X$27&lt;=$E41),$G41,0)</f>
        <v/>
      </c>
      <c r="Y41" s="40">
        <f>IF(AND(Y$27&gt;=$D41,Y$27&lt;=$E41),$G41,0)</f>
        <v/>
      </c>
      <c r="Z41" s="40">
        <f>IF(AND(Z$27&gt;=$D41,Z$27&lt;=$E41),$G41,0)</f>
        <v/>
      </c>
      <c r="AA41" s="40">
        <f>IF(AND(AA$27&gt;=$D41,AA$27&lt;=$E41),$G41,0)</f>
        <v/>
      </c>
      <c r="AB41" s="40">
        <f>IF(AND(AB$27&gt;=$D41,AB$27&lt;=$E41),$G41,0)</f>
        <v/>
      </c>
      <c r="AC41" s="40">
        <f>IF(AND(AC$27&gt;=$D41,AC$27&lt;=$E41),$G41,0)</f>
        <v/>
      </c>
      <c r="AD41" s="40">
        <f>IF(AND(AD$27&gt;=$D41,AD$27&lt;=$E41),$G41,0)</f>
        <v/>
      </c>
      <c r="AE41" s="40">
        <f>IF(AND(AE$27&gt;=$D41,AE$27&lt;=$E41),$G41,0)</f>
        <v/>
      </c>
      <c r="AF41" s="40">
        <f>IF(AND(AF$27&gt;=$D41,AF$27&lt;=$E41),$G41,0)</f>
        <v/>
      </c>
      <c r="AG41" s="40">
        <f>IF(AND(AG$27&gt;=$D41,AG$27&lt;=$E41),$G41,0)</f>
        <v/>
      </c>
      <c r="AH41" s="40">
        <f>IF(AND(AH$27&gt;=$D41,AH$27&lt;=$E41),$G41,0)</f>
        <v/>
      </c>
      <c r="AI41" s="40">
        <f>IF(AND(AI$27&gt;=$D41,AI$27&lt;=$E41),$G41,0)</f>
        <v/>
      </c>
      <c r="AJ41" s="40">
        <f>IF(AND(AJ$27&gt;=$D41,AJ$27&lt;=$E41),$G41,0)</f>
        <v/>
      </c>
      <c r="AK41" s="40">
        <f>IF(AND(AK$27&gt;=$D41,AK$27&lt;=$E41),$G41,0)</f>
        <v/>
      </c>
      <c r="AL41" s="40">
        <f>IF(AND(AL$27&gt;=$D41,AL$27&lt;=$E41),$G41,0)</f>
        <v/>
      </c>
      <c r="AM41" s="40">
        <f>IF(AND(AM$27&gt;=$D41,AM$27&lt;=$E41),$G41,0)</f>
        <v/>
      </c>
      <c r="AN41" s="40">
        <f>IF(AND(AN$27&gt;=$D41,AN$27&lt;=$E41),$G41,0)</f>
        <v/>
      </c>
      <c r="AO41" s="40">
        <f>IF(AND(AO$27&gt;=$D41,AO$27&lt;=$E41),$G41,0)</f>
        <v/>
      </c>
      <c r="AP41" s="40">
        <f>IF(AND(AP$27&gt;=$D41,AP$27&lt;=$E41),$G41,0)</f>
        <v/>
      </c>
      <c r="AQ41" s="40">
        <f>IF(AND(AQ$27&gt;=$D41,AQ$27&lt;=$E41),$G41,0)</f>
        <v/>
      </c>
    </row>
    <row r="42" ht="18" customHeight="1">
      <c r="B42" s="37" t="inlineStr">
        <is>
          <t>Climatização</t>
        </is>
      </c>
      <c r="C42" s="31" t="n">
        <v>315929.8</v>
      </c>
      <c r="D42" s="30" t="n">
        <v>24</v>
      </c>
      <c r="E42" s="30" t="n">
        <v>35</v>
      </c>
      <c r="F42" s="38">
        <f>IF(E42&gt;=D42,E42-D42+1,0)</f>
        <v/>
      </c>
      <c r="G42" s="39">
        <f>IF(F42&gt;0,C42/F42,0)</f>
        <v/>
      </c>
      <c r="H42" s="40">
        <f>IF(AND(H$27&gt;=$D42,H$27&lt;=$E42),$G42,0)</f>
        <v/>
      </c>
      <c r="I42" s="40">
        <f>IF(AND(I$27&gt;=$D42,I$27&lt;=$E42),$G42,0)</f>
        <v/>
      </c>
      <c r="J42" s="40">
        <f>IF(AND(J$27&gt;=$D42,J$27&lt;=$E42),$G42,0)</f>
        <v/>
      </c>
      <c r="K42" s="40">
        <f>IF(AND(K$27&gt;=$D42,K$27&lt;=$E42),$G42,0)</f>
        <v/>
      </c>
      <c r="L42" s="40">
        <f>IF(AND(L$27&gt;=$D42,L$27&lt;=$E42),$G42,0)</f>
        <v/>
      </c>
      <c r="M42" s="40">
        <f>IF(AND(M$27&gt;=$D42,M$27&lt;=$E42),$G42,0)</f>
        <v/>
      </c>
      <c r="N42" s="40">
        <f>IF(AND(N$27&gt;=$D42,N$27&lt;=$E42),$G42,0)</f>
        <v/>
      </c>
      <c r="O42" s="40">
        <f>IF(AND(O$27&gt;=$D42,O$27&lt;=$E42),$G42,0)</f>
        <v/>
      </c>
      <c r="P42" s="40">
        <f>IF(AND(P$27&gt;=$D42,P$27&lt;=$E42),$G42,0)</f>
        <v/>
      </c>
      <c r="Q42" s="40">
        <f>IF(AND(Q$27&gt;=$D42,Q$27&lt;=$E42),$G42,0)</f>
        <v/>
      </c>
      <c r="R42" s="40">
        <f>IF(AND(R$27&gt;=$D42,R$27&lt;=$E42),$G42,0)</f>
        <v/>
      </c>
      <c r="S42" s="40">
        <f>IF(AND(S$27&gt;=$D42,S$27&lt;=$E42),$G42,0)</f>
        <v/>
      </c>
      <c r="T42" s="40">
        <f>IF(AND(T$27&gt;=$D42,T$27&lt;=$E42),$G42,0)</f>
        <v/>
      </c>
      <c r="U42" s="40">
        <f>IF(AND(U$27&gt;=$D42,U$27&lt;=$E42),$G42,0)</f>
        <v/>
      </c>
      <c r="V42" s="40">
        <f>IF(AND(V$27&gt;=$D42,V$27&lt;=$E42),$G42,0)</f>
        <v/>
      </c>
      <c r="W42" s="40">
        <f>IF(AND(W$27&gt;=$D42,W$27&lt;=$E42),$G42,0)</f>
        <v/>
      </c>
      <c r="X42" s="40">
        <f>IF(AND(X$27&gt;=$D42,X$27&lt;=$E42),$G42,0)</f>
        <v/>
      </c>
      <c r="Y42" s="40">
        <f>IF(AND(Y$27&gt;=$D42,Y$27&lt;=$E42),$G42,0)</f>
        <v/>
      </c>
      <c r="Z42" s="40">
        <f>IF(AND(Z$27&gt;=$D42,Z$27&lt;=$E42),$G42,0)</f>
        <v/>
      </c>
      <c r="AA42" s="40">
        <f>IF(AND(AA$27&gt;=$D42,AA$27&lt;=$E42),$G42,0)</f>
        <v/>
      </c>
      <c r="AB42" s="40">
        <f>IF(AND(AB$27&gt;=$D42,AB$27&lt;=$E42),$G42,0)</f>
        <v/>
      </c>
      <c r="AC42" s="40">
        <f>IF(AND(AC$27&gt;=$D42,AC$27&lt;=$E42),$G42,0)</f>
        <v/>
      </c>
      <c r="AD42" s="40">
        <f>IF(AND(AD$27&gt;=$D42,AD$27&lt;=$E42),$G42,0)</f>
        <v/>
      </c>
      <c r="AE42" s="40">
        <f>IF(AND(AE$27&gt;=$D42,AE$27&lt;=$E42),$G42,0)</f>
        <v/>
      </c>
      <c r="AF42" s="40">
        <f>IF(AND(AF$27&gt;=$D42,AF$27&lt;=$E42),$G42,0)</f>
        <v/>
      </c>
      <c r="AG42" s="40">
        <f>IF(AND(AG$27&gt;=$D42,AG$27&lt;=$E42),$G42,0)</f>
        <v/>
      </c>
      <c r="AH42" s="40">
        <f>IF(AND(AH$27&gt;=$D42,AH$27&lt;=$E42),$G42,0)</f>
        <v/>
      </c>
      <c r="AI42" s="40">
        <f>IF(AND(AI$27&gt;=$D42,AI$27&lt;=$E42),$G42,0)</f>
        <v/>
      </c>
      <c r="AJ42" s="40">
        <f>IF(AND(AJ$27&gt;=$D42,AJ$27&lt;=$E42),$G42,0)</f>
        <v/>
      </c>
      <c r="AK42" s="40">
        <f>IF(AND(AK$27&gt;=$D42,AK$27&lt;=$E42),$G42,0)</f>
        <v/>
      </c>
      <c r="AL42" s="40">
        <f>IF(AND(AL$27&gt;=$D42,AL$27&lt;=$E42),$G42,0)</f>
        <v/>
      </c>
      <c r="AM42" s="40">
        <f>IF(AND(AM$27&gt;=$D42,AM$27&lt;=$E42),$G42,0)</f>
        <v/>
      </c>
      <c r="AN42" s="40">
        <f>IF(AND(AN$27&gt;=$D42,AN$27&lt;=$E42),$G42,0)</f>
        <v/>
      </c>
      <c r="AO42" s="40">
        <f>IF(AND(AO$27&gt;=$D42,AO$27&lt;=$E42),$G42,0)</f>
        <v/>
      </c>
      <c r="AP42" s="40">
        <f>IF(AND(AP$27&gt;=$D42,AP$27&lt;=$E42),$G42,0)</f>
        <v/>
      </c>
      <c r="AQ42" s="40">
        <f>IF(AND(AQ$27&gt;=$D42,AQ$27&lt;=$E42),$G42,0)</f>
        <v/>
      </c>
    </row>
    <row r="43" ht="18" customHeight="1">
      <c r="B43" s="37" t="inlineStr">
        <is>
          <t>Pintura</t>
        </is>
      </c>
      <c r="C43" s="31" t="n">
        <v>1902115.02</v>
      </c>
      <c r="D43" s="30" t="n">
        <v>26</v>
      </c>
      <c r="E43" s="30" t="n">
        <v>36</v>
      </c>
      <c r="F43" s="38">
        <f>IF(E43&gt;=D43,E43-D43+1,0)</f>
        <v/>
      </c>
      <c r="G43" s="39">
        <f>IF(F43&gt;0,C43/F43,0)</f>
        <v/>
      </c>
      <c r="H43" s="40">
        <f>IF(AND(H$27&gt;=$D43,H$27&lt;=$E43),$G43,0)</f>
        <v/>
      </c>
      <c r="I43" s="40">
        <f>IF(AND(I$27&gt;=$D43,I$27&lt;=$E43),$G43,0)</f>
        <v/>
      </c>
      <c r="J43" s="40">
        <f>IF(AND(J$27&gt;=$D43,J$27&lt;=$E43),$G43,0)</f>
        <v/>
      </c>
      <c r="K43" s="40">
        <f>IF(AND(K$27&gt;=$D43,K$27&lt;=$E43),$G43,0)</f>
        <v/>
      </c>
      <c r="L43" s="40">
        <f>IF(AND(L$27&gt;=$D43,L$27&lt;=$E43),$G43,0)</f>
        <v/>
      </c>
      <c r="M43" s="40">
        <f>IF(AND(M$27&gt;=$D43,M$27&lt;=$E43),$G43,0)</f>
        <v/>
      </c>
      <c r="N43" s="40">
        <f>IF(AND(N$27&gt;=$D43,N$27&lt;=$E43),$G43,0)</f>
        <v/>
      </c>
      <c r="O43" s="40">
        <f>IF(AND(O$27&gt;=$D43,O$27&lt;=$E43),$G43,0)</f>
        <v/>
      </c>
      <c r="P43" s="40">
        <f>IF(AND(P$27&gt;=$D43,P$27&lt;=$E43),$G43,0)</f>
        <v/>
      </c>
      <c r="Q43" s="40">
        <f>IF(AND(Q$27&gt;=$D43,Q$27&lt;=$E43),$G43,0)</f>
        <v/>
      </c>
      <c r="R43" s="40">
        <f>IF(AND(R$27&gt;=$D43,R$27&lt;=$E43),$G43,0)</f>
        <v/>
      </c>
      <c r="S43" s="40">
        <f>IF(AND(S$27&gt;=$D43,S$27&lt;=$E43),$G43,0)</f>
        <v/>
      </c>
      <c r="T43" s="40">
        <f>IF(AND(T$27&gt;=$D43,T$27&lt;=$E43),$G43,0)</f>
        <v/>
      </c>
      <c r="U43" s="40">
        <f>IF(AND(U$27&gt;=$D43,U$27&lt;=$E43),$G43,0)</f>
        <v/>
      </c>
      <c r="V43" s="40">
        <f>IF(AND(V$27&gt;=$D43,V$27&lt;=$E43),$G43,0)</f>
        <v/>
      </c>
      <c r="W43" s="40">
        <f>IF(AND(W$27&gt;=$D43,W$27&lt;=$E43),$G43,0)</f>
        <v/>
      </c>
      <c r="X43" s="40">
        <f>IF(AND(X$27&gt;=$D43,X$27&lt;=$E43),$G43,0)</f>
        <v/>
      </c>
      <c r="Y43" s="40">
        <f>IF(AND(Y$27&gt;=$D43,Y$27&lt;=$E43),$G43,0)</f>
        <v/>
      </c>
      <c r="Z43" s="40">
        <f>IF(AND(Z$27&gt;=$D43,Z$27&lt;=$E43),$G43,0)</f>
        <v/>
      </c>
      <c r="AA43" s="40">
        <f>IF(AND(AA$27&gt;=$D43,AA$27&lt;=$E43),$G43,0)</f>
        <v/>
      </c>
      <c r="AB43" s="40">
        <f>IF(AND(AB$27&gt;=$D43,AB$27&lt;=$E43),$G43,0)</f>
        <v/>
      </c>
      <c r="AC43" s="40">
        <f>IF(AND(AC$27&gt;=$D43,AC$27&lt;=$E43),$G43,0)</f>
        <v/>
      </c>
      <c r="AD43" s="40">
        <f>IF(AND(AD$27&gt;=$D43,AD$27&lt;=$E43),$G43,0)</f>
        <v/>
      </c>
      <c r="AE43" s="40">
        <f>IF(AND(AE$27&gt;=$D43,AE$27&lt;=$E43),$G43,0)</f>
        <v/>
      </c>
      <c r="AF43" s="40">
        <f>IF(AND(AF$27&gt;=$D43,AF$27&lt;=$E43),$G43,0)</f>
        <v/>
      </c>
      <c r="AG43" s="40">
        <f>IF(AND(AG$27&gt;=$D43,AG$27&lt;=$E43),$G43,0)</f>
        <v/>
      </c>
      <c r="AH43" s="40">
        <f>IF(AND(AH$27&gt;=$D43,AH$27&lt;=$E43),$G43,0)</f>
        <v/>
      </c>
      <c r="AI43" s="40">
        <f>IF(AND(AI$27&gt;=$D43,AI$27&lt;=$E43),$G43,0)</f>
        <v/>
      </c>
      <c r="AJ43" s="40">
        <f>IF(AND(AJ$27&gt;=$D43,AJ$27&lt;=$E43),$G43,0)</f>
        <v/>
      </c>
      <c r="AK43" s="40">
        <f>IF(AND(AK$27&gt;=$D43,AK$27&lt;=$E43),$G43,0)</f>
        <v/>
      </c>
      <c r="AL43" s="40">
        <f>IF(AND(AL$27&gt;=$D43,AL$27&lt;=$E43),$G43,0)</f>
        <v/>
      </c>
      <c r="AM43" s="40">
        <f>IF(AND(AM$27&gt;=$D43,AM$27&lt;=$E43),$G43,0)</f>
        <v/>
      </c>
      <c r="AN43" s="40">
        <f>IF(AND(AN$27&gt;=$D43,AN$27&lt;=$E43),$G43,0)</f>
        <v/>
      </c>
      <c r="AO43" s="40">
        <f>IF(AND(AO$27&gt;=$D43,AO$27&lt;=$E43),$G43,0)</f>
        <v/>
      </c>
      <c r="AP43" s="40">
        <f>IF(AND(AP$27&gt;=$D43,AP$27&lt;=$E43),$G43,0)</f>
        <v/>
      </c>
      <c r="AQ43" s="40">
        <f>IF(AND(AQ$27&gt;=$D43,AQ$27&lt;=$E43),$G43,0)</f>
        <v/>
      </c>
    </row>
    <row r="44" ht="18" customHeight="1">
      <c r="B44" s="37" t="inlineStr">
        <is>
          <t>Louças e Metais</t>
        </is>
      </c>
      <c r="C44" s="31" t="n">
        <v>191100</v>
      </c>
      <c r="D44" s="30" t="n">
        <v>26</v>
      </c>
      <c r="E44" s="30" t="n">
        <v>35</v>
      </c>
      <c r="F44" s="38">
        <f>IF(E44&gt;=D44,E44-D44+1,0)</f>
        <v/>
      </c>
      <c r="G44" s="39">
        <f>IF(F44&gt;0,C44/F44,0)</f>
        <v/>
      </c>
      <c r="H44" s="40">
        <f>IF(AND(H$27&gt;=$D44,H$27&lt;=$E44),$G44,0)</f>
        <v/>
      </c>
      <c r="I44" s="40">
        <f>IF(AND(I$27&gt;=$D44,I$27&lt;=$E44),$G44,0)</f>
        <v/>
      </c>
      <c r="J44" s="40">
        <f>IF(AND(J$27&gt;=$D44,J$27&lt;=$E44),$G44,0)</f>
        <v/>
      </c>
      <c r="K44" s="40">
        <f>IF(AND(K$27&gt;=$D44,K$27&lt;=$E44),$G44,0)</f>
        <v/>
      </c>
      <c r="L44" s="40">
        <f>IF(AND(L$27&gt;=$D44,L$27&lt;=$E44),$G44,0)</f>
        <v/>
      </c>
      <c r="M44" s="40">
        <f>IF(AND(M$27&gt;=$D44,M$27&lt;=$E44),$G44,0)</f>
        <v/>
      </c>
      <c r="N44" s="40">
        <f>IF(AND(N$27&gt;=$D44,N$27&lt;=$E44),$G44,0)</f>
        <v/>
      </c>
      <c r="O44" s="40">
        <f>IF(AND(O$27&gt;=$D44,O$27&lt;=$E44),$G44,0)</f>
        <v/>
      </c>
      <c r="P44" s="40">
        <f>IF(AND(P$27&gt;=$D44,P$27&lt;=$E44),$G44,0)</f>
        <v/>
      </c>
      <c r="Q44" s="40">
        <f>IF(AND(Q$27&gt;=$D44,Q$27&lt;=$E44),$G44,0)</f>
        <v/>
      </c>
      <c r="R44" s="40">
        <f>IF(AND(R$27&gt;=$D44,R$27&lt;=$E44),$G44,0)</f>
        <v/>
      </c>
      <c r="S44" s="40">
        <f>IF(AND(S$27&gt;=$D44,S$27&lt;=$E44),$G44,0)</f>
        <v/>
      </c>
      <c r="T44" s="40">
        <f>IF(AND(T$27&gt;=$D44,T$27&lt;=$E44),$G44,0)</f>
        <v/>
      </c>
      <c r="U44" s="40">
        <f>IF(AND(U$27&gt;=$D44,U$27&lt;=$E44),$G44,0)</f>
        <v/>
      </c>
      <c r="V44" s="40">
        <f>IF(AND(V$27&gt;=$D44,V$27&lt;=$E44),$G44,0)</f>
        <v/>
      </c>
      <c r="W44" s="40">
        <f>IF(AND(W$27&gt;=$D44,W$27&lt;=$E44),$G44,0)</f>
        <v/>
      </c>
      <c r="X44" s="40">
        <f>IF(AND(X$27&gt;=$D44,X$27&lt;=$E44),$G44,0)</f>
        <v/>
      </c>
      <c r="Y44" s="40">
        <f>IF(AND(Y$27&gt;=$D44,Y$27&lt;=$E44),$G44,0)</f>
        <v/>
      </c>
      <c r="Z44" s="40">
        <f>IF(AND(Z$27&gt;=$D44,Z$27&lt;=$E44),$G44,0)</f>
        <v/>
      </c>
      <c r="AA44" s="40">
        <f>IF(AND(AA$27&gt;=$D44,AA$27&lt;=$E44),$G44,0)</f>
        <v/>
      </c>
      <c r="AB44" s="40">
        <f>IF(AND(AB$27&gt;=$D44,AB$27&lt;=$E44),$G44,0)</f>
        <v/>
      </c>
      <c r="AC44" s="40">
        <f>IF(AND(AC$27&gt;=$D44,AC$27&lt;=$E44),$G44,0)</f>
        <v/>
      </c>
      <c r="AD44" s="40">
        <f>IF(AND(AD$27&gt;=$D44,AD$27&lt;=$E44),$G44,0)</f>
        <v/>
      </c>
      <c r="AE44" s="40">
        <f>IF(AND(AE$27&gt;=$D44,AE$27&lt;=$E44),$G44,0)</f>
        <v/>
      </c>
      <c r="AF44" s="40">
        <f>IF(AND(AF$27&gt;=$D44,AF$27&lt;=$E44),$G44,0)</f>
        <v/>
      </c>
      <c r="AG44" s="40">
        <f>IF(AND(AG$27&gt;=$D44,AG$27&lt;=$E44),$G44,0)</f>
        <v/>
      </c>
      <c r="AH44" s="40">
        <f>IF(AND(AH$27&gt;=$D44,AH$27&lt;=$E44),$G44,0)</f>
        <v/>
      </c>
      <c r="AI44" s="40">
        <f>IF(AND(AI$27&gt;=$D44,AI$27&lt;=$E44),$G44,0)</f>
        <v/>
      </c>
      <c r="AJ44" s="40">
        <f>IF(AND(AJ$27&gt;=$D44,AJ$27&lt;=$E44),$G44,0)</f>
        <v/>
      </c>
      <c r="AK44" s="40">
        <f>IF(AND(AK$27&gt;=$D44,AK$27&lt;=$E44),$G44,0)</f>
        <v/>
      </c>
      <c r="AL44" s="40">
        <f>IF(AND(AL$27&gt;=$D44,AL$27&lt;=$E44),$G44,0)</f>
        <v/>
      </c>
      <c r="AM44" s="40">
        <f>IF(AND(AM$27&gt;=$D44,AM$27&lt;=$E44),$G44,0)</f>
        <v/>
      </c>
      <c r="AN44" s="40">
        <f>IF(AND(AN$27&gt;=$D44,AN$27&lt;=$E44),$G44,0)</f>
        <v/>
      </c>
      <c r="AO44" s="40">
        <f>IF(AND(AO$27&gt;=$D44,AO$27&lt;=$E44),$G44,0)</f>
        <v/>
      </c>
      <c r="AP44" s="40">
        <f>IF(AND(AP$27&gt;=$D44,AP$27&lt;=$E44),$G44,0)</f>
        <v/>
      </c>
      <c r="AQ44" s="40">
        <f>IF(AND(AQ$27&gt;=$D44,AQ$27&lt;=$E44),$G44,0)</f>
        <v/>
      </c>
    </row>
    <row r="45" ht="18" customHeight="1">
      <c r="B45" s="37" t="inlineStr">
        <is>
          <t>Complementares</t>
        </is>
      </c>
      <c r="C45" s="31" t="n">
        <v>1518920.76</v>
      </c>
      <c r="D45" s="30" t="n">
        <v>29</v>
      </c>
      <c r="E45" s="30" t="n">
        <v>36</v>
      </c>
      <c r="F45" s="38">
        <f>IF(E45&gt;=D45,E45-D45+1,0)</f>
        <v/>
      </c>
      <c r="G45" s="39">
        <f>IF(F45&gt;0,C45/F45,0)</f>
        <v/>
      </c>
      <c r="H45" s="40">
        <f>IF(AND(H$27&gt;=$D45,H$27&lt;=$E45),$G45,0)</f>
        <v/>
      </c>
      <c r="I45" s="40">
        <f>IF(AND(I$27&gt;=$D45,I$27&lt;=$E45),$G45,0)</f>
        <v/>
      </c>
      <c r="J45" s="40">
        <f>IF(AND(J$27&gt;=$D45,J$27&lt;=$E45),$G45,0)</f>
        <v/>
      </c>
      <c r="K45" s="40">
        <f>IF(AND(K$27&gt;=$D45,K$27&lt;=$E45),$G45,0)</f>
        <v/>
      </c>
      <c r="L45" s="40">
        <f>IF(AND(L$27&gt;=$D45,L$27&lt;=$E45),$G45,0)</f>
        <v/>
      </c>
      <c r="M45" s="40">
        <f>IF(AND(M$27&gt;=$D45,M$27&lt;=$E45),$G45,0)</f>
        <v/>
      </c>
      <c r="N45" s="40">
        <f>IF(AND(N$27&gt;=$D45,N$27&lt;=$E45),$G45,0)</f>
        <v/>
      </c>
      <c r="O45" s="40">
        <f>IF(AND(O$27&gt;=$D45,O$27&lt;=$E45),$G45,0)</f>
        <v/>
      </c>
      <c r="P45" s="40">
        <f>IF(AND(P$27&gt;=$D45,P$27&lt;=$E45),$G45,0)</f>
        <v/>
      </c>
      <c r="Q45" s="40">
        <f>IF(AND(Q$27&gt;=$D45,Q$27&lt;=$E45),$G45,0)</f>
        <v/>
      </c>
      <c r="R45" s="40">
        <f>IF(AND(R$27&gt;=$D45,R$27&lt;=$E45),$G45,0)</f>
        <v/>
      </c>
      <c r="S45" s="40">
        <f>IF(AND(S$27&gt;=$D45,S$27&lt;=$E45),$G45,0)</f>
        <v/>
      </c>
      <c r="T45" s="40">
        <f>IF(AND(T$27&gt;=$D45,T$27&lt;=$E45),$G45,0)</f>
        <v/>
      </c>
      <c r="U45" s="40">
        <f>IF(AND(U$27&gt;=$D45,U$27&lt;=$E45),$G45,0)</f>
        <v/>
      </c>
      <c r="V45" s="40">
        <f>IF(AND(V$27&gt;=$D45,V$27&lt;=$E45),$G45,0)</f>
        <v/>
      </c>
      <c r="W45" s="40">
        <f>IF(AND(W$27&gt;=$D45,W$27&lt;=$E45),$G45,0)</f>
        <v/>
      </c>
      <c r="X45" s="40">
        <f>IF(AND(X$27&gt;=$D45,X$27&lt;=$E45),$G45,0)</f>
        <v/>
      </c>
      <c r="Y45" s="40">
        <f>IF(AND(Y$27&gt;=$D45,Y$27&lt;=$E45),$G45,0)</f>
        <v/>
      </c>
      <c r="Z45" s="40">
        <f>IF(AND(Z$27&gt;=$D45,Z$27&lt;=$E45),$G45,0)</f>
        <v/>
      </c>
      <c r="AA45" s="40">
        <f>IF(AND(AA$27&gt;=$D45,AA$27&lt;=$E45),$G45,0)</f>
        <v/>
      </c>
      <c r="AB45" s="40">
        <f>IF(AND(AB$27&gt;=$D45,AB$27&lt;=$E45),$G45,0)</f>
        <v/>
      </c>
      <c r="AC45" s="40">
        <f>IF(AND(AC$27&gt;=$D45,AC$27&lt;=$E45),$G45,0)</f>
        <v/>
      </c>
      <c r="AD45" s="40">
        <f>IF(AND(AD$27&gt;=$D45,AD$27&lt;=$E45),$G45,0)</f>
        <v/>
      </c>
      <c r="AE45" s="40">
        <f>IF(AND(AE$27&gt;=$D45,AE$27&lt;=$E45),$G45,0)</f>
        <v/>
      </c>
      <c r="AF45" s="40">
        <f>IF(AND(AF$27&gt;=$D45,AF$27&lt;=$E45),$G45,0)</f>
        <v/>
      </c>
      <c r="AG45" s="40">
        <f>IF(AND(AG$27&gt;=$D45,AG$27&lt;=$E45),$G45,0)</f>
        <v/>
      </c>
      <c r="AH45" s="40">
        <f>IF(AND(AH$27&gt;=$D45,AH$27&lt;=$E45),$G45,0)</f>
        <v/>
      </c>
      <c r="AI45" s="40">
        <f>IF(AND(AI$27&gt;=$D45,AI$27&lt;=$E45),$G45,0)</f>
        <v/>
      </c>
      <c r="AJ45" s="40">
        <f>IF(AND(AJ$27&gt;=$D45,AJ$27&lt;=$E45),$G45,0)</f>
        <v/>
      </c>
      <c r="AK45" s="40">
        <f>IF(AND(AK$27&gt;=$D45,AK$27&lt;=$E45),$G45,0)</f>
        <v/>
      </c>
      <c r="AL45" s="40">
        <f>IF(AND(AL$27&gt;=$D45,AL$27&lt;=$E45),$G45,0)</f>
        <v/>
      </c>
      <c r="AM45" s="40">
        <f>IF(AND(AM$27&gt;=$D45,AM$27&lt;=$E45),$G45,0)</f>
        <v/>
      </c>
      <c r="AN45" s="40">
        <f>IF(AND(AN$27&gt;=$D45,AN$27&lt;=$E45),$G45,0)</f>
        <v/>
      </c>
      <c r="AO45" s="40">
        <f>IF(AND(AO$27&gt;=$D45,AO$27&lt;=$E45),$G45,0)</f>
        <v/>
      </c>
      <c r="AP45" s="40">
        <f>IF(AND(AP$27&gt;=$D45,AP$27&lt;=$E45),$G45,0)</f>
        <v/>
      </c>
      <c r="AQ45" s="40">
        <f>IF(AND(AQ$27&gt;=$D45,AQ$27&lt;=$E45),$G45,0)</f>
        <v/>
      </c>
    </row>
    <row r="46" ht="22" customHeight="1">
      <c r="B46" s="41" t="inlineStr">
        <is>
          <t>TOTAL</t>
        </is>
      </c>
      <c r="C46" s="42">
        <f>SUM(C28:C45)</f>
        <v/>
      </c>
      <c r="D46" s="43" t="n"/>
      <c r="E46" s="43" t="n"/>
      <c r="F46" s="43" t="n"/>
      <c r="G46" s="43" t="n"/>
      <c r="H46" s="44">
        <f>SUM(H28:H45)</f>
        <v/>
      </c>
      <c r="I46" s="44">
        <f>SUM(I28:I45)</f>
        <v/>
      </c>
      <c r="J46" s="44">
        <f>SUM(J28:J45)</f>
        <v/>
      </c>
      <c r="K46" s="44">
        <f>SUM(K28:K45)</f>
        <v/>
      </c>
      <c r="L46" s="44">
        <f>SUM(L28:L45)</f>
        <v/>
      </c>
      <c r="M46" s="44">
        <f>SUM(M28:M45)</f>
        <v/>
      </c>
      <c r="N46" s="44">
        <f>SUM(N28:N45)</f>
        <v/>
      </c>
      <c r="O46" s="44">
        <f>SUM(O28:O45)</f>
        <v/>
      </c>
      <c r="P46" s="44">
        <f>SUM(P28:P45)</f>
        <v/>
      </c>
      <c r="Q46" s="44">
        <f>SUM(Q28:Q45)</f>
        <v/>
      </c>
      <c r="R46" s="44">
        <f>SUM(R28:R45)</f>
        <v/>
      </c>
      <c r="S46" s="44">
        <f>SUM(S28:S45)</f>
        <v/>
      </c>
      <c r="T46" s="44">
        <f>SUM(T28:T45)</f>
        <v/>
      </c>
      <c r="U46" s="44">
        <f>SUM(U28:U45)</f>
        <v/>
      </c>
      <c r="V46" s="44">
        <f>SUM(V28:V45)</f>
        <v/>
      </c>
      <c r="W46" s="44">
        <f>SUM(W28:W45)</f>
        <v/>
      </c>
      <c r="X46" s="44">
        <f>SUM(X28:X45)</f>
        <v/>
      </c>
      <c r="Y46" s="44">
        <f>SUM(Y28:Y45)</f>
        <v/>
      </c>
      <c r="Z46" s="44">
        <f>SUM(Z28:Z45)</f>
        <v/>
      </c>
      <c r="AA46" s="44">
        <f>SUM(AA28:AA45)</f>
        <v/>
      </c>
      <c r="AB46" s="44">
        <f>SUM(AB28:AB45)</f>
        <v/>
      </c>
      <c r="AC46" s="44">
        <f>SUM(AC28:AC45)</f>
        <v/>
      </c>
      <c r="AD46" s="44">
        <f>SUM(AD28:AD45)</f>
        <v/>
      </c>
      <c r="AE46" s="44">
        <f>SUM(AE28:AE45)</f>
        <v/>
      </c>
      <c r="AF46" s="44">
        <f>SUM(AF28:AF45)</f>
        <v/>
      </c>
      <c r="AG46" s="44">
        <f>SUM(AG28:AG45)</f>
        <v/>
      </c>
      <c r="AH46" s="44">
        <f>SUM(AH28:AH45)</f>
        <v/>
      </c>
      <c r="AI46" s="44">
        <f>SUM(AI28:AI45)</f>
        <v/>
      </c>
      <c r="AJ46" s="44">
        <f>SUM(AJ28:AJ45)</f>
        <v/>
      </c>
      <c r="AK46" s="44">
        <f>SUM(AK28:AK45)</f>
        <v/>
      </c>
      <c r="AL46" s="44">
        <f>SUM(AL28:AL45)</f>
        <v/>
      </c>
      <c r="AM46" s="44">
        <f>SUM(AM28:AM45)</f>
        <v/>
      </c>
      <c r="AN46" s="44">
        <f>SUM(AN28:AN45)</f>
        <v/>
      </c>
      <c r="AO46" s="44">
        <f>SUM(AO28:AO45)</f>
        <v/>
      </c>
      <c r="AP46" s="44">
        <f>SUM(AP28:AP45)</f>
        <v/>
      </c>
      <c r="AQ46" s="44">
        <f>SUM(AQ28:AQ45)</f>
        <v/>
      </c>
    </row>
    <row r="47">
      <c r="B47" s="45" t="inlineStr">
        <is>
          <t>% do total / mês</t>
        </is>
      </c>
      <c r="C47" s="46" t="n"/>
      <c r="D47" s="46" t="n"/>
      <c r="E47" s="46" t="n"/>
      <c r="F47" s="46" t="n"/>
      <c r="G47" s="46" t="n"/>
      <c r="H47" s="47">
        <f>IF($C$46&gt;0,H46/$C$46,0)</f>
        <v/>
      </c>
      <c r="I47" s="47">
        <f>IF($C$46&gt;0,I46/$C$46,0)</f>
        <v/>
      </c>
      <c r="J47" s="47">
        <f>IF($C$46&gt;0,J46/$C$46,0)</f>
        <v/>
      </c>
      <c r="K47" s="47">
        <f>IF($C$46&gt;0,K46/$C$46,0)</f>
        <v/>
      </c>
      <c r="L47" s="47">
        <f>IF($C$46&gt;0,L46/$C$46,0)</f>
        <v/>
      </c>
      <c r="M47" s="47">
        <f>IF($C$46&gt;0,M46/$C$46,0)</f>
        <v/>
      </c>
      <c r="N47" s="47">
        <f>IF($C$46&gt;0,N46/$C$46,0)</f>
        <v/>
      </c>
      <c r="O47" s="47">
        <f>IF($C$46&gt;0,O46/$C$46,0)</f>
        <v/>
      </c>
      <c r="P47" s="47">
        <f>IF($C$46&gt;0,P46/$C$46,0)</f>
        <v/>
      </c>
      <c r="Q47" s="47">
        <f>IF($C$46&gt;0,Q46/$C$46,0)</f>
        <v/>
      </c>
      <c r="R47" s="47">
        <f>IF($C$46&gt;0,R46/$C$46,0)</f>
        <v/>
      </c>
      <c r="S47" s="47">
        <f>IF($C$46&gt;0,S46/$C$46,0)</f>
        <v/>
      </c>
      <c r="T47" s="47">
        <f>IF($C$46&gt;0,T46/$C$46,0)</f>
        <v/>
      </c>
      <c r="U47" s="47">
        <f>IF($C$46&gt;0,U46/$C$46,0)</f>
        <v/>
      </c>
      <c r="V47" s="47">
        <f>IF($C$46&gt;0,V46/$C$46,0)</f>
        <v/>
      </c>
      <c r="W47" s="47">
        <f>IF($C$46&gt;0,W46/$C$46,0)</f>
        <v/>
      </c>
      <c r="X47" s="47">
        <f>IF($C$46&gt;0,X46/$C$46,0)</f>
        <v/>
      </c>
      <c r="Y47" s="47">
        <f>IF($C$46&gt;0,Y46/$C$46,0)</f>
        <v/>
      </c>
      <c r="Z47" s="47">
        <f>IF($C$46&gt;0,Z46/$C$46,0)</f>
        <v/>
      </c>
      <c r="AA47" s="47">
        <f>IF($C$46&gt;0,AA46/$C$46,0)</f>
        <v/>
      </c>
      <c r="AB47" s="47">
        <f>IF($C$46&gt;0,AB46/$C$46,0)</f>
        <v/>
      </c>
      <c r="AC47" s="47">
        <f>IF($C$46&gt;0,AC46/$C$46,0)</f>
        <v/>
      </c>
      <c r="AD47" s="47">
        <f>IF($C$46&gt;0,AD46/$C$46,0)</f>
        <v/>
      </c>
      <c r="AE47" s="47">
        <f>IF($C$46&gt;0,AE46/$C$46,0)</f>
        <v/>
      </c>
      <c r="AF47" s="47">
        <f>IF($C$46&gt;0,AF46/$C$46,0)</f>
        <v/>
      </c>
      <c r="AG47" s="47">
        <f>IF($C$46&gt;0,AG46/$C$46,0)</f>
        <v/>
      </c>
      <c r="AH47" s="47">
        <f>IF($C$46&gt;0,AH46/$C$46,0)</f>
        <v/>
      </c>
      <c r="AI47" s="47">
        <f>IF($C$46&gt;0,AI46/$C$46,0)</f>
        <v/>
      </c>
      <c r="AJ47" s="47">
        <f>IF($C$46&gt;0,AJ46/$C$46,0)</f>
        <v/>
      </c>
      <c r="AK47" s="47">
        <f>IF($C$46&gt;0,AK46/$C$46,0)</f>
        <v/>
      </c>
      <c r="AL47" s="47">
        <f>IF($C$46&gt;0,AL46/$C$46,0)</f>
        <v/>
      </c>
      <c r="AM47" s="47">
        <f>IF($C$46&gt;0,AM46/$C$46,0)</f>
        <v/>
      </c>
      <c r="AN47" s="47">
        <f>IF($C$46&gt;0,AN46/$C$46,0)</f>
        <v/>
      </c>
      <c r="AO47" s="47">
        <f>IF($C$46&gt;0,AO46/$C$46,0)</f>
        <v/>
      </c>
      <c r="AP47" s="47">
        <f>IF($C$46&gt;0,AP46/$C$46,0)</f>
        <v/>
      </c>
      <c r="AQ47" s="47">
        <f>IF($C$46&gt;0,AQ46/$C$46,0)</f>
        <v/>
      </c>
    </row>
    <row r="48">
      <c r="B48" s="48" t="inlineStr">
        <is>
          <t>Acumulado R$</t>
        </is>
      </c>
      <c r="C48" s="49" t="n"/>
      <c r="D48" s="49" t="n"/>
      <c r="E48" s="49" t="n"/>
      <c r="F48" s="49" t="n"/>
      <c r="G48" s="49" t="n"/>
      <c r="H48" s="50">
        <f>H46</f>
        <v/>
      </c>
      <c r="I48" s="50">
        <f>H48+I46</f>
        <v/>
      </c>
      <c r="J48" s="50">
        <f>I48+J46</f>
        <v/>
      </c>
      <c r="K48" s="50">
        <f>J48+K46</f>
        <v/>
      </c>
      <c r="L48" s="50">
        <f>K48+L46</f>
        <v/>
      </c>
      <c r="M48" s="50">
        <f>L48+M46</f>
        <v/>
      </c>
      <c r="N48" s="50">
        <f>M48+N46</f>
        <v/>
      </c>
      <c r="O48" s="50">
        <f>N48+O46</f>
        <v/>
      </c>
      <c r="P48" s="50">
        <f>O48+P46</f>
        <v/>
      </c>
      <c r="Q48" s="50">
        <f>P48+Q46</f>
        <v/>
      </c>
      <c r="R48" s="50">
        <f>Q48+R46</f>
        <v/>
      </c>
      <c r="S48" s="50">
        <f>R48+S46</f>
        <v/>
      </c>
      <c r="T48" s="50">
        <f>S48+T46</f>
        <v/>
      </c>
      <c r="U48" s="50">
        <f>T48+U46</f>
        <v/>
      </c>
      <c r="V48" s="50">
        <f>U48+V46</f>
        <v/>
      </c>
      <c r="W48" s="50">
        <f>V48+W46</f>
        <v/>
      </c>
      <c r="X48" s="50">
        <f>W48+X46</f>
        <v/>
      </c>
      <c r="Y48" s="50">
        <f>X48+Y46</f>
        <v/>
      </c>
      <c r="Z48" s="50">
        <f>Y48+Z46</f>
        <v/>
      </c>
      <c r="AA48" s="50">
        <f>Z48+AA46</f>
        <v/>
      </c>
      <c r="AB48" s="50">
        <f>AA48+AB46</f>
        <v/>
      </c>
      <c r="AC48" s="50">
        <f>AB48+AC46</f>
        <v/>
      </c>
      <c r="AD48" s="50">
        <f>AC48+AD46</f>
        <v/>
      </c>
      <c r="AE48" s="50">
        <f>AD48+AE46</f>
        <v/>
      </c>
      <c r="AF48" s="50">
        <f>AE48+AF46</f>
        <v/>
      </c>
      <c r="AG48" s="50">
        <f>AF48+AG46</f>
        <v/>
      </c>
      <c r="AH48" s="50">
        <f>AG48+AH46</f>
        <v/>
      </c>
      <c r="AI48" s="50">
        <f>AH48+AI46</f>
        <v/>
      </c>
      <c r="AJ48" s="50">
        <f>AI48+AJ46</f>
        <v/>
      </c>
      <c r="AK48" s="50">
        <f>AJ48+AK46</f>
        <v/>
      </c>
      <c r="AL48" s="50">
        <f>AK48+AL46</f>
        <v/>
      </c>
      <c r="AM48" s="50">
        <f>AL48+AM46</f>
        <v/>
      </c>
      <c r="AN48" s="50">
        <f>AM48+AN46</f>
        <v/>
      </c>
      <c r="AO48" s="50">
        <f>AN48+AO46</f>
        <v/>
      </c>
      <c r="AP48" s="50">
        <f>AO48+AP46</f>
        <v/>
      </c>
      <c r="AQ48" s="50">
        <f>AP48+AQ46</f>
        <v/>
      </c>
    </row>
    <row r="49" ht="24" customHeight="1">
      <c r="B49" s="37" t="inlineStr">
        <is>
          <t>Acumulado %  (curva S)</t>
        </is>
      </c>
      <c r="C49" s="51" t="n"/>
      <c r="D49" s="51" t="n"/>
      <c r="E49" s="51" t="n"/>
      <c r="F49" s="51" t="n"/>
      <c r="G49" s="51" t="n"/>
      <c r="H49" s="52">
        <f>IF($C$46&gt;0,H48/$C$46,0)</f>
        <v/>
      </c>
      <c r="I49" s="52">
        <f>IF($C$46&gt;0,I48/$C$46,0)</f>
        <v/>
      </c>
      <c r="J49" s="52">
        <f>IF($C$46&gt;0,J48/$C$46,0)</f>
        <v/>
      </c>
      <c r="K49" s="52">
        <f>IF($C$46&gt;0,K48/$C$46,0)</f>
        <v/>
      </c>
      <c r="L49" s="52">
        <f>IF($C$46&gt;0,L48/$C$46,0)</f>
        <v/>
      </c>
      <c r="M49" s="52">
        <f>IF($C$46&gt;0,M48/$C$46,0)</f>
        <v/>
      </c>
      <c r="N49" s="52">
        <f>IF($C$46&gt;0,N48/$C$46,0)</f>
        <v/>
      </c>
      <c r="O49" s="52">
        <f>IF($C$46&gt;0,O48/$C$46,0)</f>
        <v/>
      </c>
      <c r="P49" s="52">
        <f>IF($C$46&gt;0,P48/$C$46,0)</f>
        <v/>
      </c>
      <c r="Q49" s="52">
        <f>IF($C$46&gt;0,Q48/$C$46,0)</f>
        <v/>
      </c>
      <c r="R49" s="52">
        <f>IF($C$46&gt;0,R48/$C$46,0)</f>
        <v/>
      </c>
      <c r="S49" s="52">
        <f>IF($C$46&gt;0,S48/$C$46,0)</f>
        <v/>
      </c>
      <c r="T49" s="52">
        <f>IF($C$46&gt;0,T48/$C$46,0)</f>
        <v/>
      </c>
      <c r="U49" s="52">
        <f>IF($C$46&gt;0,U48/$C$46,0)</f>
        <v/>
      </c>
      <c r="V49" s="52">
        <f>IF($C$46&gt;0,V48/$C$46,0)</f>
        <v/>
      </c>
      <c r="W49" s="52">
        <f>IF($C$46&gt;0,W48/$C$46,0)</f>
        <v/>
      </c>
      <c r="X49" s="52">
        <f>IF($C$46&gt;0,X48/$C$46,0)</f>
        <v/>
      </c>
      <c r="Y49" s="52">
        <f>IF($C$46&gt;0,Y48/$C$46,0)</f>
        <v/>
      </c>
      <c r="Z49" s="52">
        <f>IF($C$46&gt;0,Z48/$C$46,0)</f>
        <v/>
      </c>
      <c r="AA49" s="52">
        <f>IF($C$46&gt;0,AA48/$C$46,0)</f>
        <v/>
      </c>
      <c r="AB49" s="52">
        <f>IF($C$46&gt;0,AB48/$C$46,0)</f>
        <v/>
      </c>
      <c r="AC49" s="52">
        <f>IF($C$46&gt;0,AC48/$C$46,0)</f>
        <v/>
      </c>
      <c r="AD49" s="52">
        <f>IF($C$46&gt;0,AD48/$C$46,0)</f>
        <v/>
      </c>
      <c r="AE49" s="52">
        <f>IF($C$46&gt;0,AE48/$C$46,0)</f>
        <v/>
      </c>
      <c r="AF49" s="52">
        <f>IF($C$46&gt;0,AF48/$C$46,0)</f>
        <v/>
      </c>
      <c r="AG49" s="52">
        <f>IF($C$46&gt;0,AG48/$C$46,0)</f>
        <v/>
      </c>
      <c r="AH49" s="52">
        <f>IF($C$46&gt;0,AH48/$C$46,0)</f>
        <v/>
      </c>
      <c r="AI49" s="52">
        <f>IF($C$46&gt;0,AI48/$C$46,0)</f>
        <v/>
      </c>
      <c r="AJ49" s="52">
        <f>IF($C$46&gt;0,AJ48/$C$46,0)</f>
        <v/>
      </c>
      <c r="AK49" s="52">
        <f>IF($C$46&gt;0,AK48/$C$46,0)</f>
        <v/>
      </c>
      <c r="AL49" s="52">
        <f>IF($C$46&gt;0,AL48/$C$46,0)</f>
        <v/>
      </c>
      <c r="AM49" s="52">
        <f>IF($C$46&gt;0,AM48/$C$46,0)</f>
        <v/>
      </c>
      <c r="AN49" s="52">
        <f>IF($C$46&gt;0,AN48/$C$46,0)</f>
        <v/>
      </c>
      <c r="AO49" s="52">
        <f>IF($C$46&gt;0,AO48/$C$46,0)</f>
        <v/>
      </c>
      <c r="AP49" s="52">
        <f>IF($C$46&gt;0,AP48/$C$46,0)</f>
        <v/>
      </c>
      <c r="AQ49" s="52">
        <f>IF($C$46&gt;0,AQ48/$C$46,0)</f>
        <v/>
      </c>
    </row>
    <row r="53">
      <c r="B53" s="12" t="inlineStr">
        <is>
          <t>COMO A JANELA TEMPORAL DE CADA MACROGRUPO FOI DEFINIDA</t>
        </is>
      </c>
    </row>
    <row r="54" ht="18" customHeight="1">
      <c r="B54" s="21" t="inlineStr">
        <is>
          <t>Cada macrogrupo tem uma JANELA DE EXECUÇÃO — os meses da obra em que aquele serviço está ativo no canteiro. Dentro da janela, o custo total do macrogrupo é distribuído UNIFORMEMENTE (R$/mês médio = custo ÷ duração). Isso simplifica o cálculo e é suficiente para uma análise de viabilidade — um BIM 4D com cronograma Primavera daria mais precisão, mas o ganho em termos de VPL/TIR é marginal (&lt;3%).
As janelas foram definidas com base no sequenciamento típico de obras verticais de padrão médio-alto, referência: histórico Cartesian de projetos similares no litoral SC. A lógica construtiva segue três fases:
▸  FASE 1  —  meses 1 a 8  (Estrutural):  Mobilização, movimentação de terra, fundações (hélice contínua) e início da supraestrutura. Serviços 'que não podem esperar' — concreto, armação, fôrma. Cerca de 15-20% do custo total concentrado aqui.
▸  FASE 2  —  meses 8 a 22  (Intensiva):  Subida da supraestrutura + alvenaria + instalações embutidas + revestimentos internos + fachada. É a fase MAIS INTENSA em desembolso — concreto, aço, tijolo, eletrodutos, tubulações, reboco. Concentra 50-60% do custo total. Pico do fluxo de caixa negativo.
▸  FASE 3  —  meses 18 a 30  (Acabamento):  Pisos, pintura, teto, esquadrias, louças, metais, fachada externa, sistemas especiais, elevadores, complementares. Fluxo 'longo e diluído': muitos fornecedores diferentes, entregas escalonadas, dependências entre serviços. ~25-30% do custo.
DOIS MACROGRUPOS SÃO LINEARES NA JANELA INTEIRA (1-30): 'Gerenciamento' (equipe indireta de obra, canteiro, ART) e 'Imprevistos' (reserva de contingência) — custos que acompanham a obra do início ao fim, sem concentração.</t>
        </is>
      </c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1">
      <c r="B71" s="12" t="inlineStr">
        <is>
          <t>LIMITAÇÕES DO MODELO TEMPORAL — O QUE O MODELO NÃO CAPTURA</t>
        </is>
      </c>
    </row>
    <row r="72" ht="18" customHeight="1">
      <c r="B72" s="15" t="inlineStr">
        <is>
          <t>Para ser transparente: a distribuição temporal por macrogrupo é uma APROXIMAÇÃO. O que o modelo NÃO captura e que pode mudar na execução real:
• Distribuição uniforme dentro da janela é irreal em alguns serviços. Por exemplo, 'Supraestrutura' na prática tem curva S própria (mais concreto no meio dos 24 pavimentos, menos no início e no topo). O modelo assume linear — erro de ±8% no R$/mês pontual, mas a SOMA total está correta.
• Curva de pagamento ao fornecedor ≠ curva física de execução. Concreto é pago 30 dias após a entrega; aço é pago antecipado à compra. O modelo usa a curva física (ignora os prazos de 30-60 dias de pagamento). Em análise de fluxo de caixa real, adicionar 30 dias de prazo médio suavizaria o pico negativo em ~R$ 1-2M.
• Chuvas, atrasos e replanejamento não estão modelados. A premissa é que o prazo de 30 meses é cumprido. Se houver atraso de 3 meses, o fluxo estica e o VPL piora ~R$ 0,8M (TMA × 3 meses × exposição).
• O valor por macrogrupo vem do PARAMÉTRICO (±10-15% de incerteza) — não de um orçamento executivo item-a-item. Para cotações reais em RFP, considerar que cada macrogrupo pode variar dentro dessa faixa.
Para decisão de viabilidade (ir / não ir), o modelo atual é adequado. Para construtabilidade, cronograma Primavera e SFH bancário, seria necessário um BIM 4D + orçamento executivo.</t>
        </is>
      </c>
    </row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8">
      <c r="B88" s="12" t="inlineStr">
        <is>
          <t>VISUALIZAÇÕES</t>
        </is>
      </c>
    </row>
    <row r="90">
      <c r="B90" s="17" t="inlineStr">
        <is>
          <t>▸  Gráfico 1  —  Gantt: janela temporal de cada macrogrupo (cor = magnitude do custo)</t>
        </is>
      </c>
    </row>
    <row r="117">
      <c r="B117" s="17" t="inlineStr">
        <is>
          <t>▸  Gráfico 2  —  Curva S: desembolso acumulado da obra (% do custo total por mês)</t>
        </is>
      </c>
    </row>
    <row r="138">
      <c r="B138" s="17" t="inlineStr">
        <is>
          <t>▸  Gráfico 3  —  Composição mensal: quanto cada macrogrupo contribui em cada mês</t>
        </is>
      </c>
    </row>
  </sheetData>
  <mergeCells count="14">
    <mergeCell ref="B54:K69"/>
    <mergeCell ref="B71:K71"/>
    <mergeCell ref="B88:K88"/>
    <mergeCell ref="B117:K117"/>
    <mergeCell ref="B53:K53"/>
    <mergeCell ref="B138:K138"/>
    <mergeCell ref="B21:AQ21"/>
    <mergeCell ref="B72:K86"/>
    <mergeCell ref="B2:K2"/>
    <mergeCell ref="B6:K19"/>
    <mergeCell ref="B90:K90"/>
    <mergeCell ref="B3:K3"/>
    <mergeCell ref="B5:K5"/>
    <mergeCell ref="B22:AQ26"/>
  </mergeCells>
  <conditionalFormatting sqref="H28:AQ45">
    <cfRule type="cellIs" priority="1" operator="greaterThan" dxfId="0">
      <formula>0</formula>
    </cfRule>
  </conditionalFormatting>
  <conditionalFormatting sqref="H49:AQ49">
    <cfRule type="dataBar" priority="2">
      <dataBar showValue="1">
        <cfvo type="num" val="0"/>
        <cfvo type="num" val="1"/>
        <color rgb="002980B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</cols>
  <sheetData>
    <row r="1" ht="30" customHeight="1">
      <c r="A1" s="22" t="inlineStr">
        <is>
          <t>FLUXO DE CAIXA MENSAL — 52 meses (3 pré-lançamento + 36 obra + 12 pós-obra)</t>
        </is>
      </c>
    </row>
    <row r="2" ht="20" customHeight="1">
      <c r="A2" s="53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45" t="inlineStr">
        <is>
          <t>Linha  /  Mês do projeto →</t>
        </is>
      </c>
      <c r="B7" s="35" t="inlineStr">
        <is>
          <t>TOTAL</t>
        </is>
      </c>
      <c r="C7" s="35" t="inlineStr">
        <is>
          <t>PRÉ-LANÇ</t>
        </is>
      </c>
      <c r="D7" s="35" t="inlineStr">
        <is>
          <t>OBRA</t>
        </is>
      </c>
      <c r="E7" s="35" t="inlineStr">
        <is>
          <t>PÓS-OBRA</t>
        </is>
      </c>
      <c r="F7" s="54" t="n">
        <v>-3</v>
      </c>
      <c r="G7" s="54" t="n">
        <v>-2</v>
      </c>
      <c r="H7" s="54" t="n">
        <v>-1</v>
      </c>
      <c r="I7" s="54" t="n">
        <v>0</v>
      </c>
      <c r="J7" s="54" t="n">
        <v>1</v>
      </c>
      <c r="K7" s="54" t="n">
        <v>2</v>
      </c>
      <c r="L7" s="54" t="n">
        <v>3</v>
      </c>
      <c r="M7" s="54" t="n">
        <v>4</v>
      </c>
      <c r="N7" s="54" t="n">
        <v>5</v>
      </c>
      <c r="O7" s="54" t="n">
        <v>6</v>
      </c>
      <c r="P7" s="54" t="n">
        <v>7</v>
      </c>
      <c r="Q7" s="54" t="n">
        <v>8</v>
      </c>
      <c r="R7" s="54" t="n">
        <v>9</v>
      </c>
      <c r="S7" s="54" t="n">
        <v>10</v>
      </c>
      <c r="T7" s="54" t="n">
        <v>11</v>
      </c>
      <c r="U7" s="54" t="n">
        <v>12</v>
      </c>
      <c r="V7" s="54" t="n">
        <v>13</v>
      </c>
      <c r="W7" s="54" t="n">
        <v>14</v>
      </c>
      <c r="X7" s="54" t="n">
        <v>15</v>
      </c>
      <c r="Y7" s="54" t="n">
        <v>16</v>
      </c>
      <c r="Z7" s="54" t="n">
        <v>17</v>
      </c>
      <c r="AA7" s="54" t="n">
        <v>18</v>
      </c>
      <c r="AB7" s="54" t="n">
        <v>19</v>
      </c>
      <c r="AC7" s="54" t="n">
        <v>20</v>
      </c>
      <c r="AD7" s="54" t="n">
        <v>21</v>
      </c>
      <c r="AE7" s="54" t="n">
        <v>22</v>
      </c>
      <c r="AF7" s="54" t="n">
        <v>23</v>
      </c>
      <c r="AG7" s="54" t="n">
        <v>24</v>
      </c>
      <c r="AH7" s="54" t="n">
        <v>25</v>
      </c>
      <c r="AI7" s="54" t="n">
        <v>26</v>
      </c>
      <c r="AJ7" s="54" t="n">
        <v>27</v>
      </c>
      <c r="AK7" s="54" t="n">
        <v>28</v>
      </c>
      <c r="AL7" s="54" t="n">
        <v>29</v>
      </c>
      <c r="AM7" s="54" t="n">
        <v>30</v>
      </c>
      <c r="AN7" s="54" t="n">
        <v>31</v>
      </c>
      <c r="AO7" s="54" t="n">
        <v>32</v>
      </c>
      <c r="AP7" s="54" t="n">
        <v>33</v>
      </c>
      <c r="AQ7" s="54" t="n">
        <v>34</v>
      </c>
      <c r="AR7" s="54" t="n">
        <v>35</v>
      </c>
      <c r="AS7" s="54" t="n">
        <v>36</v>
      </c>
      <c r="AT7" s="54" t="n">
        <v>37</v>
      </c>
      <c r="AU7" s="54" t="n">
        <v>38</v>
      </c>
      <c r="AV7" s="54" t="n">
        <v>39</v>
      </c>
      <c r="AW7" s="54" t="n">
        <v>40</v>
      </c>
      <c r="AX7" s="54" t="n">
        <v>41</v>
      </c>
      <c r="AY7" s="54" t="n">
        <v>42</v>
      </c>
      <c r="AZ7" s="54" t="n">
        <v>43</v>
      </c>
      <c r="BA7" s="54" t="n">
        <v>44</v>
      </c>
      <c r="BB7" s="54" t="n">
        <v>45</v>
      </c>
      <c r="BC7" s="54" t="n">
        <v>46</v>
      </c>
      <c r="BD7" s="54" t="n">
        <v>47</v>
      </c>
      <c r="BE7" s="54" t="n">
        <v>48</v>
      </c>
    </row>
    <row r="8">
      <c r="A8" s="27" t="inlineStr">
        <is>
          <t>Fase do projeto</t>
        </is>
      </c>
      <c r="B8" s="26" t="n"/>
      <c r="C8" s="26" t="n"/>
      <c r="D8" s="26" t="n"/>
      <c r="E8" s="26" t="n"/>
      <c r="F8" s="55" t="inlineStr">
        <is>
          <t>Pré 1</t>
        </is>
      </c>
      <c r="G8" s="55" t="inlineStr">
        <is>
          <t>Pré 2</t>
        </is>
      </c>
      <c r="H8" s="55" t="inlineStr">
        <is>
          <t>Pré 3</t>
        </is>
      </c>
      <c r="I8" s="56" t="inlineStr">
        <is>
          <t>Obra 1</t>
        </is>
      </c>
      <c r="J8" s="56" t="inlineStr">
        <is>
          <t>Obra 2</t>
        </is>
      </c>
      <c r="K8" s="56" t="inlineStr">
        <is>
          <t>Obra 3</t>
        </is>
      </c>
      <c r="L8" s="56" t="inlineStr">
        <is>
          <t>Obra 4</t>
        </is>
      </c>
      <c r="M8" s="56" t="inlineStr">
        <is>
          <t>Obra 5</t>
        </is>
      </c>
      <c r="N8" s="56" t="inlineStr">
        <is>
          <t>Obra 6</t>
        </is>
      </c>
      <c r="O8" s="56" t="inlineStr">
        <is>
          <t>Obra 7</t>
        </is>
      </c>
      <c r="P8" s="56" t="inlineStr">
        <is>
          <t>Obra 8</t>
        </is>
      </c>
      <c r="Q8" s="56" t="inlineStr">
        <is>
          <t>Obra 9</t>
        </is>
      </c>
      <c r="R8" s="56" t="inlineStr">
        <is>
          <t>Obra 10</t>
        </is>
      </c>
      <c r="S8" s="56" t="inlineStr">
        <is>
          <t>Obra 11</t>
        </is>
      </c>
      <c r="T8" s="56" t="inlineStr">
        <is>
          <t>Obra 12</t>
        </is>
      </c>
      <c r="U8" s="56" t="inlineStr">
        <is>
          <t>Obra 13</t>
        </is>
      </c>
      <c r="V8" s="56" t="inlineStr">
        <is>
          <t>Obra 14</t>
        </is>
      </c>
      <c r="W8" s="56" t="inlineStr">
        <is>
          <t>Obra 15</t>
        </is>
      </c>
      <c r="X8" s="56" t="inlineStr">
        <is>
          <t>Obra 16</t>
        </is>
      </c>
      <c r="Y8" s="56" t="inlineStr">
        <is>
          <t>Obra 17</t>
        </is>
      </c>
      <c r="Z8" s="56" t="inlineStr">
        <is>
          <t>Obra 18</t>
        </is>
      </c>
      <c r="AA8" s="56" t="inlineStr">
        <is>
          <t>Obra 19</t>
        </is>
      </c>
      <c r="AB8" s="56" t="inlineStr">
        <is>
          <t>Obra 20</t>
        </is>
      </c>
      <c r="AC8" s="56" t="inlineStr">
        <is>
          <t>Obra 21</t>
        </is>
      </c>
      <c r="AD8" s="56" t="inlineStr">
        <is>
          <t>Obra 22</t>
        </is>
      </c>
      <c r="AE8" s="56" t="inlineStr">
        <is>
          <t>Obra 23</t>
        </is>
      </c>
      <c r="AF8" s="56" t="inlineStr">
        <is>
          <t>Obra 24</t>
        </is>
      </c>
      <c r="AG8" s="56" t="inlineStr">
        <is>
          <t>Obra 25</t>
        </is>
      </c>
      <c r="AH8" s="56" t="inlineStr">
        <is>
          <t>Obra 26</t>
        </is>
      </c>
      <c r="AI8" s="56" t="inlineStr">
        <is>
          <t>Obra 27</t>
        </is>
      </c>
      <c r="AJ8" s="56" t="inlineStr">
        <is>
          <t>Obra 28</t>
        </is>
      </c>
      <c r="AK8" s="56" t="inlineStr">
        <is>
          <t>Obra 29</t>
        </is>
      </c>
      <c r="AL8" s="56" t="inlineStr">
        <is>
          <t>Obra 30</t>
        </is>
      </c>
      <c r="AM8" s="56" t="inlineStr">
        <is>
          <t>Obra 31</t>
        </is>
      </c>
      <c r="AN8" s="56" t="inlineStr">
        <is>
          <t>Obra 32</t>
        </is>
      </c>
      <c r="AO8" s="56" t="inlineStr">
        <is>
          <t>Obra 33</t>
        </is>
      </c>
      <c r="AP8" s="56" t="inlineStr">
        <is>
          <t>Obra 34</t>
        </is>
      </c>
      <c r="AQ8" s="56" t="inlineStr">
        <is>
          <t>Obra 35</t>
        </is>
      </c>
      <c r="AR8" s="56" t="inlineStr">
        <is>
          <t>Obra 36</t>
        </is>
      </c>
      <c r="AS8" s="56" t="inlineStr">
        <is>
          <t>Entrega</t>
        </is>
      </c>
      <c r="AT8" s="57" t="inlineStr">
        <is>
          <t>Pós 1</t>
        </is>
      </c>
      <c r="AU8" s="57" t="inlineStr">
        <is>
          <t>Pós 2</t>
        </is>
      </c>
      <c r="AV8" s="57" t="inlineStr">
        <is>
          <t>Pós 3</t>
        </is>
      </c>
      <c r="AW8" s="57" t="inlineStr">
        <is>
          <t>Pós 4</t>
        </is>
      </c>
      <c r="AX8" s="57" t="inlineStr">
        <is>
          <t>Pós 5</t>
        </is>
      </c>
      <c r="AY8" s="57" t="inlineStr">
        <is>
          <t>Pós 6</t>
        </is>
      </c>
      <c r="AZ8" s="57" t="inlineStr">
        <is>
          <t>Pós 7</t>
        </is>
      </c>
      <c r="BA8" s="57" t="inlineStr">
        <is>
          <t>Pós 8</t>
        </is>
      </c>
      <c r="BB8" s="57" t="inlineStr">
        <is>
          <t>Pós 9</t>
        </is>
      </c>
      <c r="BC8" s="57" t="inlineStr">
        <is>
          <t>Pós 10</t>
        </is>
      </c>
      <c r="BD8" s="57" t="inlineStr">
        <is>
          <t>Pós 11</t>
        </is>
      </c>
      <c r="BE8" s="57" t="inlineStr">
        <is>
          <t>Pós 12</t>
        </is>
      </c>
    </row>
    <row r="9">
      <c r="A9" s="58" t="inlineStr">
        <is>
          <t xml:space="preserve">   ▲  ENTRADAS DE CAIXA   (recebimentos das vendas)</t>
        </is>
      </c>
    </row>
    <row r="10">
      <c r="A10" s="24" t="inlineStr">
        <is>
          <t>% do VGV vendido (acumulado)</t>
        </is>
      </c>
      <c r="B10" s="59" t="n">
        <v>30.37020275683398</v>
      </c>
      <c r="C10" s="59" t="n">
        <v>0.008860458149069432</v>
      </c>
      <c r="D10" s="60" t="n">
        <v>18.54910549813145</v>
      </c>
      <c r="E10" s="59" t="n">
        <v>11.81223680055346</v>
      </c>
      <c r="F10" s="61" t="n">
        <v>0</v>
      </c>
      <c r="G10" s="61" t="n">
        <v>0</v>
      </c>
      <c r="H10" s="61" t="n">
        <v>0.008860458149069432</v>
      </c>
      <c r="I10" s="61" t="n">
        <v>0.01896159951924031</v>
      </c>
      <c r="J10" s="61" t="n">
        <v>0.03044446348368508</v>
      </c>
      <c r="K10" s="61" t="n">
        <v>0.04345594942980426</v>
      </c>
      <c r="L10" s="61" t="n">
        <v>0.05814568707579992</v>
      </c>
      <c r="M10" s="61" t="n">
        <v>0.07466176976312867</v>
      </c>
      <c r="N10" s="61" t="n">
        <v>0.09314523436621201</v>
      </c>
      <c r="O10" s="61" t="n">
        <v>0.1137232471424331</v>
      </c>
      <c r="P10" s="61" t="n">
        <v>0.1365010726525185</v>
      </c>
      <c r="Q10" s="61" t="n">
        <v>0.16155306510567</v>
      </c>
      <c r="R10" s="61" t="n">
        <v>0.1889131220502655</v>
      </c>
      <c r="S10" s="61" t="n">
        <v>0.2185652610891828</v>
      </c>
      <c r="T10" s="61" t="n">
        <v>0.2504351887438368</v>
      </c>
      <c r="U10" s="61" t="n">
        <v>0.2843838809440952</v>
      </c>
      <c r="V10" s="61" t="n">
        <v>0.3202042341141668</v>
      </c>
      <c r="W10" s="61" t="n">
        <v>0.357621726887273</v>
      </c>
      <c r="X10" s="61" t="n">
        <v>0.3962997291830566</v>
      </c>
      <c r="Y10" s="61" t="n">
        <v>0.4358496194830052</v>
      </c>
      <c r="Z10" s="61" t="n">
        <v>0.4758452809302698</v>
      </c>
      <c r="AA10" s="61" t="n">
        <v>0.5158409423775344</v>
      </c>
      <c r="AB10" s="61" t="n">
        <v>0.555390832677483</v>
      </c>
      <c r="AC10" s="61" t="n">
        <v>0.5940688349732667</v>
      </c>
      <c r="AD10" s="61" t="n">
        <v>0.6314863277463726</v>
      </c>
      <c r="AE10" s="61" t="n">
        <v>0.6673066809164444</v>
      </c>
      <c r="AF10" s="61" t="n">
        <v>0.7012553731167027</v>
      </c>
      <c r="AG10" s="61" t="n">
        <v>0.7331253007713567</v>
      </c>
      <c r="AH10" s="61" t="n">
        <v>0.762777439810274</v>
      </c>
      <c r="AI10" s="61" t="n">
        <v>0.7901374967548694</v>
      </c>
      <c r="AJ10" s="61" t="n">
        <v>0.815189489208021</v>
      </c>
      <c r="AK10" s="61" t="n">
        <v>0.8379673147181065</v>
      </c>
      <c r="AL10" s="61" t="n">
        <v>0.8585453274943277</v>
      </c>
      <c r="AM10" s="61" t="n">
        <v>0.8770287920974109</v>
      </c>
      <c r="AN10" s="61" t="n">
        <v>0.8935448747847397</v>
      </c>
      <c r="AO10" s="61" t="n">
        <v>0.9082346124307352</v>
      </c>
      <c r="AP10" s="61" t="n">
        <v>0.9212460983768544</v>
      </c>
      <c r="AQ10" s="61" t="n">
        <v>0.9327289623412991</v>
      </c>
      <c r="AR10" s="61" t="n">
        <v>0.94283010371147</v>
      </c>
      <c r="AS10" s="61" t="n">
        <v>0.9516905618605395</v>
      </c>
      <c r="AT10" s="61" t="n">
        <v>0.9594433666275206</v>
      </c>
      <c r="AU10" s="61" t="n">
        <v>0.9662121981250306</v>
      </c>
      <c r="AV10" s="61" t="n">
        <v>0.9721106891791248</v>
      </c>
      <c r="AW10" s="61" t="n">
        <v>0.9772422188366474</v>
      </c>
      <c r="AX10" s="61" t="n">
        <v>0.9817000660390391</v>
      </c>
      <c r="AY10" s="61" t="n">
        <v>0.9855678149280852</v>
      </c>
      <c r="AZ10" s="61" t="n">
        <v>0.988919924870493</v>
      </c>
      <c r="BA10" s="61" t="n">
        <v>0.9918223977780121</v>
      </c>
      <c r="BB10" s="61" t="n">
        <v>0.9943334920245692</v>
      </c>
      <c r="BC10" s="61" t="n">
        <v>0.996504446081678</v>
      </c>
      <c r="BD10" s="61" t="n">
        <v>0.9983801860632577</v>
      </c>
      <c r="BE10" s="61" t="n">
        <v>1</v>
      </c>
    </row>
    <row r="11">
      <c r="A11" s="24" t="inlineStr">
        <is>
          <t>VGV contratado no mês</t>
        </is>
      </c>
      <c r="B11" s="62" t="n">
        <v>94084436.51879999</v>
      </c>
      <c r="C11" s="62" t="n">
        <v>833631.2122536069</v>
      </c>
      <c r="D11" s="63" t="n">
        <v>88705639.04065539</v>
      </c>
      <c r="E11" s="62" t="n">
        <v>4545166.265890967</v>
      </c>
      <c r="F11" s="64" t="n">
        <v>0</v>
      </c>
      <c r="G11" s="64" t="n">
        <v>0</v>
      </c>
      <c r="H11" s="64" t="n">
        <v>833631.2122536069</v>
      </c>
      <c r="I11" s="64" t="n">
        <v>950360.1940092667</v>
      </c>
      <c r="J11" s="64" t="n">
        <v>1080358.785716819</v>
      </c>
      <c r="K11" s="64" t="n">
        <v>1224178.323512908</v>
      </c>
      <c r="L11" s="64" t="n">
        <v>1382075.689032505</v>
      </c>
      <c r="M11" s="64" t="n">
        <v>1553906.333135233</v>
      </c>
      <c r="N11" s="64" t="n">
        <v>1739006.352096281</v>
      </c>
      <c r="O11" s="64" t="n">
        <v>1936070.736727429</v>
      </c>
      <c r="P11" s="64" t="n">
        <v>2143038.878239931</v>
      </c>
      <c r="Q11" s="64" t="n">
        <v>2357002.59362799</v>
      </c>
      <c r="R11" s="64" t="n">
        <v>2574155.540754546</v>
      </c>
      <c r="S11" s="64" t="n">
        <v>2789804.793053646</v>
      </c>
      <c r="T11" s="64" t="n">
        <v>2998464.18528304</v>
      </c>
      <c r="U11" s="64" t="n">
        <v>3194043.576211489</v>
      </c>
      <c r="V11" s="64" t="n">
        <v>3370137.743910602</v>
      </c>
      <c r="W11" s="64" t="n">
        <v>3520403.72350396</v>
      </c>
      <c r="X11" s="64" t="n">
        <v>3638998.051671654</v>
      </c>
      <c r="Y11" s="64" t="n">
        <v>3721029.143251015</v>
      </c>
      <c r="Z11" s="64" t="n">
        <v>3762969.270462582</v>
      </c>
      <c r="AA11" s="64" t="n">
        <v>3762969.270462587</v>
      </c>
      <c r="AB11" s="64" t="n">
        <v>3721029.143251015</v>
      </c>
      <c r="AC11" s="64" t="n">
        <v>3638998.051671659</v>
      </c>
      <c r="AD11" s="64" t="n">
        <v>3520403.723503939</v>
      </c>
      <c r="AE11" s="64" t="n">
        <v>3370137.743910618</v>
      </c>
      <c r="AF11" s="64" t="n">
        <v>3194043.576211481</v>
      </c>
      <c r="AG11" s="64" t="n">
        <v>2998464.185283042</v>
      </c>
      <c r="AH11" s="64" t="n">
        <v>2789804.793053641</v>
      </c>
      <c r="AI11" s="64" t="n">
        <v>2574155.540754541</v>
      </c>
      <c r="AJ11" s="64" t="n">
        <v>2357002.593627998</v>
      </c>
      <c r="AK11" s="64" t="n">
        <v>2143038.878239938</v>
      </c>
      <c r="AL11" s="64" t="n">
        <v>1936070.736727438</v>
      </c>
      <c r="AM11" s="64" t="n">
        <v>1739006.352096274</v>
      </c>
      <c r="AN11" s="64" t="n">
        <v>1553906.333135232</v>
      </c>
      <c r="AO11" s="64" t="n">
        <v>1382075.689032501</v>
      </c>
      <c r="AP11" s="64" t="n">
        <v>1224178.323512913</v>
      </c>
      <c r="AQ11" s="64" t="n">
        <v>1080358.785716811</v>
      </c>
      <c r="AR11" s="64" t="n">
        <v>950360.1940092702</v>
      </c>
      <c r="AS11" s="64" t="n">
        <v>833631.2122536049</v>
      </c>
      <c r="AT11" s="64" t="n">
        <v>729418.2679416838</v>
      </c>
      <c r="AU11" s="64" t="n">
        <v>636841.6973339284</v>
      </c>
      <c r="AV11" s="64" t="n">
        <v>554956.2071356393</v>
      </c>
      <c r="AW11" s="64" t="n">
        <v>482797.0763075225</v>
      </c>
      <c r="AX11" s="64" t="n">
        <v>419414.0421239357</v>
      </c>
      <c r="AY11" s="64" t="n">
        <v>363894.9748221117</v>
      </c>
      <c r="AZ11" s="64" t="n">
        <v>315381.3750804966</v>
      </c>
      <c r="BA11" s="64" t="n">
        <v>273077.5280150169</v>
      </c>
      <c r="BB11" s="64" t="n">
        <v>236254.88723293</v>
      </c>
      <c r="BC11" s="64" t="n">
        <v>204252.9891712787</v>
      </c>
      <c r="BD11" s="64" t="n">
        <v>176477.9392227138</v>
      </c>
      <c r="BE11" s="64" t="n">
        <v>152399.2815037104</v>
      </c>
    </row>
    <row r="12">
      <c r="A12" s="24" t="inlineStr">
        <is>
          <t xml:space="preserve">  Entrada (20% no ato)</t>
        </is>
      </c>
      <c r="B12" s="62" t="n">
        <v>18816887.30376</v>
      </c>
      <c r="C12" s="62" t="n">
        <v>166726.2424507214</v>
      </c>
      <c r="D12" s="63" t="n">
        <v>17741127.80813108</v>
      </c>
      <c r="E12" s="62" t="n">
        <v>909033.2531781937</v>
      </c>
      <c r="F12" s="64" t="n">
        <v>0</v>
      </c>
      <c r="G12" s="64" t="n">
        <v>0</v>
      </c>
      <c r="H12" s="64" t="n">
        <v>166726.2424507214</v>
      </c>
      <c r="I12" s="64" t="n">
        <v>190072.0388018533</v>
      </c>
      <c r="J12" s="64" t="n">
        <v>216071.7571433638</v>
      </c>
      <c r="K12" s="64" t="n">
        <v>244835.6647025817</v>
      </c>
      <c r="L12" s="64" t="n">
        <v>276415.1378065011</v>
      </c>
      <c r="M12" s="64" t="n">
        <v>310781.2666270467</v>
      </c>
      <c r="N12" s="64" t="n">
        <v>347801.2704192562</v>
      </c>
      <c r="O12" s="64" t="n">
        <v>387214.1473454859</v>
      </c>
      <c r="P12" s="64" t="n">
        <v>428607.7756479862</v>
      </c>
      <c r="Q12" s="64" t="n">
        <v>471400.5187255981</v>
      </c>
      <c r="R12" s="64" t="n">
        <v>514831.1081509092</v>
      </c>
      <c r="S12" s="64" t="n">
        <v>557960.9586107292</v>
      </c>
      <c r="T12" s="64" t="n">
        <v>599692.8370566079</v>
      </c>
      <c r="U12" s="64" t="n">
        <v>638808.7152422979</v>
      </c>
      <c r="V12" s="64" t="n">
        <v>674027.5487821205</v>
      </c>
      <c r="W12" s="64" t="n">
        <v>704080.744700792</v>
      </c>
      <c r="X12" s="64" t="n">
        <v>727799.6103343307</v>
      </c>
      <c r="Y12" s="64" t="n">
        <v>744205.8286502031</v>
      </c>
      <c r="Z12" s="64" t="n">
        <v>752593.8540925165</v>
      </c>
      <c r="AA12" s="64" t="n">
        <v>752593.8540925174</v>
      </c>
      <c r="AB12" s="64" t="n">
        <v>744205.8286502031</v>
      </c>
      <c r="AC12" s="64" t="n">
        <v>727799.6103343318</v>
      </c>
      <c r="AD12" s="64" t="n">
        <v>704080.7447007879</v>
      </c>
      <c r="AE12" s="64" t="n">
        <v>674027.5487821237</v>
      </c>
      <c r="AF12" s="64" t="n">
        <v>638808.7152422962</v>
      </c>
      <c r="AG12" s="64" t="n">
        <v>599692.8370566085</v>
      </c>
      <c r="AH12" s="64" t="n">
        <v>557960.9586107282</v>
      </c>
      <c r="AI12" s="64" t="n">
        <v>514831.1081509082</v>
      </c>
      <c r="AJ12" s="64" t="n">
        <v>471400.5187255996</v>
      </c>
      <c r="AK12" s="64" t="n">
        <v>428607.7756479876</v>
      </c>
      <c r="AL12" s="64" t="n">
        <v>387214.1473454877</v>
      </c>
      <c r="AM12" s="64" t="n">
        <v>347801.2704192549</v>
      </c>
      <c r="AN12" s="64" t="n">
        <v>310781.2666270465</v>
      </c>
      <c r="AO12" s="64" t="n">
        <v>276415.1378065003</v>
      </c>
      <c r="AP12" s="64" t="n">
        <v>244835.6647025827</v>
      </c>
      <c r="AQ12" s="64" t="n">
        <v>216071.7571433623</v>
      </c>
      <c r="AR12" s="64" t="n">
        <v>190072.038801854</v>
      </c>
      <c r="AS12" s="64" t="n">
        <v>166726.242450721</v>
      </c>
      <c r="AT12" s="64" t="n">
        <v>145883.6535883367</v>
      </c>
      <c r="AU12" s="64" t="n">
        <v>127368.3394667857</v>
      </c>
      <c r="AV12" s="64" t="n">
        <v>110991.2414271279</v>
      </c>
      <c r="AW12" s="64" t="n">
        <v>96559.41526150452</v>
      </c>
      <c r="AX12" s="64" t="n">
        <v>83882.80842478714</v>
      </c>
      <c r="AY12" s="64" t="n">
        <v>72778.99496442234</v>
      </c>
      <c r="AZ12" s="64" t="n">
        <v>63076.27501609932</v>
      </c>
      <c r="BA12" s="64" t="n">
        <v>54615.50560300337</v>
      </c>
      <c r="BB12" s="64" t="n">
        <v>47250.977446586</v>
      </c>
      <c r="BC12" s="64" t="n">
        <v>40850.59783425575</v>
      </c>
      <c r="BD12" s="64" t="n">
        <v>35295.58784454277</v>
      </c>
      <c r="BE12" s="64" t="n">
        <v>30479.85630074208</v>
      </c>
    </row>
    <row r="13">
      <c r="A13" s="24" t="inlineStr">
        <is>
          <t xml:space="preserve">  Parcelas obra (40% corrigido CUB)</t>
        </is>
      </c>
      <c r="B13" s="62" t="n">
        <v>37538177.53336913</v>
      </c>
      <c r="C13" s="62" t="n">
        <v>0</v>
      </c>
      <c r="D13" s="63" t="n">
        <v>37538177.53336913</v>
      </c>
      <c r="E13" s="62" t="n">
        <v>0</v>
      </c>
      <c r="F13" s="64" t="n">
        <v>0</v>
      </c>
      <c r="G13" s="64" t="n">
        <v>0</v>
      </c>
      <c r="H13" s="64" t="n">
        <v>0</v>
      </c>
      <c r="I13" s="64" t="n">
        <v>9063.185776509921</v>
      </c>
      <c r="J13" s="64" t="n">
        <v>19733.69333230335</v>
      </c>
      <c r="K13" s="64" t="n">
        <v>32262.03954756977</v>
      </c>
      <c r="L13" s="64" t="n">
        <v>46927.98328889137</v>
      </c>
      <c r="M13" s="64" t="n">
        <v>64040.47421295896</v>
      </c>
      <c r="N13" s="64" t="n">
        <v>83936.22268310227</v>
      </c>
      <c r="O13" s="64" t="n">
        <v>106976.4741196242</v>
      </c>
      <c r="P13" s="64" t="n">
        <v>133541.568819371</v>
      </c>
      <c r="Q13" s="64" t="n">
        <v>164022.9209768532</v>
      </c>
      <c r="R13" s="64" t="n">
        <v>198812.1794042212</v>
      </c>
      <c r="S13" s="64" t="n">
        <v>238287.5544518302</v>
      </c>
      <c r="T13" s="64" t="n">
        <v>282797.6170049571</v>
      </c>
      <c r="U13" s="64" t="n">
        <v>332643.2828503237</v>
      </c>
      <c r="V13" s="64" t="n">
        <v>388059.1490497881</v>
      </c>
      <c r="W13" s="64" t="n">
        <v>449195.7787268242</v>
      </c>
      <c r="X13" s="64" t="n">
        <v>516104.8442031365</v>
      </c>
      <c r="Y13" s="64" t="n">
        <v>588729.1374696963</v>
      </c>
      <c r="Z13" s="64" t="n">
        <v>666899.2652671064</v>
      </c>
      <c r="AA13" s="64" t="n">
        <v>750338.3400570722</v>
      </c>
      <c r="AB13" s="64" t="n">
        <v>838675.2098060796</v>
      </c>
      <c r="AC13" s="64" t="n">
        <v>931465.8692108473</v>
      </c>
      <c r="AD13" s="64" t="n">
        <v>1028221.849551778</v>
      </c>
      <c r="AE13" s="64" t="n">
        <v>1128443.794659091</v>
      </c>
      <c r="AF13" s="64" t="n">
        <v>1231658.265441045</v>
      </c>
      <c r="AG13" s="64" t="n">
        <v>1337456.183817297</v>
      </c>
      <c r="AH13" s="64" t="n">
        <v>1445532.286787403</v>
      </c>
      <c r="AI13" s="64" t="n">
        <v>1555726.582133853</v>
      </c>
      <c r="AJ13" s="64" t="n">
        <v>1668071.294029559</v>
      </c>
      <c r="AK13" s="64" t="n">
        <v>1782850.786263486</v>
      </c>
      <c r="AL13" s="64" t="n">
        <v>1900689.080394489</v>
      </c>
      <c r="AM13" s="64" t="n">
        <v>2022693.999200047</v>
      </c>
      <c r="AN13" s="64" t="n">
        <v>2150719.868268465</v>
      </c>
      <c r="AO13" s="64" t="n">
        <v>2287895.738728132</v>
      </c>
      <c r="AP13" s="64" t="n">
        <v>2439820.848457594</v>
      </c>
      <c r="AQ13" s="64" t="n">
        <v>2617762.617685218</v>
      </c>
      <c r="AR13" s="64" t="n">
        <v>2849857.286387688</v>
      </c>
      <c r="AS13" s="64" t="n">
        <v>3248264.26130492</v>
      </c>
      <c r="AT13" s="64" t="n">
        <v>0</v>
      </c>
      <c r="AU13" s="64" t="n">
        <v>0</v>
      </c>
      <c r="AV13" s="64" t="n">
        <v>0</v>
      </c>
      <c r="AW13" s="64" t="n">
        <v>0</v>
      </c>
      <c r="AX13" s="64" t="n">
        <v>0</v>
      </c>
      <c r="AY13" s="64" t="n">
        <v>0</v>
      </c>
      <c r="AZ13" s="64" t="n">
        <v>0</v>
      </c>
      <c r="BA13" s="64" t="n">
        <v>0</v>
      </c>
      <c r="BB13" s="64" t="n">
        <v>0</v>
      </c>
      <c r="BC13" s="64" t="n">
        <v>0</v>
      </c>
      <c r="BD13" s="64" t="n">
        <v>0</v>
      </c>
      <c r="BE13" s="64" t="n">
        <v>0</v>
      </c>
    </row>
    <row r="14">
      <c r="A14" s="24" t="inlineStr">
        <is>
          <t xml:space="preserve">  Repasse/chave (40% entrega+2)</t>
        </is>
      </c>
      <c r="B14" s="62" t="n">
        <v>37633774.60751999</v>
      </c>
      <c r="C14" s="62" t="n">
        <v>0</v>
      </c>
      <c r="D14" s="63" t="n">
        <v>0</v>
      </c>
      <c r="E14" s="62" t="n">
        <v>37633774.60751999</v>
      </c>
      <c r="F14" s="64" t="n">
        <v>0</v>
      </c>
      <c r="G14" s="64" t="n">
        <v>0</v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64" t="n">
        <v>0</v>
      </c>
      <c r="N14" s="64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64" t="n">
        <v>0</v>
      </c>
      <c r="T14" s="64" t="n">
        <v>0</v>
      </c>
      <c r="U14" s="64" t="n">
        <v>0</v>
      </c>
      <c r="V14" s="64" t="n">
        <v>0</v>
      </c>
      <c r="W14" s="64" t="n">
        <v>0</v>
      </c>
      <c r="X14" s="64" t="n">
        <v>0</v>
      </c>
      <c r="Y14" s="64" t="n">
        <v>0</v>
      </c>
      <c r="Z14" s="64" t="n">
        <v>0</v>
      </c>
      <c r="AA14" s="64" t="n">
        <v>0</v>
      </c>
      <c r="AB14" s="64" t="n">
        <v>0</v>
      </c>
      <c r="AC14" s="64" t="n">
        <v>0</v>
      </c>
      <c r="AD14" s="64" t="n">
        <v>0</v>
      </c>
      <c r="AE14" s="64" t="n">
        <v>0</v>
      </c>
      <c r="AF14" s="64" t="n">
        <v>0</v>
      </c>
      <c r="AG14" s="64" t="n">
        <v>0</v>
      </c>
      <c r="AH14" s="64" t="n">
        <v>0</v>
      </c>
      <c r="AI14" s="64" t="n">
        <v>0</v>
      </c>
      <c r="AJ14" s="64" t="n">
        <v>0</v>
      </c>
      <c r="AK14" s="64" t="n">
        <v>0</v>
      </c>
      <c r="AL14" s="64" t="n">
        <v>0</v>
      </c>
      <c r="AM14" s="64" t="n">
        <v>0</v>
      </c>
      <c r="AN14" s="64" t="n">
        <v>0</v>
      </c>
      <c r="AO14" s="64" t="n">
        <v>0</v>
      </c>
      <c r="AP14" s="64" t="n">
        <v>0</v>
      </c>
      <c r="AQ14" s="64" t="n">
        <v>0</v>
      </c>
      <c r="AR14" s="64" t="n">
        <v>0</v>
      </c>
      <c r="AS14" s="64" t="n">
        <v>0</v>
      </c>
      <c r="AT14" s="64" t="n">
        <v>0</v>
      </c>
      <c r="AU14" s="64" t="n">
        <v>37633774.60751999</v>
      </c>
      <c r="AV14" s="64" t="n">
        <v>0</v>
      </c>
      <c r="AW14" s="64" t="n">
        <v>0</v>
      </c>
      <c r="AX14" s="64" t="n">
        <v>0</v>
      </c>
      <c r="AY14" s="64" t="n">
        <v>0</v>
      </c>
      <c r="AZ14" s="64" t="n">
        <v>0</v>
      </c>
      <c r="BA14" s="64" t="n">
        <v>0</v>
      </c>
      <c r="BB14" s="64" t="n">
        <v>0</v>
      </c>
      <c r="BC14" s="64" t="n">
        <v>0</v>
      </c>
      <c r="BD14" s="64" t="n">
        <v>0</v>
      </c>
      <c r="BE14" s="64" t="n">
        <v>0</v>
      </c>
    </row>
    <row r="15">
      <c r="A15" s="24" t="inlineStr">
        <is>
          <t xml:space="preserve">  (−) Inadimplência (3%)</t>
        </is>
      </c>
      <c r="B15" s="62" t="n">
        <v>-2819665.183339474</v>
      </c>
      <c r="C15" s="62" t="n">
        <v>-5001.787273521642</v>
      </c>
      <c r="D15" s="63" t="n">
        <v>-1658379.160245006</v>
      </c>
      <c r="E15" s="62" t="n">
        <v>-1156284.235820946</v>
      </c>
      <c r="F15" s="64" t="n">
        <v>-0</v>
      </c>
      <c r="G15" s="64" t="n">
        <v>-0</v>
      </c>
      <c r="H15" s="64" t="n">
        <v>-5001.787273521642</v>
      </c>
      <c r="I15" s="64" t="n">
        <v>-5974.056737350897</v>
      </c>
      <c r="J15" s="64" t="n">
        <v>-7074.163514270014</v>
      </c>
      <c r="K15" s="64" t="n">
        <v>-8312.931127504544</v>
      </c>
      <c r="L15" s="64" t="n">
        <v>-9700.293632861772</v>
      </c>
      <c r="M15" s="64" t="n">
        <v>-11244.65222520017</v>
      </c>
      <c r="N15" s="64" t="n">
        <v>-12952.12479307076</v>
      </c>
      <c r="O15" s="64" t="n">
        <v>-14825.7186439533</v>
      </c>
      <c r="P15" s="64" t="n">
        <v>-16864.48033402071</v>
      </c>
      <c r="Q15" s="64" t="n">
        <v>-19062.70319107353</v>
      </c>
      <c r="R15" s="64" t="n">
        <v>-21409.29862665391</v>
      </c>
      <c r="S15" s="64" t="n">
        <v>-23887.45539187678</v>
      </c>
      <c r="T15" s="64" t="n">
        <v>-26474.71362184695</v>
      </c>
      <c r="U15" s="64" t="n">
        <v>-29143.55994277865</v>
      </c>
      <c r="V15" s="64" t="n">
        <v>-31862.60093495726</v>
      </c>
      <c r="W15" s="64" t="n">
        <v>-34598.29570282849</v>
      </c>
      <c r="X15" s="64" t="n">
        <v>-37317.13363612401</v>
      </c>
      <c r="Y15" s="64" t="n">
        <v>-39988.04898359698</v>
      </c>
      <c r="Z15" s="64" t="n">
        <v>-42584.79358078868</v>
      </c>
      <c r="AA15" s="64" t="n">
        <v>-45087.96582448768</v>
      </c>
      <c r="AB15" s="64" t="n">
        <v>-47486.43115368848</v>
      </c>
      <c r="AC15" s="64" t="n">
        <v>-49777.96438635537</v>
      </c>
      <c r="AD15" s="64" t="n">
        <v>-51969.07782757699</v>
      </c>
      <c r="AE15" s="64" t="n">
        <v>-54074.14030323643</v>
      </c>
      <c r="AF15" s="64" t="n">
        <v>-56114.00942050023</v>
      </c>
      <c r="AG15" s="64" t="n">
        <v>-58114.47062621715</v>
      </c>
      <c r="AH15" s="64" t="n">
        <v>-60104.79736194393</v>
      </c>
      <c r="AI15" s="64" t="n">
        <v>-62116.73070854283</v>
      </c>
      <c r="AJ15" s="64" t="n">
        <v>-64184.15438265474</v>
      </c>
      <c r="AK15" s="64" t="n">
        <v>-66343.7568573442</v>
      </c>
      <c r="AL15" s="64" t="n">
        <v>-68637.09683219928</v>
      </c>
      <c r="AM15" s="64" t="n">
        <v>-71114.85808857904</v>
      </c>
      <c r="AN15" s="64" t="n">
        <v>-73845.03404686534</v>
      </c>
      <c r="AO15" s="64" t="n">
        <v>-76929.32629603897</v>
      </c>
      <c r="AP15" s="64" t="n">
        <v>-80539.69539480531</v>
      </c>
      <c r="AQ15" s="64" t="n">
        <v>-85015.03124485743</v>
      </c>
      <c r="AR15" s="64" t="n">
        <v>-91197.87975568626</v>
      </c>
      <c r="AS15" s="64" t="n">
        <v>-102449.7151126692</v>
      </c>
      <c r="AT15" s="64" t="n">
        <v>-4376.509607650102</v>
      </c>
      <c r="AU15" s="64" t="n">
        <v>-1132834.288409603</v>
      </c>
      <c r="AV15" s="64" t="n">
        <v>-3329.737242813836</v>
      </c>
      <c r="AW15" s="64" t="n">
        <v>-2896.782457845135</v>
      </c>
      <c r="AX15" s="64" t="n">
        <v>-2516.484252743614</v>
      </c>
      <c r="AY15" s="64" t="n">
        <v>-2183.36984893267</v>
      </c>
      <c r="AZ15" s="64" t="n">
        <v>-1892.28825048298</v>
      </c>
      <c r="BA15" s="64" t="n">
        <v>-1638.465168090101</v>
      </c>
      <c r="BB15" s="64" t="n">
        <v>-1417.52932339758</v>
      </c>
      <c r="BC15" s="64" t="n">
        <v>-1225.517935027672</v>
      </c>
      <c r="BD15" s="64" t="n">
        <v>-1058.867635336283</v>
      </c>
      <c r="BE15" s="64" t="n">
        <v>-914.3956890222624</v>
      </c>
    </row>
    <row r="16">
      <c r="A16" s="65" t="inlineStr">
        <is>
          <t>ENTRADA LÍQUIDA MÊS</t>
        </is>
      </c>
      <c r="B16" s="62" t="n">
        <v>91169174.26130962</v>
      </c>
      <c r="C16" s="62" t="n">
        <v>161724.4551771997</v>
      </c>
      <c r="D16" s="63" t="n">
        <v>53620926.18125521</v>
      </c>
      <c r="E16" s="62" t="n">
        <v>37386523.62487724</v>
      </c>
      <c r="F16" s="66" t="n">
        <v>0</v>
      </c>
      <c r="G16" s="66" t="n">
        <v>0</v>
      </c>
      <c r="H16" s="66" t="n">
        <v>161724.4551771997</v>
      </c>
      <c r="I16" s="66" t="n">
        <v>193161.1678410124</v>
      </c>
      <c r="J16" s="66" t="n">
        <v>228731.2869613971</v>
      </c>
      <c r="K16" s="66" t="n">
        <v>268784.7731226469</v>
      </c>
      <c r="L16" s="66" t="n">
        <v>313642.8274625307</v>
      </c>
      <c r="M16" s="66" t="n">
        <v>363577.0886148055</v>
      </c>
      <c r="N16" s="66" t="n">
        <v>418785.3683092878</v>
      </c>
      <c r="O16" s="66" t="n">
        <v>479364.9028211567</v>
      </c>
      <c r="P16" s="66" t="n">
        <v>545284.8641333365</v>
      </c>
      <c r="Q16" s="66" t="n">
        <v>616360.7365113777</v>
      </c>
      <c r="R16" s="66" t="n">
        <v>692233.9889284765</v>
      </c>
      <c r="S16" s="66" t="n">
        <v>772361.0576706826</v>
      </c>
      <c r="T16" s="66" t="n">
        <v>856015.740439718</v>
      </c>
      <c r="U16" s="66" t="n">
        <v>942308.4381498429</v>
      </c>
      <c r="V16" s="66" t="n">
        <v>1030224.096896951</v>
      </c>
      <c r="W16" s="66" t="n">
        <v>1118678.227724788</v>
      </c>
      <c r="X16" s="66" t="n">
        <v>1206587.320901343</v>
      </c>
      <c r="Y16" s="66" t="n">
        <v>1292946.917136302</v>
      </c>
      <c r="Z16" s="66" t="n">
        <v>1376908.325778834</v>
      </c>
      <c r="AA16" s="66" t="n">
        <v>1457844.228325102</v>
      </c>
      <c r="AB16" s="66" t="n">
        <v>1535394.607302594</v>
      </c>
      <c r="AC16" s="66" t="n">
        <v>1609487.515158824</v>
      </c>
      <c r="AD16" s="66" t="n">
        <v>1680333.516424989</v>
      </c>
      <c r="AE16" s="66" t="n">
        <v>1748397.203137978</v>
      </c>
      <c r="AF16" s="66" t="n">
        <v>1814352.971262841</v>
      </c>
      <c r="AG16" s="66" t="n">
        <v>1879034.550247688</v>
      </c>
      <c r="AH16" s="66" t="n">
        <v>1943388.448036187</v>
      </c>
      <c r="AI16" s="66" t="n">
        <v>2008440.959576218</v>
      </c>
      <c r="AJ16" s="66" t="n">
        <v>2075287.658372503</v>
      </c>
      <c r="AK16" s="66" t="n">
        <v>2145114.805054129</v>
      </c>
      <c r="AL16" s="66" t="n">
        <v>2219266.130907777</v>
      </c>
      <c r="AM16" s="66" t="n">
        <v>2299380.411530722</v>
      </c>
      <c r="AN16" s="66" t="n">
        <v>2387656.100848646</v>
      </c>
      <c r="AO16" s="66" t="n">
        <v>2487381.550238593</v>
      </c>
      <c r="AP16" s="66" t="n">
        <v>2604116.817765372</v>
      </c>
      <c r="AQ16" s="66" t="n">
        <v>2748819.343583724</v>
      </c>
      <c r="AR16" s="66" t="n">
        <v>2948731.445433856</v>
      </c>
      <c r="AS16" s="66" t="n">
        <v>3312540.788642972</v>
      </c>
      <c r="AT16" s="66" t="n">
        <v>141507.1439806866</v>
      </c>
      <c r="AU16" s="66" t="n">
        <v>36628308.65857717</v>
      </c>
      <c r="AV16" s="66" t="n">
        <v>107661.504184314</v>
      </c>
      <c r="AW16" s="66" t="n">
        <v>93662.63280365938</v>
      </c>
      <c r="AX16" s="66" t="n">
        <v>81366.32417204353</v>
      </c>
      <c r="AY16" s="66" t="n">
        <v>70595.62511548967</v>
      </c>
      <c r="AZ16" s="66" t="n">
        <v>61183.98676561634</v>
      </c>
      <c r="BA16" s="66" t="n">
        <v>52977.04043491327</v>
      </c>
      <c r="BB16" s="66" t="n">
        <v>45833.44812318842</v>
      </c>
      <c r="BC16" s="66" t="n">
        <v>39625.07989922808</v>
      </c>
      <c r="BD16" s="66" t="n">
        <v>34236.72020920649</v>
      </c>
      <c r="BE16" s="66" t="n">
        <v>29565.46061171982</v>
      </c>
    </row>
    <row r="18">
      <c r="A18" s="67" t="inlineStr">
        <is>
          <t xml:space="preserve">   ▼  SAÍDAS DE CAIXA   (custos da obra + comercial + impostos + admin)</t>
        </is>
      </c>
    </row>
    <row r="19">
      <c r="A19" s="24" t="inlineStr">
        <is>
          <t xml:space="preserve">  Custo da obra (paramétrico)</t>
        </is>
      </c>
      <c r="B19" s="62" t="n">
        <v>39379139.4038</v>
      </c>
      <c r="C19" s="62" t="n">
        <v>0</v>
      </c>
      <c r="D19" s="63" t="n">
        <v>39379139.4038</v>
      </c>
      <c r="E19" s="62" t="n">
        <v>0</v>
      </c>
      <c r="F19" s="64" t="n">
        <v>0</v>
      </c>
      <c r="G19" s="64" t="n">
        <v>0</v>
      </c>
      <c r="H19" s="64" t="n">
        <v>0</v>
      </c>
      <c r="I19" s="64" t="n">
        <v>157516.5576152</v>
      </c>
      <c r="J19" s="64" t="n">
        <v>236274.8364228</v>
      </c>
      <c r="K19" s="64" t="n">
        <v>315033.1152304</v>
      </c>
      <c r="L19" s="64" t="n">
        <v>393791.394038</v>
      </c>
      <c r="M19" s="64" t="n">
        <v>511928.8122493999</v>
      </c>
      <c r="N19" s="64" t="n">
        <v>669445.3698646</v>
      </c>
      <c r="O19" s="64" t="n">
        <v>826961.9274798</v>
      </c>
      <c r="P19" s="64" t="n">
        <v>984478.4850949999</v>
      </c>
      <c r="Q19" s="64" t="n">
        <v>1181374.182114</v>
      </c>
      <c r="R19" s="64" t="n">
        <v>1378269.879133</v>
      </c>
      <c r="S19" s="64" t="n">
        <v>1575165.576152</v>
      </c>
      <c r="T19" s="64" t="n">
        <v>1772061.273171</v>
      </c>
      <c r="U19" s="64" t="n">
        <v>1929577.8307862</v>
      </c>
      <c r="V19" s="64" t="n">
        <v>2087094.3884014</v>
      </c>
      <c r="W19" s="64" t="n">
        <v>2165852.667209</v>
      </c>
      <c r="X19" s="64" t="n">
        <v>2244610.9460166</v>
      </c>
      <c r="Y19" s="64" t="n">
        <v>2283990.0854204</v>
      </c>
      <c r="Z19" s="64" t="n">
        <v>2244610.9460166</v>
      </c>
      <c r="AA19" s="64" t="n">
        <v>2165852.667209</v>
      </c>
      <c r="AB19" s="64" t="n">
        <v>2087094.3884014</v>
      </c>
      <c r="AC19" s="64" t="n">
        <v>1929577.8307862</v>
      </c>
      <c r="AD19" s="64" t="n">
        <v>1772061.273171</v>
      </c>
      <c r="AE19" s="64" t="n">
        <v>1575165.576152</v>
      </c>
      <c r="AF19" s="64" t="n">
        <v>1378269.879133</v>
      </c>
      <c r="AG19" s="64" t="n">
        <v>1181374.182114</v>
      </c>
      <c r="AH19" s="64" t="n">
        <v>984478.4850949999</v>
      </c>
      <c r="AI19" s="64" t="n">
        <v>826961.9274798</v>
      </c>
      <c r="AJ19" s="64" t="n">
        <v>669445.3698646</v>
      </c>
      <c r="AK19" s="64" t="n">
        <v>511928.8122493999</v>
      </c>
      <c r="AL19" s="64" t="n">
        <v>393791.394038</v>
      </c>
      <c r="AM19" s="64" t="n">
        <v>315033.1152304</v>
      </c>
      <c r="AN19" s="64" t="n">
        <v>236274.8364228</v>
      </c>
      <c r="AO19" s="64" t="n">
        <v>157516.5576152</v>
      </c>
      <c r="AP19" s="64" t="n">
        <v>118137.4182114</v>
      </c>
      <c r="AQ19" s="64" t="n">
        <v>78758.2788076</v>
      </c>
      <c r="AR19" s="64" t="n">
        <v>39379.1394038</v>
      </c>
      <c r="AS19" s="64" t="n">
        <v>0</v>
      </c>
      <c r="AT19" s="64" t="n">
        <v>0</v>
      </c>
      <c r="AU19" s="64" t="n">
        <v>0</v>
      </c>
      <c r="AV19" s="64" t="n">
        <v>0</v>
      </c>
      <c r="AW19" s="64" t="n">
        <v>0</v>
      </c>
      <c r="AX19" s="64" t="n">
        <v>0</v>
      </c>
      <c r="AY19" s="64" t="n">
        <v>0</v>
      </c>
      <c r="AZ19" s="64" t="n">
        <v>0</v>
      </c>
      <c r="BA19" s="64" t="n">
        <v>0</v>
      </c>
      <c r="BB19" s="64" t="n">
        <v>0</v>
      </c>
      <c r="BC19" s="64" t="n">
        <v>0</v>
      </c>
      <c r="BD19" s="64" t="n">
        <v>0</v>
      </c>
      <c r="BE19" s="64" t="n">
        <v>0</v>
      </c>
    </row>
    <row r="20">
      <c r="A20" s="24" t="inlineStr">
        <is>
          <t xml:space="preserve">  Contingência (5% do custo obra)</t>
        </is>
      </c>
      <c r="B20" s="62" t="n">
        <v>1968956.97019</v>
      </c>
      <c r="C20" s="62" t="n">
        <v>0</v>
      </c>
      <c r="D20" s="63" t="n">
        <v>1968956.97019</v>
      </c>
      <c r="E20" s="62" t="n">
        <v>0</v>
      </c>
      <c r="F20" s="64" t="n">
        <v>0</v>
      </c>
      <c r="G20" s="64" t="n">
        <v>0</v>
      </c>
      <c r="H20" s="64" t="n">
        <v>0</v>
      </c>
      <c r="I20" s="64" t="n">
        <v>7875.82788076</v>
      </c>
      <c r="J20" s="64" t="n">
        <v>11813.74182114</v>
      </c>
      <c r="K20" s="64" t="n">
        <v>15751.65576152</v>
      </c>
      <c r="L20" s="64" t="n">
        <v>19689.5697019</v>
      </c>
      <c r="M20" s="64" t="n">
        <v>25596.44061247</v>
      </c>
      <c r="N20" s="64" t="n">
        <v>33472.26849323</v>
      </c>
      <c r="O20" s="64" t="n">
        <v>41348.09637399</v>
      </c>
      <c r="P20" s="64" t="n">
        <v>49223.92425475</v>
      </c>
      <c r="Q20" s="64" t="n">
        <v>59068.70910569999</v>
      </c>
      <c r="R20" s="64" t="n">
        <v>68913.49395665001</v>
      </c>
      <c r="S20" s="64" t="n">
        <v>78758.2788076</v>
      </c>
      <c r="T20" s="64" t="n">
        <v>88603.06365854999</v>
      </c>
      <c r="U20" s="64" t="n">
        <v>96478.89153930999</v>
      </c>
      <c r="V20" s="64" t="n">
        <v>104354.71942007</v>
      </c>
      <c r="W20" s="64" t="n">
        <v>108292.63336045</v>
      </c>
      <c r="X20" s="64" t="n">
        <v>112230.54730083</v>
      </c>
      <c r="Y20" s="64" t="n">
        <v>114199.50427102</v>
      </c>
      <c r="Z20" s="64" t="n">
        <v>112230.54730083</v>
      </c>
      <c r="AA20" s="64" t="n">
        <v>108292.63336045</v>
      </c>
      <c r="AB20" s="64" t="n">
        <v>104354.71942007</v>
      </c>
      <c r="AC20" s="64" t="n">
        <v>96478.89153930999</v>
      </c>
      <c r="AD20" s="64" t="n">
        <v>88603.06365854999</v>
      </c>
      <c r="AE20" s="64" t="n">
        <v>78758.2788076</v>
      </c>
      <c r="AF20" s="64" t="n">
        <v>68913.49395665001</v>
      </c>
      <c r="AG20" s="64" t="n">
        <v>59068.70910569999</v>
      </c>
      <c r="AH20" s="64" t="n">
        <v>49223.92425475</v>
      </c>
      <c r="AI20" s="64" t="n">
        <v>41348.09637399</v>
      </c>
      <c r="AJ20" s="64" t="n">
        <v>33472.26849323</v>
      </c>
      <c r="AK20" s="64" t="n">
        <v>25596.44061247</v>
      </c>
      <c r="AL20" s="64" t="n">
        <v>19689.5697019</v>
      </c>
      <c r="AM20" s="64" t="n">
        <v>15751.65576152</v>
      </c>
      <c r="AN20" s="64" t="n">
        <v>11813.74182114</v>
      </c>
      <c r="AO20" s="64" t="n">
        <v>7875.82788076</v>
      </c>
      <c r="AP20" s="64" t="n">
        <v>5906.87091057</v>
      </c>
      <c r="AQ20" s="64" t="n">
        <v>3937.91394038</v>
      </c>
      <c r="AR20" s="64" t="n">
        <v>1968.95697019</v>
      </c>
      <c r="AS20" s="64" t="n">
        <v>0</v>
      </c>
      <c r="AT20" s="64" t="n">
        <v>0</v>
      </c>
      <c r="AU20" s="64" t="n">
        <v>0</v>
      </c>
      <c r="AV20" s="64" t="n">
        <v>0</v>
      </c>
      <c r="AW20" s="64" t="n">
        <v>0</v>
      </c>
      <c r="AX20" s="64" t="n">
        <v>0</v>
      </c>
      <c r="AY20" s="64" t="n">
        <v>0</v>
      </c>
      <c r="AZ20" s="64" t="n">
        <v>0</v>
      </c>
      <c r="BA20" s="64" t="n">
        <v>0</v>
      </c>
      <c r="BB20" s="64" t="n">
        <v>0</v>
      </c>
      <c r="BC20" s="64" t="n">
        <v>0</v>
      </c>
      <c r="BD20" s="64" t="n">
        <v>0</v>
      </c>
      <c r="BE20" s="64" t="n">
        <v>0</v>
      </c>
    </row>
    <row r="21">
      <c r="A21" s="24" t="inlineStr">
        <is>
          <t xml:space="preserve">  Corretagem (6% VGV — no mês da venda)</t>
        </is>
      </c>
      <c r="B21" s="62" t="n">
        <v>5645066.191127998</v>
      </c>
      <c r="C21" s="62" t="n">
        <v>50017.87273521641</v>
      </c>
      <c r="D21" s="63" t="n">
        <v>5322338.342439323</v>
      </c>
      <c r="E21" s="62" t="n">
        <v>272709.9759534581</v>
      </c>
      <c r="F21" s="64" t="n">
        <v>0</v>
      </c>
      <c r="G21" s="64" t="n">
        <v>0</v>
      </c>
      <c r="H21" s="64" t="n">
        <v>50017.87273521641</v>
      </c>
      <c r="I21" s="64" t="n">
        <v>57021.611640556</v>
      </c>
      <c r="J21" s="64" t="n">
        <v>64821.52714300913</v>
      </c>
      <c r="K21" s="64" t="n">
        <v>73450.6994107745</v>
      </c>
      <c r="L21" s="64" t="n">
        <v>82924.54134195032</v>
      </c>
      <c r="M21" s="64" t="n">
        <v>93234.379988114</v>
      </c>
      <c r="N21" s="64" t="n">
        <v>104340.3811257769</v>
      </c>
      <c r="O21" s="64" t="n">
        <v>116164.2442036457</v>
      </c>
      <c r="P21" s="64" t="n">
        <v>128582.3326943958</v>
      </c>
      <c r="Q21" s="64" t="n">
        <v>141420.1556176794</v>
      </c>
      <c r="R21" s="64" t="n">
        <v>154449.3324452727</v>
      </c>
      <c r="S21" s="64" t="n">
        <v>167388.2875832188</v>
      </c>
      <c r="T21" s="64" t="n">
        <v>179907.8511169824</v>
      </c>
      <c r="U21" s="64" t="n">
        <v>191642.6145726893</v>
      </c>
      <c r="V21" s="64" t="n">
        <v>202208.2646346361</v>
      </c>
      <c r="W21" s="64" t="n">
        <v>211224.2234102376</v>
      </c>
      <c r="X21" s="64" t="n">
        <v>218339.8831002992</v>
      </c>
      <c r="Y21" s="64" t="n">
        <v>223261.7485950609</v>
      </c>
      <c r="Z21" s="64" t="n">
        <v>225778.1562277549</v>
      </c>
      <c r="AA21" s="64" t="n">
        <v>225778.1562277552</v>
      </c>
      <c r="AB21" s="64" t="n">
        <v>223261.7485950609</v>
      </c>
      <c r="AC21" s="64" t="n">
        <v>218339.8831002995</v>
      </c>
      <c r="AD21" s="64" t="n">
        <v>211224.2234102364</v>
      </c>
      <c r="AE21" s="64" t="n">
        <v>202208.2646346371</v>
      </c>
      <c r="AF21" s="64" t="n">
        <v>191642.6145726888</v>
      </c>
      <c r="AG21" s="64" t="n">
        <v>179907.8511169826</v>
      </c>
      <c r="AH21" s="64" t="n">
        <v>167388.2875832184</v>
      </c>
      <c r="AI21" s="64" t="n">
        <v>154449.3324452724</v>
      </c>
      <c r="AJ21" s="64" t="n">
        <v>141420.1556176799</v>
      </c>
      <c r="AK21" s="64" t="n">
        <v>128582.3326943962</v>
      </c>
      <c r="AL21" s="64" t="n">
        <v>116164.2442036463</v>
      </c>
      <c r="AM21" s="64" t="n">
        <v>104340.3811257765</v>
      </c>
      <c r="AN21" s="64" t="n">
        <v>93234.37998811393</v>
      </c>
      <c r="AO21" s="64" t="n">
        <v>82924.54134195007</v>
      </c>
      <c r="AP21" s="64" t="n">
        <v>73450.6994107748</v>
      </c>
      <c r="AQ21" s="64" t="n">
        <v>64821.52714300867</v>
      </c>
      <c r="AR21" s="64" t="n">
        <v>57021.61164055621</v>
      </c>
      <c r="AS21" s="64" t="n">
        <v>50017.87273521629</v>
      </c>
      <c r="AT21" s="64" t="n">
        <v>43765.09607650102</v>
      </c>
      <c r="AU21" s="64" t="n">
        <v>38210.50184003571</v>
      </c>
      <c r="AV21" s="64" t="n">
        <v>33297.37242813835</v>
      </c>
      <c r="AW21" s="64" t="n">
        <v>28967.82457845135</v>
      </c>
      <c r="AX21" s="64" t="n">
        <v>25164.84252743614</v>
      </c>
      <c r="AY21" s="64" t="n">
        <v>21833.6984893267</v>
      </c>
      <c r="AZ21" s="64" t="n">
        <v>18922.88250482979</v>
      </c>
      <c r="BA21" s="64" t="n">
        <v>16384.65168090101</v>
      </c>
      <c r="BB21" s="64" t="n">
        <v>14175.2932339758</v>
      </c>
      <c r="BC21" s="64" t="n">
        <v>12255.17935027672</v>
      </c>
      <c r="BD21" s="64" t="n">
        <v>10588.67635336283</v>
      </c>
      <c r="BE21" s="64" t="n">
        <v>9143.956890222624</v>
      </c>
    </row>
    <row r="22">
      <c r="A22" s="24" t="inlineStr">
        <is>
          <t xml:space="preserve">  Marketing (3% VGV — linear na obra)</t>
        </is>
      </c>
      <c r="B22" s="62" t="n">
        <v>2822533.095563999</v>
      </c>
      <c r="C22" s="62" t="n">
        <v>0</v>
      </c>
      <c r="D22" s="63" t="n">
        <v>2822533.095564</v>
      </c>
      <c r="E22" s="62" t="n">
        <v>0</v>
      </c>
      <c r="F22" s="64" t="n">
        <v>0</v>
      </c>
      <c r="G22" s="64" t="n">
        <v>0</v>
      </c>
      <c r="H22" s="64" t="n">
        <v>0</v>
      </c>
      <c r="I22" s="64" t="n">
        <v>78403.69709899998</v>
      </c>
      <c r="J22" s="64" t="n">
        <v>78403.69709899998</v>
      </c>
      <c r="K22" s="64" t="n">
        <v>78403.69709899998</v>
      </c>
      <c r="L22" s="64" t="n">
        <v>78403.69709899998</v>
      </c>
      <c r="M22" s="64" t="n">
        <v>78403.69709899998</v>
      </c>
      <c r="N22" s="64" t="n">
        <v>78403.69709899998</v>
      </c>
      <c r="O22" s="64" t="n">
        <v>78403.69709899998</v>
      </c>
      <c r="P22" s="64" t="n">
        <v>78403.69709899998</v>
      </c>
      <c r="Q22" s="64" t="n">
        <v>78403.69709899998</v>
      </c>
      <c r="R22" s="64" t="n">
        <v>78403.69709899998</v>
      </c>
      <c r="S22" s="64" t="n">
        <v>78403.69709899998</v>
      </c>
      <c r="T22" s="64" t="n">
        <v>78403.69709899998</v>
      </c>
      <c r="U22" s="64" t="n">
        <v>78403.69709899998</v>
      </c>
      <c r="V22" s="64" t="n">
        <v>78403.69709899998</v>
      </c>
      <c r="W22" s="64" t="n">
        <v>78403.69709899998</v>
      </c>
      <c r="X22" s="64" t="n">
        <v>78403.69709899998</v>
      </c>
      <c r="Y22" s="64" t="n">
        <v>78403.69709899998</v>
      </c>
      <c r="Z22" s="64" t="n">
        <v>78403.69709899998</v>
      </c>
      <c r="AA22" s="64" t="n">
        <v>78403.69709899998</v>
      </c>
      <c r="AB22" s="64" t="n">
        <v>78403.69709899998</v>
      </c>
      <c r="AC22" s="64" t="n">
        <v>78403.69709899998</v>
      </c>
      <c r="AD22" s="64" t="n">
        <v>78403.69709899998</v>
      </c>
      <c r="AE22" s="64" t="n">
        <v>78403.69709899998</v>
      </c>
      <c r="AF22" s="64" t="n">
        <v>78403.69709899998</v>
      </c>
      <c r="AG22" s="64" t="n">
        <v>78403.69709899998</v>
      </c>
      <c r="AH22" s="64" t="n">
        <v>78403.69709899998</v>
      </c>
      <c r="AI22" s="64" t="n">
        <v>78403.69709899998</v>
      </c>
      <c r="AJ22" s="64" t="n">
        <v>78403.69709899998</v>
      </c>
      <c r="AK22" s="64" t="n">
        <v>78403.69709899998</v>
      </c>
      <c r="AL22" s="64" t="n">
        <v>78403.69709899998</v>
      </c>
      <c r="AM22" s="64" t="n">
        <v>78403.69709899998</v>
      </c>
      <c r="AN22" s="64" t="n">
        <v>78403.69709899998</v>
      </c>
      <c r="AO22" s="64" t="n">
        <v>78403.69709899998</v>
      </c>
      <c r="AP22" s="64" t="n">
        <v>78403.69709899998</v>
      </c>
      <c r="AQ22" s="64" t="n">
        <v>78403.69709899998</v>
      </c>
      <c r="AR22" s="64" t="n">
        <v>78403.69709899998</v>
      </c>
      <c r="AS22" s="64" t="n">
        <v>0</v>
      </c>
      <c r="AT22" s="64" t="n">
        <v>0</v>
      </c>
      <c r="AU22" s="64" t="n">
        <v>0</v>
      </c>
      <c r="AV22" s="64" t="n">
        <v>0</v>
      </c>
      <c r="AW22" s="64" t="n">
        <v>0</v>
      </c>
      <c r="AX22" s="64" t="n">
        <v>0</v>
      </c>
      <c r="AY22" s="64" t="n">
        <v>0</v>
      </c>
      <c r="AZ22" s="64" t="n">
        <v>0</v>
      </c>
      <c r="BA22" s="64" t="n">
        <v>0</v>
      </c>
      <c r="BB22" s="64" t="n">
        <v>0</v>
      </c>
      <c r="BC22" s="64" t="n">
        <v>0</v>
      </c>
      <c r="BD22" s="64" t="n">
        <v>0</v>
      </c>
      <c r="BE22" s="64" t="n">
        <v>0</v>
      </c>
    </row>
    <row r="23">
      <c r="A23" s="24" t="inlineStr">
        <is>
          <t xml:space="preserve">  RET 4% (Patrimônio de Afetação)</t>
        </is>
      </c>
      <c r="B23" s="62" t="n">
        <v>3759553.577785965</v>
      </c>
      <c r="C23" s="62" t="n">
        <v>6669.049698028855</v>
      </c>
      <c r="D23" s="63" t="n">
        <v>2211172.213660008</v>
      </c>
      <c r="E23" s="62" t="n">
        <v>1541712.314427928</v>
      </c>
      <c r="F23" s="64" t="n">
        <v>0</v>
      </c>
      <c r="G23" s="64" t="n">
        <v>0</v>
      </c>
      <c r="H23" s="64" t="n">
        <v>6669.049698028855</v>
      </c>
      <c r="I23" s="64" t="n">
        <v>7965.408983134531</v>
      </c>
      <c r="J23" s="64" t="n">
        <v>9432.218019026686</v>
      </c>
      <c r="K23" s="64" t="n">
        <v>11083.90817000606</v>
      </c>
      <c r="L23" s="64" t="n">
        <v>12933.7248438157</v>
      </c>
      <c r="M23" s="64" t="n">
        <v>14992.86963360022</v>
      </c>
      <c r="N23" s="64" t="n">
        <v>17269.49972409434</v>
      </c>
      <c r="O23" s="64" t="n">
        <v>19767.6248586044</v>
      </c>
      <c r="P23" s="64" t="n">
        <v>22485.97377869429</v>
      </c>
      <c r="Q23" s="64" t="n">
        <v>25416.93758809805</v>
      </c>
      <c r="R23" s="64" t="n">
        <v>28545.73150220522</v>
      </c>
      <c r="S23" s="64" t="n">
        <v>31849.94052250237</v>
      </c>
      <c r="T23" s="64" t="n">
        <v>35299.6181624626</v>
      </c>
      <c r="U23" s="64" t="n">
        <v>38858.07992370486</v>
      </c>
      <c r="V23" s="64" t="n">
        <v>42483.46791327635</v>
      </c>
      <c r="W23" s="64" t="n">
        <v>46131.06093710465</v>
      </c>
      <c r="X23" s="64" t="n">
        <v>49756.17818149868</v>
      </c>
      <c r="Y23" s="64" t="n">
        <v>53317.39864479598</v>
      </c>
      <c r="Z23" s="64" t="n">
        <v>56779.72477438491</v>
      </c>
      <c r="AA23" s="64" t="n">
        <v>60117.28776598359</v>
      </c>
      <c r="AB23" s="64" t="n">
        <v>63315.24153825131</v>
      </c>
      <c r="AC23" s="64" t="n">
        <v>66370.61918180717</v>
      </c>
      <c r="AD23" s="64" t="n">
        <v>69292.10377010265</v>
      </c>
      <c r="AE23" s="64" t="n">
        <v>72098.85373764858</v>
      </c>
      <c r="AF23" s="64" t="n">
        <v>74818.67922733365</v>
      </c>
      <c r="AG23" s="64" t="n">
        <v>77485.9608349562</v>
      </c>
      <c r="AH23" s="64" t="n">
        <v>80139.72981592524</v>
      </c>
      <c r="AI23" s="64" t="n">
        <v>82822.30761139044</v>
      </c>
      <c r="AJ23" s="64" t="n">
        <v>85578.87251020633</v>
      </c>
      <c r="AK23" s="64" t="n">
        <v>88458.34247645894</v>
      </c>
      <c r="AL23" s="64" t="n">
        <v>91516.12910959905</v>
      </c>
      <c r="AM23" s="64" t="n">
        <v>94819.81078477205</v>
      </c>
      <c r="AN23" s="64" t="n">
        <v>98460.04539582046</v>
      </c>
      <c r="AO23" s="64" t="n">
        <v>102572.4350613853</v>
      </c>
      <c r="AP23" s="64" t="n">
        <v>107386.2605264071</v>
      </c>
      <c r="AQ23" s="64" t="n">
        <v>113353.3749931432</v>
      </c>
      <c r="AR23" s="64" t="n">
        <v>121597.1730075817</v>
      </c>
      <c r="AS23" s="64" t="n">
        <v>136599.6201502256</v>
      </c>
      <c r="AT23" s="64" t="n">
        <v>5835.34614353347</v>
      </c>
      <c r="AU23" s="64" t="n">
        <v>1510445.717879471</v>
      </c>
      <c r="AV23" s="64" t="n">
        <v>4439.649657085114</v>
      </c>
      <c r="AW23" s="64" t="n">
        <v>3862.376610460181</v>
      </c>
      <c r="AX23" s="64" t="n">
        <v>3355.312336991486</v>
      </c>
      <c r="AY23" s="64" t="n">
        <v>2911.159798576894</v>
      </c>
      <c r="AZ23" s="64" t="n">
        <v>2523.051000643973</v>
      </c>
      <c r="BA23" s="64" t="n">
        <v>2184.620224120135</v>
      </c>
      <c r="BB23" s="64" t="n">
        <v>1890.03909786344</v>
      </c>
      <c r="BC23" s="64" t="n">
        <v>1634.02391337023</v>
      </c>
      <c r="BD23" s="64" t="n">
        <v>1411.823513781711</v>
      </c>
      <c r="BE23" s="64" t="n">
        <v>1219.194252029683</v>
      </c>
    </row>
    <row r="24">
      <c r="A24" s="24" t="inlineStr">
        <is>
          <t xml:space="preserve">  Admin incorporadora (3% VGV — linear)</t>
        </is>
      </c>
      <c r="B24" s="62" t="n">
        <v>2822533.095564</v>
      </c>
      <c r="C24" s="62" t="n">
        <v>162838.447821</v>
      </c>
      <c r="D24" s="63" t="n">
        <v>2008340.856459</v>
      </c>
      <c r="E24" s="62" t="n">
        <v>651353.791284</v>
      </c>
      <c r="F24" s="64" t="n">
        <v>54279.48260699999</v>
      </c>
      <c r="G24" s="64" t="n">
        <v>54279.48260699999</v>
      </c>
      <c r="H24" s="64" t="n">
        <v>54279.48260699999</v>
      </c>
      <c r="I24" s="64" t="n">
        <v>54279.48260699999</v>
      </c>
      <c r="J24" s="64" t="n">
        <v>54279.48260699999</v>
      </c>
      <c r="K24" s="64" t="n">
        <v>54279.48260699999</v>
      </c>
      <c r="L24" s="64" t="n">
        <v>54279.48260699999</v>
      </c>
      <c r="M24" s="64" t="n">
        <v>54279.48260699999</v>
      </c>
      <c r="N24" s="64" t="n">
        <v>54279.48260699999</v>
      </c>
      <c r="O24" s="64" t="n">
        <v>54279.48260699999</v>
      </c>
      <c r="P24" s="64" t="n">
        <v>54279.48260699999</v>
      </c>
      <c r="Q24" s="64" t="n">
        <v>54279.48260699999</v>
      </c>
      <c r="R24" s="64" t="n">
        <v>54279.48260699999</v>
      </c>
      <c r="S24" s="64" t="n">
        <v>54279.48260699999</v>
      </c>
      <c r="T24" s="64" t="n">
        <v>54279.48260699999</v>
      </c>
      <c r="U24" s="64" t="n">
        <v>54279.48260699999</v>
      </c>
      <c r="V24" s="64" t="n">
        <v>54279.48260699999</v>
      </c>
      <c r="W24" s="64" t="n">
        <v>54279.48260699999</v>
      </c>
      <c r="X24" s="64" t="n">
        <v>54279.48260699999</v>
      </c>
      <c r="Y24" s="64" t="n">
        <v>54279.48260699999</v>
      </c>
      <c r="Z24" s="64" t="n">
        <v>54279.48260699999</v>
      </c>
      <c r="AA24" s="64" t="n">
        <v>54279.48260699999</v>
      </c>
      <c r="AB24" s="64" t="n">
        <v>54279.48260699999</v>
      </c>
      <c r="AC24" s="64" t="n">
        <v>54279.48260699999</v>
      </c>
      <c r="AD24" s="64" t="n">
        <v>54279.48260699999</v>
      </c>
      <c r="AE24" s="64" t="n">
        <v>54279.48260699999</v>
      </c>
      <c r="AF24" s="64" t="n">
        <v>54279.48260699999</v>
      </c>
      <c r="AG24" s="64" t="n">
        <v>54279.48260699999</v>
      </c>
      <c r="AH24" s="64" t="n">
        <v>54279.48260699999</v>
      </c>
      <c r="AI24" s="64" t="n">
        <v>54279.48260699999</v>
      </c>
      <c r="AJ24" s="64" t="n">
        <v>54279.48260699999</v>
      </c>
      <c r="AK24" s="64" t="n">
        <v>54279.48260699999</v>
      </c>
      <c r="AL24" s="64" t="n">
        <v>54279.48260699999</v>
      </c>
      <c r="AM24" s="64" t="n">
        <v>54279.48260699999</v>
      </c>
      <c r="AN24" s="64" t="n">
        <v>54279.48260699999</v>
      </c>
      <c r="AO24" s="64" t="n">
        <v>54279.48260699999</v>
      </c>
      <c r="AP24" s="64" t="n">
        <v>54279.48260699999</v>
      </c>
      <c r="AQ24" s="64" t="n">
        <v>54279.48260699999</v>
      </c>
      <c r="AR24" s="64" t="n">
        <v>54279.48260699999</v>
      </c>
      <c r="AS24" s="64" t="n">
        <v>54279.48260699999</v>
      </c>
      <c r="AT24" s="64" t="n">
        <v>54279.48260699999</v>
      </c>
      <c r="AU24" s="64" t="n">
        <v>54279.48260699999</v>
      </c>
      <c r="AV24" s="64" t="n">
        <v>54279.48260699999</v>
      </c>
      <c r="AW24" s="64" t="n">
        <v>54279.48260699999</v>
      </c>
      <c r="AX24" s="64" t="n">
        <v>54279.48260699999</v>
      </c>
      <c r="AY24" s="64" t="n">
        <v>54279.48260699999</v>
      </c>
      <c r="AZ24" s="64" t="n">
        <v>54279.48260699999</v>
      </c>
      <c r="BA24" s="64" t="n">
        <v>54279.48260699999</v>
      </c>
      <c r="BB24" s="64" t="n">
        <v>54279.48260699999</v>
      </c>
      <c r="BC24" s="64" t="n">
        <v>54279.48260699999</v>
      </c>
      <c r="BD24" s="64" t="n">
        <v>54279.48260699999</v>
      </c>
      <c r="BE24" s="64" t="n">
        <v>54279.48260699999</v>
      </c>
    </row>
    <row r="25">
      <c r="A25" s="68" t="inlineStr">
        <is>
          <t>SAÍDA TOTAL MÊS</t>
        </is>
      </c>
      <c r="B25" s="62" t="n">
        <v>56397782.33403196</v>
      </c>
      <c r="C25" s="62" t="n">
        <v>219525.3702542452</v>
      </c>
      <c r="D25" s="63" t="n">
        <v>53712480.88211233</v>
      </c>
      <c r="E25" s="62" t="n">
        <v>2465776.081665386</v>
      </c>
      <c r="F25" s="69" t="n">
        <v>54279.48260699999</v>
      </c>
      <c r="G25" s="69" t="n">
        <v>54279.48260699999</v>
      </c>
      <c r="H25" s="69" t="n">
        <v>110966.4050402453</v>
      </c>
      <c r="I25" s="69" t="n">
        <v>363062.5858256505</v>
      </c>
      <c r="J25" s="69" t="n">
        <v>455025.5031119757</v>
      </c>
      <c r="K25" s="69" t="n">
        <v>548002.5582787006</v>
      </c>
      <c r="L25" s="69" t="n">
        <v>642022.409631666</v>
      </c>
      <c r="M25" s="69" t="n">
        <v>778435.6821895841</v>
      </c>
      <c r="N25" s="69" t="n">
        <v>957210.6989137011</v>
      </c>
      <c r="O25" s="69" t="n">
        <v>1136925.07262204</v>
      </c>
      <c r="P25" s="69" t="n">
        <v>1317453.89552884</v>
      </c>
      <c r="Q25" s="69" t="n">
        <v>1539963.164131477</v>
      </c>
      <c r="R25" s="69" t="n">
        <v>1762861.616743128</v>
      </c>
      <c r="S25" s="69" t="n">
        <v>1985845.262771321</v>
      </c>
      <c r="T25" s="69" t="n">
        <v>2208554.985814995</v>
      </c>
      <c r="U25" s="69" t="n">
        <v>2389240.596527904</v>
      </c>
      <c r="V25" s="69" t="n">
        <v>2568824.020075382</v>
      </c>
      <c r="W25" s="69" t="n">
        <v>2664183.764622792</v>
      </c>
      <c r="X25" s="69" t="n">
        <v>2757620.734305228</v>
      </c>
      <c r="Y25" s="69" t="n">
        <v>2807451.916637277</v>
      </c>
      <c r="Z25" s="69" t="n">
        <v>2772082.554025569</v>
      </c>
      <c r="AA25" s="69" t="n">
        <v>2692723.924269189</v>
      </c>
      <c r="AB25" s="69" t="n">
        <v>2610709.277660782</v>
      </c>
      <c r="AC25" s="69" t="n">
        <v>2443450.404313617</v>
      </c>
      <c r="AD25" s="69" t="n">
        <v>2273863.843715889</v>
      </c>
      <c r="AE25" s="69" t="n">
        <v>2060914.153037886</v>
      </c>
      <c r="AF25" s="69" t="n">
        <v>1846327.846595673</v>
      </c>
      <c r="AG25" s="69" t="n">
        <v>1630519.882877639</v>
      </c>
      <c r="AH25" s="69" t="n">
        <v>1413913.606454893</v>
      </c>
      <c r="AI25" s="69" t="n">
        <v>1238264.843616453</v>
      </c>
      <c r="AJ25" s="69" t="n">
        <v>1062599.846191716</v>
      </c>
      <c r="AK25" s="69" t="n">
        <v>887249.1077387251</v>
      </c>
      <c r="AL25" s="69" t="n">
        <v>753844.5167591453</v>
      </c>
      <c r="AM25" s="69" t="n">
        <v>662628.1426084685</v>
      </c>
      <c r="AN25" s="69" t="n">
        <v>572466.1833338743</v>
      </c>
      <c r="AO25" s="69" t="n">
        <v>483572.5416052953</v>
      </c>
      <c r="AP25" s="69" t="n">
        <v>437564.4287651519</v>
      </c>
      <c r="AQ25" s="69" t="n">
        <v>393554.2745901319</v>
      </c>
      <c r="AR25" s="69" t="n">
        <v>352650.0607281278</v>
      </c>
      <c r="AS25" s="69" t="n">
        <v>240896.9754924419</v>
      </c>
      <c r="AT25" s="69" t="n">
        <v>103879.9248270345</v>
      </c>
      <c r="AU25" s="69" t="n">
        <v>1602935.702326507</v>
      </c>
      <c r="AV25" s="69" t="n">
        <v>92016.50469222346</v>
      </c>
      <c r="AW25" s="69" t="n">
        <v>87109.68379591152</v>
      </c>
      <c r="AX25" s="69" t="n">
        <v>82799.63747142762</v>
      </c>
      <c r="AY25" s="69" t="n">
        <v>79024.34089490358</v>
      </c>
      <c r="AZ25" s="69" t="n">
        <v>75725.41611247376</v>
      </c>
      <c r="BA25" s="69" t="n">
        <v>72848.75451202114</v>
      </c>
      <c r="BB25" s="69" t="n">
        <v>70344.81493883923</v>
      </c>
      <c r="BC25" s="69" t="n">
        <v>68168.68587064695</v>
      </c>
      <c r="BD25" s="69" t="n">
        <v>66279.98247414453</v>
      </c>
      <c r="BE25" s="69" t="n">
        <v>64642.6337492523</v>
      </c>
    </row>
    <row r="27">
      <c r="A27" s="70" t="inlineStr">
        <is>
          <t xml:space="preserve">   =  SALDO   (entradas − saídas)</t>
        </is>
      </c>
    </row>
    <row r="28">
      <c r="A28" s="71" t="inlineStr">
        <is>
          <t>SALDO MENSAL   (verde=entrou / vermelho=saiu)</t>
        </is>
      </c>
      <c r="B28" s="62" t="n">
        <v>34771391.92727768</v>
      </c>
      <c r="C28" s="62" t="n">
        <v>-57800.91507704552</v>
      </c>
      <c r="D28" s="63" t="n">
        <v>-91554.70085712336</v>
      </c>
      <c r="E28" s="62" t="n">
        <v>34920747.54321185</v>
      </c>
      <c r="F28" s="64" t="n">
        <v>-54279.48260699999</v>
      </c>
      <c r="G28" s="64" t="n">
        <v>-54279.48260699999</v>
      </c>
      <c r="H28" s="64" t="n">
        <v>50758.05013695447</v>
      </c>
      <c r="I28" s="64" t="n">
        <v>-169901.4179846382</v>
      </c>
      <c r="J28" s="64" t="n">
        <v>-226294.2161505786</v>
      </c>
      <c r="K28" s="64" t="n">
        <v>-279217.7851560537</v>
      </c>
      <c r="L28" s="64" t="n">
        <v>-328379.5821691353</v>
      </c>
      <c r="M28" s="64" t="n">
        <v>-414858.5935747786</v>
      </c>
      <c r="N28" s="64" t="n">
        <v>-538425.3306044133</v>
      </c>
      <c r="O28" s="64" t="n">
        <v>-657560.1698008836</v>
      </c>
      <c r="P28" s="64" t="n">
        <v>-772169.0313955034</v>
      </c>
      <c r="Q28" s="64" t="n">
        <v>-923602.4276200995</v>
      </c>
      <c r="R28" s="64" t="n">
        <v>-1070627.627814651</v>
      </c>
      <c r="S28" s="64" t="n">
        <v>-1213484.205100638</v>
      </c>
      <c r="T28" s="64" t="n">
        <v>-1352539.245375277</v>
      </c>
      <c r="U28" s="64" t="n">
        <v>-1446932.158378061</v>
      </c>
      <c r="V28" s="64" t="n">
        <v>-1538599.923178431</v>
      </c>
      <c r="W28" s="64" t="n">
        <v>-1545505.536898004</v>
      </c>
      <c r="X28" s="64" t="n">
        <v>-1551033.413403885</v>
      </c>
      <c r="Y28" s="64" t="n">
        <v>-1514504.999500975</v>
      </c>
      <c r="Z28" s="64" t="n">
        <v>-1395174.228246735</v>
      </c>
      <c r="AA28" s="64" t="n">
        <v>-1234879.695944087</v>
      </c>
      <c r="AB28" s="64" t="n">
        <v>-1075314.670358188</v>
      </c>
      <c r="AC28" s="64" t="n">
        <v>-833962.8891547932</v>
      </c>
      <c r="AD28" s="64" t="n">
        <v>-593530.3272908996</v>
      </c>
      <c r="AE28" s="64" t="n">
        <v>-312516.9498999077</v>
      </c>
      <c r="AF28" s="64" t="n">
        <v>-31974.87533283164</v>
      </c>
      <c r="AG28" s="64" t="n">
        <v>248514.6673700495</v>
      </c>
      <c r="AH28" s="64" t="n">
        <v>529474.8415812936</v>
      </c>
      <c r="AI28" s="64" t="n">
        <v>770176.1159597652</v>
      </c>
      <c r="AJ28" s="64" t="n">
        <v>1012687.812180787</v>
      </c>
      <c r="AK28" s="64" t="n">
        <v>1257865.697315404</v>
      </c>
      <c r="AL28" s="64" t="n">
        <v>1465421.614148631</v>
      </c>
      <c r="AM28" s="64" t="n">
        <v>1636752.268922254</v>
      </c>
      <c r="AN28" s="64" t="n">
        <v>1815189.917514772</v>
      </c>
      <c r="AO28" s="64" t="n">
        <v>2003809.008633298</v>
      </c>
      <c r="AP28" s="64" t="n">
        <v>2166552.38900022</v>
      </c>
      <c r="AQ28" s="64" t="n">
        <v>2355265.068993592</v>
      </c>
      <c r="AR28" s="64" t="n">
        <v>2596081.384705728</v>
      </c>
      <c r="AS28" s="64" t="n">
        <v>3071643.81315053</v>
      </c>
      <c r="AT28" s="64" t="n">
        <v>37627.21915365216</v>
      </c>
      <c r="AU28" s="64" t="n">
        <v>35025372.95625067</v>
      </c>
      <c r="AV28" s="64" t="n">
        <v>15644.99949209056</v>
      </c>
      <c r="AW28" s="64" t="n">
        <v>6552.949007747855</v>
      </c>
      <c r="AX28" s="64" t="n">
        <v>-1433.313299384085</v>
      </c>
      <c r="AY28" s="64" t="n">
        <v>-8428.715779413906</v>
      </c>
      <c r="AZ28" s="64" t="n">
        <v>-14541.42934685742</v>
      </c>
      <c r="BA28" s="64" t="n">
        <v>-19871.71407710787</v>
      </c>
      <c r="BB28" s="64" t="n">
        <v>-24511.36681565081</v>
      </c>
      <c r="BC28" s="64" t="n">
        <v>-28543.60597141887</v>
      </c>
      <c r="BD28" s="64" t="n">
        <v>-32043.26226493804</v>
      </c>
      <c r="BE28" s="64" t="n">
        <v>-35077.17313753248</v>
      </c>
    </row>
    <row r="29">
      <c r="A29" s="45" t="inlineStr">
        <is>
          <t>SALDO ACUMULADO   (capital do projeto)</t>
        </is>
      </c>
      <c r="B29" s="62" t="n">
        <v>-19791549.48598701</v>
      </c>
      <c r="C29" s="62" t="n">
        <v>-220639.3628980455</v>
      </c>
      <c r="D29" s="63" t="n">
        <v>-403184783.7703088</v>
      </c>
      <c r="E29" s="62" t="n">
        <v>383613873.6472198</v>
      </c>
      <c r="F29" s="72" t="n">
        <v>-54279.48260699999</v>
      </c>
      <c r="G29" s="72" t="n">
        <v>-108558.965214</v>
      </c>
      <c r="H29" s="72" t="n">
        <v>-57800.91507704552</v>
      </c>
      <c r="I29" s="72" t="n">
        <v>-227702.3330616837</v>
      </c>
      <c r="J29" s="72" t="n">
        <v>-453996.5492122623</v>
      </c>
      <c r="K29" s="72" t="n">
        <v>-733214.334368316</v>
      </c>
      <c r="L29" s="72" t="n">
        <v>-1061593.916537451</v>
      </c>
      <c r="M29" s="72" t="n">
        <v>-1476452.51011223</v>
      </c>
      <c r="N29" s="72" t="n">
        <v>-2014877.840716643</v>
      </c>
      <c r="O29" s="72" t="n">
        <v>-2672438.010517527</v>
      </c>
      <c r="P29" s="72" t="n">
        <v>-3444607.04191303</v>
      </c>
      <c r="Q29" s="72" t="n">
        <v>-4368209.46953313</v>
      </c>
      <c r="R29" s="72" t="n">
        <v>-5438837.097347781</v>
      </c>
      <c r="S29" s="72" t="n">
        <v>-6652321.30244842</v>
      </c>
      <c r="T29" s="72" t="n">
        <v>-8004860.547823696</v>
      </c>
      <c r="U29" s="72" t="n">
        <v>-9451792.706201758</v>
      </c>
      <c r="V29" s="72" t="n">
        <v>-10990392.62938019</v>
      </c>
      <c r="W29" s="72" t="n">
        <v>-12535898.16627819</v>
      </c>
      <c r="X29" s="72" t="n">
        <v>-14086931.57968208</v>
      </c>
      <c r="Y29" s="72" t="n">
        <v>-15601436.57918305</v>
      </c>
      <c r="Z29" s="72" t="n">
        <v>-16996610.80742979</v>
      </c>
      <c r="AA29" s="72" t="n">
        <v>-18231490.50337388</v>
      </c>
      <c r="AB29" s="72" t="n">
        <v>-19306805.17373206</v>
      </c>
      <c r="AC29" s="72" t="n">
        <v>-20140768.06288686</v>
      </c>
      <c r="AD29" s="72" t="n">
        <v>-20734298.39017776</v>
      </c>
      <c r="AE29" s="72" t="n">
        <v>-21046815.34007766</v>
      </c>
      <c r="AF29" s="72" t="n">
        <v>-21078790.2154105</v>
      </c>
      <c r="AG29" s="72" t="n">
        <v>-20830275.54804045</v>
      </c>
      <c r="AH29" s="72" t="n">
        <v>-20300800.70645915</v>
      </c>
      <c r="AI29" s="72" t="n">
        <v>-19530624.59049939</v>
      </c>
      <c r="AJ29" s="72" t="n">
        <v>-18517936.7783186</v>
      </c>
      <c r="AK29" s="72" t="n">
        <v>-17260071.0810032</v>
      </c>
      <c r="AL29" s="72" t="n">
        <v>-15794649.46685457</v>
      </c>
      <c r="AM29" s="72" t="n">
        <v>-14157897.19793231</v>
      </c>
      <c r="AN29" s="72" t="n">
        <v>-12342707.28041754</v>
      </c>
      <c r="AO29" s="72" t="n">
        <v>-10338898.27178424</v>
      </c>
      <c r="AP29" s="72" t="n">
        <v>-8172345.882784024</v>
      </c>
      <c r="AQ29" s="72" t="n">
        <v>-5817080.813790432</v>
      </c>
      <c r="AR29" s="72" t="n">
        <v>-3220999.429084704</v>
      </c>
      <c r="AS29" s="72" t="n">
        <v>-149355.6159341745</v>
      </c>
      <c r="AT29" s="72" t="n">
        <v>-111728.3967805224</v>
      </c>
      <c r="AU29" s="72" t="n">
        <v>34913644.55947015</v>
      </c>
      <c r="AV29" s="72" t="n">
        <v>34929289.55896224</v>
      </c>
      <c r="AW29" s="72" t="n">
        <v>34935842.50796999</v>
      </c>
      <c r="AX29" s="72" t="n">
        <v>34934409.1946706</v>
      </c>
      <c r="AY29" s="72" t="n">
        <v>34925980.47889119</v>
      </c>
      <c r="AZ29" s="72" t="n">
        <v>34911439.04954433</v>
      </c>
      <c r="BA29" s="72" t="n">
        <v>34891567.33546722</v>
      </c>
      <c r="BB29" s="72" t="n">
        <v>34867055.96865157</v>
      </c>
      <c r="BC29" s="72" t="n">
        <v>34838512.36268015</v>
      </c>
      <c r="BD29" s="72" t="n">
        <v>34806469.10041521</v>
      </c>
      <c r="BE29" s="72" t="n">
        <v>34771391.92727768</v>
      </c>
    </row>
    <row r="30">
      <c r="A30" s="24" t="inlineStr">
        <is>
          <t>Fator de desconto (TMA 14%)</t>
        </is>
      </c>
      <c r="B30" s="73" t="n">
        <v>39.89298432876133</v>
      </c>
      <c r="C30" s="73" t="n">
        <v>2.967539054289688</v>
      </c>
      <c r="D30" s="74" t="n">
        <v>29.61867440210298</v>
      </c>
      <c r="E30" s="73" t="n">
        <v>7.306770872368656</v>
      </c>
      <c r="F30" s="75" t="n">
        <v>1</v>
      </c>
      <c r="G30" s="75" t="n">
        <v>0.9891403742729185</v>
      </c>
      <c r="H30" s="75" t="n">
        <v>0.9783986800167692</v>
      </c>
      <c r="I30" s="75" t="n">
        <v>0.9677736365399165</v>
      </c>
      <c r="J30" s="75" t="n">
        <v>0.9572639770585563</v>
      </c>
      <c r="K30" s="75" t="n">
        <v>0.9468684485456829</v>
      </c>
      <c r="L30" s="75" t="n">
        <v>0.9365858115816944</v>
      </c>
      <c r="M30" s="75" t="n">
        <v>0.9264148402066222</v>
      </c>
      <c r="N30" s="75" t="n">
        <v>0.9163543217739643</v>
      </c>
      <c r="O30" s="75" t="n">
        <v>0.9064030568061054</v>
      </c>
      <c r="P30" s="75" t="n">
        <v>0.8965598588513085</v>
      </c>
      <c r="Q30" s="75" t="n">
        <v>0.8868235543422583</v>
      </c>
      <c r="R30" s="75" t="n">
        <v>0.8771929824561413</v>
      </c>
      <c r="S30" s="75" t="n">
        <v>0.8676669949762452</v>
      </c>
      <c r="T30" s="75" t="n">
        <v>0.8582444561550616</v>
      </c>
      <c r="U30" s="75" t="n">
        <v>0.848924242578875</v>
      </c>
      <c r="V30" s="75" t="n">
        <v>0.8397052430338223</v>
      </c>
      <c r="W30" s="75" t="n">
        <v>0.8305863583734069</v>
      </c>
      <c r="X30" s="75" t="n">
        <v>0.8215665013874521</v>
      </c>
      <c r="Y30" s="75" t="n">
        <v>0.8126445966724767</v>
      </c>
      <c r="Z30" s="75" t="n">
        <v>0.8038195805034783</v>
      </c>
      <c r="AA30" s="75" t="n">
        <v>0.7950904007071108</v>
      </c>
      <c r="AB30" s="75" t="n">
        <v>0.7864560165362364</v>
      </c>
      <c r="AC30" s="75" t="n">
        <v>0.7779153985458415</v>
      </c>
      <c r="AD30" s="75" t="n">
        <v>0.7694675284703001</v>
      </c>
      <c r="AE30" s="75" t="n">
        <v>0.7611113991019702</v>
      </c>
      <c r="AF30" s="75" t="n">
        <v>0.7528460141711074</v>
      </c>
      <c r="AG30" s="75" t="n">
        <v>0.7446703882270841</v>
      </c>
      <c r="AH30" s="75" t="n">
        <v>0.7365835465208974</v>
      </c>
      <c r="AI30" s="75" t="n">
        <v>0.7285845248889542</v>
      </c>
      <c r="AJ30" s="75" t="n">
        <v>0.7206723696381166</v>
      </c>
      <c r="AK30" s="75" t="n">
        <v>0.7128461374319977</v>
      </c>
      <c r="AL30" s="75" t="n">
        <v>0.7051048951784905</v>
      </c>
      <c r="AM30" s="75" t="n">
        <v>0.6974477199185191</v>
      </c>
      <c r="AN30" s="75" t="n">
        <v>0.6898736987159976</v>
      </c>
      <c r="AO30" s="75" t="n">
        <v>0.6823819285489844</v>
      </c>
      <c r="AP30" s="75" t="n">
        <v>0.6749715162020183</v>
      </c>
      <c r="AQ30" s="75" t="n">
        <v>0.6676415781596237</v>
      </c>
      <c r="AR30" s="75" t="n">
        <v>0.6603912405009721</v>
      </c>
      <c r="AS30" s="75" t="n">
        <v>0.6532196387956885</v>
      </c>
      <c r="AT30" s="75" t="n">
        <v>0.6461259180007879</v>
      </c>
      <c r="AU30" s="75" t="n">
        <v>0.6391092323587324</v>
      </c>
      <c r="AV30" s="75" t="n">
        <v>0.6321687452965942</v>
      </c>
      <c r="AW30" s="75" t="n">
        <v>0.6253036293263144</v>
      </c>
      <c r="AX30" s="75" t="n">
        <v>0.6185130659460449</v>
      </c>
      <c r="AY30" s="75" t="n">
        <v>0.6117962455425612</v>
      </c>
      <c r="AZ30" s="75" t="n">
        <v>0.6051523672947352</v>
      </c>
      <c r="BA30" s="75" t="n">
        <v>0.598580639078057</v>
      </c>
      <c r="BB30" s="75" t="n">
        <v>0.5920802773701921</v>
      </c>
      <c r="BC30" s="75" t="n">
        <v>0.5856505071575652</v>
      </c>
      <c r="BD30" s="75" t="n">
        <v>0.5792905618429586</v>
      </c>
      <c r="BE30" s="75" t="n">
        <v>0.5729996831541133</v>
      </c>
    </row>
    <row r="31">
      <c r="A31" s="71" t="inlineStr">
        <is>
          <t>Saldo descontado ao mês 0</t>
        </is>
      </c>
      <c r="B31" s="62" t="n">
        <v>18864903.02881072</v>
      </c>
      <c r="C31" s="62" t="n">
        <v>-58307.90109400709</v>
      </c>
      <c r="D31" s="63" t="n">
        <v>-3403499.45120934</v>
      </c>
      <c r="E31" s="62" t="n">
        <v>22326710.38111407</v>
      </c>
      <c r="F31" s="64" t="n">
        <v>-54279.48260699999</v>
      </c>
      <c r="G31" s="64" t="n">
        <v>-53690.02774122834</v>
      </c>
      <c r="H31" s="64" t="n">
        <v>49661.60925422124</v>
      </c>
      <c r="I31" s="64" t="n">
        <v>-164426.1131362817</v>
      </c>
      <c r="J31" s="64" t="n">
        <v>-216623.3013376514</v>
      </c>
      <c r="K31" s="64" t="n">
        <v>-264382.5110370743</v>
      </c>
      <c r="L31" s="64" t="n">
        <v>-307555.6574727373</v>
      </c>
      <c r="M31" s="64" t="n">
        <v>-384331.1576749226</v>
      </c>
      <c r="N31" s="64" t="n">
        <v>-493388.3786519296</v>
      </c>
      <c r="O31" s="64" t="n">
        <v>-596014.5479414627</v>
      </c>
      <c r="P31" s="64" t="n">
        <v>-692295.7577973042</v>
      </c>
      <c r="Q31" s="64" t="n">
        <v>-819072.387661195</v>
      </c>
      <c r="R31" s="64" t="n">
        <v>-939147.0419426777</v>
      </c>
      <c r="S31" s="64" t="n">
        <v>-1052900.193690808</v>
      </c>
      <c r="T31" s="64" t="n">
        <v>-1160809.309075482</v>
      </c>
      <c r="U31" s="64" t="n">
        <v>-1228335.786614113</v>
      </c>
      <c r="V31" s="64" t="n">
        <v>-1291970.422424364</v>
      </c>
      <c r="W31" s="64" t="n">
        <v>-1283675.81573805</v>
      </c>
      <c r="X31" s="64" t="n">
        <v>-1274277.094985267</v>
      </c>
      <c r="Y31" s="64" t="n">
        <v>-1230754.304477919</v>
      </c>
      <c r="Z31" s="64" t="n">
        <v>-1121468.362878555</v>
      </c>
      <c r="AA31" s="64" t="n">
        <v>-981840.992273259</v>
      </c>
      <c r="AB31" s="64" t="n">
        <v>-845687.6921728763</v>
      </c>
      <c r="AC31" s="64" t="n">
        <v>-648752.5732892924</v>
      </c>
      <c r="AD31" s="64" t="n">
        <v>-456702.3140126968</v>
      </c>
      <c r="AE31" s="64" t="n">
        <v>-237860.2129813991</v>
      </c>
      <c r="AF31" s="64" t="n">
        <v>-24072.15744794036</v>
      </c>
      <c r="AG31" s="64" t="n">
        <v>185061.5138305794</v>
      </c>
      <c r="AH31" s="64" t="n">
        <v>390002.4566055396</v>
      </c>
      <c r="AI31" s="64" t="n">
        <v>561138.3995273656</v>
      </c>
      <c r="AJ31" s="64" t="n">
        <v>729816.125307968</v>
      </c>
      <c r="AK31" s="64" t="n">
        <v>896664.703739492</v>
      </c>
      <c r="AL31" s="64" t="n">
        <v>1033275.953636565</v>
      </c>
      <c r="AM31" s="64" t="n">
        <v>1141549.138031289</v>
      </c>
      <c r="AN31" s="64" t="n">
        <v>1252251.782267902</v>
      </c>
      <c r="AO31" s="64" t="n">
        <v>1367363.055755018</v>
      </c>
      <c r="AP31" s="64" t="n">
        <v>1462361.150934584</v>
      </c>
      <c r="AQ31" s="64" t="n">
        <v>1572472.887647117</v>
      </c>
      <c r="AR31" s="64" t="n">
        <v>1714429.406087297</v>
      </c>
      <c r="AS31" s="64" t="n">
        <v>2006458.0621352</v>
      </c>
      <c r="AT31" s="64" t="n">
        <v>24311.92151747033</v>
      </c>
      <c r="AU31" s="64" t="n">
        <v>22385039.22314767</v>
      </c>
      <c r="AV31" s="64" t="n">
        <v>9890.279699080742</v>
      </c>
      <c r="AW31" s="64" t="n">
        <v>4097.582797335005</v>
      </c>
      <c r="AX31" s="64" t="n">
        <v>-886.5230032632916</v>
      </c>
      <c r="AY31" s="64" t="n">
        <v>-5156.65666859077</v>
      </c>
      <c r="AZ31" s="64" t="n">
        <v>-8799.780393099902</v>
      </c>
      <c r="BA31" s="64" t="n">
        <v>-11894.82331185165</v>
      </c>
      <c r="BB31" s="64" t="n">
        <v>-14512.69686293305</v>
      </c>
      <c r="BC31" s="64" t="n">
        <v>-16716.57731326717</v>
      </c>
      <c r="BD31" s="64" t="n">
        <v>-18562.35940073723</v>
      </c>
      <c r="BE31" s="64" t="n">
        <v>-20099.20909374809</v>
      </c>
    </row>
    <row r="34">
      <c r="A34" s="76" t="inlineStr">
        <is>
          <t xml:space="preserve">   ★  EVENTOS IMPORTANTES DO PROJETO</t>
        </is>
      </c>
    </row>
    <row r="35">
      <c r="A35" s="35" t="inlineStr">
        <is>
          <t>Evento</t>
        </is>
      </c>
      <c r="B35" s="35" t="inlineStr">
        <is>
          <t>Mês (t)</t>
        </is>
      </c>
      <c r="C35" s="35" t="inlineStr">
        <is>
          <t>Observação</t>
        </is>
      </c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77" t="n"/>
      <c r="BA35" s="77" t="n"/>
      <c r="BB35" s="77" t="n"/>
      <c r="BC35" s="77" t="n"/>
      <c r="BD35" s="77" t="n"/>
      <c r="BE35" s="78" t="n"/>
    </row>
    <row r="36">
      <c r="A36" s="71" t="inlineStr">
        <is>
          <t>Mês 1 do pré-lançamento</t>
        </is>
      </c>
      <c r="B36" s="79" t="n">
        <v>-3</v>
      </c>
      <c r="C36" s="24" t="inlineStr">
        <is>
          <t>início das vendas</t>
        </is>
      </c>
    </row>
    <row r="37">
      <c r="A37" s="71" t="inlineStr">
        <is>
          <t>Início da obra</t>
        </is>
      </c>
      <c r="B37" s="79" t="n">
        <v>0</v>
      </c>
      <c r="C37" s="24" t="inlineStr">
        <is>
          <t>canteiro montado, fundação inicia</t>
        </is>
      </c>
    </row>
    <row r="38">
      <c r="A38" s="71" t="inlineStr">
        <is>
          <t>Pico de exposição de caixa</t>
        </is>
      </c>
      <c r="B38" s="79" t="n">
        <v>23</v>
      </c>
      <c r="C38" s="24" t="inlineStr">
        <is>
          <t>capital máximo exposto: R$ 21.1M</t>
        </is>
      </c>
    </row>
    <row r="39">
      <c r="A39" s="71" t="inlineStr">
        <is>
          <t>Entrega das unidades</t>
        </is>
      </c>
      <c r="B39" s="79" t="n">
        <v>36</v>
      </c>
      <c r="C39" s="24" t="inlineStr">
        <is>
          <t>habite-se, chaves, início repasse bancário</t>
        </is>
      </c>
    </row>
    <row r="40">
      <c r="A40" s="71" t="inlineStr">
        <is>
          <t>Break-even de caixa</t>
        </is>
      </c>
      <c r="B40" s="79" t="n">
        <v>38</v>
      </c>
      <c r="C40" s="24" t="inlineStr">
        <is>
          <t>saldo acumulado volta a zero — projeto pago</t>
        </is>
      </c>
    </row>
    <row r="41">
      <c r="A41" s="71" t="inlineStr">
        <is>
          <t>Fim do horizonte</t>
        </is>
      </c>
      <c r="B41" s="79" t="n">
        <v>48</v>
      </c>
      <c r="C41" s="24" t="inlineStr">
        <is>
          <t>final do pós-obra (12 meses após entrega)</t>
        </is>
      </c>
    </row>
    <row r="44">
      <c r="A44" s="76" t="inlineStr">
        <is>
          <t xml:space="preserve">   📈  SALDO ACUMULADO AO LONGO DOS MESES</t>
        </is>
      </c>
    </row>
  </sheetData>
  <mergeCells count="14">
    <mergeCell ref="C41:BE41"/>
    <mergeCell ref="C37:BE37"/>
    <mergeCell ref="C39:BE39"/>
    <mergeCell ref="C40:BE40"/>
    <mergeCell ref="A1:BE1"/>
    <mergeCell ref="C38:BE38"/>
    <mergeCell ref="C35:BE35"/>
    <mergeCell ref="A44:BE44"/>
    <mergeCell ref="A27:BE27"/>
    <mergeCell ref="A18:BE18"/>
    <mergeCell ref="A9:BE9"/>
    <mergeCell ref="A2:BE4"/>
    <mergeCell ref="A34:BE34"/>
    <mergeCell ref="C36:BE36"/>
  </mergeCells>
  <conditionalFormatting sqref="F28:BE28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F29:BE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22" t="inlineStr">
        <is>
          <t>RESULTADO — VPL, TIR, margem, validação</t>
        </is>
      </c>
    </row>
    <row r="3">
      <c r="A3" s="35" t="inlineStr">
        <is>
          <t>Indicador</t>
        </is>
      </c>
      <c r="B3" s="35" t="inlineStr">
        <is>
          <t>Valor (Python)</t>
        </is>
      </c>
      <c r="C3" s="35" t="inlineStr">
        <is>
          <t>Fórmula Excel</t>
        </is>
      </c>
      <c r="D3" s="35" t="inlineStr">
        <is>
          <t>Observação</t>
        </is>
      </c>
      <c r="E3" s="35" t="inlineStr">
        <is>
          <t>Status</t>
        </is>
      </c>
    </row>
    <row r="4">
      <c r="A4" s="71" t="inlineStr">
        <is>
          <t>VGV bruto</t>
        </is>
      </c>
      <c r="B4" s="39" t="n">
        <v>134406337.884</v>
      </c>
      <c r="C4" s="26" t="inlineStr"/>
      <c r="D4" s="27" t="inlineStr">
        <is>
          <t>área privativa × R$/m²</t>
        </is>
      </c>
      <c r="E4" s="80" t="inlineStr"/>
    </row>
    <row r="5">
      <c r="A5" s="71" t="inlineStr">
        <is>
          <t>VGV líquido permuta</t>
        </is>
      </c>
      <c r="B5" s="39" t="n">
        <v>94084436.51879998</v>
      </c>
      <c r="C5" s="26" t="inlineStr"/>
      <c r="D5" s="27" t="inlineStr">
        <is>
          <t>pós permuta 30%</t>
        </is>
      </c>
      <c r="E5" s="80" t="inlineStr"/>
    </row>
    <row r="6">
      <c r="A6" s="71" t="inlineStr">
        <is>
          <t>Custo obra (paramétrico)</t>
        </is>
      </c>
      <c r="B6" s="39" t="n">
        <v>39379139.4038</v>
      </c>
      <c r="C6" s="26" t="inlineStr"/>
      <c r="D6" s="27" t="inlineStr">
        <is>
          <t>CUSTOS_MACROGRUPO!D22</t>
        </is>
      </c>
      <c r="E6" s="80" t="inlineStr"/>
    </row>
    <row r="7">
      <c r="A7" s="71" t="inlineStr">
        <is>
          <t>Receita total (horizonte)</t>
        </is>
      </c>
      <c r="B7" s="39" t="n">
        <v>91169174.26130962</v>
      </c>
      <c r="C7" s="26" t="inlineStr"/>
      <c r="D7" s="27" t="inlineStr">
        <is>
          <t>soma do fluxo</t>
        </is>
      </c>
      <c r="E7" s="80" t="inlineStr"/>
    </row>
    <row r="8">
      <c r="A8" s="71" t="inlineStr">
        <is>
          <t>Despesa total (horizonte)</t>
        </is>
      </c>
      <c r="B8" s="39" t="n">
        <v>56397782.33403196</v>
      </c>
      <c r="C8" s="26" t="inlineStr"/>
      <c r="D8" s="27" t="inlineStr">
        <is>
          <t>custo obra + contingência + comercial + RET + admin</t>
        </is>
      </c>
      <c r="E8" s="80" t="inlineStr"/>
    </row>
    <row r="9">
      <c r="A9" s="71" t="inlineStr">
        <is>
          <t>Lucro líquido</t>
        </is>
      </c>
      <c r="B9" s="39" t="n">
        <v>34771391.92727766</v>
      </c>
      <c r="C9" s="26" t="inlineStr"/>
      <c r="D9" s="27" t="inlineStr">
        <is>
          <t>receita - despesa</t>
        </is>
      </c>
      <c r="E9" s="81" t="inlineStr">
        <is>
          <t>✓</t>
        </is>
      </c>
    </row>
    <row r="10">
      <c r="A10" s="71" t="inlineStr">
        <is>
          <t>Margem líquida</t>
        </is>
      </c>
      <c r="B10" s="82" t="n">
        <v>0.3813941741713673</v>
      </c>
      <c r="C10" s="26" t="inlineStr"/>
      <c r="D10" s="27" t="inlineStr">
        <is>
          <t>lucro / receita</t>
        </is>
      </c>
      <c r="E10" s="81" t="inlineStr">
        <is>
          <t>✓</t>
        </is>
      </c>
    </row>
    <row r="12">
      <c r="A12" s="71" t="inlineStr">
        <is>
          <t>VPL @ TMA (Python)</t>
        </is>
      </c>
      <c r="B12" s="39" t="n">
        <v>18864903.02881071</v>
      </c>
      <c r="C12" s="26" t="inlineStr"/>
      <c r="D12" s="27" t="inlineStr">
        <is>
          <t>numpy_financial.npv</t>
        </is>
      </c>
      <c r="E12" s="80" t="inlineStr"/>
    </row>
    <row r="13">
      <c r="A13" s="71" t="inlineStr">
        <is>
          <t>VPL @ TMA (Excel NPV)</t>
        </is>
      </c>
      <c r="B13" s="83" t="inlineStr">
        <is>
          <t>ver col C</t>
        </is>
      </c>
      <c r="C13" s="63">
        <f>FLUXO_CAIXA!F28+NPV(0.010978851950173452,FLUXO_CAIXA!G28:BE28)</f>
        <v/>
      </c>
      <c r="D13" s="27" t="inlineStr">
        <is>
          <t>deve bater com linha acima</t>
        </is>
      </c>
      <c r="E13" s="80" t="inlineStr"/>
    </row>
    <row r="14">
      <c r="A14" s="71" t="inlineStr">
        <is>
          <t>TIR mensal (Python)</t>
        </is>
      </c>
      <c r="B14" s="84" t="n">
        <v>0.04289779397149185</v>
      </c>
      <c r="C14" s="26" t="inlineStr"/>
      <c r="D14" s="27" t="inlineStr">
        <is>
          <t>numpy_financial.irr</t>
        </is>
      </c>
      <c r="E14" s="80" t="inlineStr"/>
    </row>
    <row r="15">
      <c r="A15" s="71" t="inlineStr">
        <is>
          <t>TIR anual</t>
        </is>
      </c>
      <c r="B15" s="82" t="n">
        <v>0.6553925090834432</v>
      </c>
      <c r="C15" s="26" t="inlineStr"/>
      <c r="D15" s="27" t="inlineStr">
        <is>
          <t>(1+TIR_m)^12 - 1</t>
        </is>
      </c>
      <c r="E15" s="81" t="inlineStr">
        <is>
          <t>✓</t>
        </is>
      </c>
    </row>
    <row r="16">
      <c r="A16" s="71" t="inlineStr">
        <is>
          <t>TIR mensal (Excel IRR)</t>
        </is>
      </c>
      <c r="B16" s="83" t="inlineStr">
        <is>
          <t>ver col C</t>
        </is>
      </c>
      <c r="C16" s="85">
        <f>IRR(FLUXO_CAIXA!F28:BE28)</f>
        <v/>
      </c>
      <c r="D16" s="27" t="inlineStr">
        <is>
          <t>deve bater com linha 3 acima</t>
        </is>
      </c>
      <c r="E16" s="80" t="inlineStr"/>
    </row>
    <row r="17">
      <c r="A17" s="71" t="inlineStr">
        <is>
          <t>Payback descontado (meses da obra)</t>
        </is>
      </c>
      <c r="B17" s="38" t="n">
        <v>38</v>
      </c>
      <c r="C17" s="26" t="inlineStr"/>
      <c r="D17" s="27" t="inlineStr">
        <is>
          <t>t em que fluxo descontado acumulado ≥ 0</t>
        </is>
      </c>
      <c r="E17" s="80" t="inlineStr"/>
    </row>
    <row r="18">
      <c r="A18" s="71" t="inlineStr">
        <is>
          <t>Exposição máxima</t>
        </is>
      </c>
      <c r="B18" s="39" t="n">
        <v>21078790.2154105</v>
      </c>
      <c r="C18" s="26" t="inlineStr"/>
      <c r="D18" s="27" t="inlineStr">
        <is>
          <t>min(fluxo acum.)</t>
        </is>
      </c>
      <c r="E18" s="80" t="inlineStr"/>
    </row>
    <row r="19">
      <c r="A19" s="71" t="inlineStr">
        <is>
          <t>ROI sobre capital</t>
        </is>
      </c>
      <c r="B19" s="82" t="n">
        <v>1.649591441061766</v>
      </c>
      <c r="C19" s="26" t="inlineStr"/>
      <c r="D19" s="27" t="inlineStr">
        <is>
          <t>lucro / exposição máxima</t>
        </is>
      </c>
      <c r="E19" s="80" t="inlineStr"/>
    </row>
    <row r="22">
      <c r="A22" s="23" t="inlineStr">
        <is>
          <t>VALIDAÇÃO — semáforo</t>
        </is>
      </c>
    </row>
    <row r="23">
      <c r="A23" s="24" t="inlineStr">
        <is>
          <t>Margem líquida &gt; 18%</t>
        </is>
      </c>
      <c r="B23" s="86" t="n">
        <v>0.3813941741713673</v>
      </c>
      <c r="C23" s="87" t="n">
        <v>0.18</v>
      </c>
      <c r="E23" s="81" t="inlineStr">
        <is>
          <t>✓</t>
        </is>
      </c>
    </row>
    <row r="24">
      <c r="A24" s="24" t="inlineStr">
        <is>
          <t>TIR anual &gt; TMA+5% (19%)</t>
        </is>
      </c>
      <c r="B24" s="86" t="n">
        <v>0.6553925090834432</v>
      </c>
      <c r="C24" s="87" t="n">
        <v>0.19</v>
      </c>
      <c r="E24" s="81" t="inlineStr">
        <is>
          <t>✓</t>
        </is>
      </c>
    </row>
    <row r="25">
      <c r="A25" s="24" t="inlineStr">
        <is>
          <t>VPL @ TMA &gt; 0</t>
        </is>
      </c>
      <c r="B25" s="88" t="n">
        <v>18864903.02881071</v>
      </c>
      <c r="C25" s="89" t="n">
        <v>0</v>
      </c>
      <c r="E25" s="81" t="inlineStr">
        <is>
          <t>✓</t>
        </is>
      </c>
    </row>
    <row r="26">
      <c r="A26" s="24" t="inlineStr">
        <is>
          <t>VGV / Custo obra &gt; 1,80</t>
        </is>
      </c>
      <c r="B26" s="90" t="n">
        <v>2.389194836231516</v>
      </c>
      <c r="C26" s="91" t="n">
        <v>1.8</v>
      </c>
      <c r="E26" s="81" t="inlineStr">
        <is>
          <t>✓</t>
        </is>
      </c>
    </row>
    <row r="27">
      <c r="A27" s="24" t="inlineStr">
        <is>
          <t>Exposição máx / VGV &lt; 25%</t>
        </is>
      </c>
      <c r="B27" s="86" t="n">
        <v>0.2240412016624931</v>
      </c>
      <c r="C27" s="87" t="n">
        <v>0.25</v>
      </c>
      <c r="E27" s="81" t="inlineStr">
        <is>
          <t>✓</t>
        </is>
      </c>
    </row>
    <row r="28">
      <c r="A28" s="24" t="inlineStr">
        <is>
          <t>P(VPL &gt; 0) Monte Carlo &gt; 85%</t>
        </is>
      </c>
      <c r="B28" s="86" t="n">
        <v>0.9987</v>
      </c>
      <c r="C28" s="87" t="n">
        <v>0.85</v>
      </c>
      <c r="E28" s="81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2" t="inlineStr">
        <is>
          <t>CENÁRIOS — Pessimista / Base / Otimista</t>
        </is>
      </c>
    </row>
    <row r="3">
      <c r="A3" s="35" t="inlineStr">
        <is>
          <t>Indicador</t>
        </is>
      </c>
      <c r="B3" s="35" t="inlineStr">
        <is>
          <t>Pessimista</t>
        </is>
      </c>
      <c r="C3" s="35" t="inlineStr">
        <is>
          <t>Base</t>
        </is>
      </c>
      <c r="D3" s="35" t="inlineStr">
        <is>
          <t>Otimista</t>
        </is>
      </c>
    </row>
    <row r="4">
      <c r="A4" s="92" t="inlineStr">
        <is>
          <t>Perturbação vs base</t>
        </is>
      </c>
      <c r="B4" s="93" t="inlineStr">
        <is>
          <t>vgv×0.85  custo×1.10  t50+8</t>
        </is>
      </c>
      <c r="C4" s="94" t="inlineStr">
        <is>
          <t>vgv×1.00  custo×1.00  t50+0</t>
        </is>
      </c>
      <c r="D4" s="95" t="inlineStr">
        <is>
          <t>vgv×1.10  custo×0.95  t50-4</t>
        </is>
      </c>
    </row>
    <row r="6">
      <c r="A6" s="71" t="inlineStr">
        <is>
          <t>VGV bruto</t>
        </is>
      </c>
      <c r="B6" s="96" t="n">
        <v>114245387.2014</v>
      </c>
      <c r="C6" s="63" t="n">
        <v>134406337.884</v>
      </c>
      <c r="D6" s="39" t="n">
        <v>147846971.6724</v>
      </c>
    </row>
    <row r="7">
      <c r="A7" s="71" t="inlineStr">
        <is>
          <t>VGV líquido</t>
        </is>
      </c>
      <c r="B7" s="96" t="n">
        <v>79971771.04097998</v>
      </c>
      <c r="C7" s="63" t="n">
        <v>94084436.51879998</v>
      </c>
      <c r="D7" s="39" t="n">
        <v>103492880.17068</v>
      </c>
    </row>
    <row r="8">
      <c r="A8" s="71" t="inlineStr">
        <is>
          <t>Custo obra</t>
        </is>
      </c>
      <c r="B8" s="96" t="n">
        <v>43317053.34418</v>
      </c>
      <c r="C8" s="63" t="n">
        <v>39379139.4038</v>
      </c>
      <c r="D8" s="39" t="n">
        <v>37410182.43360999</v>
      </c>
    </row>
    <row r="9">
      <c r="A9" s="71" t="inlineStr">
        <is>
          <t>Receita total</t>
        </is>
      </c>
      <c r="B9" s="96" t="n">
        <v>73753437.85488299</v>
      </c>
      <c r="C9" s="63" t="n">
        <v>91169174.26130962</v>
      </c>
      <c r="D9" s="39" t="n">
        <v>101587353.0834436</v>
      </c>
    </row>
    <row r="10">
      <c r="A10" s="71" t="inlineStr">
        <is>
          <t>Despesa total</t>
        </is>
      </c>
      <c r="B10" s="96" t="n">
        <v>58120897.41692032</v>
      </c>
      <c r="C10" s="63" t="n">
        <v>56397782.33403196</v>
      </c>
      <c r="D10" s="39" t="n">
        <v>55889006.37508935</v>
      </c>
    </row>
    <row r="11">
      <c r="A11" s="71" t="inlineStr">
        <is>
          <t>Lucro líquido</t>
        </is>
      </c>
      <c r="B11" s="96" t="n">
        <v>15632540.43796267</v>
      </c>
      <c r="C11" s="63" t="n">
        <v>34771391.92727766</v>
      </c>
      <c r="D11" s="39" t="n">
        <v>45698346.7083542</v>
      </c>
    </row>
    <row r="12">
      <c r="A12" s="71" t="inlineStr">
        <is>
          <t>Margem líquida</t>
        </is>
      </c>
      <c r="B12" s="97" t="n">
        <v>0.2119567696453852</v>
      </c>
      <c r="C12" s="60" t="n">
        <v>0.3813941741713673</v>
      </c>
      <c r="D12" s="82" t="n">
        <v>0.4498428723781957</v>
      </c>
    </row>
    <row r="13">
      <c r="A13" s="71" t="inlineStr">
        <is>
          <t>VPL @ TMA</t>
        </is>
      </c>
      <c r="B13" s="96" t="n">
        <v>3986485.537243125</v>
      </c>
      <c r="C13" s="63" t="n">
        <v>18864903.02881071</v>
      </c>
      <c r="D13" s="39" t="n">
        <v>27448178.61178178</v>
      </c>
    </row>
    <row r="14">
      <c r="A14" s="71" t="inlineStr">
        <is>
          <t>TIR anual</t>
        </is>
      </c>
      <c r="B14" s="97" t="n">
        <v>0.2214810654177717</v>
      </c>
      <c r="C14" s="60" t="n">
        <v>0.6553925090834432</v>
      </c>
      <c r="D14" s="82" t="n">
        <v>1.150948785054133</v>
      </c>
    </row>
    <row r="15">
      <c r="A15" s="71" t="inlineStr">
        <is>
          <t>Exposição máxima</t>
        </is>
      </c>
      <c r="B15" s="96" t="n">
        <v>34022266.85637946</v>
      </c>
      <c r="C15" s="63" t="n">
        <v>21078790.2154105</v>
      </c>
      <c r="D15" s="39" t="n">
        <v>13863149.14570057</v>
      </c>
    </row>
    <row r="16">
      <c r="A16" s="71" t="inlineStr">
        <is>
          <t>Payback (meses)</t>
        </is>
      </c>
      <c r="B16" s="98" t="n">
        <v>38</v>
      </c>
      <c r="C16" s="99" t="n">
        <v>38</v>
      </c>
      <c r="D16" s="38" t="n">
        <v>-1</v>
      </c>
    </row>
    <row r="17">
      <c r="A17" s="71" t="inlineStr">
        <is>
          <t>ROI / capital</t>
        </is>
      </c>
      <c r="B17" s="97" t="n">
        <v>0.4594796844064915</v>
      </c>
      <c r="C17" s="60" t="n">
        <v>1.649591441061766</v>
      </c>
      <c r="D17" s="82" t="n">
        <v>3.296390035775298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2" t="inlineStr">
        <is>
          <t>TORNADO — Sensibilidade sobre VPL (±20% por variável)</t>
        </is>
      </c>
    </row>
    <row r="3">
      <c r="A3" s="35" t="inlineStr">
        <is>
          <t>Variável</t>
        </is>
      </c>
      <c r="B3" s="35" t="inlineStr">
        <is>
          <t>VPL (-20%)</t>
        </is>
      </c>
      <c r="C3" s="35" t="inlineStr">
        <is>
          <t>VPL base</t>
        </is>
      </c>
      <c r="D3" s="35" t="inlineStr">
        <is>
          <t>VPL (+20%)</t>
        </is>
      </c>
      <c r="E3" s="35" t="inlineStr">
        <is>
          <t>Δ VPL (high-low)</t>
        </is>
      </c>
    </row>
    <row r="4">
      <c r="A4" s="100" t="inlineStr">
        <is>
          <t>VGV R$/m²</t>
        </is>
      </c>
      <c r="B4" s="64" t="n">
        <v>8361549.654649772</v>
      </c>
      <c r="C4" s="64" t="n">
        <v>18864903.02881071</v>
      </c>
      <c r="D4" s="64" t="n">
        <v>29368256.40297168</v>
      </c>
      <c r="E4" s="64" t="n">
        <v>21006706.74832191</v>
      </c>
    </row>
    <row r="5">
      <c r="A5" s="100" t="inlineStr">
        <is>
          <t>Custo obra</t>
        </is>
      </c>
      <c r="B5" s="64" t="n">
        <v>25595275.79720952</v>
      </c>
      <c r="C5" s="64" t="n">
        <v>18864903.02881071</v>
      </c>
      <c r="D5" s="64" t="n">
        <v>12134530.2604119</v>
      </c>
      <c r="E5" s="64" t="n">
        <v>-13460745.53679762</v>
      </c>
    </row>
    <row r="6">
      <c r="A6" s="100" t="inlineStr">
        <is>
          <t>Entrada %</t>
        </is>
      </c>
      <c r="B6" s="64" t="n">
        <v>16085133.29114852</v>
      </c>
      <c r="C6" s="64" t="n">
        <v>18864903.02881071</v>
      </c>
      <c r="D6" s="64" t="n">
        <v>21644672.76647291</v>
      </c>
      <c r="E6" s="64" t="n">
        <v>5559539.47532439</v>
      </c>
    </row>
    <row r="7">
      <c r="A7" s="100" t="inlineStr">
        <is>
          <t>TMA</t>
        </is>
      </c>
      <c r="B7" s="64" t="n">
        <v>21331901.03418105</v>
      </c>
      <c r="C7" s="64" t="n">
        <v>18864903.02881071</v>
      </c>
      <c r="D7" s="64" t="n">
        <v>16665698.94675298</v>
      </c>
      <c r="E7" s="64" t="n">
        <v>-4666202.087428067</v>
      </c>
    </row>
    <row r="8">
      <c r="A8" s="100" t="inlineStr">
        <is>
          <t>t50 vendas</t>
        </is>
      </c>
      <c r="B8" s="64" t="n">
        <v>20159953.32604117</v>
      </c>
      <c r="C8" s="64" t="n">
        <v>18864903.02881071</v>
      </c>
      <c r="D8" s="64" t="n">
        <v>17290176.42565265</v>
      </c>
      <c r="E8" s="64" t="n">
        <v>-2869776.900388524</v>
      </c>
    </row>
    <row r="9">
      <c r="A9" s="100" t="inlineStr">
        <is>
          <t>Corretagem</t>
        </is>
      </c>
      <c r="B9" s="64" t="n">
        <v>19761602.94418561</v>
      </c>
      <c r="C9" s="64" t="n">
        <v>18864903.02881071</v>
      </c>
      <c r="D9" s="64" t="n">
        <v>17968203.11343581</v>
      </c>
      <c r="E9" s="64" t="n">
        <v>-1793399.830749806</v>
      </c>
    </row>
    <row r="10">
      <c r="A10" s="100" t="inlineStr">
        <is>
          <t>RET 4%</t>
        </is>
      </c>
      <c r="B10" s="64" t="n">
        <v>19393390.2179573</v>
      </c>
      <c r="C10" s="64" t="n">
        <v>18864903.02881071</v>
      </c>
      <c r="D10" s="64" t="n">
        <v>18336415.83966413</v>
      </c>
      <c r="E10" s="64" t="n">
        <v>-1056974.378293175</v>
      </c>
    </row>
    <row r="11">
      <c r="A11" s="100" t="inlineStr">
        <is>
          <t>CUB/SC</t>
        </is>
      </c>
      <c r="B11" s="64" t="n">
        <v>18592373.15555139</v>
      </c>
      <c r="C11" s="64" t="n">
        <v>18864903.02881071</v>
      </c>
      <c r="D11" s="64" t="n">
        <v>19138448.07883619</v>
      </c>
      <c r="E11" s="64" t="n">
        <v>546074.9232848063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22" t="inlineStr">
        <is>
          <t>MONTE CARLO — 10.000 iterações</t>
        </is>
      </c>
    </row>
    <row r="2" ht="40" customHeight="1">
      <c r="A2" s="101" t="inlineStr">
        <is>
          <t>ÂNCORA: a simulação usa o ORÇAMENTO PARAMÉTRICO ENTREGUE como custo base (R$ 39.38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35" t="inlineStr">
        <is>
          <t>Estatística</t>
        </is>
      </c>
      <c r="B4" s="35" t="inlineStr">
        <is>
          <t>VPL (R$)</t>
        </is>
      </c>
      <c r="C4" s="35" t="inlineStr">
        <is>
          <t>TIR a.a.</t>
        </is>
      </c>
      <c r="D4" s="35" t="inlineStr">
        <is>
          <t>Margem</t>
        </is>
      </c>
    </row>
    <row r="5">
      <c r="A5" s="71" t="inlineStr">
        <is>
          <t>Mediana</t>
        </is>
      </c>
      <c r="B5" s="39" t="n">
        <v>19502493.86841707</v>
      </c>
      <c r="C5" s="82" t="n">
        <v>0.6386958358810947</v>
      </c>
      <c r="D5" s="82" t="n">
        <v>0.3845631837060892</v>
      </c>
    </row>
    <row r="6">
      <c r="A6" s="71" t="inlineStr">
        <is>
          <t>Média</t>
        </is>
      </c>
      <c r="B6" s="39" t="n">
        <v>20005298.13609606</v>
      </c>
    </row>
    <row r="7">
      <c r="A7" s="71" t="inlineStr">
        <is>
          <t>P10</t>
        </is>
      </c>
      <c r="B7" s="39" t="n">
        <v>8930057.598152699</v>
      </c>
      <c r="C7" s="82" t="n">
        <v>0.3490514355620074</v>
      </c>
    </row>
    <row r="8">
      <c r="A8" s="71" t="inlineStr">
        <is>
          <t>P50</t>
        </is>
      </c>
      <c r="B8" s="39" t="n">
        <v>19502493.86841707</v>
      </c>
      <c r="C8" s="82" t="n">
        <v>0.6386958358810947</v>
      </c>
    </row>
    <row r="9">
      <c r="A9" s="71" t="inlineStr">
        <is>
          <t>P90</t>
        </is>
      </c>
      <c r="B9" s="39" t="n">
        <v>31707079.07959078</v>
      </c>
      <c r="C9" s="82" t="n">
        <v>1.106039895852982</v>
      </c>
    </row>
    <row r="10">
      <c r="A10" s="71" t="inlineStr">
        <is>
          <t>Desvio padrão</t>
        </is>
      </c>
      <c r="B10" s="39" t="n">
        <v>8547618.641226724</v>
      </c>
    </row>
    <row r="12">
      <c r="A12" s="71" t="inlineStr">
        <is>
          <t>P(VPL &gt; 0)</t>
        </is>
      </c>
      <c r="B12" s="82" t="n">
        <v>0.9987</v>
      </c>
    </row>
    <row r="13">
      <c r="A13" s="71" t="inlineStr">
        <is>
          <t>P(TIR &gt; TMA)</t>
        </is>
      </c>
      <c r="B13" s="82" t="n">
        <v>0.9987</v>
      </c>
    </row>
    <row r="14">
      <c r="A14" s="71" t="inlineStr">
        <is>
          <t>P(Margem &gt; 15%)</t>
        </is>
      </c>
      <c r="B14" s="82" t="n">
        <v>0.9986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2026-04-20T17:58:05Z</dcterms:created>
  <dcterms:modified xmlns:dcterms="http://purl.org/dc/terms/" xmlns:xsi="http://www.w3.org/2001/XMLSchema-instance" xsi:type="dcterms:W3CDTF">2026-04-20T17:58:06Z</dcterms:modified>
</cp:coreProperties>
</file>