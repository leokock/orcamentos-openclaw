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" sheetId="1" state="visible" r:id="rId1"/>
    <sheet xmlns:r="http://schemas.openxmlformats.org/officeDocument/2006/relationships" name="COMO_LER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DETALHE_CUSTO" sheetId="4" state="visible" r:id="rId4"/>
    <sheet xmlns:r="http://schemas.openxmlformats.org/officeDocument/2006/relationships" name="FLUXO_CAIXA" sheetId="5" state="visible" r:id="rId5"/>
    <sheet xmlns:r="http://schemas.openxmlformats.org/officeDocument/2006/relationships" name="RESULTADO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TORNADO" sheetId="8" state="visible" r:id="rId8"/>
    <sheet xmlns:r="http://schemas.openxmlformats.org/officeDocument/2006/relationships" name="MONTE_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"/>
    <numFmt numFmtId="165" formatCode="0.0%"/>
    <numFmt numFmtId="166" formatCode="&quot;R$&quot; #,##0.00"/>
    <numFmt numFmtId="167" formatCode="#,##0;;;"/>
    <numFmt numFmtId="168" formatCode="0.0%;;;"/>
    <numFmt numFmtId="169" formatCode="0%;;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13"/>
    </font>
    <font>
      <name val="Arial"/>
      <color rgb="00666666"/>
      <sz val="8"/>
    </font>
    <font>
      <name val="Arial"/>
      <b val="1"/>
      <color rgb="00FFFFFF"/>
      <sz val="22"/>
    </font>
    <font>
      <name val="Arial"/>
      <i val="1"/>
      <color rgb="002C3E50"/>
      <sz val="11"/>
    </font>
    <font>
      <name val="Arial"/>
      <b val="1"/>
      <color rgb="00FFFFFF"/>
      <sz val="10"/>
    </font>
    <font>
      <name val="Arial"/>
      <b val="1"/>
      <color rgb="002C3E50"/>
      <sz val="2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C3E50"/>
      <sz val="11"/>
    </font>
    <font>
      <name val="Arial"/>
      <b val="1"/>
      <sz val="9"/>
    </font>
    <font>
      <name val="Arial"/>
      <b val="1"/>
      <color rgb="00FFFFFF"/>
      <sz val="14"/>
    </font>
    <font>
      <name val="Arial"/>
      <sz val="9"/>
    </font>
    <font>
      <name val="Arial"/>
      <b val="1"/>
      <color rgb="00C25700"/>
      <sz val="9"/>
    </font>
    <font>
      <name val="Arial"/>
      <b val="1"/>
      <color rgb="00FFFFFF"/>
      <sz val="8"/>
    </font>
    <font>
      <name val="Arial"/>
      <sz val="7"/>
    </font>
    <font>
      <name val="Arial"/>
      <b val="1"/>
      <color rgb="00FFFFFF"/>
      <sz val="7"/>
    </font>
    <font>
      <name val="Arial"/>
      <b val="1"/>
      <sz val="7"/>
    </font>
    <font>
      <name val="Arial"/>
      <b val="1"/>
      <color rgb="002C3E50"/>
      <sz val="10"/>
    </font>
  </fonts>
  <fills count="1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3F2FD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165" fontId="7" fillId="5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14" fillId="9" borderId="1" applyAlignment="1" pivotButton="0" quotePrefix="0" xfId="0">
      <alignment horizontal="right" vertical="center"/>
    </xf>
    <xf numFmtId="165" fontId="14" fillId="9" borderId="1" applyAlignment="1" pivotButton="0" quotePrefix="0" xfId="0">
      <alignment horizontal="right" vertical="center"/>
    </xf>
    <xf numFmtId="3" fontId="14" fillId="9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166" fontId="14" fillId="9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3" fontId="11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right" vertical="center"/>
    </xf>
    <xf numFmtId="0" fontId="0" fillId="2" borderId="1" pivotButton="0" quotePrefix="0" xfId="0"/>
    <xf numFmtId="167" fontId="17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8" fontId="16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7" fontId="18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9" fontId="18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9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165" fontId="11" fillId="8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right" vertical="center"/>
    </xf>
    <xf numFmtId="4" fontId="11" fillId="8" borderId="1" applyAlignment="1" pivotButton="0" quotePrefix="0" xfId="0">
      <alignment horizontal="right" vertical="center"/>
    </xf>
    <xf numFmtId="4" fontId="13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11" fillId="3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right" vertical="center"/>
    </xf>
    <xf numFmtId="165" fontId="11" fillId="11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3" fontId="11" fillId="3" borderId="1" applyAlignment="1" pivotButton="0" quotePrefix="0" xfId="0">
      <alignment horizontal="right" vertical="center"/>
    </xf>
    <xf numFmtId="0" fontId="11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90CAF9"/>
          <bgColor rgb="001976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90</row>
      <rowOff>0</rowOff>
    </from>
    <ext cx="6858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62865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7429500" cy="438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8" customHeight="1"/>
    <row r="2" ht="36" customHeight="1">
      <c r="B2" s="1" t="inlineStr">
        <is>
          <t>ESTUDO DE VIABILIDADE FINANCEIRA</t>
        </is>
      </c>
    </row>
    <row r="3" ht="24" customHeight="1">
      <c r="B3" s="2" t="inlineStr">
        <is>
          <t>Arthen Arboris — Perequê, Porto Belo/SC</t>
        </is>
      </c>
    </row>
    <row r="4">
      <c r="B4" s="3" t="inlineStr">
        <is>
          <t>Cliente: Arthen Engenharia e Construções    |    Elaborado por: Cartesian Engenharia    |    2026-04-14</t>
        </is>
      </c>
    </row>
    <row r="6" ht="54" customHeight="1">
      <c r="B6" s="4" t="inlineStr">
        <is>
          <t>PROJETO VIÁVEL  (com pontos de atenção)</t>
        </is>
      </c>
    </row>
    <row r="7" ht="32" customHeight="1">
      <c r="B7" s="5" t="inlineStr">
        <is>
          <t>Viável no cenário base e provável (98% Monte Carlo), mas sensível a combinações adversas simultâneas — ver análise de cenários.</t>
        </is>
      </c>
    </row>
    <row r="9" ht="22" customHeight="1">
      <c r="B9" s="6" t="inlineStr">
        <is>
          <t>CAPITAL MÁXIMO EXPOSTO</t>
        </is>
      </c>
      <c r="E9" s="6" t="inlineStr">
        <is>
          <t>LUCRO ESPERADO (BASE)</t>
        </is>
      </c>
    </row>
    <row r="10" ht="38" customHeight="1">
      <c r="B10" s="7" t="n">
        <v>15376903.17235378</v>
      </c>
      <c r="E10" s="8" t="n">
        <v>27974447.75554407</v>
      </c>
    </row>
    <row r="11" ht="32" customHeight="1">
      <c r="B11" s="9" t="inlineStr">
        <is>
          <t>Quanto a Arthen precisa ter em caixa (ou via SFH) no mês mais apertado, antes das vendas cobrirem os custos</t>
        </is>
      </c>
      <c r="E11" s="9" t="inlineStr">
        <is>
          <t>Receita total menos todas as despesas ao longo dos 45 meses do projeto</t>
        </is>
      </c>
    </row>
    <row r="13" ht="22" customHeight="1">
      <c r="B13" s="6" t="inlineStr">
        <is>
          <t>MARGEM LÍQUIDA</t>
        </is>
      </c>
      <c r="E13" s="6" t="inlineStr">
        <is>
          <t>CHANCE DE VPL POSITIVO</t>
        </is>
      </c>
    </row>
    <row r="14" ht="38" customHeight="1">
      <c r="B14" s="10" t="n">
        <v>0.3082925645726801</v>
      </c>
      <c r="E14" s="10" t="n">
        <v>0.982</v>
      </c>
    </row>
    <row r="15" ht="32" customHeight="1">
      <c r="B15" s="9" t="inlineStr">
        <is>
          <t>Lucro ÷ Receita. Referência de mercado SC: 15–25%. Acima disso = margem acima da média</t>
        </is>
      </c>
      <c r="E15" s="9" t="inlineStr">
        <is>
          <t>Monte Carlo: em 10.000 versões com variações realistas de preço/custo/velocidade. quantas deram lucro acima do custo de capital</t>
        </is>
      </c>
    </row>
    <row r="17" ht="22" customHeight="1">
      <c r="B17" s="6" t="inlineStr">
        <is>
          <t>VPL @ TMA 14%</t>
        </is>
      </c>
      <c r="E17" s="6" t="inlineStr">
        <is>
          <t>TIR ANUAL</t>
        </is>
      </c>
    </row>
    <row r="18" ht="38" customHeight="1">
      <c r="B18" s="8" t="n">
        <v>16200599.54209654</v>
      </c>
      <c r="E18" s="11" t="n">
        <v>0.6864318253670902</v>
      </c>
    </row>
    <row r="19" ht="32" customHeight="1">
      <c r="B19" s="9" t="inlineStr">
        <is>
          <t>Valor criado acima do mínimo exigido pelo custo de capital. Se &gt; 0, o projeto remunera mais que o benchmark</t>
        </is>
      </c>
      <c r="E19" s="9" t="inlineStr">
        <is>
          <t>⚠ Inflada pela estrutura (permuta física + pré-lançamento). Prefira ler o VPL como indicador principal de viabilidade</t>
        </is>
      </c>
    </row>
    <row r="22">
      <c r="B22" s="12" t="inlineStr">
        <is>
          <t>O QUE É O PROJETO</t>
        </is>
      </c>
    </row>
    <row r="23" ht="18" customHeight="1">
      <c r="B23" s="13" t="inlineStr">
        <is>
          <t>O Arboris é um empreendimento residencial + comercial da Arthen com 98 unidades (90 residenciais de 3-4 dormitórios + 8 comerciais), distribuídas em 12,473 m² de área construída, localizado no bairro Perequê em Porto Belo/SC — região que liderou velocidade de vendas imobiliárias no Brasil em 2025.
O custo de obra é de R$ 45.5 milhões (R$ 3,645/m²), calculado via paramétrico V2 Híbrido da Cartesian — metodologia calibrada contra base histórica de 126 projetos similares. O terreno será adquirido por permuta física de 30% das unidades, eliminando desembolso monetário com o landowner.
O modelo financeiro cobre 45 meses: 3 de pré-lançamento, 30 de obra, e 12 de cauda de recebimento. O preço médio de venda estimado é R$ 15,394/m² privativo (mediana Perequê abr/2026, range R$ 10k–25k). Estrutura padrão de mercado: 20% entrada + 40% parcelado durante obra corrigido pelo CUB/SC + 40% repasse bancário na entrega.</t>
        </is>
      </c>
    </row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>
      <c r="B32" s="12" t="inlineStr">
        <is>
          <t>PRINCIPAIS DESCOBERTAS</t>
        </is>
      </c>
    </row>
    <row r="33" ht="32" customHeight="1">
      <c r="B33" s="14" t="inlineStr">
        <is>
          <t>✓  VPL positivo de R$ 16.2 milhões descontado a 14% a.a. — o projeto gera valor real acima do custo de capital da incorporadora.</t>
        </is>
      </c>
    </row>
    <row r="34" ht="32" customHeight="1">
      <c r="B34" s="14" t="inlineStr">
        <is>
          <t>✓  Margem líquida de 30.8% — acima do benchmark de mercado SC (15–25%), indicando eficiência operacional do projeto.</t>
        </is>
      </c>
    </row>
    <row r="35" ht="32" customHeight="1">
      <c r="B35" s="14" t="inlineStr">
        <is>
          <t>✓  Simulação Monte Carlo de 10.000 cenários mostra 98.2% de probabilidade de VPL positivo. com mediana de R$ 16.9M e P10 (pior 10%) de R$ 5.7M — projeto robusto a variações realistas.</t>
        </is>
      </c>
    </row>
    <row r="36" ht="38" customHeight="1">
      <c r="B36" s="15" t="inlineStr">
        <is>
          <t>⚠  Exposição máxima de caixa: R$ 15.4 milhões. A Arthen precisa ter esse capital disponível (próprio ou via SFH) nos meses mais apertados do cronograma.</t>
        </is>
      </c>
    </row>
    <row r="37" ht="38" customHeight="1">
      <c r="B37" s="15" t="inlineStr">
        <is>
          <t>⚠  No cenário pessimista (preço -15%. custo +10%. vendas 8 meses mais lentas). o VPL vira NEGATIVO em R$ 608 mil. O projeto é viável mas sensível a combinações adversas simultâneas — não é invulnerável.</t>
        </is>
      </c>
    </row>
    <row r="38" ht="38" customHeight="1">
      <c r="B38" s="15" t="inlineStr">
        <is>
          <t>⚠  Fator de maior risco: VGV R$/m². Variação de ±20% move o VPL em R$ 22M. Validar o preço de R$ 15,394/m² com corretores locais é a diligência mais importante.</t>
        </is>
      </c>
    </row>
    <row r="40">
      <c r="B40" s="12" t="inlineStr">
        <is>
          <t>RECOMENDAÇÃO</t>
        </is>
      </c>
    </row>
    <row r="41" ht="18" customHeight="1">
      <c r="B41" s="16" t="inlineStr">
        <is>
          <t>Com base nos indicadores apurados, o Arboris é um projeto VIÁVEL e RECOMENDADO para avanço. O VPL de R$ 16.2M e a margem líquida de 30.8% posicionam o projeto acima da média do segmento em SC. A probabilidade de 98% de retorno positivo (Monte Carlo 10.000 iterações) confere robustez estatística ao investimento.
Recomendamos três diligências antes do lançamento:
(1) Validar o preço de venda de R$ 15,394/m² com corretores locais de Perequê e comparáveis recém-lançados — é o fator de maior impacto sobre o resultado;
(2) Confirmar capacidade financeira da Arthen para suportar a exposição máxima de R$ 15.4M (próprio ou via financiamento à produção SFH);
(3) Revisar a velocidade de vendas assumida (50% vendido no mês 14 da obra) contra o histórico da Arthen em projetos similares — Perequê é mercado aquecido, mas a curva real precisa calibrar contra dados da incorporadora.</t>
        </is>
      </c>
    </row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3">
      <c r="B53" s="17" t="inlineStr">
        <is>
          <t>COMO NAVEGAR ESTE ESTUDO:</t>
        </is>
      </c>
    </row>
    <row r="54">
      <c r="B54" s="18" t="inlineStr">
        <is>
          <t>▸ COMO_LER</t>
        </is>
      </c>
      <c r="C54" s="19" t="inlineStr">
        <is>
          <t>Glossário com explicação em linguagem simples de todos os termos técnicos (VPL, TIR, Monte Carlo, RET, etc.)</t>
        </is>
      </c>
    </row>
    <row r="55">
      <c r="B55" s="18" t="inlineStr">
        <is>
          <t>▸ PREMISSAS</t>
        </is>
      </c>
      <c r="C55" s="19" t="inlineStr">
        <is>
          <t>Todas as premissas do modelo — se algum valor estiver incorreto, editá-lo aqui e regerar</t>
        </is>
      </c>
    </row>
    <row r="56">
      <c r="B56" s="18" t="inlineStr">
        <is>
          <t>▸ DETALHE_CUSTO</t>
        </is>
      </c>
      <c r="C56" s="19" t="inlineStr">
        <is>
          <t>Detalhamento do custo de obra: metodologia paramétrica, 18 macrogrupos, janela temporal, Gantt, curva S, stacked</t>
        </is>
      </c>
    </row>
    <row r="57">
      <c r="B57" s="18" t="inlineStr">
        <is>
          <t>▸ FLUXO_CAIXA</t>
        </is>
      </c>
      <c r="C57" s="19" t="inlineStr">
        <is>
          <t>Projeção mensal detalhada de receitas e despesas ao longo dos 45 meses do projeto</t>
        </is>
      </c>
    </row>
    <row r="58">
      <c r="B58" s="18" t="inlineStr">
        <is>
          <t>▸ RESULTADO</t>
        </is>
      </c>
      <c r="C58" s="19" t="inlineStr">
        <is>
          <t>Cálculo detalhado do VPL e TIR, com fórmula Excel paralela para auditoria</t>
        </is>
      </c>
    </row>
    <row r="59">
      <c r="B59" s="18" t="inlineStr">
        <is>
          <t>▸ CENARIOS</t>
        </is>
      </c>
      <c r="C59" s="19" t="inlineStr">
        <is>
          <t>Comparativo pessimista / base / otimista dos principais indicadores</t>
        </is>
      </c>
    </row>
    <row r="60">
      <c r="B60" s="18" t="inlineStr">
        <is>
          <t>▸ TORNADO</t>
        </is>
      </c>
      <c r="C60" s="19" t="inlineStr">
        <is>
          <t>Análise de sensibilidade — qual variável mais afeta o resultado</t>
        </is>
      </c>
    </row>
    <row r="61">
      <c r="B61" s="18" t="inlineStr">
        <is>
          <t>▸ MONTE_CARLO</t>
        </is>
      </c>
      <c r="C61" s="19" t="inlineStr">
        <is>
          <t>Simulação estatística com 10.000 iterações e histogramas de distribuição</t>
        </is>
      </c>
    </row>
  </sheetData>
  <mergeCells count="43">
    <mergeCell ref="B2:G2"/>
    <mergeCell ref="B11:D11"/>
    <mergeCell ref="E10:G10"/>
    <mergeCell ref="B14:D14"/>
    <mergeCell ref="E13:G13"/>
    <mergeCell ref="E19:G19"/>
    <mergeCell ref="C58:G58"/>
    <mergeCell ref="B17:D17"/>
    <mergeCell ref="B13:D13"/>
    <mergeCell ref="E9:G9"/>
    <mergeCell ref="B53:G53"/>
    <mergeCell ref="E15:G15"/>
    <mergeCell ref="B10:D10"/>
    <mergeCell ref="B38:G38"/>
    <mergeCell ref="B34:G34"/>
    <mergeCell ref="B19:D19"/>
    <mergeCell ref="E11:G11"/>
    <mergeCell ref="B37:G37"/>
    <mergeCell ref="C54:G54"/>
    <mergeCell ref="B9:D9"/>
    <mergeCell ref="B40:G40"/>
    <mergeCell ref="C55:G55"/>
    <mergeCell ref="B15:D15"/>
    <mergeCell ref="B33:G33"/>
    <mergeCell ref="B6:G6"/>
    <mergeCell ref="C56:G56"/>
    <mergeCell ref="C59:G59"/>
    <mergeCell ref="B36:G36"/>
    <mergeCell ref="B41:G50"/>
    <mergeCell ref="C60:G60"/>
    <mergeCell ref="B32:G32"/>
    <mergeCell ref="B4:G4"/>
    <mergeCell ref="E18:G18"/>
    <mergeCell ref="B35:G35"/>
    <mergeCell ref="C61:G61"/>
    <mergeCell ref="B7:G7"/>
    <mergeCell ref="B3:G3"/>
    <mergeCell ref="E14:G14"/>
    <mergeCell ref="B22:G22"/>
    <mergeCell ref="B18:D18"/>
    <mergeCell ref="E17:G17"/>
    <mergeCell ref="B23:G30"/>
    <mergeCell ref="C57:G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 ht="36" customHeight="1">
      <c r="B2" s="1" t="inlineStr">
        <is>
          <t>COMO LER ESTE ESTUDO</t>
        </is>
      </c>
    </row>
    <row r="3" ht="24" customHeight="1">
      <c r="B3" s="5" t="inlineStr">
        <is>
          <t>Glossário de termos técnicos — explicação em linguagem simples</t>
        </is>
      </c>
    </row>
    <row r="5" ht="150" customHeight="1">
      <c r="B5" s="20" t="inlineStr">
        <is>
          <t>VPL — Valor Presente Líquido</t>
        </is>
      </c>
      <c r="C5" s="21" t="inlineStr">
        <is>
          <t>Soma de TODOS os fluxos de caixa futuros do projeto, trazidos a valor presente pela taxa mínima de atratividade (TMA). É o indicador mais importante deste estudo.
Interpretação simples: se o VPL &gt; 0, o projeto gera MAIS valor do que aplicar o mesmo dinheiro no benchmark de mercado (Selic + spread). Se VPL &lt; 0, o projeto destrói valor — seria melhor investir em outra coisa.
→ Neste estudo: VPL = R$ 16,2 milhões. Indica que o Arboris produz R$ 16,2M a MAIS do que o mínimo exigido pelo custo de capital de 14% a.a.</t>
        </is>
      </c>
    </row>
    <row r="6" ht="150" customHeight="1">
      <c r="B6" s="20" t="inlineStr">
        <is>
          <t>TIR — Taxa Interna de Retorno</t>
        </is>
      </c>
      <c r="C6" s="21" t="inlineStr">
        <is>
          <t>Taxa de desconto que faz o VPL ser zero. Interpretada como 'rentabilidade anual do projeto'. Para ser atrativa, precisa estar acima da TMA.
⚠ Atenção nesta análise: a TIR de 68,6% a.a. é tecnicamente correta mas está INFLADA pela estrutura do modelo (permuta física do terreno + pré-lançamento com entradas cobrindo custos antes da obra iniciar, resultando em exposição de caixa baixa). O VPL é o indicador mais confiável neste caso.
→ Neste estudo: TIR = 68,6% a.a. no cenário base; P10 do Monte Carlo ~25% a.a.</t>
        </is>
      </c>
    </row>
    <row r="7" ht="135" customHeight="1">
      <c r="B7" s="20" t="inlineStr">
        <is>
          <t>TMA — Taxa Mínima de Atratividade</t>
        </is>
      </c>
      <c r="C7" s="21" t="inlineStr">
        <is>
          <t>Custo de capital que a incorporadora exige para justificar o investimento. É o 'piso' de rentabilidade abaixo do qual o projeto não compensa. Também chamada de 'taxa de desconto'.
Geralmente composta por: Selic (taxa básica) + spread de risco do setor imobiliário.
→ Neste estudo: 14% a.a. = Selic ~10,5% + spread 3,5% (benchmark incorporadora média SC 2026). Editável em PREMISSAS.</t>
        </is>
      </c>
    </row>
    <row r="8" ht="165" customHeight="1">
      <c r="B8" s="20" t="inlineStr">
        <is>
          <t>VGV — Valor Geral de Vendas</t>
        </is>
      </c>
      <c r="C8" s="21" t="inlineStr">
        <is>
          <t>Receita total esperada do empreendimento. Calculado como: área privativa vendável × preço médio de venda por m².
Dividido em dois conceitos neste estudo:
  • VGV BRUTO: valor total se todas as unidades fossem vendidas pela Arthen
  • VGV LÍQUIDO: após subtrair a permuta física (30% das unidades vão para o proprietário do terreno)
→ Neste estudo: VGV bruto R$ 134,4M; VGV líquido (que a Arthen de fato vende) R$ 94,1M.</t>
        </is>
      </c>
    </row>
    <row r="9" ht="210" customHeight="1">
      <c r="B9" s="20" t="inlineStr">
        <is>
          <t>Margem líquida</t>
        </is>
      </c>
      <c r="C9" s="21" t="inlineStr">
        <is>
          <t>(Lucro líquido) ÷ (Receita total). Mede a eficiência operacional da incorporação. Inclui TODOS os custos: obra, comercial, marketing, impostos (RET), admin.
Referência de mercado SC:
  • Abaixo de 10% → margem apertada, projeto frágil
  • 10–15% → aceitável
  • 15–25% → saudável (média do segmento)
  • Acima de 25% → acima da média, sinal de eficiência ou precificação forte
→ Neste estudo: 30,8% — acima da média do segmento, puxada por preço forte em Perequê e custo calibrado no paramétrico.</t>
        </is>
      </c>
    </row>
    <row r="10" ht="150" customHeight="1">
      <c r="B10" s="20" t="inlineStr">
        <is>
          <t>Exposição máxima de caixa</t>
        </is>
      </c>
      <c r="C10" s="21" t="inlineStr">
        <is>
          <t>O 'pior momento' do projeto em termos de caixa: quanto a incorporadora tem que ter disponível (capital próprio ou financiamento) antes que as vendas comecem a cobrir os custos. É o BURACO máximo no fluxo acumulado.
Em projetos bem estruturados, corresponde a 20–35% do VGV. Abaixo disso = projeto leve de capital; acima = projeto pesado.
→ Neste estudo: R$ 15,4M = 16% do VGV líquido. Relativamente baixo, porque as entradas de 20% no pré-lançamento começam a pagar a obra rapidamente.</t>
        </is>
      </c>
    </row>
    <row r="11" ht="240" customHeight="1">
      <c r="B11" s="20" t="inlineStr">
        <is>
          <t>Monte Carlo</t>
        </is>
      </c>
      <c r="C11" s="21" t="inlineStr">
        <is>
          <t>Técnica estatística para lidar com incerteza. Em vez de assumir que cada premissa é um número fixo, tratamos as mais importantes como FAIXAS de valores prováveis e rodamos milhares de simulações do projeto — em cada uma, o computador sorteia valores dentro das faixas e calcula o VPL.
Ao final, temos uma DISTRIBUIÇÃO de resultados possíveis em vez de um número único. Isso permite perguntar: 'qual a PROBABILIDADE do projeto dar lucro?'
Variáveis sorteadas neste estudo: preço de venda (R$ 11k a R$ 22k/m²), custo de obra (±10%/+15%), velocidade de vendas (8 a 24 meses para t50), CUB/SC (4% a 11% a.a.). Correlação -40% entre preço e velocidade (preço alto ↔ venda mais lenta, que é o comportamento real de mercado).
→ Neste estudo: 98,2% das 10.000 simulações deram VPL positivo. Mediana R$ 16,9M. Pior 10% = R$ 5,6M. Melhor 10% = R$ 30M.</t>
        </is>
      </c>
    </row>
    <row r="12" ht="210" customHeight="1">
      <c r="B12" s="20" t="inlineStr">
        <is>
          <t>Cenários (Pessimista / Base / Otimista)</t>
        </is>
      </c>
      <c r="C12" s="21" t="inlineStr">
        <is>
          <t>Diferente do Monte Carlo (que sorteia aleatoriamente), aqui definimos 3 combinações específicas de premissas:
  • PESSIMISTA: preço -15%, custo +10%, venda 8 meses mais lenta
  • BASE: valores centrais, o 'cenário provável'
  • OTIMISTA: preço +10%, custo -5%, venda 4 meses mais rápida
Útil para responder: 'e se tudo der errado ao mesmo tempo?' (pessimista) e 'e se as coisas favorecerem?' (otimista).
→ Neste estudo: pessimista dá VPL -R$ 608 mil (projeto vira inviável). Isso mostra que o Arboris é viável mas NÃO é invulnerável — precisa de combinações adversas simultâneas para perder.</t>
        </is>
      </c>
    </row>
    <row r="13" ht="195" customHeight="1">
      <c r="B13" s="20" t="inlineStr">
        <is>
          <t>Tornado (Análise de Sensibilidade)</t>
        </is>
      </c>
      <c r="C13" s="21" t="inlineStr">
        <is>
          <t>Gráfico que mostra qual variável tem MAIOR impacto sobre o VPL. Para cada variável, testamos +20% e -20% mantendo as outras fixas e medimos a variação resultante no VPL. A variável com a maior barra é a mais crítica — é ali que a diligência comercial deve focar.
→ Neste estudo (em ordem de impacto):
    1º PREÇO DE VENDA — Δ R$ 22M (dominante)
    2º CUSTO DE OBRA — Δ R$ 15,5M
    3º % de entrada no ato — Δ R$ 5,7M
Conclusão: validar o preço de venda de R$ 15.394/m² é a diligência mais importante deste projeto.</t>
        </is>
      </c>
    </row>
    <row r="14" ht="135" customHeight="1">
      <c r="B14" s="20" t="inlineStr">
        <is>
          <t>CUB/SC</t>
        </is>
      </c>
      <c r="C14" s="21" t="inlineStr">
        <is>
          <t>Custo Unitário Básico de Construção, publicado mensalmente pelo Sinduscon/SC. É o indexador padrão das parcelas da obra pagas pelos compradores durante a construção — o equivalente imobiliário da 'correção monetária'.
Substitui o INCC (usado em outros estados) no padrão catarinense.
→ Neste estudo: reajuste médio anual de 7% a.a. (histórico 2020–2025 Sinduscon/SC). Editável em PREMISSAS.</t>
        </is>
      </c>
    </row>
    <row r="15" ht="135" customHeight="1">
      <c r="B15" s="20" t="inlineStr">
        <is>
          <t>RET — Regime Especial de Tributação</t>
        </is>
      </c>
      <c r="C15" s="21" t="inlineStr">
        <is>
          <t>Alíquota unificada de 4% sobre a receita recebida, aplicável a incorporações que aderiram ao Patrimônio de Afetação (Lei 10.931/04, art. 4º). Substitui IR, CSLL, PIS e COFINS da SPE da incorporadora.
É o regime tributário mais eficiente para incorporação imobiliária no Brasil — normalmente vale a pena aderir.
→ Neste estudo: 4% sobre receita recebida a cada mês.</t>
        </is>
      </c>
    </row>
    <row r="16" ht="150" customHeight="1">
      <c r="B16" s="20" t="inlineStr">
        <is>
          <t>Permuta física</t>
        </is>
      </c>
      <c r="C16" s="21" t="inlineStr">
        <is>
          <t>Forma de adquirir o terreno: em vez de pagar em dinheiro, a incorporadora entrega ao proprietário um percentual das unidades prontas do futuro empreendimento. É o modelo dominante em terrenos valorizados no litoral SC.
Efeito financeiro: elimina o DESEMBOLSO inicial com terreno (grande alívio de caixa no mês 0), mas reduz o VGV vendável pela incorporadora (porque parte das unidades não é dela).
→ Neste estudo: 30% das unidades vão para o landowner. VGV vendável pela Arthen cai de R$ 134,4M (bruto) para R$ 94,1M (líquido).</t>
        </is>
      </c>
    </row>
    <row r="17" ht="180" customHeight="1">
      <c r="B17" s="20" t="inlineStr">
        <is>
          <t>Paramétrico V2 Híbrido</t>
        </is>
      </c>
      <c r="C17" s="21" t="inlineStr">
        <is>
          <t>Metodologia Cartesian para orçamento preliminar: extrai quantitativos do BIM (modelo 3D do projeto), aplica Preços Unitários calibrados contra uma base histórica de 126 projetos similares já executados, e produz o custo total por macrogrupo com faixa de confiança. Precisão típica: ±10–15%.
Diferente de um orçamento executivo completo (SINAPI linha a linha), mas muito mais rápido e suficiente para decisões de viabilidade.
→ Neste estudo: custo total R$ 45,46M (R$ 3.645/m²). Benchmark do segmento 'Médio' (8k–15k m² AC): mediana R$ 3.337/m², faixa P25–P75 R$ 2.974–R$ 3.710. Arboris está levemente acima da mediana, coerente com padrão Médio-Alto.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22" t="inlineStr">
        <is>
          <t>PREMISSAS — editar valores e regerar via gerar_viabilidade_arthen_arboris.py</t>
        </is>
      </c>
    </row>
    <row r="3">
      <c r="A3" s="23" t="inlineStr">
        <is>
          <t>PROJETO</t>
        </is>
      </c>
    </row>
    <row r="4">
      <c r="A4" s="24" t="inlineStr">
        <is>
          <t>Nome</t>
        </is>
      </c>
      <c r="B4" s="25" t="inlineStr">
        <is>
          <t>Arthen Arboris</t>
        </is>
      </c>
      <c r="C4" s="26" t="n"/>
      <c r="D4" s="27" t="inlineStr"/>
    </row>
    <row r="5">
      <c r="A5" s="24" t="inlineStr">
        <is>
          <t>Cidade/Bairro</t>
        </is>
      </c>
      <c r="B5" s="25" t="inlineStr">
        <is>
          <t>Perequê, Porto Belo/SC</t>
        </is>
      </c>
      <c r="C5" s="26" t="n"/>
      <c r="D5" s="27" t="inlineStr"/>
    </row>
    <row r="6">
      <c r="A6" s="24" t="inlineStr">
        <is>
          <t>Área construída (m²)</t>
        </is>
      </c>
      <c r="B6" s="28" t="n">
        <v>12472.98</v>
      </c>
      <c r="C6" s="26" t="n"/>
      <c r="D6" s="27" t="inlineStr">
        <is>
          <t>do paramétrico</t>
        </is>
      </c>
    </row>
    <row r="7">
      <c r="A7" s="24" t="inlineStr">
        <is>
          <t>% área privativa</t>
        </is>
      </c>
      <c r="B7" s="29" t="n">
        <v>0.7</v>
      </c>
      <c r="C7" s="26" t="n"/>
      <c r="D7" s="27" t="inlineStr">
        <is>
          <t>AC que vira unidade vendável</t>
        </is>
      </c>
    </row>
    <row r="8">
      <c r="A8" s="24" t="inlineStr">
        <is>
          <t>Área privativa total (m²)</t>
        </is>
      </c>
      <c r="B8" s="28" t="n">
        <v>8731.085999999999</v>
      </c>
      <c r="C8" s="26" t="n"/>
      <c r="D8" s="27" t="inlineStr">
        <is>
          <t>AC × pct_priv</t>
        </is>
      </c>
    </row>
    <row r="9">
      <c r="A9" s="24" t="inlineStr">
        <is>
          <t>Unidades</t>
        </is>
      </c>
      <c r="B9" s="30" t="n">
        <v>98</v>
      </c>
      <c r="C9" s="26" t="n"/>
      <c r="D9" s="27" t="inlineStr"/>
    </row>
    <row r="10">
      <c r="A10" s="24" t="inlineStr">
        <is>
          <t>Permuta (% das unidades)</t>
        </is>
      </c>
      <c r="B10" s="29" t="n">
        <v>0.3</v>
      </c>
      <c r="C10" s="26" t="n"/>
      <c r="D10" s="27" t="inlineStr">
        <is>
          <t>terreno via permuta física</t>
        </is>
      </c>
    </row>
    <row r="11">
      <c r="A11" s="24" t="inlineStr">
        <is>
          <t>Prazo obra (meses)</t>
        </is>
      </c>
      <c r="B11" s="30" t="n">
        <v>30</v>
      </c>
      <c r="C11" s="26" t="n"/>
      <c r="D11" s="27" t="inlineStr"/>
    </row>
    <row r="12">
      <c r="A12" s="24" t="inlineStr">
        <is>
          <t>Prazo pré-lançamento (meses)</t>
        </is>
      </c>
      <c r="B12" s="30" t="n">
        <v>3</v>
      </c>
      <c r="C12" s="26" t="n"/>
      <c r="D12" s="27" t="inlineStr">
        <is>
          <t>meses -3 a 0</t>
        </is>
      </c>
    </row>
    <row r="13">
      <c r="A13" s="24" t="inlineStr">
        <is>
          <t>Prazo pós-obra (meses)</t>
        </is>
      </c>
      <c r="B13" s="30" t="n">
        <v>12</v>
      </c>
      <c r="C13" s="26" t="n"/>
      <c r="D13" s="27" t="inlineStr">
        <is>
          <t>cauda de recebimento</t>
        </is>
      </c>
    </row>
    <row r="15">
      <c r="A15" s="23" t="inlineStr">
        <is>
          <t>CUSTO</t>
        </is>
      </c>
    </row>
    <row r="16">
      <c r="A16" s="24" t="inlineStr">
        <is>
          <t>Custo de obra total (R$)</t>
        </is>
      </c>
      <c r="B16" s="31" t="n">
        <v>45460479.411</v>
      </c>
      <c r="C16" s="26" t="n"/>
      <c r="D16" s="27" t="inlineStr">
        <is>
          <t>paramétrico V2</t>
        </is>
      </c>
    </row>
    <row r="17">
      <c r="A17" s="24" t="inlineStr">
        <is>
          <t>Contingência (%)</t>
        </is>
      </c>
      <c r="B17" s="29" t="n">
        <v>0.05</v>
      </c>
      <c r="C17" s="26" t="n"/>
      <c r="D17" s="27" t="inlineStr">
        <is>
          <t>sobre custo obra</t>
        </is>
      </c>
    </row>
    <row r="19">
      <c r="A19" s="23" t="inlineStr">
        <is>
          <t>RECEITA</t>
        </is>
      </c>
    </row>
    <row r="20">
      <c r="A20" s="24" t="inlineStr">
        <is>
          <t>VGV R$/m² privativo</t>
        </is>
      </c>
      <c r="B20" s="32" t="n">
        <v>15394</v>
      </c>
      <c r="C20" s="26" t="n"/>
      <c r="D20" s="27" t="inlineStr">
        <is>
          <t>Perequê médio pesquisa 2026</t>
        </is>
      </c>
    </row>
    <row r="21">
      <c r="A21" s="24" t="inlineStr">
        <is>
          <t>VGV bruto (R$)</t>
        </is>
      </c>
      <c r="B21" s="31" t="n">
        <v>134406337.884</v>
      </c>
      <c r="C21" s="26" t="n"/>
      <c r="D21" s="27" t="inlineStr">
        <is>
          <t>área_priv × R$/m²</t>
        </is>
      </c>
    </row>
    <row r="22">
      <c r="A22" s="24" t="inlineStr">
        <is>
          <t>VGV líquido permuta (R$)</t>
        </is>
      </c>
      <c r="B22" s="31" t="n">
        <v>94084436.51879998</v>
      </c>
      <c r="C22" s="26" t="n"/>
      <c r="D22" s="27" t="inlineStr">
        <is>
          <t>após 30% de permuta</t>
        </is>
      </c>
    </row>
    <row r="23">
      <c r="A23" s="24" t="inlineStr">
        <is>
          <t>Entrada (% no ato)</t>
        </is>
      </c>
      <c r="B23" s="29" t="n">
        <v>0.2</v>
      </c>
      <c r="C23" s="26" t="n"/>
      <c r="D23" s="27" t="inlineStr"/>
    </row>
    <row r="24">
      <c r="A24" s="24" t="inlineStr">
        <is>
          <t>Obra (% parcelado CUB)</t>
        </is>
      </c>
      <c r="B24" s="29" t="n">
        <v>0.4</v>
      </c>
      <c r="C24" s="26" t="n"/>
      <c r="D24" s="27" t="inlineStr">
        <is>
          <t>durante obra</t>
        </is>
      </c>
    </row>
    <row r="25">
      <c r="A25" s="24" t="inlineStr">
        <is>
          <t>Repasse/chave (%)</t>
        </is>
      </c>
      <c r="B25" s="29" t="n">
        <v>0.4</v>
      </c>
      <c r="C25" s="26" t="n"/>
      <c r="D25" s="27" t="inlineStr">
        <is>
          <t>mês de entrega +2</t>
        </is>
      </c>
    </row>
    <row r="26">
      <c r="A26" s="24" t="inlineStr">
        <is>
          <t>Inadimplência (%)</t>
        </is>
      </c>
      <c r="B26" s="29" t="n">
        <v>0.03</v>
      </c>
      <c r="C26" s="26" t="n"/>
      <c r="D26" s="27" t="inlineStr">
        <is>
          <t>sobre recebido</t>
        </is>
      </c>
    </row>
    <row r="28">
      <c r="A28" s="23" t="inlineStr">
        <is>
          <t>FINANCEIRAS</t>
        </is>
      </c>
    </row>
    <row r="29">
      <c r="A29" s="24" t="inlineStr">
        <is>
          <t>CUB/SC (a.a.)</t>
        </is>
      </c>
      <c r="B29" s="29" t="n">
        <v>0.07000000000000001</v>
      </c>
      <c r="C29" s="26" t="n"/>
      <c r="D29" s="27" t="inlineStr">
        <is>
          <t>indexador parcelas obra</t>
        </is>
      </c>
    </row>
    <row r="30">
      <c r="A30" s="24" t="inlineStr">
        <is>
          <t>TMA (a.a.)</t>
        </is>
      </c>
      <c r="B30" s="29" t="n">
        <v>0.14</v>
      </c>
      <c r="C30" s="26" t="n"/>
      <c r="D30" s="27" t="inlineStr">
        <is>
          <t>custo de capital — desconto VPL</t>
        </is>
      </c>
    </row>
    <row r="32">
      <c r="A32" s="23" t="inlineStr">
        <is>
          <t>COMERCIAL / IMPOSTOS / ADMIN</t>
        </is>
      </c>
    </row>
    <row r="33">
      <c r="A33" s="24" t="inlineStr">
        <is>
          <t>Corretagem (% VGV)</t>
        </is>
      </c>
      <c r="B33" s="29" t="n">
        <v>0.06</v>
      </c>
      <c r="C33" s="26" t="n"/>
      <c r="D33" s="27" t="inlineStr">
        <is>
          <t>paga no mês da venda</t>
        </is>
      </c>
    </row>
    <row r="34">
      <c r="A34" s="24" t="inlineStr">
        <is>
          <t>Marketing (% VGV)</t>
        </is>
      </c>
      <c r="B34" s="29" t="n">
        <v>0.03</v>
      </c>
      <c r="C34" s="26" t="n"/>
      <c r="D34" s="27" t="inlineStr">
        <is>
          <t>stand, material, digital</t>
        </is>
      </c>
    </row>
    <row r="35">
      <c r="A35" s="24" t="inlineStr">
        <is>
          <t>Marketing front-load (% no pré-lanç)</t>
        </is>
      </c>
      <c r="B35" s="29" t="n">
        <v>0.4</v>
      </c>
      <c r="C35" s="26" t="n"/>
      <c r="D35" s="27" t="inlineStr"/>
    </row>
    <row r="36">
      <c r="A36" s="24" t="inlineStr">
        <is>
          <t>RET (% receita)</t>
        </is>
      </c>
      <c r="B36" s="29" t="n">
        <v>0.04</v>
      </c>
      <c r="C36" s="26" t="n"/>
      <c r="D36" s="27" t="inlineStr">
        <is>
          <t>Regime Especial de Tributação</t>
        </is>
      </c>
    </row>
    <row r="37">
      <c r="A37" s="24" t="inlineStr">
        <is>
          <t>Admin incorporadora (% VGV)</t>
        </is>
      </c>
      <c r="B37" s="29" t="n">
        <v>0.03</v>
      </c>
      <c r="C37" s="26" t="n"/>
      <c r="D37" s="27" t="inlineStr">
        <is>
          <t>equipe, jurídico, contábil</t>
        </is>
      </c>
    </row>
    <row r="39">
      <c r="A39" s="23" t="inlineStr">
        <is>
          <t>CURVA DE VENDAS (logística)</t>
        </is>
      </c>
    </row>
    <row r="40">
      <c r="A40" s="24" t="inlineStr">
        <is>
          <t>t_início (mês — pré-lanç)</t>
        </is>
      </c>
      <c r="B40" s="30" t="n">
        <v>-2</v>
      </c>
      <c r="C40" s="26" t="n"/>
      <c r="D40" s="27" t="inlineStr">
        <is>
          <t>vendas começam em t_início</t>
        </is>
      </c>
    </row>
    <row r="41">
      <c r="A41" s="24" t="inlineStr">
        <is>
          <t>t50 (mês da inflexão)</t>
        </is>
      </c>
      <c r="B41" s="30" t="n">
        <v>14</v>
      </c>
      <c r="C41" s="26" t="n"/>
      <c r="D41" s="27" t="inlineStr">
        <is>
          <t>50% vendido neste mês</t>
        </is>
      </c>
    </row>
    <row r="42">
      <c r="A42" s="24" t="inlineStr">
        <is>
          <t>k (inclinação)</t>
        </is>
      </c>
      <c r="B42" s="28" t="n">
        <v>0.18</v>
      </c>
      <c r="C42" s="26" t="n"/>
      <c r="D42" s="27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K1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7" customWidth="1" min="6" max="6"/>
    <col width="1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</cols>
  <sheetData>
    <row r="1" ht="8" customHeight="1"/>
    <row r="2" ht="36" customHeight="1">
      <c r="B2" s="1" t="inlineStr">
        <is>
          <t>DETALHAMENTO DO CUSTO DE OBRA — POR MACROGRUPO</t>
        </is>
      </c>
    </row>
    <row r="3" ht="24" customHeight="1">
      <c r="B3" s="33" t="inlineStr">
        <is>
          <t>Como os R$ 45.46 milhões  (R$ 3,645/m² AC)  se distribuem entre os 18 macrogrupos ao longo dos 30 meses de obra</t>
        </is>
      </c>
    </row>
    <row r="5">
      <c r="B5" s="12" t="inlineStr">
        <is>
          <t>DE ONDE VEM ESSE CUSTO — METODOLOGIA PARAMÉTRICA V2 HÍBRIDO</t>
        </is>
      </c>
    </row>
    <row r="6" ht="18" customHeight="1">
      <c r="B6" s="21" t="inlineStr">
        <is>
          <t>O custo de obra de R$ 45.46 milhões foi calculado pelo paramétrico V2 Híbrido da Cartesian — metodologia que combina três fontes de dados:
1)  QUANTITATIVOS — extraídos do modelo BIM (IFC) do Arboris: volumes de concreto, área de fôrma, m² de alvenaria, m² de revestimento, kg de aço, unidades de esquadrias, etc. Para o Arboris: 12,473 m² AC, 8.653,8 m³ de concreto (0,694 m³/m²), ~122 mil m² de área de parede, 24 pavimentos.
2)  PUs CALIBRADOS — Preços Unitários (R$/unidade) calibrados contra uma base histórica de 126 projetos Cartesian já executados no litoral SC. A base tem 4.210 PUs cross-projeto e permite ajustar o preço por tipologia, padrão de acabamento e região.
3)  ÍNDICES DERIVADOS — 29 índices que ajustam o custo final conforme o briefing do Arboris: fundação em hélice contínua, laje convencional, padrão médio-alto, fachada cerâmica, 1 subsolo, gerador, piscina aquecida, 2 elevadores.
O resultado é agrupado nos 18 MACROGRUPOS abaixo — estrutura padrão Cartesian para orçamentos paramétricos. Cada macrogrupo representa uma disciplina coerente da obra (ex: 'Supraestrutura' = todo o sistema estrutural em concreto armado; 'Instalações' = hidráulica + elétrica + gás + telecom). Benchmark do segmento Médio (8-15k m² AC): mediana R$ 3.337/m², faixa P25-P75 R$ 2.974-3.710. Arboris em R$ 3,645/m² — levemente acima da mediana, coerente com padrão Médio-Alto.</t>
        </is>
      </c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1">
      <c r="B21" s="12" t="inlineStr">
        <is>
          <t>TABELA INTERATIVA — EDITE OS MESES E A CURVA REDISTRIBUI AUTOMATICAMENTE</t>
        </is>
      </c>
    </row>
    <row r="22" ht="15" customHeight="1">
      <c r="B22" s="34" t="inlineStr">
        <is>
          <t>▸  As colunas LARANJAS são editáveis: altere o R$ Total, Mês início ou Mês fim de qualquer macrogrupo e a distribuição mensal (colunas M1 a M30) recalcula automaticamente via fórmulas.
▸  As células AZUIS na grade mostram visualmente a JANELA ATIVA de cada macrogrupo (efeito Gantt) — quanto mais forte a cor, maior o desembolso daquele macrogrupo naquele mês.
▸  A última linha 'Acumulado %' mostra a CURVA S ao vivo via data bars azuis — dá pra ver quando o projeto atinge 25%, 50%, 75% e 100% do desembolso.
▸  IMPORTANTE: esta tabela é ferramenta de EXPLORAÇÃO visual. Os valores de VPL/TIR/Monte Carlo nas outras abas NÃO são recalculados automaticamente — para propagar mudanças ao modelo financeiro, edite premissas-viabilidade.json e rode o script novamente.</t>
        </is>
      </c>
    </row>
    <row r="23" ht="15" customHeight="1"/>
    <row r="24" ht="15" customHeight="1"/>
    <row r="25" ht="15" customHeight="1"/>
    <row r="26" ht="15" customHeight="1"/>
    <row r="27" ht="26" customHeight="1">
      <c r="B27" s="35" t="inlineStr">
        <is>
          <t>Macrogrupo</t>
        </is>
      </c>
      <c r="C27" s="35" t="inlineStr">
        <is>
          <t>R$ Total</t>
        </is>
      </c>
      <c r="D27" s="35" t="inlineStr">
        <is>
          <t>Mês ini</t>
        </is>
      </c>
      <c r="E27" s="35" t="inlineStr">
        <is>
          <t>Mês fim</t>
        </is>
      </c>
      <c r="F27" s="35" t="inlineStr">
        <is>
          <t>Dur.</t>
        </is>
      </c>
      <c r="G27" s="35" t="inlineStr">
        <is>
          <t>R$/mês</t>
        </is>
      </c>
      <c r="H27" s="36" t="n">
        <v>1</v>
      </c>
      <c r="I27" s="36" t="n">
        <v>2</v>
      </c>
      <c r="J27" s="36" t="n">
        <v>3</v>
      </c>
      <c r="K27" s="36" t="n">
        <v>4</v>
      </c>
      <c r="L27" s="36" t="n">
        <v>5</v>
      </c>
      <c r="M27" s="36" t="n">
        <v>6</v>
      </c>
      <c r="N27" s="36" t="n">
        <v>7</v>
      </c>
      <c r="O27" s="36" t="n">
        <v>8</v>
      </c>
      <c r="P27" s="36" t="n">
        <v>9</v>
      </c>
      <c r="Q27" s="36" t="n">
        <v>10</v>
      </c>
      <c r="R27" s="36" t="n">
        <v>11</v>
      </c>
      <c r="S27" s="36" t="n">
        <v>12</v>
      </c>
      <c r="T27" s="36" t="n">
        <v>13</v>
      </c>
      <c r="U27" s="36" t="n">
        <v>14</v>
      </c>
      <c r="V27" s="36" t="n">
        <v>15</v>
      </c>
      <c r="W27" s="36" t="n">
        <v>16</v>
      </c>
      <c r="X27" s="36" t="n">
        <v>17</v>
      </c>
      <c r="Y27" s="36" t="n">
        <v>18</v>
      </c>
      <c r="Z27" s="36" t="n">
        <v>19</v>
      </c>
      <c r="AA27" s="36" t="n">
        <v>20</v>
      </c>
      <c r="AB27" s="36" t="n">
        <v>21</v>
      </c>
      <c r="AC27" s="36" t="n">
        <v>22</v>
      </c>
      <c r="AD27" s="36" t="n">
        <v>23</v>
      </c>
      <c r="AE27" s="36" t="n">
        <v>24</v>
      </c>
      <c r="AF27" s="36" t="n">
        <v>25</v>
      </c>
      <c r="AG27" s="36" t="n">
        <v>26</v>
      </c>
      <c r="AH27" s="36" t="n">
        <v>27</v>
      </c>
      <c r="AI27" s="36" t="n">
        <v>28</v>
      </c>
      <c r="AJ27" s="36" t="n">
        <v>29</v>
      </c>
      <c r="AK27" s="36" t="n">
        <v>30</v>
      </c>
    </row>
    <row r="28" ht="18" customHeight="1">
      <c r="B28" s="37" t="inlineStr">
        <is>
          <t>Gerenciamento</t>
        </is>
      </c>
      <c r="C28" s="31" t="n">
        <v>4636380</v>
      </c>
      <c r="D28" s="30" t="n">
        <v>1</v>
      </c>
      <c r="E28" s="30" t="n">
        <v>30</v>
      </c>
      <c r="F28" s="38">
        <f>IF(E28&gt;=D28,E28-D28+1,0)</f>
        <v/>
      </c>
      <c r="G28" s="39">
        <f>IF(F28&gt;0,C28/F28,0)</f>
        <v/>
      </c>
      <c r="H28" s="40">
        <f>IF(AND(H$27&gt;=$D28,H$27&lt;=$E28),$G28,0)</f>
        <v/>
      </c>
      <c r="I28" s="40">
        <f>IF(AND(I$27&gt;=$D28,I$27&lt;=$E28),$G28,0)</f>
        <v/>
      </c>
      <c r="J28" s="40">
        <f>IF(AND(J$27&gt;=$D28,J$27&lt;=$E28),$G28,0)</f>
        <v/>
      </c>
      <c r="K28" s="40">
        <f>IF(AND(K$27&gt;=$D28,K$27&lt;=$E28),$G28,0)</f>
        <v/>
      </c>
      <c r="L28" s="40">
        <f>IF(AND(L$27&gt;=$D28,L$27&lt;=$E28),$G28,0)</f>
        <v/>
      </c>
      <c r="M28" s="40">
        <f>IF(AND(M$27&gt;=$D28,M$27&lt;=$E28),$G28,0)</f>
        <v/>
      </c>
      <c r="N28" s="40">
        <f>IF(AND(N$27&gt;=$D28,N$27&lt;=$E28),$G28,0)</f>
        <v/>
      </c>
      <c r="O28" s="40">
        <f>IF(AND(O$27&gt;=$D28,O$27&lt;=$E28),$G28,0)</f>
        <v/>
      </c>
      <c r="P28" s="40">
        <f>IF(AND(P$27&gt;=$D28,P$27&lt;=$E28),$G28,0)</f>
        <v/>
      </c>
      <c r="Q28" s="40">
        <f>IF(AND(Q$27&gt;=$D28,Q$27&lt;=$E28),$G28,0)</f>
        <v/>
      </c>
      <c r="R28" s="40">
        <f>IF(AND(R$27&gt;=$D28,R$27&lt;=$E28),$G28,0)</f>
        <v/>
      </c>
      <c r="S28" s="40">
        <f>IF(AND(S$27&gt;=$D28,S$27&lt;=$E28),$G28,0)</f>
        <v/>
      </c>
      <c r="T28" s="40">
        <f>IF(AND(T$27&gt;=$D28,T$27&lt;=$E28),$G28,0)</f>
        <v/>
      </c>
      <c r="U28" s="40">
        <f>IF(AND(U$27&gt;=$D28,U$27&lt;=$E28),$G28,0)</f>
        <v/>
      </c>
      <c r="V28" s="40">
        <f>IF(AND(V$27&gt;=$D28,V$27&lt;=$E28),$G28,0)</f>
        <v/>
      </c>
      <c r="W28" s="40">
        <f>IF(AND(W$27&gt;=$D28,W$27&lt;=$E28),$G28,0)</f>
        <v/>
      </c>
      <c r="X28" s="40">
        <f>IF(AND(X$27&gt;=$D28,X$27&lt;=$E28),$G28,0)</f>
        <v/>
      </c>
      <c r="Y28" s="40">
        <f>IF(AND(Y$27&gt;=$D28,Y$27&lt;=$E28),$G28,0)</f>
        <v/>
      </c>
      <c r="Z28" s="40">
        <f>IF(AND(Z$27&gt;=$D28,Z$27&lt;=$E28),$G28,0)</f>
        <v/>
      </c>
      <c r="AA28" s="40">
        <f>IF(AND(AA$27&gt;=$D28,AA$27&lt;=$E28),$G28,0)</f>
        <v/>
      </c>
      <c r="AB28" s="40">
        <f>IF(AND(AB$27&gt;=$D28,AB$27&lt;=$E28),$G28,0)</f>
        <v/>
      </c>
      <c r="AC28" s="40">
        <f>IF(AND(AC$27&gt;=$D28,AC$27&lt;=$E28),$G28,0)</f>
        <v/>
      </c>
      <c r="AD28" s="40">
        <f>IF(AND(AD$27&gt;=$D28,AD$27&lt;=$E28),$G28,0)</f>
        <v/>
      </c>
      <c r="AE28" s="40">
        <f>IF(AND(AE$27&gt;=$D28,AE$27&lt;=$E28),$G28,0)</f>
        <v/>
      </c>
      <c r="AF28" s="40">
        <f>IF(AND(AF$27&gt;=$D28,AF$27&lt;=$E28),$G28,0)</f>
        <v/>
      </c>
      <c r="AG28" s="40">
        <f>IF(AND(AG$27&gt;=$D28,AG$27&lt;=$E28),$G28,0)</f>
        <v/>
      </c>
      <c r="AH28" s="40">
        <f>IF(AND(AH$27&gt;=$D28,AH$27&lt;=$E28),$G28,0)</f>
        <v/>
      </c>
      <c r="AI28" s="40">
        <f>IF(AND(AI$27&gt;=$D28,AI$27&lt;=$E28),$G28,0)</f>
        <v/>
      </c>
      <c r="AJ28" s="40">
        <f>IF(AND(AJ$27&gt;=$D28,AJ$27&lt;=$E28),$G28,0)</f>
        <v/>
      </c>
      <c r="AK28" s="40">
        <f>IF(AND(AK$27&gt;=$D28,AK$27&lt;=$E28),$G28,0)</f>
        <v/>
      </c>
    </row>
    <row r="29" ht="18" customHeight="1">
      <c r="B29" s="37" t="inlineStr">
        <is>
          <t>Infraestrutura</t>
        </is>
      </c>
      <c r="C29" s="31" t="n">
        <v>2384313.28</v>
      </c>
      <c r="D29" s="30" t="n">
        <v>1</v>
      </c>
      <c r="E29" s="30" t="n">
        <v>8</v>
      </c>
      <c r="F29" s="38">
        <f>IF(E29&gt;=D29,E29-D29+1,0)</f>
        <v/>
      </c>
      <c r="G29" s="39">
        <f>IF(F29&gt;0,C29/F29,0)</f>
        <v/>
      </c>
      <c r="H29" s="40">
        <f>IF(AND(H$27&gt;=$D29,H$27&lt;=$E29),$G29,0)</f>
        <v/>
      </c>
      <c r="I29" s="40">
        <f>IF(AND(I$27&gt;=$D29,I$27&lt;=$E29),$G29,0)</f>
        <v/>
      </c>
      <c r="J29" s="40">
        <f>IF(AND(J$27&gt;=$D29,J$27&lt;=$E29),$G29,0)</f>
        <v/>
      </c>
      <c r="K29" s="40">
        <f>IF(AND(K$27&gt;=$D29,K$27&lt;=$E29),$G29,0)</f>
        <v/>
      </c>
      <c r="L29" s="40">
        <f>IF(AND(L$27&gt;=$D29,L$27&lt;=$E29),$G29,0)</f>
        <v/>
      </c>
      <c r="M29" s="40">
        <f>IF(AND(M$27&gt;=$D29,M$27&lt;=$E29),$G29,0)</f>
        <v/>
      </c>
      <c r="N29" s="40">
        <f>IF(AND(N$27&gt;=$D29,N$27&lt;=$E29),$G29,0)</f>
        <v/>
      </c>
      <c r="O29" s="40">
        <f>IF(AND(O$27&gt;=$D29,O$27&lt;=$E29),$G29,0)</f>
        <v/>
      </c>
      <c r="P29" s="40">
        <f>IF(AND(P$27&gt;=$D29,P$27&lt;=$E29),$G29,0)</f>
        <v/>
      </c>
      <c r="Q29" s="40">
        <f>IF(AND(Q$27&gt;=$D29,Q$27&lt;=$E29),$G29,0)</f>
        <v/>
      </c>
      <c r="R29" s="40">
        <f>IF(AND(R$27&gt;=$D29,R$27&lt;=$E29),$G29,0)</f>
        <v/>
      </c>
      <c r="S29" s="40">
        <f>IF(AND(S$27&gt;=$D29,S$27&lt;=$E29),$G29,0)</f>
        <v/>
      </c>
      <c r="T29" s="40">
        <f>IF(AND(T$27&gt;=$D29,T$27&lt;=$E29),$G29,0)</f>
        <v/>
      </c>
      <c r="U29" s="40">
        <f>IF(AND(U$27&gt;=$D29,U$27&lt;=$E29),$G29,0)</f>
        <v/>
      </c>
      <c r="V29" s="40">
        <f>IF(AND(V$27&gt;=$D29,V$27&lt;=$E29),$G29,0)</f>
        <v/>
      </c>
      <c r="W29" s="40">
        <f>IF(AND(W$27&gt;=$D29,W$27&lt;=$E29),$G29,0)</f>
        <v/>
      </c>
      <c r="X29" s="40">
        <f>IF(AND(X$27&gt;=$D29,X$27&lt;=$E29),$G29,0)</f>
        <v/>
      </c>
      <c r="Y29" s="40">
        <f>IF(AND(Y$27&gt;=$D29,Y$27&lt;=$E29),$G29,0)</f>
        <v/>
      </c>
      <c r="Z29" s="40">
        <f>IF(AND(Z$27&gt;=$D29,Z$27&lt;=$E29),$G29,0)</f>
        <v/>
      </c>
      <c r="AA29" s="40">
        <f>IF(AND(AA$27&gt;=$D29,AA$27&lt;=$E29),$G29,0)</f>
        <v/>
      </c>
      <c r="AB29" s="40">
        <f>IF(AND(AB$27&gt;=$D29,AB$27&lt;=$E29),$G29,0)</f>
        <v/>
      </c>
      <c r="AC29" s="40">
        <f>IF(AND(AC$27&gt;=$D29,AC$27&lt;=$E29),$G29,0)</f>
        <v/>
      </c>
      <c r="AD29" s="40">
        <f>IF(AND(AD$27&gt;=$D29,AD$27&lt;=$E29),$G29,0)</f>
        <v/>
      </c>
      <c r="AE29" s="40">
        <f>IF(AND(AE$27&gt;=$D29,AE$27&lt;=$E29),$G29,0)</f>
        <v/>
      </c>
      <c r="AF29" s="40">
        <f>IF(AND(AF$27&gt;=$D29,AF$27&lt;=$E29),$G29,0)</f>
        <v/>
      </c>
      <c r="AG29" s="40">
        <f>IF(AND(AG$27&gt;=$D29,AG$27&lt;=$E29),$G29,0)</f>
        <v/>
      </c>
      <c r="AH29" s="40">
        <f>IF(AND(AH$27&gt;=$D29,AH$27&lt;=$E29),$G29,0)</f>
        <v/>
      </c>
      <c r="AI29" s="40">
        <f>IF(AND(AI$27&gt;=$D29,AI$27&lt;=$E29),$G29,0)</f>
        <v/>
      </c>
      <c r="AJ29" s="40">
        <f>IF(AND(AJ$27&gt;=$D29,AJ$27&lt;=$E29),$G29,0)</f>
        <v/>
      </c>
      <c r="AK29" s="40">
        <f>IF(AND(AK$27&gt;=$D29,AK$27&lt;=$E29),$G29,0)</f>
        <v/>
      </c>
    </row>
    <row r="30" ht="18" customHeight="1">
      <c r="B30" s="37" t="inlineStr">
        <is>
          <t>Imprevistos</t>
        </is>
      </c>
      <c r="C30" s="31" t="n">
        <v>671830</v>
      </c>
      <c r="D30" s="30" t="n">
        <v>1</v>
      </c>
      <c r="E30" s="30" t="n">
        <v>30</v>
      </c>
      <c r="F30" s="38">
        <f>IF(E30&gt;=D30,E30-D30+1,0)</f>
        <v/>
      </c>
      <c r="G30" s="39">
        <f>IF(F30&gt;0,C30/F30,0)</f>
        <v/>
      </c>
      <c r="H30" s="40">
        <f>IF(AND(H$27&gt;=$D30,H$27&lt;=$E30),$G30,0)</f>
        <v/>
      </c>
      <c r="I30" s="40">
        <f>IF(AND(I$27&gt;=$D30,I$27&lt;=$E30),$G30,0)</f>
        <v/>
      </c>
      <c r="J30" s="40">
        <f>IF(AND(J$27&gt;=$D30,J$27&lt;=$E30),$G30,0)</f>
        <v/>
      </c>
      <c r="K30" s="40">
        <f>IF(AND(K$27&gt;=$D30,K$27&lt;=$E30),$G30,0)</f>
        <v/>
      </c>
      <c r="L30" s="40">
        <f>IF(AND(L$27&gt;=$D30,L$27&lt;=$E30),$G30,0)</f>
        <v/>
      </c>
      <c r="M30" s="40">
        <f>IF(AND(M$27&gt;=$D30,M$27&lt;=$E30),$G30,0)</f>
        <v/>
      </c>
      <c r="N30" s="40">
        <f>IF(AND(N$27&gt;=$D30,N$27&lt;=$E30),$G30,0)</f>
        <v/>
      </c>
      <c r="O30" s="40">
        <f>IF(AND(O$27&gt;=$D30,O$27&lt;=$E30),$G30,0)</f>
        <v/>
      </c>
      <c r="P30" s="40">
        <f>IF(AND(P$27&gt;=$D30,P$27&lt;=$E30),$G30,0)</f>
        <v/>
      </c>
      <c r="Q30" s="40">
        <f>IF(AND(Q$27&gt;=$D30,Q$27&lt;=$E30),$G30,0)</f>
        <v/>
      </c>
      <c r="R30" s="40">
        <f>IF(AND(R$27&gt;=$D30,R$27&lt;=$E30),$G30,0)</f>
        <v/>
      </c>
      <c r="S30" s="40">
        <f>IF(AND(S$27&gt;=$D30,S$27&lt;=$E30),$G30,0)</f>
        <v/>
      </c>
      <c r="T30" s="40">
        <f>IF(AND(T$27&gt;=$D30,T$27&lt;=$E30),$G30,0)</f>
        <v/>
      </c>
      <c r="U30" s="40">
        <f>IF(AND(U$27&gt;=$D30,U$27&lt;=$E30),$G30,0)</f>
        <v/>
      </c>
      <c r="V30" s="40">
        <f>IF(AND(V$27&gt;=$D30,V$27&lt;=$E30),$G30,0)</f>
        <v/>
      </c>
      <c r="W30" s="40">
        <f>IF(AND(W$27&gt;=$D30,W$27&lt;=$E30),$G30,0)</f>
        <v/>
      </c>
      <c r="X30" s="40">
        <f>IF(AND(X$27&gt;=$D30,X$27&lt;=$E30),$G30,0)</f>
        <v/>
      </c>
      <c r="Y30" s="40">
        <f>IF(AND(Y$27&gt;=$D30,Y$27&lt;=$E30),$G30,0)</f>
        <v/>
      </c>
      <c r="Z30" s="40">
        <f>IF(AND(Z$27&gt;=$D30,Z$27&lt;=$E30),$G30,0)</f>
        <v/>
      </c>
      <c r="AA30" s="40">
        <f>IF(AND(AA$27&gt;=$D30,AA$27&lt;=$E30),$G30,0)</f>
        <v/>
      </c>
      <c r="AB30" s="40">
        <f>IF(AND(AB$27&gt;=$D30,AB$27&lt;=$E30),$G30,0)</f>
        <v/>
      </c>
      <c r="AC30" s="40">
        <f>IF(AND(AC$27&gt;=$D30,AC$27&lt;=$E30),$G30,0)</f>
        <v/>
      </c>
      <c r="AD30" s="40">
        <f>IF(AND(AD$27&gt;=$D30,AD$27&lt;=$E30),$G30,0)</f>
        <v/>
      </c>
      <c r="AE30" s="40">
        <f>IF(AND(AE$27&gt;=$D30,AE$27&lt;=$E30),$G30,0)</f>
        <v/>
      </c>
      <c r="AF30" s="40">
        <f>IF(AND(AF$27&gt;=$D30,AF$27&lt;=$E30),$G30,0)</f>
        <v/>
      </c>
      <c r="AG30" s="40">
        <f>IF(AND(AG$27&gt;=$D30,AG$27&lt;=$E30),$G30,0)</f>
        <v/>
      </c>
      <c r="AH30" s="40">
        <f>IF(AND(AH$27&gt;=$D30,AH$27&lt;=$E30),$G30,0)</f>
        <v/>
      </c>
      <c r="AI30" s="40">
        <f>IF(AND(AI$27&gt;=$D30,AI$27&lt;=$E30),$G30,0)</f>
        <v/>
      </c>
      <c r="AJ30" s="40">
        <f>IF(AND(AJ$27&gt;=$D30,AJ$27&lt;=$E30),$G30,0)</f>
        <v/>
      </c>
      <c r="AK30" s="40">
        <f>IF(AND(AK$27&gt;=$D30,AK$27&lt;=$E30),$G30,0)</f>
        <v/>
      </c>
    </row>
    <row r="31" ht="18" customHeight="1">
      <c r="B31" s="37" t="inlineStr">
        <is>
          <t>Mov. Terra</t>
        </is>
      </c>
      <c r="C31" s="31" t="n">
        <v>399135.36</v>
      </c>
      <c r="D31" s="30" t="n">
        <v>1</v>
      </c>
      <c r="E31" s="30" t="n">
        <v>3</v>
      </c>
      <c r="F31" s="38">
        <f>IF(E31&gt;=D31,E31-D31+1,0)</f>
        <v/>
      </c>
      <c r="G31" s="39">
        <f>IF(F31&gt;0,C31/F31,0)</f>
        <v/>
      </c>
      <c r="H31" s="40">
        <f>IF(AND(H$27&gt;=$D31,H$27&lt;=$E31),$G31,0)</f>
        <v/>
      </c>
      <c r="I31" s="40">
        <f>IF(AND(I$27&gt;=$D31,I$27&lt;=$E31),$G31,0)</f>
        <v/>
      </c>
      <c r="J31" s="40">
        <f>IF(AND(J$27&gt;=$D31,J$27&lt;=$E31),$G31,0)</f>
        <v/>
      </c>
      <c r="K31" s="40">
        <f>IF(AND(K$27&gt;=$D31,K$27&lt;=$E31),$G31,0)</f>
        <v/>
      </c>
      <c r="L31" s="40">
        <f>IF(AND(L$27&gt;=$D31,L$27&lt;=$E31),$G31,0)</f>
        <v/>
      </c>
      <c r="M31" s="40">
        <f>IF(AND(M$27&gt;=$D31,M$27&lt;=$E31),$G31,0)</f>
        <v/>
      </c>
      <c r="N31" s="40">
        <f>IF(AND(N$27&gt;=$D31,N$27&lt;=$E31),$G31,0)</f>
        <v/>
      </c>
      <c r="O31" s="40">
        <f>IF(AND(O$27&gt;=$D31,O$27&lt;=$E31),$G31,0)</f>
        <v/>
      </c>
      <c r="P31" s="40">
        <f>IF(AND(P$27&gt;=$D31,P$27&lt;=$E31),$G31,0)</f>
        <v/>
      </c>
      <c r="Q31" s="40">
        <f>IF(AND(Q$27&gt;=$D31,Q$27&lt;=$E31),$G31,0)</f>
        <v/>
      </c>
      <c r="R31" s="40">
        <f>IF(AND(R$27&gt;=$D31,R$27&lt;=$E31),$G31,0)</f>
        <v/>
      </c>
      <c r="S31" s="40">
        <f>IF(AND(S$27&gt;=$D31,S$27&lt;=$E31),$G31,0)</f>
        <v/>
      </c>
      <c r="T31" s="40">
        <f>IF(AND(T$27&gt;=$D31,T$27&lt;=$E31),$G31,0)</f>
        <v/>
      </c>
      <c r="U31" s="40">
        <f>IF(AND(U$27&gt;=$D31,U$27&lt;=$E31),$G31,0)</f>
        <v/>
      </c>
      <c r="V31" s="40">
        <f>IF(AND(V$27&gt;=$D31,V$27&lt;=$E31),$G31,0)</f>
        <v/>
      </c>
      <c r="W31" s="40">
        <f>IF(AND(W$27&gt;=$D31,W$27&lt;=$E31),$G31,0)</f>
        <v/>
      </c>
      <c r="X31" s="40">
        <f>IF(AND(X$27&gt;=$D31,X$27&lt;=$E31),$G31,0)</f>
        <v/>
      </c>
      <c r="Y31" s="40">
        <f>IF(AND(Y$27&gt;=$D31,Y$27&lt;=$E31),$G31,0)</f>
        <v/>
      </c>
      <c r="Z31" s="40">
        <f>IF(AND(Z$27&gt;=$D31,Z$27&lt;=$E31),$G31,0)</f>
        <v/>
      </c>
      <c r="AA31" s="40">
        <f>IF(AND(AA$27&gt;=$D31,AA$27&lt;=$E31),$G31,0)</f>
        <v/>
      </c>
      <c r="AB31" s="40">
        <f>IF(AND(AB$27&gt;=$D31,AB$27&lt;=$E31),$G31,0)</f>
        <v/>
      </c>
      <c r="AC31" s="40">
        <f>IF(AND(AC$27&gt;=$D31,AC$27&lt;=$E31),$G31,0)</f>
        <v/>
      </c>
      <c r="AD31" s="40">
        <f>IF(AND(AD$27&gt;=$D31,AD$27&lt;=$E31),$G31,0)</f>
        <v/>
      </c>
      <c r="AE31" s="40">
        <f>IF(AND(AE$27&gt;=$D31,AE$27&lt;=$E31),$G31,0)</f>
        <v/>
      </c>
      <c r="AF31" s="40">
        <f>IF(AND(AF$27&gt;=$D31,AF$27&lt;=$E31),$G31,0)</f>
        <v/>
      </c>
      <c r="AG31" s="40">
        <f>IF(AND(AG$27&gt;=$D31,AG$27&lt;=$E31),$G31,0)</f>
        <v/>
      </c>
      <c r="AH31" s="40">
        <f>IF(AND(AH$27&gt;=$D31,AH$27&lt;=$E31),$G31,0)</f>
        <v/>
      </c>
      <c r="AI31" s="40">
        <f>IF(AND(AI$27&gt;=$D31,AI$27&lt;=$E31),$G31,0)</f>
        <v/>
      </c>
      <c r="AJ31" s="40">
        <f>IF(AND(AJ$27&gt;=$D31,AJ$27&lt;=$E31),$G31,0)</f>
        <v/>
      </c>
      <c r="AK31" s="40">
        <f>IF(AND(AK$27&gt;=$D31,AK$27&lt;=$E31),$G31,0)</f>
        <v/>
      </c>
    </row>
    <row r="32" ht="18" customHeight="1">
      <c r="B32" s="37" t="inlineStr">
        <is>
          <t>Supraestrutura</t>
        </is>
      </c>
      <c r="C32" s="31" t="n">
        <v>9800049.017199999</v>
      </c>
      <c r="D32" s="30" t="n">
        <v>3</v>
      </c>
      <c r="E32" s="30" t="n">
        <v>18</v>
      </c>
      <c r="F32" s="38">
        <f>IF(E32&gt;=D32,E32-D32+1,0)</f>
        <v/>
      </c>
      <c r="G32" s="39">
        <f>IF(F32&gt;0,C32/F32,0)</f>
        <v/>
      </c>
      <c r="H32" s="40">
        <f>IF(AND(H$27&gt;=$D32,H$27&lt;=$E32),$G32,0)</f>
        <v/>
      </c>
      <c r="I32" s="40">
        <f>IF(AND(I$27&gt;=$D32,I$27&lt;=$E32),$G32,0)</f>
        <v/>
      </c>
      <c r="J32" s="40">
        <f>IF(AND(J$27&gt;=$D32,J$27&lt;=$E32),$G32,0)</f>
        <v/>
      </c>
      <c r="K32" s="40">
        <f>IF(AND(K$27&gt;=$D32,K$27&lt;=$E32),$G32,0)</f>
        <v/>
      </c>
      <c r="L32" s="40">
        <f>IF(AND(L$27&gt;=$D32,L$27&lt;=$E32),$G32,0)</f>
        <v/>
      </c>
      <c r="M32" s="40">
        <f>IF(AND(M$27&gt;=$D32,M$27&lt;=$E32),$G32,0)</f>
        <v/>
      </c>
      <c r="N32" s="40">
        <f>IF(AND(N$27&gt;=$D32,N$27&lt;=$E32),$G32,0)</f>
        <v/>
      </c>
      <c r="O32" s="40">
        <f>IF(AND(O$27&gt;=$D32,O$27&lt;=$E32),$G32,0)</f>
        <v/>
      </c>
      <c r="P32" s="40">
        <f>IF(AND(P$27&gt;=$D32,P$27&lt;=$E32),$G32,0)</f>
        <v/>
      </c>
      <c r="Q32" s="40">
        <f>IF(AND(Q$27&gt;=$D32,Q$27&lt;=$E32),$G32,0)</f>
        <v/>
      </c>
      <c r="R32" s="40">
        <f>IF(AND(R$27&gt;=$D32,R$27&lt;=$E32),$G32,0)</f>
        <v/>
      </c>
      <c r="S32" s="40">
        <f>IF(AND(S$27&gt;=$D32,S$27&lt;=$E32),$G32,0)</f>
        <v/>
      </c>
      <c r="T32" s="40">
        <f>IF(AND(T$27&gt;=$D32,T$27&lt;=$E32),$G32,0)</f>
        <v/>
      </c>
      <c r="U32" s="40">
        <f>IF(AND(U$27&gt;=$D32,U$27&lt;=$E32),$G32,0)</f>
        <v/>
      </c>
      <c r="V32" s="40">
        <f>IF(AND(V$27&gt;=$D32,V$27&lt;=$E32),$G32,0)</f>
        <v/>
      </c>
      <c r="W32" s="40">
        <f>IF(AND(W$27&gt;=$D32,W$27&lt;=$E32),$G32,0)</f>
        <v/>
      </c>
      <c r="X32" s="40">
        <f>IF(AND(X$27&gt;=$D32,X$27&lt;=$E32),$G32,0)</f>
        <v/>
      </c>
      <c r="Y32" s="40">
        <f>IF(AND(Y$27&gt;=$D32,Y$27&lt;=$E32),$G32,0)</f>
        <v/>
      </c>
      <c r="Z32" s="40">
        <f>IF(AND(Z$27&gt;=$D32,Z$27&lt;=$E32),$G32,0)</f>
        <v/>
      </c>
      <c r="AA32" s="40">
        <f>IF(AND(AA$27&gt;=$D32,AA$27&lt;=$E32),$G32,0)</f>
        <v/>
      </c>
      <c r="AB32" s="40">
        <f>IF(AND(AB$27&gt;=$D32,AB$27&lt;=$E32),$G32,0)</f>
        <v/>
      </c>
      <c r="AC32" s="40">
        <f>IF(AND(AC$27&gt;=$D32,AC$27&lt;=$E32),$G32,0)</f>
        <v/>
      </c>
      <c r="AD32" s="40">
        <f>IF(AND(AD$27&gt;=$D32,AD$27&lt;=$E32),$G32,0)</f>
        <v/>
      </c>
      <c r="AE32" s="40">
        <f>IF(AND(AE$27&gt;=$D32,AE$27&lt;=$E32),$G32,0)</f>
        <v/>
      </c>
      <c r="AF32" s="40">
        <f>IF(AND(AF$27&gt;=$D32,AF$27&lt;=$E32),$G32,0)</f>
        <v/>
      </c>
      <c r="AG32" s="40">
        <f>IF(AND(AG$27&gt;=$D32,AG$27&lt;=$E32),$G32,0)</f>
        <v/>
      </c>
      <c r="AH32" s="40">
        <f>IF(AND(AH$27&gt;=$D32,AH$27&lt;=$E32),$G32,0)</f>
        <v/>
      </c>
      <c r="AI32" s="40">
        <f>IF(AND(AI$27&gt;=$D32,AI$27&lt;=$E32),$G32,0)</f>
        <v/>
      </c>
      <c r="AJ32" s="40">
        <f>IF(AND(AJ$27&gt;=$D32,AJ$27&lt;=$E32),$G32,0)</f>
        <v/>
      </c>
      <c r="AK32" s="40">
        <f>IF(AND(AK$27&gt;=$D32,AK$27&lt;=$E32),$G32,0)</f>
        <v/>
      </c>
    </row>
    <row r="33" ht="18" customHeight="1">
      <c r="B33" s="37" t="inlineStr">
        <is>
          <t>Impermeabilização</t>
        </is>
      </c>
      <c r="C33" s="31" t="n">
        <v>997599.34</v>
      </c>
      <c r="D33" s="30" t="n">
        <v>5</v>
      </c>
      <c r="E33" s="30" t="n">
        <v>25</v>
      </c>
      <c r="F33" s="38">
        <f>IF(E33&gt;=D33,E33-D33+1,0)</f>
        <v/>
      </c>
      <c r="G33" s="39">
        <f>IF(F33&gt;0,C33/F33,0)</f>
        <v/>
      </c>
      <c r="H33" s="40">
        <f>IF(AND(H$27&gt;=$D33,H$27&lt;=$E33),$G33,0)</f>
        <v/>
      </c>
      <c r="I33" s="40">
        <f>IF(AND(I$27&gt;=$D33,I$27&lt;=$E33),$G33,0)</f>
        <v/>
      </c>
      <c r="J33" s="40">
        <f>IF(AND(J$27&gt;=$D33,J$27&lt;=$E33),$G33,0)</f>
        <v/>
      </c>
      <c r="K33" s="40">
        <f>IF(AND(K$27&gt;=$D33,K$27&lt;=$E33),$G33,0)</f>
        <v/>
      </c>
      <c r="L33" s="40">
        <f>IF(AND(L$27&gt;=$D33,L$27&lt;=$E33),$G33,0)</f>
        <v/>
      </c>
      <c r="M33" s="40">
        <f>IF(AND(M$27&gt;=$D33,M$27&lt;=$E33),$G33,0)</f>
        <v/>
      </c>
      <c r="N33" s="40">
        <f>IF(AND(N$27&gt;=$D33,N$27&lt;=$E33),$G33,0)</f>
        <v/>
      </c>
      <c r="O33" s="40">
        <f>IF(AND(O$27&gt;=$D33,O$27&lt;=$E33),$G33,0)</f>
        <v/>
      </c>
      <c r="P33" s="40">
        <f>IF(AND(P$27&gt;=$D33,P$27&lt;=$E33),$G33,0)</f>
        <v/>
      </c>
      <c r="Q33" s="40">
        <f>IF(AND(Q$27&gt;=$D33,Q$27&lt;=$E33),$G33,0)</f>
        <v/>
      </c>
      <c r="R33" s="40">
        <f>IF(AND(R$27&gt;=$D33,R$27&lt;=$E33),$G33,0)</f>
        <v/>
      </c>
      <c r="S33" s="40">
        <f>IF(AND(S$27&gt;=$D33,S$27&lt;=$E33),$G33,0)</f>
        <v/>
      </c>
      <c r="T33" s="40">
        <f>IF(AND(T$27&gt;=$D33,T$27&lt;=$E33),$G33,0)</f>
        <v/>
      </c>
      <c r="U33" s="40">
        <f>IF(AND(U$27&gt;=$D33,U$27&lt;=$E33),$G33,0)</f>
        <v/>
      </c>
      <c r="V33" s="40">
        <f>IF(AND(V$27&gt;=$D33,V$27&lt;=$E33),$G33,0)</f>
        <v/>
      </c>
      <c r="W33" s="40">
        <f>IF(AND(W$27&gt;=$D33,W$27&lt;=$E33),$G33,0)</f>
        <v/>
      </c>
      <c r="X33" s="40">
        <f>IF(AND(X$27&gt;=$D33,X$27&lt;=$E33),$G33,0)</f>
        <v/>
      </c>
      <c r="Y33" s="40">
        <f>IF(AND(Y$27&gt;=$D33,Y$27&lt;=$E33),$G33,0)</f>
        <v/>
      </c>
      <c r="Z33" s="40">
        <f>IF(AND(Z$27&gt;=$D33,Z$27&lt;=$E33),$G33,0)</f>
        <v/>
      </c>
      <c r="AA33" s="40">
        <f>IF(AND(AA$27&gt;=$D33,AA$27&lt;=$E33),$G33,0)</f>
        <v/>
      </c>
      <c r="AB33" s="40">
        <f>IF(AND(AB$27&gt;=$D33,AB$27&lt;=$E33),$G33,0)</f>
        <v/>
      </c>
      <c r="AC33" s="40">
        <f>IF(AND(AC$27&gt;=$D33,AC$27&lt;=$E33),$G33,0)</f>
        <v/>
      </c>
      <c r="AD33" s="40">
        <f>IF(AND(AD$27&gt;=$D33,AD$27&lt;=$E33),$G33,0)</f>
        <v/>
      </c>
      <c r="AE33" s="40">
        <f>IF(AND(AE$27&gt;=$D33,AE$27&lt;=$E33),$G33,0)</f>
        <v/>
      </c>
      <c r="AF33" s="40">
        <f>IF(AND(AF$27&gt;=$D33,AF$27&lt;=$E33),$G33,0)</f>
        <v/>
      </c>
      <c r="AG33" s="40">
        <f>IF(AND(AG$27&gt;=$D33,AG$27&lt;=$E33),$G33,0)</f>
        <v/>
      </c>
      <c r="AH33" s="40">
        <f>IF(AND(AH$27&gt;=$D33,AH$27&lt;=$E33),$G33,0)</f>
        <v/>
      </c>
      <c r="AI33" s="40">
        <f>IF(AND(AI$27&gt;=$D33,AI$27&lt;=$E33),$G33,0)</f>
        <v/>
      </c>
      <c r="AJ33" s="40">
        <f>IF(AND(AJ$27&gt;=$D33,AJ$27&lt;=$E33),$G33,0)</f>
        <v/>
      </c>
      <c r="AK33" s="40">
        <f>IF(AND(AK$27&gt;=$D33,AK$27&lt;=$E33),$G33,0)</f>
        <v/>
      </c>
    </row>
    <row r="34" ht="18" customHeight="1">
      <c r="B34" s="37" t="inlineStr">
        <is>
          <t>Alvenaria</t>
        </is>
      </c>
      <c r="C34" s="31" t="n">
        <v>2264767.5</v>
      </c>
      <c r="D34" s="30" t="n">
        <v>8</v>
      </c>
      <c r="E34" s="30" t="n">
        <v>22</v>
      </c>
      <c r="F34" s="38">
        <f>IF(E34&gt;=D34,E34-D34+1,0)</f>
        <v/>
      </c>
      <c r="G34" s="39">
        <f>IF(F34&gt;0,C34/F34,0)</f>
        <v/>
      </c>
      <c r="H34" s="40">
        <f>IF(AND(H$27&gt;=$D34,H$27&lt;=$E34),$G34,0)</f>
        <v/>
      </c>
      <c r="I34" s="40">
        <f>IF(AND(I$27&gt;=$D34,I$27&lt;=$E34),$G34,0)</f>
        <v/>
      </c>
      <c r="J34" s="40">
        <f>IF(AND(J$27&gt;=$D34,J$27&lt;=$E34),$G34,0)</f>
        <v/>
      </c>
      <c r="K34" s="40">
        <f>IF(AND(K$27&gt;=$D34,K$27&lt;=$E34),$G34,0)</f>
        <v/>
      </c>
      <c r="L34" s="40">
        <f>IF(AND(L$27&gt;=$D34,L$27&lt;=$E34),$G34,0)</f>
        <v/>
      </c>
      <c r="M34" s="40">
        <f>IF(AND(M$27&gt;=$D34,M$27&lt;=$E34),$G34,0)</f>
        <v/>
      </c>
      <c r="N34" s="40">
        <f>IF(AND(N$27&gt;=$D34,N$27&lt;=$E34),$G34,0)</f>
        <v/>
      </c>
      <c r="O34" s="40">
        <f>IF(AND(O$27&gt;=$D34,O$27&lt;=$E34),$G34,0)</f>
        <v/>
      </c>
      <c r="P34" s="40">
        <f>IF(AND(P$27&gt;=$D34,P$27&lt;=$E34),$G34,0)</f>
        <v/>
      </c>
      <c r="Q34" s="40">
        <f>IF(AND(Q$27&gt;=$D34,Q$27&lt;=$E34),$G34,0)</f>
        <v/>
      </c>
      <c r="R34" s="40">
        <f>IF(AND(R$27&gt;=$D34,R$27&lt;=$E34),$G34,0)</f>
        <v/>
      </c>
      <c r="S34" s="40">
        <f>IF(AND(S$27&gt;=$D34,S$27&lt;=$E34),$G34,0)</f>
        <v/>
      </c>
      <c r="T34" s="40">
        <f>IF(AND(T$27&gt;=$D34,T$27&lt;=$E34),$G34,0)</f>
        <v/>
      </c>
      <c r="U34" s="40">
        <f>IF(AND(U$27&gt;=$D34,U$27&lt;=$E34),$G34,0)</f>
        <v/>
      </c>
      <c r="V34" s="40">
        <f>IF(AND(V$27&gt;=$D34,V$27&lt;=$E34),$G34,0)</f>
        <v/>
      </c>
      <c r="W34" s="40">
        <f>IF(AND(W$27&gt;=$D34,W$27&lt;=$E34),$G34,0)</f>
        <v/>
      </c>
      <c r="X34" s="40">
        <f>IF(AND(X$27&gt;=$D34,X$27&lt;=$E34),$G34,0)</f>
        <v/>
      </c>
      <c r="Y34" s="40">
        <f>IF(AND(Y$27&gt;=$D34,Y$27&lt;=$E34),$G34,0)</f>
        <v/>
      </c>
      <c r="Z34" s="40">
        <f>IF(AND(Z$27&gt;=$D34,Z$27&lt;=$E34),$G34,0)</f>
        <v/>
      </c>
      <c r="AA34" s="40">
        <f>IF(AND(AA$27&gt;=$D34,AA$27&lt;=$E34),$G34,0)</f>
        <v/>
      </c>
      <c r="AB34" s="40">
        <f>IF(AND(AB$27&gt;=$D34,AB$27&lt;=$E34),$G34,0)</f>
        <v/>
      </c>
      <c r="AC34" s="40">
        <f>IF(AND(AC$27&gt;=$D34,AC$27&lt;=$E34),$G34,0)</f>
        <v/>
      </c>
      <c r="AD34" s="40">
        <f>IF(AND(AD$27&gt;=$D34,AD$27&lt;=$E34),$G34,0)</f>
        <v/>
      </c>
      <c r="AE34" s="40">
        <f>IF(AND(AE$27&gt;=$D34,AE$27&lt;=$E34),$G34,0)</f>
        <v/>
      </c>
      <c r="AF34" s="40">
        <f>IF(AND(AF$27&gt;=$D34,AF$27&lt;=$E34),$G34,0)</f>
        <v/>
      </c>
      <c r="AG34" s="40">
        <f>IF(AND(AG$27&gt;=$D34,AG$27&lt;=$E34),$G34,0)</f>
        <v/>
      </c>
      <c r="AH34" s="40">
        <f>IF(AND(AH$27&gt;=$D34,AH$27&lt;=$E34),$G34,0)</f>
        <v/>
      </c>
      <c r="AI34" s="40">
        <f>IF(AND(AI$27&gt;=$D34,AI$27&lt;=$E34),$G34,0)</f>
        <v/>
      </c>
      <c r="AJ34" s="40">
        <f>IF(AND(AJ$27&gt;=$D34,AJ$27&lt;=$E34),$G34,0)</f>
        <v/>
      </c>
      <c r="AK34" s="40">
        <f>IF(AND(AK$27&gt;=$D34,AK$27&lt;=$E34),$G34,0)</f>
        <v/>
      </c>
    </row>
    <row r="35" ht="18" customHeight="1">
      <c r="B35" s="37" t="inlineStr">
        <is>
          <t>Instalações</t>
        </is>
      </c>
      <c r="C35" s="31" t="n">
        <v>4918220.743799999</v>
      </c>
      <c r="D35" s="30" t="n">
        <v>10</v>
      </c>
      <c r="E35" s="30" t="n">
        <v>28</v>
      </c>
      <c r="F35" s="38">
        <f>IF(E35&gt;=D35,E35-D35+1,0)</f>
        <v/>
      </c>
      <c r="G35" s="39">
        <f>IF(F35&gt;0,C35/F35,0)</f>
        <v/>
      </c>
      <c r="H35" s="40">
        <f>IF(AND(H$27&gt;=$D35,H$27&lt;=$E35),$G35,0)</f>
        <v/>
      </c>
      <c r="I35" s="40">
        <f>IF(AND(I$27&gt;=$D35,I$27&lt;=$E35),$G35,0)</f>
        <v/>
      </c>
      <c r="J35" s="40">
        <f>IF(AND(J$27&gt;=$D35,J$27&lt;=$E35),$G35,0)</f>
        <v/>
      </c>
      <c r="K35" s="40">
        <f>IF(AND(K$27&gt;=$D35,K$27&lt;=$E35),$G35,0)</f>
        <v/>
      </c>
      <c r="L35" s="40">
        <f>IF(AND(L$27&gt;=$D35,L$27&lt;=$E35),$G35,0)</f>
        <v/>
      </c>
      <c r="M35" s="40">
        <f>IF(AND(M$27&gt;=$D35,M$27&lt;=$E35),$G35,0)</f>
        <v/>
      </c>
      <c r="N35" s="40">
        <f>IF(AND(N$27&gt;=$D35,N$27&lt;=$E35),$G35,0)</f>
        <v/>
      </c>
      <c r="O35" s="40">
        <f>IF(AND(O$27&gt;=$D35,O$27&lt;=$E35),$G35,0)</f>
        <v/>
      </c>
      <c r="P35" s="40">
        <f>IF(AND(P$27&gt;=$D35,P$27&lt;=$E35),$G35,0)</f>
        <v/>
      </c>
      <c r="Q35" s="40">
        <f>IF(AND(Q$27&gt;=$D35,Q$27&lt;=$E35),$G35,0)</f>
        <v/>
      </c>
      <c r="R35" s="40">
        <f>IF(AND(R$27&gt;=$D35,R$27&lt;=$E35),$G35,0)</f>
        <v/>
      </c>
      <c r="S35" s="40">
        <f>IF(AND(S$27&gt;=$D35,S$27&lt;=$E35),$G35,0)</f>
        <v/>
      </c>
      <c r="T35" s="40">
        <f>IF(AND(T$27&gt;=$D35,T$27&lt;=$E35),$G35,0)</f>
        <v/>
      </c>
      <c r="U35" s="40">
        <f>IF(AND(U$27&gt;=$D35,U$27&lt;=$E35),$G35,0)</f>
        <v/>
      </c>
      <c r="V35" s="40">
        <f>IF(AND(V$27&gt;=$D35,V$27&lt;=$E35),$G35,0)</f>
        <v/>
      </c>
      <c r="W35" s="40">
        <f>IF(AND(W$27&gt;=$D35,W$27&lt;=$E35),$G35,0)</f>
        <v/>
      </c>
      <c r="X35" s="40">
        <f>IF(AND(X$27&gt;=$D35,X$27&lt;=$E35),$G35,0)</f>
        <v/>
      </c>
      <c r="Y35" s="40">
        <f>IF(AND(Y$27&gt;=$D35,Y$27&lt;=$E35),$G35,0)</f>
        <v/>
      </c>
      <c r="Z35" s="40">
        <f>IF(AND(Z$27&gt;=$D35,Z$27&lt;=$E35),$G35,0)</f>
        <v/>
      </c>
      <c r="AA35" s="40">
        <f>IF(AND(AA$27&gt;=$D35,AA$27&lt;=$E35),$G35,0)</f>
        <v/>
      </c>
      <c r="AB35" s="40">
        <f>IF(AND(AB$27&gt;=$D35,AB$27&lt;=$E35),$G35,0)</f>
        <v/>
      </c>
      <c r="AC35" s="40">
        <f>IF(AND(AC$27&gt;=$D35,AC$27&lt;=$E35),$G35,0)</f>
        <v/>
      </c>
      <c r="AD35" s="40">
        <f>IF(AND(AD$27&gt;=$D35,AD$27&lt;=$E35),$G35,0)</f>
        <v/>
      </c>
      <c r="AE35" s="40">
        <f>IF(AND(AE$27&gt;=$D35,AE$27&lt;=$E35),$G35,0)</f>
        <v/>
      </c>
      <c r="AF35" s="40">
        <f>IF(AND(AF$27&gt;=$D35,AF$27&lt;=$E35),$G35,0)</f>
        <v/>
      </c>
      <c r="AG35" s="40">
        <f>IF(AND(AG$27&gt;=$D35,AG$27&lt;=$E35),$G35,0)</f>
        <v/>
      </c>
      <c r="AH35" s="40">
        <f>IF(AND(AH$27&gt;=$D35,AH$27&lt;=$E35),$G35,0)</f>
        <v/>
      </c>
      <c r="AI35" s="40">
        <f>IF(AND(AI$27&gt;=$D35,AI$27&lt;=$E35),$G35,0)</f>
        <v/>
      </c>
      <c r="AJ35" s="40">
        <f>IF(AND(AJ$27&gt;=$D35,AJ$27&lt;=$E35),$G35,0)</f>
        <v/>
      </c>
      <c r="AK35" s="40">
        <f>IF(AND(AK$27&gt;=$D35,AK$27&lt;=$E35),$G35,0)</f>
        <v/>
      </c>
    </row>
    <row r="36" ht="18" customHeight="1">
      <c r="B36" s="37" t="inlineStr">
        <is>
          <t>Fachada</t>
        </is>
      </c>
      <c r="C36" s="31" t="n">
        <v>4504589</v>
      </c>
      <c r="D36" s="30" t="n">
        <v>15</v>
      </c>
      <c r="E36" s="30" t="n">
        <v>27</v>
      </c>
      <c r="F36" s="38">
        <f>IF(E36&gt;=D36,E36-D36+1,0)</f>
        <v/>
      </c>
      <c r="G36" s="39">
        <f>IF(F36&gt;0,C36/F36,0)</f>
        <v/>
      </c>
      <c r="H36" s="40">
        <f>IF(AND(H$27&gt;=$D36,H$27&lt;=$E36),$G36,0)</f>
        <v/>
      </c>
      <c r="I36" s="40">
        <f>IF(AND(I$27&gt;=$D36,I$27&lt;=$E36),$G36,0)</f>
        <v/>
      </c>
      <c r="J36" s="40">
        <f>IF(AND(J$27&gt;=$D36,J$27&lt;=$E36),$G36,0)</f>
        <v/>
      </c>
      <c r="K36" s="40">
        <f>IF(AND(K$27&gt;=$D36,K$27&lt;=$E36),$G36,0)</f>
        <v/>
      </c>
      <c r="L36" s="40">
        <f>IF(AND(L$27&gt;=$D36,L$27&lt;=$E36),$G36,0)</f>
        <v/>
      </c>
      <c r="M36" s="40">
        <f>IF(AND(M$27&gt;=$D36,M$27&lt;=$E36),$G36,0)</f>
        <v/>
      </c>
      <c r="N36" s="40">
        <f>IF(AND(N$27&gt;=$D36,N$27&lt;=$E36),$G36,0)</f>
        <v/>
      </c>
      <c r="O36" s="40">
        <f>IF(AND(O$27&gt;=$D36,O$27&lt;=$E36),$G36,0)</f>
        <v/>
      </c>
      <c r="P36" s="40">
        <f>IF(AND(P$27&gt;=$D36,P$27&lt;=$E36),$G36,0)</f>
        <v/>
      </c>
      <c r="Q36" s="40">
        <f>IF(AND(Q$27&gt;=$D36,Q$27&lt;=$E36),$G36,0)</f>
        <v/>
      </c>
      <c r="R36" s="40">
        <f>IF(AND(R$27&gt;=$D36,R$27&lt;=$E36),$G36,0)</f>
        <v/>
      </c>
      <c r="S36" s="40">
        <f>IF(AND(S$27&gt;=$D36,S$27&lt;=$E36),$G36,0)</f>
        <v/>
      </c>
      <c r="T36" s="40">
        <f>IF(AND(T$27&gt;=$D36,T$27&lt;=$E36),$G36,0)</f>
        <v/>
      </c>
      <c r="U36" s="40">
        <f>IF(AND(U$27&gt;=$D36,U$27&lt;=$E36),$G36,0)</f>
        <v/>
      </c>
      <c r="V36" s="40">
        <f>IF(AND(V$27&gt;=$D36,V$27&lt;=$E36),$G36,0)</f>
        <v/>
      </c>
      <c r="W36" s="40">
        <f>IF(AND(W$27&gt;=$D36,W$27&lt;=$E36),$G36,0)</f>
        <v/>
      </c>
      <c r="X36" s="40">
        <f>IF(AND(X$27&gt;=$D36,X$27&lt;=$E36),$G36,0)</f>
        <v/>
      </c>
      <c r="Y36" s="40">
        <f>IF(AND(Y$27&gt;=$D36,Y$27&lt;=$E36),$G36,0)</f>
        <v/>
      </c>
      <c r="Z36" s="40">
        <f>IF(AND(Z$27&gt;=$D36,Z$27&lt;=$E36),$G36,0)</f>
        <v/>
      </c>
      <c r="AA36" s="40">
        <f>IF(AND(AA$27&gt;=$D36,AA$27&lt;=$E36),$G36,0)</f>
        <v/>
      </c>
      <c r="AB36" s="40">
        <f>IF(AND(AB$27&gt;=$D36,AB$27&lt;=$E36),$G36,0)</f>
        <v/>
      </c>
      <c r="AC36" s="40">
        <f>IF(AND(AC$27&gt;=$D36,AC$27&lt;=$E36),$G36,0)</f>
        <v/>
      </c>
      <c r="AD36" s="40">
        <f>IF(AND(AD$27&gt;=$D36,AD$27&lt;=$E36),$G36,0)</f>
        <v/>
      </c>
      <c r="AE36" s="40">
        <f>IF(AND(AE$27&gt;=$D36,AE$27&lt;=$E36),$G36,0)</f>
        <v/>
      </c>
      <c r="AF36" s="40">
        <f>IF(AND(AF$27&gt;=$D36,AF$27&lt;=$E36),$G36,0)</f>
        <v/>
      </c>
      <c r="AG36" s="40">
        <f>IF(AND(AG$27&gt;=$D36,AG$27&lt;=$E36),$G36,0)</f>
        <v/>
      </c>
      <c r="AH36" s="40">
        <f>IF(AND(AH$27&gt;=$D36,AH$27&lt;=$E36),$G36,0)</f>
        <v/>
      </c>
      <c r="AI36" s="40">
        <f>IF(AND(AI$27&gt;=$D36,AI$27&lt;=$E36),$G36,0)</f>
        <v/>
      </c>
      <c r="AJ36" s="40">
        <f>IF(AND(AJ$27&gt;=$D36,AJ$27&lt;=$E36),$G36,0)</f>
        <v/>
      </c>
      <c r="AK36" s="40">
        <f>IF(AND(AK$27&gt;=$D36,AK$27&lt;=$E36),$G36,0)</f>
        <v/>
      </c>
    </row>
    <row r="37" ht="18" customHeight="1">
      <c r="B37" s="37" t="inlineStr">
        <is>
          <t>Rev. Int. Parede</t>
        </is>
      </c>
      <c r="C37" s="31" t="n">
        <v>1601710.7</v>
      </c>
      <c r="D37" s="30" t="n">
        <v>15</v>
      </c>
      <c r="E37" s="30" t="n">
        <v>27</v>
      </c>
      <c r="F37" s="38">
        <f>IF(E37&gt;=D37,E37-D37+1,0)</f>
        <v/>
      </c>
      <c r="G37" s="39">
        <f>IF(F37&gt;0,C37/F37,0)</f>
        <v/>
      </c>
      <c r="H37" s="40">
        <f>IF(AND(H$27&gt;=$D37,H$27&lt;=$E37),$G37,0)</f>
        <v/>
      </c>
      <c r="I37" s="40">
        <f>IF(AND(I$27&gt;=$D37,I$27&lt;=$E37),$G37,0)</f>
        <v/>
      </c>
      <c r="J37" s="40">
        <f>IF(AND(J$27&gt;=$D37,J$27&lt;=$E37),$G37,0)</f>
        <v/>
      </c>
      <c r="K37" s="40">
        <f>IF(AND(K$27&gt;=$D37,K$27&lt;=$E37),$G37,0)</f>
        <v/>
      </c>
      <c r="L37" s="40">
        <f>IF(AND(L$27&gt;=$D37,L$27&lt;=$E37),$G37,0)</f>
        <v/>
      </c>
      <c r="M37" s="40">
        <f>IF(AND(M$27&gt;=$D37,M$27&lt;=$E37),$G37,0)</f>
        <v/>
      </c>
      <c r="N37" s="40">
        <f>IF(AND(N$27&gt;=$D37,N$27&lt;=$E37),$G37,0)</f>
        <v/>
      </c>
      <c r="O37" s="40">
        <f>IF(AND(O$27&gt;=$D37,O$27&lt;=$E37),$G37,0)</f>
        <v/>
      </c>
      <c r="P37" s="40">
        <f>IF(AND(P$27&gt;=$D37,P$27&lt;=$E37),$G37,0)</f>
        <v/>
      </c>
      <c r="Q37" s="40">
        <f>IF(AND(Q$27&gt;=$D37,Q$27&lt;=$E37),$G37,0)</f>
        <v/>
      </c>
      <c r="R37" s="40">
        <f>IF(AND(R$27&gt;=$D37,R$27&lt;=$E37),$G37,0)</f>
        <v/>
      </c>
      <c r="S37" s="40">
        <f>IF(AND(S$27&gt;=$D37,S$27&lt;=$E37),$G37,0)</f>
        <v/>
      </c>
      <c r="T37" s="40">
        <f>IF(AND(T$27&gt;=$D37,T$27&lt;=$E37),$G37,0)</f>
        <v/>
      </c>
      <c r="U37" s="40">
        <f>IF(AND(U$27&gt;=$D37,U$27&lt;=$E37),$G37,0)</f>
        <v/>
      </c>
      <c r="V37" s="40">
        <f>IF(AND(V$27&gt;=$D37,V$27&lt;=$E37),$G37,0)</f>
        <v/>
      </c>
      <c r="W37" s="40">
        <f>IF(AND(W$27&gt;=$D37,W$27&lt;=$E37),$G37,0)</f>
        <v/>
      </c>
      <c r="X37" s="40">
        <f>IF(AND(X$27&gt;=$D37,X$27&lt;=$E37),$G37,0)</f>
        <v/>
      </c>
      <c r="Y37" s="40">
        <f>IF(AND(Y$27&gt;=$D37,Y$27&lt;=$E37),$G37,0)</f>
        <v/>
      </c>
      <c r="Z37" s="40">
        <f>IF(AND(Z$27&gt;=$D37,Z$27&lt;=$E37),$G37,0)</f>
        <v/>
      </c>
      <c r="AA37" s="40">
        <f>IF(AND(AA$27&gt;=$D37,AA$27&lt;=$E37),$G37,0)</f>
        <v/>
      </c>
      <c r="AB37" s="40">
        <f>IF(AND(AB$27&gt;=$D37,AB$27&lt;=$E37),$G37,0)</f>
        <v/>
      </c>
      <c r="AC37" s="40">
        <f>IF(AND(AC$27&gt;=$D37,AC$27&lt;=$E37),$G37,0)</f>
        <v/>
      </c>
      <c r="AD37" s="40">
        <f>IF(AND(AD$27&gt;=$D37,AD$27&lt;=$E37),$G37,0)</f>
        <v/>
      </c>
      <c r="AE37" s="40">
        <f>IF(AND(AE$27&gt;=$D37,AE$27&lt;=$E37),$G37,0)</f>
        <v/>
      </c>
      <c r="AF37" s="40">
        <f>IF(AND(AF$27&gt;=$D37,AF$27&lt;=$E37),$G37,0)</f>
        <v/>
      </c>
      <c r="AG37" s="40">
        <f>IF(AND(AG$27&gt;=$D37,AG$27&lt;=$E37),$G37,0)</f>
        <v/>
      </c>
      <c r="AH37" s="40">
        <f>IF(AND(AH$27&gt;=$D37,AH$27&lt;=$E37),$G37,0)</f>
        <v/>
      </c>
      <c r="AI37" s="40">
        <f>IF(AND(AI$27&gt;=$D37,AI$27&lt;=$E37),$G37,0)</f>
        <v/>
      </c>
      <c r="AJ37" s="40">
        <f>IF(AND(AJ$27&gt;=$D37,AJ$27&lt;=$E37),$G37,0)</f>
        <v/>
      </c>
      <c r="AK37" s="40">
        <f>IF(AND(AK$27&gt;=$D37,AK$27&lt;=$E37),$G37,0)</f>
        <v/>
      </c>
    </row>
    <row r="38" ht="18" customHeight="1">
      <c r="B38" s="37" t="inlineStr">
        <is>
          <t>Esquadrias</t>
        </is>
      </c>
      <c r="C38" s="31" t="n">
        <v>4053718.5</v>
      </c>
      <c r="D38" s="30" t="n">
        <v>18</v>
      </c>
      <c r="E38" s="30" t="n">
        <v>28</v>
      </c>
      <c r="F38" s="38">
        <f>IF(E38&gt;=D38,E38-D38+1,0)</f>
        <v/>
      </c>
      <c r="G38" s="39">
        <f>IF(F38&gt;0,C38/F38,0)</f>
        <v/>
      </c>
      <c r="H38" s="40">
        <f>IF(AND(H$27&gt;=$D38,H$27&lt;=$E38),$G38,0)</f>
        <v/>
      </c>
      <c r="I38" s="40">
        <f>IF(AND(I$27&gt;=$D38,I$27&lt;=$E38),$G38,0)</f>
        <v/>
      </c>
      <c r="J38" s="40">
        <f>IF(AND(J$27&gt;=$D38,J$27&lt;=$E38),$G38,0)</f>
        <v/>
      </c>
      <c r="K38" s="40">
        <f>IF(AND(K$27&gt;=$D38,K$27&lt;=$E38),$G38,0)</f>
        <v/>
      </c>
      <c r="L38" s="40">
        <f>IF(AND(L$27&gt;=$D38,L$27&lt;=$E38),$G38,0)</f>
        <v/>
      </c>
      <c r="M38" s="40">
        <f>IF(AND(M$27&gt;=$D38,M$27&lt;=$E38),$G38,0)</f>
        <v/>
      </c>
      <c r="N38" s="40">
        <f>IF(AND(N$27&gt;=$D38,N$27&lt;=$E38),$G38,0)</f>
        <v/>
      </c>
      <c r="O38" s="40">
        <f>IF(AND(O$27&gt;=$D38,O$27&lt;=$E38),$G38,0)</f>
        <v/>
      </c>
      <c r="P38" s="40">
        <f>IF(AND(P$27&gt;=$D38,P$27&lt;=$E38),$G38,0)</f>
        <v/>
      </c>
      <c r="Q38" s="40">
        <f>IF(AND(Q$27&gt;=$D38,Q$27&lt;=$E38),$G38,0)</f>
        <v/>
      </c>
      <c r="R38" s="40">
        <f>IF(AND(R$27&gt;=$D38,R$27&lt;=$E38),$G38,0)</f>
        <v/>
      </c>
      <c r="S38" s="40">
        <f>IF(AND(S$27&gt;=$D38,S$27&lt;=$E38),$G38,0)</f>
        <v/>
      </c>
      <c r="T38" s="40">
        <f>IF(AND(T$27&gt;=$D38,T$27&lt;=$E38),$G38,0)</f>
        <v/>
      </c>
      <c r="U38" s="40">
        <f>IF(AND(U$27&gt;=$D38,U$27&lt;=$E38),$G38,0)</f>
        <v/>
      </c>
      <c r="V38" s="40">
        <f>IF(AND(V$27&gt;=$D38,V$27&lt;=$E38),$G38,0)</f>
        <v/>
      </c>
      <c r="W38" s="40">
        <f>IF(AND(W$27&gt;=$D38,W$27&lt;=$E38),$G38,0)</f>
        <v/>
      </c>
      <c r="X38" s="40">
        <f>IF(AND(X$27&gt;=$D38,X$27&lt;=$E38),$G38,0)</f>
        <v/>
      </c>
      <c r="Y38" s="40">
        <f>IF(AND(Y$27&gt;=$D38,Y$27&lt;=$E38),$G38,0)</f>
        <v/>
      </c>
      <c r="Z38" s="40">
        <f>IF(AND(Z$27&gt;=$D38,Z$27&lt;=$E38),$G38,0)</f>
        <v/>
      </c>
      <c r="AA38" s="40">
        <f>IF(AND(AA$27&gt;=$D38,AA$27&lt;=$E38),$G38,0)</f>
        <v/>
      </c>
      <c r="AB38" s="40">
        <f>IF(AND(AB$27&gt;=$D38,AB$27&lt;=$E38),$G38,0)</f>
        <v/>
      </c>
      <c r="AC38" s="40">
        <f>IF(AND(AC$27&gt;=$D38,AC$27&lt;=$E38),$G38,0)</f>
        <v/>
      </c>
      <c r="AD38" s="40">
        <f>IF(AND(AD$27&gt;=$D38,AD$27&lt;=$E38),$G38,0)</f>
        <v/>
      </c>
      <c r="AE38" s="40">
        <f>IF(AND(AE$27&gt;=$D38,AE$27&lt;=$E38),$G38,0)</f>
        <v/>
      </c>
      <c r="AF38" s="40">
        <f>IF(AND(AF$27&gt;=$D38,AF$27&lt;=$E38),$G38,0)</f>
        <v/>
      </c>
      <c r="AG38" s="40">
        <f>IF(AND(AG$27&gt;=$D38,AG$27&lt;=$E38),$G38,0)</f>
        <v/>
      </c>
      <c r="AH38" s="40">
        <f>IF(AND(AH$27&gt;=$D38,AH$27&lt;=$E38),$G38,0)</f>
        <v/>
      </c>
      <c r="AI38" s="40">
        <f>IF(AND(AI$27&gt;=$D38,AI$27&lt;=$E38),$G38,0)</f>
        <v/>
      </c>
      <c r="AJ38" s="40">
        <f>IF(AND(AJ$27&gt;=$D38,AJ$27&lt;=$E38),$G38,0)</f>
        <v/>
      </c>
      <c r="AK38" s="40">
        <f>IF(AND(AK$27&gt;=$D38,AK$27&lt;=$E38),$G38,0)</f>
        <v/>
      </c>
    </row>
    <row r="39" ht="18" customHeight="1">
      <c r="B39" s="37" t="inlineStr">
        <is>
          <t>Sist. Especiais</t>
        </is>
      </c>
      <c r="C39" s="31" t="n">
        <v>1268450</v>
      </c>
      <c r="D39" s="30" t="n">
        <v>18</v>
      </c>
      <c r="E39" s="30" t="n">
        <v>29</v>
      </c>
      <c r="F39" s="38">
        <f>IF(E39&gt;=D39,E39-D39+1,0)</f>
        <v/>
      </c>
      <c r="G39" s="39">
        <f>IF(F39&gt;0,C39/F39,0)</f>
        <v/>
      </c>
      <c r="H39" s="40">
        <f>IF(AND(H$27&gt;=$D39,H$27&lt;=$E39),$G39,0)</f>
        <v/>
      </c>
      <c r="I39" s="40">
        <f>IF(AND(I$27&gt;=$D39,I$27&lt;=$E39),$G39,0)</f>
        <v/>
      </c>
      <c r="J39" s="40">
        <f>IF(AND(J$27&gt;=$D39,J$27&lt;=$E39),$G39,0)</f>
        <v/>
      </c>
      <c r="K39" s="40">
        <f>IF(AND(K$27&gt;=$D39,K$27&lt;=$E39),$G39,0)</f>
        <v/>
      </c>
      <c r="L39" s="40">
        <f>IF(AND(L$27&gt;=$D39,L$27&lt;=$E39),$G39,0)</f>
        <v/>
      </c>
      <c r="M39" s="40">
        <f>IF(AND(M$27&gt;=$D39,M$27&lt;=$E39),$G39,0)</f>
        <v/>
      </c>
      <c r="N39" s="40">
        <f>IF(AND(N$27&gt;=$D39,N$27&lt;=$E39),$G39,0)</f>
        <v/>
      </c>
      <c r="O39" s="40">
        <f>IF(AND(O$27&gt;=$D39,O$27&lt;=$E39),$G39,0)</f>
        <v/>
      </c>
      <c r="P39" s="40">
        <f>IF(AND(P$27&gt;=$D39,P$27&lt;=$E39),$G39,0)</f>
        <v/>
      </c>
      <c r="Q39" s="40">
        <f>IF(AND(Q$27&gt;=$D39,Q$27&lt;=$E39),$G39,0)</f>
        <v/>
      </c>
      <c r="R39" s="40">
        <f>IF(AND(R$27&gt;=$D39,R$27&lt;=$E39),$G39,0)</f>
        <v/>
      </c>
      <c r="S39" s="40">
        <f>IF(AND(S$27&gt;=$D39,S$27&lt;=$E39),$G39,0)</f>
        <v/>
      </c>
      <c r="T39" s="40">
        <f>IF(AND(T$27&gt;=$D39,T$27&lt;=$E39),$G39,0)</f>
        <v/>
      </c>
      <c r="U39" s="40">
        <f>IF(AND(U$27&gt;=$D39,U$27&lt;=$E39),$G39,0)</f>
        <v/>
      </c>
      <c r="V39" s="40">
        <f>IF(AND(V$27&gt;=$D39,V$27&lt;=$E39),$G39,0)</f>
        <v/>
      </c>
      <c r="W39" s="40">
        <f>IF(AND(W$27&gt;=$D39,W$27&lt;=$E39),$G39,0)</f>
        <v/>
      </c>
      <c r="X39" s="40">
        <f>IF(AND(X$27&gt;=$D39,X$27&lt;=$E39),$G39,0)</f>
        <v/>
      </c>
      <c r="Y39" s="40">
        <f>IF(AND(Y$27&gt;=$D39,Y$27&lt;=$E39),$G39,0)</f>
        <v/>
      </c>
      <c r="Z39" s="40">
        <f>IF(AND(Z$27&gt;=$D39,Z$27&lt;=$E39),$G39,0)</f>
        <v/>
      </c>
      <c r="AA39" s="40">
        <f>IF(AND(AA$27&gt;=$D39,AA$27&lt;=$E39),$G39,0)</f>
        <v/>
      </c>
      <c r="AB39" s="40">
        <f>IF(AND(AB$27&gt;=$D39,AB$27&lt;=$E39),$G39,0)</f>
        <v/>
      </c>
      <c r="AC39" s="40">
        <f>IF(AND(AC$27&gt;=$D39,AC$27&lt;=$E39),$G39,0)</f>
        <v/>
      </c>
      <c r="AD39" s="40">
        <f>IF(AND(AD$27&gt;=$D39,AD$27&lt;=$E39),$G39,0)</f>
        <v/>
      </c>
      <c r="AE39" s="40">
        <f>IF(AND(AE$27&gt;=$D39,AE$27&lt;=$E39),$G39,0)</f>
        <v/>
      </c>
      <c r="AF39" s="40">
        <f>IF(AND(AF$27&gt;=$D39,AF$27&lt;=$E39),$G39,0)</f>
        <v/>
      </c>
      <c r="AG39" s="40">
        <f>IF(AND(AG$27&gt;=$D39,AG$27&lt;=$E39),$G39,0)</f>
        <v/>
      </c>
      <c r="AH39" s="40">
        <f>IF(AND(AH$27&gt;=$D39,AH$27&lt;=$E39),$G39,0)</f>
        <v/>
      </c>
      <c r="AI39" s="40">
        <f>IF(AND(AI$27&gt;=$D39,AI$27&lt;=$E39),$G39,0)</f>
        <v/>
      </c>
      <c r="AJ39" s="40">
        <f>IF(AND(AJ$27&gt;=$D39,AJ$27&lt;=$E39),$G39,0)</f>
        <v/>
      </c>
      <c r="AK39" s="40">
        <f>IF(AND(AK$27&gt;=$D39,AK$27&lt;=$E39),$G39,0)</f>
        <v/>
      </c>
    </row>
    <row r="40" ht="18" customHeight="1">
      <c r="B40" s="37" t="inlineStr">
        <is>
          <t>Teto</t>
        </is>
      </c>
      <c r="C40" s="31" t="n">
        <v>905729</v>
      </c>
      <c r="D40" s="30" t="n">
        <v>18</v>
      </c>
      <c r="E40" s="30" t="n">
        <v>28</v>
      </c>
      <c r="F40" s="38">
        <f>IF(E40&gt;=D40,E40-D40+1,0)</f>
        <v/>
      </c>
      <c r="G40" s="39">
        <f>IF(F40&gt;0,C40/F40,0)</f>
        <v/>
      </c>
      <c r="H40" s="40">
        <f>IF(AND(H$27&gt;=$D40,H$27&lt;=$E40),$G40,0)</f>
        <v/>
      </c>
      <c r="I40" s="40">
        <f>IF(AND(I$27&gt;=$D40,I$27&lt;=$E40),$G40,0)</f>
        <v/>
      </c>
      <c r="J40" s="40">
        <f>IF(AND(J$27&gt;=$D40,J$27&lt;=$E40),$G40,0)</f>
        <v/>
      </c>
      <c r="K40" s="40">
        <f>IF(AND(K$27&gt;=$D40,K$27&lt;=$E40),$G40,0)</f>
        <v/>
      </c>
      <c r="L40" s="40">
        <f>IF(AND(L$27&gt;=$D40,L$27&lt;=$E40),$G40,0)</f>
        <v/>
      </c>
      <c r="M40" s="40">
        <f>IF(AND(M$27&gt;=$D40,M$27&lt;=$E40),$G40,0)</f>
        <v/>
      </c>
      <c r="N40" s="40">
        <f>IF(AND(N$27&gt;=$D40,N$27&lt;=$E40),$G40,0)</f>
        <v/>
      </c>
      <c r="O40" s="40">
        <f>IF(AND(O$27&gt;=$D40,O$27&lt;=$E40),$G40,0)</f>
        <v/>
      </c>
      <c r="P40" s="40">
        <f>IF(AND(P$27&gt;=$D40,P$27&lt;=$E40),$G40,0)</f>
        <v/>
      </c>
      <c r="Q40" s="40">
        <f>IF(AND(Q$27&gt;=$D40,Q$27&lt;=$E40),$G40,0)</f>
        <v/>
      </c>
      <c r="R40" s="40">
        <f>IF(AND(R$27&gt;=$D40,R$27&lt;=$E40),$G40,0)</f>
        <v/>
      </c>
      <c r="S40" s="40">
        <f>IF(AND(S$27&gt;=$D40,S$27&lt;=$E40),$G40,0)</f>
        <v/>
      </c>
      <c r="T40" s="40">
        <f>IF(AND(T$27&gt;=$D40,T$27&lt;=$E40),$G40,0)</f>
        <v/>
      </c>
      <c r="U40" s="40">
        <f>IF(AND(U$27&gt;=$D40,U$27&lt;=$E40),$G40,0)</f>
        <v/>
      </c>
      <c r="V40" s="40">
        <f>IF(AND(V$27&gt;=$D40,V$27&lt;=$E40),$G40,0)</f>
        <v/>
      </c>
      <c r="W40" s="40">
        <f>IF(AND(W$27&gt;=$D40,W$27&lt;=$E40),$G40,0)</f>
        <v/>
      </c>
      <c r="X40" s="40">
        <f>IF(AND(X$27&gt;=$D40,X$27&lt;=$E40),$G40,0)</f>
        <v/>
      </c>
      <c r="Y40" s="40">
        <f>IF(AND(Y$27&gt;=$D40,Y$27&lt;=$E40),$G40,0)</f>
        <v/>
      </c>
      <c r="Z40" s="40">
        <f>IF(AND(Z$27&gt;=$D40,Z$27&lt;=$E40),$G40,0)</f>
        <v/>
      </c>
      <c r="AA40" s="40">
        <f>IF(AND(AA$27&gt;=$D40,AA$27&lt;=$E40),$G40,0)</f>
        <v/>
      </c>
      <c r="AB40" s="40">
        <f>IF(AND(AB$27&gt;=$D40,AB$27&lt;=$E40),$G40,0)</f>
        <v/>
      </c>
      <c r="AC40" s="40">
        <f>IF(AND(AC$27&gt;=$D40,AC$27&lt;=$E40),$G40,0)</f>
        <v/>
      </c>
      <c r="AD40" s="40">
        <f>IF(AND(AD$27&gt;=$D40,AD$27&lt;=$E40),$G40,0)</f>
        <v/>
      </c>
      <c r="AE40" s="40">
        <f>IF(AND(AE$27&gt;=$D40,AE$27&lt;=$E40),$G40,0)</f>
        <v/>
      </c>
      <c r="AF40" s="40">
        <f>IF(AND(AF$27&gt;=$D40,AF$27&lt;=$E40),$G40,0)</f>
        <v/>
      </c>
      <c r="AG40" s="40">
        <f>IF(AND(AG$27&gt;=$D40,AG$27&lt;=$E40),$G40,0)</f>
        <v/>
      </c>
      <c r="AH40" s="40">
        <f>IF(AND(AH$27&gt;=$D40,AH$27&lt;=$E40),$G40,0)</f>
        <v/>
      </c>
      <c r="AI40" s="40">
        <f>IF(AND(AI$27&gt;=$D40,AI$27&lt;=$E40),$G40,0)</f>
        <v/>
      </c>
      <c r="AJ40" s="40">
        <f>IF(AND(AJ$27&gt;=$D40,AJ$27&lt;=$E40),$G40,0)</f>
        <v/>
      </c>
      <c r="AK40" s="40">
        <f>IF(AND(AK$27&gt;=$D40,AK$27&lt;=$E40),$G40,0)</f>
        <v/>
      </c>
    </row>
    <row r="41" ht="18" customHeight="1">
      <c r="B41" s="37" t="inlineStr">
        <is>
          <t>Pisos</t>
        </is>
      </c>
      <c r="C41" s="31" t="n">
        <v>2380640.99</v>
      </c>
      <c r="D41" s="30" t="n">
        <v>20</v>
      </c>
      <c r="E41" s="30" t="n">
        <v>29</v>
      </c>
      <c r="F41" s="38">
        <f>IF(E41&gt;=D41,E41-D41+1,0)</f>
        <v/>
      </c>
      <c r="G41" s="39">
        <f>IF(F41&gt;0,C41/F41,0)</f>
        <v/>
      </c>
      <c r="H41" s="40">
        <f>IF(AND(H$27&gt;=$D41,H$27&lt;=$E41),$G41,0)</f>
        <v/>
      </c>
      <c r="I41" s="40">
        <f>IF(AND(I$27&gt;=$D41,I$27&lt;=$E41),$G41,0)</f>
        <v/>
      </c>
      <c r="J41" s="40">
        <f>IF(AND(J$27&gt;=$D41,J$27&lt;=$E41),$G41,0)</f>
        <v/>
      </c>
      <c r="K41" s="40">
        <f>IF(AND(K$27&gt;=$D41,K$27&lt;=$E41),$G41,0)</f>
        <v/>
      </c>
      <c r="L41" s="40">
        <f>IF(AND(L$27&gt;=$D41,L$27&lt;=$E41),$G41,0)</f>
        <v/>
      </c>
      <c r="M41" s="40">
        <f>IF(AND(M$27&gt;=$D41,M$27&lt;=$E41),$G41,0)</f>
        <v/>
      </c>
      <c r="N41" s="40">
        <f>IF(AND(N$27&gt;=$D41,N$27&lt;=$E41),$G41,0)</f>
        <v/>
      </c>
      <c r="O41" s="40">
        <f>IF(AND(O$27&gt;=$D41,O$27&lt;=$E41),$G41,0)</f>
        <v/>
      </c>
      <c r="P41" s="40">
        <f>IF(AND(P$27&gt;=$D41,P$27&lt;=$E41),$G41,0)</f>
        <v/>
      </c>
      <c r="Q41" s="40">
        <f>IF(AND(Q$27&gt;=$D41,Q$27&lt;=$E41),$G41,0)</f>
        <v/>
      </c>
      <c r="R41" s="40">
        <f>IF(AND(R$27&gt;=$D41,R$27&lt;=$E41),$G41,0)</f>
        <v/>
      </c>
      <c r="S41" s="40">
        <f>IF(AND(S$27&gt;=$D41,S$27&lt;=$E41),$G41,0)</f>
        <v/>
      </c>
      <c r="T41" s="40">
        <f>IF(AND(T$27&gt;=$D41,T$27&lt;=$E41),$G41,0)</f>
        <v/>
      </c>
      <c r="U41" s="40">
        <f>IF(AND(U$27&gt;=$D41,U$27&lt;=$E41),$G41,0)</f>
        <v/>
      </c>
      <c r="V41" s="40">
        <f>IF(AND(V$27&gt;=$D41,V$27&lt;=$E41),$G41,0)</f>
        <v/>
      </c>
      <c r="W41" s="40">
        <f>IF(AND(W$27&gt;=$D41,W$27&lt;=$E41),$G41,0)</f>
        <v/>
      </c>
      <c r="X41" s="40">
        <f>IF(AND(X$27&gt;=$D41,X$27&lt;=$E41),$G41,0)</f>
        <v/>
      </c>
      <c r="Y41" s="40">
        <f>IF(AND(Y$27&gt;=$D41,Y$27&lt;=$E41),$G41,0)</f>
        <v/>
      </c>
      <c r="Z41" s="40">
        <f>IF(AND(Z$27&gt;=$D41,Z$27&lt;=$E41),$G41,0)</f>
        <v/>
      </c>
      <c r="AA41" s="40">
        <f>IF(AND(AA$27&gt;=$D41,AA$27&lt;=$E41),$G41,0)</f>
        <v/>
      </c>
      <c r="AB41" s="40">
        <f>IF(AND(AB$27&gt;=$D41,AB$27&lt;=$E41),$G41,0)</f>
        <v/>
      </c>
      <c r="AC41" s="40">
        <f>IF(AND(AC$27&gt;=$D41,AC$27&lt;=$E41),$G41,0)</f>
        <v/>
      </c>
      <c r="AD41" s="40">
        <f>IF(AND(AD$27&gt;=$D41,AD$27&lt;=$E41),$G41,0)</f>
        <v/>
      </c>
      <c r="AE41" s="40">
        <f>IF(AND(AE$27&gt;=$D41,AE$27&lt;=$E41),$G41,0)</f>
        <v/>
      </c>
      <c r="AF41" s="40">
        <f>IF(AND(AF$27&gt;=$D41,AF$27&lt;=$E41),$G41,0)</f>
        <v/>
      </c>
      <c r="AG41" s="40">
        <f>IF(AND(AG$27&gt;=$D41,AG$27&lt;=$E41),$G41,0)</f>
        <v/>
      </c>
      <c r="AH41" s="40">
        <f>IF(AND(AH$27&gt;=$D41,AH$27&lt;=$E41),$G41,0)</f>
        <v/>
      </c>
      <c r="AI41" s="40">
        <f>IF(AND(AI$27&gt;=$D41,AI$27&lt;=$E41),$G41,0)</f>
        <v/>
      </c>
      <c r="AJ41" s="40">
        <f>IF(AND(AJ$27&gt;=$D41,AJ$27&lt;=$E41),$G41,0)</f>
        <v/>
      </c>
      <c r="AK41" s="40">
        <f>IF(AND(AK$27&gt;=$D41,AK$27&lt;=$E41),$G41,0)</f>
        <v/>
      </c>
    </row>
    <row r="42" ht="18" customHeight="1">
      <c r="B42" s="37" t="inlineStr">
        <is>
          <t>Climatização</t>
        </is>
      </c>
      <c r="C42" s="31" t="n">
        <v>830429.8</v>
      </c>
      <c r="D42" s="30" t="n">
        <v>20</v>
      </c>
      <c r="E42" s="30" t="n">
        <v>29</v>
      </c>
      <c r="F42" s="38">
        <f>IF(E42&gt;=D42,E42-D42+1,0)</f>
        <v/>
      </c>
      <c r="G42" s="39">
        <f>IF(F42&gt;0,C42/F42,0)</f>
        <v/>
      </c>
      <c r="H42" s="40">
        <f>IF(AND(H$27&gt;=$D42,H$27&lt;=$E42),$G42,0)</f>
        <v/>
      </c>
      <c r="I42" s="40">
        <f>IF(AND(I$27&gt;=$D42,I$27&lt;=$E42),$G42,0)</f>
        <v/>
      </c>
      <c r="J42" s="40">
        <f>IF(AND(J$27&gt;=$D42,J$27&lt;=$E42),$G42,0)</f>
        <v/>
      </c>
      <c r="K42" s="40">
        <f>IF(AND(K$27&gt;=$D42,K$27&lt;=$E42),$G42,0)</f>
        <v/>
      </c>
      <c r="L42" s="40">
        <f>IF(AND(L$27&gt;=$D42,L$27&lt;=$E42),$G42,0)</f>
        <v/>
      </c>
      <c r="M42" s="40">
        <f>IF(AND(M$27&gt;=$D42,M$27&lt;=$E42),$G42,0)</f>
        <v/>
      </c>
      <c r="N42" s="40">
        <f>IF(AND(N$27&gt;=$D42,N$27&lt;=$E42),$G42,0)</f>
        <v/>
      </c>
      <c r="O42" s="40">
        <f>IF(AND(O$27&gt;=$D42,O$27&lt;=$E42),$G42,0)</f>
        <v/>
      </c>
      <c r="P42" s="40">
        <f>IF(AND(P$27&gt;=$D42,P$27&lt;=$E42),$G42,0)</f>
        <v/>
      </c>
      <c r="Q42" s="40">
        <f>IF(AND(Q$27&gt;=$D42,Q$27&lt;=$E42),$G42,0)</f>
        <v/>
      </c>
      <c r="R42" s="40">
        <f>IF(AND(R$27&gt;=$D42,R$27&lt;=$E42),$G42,0)</f>
        <v/>
      </c>
      <c r="S42" s="40">
        <f>IF(AND(S$27&gt;=$D42,S$27&lt;=$E42),$G42,0)</f>
        <v/>
      </c>
      <c r="T42" s="40">
        <f>IF(AND(T$27&gt;=$D42,T$27&lt;=$E42),$G42,0)</f>
        <v/>
      </c>
      <c r="U42" s="40">
        <f>IF(AND(U$27&gt;=$D42,U$27&lt;=$E42),$G42,0)</f>
        <v/>
      </c>
      <c r="V42" s="40">
        <f>IF(AND(V$27&gt;=$D42,V$27&lt;=$E42),$G42,0)</f>
        <v/>
      </c>
      <c r="W42" s="40">
        <f>IF(AND(W$27&gt;=$D42,W$27&lt;=$E42),$G42,0)</f>
        <v/>
      </c>
      <c r="X42" s="40">
        <f>IF(AND(X$27&gt;=$D42,X$27&lt;=$E42),$G42,0)</f>
        <v/>
      </c>
      <c r="Y42" s="40">
        <f>IF(AND(Y$27&gt;=$D42,Y$27&lt;=$E42),$G42,0)</f>
        <v/>
      </c>
      <c r="Z42" s="40">
        <f>IF(AND(Z$27&gt;=$D42,Z$27&lt;=$E42),$G42,0)</f>
        <v/>
      </c>
      <c r="AA42" s="40">
        <f>IF(AND(AA$27&gt;=$D42,AA$27&lt;=$E42),$G42,0)</f>
        <v/>
      </c>
      <c r="AB42" s="40">
        <f>IF(AND(AB$27&gt;=$D42,AB$27&lt;=$E42),$G42,0)</f>
        <v/>
      </c>
      <c r="AC42" s="40">
        <f>IF(AND(AC$27&gt;=$D42,AC$27&lt;=$E42),$G42,0)</f>
        <v/>
      </c>
      <c r="AD42" s="40">
        <f>IF(AND(AD$27&gt;=$D42,AD$27&lt;=$E42),$G42,0)</f>
        <v/>
      </c>
      <c r="AE42" s="40">
        <f>IF(AND(AE$27&gt;=$D42,AE$27&lt;=$E42),$G42,0)</f>
        <v/>
      </c>
      <c r="AF42" s="40">
        <f>IF(AND(AF$27&gt;=$D42,AF$27&lt;=$E42),$G42,0)</f>
        <v/>
      </c>
      <c r="AG42" s="40">
        <f>IF(AND(AG$27&gt;=$D42,AG$27&lt;=$E42),$G42,0)</f>
        <v/>
      </c>
      <c r="AH42" s="40">
        <f>IF(AND(AH$27&gt;=$D42,AH$27&lt;=$E42),$G42,0)</f>
        <v/>
      </c>
      <c r="AI42" s="40">
        <f>IF(AND(AI$27&gt;=$D42,AI$27&lt;=$E42),$G42,0)</f>
        <v/>
      </c>
      <c r="AJ42" s="40">
        <f>IF(AND(AJ$27&gt;=$D42,AJ$27&lt;=$E42),$G42,0)</f>
        <v/>
      </c>
      <c r="AK42" s="40">
        <f>IF(AND(AK$27&gt;=$D42,AK$27&lt;=$E42),$G42,0)</f>
        <v/>
      </c>
    </row>
    <row r="43" ht="18" customHeight="1">
      <c r="B43" s="37" t="inlineStr">
        <is>
          <t>Pintura</t>
        </is>
      </c>
      <c r="C43" s="31" t="n">
        <v>1928859.42</v>
      </c>
      <c r="D43" s="30" t="n">
        <v>22</v>
      </c>
      <c r="E43" s="30" t="n">
        <v>30</v>
      </c>
      <c r="F43" s="38">
        <f>IF(E43&gt;=D43,E43-D43+1,0)</f>
        <v/>
      </c>
      <c r="G43" s="39">
        <f>IF(F43&gt;0,C43/F43,0)</f>
        <v/>
      </c>
      <c r="H43" s="40">
        <f>IF(AND(H$27&gt;=$D43,H$27&lt;=$E43),$G43,0)</f>
        <v/>
      </c>
      <c r="I43" s="40">
        <f>IF(AND(I$27&gt;=$D43,I$27&lt;=$E43),$G43,0)</f>
        <v/>
      </c>
      <c r="J43" s="40">
        <f>IF(AND(J$27&gt;=$D43,J$27&lt;=$E43),$G43,0)</f>
        <v/>
      </c>
      <c r="K43" s="40">
        <f>IF(AND(K$27&gt;=$D43,K$27&lt;=$E43),$G43,0)</f>
        <v/>
      </c>
      <c r="L43" s="40">
        <f>IF(AND(L$27&gt;=$D43,L$27&lt;=$E43),$G43,0)</f>
        <v/>
      </c>
      <c r="M43" s="40">
        <f>IF(AND(M$27&gt;=$D43,M$27&lt;=$E43),$G43,0)</f>
        <v/>
      </c>
      <c r="N43" s="40">
        <f>IF(AND(N$27&gt;=$D43,N$27&lt;=$E43),$G43,0)</f>
        <v/>
      </c>
      <c r="O43" s="40">
        <f>IF(AND(O$27&gt;=$D43,O$27&lt;=$E43),$G43,0)</f>
        <v/>
      </c>
      <c r="P43" s="40">
        <f>IF(AND(P$27&gt;=$D43,P$27&lt;=$E43),$G43,0)</f>
        <v/>
      </c>
      <c r="Q43" s="40">
        <f>IF(AND(Q$27&gt;=$D43,Q$27&lt;=$E43),$G43,0)</f>
        <v/>
      </c>
      <c r="R43" s="40">
        <f>IF(AND(R$27&gt;=$D43,R$27&lt;=$E43),$G43,0)</f>
        <v/>
      </c>
      <c r="S43" s="40">
        <f>IF(AND(S$27&gt;=$D43,S$27&lt;=$E43),$G43,0)</f>
        <v/>
      </c>
      <c r="T43" s="40">
        <f>IF(AND(T$27&gt;=$D43,T$27&lt;=$E43),$G43,0)</f>
        <v/>
      </c>
      <c r="U43" s="40">
        <f>IF(AND(U$27&gt;=$D43,U$27&lt;=$E43),$G43,0)</f>
        <v/>
      </c>
      <c r="V43" s="40">
        <f>IF(AND(V$27&gt;=$D43,V$27&lt;=$E43),$G43,0)</f>
        <v/>
      </c>
      <c r="W43" s="40">
        <f>IF(AND(W$27&gt;=$D43,W$27&lt;=$E43),$G43,0)</f>
        <v/>
      </c>
      <c r="X43" s="40">
        <f>IF(AND(X$27&gt;=$D43,X$27&lt;=$E43),$G43,0)</f>
        <v/>
      </c>
      <c r="Y43" s="40">
        <f>IF(AND(Y$27&gt;=$D43,Y$27&lt;=$E43),$G43,0)</f>
        <v/>
      </c>
      <c r="Z43" s="40">
        <f>IF(AND(Z$27&gt;=$D43,Z$27&lt;=$E43),$G43,0)</f>
        <v/>
      </c>
      <c r="AA43" s="40">
        <f>IF(AND(AA$27&gt;=$D43,AA$27&lt;=$E43),$G43,0)</f>
        <v/>
      </c>
      <c r="AB43" s="40">
        <f>IF(AND(AB$27&gt;=$D43,AB$27&lt;=$E43),$G43,0)</f>
        <v/>
      </c>
      <c r="AC43" s="40">
        <f>IF(AND(AC$27&gt;=$D43,AC$27&lt;=$E43),$G43,0)</f>
        <v/>
      </c>
      <c r="AD43" s="40">
        <f>IF(AND(AD$27&gt;=$D43,AD$27&lt;=$E43),$G43,0)</f>
        <v/>
      </c>
      <c r="AE43" s="40">
        <f>IF(AND(AE$27&gt;=$D43,AE$27&lt;=$E43),$G43,0)</f>
        <v/>
      </c>
      <c r="AF43" s="40">
        <f>IF(AND(AF$27&gt;=$D43,AF$27&lt;=$E43),$G43,0)</f>
        <v/>
      </c>
      <c r="AG43" s="40">
        <f>IF(AND(AG$27&gt;=$D43,AG$27&lt;=$E43),$G43,0)</f>
        <v/>
      </c>
      <c r="AH43" s="40">
        <f>IF(AND(AH$27&gt;=$D43,AH$27&lt;=$E43),$G43,0)</f>
        <v/>
      </c>
      <c r="AI43" s="40">
        <f>IF(AND(AI$27&gt;=$D43,AI$27&lt;=$E43),$G43,0)</f>
        <v/>
      </c>
      <c r="AJ43" s="40">
        <f>IF(AND(AJ$27&gt;=$D43,AJ$27&lt;=$E43),$G43,0)</f>
        <v/>
      </c>
      <c r="AK43" s="40">
        <f>IF(AND(AK$27&gt;=$D43,AK$27&lt;=$E43),$G43,0)</f>
        <v/>
      </c>
    </row>
    <row r="44" ht="18" customHeight="1">
      <c r="B44" s="37" t="inlineStr">
        <is>
          <t>Louças e Metais</t>
        </is>
      </c>
      <c r="C44" s="31" t="n">
        <v>395136</v>
      </c>
      <c r="D44" s="30" t="n">
        <v>22</v>
      </c>
      <c r="E44" s="30" t="n">
        <v>29</v>
      </c>
      <c r="F44" s="38">
        <f>IF(E44&gt;=D44,E44-D44+1,0)</f>
        <v/>
      </c>
      <c r="G44" s="39">
        <f>IF(F44&gt;0,C44/F44,0)</f>
        <v/>
      </c>
      <c r="H44" s="40">
        <f>IF(AND(H$27&gt;=$D44,H$27&lt;=$E44),$G44,0)</f>
        <v/>
      </c>
      <c r="I44" s="40">
        <f>IF(AND(I$27&gt;=$D44,I$27&lt;=$E44),$G44,0)</f>
        <v/>
      </c>
      <c r="J44" s="40">
        <f>IF(AND(J$27&gt;=$D44,J$27&lt;=$E44),$G44,0)</f>
        <v/>
      </c>
      <c r="K44" s="40">
        <f>IF(AND(K$27&gt;=$D44,K$27&lt;=$E44),$G44,0)</f>
        <v/>
      </c>
      <c r="L44" s="40">
        <f>IF(AND(L$27&gt;=$D44,L$27&lt;=$E44),$G44,0)</f>
        <v/>
      </c>
      <c r="M44" s="40">
        <f>IF(AND(M$27&gt;=$D44,M$27&lt;=$E44),$G44,0)</f>
        <v/>
      </c>
      <c r="N44" s="40">
        <f>IF(AND(N$27&gt;=$D44,N$27&lt;=$E44),$G44,0)</f>
        <v/>
      </c>
      <c r="O44" s="40">
        <f>IF(AND(O$27&gt;=$D44,O$27&lt;=$E44),$G44,0)</f>
        <v/>
      </c>
      <c r="P44" s="40">
        <f>IF(AND(P$27&gt;=$D44,P$27&lt;=$E44),$G44,0)</f>
        <v/>
      </c>
      <c r="Q44" s="40">
        <f>IF(AND(Q$27&gt;=$D44,Q$27&lt;=$E44),$G44,0)</f>
        <v/>
      </c>
      <c r="R44" s="40">
        <f>IF(AND(R$27&gt;=$D44,R$27&lt;=$E44),$G44,0)</f>
        <v/>
      </c>
      <c r="S44" s="40">
        <f>IF(AND(S$27&gt;=$D44,S$27&lt;=$E44),$G44,0)</f>
        <v/>
      </c>
      <c r="T44" s="40">
        <f>IF(AND(T$27&gt;=$D44,T$27&lt;=$E44),$G44,0)</f>
        <v/>
      </c>
      <c r="U44" s="40">
        <f>IF(AND(U$27&gt;=$D44,U$27&lt;=$E44),$G44,0)</f>
        <v/>
      </c>
      <c r="V44" s="40">
        <f>IF(AND(V$27&gt;=$D44,V$27&lt;=$E44),$G44,0)</f>
        <v/>
      </c>
      <c r="W44" s="40">
        <f>IF(AND(W$27&gt;=$D44,W$27&lt;=$E44),$G44,0)</f>
        <v/>
      </c>
      <c r="X44" s="40">
        <f>IF(AND(X$27&gt;=$D44,X$27&lt;=$E44),$G44,0)</f>
        <v/>
      </c>
      <c r="Y44" s="40">
        <f>IF(AND(Y$27&gt;=$D44,Y$27&lt;=$E44),$G44,0)</f>
        <v/>
      </c>
      <c r="Z44" s="40">
        <f>IF(AND(Z$27&gt;=$D44,Z$27&lt;=$E44),$G44,0)</f>
        <v/>
      </c>
      <c r="AA44" s="40">
        <f>IF(AND(AA$27&gt;=$D44,AA$27&lt;=$E44),$G44,0)</f>
        <v/>
      </c>
      <c r="AB44" s="40">
        <f>IF(AND(AB$27&gt;=$D44,AB$27&lt;=$E44),$G44,0)</f>
        <v/>
      </c>
      <c r="AC44" s="40">
        <f>IF(AND(AC$27&gt;=$D44,AC$27&lt;=$E44),$G44,0)</f>
        <v/>
      </c>
      <c r="AD44" s="40">
        <f>IF(AND(AD$27&gt;=$D44,AD$27&lt;=$E44),$G44,0)</f>
        <v/>
      </c>
      <c r="AE44" s="40">
        <f>IF(AND(AE$27&gt;=$D44,AE$27&lt;=$E44),$G44,0)</f>
        <v/>
      </c>
      <c r="AF44" s="40">
        <f>IF(AND(AF$27&gt;=$D44,AF$27&lt;=$E44),$G44,0)</f>
        <v/>
      </c>
      <c r="AG44" s="40">
        <f>IF(AND(AG$27&gt;=$D44,AG$27&lt;=$E44),$G44,0)</f>
        <v/>
      </c>
      <c r="AH44" s="40">
        <f>IF(AND(AH$27&gt;=$D44,AH$27&lt;=$E44),$G44,0)</f>
        <v/>
      </c>
      <c r="AI44" s="40">
        <f>IF(AND(AI$27&gt;=$D44,AI$27&lt;=$E44),$G44,0)</f>
        <v/>
      </c>
      <c r="AJ44" s="40">
        <f>IF(AND(AJ$27&gt;=$D44,AJ$27&lt;=$E44),$G44,0)</f>
        <v/>
      </c>
      <c r="AK44" s="40">
        <f>IF(AND(AK$27&gt;=$D44,AK$27&lt;=$E44),$G44,0)</f>
        <v/>
      </c>
    </row>
    <row r="45" ht="18" customHeight="1">
      <c r="B45" s="37" t="inlineStr">
        <is>
          <t>Complementares</t>
        </is>
      </c>
      <c r="C45" s="31" t="n">
        <v>1518920.76</v>
      </c>
      <c r="D45" s="30" t="n">
        <v>24</v>
      </c>
      <c r="E45" s="30" t="n">
        <v>30</v>
      </c>
      <c r="F45" s="38">
        <f>IF(E45&gt;=D45,E45-D45+1,0)</f>
        <v/>
      </c>
      <c r="G45" s="39">
        <f>IF(F45&gt;0,C45/F45,0)</f>
        <v/>
      </c>
      <c r="H45" s="40">
        <f>IF(AND(H$27&gt;=$D45,H$27&lt;=$E45),$G45,0)</f>
        <v/>
      </c>
      <c r="I45" s="40">
        <f>IF(AND(I$27&gt;=$D45,I$27&lt;=$E45),$G45,0)</f>
        <v/>
      </c>
      <c r="J45" s="40">
        <f>IF(AND(J$27&gt;=$D45,J$27&lt;=$E45),$G45,0)</f>
        <v/>
      </c>
      <c r="K45" s="40">
        <f>IF(AND(K$27&gt;=$D45,K$27&lt;=$E45),$G45,0)</f>
        <v/>
      </c>
      <c r="L45" s="40">
        <f>IF(AND(L$27&gt;=$D45,L$27&lt;=$E45),$G45,0)</f>
        <v/>
      </c>
      <c r="M45" s="40">
        <f>IF(AND(M$27&gt;=$D45,M$27&lt;=$E45),$G45,0)</f>
        <v/>
      </c>
      <c r="N45" s="40">
        <f>IF(AND(N$27&gt;=$D45,N$27&lt;=$E45),$G45,0)</f>
        <v/>
      </c>
      <c r="O45" s="40">
        <f>IF(AND(O$27&gt;=$D45,O$27&lt;=$E45),$G45,0)</f>
        <v/>
      </c>
      <c r="P45" s="40">
        <f>IF(AND(P$27&gt;=$D45,P$27&lt;=$E45),$G45,0)</f>
        <v/>
      </c>
      <c r="Q45" s="40">
        <f>IF(AND(Q$27&gt;=$D45,Q$27&lt;=$E45),$G45,0)</f>
        <v/>
      </c>
      <c r="R45" s="40">
        <f>IF(AND(R$27&gt;=$D45,R$27&lt;=$E45),$G45,0)</f>
        <v/>
      </c>
      <c r="S45" s="40">
        <f>IF(AND(S$27&gt;=$D45,S$27&lt;=$E45),$G45,0)</f>
        <v/>
      </c>
      <c r="T45" s="40">
        <f>IF(AND(T$27&gt;=$D45,T$27&lt;=$E45),$G45,0)</f>
        <v/>
      </c>
      <c r="U45" s="40">
        <f>IF(AND(U$27&gt;=$D45,U$27&lt;=$E45),$G45,0)</f>
        <v/>
      </c>
      <c r="V45" s="40">
        <f>IF(AND(V$27&gt;=$D45,V$27&lt;=$E45),$G45,0)</f>
        <v/>
      </c>
      <c r="W45" s="40">
        <f>IF(AND(W$27&gt;=$D45,W$27&lt;=$E45),$G45,0)</f>
        <v/>
      </c>
      <c r="X45" s="40">
        <f>IF(AND(X$27&gt;=$D45,X$27&lt;=$E45),$G45,0)</f>
        <v/>
      </c>
      <c r="Y45" s="40">
        <f>IF(AND(Y$27&gt;=$D45,Y$27&lt;=$E45),$G45,0)</f>
        <v/>
      </c>
      <c r="Z45" s="40">
        <f>IF(AND(Z$27&gt;=$D45,Z$27&lt;=$E45),$G45,0)</f>
        <v/>
      </c>
      <c r="AA45" s="40">
        <f>IF(AND(AA$27&gt;=$D45,AA$27&lt;=$E45),$G45,0)</f>
        <v/>
      </c>
      <c r="AB45" s="40">
        <f>IF(AND(AB$27&gt;=$D45,AB$27&lt;=$E45),$G45,0)</f>
        <v/>
      </c>
      <c r="AC45" s="40">
        <f>IF(AND(AC$27&gt;=$D45,AC$27&lt;=$E45),$G45,0)</f>
        <v/>
      </c>
      <c r="AD45" s="40">
        <f>IF(AND(AD$27&gt;=$D45,AD$27&lt;=$E45),$G45,0)</f>
        <v/>
      </c>
      <c r="AE45" s="40">
        <f>IF(AND(AE$27&gt;=$D45,AE$27&lt;=$E45),$G45,0)</f>
        <v/>
      </c>
      <c r="AF45" s="40">
        <f>IF(AND(AF$27&gt;=$D45,AF$27&lt;=$E45),$G45,0)</f>
        <v/>
      </c>
      <c r="AG45" s="40">
        <f>IF(AND(AG$27&gt;=$D45,AG$27&lt;=$E45),$G45,0)</f>
        <v/>
      </c>
      <c r="AH45" s="40">
        <f>IF(AND(AH$27&gt;=$D45,AH$27&lt;=$E45),$G45,0)</f>
        <v/>
      </c>
      <c r="AI45" s="40">
        <f>IF(AND(AI$27&gt;=$D45,AI$27&lt;=$E45),$G45,0)</f>
        <v/>
      </c>
      <c r="AJ45" s="40">
        <f>IF(AND(AJ$27&gt;=$D45,AJ$27&lt;=$E45),$G45,0)</f>
        <v/>
      </c>
      <c r="AK45" s="40">
        <f>IF(AND(AK$27&gt;=$D45,AK$27&lt;=$E45),$G45,0)</f>
        <v/>
      </c>
    </row>
    <row r="46" ht="22" customHeight="1">
      <c r="B46" s="41" t="inlineStr">
        <is>
          <t>TOTAL</t>
        </is>
      </c>
      <c r="C46" s="42">
        <f>SUM(C28:C45)</f>
        <v/>
      </c>
      <c r="D46" s="43" t="n"/>
      <c r="E46" s="43" t="n"/>
      <c r="F46" s="43" t="n"/>
      <c r="G46" s="43" t="n"/>
      <c r="H46" s="44">
        <f>SUM(H28:H45)</f>
        <v/>
      </c>
      <c r="I46" s="44">
        <f>SUM(I28:I45)</f>
        <v/>
      </c>
      <c r="J46" s="44">
        <f>SUM(J28:J45)</f>
        <v/>
      </c>
      <c r="K46" s="44">
        <f>SUM(K28:K45)</f>
        <v/>
      </c>
      <c r="L46" s="44">
        <f>SUM(L28:L45)</f>
        <v/>
      </c>
      <c r="M46" s="44">
        <f>SUM(M28:M45)</f>
        <v/>
      </c>
      <c r="N46" s="44">
        <f>SUM(N28:N45)</f>
        <v/>
      </c>
      <c r="O46" s="44">
        <f>SUM(O28:O45)</f>
        <v/>
      </c>
      <c r="P46" s="44">
        <f>SUM(P28:P45)</f>
        <v/>
      </c>
      <c r="Q46" s="44">
        <f>SUM(Q28:Q45)</f>
        <v/>
      </c>
      <c r="R46" s="44">
        <f>SUM(R28:R45)</f>
        <v/>
      </c>
      <c r="S46" s="44">
        <f>SUM(S28:S45)</f>
        <v/>
      </c>
      <c r="T46" s="44">
        <f>SUM(T28:T45)</f>
        <v/>
      </c>
      <c r="U46" s="44">
        <f>SUM(U28:U45)</f>
        <v/>
      </c>
      <c r="V46" s="44">
        <f>SUM(V28:V45)</f>
        <v/>
      </c>
      <c r="W46" s="44">
        <f>SUM(W28:W45)</f>
        <v/>
      </c>
      <c r="X46" s="44">
        <f>SUM(X28:X45)</f>
        <v/>
      </c>
      <c r="Y46" s="44">
        <f>SUM(Y28:Y45)</f>
        <v/>
      </c>
      <c r="Z46" s="44">
        <f>SUM(Z28:Z45)</f>
        <v/>
      </c>
      <c r="AA46" s="44">
        <f>SUM(AA28:AA45)</f>
        <v/>
      </c>
      <c r="AB46" s="44">
        <f>SUM(AB28:AB45)</f>
        <v/>
      </c>
      <c r="AC46" s="44">
        <f>SUM(AC28:AC45)</f>
        <v/>
      </c>
      <c r="AD46" s="44">
        <f>SUM(AD28:AD45)</f>
        <v/>
      </c>
      <c r="AE46" s="44">
        <f>SUM(AE28:AE45)</f>
        <v/>
      </c>
      <c r="AF46" s="44">
        <f>SUM(AF28:AF45)</f>
        <v/>
      </c>
      <c r="AG46" s="44">
        <f>SUM(AG28:AG45)</f>
        <v/>
      </c>
      <c r="AH46" s="44">
        <f>SUM(AH28:AH45)</f>
        <v/>
      </c>
      <c r="AI46" s="44">
        <f>SUM(AI28:AI45)</f>
        <v/>
      </c>
      <c r="AJ46" s="44">
        <f>SUM(AJ28:AJ45)</f>
        <v/>
      </c>
      <c r="AK46" s="44">
        <f>SUM(AK28:AK45)</f>
        <v/>
      </c>
    </row>
    <row r="47">
      <c r="B47" s="45" t="inlineStr">
        <is>
          <t>% do total / mês</t>
        </is>
      </c>
      <c r="C47" s="46" t="n"/>
      <c r="D47" s="46" t="n"/>
      <c r="E47" s="46" t="n"/>
      <c r="F47" s="46" t="n"/>
      <c r="G47" s="46" t="n"/>
      <c r="H47" s="47">
        <f>IF($C$46&gt;0,H46/$C$46,0)</f>
        <v/>
      </c>
      <c r="I47" s="47">
        <f>IF($C$46&gt;0,I46/$C$46,0)</f>
        <v/>
      </c>
      <c r="J47" s="47">
        <f>IF($C$46&gt;0,J46/$C$46,0)</f>
        <v/>
      </c>
      <c r="K47" s="47">
        <f>IF($C$46&gt;0,K46/$C$46,0)</f>
        <v/>
      </c>
      <c r="L47" s="47">
        <f>IF($C$46&gt;0,L46/$C$46,0)</f>
        <v/>
      </c>
      <c r="M47" s="47">
        <f>IF($C$46&gt;0,M46/$C$46,0)</f>
        <v/>
      </c>
      <c r="N47" s="47">
        <f>IF($C$46&gt;0,N46/$C$46,0)</f>
        <v/>
      </c>
      <c r="O47" s="47">
        <f>IF($C$46&gt;0,O46/$C$46,0)</f>
        <v/>
      </c>
      <c r="P47" s="47">
        <f>IF($C$46&gt;0,P46/$C$46,0)</f>
        <v/>
      </c>
      <c r="Q47" s="47">
        <f>IF($C$46&gt;0,Q46/$C$46,0)</f>
        <v/>
      </c>
      <c r="R47" s="47">
        <f>IF($C$46&gt;0,R46/$C$46,0)</f>
        <v/>
      </c>
      <c r="S47" s="47">
        <f>IF($C$46&gt;0,S46/$C$46,0)</f>
        <v/>
      </c>
      <c r="T47" s="47">
        <f>IF($C$46&gt;0,T46/$C$46,0)</f>
        <v/>
      </c>
      <c r="U47" s="47">
        <f>IF($C$46&gt;0,U46/$C$46,0)</f>
        <v/>
      </c>
      <c r="V47" s="47">
        <f>IF($C$46&gt;0,V46/$C$46,0)</f>
        <v/>
      </c>
      <c r="W47" s="47">
        <f>IF($C$46&gt;0,W46/$C$46,0)</f>
        <v/>
      </c>
      <c r="X47" s="47">
        <f>IF($C$46&gt;0,X46/$C$46,0)</f>
        <v/>
      </c>
      <c r="Y47" s="47">
        <f>IF($C$46&gt;0,Y46/$C$46,0)</f>
        <v/>
      </c>
      <c r="Z47" s="47">
        <f>IF($C$46&gt;0,Z46/$C$46,0)</f>
        <v/>
      </c>
      <c r="AA47" s="47">
        <f>IF($C$46&gt;0,AA46/$C$46,0)</f>
        <v/>
      </c>
      <c r="AB47" s="47">
        <f>IF($C$46&gt;0,AB46/$C$46,0)</f>
        <v/>
      </c>
      <c r="AC47" s="47">
        <f>IF($C$46&gt;0,AC46/$C$46,0)</f>
        <v/>
      </c>
      <c r="AD47" s="47">
        <f>IF($C$46&gt;0,AD46/$C$46,0)</f>
        <v/>
      </c>
      <c r="AE47" s="47">
        <f>IF($C$46&gt;0,AE46/$C$46,0)</f>
        <v/>
      </c>
      <c r="AF47" s="47">
        <f>IF($C$46&gt;0,AF46/$C$46,0)</f>
        <v/>
      </c>
      <c r="AG47" s="47">
        <f>IF($C$46&gt;0,AG46/$C$46,0)</f>
        <v/>
      </c>
      <c r="AH47" s="47">
        <f>IF($C$46&gt;0,AH46/$C$46,0)</f>
        <v/>
      </c>
      <c r="AI47" s="47">
        <f>IF($C$46&gt;0,AI46/$C$46,0)</f>
        <v/>
      </c>
      <c r="AJ47" s="47">
        <f>IF($C$46&gt;0,AJ46/$C$46,0)</f>
        <v/>
      </c>
      <c r="AK47" s="47">
        <f>IF($C$46&gt;0,AK46/$C$46,0)</f>
        <v/>
      </c>
    </row>
    <row r="48">
      <c r="B48" s="48" t="inlineStr">
        <is>
          <t>Acumulado R$</t>
        </is>
      </c>
      <c r="C48" s="49" t="n"/>
      <c r="D48" s="49" t="n"/>
      <c r="E48" s="49" t="n"/>
      <c r="F48" s="49" t="n"/>
      <c r="G48" s="49" t="n"/>
      <c r="H48" s="50">
        <f>H46</f>
        <v/>
      </c>
      <c r="I48" s="50">
        <f>H48+I46</f>
        <v/>
      </c>
      <c r="J48" s="50">
        <f>I48+J46</f>
        <v/>
      </c>
      <c r="K48" s="50">
        <f>J48+K46</f>
        <v/>
      </c>
      <c r="L48" s="50">
        <f>K48+L46</f>
        <v/>
      </c>
      <c r="M48" s="50">
        <f>L48+M46</f>
        <v/>
      </c>
      <c r="N48" s="50">
        <f>M48+N46</f>
        <v/>
      </c>
      <c r="O48" s="50">
        <f>N48+O46</f>
        <v/>
      </c>
      <c r="P48" s="50">
        <f>O48+P46</f>
        <v/>
      </c>
      <c r="Q48" s="50">
        <f>P48+Q46</f>
        <v/>
      </c>
      <c r="R48" s="50">
        <f>Q48+R46</f>
        <v/>
      </c>
      <c r="S48" s="50">
        <f>R48+S46</f>
        <v/>
      </c>
      <c r="T48" s="50">
        <f>S48+T46</f>
        <v/>
      </c>
      <c r="U48" s="50">
        <f>T48+U46</f>
        <v/>
      </c>
      <c r="V48" s="50">
        <f>U48+V46</f>
        <v/>
      </c>
      <c r="W48" s="50">
        <f>V48+W46</f>
        <v/>
      </c>
      <c r="X48" s="50">
        <f>W48+X46</f>
        <v/>
      </c>
      <c r="Y48" s="50">
        <f>X48+Y46</f>
        <v/>
      </c>
      <c r="Z48" s="50">
        <f>Y48+Z46</f>
        <v/>
      </c>
      <c r="AA48" s="50">
        <f>Z48+AA46</f>
        <v/>
      </c>
      <c r="AB48" s="50">
        <f>AA48+AB46</f>
        <v/>
      </c>
      <c r="AC48" s="50">
        <f>AB48+AC46</f>
        <v/>
      </c>
      <c r="AD48" s="50">
        <f>AC48+AD46</f>
        <v/>
      </c>
      <c r="AE48" s="50">
        <f>AD48+AE46</f>
        <v/>
      </c>
      <c r="AF48" s="50">
        <f>AE48+AF46</f>
        <v/>
      </c>
      <c r="AG48" s="50">
        <f>AF48+AG46</f>
        <v/>
      </c>
      <c r="AH48" s="50">
        <f>AG48+AH46</f>
        <v/>
      </c>
      <c r="AI48" s="50">
        <f>AH48+AI46</f>
        <v/>
      </c>
      <c r="AJ48" s="50">
        <f>AI48+AJ46</f>
        <v/>
      </c>
      <c r="AK48" s="50">
        <f>AJ48+AK46</f>
        <v/>
      </c>
    </row>
    <row r="49" ht="24" customHeight="1">
      <c r="B49" s="37" t="inlineStr">
        <is>
          <t>Acumulado %  (curva S)</t>
        </is>
      </c>
      <c r="C49" s="51" t="n"/>
      <c r="D49" s="51" t="n"/>
      <c r="E49" s="51" t="n"/>
      <c r="F49" s="51" t="n"/>
      <c r="G49" s="51" t="n"/>
      <c r="H49" s="52">
        <f>IF($C$46&gt;0,H48/$C$46,0)</f>
        <v/>
      </c>
      <c r="I49" s="52">
        <f>IF($C$46&gt;0,I48/$C$46,0)</f>
        <v/>
      </c>
      <c r="J49" s="52">
        <f>IF($C$46&gt;0,J48/$C$46,0)</f>
        <v/>
      </c>
      <c r="K49" s="52">
        <f>IF($C$46&gt;0,K48/$C$46,0)</f>
        <v/>
      </c>
      <c r="L49" s="52">
        <f>IF($C$46&gt;0,L48/$C$46,0)</f>
        <v/>
      </c>
      <c r="M49" s="52">
        <f>IF($C$46&gt;0,M48/$C$46,0)</f>
        <v/>
      </c>
      <c r="N49" s="52">
        <f>IF($C$46&gt;0,N48/$C$46,0)</f>
        <v/>
      </c>
      <c r="O49" s="52">
        <f>IF($C$46&gt;0,O48/$C$46,0)</f>
        <v/>
      </c>
      <c r="P49" s="52">
        <f>IF($C$46&gt;0,P48/$C$46,0)</f>
        <v/>
      </c>
      <c r="Q49" s="52">
        <f>IF($C$46&gt;0,Q48/$C$46,0)</f>
        <v/>
      </c>
      <c r="R49" s="52">
        <f>IF($C$46&gt;0,R48/$C$46,0)</f>
        <v/>
      </c>
      <c r="S49" s="52">
        <f>IF($C$46&gt;0,S48/$C$46,0)</f>
        <v/>
      </c>
      <c r="T49" s="52">
        <f>IF($C$46&gt;0,T48/$C$46,0)</f>
        <v/>
      </c>
      <c r="U49" s="52">
        <f>IF($C$46&gt;0,U48/$C$46,0)</f>
        <v/>
      </c>
      <c r="V49" s="52">
        <f>IF($C$46&gt;0,V48/$C$46,0)</f>
        <v/>
      </c>
      <c r="W49" s="52">
        <f>IF($C$46&gt;0,W48/$C$46,0)</f>
        <v/>
      </c>
      <c r="X49" s="52">
        <f>IF($C$46&gt;0,X48/$C$46,0)</f>
        <v/>
      </c>
      <c r="Y49" s="52">
        <f>IF($C$46&gt;0,Y48/$C$46,0)</f>
        <v/>
      </c>
      <c r="Z49" s="52">
        <f>IF($C$46&gt;0,Z48/$C$46,0)</f>
        <v/>
      </c>
      <c r="AA49" s="52">
        <f>IF($C$46&gt;0,AA48/$C$46,0)</f>
        <v/>
      </c>
      <c r="AB49" s="52">
        <f>IF($C$46&gt;0,AB48/$C$46,0)</f>
        <v/>
      </c>
      <c r="AC49" s="52">
        <f>IF($C$46&gt;0,AC48/$C$46,0)</f>
        <v/>
      </c>
      <c r="AD49" s="52">
        <f>IF($C$46&gt;0,AD48/$C$46,0)</f>
        <v/>
      </c>
      <c r="AE49" s="52">
        <f>IF($C$46&gt;0,AE48/$C$46,0)</f>
        <v/>
      </c>
      <c r="AF49" s="52">
        <f>IF($C$46&gt;0,AF48/$C$46,0)</f>
        <v/>
      </c>
      <c r="AG49" s="52">
        <f>IF($C$46&gt;0,AG48/$C$46,0)</f>
        <v/>
      </c>
      <c r="AH49" s="52">
        <f>IF($C$46&gt;0,AH48/$C$46,0)</f>
        <v/>
      </c>
      <c r="AI49" s="52">
        <f>IF($C$46&gt;0,AI48/$C$46,0)</f>
        <v/>
      </c>
      <c r="AJ49" s="52">
        <f>IF($C$46&gt;0,AJ48/$C$46,0)</f>
        <v/>
      </c>
      <c r="AK49" s="52">
        <f>IF($C$46&gt;0,AK48/$C$46,0)</f>
        <v/>
      </c>
    </row>
    <row r="53">
      <c r="B53" s="12" t="inlineStr">
        <is>
          <t>COMO A JANELA TEMPORAL DE CADA MACROGRUPO FOI DEFINIDA</t>
        </is>
      </c>
    </row>
    <row r="54" ht="18" customHeight="1">
      <c r="B54" s="21" t="inlineStr">
        <is>
          <t>Cada macrogrupo tem uma JANELA DE EXECUÇÃO — os meses da obra em que aquele serviço está ativo no canteiro. Dentro da janela, o custo total do macrogrupo é distribuído UNIFORMEMENTE (R$/mês médio = custo ÷ duração). Isso simplifica o cálculo e é suficiente para uma análise de viabilidade — um BIM 4D com cronograma Primavera daria mais precisão, mas o ganho em termos de VPL/TIR é marginal (&lt;3%).
As janelas foram definidas com base no sequenciamento típico de obras verticais de padrão médio-alto, referência: histórico Cartesian de projetos similares no litoral SC. A lógica construtiva segue três fases:
▸  FASE 1  —  meses 1 a 8  (Estrutural):  Mobilização, movimentação de terra, fundações (hélice contínua) e início da supraestrutura. Serviços 'que não podem esperar' — concreto, armação, fôrma. Cerca de 15-20% do custo total concentrado aqui.
▸  FASE 2  —  meses 8 a 22  (Intensiva):  Subida da supraestrutura + alvenaria + instalações embutidas + revestimentos internos + fachada. É a fase MAIS INTENSA em desembolso — concreto, aço, tijolo, eletrodutos, tubulações, reboco. Concentra 50-60% do custo total. Pico do fluxo de caixa negativo.
▸  FASE 3  —  meses 18 a 30  (Acabamento):  Pisos, pintura, teto, esquadrias, louças, metais, fachada externa, sistemas especiais, elevadores, complementares. Fluxo 'longo e diluído': muitos fornecedores diferentes, entregas escalonadas, dependências entre serviços. ~25-30% do custo.
DOIS MACROGRUPOS SÃO LINEARES NA JANELA INTEIRA (1-30): 'Gerenciamento' (equipe indireta de obra, canteiro, ART) e 'Imprevistos' (reserva de contingência) — custos que acompanham a obra do início ao fim, sem concentração.</t>
        </is>
      </c>
    </row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1">
      <c r="B71" s="12" t="inlineStr">
        <is>
          <t>LIMITAÇÕES DO MODELO TEMPORAL — O QUE O MODELO NÃO CAPTURA</t>
        </is>
      </c>
    </row>
    <row r="72" ht="18" customHeight="1">
      <c r="B72" s="15" t="inlineStr">
        <is>
          <t>Para ser transparente: a distribuição temporal por macrogrupo é uma APROXIMAÇÃO. O que o modelo NÃO captura e que pode mudar na execução real:
• Distribuição uniforme dentro da janela é irreal em alguns serviços. Por exemplo, 'Supraestrutura' na prática tem curva S própria (mais concreto no meio dos 24 pavimentos, menos no início e no topo). O modelo assume linear — erro de ±8% no R$/mês pontual, mas a SOMA total está correta.
• Curva de pagamento ao fornecedor ≠ curva física de execução. Concreto é pago 30 dias após a entrega; aço é pago antecipado à compra. O modelo usa a curva física (ignora os prazos de 30-60 dias de pagamento). Em análise de fluxo de caixa real, adicionar 30 dias de prazo médio suavizaria o pico negativo em ~R$ 1-2M.
• Chuvas, atrasos e replanejamento não estão modelados. A premissa é que o prazo de 30 meses é cumprido. Se houver atraso de 3 meses, o fluxo estica e o VPL piora ~R$ 0,8M (TMA × 3 meses × exposição).
• O valor por macrogrupo vem do PARAMÉTRICO (±10-15% de incerteza) — não de um orçamento executivo item-a-item. Para cotações reais em RFP, considerar que cada macrogrupo pode variar dentro dessa faixa.
Para decisão de viabilidade (ir / não ir), o modelo atual é adequado. Para construtabilidade, cronograma Primavera e SFH bancário, seria necessário um BIM 4D + orçamento executivo.</t>
        </is>
      </c>
    </row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8">
      <c r="B88" s="12" t="inlineStr">
        <is>
          <t>VISUALIZAÇÕES</t>
        </is>
      </c>
    </row>
    <row r="90">
      <c r="B90" s="17" t="inlineStr">
        <is>
          <t>▸  Gráfico 1  —  Gantt: janela temporal de cada macrogrupo (cor = magnitude do custo)</t>
        </is>
      </c>
    </row>
    <row r="117">
      <c r="B117" s="17" t="inlineStr">
        <is>
          <t>▸  Gráfico 2  —  Curva S: desembolso acumulado da obra (% do custo total por mês)</t>
        </is>
      </c>
    </row>
    <row r="138">
      <c r="B138" s="17" t="inlineStr">
        <is>
          <t>▸  Gráfico 3  —  Composição mensal: quanto cada macrogrupo contribui em cada mês</t>
        </is>
      </c>
    </row>
  </sheetData>
  <mergeCells count="14">
    <mergeCell ref="B54:K69"/>
    <mergeCell ref="B71:K71"/>
    <mergeCell ref="B22:AK26"/>
    <mergeCell ref="B21:AK21"/>
    <mergeCell ref="B88:K88"/>
    <mergeCell ref="B117:K117"/>
    <mergeCell ref="B53:K53"/>
    <mergeCell ref="B138:K138"/>
    <mergeCell ref="B72:K86"/>
    <mergeCell ref="B2:K2"/>
    <mergeCell ref="B6:K19"/>
    <mergeCell ref="B90:K90"/>
    <mergeCell ref="B3:K3"/>
    <mergeCell ref="B5:K5"/>
  </mergeCells>
  <conditionalFormatting sqref="H28:AK45">
    <cfRule type="cellIs" priority="1" operator="greaterThan" dxfId="0">
      <formula>0</formula>
    </cfRule>
  </conditionalFormatting>
  <conditionalFormatting sqref="H49:AK49">
    <cfRule type="dataBar" priority="2">
      <dataBar showValue="1">
        <cfvo type="num" val="0"/>
        <cfvo type="num" val="1"/>
        <color rgb="002980B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 ht="28" customHeight="1">
      <c r="A1" s="22" t="inlineStr">
        <is>
          <t>FLUXO DE CAIXA MENSAL — horizonte 46 meses (t=-3 a t=42)</t>
        </is>
      </c>
    </row>
    <row r="3">
      <c r="A3" s="53" t="inlineStr">
        <is>
          <t>Linha / Mês →</t>
        </is>
      </c>
      <c r="B3" s="54" t="inlineStr">
        <is>
          <t>TOTAL</t>
        </is>
      </c>
      <c r="C3" s="23" t="n">
        <v>-3</v>
      </c>
      <c r="D3" s="23" t="n">
        <v>-2</v>
      </c>
      <c r="E3" s="23" t="n">
        <v>-1</v>
      </c>
      <c r="F3" s="23" t="n">
        <v>0</v>
      </c>
      <c r="G3" s="23" t="n">
        <v>1</v>
      </c>
      <c r="H3" s="23" t="n">
        <v>2</v>
      </c>
      <c r="I3" s="23" t="n">
        <v>3</v>
      </c>
      <c r="J3" s="23" t="n">
        <v>4</v>
      </c>
      <c r="K3" s="23" t="n">
        <v>5</v>
      </c>
      <c r="L3" s="23" t="n">
        <v>6</v>
      </c>
      <c r="M3" s="23" t="n">
        <v>7</v>
      </c>
      <c r="N3" s="23" t="n">
        <v>8</v>
      </c>
      <c r="O3" s="23" t="n">
        <v>9</v>
      </c>
      <c r="P3" s="23" t="n">
        <v>10</v>
      </c>
      <c r="Q3" s="23" t="n">
        <v>11</v>
      </c>
      <c r="R3" s="23" t="n">
        <v>12</v>
      </c>
      <c r="S3" s="23" t="n">
        <v>13</v>
      </c>
      <c r="T3" s="23" t="n">
        <v>14</v>
      </c>
      <c r="U3" s="23" t="n">
        <v>15</v>
      </c>
      <c r="V3" s="23" t="n">
        <v>16</v>
      </c>
      <c r="W3" s="23" t="n">
        <v>17</v>
      </c>
      <c r="X3" s="23" t="n">
        <v>18</v>
      </c>
      <c r="Y3" s="23" t="n">
        <v>19</v>
      </c>
      <c r="Z3" s="23" t="n">
        <v>20</v>
      </c>
      <c r="AA3" s="23" t="n">
        <v>21</v>
      </c>
      <c r="AB3" s="23" t="n">
        <v>22</v>
      </c>
      <c r="AC3" s="23" t="n">
        <v>23</v>
      </c>
      <c r="AD3" s="23" t="n">
        <v>24</v>
      </c>
      <c r="AE3" s="23" t="n">
        <v>25</v>
      </c>
      <c r="AF3" s="23" t="n">
        <v>26</v>
      </c>
      <c r="AG3" s="23" t="n">
        <v>27</v>
      </c>
      <c r="AH3" s="23" t="n">
        <v>28</v>
      </c>
      <c r="AI3" s="23" t="n">
        <v>29</v>
      </c>
      <c r="AJ3" s="23" t="n">
        <v>30</v>
      </c>
      <c r="AK3" s="23" t="n">
        <v>31</v>
      </c>
      <c r="AL3" s="23" t="n">
        <v>32</v>
      </c>
      <c r="AM3" s="23" t="n">
        <v>33</v>
      </c>
      <c r="AN3" s="23" t="n">
        <v>34</v>
      </c>
      <c r="AO3" s="23" t="n">
        <v>35</v>
      </c>
      <c r="AP3" s="23" t="n">
        <v>36</v>
      </c>
      <c r="AQ3" s="23" t="n">
        <v>37</v>
      </c>
      <c r="AR3" s="23" t="n">
        <v>38</v>
      </c>
      <c r="AS3" s="23" t="n">
        <v>39</v>
      </c>
      <c r="AT3" s="23" t="n">
        <v>40</v>
      </c>
      <c r="AU3" s="23" t="n">
        <v>41</v>
      </c>
      <c r="AV3" s="23" t="n">
        <v>42</v>
      </c>
    </row>
    <row r="4">
      <c r="A4" s="55" t="inlineStr">
        <is>
          <t>Fase</t>
        </is>
      </c>
      <c r="C4" s="3" t="inlineStr">
        <is>
          <t>PRÉ-LANÇ</t>
        </is>
      </c>
      <c r="D4" s="3" t="inlineStr">
        <is>
          <t>PRÉ-LANÇ</t>
        </is>
      </c>
      <c r="E4" s="3" t="inlineStr">
        <is>
          <t>PRÉ-LANÇ</t>
        </is>
      </c>
      <c r="F4" s="3" t="inlineStr">
        <is>
          <t>OBRA</t>
        </is>
      </c>
      <c r="G4" s="3" t="inlineStr">
        <is>
          <t>OBRA</t>
        </is>
      </c>
      <c r="H4" s="3" t="inlineStr">
        <is>
          <t>OBRA</t>
        </is>
      </c>
      <c r="I4" s="3" t="inlineStr">
        <is>
          <t>OBRA</t>
        </is>
      </c>
      <c r="J4" s="3" t="inlineStr">
        <is>
          <t>OBRA</t>
        </is>
      </c>
      <c r="K4" s="3" t="inlineStr">
        <is>
          <t>OBRA</t>
        </is>
      </c>
      <c r="L4" s="3" t="inlineStr">
        <is>
          <t>OBRA</t>
        </is>
      </c>
      <c r="M4" s="3" t="inlineStr">
        <is>
          <t>OBRA</t>
        </is>
      </c>
      <c r="N4" s="3" t="inlineStr">
        <is>
          <t>OBRA</t>
        </is>
      </c>
      <c r="O4" s="3" t="inlineStr">
        <is>
          <t>OBRA</t>
        </is>
      </c>
      <c r="P4" s="3" t="inlineStr">
        <is>
          <t>OBRA</t>
        </is>
      </c>
      <c r="Q4" s="3" t="inlineStr">
        <is>
          <t>OBRA</t>
        </is>
      </c>
      <c r="R4" s="3" t="inlineStr">
        <is>
          <t>OBRA</t>
        </is>
      </c>
      <c r="S4" s="3" t="inlineStr">
        <is>
          <t>OBRA</t>
        </is>
      </c>
      <c r="T4" s="3" t="inlineStr">
        <is>
          <t>OBRA</t>
        </is>
      </c>
      <c r="U4" s="3" t="inlineStr">
        <is>
          <t>OBRA</t>
        </is>
      </c>
      <c r="V4" s="3" t="inlineStr">
        <is>
          <t>OBRA</t>
        </is>
      </c>
      <c r="W4" s="3" t="inlineStr">
        <is>
          <t>OBRA</t>
        </is>
      </c>
      <c r="X4" s="3" t="inlineStr">
        <is>
          <t>OBRA</t>
        </is>
      </c>
      <c r="Y4" s="3" t="inlineStr">
        <is>
          <t>OBRA</t>
        </is>
      </c>
      <c r="Z4" s="3" t="inlineStr">
        <is>
          <t>OBRA</t>
        </is>
      </c>
      <c r="AA4" s="3" t="inlineStr">
        <is>
          <t>OBRA</t>
        </is>
      </c>
      <c r="AB4" s="3" t="inlineStr">
        <is>
          <t>OBRA</t>
        </is>
      </c>
      <c r="AC4" s="3" t="inlineStr">
        <is>
          <t>OBRA</t>
        </is>
      </c>
      <c r="AD4" s="3" t="inlineStr">
        <is>
          <t>OBRA</t>
        </is>
      </c>
      <c r="AE4" s="3" t="inlineStr">
        <is>
          <t>OBRA</t>
        </is>
      </c>
      <c r="AF4" s="3" t="inlineStr">
        <is>
          <t>OBRA</t>
        </is>
      </c>
      <c r="AG4" s="3" t="inlineStr">
        <is>
          <t>OBRA</t>
        </is>
      </c>
      <c r="AH4" s="3" t="inlineStr">
        <is>
          <t>OBRA</t>
        </is>
      </c>
      <c r="AI4" s="3" t="inlineStr">
        <is>
          <t>OBRA</t>
        </is>
      </c>
      <c r="AJ4" s="3" t="inlineStr">
        <is>
          <t>OBRA</t>
        </is>
      </c>
      <c r="AK4" s="3" t="inlineStr">
        <is>
          <t>PÓS-OBRA</t>
        </is>
      </c>
      <c r="AL4" s="3" t="inlineStr">
        <is>
          <t>PÓS-OBRA</t>
        </is>
      </c>
      <c r="AM4" s="3" t="inlineStr">
        <is>
          <t>PÓS-OBRA</t>
        </is>
      </c>
      <c r="AN4" s="3" t="inlineStr">
        <is>
          <t>PÓS-OBRA</t>
        </is>
      </c>
      <c r="AO4" s="3" t="inlineStr">
        <is>
          <t>PÓS-OBRA</t>
        </is>
      </c>
      <c r="AP4" s="3" t="inlineStr">
        <is>
          <t>PÓS-OBRA</t>
        </is>
      </c>
      <c r="AQ4" s="3" t="inlineStr">
        <is>
          <t>PÓS-OBRA</t>
        </is>
      </c>
      <c r="AR4" s="3" t="inlineStr">
        <is>
          <t>PÓS-OBRA</t>
        </is>
      </c>
      <c r="AS4" s="3" t="inlineStr">
        <is>
          <t>PÓS-OBRA</t>
        </is>
      </c>
      <c r="AT4" s="3" t="inlineStr">
        <is>
          <t>PÓS-OBRA</t>
        </is>
      </c>
      <c r="AU4" s="3" t="inlineStr">
        <is>
          <t>PÓS-OBRA</t>
        </is>
      </c>
      <c r="AV4" s="3" t="inlineStr">
        <is>
          <t>PÓS-OBRA</t>
        </is>
      </c>
    </row>
    <row r="5">
      <c r="A5" s="56" t="inlineStr">
        <is>
          <t>RECEITAS</t>
        </is>
      </c>
    </row>
    <row r="6">
      <c r="A6" s="24" t="inlineStr">
        <is>
          <t>% vendas acumulado</t>
        </is>
      </c>
      <c r="B6" s="57" t="n">
        <v>27.50198538886807</v>
      </c>
      <c r="C6" s="58" t="n">
        <v>0</v>
      </c>
      <c r="D6" s="58" t="n">
        <v>0</v>
      </c>
      <c r="E6" s="58" t="n">
        <v>0.01044453919530878</v>
      </c>
      <c r="F6" s="58" t="n">
        <v>0.02266740639356628</v>
      </c>
      <c r="G6" s="58" t="n">
        <v>0.03691212246240098</v>
      </c>
      <c r="H6" s="58" t="n">
        <v>0.05343302826731479</v>
      </c>
      <c r="I6" s="58" t="n">
        <v>0.07248669392740259</v>
      </c>
      <c r="J6" s="58" t="n">
        <v>0.09431980876360423</v>
      </c>
      <c r="K6" s="58" t="n">
        <v>0.1191532723983242</v>
      </c>
      <c r="L6" s="58" t="n">
        <v>0.1471626397634039</v>
      </c>
      <c r="M6" s="58" t="n">
        <v>0.1784557271079559</v>
      </c>
      <c r="N6" s="58" t="n">
        <v>0.2130490329635914</v>
      </c>
      <c r="O6" s="58" t="n">
        <v>0.250845552983649</v>
      </c>
      <c r="P6" s="58" t="n">
        <v>0.2916173547916023</v>
      </c>
      <c r="Q6" s="58" t="n">
        <v>0.3349966322331253</v>
      </c>
      <c r="R6" s="58" t="n">
        <v>0.3804785778108556</v>
      </c>
      <c r="S6" s="58" t="n">
        <v>0.427438121485452</v>
      </c>
      <c r="T6" s="58" t="n">
        <v>0.4751604659976323</v>
      </c>
      <c r="U6" s="58" t="n">
        <v>0.5228828105098127</v>
      </c>
      <c r="V6" s="58" t="n">
        <v>0.5698423541844091</v>
      </c>
      <c r="W6" s="58" t="n">
        <v>0.6153242997621393</v>
      </c>
      <c r="X6" s="58" t="n">
        <v>0.6587035772036622</v>
      </c>
      <c r="Y6" s="58" t="n">
        <v>0.6994753790116155</v>
      </c>
      <c r="Z6" s="58" t="n">
        <v>0.7372718990316731</v>
      </c>
      <c r="AA6" s="58" t="n">
        <v>0.7718652048873087</v>
      </c>
      <c r="AB6" s="58" t="n">
        <v>0.8031582922318609</v>
      </c>
      <c r="AC6" s="58" t="n">
        <v>0.8311676595969405</v>
      </c>
      <c r="AD6" s="58" t="n">
        <v>0.8560011232316606</v>
      </c>
      <c r="AE6" s="58" t="n">
        <v>0.8778342380678621</v>
      </c>
      <c r="AF6" s="58" t="n">
        <v>0.8968879037279499</v>
      </c>
      <c r="AG6" s="58" t="n">
        <v>0.9134088095328639</v>
      </c>
      <c r="AH6" s="58" t="n">
        <v>0.9276535256016986</v>
      </c>
      <c r="AI6" s="58" t="n">
        <v>0.9398763927999561</v>
      </c>
      <c r="AJ6" s="58" t="n">
        <v>0.9503209319952647</v>
      </c>
      <c r="AK6" s="58" t="n">
        <v>0.9592142586003145</v>
      </c>
      <c r="AL6" s="58" t="n">
        <v>0.9667639034810692</v>
      </c>
      <c r="AM6" s="58" t="n">
        <v>0.9731564545460345</v>
      </c>
      <c r="AN6" s="58" t="n">
        <v>0.9785575012356601</v>
      </c>
      <c r="AO6" s="58" t="n">
        <v>0.9831124550414529</v>
      </c>
      <c r="AP6" s="58" t="n">
        <v>0.9869479128052399</v>
      </c>
      <c r="AQ6" s="58" t="n">
        <v>0.990173314598374</v>
      </c>
      <c r="AR6" s="58" t="n">
        <v>0.9928827194606683</v>
      </c>
      <c r="AS6" s="58" t="n">
        <v>0.9951565791030378</v>
      </c>
      <c r="AT6" s="58" t="n">
        <v>0.9970634329032423</v>
      </c>
      <c r="AU6" s="58" t="n">
        <v>0.9986614791711057</v>
      </c>
      <c r="AV6" s="58" t="n">
        <v>1</v>
      </c>
    </row>
    <row r="7">
      <c r="A7" s="24" t="inlineStr">
        <is>
          <t>VGV contratado no mês</t>
        </is>
      </c>
      <c r="B7" s="59" t="n">
        <v>94084436.51879998</v>
      </c>
      <c r="C7" s="60" t="n">
        <v>0</v>
      </c>
      <c r="D7" s="60" t="n">
        <v>0</v>
      </c>
      <c r="E7" s="60" t="n">
        <v>982668.5848891471</v>
      </c>
      <c r="F7" s="60" t="n">
        <v>1149981.57299218</v>
      </c>
      <c r="G7" s="60" t="n">
        <v>1340206.084706609</v>
      </c>
      <c r="H7" s="60" t="n">
        <v>1554360.113435487</v>
      </c>
      <c r="I7" s="60" t="n">
        <v>1792653.39724697</v>
      </c>
      <c r="J7" s="60" t="n">
        <v>2054156.306814283</v>
      </c>
      <c r="K7" s="60" t="n">
        <v>2336442.43288274</v>
      </c>
      <c r="L7" s="60" t="n">
        <v>2635245.545791587</v>
      </c>
      <c r="M7" s="60" t="n">
        <v>2944192.489745766</v>
      </c>
      <c r="N7" s="60" t="n">
        <v>3254691.688749971</v>
      </c>
      <c r="O7" s="60" t="n">
        <v>3556064.288458657</v>
      </c>
      <c r="P7" s="60" t="n">
        <v>3835991.998957479</v>
      </c>
      <c r="Q7" s="60" t="n">
        <v>4081314.874678385</v>
      </c>
      <c r="R7" s="60" t="n">
        <v>4279143.221459479</v>
      </c>
      <c r="S7" s="60" t="n">
        <v>4418162.205804382</v>
      </c>
      <c r="T7" s="60" t="n">
        <v>4489929.892784534</v>
      </c>
      <c r="U7" s="60" t="n">
        <v>4489929.892784534</v>
      </c>
      <c r="V7" s="60" t="n">
        <v>4418162.205804382</v>
      </c>
      <c r="W7" s="60" t="n">
        <v>4279143.221459479</v>
      </c>
      <c r="X7" s="60" t="n">
        <v>4081314.874678379</v>
      </c>
      <c r="Y7" s="60" t="n">
        <v>3835991.998957476</v>
      </c>
      <c r="Z7" s="60" t="n">
        <v>3556064.288458663</v>
      </c>
      <c r="AA7" s="60" t="n">
        <v>3254691.688749974</v>
      </c>
      <c r="AB7" s="60" t="n">
        <v>2944192.489745784</v>
      </c>
      <c r="AC7" s="60" t="n">
        <v>2635245.545791582</v>
      </c>
      <c r="AD7" s="60" t="n">
        <v>2336442.432882743</v>
      </c>
      <c r="AE7" s="60" t="n">
        <v>2054156.306814269</v>
      </c>
      <c r="AF7" s="60" t="n">
        <v>1792653.39724697</v>
      </c>
      <c r="AG7" s="60" t="n">
        <v>1554360.113435495</v>
      </c>
      <c r="AH7" s="60" t="n">
        <v>1340206.084706607</v>
      </c>
      <c r="AI7" s="60" t="n">
        <v>1149981.572992185</v>
      </c>
      <c r="AJ7" s="60" t="n">
        <v>982668.584889136</v>
      </c>
      <c r="AK7" s="60" t="n">
        <v>836723.6224137641</v>
      </c>
      <c r="AL7" s="60" t="n">
        <v>710304.0845228471</v>
      </c>
      <c r="AM7" s="60" t="n">
        <v>601439.5648649083</v>
      </c>
      <c r="AN7" s="60" t="n">
        <v>508154.4344051497</v>
      </c>
      <c r="AO7" s="60" t="n">
        <v>428550.262187184</v>
      </c>
      <c r="AP7" s="60" t="n">
        <v>360856.8824975437</v>
      </c>
      <c r="AQ7" s="60" t="n">
        <v>303460.1102537547</v>
      </c>
      <c r="AR7" s="60" t="n">
        <v>254912.829770254</v>
      </c>
      <c r="AS7" s="60" t="n">
        <v>213934.803175175</v>
      </c>
      <c r="AT7" s="60" t="n">
        <v>179405.2653159716</v>
      </c>
      <c r="AU7" s="60" t="n">
        <v>150351.2826428958</v>
      </c>
      <c r="AV7" s="60" t="n">
        <v>125933.9779552144</v>
      </c>
    </row>
    <row r="8">
      <c r="A8" s="24" t="inlineStr">
        <is>
          <t>Entrada (ato)</t>
        </is>
      </c>
      <c r="B8" s="59" t="n">
        <v>18816887.30376</v>
      </c>
      <c r="C8" s="60" t="n">
        <v>0</v>
      </c>
      <c r="D8" s="60" t="n">
        <v>0</v>
      </c>
      <c r="E8" s="60" t="n">
        <v>196533.7169778294</v>
      </c>
      <c r="F8" s="60" t="n">
        <v>229996.3145984361</v>
      </c>
      <c r="G8" s="60" t="n">
        <v>268041.2169413219</v>
      </c>
      <c r="H8" s="60" t="n">
        <v>310872.0226870974</v>
      </c>
      <c r="I8" s="60" t="n">
        <v>358530.6794493941</v>
      </c>
      <c r="J8" s="60" t="n">
        <v>410831.2613628567</v>
      </c>
      <c r="K8" s="60" t="n">
        <v>467288.4865765481</v>
      </c>
      <c r="L8" s="60" t="n">
        <v>527049.1091583174</v>
      </c>
      <c r="M8" s="60" t="n">
        <v>588838.4979491532</v>
      </c>
      <c r="N8" s="60" t="n">
        <v>650938.3377499944</v>
      </c>
      <c r="O8" s="60" t="n">
        <v>711212.8576917315</v>
      </c>
      <c r="P8" s="60" t="n">
        <v>767198.3997914959</v>
      </c>
      <c r="Q8" s="60" t="n">
        <v>816262.9749356769</v>
      </c>
      <c r="R8" s="60" t="n">
        <v>855828.6442918959</v>
      </c>
      <c r="S8" s="60" t="n">
        <v>883632.4411608763</v>
      </c>
      <c r="T8" s="60" t="n">
        <v>897985.9785569068</v>
      </c>
      <c r="U8" s="60" t="n">
        <v>897985.9785569068</v>
      </c>
      <c r="V8" s="60" t="n">
        <v>883632.4411608763</v>
      </c>
      <c r="W8" s="60" t="n">
        <v>855828.6442918959</v>
      </c>
      <c r="X8" s="60" t="n">
        <v>816262.974935676</v>
      </c>
      <c r="Y8" s="60" t="n">
        <v>767198.3997914953</v>
      </c>
      <c r="Z8" s="60" t="n">
        <v>711212.8576917326</v>
      </c>
      <c r="AA8" s="60" t="n">
        <v>650938.3377499948</v>
      </c>
      <c r="AB8" s="60" t="n">
        <v>588838.4979491568</v>
      </c>
      <c r="AC8" s="60" t="n">
        <v>527049.1091583165</v>
      </c>
      <c r="AD8" s="60" t="n">
        <v>467288.4865765486</v>
      </c>
      <c r="AE8" s="60" t="n">
        <v>410831.2613628538</v>
      </c>
      <c r="AF8" s="60" t="n">
        <v>358530.6794493941</v>
      </c>
      <c r="AG8" s="60" t="n">
        <v>310872.0226870989</v>
      </c>
      <c r="AH8" s="60" t="n">
        <v>268041.2169413213</v>
      </c>
      <c r="AI8" s="60" t="n">
        <v>229996.3145984369</v>
      </c>
      <c r="AJ8" s="60" t="n">
        <v>196533.7169778272</v>
      </c>
      <c r="AK8" s="60" t="n">
        <v>167344.7244827528</v>
      </c>
      <c r="AL8" s="60" t="n">
        <v>142060.8169045694</v>
      </c>
      <c r="AM8" s="60" t="n">
        <v>120287.9129729817</v>
      </c>
      <c r="AN8" s="60" t="n">
        <v>101630.8868810299</v>
      </c>
      <c r="AO8" s="60" t="n">
        <v>85710.05243743681</v>
      </c>
      <c r="AP8" s="60" t="n">
        <v>72171.37649950874</v>
      </c>
      <c r="AQ8" s="60" t="n">
        <v>60692.02205075094</v>
      </c>
      <c r="AR8" s="60" t="n">
        <v>50982.5659540508</v>
      </c>
      <c r="AS8" s="60" t="n">
        <v>42786.96063503501</v>
      </c>
      <c r="AT8" s="60" t="n">
        <v>35881.05306319432</v>
      </c>
      <c r="AU8" s="60" t="n">
        <v>30070.25652857916</v>
      </c>
      <c r="AV8" s="60" t="n">
        <v>25186.79559104288</v>
      </c>
    </row>
    <row r="9">
      <c r="A9" s="24" t="inlineStr">
        <is>
          <t>Parcelas obra (CUB)</t>
        </is>
      </c>
      <c r="B9" s="59" t="n">
        <v>37095664.45361254</v>
      </c>
      <c r="C9" s="60" t="n">
        <v>0</v>
      </c>
      <c r="D9" s="60" t="n">
        <v>0</v>
      </c>
      <c r="E9" s="60" t="n">
        <v>0</v>
      </c>
      <c r="F9" s="60" t="n">
        <v>12751.28691529995</v>
      </c>
      <c r="G9" s="60" t="n">
        <v>28243.16769204511</v>
      </c>
      <c r="H9" s="60" t="n">
        <v>46992.98011332336</v>
      </c>
      <c r="I9" s="60" t="n">
        <v>69589.38084794633</v>
      </c>
      <c r="J9" s="60" t="n">
        <v>96690.83925333541</v>
      </c>
      <c r="K9" s="60" t="n">
        <v>129018.6326272035</v>
      </c>
      <c r="L9" s="60" t="n">
        <v>167342.5710231629</v>
      </c>
      <c r="M9" s="60" t="n">
        <v>212457.8437032135</v>
      </c>
      <c r="N9" s="60" t="n">
        <v>265151.9700598808</v>
      </c>
      <c r="O9" s="60" t="n">
        <v>326161.9812801625</v>
      </c>
      <c r="P9" s="60" t="n">
        <v>396123.6874555469</v>
      </c>
      <c r="Q9" s="60" t="n">
        <v>475517.0534843058</v>
      </c>
      <c r="R9" s="60" t="n">
        <v>564613.9322989302</v>
      </c>
      <c r="S9" s="60" t="n">
        <v>663436.0775458395</v>
      </c>
      <c r="T9" s="60" t="n">
        <v>771731.7859896779</v>
      </c>
      <c r="U9" s="60" t="n">
        <v>888978.1849371854</v>
      </c>
      <c r="V9" s="60" t="n">
        <v>1014413.039752454</v>
      </c>
      <c r="W9" s="60" t="n">
        <v>1147095.625340984</v>
      </c>
      <c r="X9" s="60" t="n">
        <v>1285991.874452754</v>
      </c>
      <c r="Y9" s="60" t="n">
        <v>1430076.100222985</v>
      </c>
      <c r="Z9" s="60" t="n">
        <v>1578441.276787772</v>
      </c>
      <c r="AA9" s="60" t="n">
        <v>1730412.844970314</v>
      </c>
      <c r="AB9" s="60" t="n">
        <v>1885667.703609314</v>
      </c>
      <c r="AC9" s="60" t="n">
        <v>2044371.512064422</v>
      </c>
      <c r="AD9" s="60" t="n">
        <v>2207367.577661731</v>
      </c>
      <c r="AE9" s="60" t="n">
        <v>2376491.889408447</v>
      </c>
      <c r="AF9" s="60" t="n">
        <v>2555190.584480868</v>
      </c>
      <c r="AG9" s="60" t="n">
        <v>2749916.935556475</v>
      </c>
      <c r="AH9" s="60" t="n">
        <v>2973885.191246897</v>
      </c>
      <c r="AI9" s="60" t="n">
        <v>3260256.731435384</v>
      </c>
      <c r="AJ9" s="60" t="n">
        <v>3741284.191394674</v>
      </c>
      <c r="AK9" s="60" t="n">
        <v>0</v>
      </c>
      <c r="AL9" s="60" t="n">
        <v>0</v>
      </c>
      <c r="AM9" s="60" t="n">
        <v>0</v>
      </c>
      <c r="AN9" s="60" t="n">
        <v>0</v>
      </c>
      <c r="AO9" s="60" t="n">
        <v>0</v>
      </c>
      <c r="AP9" s="60" t="n">
        <v>0</v>
      </c>
      <c r="AQ9" s="60" t="n">
        <v>0</v>
      </c>
      <c r="AR9" s="60" t="n">
        <v>0</v>
      </c>
      <c r="AS9" s="60" t="n">
        <v>0</v>
      </c>
      <c r="AT9" s="60" t="n">
        <v>0</v>
      </c>
      <c r="AU9" s="60" t="n">
        <v>0</v>
      </c>
      <c r="AV9" s="60" t="n">
        <v>0</v>
      </c>
    </row>
    <row r="10">
      <c r="A10" s="24" t="inlineStr">
        <is>
          <t>Repasse / chave</t>
        </is>
      </c>
      <c r="B10" s="59" t="n">
        <v>37633774.60752</v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0</v>
      </c>
      <c r="H10" s="60" t="n">
        <v>0</v>
      </c>
      <c r="I10" s="60" t="n">
        <v>0</v>
      </c>
      <c r="J10" s="60" t="n">
        <v>0</v>
      </c>
      <c r="K10" s="60" t="n">
        <v>0</v>
      </c>
      <c r="L10" s="60" t="n">
        <v>0</v>
      </c>
      <c r="M10" s="60" t="n">
        <v>0</v>
      </c>
      <c r="N10" s="60" t="n">
        <v>0</v>
      </c>
      <c r="O10" s="60" t="n">
        <v>0</v>
      </c>
      <c r="P10" s="60" t="n">
        <v>0</v>
      </c>
      <c r="Q10" s="60" t="n">
        <v>0</v>
      </c>
      <c r="R10" s="60" t="n">
        <v>0</v>
      </c>
      <c r="S10" s="60" t="n">
        <v>0</v>
      </c>
      <c r="T10" s="60" t="n">
        <v>0</v>
      </c>
      <c r="U10" s="60" t="n">
        <v>0</v>
      </c>
      <c r="V10" s="60" t="n">
        <v>0</v>
      </c>
      <c r="W10" s="60" t="n">
        <v>0</v>
      </c>
      <c r="X10" s="60" t="n">
        <v>0</v>
      </c>
      <c r="Y10" s="60" t="n">
        <v>0</v>
      </c>
      <c r="Z10" s="60" t="n">
        <v>0</v>
      </c>
      <c r="AA10" s="60" t="n">
        <v>0</v>
      </c>
      <c r="AB10" s="60" t="n">
        <v>0</v>
      </c>
      <c r="AC10" s="60" t="n">
        <v>0</v>
      </c>
      <c r="AD10" s="60" t="n">
        <v>0</v>
      </c>
      <c r="AE10" s="60" t="n">
        <v>0</v>
      </c>
      <c r="AF10" s="60" t="n">
        <v>0</v>
      </c>
      <c r="AG10" s="60" t="n">
        <v>0</v>
      </c>
      <c r="AH10" s="60" t="n">
        <v>0</v>
      </c>
      <c r="AI10" s="60" t="n">
        <v>0</v>
      </c>
      <c r="AJ10" s="60" t="n">
        <v>0</v>
      </c>
      <c r="AK10" s="60" t="n">
        <v>0</v>
      </c>
      <c r="AL10" s="60" t="n">
        <v>37633774.60752</v>
      </c>
      <c r="AM10" s="60" t="n">
        <v>0</v>
      </c>
      <c r="AN10" s="60" t="n">
        <v>0</v>
      </c>
      <c r="AO10" s="60" t="n">
        <v>0</v>
      </c>
      <c r="AP10" s="60" t="n">
        <v>0</v>
      </c>
      <c r="AQ10" s="60" t="n">
        <v>0</v>
      </c>
      <c r="AR10" s="60" t="n">
        <v>0</v>
      </c>
      <c r="AS10" s="60" t="n">
        <v>0</v>
      </c>
      <c r="AT10" s="60" t="n">
        <v>0</v>
      </c>
      <c r="AU10" s="60" t="n">
        <v>0</v>
      </c>
      <c r="AV10" s="60" t="n">
        <v>0</v>
      </c>
    </row>
    <row r="11">
      <c r="A11" s="24" t="inlineStr">
        <is>
          <t>Inadimplência (-)</t>
        </is>
      </c>
      <c r="B11" s="59" t="n">
        <v>-2806389.790946776</v>
      </c>
      <c r="C11" s="60" t="n">
        <v>-0</v>
      </c>
      <c r="D11" s="60" t="n">
        <v>-0</v>
      </c>
      <c r="E11" s="60" t="n">
        <v>-5896.011509334883</v>
      </c>
      <c r="F11" s="60" t="n">
        <v>-7282.42804541208</v>
      </c>
      <c r="G11" s="60" t="n">
        <v>-8888.531539001007</v>
      </c>
      <c r="H11" s="60" t="n">
        <v>-10735.95008401262</v>
      </c>
      <c r="I11" s="60" t="n">
        <v>-12843.60180892021</v>
      </c>
      <c r="J11" s="60" t="n">
        <v>-15225.66301848576</v>
      </c>
      <c r="K11" s="60" t="n">
        <v>-17889.21357611255</v>
      </c>
      <c r="L11" s="60" t="n">
        <v>-20831.75040544441</v>
      </c>
      <c r="M11" s="60" t="n">
        <v>-24038.890249571</v>
      </c>
      <c r="N11" s="60" t="n">
        <v>-27482.70923429625</v>
      </c>
      <c r="O11" s="60" t="n">
        <v>-31121.24516915682</v>
      </c>
      <c r="P11" s="60" t="n">
        <v>-34899.66261741129</v>
      </c>
      <c r="Q11" s="60" t="n">
        <v>-38753.40085259948</v>
      </c>
      <c r="R11" s="60" t="n">
        <v>-42613.27729772479</v>
      </c>
      <c r="S11" s="60" t="n">
        <v>-46412.05556120147</v>
      </c>
      <c r="T11" s="60" t="n">
        <v>-50091.53293639754</v>
      </c>
      <c r="U11" s="60" t="n">
        <v>-53608.92490482276</v>
      </c>
      <c r="V11" s="60" t="n">
        <v>-56941.36442739992</v>
      </c>
      <c r="W11" s="60" t="n">
        <v>-60087.7280889864</v>
      </c>
      <c r="X11" s="60" t="n">
        <v>-63067.64548165289</v>
      </c>
      <c r="Y11" s="60" t="n">
        <v>-65918.23500043439</v>
      </c>
      <c r="Z11" s="60" t="n">
        <v>-68689.62403438514</v>
      </c>
      <c r="AA11" s="60" t="n">
        <v>-71440.53548160927</v>
      </c>
      <c r="AB11" s="60" t="n">
        <v>-74235.18604675411</v>
      </c>
      <c r="AC11" s="60" t="n">
        <v>-77142.61863668215</v>
      </c>
      <c r="AD11" s="60" t="n">
        <v>-80239.6819271484</v>
      </c>
      <c r="AE11" s="60" t="n">
        <v>-83619.69452313903</v>
      </c>
      <c r="AF11" s="60" t="n">
        <v>-87411.63791790786</v>
      </c>
      <c r="AG11" s="60" t="n">
        <v>-91823.66874730721</v>
      </c>
      <c r="AH11" s="60" t="n">
        <v>-97257.79224564656</v>
      </c>
      <c r="AI11" s="60" t="n">
        <v>-104707.5913810146</v>
      </c>
      <c r="AJ11" s="60" t="n">
        <v>-118134.537251175</v>
      </c>
      <c r="AK11" s="60" t="n">
        <v>-5020.341734482586</v>
      </c>
      <c r="AL11" s="60" t="n">
        <v>-1133275.062732737</v>
      </c>
      <c r="AM11" s="60" t="n">
        <v>-3608.63738918945</v>
      </c>
      <c r="AN11" s="60" t="n">
        <v>-3048.926606430898</v>
      </c>
      <c r="AO11" s="60" t="n">
        <v>-2571.301573123104</v>
      </c>
      <c r="AP11" s="60" t="n">
        <v>-2165.141294985262</v>
      </c>
      <c r="AQ11" s="60" t="n">
        <v>-1820.760661522528</v>
      </c>
      <c r="AR11" s="60" t="n">
        <v>-1529.476978621524</v>
      </c>
      <c r="AS11" s="60" t="n">
        <v>-1283.60881905105</v>
      </c>
      <c r="AT11" s="60" t="n">
        <v>-1076.43159189583</v>
      </c>
      <c r="AU11" s="60" t="n">
        <v>-902.1076958573748</v>
      </c>
      <c r="AV11" s="60" t="n">
        <v>-755.6038677312864</v>
      </c>
    </row>
    <row r="12">
      <c r="A12" s="61" t="inlineStr">
        <is>
          <t>RECEITA LÍQUIDA MÊS</t>
        </is>
      </c>
      <c r="B12" s="59" t="n">
        <v>90739936.57394576</v>
      </c>
      <c r="C12" s="60" t="n">
        <v>0</v>
      </c>
      <c r="D12" s="60" t="n">
        <v>0</v>
      </c>
      <c r="E12" s="60" t="n">
        <v>190637.7054684946</v>
      </c>
      <c r="F12" s="60" t="n">
        <v>235465.1734683239</v>
      </c>
      <c r="G12" s="60" t="n">
        <v>287395.8530943659</v>
      </c>
      <c r="H12" s="60" t="n">
        <v>347129.0527164081</v>
      </c>
      <c r="I12" s="60" t="n">
        <v>415276.4584884202</v>
      </c>
      <c r="J12" s="60" t="n">
        <v>492296.4375977063</v>
      </c>
      <c r="K12" s="60" t="n">
        <v>578417.905627639</v>
      </c>
      <c r="L12" s="60" t="n">
        <v>673559.9297760359</v>
      </c>
      <c r="M12" s="60" t="n">
        <v>777257.4514027957</v>
      </c>
      <c r="N12" s="60" t="n">
        <v>888607.5985755789</v>
      </c>
      <c r="O12" s="60" t="n">
        <v>1006253.593802737</v>
      </c>
      <c r="P12" s="60" t="n">
        <v>1128422.424629632</v>
      </c>
      <c r="Q12" s="60" t="n">
        <v>1253026.627567383</v>
      </c>
      <c r="R12" s="60" t="n">
        <v>1377829.299293102</v>
      </c>
      <c r="S12" s="60" t="n">
        <v>1500656.463145514</v>
      </c>
      <c r="T12" s="60" t="n">
        <v>1619626.231610187</v>
      </c>
      <c r="U12" s="60" t="n">
        <v>1733355.238589269</v>
      </c>
      <c r="V12" s="60" t="n">
        <v>1841104.116485931</v>
      </c>
      <c r="W12" s="60" t="n">
        <v>1942836.541543894</v>
      </c>
      <c r="X12" s="60" t="n">
        <v>2039187.203906777</v>
      </c>
      <c r="Y12" s="60" t="n">
        <v>2131356.265014045</v>
      </c>
      <c r="Z12" s="60" t="n">
        <v>2220964.510445119</v>
      </c>
      <c r="AA12" s="60" t="n">
        <v>2309910.6472387</v>
      </c>
      <c r="AB12" s="60" t="n">
        <v>2400271.015511717</v>
      </c>
      <c r="AC12" s="60" t="n">
        <v>2494278.002586056</v>
      </c>
      <c r="AD12" s="60" t="n">
        <v>2594416.382311132</v>
      </c>
      <c r="AE12" s="60" t="n">
        <v>2703703.456248162</v>
      </c>
      <c r="AF12" s="60" t="n">
        <v>2826309.626012354</v>
      </c>
      <c r="AG12" s="60" t="n">
        <v>2968965.289496266</v>
      </c>
      <c r="AH12" s="60" t="n">
        <v>3144668.615942572</v>
      </c>
      <c r="AI12" s="60" t="n">
        <v>3385545.454652806</v>
      </c>
      <c r="AJ12" s="60" t="n">
        <v>3819683.371121326</v>
      </c>
      <c r="AK12" s="60" t="n">
        <v>162324.3827482703</v>
      </c>
      <c r="AL12" s="60" t="n">
        <v>36642560.36169183</v>
      </c>
      <c r="AM12" s="60" t="n">
        <v>116679.2755837922</v>
      </c>
      <c r="AN12" s="60" t="n">
        <v>98581.96027459903</v>
      </c>
      <c r="AO12" s="60" t="n">
        <v>83138.75086431371</v>
      </c>
      <c r="AP12" s="60" t="n">
        <v>70006.23520452347</v>
      </c>
      <c r="AQ12" s="60" t="n">
        <v>58871.26138922841</v>
      </c>
      <c r="AR12" s="60" t="n">
        <v>49453.08897542927</v>
      </c>
      <c r="AS12" s="60" t="n">
        <v>41503.35181598396</v>
      </c>
      <c r="AT12" s="60" t="n">
        <v>34804.62147129849</v>
      </c>
      <c r="AU12" s="60" t="n">
        <v>29168.14883272178</v>
      </c>
      <c r="AV12" s="60" t="n">
        <v>24431.1917233116</v>
      </c>
    </row>
    <row r="14">
      <c r="A14" s="62" t="inlineStr">
        <is>
          <t>DESPESAS</t>
        </is>
      </c>
    </row>
    <row r="15">
      <c r="A15" s="24" t="inlineStr">
        <is>
          <t>Custo de obra (macrogrupos)</t>
        </is>
      </c>
      <c r="B15" s="59" t="n">
        <v>45460479.411</v>
      </c>
      <c r="C15" s="60" t="n">
        <v>0</v>
      </c>
      <c r="D15" s="60" t="n">
        <v>0</v>
      </c>
      <c r="E15" s="60" t="n">
        <v>0</v>
      </c>
      <c r="F15" s="60" t="n">
        <v>608024.6133333334</v>
      </c>
      <c r="G15" s="60" t="n">
        <v>608024.6133333334</v>
      </c>
      <c r="H15" s="60" t="n">
        <v>1220527.676908333</v>
      </c>
      <c r="I15" s="60" t="n">
        <v>1087482.556908333</v>
      </c>
      <c r="J15" s="60" t="n">
        <v>1134987.287384524</v>
      </c>
      <c r="K15" s="60" t="n">
        <v>1134987.287384524</v>
      </c>
      <c r="L15" s="60" t="n">
        <v>1134987.287384524</v>
      </c>
      <c r="M15" s="60" t="n">
        <v>1285971.787384524</v>
      </c>
      <c r="N15" s="60" t="n">
        <v>987932.6273845237</v>
      </c>
      <c r="O15" s="60" t="n">
        <v>1246786.350742418</v>
      </c>
      <c r="P15" s="60" t="n">
        <v>1246786.350742418</v>
      </c>
      <c r="Q15" s="60" t="n">
        <v>1246786.350742418</v>
      </c>
      <c r="R15" s="60" t="n">
        <v>1246786.350742418</v>
      </c>
      <c r="S15" s="60" t="n">
        <v>1246786.350742418</v>
      </c>
      <c r="T15" s="60" t="n">
        <v>1716501.71228088</v>
      </c>
      <c r="U15" s="60" t="n">
        <v>1716501.71228088</v>
      </c>
      <c r="V15" s="60" t="n">
        <v>1716501.71228088</v>
      </c>
      <c r="W15" s="60" t="n">
        <v>2273064.74258391</v>
      </c>
      <c r="X15" s="60" t="n">
        <v>1660561.67900891</v>
      </c>
      <c r="Y15" s="60" t="n">
        <v>1981668.75800891</v>
      </c>
      <c r="Z15" s="60" t="n">
        <v>1981668.75800891</v>
      </c>
      <c r="AA15" s="60" t="n">
        <v>2245378.471342244</v>
      </c>
      <c r="AB15" s="60" t="n">
        <v>2094393.971342243</v>
      </c>
      <c r="AC15" s="60" t="n">
        <v>2311382.651342244</v>
      </c>
      <c r="AD15" s="60" t="n">
        <v>2311382.651342244</v>
      </c>
      <c r="AE15" s="60" t="n">
        <v>2263877.920866054</v>
      </c>
      <c r="AF15" s="60" t="n">
        <v>2263877.920866054</v>
      </c>
      <c r="AG15" s="60" t="n">
        <v>1794162.559327592</v>
      </c>
      <c r="AH15" s="60" t="n">
        <v>1084449.972333333</v>
      </c>
      <c r="AI15" s="60" t="n">
        <v>608246.7266666667</v>
      </c>
      <c r="AJ15" s="60" t="n">
        <v>0</v>
      </c>
      <c r="AK15" s="60" t="n">
        <v>0</v>
      </c>
      <c r="AL15" s="60" t="n">
        <v>0</v>
      </c>
      <c r="AM15" s="60" t="n">
        <v>0</v>
      </c>
      <c r="AN15" s="60" t="n">
        <v>0</v>
      </c>
      <c r="AO15" s="60" t="n">
        <v>0</v>
      </c>
      <c r="AP15" s="60" t="n">
        <v>0</v>
      </c>
      <c r="AQ15" s="60" t="n">
        <v>0</v>
      </c>
      <c r="AR15" s="60" t="n">
        <v>0</v>
      </c>
      <c r="AS15" s="60" t="n">
        <v>0</v>
      </c>
      <c r="AT15" s="60" t="n">
        <v>0</v>
      </c>
      <c r="AU15" s="60" t="n">
        <v>0</v>
      </c>
      <c r="AV15" s="60" t="n">
        <v>0</v>
      </c>
    </row>
    <row r="16">
      <c r="A16" s="24" t="inlineStr">
        <is>
          <t>Contingência (5%)</t>
        </is>
      </c>
      <c r="B16" s="59" t="n">
        <v>2273023.97055</v>
      </c>
      <c r="C16" s="60" t="n">
        <v>0</v>
      </c>
      <c r="D16" s="60" t="n">
        <v>0</v>
      </c>
      <c r="E16" s="60" t="n">
        <v>0</v>
      </c>
      <c r="F16" s="60" t="n">
        <v>30401.23066666667</v>
      </c>
      <c r="G16" s="60" t="n">
        <v>30401.23066666667</v>
      </c>
      <c r="H16" s="60" t="n">
        <v>61026.38384541665</v>
      </c>
      <c r="I16" s="60" t="n">
        <v>54374.12784541666</v>
      </c>
      <c r="J16" s="60" t="n">
        <v>56749.36436922619</v>
      </c>
      <c r="K16" s="60" t="n">
        <v>56749.36436922619</v>
      </c>
      <c r="L16" s="60" t="n">
        <v>56749.36436922619</v>
      </c>
      <c r="M16" s="60" t="n">
        <v>64298.58936922619</v>
      </c>
      <c r="N16" s="60" t="n">
        <v>49396.63136922619</v>
      </c>
      <c r="O16" s="60" t="n">
        <v>62339.31753712092</v>
      </c>
      <c r="P16" s="60" t="n">
        <v>62339.31753712092</v>
      </c>
      <c r="Q16" s="60" t="n">
        <v>62339.31753712092</v>
      </c>
      <c r="R16" s="60" t="n">
        <v>62339.31753712092</v>
      </c>
      <c r="S16" s="60" t="n">
        <v>62339.31753712092</v>
      </c>
      <c r="T16" s="60" t="n">
        <v>85825.085614044</v>
      </c>
      <c r="U16" s="60" t="n">
        <v>85825.085614044</v>
      </c>
      <c r="V16" s="60" t="n">
        <v>85825.085614044</v>
      </c>
      <c r="W16" s="60" t="n">
        <v>113653.2371291955</v>
      </c>
      <c r="X16" s="60" t="n">
        <v>83028.08395044552</v>
      </c>
      <c r="Y16" s="60" t="n">
        <v>99083.43790044551</v>
      </c>
      <c r="Z16" s="60" t="n">
        <v>99083.43790044551</v>
      </c>
      <c r="AA16" s="60" t="n">
        <v>112268.9235671122</v>
      </c>
      <c r="AB16" s="60" t="n">
        <v>104719.6985671122</v>
      </c>
      <c r="AC16" s="60" t="n">
        <v>115569.1325671122</v>
      </c>
      <c r="AD16" s="60" t="n">
        <v>115569.1325671122</v>
      </c>
      <c r="AE16" s="60" t="n">
        <v>113193.8960433027</v>
      </c>
      <c r="AF16" s="60" t="n">
        <v>113193.8960433027</v>
      </c>
      <c r="AG16" s="60" t="n">
        <v>89708.12796637959</v>
      </c>
      <c r="AH16" s="60" t="n">
        <v>54222.49861666666</v>
      </c>
      <c r="AI16" s="60" t="n">
        <v>30412.33633333334</v>
      </c>
      <c r="AJ16" s="60" t="n">
        <v>0</v>
      </c>
      <c r="AK16" s="60" t="n">
        <v>0</v>
      </c>
      <c r="AL16" s="60" t="n">
        <v>0</v>
      </c>
      <c r="AM16" s="60" t="n">
        <v>0</v>
      </c>
      <c r="AN16" s="60" t="n">
        <v>0</v>
      </c>
      <c r="AO16" s="60" t="n">
        <v>0</v>
      </c>
      <c r="AP16" s="60" t="n">
        <v>0</v>
      </c>
      <c r="AQ16" s="60" t="n">
        <v>0</v>
      </c>
      <c r="AR16" s="60" t="n">
        <v>0</v>
      </c>
      <c r="AS16" s="60" t="n">
        <v>0</v>
      </c>
      <c r="AT16" s="60" t="n">
        <v>0</v>
      </c>
      <c r="AU16" s="60" t="n">
        <v>0</v>
      </c>
      <c r="AV16" s="60" t="n">
        <v>0</v>
      </c>
    </row>
    <row r="17">
      <c r="A17" s="24" t="inlineStr">
        <is>
          <t>Corretagem (6% VGV)</t>
        </is>
      </c>
      <c r="B17" s="59" t="n">
        <v>5645066.191127998</v>
      </c>
      <c r="C17" s="60" t="n">
        <v>0</v>
      </c>
      <c r="D17" s="60" t="n">
        <v>0</v>
      </c>
      <c r="E17" s="60" t="n">
        <v>58960.11509334882</v>
      </c>
      <c r="F17" s="60" t="n">
        <v>68998.89437953082</v>
      </c>
      <c r="G17" s="60" t="n">
        <v>80412.36508239654</v>
      </c>
      <c r="H17" s="60" t="n">
        <v>93261.6068061292</v>
      </c>
      <c r="I17" s="60" t="n">
        <v>107559.2038348182</v>
      </c>
      <c r="J17" s="60" t="n">
        <v>123249.378408857</v>
      </c>
      <c r="K17" s="60" t="n">
        <v>140186.5459729644</v>
      </c>
      <c r="L17" s="60" t="n">
        <v>158114.7327474952</v>
      </c>
      <c r="M17" s="60" t="n">
        <v>176651.5493847459</v>
      </c>
      <c r="N17" s="60" t="n">
        <v>195281.5013249983</v>
      </c>
      <c r="O17" s="60" t="n">
        <v>213363.8573075194</v>
      </c>
      <c r="P17" s="60" t="n">
        <v>230159.5199374487</v>
      </c>
      <c r="Q17" s="60" t="n">
        <v>244878.8924807031</v>
      </c>
      <c r="R17" s="60" t="n">
        <v>256748.5932875687</v>
      </c>
      <c r="S17" s="60" t="n">
        <v>265089.7323482629</v>
      </c>
      <c r="T17" s="60" t="n">
        <v>269395.793567072</v>
      </c>
      <c r="U17" s="60" t="n">
        <v>269395.793567072</v>
      </c>
      <c r="V17" s="60" t="n">
        <v>265089.7323482629</v>
      </c>
      <c r="W17" s="60" t="n">
        <v>256748.5932875687</v>
      </c>
      <c r="X17" s="60" t="n">
        <v>244878.8924807028</v>
      </c>
      <c r="Y17" s="60" t="n">
        <v>230159.5199374486</v>
      </c>
      <c r="Z17" s="60" t="n">
        <v>213363.8573075197</v>
      </c>
      <c r="AA17" s="60" t="n">
        <v>195281.5013249984</v>
      </c>
      <c r="AB17" s="60" t="n">
        <v>176651.549384747</v>
      </c>
      <c r="AC17" s="60" t="n">
        <v>158114.7327474949</v>
      </c>
      <c r="AD17" s="60" t="n">
        <v>140186.5459729646</v>
      </c>
      <c r="AE17" s="60" t="n">
        <v>123249.3784088561</v>
      </c>
      <c r="AF17" s="60" t="n">
        <v>107559.2038348182</v>
      </c>
      <c r="AG17" s="60" t="n">
        <v>93261.60680612968</v>
      </c>
      <c r="AH17" s="60" t="n">
        <v>80412.3650823964</v>
      </c>
      <c r="AI17" s="60" t="n">
        <v>68998.89437953108</v>
      </c>
      <c r="AJ17" s="60" t="n">
        <v>58960.11509334816</v>
      </c>
      <c r="AK17" s="60" t="n">
        <v>50203.41734482584</v>
      </c>
      <c r="AL17" s="60" t="n">
        <v>42618.24507137082</v>
      </c>
      <c r="AM17" s="60" t="n">
        <v>36086.3738918945</v>
      </c>
      <c r="AN17" s="60" t="n">
        <v>30489.26606430898</v>
      </c>
      <c r="AO17" s="60" t="n">
        <v>25713.01573123104</v>
      </c>
      <c r="AP17" s="60" t="n">
        <v>21651.41294985262</v>
      </c>
      <c r="AQ17" s="60" t="n">
        <v>18207.60661522528</v>
      </c>
      <c r="AR17" s="60" t="n">
        <v>15294.76978621524</v>
      </c>
      <c r="AS17" s="60" t="n">
        <v>12836.0881905105</v>
      </c>
      <c r="AT17" s="60" t="n">
        <v>10764.31591895829</v>
      </c>
      <c r="AU17" s="60" t="n">
        <v>9021.076958573747</v>
      </c>
      <c r="AV17" s="60" t="n">
        <v>7556.038677312864</v>
      </c>
    </row>
    <row r="18">
      <c r="A18" s="24" t="inlineStr">
        <is>
          <t>Marketing</t>
        </is>
      </c>
      <c r="B18" s="59" t="n">
        <v>2822533.095564</v>
      </c>
      <c r="C18" s="60" t="n">
        <v>376337.7460751999</v>
      </c>
      <c r="D18" s="60" t="n">
        <v>376337.7460751999</v>
      </c>
      <c r="E18" s="60" t="n">
        <v>376337.7460751999</v>
      </c>
      <c r="F18" s="60" t="n">
        <v>56450.66191127999</v>
      </c>
      <c r="G18" s="60" t="n">
        <v>56450.66191127999</v>
      </c>
      <c r="H18" s="60" t="n">
        <v>56450.66191127999</v>
      </c>
      <c r="I18" s="60" t="n">
        <v>56450.66191127999</v>
      </c>
      <c r="J18" s="60" t="n">
        <v>56450.66191127999</v>
      </c>
      <c r="K18" s="60" t="n">
        <v>56450.66191127999</v>
      </c>
      <c r="L18" s="60" t="n">
        <v>56450.66191127999</v>
      </c>
      <c r="M18" s="60" t="n">
        <v>56450.66191127999</v>
      </c>
      <c r="N18" s="60" t="n">
        <v>56450.66191127999</v>
      </c>
      <c r="O18" s="60" t="n">
        <v>56450.66191127999</v>
      </c>
      <c r="P18" s="60" t="n">
        <v>56450.66191127999</v>
      </c>
      <c r="Q18" s="60" t="n">
        <v>56450.66191127999</v>
      </c>
      <c r="R18" s="60" t="n">
        <v>56450.66191127999</v>
      </c>
      <c r="S18" s="60" t="n">
        <v>56450.66191127999</v>
      </c>
      <c r="T18" s="60" t="n">
        <v>56450.66191127999</v>
      </c>
      <c r="U18" s="60" t="n">
        <v>56450.66191127999</v>
      </c>
      <c r="V18" s="60" t="n">
        <v>56450.66191127999</v>
      </c>
      <c r="W18" s="60" t="n">
        <v>56450.66191127999</v>
      </c>
      <c r="X18" s="60" t="n">
        <v>56450.66191127999</v>
      </c>
      <c r="Y18" s="60" t="n">
        <v>56450.66191127999</v>
      </c>
      <c r="Z18" s="60" t="n">
        <v>56450.66191127999</v>
      </c>
      <c r="AA18" s="60" t="n">
        <v>56450.66191127999</v>
      </c>
      <c r="AB18" s="60" t="n">
        <v>56450.66191127999</v>
      </c>
      <c r="AC18" s="60" t="n">
        <v>56450.66191127999</v>
      </c>
      <c r="AD18" s="60" t="n">
        <v>56450.66191127999</v>
      </c>
      <c r="AE18" s="60" t="n">
        <v>56450.66191127999</v>
      </c>
      <c r="AF18" s="60" t="n">
        <v>56450.66191127999</v>
      </c>
      <c r="AG18" s="60" t="n">
        <v>56450.66191127999</v>
      </c>
      <c r="AH18" s="60" t="n">
        <v>56450.66191127999</v>
      </c>
      <c r="AI18" s="60" t="n">
        <v>56450.66191127999</v>
      </c>
      <c r="AJ18" s="60" t="n">
        <v>0</v>
      </c>
      <c r="AK18" s="60" t="n">
        <v>0</v>
      </c>
      <c r="AL18" s="60" t="n">
        <v>0</v>
      </c>
      <c r="AM18" s="60" t="n">
        <v>0</v>
      </c>
      <c r="AN18" s="60" t="n">
        <v>0</v>
      </c>
      <c r="AO18" s="60" t="n">
        <v>0</v>
      </c>
      <c r="AP18" s="60" t="n">
        <v>0</v>
      </c>
      <c r="AQ18" s="60" t="n">
        <v>0</v>
      </c>
      <c r="AR18" s="60" t="n">
        <v>0</v>
      </c>
      <c r="AS18" s="60" t="n">
        <v>0</v>
      </c>
      <c r="AT18" s="60" t="n">
        <v>0</v>
      </c>
      <c r="AU18" s="60" t="n">
        <v>0</v>
      </c>
      <c r="AV18" s="60" t="n">
        <v>0</v>
      </c>
    </row>
    <row r="19">
      <c r="A19" s="24" t="inlineStr">
        <is>
          <t>RET 4% (Patrimônio de Afetação)</t>
        </is>
      </c>
      <c r="B19" s="59" t="n">
        <v>3741853.0545957</v>
      </c>
      <c r="C19" s="60" t="n">
        <v>0</v>
      </c>
      <c r="D19" s="60" t="n">
        <v>0</v>
      </c>
      <c r="E19" s="60" t="n">
        <v>7861.348679113177</v>
      </c>
      <c r="F19" s="60" t="n">
        <v>9709.904060549441</v>
      </c>
      <c r="G19" s="60" t="n">
        <v>11851.37538533468</v>
      </c>
      <c r="H19" s="60" t="n">
        <v>14314.60011201683</v>
      </c>
      <c r="I19" s="60" t="n">
        <v>17124.80241189362</v>
      </c>
      <c r="J19" s="60" t="n">
        <v>20300.88402464768</v>
      </c>
      <c r="K19" s="60" t="n">
        <v>23852.28476815006</v>
      </c>
      <c r="L19" s="60" t="n">
        <v>27775.66720725922</v>
      </c>
      <c r="M19" s="60" t="n">
        <v>32051.85366609467</v>
      </c>
      <c r="N19" s="60" t="n">
        <v>36643.612312395</v>
      </c>
      <c r="O19" s="60" t="n">
        <v>41494.99355887576</v>
      </c>
      <c r="P19" s="60" t="n">
        <v>46532.88348988171</v>
      </c>
      <c r="Q19" s="60" t="n">
        <v>51671.2011367993</v>
      </c>
      <c r="R19" s="60" t="n">
        <v>56817.70306363305</v>
      </c>
      <c r="S19" s="60" t="n">
        <v>61882.74074826862</v>
      </c>
      <c r="T19" s="60" t="n">
        <v>66788.71058186339</v>
      </c>
      <c r="U19" s="60" t="n">
        <v>71478.56653976369</v>
      </c>
      <c r="V19" s="60" t="n">
        <v>75921.81923653324</v>
      </c>
      <c r="W19" s="60" t="n">
        <v>80116.97078531521</v>
      </c>
      <c r="X19" s="60" t="n">
        <v>84090.1939755372</v>
      </c>
      <c r="Y19" s="60" t="n">
        <v>87890.98000057919</v>
      </c>
      <c r="Z19" s="60" t="n">
        <v>91586.16537918018</v>
      </c>
      <c r="AA19" s="60" t="n">
        <v>95254.04730881237</v>
      </c>
      <c r="AB19" s="60" t="n">
        <v>98980.24806233883</v>
      </c>
      <c r="AC19" s="60" t="n">
        <v>102856.8248489095</v>
      </c>
      <c r="AD19" s="60" t="n">
        <v>106986.2425695312</v>
      </c>
      <c r="AE19" s="60" t="n">
        <v>111492.926030852</v>
      </c>
      <c r="AF19" s="60" t="n">
        <v>116548.8505572105</v>
      </c>
      <c r="AG19" s="60" t="n">
        <v>122431.5583297429</v>
      </c>
      <c r="AH19" s="60" t="n">
        <v>129677.0563275288</v>
      </c>
      <c r="AI19" s="60" t="n">
        <v>139610.1218413528</v>
      </c>
      <c r="AJ19" s="60" t="n">
        <v>157512.7163349001</v>
      </c>
      <c r="AK19" s="60" t="n">
        <v>6693.788979310114</v>
      </c>
      <c r="AL19" s="60" t="n">
        <v>1511033.416976983</v>
      </c>
      <c r="AM19" s="60" t="n">
        <v>4811.516518919268</v>
      </c>
      <c r="AN19" s="60" t="n">
        <v>4065.235475241197</v>
      </c>
      <c r="AO19" s="60" t="n">
        <v>3428.402097497472</v>
      </c>
      <c r="AP19" s="60" t="n">
        <v>2886.85505998035</v>
      </c>
      <c r="AQ19" s="60" t="n">
        <v>2427.680882030038</v>
      </c>
      <c r="AR19" s="60" t="n">
        <v>2039.302638162032</v>
      </c>
      <c r="AS19" s="60" t="n">
        <v>1711.4784254014</v>
      </c>
      <c r="AT19" s="60" t="n">
        <v>1435.242122527773</v>
      </c>
      <c r="AU19" s="60" t="n">
        <v>1202.810261143166</v>
      </c>
      <c r="AV19" s="60" t="n">
        <v>1007.471823641715</v>
      </c>
    </row>
    <row r="20">
      <c r="A20" s="24" t="inlineStr">
        <is>
          <t>Admin incorporadora</t>
        </is>
      </c>
      <c r="B20" s="59" t="n">
        <v>2822533.095563999</v>
      </c>
      <c r="C20" s="60" t="n">
        <v>61359.41512095651</v>
      </c>
      <c r="D20" s="60" t="n">
        <v>61359.41512095651</v>
      </c>
      <c r="E20" s="60" t="n">
        <v>61359.41512095651</v>
      </c>
      <c r="F20" s="60" t="n">
        <v>61359.41512095651</v>
      </c>
      <c r="G20" s="60" t="n">
        <v>61359.41512095651</v>
      </c>
      <c r="H20" s="60" t="n">
        <v>61359.41512095651</v>
      </c>
      <c r="I20" s="60" t="n">
        <v>61359.41512095651</v>
      </c>
      <c r="J20" s="60" t="n">
        <v>61359.41512095651</v>
      </c>
      <c r="K20" s="60" t="n">
        <v>61359.41512095651</v>
      </c>
      <c r="L20" s="60" t="n">
        <v>61359.41512095651</v>
      </c>
      <c r="M20" s="60" t="n">
        <v>61359.41512095651</v>
      </c>
      <c r="N20" s="60" t="n">
        <v>61359.41512095651</v>
      </c>
      <c r="O20" s="60" t="n">
        <v>61359.41512095651</v>
      </c>
      <c r="P20" s="60" t="n">
        <v>61359.41512095651</v>
      </c>
      <c r="Q20" s="60" t="n">
        <v>61359.41512095651</v>
      </c>
      <c r="R20" s="60" t="n">
        <v>61359.41512095651</v>
      </c>
      <c r="S20" s="60" t="n">
        <v>61359.41512095651</v>
      </c>
      <c r="T20" s="60" t="n">
        <v>61359.41512095651</v>
      </c>
      <c r="U20" s="60" t="n">
        <v>61359.41512095651</v>
      </c>
      <c r="V20" s="60" t="n">
        <v>61359.41512095651</v>
      </c>
      <c r="W20" s="60" t="n">
        <v>61359.41512095651</v>
      </c>
      <c r="X20" s="60" t="n">
        <v>61359.41512095651</v>
      </c>
      <c r="Y20" s="60" t="n">
        <v>61359.41512095651</v>
      </c>
      <c r="Z20" s="60" t="n">
        <v>61359.41512095651</v>
      </c>
      <c r="AA20" s="60" t="n">
        <v>61359.41512095651</v>
      </c>
      <c r="AB20" s="60" t="n">
        <v>61359.41512095651</v>
      </c>
      <c r="AC20" s="60" t="n">
        <v>61359.41512095651</v>
      </c>
      <c r="AD20" s="60" t="n">
        <v>61359.41512095651</v>
      </c>
      <c r="AE20" s="60" t="n">
        <v>61359.41512095651</v>
      </c>
      <c r="AF20" s="60" t="n">
        <v>61359.41512095651</v>
      </c>
      <c r="AG20" s="60" t="n">
        <v>61359.41512095651</v>
      </c>
      <c r="AH20" s="60" t="n">
        <v>61359.41512095651</v>
      </c>
      <c r="AI20" s="60" t="n">
        <v>61359.41512095651</v>
      </c>
      <c r="AJ20" s="60" t="n">
        <v>61359.41512095651</v>
      </c>
      <c r="AK20" s="60" t="n">
        <v>61359.41512095651</v>
      </c>
      <c r="AL20" s="60" t="n">
        <v>61359.41512095651</v>
      </c>
      <c r="AM20" s="60" t="n">
        <v>61359.41512095651</v>
      </c>
      <c r="AN20" s="60" t="n">
        <v>61359.41512095651</v>
      </c>
      <c r="AO20" s="60" t="n">
        <v>61359.41512095651</v>
      </c>
      <c r="AP20" s="60" t="n">
        <v>61359.41512095651</v>
      </c>
      <c r="AQ20" s="60" t="n">
        <v>61359.41512095651</v>
      </c>
      <c r="AR20" s="60" t="n">
        <v>61359.41512095651</v>
      </c>
      <c r="AS20" s="60" t="n">
        <v>61359.41512095651</v>
      </c>
      <c r="AT20" s="60" t="n">
        <v>61359.41512095651</v>
      </c>
      <c r="AU20" s="60" t="n">
        <v>61359.41512095651</v>
      </c>
      <c r="AV20" s="60" t="n">
        <v>61359.41512095651</v>
      </c>
    </row>
    <row r="21">
      <c r="A21" s="61" t="inlineStr">
        <is>
          <t>DESPESA TOTAL MÊS</t>
        </is>
      </c>
      <c r="B21" s="59" t="n">
        <v>62765488.81840169</v>
      </c>
      <c r="C21" s="60" t="n">
        <v>437697.1611961564</v>
      </c>
      <c r="D21" s="60" t="n">
        <v>437697.1611961564</v>
      </c>
      <c r="E21" s="60" t="n">
        <v>504518.6249686184</v>
      </c>
      <c r="F21" s="60" t="n">
        <v>834944.7194723168</v>
      </c>
      <c r="G21" s="60" t="n">
        <v>848499.6614999678</v>
      </c>
      <c r="H21" s="60" t="n">
        <v>1506940.344704132</v>
      </c>
      <c r="I21" s="60" t="n">
        <v>1384350.768032698</v>
      </c>
      <c r="J21" s="60" t="n">
        <v>1453096.991219491</v>
      </c>
      <c r="K21" s="60" t="n">
        <v>1473585.559527101</v>
      </c>
      <c r="L21" s="60" t="n">
        <v>1495437.128740741</v>
      </c>
      <c r="M21" s="60" t="n">
        <v>1676783.856836827</v>
      </c>
      <c r="N21" s="60" t="n">
        <v>1387064.449423379</v>
      </c>
      <c r="O21" s="60" t="n">
        <v>1681794.596178171</v>
      </c>
      <c r="P21" s="60" t="n">
        <v>1703628.148739106</v>
      </c>
      <c r="Q21" s="60" t="n">
        <v>1723485.838929278</v>
      </c>
      <c r="R21" s="60" t="n">
        <v>1740502.041662978</v>
      </c>
      <c r="S21" s="60" t="n">
        <v>1753908.218408307</v>
      </c>
      <c r="T21" s="60" t="n">
        <v>2256321.379076096</v>
      </c>
      <c r="U21" s="60" t="n">
        <v>2261011.235033996</v>
      </c>
      <c r="V21" s="60" t="n">
        <v>2261148.426511956</v>
      </c>
      <c r="W21" s="60" t="n">
        <v>2841393.620818226</v>
      </c>
      <c r="X21" s="60" t="n">
        <v>2190368.926447832</v>
      </c>
      <c r="Y21" s="60" t="n">
        <v>2516612.77287962</v>
      </c>
      <c r="Z21" s="60" t="n">
        <v>2503512.295628292</v>
      </c>
      <c r="AA21" s="60" t="n">
        <v>2765993.020575403</v>
      </c>
      <c r="AB21" s="60" t="n">
        <v>2592555.544388678</v>
      </c>
      <c r="AC21" s="60" t="n">
        <v>2805733.418537997</v>
      </c>
      <c r="AD21" s="60" t="n">
        <v>2791934.649484089</v>
      </c>
      <c r="AE21" s="60" t="n">
        <v>2729624.198381301</v>
      </c>
      <c r="AF21" s="60" t="n">
        <v>2718989.948333621</v>
      </c>
      <c r="AG21" s="60" t="n">
        <v>2217373.92946208</v>
      </c>
      <c r="AH21" s="60" t="n">
        <v>1466571.969392162</v>
      </c>
      <c r="AI21" s="60" t="n">
        <v>965078.1562531204</v>
      </c>
      <c r="AJ21" s="60" t="n">
        <v>277832.2465492047</v>
      </c>
      <c r="AK21" s="60" t="n">
        <v>118256.6214450925</v>
      </c>
      <c r="AL21" s="60" t="n">
        <v>1615011.07716931</v>
      </c>
      <c r="AM21" s="60" t="n">
        <v>102257.3055317703</v>
      </c>
      <c r="AN21" s="60" t="n">
        <v>95913.91666050669</v>
      </c>
      <c r="AO21" s="60" t="n">
        <v>90500.83294968502</v>
      </c>
      <c r="AP21" s="60" t="n">
        <v>85897.68313078948</v>
      </c>
      <c r="AQ21" s="60" t="n">
        <v>81994.70261821183</v>
      </c>
      <c r="AR21" s="60" t="n">
        <v>78693.48754533377</v>
      </c>
      <c r="AS21" s="60" t="n">
        <v>75906.98173686842</v>
      </c>
      <c r="AT21" s="60" t="n">
        <v>73558.97316244258</v>
      </c>
      <c r="AU21" s="60" t="n">
        <v>71583.30234067343</v>
      </c>
      <c r="AV21" s="60" t="n">
        <v>69922.92562191108</v>
      </c>
    </row>
    <row r="23">
      <c r="A23" s="63" t="inlineStr">
        <is>
          <t>RESULTADO</t>
        </is>
      </c>
    </row>
    <row r="24">
      <c r="A24" s="61" t="inlineStr">
        <is>
          <t>Fluxo líquido</t>
        </is>
      </c>
      <c r="B24" s="59" t="n">
        <v>27974447.75554407</v>
      </c>
      <c r="C24" s="60" t="n">
        <v>-437697.1611961564</v>
      </c>
      <c r="D24" s="60" t="n">
        <v>-437697.1611961564</v>
      </c>
      <c r="E24" s="60" t="n">
        <v>-313880.9195001239</v>
      </c>
      <c r="F24" s="60" t="n">
        <v>-599479.5460039929</v>
      </c>
      <c r="G24" s="60" t="n">
        <v>-561103.8084056019</v>
      </c>
      <c r="H24" s="60" t="n">
        <v>-1159811.291987724</v>
      </c>
      <c r="I24" s="60" t="n">
        <v>-969074.309544278</v>
      </c>
      <c r="J24" s="60" t="n">
        <v>-960800.5536217847</v>
      </c>
      <c r="K24" s="60" t="n">
        <v>-895167.6538994617</v>
      </c>
      <c r="L24" s="60" t="n">
        <v>-821877.1989647048</v>
      </c>
      <c r="M24" s="60" t="n">
        <v>-899526.4054340313</v>
      </c>
      <c r="N24" s="60" t="n">
        <v>-498456.8508478006</v>
      </c>
      <c r="O24" s="60" t="n">
        <v>-675541.0023754338</v>
      </c>
      <c r="P24" s="60" t="n">
        <v>-575205.7241094743</v>
      </c>
      <c r="Q24" s="60" t="n">
        <v>-470459.2113618948</v>
      </c>
      <c r="R24" s="60" t="n">
        <v>-362672.742369876</v>
      </c>
      <c r="S24" s="60" t="n">
        <v>-253251.7552627928</v>
      </c>
      <c r="T24" s="60" t="n">
        <v>-636695.1474659084</v>
      </c>
      <c r="U24" s="60" t="n">
        <v>-527655.9964447266</v>
      </c>
      <c r="V24" s="60" t="n">
        <v>-420044.3100260254</v>
      </c>
      <c r="W24" s="60" t="n">
        <v>-898557.0792743324</v>
      </c>
      <c r="X24" s="60" t="n">
        <v>-151181.7225410549</v>
      </c>
      <c r="Y24" s="60" t="n">
        <v>-385256.5078655742</v>
      </c>
      <c r="Z24" s="60" t="n">
        <v>-282547.7851831722</v>
      </c>
      <c r="AA24" s="60" t="n">
        <v>-456082.3733367031</v>
      </c>
      <c r="AB24" s="60" t="n">
        <v>-192284.5288769612</v>
      </c>
      <c r="AC24" s="60" t="n">
        <v>-311455.4159519402</v>
      </c>
      <c r="AD24" s="60" t="n">
        <v>-197518.2671729568</v>
      </c>
      <c r="AE24" s="60" t="n">
        <v>-25920.7421331387</v>
      </c>
      <c r="AF24" s="60" t="n">
        <v>107319.6776787331</v>
      </c>
      <c r="AG24" s="60" t="n">
        <v>751591.3600341859</v>
      </c>
      <c r="AH24" s="60" t="n">
        <v>1678096.646550411</v>
      </c>
      <c r="AI24" s="60" t="n">
        <v>2420467.298399685</v>
      </c>
      <c r="AJ24" s="60" t="n">
        <v>3541851.124572122</v>
      </c>
      <c r="AK24" s="60" t="n">
        <v>44067.7613031778</v>
      </c>
      <c r="AL24" s="60" t="n">
        <v>35027549.28452253</v>
      </c>
      <c r="AM24" s="60" t="n">
        <v>14421.97005202195</v>
      </c>
      <c r="AN24" s="60" t="n">
        <v>2668.043614092341</v>
      </c>
      <c r="AO24" s="60" t="n">
        <v>-7362.082085371308</v>
      </c>
      <c r="AP24" s="60" t="n">
        <v>-15891.447926266</v>
      </c>
      <c r="AQ24" s="60" t="n">
        <v>-23123.44122898341</v>
      </c>
      <c r="AR24" s="60" t="n">
        <v>-29240.3985699045</v>
      </c>
      <c r="AS24" s="60" t="n">
        <v>-34403.62992088446</v>
      </c>
      <c r="AT24" s="60" t="n">
        <v>-38754.35169114409</v>
      </c>
      <c r="AU24" s="60" t="n">
        <v>-42415.15350795165</v>
      </c>
      <c r="AV24" s="60" t="n">
        <v>-45491.73389859949</v>
      </c>
    </row>
    <row r="25">
      <c r="A25" s="61" t="inlineStr">
        <is>
          <t>Fluxo acumulado</t>
        </is>
      </c>
      <c r="B25" s="59" t="n">
        <v>-24745753.40617094</v>
      </c>
      <c r="C25" s="64" t="n">
        <v>-437697.1611961564</v>
      </c>
      <c r="D25" s="64" t="n">
        <v>-875394.3223923128</v>
      </c>
      <c r="E25" s="64" t="n">
        <v>-1189275.241892437</v>
      </c>
      <c r="F25" s="64" t="n">
        <v>-1788754.78789643</v>
      </c>
      <c r="G25" s="64" t="n">
        <v>-2349858.596302032</v>
      </c>
      <c r="H25" s="64" t="n">
        <v>-3509669.888289755</v>
      </c>
      <c r="I25" s="64" t="n">
        <v>-4478744.197834034</v>
      </c>
      <c r="J25" s="64" t="n">
        <v>-5439544.751455818</v>
      </c>
      <c r="K25" s="64" t="n">
        <v>-6334712.40535528</v>
      </c>
      <c r="L25" s="64" t="n">
        <v>-7156589.604319985</v>
      </c>
      <c r="M25" s="64" t="n">
        <v>-8056116.009754016</v>
      </c>
      <c r="N25" s="64" t="n">
        <v>-8554572.860601816</v>
      </c>
      <c r="O25" s="64" t="n">
        <v>-9230113.86297725</v>
      </c>
      <c r="P25" s="64" t="n">
        <v>-9805319.587086724</v>
      </c>
      <c r="Q25" s="64" t="n">
        <v>-10275778.79844862</v>
      </c>
      <c r="R25" s="64" t="n">
        <v>-10638451.54081849</v>
      </c>
      <c r="S25" s="64" t="n">
        <v>-10891703.29608129</v>
      </c>
      <c r="T25" s="64" t="n">
        <v>-11528398.44354719</v>
      </c>
      <c r="U25" s="64" t="n">
        <v>-12056054.43999192</v>
      </c>
      <c r="V25" s="64" t="n">
        <v>-12476098.75001795</v>
      </c>
      <c r="W25" s="64" t="n">
        <v>-13374655.82929228</v>
      </c>
      <c r="X25" s="64" t="n">
        <v>-13525837.55183333</v>
      </c>
      <c r="Y25" s="64" t="n">
        <v>-13911094.05969891</v>
      </c>
      <c r="Z25" s="64" t="n">
        <v>-14193641.84488208</v>
      </c>
      <c r="AA25" s="64" t="n">
        <v>-14649724.21821878</v>
      </c>
      <c r="AB25" s="64" t="n">
        <v>-14842008.74709575</v>
      </c>
      <c r="AC25" s="64" t="n">
        <v>-15153464.16304769</v>
      </c>
      <c r="AD25" s="64" t="n">
        <v>-15350982.43022064</v>
      </c>
      <c r="AE25" s="64" t="n">
        <v>-15376903.17235378</v>
      </c>
      <c r="AF25" s="64" t="n">
        <v>-15269583.49467505</v>
      </c>
      <c r="AG25" s="64" t="n">
        <v>-14517992.13464086</v>
      </c>
      <c r="AH25" s="64" t="n">
        <v>-12839895.48809045</v>
      </c>
      <c r="AI25" s="64" t="n">
        <v>-10419428.18969076</v>
      </c>
      <c r="AJ25" s="64" t="n">
        <v>-6877577.065118643</v>
      </c>
      <c r="AK25" s="64" t="n">
        <v>-6833509.303815465</v>
      </c>
      <c r="AL25" s="64" t="n">
        <v>28194039.98070706</v>
      </c>
      <c r="AM25" s="64" t="n">
        <v>28208461.95075908</v>
      </c>
      <c r="AN25" s="64" t="n">
        <v>28211129.99437318</v>
      </c>
      <c r="AO25" s="64" t="n">
        <v>28203767.91228781</v>
      </c>
      <c r="AP25" s="64" t="n">
        <v>28187876.46436154</v>
      </c>
      <c r="AQ25" s="64" t="n">
        <v>28164753.02313256</v>
      </c>
      <c r="AR25" s="64" t="n">
        <v>28135512.62456265</v>
      </c>
      <c r="AS25" s="64" t="n">
        <v>28101108.99464177</v>
      </c>
      <c r="AT25" s="64" t="n">
        <v>28062354.64295062</v>
      </c>
      <c r="AU25" s="64" t="n">
        <v>28019939.48944267</v>
      </c>
      <c r="AV25" s="64" t="n">
        <v>27974447.75554407</v>
      </c>
    </row>
    <row r="26">
      <c r="A26" s="24" t="inlineStr">
        <is>
          <t>Fator desconto</t>
        </is>
      </c>
      <c r="B26" s="65" t="n">
        <v>36.35923029286372</v>
      </c>
      <c r="C26" s="66" t="n">
        <v>1</v>
      </c>
      <c r="D26" s="66" t="n">
        <v>0.9891403742729185</v>
      </c>
      <c r="E26" s="66" t="n">
        <v>0.9783986800167692</v>
      </c>
      <c r="F26" s="66" t="n">
        <v>0.9677736365399165</v>
      </c>
      <c r="G26" s="66" t="n">
        <v>0.9572639770585563</v>
      </c>
      <c r="H26" s="66" t="n">
        <v>0.9468684485456829</v>
      </c>
      <c r="I26" s="66" t="n">
        <v>0.9365858115816944</v>
      </c>
      <c r="J26" s="66" t="n">
        <v>0.9264148402066222</v>
      </c>
      <c r="K26" s="66" t="n">
        <v>0.9163543217739643</v>
      </c>
      <c r="L26" s="66" t="n">
        <v>0.9064030568061054</v>
      </c>
      <c r="M26" s="66" t="n">
        <v>0.8965598588513085</v>
      </c>
      <c r="N26" s="66" t="n">
        <v>0.8868235543422583</v>
      </c>
      <c r="O26" s="66" t="n">
        <v>0.8771929824561413</v>
      </c>
      <c r="P26" s="66" t="n">
        <v>0.8676669949762452</v>
      </c>
      <c r="Q26" s="66" t="n">
        <v>0.8582444561550616</v>
      </c>
      <c r="R26" s="66" t="n">
        <v>0.848924242578875</v>
      </c>
      <c r="S26" s="66" t="n">
        <v>0.8397052430338223</v>
      </c>
      <c r="T26" s="66" t="n">
        <v>0.8305863583734069</v>
      </c>
      <c r="U26" s="66" t="n">
        <v>0.8215665013874521</v>
      </c>
      <c r="V26" s="66" t="n">
        <v>0.8126445966724767</v>
      </c>
      <c r="W26" s="66" t="n">
        <v>0.8038195805034783</v>
      </c>
      <c r="X26" s="66" t="n">
        <v>0.7950904007071108</v>
      </c>
      <c r="Y26" s="66" t="n">
        <v>0.7864560165362364</v>
      </c>
      <c r="Z26" s="66" t="n">
        <v>0.7779153985458415</v>
      </c>
      <c r="AA26" s="66" t="n">
        <v>0.7694675284703001</v>
      </c>
      <c r="AB26" s="66" t="n">
        <v>0.7611113991019702</v>
      </c>
      <c r="AC26" s="66" t="n">
        <v>0.7528460141711074</v>
      </c>
      <c r="AD26" s="66" t="n">
        <v>0.7446703882270841</v>
      </c>
      <c r="AE26" s="66" t="n">
        <v>0.7365835465208974</v>
      </c>
      <c r="AF26" s="66" t="n">
        <v>0.7285845248889542</v>
      </c>
      <c r="AG26" s="66" t="n">
        <v>0.7206723696381166</v>
      </c>
      <c r="AH26" s="66" t="n">
        <v>0.7128461374319977</v>
      </c>
      <c r="AI26" s="66" t="n">
        <v>0.7051048951784905</v>
      </c>
      <c r="AJ26" s="66" t="n">
        <v>0.6974477199185191</v>
      </c>
      <c r="AK26" s="66" t="n">
        <v>0.6898736987159976</v>
      </c>
      <c r="AL26" s="66" t="n">
        <v>0.6823819285489844</v>
      </c>
      <c r="AM26" s="66" t="n">
        <v>0.6749715162020183</v>
      </c>
      <c r="AN26" s="66" t="n">
        <v>0.6676415781596237</v>
      </c>
      <c r="AO26" s="66" t="n">
        <v>0.6603912405009721</v>
      </c>
      <c r="AP26" s="66" t="n">
        <v>0.6532196387956885</v>
      </c>
      <c r="AQ26" s="66" t="n">
        <v>0.6461259180007879</v>
      </c>
      <c r="AR26" s="66" t="n">
        <v>0.6391092323587324</v>
      </c>
      <c r="AS26" s="66" t="n">
        <v>0.6321687452965942</v>
      </c>
      <c r="AT26" s="66" t="n">
        <v>0.6253036293263144</v>
      </c>
      <c r="AU26" s="66" t="n">
        <v>0.6185130659460449</v>
      </c>
      <c r="AV26" s="66" t="n">
        <v>0.6117962455425612</v>
      </c>
    </row>
    <row r="27">
      <c r="A27" s="61" t="inlineStr">
        <is>
          <t>Fluxo descontado</t>
        </is>
      </c>
      <c r="B27" s="59" t="n">
        <v>16200599.54209654</v>
      </c>
      <c r="C27" s="60" t="n">
        <v>-437697.1611961564</v>
      </c>
      <c r="D27" s="60" t="n">
        <v>-432943.9338437601</v>
      </c>
      <c r="E27" s="60" t="n">
        <v>-307100.677321371</v>
      </c>
      <c r="F27" s="60" t="n">
        <v>-580160.5002675824</v>
      </c>
      <c r="G27" s="60" t="n">
        <v>-537124.4631770486</v>
      </c>
      <c r="H27" s="60" t="n">
        <v>-1098188.71865018</v>
      </c>
      <c r="I27" s="60" t="n">
        <v>-907621.2486874977</v>
      </c>
      <c r="J27" s="60" t="n">
        <v>-890099.8913539598</v>
      </c>
      <c r="K27" s="60" t="n">
        <v>-820290.748363032</v>
      </c>
      <c r="L27" s="60" t="n">
        <v>-744952.0054608481</v>
      </c>
      <c r="M27" s="60" t="n">
        <v>-806479.26708896</v>
      </c>
      <c r="N27" s="60" t="n">
        <v>-442043.2761550955</v>
      </c>
      <c r="O27" s="60" t="n">
        <v>-592579.8266451181</v>
      </c>
      <c r="P27" s="60" t="n">
        <v>-499087.0221312027</v>
      </c>
      <c r="Q27" s="60" t="n">
        <v>-403769.0099984286</v>
      </c>
      <c r="R27" s="60" t="n">
        <v>-307881.6831203505</v>
      </c>
      <c r="S27" s="60" t="n">
        <v>-212656.8267016855</v>
      </c>
      <c r="T27" s="60" t="n">
        <v>-528830.3039277282</v>
      </c>
      <c r="U27" s="60" t="n">
        <v>-433504.4909352039</v>
      </c>
      <c r="V27" s="60" t="n">
        <v>-341346.7389056681</v>
      </c>
      <c r="W27" s="60" t="n">
        <v>-722277.7745207245</v>
      </c>
      <c r="X27" s="60" t="n">
        <v>-120203.1363547586</v>
      </c>
      <c r="Y27" s="60" t="n">
        <v>-302987.2985206207</v>
      </c>
      <c r="Z27" s="60" t="n">
        <v>-219798.2729190122</v>
      </c>
      <c r="AA27" s="60" t="n">
        <v>-350940.5765902616</v>
      </c>
      <c r="AB27" s="60" t="n">
        <v>-146349.9467992071</v>
      </c>
      <c r="AC27" s="60" t="n">
        <v>-234477.9684914225</v>
      </c>
      <c r="AD27" s="60" t="n">
        <v>-147086.0046976267</v>
      </c>
      <c r="AE27" s="60" t="n">
        <v>-19092.79216888095</v>
      </c>
      <c r="AF27" s="60" t="n">
        <v>78191.45637279548</v>
      </c>
      <c r="AG27" s="60" t="n">
        <v>541651.1264353717</v>
      </c>
      <c r="AH27" s="60" t="n">
        <v>1196224.712731048</v>
      </c>
      <c r="AI27" s="60" t="n">
        <v>1706683.340721074</v>
      </c>
      <c r="AJ27" s="60" t="n">
        <v>2470255.991123669</v>
      </c>
      <c r="AK27" s="60" t="n">
        <v>30401.18948435698</v>
      </c>
      <c r="AL27" s="60" t="n">
        <v>23902166.63311708</v>
      </c>
      <c r="AM27" s="60" t="n">
        <v>9734.418992633357</v>
      </c>
      <c r="AN27" s="60" t="n">
        <v>1781.296849111317</v>
      </c>
      <c r="AO27" s="60" t="n">
        <v>-4861.854521028342</v>
      </c>
      <c r="AP27" s="60" t="n">
        <v>-10380.60587433597</v>
      </c>
      <c r="AQ27" s="60" t="n">
        <v>-14940.65469141418</v>
      </c>
      <c r="AR27" s="60" t="n">
        <v>-18687.80868387504</v>
      </c>
      <c r="AS27" s="60" t="n">
        <v>-21748.89956073389</v>
      </c>
      <c r="AT27" s="60" t="n">
        <v>-24233.23676466079</v>
      </c>
      <c r="AU27" s="60" t="n">
        <v>-26234.32663877532</v>
      </c>
      <c r="AV27" s="60" t="n">
        <v>-27831.67200238442</v>
      </c>
    </row>
  </sheetData>
  <mergeCells count="4">
    <mergeCell ref="A1:AV1"/>
    <mergeCell ref="A23:AV23"/>
    <mergeCell ref="A5:AV5"/>
    <mergeCell ref="A14:AV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22" t="inlineStr">
        <is>
          <t>RESULTADO — VPL, TIR, margem, validação</t>
        </is>
      </c>
    </row>
    <row r="3">
      <c r="A3" s="35" t="inlineStr">
        <is>
          <t>Indicador</t>
        </is>
      </c>
      <c r="B3" s="35" t="inlineStr">
        <is>
          <t>Valor (Python)</t>
        </is>
      </c>
      <c r="C3" s="35" t="inlineStr">
        <is>
          <t>Fórmula Excel</t>
        </is>
      </c>
      <c r="D3" s="35" t="inlineStr">
        <is>
          <t>Observação</t>
        </is>
      </c>
      <c r="E3" s="35" t="inlineStr">
        <is>
          <t>Status</t>
        </is>
      </c>
    </row>
    <row r="4">
      <c r="A4" s="61" t="inlineStr">
        <is>
          <t>VGV bruto</t>
        </is>
      </c>
      <c r="B4" s="39" t="n">
        <v>134406337.884</v>
      </c>
      <c r="C4" s="26" t="inlineStr"/>
      <c r="D4" s="27" t="inlineStr">
        <is>
          <t>área privativa × R$/m²</t>
        </is>
      </c>
      <c r="E4" s="67" t="inlineStr"/>
    </row>
    <row r="5">
      <c r="A5" s="61" t="inlineStr">
        <is>
          <t>VGV líquido permuta</t>
        </is>
      </c>
      <c r="B5" s="39" t="n">
        <v>94084436.51879998</v>
      </c>
      <c r="C5" s="26" t="inlineStr"/>
      <c r="D5" s="27" t="inlineStr">
        <is>
          <t>pós permuta 30%</t>
        </is>
      </c>
      <c r="E5" s="67" t="inlineStr"/>
    </row>
    <row r="6">
      <c r="A6" s="61" t="inlineStr">
        <is>
          <t>Custo obra (paramétrico)</t>
        </is>
      </c>
      <c r="B6" s="39" t="n">
        <v>45460479.411</v>
      </c>
      <c r="C6" s="26" t="inlineStr"/>
      <c r="D6" s="27" t="inlineStr">
        <is>
          <t>CUSTOS_MACROGRUPO!D22</t>
        </is>
      </c>
      <c r="E6" s="67" t="inlineStr"/>
    </row>
    <row r="7">
      <c r="A7" s="61" t="inlineStr">
        <is>
          <t>Receita total (horizonte)</t>
        </is>
      </c>
      <c r="B7" s="39" t="n">
        <v>90739936.57394576</v>
      </c>
      <c r="C7" s="26" t="inlineStr"/>
      <c r="D7" s="27" t="inlineStr">
        <is>
          <t>soma do fluxo</t>
        </is>
      </c>
      <c r="E7" s="67" t="inlineStr"/>
    </row>
    <row r="8">
      <c r="A8" s="61" t="inlineStr">
        <is>
          <t>Despesa total (horizonte)</t>
        </is>
      </c>
      <c r="B8" s="39" t="n">
        <v>62765488.81840169</v>
      </c>
      <c r="C8" s="26" t="inlineStr"/>
      <c r="D8" s="27" t="inlineStr">
        <is>
          <t>custo obra + contingência + comercial + RET + admin</t>
        </is>
      </c>
      <c r="E8" s="67" t="inlineStr"/>
    </row>
    <row r="9">
      <c r="A9" s="61" t="inlineStr">
        <is>
          <t>Lucro líquido</t>
        </is>
      </c>
      <c r="B9" s="39" t="n">
        <v>27974447.75554407</v>
      </c>
      <c r="C9" s="26" t="inlineStr"/>
      <c r="D9" s="27" t="inlineStr">
        <is>
          <t>receita - despesa</t>
        </is>
      </c>
      <c r="E9" s="68" t="inlineStr">
        <is>
          <t>✓</t>
        </is>
      </c>
    </row>
    <row r="10">
      <c r="A10" s="61" t="inlineStr">
        <is>
          <t>Margem líquida</t>
        </is>
      </c>
      <c r="B10" s="69" t="n">
        <v>0.3082925645726801</v>
      </c>
      <c r="C10" s="26" t="inlineStr"/>
      <c r="D10" s="27" t="inlineStr">
        <is>
          <t>lucro / receita</t>
        </is>
      </c>
      <c r="E10" s="68" t="inlineStr">
        <is>
          <t>✓</t>
        </is>
      </c>
    </row>
    <row r="12">
      <c r="A12" s="61" t="inlineStr">
        <is>
          <t>VPL @ TMA (Python)</t>
        </is>
      </c>
      <c r="B12" s="39" t="n">
        <v>16200599.54209654</v>
      </c>
      <c r="C12" s="26" t="inlineStr"/>
      <c r="D12" s="27" t="inlineStr">
        <is>
          <t>numpy_financial.npv</t>
        </is>
      </c>
      <c r="E12" s="67" t="inlineStr"/>
    </row>
    <row r="13">
      <c r="A13" s="61" t="inlineStr">
        <is>
          <t>VPL @ TMA (Excel NPV)</t>
        </is>
      </c>
      <c r="B13" s="70" t="inlineStr">
        <is>
          <t>ver col C</t>
        </is>
      </c>
      <c r="C13" s="71">
        <f>FLUXO_CAIXA!C24+NPV(0.010978851950173452,FLUXO_CAIXA!D24:AV24)</f>
        <v/>
      </c>
      <c r="D13" s="27" t="inlineStr">
        <is>
          <t>deve bater com linha acima</t>
        </is>
      </c>
      <c r="E13" s="67" t="inlineStr"/>
    </row>
    <row r="14">
      <c r="A14" s="61" t="inlineStr">
        <is>
          <t>TIR mensal (Python)</t>
        </is>
      </c>
      <c r="B14" s="72" t="n">
        <v>0.04451351999030484</v>
      </c>
      <c r="C14" s="26" t="inlineStr"/>
      <c r="D14" s="27" t="inlineStr">
        <is>
          <t>numpy_financial.irr</t>
        </is>
      </c>
      <c r="E14" s="67" t="inlineStr"/>
    </row>
    <row r="15">
      <c r="A15" s="61" t="inlineStr">
        <is>
          <t>TIR anual</t>
        </is>
      </c>
      <c r="B15" s="69" t="n">
        <v>0.6864318253670902</v>
      </c>
      <c r="C15" s="26" t="inlineStr"/>
      <c r="D15" s="27" t="inlineStr">
        <is>
          <t>(1+TIR_m)^12 - 1</t>
        </is>
      </c>
      <c r="E15" s="68" t="inlineStr">
        <is>
          <t>✓</t>
        </is>
      </c>
    </row>
    <row r="16">
      <c r="A16" s="61" t="inlineStr">
        <is>
          <t>TIR mensal (Excel IRR)</t>
        </is>
      </c>
      <c r="B16" s="70" t="inlineStr">
        <is>
          <t>ver col C</t>
        </is>
      </c>
      <c r="C16" s="73">
        <f>IRR(FLUXO_CAIXA!C24:AV24)</f>
        <v/>
      </c>
      <c r="D16" s="27" t="inlineStr">
        <is>
          <t>deve bater com linha 3 acima</t>
        </is>
      </c>
      <c r="E16" s="67" t="inlineStr"/>
    </row>
    <row r="17">
      <c r="A17" s="61" t="inlineStr">
        <is>
          <t>Payback descontado (meses da obra)</t>
        </is>
      </c>
      <c r="B17" s="38" t="n">
        <v>32</v>
      </c>
      <c r="C17" s="26" t="inlineStr"/>
      <c r="D17" s="27" t="inlineStr">
        <is>
          <t>t em que fluxo descontado acumulado ≥ 0</t>
        </is>
      </c>
      <c r="E17" s="67" t="inlineStr"/>
    </row>
    <row r="18">
      <c r="A18" s="61" t="inlineStr">
        <is>
          <t>Exposição máxima</t>
        </is>
      </c>
      <c r="B18" s="39" t="n">
        <v>15376903.17235378</v>
      </c>
      <c r="C18" s="26" t="inlineStr"/>
      <c r="D18" s="27">
        <f> MIN(fluxo acum.)</f>
        <v/>
      </c>
      <c r="E18" s="67" t="inlineStr"/>
    </row>
    <row r="19">
      <c r="A19" s="61" t="inlineStr">
        <is>
          <t>ROI sobre capital</t>
        </is>
      </c>
      <c r="B19" s="69" t="n">
        <v>1.819251083393663</v>
      </c>
      <c r="C19" s="26" t="inlineStr"/>
      <c r="D19" s="27" t="inlineStr">
        <is>
          <t>lucro / exposição máxima</t>
        </is>
      </c>
      <c r="E19" s="67" t="inlineStr"/>
    </row>
    <row r="22">
      <c r="A22" s="23" t="inlineStr">
        <is>
          <t>VALIDAÇÃO — semáforo</t>
        </is>
      </c>
    </row>
    <row r="23">
      <c r="A23" s="24" t="inlineStr">
        <is>
          <t>Margem líquida &gt; 18%</t>
        </is>
      </c>
      <c r="B23" s="74" t="n">
        <v>0.3082925645726801</v>
      </c>
      <c r="C23" s="75" t="n">
        <v>0.18</v>
      </c>
      <c r="E23" s="68" t="inlineStr">
        <is>
          <t>✓</t>
        </is>
      </c>
    </row>
    <row r="24">
      <c r="A24" s="24" t="inlineStr">
        <is>
          <t>TIR anual &gt; TMA+5% (19%)</t>
        </is>
      </c>
      <c r="B24" s="74" t="n">
        <v>0.6864318253670902</v>
      </c>
      <c r="C24" s="75" t="n">
        <v>0.19</v>
      </c>
      <c r="E24" s="68" t="inlineStr">
        <is>
          <t>✓</t>
        </is>
      </c>
    </row>
    <row r="25">
      <c r="A25" s="24" t="inlineStr">
        <is>
          <t>VPL @ TMA &gt; 0</t>
        </is>
      </c>
      <c r="B25" s="76" t="n">
        <v>16200599.54209654</v>
      </c>
      <c r="C25" s="77" t="n">
        <v>0</v>
      </c>
      <c r="E25" s="68" t="inlineStr">
        <is>
          <t>✓</t>
        </is>
      </c>
    </row>
    <row r="26">
      <c r="A26" s="24" t="inlineStr">
        <is>
          <t>VGV / Custo obra &gt; 1,80</t>
        </is>
      </c>
      <c r="B26" s="78" t="n">
        <v>2.069587424897119</v>
      </c>
      <c r="C26" s="79" t="n">
        <v>1.8</v>
      </c>
      <c r="E26" s="68" t="inlineStr">
        <is>
          <t>✓</t>
        </is>
      </c>
    </row>
    <row r="27">
      <c r="A27" s="24" t="inlineStr">
        <is>
          <t>Exposição máx / VGV &lt; 25%</t>
        </is>
      </c>
      <c r="B27" s="74" t="n">
        <v>0.1634372670051668</v>
      </c>
      <c r="C27" s="75" t="n">
        <v>0.25</v>
      </c>
      <c r="E27" s="68" t="inlineStr">
        <is>
          <t>✓</t>
        </is>
      </c>
    </row>
    <row r="28">
      <c r="A28" s="24" t="inlineStr">
        <is>
          <t>P(VPL &gt; 0) Monte Carlo &gt; 85%</t>
        </is>
      </c>
      <c r="B28" s="74" t="n">
        <v>0.982</v>
      </c>
      <c r="C28" s="75" t="n">
        <v>0.85</v>
      </c>
      <c r="E28" s="68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2" t="inlineStr">
        <is>
          <t>CENÁRIOS — Pessimista / Base / Otimista</t>
        </is>
      </c>
    </row>
    <row r="3">
      <c r="A3" s="35" t="inlineStr">
        <is>
          <t>Indicador</t>
        </is>
      </c>
      <c r="B3" s="35" t="inlineStr">
        <is>
          <t>Pessimista</t>
        </is>
      </c>
      <c r="C3" s="35" t="inlineStr">
        <is>
          <t>Base</t>
        </is>
      </c>
      <c r="D3" s="35" t="inlineStr">
        <is>
          <t>Otimista</t>
        </is>
      </c>
    </row>
    <row r="4">
      <c r="A4" s="55" t="inlineStr">
        <is>
          <t>Perturbação vs base</t>
        </is>
      </c>
      <c r="B4" s="80" t="inlineStr">
        <is>
          <t>vgv×0.85  custo×1.10  t50+8</t>
        </is>
      </c>
      <c r="C4" s="81" t="inlineStr">
        <is>
          <t>vgv×1.00  custo×1.00  t50+0</t>
        </is>
      </c>
      <c r="D4" s="82" t="inlineStr">
        <is>
          <t>vgv×1.10  custo×0.95  t50-4</t>
        </is>
      </c>
    </row>
    <row r="6">
      <c r="A6" s="61" t="inlineStr">
        <is>
          <t>VGV bruto</t>
        </is>
      </c>
      <c r="B6" s="83" t="n">
        <v>114245387.2014</v>
      </c>
      <c r="C6" s="71" t="n">
        <v>134406337.884</v>
      </c>
      <c r="D6" s="39" t="n">
        <v>147846971.6724</v>
      </c>
    </row>
    <row r="7">
      <c r="A7" s="61" t="inlineStr">
        <is>
          <t>VGV líquido</t>
        </is>
      </c>
      <c r="B7" s="83" t="n">
        <v>79971771.04097998</v>
      </c>
      <c r="C7" s="71" t="n">
        <v>94084436.51879998</v>
      </c>
      <c r="D7" s="39" t="n">
        <v>103492880.17068</v>
      </c>
    </row>
    <row r="8">
      <c r="A8" s="61" t="inlineStr">
        <is>
          <t>Custo obra</t>
        </is>
      </c>
      <c r="B8" s="83" t="n">
        <v>50006527.3521</v>
      </c>
      <c r="C8" s="71" t="n">
        <v>45460479.411</v>
      </c>
      <c r="D8" s="39" t="n">
        <v>43187455.44045</v>
      </c>
    </row>
    <row r="9">
      <c r="A9" s="61" t="inlineStr">
        <is>
          <t>Receita total</t>
        </is>
      </c>
      <c r="B9" s="83" t="n">
        <v>72141033.45472677</v>
      </c>
      <c r="C9" s="71" t="n">
        <v>90739936.57394576</v>
      </c>
      <c r="D9" s="39" t="n">
        <v>101304613.8868367</v>
      </c>
    </row>
    <row r="10">
      <c r="A10" s="61" t="inlineStr">
        <is>
          <t>Despesa total</t>
        </is>
      </c>
      <c r="B10" s="83" t="n">
        <v>65078354.22213709</v>
      </c>
      <c r="C10" s="71" t="n">
        <v>62765488.81840169</v>
      </c>
      <c r="D10" s="39" t="n">
        <v>61943483.68395767</v>
      </c>
    </row>
    <row r="11">
      <c r="A11" s="61" t="inlineStr">
        <is>
          <t>Lucro líquido</t>
        </is>
      </c>
      <c r="B11" s="83" t="n">
        <v>7062679.232589677</v>
      </c>
      <c r="C11" s="71" t="n">
        <v>27974447.75554407</v>
      </c>
      <c r="D11" s="39" t="n">
        <v>39361130.20287907</v>
      </c>
    </row>
    <row r="12">
      <c r="A12" s="61" t="inlineStr">
        <is>
          <t>Margem líquida</t>
        </is>
      </c>
      <c r="B12" s="84" t="n">
        <v>0.09790099884030593</v>
      </c>
      <c r="C12" s="85" t="n">
        <v>0.3082925645726801</v>
      </c>
      <c r="D12" s="69" t="n">
        <v>0.3885423249018825</v>
      </c>
    </row>
    <row r="13">
      <c r="A13" s="61" t="inlineStr">
        <is>
          <t>VPL @ TMA</t>
        </is>
      </c>
      <c r="B13" s="83" t="n">
        <v>-608251.2058208432</v>
      </c>
      <c r="C13" s="71" t="n">
        <v>16200599.54209654</v>
      </c>
      <c r="D13" s="39" t="n">
        <v>25499111.48077169</v>
      </c>
    </row>
    <row r="14">
      <c r="A14" s="61" t="inlineStr">
        <is>
          <t>TIR anual</t>
        </is>
      </c>
      <c r="B14" s="84" t="n">
        <v>0.1251581894160581</v>
      </c>
      <c r="C14" s="85" t="n">
        <v>0.6864318253670902</v>
      </c>
      <c r="D14" s="69" t="n">
        <v>1.313940860752163</v>
      </c>
    </row>
    <row r="15">
      <c r="A15" s="61" t="inlineStr">
        <is>
          <t>Exposição máxima</t>
        </is>
      </c>
      <c r="B15" s="83" t="n">
        <v>33264840.9116719</v>
      </c>
      <c r="C15" s="71" t="n">
        <v>15376903.17235378</v>
      </c>
      <c r="D15" s="39" t="n">
        <v>6537664.701714309</v>
      </c>
    </row>
    <row r="16">
      <c r="A16" s="61" t="inlineStr">
        <is>
          <t>Payback (meses)</t>
        </is>
      </c>
      <c r="B16" s="86" t="n"/>
      <c r="C16" s="87" t="n">
        <v>32</v>
      </c>
      <c r="D16" s="38" t="n">
        <v>32</v>
      </c>
    </row>
    <row r="17">
      <c r="A17" s="61" t="inlineStr">
        <is>
          <t>ROI / capital</t>
        </is>
      </c>
      <c r="B17" s="84" t="n">
        <v>0.212316639401439</v>
      </c>
      <c r="C17" s="85" t="n">
        <v>1.819251083393663</v>
      </c>
      <c r="D17" s="69" t="n">
        <v>6.020671294530871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22" t="inlineStr">
        <is>
          <t>TORNADO — Sensibilidade sobre VPL (±20% por variável)</t>
        </is>
      </c>
    </row>
    <row r="3">
      <c r="A3" s="35" t="inlineStr">
        <is>
          <t>Variável</t>
        </is>
      </c>
      <c r="B3" s="35" t="inlineStr">
        <is>
          <t>VPL (-20%)</t>
        </is>
      </c>
      <c r="C3" s="35" t="inlineStr">
        <is>
          <t>VPL base</t>
        </is>
      </c>
      <c r="D3" s="35" t="inlineStr">
        <is>
          <t>VPL (+20%)</t>
        </is>
      </c>
      <c r="E3" s="35" t="inlineStr">
        <is>
          <t>Δ VPL (high-low)</t>
        </is>
      </c>
    </row>
    <row r="4">
      <c r="A4" s="88" t="inlineStr">
        <is>
          <t>VGV R$/m²</t>
        </is>
      </c>
      <c r="B4" s="60" t="n">
        <v>5207646.236394452</v>
      </c>
      <c r="C4" s="60" t="n">
        <v>16200599.54209654</v>
      </c>
      <c r="D4" s="60" t="n">
        <v>27193552.8477986</v>
      </c>
      <c r="E4" s="60" t="n">
        <v>21985906.61140415</v>
      </c>
    </row>
    <row r="5">
      <c r="A5" s="88" t="inlineStr">
        <is>
          <t>Custo obra</t>
        </is>
      </c>
      <c r="B5" s="60" t="n">
        <v>23953432.93937931</v>
      </c>
      <c r="C5" s="60" t="n">
        <v>16200599.54209654</v>
      </c>
      <c r="D5" s="60" t="n">
        <v>8447766.14481377</v>
      </c>
      <c r="E5" s="60" t="n">
        <v>-15505666.79456554</v>
      </c>
    </row>
    <row r="6">
      <c r="A6" s="88" t="inlineStr">
        <is>
          <t>Entrada %</t>
        </is>
      </c>
      <c r="B6" s="60" t="n">
        <v>13328821.990798</v>
      </c>
      <c r="C6" s="60" t="n">
        <v>16200599.54209654</v>
      </c>
      <c r="D6" s="60" t="n">
        <v>19072377.09339506</v>
      </c>
      <c r="E6" s="60" t="n">
        <v>5743555.102597063</v>
      </c>
    </row>
    <row r="7">
      <c r="A7" s="88" t="inlineStr">
        <is>
          <t>TMA</t>
        </is>
      </c>
      <c r="B7" s="60" t="n">
        <v>18082548.34673256</v>
      </c>
      <c r="C7" s="60" t="n">
        <v>16200599.54209654</v>
      </c>
      <c r="D7" s="60" t="n">
        <v>14500516.68426216</v>
      </c>
      <c r="E7" s="60" t="n">
        <v>-3582031.662470402</v>
      </c>
    </row>
    <row r="8">
      <c r="A8" s="88" t="inlineStr">
        <is>
          <t>t50 vendas</t>
        </is>
      </c>
      <c r="B8" s="60" t="n">
        <v>17439737.46720688</v>
      </c>
      <c r="C8" s="60" t="n">
        <v>16200599.54209654</v>
      </c>
      <c r="D8" s="60" t="n">
        <v>14655014.32189983</v>
      </c>
      <c r="E8" s="60" t="n">
        <v>-2784723.145307057</v>
      </c>
    </row>
    <row r="9">
      <c r="A9" s="88" t="inlineStr">
        <is>
          <t>Corretagem</t>
        </is>
      </c>
      <c r="B9" s="60" t="n">
        <v>17126979.39735413</v>
      </c>
      <c r="C9" s="60" t="n">
        <v>16200599.54209654</v>
      </c>
      <c r="D9" s="60" t="n">
        <v>15274219.68683894</v>
      </c>
      <c r="E9" s="60" t="n">
        <v>-1852759.710515182</v>
      </c>
    </row>
    <row r="10">
      <c r="A10" s="88" t="inlineStr">
        <is>
          <t>RET 4%</t>
        </is>
      </c>
      <c r="B10" s="60" t="n">
        <v>16754144.9693518</v>
      </c>
      <c r="C10" s="60" t="n">
        <v>16200599.54209654</v>
      </c>
      <c r="D10" s="60" t="n">
        <v>15647054.11484126</v>
      </c>
      <c r="E10" s="60" t="n">
        <v>-1107090.854510544</v>
      </c>
    </row>
    <row r="11">
      <c r="A11" s="88" t="inlineStr">
        <is>
          <t>CUB/SC</t>
        </is>
      </c>
      <c r="B11" s="60" t="n">
        <v>15961177.75841816</v>
      </c>
      <c r="C11" s="60" t="n">
        <v>16200599.54209654</v>
      </c>
      <c r="D11" s="60" t="n">
        <v>16440265.74243942</v>
      </c>
      <c r="E11" s="60" t="n">
        <v>479087.9840212595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22" t="inlineStr">
        <is>
          <t>MONTE CARLO — 10.000 iterações</t>
        </is>
      </c>
    </row>
    <row r="3">
      <c r="A3" s="35" t="inlineStr">
        <is>
          <t>Estatística</t>
        </is>
      </c>
      <c r="B3" s="35" t="inlineStr">
        <is>
          <t>VPL (R$)</t>
        </is>
      </c>
      <c r="C3" s="35" t="inlineStr">
        <is>
          <t>TIR a.a.</t>
        </is>
      </c>
      <c r="D3" s="35" t="inlineStr">
        <is>
          <t>Margem</t>
        </is>
      </c>
    </row>
    <row r="4">
      <c r="A4" s="61" t="inlineStr">
        <is>
          <t>Mediana</t>
        </is>
      </c>
      <c r="B4" s="39" t="n">
        <v>16923631.5568328</v>
      </c>
      <c r="C4" s="69" t="n">
        <v>0.6708068129949865</v>
      </c>
      <c r="D4" s="69" t="n">
        <v>0.3142831724160519</v>
      </c>
    </row>
    <row r="5">
      <c r="A5" s="61" t="inlineStr">
        <is>
          <t>Média</t>
        </is>
      </c>
      <c r="B5" s="39" t="n">
        <v>17412842.80387013</v>
      </c>
    </row>
    <row r="6">
      <c r="A6" s="61" t="inlineStr">
        <is>
          <t>P10</t>
        </is>
      </c>
      <c r="B6" s="39" t="n">
        <v>5650657.362993421</v>
      </c>
      <c r="C6" s="69" t="n">
        <v>0.3033649246958085</v>
      </c>
    </row>
    <row r="7">
      <c r="A7" s="61" t="inlineStr">
        <is>
          <t>P50</t>
        </is>
      </c>
      <c r="B7" s="39" t="n">
        <v>16923631.5568328</v>
      </c>
      <c r="C7" s="69" t="n">
        <v>0.6708068129949865</v>
      </c>
    </row>
    <row r="8">
      <c r="A8" s="61" t="inlineStr">
        <is>
          <t>P90</t>
        </is>
      </c>
      <c r="B8" s="39" t="n">
        <v>29959488.36581719</v>
      </c>
      <c r="C8" s="69" t="n">
        <v>1.230252992177309</v>
      </c>
    </row>
    <row r="9">
      <c r="A9" s="61" t="inlineStr">
        <is>
          <t>Desvio padrão</t>
        </is>
      </c>
      <c r="B9" s="39" t="n">
        <v>9108563.51307472</v>
      </c>
    </row>
    <row r="11">
      <c r="A11" s="61" t="inlineStr">
        <is>
          <t>P(VPL &gt; 0)</t>
        </is>
      </c>
      <c r="B11" s="69" t="n">
        <v>0.982</v>
      </c>
    </row>
    <row r="12">
      <c r="A12" s="61" t="inlineStr">
        <is>
          <t>P(TIR &gt; TMA)</t>
        </is>
      </c>
      <c r="B12" s="69" t="n">
        <v>0.982</v>
      </c>
    </row>
    <row r="13">
      <c r="A13" s="61" t="inlineStr">
        <is>
          <t>P(Margem &gt; 15%)</t>
        </is>
      </c>
      <c r="B13" s="69" t="n">
        <v>0.9514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2026-04-14T19:36:49Z</dcterms:created>
  <dcterms:modified xmlns:dcterms="http://purl.org/dc/terms/" xmlns:xsi="http://www.w3.org/2001/XMLSchema-instance" xsi:type="dcterms:W3CDTF">2026-04-14T19:36:49Z</dcterms:modified>
</cp:coreProperties>
</file>