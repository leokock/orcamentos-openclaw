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FLUXO_CAIXA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CENARIOS" sheetId="5" state="visible" r:id="rId5"/>
    <sheet xmlns:r="http://schemas.openxmlformats.org/officeDocument/2006/relationships" name="TORNADO" sheetId="6" state="visible" r:id="rId6"/>
    <sheet xmlns:r="http://schemas.openxmlformats.org/officeDocument/2006/relationships" name="MONTE_CARL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C3E50"/>
      <sz val="12"/>
    </font>
    <font>
      <name val="Arial"/>
      <color rgb="00666666"/>
      <sz val="8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C25700"/>
      <sz val="9"/>
    </font>
    <font>
      <name val="Arial"/>
      <b val="1"/>
      <color rgb="002C3E50"/>
      <sz val="10"/>
    </font>
  </fonts>
  <fills count="11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5F5F5"/>
      </patternFill>
    </fill>
    <fill>
      <patternFill patternType="solid">
        <fgColor rgb="001B5E20"/>
      </patternFill>
    </fill>
    <fill>
      <patternFill patternType="solid">
        <fgColor rgb="00B71C1C"/>
      </patternFill>
    </fill>
    <fill>
      <patternFill patternType="solid">
        <fgColor rgb="00E3F2FD"/>
      </patternFill>
    </fill>
    <fill>
      <patternFill patternType="solid">
        <fgColor rgb="00FFEBE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5" fillId="0" borderId="0" pivotButton="0" quotePrefix="0" xfId="0"/>
    <xf numFmtId="0" fontId="8" fillId="6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7" borderId="0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4" fillId="8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4" fontId="6" fillId="6" borderId="1" applyAlignment="1" pivotButton="0" quotePrefix="0" xfId="0">
      <alignment horizontal="right" vertical="center"/>
    </xf>
    <xf numFmtId="4" fontId="5" fillId="6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9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5" fillId="10" borderId="1" applyAlignment="1" pivotButton="0" quotePrefix="0" xfId="0">
      <alignment horizontal="right" vertical="center"/>
    </xf>
    <xf numFmtId="165" fontId="5" fillId="10" borderId="1" applyAlignment="1" pivotButton="0" quotePrefix="0" xfId="0">
      <alignment horizontal="right" vertical="center"/>
    </xf>
    <xf numFmtId="165" fontId="5" fillId="9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3" fontId="5" fillId="9" borderId="1" applyAlignment="1" pivotButton="0" quotePrefix="0" xfId="0">
      <alignment horizontal="right" vertical="center"/>
    </xf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15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1" t="inlineStr">
        <is>
          <t>ESTUDO DE VIABILIDADE FINANCEIRA</t>
        </is>
      </c>
    </row>
    <row r="2">
      <c r="A2" s="2" t="inlineStr">
        <is>
          <t>Arthen Arboris — Perequê, Porto Belo/SC</t>
        </is>
      </c>
    </row>
    <row r="3">
      <c r="A3" s="3" t="inlineStr">
        <is>
          <t>Cliente: Arthen Engenharia e Construções  |  Gerado em: 2026-04-14</t>
        </is>
      </c>
    </row>
    <row r="5">
      <c r="A5" s="4" t="inlineStr">
        <is>
          <t>RESUMO EXECUTIVO — CENÁRIO BASE</t>
        </is>
      </c>
    </row>
    <row r="6">
      <c r="A6" s="5" t="inlineStr">
        <is>
          <t>VGV bruto (antes permuta)</t>
        </is>
      </c>
      <c r="D6" s="6" t="n">
        <v>134406337.884</v>
      </c>
    </row>
    <row r="7">
      <c r="A7" s="5" t="inlineStr">
        <is>
          <t>VGV líquido (pós-permuta 30%)</t>
        </is>
      </c>
      <c r="D7" s="6" t="n">
        <v>94084436.51879998</v>
      </c>
    </row>
    <row r="8">
      <c r="A8" s="5" t="inlineStr">
        <is>
          <t>Custo de obra (paramétrico)</t>
        </is>
      </c>
      <c r="D8" s="6" t="n">
        <v>45460479.411</v>
      </c>
    </row>
    <row r="9">
      <c r="A9" s="5" t="inlineStr">
        <is>
          <t>Receita total (horizonte)</t>
        </is>
      </c>
      <c r="D9" s="6" t="n">
        <v>90739936.57394576</v>
      </c>
    </row>
    <row r="10">
      <c r="A10" s="5" t="inlineStr">
        <is>
          <t>Despesa total (horizonte)</t>
        </is>
      </c>
      <c r="D10" s="6" t="n">
        <v>62765488.81840169</v>
      </c>
    </row>
    <row r="11">
      <c r="A11" s="5" t="inlineStr">
        <is>
          <t>Lucro líquido</t>
        </is>
      </c>
      <c r="D11" s="6" t="n">
        <v>27974447.75554407</v>
      </c>
    </row>
    <row r="12">
      <c r="A12" s="5" t="inlineStr">
        <is>
          <t>Margem líquida</t>
        </is>
      </c>
      <c r="D12" s="7" t="n">
        <v>0.3082925645726801</v>
      </c>
    </row>
    <row r="13">
      <c r="A13" s="5" t="inlineStr">
        <is>
          <t>VPL @ TMA</t>
        </is>
      </c>
      <c r="D13" s="6" t="n">
        <v>16200599.54209654</v>
      </c>
    </row>
    <row r="14">
      <c r="A14" s="5" t="inlineStr">
        <is>
          <t>TIR anual</t>
        </is>
      </c>
      <c r="D14" s="7" t="n">
        <v>0.6864318253670902</v>
      </c>
    </row>
    <row r="15">
      <c r="A15" s="5" t="inlineStr">
        <is>
          <t>Payback descontado (meses pós-início obra)</t>
        </is>
      </c>
      <c r="D15" s="8" t="n">
        <v>32</v>
      </c>
    </row>
    <row r="16">
      <c r="A16" s="5" t="inlineStr">
        <is>
          <t>Exposição máxima (capital)</t>
        </is>
      </c>
      <c r="D16" s="6" t="n">
        <v>15376903.17235378</v>
      </c>
    </row>
    <row r="17">
      <c r="A17" s="5" t="inlineStr">
        <is>
          <t>ROI sobre capital</t>
        </is>
      </c>
      <c r="D17" s="7" t="n">
        <v>1.819251083393663</v>
      </c>
    </row>
    <row r="19">
      <c r="A19" s="5" t="inlineStr">
        <is>
          <t>Monte Carlo — n iterações</t>
        </is>
      </c>
      <c r="D19" s="8" t="n">
        <v>10000</v>
      </c>
    </row>
    <row r="20">
      <c r="A20" s="5" t="inlineStr">
        <is>
          <t>P(VPL &gt; 0)</t>
        </is>
      </c>
      <c r="D20" s="7" t="n">
        <v>0.982</v>
      </c>
    </row>
    <row r="21">
      <c r="A21" s="5" t="inlineStr">
        <is>
          <t>P(TIR &gt; TMA)</t>
        </is>
      </c>
      <c r="D21" s="7" t="n">
        <v>0.982</v>
      </c>
    </row>
    <row r="22">
      <c r="A22" s="5" t="inlineStr">
        <is>
          <t>VPL mediana (MC)</t>
        </is>
      </c>
      <c r="D22" s="6" t="n">
        <v>16923631.5568328</v>
      </c>
    </row>
    <row r="23">
      <c r="A23" s="5" t="inlineStr">
        <is>
          <t>VPL P10 (MC)</t>
        </is>
      </c>
      <c r="D23" s="6" t="n">
        <v>5650657.362993421</v>
      </c>
    </row>
    <row r="24">
      <c r="A24" s="5" t="inlineStr">
        <is>
          <t>VPL P90 (MC)</t>
        </is>
      </c>
      <c r="D24" s="6" t="n">
        <v>29959488.36581719</v>
      </c>
    </row>
    <row r="27">
      <c r="A27" s="9" t="inlineStr">
        <is>
          <t>Fonte custo: parametrico-arthen-arboris.xlsx CUSTOS_MACROGRUPO!D22</t>
        </is>
      </c>
    </row>
    <row r="28">
      <c r="A28" s="9" t="inlineStr">
        <is>
          <t>Fonte preço venda: pesquisa Perequê abr/2026 (Viva Real, MySide, Imovelweb) — mediana R$ 15.394/m²</t>
        </is>
      </c>
    </row>
  </sheetData>
  <mergeCells count="42">
    <mergeCell ref="D11:F11"/>
    <mergeCell ref="D13:F13"/>
    <mergeCell ref="A27:F27"/>
    <mergeCell ref="D17:F17"/>
    <mergeCell ref="A21:C21"/>
    <mergeCell ref="D7:F7"/>
    <mergeCell ref="A12:C12"/>
    <mergeCell ref="A3:F3"/>
    <mergeCell ref="D16:F16"/>
    <mergeCell ref="A2:F2"/>
    <mergeCell ref="A23:C23"/>
    <mergeCell ref="A5:F5"/>
    <mergeCell ref="A8:C8"/>
    <mergeCell ref="A14:C14"/>
    <mergeCell ref="A22:C22"/>
    <mergeCell ref="D12:F12"/>
    <mergeCell ref="A17:C17"/>
    <mergeCell ref="D9:F9"/>
    <mergeCell ref="D8:F8"/>
    <mergeCell ref="D15:F15"/>
    <mergeCell ref="A20:C20"/>
    <mergeCell ref="D24:F24"/>
    <mergeCell ref="A10:C10"/>
    <mergeCell ref="A13:C13"/>
    <mergeCell ref="D14:F14"/>
    <mergeCell ref="A19:C19"/>
    <mergeCell ref="A28:F28"/>
    <mergeCell ref="D23:F23"/>
    <mergeCell ref="A9:C9"/>
    <mergeCell ref="A15:C15"/>
    <mergeCell ref="D20:F20"/>
    <mergeCell ref="A24:C24"/>
    <mergeCell ref="D10:F10"/>
    <mergeCell ref="D19:F19"/>
    <mergeCell ref="A11:C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1" t="inlineStr">
        <is>
          <t>PREMISSAS — editar valores e regerar via gerar_viabilidade_arthen_arboris.py</t>
        </is>
      </c>
    </row>
    <row r="3">
      <c r="A3" s="4" t="inlineStr">
        <is>
          <t>PROJETO</t>
        </is>
      </c>
    </row>
    <row r="4">
      <c r="A4" s="10" t="inlineStr">
        <is>
          <t>Nome</t>
        </is>
      </c>
      <c r="B4" s="11" t="inlineStr">
        <is>
          <t>Arthen Arboris</t>
        </is>
      </c>
      <c r="C4" s="12" t="n"/>
      <c r="D4" s="13" t="inlineStr"/>
    </row>
    <row r="5">
      <c r="A5" s="10" t="inlineStr">
        <is>
          <t>Cidade/Bairro</t>
        </is>
      </c>
      <c r="B5" s="11" t="inlineStr">
        <is>
          <t>Perequê, Porto Belo/SC</t>
        </is>
      </c>
      <c r="C5" s="12" t="n"/>
      <c r="D5" s="13" t="inlineStr"/>
    </row>
    <row r="6">
      <c r="A6" s="10" t="inlineStr">
        <is>
          <t>Área construída (m²)</t>
        </is>
      </c>
      <c r="B6" s="14" t="n">
        <v>12472.98</v>
      </c>
      <c r="C6" s="12" t="n"/>
      <c r="D6" s="13" t="inlineStr">
        <is>
          <t>do paramétrico</t>
        </is>
      </c>
    </row>
    <row r="7">
      <c r="A7" s="10" t="inlineStr">
        <is>
          <t>% área privativa</t>
        </is>
      </c>
      <c r="B7" s="15" t="n">
        <v>0.7</v>
      </c>
      <c r="C7" s="12" t="n"/>
      <c r="D7" s="13" t="inlineStr">
        <is>
          <t>AC que vira unidade vendável</t>
        </is>
      </c>
    </row>
    <row r="8">
      <c r="A8" s="10" t="inlineStr">
        <is>
          <t>Área privativa total (m²)</t>
        </is>
      </c>
      <c r="B8" s="14" t="n">
        <v>8731.085999999999</v>
      </c>
      <c r="C8" s="12" t="n"/>
      <c r="D8" s="13" t="inlineStr">
        <is>
          <t>AC × pct_priv</t>
        </is>
      </c>
    </row>
    <row r="9">
      <c r="A9" s="10" t="inlineStr">
        <is>
          <t>Unidades</t>
        </is>
      </c>
      <c r="B9" s="16" t="n">
        <v>98</v>
      </c>
      <c r="C9" s="12" t="n"/>
      <c r="D9" s="13" t="inlineStr"/>
    </row>
    <row r="10">
      <c r="A10" s="10" t="inlineStr">
        <is>
          <t>Permuta (% das unidades)</t>
        </is>
      </c>
      <c r="B10" s="15" t="n">
        <v>0.3</v>
      </c>
      <c r="C10" s="12" t="n"/>
      <c r="D10" s="13" t="inlineStr">
        <is>
          <t>terreno via permuta física</t>
        </is>
      </c>
    </row>
    <row r="11">
      <c r="A11" s="10" t="inlineStr">
        <is>
          <t>Prazo obra (meses)</t>
        </is>
      </c>
      <c r="B11" s="16" t="n">
        <v>30</v>
      </c>
      <c r="C11" s="12" t="n"/>
      <c r="D11" s="13" t="inlineStr"/>
    </row>
    <row r="12">
      <c r="A12" s="10" t="inlineStr">
        <is>
          <t>Prazo pré-lançamento (meses)</t>
        </is>
      </c>
      <c r="B12" s="16" t="n">
        <v>3</v>
      </c>
      <c r="C12" s="12" t="n"/>
      <c r="D12" s="13" t="inlineStr">
        <is>
          <t>meses -3 a 0</t>
        </is>
      </c>
    </row>
    <row r="13">
      <c r="A13" s="10" t="inlineStr">
        <is>
          <t>Prazo pós-obra (meses)</t>
        </is>
      </c>
      <c r="B13" s="16" t="n">
        <v>12</v>
      </c>
      <c r="C13" s="12" t="n"/>
      <c r="D13" s="13" t="inlineStr">
        <is>
          <t>cauda de recebimento</t>
        </is>
      </c>
    </row>
    <row r="15">
      <c r="A15" s="4" t="inlineStr">
        <is>
          <t>CUSTO</t>
        </is>
      </c>
    </row>
    <row r="16">
      <c r="A16" s="10" t="inlineStr">
        <is>
          <t>Custo de obra total (R$)</t>
        </is>
      </c>
      <c r="B16" s="17" t="n">
        <v>45460479.411</v>
      </c>
      <c r="C16" s="12" t="n"/>
      <c r="D16" s="13" t="inlineStr">
        <is>
          <t>paramétrico V2</t>
        </is>
      </c>
    </row>
    <row r="17">
      <c r="A17" s="10" t="inlineStr">
        <is>
          <t>Contingência (%)</t>
        </is>
      </c>
      <c r="B17" s="15" t="n">
        <v>0.05</v>
      </c>
      <c r="C17" s="12" t="n"/>
      <c r="D17" s="13" t="inlineStr">
        <is>
          <t>sobre custo obra</t>
        </is>
      </c>
    </row>
    <row r="19">
      <c r="A19" s="4" t="inlineStr">
        <is>
          <t>RECEITA</t>
        </is>
      </c>
    </row>
    <row r="20">
      <c r="A20" s="10" t="inlineStr">
        <is>
          <t>VGV R$/m² privativo</t>
        </is>
      </c>
      <c r="B20" s="18" t="n">
        <v>15394</v>
      </c>
      <c r="C20" s="12" t="n"/>
      <c r="D20" s="13" t="inlineStr">
        <is>
          <t>Perequê médio pesquisa 2026</t>
        </is>
      </c>
    </row>
    <row r="21">
      <c r="A21" s="10" t="inlineStr">
        <is>
          <t>VGV bruto (R$)</t>
        </is>
      </c>
      <c r="B21" s="17" t="n">
        <v>134406337.884</v>
      </c>
      <c r="C21" s="12" t="n"/>
      <c r="D21" s="13" t="inlineStr">
        <is>
          <t>área_priv × R$/m²</t>
        </is>
      </c>
    </row>
    <row r="22">
      <c r="A22" s="10" t="inlineStr">
        <is>
          <t>VGV líquido permuta (R$)</t>
        </is>
      </c>
      <c r="B22" s="17" t="n">
        <v>94084436.51879998</v>
      </c>
      <c r="C22" s="12" t="n"/>
      <c r="D22" s="13" t="inlineStr">
        <is>
          <t>após 30% de permuta</t>
        </is>
      </c>
    </row>
    <row r="23">
      <c r="A23" s="10" t="inlineStr">
        <is>
          <t>Entrada (% no ato)</t>
        </is>
      </c>
      <c r="B23" s="15" t="n">
        <v>0.2</v>
      </c>
      <c r="C23" s="12" t="n"/>
      <c r="D23" s="13" t="inlineStr"/>
    </row>
    <row r="24">
      <c r="A24" s="10" t="inlineStr">
        <is>
          <t>Obra (% parcelado CUB)</t>
        </is>
      </c>
      <c r="B24" s="15" t="n">
        <v>0.4</v>
      </c>
      <c r="C24" s="12" t="n"/>
      <c r="D24" s="13" t="inlineStr">
        <is>
          <t>durante obra</t>
        </is>
      </c>
    </row>
    <row r="25">
      <c r="A25" s="10" t="inlineStr">
        <is>
          <t>Repasse/chave (%)</t>
        </is>
      </c>
      <c r="B25" s="15" t="n">
        <v>0.4</v>
      </c>
      <c r="C25" s="12" t="n"/>
      <c r="D25" s="13" t="inlineStr">
        <is>
          <t>mês de entrega +2</t>
        </is>
      </c>
    </row>
    <row r="26">
      <c r="A26" s="10" t="inlineStr">
        <is>
          <t>Inadimplência (%)</t>
        </is>
      </c>
      <c r="B26" s="15" t="n">
        <v>0.03</v>
      </c>
      <c r="C26" s="12" t="n"/>
      <c r="D26" s="13" t="inlineStr">
        <is>
          <t>sobre recebido</t>
        </is>
      </c>
    </row>
    <row r="28">
      <c r="A28" s="4" t="inlineStr">
        <is>
          <t>FINANCEIRAS</t>
        </is>
      </c>
    </row>
    <row r="29">
      <c r="A29" s="10" t="inlineStr">
        <is>
          <t>CUB/SC (a.a.)</t>
        </is>
      </c>
      <c r="B29" s="15" t="n">
        <v>0.07000000000000001</v>
      </c>
      <c r="C29" s="12" t="n"/>
      <c r="D29" s="13" t="inlineStr">
        <is>
          <t>indexador parcelas obra</t>
        </is>
      </c>
    </row>
    <row r="30">
      <c r="A30" s="10" t="inlineStr">
        <is>
          <t>TMA (a.a.)</t>
        </is>
      </c>
      <c r="B30" s="15" t="n">
        <v>0.14</v>
      </c>
      <c r="C30" s="12" t="n"/>
      <c r="D30" s="13" t="inlineStr">
        <is>
          <t>custo de capital — desconto VPL</t>
        </is>
      </c>
    </row>
    <row r="32">
      <c r="A32" s="4" t="inlineStr">
        <is>
          <t>COMERCIAL / IMPOSTOS / ADMIN</t>
        </is>
      </c>
    </row>
    <row r="33">
      <c r="A33" s="10" t="inlineStr">
        <is>
          <t>Corretagem (% VGV)</t>
        </is>
      </c>
      <c r="B33" s="15" t="n">
        <v>0.06</v>
      </c>
      <c r="C33" s="12" t="n"/>
      <c r="D33" s="13" t="inlineStr">
        <is>
          <t>paga no mês da venda</t>
        </is>
      </c>
    </row>
    <row r="34">
      <c r="A34" s="10" t="inlineStr">
        <is>
          <t>Marketing (% VGV)</t>
        </is>
      </c>
      <c r="B34" s="15" t="n">
        <v>0.03</v>
      </c>
      <c r="C34" s="12" t="n"/>
      <c r="D34" s="13" t="inlineStr">
        <is>
          <t>stand, material, digital</t>
        </is>
      </c>
    </row>
    <row r="35">
      <c r="A35" s="10" t="inlineStr">
        <is>
          <t>Marketing front-load (% no pré-lanç)</t>
        </is>
      </c>
      <c r="B35" s="15" t="n">
        <v>0.4</v>
      </c>
      <c r="C35" s="12" t="n"/>
      <c r="D35" s="13" t="inlineStr"/>
    </row>
    <row r="36">
      <c r="A36" s="10" t="inlineStr">
        <is>
          <t>RET (% receita)</t>
        </is>
      </c>
      <c r="B36" s="15" t="n">
        <v>0.04</v>
      </c>
      <c r="C36" s="12" t="n"/>
      <c r="D36" s="13" t="inlineStr">
        <is>
          <t>Regime Especial de Tributação</t>
        </is>
      </c>
    </row>
    <row r="37">
      <c r="A37" s="10" t="inlineStr">
        <is>
          <t>Admin incorporadora (% VGV)</t>
        </is>
      </c>
      <c r="B37" s="15" t="n">
        <v>0.03</v>
      </c>
      <c r="C37" s="12" t="n"/>
      <c r="D37" s="13" t="inlineStr">
        <is>
          <t>equipe, jurídico, contábil</t>
        </is>
      </c>
    </row>
    <row r="39">
      <c r="A39" s="4" t="inlineStr">
        <is>
          <t>CURVA DE VENDAS (logística)</t>
        </is>
      </c>
    </row>
    <row r="40">
      <c r="A40" s="10" t="inlineStr">
        <is>
          <t>t_início (mês — pré-lanç)</t>
        </is>
      </c>
      <c r="B40" s="16" t="n">
        <v>-2</v>
      </c>
      <c r="C40" s="12" t="n"/>
      <c r="D40" s="13" t="inlineStr">
        <is>
          <t>vendas começam em t_início</t>
        </is>
      </c>
    </row>
    <row r="41">
      <c r="A41" s="10" t="inlineStr">
        <is>
          <t>t50 (mês da inflexão)</t>
        </is>
      </c>
      <c r="B41" s="16" t="n">
        <v>14</v>
      </c>
      <c r="C41" s="12" t="n"/>
      <c r="D41" s="13" t="inlineStr">
        <is>
          <t>50% vendido neste mês</t>
        </is>
      </c>
    </row>
    <row r="42">
      <c r="A42" s="10" t="inlineStr">
        <is>
          <t>k (inclinação)</t>
        </is>
      </c>
      <c r="B42" s="14" t="n">
        <v>0.18</v>
      </c>
      <c r="C42" s="12" t="n"/>
      <c r="D42" s="13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</cols>
  <sheetData>
    <row r="1" ht="28" customHeight="1">
      <c r="A1" s="1" t="inlineStr">
        <is>
          <t>FLUXO DE CAIXA MENSAL — horizonte 46 meses (t=-3 a t=42)</t>
        </is>
      </c>
    </row>
    <row r="3">
      <c r="A3" s="19" t="inlineStr">
        <is>
          <t>Linha / Mês →</t>
        </is>
      </c>
      <c r="B3" s="20" t="inlineStr">
        <is>
          <t>TOTAL</t>
        </is>
      </c>
      <c r="C3" s="4" t="n">
        <v>-3</v>
      </c>
      <c r="D3" s="4" t="n">
        <v>-2</v>
      </c>
      <c r="E3" s="4" t="n">
        <v>-1</v>
      </c>
      <c r="F3" s="4" t="n">
        <v>0</v>
      </c>
      <c r="G3" s="4" t="n">
        <v>1</v>
      </c>
      <c r="H3" s="4" t="n">
        <v>2</v>
      </c>
      <c r="I3" s="4" t="n">
        <v>3</v>
      </c>
      <c r="J3" s="4" t="n">
        <v>4</v>
      </c>
      <c r="K3" s="4" t="n">
        <v>5</v>
      </c>
      <c r="L3" s="4" t="n">
        <v>6</v>
      </c>
      <c r="M3" s="4" t="n">
        <v>7</v>
      </c>
      <c r="N3" s="4" t="n">
        <v>8</v>
      </c>
      <c r="O3" s="4" t="n">
        <v>9</v>
      </c>
      <c r="P3" s="4" t="n">
        <v>10</v>
      </c>
      <c r="Q3" s="4" t="n">
        <v>11</v>
      </c>
      <c r="R3" s="4" t="n">
        <v>12</v>
      </c>
      <c r="S3" s="4" t="n">
        <v>13</v>
      </c>
      <c r="T3" s="4" t="n">
        <v>14</v>
      </c>
      <c r="U3" s="4" t="n">
        <v>15</v>
      </c>
      <c r="V3" s="4" t="n">
        <v>16</v>
      </c>
      <c r="W3" s="4" t="n">
        <v>17</v>
      </c>
      <c r="X3" s="4" t="n">
        <v>18</v>
      </c>
      <c r="Y3" s="4" t="n">
        <v>19</v>
      </c>
      <c r="Z3" s="4" t="n">
        <v>20</v>
      </c>
      <c r="AA3" s="4" t="n">
        <v>21</v>
      </c>
      <c r="AB3" s="4" t="n">
        <v>22</v>
      </c>
      <c r="AC3" s="4" t="n">
        <v>23</v>
      </c>
      <c r="AD3" s="4" t="n">
        <v>24</v>
      </c>
      <c r="AE3" s="4" t="n">
        <v>25</v>
      </c>
      <c r="AF3" s="4" t="n">
        <v>26</v>
      </c>
      <c r="AG3" s="4" t="n">
        <v>27</v>
      </c>
      <c r="AH3" s="4" t="n">
        <v>28</v>
      </c>
      <c r="AI3" s="4" t="n">
        <v>29</v>
      </c>
      <c r="AJ3" s="4" t="n">
        <v>30</v>
      </c>
      <c r="AK3" s="4" t="n">
        <v>31</v>
      </c>
      <c r="AL3" s="4" t="n">
        <v>32</v>
      </c>
      <c r="AM3" s="4" t="n">
        <v>33</v>
      </c>
      <c r="AN3" s="4" t="n">
        <v>34</v>
      </c>
      <c r="AO3" s="4" t="n">
        <v>35</v>
      </c>
      <c r="AP3" s="4" t="n">
        <v>36</v>
      </c>
      <c r="AQ3" s="4" t="n">
        <v>37</v>
      </c>
      <c r="AR3" s="4" t="n">
        <v>38</v>
      </c>
      <c r="AS3" s="4" t="n">
        <v>39</v>
      </c>
      <c r="AT3" s="4" t="n">
        <v>40</v>
      </c>
      <c r="AU3" s="4" t="n">
        <v>41</v>
      </c>
      <c r="AV3" s="4" t="n">
        <v>42</v>
      </c>
    </row>
    <row r="4">
      <c r="A4" s="21" t="inlineStr">
        <is>
          <t>Fase</t>
        </is>
      </c>
      <c r="C4" s="3" t="inlineStr">
        <is>
          <t>PRÉ-LANÇ</t>
        </is>
      </c>
      <c r="D4" s="3" t="inlineStr">
        <is>
          <t>PRÉ-LANÇ</t>
        </is>
      </c>
      <c r="E4" s="3" t="inlineStr">
        <is>
          <t>PRÉ-LANÇ</t>
        </is>
      </c>
      <c r="F4" s="3" t="inlineStr">
        <is>
          <t>OBRA</t>
        </is>
      </c>
      <c r="G4" s="3" t="inlineStr">
        <is>
          <t>OBRA</t>
        </is>
      </c>
      <c r="H4" s="3" t="inlineStr">
        <is>
          <t>OBRA</t>
        </is>
      </c>
      <c r="I4" s="3" t="inlineStr">
        <is>
          <t>OBRA</t>
        </is>
      </c>
      <c r="J4" s="3" t="inlineStr">
        <is>
          <t>OBRA</t>
        </is>
      </c>
      <c r="K4" s="3" t="inlineStr">
        <is>
          <t>OBRA</t>
        </is>
      </c>
      <c r="L4" s="3" t="inlineStr">
        <is>
          <t>OBRA</t>
        </is>
      </c>
      <c r="M4" s="3" t="inlineStr">
        <is>
          <t>OBRA</t>
        </is>
      </c>
      <c r="N4" s="3" t="inlineStr">
        <is>
          <t>OBRA</t>
        </is>
      </c>
      <c r="O4" s="3" t="inlineStr">
        <is>
          <t>OBRA</t>
        </is>
      </c>
      <c r="P4" s="3" t="inlineStr">
        <is>
          <t>OBRA</t>
        </is>
      </c>
      <c r="Q4" s="3" t="inlineStr">
        <is>
          <t>OBRA</t>
        </is>
      </c>
      <c r="R4" s="3" t="inlineStr">
        <is>
          <t>OBRA</t>
        </is>
      </c>
      <c r="S4" s="3" t="inlineStr">
        <is>
          <t>OBRA</t>
        </is>
      </c>
      <c r="T4" s="3" t="inlineStr">
        <is>
          <t>OBRA</t>
        </is>
      </c>
      <c r="U4" s="3" t="inlineStr">
        <is>
          <t>OBRA</t>
        </is>
      </c>
      <c r="V4" s="3" t="inlineStr">
        <is>
          <t>OBRA</t>
        </is>
      </c>
      <c r="W4" s="3" t="inlineStr">
        <is>
          <t>OBRA</t>
        </is>
      </c>
      <c r="X4" s="3" t="inlineStr">
        <is>
          <t>OBRA</t>
        </is>
      </c>
      <c r="Y4" s="3" t="inlineStr">
        <is>
          <t>OBRA</t>
        </is>
      </c>
      <c r="Z4" s="3" t="inlineStr">
        <is>
          <t>OBRA</t>
        </is>
      </c>
      <c r="AA4" s="3" t="inlineStr">
        <is>
          <t>OBRA</t>
        </is>
      </c>
      <c r="AB4" s="3" t="inlineStr">
        <is>
          <t>OBRA</t>
        </is>
      </c>
      <c r="AC4" s="3" t="inlineStr">
        <is>
          <t>OBRA</t>
        </is>
      </c>
      <c r="AD4" s="3" t="inlineStr">
        <is>
          <t>OBRA</t>
        </is>
      </c>
      <c r="AE4" s="3" t="inlineStr">
        <is>
          <t>OBRA</t>
        </is>
      </c>
      <c r="AF4" s="3" t="inlineStr">
        <is>
          <t>OBRA</t>
        </is>
      </c>
      <c r="AG4" s="3" t="inlineStr">
        <is>
          <t>OBRA</t>
        </is>
      </c>
      <c r="AH4" s="3" t="inlineStr">
        <is>
          <t>OBRA</t>
        </is>
      </c>
      <c r="AI4" s="3" t="inlineStr">
        <is>
          <t>OBRA</t>
        </is>
      </c>
      <c r="AJ4" s="3" t="inlineStr">
        <is>
          <t>OBRA</t>
        </is>
      </c>
      <c r="AK4" s="3" t="inlineStr">
        <is>
          <t>PÓS-OBRA</t>
        </is>
      </c>
      <c r="AL4" s="3" t="inlineStr">
        <is>
          <t>PÓS-OBRA</t>
        </is>
      </c>
      <c r="AM4" s="3" t="inlineStr">
        <is>
          <t>PÓS-OBRA</t>
        </is>
      </c>
      <c r="AN4" s="3" t="inlineStr">
        <is>
          <t>PÓS-OBRA</t>
        </is>
      </c>
      <c r="AO4" s="3" t="inlineStr">
        <is>
          <t>PÓS-OBRA</t>
        </is>
      </c>
      <c r="AP4" s="3" t="inlineStr">
        <is>
          <t>PÓS-OBRA</t>
        </is>
      </c>
      <c r="AQ4" s="3" t="inlineStr">
        <is>
          <t>PÓS-OBRA</t>
        </is>
      </c>
      <c r="AR4" s="3" t="inlineStr">
        <is>
          <t>PÓS-OBRA</t>
        </is>
      </c>
      <c r="AS4" s="3" t="inlineStr">
        <is>
          <t>PÓS-OBRA</t>
        </is>
      </c>
      <c r="AT4" s="3" t="inlineStr">
        <is>
          <t>PÓS-OBRA</t>
        </is>
      </c>
      <c r="AU4" s="3" t="inlineStr">
        <is>
          <t>PÓS-OBRA</t>
        </is>
      </c>
      <c r="AV4" s="3" t="inlineStr">
        <is>
          <t>PÓS-OBRA</t>
        </is>
      </c>
    </row>
    <row r="5">
      <c r="A5" s="22" t="inlineStr">
        <is>
          <t>RECEITAS</t>
        </is>
      </c>
    </row>
    <row r="6">
      <c r="A6" s="10" t="inlineStr">
        <is>
          <t>% vendas acumulado</t>
        </is>
      </c>
      <c r="B6" s="23" t="n">
        <v>27.50198538886807</v>
      </c>
      <c r="C6" s="24" t="n">
        <v>0</v>
      </c>
      <c r="D6" s="24" t="n">
        <v>0</v>
      </c>
      <c r="E6" s="24" t="n">
        <v>0.01044453919530878</v>
      </c>
      <c r="F6" s="24" t="n">
        <v>0.02266740639356628</v>
      </c>
      <c r="G6" s="24" t="n">
        <v>0.03691212246240098</v>
      </c>
      <c r="H6" s="24" t="n">
        <v>0.05343302826731479</v>
      </c>
      <c r="I6" s="24" t="n">
        <v>0.07248669392740259</v>
      </c>
      <c r="J6" s="24" t="n">
        <v>0.09431980876360423</v>
      </c>
      <c r="K6" s="24" t="n">
        <v>0.1191532723983242</v>
      </c>
      <c r="L6" s="24" t="n">
        <v>0.1471626397634039</v>
      </c>
      <c r="M6" s="24" t="n">
        <v>0.1784557271079559</v>
      </c>
      <c r="N6" s="24" t="n">
        <v>0.2130490329635914</v>
      </c>
      <c r="O6" s="24" t="n">
        <v>0.250845552983649</v>
      </c>
      <c r="P6" s="24" t="n">
        <v>0.2916173547916023</v>
      </c>
      <c r="Q6" s="24" t="n">
        <v>0.3349966322331253</v>
      </c>
      <c r="R6" s="24" t="n">
        <v>0.3804785778108556</v>
      </c>
      <c r="S6" s="24" t="n">
        <v>0.427438121485452</v>
      </c>
      <c r="T6" s="24" t="n">
        <v>0.4751604659976323</v>
      </c>
      <c r="U6" s="24" t="n">
        <v>0.5228828105098127</v>
      </c>
      <c r="V6" s="24" t="n">
        <v>0.5698423541844091</v>
      </c>
      <c r="W6" s="24" t="n">
        <v>0.6153242997621393</v>
      </c>
      <c r="X6" s="24" t="n">
        <v>0.6587035772036622</v>
      </c>
      <c r="Y6" s="24" t="n">
        <v>0.6994753790116155</v>
      </c>
      <c r="Z6" s="24" t="n">
        <v>0.7372718990316731</v>
      </c>
      <c r="AA6" s="24" t="n">
        <v>0.7718652048873087</v>
      </c>
      <c r="AB6" s="24" t="n">
        <v>0.8031582922318609</v>
      </c>
      <c r="AC6" s="24" t="n">
        <v>0.8311676595969405</v>
      </c>
      <c r="AD6" s="24" t="n">
        <v>0.8560011232316606</v>
      </c>
      <c r="AE6" s="24" t="n">
        <v>0.8778342380678621</v>
      </c>
      <c r="AF6" s="24" t="n">
        <v>0.8968879037279499</v>
      </c>
      <c r="AG6" s="24" t="n">
        <v>0.9134088095328639</v>
      </c>
      <c r="AH6" s="24" t="n">
        <v>0.9276535256016986</v>
      </c>
      <c r="AI6" s="24" t="n">
        <v>0.9398763927999561</v>
      </c>
      <c r="AJ6" s="24" t="n">
        <v>0.9503209319952647</v>
      </c>
      <c r="AK6" s="24" t="n">
        <v>0.9592142586003145</v>
      </c>
      <c r="AL6" s="24" t="n">
        <v>0.9667639034810692</v>
      </c>
      <c r="AM6" s="24" t="n">
        <v>0.9731564545460345</v>
      </c>
      <c r="AN6" s="24" t="n">
        <v>0.9785575012356601</v>
      </c>
      <c r="AO6" s="24" t="n">
        <v>0.9831124550414529</v>
      </c>
      <c r="AP6" s="24" t="n">
        <v>0.9869479128052399</v>
      </c>
      <c r="AQ6" s="24" t="n">
        <v>0.990173314598374</v>
      </c>
      <c r="AR6" s="24" t="n">
        <v>0.9928827194606683</v>
      </c>
      <c r="AS6" s="24" t="n">
        <v>0.9951565791030378</v>
      </c>
      <c r="AT6" s="24" t="n">
        <v>0.9970634329032423</v>
      </c>
      <c r="AU6" s="24" t="n">
        <v>0.9986614791711057</v>
      </c>
      <c r="AV6" s="24" t="n">
        <v>1</v>
      </c>
    </row>
    <row r="7">
      <c r="A7" s="10" t="inlineStr">
        <is>
          <t>VGV contratado no mês</t>
        </is>
      </c>
      <c r="B7" s="25" t="n">
        <v>94084436.51879998</v>
      </c>
      <c r="C7" s="26" t="n">
        <v>0</v>
      </c>
      <c r="D7" s="26" t="n">
        <v>0</v>
      </c>
      <c r="E7" s="26" t="n">
        <v>982668.5848891471</v>
      </c>
      <c r="F7" s="26" t="n">
        <v>1149981.57299218</v>
      </c>
      <c r="G7" s="26" t="n">
        <v>1340206.084706609</v>
      </c>
      <c r="H7" s="26" t="n">
        <v>1554360.113435487</v>
      </c>
      <c r="I7" s="26" t="n">
        <v>1792653.39724697</v>
      </c>
      <c r="J7" s="26" t="n">
        <v>2054156.306814283</v>
      </c>
      <c r="K7" s="26" t="n">
        <v>2336442.43288274</v>
      </c>
      <c r="L7" s="26" t="n">
        <v>2635245.545791587</v>
      </c>
      <c r="M7" s="26" t="n">
        <v>2944192.489745766</v>
      </c>
      <c r="N7" s="26" t="n">
        <v>3254691.688749971</v>
      </c>
      <c r="O7" s="26" t="n">
        <v>3556064.288458657</v>
      </c>
      <c r="P7" s="26" t="n">
        <v>3835991.998957479</v>
      </c>
      <c r="Q7" s="26" t="n">
        <v>4081314.874678385</v>
      </c>
      <c r="R7" s="26" t="n">
        <v>4279143.221459479</v>
      </c>
      <c r="S7" s="26" t="n">
        <v>4418162.205804382</v>
      </c>
      <c r="T7" s="26" t="n">
        <v>4489929.892784534</v>
      </c>
      <c r="U7" s="26" t="n">
        <v>4489929.892784534</v>
      </c>
      <c r="V7" s="26" t="n">
        <v>4418162.205804382</v>
      </c>
      <c r="W7" s="26" t="n">
        <v>4279143.221459479</v>
      </c>
      <c r="X7" s="26" t="n">
        <v>4081314.874678379</v>
      </c>
      <c r="Y7" s="26" t="n">
        <v>3835991.998957476</v>
      </c>
      <c r="Z7" s="26" t="n">
        <v>3556064.288458663</v>
      </c>
      <c r="AA7" s="26" t="n">
        <v>3254691.688749974</v>
      </c>
      <c r="AB7" s="26" t="n">
        <v>2944192.489745784</v>
      </c>
      <c r="AC7" s="26" t="n">
        <v>2635245.545791582</v>
      </c>
      <c r="AD7" s="26" t="n">
        <v>2336442.432882743</v>
      </c>
      <c r="AE7" s="26" t="n">
        <v>2054156.306814269</v>
      </c>
      <c r="AF7" s="26" t="n">
        <v>1792653.39724697</v>
      </c>
      <c r="AG7" s="26" t="n">
        <v>1554360.113435495</v>
      </c>
      <c r="AH7" s="26" t="n">
        <v>1340206.084706607</v>
      </c>
      <c r="AI7" s="26" t="n">
        <v>1149981.572992185</v>
      </c>
      <c r="AJ7" s="26" t="n">
        <v>982668.584889136</v>
      </c>
      <c r="AK7" s="26" t="n">
        <v>836723.6224137641</v>
      </c>
      <c r="AL7" s="26" t="n">
        <v>710304.0845228471</v>
      </c>
      <c r="AM7" s="26" t="n">
        <v>601439.5648649083</v>
      </c>
      <c r="AN7" s="26" t="n">
        <v>508154.4344051497</v>
      </c>
      <c r="AO7" s="26" t="n">
        <v>428550.262187184</v>
      </c>
      <c r="AP7" s="26" t="n">
        <v>360856.8824975437</v>
      </c>
      <c r="AQ7" s="26" t="n">
        <v>303460.1102537547</v>
      </c>
      <c r="AR7" s="26" t="n">
        <v>254912.829770254</v>
      </c>
      <c r="AS7" s="26" t="n">
        <v>213934.803175175</v>
      </c>
      <c r="AT7" s="26" t="n">
        <v>179405.2653159716</v>
      </c>
      <c r="AU7" s="26" t="n">
        <v>150351.2826428958</v>
      </c>
      <c r="AV7" s="26" t="n">
        <v>125933.9779552144</v>
      </c>
    </row>
    <row r="8">
      <c r="A8" s="10" t="inlineStr">
        <is>
          <t>Entrada (ato)</t>
        </is>
      </c>
      <c r="B8" s="25" t="n">
        <v>18816887.30376</v>
      </c>
      <c r="C8" s="26" t="n">
        <v>0</v>
      </c>
      <c r="D8" s="26" t="n">
        <v>0</v>
      </c>
      <c r="E8" s="26" t="n">
        <v>196533.7169778294</v>
      </c>
      <c r="F8" s="26" t="n">
        <v>229996.3145984361</v>
      </c>
      <c r="G8" s="26" t="n">
        <v>268041.2169413219</v>
      </c>
      <c r="H8" s="26" t="n">
        <v>310872.0226870974</v>
      </c>
      <c r="I8" s="26" t="n">
        <v>358530.6794493941</v>
      </c>
      <c r="J8" s="26" t="n">
        <v>410831.2613628567</v>
      </c>
      <c r="K8" s="26" t="n">
        <v>467288.4865765481</v>
      </c>
      <c r="L8" s="26" t="n">
        <v>527049.1091583174</v>
      </c>
      <c r="M8" s="26" t="n">
        <v>588838.4979491532</v>
      </c>
      <c r="N8" s="26" t="n">
        <v>650938.3377499944</v>
      </c>
      <c r="O8" s="26" t="n">
        <v>711212.8576917315</v>
      </c>
      <c r="P8" s="26" t="n">
        <v>767198.3997914959</v>
      </c>
      <c r="Q8" s="26" t="n">
        <v>816262.9749356769</v>
      </c>
      <c r="R8" s="26" t="n">
        <v>855828.6442918959</v>
      </c>
      <c r="S8" s="26" t="n">
        <v>883632.4411608763</v>
      </c>
      <c r="T8" s="26" t="n">
        <v>897985.9785569068</v>
      </c>
      <c r="U8" s="26" t="n">
        <v>897985.9785569068</v>
      </c>
      <c r="V8" s="26" t="n">
        <v>883632.4411608763</v>
      </c>
      <c r="W8" s="26" t="n">
        <v>855828.6442918959</v>
      </c>
      <c r="X8" s="26" t="n">
        <v>816262.974935676</v>
      </c>
      <c r="Y8" s="26" t="n">
        <v>767198.3997914953</v>
      </c>
      <c r="Z8" s="26" t="n">
        <v>711212.8576917326</v>
      </c>
      <c r="AA8" s="26" t="n">
        <v>650938.3377499948</v>
      </c>
      <c r="AB8" s="26" t="n">
        <v>588838.4979491568</v>
      </c>
      <c r="AC8" s="26" t="n">
        <v>527049.1091583165</v>
      </c>
      <c r="AD8" s="26" t="n">
        <v>467288.4865765486</v>
      </c>
      <c r="AE8" s="26" t="n">
        <v>410831.2613628538</v>
      </c>
      <c r="AF8" s="26" t="n">
        <v>358530.6794493941</v>
      </c>
      <c r="AG8" s="26" t="n">
        <v>310872.0226870989</v>
      </c>
      <c r="AH8" s="26" t="n">
        <v>268041.2169413213</v>
      </c>
      <c r="AI8" s="26" t="n">
        <v>229996.3145984369</v>
      </c>
      <c r="AJ8" s="26" t="n">
        <v>196533.7169778272</v>
      </c>
      <c r="AK8" s="26" t="n">
        <v>167344.7244827528</v>
      </c>
      <c r="AL8" s="26" t="n">
        <v>142060.8169045694</v>
      </c>
      <c r="AM8" s="26" t="n">
        <v>120287.9129729817</v>
      </c>
      <c r="AN8" s="26" t="n">
        <v>101630.8868810299</v>
      </c>
      <c r="AO8" s="26" t="n">
        <v>85710.05243743681</v>
      </c>
      <c r="AP8" s="26" t="n">
        <v>72171.37649950874</v>
      </c>
      <c r="AQ8" s="26" t="n">
        <v>60692.02205075094</v>
      </c>
      <c r="AR8" s="26" t="n">
        <v>50982.5659540508</v>
      </c>
      <c r="AS8" s="26" t="n">
        <v>42786.96063503501</v>
      </c>
      <c r="AT8" s="26" t="n">
        <v>35881.05306319432</v>
      </c>
      <c r="AU8" s="26" t="n">
        <v>30070.25652857916</v>
      </c>
      <c r="AV8" s="26" t="n">
        <v>25186.79559104288</v>
      </c>
    </row>
    <row r="9">
      <c r="A9" s="10" t="inlineStr">
        <is>
          <t>Parcelas obra (CUB)</t>
        </is>
      </c>
      <c r="B9" s="25" t="n">
        <v>37095664.45361254</v>
      </c>
      <c r="C9" s="26" t="n">
        <v>0</v>
      </c>
      <c r="D9" s="26" t="n">
        <v>0</v>
      </c>
      <c r="E9" s="26" t="n">
        <v>0</v>
      </c>
      <c r="F9" s="26" t="n">
        <v>12751.28691529995</v>
      </c>
      <c r="G9" s="26" t="n">
        <v>28243.16769204511</v>
      </c>
      <c r="H9" s="26" t="n">
        <v>46992.98011332336</v>
      </c>
      <c r="I9" s="26" t="n">
        <v>69589.38084794633</v>
      </c>
      <c r="J9" s="26" t="n">
        <v>96690.83925333541</v>
      </c>
      <c r="K9" s="26" t="n">
        <v>129018.6326272035</v>
      </c>
      <c r="L9" s="26" t="n">
        <v>167342.5710231629</v>
      </c>
      <c r="M9" s="26" t="n">
        <v>212457.8437032135</v>
      </c>
      <c r="N9" s="26" t="n">
        <v>265151.9700598808</v>
      </c>
      <c r="O9" s="26" t="n">
        <v>326161.9812801625</v>
      </c>
      <c r="P9" s="26" t="n">
        <v>396123.6874555469</v>
      </c>
      <c r="Q9" s="26" t="n">
        <v>475517.0534843058</v>
      </c>
      <c r="R9" s="26" t="n">
        <v>564613.9322989302</v>
      </c>
      <c r="S9" s="26" t="n">
        <v>663436.0775458395</v>
      </c>
      <c r="T9" s="26" t="n">
        <v>771731.7859896779</v>
      </c>
      <c r="U9" s="26" t="n">
        <v>888978.1849371854</v>
      </c>
      <c r="V9" s="26" t="n">
        <v>1014413.039752454</v>
      </c>
      <c r="W9" s="26" t="n">
        <v>1147095.625340984</v>
      </c>
      <c r="X9" s="26" t="n">
        <v>1285991.874452754</v>
      </c>
      <c r="Y9" s="26" t="n">
        <v>1430076.100222985</v>
      </c>
      <c r="Z9" s="26" t="n">
        <v>1578441.276787772</v>
      </c>
      <c r="AA9" s="26" t="n">
        <v>1730412.844970314</v>
      </c>
      <c r="AB9" s="26" t="n">
        <v>1885667.703609314</v>
      </c>
      <c r="AC9" s="26" t="n">
        <v>2044371.512064422</v>
      </c>
      <c r="AD9" s="26" t="n">
        <v>2207367.577661731</v>
      </c>
      <c r="AE9" s="26" t="n">
        <v>2376491.889408447</v>
      </c>
      <c r="AF9" s="26" t="n">
        <v>2555190.584480868</v>
      </c>
      <c r="AG9" s="26" t="n">
        <v>2749916.935556475</v>
      </c>
      <c r="AH9" s="26" t="n">
        <v>2973885.191246897</v>
      </c>
      <c r="AI9" s="26" t="n">
        <v>3260256.731435384</v>
      </c>
      <c r="AJ9" s="26" t="n">
        <v>3741284.191394674</v>
      </c>
      <c r="AK9" s="26" t="n">
        <v>0</v>
      </c>
      <c r="AL9" s="26" t="n">
        <v>0</v>
      </c>
      <c r="AM9" s="26" t="n">
        <v>0</v>
      </c>
      <c r="AN9" s="26" t="n">
        <v>0</v>
      </c>
      <c r="AO9" s="26" t="n">
        <v>0</v>
      </c>
      <c r="AP9" s="26" t="n">
        <v>0</v>
      </c>
      <c r="AQ9" s="26" t="n">
        <v>0</v>
      </c>
      <c r="AR9" s="26" t="n">
        <v>0</v>
      </c>
      <c r="AS9" s="26" t="n">
        <v>0</v>
      </c>
      <c r="AT9" s="26" t="n">
        <v>0</v>
      </c>
      <c r="AU9" s="26" t="n">
        <v>0</v>
      </c>
      <c r="AV9" s="26" t="n">
        <v>0</v>
      </c>
    </row>
    <row r="10">
      <c r="A10" s="10" t="inlineStr">
        <is>
          <t>Repasse / chave</t>
        </is>
      </c>
      <c r="B10" s="25" t="n">
        <v>37633774.60752</v>
      </c>
      <c r="C10" s="26" t="n">
        <v>0</v>
      </c>
      <c r="D10" s="26" t="n">
        <v>0</v>
      </c>
      <c r="E10" s="26" t="n">
        <v>0</v>
      </c>
      <c r="F10" s="26" t="n">
        <v>0</v>
      </c>
      <c r="G10" s="26" t="n">
        <v>0</v>
      </c>
      <c r="H10" s="26" t="n">
        <v>0</v>
      </c>
      <c r="I10" s="26" t="n">
        <v>0</v>
      </c>
      <c r="J10" s="26" t="n">
        <v>0</v>
      </c>
      <c r="K10" s="26" t="n">
        <v>0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26" t="n">
        <v>0</v>
      </c>
      <c r="AB10" s="26" t="n">
        <v>0</v>
      </c>
      <c r="AC10" s="26" t="n">
        <v>0</v>
      </c>
      <c r="AD10" s="26" t="n">
        <v>0</v>
      </c>
      <c r="AE10" s="26" t="n">
        <v>0</v>
      </c>
      <c r="AF10" s="26" t="n">
        <v>0</v>
      </c>
      <c r="AG10" s="26" t="n">
        <v>0</v>
      </c>
      <c r="AH10" s="26" t="n">
        <v>0</v>
      </c>
      <c r="AI10" s="26" t="n">
        <v>0</v>
      </c>
      <c r="AJ10" s="26" t="n">
        <v>0</v>
      </c>
      <c r="AK10" s="26" t="n">
        <v>0</v>
      </c>
      <c r="AL10" s="26" t="n">
        <v>37633774.60752</v>
      </c>
      <c r="AM10" s="26" t="n">
        <v>0</v>
      </c>
      <c r="AN10" s="26" t="n">
        <v>0</v>
      </c>
      <c r="AO10" s="26" t="n">
        <v>0</v>
      </c>
      <c r="AP10" s="26" t="n">
        <v>0</v>
      </c>
      <c r="AQ10" s="26" t="n">
        <v>0</v>
      </c>
      <c r="AR10" s="26" t="n">
        <v>0</v>
      </c>
      <c r="AS10" s="26" t="n">
        <v>0</v>
      </c>
      <c r="AT10" s="26" t="n">
        <v>0</v>
      </c>
      <c r="AU10" s="26" t="n">
        <v>0</v>
      </c>
      <c r="AV10" s="26" t="n">
        <v>0</v>
      </c>
    </row>
    <row r="11">
      <c r="A11" s="10" t="inlineStr">
        <is>
          <t>Inadimplência (-)</t>
        </is>
      </c>
      <c r="B11" s="25" t="n">
        <v>-2806389.790946776</v>
      </c>
      <c r="C11" s="26" t="n">
        <v>-0</v>
      </c>
      <c r="D11" s="26" t="n">
        <v>-0</v>
      </c>
      <c r="E11" s="26" t="n">
        <v>-5896.011509334883</v>
      </c>
      <c r="F11" s="26" t="n">
        <v>-7282.42804541208</v>
      </c>
      <c r="G11" s="26" t="n">
        <v>-8888.531539001007</v>
      </c>
      <c r="H11" s="26" t="n">
        <v>-10735.95008401262</v>
      </c>
      <c r="I11" s="26" t="n">
        <v>-12843.60180892021</v>
      </c>
      <c r="J11" s="26" t="n">
        <v>-15225.66301848576</v>
      </c>
      <c r="K11" s="26" t="n">
        <v>-17889.21357611255</v>
      </c>
      <c r="L11" s="26" t="n">
        <v>-20831.75040544441</v>
      </c>
      <c r="M11" s="26" t="n">
        <v>-24038.890249571</v>
      </c>
      <c r="N11" s="26" t="n">
        <v>-27482.70923429625</v>
      </c>
      <c r="O11" s="26" t="n">
        <v>-31121.24516915682</v>
      </c>
      <c r="P11" s="26" t="n">
        <v>-34899.66261741129</v>
      </c>
      <c r="Q11" s="26" t="n">
        <v>-38753.40085259948</v>
      </c>
      <c r="R11" s="26" t="n">
        <v>-42613.27729772479</v>
      </c>
      <c r="S11" s="26" t="n">
        <v>-46412.05556120147</v>
      </c>
      <c r="T11" s="26" t="n">
        <v>-50091.53293639754</v>
      </c>
      <c r="U11" s="26" t="n">
        <v>-53608.92490482276</v>
      </c>
      <c r="V11" s="26" t="n">
        <v>-56941.36442739992</v>
      </c>
      <c r="W11" s="26" t="n">
        <v>-60087.7280889864</v>
      </c>
      <c r="X11" s="26" t="n">
        <v>-63067.64548165289</v>
      </c>
      <c r="Y11" s="26" t="n">
        <v>-65918.23500043439</v>
      </c>
      <c r="Z11" s="26" t="n">
        <v>-68689.62403438514</v>
      </c>
      <c r="AA11" s="26" t="n">
        <v>-71440.53548160927</v>
      </c>
      <c r="AB11" s="26" t="n">
        <v>-74235.18604675411</v>
      </c>
      <c r="AC11" s="26" t="n">
        <v>-77142.61863668215</v>
      </c>
      <c r="AD11" s="26" t="n">
        <v>-80239.6819271484</v>
      </c>
      <c r="AE11" s="26" t="n">
        <v>-83619.69452313903</v>
      </c>
      <c r="AF11" s="26" t="n">
        <v>-87411.63791790786</v>
      </c>
      <c r="AG11" s="26" t="n">
        <v>-91823.66874730721</v>
      </c>
      <c r="AH11" s="26" t="n">
        <v>-97257.79224564656</v>
      </c>
      <c r="AI11" s="26" t="n">
        <v>-104707.5913810146</v>
      </c>
      <c r="AJ11" s="26" t="n">
        <v>-118134.537251175</v>
      </c>
      <c r="AK11" s="26" t="n">
        <v>-5020.341734482586</v>
      </c>
      <c r="AL11" s="26" t="n">
        <v>-1133275.062732737</v>
      </c>
      <c r="AM11" s="26" t="n">
        <v>-3608.63738918945</v>
      </c>
      <c r="AN11" s="26" t="n">
        <v>-3048.926606430898</v>
      </c>
      <c r="AO11" s="26" t="n">
        <v>-2571.301573123104</v>
      </c>
      <c r="AP11" s="26" t="n">
        <v>-2165.141294985262</v>
      </c>
      <c r="AQ11" s="26" t="n">
        <v>-1820.760661522528</v>
      </c>
      <c r="AR11" s="26" t="n">
        <v>-1529.476978621524</v>
      </c>
      <c r="AS11" s="26" t="n">
        <v>-1283.60881905105</v>
      </c>
      <c r="AT11" s="26" t="n">
        <v>-1076.43159189583</v>
      </c>
      <c r="AU11" s="26" t="n">
        <v>-902.1076958573748</v>
      </c>
      <c r="AV11" s="26" t="n">
        <v>-755.6038677312864</v>
      </c>
    </row>
    <row r="12">
      <c r="A12" s="5" t="inlineStr">
        <is>
          <t>RECEITA LÍQUIDA MÊS</t>
        </is>
      </c>
      <c r="B12" s="25" t="n">
        <v>90739936.57394576</v>
      </c>
      <c r="C12" s="26" t="n">
        <v>0</v>
      </c>
      <c r="D12" s="26" t="n">
        <v>0</v>
      </c>
      <c r="E12" s="26" t="n">
        <v>190637.7054684946</v>
      </c>
      <c r="F12" s="26" t="n">
        <v>235465.1734683239</v>
      </c>
      <c r="G12" s="26" t="n">
        <v>287395.8530943659</v>
      </c>
      <c r="H12" s="26" t="n">
        <v>347129.0527164081</v>
      </c>
      <c r="I12" s="26" t="n">
        <v>415276.4584884202</v>
      </c>
      <c r="J12" s="26" t="n">
        <v>492296.4375977063</v>
      </c>
      <c r="K12" s="26" t="n">
        <v>578417.905627639</v>
      </c>
      <c r="L12" s="26" t="n">
        <v>673559.9297760359</v>
      </c>
      <c r="M12" s="26" t="n">
        <v>777257.4514027957</v>
      </c>
      <c r="N12" s="26" t="n">
        <v>888607.5985755789</v>
      </c>
      <c r="O12" s="26" t="n">
        <v>1006253.593802737</v>
      </c>
      <c r="P12" s="26" t="n">
        <v>1128422.424629632</v>
      </c>
      <c r="Q12" s="26" t="n">
        <v>1253026.627567383</v>
      </c>
      <c r="R12" s="26" t="n">
        <v>1377829.299293102</v>
      </c>
      <c r="S12" s="26" t="n">
        <v>1500656.463145514</v>
      </c>
      <c r="T12" s="26" t="n">
        <v>1619626.231610187</v>
      </c>
      <c r="U12" s="26" t="n">
        <v>1733355.238589269</v>
      </c>
      <c r="V12" s="26" t="n">
        <v>1841104.116485931</v>
      </c>
      <c r="W12" s="26" t="n">
        <v>1942836.541543894</v>
      </c>
      <c r="X12" s="26" t="n">
        <v>2039187.203906777</v>
      </c>
      <c r="Y12" s="26" t="n">
        <v>2131356.265014045</v>
      </c>
      <c r="Z12" s="26" t="n">
        <v>2220964.510445119</v>
      </c>
      <c r="AA12" s="26" t="n">
        <v>2309910.6472387</v>
      </c>
      <c r="AB12" s="26" t="n">
        <v>2400271.015511717</v>
      </c>
      <c r="AC12" s="26" t="n">
        <v>2494278.002586056</v>
      </c>
      <c r="AD12" s="26" t="n">
        <v>2594416.382311132</v>
      </c>
      <c r="AE12" s="26" t="n">
        <v>2703703.456248162</v>
      </c>
      <c r="AF12" s="26" t="n">
        <v>2826309.626012354</v>
      </c>
      <c r="AG12" s="26" t="n">
        <v>2968965.289496266</v>
      </c>
      <c r="AH12" s="26" t="n">
        <v>3144668.615942572</v>
      </c>
      <c r="AI12" s="26" t="n">
        <v>3385545.454652806</v>
      </c>
      <c r="AJ12" s="26" t="n">
        <v>3819683.371121326</v>
      </c>
      <c r="AK12" s="26" t="n">
        <v>162324.3827482703</v>
      </c>
      <c r="AL12" s="26" t="n">
        <v>36642560.36169183</v>
      </c>
      <c r="AM12" s="26" t="n">
        <v>116679.2755837922</v>
      </c>
      <c r="AN12" s="26" t="n">
        <v>98581.96027459903</v>
      </c>
      <c r="AO12" s="26" t="n">
        <v>83138.75086431371</v>
      </c>
      <c r="AP12" s="26" t="n">
        <v>70006.23520452347</v>
      </c>
      <c r="AQ12" s="26" t="n">
        <v>58871.26138922841</v>
      </c>
      <c r="AR12" s="26" t="n">
        <v>49453.08897542927</v>
      </c>
      <c r="AS12" s="26" t="n">
        <v>41503.35181598396</v>
      </c>
      <c r="AT12" s="26" t="n">
        <v>34804.62147129849</v>
      </c>
      <c r="AU12" s="26" t="n">
        <v>29168.14883272178</v>
      </c>
      <c r="AV12" s="26" t="n">
        <v>24431.1917233116</v>
      </c>
    </row>
    <row r="14">
      <c r="A14" s="27" t="inlineStr">
        <is>
          <t>DESPESAS</t>
        </is>
      </c>
    </row>
    <row r="15">
      <c r="A15" s="10" t="inlineStr">
        <is>
          <t>Custo de obra (macrogrupos)</t>
        </is>
      </c>
      <c r="B15" s="25" t="n">
        <v>45460479.411</v>
      </c>
      <c r="C15" s="26" t="n">
        <v>0</v>
      </c>
      <c r="D15" s="26" t="n">
        <v>0</v>
      </c>
      <c r="E15" s="26" t="n">
        <v>0</v>
      </c>
      <c r="F15" s="26" t="n">
        <v>608024.6133333334</v>
      </c>
      <c r="G15" s="26" t="n">
        <v>608024.6133333334</v>
      </c>
      <c r="H15" s="26" t="n">
        <v>1220527.676908333</v>
      </c>
      <c r="I15" s="26" t="n">
        <v>1087482.556908333</v>
      </c>
      <c r="J15" s="26" t="n">
        <v>1134987.287384524</v>
      </c>
      <c r="K15" s="26" t="n">
        <v>1134987.287384524</v>
      </c>
      <c r="L15" s="26" t="n">
        <v>1134987.287384524</v>
      </c>
      <c r="M15" s="26" t="n">
        <v>1285971.787384524</v>
      </c>
      <c r="N15" s="26" t="n">
        <v>987932.6273845237</v>
      </c>
      <c r="O15" s="26" t="n">
        <v>1246786.350742418</v>
      </c>
      <c r="P15" s="26" t="n">
        <v>1246786.350742418</v>
      </c>
      <c r="Q15" s="26" t="n">
        <v>1246786.350742418</v>
      </c>
      <c r="R15" s="26" t="n">
        <v>1246786.350742418</v>
      </c>
      <c r="S15" s="26" t="n">
        <v>1246786.350742418</v>
      </c>
      <c r="T15" s="26" t="n">
        <v>1716501.71228088</v>
      </c>
      <c r="U15" s="26" t="n">
        <v>1716501.71228088</v>
      </c>
      <c r="V15" s="26" t="n">
        <v>1716501.71228088</v>
      </c>
      <c r="W15" s="26" t="n">
        <v>2273064.74258391</v>
      </c>
      <c r="X15" s="26" t="n">
        <v>1660561.67900891</v>
      </c>
      <c r="Y15" s="26" t="n">
        <v>1981668.75800891</v>
      </c>
      <c r="Z15" s="26" t="n">
        <v>1981668.75800891</v>
      </c>
      <c r="AA15" s="26" t="n">
        <v>2245378.471342244</v>
      </c>
      <c r="AB15" s="26" t="n">
        <v>2094393.971342243</v>
      </c>
      <c r="AC15" s="26" t="n">
        <v>2311382.651342244</v>
      </c>
      <c r="AD15" s="26" t="n">
        <v>2311382.651342244</v>
      </c>
      <c r="AE15" s="26" t="n">
        <v>2263877.920866054</v>
      </c>
      <c r="AF15" s="26" t="n">
        <v>2263877.920866054</v>
      </c>
      <c r="AG15" s="26" t="n">
        <v>1794162.559327592</v>
      </c>
      <c r="AH15" s="26" t="n">
        <v>1084449.972333333</v>
      </c>
      <c r="AI15" s="26" t="n">
        <v>608246.7266666667</v>
      </c>
      <c r="AJ15" s="26" t="n">
        <v>0</v>
      </c>
      <c r="AK15" s="26" t="n">
        <v>0</v>
      </c>
      <c r="AL15" s="26" t="n">
        <v>0</v>
      </c>
      <c r="AM15" s="26" t="n">
        <v>0</v>
      </c>
      <c r="AN15" s="26" t="n">
        <v>0</v>
      </c>
      <c r="AO15" s="26" t="n">
        <v>0</v>
      </c>
      <c r="AP15" s="26" t="n">
        <v>0</v>
      </c>
      <c r="AQ15" s="26" t="n">
        <v>0</v>
      </c>
      <c r="AR15" s="26" t="n">
        <v>0</v>
      </c>
      <c r="AS15" s="26" t="n">
        <v>0</v>
      </c>
      <c r="AT15" s="26" t="n">
        <v>0</v>
      </c>
      <c r="AU15" s="26" t="n">
        <v>0</v>
      </c>
      <c r="AV15" s="26" t="n">
        <v>0</v>
      </c>
    </row>
    <row r="16">
      <c r="A16" s="10" t="inlineStr">
        <is>
          <t>Contingência (5%)</t>
        </is>
      </c>
      <c r="B16" s="25" t="n">
        <v>2273023.97055</v>
      </c>
      <c r="C16" s="26" t="n">
        <v>0</v>
      </c>
      <c r="D16" s="26" t="n">
        <v>0</v>
      </c>
      <c r="E16" s="26" t="n">
        <v>0</v>
      </c>
      <c r="F16" s="26" t="n">
        <v>30401.23066666667</v>
      </c>
      <c r="G16" s="26" t="n">
        <v>30401.23066666667</v>
      </c>
      <c r="H16" s="26" t="n">
        <v>61026.38384541665</v>
      </c>
      <c r="I16" s="26" t="n">
        <v>54374.12784541666</v>
      </c>
      <c r="J16" s="26" t="n">
        <v>56749.36436922619</v>
      </c>
      <c r="K16" s="26" t="n">
        <v>56749.36436922619</v>
      </c>
      <c r="L16" s="26" t="n">
        <v>56749.36436922619</v>
      </c>
      <c r="M16" s="26" t="n">
        <v>64298.58936922619</v>
      </c>
      <c r="N16" s="26" t="n">
        <v>49396.63136922619</v>
      </c>
      <c r="O16" s="26" t="n">
        <v>62339.31753712092</v>
      </c>
      <c r="P16" s="26" t="n">
        <v>62339.31753712092</v>
      </c>
      <c r="Q16" s="26" t="n">
        <v>62339.31753712092</v>
      </c>
      <c r="R16" s="26" t="n">
        <v>62339.31753712092</v>
      </c>
      <c r="S16" s="26" t="n">
        <v>62339.31753712092</v>
      </c>
      <c r="T16" s="26" t="n">
        <v>85825.085614044</v>
      </c>
      <c r="U16" s="26" t="n">
        <v>85825.085614044</v>
      </c>
      <c r="V16" s="26" t="n">
        <v>85825.085614044</v>
      </c>
      <c r="W16" s="26" t="n">
        <v>113653.2371291955</v>
      </c>
      <c r="X16" s="26" t="n">
        <v>83028.08395044552</v>
      </c>
      <c r="Y16" s="26" t="n">
        <v>99083.43790044551</v>
      </c>
      <c r="Z16" s="26" t="n">
        <v>99083.43790044551</v>
      </c>
      <c r="AA16" s="26" t="n">
        <v>112268.9235671122</v>
      </c>
      <c r="AB16" s="26" t="n">
        <v>104719.6985671122</v>
      </c>
      <c r="AC16" s="26" t="n">
        <v>115569.1325671122</v>
      </c>
      <c r="AD16" s="26" t="n">
        <v>115569.1325671122</v>
      </c>
      <c r="AE16" s="26" t="n">
        <v>113193.8960433027</v>
      </c>
      <c r="AF16" s="26" t="n">
        <v>113193.8960433027</v>
      </c>
      <c r="AG16" s="26" t="n">
        <v>89708.12796637959</v>
      </c>
      <c r="AH16" s="26" t="n">
        <v>54222.49861666666</v>
      </c>
      <c r="AI16" s="26" t="n">
        <v>30412.33633333334</v>
      </c>
      <c r="AJ16" s="26" t="n">
        <v>0</v>
      </c>
      <c r="AK16" s="26" t="n">
        <v>0</v>
      </c>
      <c r="AL16" s="26" t="n">
        <v>0</v>
      </c>
      <c r="AM16" s="26" t="n">
        <v>0</v>
      </c>
      <c r="AN16" s="26" t="n">
        <v>0</v>
      </c>
      <c r="AO16" s="26" t="n">
        <v>0</v>
      </c>
      <c r="AP16" s="26" t="n">
        <v>0</v>
      </c>
      <c r="AQ16" s="26" t="n">
        <v>0</v>
      </c>
      <c r="AR16" s="26" t="n">
        <v>0</v>
      </c>
      <c r="AS16" s="26" t="n">
        <v>0</v>
      </c>
      <c r="AT16" s="26" t="n">
        <v>0</v>
      </c>
      <c r="AU16" s="26" t="n">
        <v>0</v>
      </c>
      <c r="AV16" s="26" t="n">
        <v>0</v>
      </c>
    </row>
    <row r="17">
      <c r="A17" s="10" t="inlineStr">
        <is>
          <t>Corretagem (6% VGV)</t>
        </is>
      </c>
      <c r="B17" s="25" t="n">
        <v>5645066.191127998</v>
      </c>
      <c r="C17" s="26" t="n">
        <v>0</v>
      </c>
      <c r="D17" s="26" t="n">
        <v>0</v>
      </c>
      <c r="E17" s="26" t="n">
        <v>58960.11509334882</v>
      </c>
      <c r="F17" s="26" t="n">
        <v>68998.89437953082</v>
      </c>
      <c r="G17" s="26" t="n">
        <v>80412.36508239654</v>
      </c>
      <c r="H17" s="26" t="n">
        <v>93261.6068061292</v>
      </c>
      <c r="I17" s="26" t="n">
        <v>107559.2038348182</v>
      </c>
      <c r="J17" s="26" t="n">
        <v>123249.378408857</v>
      </c>
      <c r="K17" s="26" t="n">
        <v>140186.5459729644</v>
      </c>
      <c r="L17" s="26" t="n">
        <v>158114.7327474952</v>
      </c>
      <c r="M17" s="26" t="n">
        <v>176651.5493847459</v>
      </c>
      <c r="N17" s="26" t="n">
        <v>195281.5013249983</v>
      </c>
      <c r="O17" s="26" t="n">
        <v>213363.8573075194</v>
      </c>
      <c r="P17" s="26" t="n">
        <v>230159.5199374487</v>
      </c>
      <c r="Q17" s="26" t="n">
        <v>244878.8924807031</v>
      </c>
      <c r="R17" s="26" t="n">
        <v>256748.5932875687</v>
      </c>
      <c r="S17" s="26" t="n">
        <v>265089.7323482629</v>
      </c>
      <c r="T17" s="26" t="n">
        <v>269395.793567072</v>
      </c>
      <c r="U17" s="26" t="n">
        <v>269395.793567072</v>
      </c>
      <c r="V17" s="26" t="n">
        <v>265089.7323482629</v>
      </c>
      <c r="W17" s="26" t="n">
        <v>256748.5932875687</v>
      </c>
      <c r="X17" s="26" t="n">
        <v>244878.8924807028</v>
      </c>
      <c r="Y17" s="26" t="n">
        <v>230159.5199374486</v>
      </c>
      <c r="Z17" s="26" t="n">
        <v>213363.8573075197</v>
      </c>
      <c r="AA17" s="26" t="n">
        <v>195281.5013249984</v>
      </c>
      <c r="AB17" s="26" t="n">
        <v>176651.549384747</v>
      </c>
      <c r="AC17" s="26" t="n">
        <v>158114.7327474949</v>
      </c>
      <c r="AD17" s="26" t="n">
        <v>140186.5459729646</v>
      </c>
      <c r="AE17" s="26" t="n">
        <v>123249.3784088561</v>
      </c>
      <c r="AF17" s="26" t="n">
        <v>107559.2038348182</v>
      </c>
      <c r="AG17" s="26" t="n">
        <v>93261.60680612968</v>
      </c>
      <c r="AH17" s="26" t="n">
        <v>80412.3650823964</v>
      </c>
      <c r="AI17" s="26" t="n">
        <v>68998.89437953108</v>
      </c>
      <c r="AJ17" s="26" t="n">
        <v>58960.11509334816</v>
      </c>
      <c r="AK17" s="26" t="n">
        <v>50203.41734482584</v>
      </c>
      <c r="AL17" s="26" t="n">
        <v>42618.24507137082</v>
      </c>
      <c r="AM17" s="26" t="n">
        <v>36086.3738918945</v>
      </c>
      <c r="AN17" s="26" t="n">
        <v>30489.26606430898</v>
      </c>
      <c r="AO17" s="26" t="n">
        <v>25713.01573123104</v>
      </c>
      <c r="AP17" s="26" t="n">
        <v>21651.41294985262</v>
      </c>
      <c r="AQ17" s="26" t="n">
        <v>18207.60661522528</v>
      </c>
      <c r="AR17" s="26" t="n">
        <v>15294.76978621524</v>
      </c>
      <c r="AS17" s="26" t="n">
        <v>12836.0881905105</v>
      </c>
      <c r="AT17" s="26" t="n">
        <v>10764.31591895829</v>
      </c>
      <c r="AU17" s="26" t="n">
        <v>9021.076958573747</v>
      </c>
      <c r="AV17" s="26" t="n">
        <v>7556.038677312864</v>
      </c>
    </row>
    <row r="18">
      <c r="A18" s="10" t="inlineStr">
        <is>
          <t>Marketing</t>
        </is>
      </c>
      <c r="B18" s="25" t="n">
        <v>2822533.095564</v>
      </c>
      <c r="C18" s="26" t="n">
        <v>376337.7460751999</v>
      </c>
      <c r="D18" s="26" t="n">
        <v>376337.7460751999</v>
      </c>
      <c r="E18" s="26" t="n">
        <v>376337.7460751999</v>
      </c>
      <c r="F18" s="26" t="n">
        <v>56450.66191127999</v>
      </c>
      <c r="G18" s="26" t="n">
        <v>56450.66191127999</v>
      </c>
      <c r="H18" s="26" t="n">
        <v>56450.66191127999</v>
      </c>
      <c r="I18" s="26" t="n">
        <v>56450.66191127999</v>
      </c>
      <c r="J18" s="26" t="n">
        <v>56450.66191127999</v>
      </c>
      <c r="K18" s="26" t="n">
        <v>56450.66191127999</v>
      </c>
      <c r="L18" s="26" t="n">
        <v>56450.66191127999</v>
      </c>
      <c r="M18" s="26" t="n">
        <v>56450.66191127999</v>
      </c>
      <c r="N18" s="26" t="n">
        <v>56450.66191127999</v>
      </c>
      <c r="O18" s="26" t="n">
        <v>56450.66191127999</v>
      </c>
      <c r="P18" s="26" t="n">
        <v>56450.66191127999</v>
      </c>
      <c r="Q18" s="26" t="n">
        <v>56450.66191127999</v>
      </c>
      <c r="R18" s="26" t="n">
        <v>56450.66191127999</v>
      </c>
      <c r="S18" s="26" t="n">
        <v>56450.66191127999</v>
      </c>
      <c r="T18" s="26" t="n">
        <v>56450.66191127999</v>
      </c>
      <c r="U18" s="26" t="n">
        <v>56450.66191127999</v>
      </c>
      <c r="V18" s="26" t="n">
        <v>56450.66191127999</v>
      </c>
      <c r="W18" s="26" t="n">
        <v>56450.66191127999</v>
      </c>
      <c r="X18" s="26" t="n">
        <v>56450.66191127999</v>
      </c>
      <c r="Y18" s="26" t="n">
        <v>56450.66191127999</v>
      </c>
      <c r="Z18" s="26" t="n">
        <v>56450.66191127999</v>
      </c>
      <c r="AA18" s="26" t="n">
        <v>56450.66191127999</v>
      </c>
      <c r="AB18" s="26" t="n">
        <v>56450.66191127999</v>
      </c>
      <c r="AC18" s="26" t="n">
        <v>56450.66191127999</v>
      </c>
      <c r="AD18" s="26" t="n">
        <v>56450.66191127999</v>
      </c>
      <c r="AE18" s="26" t="n">
        <v>56450.66191127999</v>
      </c>
      <c r="AF18" s="26" t="n">
        <v>56450.66191127999</v>
      </c>
      <c r="AG18" s="26" t="n">
        <v>56450.66191127999</v>
      </c>
      <c r="AH18" s="26" t="n">
        <v>56450.66191127999</v>
      </c>
      <c r="AI18" s="26" t="n">
        <v>56450.66191127999</v>
      </c>
      <c r="AJ18" s="26" t="n">
        <v>0</v>
      </c>
      <c r="AK18" s="26" t="n">
        <v>0</v>
      </c>
      <c r="AL18" s="26" t="n">
        <v>0</v>
      </c>
      <c r="AM18" s="26" t="n">
        <v>0</v>
      </c>
      <c r="AN18" s="26" t="n">
        <v>0</v>
      </c>
      <c r="AO18" s="26" t="n">
        <v>0</v>
      </c>
      <c r="AP18" s="26" t="n">
        <v>0</v>
      </c>
      <c r="AQ18" s="26" t="n">
        <v>0</v>
      </c>
      <c r="AR18" s="26" t="n">
        <v>0</v>
      </c>
      <c r="AS18" s="26" t="n">
        <v>0</v>
      </c>
      <c r="AT18" s="26" t="n">
        <v>0</v>
      </c>
      <c r="AU18" s="26" t="n">
        <v>0</v>
      </c>
      <c r="AV18" s="26" t="n">
        <v>0</v>
      </c>
    </row>
    <row r="19">
      <c r="A19" s="10" t="inlineStr">
        <is>
          <t>RET 4% (Patrimônio de Afetação)</t>
        </is>
      </c>
      <c r="B19" s="25" t="n">
        <v>3741853.0545957</v>
      </c>
      <c r="C19" s="26" t="n">
        <v>0</v>
      </c>
      <c r="D19" s="26" t="n">
        <v>0</v>
      </c>
      <c r="E19" s="26" t="n">
        <v>7861.348679113177</v>
      </c>
      <c r="F19" s="26" t="n">
        <v>9709.904060549441</v>
      </c>
      <c r="G19" s="26" t="n">
        <v>11851.37538533468</v>
      </c>
      <c r="H19" s="26" t="n">
        <v>14314.60011201683</v>
      </c>
      <c r="I19" s="26" t="n">
        <v>17124.80241189362</v>
      </c>
      <c r="J19" s="26" t="n">
        <v>20300.88402464768</v>
      </c>
      <c r="K19" s="26" t="n">
        <v>23852.28476815006</v>
      </c>
      <c r="L19" s="26" t="n">
        <v>27775.66720725922</v>
      </c>
      <c r="M19" s="26" t="n">
        <v>32051.85366609467</v>
      </c>
      <c r="N19" s="26" t="n">
        <v>36643.612312395</v>
      </c>
      <c r="O19" s="26" t="n">
        <v>41494.99355887576</v>
      </c>
      <c r="P19" s="26" t="n">
        <v>46532.88348988171</v>
      </c>
      <c r="Q19" s="26" t="n">
        <v>51671.2011367993</v>
      </c>
      <c r="R19" s="26" t="n">
        <v>56817.70306363305</v>
      </c>
      <c r="S19" s="26" t="n">
        <v>61882.74074826862</v>
      </c>
      <c r="T19" s="26" t="n">
        <v>66788.71058186339</v>
      </c>
      <c r="U19" s="26" t="n">
        <v>71478.56653976369</v>
      </c>
      <c r="V19" s="26" t="n">
        <v>75921.81923653324</v>
      </c>
      <c r="W19" s="26" t="n">
        <v>80116.97078531521</v>
      </c>
      <c r="X19" s="26" t="n">
        <v>84090.1939755372</v>
      </c>
      <c r="Y19" s="26" t="n">
        <v>87890.98000057919</v>
      </c>
      <c r="Z19" s="26" t="n">
        <v>91586.16537918018</v>
      </c>
      <c r="AA19" s="26" t="n">
        <v>95254.04730881237</v>
      </c>
      <c r="AB19" s="26" t="n">
        <v>98980.24806233883</v>
      </c>
      <c r="AC19" s="26" t="n">
        <v>102856.8248489095</v>
      </c>
      <c r="AD19" s="26" t="n">
        <v>106986.2425695312</v>
      </c>
      <c r="AE19" s="26" t="n">
        <v>111492.926030852</v>
      </c>
      <c r="AF19" s="26" t="n">
        <v>116548.8505572105</v>
      </c>
      <c r="AG19" s="26" t="n">
        <v>122431.5583297429</v>
      </c>
      <c r="AH19" s="26" t="n">
        <v>129677.0563275288</v>
      </c>
      <c r="AI19" s="26" t="n">
        <v>139610.1218413528</v>
      </c>
      <c r="AJ19" s="26" t="n">
        <v>157512.7163349001</v>
      </c>
      <c r="AK19" s="26" t="n">
        <v>6693.788979310114</v>
      </c>
      <c r="AL19" s="26" t="n">
        <v>1511033.416976983</v>
      </c>
      <c r="AM19" s="26" t="n">
        <v>4811.516518919268</v>
      </c>
      <c r="AN19" s="26" t="n">
        <v>4065.235475241197</v>
      </c>
      <c r="AO19" s="26" t="n">
        <v>3428.402097497472</v>
      </c>
      <c r="AP19" s="26" t="n">
        <v>2886.85505998035</v>
      </c>
      <c r="AQ19" s="26" t="n">
        <v>2427.680882030038</v>
      </c>
      <c r="AR19" s="26" t="n">
        <v>2039.302638162032</v>
      </c>
      <c r="AS19" s="26" t="n">
        <v>1711.4784254014</v>
      </c>
      <c r="AT19" s="26" t="n">
        <v>1435.242122527773</v>
      </c>
      <c r="AU19" s="26" t="n">
        <v>1202.810261143166</v>
      </c>
      <c r="AV19" s="26" t="n">
        <v>1007.471823641715</v>
      </c>
    </row>
    <row r="20">
      <c r="A20" s="10" t="inlineStr">
        <is>
          <t>Admin incorporadora</t>
        </is>
      </c>
      <c r="B20" s="25" t="n">
        <v>2822533.095563999</v>
      </c>
      <c r="C20" s="26" t="n">
        <v>61359.41512095651</v>
      </c>
      <c r="D20" s="26" t="n">
        <v>61359.41512095651</v>
      </c>
      <c r="E20" s="26" t="n">
        <v>61359.41512095651</v>
      </c>
      <c r="F20" s="26" t="n">
        <v>61359.41512095651</v>
      </c>
      <c r="G20" s="26" t="n">
        <v>61359.41512095651</v>
      </c>
      <c r="H20" s="26" t="n">
        <v>61359.41512095651</v>
      </c>
      <c r="I20" s="26" t="n">
        <v>61359.41512095651</v>
      </c>
      <c r="J20" s="26" t="n">
        <v>61359.41512095651</v>
      </c>
      <c r="K20" s="26" t="n">
        <v>61359.41512095651</v>
      </c>
      <c r="L20" s="26" t="n">
        <v>61359.41512095651</v>
      </c>
      <c r="M20" s="26" t="n">
        <v>61359.41512095651</v>
      </c>
      <c r="N20" s="26" t="n">
        <v>61359.41512095651</v>
      </c>
      <c r="O20" s="26" t="n">
        <v>61359.41512095651</v>
      </c>
      <c r="P20" s="26" t="n">
        <v>61359.41512095651</v>
      </c>
      <c r="Q20" s="26" t="n">
        <v>61359.41512095651</v>
      </c>
      <c r="R20" s="26" t="n">
        <v>61359.41512095651</v>
      </c>
      <c r="S20" s="26" t="n">
        <v>61359.41512095651</v>
      </c>
      <c r="T20" s="26" t="n">
        <v>61359.41512095651</v>
      </c>
      <c r="U20" s="26" t="n">
        <v>61359.41512095651</v>
      </c>
      <c r="V20" s="26" t="n">
        <v>61359.41512095651</v>
      </c>
      <c r="W20" s="26" t="n">
        <v>61359.41512095651</v>
      </c>
      <c r="X20" s="26" t="n">
        <v>61359.41512095651</v>
      </c>
      <c r="Y20" s="26" t="n">
        <v>61359.41512095651</v>
      </c>
      <c r="Z20" s="26" t="n">
        <v>61359.41512095651</v>
      </c>
      <c r="AA20" s="26" t="n">
        <v>61359.41512095651</v>
      </c>
      <c r="AB20" s="26" t="n">
        <v>61359.41512095651</v>
      </c>
      <c r="AC20" s="26" t="n">
        <v>61359.41512095651</v>
      </c>
      <c r="AD20" s="26" t="n">
        <v>61359.41512095651</v>
      </c>
      <c r="AE20" s="26" t="n">
        <v>61359.41512095651</v>
      </c>
      <c r="AF20" s="26" t="n">
        <v>61359.41512095651</v>
      </c>
      <c r="AG20" s="26" t="n">
        <v>61359.41512095651</v>
      </c>
      <c r="AH20" s="26" t="n">
        <v>61359.41512095651</v>
      </c>
      <c r="AI20" s="26" t="n">
        <v>61359.41512095651</v>
      </c>
      <c r="AJ20" s="26" t="n">
        <v>61359.41512095651</v>
      </c>
      <c r="AK20" s="26" t="n">
        <v>61359.41512095651</v>
      </c>
      <c r="AL20" s="26" t="n">
        <v>61359.41512095651</v>
      </c>
      <c r="AM20" s="26" t="n">
        <v>61359.41512095651</v>
      </c>
      <c r="AN20" s="26" t="n">
        <v>61359.41512095651</v>
      </c>
      <c r="AO20" s="26" t="n">
        <v>61359.41512095651</v>
      </c>
      <c r="AP20" s="26" t="n">
        <v>61359.41512095651</v>
      </c>
      <c r="AQ20" s="26" t="n">
        <v>61359.41512095651</v>
      </c>
      <c r="AR20" s="26" t="n">
        <v>61359.41512095651</v>
      </c>
      <c r="AS20" s="26" t="n">
        <v>61359.41512095651</v>
      </c>
      <c r="AT20" s="26" t="n">
        <v>61359.41512095651</v>
      </c>
      <c r="AU20" s="26" t="n">
        <v>61359.41512095651</v>
      </c>
      <c r="AV20" s="26" t="n">
        <v>61359.41512095651</v>
      </c>
    </row>
    <row r="21">
      <c r="A21" s="5" t="inlineStr">
        <is>
          <t>DESPESA TOTAL MÊS</t>
        </is>
      </c>
      <c r="B21" s="25" t="n">
        <v>62765488.81840169</v>
      </c>
      <c r="C21" s="26" t="n">
        <v>437697.1611961564</v>
      </c>
      <c r="D21" s="26" t="n">
        <v>437697.1611961564</v>
      </c>
      <c r="E21" s="26" t="n">
        <v>504518.6249686184</v>
      </c>
      <c r="F21" s="26" t="n">
        <v>834944.7194723168</v>
      </c>
      <c r="G21" s="26" t="n">
        <v>848499.6614999678</v>
      </c>
      <c r="H21" s="26" t="n">
        <v>1506940.344704132</v>
      </c>
      <c r="I21" s="26" t="n">
        <v>1384350.768032698</v>
      </c>
      <c r="J21" s="26" t="n">
        <v>1453096.991219491</v>
      </c>
      <c r="K21" s="26" t="n">
        <v>1473585.559527101</v>
      </c>
      <c r="L21" s="26" t="n">
        <v>1495437.128740741</v>
      </c>
      <c r="M21" s="26" t="n">
        <v>1676783.856836827</v>
      </c>
      <c r="N21" s="26" t="n">
        <v>1387064.449423379</v>
      </c>
      <c r="O21" s="26" t="n">
        <v>1681794.596178171</v>
      </c>
      <c r="P21" s="26" t="n">
        <v>1703628.148739106</v>
      </c>
      <c r="Q21" s="26" t="n">
        <v>1723485.838929278</v>
      </c>
      <c r="R21" s="26" t="n">
        <v>1740502.041662978</v>
      </c>
      <c r="S21" s="26" t="n">
        <v>1753908.218408307</v>
      </c>
      <c r="T21" s="26" t="n">
        <v>2256321.379076096</v>
      </c>
      <c r="U21" s="26" t="n">
        <v>2261011.235033996</v>
      </c>
      <c r="V21" s="26" t="n">
        <v>2261148.426511956</v>
      </c>
      <c r="W21" s="26" t="n">
        <v>2841393.620818226</v>
      </c>
      <c r="X21" s="26" t="n">
        <v>2190368.926447832</v>
      </c>
      <c r="Y21" s="26" t="n">
        <v>2516612.77287962</v>
      </c>
      <c r="Z21" s="26" t="n">
        <v>2503512.295628292</v>
      </c>
      <c r="AA21" s="26" t="n">
        <v>2765993.020575403</v>
      </c>
      <c r="AB21" s="26" t="n">
        <v>2592555.544388678</v>
      </c>
      <c r="AC21" s="26" t="n">
        <v>2805733.418537997</v>
      </c>
      <c r="AD21" s="26" t="n">
        <v>2791934.649484089</v>
      </c>
      <c r="AE21" s="26" t="n">
        <v>2729624.198381301</v>
      </c>
      <c r="AF21" s="26" t="n">
        <v>2718989.948333621</v>
      </c>
      <c r="AG21" s="26" t="n">
        <v>2217373.92946208</v>
      </c>
      <c r="AH21" s="26" t="n">
        <v>1466571.969392162</v>
      </c>
      <c r="AI21" s="26" t="n">
        <v>965078.1562531204</v>
      </c>
      <c r="AJ21" s="26" t="n">
        <v>277832.2465492047</v>
      </c>
      <c r="AK21" s="26" t="n">
        <v>118256.6214450925</v>
      </c>
      <c r="AL21" s="26" t="n">
        <v>1615011.07716931</v>
      </c>
      <c r="AM21" s="26" t="n">
        <v>102257.3055317703</v>
      </c>
      <c r="AN21" s="26" t="n">
        <v>95913.91666050669</v>
      </c>
      <c r="AO21" s="26" t="n">
        <v>90500.83294968502</v>
      </c>
      <c r="AP21" s="26" t="n">
        <v>85897.68313078948</v>
      </c>
      <c r="AQ21" s="26" t="n">
        <v>81994.70261821183</v>
      </c>
      <c r="AR21" s="26" t="n">
        <v>78693.48754533377</v>
      </c>
      <c r="AS21" s="26" t="n">
        <v>75906.98173686842</v>
      </c>
      <c r="AT21" s="26" t="n">
        <v>73558.97316244258</v>
      </c>
      <c r="AU21" s="26" t="n">
        <v>71583.30234067343</v>
      </c>
      <c r="AV21" s="26" t="n">
        <v>69922.92562191108</v>
      </c>
    </row>
    <row r="23">
      <c r="A23" s="28" t="inlineStr">
        <is>
          <t>RESULTADO</t>
        </is>
      </c>
    </row>
    <row r="24">
      <c r="A24" s="5" t="inlineStr">
        <is>
          <t>Fluxo líquido</t>
        </is>
      </c>
      <c r="B24" s="25" t="n">
        <v>27974447.75554407</v>
      </c>
      <c r="C24" s="26" t="n">
        <v>-437697.1611961564</v>
      </c>
      <c r="D24" s="26" t="n">
        <v>-437697.1611961564</v>
      </c>
      <c r="E24" s="26" t="n">
        <v>-313880.9195001239</v>
      </c>
      <c r="F24" s="26" t="n">
        <v>-599479.5460039929</v>
      </c>
      <c r="G24" s="26" t="n">
        <v>-561103.8084056019</v>
      </c>
      <c r="H24" s="26" t="n">
        <v>-1159811.291987724</v>
      </c>
      <c r="I24" s="26" t="n">
        <v>-969074.309544278</v>
      </c>
      <c r="J24" s="26" t="n">
        <v>-960800.5536217847</v>
      </c>
      <c r="K24" s="26" t="n">
        <v>-895167.6538994617</v>
      </c>
      <c r="L24" s="26" t="n">
        <v>-821877.1989647048</v>
      </c>
      <c r="M24" s="26" t="n">
        <v>-899526.4054340313</v>
      </c>
      <c r="N24" s="26" t="n">
        <v>-498456.8508478006</v>
      </c>
      <c r="O24" s="26" t="n">
        <v>-675541.0023754338</v>
      </c>
      <c r="P24" s="26" t="n">
        <v>-575205.7241094743</v>
      </c>
      <c r="Q24" s="26" t="n">
        <v>-470459.2113618948</v>
      </c>
      <c r="R24" s="26" t="n">
        <v>-362672.742369876</v>
      </c>
      <c r="S24" s="26" t="n">
        <v>-253251.7552627928</v>
      </c>
      <c r="T24" s="26" t="n">
        <v>-636695.1474659084</v>
      </c>
      <c r="U24" s="26" t="n">
        <v>-527655.9964447266</v>
      </c>
      <c r="V24" s="26" t="n">
        <v>-420044.3100260254</v>
      </c>
      <c r="W24" s="26" t="n">
        <v>-898557.0792743324</v>
      </c>
      <c r="X24" s="26" t="n">
        <v>-151181.7225410549</v>
      </c>
      <c r="Y24" s="26" t="n">
        <v>-385256.5078655742</v>
      </c>
      <c r="Z24" s="26" t="n">
        <v>-282547.7851831722</v>
      </c>
      <c r="AA24" s="26" t="n">
        <v>-456082.3733367031</v>
      </c>
      <c r="AB24" s="26" t="n">
        <v>-192284.5288769612</v>
      </c>
      <c r="AC24" s="26" t="n">
        <v>-311455.4159519402</v>
      </c>
      <c r="AD24" s="26" t="n">
        <v>-197518.2671729568</v>
      </c>
      <c r="AE24" s="26" t="n">
        <v>-25920.7421331387</v>
      </c>
      <c r="AF24" s="26" t="n">
        <v>107319.6776787331</v>
      </c>
      <c r="AG24" s="26" t="n">
        <v>751591.3600341859</v>
      </c>
      <c r="AH24" s="26" t="n">
        <v>1678096.646550411</v>
      </c>
      <c r="AI24" s="26" t="n">
        <v>2420467.298399685</v>
      </c>
      <c r="AJ24" s="26" t="n">
        <v>3541851.124572122</v>
      </c>
      <c r="AK24" s="26" t="n">
        <v>44067.7613031778</v>
      </c>
      <c r="AL24" s="26" t="n">
        <v>35027549.28452253</v>
      </c>
      <c r="AM24" s="26" t="n">
        <v>14421.97005202195</v>
      </c>
      <c r="AN24" s="26" t="n">
        <v>2668.043614092341</v>
      </c>
      <c r="AO24" s="26" t="n">
        <v>-7362.082085371308</v>
      </c>
      <c r="AP24" s="26" t="n">
        <v>-15891.447926266</v>
      </c>
      <c r="AQ24" s="26" t="n">
        <v>-23123.44122898341</v>
      </c>
      <c r="AR24" s="26" t="n">
        <v>-29240.3985699045</v>
      </c>
      <c r="AS24" s="26" t="n">
        <v>-34403.62992088446</v>
      </c>
      <c r="AT24" s="26" t="n">
        <v>-38754.35169114409</v>
      </c>
      <c r="AU24" s="26" t="n">
        <v>-42415.15350795165</v>
      </c>
      <c r="AV24" s="26" t="n">
        <v>-45491.73389859949</v>
      </c>
    </row>
    <row r="25">
      <c r="A25" s="5" t="inlineStr">
        <is>
          <t>Fluxo acumulado</t>
        </is>
      </c>
      <c r="B25" s="25" t="n">
        <v>-24745753.40617094</v>
      </c>
      <c r="C25" s="29" t="n">
        <v>-437697.1611961564</v>
      </c>
      <c r="D25" s="29" t="n">
        <v>-875394.3223923128</v>
      </c>
      <c r="E25" s="29" t="n">
        <v>-1189275.241892437</v>
      </c>
      <c r="F25" s="29" t="n">
        <v>-1788754.78789643</v>
      </c>
      <c r="G25" s="29" t="n">
        <v>-2349858.596302032</v>
      </c>
      <c r="H25" s="29" t="n">
        <v>-3509669.888289755</v>
      </c>
      <c r="I25" s="29" t="n">
        <v>-4478744.197834034</v>
      </c>
      <c r="J25" s="29" t="n">
        <v>-5439544.751455818</v>
      </c>
      <c r="K25" s="29" t="n">
        <v>-6334712.40535528</v>
      </c>
      <c r="L25" s="29" t="n">
        <v>-7156589.604319985</v>
      </c>
      <c r="M25" s="29" t="n">
        <v>-8056116.009754016</v>
      </c>
      <c r="N25" s="29" t="n">
        <v>-8554572.860601816</v>
      </c>
      <c r="O25" s="29" t="n">
        <v>-9230113.86297725</v>
      </c>
      <c r="P25" s="29" t="n">
        <v>-9805319.587086724</v>
      </c>
      <c r="Q25" s="29" t="n">
        <v>-10275778.79844862</v>
      </c>
      <c r="R25" s="29" t="n">
        <v>-10638451.54081849</v>
      </c>
      <c r="S25" s="29" t="n">
        <v>-10891703.29608129</v>
      </c>
      <c r="T25" s="29" t="n">
        <v>-11528398.44354719</v>
      </c>
      <c r="U25" s="29" t="n">
        <v>-12056054.43999192</v>
      </c>
      <c r="V25" s="29" t="n">
        <v>-12476098.75001795</v>
      </c>
      <c r="W25" s="29" t="n">
        <v>-13374655.82929228</v>
      </c>
      <c r="X25" s="29" t="n">
        <v>-13525837.55183333</v>
      </c>
      <c r="Y25" s="29" t="n">
        <v>-13911094.05969891</v>
      </c>
      <c r="Z25" s="29" t="n">
        <v>-14193641.84488208</v>
      </c>
      <c r="AA25" s="29" t="n">
        <v>-14649724.21821878</v>
      </c>
      <c r="AB25" s="29" t="n">
        <v>-14842008.74709575</v>
      </c>
      <c r="AC25" s="29" t="n">
        <v>-15153464.16304769</v>
      </c>
      <c r="AD25" s="29" t="n">
        <v>-15350982.43022064</v>
      </c>
      <c r="AE25" s="29" t="n">
        <v>-15376903.17235378</v>
      </c>
      <c r="AF25" s="29" t="n">
        <v>-15269583.49467505</v>
      </c>
      <c r="AG25" s="29" t="n">
        <v>-14517992.13464086</v>
      </c>
      <c r="AH25" s="29" t="n">
        <v>-12839895.48809045</v>
      </c>
      <c r="AI25" s="29" t="n">
        <v>-10419428.18969076</v>
      </c>
      <c r="AJ25" s="29" t="n">
        <v>-6877577.065118643</v>
      </c>
      <c r="AK25" s="29" t="n">
        <v>-6833509.303815465</v>
      </c>
      <c r="AL25" s="29" t="n">
        <v>28194039.98070706</v>
      </c>
      <c r="AM25" s="29" t="n">
        <v>28208461.95075908</v>
      </c>
      <c r="AN25" s="29" t="n">
        <v>28211129.99437318</v>
      </c>
      <c r="AO25" s="29" t="n">
        <v>28203767.91228781</v>
      </c>
      <c r="AP25" s="29" t="n">
        <v>28187876.46436154</v>
      </c>
      <c r="AQ25" s="29" t="n">
        <v>28164753.02313256</v>
      </c>
      <c r="AR25" s="29" t="n">
        <v>28135512.62456265</v>
      </c>
      <c r="AS25" s="29" t="n">
        <v>28101108.99464177</v>
      </c>
      <c r="AT25" s="29" t="n">
        <v>28062354.64295062</v>
      </c>
      <c r="AU25" s="29" t="n">
        <v>28019939.48944267</v>
      </c>
      <c r="AV25" s="29" t="n">
        <v>27974447.75554407</v>
      </c>
    </row>
    <row r="26">
      <c r="A26" s="10" t="inlineStr">
        <is>
          <t>Fator desconto</t>
        </is>
      </c>
      <c r="B26" s="30" t="n">
        <v>36.35923029286372</v>
      </c>
      <c r="C26" s="31" t="n">
        <v>1</v>
      </c>
      <c r="D26" s="31" t="n">
        <v>0.9891403742729185</v>
      </c>
      <c r="E26" s="31" t="n">
        <v>0.9783986800167692</v>
      </c>
      <c r="F26" s="31" t="n">
        <v>0.9677736365399165</v>
      </c>
      <c r="G26" s="31" t="n">
        <v>0.9572639770585563</v>
      </c>
      <c r="H26" s="31" t="n">
        <v>0.9468684485456829</v>
      </c>
      <c r="I26" s="31" t="n">
        <v>0.9365858115816944</v>
      </c>
      <c r="J26" s="31" t="n">
        <v>0.9264148402066222</v>
      </c>
      <c r="K26" s="31" t="n">
        <v>0.9163543217739643</v>
      </c>
      <c r="L26" s="31" t="n">
        <v>0.9064030568061054</v>
      </c>
      <c r="M26" s="31" t="n">
        <v>0.8965598588513085</v>
      </c>
      <c r="N26" s="31" t="n">
        <v>0.8868235543422583</v>
      </c>
      <c r="O26" s="31" t="n">
        <v>0.8771929824561413</v>
      </c>
      <c r="P26" s="31" t="n">
        <v>0.8676669949762452</v>
      </c>
      <c r="Q26" s="31" t="n">
        <v>0.8582444561550616</v>
      </c>
      <c r="R26" s="31" t="n">
        <v>0.848924242578875</v>
      </c>
      <c r="S26" s="31" t="n">
        <v>0.8397052430338223</v>
      </c>
      <c r="T26" s="31" t="n">
        <v>0.8305863583734069</v>
      </c>
      <c r="U26" s="31" t="n">
        <v>0.8215665013874521</v>
      </c>
      <c r="V26" s="31" t="n">
        <v>0.8126445966724767</v>
      </c>
      <c r="W26" s="31" t="n">
        <v>0.8038195805034783</v>
      </c>
      <c r="X26" s="31" t="n">
        <v>0.7950904007071108</v>
      </c>
      <c r="Y26" s="31" t="n">
        <v>0.7864560165362364</v>
      </c>
      <c r="Z26" s="31" t="n">
        <v>0.7779153985458415</v>
      </c>
      <c r="AA26" s="31" t="n">
        <v>0.7694675284703001</v>
      </c>
      <c r="AB26" s="31" t="n">
        <v>0.7611113991019702</v>
      </c>
      <c r="AC26" s="31" t="n">
        <v>0.7528460141711074</v>
      </c>
      <c r="AD26" s="31" t="n">
        <v>0.7446703882270841</v>
      </c>
      <c r="AE26" s="31" t="n">
        <v>0.7365835465208974</v>
      </c>
      <c r="AF26" s="31" t="n">
        <v>0.7285845248889542</v>
      </c>
      <c r="AG26" s="31" t="n">
        <v>0.7206723696381166</v>
      </c>
      <c r="AH26" s="31" t="n">
        <v>0.7128461374319977</v>
      </c>
      <c r="AI26" s="31" t="n">
        <v>0.7051048951784905</v>
      </c>
      <c r="AJ26" s="31" t="n">
        <v>0.6974477199185191</v>
      </c>
      <c r="AK26" s="31" t="n">
        <v>0.6898736987159976</v>
      </c>
      <c r="AL26" s="31" t="n">
        <v>0.6823819285489844</v>
      </c>
      <c r="AM26" s="31" t="n">
        <v>0.6749715162020183</v>
      </c>
      <c r="AN26" s="31" t="n">
        <v>0.6676415781596237</v>
      </c>
      <c r="AO26" s="31" t="n">
        <v>0.6603912405009721</v>
      </c>
      <c r="AP26" s="31" t="n">
        <v>0.6532196387956885</v>
      </c>
      <c r="AQ26" s="31" t="n">
        <v>0.6461259180007879</v>
      </c>
      <c r="AR26" s="31" t="n">
        <v>0.6391092323587324</v>
      </c>
      <c r="AS26" s="31" t="n">
        <v>0.6321687452965942</v>
      </c>
      <c r="AT26" s="31" t="n">
        <v>0.6253036293263144</v>
      </c>
      <c r="AU26" s="31" t="n">
        <v>0.6185130659460449</v>
      </c>
      <c r="AV26" s="31" t="n">
        <v>0.6117962455425612</v>
      </c>
    </row>
    <row r="27">
      <c r="A27" s="5" t="inlineStr">
        <is>
          <t>Fluxo descontado</t>
        </is>
      </c>
      <c r="B27" s="25" t="n">
        <v>16200599.54209654</v>
      </c>
      <c r="C27" s="26" t="n">
        <v>-437697.1611961564</v>
      </c>
      <c r="D27" s="26" t="n">
        <v>-432943.9338437601</v>
      </c>
      <c r="E27" s="26" t="n">
        <v>-307100.677321371</v>
      </c>
      <c r="F27" s="26" t="n">
        <v>-580160.5002675824</v>
      </c>
      <c r="G27" s="26" t="n">
        <v>-537124.4631770486</v>
      </c>
      <c r="H27" s="26" t="n">
        <v>-1098188.71865018</v>
      </c>
      <c r="I27" s="26" t="n">
        <v>-907621.2486874977</v>
      </c>
      <c r="J27" s="26" t="n">
        <v>-890099.8913539598</v>
      </c>
      <c r="K27" s="26" t="n">
        <v>-820290.748363032</v>
      </c>
      <c r="L27" s="26" t="n">
        <v>-744952.0054608481</v>
      </c>
      <c r="M27" s="26" t="n">
        <v>-806479.26708896</v>
      </c>
      <c r="N27" s="26" t="n">
        <v>-442043.2761550955</v>
      </c>
      <c r="O27" s="26" t="n">
        <v>-592579.8266451181</v>
      </c>
      <c r="P27" s="26" t="n">
        <v>-499087.0221312027</v>
      </c>
      <c r="Q27" s="26" t="n">
        <v>-403769.0099984286</v>
      </c>
      <c r="R27" s="26" t="n">
        <v>-307881.6831203505</v>
      </c>
      <c r="S27" s="26" t="n">
        <v>-212656.8267016855</v>
      </c>
      <c r="T27" s="26" t="n">
        <v>-528830.3039277282</v>
      </c>
      <c r="U27" s="26" t="n">
        <v>-433504.4909352039</v>
      </c>
      <c r="V27" s="26" t="n">
        <v>-341346.7389056681</v>
      </c>
      <c r="W27" s="26" t="n">
        <v>-722277.7745207245</v>
      </c>
      <c r="X27" s="26" t="n">
        <v>-120203.1363547586</v>
      </c>
      <c r="Y27" s="26" t="n">
        <v>-302987.2985206207</v>
      </c>
      <c r="Z27" s="26" t="n">
        <v>-219798.2729190122</v>
      </c>
      <c r="AA27" s="26" t="n">
        <v>-350940.5765902616</v>
      </c>
      <c r="AB27" s="26" t="n">
        <v>-146349.9467992071</v>
      </c>
      <c r="AC27" s="26" t="n">
        <v>-234477.9684914225</v>
      </c>
      <c r="AD27" s="26" t="n">
        <v>-147086.0046976267</v>
      </c>
      <c r="AE27" s="26" t="n">
        <v>-19092.79216888095</v>
      </c>
      <c r="AF27" s="26" t="n">
        <v>78191.45637279548</v>
      </c>
      <c r="AG27" s="26" t="n">
        <v>541651.1264353717</v>
      </c>
      <c r="AH27" s="26" t="n">
        <v>1196224.712731048</v>
      </c>
      <c r="AI27" s="26" t="n">
        <v>1706683.340721074</v>
      </c>
      <c r="AJ27" s="26" t="n">
        <v>2470255.991123669</v>
      </c>
      <c r="AK27" s="26" t="n">
        <v>30401.18948435698</v>
      </c>
      <c r="AL27" s="26" t="n">
        <v>23902166.63311708</v>
      </c>
      <c r="AM27" s="26" t="n">
        <v>9734.418992633357</v>
      </c>
      <c r="AN27" s="26" t="n">
        <v>1781.296849111317</v>
      </c>
      <c r="AO27" s="26" t="n">
        <v>-4861.854521028342</v>
      </c>
      <c r="AP27" s="26" t="n">
        <v>-10380.60587433597</v>
      </c>
      <c r="AQ27" s="26" t="n">
        <v>-14940.65469141418</v>
      </c>
      <c r="AR27" s="26" t="n">
        <v>-18687.80868387504</v>
      </c>
      <c r="AS27" s="26" t="n">
        <v>-21748.89956073389</v>
      </c>
      <c r="AT27" s="26" t="n">
        <v>-24233.23676466079</v>
      </c>
      <c r="AU27" s="26" t="n">
        <v>-26234.32663877532</v>
      </c>
      <c r="AV27" s="26" t="n">
        <v>-27831.67200238442</v>
      </c>
    </row>
  </sheetData>
  <mergeCells count="4">
    <mergeCell ref="A1:AV1"/>
    <mergeCell ref="A23:AV23"/>
    <mergeCell ref="A5:AV5"/>
    <mergeCell ref="A14:AV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1" t="inlineStr">
        <is>
          <t>RESULTADO — VPL, TIR, margem, validação</t>
        </is>
      </c>
    </row>
    <row r="3">
      <c r="A3" s="32" t="inlineStr">
        <is>
          <t>Indicador</t>
        </is>
      </c>
      <c r="B3" s="32" t="inlineStr">
        <is>
          <t>Valor (Python)</t>
        </is>
      </c>
      <c r="C3" s="32" t="inlineStr">
        <is>
          <t>Fórmula Excel</t>
        </is>
      </c>
      <c r="D3" s="32" t="inlineStr">
        <is>
          <t>Observação</t>
        </is>
      </c>
      <c r="E3" s="32" t="inlineStr">
        <is>
          <t>Status</t>
        </is>
      </c>
    </row>
    <row r="4">
      <c r="A4" s="5" t="inlineStr">
        <is>
          <t>VGV bruto</t>
        </is>
      </c>
      <c r="B4" s="6" t="n">
        <v>134406337.884</v>
      </c>
      <c r="C4" s="12" t="inlineStr"/>
      <c r="D4" s="13" t="inlineStr">
        <is>
          <t>área privativa × R$/m²</t>
        </is>
      </c>
      <c r="E4" s="33" t="inlineStr"/>
    </row>
    <row r="5">
      <c r="A5" s="5" t="inlineStr">
        <is>
          <t>VGV líquido permuta</t>
        </is>
      </c>
      <c r="B5" s="6" t="n">
        <v>94084436.51879998</v>
      </c>
      <c r="C5" s="12" t="inlineStr"/>
      <c r="D5" s="13" t="inlineStr">
        <is>
          <t>pós permuta 30%</t>
        </is>
      </c>
      <c r="E5" s="33" t="inlineStr"/>
    </row>
    <row r="6">
      <c r="A6" s="5" t="inlineStr">
        <is>
          <t>Custo obra (paramétrico)</t>
        </is>
      </c>
      <c r="B6" s="6" t="n">
        <v>45460479.411</v>
      </c>
      <c r="C6" s="12" t="inlineStr"/>
      <c r="D6" s="13" t="inlineStr">
        <is>
          <t>CUSTOS_MACROGRUPO!D22</t>
        </is>
      </c>
      <c r="E6" s="33" t="inlineStr"/>
    </row>
    <row r="7">
      <c r="A7" s="5" t="inlineStr">
        <is>
          <t>Receita total (horizonte)</t>
        </is>
      </c>
      <c r="B7" s="6" t="n">
        <v>90739936.57394576</v>
      </c>
      <c r="C7" s="12" t="inlineStr"/>
      <c r="D7" s="13" t="inlineStr">
        <is>
          <t>soma do fluxo</t>
        </is>
      </c>
      <c r="E7" s="33" t="inlineStr"/>
    </row>
    <row r="8">
      <c r="A8" s="5" t="inlineStr">
        <is>
          <t>Despesa total (horizonte)</t>
        </is>
      </c>
      <c r="B8" s="6" t="n">
        <v>62765488.81840169</v>
      </c>
      <c r="C8" s="12" t="inlineStr"/>
      <c r="D8" s="13" t="inlineStr">
        <is>
          <t>custo obra + contingência + comercial + RET + admin</t>
        </is>
      </c>
      <c r="E8" s="33" t="inlineStr"/>
    </row>
    <row r="9">
      <c r="A9" s="5" t="inlineStr">
        <is>
          <t>Lucro líquido</t>
        </is>
      </c>
      <c r="B9" s="6" t="n">
        <v>27974447.75554407</v>
      </c>
      <c r="C9" s="12" t="inlineStr"/>
      <c r="D9" s="13" t="inlineStr">
        <is>
          <t>receita - despesa</t>
        </is>
      </c>
      <c r="E9" s="34" t="inlineStr">
        <is>
          <t>✓</t>
        </is>
      </c>
    </row>
    <row r="10">
      <c r="A10" s="5" t="inlineStr">
        <is>
          <t>Margem líquida</t>
        </is>
      </c>
      <c r="B10" s="7" t="n">
        <v>0.3082925645726801</v>
      </c>
      <c r="C10" s="12" t="inlineStr"/>
      <c r="D10" s="13" t="inlineStr">
        <is>
          <t>lucro / receita</t>
        </is>
      </c>
      <c r="E10" s="34" t="inlineStr">
        <is>
          <t>✓</t>
        </is>
      </c>
    </row>
    <row r="12">
      <c r="A12" s="5" t="inlineStr">
        <is>
          <t>VPL @ TMA (Python)</t>
        </is>
      </c>
      <c r="B12" s="6" t="n">
        <v>16200599.54209654</v>
      </c>
      <c r="C12" s="12" t="inlineStr"/>
      <c r="D12" s="13" t="inlineStr">
        <is>
          <t>numpy_financial.npv</t>
        </is>
      </c>
      <c r="E12" s="33" t="inlineStr"/>
    </row>
    <row r="13">
      <c r="A13" s="5" t="inlineStr">
        <is>
          <t>VPL @ TMA (Excel NPV)</t>
        </is>
      </c>
      <c r="B13" s="35" t="inlineStr">
        <is>
          <t>ver col C</t>
        </is>
      </c>
      <c r="C13" s="36">
        <f>FLUXO_CAIXA!C24+NPV(0.010978851950173452,FLUXO_CAIXA!D24:AV24)</f>
        <v/>
      </c>
      <c r="D13" s="13" t="inlineStr">
        <is>
          <t>deve bater com linha acima</t>
        </is>
      </c>
      <c r="E13" s="33" t="inlineStr"/>
    </row>
    <row r="14">
      <c r="A14" s="5" t="inlineStr">
        <is>
          <t>TIR mensal (Python)</t>
        </is>
      </c>
      <c r="B14" s="37" t="n">
        <v>0.04451351999030484</v>
      </c>
      <c r="C14" s="12" t="inlineStr"/>
      <c r="D14" s="13" t="inlineStr">
        <is>
          <t>numpy_financial.irr</t>
        </is>
      </c>
      <c r="E14" s="33" t="inlineStr"/>
    </row>
    <row r="15">
      <c r="A15" s="5" t="inlineStr">
        <is>
          <t>TIR anual</t>
        </is>
      </c>
      <c r="B15" s="7" t="n">
        <v>0.6864318253670902</v>
      </c>
      <c r="C15" s="12" t="inlineStr"/>
      <c r="D15" s="13" t="inlineStr">
        <is>
          <t>(1+TIR_m)^12 - 1</t>
        </is>
      </c>
      <c r="E15" s="34" t="inlineStr">
        <is>
          <t>✓</t>
        </is>
      </c>
    </row>
    <row r="16">
      <c r="A16" s="5" t="inlineStr">
        <is>
          <t>TIR mensal (Excel IRR)</t>
        </is>
      </c>
      <c r="B16" s="35" t="inlineStr">
        <is>
          <t>ver col C</t>
        </is>
      </c>
      <c r="C16" s="38">
        <f>IRR(FLUXO_CAIXA!C24:AV24)</f>
        <v/>
      </c>
      <c r="D16" s="13" t="inlineStr">
        <is>
          <t>deve bater com linha 3 acima</t>
        </is>
      </c>
      <c r="E16" s="33" t="inlineStr"/>
    </row>
    <row r="17">
      <c r="A17" s="5" t="inlineStr">
        <is>
          <t>Payback descontado (meses da obra)</t>
        </is>
      </c>
      <c r="B17" s="8" t="n">
        <v>32</v>
      </c>
      <c r="C17" s="12" t="inlineStr"/>
      <c r="D17" s="13" t="inlineStr">
        <is>
          <t>t em que fluxo descontado acumulado ≥ 0</t>
        </is>
      </c>
      <c r="E17" s="33" t="inlineStr"/>
    </row>
    <row r="18">
      <c r="A18" s="5" t="inlineStr">
        <is>
          <t>Exposição máxima</t>
        </is>
      </c>
      <c r="B18" s="6" t="n">
        <v>15376903.17235378</v>
      </c>
      <c r="C18" s="12" t="inlineStr"/>
      <c r="D18" s="13">
        <f> MIN(fluxo acum.)</f>
        <v/>
      </c>
      <c r="E18" s="33" t="inlineStr"/>
    </row>
    <row r="19">
      <c r="A19" s="5" t="inlineStr">
        <is>
          <t>ROI sobre capital</t>
        </is>
      </c>
      <c r="B19" s="7" t="n">
        <v>1.819251083393663</v>
      </c>
      <c r="C19" s="12" t="inlineStr"/>
      <c r="D19" s="13" t="inlineStr">
        <is>
          <t>lucro / exposição máxima</t>
        </is>
      </c>
      <c r="E19" s="33" t="inlineStr"/>
    </row>
    <row r="22">
      <c r="A22" s="4" t="inlineStr">
        <is>
          <t>VALIDAÇÃO — semáforo</t>
        </is>
      </c>
    </row>
    <row r="23">
      <c r="A23" s="10" t="inlineStr">
        <is>
          <t>Margem líquida &gt; 18%</t>
        </is>
      </c>
      <c r="B23" s="39" t="n">
        <v>0.3082925645726801</v>
      </c>
      <c r="C23" s="40" t="n">
        <v>0.18</v>
      </c>
      <c r="E23" s="34" t="inlineStr">
        <is>
          <t>✓</t>
        </is>
      </c>
    </row>
    <row r="24">
      <c r="A24" s="10" t="inlineStr">
        <is>
          <t>TIR anual &gt; TMA+5% (19%)</t>
        </is>
      </c>
      <c r="B24" s="39" t="n">
        <v>0.6864318253670902</v>
      </c>
      <c r="C24" s="40" t="n">
        <v>0.19</v>
      </c>
      <c r="E24" s="34" t="inlineStr">
        <is>
          <t>✓</t>
        </is>
      </c>
    </row>
    <row r="25">
      <c r="A25" s="10" t="inlineStr">
        <is>
          <t>VPL @ TMA &gt; 0</t>
        </is>
      </c>
      <c r="B25" s="41" t="n">
        <v>16200599.54209654</v>
      </c>
      <c r="C25" s="42" t="n">
        <v>0</v>
      </c>
      <c r="E25" s="34" t="inlineStr">
        <is>
          <t>✓</t>
        </is>
      </c>
    </row>
    <row r="26">
      <c r="A26" s="10" t="inlineStr">
        <is>
          <t>VGV / Custo obra &gt; 1,80</t>
        </is>
      </c>
      <c r="B26" s="43" t="n">
        <v>2.069587424897119</v>
      </c>
      <c r="C26" s="44" t="n">
        <v>1.8</v>
      </c>
      <c r="E26" s="34" t="inlineStr">
        <is>
          <t>✓</t>
        </is>
      </c>
    </row>
    <row r="27">
      <c r="A27" s="10" t="inlineStr">
        <is>
          <t>Exposição máx / VGV &lt; 25%</t>
        </is>
      </c>
      <c r="B27" s="39" t="n">
        <v>0.1634372670051668</v>
      </c>
      <c r="C27" s="40" t="n">
        <v>0.25</v>
      </c>
      <c r="E27" s="34" t="inlineStr">
        <is>
          <t>✓</t>
        </is>
      </c>
    </row>
    <row r="28">
      <c r="A28" s="10" t="inlineStr">
        <is>
          <t>P(VPL &gt; 0) Monte Carlo &gt; 85%</t>
        </is>
      </c>
      <c r="B28" s="39" t="n">
        <v>0.982</v>
      </c>
      <c r="C28" s="40" t="n">
        <v>0.85</v>
      </c>
      <c r="E28" s="34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CENÁRIOS — Pessimista / Base / Otimista</t>
        </is>
      </c>
    </row>
    <row r="3">
      <c r="A3" s="32" t="inlineStr">
        <is>
          <t>Indicador</t>
        </is>
      </c>
      <c r="B3" s="32" t="inlineStr">
        <is>
          <t>Pessimista</t>
        </is>
      </c>
      <c r="C3" s="32" t="inlineStr">
        <is>
          <t>Base</t>
        </is>
      </c>
      <c r="D3" s="32" t="inlineStr">
        <is>
          <t>Otimista</t>
        </is>
      </c>
    </row>
    <row r="4">
      <c r="A4" s="21" t="inlineStr">
        <is>
          <t>Perturbação vs base</t>
        </is>
      </c>
      <c r="B4" s="45" t="inlineStr">
        <is>
          <t>vgv×0.85  custo×1.10  t50+8</t>
        </is>
      </c>
      <c r="C4" s="46" t="inlineStr">
        <is>
          <t>vgv×1.00  custo×1.00  t50+0</t>
        </is>
      </c>
      <c r="D4" s="47" t="inlineStr">
        <is>
          <t>vgv×1.10  custo×0.95  t50-4</t>
        </is>
      </c>
    </row>
    <row r="6">
      <c r="A6" s="5" t="inlineStr">
        <is>
          <t>VGV bruto</t>
        </is>
      </c>
      <c r="B6" s="48" t="n">
        <v>114245387.2014</v>
      </c>
      <c r="C6" s="36" t="n">
        <v>134406337.884</v>
      </c>
      <c r="D6" s="6" t="n">
        <v>147846971.6724</v>
      </c>
    </row>
    <row r="7">
      <c r="A7" s="5" t="inlineStr">
        <is>
          <t>VGV líquido</t>
        </is>
      </c>
      <c r="B7" s="48" t="n">
        <v>79971771.04097998</v>
      </c>
      <c r="C7" s="36" t="n">
        <v>94084436.51879998</v>
      </c>
      <c r="D7" s="6" t="n">
        <v>103492880.17068</v>
      </c>
    </row>
    <row r="8">
      <c r="A8" s="5" t="inlineStr">
        <is>
          <t>Custo obra</t>
        </is>
      </c>
      <c r="B8" s="48" t="n">
        <v>50006527.3521</v>
      </c>
      <c r="C8" s="36" t="n">
        <v>45460479.411</v>
      </c>
      <c r="D8" s="6" t="n">
        <v>43187455.44045</v>
      </c>
    </row>
    <row r="9">
      <c r="A9" s="5" t="inlineStr">
        <is>
          <t>Receita total</t>
        </is>
      </c>
      <c r="B9" s="48" t="n">
        <v>72141033.45472677</v>
      </c>
      <c r="C9" s="36" t="n">
        <v>90739936.57394576</v>
      </c>
      <c r="D9" s="6" t="n">
        <v>101304613.8868367</v>
      </c>
    </row>
    <row r="10">
      <c r="A10" s="5" t="inlineStr">
        <is>
          <t>Despesa total</t>
        </is>
      </c>
      <c r="B10" s="48" t="n">
        <v>65078354.22213709</v>
      </c>
      <c r="C10" s="36" t="n">
        <v>62765488.81840169</v>
      </c>
      <c r="D10" s="6" t="n">
        <v>61943483.68395767</v>
      </c>
    </row>
    <row r="11">
      <c r="A11" s="5" t="inlineStr">
        <is>
          <t>Lucro líquido</t>
        </is>
      </c>
      <c r="B11" s="48" t="n">
        <v>7062679.232589677</v>
      </c>
      <c r="C11" s="36" t="n">
        <v>27974447.75554407</v>
      </c>
      <c r="D11" s="6" t="n">
        <v>39361130.20287907</v>
      </c>
    </row>
    <row r="12">
      <c r="A12" s="5" t="inlineStr">
        <is>
          <t>Margem líquida</t>
        </is>
      </c>
      <c r="B12" s="49" t="n">
        <v>0.09790099884030593</v>
      </c>
      <c r="C12" s="50" t="n">
        <v>0.3082925645726801</v>
      </c>
      <c r="D12" s="7" t="n">
        <v>0.3885423249018825</v>
      </c>
    </row>
    <row r="13">
      <c r="A13" s="5" t="inlineStr">
        <is>
          <t>VPL @ TMA</t>
        </is>
      </c>
      <c r="B13" s="48" t="n">
        <v>-608251.2058208432</v>
      </c>
      <c r="C13" s="36" t="n">
        <v>16200599.54209654</v>
      </c>
      <c r="D13" s="6" t="n">
        <v>25499111.48077169</v>
      </c>
    </row>
    <row r="14">
      <c r="A14" s="5" t="inlineStr">
        <is>
          <t>TIR anual</t>
        </is>
      </c>
      <c r="B14" s="49" t="n">
        <v>0.1251581894160581</v>
      </c>
      <c r="C14" s="50" t="n">
        <v>0.6864318253670902</v>
      </c>
      <c r="D14" s="7" t="n">
        <v>1.313940860752163</v>
      </c>
    </row>
    <row r="15">
      <c r="A15" s="5" t="inlineStr">
        <is>
          <t>Exposição máxima</t>
        </is>
      </c>
      <c r="B15" s="48" t="n">
        <v>33264840.9116719</v>
      </c>
      <c r="C15" s="36" t="n">
        <v>15376903.17235378</v>
      </c>
      <c r="D15" s="6" t="n">
        <v>6537664.701714309</v>
      </c>
    </row>
    <row r="16">
      <c r="A16" s="5" t="inlineStr">
        <is>
          <t>Payback (meses)</t>
        </is>
      </c>
      <c r="B16" s="51" t="n"/>
      <c r="C16" s="52" t="n">
        <v>32</v>
      </c>
      <c r="D16" s="8" t="n">
        <v>32</v>
      </c>
    </row>
    <row r="17">
      <c r="A17" s="5" t="inlineStr">
        <is>
          <t>ROI / capital</t>
        </is>
      </c>
      <c r="B17" s="49" t="n">
        <v>0.212316639401439</v>
      </c>
      <c r="C17" s="50" t="n">
        <v>1.819251083393663</v>
      </c>
      <c r="D17" s="7" t="n">
        <v>6.020671294530871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TORNADO — Sensibilidade sobre VPL (±20% por variável)</t>
        </is>
      </c>
    </row>
    <row r="3">
      <c r="A3" s="32" t="inlineStr">
        <is>
          <t>Variável</t>
        </is>
      </c>
      <c r="B3" s="32" t="inlineStr">
        <is>
          <t>VPL (-20%)</t>
        </is>
      </c>
      <c r="C3" s="32" t="inlineStr">
        <is>
          <t>VPL base</t>
        </is>
      </c>
      <c r="D3" s="32" t="inlineStr">
        <is>
          <t>VPL (+20%)</t>
        </is>
      </c>
      <c r="E3" s="32" t="inlineStr">
        <is>
          <t>Δ VPL (high-low)</t>
        </is>
      </c>
    </row>
    <row r="4">
      <c r="A4" s="53" t="inlineStr">
        <is>
          <t>VGV R$/m²</t>
        </is>
      </c>
      <c r="B4" s="26" t="n">
        <v>5207646.236394452</v>
      </c>
      <c r="C4" s="26" t="n">
        <v>16200599.54209654</v>
      </c>
      <c r="D4" s="26" t="n">
        <v>27193552.8477986</v>
      </c>
      <c r="E4" s="26" t="n">
        <v>21985906.61140415</v>
      </c>
    </row>
    <row r="5">
      <c r="A5" s="53" t="inlineStr">
        <is>
          <t>Custo obra</t>
        </is>
      </c>
      <c r="B5" s="26" t="n">
        <v>23953432.93937931</v>
      </c>
      <c r="C5" s="26" t="n">
        <v>16200599.54209654</v>
      </c>
      <c r="D5" s="26" t="n">
        <v>8447766.14481377</v>
      </c>
      <c r="E5" s="26" t="n">
        <v>-15505666.79456554</v>
      </c>
    </row>
    <row r="6">
      <c r="A6" s="53" t="inlineStr">
        <is>
          <t>Entrada %</t>
        </is>
      </c>
      <c r="B6" s="26" t="n">
        <v>13328821.990798</v>
      </c>
      <c r="C6" s="26" t="n">
        <v>16200599.54209654</v>
      </c>
      <c r="D6" s="26" t="n">
        <v>19072377.09339506</v>
      </c>
      <c r="E6" s="26" t="n">
        <v>5743555.102597063</v>
      </c>
    </row>
    <row r="7">
      <c r="A7" s="53" t="inlineStr">
        <is>
          <t>TMA</t>
        </is>
      </c>
      <c r="B7" s="26" t="n">
        <v>18082548.34673256</v>
      </c>
      <c r="C7" s="26" t="n">
        <v>16200599.54209654</v>
      </c>
      <c r="D7" s="26" t="n">
        <v>14500516.68426216</v>
      </c>
      <c r="E7" s="26" t="n">
        <v>-3582031.662470402</v>
      </c>
    </row>
    <row r="8">
      <c r="A8" s="53" t="inlineStr">
        <is>
          <t>t50 vendas</t>
        </is>
      </c>
      <c r="B8" s="26" t="n">
        <v>17439737.46720688</v>
      </c>
      <c r="C8" s="26" t="n">
        <v>16200599.54209654</v>
      </c>
      <c r="D8" s="26" t="n">
        <v>14655014.32189983</v>
      </c>
      <c r="E8" s="26" t="n">
        <v>-2784723.145307057</v>
      </c>
    </row>
    <row r="9">
      <c r="A9" s="53" t="inlineStr">
        <is>
          <t>Corretagem</t>
        </is>
      </c>
      <c r="B9" s="26" t="n">
        <v>17126979.39735413</v>
      </c>
      <c r="C9" s="26" t="n">
        <v>16200599.54209654</v>
      </c>
      <c r="D9" s="26" t="n">
        <v>15274219.68683894</v>
      </c>
      <c r="E9" s="26" t="n">
        <v>-1852759.710515182</v>
      </c>
    </row>
    <row r="10">
      <c r="A10" s="53" t="inlineStr">
        <is>
          <t>RET 4%</t>
        </is>
      </c>
      <c r="B10" s="26" t="n">
        <v>16754144.9693518</v>
      </c>
      <c r="C10" s="26" t="n">
        <v>16200599.54209654</v>
      </c>
      <c r="D10" s="26" t="n">
        <v>15647054.11484126</v>
      </c>
      <c r="E10" s="26" t="n">
        <v>-1107090.854510544</v>
      </c>
    </row>
    <row r="11">
      <c r="A11" s="53" t="inlineStr">
        <is>
          <t>CUB/SC</t>
        </is>
      </c>
      <c r="B11" s="26" t="n">
        <v>15961177.75841816</v>
      </c>
      <c r="C11" s="26" t="n">
        <v>16200599.54209654</v>
      </c>
      <c r="D11" s="26" t="n">
        <v>16440265.74243942</v>
      </c>
      <c r="E11" s="26" t="n">
        <v>479087.9840212595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MONTE CARLO — 10.000 iterações</t>
        </is>
      </c>
    </row>
    <row r="3">
      <c r="A3" s="32" t="inlineStr">
        <is>
          <t>Estatística</t>
        </is>
      </c>
      <c r="B3" s="32" t="inlineStr">
        <is>
          <t>VPL (R$)</t>
        </is>
      </c>
      <c r="C3" s="32" t="inlineStr">
        <is>
          <t>TIR a.a.</t>
        </is>
      </c>
      <c r="D3" s="32" t="inlineStr">
        <is>
          <t>Margem</t>
        </is>
      </c>
    </row>
    <row r="4">
      <c r="A4" s="5" t="inlineStr">
        <is>
          <t>Mediana</t>
        </is>
      </c>
      <c r="B4" s="6" t="n">
        <v>16923631.5568328</v>
      </c>
      <c r="C4" s="7" t="n">
        <v>0.6708068129949865</v>
      </c>
      <c r="D4" s="7" t="n">
        <v>0.3142831724160519</v>
      </c>
    </row>
    <row r="5">
      <c r="A5" s="5" t="inlineStr">
        <is>
          <t>Média</t>
        </is>
      </c>
      <c r="B5" s="6" t="n">
        <v>17412842.80387013</v>
      </c>
    </row>
    <row r="6">
      <c r="A6" s="5" t="inlineStr">
        <is>
          <t>P10</t>
        </is>
      </c>
      <c r="B6" s="6" t="n">
        <v>5650657.362993421</v>
      </c>
      <c r="C6" s="7" t="n">
        <v>0.3033649246958085</v>
      </c>
    </row>
    <row r="7">
      <c r="A7" s="5" t="inlineStr">
        <is>
          <t>P50</t>
        </is>
      </c>
      <c r="B7" s="6" t="n">
        <v>16923631.5568328</v>
      </c>
      <c r="C7" s="7" t="n">
        <v>0.6708068129949865</v>
      </c>
    </row>
    <row r="8">
      <c r="A8" s="5" t="inlineStr">
        <is>
          <t>P90</t>
        </is>
      </c>
      <c r="B8" s="6" t="n">
        <v>29959488.36581719</v>
      </c>
      <c r="C8" s="7" t="n">
        <v>1.230252992177309</v>
      </c>
    </row>
    <row r="9">
      <c r="A9" s="5" t="inlineStr">
        <is>
          <t>Desvio padrão</t>
        </is>
      </c>
      <c r="B9" s="6" t="n">
        <v>9108563.51307472</v>
      </c>
    </row>
    <row r="11">
      <c r="A11" s="5" t="inlineStr">
        <is>
          <t>P(VPL &gt; 0)</t>
        </is>
      </c>
      <c r="B11" s="7" t="n">
        <v>0.982</v>
      </c>
    </row>
    <row r="12">
      <c r="A12" s="5" t="inlineStr">
        <is>
          <t>P(TIR &gt; TMA)</t>
        </is>
      </c>
      <c r="B12" s="7" t="n">
        <v>0.982</v>
      </c>
    </row>
    <row r="13">
      <c r="A13" s="5" t="inlineStr">
        <is>
          <t>P(Margem &gt; 15%)</t>
        </is>
      </c>
      <c r="B13" s="7" t="n">
        <v>0.9514</v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2026-04-14T19:36:49Z</dcterms:created>
  <dcterms:modified xmlns:dcterms="http://purl.org/dc/terms/" xmlns:xsi="http://www.w3.org/2001/XMLSchema-instance" xsi:type="dcterms:W3CDTF">2026-04-14T19:36:49Z</dcterms:modified>
</cp:coreProperties>
</file>