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avimentos" sheetId="2" state="visible" r:id="rId2"/>
    <sheet xmlns:r="http://schemas.openxmlformats.org/officeDocument/2006/relationships" name="Rateio-valores" sheetId="3" state="visible" r:id="rId3"/>
    <sheet xmlns:r="http://schemas.openxmlformats.org/officeDocument/2006/relationships" name="Rateio-quantidades" sheetId="4" state="visible" r:id="rId4"/>
    <sheet xmlns:r="http://schemas.openxmlformats.org/officeDocument/2006/relationships" name="Resumo-por-ti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  <sz val="11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3" fontId="0" fillId="4" borderId="0" pivotButton="0" quotePrefix="0" xfId="0"/>
    <xf numFmtId="4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2" fontId="0" fillId="4" borderId="0" pivotButton="0" quotePrefix="0" xfId="0"/>
    <xf numFmtId="4" fontId="0" fillId="0" borderId="0" pivotButton="0" quotePrefix="0" xfId="0"/>
    <xf numFmtId="0" fontId="3" fillId="5" borderId="0" pivotButton="0" quotePrefix="0" xfId="0"/>
    <xf numFmtId="3" fontId="3" fillId="5" borderId="0" pivotButton="0" quotePrefix="0" xfId="0"/>
    <xf numFmtId="10" fontId="3" fillId="5" borderId="0" pivotButton="0" quotePrefix="0" xfId="0"/>
    <xf numFmtId="4" fontId="3" fillId="5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164" fontId="3" fillId="5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 ht="22" customHeight="1">
      <c r="A1" s="1" t="inlineStr">
        <is>
          <t>PREMISSAS DO RATEIO HIDROSSANITÁRIO — THOZEN ELECTRA</t>
        </is>
      </c>
    </row>
    <row r="3" ht="20" customHeight="1">
      <c r="A3" s="2" t="inlineStr">
        <is>
          <t>⚠ ESTE É UM RATEIO DERIVADO DO PRELIMINAR PARAMÉTRICO — NÃO É LEVANTAMENTO BIM.
Use para sanity check e ordem de grandeza. Quantidades reais por pavimento virão do Visus/IFC quando o levantamento BIM estiver pronto.
Células amarelas são editáveis — altere e o rateio recalcula.</t>
        </is>
      </c>
    </row>
    <row r="4" ht="20" customHeight="1"/>
    <row r="5" ht="20" customHeight="1"/>
    <row r="7">
      <c r="A7" s="3" t="inlineStr">
        <is>
          <t>TOTAL HIDROSSANITÁRIO DO PRELIMINAR</t>
        </is>
      </c>
    </row>
    <row r="8">
      <c r="A8" t="inlineStr">
        <is>
          <t>Total hidro (R$)</t>
        </is>
      </c>
      <c r="B8" s="4" t="n">
        <v>2583129.65</v>
      </c>
    </row>
    <row r="9">
      <c r="A9" t="inlineStr">
        <is>
          <t>% Material</t>
        </is>
      </c>
      <c r="B9" s="5" t="n">
        <v>0.35</v>
      </c>
    </row>
    <row r="10">
      <c r="A10" t="inlineStr">
        <is>
          <t>% Mão de obra</t>
        </is>
      </c>
      <c r="B10" s="5" t="n">
        <v>0.65</v>
      </c>
    </row>
    <row r="11">
      <c r="A11" t="inlineStr">
        <is>
          <t>Material calculado (R$)</t>
        </is>
      </c>
      <c r="B11" s="6">
        <f>Premissas!$B$8*Premissas!$B$9</f>
        <v/>
      </c>
    </row>
    <row r="12">
      <c r="A12" t="inlineStr">
        <is>
          <t>MO calculada (R$)</t>
        </is>
      </c>
      <c r="B12" s="6">
        <f>Premissas!$B$8*Premissas!$B$10</f>
        <v/>
      </c>
    </row>
    <row r="14">
      <c r="A14" s="3" t="inlineStr">
        <is>
          <t>ESTRUTURA DO EMPREENDIMENTO</t>
        </is>
      </c>
    </row>
    <row r="15">
      <c r="A15" t="inlineStr">
        <is>
          <t>Número de torres</t>
        </is>
      </c>
      <c r="B15" s="7" t="n">
        <v>2</v>
      </c>
    </row>
    <row r="16">
      <c r="A16" t="inlineStr">
        <is>
          <t>Pavimentos totais por torre (np)</t>
        </is>
      </c>
      <c r="B16" s="7" t="n">
        <v>30</v>
      </c>
    </row>
    <row r="17">
      <c r="A17" t="inlineStr">
        <is>
          <t>Pavimentos tipo por torre (npt)</t>
        </is>
      </c>
      <c r="B17" s="7" t="n">
        <v>24</v>
      </c>
    </row>
    <row r="18">
      <c r="A18" t="inlineStr">
        <is>
          <t>Apartamentos totais (UR)</t>
        </is>
      </c>
      <c r="B18" s="7" t="n">
        <v>348</v>
      </c>
    </row>
    <row r="19">
      <c r="A19" t="inlineStr">
        <is>
          <t>Banheiros por apartamento</t>
        </is>
      </c>
      <c r="B19" s="7" t="n">
        <v>3</v>
      </c>
    </row>
    <row r="20">
      <c r="A20" t="inlineStr">
        <is>
          <t>AC total (m²)</t>
        </is>
      </c>
      <c r="B20" s="8" t="n">
        <v>37893.89</v>
      </c>
    </row>
    <row r="21">
      <c r="A21" t="inlineStr">
        <is>
          <t>Índice hidro (m tubulação / m² AC)</t>
        </is>
      </c>
      <c r="B21" s="8" t="n">
        <v>1.08</v>
      </c>
    </row>
    <row r="23">
      <c r="A23" s="3" t="inlineStr">
        <is>
          <t>DISTRIBUIÇÃO DE AC POR TIPO DE PAVIMENTO</t>
        </is>
      </c>
    </row>
    <row r="24">
      <c r="A24" s="9" t="inlineStr">
        <is>
          <t>Tipo</t>
        </is>
      </c>
      <c r="B24" s="9" t="inlineStr">
        <is>
          <t>Qtd/torre</t>
        </is>
      </c>
      <c r="C24" s="9" t="inlineStr">
        <is>
          <t>% AC</t>
        </is>
      </c>
      <c r="D24" s="9" t="inlineStr">
        <is>
          <t>Fator hidro</t>
        </is>
      </c>
      <c r="E24" s="9" t="inlineStr">
        <is>
          <t>AC unit (m²)</t>
        </is>
      </c>
    </row>
    <row r="25">
      <c r="A25" s="3" t="inlineStr">
        <is>
          <t>Subsolo</t>
        </is>
      </c>
      <c r="B25" s="7" t="n">
        <v>2</v>
      </c>
      <c r="C25" s="5" t="n">
        <v>0.08</v>
      </c>
      <c r="D25" s="10" t="n">
        <v>0.15</v>
      </c>
      <c r="E25" s="11">
        <f>IFERROR((Premissas!$B$20*C25)/(B25*Premissas!$B$15),0)</f>
        <v/>
      </c>
    </row>
    <row r="26">
      <c r="A26" s="3" t="inlineStr">
        <is>
          <t>Térreo</t>
        </is>
      </c>
      <c r="B26" s="7" t="n">
        <v>1</v>
      </c>
      <c r="C26" s="5" t="n">
        <v>0.02</v>
      </c>
      <c r="D26" s="10" t="n">
        <v>0.5</v>
      </c>
      <c r="E26" s="11">
        <f>IFERROR((Premissas!$B$20*C26)/(B26*Premissas!$B$15),0)</f>
        <v/>
      </c>
    </row>
    <row r="27">
      <c r="A27" s="3" t="inlineStr">
        <is>
          <t>Lazer</t>
        </is>
      </c>
      <c r="B27" s="7" t="n">
        <v>1</v>
      </c>
      <c r="C27" s="5" t="n">
        <v>0.03</v>
      </c>
      <c r="D27" s="10" t="n">
        <v>0.75</v>
      </c>
      <c r="E27" s="11">
        <f>IFERROR((Premissas!$B$20*C27)/(B27*Premissas!$B$15),0)</f>
        <v/>
      </c>
    </row>
    <row r="28">
      <c r="A28" s="3" t="inlineStr">
        <is>
          <t>Tipo</t>
        </is>
      </c>
      <c r="B28" s="7" t="n">
        <v>24</v>
      </c>
      <c r="C28" s="5" t="n">
        <v>0.85</v>
      </c>
      <c r="D28" s="10" t="n">
        <v>1</v>
      </c>
      <c r="E28" s="11">
        <f>IFERROR((Premissas!$B$20*C28)/(B28*Premissas!$B$15),0)</f>
        <v/>
      </c>
    </row>
    <row r="29">
      <c r="A29" s="3" t="inlineStr">
        <is>
          <t>Técnico</t>
        </is>
      </c>
      <c r="B29" s="7" t="n">
        <v>2</v>
      </c>
      <c r="C29" s="5" t="n">
        <v>0.02</v>
      </c>
      <c r="D29" s="10" t="n">
        <v>0.25</v>
      </c>
      <c r="E29" s="11">
        <f>IFERROR((Premissas!$B$20*C29)/(B29*Premissas!$B$15),0)</f>
        <v/>
      </c>
    </row>
    <row r="30">
      <c r="A30" s="12" t="inlineStr">
        <is>
          <t>TOTAL</t>
        </is>
      </c>
      <c r="B30" s="13">
        <f>SUM(B25:B29)</f>
        <v/>
      </c>
      <c r="C30" s="14">
        <f>SUM(C25:C29)</f>
        <v/>
      </c>
      <c r="D30" s="12" t="n"/>
      <c r="E30" s="15">
        <f>SUMPRODUCT(B25:B29,E25:E29)*Premissas!$B$15</f>
        <v/>
      </c>
    </row>
  </sheetData>
  <mergeCells count="2">
    <mergeCell ref="A1:E1"/>
    <mergeCell ref="A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 ht="22" customHeight="1">
      <c r="A1" s="1" t="inlineStr">
        <is>
          <t>PAVIMENTOS — AC, FATOR, PESO, % PESO</t>
        </is>
      </c>
    </row>
    <row r="3">
      <c r="A3" s="9" t="inlineStr">
        <is>
          <t>Torre</t>
        </is>
      </c>
      <c r="B3" s="9" t="inlineStr">
        <is>
          <t>Nº seq</t>
        </is>
      </c>
      <c r="C3" s="9" t="inlineStr">
        <is>
          <t>Pavimento</t>
        </is>
      </c>
      <c r="D3" s="9" t="inlineStr">
        <is>
          <t>Tipo</t>
        </is>
      </c>
      <c r="E3" s="9" t="inlineStr">
        <is>
          <t>AC (m²)</t>
        </is>
      </c>
      <c r="F3" s="9" t="inlineStr">
        <is>
          <t>Fator</t>
        </is>
      </c>
      <c r="G3" s="9" t="inlineStr">
        <is>
          <t>Peso</t>
        </is>
      </c>
    </row>
    <row r="4">
      <c r="A4" s="16" t="n">
        <v>1</v>
      </c>
      <c r="B4" s="16" t="n">
        <v>1</v>
      </c>
      <c r="C4" t="inlineStr">
        <is>
          <t>Subsolo 1</t>
        </is>
      </c>
      <c r="D4" s="16" t="inlineStr">
        <is>
          <t>Subsolo</t>
        </is>
      </c>
      <c r="E4" s="11">
        <f>Premissas!$E$25</f>
        <v/>
      </c>
      <c r="F4" s="17">
        <f>Premissas!$D$25</f>
        <v/>
      </c>
      <c r="G4" s="11">
        <f>E4*F4</f>
        <v/>
      </c>
    </row>
    <row r="5">
      <c r="A5" s="16" t="n">
        <v>1</v>
      </c>
      <c r="B5" s="16" t="n">
        <v>2</v>
      </c>
      <c r="C5" t="inlineStr">
        <is>
          <t>Subsolo 2</t>
        </is>
      </c>
      <c r="D5" s="16" t="inlineStr">
        <is>
          <t>Subsolo</t>
        </is>
      </c>
      <c r="E5" s="11">
        <f>Premissas!$E$25</f>
        <v/>
      </c>
      <c r="F5" s="17">
        <f>Premissas!$D$25</f>
        <v/>
      </c>
      <c r="G5" s="11">
        <f>E5*F5</f>
        <v/>
      </c>
    </row>
    <row r="6">
      <c r="A6" s="16" t="n">
        <v>1</v>
      </c>
      <c r="B6" s="16" t="n">
        <v>3</v>
      </c>
      <c r="C6" t="inlineStr">
        <is>
          <t>Térreo</t>
        </is>
      </c>
      <c r="D6" s="16" t="inlineStr">
        <is>
          <t>Térreo</t>
        </is>
      </c>
      <c r="E6" s="11">
        <f>Premissas!$E$26</f>
        <v/>
      </c>
      <c r="F6" s="17">
        <f>Premissas!$D$26</f>
        <v/>
      </c>
      <c r="G6" s="11">
        <f>E6*F6</f>
        <v/>
      </c>
    </row>
    <row r="7">
      <c r="A7" s="16" t="n">
        <v>1</v>
      </c>
      <c r="B7" s="16" t="n">
        <v>4</v>
      </c>
      <c r="C7" t="inlineStr">
        <is>
          <t>Lazer</t>
        </is>
      </c>
      <c r="D7" s="16" t="inlineStr">
        <is>
          <t>Lazer</t>
        </is>
      </c>
      <c r="E7" s="11">
        <f>Premissas!$E$27</f>
        <v/>
      </c>
      <c r="F7" s="17">
        <f>Premissas!$D$27</f>
        <v/>
      </c>
      <c r="G7" s="11">
        <f>E7*F7</f>
        <v/>
      </c>
    </row>
    <row r="8">
      <c r="A8" s="16" t="n">
        <v>1</v>
      </c>
      <c r="B8" s="16" t="n">
        <v>5</v>
      </c>
      <c r="C8" t="inlineStr">
        <is>
          <t>Tipo 01</t>
        </is>
      </c>
      <c r="D8" s="16" t="inlineStr">
        <is>
          <t>Tipo</t>
        </is>
      </c>
      <c r="E8" s="11">
        <f>Premissas!$E$28</f>
        <v/>
      </c>
      <c r="F8" s="17">
        <f>Premissas!$D$28</f>
        <v/>
      </c>
      <c r="G8" s="11">
        <f>E8*F8</f>
        <v/>
      </c>
    </row>
    <row r="9">
      <c r="A9" s="16" t="n">
        <v>1</v>
      </c>
      <c r="B9" s="16" t="n">
        <v>6</v>
      </c>
      <c r="C9" t="inlineStr">
        <is>
          <t>Tipo 02</t>
        </is>
      </c>
      <c r="D9" s="16" t="inlineStr">
        <is>
          <t>Tipo</t>
        </is>
      </c>
      <c r="E9" s="11">
        <f>Premissas!$E$28</f>
        <v/>
      </c>
      <c r="F9" s="17">
        <f>Premissas!$D$28</f>
        <v/>
      </c>
      <c r="G9" s="11">
        <f>E9*F9</f>
        <v/>
      </c>
    </row>
    <row r="10">
      <c r="A10" s="16" t="n">
        <v>1</v>
      </c>
      <c r="B10" s="16" t="n">
        <v>7</v>
      </c>
      <c r="C10" t="inlineStr">
        <is>
          <t>Tipo 03</t>
        </is>
      </c>
      <c r="D10" s="16" t="inlineStr">
        <is>
          <t>Tipo</t>
        </is>
      </c>
      <c r="E10" s="11">
        <f>Premissas!$E$28</f>
        <v/>
      </c>
      <c r="F10" s="17">
        <f>Premissas!$D$28</f>
        <v/>
      </c>
      <c r="G10" s="11">
        <f>E10*F10</f>
        <v/>
      </c>
    </row>
    <row r="11">
      <c r="A11" s="16" t="n">
        <v>1</v>
      </c>
      <c r="B11" s="16" t="n">
        <v>8</v>
      </c>
      <c r="C11" t="inlineStr">
        <is>
          <t>Tipo 04</t>
        </is>
      </c>
      <c r="D11" s="16" t="inlineStr">
        <is>
          <t>Tipo</t>
        </is>
      </c>
      <c r="E11" s="11">
        <f>Premissas!$E$28</f>
        <v/>
      </c>
      <c r="F11" s="17">
        <f>Premissas!$D$28</f>
        <v/>
      </c>
      <c r="G11" s="11">
        <f>E11*F11</f>
        <v/>
      </c>
    </row>
    <row r="12">
      <c r="A12" s="16" t="n">
        <v>1</v>
      </c>
      <c r="B12" s="16" t="n">
        <v>9</v>
      </c>
      <c r="C12" t="inlineStr">
        <is>
          <t>Tipo 05</t>
        </is>
      </c>
      <c r="D12" s="16" t="inlineStr">
        <is>
          <t>Tipo</t>
        </is>
      </c>
      <c r="E12" s="11">
        <f>Premissas!$E$28</f>
        <v/>
      </c>
      <c r="F12" s="17">
        <f>Premissas!$D$28</f>
        <v/>
      </c>
      <c r="G12" s="11">
        <f>E12*F12</f>
        <v/>
      </c>
    </row>
    <row r="13">
      <c r="A13" s="16" t="n">
        <v>1</v>
      </c>
      <c r="B13" s="16" t="n">
        <v>10</v>
      </c>
      <c r="C13" t="inlineStr">
        <is>
          <t>Tipo 06</t>
        </is>
      </c>
      <c r="D13" s="16" t="inlineStr">
        <is>
          <t>Tipo</t>
        </is>
      </c>
      <c r="E13" s="11">
        <f>Premissas!$E$28</f>
        <v/>
      </c>
      <c r="F13" s="17">
        <f>Premissas!$D$28</f>
        <v/>
      </c>
      <c r="G13" s="11">
        <f>E13*F13</f>
        <v/>
      </c>
    </row>
    <row r="14">
      <c r="A14" s="16" t="n">
        <v>1</v>
      </c>
      <c r="B14" s="16" t="n">
        <v>11</v>
      </c>
      <c r="C14" t="inlineStr">
        <is>
          <t>Tipo 07</t>
        </is>
      </c>
      <c r="D14" s="16" t="inlineStr">
        <is>
          <t>Tipo</t>
        </is>
      </c>
      <c r="E14" s="11">
        <f>Premissas!$E$28</f>
        <v/>
      </c>
      <c r="F14" s="17">
        <f>Premissas!$D$28</f>
        <v/>
      </c>
      <c r="G14" s="11">
        <f>E14*F14</f>
        <v/>
      </c>
    </row>
    <row r="15">
      <c r="A15" s="16" t="n">
        <v>1</v>
      </c>
      <c r="B15" s="16" t="n">
        <v>12</v>
      </c>
      <c r="C15" t="inlineStr">
        <is>
          <t>Tipo 08</t>
        </is>
      </c>
      <c r="D15" s="16" t="inlineStr">
        <is>
          <t>Tipo</t>
        </is>
      </c>
      <c r="E15" s="11">
        <f>Premissas!$E$28</f>
        <v/>
      </c>
      <c r="F15" s="17">
        <f>Premissas!$D$28</f>
        <v/>
      </c>
      <c r="G15" s="11">
        <f>E15*F15</f>
        <v/>
      </c>
    </row>
    <row r="16">
      <c r="A16" s="16" t="n">
        <v>1</v>
      </c>
      <c r="B16" s="16" t="n">
        <v>13</v>
      </c>
      <c r="C16" t="inlineStr">
        <is>
          <t>Tipo 09</t>
        </is>
      </c>
      <c r="D16" s="16" t="inlineStr">
        <is>
          <t>Tipo</t>
        </is>
      </c>
      <c r="E16" s="11">
        <f>Premissas!$E$28</f>
        <v/>
      </c>
      <c r="F16" s="17">
        <f>Premissas!$D$28</f>
        <v/>
      </c>
      <c r="G16" s="11">
        <f>E16*F16</f>
        <v/>
      </c>
    </row>
    <row r="17">
      <c r="A17" s="16" t="n">
        <v>1</v>
      </c>
      <c r="B17" s="16" t="n">
        <v>14</v>
      </c>
      <c r="C17" t="inlineStr">
        <is>
          <t>Tipo 10</t>
        </is>
      </c>
      <c r="D17" s="16" t="inlineStr">
        <is>
          <t>Tipo</t>
        </is>
      </c>
      <c r="E17" s="11">
        <f>Premissas!$E$28</f>
        <v/>
      </c>
      <c r="F17" s="17">
        <f>Premissas!$D$28</f>
        <v/>
      </c>
      <c r="G17" s="11">
        <f>E17*F17</f>
        <v/>
      </c>
    </row>
    <row r="18">
      <c r="A18" s="16" t="n">
        <v>1</v>
      </c>
      <c r="B18" s="16" t="n">
        <v>15</v>
      </c>
      <c r="C18" t="inlineStr">
        <is>
          <t>Tipo 11</t>
        </is>
      </c>
      <c r="D18" s="16" t="inlineStr">
        <is>
          <t>Tipo</t>
        </is>
      </c>
      <c r="E18" s="11">
        <f>Premissas!$E$28</f>
        <v/>
      </c>
      <c r="F18" s="17">
        <f>Premissas!$D$28</f>
        <v/>
      </c>
      <c r="G18" s="11">
        <f>E18*F18</f>
        <v/>
      </c>
    </row>
    <row r="19">
      <c r="A19" s="16" t="n">
        <v>1</v>
      </c>
      <c r="B19" s="16" t="n">
        <v>16</v>
      </c>
      <c r="C19" t="inlineStr">
        <is>
          <t>Tipo 12</t>
        </is>
      </c>
      <c r="D19" s="16" t="inlineStr">
        <is>
          <t>Tipo</t>
        </is>
      </c>
      <c r="E19" s="11">
        <f>Premissas!$E$28</f>
        <v/>
      </c>
      <c r="F19" s="17">
        <f>Premissas!$D$28</f>
        <v/>
      </c>
      <c r="G19" s="11">
        <f>E19*F19</f>
        <v/>
      </c>
    </row>
    <row r="20">
      <c r="A20" s="16" t="n">
        <v>1</v>
      </c>
      <c r="B20" s="16" t="n">
        <v>17</v>
      </c>
      <c r="C20" t="inlineStr">
        <is>
          <t>Tipo 13</t>
        </is>
      </c>
      <c r="D20" s="16" t="inlineStr">
        <is>
          <t>Tipo</t>
        </is>
      </c>
      <c r="E20" s="11">
        <f>Premissas!$E$28</f>
        <v/>
      </c>
      <c r="F20" s="17">
        <f>Premissas!$D$28</f>
        <v/>
      </c>
      <c r="G20" s="11">
        <f>E20*F20</f>
        <v/>
      </c>
    </row>
    <row r="21">
      <c r="A21" s="16" t="n">
        <v>1</v>
      </c>
      <c r="B21" s="16" t="n">
        <v>18</v>
      </c>
      <c r="C21" t="inlineStr">
        <is>
          <t>Tipo 14</t>
        </is>
      </c>
      <c r="D21" s="16" t="inlineStr">
        <is>
          <t>Tipo</t>
        </is>
      </c>
      <c r="E21" s="11">
        <f>Premissas!$E$28</f>
        <v/>
      </c>
      <c r="F21" s="17">
        <f>Premissas!$D$28</f>
        <v/>
      </c>
      <c r="G21" s="11">
        <f>E21*F21</f>
        <v/>
      </c>
    </row>
    <row r="22">
      <c r="A22" s="16" t="n">
        <v>1</v>
      </c>
      <c r="B22" s="16" t="n">
        <v>19</v>
      </c>
      <c r="C22" t="inlineStr">
        <is>
          <t>Tipo 15</t>
        </is>
      </c>
      <c r="D22" s="16" t="inlineStr">
        <is>
          <t>Tipo</t>
        </is>
      </c>
      <c r="E22" s="11">
        <f>Premissas!$E$28</f>
        <v/>
      </c>
      <c r="F22" s="17">
        <f>Premissas!$D$28</f>
        <v/>
      </c>
      <c r="G22" s="11">
        <f>E22*F22</f>
        <v/>
      </c>
    </row>
    <row r="23">
      <c r="A23" s="16" t="n">
        <v>1</v>
      </c>
      <c r="B23" s="16" t="n">
        <v>20</v>
      </c>
      <c r="C23" t="inlineStr">
        <is>
          <t>Tipo 16</t>
        </is>
      </c>
      <c r="D23" s="16" t="inlineStr">
        <is>
          <t>Tipo</t>
        </is>
      </c>
      <c r="E23" s="11">
        <f>Premissas!$E$28</f>
        <v/>
      </c>
      <c r="F23" s="17">
        <f>Premissas!$D$28</f>
        <v/>
      </c>
      <c r="G23" s="11">
        <f>E23*F23</f>
        <v/>
      </c>
    </row>
    <row r="24">
      <c r="A24" s="16" t="n">
        <v>1</v>
      </c>
      <c r="B24" s="16" t="n">
        <v>21</v>
      </c>
      <c r="C24" t="inlineStr">
        <is>
          <t>Tipo 17</t>
        </is>
      </c>
      <c r="D24" s="16" t="inlineStr">
        <is>
          <t>Tipo</t>
        </is>
      </c>
      <c r="E24" s="11">
        <f>Premissas!$E$28</f>
        <v/>
      </c>
      <c r="F24" s="17">
        <f>Premissas!$D$28</f>
        <v/>
      </c>
      <c r="G24" s="11">
        <f>E24*F24</f>
        <v/>
      </c>
    </row>
    <row r="25">
      <c r="A25" s="16" t="n">
        <v>1</v>
      </c>
      <c r="B25" s="16" t="n">
        <v>22</v>
      </c>
      <c r="C25" t="inlineStr">
        <is>
          <t>Tipo 18</t>
        </is>
      </c>
      <c r="D25" s="16" t="inlineStr">
        <is>
          <t>Tipo</t>
        </is>
      </c>
      <c r="E25" s="11">
        <f>Premissas!$E$28</f>
        <v/>
      </c>
      <c r="F25" s="17">
        <f>Premissas!$D$28</f>
        <v/>
      </c>
      <c r="G25" s="11">
        <f>E25*F25</f>
        <v/>
      </c>
    </row>
    <row r="26">
      <c r="A26" s="16" t="n">
        <v>1</v>
      </c>
      <c r="B26" s="16" t="n">
        <v>23</v>
      </c>
      <c r="C26" t="inlineStr">
        <is>
          <t>Tipo 19</t>
        </is>
      </c>
      <c r="D26" s="16" t="inlineStr">
        <is>
          <t>Tipo</t>
        </is>
      </c>
      <c r="E26" s="11">
        <f>Premissas!$E$28</f>
        <v/>
      </c>
      <c r="F26" s="17">
        <f>Premissas!$D$28</f>
        <v/>
      </c>
      <c r="G26" s="11">
        <f>E26*F26</f>
        <v/>
      </c>
    </row>
    <row r="27">
      <c r="A27" s="16" t="n">
        <v>1</v>
      </c>
      <c r="B27" s="16" t="n">
        <v>24</v>
      </c>
      <c r="C27" t="inlineStr">
        <is>
          <t>Tipo 20</t>
        </is>
      </c>
      <c r="D27" s="16" t="inlineStr">
        <is>
          <t>Tipo</t>
        </is>
      </c>
      <c r="E27" s="11">
        <f>Premissas!$E$28</f>
        <v/>
      </c>
      <c r="F27" s="17">
        <f>Premissas!$D$28</f>
        <v/>
      </c>
      <c r="G27" s="11">
        <f>E27*F27</f>
        <v/>
      </c>
    </row>
    <row r="28">
      <c r="A28" s="16" t="n">
        <v>1</v>
      </c>
      <c r="B28" s="16" t="n">
        <v>25</v>
      </c>
      <c r="C28" t="inlineStr">
        <is>
          <t>Tipo 21</t>
        </is>
      </c>
      <c r="D28" s="16" t="inlineStr">
        <is>
          <t>Tipo</t>
        </is>
      </c>
      <c r="E28" s="11">
        <f>Premissas!$E$28</f>
        <v/>
      </c>
      <c r="F28" s="17">
        <f>Premissas!$D$28</f>
        <v/>
      </c>
      <c r="G28" s="11">
        <f>E28*F28</f>
        <v/>
      </c>
    </row>
    <row r="29">
      <c r="A29" s="16" t="n">
        <v>1</v>
      </c>
      <c r="B29" s="16" t="n">
        <v>26</v>
      </c>
      <c r="C29" t="inlineStr">
        <is>
          <t>Tipo 22</t>
        </is>
      </c>
      <c r="D29" s="16" t="inlineStr">
        <is>
          <t>Tipo</t>
        </is>
      </c>
      <c r="E29" s="11">
        <f>Premissas!$E$28</f>
        <v/>
      </c>
      <c r="F29" s="17">
        <f>Premissas!$D$28</f>
        <v/>
      </c>
      <c r="G29" s="11">
        <f>E29*F29</f>
        <v/>
      </c>
    </row>
    <row r="30">
      <c r="A30" s="16" t="n">
        <v>1</v>
      </c>
      <c r="B30" s="16" t="n">
        <v>27</v>
      </c>
      <c r="C30" t="inlineStr">
        <is>
          <t>Tipo 23</t>
        </is>
      </c>
      <c r="D30" s="16" t="inlineStr">
        <is>
          <t>Tipo</t>
        </is>
      </c>
      <c r="E30" s="11">
        <f>Premissas!$E$28</f>
        <v/>
      </c>
      <c r="F30" s="17">
        <f>Premissas!$D$28</f>
        <v/>
      </c>
      <c r="G30" s="11">
        <f>E30*F30</f>
        <v/>
      </c>
    </row>
    <row r="31">
      <c r="A31" s="16" t="n">
        <v>1</v>
      </c>
      <c r="B31" s="16" t="n">
        <v>28</v>
      </c>
      <c r="C31" t="inlineStr">
        <is>
          <t>Tipo 24</t>
        </is>
      </c>
      <c r="D31" s="16" t="inlineStr">
        <is>
          <t>Tipo</t>
        </is>
      </c>
      <c r="E31" s="11">
        <f>Premissas!$E$28</f>
        <v/>
      </c>
      <c r="F31" s="17">
        <f>Premissas!$D$28</f>
        <v/>
      </c>
      <c r="G31" s="11">
        <f>E31*F31</f>
        <v/>
      </c>
    </row>
    <row r="32">
      <c r="A32" s="16" t="n">
        <v>1</v>
      </c>
      <c r="B32" s="16" t="n">
        <v>29</v>
      </c>
      <c r="C32" t="inlineStr">
        <is>
          <t>Técnico 1</t>
        </is>
      </c>
      <c r="D32" s="16" t="inlineStr">
        <is>
          <t>Técnico</t>
        </is>
      </c>
      <c r="E32" s="11">
        <f>Premissas!$E$29</f>
        <v/>
      </c>
      <c r="F32" s="17">
        <f>Premissas!$D$29</f>
        <v/>
      </c>
      <c r="G32" s="11">
        <f>E32*F32</f>
        <v/>
      </c>
    </row>
    <row r="33">
      <c r="A33" s="16" t="n">
        <v>1</v>
      </c>
      <c r="B33" s="16" t="n">
        <v>30</v>
      </c>
      <c r="C33" t="inlineStr">
        <is>
          <t>Técnico 2</t>
        </is>
      </c>
      <c r="D33" s="16" t="inlineStr">
        <is>
          <t>Técnico</t>
        </is>
      </c>
      <c r="E33" s="11">
        <f>Premissas!$E$29</f>
        <v/>
      </c>
      <c r="F33" s="17">
        <f>Premissas!$D$29</f>
        <v/>
      </c>
      <c r="G33" s="11">
        <f>E33*F33</f>
        <v/>
      </c>
    </row>
    <row r="34">
      <c r="A34" s="16" t="n">
        <v>2</v>
      </c>
      <c r="B34" s="16" t="n">
        <v>31</v>
      </c>
      <c r="C34" t="inlineStr">
        <is>
          <t>Subsolo 1</t>
        </is>
      </c>
      <c r="D34" s="16" t="inlineStr">
        <is>
          <t>Subsolo</t>
        </is>
      </c>
      <c r="E34" s="11">
        <f>Premissas!$E$25</f>
        <v/>
      </c>
      <c r="F34" s="17">
        <f>Premissas!$D$25</f>
        <v/>
      </c>
      <c r="G34" s="11">
        <f>E34*F34</f>
        <v/>
      </c>
    </row>
    <row r="35">
      <c r="A35" s="16" t="n">
        <v>2</v>
      </c>
      <c r="B35" s="16" t="n">
        <v>32</v>
      </c>
      <c r="C35" t="inlineStr">
        <is>
          <t>Subsolo 2</t>
        </is>
      </c>
      <c r="D35" s="16" t="inlineStr">
        <is>
          <t>Subsolo</t>
        </is>
      </c>
      <c r="E35" s="11">
        <f>Premissas!$E$25</f>
        <v/>
      </c>
      <c r="F35" s="17">
        <f>Premissas!$D$25</f>
        <v/>
      </c>
      <c r="G35" s="11">
        <f>E35*F35</f>
        <v/>
      </c>
    </row>
    <row r="36">
      <c r="A36" s="16" t="n">
        <v>2</v>
      </c>
      <c r="B36" s="16" t="n">
        <v>33</v>
      </c>
      <c r="C36" t="inlineStr">
        <is>
          <t>Térreo</t>
        </is>
      </c>
      <c r="D36" s="16" t="inlineStr">
        <is>
          <t>Térreo</t>
        </is>
      </c>
      <c r="E36" s="11">
        <f>Premissas!$E$26</f>
        <v/>
      </c>
      <c r="F36" s="17">
        <f>Premissas!$D$26</f>
        <v/>
      </c>
      <c r="G36" s="11">
        <f>E36*F36</f>
        <v/>
      </c>
    </row>
    <row r="37">
      <c r="A37" s="16" t="n">
        <v>2</v>
      </c>
      <c r="B37" s="16" t="n">
        <v>34</v>
      </c>
      <c r="C37" t="inlineStr">
        <is>
          <t>Lazer</t>
        </is>
      </c>
      <c r="D37" s="16" t="inlineStr">
        <is>
          <t>Lazer</t>
        </is>
      </c>
      <c r="E37" s="11">
        <f>Premissas!$E$27</f>
        <v/>
      </c>
      <c r="F37" s="17">
        <f>Premissas!$D$27</f>
        <v/>
      </c>
      <c r="G37" s="11">
        <f>E37*F37</f>
        <v/>
      </c>
    </row>
    <row r="38">
      <c r="A38" s="16" t="n">
        <v>2</v>
      </c>
      <c r="B38" s="16" t="n">
        <v>35</v>
      </c>
      <c r="C38" t="inlineStr">
        <is>
          <t>Tipo 01</t>
        </is>
      </c>
      <c r="D38" s="16" t="inlineStr">
        <is>
          <t>Tipo</t>
        </is>
      </c>
      <c r="E38" s="11">
        <f>Premissas!$E$28</f>
        <v/>
      </c>
      <c r="F38" s="17">
        <f>Premissas!$D$28</f>
        <v/>
      </c>
      <c r="G38" s="11">
        <f>E38*F38</f>
        <v/>
      </c>
    </row>
    <row r="39">
      <c r="A39" s="16" t="n">
        <v>2</v>
      </c>
      <c r="B39" s="16" t="n">
        <v>36</v>
      </c>
      <c r="C39" t="inlineStr">
        <is>
          <t>Tipo 02</t>
        </is>
      </c>
      <c r="D39" s="16" t="inlineStr">
        <is>
          <t>Tipo</t>
        </is>
      </c>
      <c r="E39" s="11">
        <f>Premissas!$E$28</f>
        <v/>
      </c>
      <c r="F39" s="17">
        <f>Premissas!$D$28</f>
        <v/>
      </c>
      <c r="G39" s="11">
        <f>E39*F39</f>
        <v/>
      </c>
    </row>
    <row r="40">
      <c r="A40" s="16" t="n">
        <v>2</v>
      </c>
      <c r="B40" s="16" t="n">
        <v>37</v>
      </c>
      <c r="C40" t="inlineStr">
        <is>
          <t>Tipo 03</t>
        </is>
      </c>
      <c r="D40" s="16" t="inlineStr">
        <is>
          <t>Tipo</t>
        </is>
      </c>
      <c r="E40" s="11">
        <f>Premissas!$E$28</f>
        <v/>
      </c>
      <c r="F40" s="17">
        <f>Premissas!$D$28</f>
        <v/>
      </c>
      <c r="G40" s="11">
        <f>E40*F40</f>
        <v/>
      </c>
    </row>
    <row r="41">
      <c r="A41" s="16" t="n">
        <v>2</v>
      </c>
      <c r="B41" s="16" t="n">
        <v>38</v>
      </c>
      <c r="C41" t="inlineStr">
        <is>
          <t>Tipo 04</t>
        </is>
      </c>
      <c r="D41" s="16" t="inlineStr">
        <is>
          <t>Tipo</t>
        </is>
      </c>
      <c r="E41" s="11">
        <f>Premissas!$E$28</f>
        <v/>
      </c>
      <c r="F41" s="17">
        <f>Premissas!$D$28</f>
        <v/>
      </c>
      <c r="G41" s="11">
        <f>E41*F41</f>
        <v/>
      </c>
    </row>
    <row r="42">
      <c r="A42" s="16" t="n">
        <v>2</v>
      </c>
      <c r="B42" s="16" t="n">
        <v>39</v>
      </c>
      <c r="C42" t="inlineStr">
        <is>
          <t>Tipo 05</t>
        </is>
      </c>
      <c r="D42" s="16" t="inlineStr">
        <is>
          <t>Tipo</t>
        </is>
      </c>
      <c r="E42" s="11">
        <f>Premissas!$E$28</f>
        <v/>
      </c>
      <c r="F42" s="17">
        <f>Premissas!$D$28</f>
        <v/>
      </c>
      <c r="G42" s="11">
        <f>E42*F42</f>
        <v/>
      </c>
    </row>
    <row r="43">
      <c r="A43" s="16" t="n">
        <v>2</v>
      </c>
      <c r="B43" s="16" t="n">
        <v>40</v>
      </c>
      <c r="C43" t="inlineStr">
        <is>
          <t>Tipo 06</t>
        </is>
      </c>
      <c r="D43" s="16" t="inlineStr">
        <is>
          <t>Tipo</t>
        </is>
      </c>
      <c r="E43" s="11">
        <f>Premissas!$E$28</f>
        <v/>
      </c>
      <c r="F43" s="17">
        <f>Premissas!$D$28</f>
        <v/>
      </c>
      <c r="G43" s="11">
        <f>E43*F43</f>
        <v/>
      </c>
    </row>
    <row r="44">
      <c r="A44" s="16" t="n">
        <v>2</v>
      </c>
      <c r="B44" s="16" t="n">
        <v>41</v>
      </c>
      <c r="C44" t="inlineStr">
        <is>
          <t>Tipo 07</t>
        </is>
      </c>
      <c r="D44" s="16" t="inlineStr">
        <is>
          <t>Tipo</t>
        </is>
      </c>
      <c r="E44" s="11">
        <f>Premissas!$E$28</f>
        <v/>
      </c>
      <c r="F44" s="17">
        <f>Premissas!$D$28</f>
        <v/>
      </c>
      <c r="G44" s="11">
        <f>E44*F44</f>
        <v/>
      </c>
    </row>
    <row r="45">
      <c r="A45" s="16" t="n">
        <v>2</v>
      </c>
      <c r="B45" s="16" t="n">
        <v>42</v>
      </c>
      <c r="C45" t="inlineStr">
        <is>
          <t>Tipo 08</t>
        </is>
      </c>
      <c r="D45" s="16" t="inlineStr">
        <is>
          <t>Tipo</t>
        </is>
      </c>
      <c r="E45" s="11">
        <f>Premissas!$E$28</f>
        <v/>
      </c>
      <c r="F45" s="17">
        <f>Premissas!$D$28</f>
        <v/>
      </c>
      <c r="G45" s="11">
        <f>E45*F45</f>
        <v/>
      </c>
    </row>
    <row r="46">
      <c r="A46" s="16" t="n">
        <v>2</v>
      </c>
      <c r="B46" s="16" t="n">
        <v>43</v>
      </c>
      <c r="C46" t="inlineStr">
        <is>
          <t>Tipo 09</t>
        </is>
      </c>
      <c r="D46" s="16" t="inlineStr">
        <is>
          <t>Tipo</t>
        </is>
      </c>
      <c r="E46" s="11">
        <f>Premissas!$E$28</f>
        <v/>
      </c>
      <c r="F46" s="17">
        <f>Premissas!$D$28</f>
        <v/>
      </c>
      <c r="G46" s="11">
        <f>E46*F46</f>
        <v/>
      </c>
    </row>
    <row r="47">
      <c r="A47" s="16" t="n">
        <v>2</v>
      </c>
      <c r="B47" s="16" t="n">
        <v>44</v>
      </c>
      <c r="C47" t="inlineStr">
        <is>
          <t>Tipo 10</t>
        </is>
      </c>
      <c r="D47" s="16" t="inlineStr">
        <is>
          <t>Tipo</t>
        </is>
      </c>
      <c r="E47" s="11">
        <f>Premissas!$E$28</f>
        <v/>
      </c>
      <c r="F47" s="17">
        <f>Premissas!$D$28</f>
        <v/>
      </c>
      <c r="G47" s="11">
        <f>E47*F47</f>
        <v/>
      </c>
    </row>
    <row r="48">
      <c r="A48" s="16" t="n">
        <v>2</v>
      </c>
      <c r="B48" s="16" t="n">
        <v>45</v>
      </c>
      <c r="C48" t="inlineStr">
        <is>
          <t>Tipo 11</t>
        </is>
      </c>
      <c r="D48" s="16" t="inlineStr">
        <is>
          <t>Tipo</t>
        </is>
      </c>
      <c r="E48" s="11">
        <f>Premissas!$E$28</f>
        <v/>
      </c>
      <c r="F48" s="17">
        <f>Premissas!$D$28</f>
        <v/>
      </c>
      <c r="G48" s="11">
        <f>E48*F48</f>
        <v/>
      </c>
    </row>
    <row r="49">
      <c r="A49" s="16" t="n">
        <v>2</v>
      </c>
      <c r="B49" s="16" t="n">
        <v>46</v>
      </c>
      <c r="C49" t="inlineStr">
        <is>
          <t>Tipo 12</t>
        </is>
      </c>
      <c r="D49" s="16" t="inlineStr">
        <is>
          <t>Tipo</t>
        </is>
      </c>
      <c r="E49" s="11">
        <f>Premissas!$E$28</f>
        <v/>
      </c>
      <c r="F49" s="17">
        <f>Premissas!$D$28</f>
        <v/>
      </c>
      <c r="G49" s="11">
        <f>E49*F49</f>
        <v/>
      </c>
    </row>
    <row r="50">
      <c r="A50" s="16" t="n">
        <v>2</v>
      </c>
      <c r="B50" s="16" t="n">
        <v>47</v>
      </c>
      <c r="C50" t="inlineStr">
        <is>
          <t>Tipo 13</t>
        </is>
      </c>
      <c r="D50" s="16" t="inlineStr">
        <is>
          <t>Tipo</t>
        </is>
      </c>
      <c r="E50" s="11">
        <f>Premissas!$E$28</f>
        <v/>
      </c>
      <c r="F50" s="17">
        <f>Premissas!$D$28</f>
        <v/>
      </c>
      <c r="G50" s="11">
        <f>E50*F50</f>
        <v/>
      </c>
    </row>
    <row r="51">
      <c r="A51" s="16" t="n">
        <v>2</v>
      </c>
      <c r="B51" s="16" t="n">
        <v>48</v>
      </c>
      <c r="C51" t="inlineStr">
        <is>
          <t>Tipo 14</t>
        </is>
      </c>
      <c r="D51" s="16" t="inlineStr">
        <is>
          <t>Tipo</t>
        </is>
      </c>
      <c r="E51" s="11">
        <f>Premissas!$E$28</f>
        <v/>
      </c>
      <c r="F51" s="17">
        <f>Premissas!$D$28</f>
        <v/>
      </c>
      <c r="G51" s="11">
        <f>E51*F51</f>
        <v/>
      </c>
    </row>
    <row r="52">
      <c r="A52" s="16" t="n">
        <v>2</v>
      </c>
      <c r="B52" s="16" t="n">
        <v>49</v>
      </c>
      <c r="C52" t="inlineStr">
        <is>
          <t>Tipo 15</t>
        </is>
      </c>
      <c r="D52" s="16" t="inlineStr">
        <is>
          <t>Tipo</t>
        </is>
      </c>
      <c r="E52" s="11">
        <f>Premissas!$E$28</f>
        <v/>
      </c>
      <c r="F52" s="17">
        <f>Premissas!$D$28</f>
        <v/>
      </c>
      <c r="G52" s="11">
        <f>E52*F52</f>
        <v/>
      </c>
    </row>
    <row r="53">
      <c r="A53" s="16" t="n">
        <v>2</v>
      </c>
      <c r="B53" s="16" t="n">
        <v>50</v>
      </c>
      <c r="C53" t="inlineStr">
        <is>
          <t>Tipo 16</t>
        </is>
      </c>
      <c r="D53" s="16" t="inlineStr">
        <is>
          <t>Tipo</t>
        </is>
      </c>
      <c r="E53" s="11">
        <f>Premissas!$E$28</f>
        <v/>
      </c>
      <c r="F53" s="17">
        <f>Premissas!$D$28</f>
        <v/>
      </c>
      <c r="G53" s="11">
        <f>E53*F53</f>
        <v/>
      </c>
    </row>
    <row r="54">
      <c r="A54" s="16" t="n">
        <v>2</v>
      </c>
      <c r="B54" s="16" t="n">
        <v>51</v>
      </c>
      <c r="C54" t="inlineStr">
        <is>
          <t>Tipo 17</t>
        </is>
      </c>
      <c r="D54" s="16" t="inlineStr">
        <is>
          <t>Tipo</t>
        </is>
      </c>
      <c r="E54" s="11">
        <f>Premissas!$E$28</f>
        <v/>
      </c>
      <c r="F54" s="17">
        <f>Premissas!$D$28</f>
        <v/>
      </c>
      <c r="G54" s="11">
        <f>E54*F54</f>
        <v/>
      </c>
    </row>
    <row r="55">
      <c r="A55" s="16" t="n">
        <v>2</v>
      </c>
      <c r="B55" s="16" t="n">
        <v>52</v>
      </c>
      <c r="C55" t="inlineStr">
        <is>
          <t>Tipo 18</t>
        </is>
      </c>
      <c r="D55" s="16" t="inlineStr">
        <is>
          <t>Tipo</t>
        </is>
      </c>
      <c r="E55" s="11">
        <f>Premissas!$E$28</f>
        <v/>
      </c>
      <c r="F55" s="17">
        <f>Premissas!$D$28</f>
        <v/>
      </c>
      <c r="G55" s="11">
        <f>E55*F55</f>
        <v/>
      </c>
    </row>
    <row r="56">
      <c r="A56" s="16" t="n">
        <v>2</v>
      </c>
      <c r="B56" s="16" t="n">
        <v>53</v>
      </c>
      <c r="C56" t="inlineStr">
        <is>
          <t>Tipo 19</t>
        </is>
      </c>
      <c r="D56" s="16" t="inlineStr">
        <is>
          <t>Tipo</t>
        </is>
      </c>
      <c r="E56" s="11">
        <f>Premissas!$E$28</f>
        <v/>
      </c>
      <c r="F56" s="17">
        <f>Premissas!$D$28</f>
        <v/>
      </c>
      <c r="G56" s="11">
        <f>E56*F56</f>
        <v/>
      </c>
    </row>
    <row r="57">
      <c r="A57" s="16" t="n">
        <v>2</v>
      </c>
      <c r="B57" s="16" t="n">
        <v>54</v>
      </c>
      <c r="C57" t="inlineStr">
        <is>
          <t>Tipo 20</t>
        </is>
      </c>
      <c r="D57" s="16" t="inlineStr">
        <is>
          <t>Tipo</t>
        </is>
      </c>
      <c r="E57" s="11">
        <f>Premissas!$E$28</f>
        <v/>
      </c>
      <c r="F57" s="17">
        <f>Premissas!$D$28</f>
        <v/>
      </c>
      <c r="G57" s="11">
        <f>E57*F57</f>
        <v/>
      </c>
    </row>
    <row r="58">
      <c r="A58" s="16" t="n">
        <v>2</v>
      </c>
      <c r="B58" s="16" t="n">
        <v>55</v>
      </c>
      <c r="C58" t="inlineStr">
        <is>
          <t>Tipo 21</t>
        </is>
      </c>
      <c r="D58" s="16" t="inlineStr">
        <is>
          <t>Tipo</t>
        </is>
      </c>
      <c r="E58" s="11">
        <f>Premissas!$E$28</f>
        <v/>
      </c>
      <c r="F58" s="17">
        <f>Premissas!$D$28</f>
        <v/>
      </c>
      <c r="G58" s="11">
        <f>E58*F58</f>
        <v/>
      </c>
    </row>
    <row r="59">
      <c r="A59" s="16" t="n">
        <v>2</v>
      </c>
      <c r="B59" s="16" t="n">
        <v>56</v>
      </c>
      <c r="C59" t="inlineStr">
        <is>
          <t>Tipo 22</t>
        </is>
      </c>
      <c r="D59" s="16" t="inlineStr">
        <is>
          <t>Tipo</t>
        </is>
      </c>
      <c r="E59" s="11">
        <f>Premissas!$E$28</f>
        <v/>
      </c>
      <c r="F59" s="17">
        <f>Premissas!$D$28</f>
        <v/>
      </c>
      <c r="G59" s="11">
        <f>E59*F59</f>
        <v/>
      </c>
    </row>
    <row r="60">
      <c r="A60" s="16" t="n">
        <v>2</v>
      </c>
      <c r="B60" s="16" t="n">
        <v>57</v>
      </c>
      <c r="C60" t="inlineStr">
        <is>
          <t>Tipo 23</t>
        </is>
      </c>
      <c r="D60" s="16" t="inlineStr">
        <is>
          <t>Tipo</t>
        </is>
      </c>
      <c r="E60" s="11">
        <f>Premissas!$E$28</f>
        <v/>
      </c>
      <c r="F60" s="17">
        <f>Premissas!$D$28</f>
        <v/>
      </c>
      <c r="G60" s="11">
        <f>E60*F60</f>
        <v/>
      </c>
    </row>
    <row r="61">
      <c r="A61" s="16" t="n">
        <v>2</v>
      </c>
      <c r="B61" s="16" t="n">
        <v>58</v>
      </c>
      <c r="C61" t="inlineStr">
        <is>
          <t>Tipo 24</t>
        </is>
      </c>
      <c r="D61" s="16" t="inlineStr">
        <is>
          <t>Tipo</t>
        </is>
      </c>
      <c r="E61" s="11">
        <f>Premissas!$E$28</f>
        <v/>
      </c>
      <c r="F61" s="17">
        <f>Premissas!$D$28</f>
        <v/>
      </c>
      <c r="G61" s="11">
        <f>E61*F61</f>
        <v/>
      </c>
    </row>
    <row r="62">
      <c r="A62" s="16" t="n">
        <v>2</v>
      </c>
      <c r="B62" s="16" t="n">
        <v>59</v>
      </c>
      <c r="C62" t="inlineStr">
        <is>
          <t>Técnico 1</t>
        </is>
      </c>
      <c r="D62" s="16" t="inlineStr">
        <is>
          <t>Técnico</t>
        </is>
      </c>
      <c r="E62" s="11">
        <f>Premissas!$E$29</f>
        <v/>
      </c>
      <c r="F62" s="17">
        <f>Premissas!$D$29</f>
        <v/>
      </c>
      <c r="G62" s="11">
        <f>E62*F62</f>
        <v/>
      </c>
    </row>
    <row r="63">
      <c r="A63" s="16" t="n">
        <v>2</v>
      </c>
      <c r="B63" s="16" t="n">
        <v>60</v>
      </c>
      <c r="C63" t="inlineStr">
        <is>
          <t>Técnico 2</t>
        </is>
      </c>
      <c r="D63" s="16" t="inlineStr">
        <is>
          <t>Técnico</t>
        </is>
      </c>
      <c r="E63" s="11">
        <f>Premissas!$E$29</f>
        <v/>
      </c>
      <c r="F63" s="17">
        <f>Premissas!$D$29</f>
        <v/>
      </c>
      <c r="G63" s="11">
        <f>E63*F63</f>
        <v/>
      </c>
    </row>
    <row r="64">
      <c r="A64" s="12" t="inlineStr">
        <is>
          <t>TOTAL</t>
        </is>
      </c>
      <c r="B64" s="12" t="n"/>
      <c r="C64" s="12" t="n"/>
      <c r="D64" s="12" t="n"/>
      <c r="E64" s="15">
        <f>SUM(E4:E63)</f>
        <v/>
      </c>
      <c r="F64" s="12" t="n"/>
      <c r="G64" s="15">
        <f>SUM(G4:G63)</f>
        <v/>
      </c>
    </row>
  </sheetData>
  <mergeCells count="2">
    <mergeCell ref="A64:D6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4" customWidth="1" min="4" max="4"/>
    <col width="10" customWidth="1" min="5" max="5"/>
    <col width="16" customWidth="1" min="6" max="6"/>
    <col width="16" customWidth="1" min="7" max="7"/>
    <col width="18" customWidth="1" min="8" max="8"/>
  </cols>
  <sheetData>
    <row r="1" ht="22" customHeight="1">
      <c r="A1" s="1" t="inlineStr">
        <is>
          <t>RATEIO DE VALORES (R$) POR PAVIMENTO</t>
        </is>
      </c>
    </row>
    <row r="3">
      <c r="A3" s="9" t="inlineStr">
        <is>
          <t>Torre</t>
        </is>
      </c>
      <c r="B3" s="9" t="inlineStr">
        <is>
          <t>Nº seq</t>
        </is>
      </c>
      <c r="C3" s="9" t="inlineStr">
        <is>
          <t>Pavimento</t>
        </is>
      </c>
      <c r="D3" s="9" t="inlineStr">
        <is>
          <t>Tipo</t>
        </is>
      </c>
      <c r="E3" s="9" t="inlineStr">
        <is>
          <t>% Peso</t>
        </is>
      </c>
      <c r="F3" s="9" t="inlineStr">
        <is>
          <t>R$ Material</t>
        </is>
      </c>
      <c r="G3" s="9" t="inlineStr">
        <is>
          <t>R$ MO</t>
        </is>
      </c>
      <c r="H3" s="9" t="inlineStr">
        <is>
          <t>R$ Total</t>
        </is>
      </c>
    </row>
    <row r="4">
      <c r="A4" s="16" t="n">
        <v>1</v>
      </c>
      <c r="B4" s="16" t="n">
        <v>1</v>
      </c>
      <c r="C4" t="inlineStr">
        <is>
          <t>Subsolo 1</t>
        </is>
      </c>
      <c r="D4" s="16" t="inlineStr">
        <is>
          <t>Subsolo</t>
        </is>
      </c>
      <c r="E4" s="18">
        <f>Pavimentos!$G$4/Pavimentos!$G$64</f>
        <v/>
      </c>
      <c r="F4" s="6">
        <f>E4*Premissas!$B$11</f>
        <v/>
      </c>
      <c r="G4" s="6">
        <f>E4*Premissas!$B$12</f>
        <v/>
      </c>
      <c r="H4" s="6">
        <f>F4+G4</f>
        <v/>
      </c>
    </row>
    <row r="5">
      <c r="A5" s="16" t="n">
        <v>1</v>
      </c>
      <c r="B5" s="16" t="n">
        <v>2</v>
      </c>
      <c r="C5" t="inlineStr">
        <is>
          <t>Subsolo 2</t>
        </is>
      </c>
      <c r="D5" s="16" t="inlineStr">
        <is>
          <t>Subsolo</t>
        </is>
      </c>
      <c r="E5" s="18">
        <f>Pavimentos!$G$5/Pavimentos!$G$64</f>
        <v/>
      </c>
      <c r="F5" s="6">
        <f>E5*Premissas!$B$11</f>
        <v/>
      </c>
      <c r="G5" s="6">
        <f>E5*Premissas!$B$12</f>
        <v/>
      </c>
      <c r="H5" s="6">
        <f>F5+G5</f>
        <v/>
      </c>
    </row>
    <row r="6">
      <c r="A6" s="16" t="n">
        <v>1</v>
      </c>
      <c r="B6" s="16" t="n">
        <v>3</v>
      </c>
      <c r="C6" t="inlineStr">
        <is>
          <t>Térreo</t>
        </is>
      </c>
      <c r="D6" s="16" t="inlineStr">
        <is>
          <t>Térreo</t>
        </is>
      </c>
      <c r="E6" s="18">
        <f>Pavimentos!$G$6/Pavimentos!$G$64</f>
        <v/>
      </c>
      <c r="F6" s="6">
        <f>E6*Premissas!$B$11</f>
        <v/>
      </c>
      <c r="G6" s="6">
        <f>E6*Premissas!$B$12</f>
        <v/>
      </c>
      <c r="H6" s="6">
        <f>F6+G6</f>
        <v/>
      </c>
    </row>
    <row r="7">
      <c r="A7" s="16" t="n">
        <v>1</v>
      </c>
      <c r="B7" s="16" t="n">
        <v>4</v>
      </c>
      <c r="C7" t="inlineStr">
        <is>
          <t>Lazer</t>
        </is>
      </c>
      <c r="D7" s="16" t="inlineStr">
        <is>
          <t>Lazer</t>
        </is>
      </c>
      <c r="E7" s="18">
        <f>Pavimentos!$G$7/Pavimentos!$G$64</f>
        <v/>
      </c>
      <c r="F7" s="6">
        <f>E7*Premissas!$B$11</f>
        <v/>
      </c>
      <c r="G7" s="6">
        <f>E7*Premissas!$B$12</f>
        <v/>
      </c>
      <c r="H7" s="6">
        <f>F7+G7</f>
        <v/>
      </c>
    </row>
    <row r="8">
      <c r="A8" s="16" t="n">
        <v>1</v>
      </c>
      <c r="B8" s="16" t="n">
        <v>5</v>
      </c>
      <c r="C8" t="inlineStr">
        <is>
          <t>Tipo 01</t>
        </is>
      </c>
      <c r="D8" s="16" t="inlineStr">
        <is>
          <t>Tipo</t>
        </is>
      </c>
      <c r="E8" s="18">
        <f>Pavimentos!$G$8/Pavimentos!$G$64</f>
        <v/>
      </c>
      <c r="F8" s="6">
        <f>E8*Premissas!$B$11</f>
        <v/>
      </c>
      <c r="G8" s="6">
        <f>E8*Premissas!$B$12</f>
        <v/>
      </c>
      <c r="H8" s="6">
        <f>F8+G8</f>
        <v/>
      </c>
    </row>
    <row r="9">
      <c r="A9" s="16" t="n">
        <v>1</v>
      </c>
      <c r="B9" s="16" t="n">
        <v>6</v>
      </c>
      <c r="C9" t="inlineStr">
        <is>
          <t>Tipo 02</t>
        </is>
      </c>
      <c r="D9" s="16" t="inlineStr">
        <is>
          <t>Tipo</t>
        </is>
      </c>
      <c r="E9" s="18">
        <f>Pavimentos!$G$9/Pavimentos!$G$64</f>
        <v/>
      </c>
      <c r="F9" s="6">
        <f>E9*Premissas!$B$11</f>
        <v/>
      </c>
      <c r="G9" s="6">
        <f>E9*Premissas!$B$12</f>
        <v/>
      </c>
      <c r="H9" s="6">
        <f>F9+G9</f>
        <v/>
      </c>
    </row>
    <row r="10">
      <c r="A10" s="16" t="n">
        <v>1</v>
      </c>
      <c r="B10" s="16" t="n">
        <v>7</v>
      </c>
      <c r="C10" t="inlineStr">
        <is>
          <t>Tipo 03</t>
        </is>
      </c>
      <c r="D10" s="16" t="inlineStr">
        <is>
          <t>Tipo</t>
        </is>
      </c>
      <c r="E10" s="18">
        <f>Pavimentos!$G$10/Pavimentos!$G$64</f>
        <v/>
      </c>
      <c r="F10" s="6">
        <f>E10*Premissas!$B$11</f>
        <v/>
      </c>
      <c r="G10" s="6">
        <f>E10*Premissas!$B$12</f>
        <v/>
      </c>
      <c r="H10" s="6">
        <f>F10+G10</f>
        <v/>
      </c>
    </row>
    <row r="11">
      <c r="A11" s="16" t="n">
        <v>1</v>
      </c>
      <c r="B11" s="16" t="n">
        <v>8</v>
      </c>
      <c r="C11" t="inlineStr">
        <is>
          <t>Tipo 04</t>
        </is>
      </c>
      <c r="D11" s="16" t="inlineStr">
        <is>
          <t>Tipo</t>
        </is>
      </c>
      <c r="E11" s="18">
        <f>Pavimentos!$G$11/Pavimentos!$G$64</f>
        <v/>
      </c>
      <c r="F11" s="6">
        <f>E11*Premissas!$B$11</f>
        <v/>
      </c>
      <c r="G11" s="6">
        <f>E11*Premissas!$B$12</f>
        <v/>
      </c>
      <c r="H11" s="6">
        <f>F11+G11</f>
        <v/>
      </c>
    </row>
    <row r="12">
      <c r="A12" s="16" t="n">
        <v>1</v>
      </c>
      <c r="B12" s="16" t="n">
        <v>9</v>
      </c>
      <c r="C12" t="inlineStr">
        <is>
          <t>Tipo 05</t>
        </is>
      </c>
      <c r="D12" s="16" t="inlineStr">
        <is>
          <t>Tipo</t>
        </is>
      </c>
      <c r="E12" s="18">
        <f>Pavimentos!$G$12/Pavimentos!$G$64</f>
        <v/>
      </c>
      <c r="F12" s="6">
        <f>E12*Premissas!$B$11</f>
        <v/>
      </c>
      <c r="G12" s="6">
        <f>E12*Premissas!$B$12</f>
        <v/>
      </c>
      <c r="H12" s="6">
        <f>F12+G12</f>
        <v/>
      </c>
    </row>
    <row r="13">
      <c r="A13" s="16" t="n">
        <v>1</v>
      </c>
      <c r="B13" s="16" t="n">
        <v>10</v>
      </c>
      <c r="C13" t="inlineStr">
        <is>
          <t>Tipo 06</t>
        </is>
      </c>
      <c r="D13" s="16" t="inlineStr">
        <is>
          <t>Tipo</t>
        </is>
      </c>
      <c r="E13" s="18">
        <f>Pavimentos!$G$13/Pavimentos!$G$64</f>
        <v/>
      </c>
      <c r="F13" s="6">
        <f>E13*Premissas!$B$11</f>
        <v/>
      </c>
      <c r="G13" s="6">
        <f>E13*Premissas!$B$12</f>
        <v/>
      </c>
      <c r="H13" s="6">
        <f>F13+G13</f>
        <v/>
      </c>
    </row>
    <row r="14">
      <c r="A14" s="16" t="n">
        <v>1</v>
      </c>
      <c r="B14" s="16" t="n">
        <v>11</v>
      </c>
      <c r="C14" t="inlineStr">
        <is>
          <t>Tipo 07</t>
        </is>
      </c>
      <c r="D14" s="16" t="inlineStr">
        <is>
          <t>Tipo</t>
        </is>
      </c>
      <c r="E14" s="18">
        <f>Pavimentos!$G$14/Pavimentos!$G$64</f>
        <v/>
      </c>
      <c r="F14" s="6">
        <f>E14*Premissas!$B$11</f>
        <v/>
      </c>
      <c r="G14" s="6">
        <f>E14*Premissas!$B$12</f>
        <v/>
      </c>
      <c r="H14" s="6">
        <f>F14+G14</f>
        <v/>
      </c>
    </row>
    <row r="15">
      <c r="A15" s="16" t="n">
        <v>1</v>
      </c>
      <c r="B15" s="16" t="n">
        <v>12</v>
      </c>
      <c r="C15" t="inlineStr">
        <is>
          <t>Tipo 08</t>
        </is>
      </c>
      <c r="D15" s="16" t="inlineStr">
        <is>
          <t>Tipo</t>
        </is>
      </c>
      <c r="E15" s="18">
        <f>Pavimentos!$G$15/Pavimentos!$G$64</f>
        <v/>
      </c>
      <c r="F15" s="6">
        <f>E15*Premissas!$B$11</f>
        <v/>
      </c>
      <c r="G15" s="6">
        <f>E15*Premissas!$B$12</f>
        <v/>
      </c>
      <c r="H15" s="6">
        <f>F15+G15</f>
        <v/>
      </c>
    </row>
    <row r="16">
      <c r="A16" s="16" t="n">
        <v>1</v>
      </c>
      <c r="B16" s="16" t="n">
        <v>13</v>
      </c>
      <c r="C16" t="inlineStr">
        <is>
          <t>Tipo 09</t>
        </is>
      </c>
      <c r="D16" s="16" t="inlineStr">
        <is>
          <t>Tipo</t>
        </is>
      </c>
      <c r="E16" s="18">
        <f>Pavimentos!$G$16/Pavimentos!$G$64</f>
        <v/>
      </c>
      <c r="F16" s="6">
        <f>E16*Premissas!$B$11</f>
        <v/>
      </c>
      <c r="G16" s="6">
        <f>E16*Premissas!$B$12</f>
        <v/>
      </c>
      <c r="H16" s="6">
        <f>F16+G16</f>
        <v/>
      </c>
    </row>
    <row r="17">
      <c r="A17" s="16" t="n">
        <v>1</v>
      </c>
      <c r="B17" s="16" t="n">
        <v>14</v>
      </c>
      <c r="C17" t="inlineStr">
        <is>
          <t>Tipo 10</t>
        </is>
      </c>
      <c r="D17" s="16" t="inlineStr">
        <is>
          <t>Tipo</t>
        </is>
      </c>
      <c r="E17" s="18">
        <f>Pavimentos!$G$17/Pavimentos!$G$64</f>
        <v/>
      </c>
      <c r="F17" s="6">
        <f>E17*Premissas!$B$11</f>
        <v/>
      </c>
      <c r="G17" s="6">
        <f>E17*Premissas!$B$12</f>
        <v/>
      </c>
      <c r="H17" s="6">
        <f>F17+G17</f>
        <v/>
      </c>
    </row>
    <row r="18">
      <c r="A18" s="16" t="n">
        <v>1</v>
      </c>
      <c r="B18" s="16" t="n">
        <v>15</v>
      </c>
      <c r="C18" t="inlineStr">
        <is>
          <t>Tipo 11</t>
        </is>
      </c>
      <c r="D18" s="16" t="inlineStr">
        <is>
          <t>Tipo</t>
        </is>
      </c>
      <c r="E18" s="18">
        <f>Pavimentos!$G$18/Pavimentos!$G$64</f>
        <v/>
      </c>
      <c r="F18" s="6">
        <f>E18*Premissas!$B$11</f>
        <v/>
      </c>
      <c r="G18" s="6">
        <f>E18*Premissas!$B$12</f>
        <v/>
      </c>
      <c r="H18" s="6">
        <f>F18+G18</f>
        <v/>
      </c>
    </row>
    <row r="19">
      <c r="A19" s="16" t="n">
        <v>1</v>
      </c>
      <c r="B19" s="16" t="n">
        <v>16</v>
      </c>
      <c r="C19" t="inlineStr">
        <is>
          <t>Tipo 12</t>
        </is>
      </c>
      <c r="D19" s="16" t="inlineStr">
        <is>
          <t>Tipo</t>
        </is>
      </c>
      <c r="E19" s="18">
        <f>Pavimentos!$G$19/Pavimentos!$G$64</f>
        <v/>
      </c>
      <c r="F19" s="6">
        <f>E19*Premissas!$B$11</f>
        <v/>
      </c>
      <c r="G19" s="6">
        <f>E19*Premissas!$B$12</f>
        <v/>
      </c>
      <c r="H19" s="6">
        <f>F19+G19</f>
        <v/>
      </c>
    </row>
    <row r="20">
      <c r="A20" s="16" t="n">
        <v>1</v>
      </c>
      <c r="B20" s="16" t="n">
        <v>17</v>
      </c>
      <c r="C20" t="inlineStr">
        <is>
          <t>Tipo 13</t>
        </is>
      </c>
      <c r="D20" s="16" t="inlineStr">
        <is>
          <t>Tipo</t>
        </is>
      </c>
      <c r="E20" s="18">
        <f>Pavimentos!$G$20/Pavimentos!$G$64</f>
        <v/>
      </c>
      <c r="F20" s="6">
        <f>E20*Premissas!$B$11</f>
        <v/>
      </c>
      <c r="G20" s="6">
        <f>E20*Premissas!$B$12</f>
        <v/>
      </c>
      <c r="H20" s="6">
        <f>F20+G20</f>
        <v/>
      </c>
    </row>
    <row r="21">
      <c r="A21" s="16" t="n">
        <v>1</v>
      </c>
      <c r="B21" s="16" t="n">
        <v>18</v>
      </c>
      <c r="C21" t="inlineStr">
        <is>
          <t>Tipo 14</t>
        </is>
      </c>
      <c r="D21" s="16" t="inlineStr">
        <is>
          <t>Tipo</t>
        </is>
      </c>
      <c r="E21" s="18">
        <f>Pavimentos!$G$21/Pavimentos!$G$64</f>
        <v/>
      </c>
      <c r="F21" s="6">
        <f>E21*Premissas!$B$11</f>
        <v/>
      </c>
      <c r="G21" s="6">
        <f>E21*Premissas!$B$12</f>
        <v/>
      </c>
      <c r="H21" s="6">
        <f>F21+G21</f>
        <v/>
      </c>
    </row>
    <row r="22">
      <c r="A22" s="16" t="n">
        <v>1</v>
      </c>
      <c r="B22" s="16" t="n">
        <v>19</v>
      </c>
      <c r="C22" t="inlineStr">
        <is>
          <t>Tipo 15</t>
        </is>
      </c>
      <c r="D22" s="16" t="inlineStr">
        <is>
          <t>Tipo</t>
        </is>
      </c>
      <c r="E22" s="18">
        <f>Pavimentos!$G$22/Pavimentos!$G$64</f>
        <v/>
      </c>
      <c r="F22" s="6">
        <f>E22*Premissas!$B$11</f>
        <v/>
      </c>
      <c r="G22" s="6">
        <f>E22*Premissas!$B$12</f>
        <v/>
      </c>
      <c r="H22" s="6">
        <f>F22+G22</f>
        <v/>
      </c>
    </row>
    <row r="23">
      <c r="A23" s="16" t="n">
        <v>1</v>
      </c>
      <c r="B23" s="16" t="n">
        <v>20</v>
      </c>
      <c r="C23" t="inlineStr">
        <is>
          <t>Tipo 16</t>
        </is>
      </c>
      <c r="D23" s="16" t="inlineStr">
        <is>
          <t>Tipo</t>
        </is>
      </c>
      <c r="E23" s="18">
        <f>Pavimentos!$G$23/Pavimentos!$G$64</f>
        <v/>
      </c>
      <c r="F23" s="6">
        <f>E23*Premissas!$B$11</f>
        <v/>
      </c>
      <c r="G23" s="6">
        <f>E23*Premissas!$B$12</f>
        <v/>
      </c>
      <c r="H23" s="6">
        <f>F23+G23</f>
        <v/>
      </c>
    </row>
    <row r="24">
      <c r="A24" s="16" t="n">
        <v>1</v>
      </c>
      <c r="B24" s="16" t="n">
        <v>21</v>
      </c>
      <c r="C24" t="inlineStr">
        <is>
          <t>Tipo 17</t>
        </is>
      </c>
      <c r="D24" s="16" t="inlineStr">
        <is>
          <t>Tipo</t>
        </is>
      </c>
      <c r="E24" s="18">
        <f>Pavimentos!$G$24/Pavimentos!$G$64</f>
        <v/>
      </c>
      <c r="F24" s="6">
        <f>E24*Premissas!$B$11</f>
        <v/>
      </c>
      <c r="G24" s="6">
        <f>E24*Premissas!$B$12</f>
        <v/>
      </c>
      <c r="H24" s="6">
        <f>F24+G24</f>
        <v/>
      </c>
    </row>
    <row r="25">
      <c r="A25" s="16" t="n">
        <v>1</v>
      </c>
      <c r="B25" s="16" t="n">
        <v>22</v>
      </c>
      <c r="C25" t="inlineStr">
        <is>
          <t>Tipo 18</t>
        </is>
      </c>
      <c r="D25" s="16" t="inlineStr">
        <is>
          <t>Tipo</t>
        </is>
      </c>
      <c r="E25" s="18">
        <f>Pavimentos!$G$25/Pavimentos!$G$64</f>
        <v/>
      </c>
      <c r="F25" s="6">
        <f>E25*Premissas!$B$11</f>
        <v/>
      </c>
      <c r="G25" s="6">
        <f>E25*Premissas!$B$12</f>
        <v/>
      </c>
      <c r="H25" s="6">
        <f>F25+G25</f>
        <v/>
      </c>
    </row>
    <row r="26">
      <c r="A26" s="16" t="n">
        <v>1</v>
      </c>
      <c r="B26" s="16" t="n">
        <v>23</v>
      </c>
      <c r="C26" t="inlineStr">
        <is>
          <t>Tipo 19</t>
        </is>
      </c>
      <c r="D26" s="16" t="inlineStr">
        <is>
          <t>Tipo</t>
        </is>
      </c>
      <c r="E26" s="18">
        <f>Pavimentos!$G$26/Pavimentos!$G$64</f>
        <v/>
      </c>
      <c r="F26" s="6">
        <f>E26*Premissas!$B$11</f>
        <v/>
      </c>
      <c r="G26" s="6">
        <f>E26*Premissas!$B$12</f>
        <v/>
      </c>
      <c r="H26" s="6">
        <f>F26+G26</f>
        <v/>
      </c>
    </row>
    <row r="27">
      <c r="A27" s="16" t="n">
        <v>1</v>
      </c>
      <c r="B27" s="16" t="n">
        <v>24</v>
      </c>
      <c r="C27" t="inlineStr">
        <is>
          <t>Tipo 20</t>
        </is>
      </c>
      <c r="D27" s="16" t="inlineStr">
        <is>
          <t>Tipo</t>
        </is>
      </c>
      <c r="E27" s="18">
        <f>Pavimentos!$G$27/Pavimentos!$G$64</f>
        <v/>
      </c>
      <c r="F27" s="6">
        <f>E27*Premissas!$B$11</f>
        <v/>
      </c>
      <c r="G27" s="6">
        <f>E27*Premissas!$B$12</f>
        <v/>
      </c>
      <c r="H27" s="6">
        <f>F27+G27</f>
        <v/>
      </c>
    </row>
    <row r="28">
      <c r="A28" s="16" t="n">
        <v>1</v>
      </c>
      <c r="B28" s="16" t="n">
        <v>25</v>
      </c>
      <c r="C28" t="inlineStr">
        <is>
          <t>Tipo 21</t>
        </is>
      </c>
      <c r="D28" s="16" t="inlineStr">
        <is>
          <t>Tipo</t>
        </is>
      </c>
      <c r="E28" s="18">
        <f>Pavimentos!$G$28/Pavimentos!$G$64</f>
        <v/>
      </c>
      <c r="F28" s="6">
        <f>E28*Premissas!$B$11</f>
        <v/>
      </c>
      <c r="G28" s="6">
        <f>E28*Premissas!$B$12</f>
        <v/>
      </c>
      <c r="H28" s="6">
        <f>F28+G28</f>
        <v/>
      </c>
    </row>
    <row r="29">
      <c r="A29" s="16" t="n">
        <v>1</v>
      </c>
      <c r="B29" s="16" t="n">
        <v>26</v>
      </c>
      <c r="C29" t="inlineStr">
        <is>
          <t>Tipo 22</t>
        </is>
      </c>
      <c r="D29" s="16" t="inlineStr">
        <is>
          <t>Tipo</t>
        </is>
      </c>
      <c r="E29" s="18">
        <f>Pavimentos!$G$29/Pavimentos!$G$64</f>
        <v/>
      </c>
      <c r="F29" s="6">
        <f>E29*Premissas!$B$11</f>
        <v/>
      </c>
      <c r="G29" s="6">
        <f>E29*Premissas!$B$12</f>
        <v/>
      </c>
      <c r="H29" s="6">
        <f>F29+G29</f>
        <v/>
      </c>
    </row>
    <row r="30">
      <c r="A30" s="16" t="n">
        <v>1</v>
      </c>
      <c r="B30" s="16" t="n">
        <v>27</v>
      </c>
      <c r="C30" t="inlineStr">
        <is>
          <t>Tipo 23</t>
        </is>
      </c>
      <c r="D30" s="16" t="inlineStr">
        <is>
          <t>Tipo</t>
        </is>
      </c>
      <c r="E30" s="18">
        <f>Pavimentos!$G$30/Pavimentos!$G$64</f>
        <v/>
      </c>
      <c r="F30" s="6">
        <f>E30*Premissas!$B$11</f>
        <v/>
      </c>
      <c r="G30" s="6">
        <f>E30*Premissas!$B$12</f>
        <v/>
      </c>
      <c r="H30" s="6">
        <f>F30+G30</f>
        <v/>
      </c>
    </row>
    <row r="31">
      <c r="A31" s="16" t="n">
        <v>1</v>
      </c>
      <c r="B31" s="16" t="n">
        <v>28</v>
      </c>
      <c r="C31" t="inlineStr">
        <is>
          <t>Tipo 24</t>
        </is>
      </c>
      <c r="D31" s="16" t="inlineStr">
        <is>
          <t>Tipo</t>
        </is>
      </c>
      <c r="E31" s="18">
        <f>Pavimentos!$G$31/Pavimentos!$G$64</f>
        <v/>
      </c>
      <c r="F31" s="6">
        <f>E31*Premissas!$B$11</f>
        <v/>
      </c>
      <c r="G31" s="6">
        <f>E31*Premissas!$B$12</f>
        <v/>
      </c>
      <c r="H31" s="6">
        <f>F31+G31</f>
        <v/>
      </c>
    </row>
    <row r="32">
      <c r="A32" s="16" t="n">
        <v>1</v>
      </c>
      <c r="B32" s="16" t="n">
        <v>29</v>
      </c>
      <c r="C32" t="inlineStr">
        <is>
          <t>Técnico 1</t>
        </is>
      </c>
      <c r="D32" s="16" t="inlineStr">
        <is>
          <t>Técnico</t>
        </is>
      </c>
      <c r="E32" s="18">
        <f>Pavimentos!$G$32/Pavimentos!$G$64</f>
        <v/>
      </c>
      <c r="F32" s="6">
        <f>E32*Premissas!$B$11</f>
        <v/>
      </c>
      <c r="G32" s="6">
        <f>E32*Premissas!$B$12</f>
        <v/>
      </c>
      <c r="H32" s="6">
        <f>F32+G32</f>
        <v/>
      </c>
    </row>
    <row r="33">
      <c r="A33" s="16" t="n">
        <v>1</v>
      </c>
      <c r="B33" s="16" t="n">
        <v>30</v>
      </c>
      <c r="C33" t="inlineStr">
        <is>
          <t>Técnico 2</t>
        </is>
      </c>
      <c r="D33" s="16" t="inlineStr">
        <is>
          <t>Técnico</t>
        </is>
      </c>
      <c r="E33" s="18">
        <f>Pavimentos!$G$33/Pavimentos!$G$64</f>
        <v/>
      </c>
      <c r="F33" s="6">
        <f>E33*Premissas!$B$11</f>
        <v/>
      </c>
      <c r="G33" s="6">
        <f>E33*Premissas!$B$12</f>
        <v/>
      </c>
      <c r="H33" s="6">
        <f>F33+G33</f>
        <v/>
      </c>
    </row>
    <row r="34">
      <c r="A34" s="16" t="n">
        <v>2</v>
      </c>
      <c r="B34" s="16" t="n">
        <v>31</v>
      </c>
      <c r="C34" t="inlineStr">
        <is>
          <t>Subsolo 1</t>
        </is>
      </c>
      <c r="D34" s="16" t="inlineStr">
        <is>
          <t>Subsolo</t>
        </is>
      </c>
      <c r="E34" s="18">
        <f>Pavimentos!$G$34/Pavimentos!$G$64</f>
        <v/>
      </c>
      <c r="F34" s="6">
        <f>E34*Premissas!$B$11</f>
        <v/>
      </c>
      <c r="G34" s="6">
        <f>E34*Premissas!$B$12</f>
        <v/>
      </c>
      <c r="H34" s="6">
        <f>F34+G34</f>
        <v/>
      </c>
    </row>
    <row r="35">
      <c r="A35" s="16" t="n">
        <v>2</v>
      </c>
      <c r="B35" s="16" t="n">
        <v>32</v>
      </c>
      <c r="C35" t="inlineStr">
        <is>
          <t>Subsolo 2</t>
        </is>
      </c>
      <c r="D35" s="16" t="inlineStr">
        <is>
          <t>Subsolo</t>
        </is>
      </c>
      <c r="E35" s="18">
        <f>Pavimentos!$G$35/Pavimentos!$G$64</f>
        <v/>
      </c>
      <c r="F35" s="6">
        <f>E35*Premissas!$B$11</f>
        <v/>
      </c>
      <c r="G35" s="6">
        <f>E35*Premissas!$B$12</f>
        <v/>
      </c>
      <c r="H35" s="6">
        <f>F35+G35</f>
        <v/>
      </c>
    </row>
    <row r="36">
      <c r="A36" s="16" t="n">
        <v>2</v>
      </c>
      <c r="B36" s="16" t="n">
        <v>33</v>
      </c>
      <c r="C36" t="inlineStr">
        <is>
          <t>Térreo</t>
        </is>
      </c>
      <c r="D36" s="16" t="inlineStr">
        <is>
          <t>Térreo</t>
        </is>
      </c>
      <c r="E36" s="18">
        <f>Pavimentos!$G$36/Pavimentos!$G$64</f>
        <v/>
      </c>
      <c r="F36" s="6">
        <f>E36*Premissas!$B$11</f>
        <v/>
      </c>
      <c r="G36" s="6">
        <f>E36*Premissas!$B$12</f>
        <v/>
      </c>
      <c r="H36" s="6">
        <f>F36+G36</f>
        <v/>
      </c>
    </row>
    <row r="37">
      <c r="A37" s="16" t="n">
        <v>2</v>
      </c>
      <c r="B37" s="16" t="n">
        <v>34</v>
      </c>
      <c r="C37" t="inlineStr">
        <is>
          <t>Lazer</t>
        </is>
      </c>
      <c r="D37" s="16" t="inlineStr">
        <is>
          <t>Lazer</t>
        </is>
      </c>
      <c r="E37" s="18">
        <f>Pavimentos!$G$37/Pavimentos!$G$64</f>
        <v/>
      </c>
      <c r="F37" s="6">
        <f>E37*Premissas!$B$11</f>
        <v/>
      </c>
      <c r="G37" s="6">
        <f>E37*Premissas!$B$12</f>
        <v/>
      </c>
      <c r="H37" s="6">
        <f>F37+G37</f>
        <v/>
      </c>
    </row>
    <row r="38">
      <c r="A38" s="16" t="n">
        <v>2</v>
      </c>
      <c r="B38" s="16" t="n">
        <v>35</v>
      </c>
      <c r="C38" t="inlineStr">
        <is>
          <t>Tipo 01</t>
        </is>
      </c>
      <c r="D38" s="16" t="inlineStr">
        <is>
          <t>Tipo</t>
        </is>
      </c>
      <c r="E38" s="18">
        <f>Pavimentos!$G$38/Pavimentos!$G$64</f>
        <v/>
      </c>
      <c r="F38" s="6">
        <f>E38*Premissas!$B$11</f>
        <v/>
      </c>
      <c r="G38" s="6">
        <f>E38*Premissas!$B$12</f>
        <v/>
      </c>
      <c r="H38" s="6">
        <f>F38+G38</f>
        <v/>
      </c>
    </row>
    <row r="39">
      <c r="A39" s="16" t="n">
        <v>2</v>
      </c>
      <c r="B39" s="16" t="n">
        <v>36</v>
      </c>
      <c r="C39" t="inlineStr">
        <is>
          <t>Tipo 02</t>
        </is>
      </c>
      <c r="D39" s="16" t="inlineStr">
        <is>
          <t>Tipo</t>
        </is>
      </c>
      <c r="E39" s="18">
        <f>Pavimentos!$G$39/Pavimentos!$G$64</f>
        <v/>
      </c>
      <c r="F39" s="6">
        <f>E39*Premissas!$B$11</f>
        <v/>
      </c>
      <c r="G39" s="6">
        <f>E39*Premissas!$B$12</f>
        <v/>
      </c>
      <c r="H39" s="6">
        <f>F39+G39</f>
        <v/>
      </c>
    </row>
    <row r="40">
      <c r="A40" s="16" t="n">
        <v>2</v>
      </c>
      <c r="B40" s="16" t="n">
        <v>37</v>
      </c>
      <c r="C40" t="inlineStr">
        <is>
          <t>Tipo 03</t>
        </is>
      </c>
      <c r="D40" s="16" t="inlineStr">
        <is>
          <t>Tipo</t>
        </is>
      </c>
      <c r="E40" s="18">
        <f>Pavimentos!$G$40/Pavimentos!$G$64</f>
        <v/>
      </c>
      <c r="F40" s="6">
        <f>E40*Premissas!$B$11</f>
        <v/>
      </c>
      <c r="G40" s="6">
        <f>E40*Premissas!$B$12</f>
        <v/>
      </c>
      <c r="H40" s="6">
        <f>F40+G40</f>
        <v/>
      </c>
    </row>
    <row r="41">
      <c r="A41" s="16" t="n">
        <v>2</v>
      </c>
      <c r="B41" s="16" t="n">
        <v>38</v>
      </c>
      <c r="C41" t="inlineStr">
        <is>
          <t>Tipo 04</t>
        </is>
      </c>
      <c r="D41" s="16" t="inlineStr">
        <is>
          <t>Tipo</t>
        </is>
      </c>
      <c r="E41" s="18">
        <f>Pavimentos!$G$41/Pavimentos!$G$64</f>
        <v/>
      </c>
      <c r="F41" s="6">
        <f>E41*Premissas!$B$11</f>
        <v/>
      </c>
      <c r="G41" s="6">
        <f>E41*Premissas!$B$12</f>
        <v/>
      </c>
      <c r="H41" s="6">
        <f>F41+G41</f>
        <v/>
      </c>
    </row>
    <row r="42">
      <c r="A42" s="16" t="n">
        <v>2</v>
      </c>
      <c r="B42" s="16" t="n">
        <v>39</v>
      </c>
      <c r="C42" t="inlineStr">
        <is>
          <t>Tipo 05</t>
        </is>
      </c>
      <c r="D42" s="16" t="inlineStr">
        <is>
          <t>Tipo</t>
        </is>
      </c>
      <c r="E42" s="18">
        <f>Pavimentos!$G$42/Pavimentos!$G$64</f>
        <v/>
      </c>
      <c r="F42" s="6">
        <f>E42*Premissas!$B$11</f>
        <v/>
      </c>
      <c r="G42" s="6">
        <f>E42*Premissas!$B$12</f>
        <v/>
      </c>
      <c r="H42" s="6">
        <f>F42+G42</f>
        <v/>
      </c>
    </row>
    <row r="43">
      <c r="A43" s="16" t="n">
        <v>2</v>
      </c>
      <c r="B43" s="16" t="n">
        <v>40</v>
      </c>
      <c r="C43" t="inlineStr">
        <is>
          <t>Tipo 06</t>
        </is>
      </c>
      <c r="D43" s="16" t="inlineStr">
        <is>
          <t>Tipo</t>
        </is>
      </c>
      <c r="E43" s="18">
        <f>Pavimentos!$G$43/Pavimentos!$G$64</f>
        <v/>
      </c>
      <c r="F43" s="6">
        <f>E43*Premissas!$B$11</f>
        <v/>
      </c>
      <c r="G43" s="6">
        <f>E43*Premissas!$B$12</f>
        <v/>
      </c>
      <c r="H43" s="6">
        <f>F43+G43</f>
        <v/>
      </c>
    </row>
    <row r="44">
      <c r="A44" s="16" t="n">
        <v>2</v>
      </c>
      <c r="B44" s="16" t="n">
        <v>41</v>
      </c>
      <c r="C44" t="inlineStr">
        <is>
          <t>Tipo 07</t>
        </is>
      </c>
      <c r="D44" s="16" t="inlineStr">
        <is>
          <t>Tipo</t>
        </is>
      </c>
      <c r="E44" s="18">
        <f>Pavimentos!$G$44/Pavimentos!$G$64</f>
        <v/>
      </c>
      <c r="F44" s="6">
        <f>E44*Premissas!$B$11</f>
        <v/>
      </c>
      <c r="G44" s="6">
        <f>E44*Premissas!$B$12</f>
        <v/>
      </c>
      <c r="H44" s="6">
        <f>F44+G44</f>
        <v/>
      </c>
    </row>
    <row r="45">
      <c r="A45" s="16" t="n">
        <v>2</v>
      </c>
      <c r="B45" s="16" t="n">
        <v>42</v>
      </c>
      <c r="C45" t="inlineStr">
        <is>
          <t>Tipo 08</t>
        </is>
      </c>
      <c r="D45" s="16" t="inlineStr">
        <is>
          <t>Tipo</t>
        </is>
      </c>
      <c r="E45" s="18">
        <f>Pavimentos!$G$45/Pavimentos!$G$64</f>
        <v/>
      </c>
      <c r="F45" s="6">
        <f>E45*Premissas!$B$11</f>
        <v/>
      </c>
      <c r="G45" s="6">
        <f>E45*Premissas!$B$12</f>
        <v/>
      </c>
      <c r="H45" s="6">
        <f>F45+G45</f>
        <v/>
      </c>
    </row>
    <row r="46">
      <c r="A46" s="16" t="n">
        <v>2</v>
      </c>
      <c r="B46" s="16" t="n">
        <v>43</v>
      </c>
      <c r="C46" t="inlineStr">
        <is>
          <t>Tipo 09</t>
        </is>
      </c>
      <c r="D46" s="16" t="inlineStr">
        <is>
          <t>Tipo</t>
        </is>
      </c>
      <c r="E46" s="18">
        <f>Pavimentos!$G$46/Pavimentos!$G$64</f>
        <v/>
      </c>
      <c r="F46" s="6">
        <f>E46*Premissas!$B$11</f>
        <v/>
      </c>
      <c r="G46" s="6">
        <f>E46*Premissas!$B$12</f>
        <v/>
      </c>
      <c r="H46" s="6">
        <f>F46+G46</f>
        <v/>
      </c>
    </row>
    <row r="47">
      <c r="A47" s="16" t="n">
        <v>2</v>
      </c>
      <c r="B47" s="16" t="n">
        <v>44</v>
      </c>
      <c r="C47" t="inlineStr">
        <is>
          <t>Tipo 10</t>
        </is>
      </c>
      <c r="D47" s="16" t="inlineStr">
        <is>
          <t>Tipo</t>
        </is>
      </c>
      <c r="E47" s="18">
        <f>Pavimentos!$G$47/Pavimentos!$G$64</f>
        <v/>
      </c>
      <c r="F47" s="6">
        <f>E47*Premissas!$B$11</f>
        <v/>
      </c>
      <c r="G47" s="6">
        <f>E47*Premissas!$B$12</f>
        <v/>
      </c>
      <c r="H47" s="6">
        <f>F47+G47</f>
        <v/>
      </c>
    </row>
    <row r="48">
      <c r="A48" s="16" t="n">
        <v>2</v>
      </c>
      <c r="B48" s="16" t="n">
        <v>45</v>
      </c>
      <c r="C48" t="inlineStr">
        <is>
          <t>Tipo 11</t>
        </is>
      </c>
      <c r="D48" s="16" t="inlineStr">
        <is>
          <t>Tipo</t>
        </is>
      </c>
      <c r="E48" s="18">
        <f>Pavimentos!$G$48/Pavimentos!$G$64</f>
        <v/>
      </c>
      <c r="F48" s="6">
        <f>E48*Premissas!$B$11</f>
        <v/>
      </c>
      <c r="G48" s="6">
        <f>E48*Premissas!$B$12</f>
        <v/>
      </c>
      <c r="H48" s="6">
        <f>F48+G48</f>
        <v/>
      </c>
    </row>
    <row r="49">
      <c r="A49" s="16" t="n">
        <v>2</v>
      </c>
      <c r="B49" s="16" t="n">
        <v>46</v>
      </c>
      <c r="C49" t="inlineStr">
        <is>
          <t>Tipo 12</t>
        </is>
      </c>
      <c r="D49" s="16" t="inlineStr">
        <is>
          <t>Tipo</t>
        </is>
      </c>
      <c r="E49" s="18">
        <f>Pavimentos!$G$49/Pavimentos!$G$64</f>
        <v/>
      </c>
      <c r="F49" s="6">
        <f>E49*Premissas!$B$11</f>
        <v/>
      </c>
      <c r="G49" s="6">
        <f>E49*Premissas!$B$12</f>
        <v/>
      </c>
      <c r="H49" s="6">
        <f>F49+G49</f>
        <v/>
      </c>
    </row>
    <row r="50">
      <c r="A50" s="16" t="n">
        <v>2</v>
      </c>
      <c r="B50" s="16" t="n">
        <v>47</v>
      </c>
      <c r="C50" t="inlineStr">
        <is>
          <t>Tipo 13</t>
        </is>
      </c>
      <c r="D50" s="16" t="inlineStr">
        <is>
          <t>Tipo</t>
        </is>
      </c>
      <c r="E50" s="18">
        <f>Pavimentos!$G$50/Pavimentos!$G$64</f>
        <v/>
      </c>
      <c r="F50" s="6">
        <f>E50*Premissas!$B$11</f>
        <v/>
      </c>
      <c r="G50" s="6">
        <f>E50*Premissas!$B$12</f>
        <v/>
      </c>
      <c r="H50" s="6">
        <f>F50+G50</f>
        <v/>
      </c>
    </row>
    <row r="51">
      <c r="A51" s="16" t="n">
        <v>2</v>
      </c>
      <c r="B51" s="16" t="n">
        <v>48</v>
      </c>
      <c r="C51" t="inlineStr">
        <is>
          <t>Tipo 14</t>
        </is>
      </c>
      <c r="D51" s="16" t="inlineStr">
        <is>
          <t>Tipo</t>
        </is>
      </c>
      <c r="E51" s="18">
        <f>Pavimentos!$G$51/Pavimentos!$G$64</f>
        <v/>
      </c>
      <c r="F51" s="6">
        <f>E51*Premissas!$B$11</f>
        <v/>
      </c>
      <c r="G51" s="6">
        <f>E51*Premissas!$B$12</f>
        <v/>
      </c>
      <c r="H51" s="6">
        <f>F51+G51</f>
        <v/>
      </c>
    </row>
    <row r="52">
      <c r="A52" s="16" t="n">
        <v>2</v>
      </c>
      <c r="B52" s="16" t="n">
        <v>49</v>
      </c>
      <c r="C52" t="inlineStr">
        <is>
          <t>Tipo 15</t>
        </is>
      </c>
      <c r="D52" s="16" t="inlineStr">
        <is>
          <t>Tipo</t>
        </is>
      </c>
      <c r="E52" s="18">
        <f>Pavimentos!$G$52/Pavimentos!$G$64</f>
        <v/>
      </c>
      <c r="F52" s="6">
        <f>E52*Premissas!$B$11</f>
        <v/>
      </c>
      <c r="G52" s="6">
        <f>E52*Premissas!$B$12</f>
        <v/>
      </c>
      <c r="H52" s="6">
        <f>F52+G52</f>
        <v/>
      </c>
    </row>
    <row r="53">
      <c r="A53" s="16" t="n">
        <v>2</v>
      </c>
      <c r="B53" s="16" t="n">
        <v>50</v>
      </c>
      <c r="C53" t="inlineStr">
        <is>
          <t>Tipo 16</t>
        </is>
      </c>
      <c r="D53" s="16" t="inlineStr">
        <is>
          <t>Tipo</t>
        </is>
      </c>
      <c r="E53" s="18">
        <f>Pavimentos!$G$53/Pavimentos!$G$64</f>
        <v/>
      </c>
      <c r="F53" s="6">
        <f>E53*Premissas!$B$11</f>
        <v/>
      </c>
      <c r="G53" s="6">
        <f>E53*Premissas!$B$12</f>
        <v/>
      </c>
      <c r="H53" s="6">
        <f>F53+G53</f>
        <v/>
      </c>
    </row>
    <row r="54">
      <c r="A54" s="16" t="n">
        <v>2</v>
      </c>
      <c r="B54" s="16" t="n">
        <v>51</v>
      </c>
      <c r="C54" t="inlineStr">
        <is>
          <t>Tipo 17</t>
        </is>
      </c>
      <c r="D54" s="16" t="inlineStr">
        <is>
          <t>Tipo</t>
        </is>
      </c>
      <c r="E54" s="18">
        <f>Pavimentos!$G$54/Pavimentos!$G$64</f>
        <v/>
      </c>
      <c r="F54" s="6">
        <f>E54*Premissas!$B$11</f>
        <v/>
      </c>
      <c r="G54" s="6">
        <f>E54*Premissas!$B$12</f>
        <v/>
      </c>
      <c r="H54" s="6">
        <f>F54+G54</f>
        <v/>
      </c>
    </row>
    <row r="55">
      <c r="A55" s="16" t="n">
        <v>2</v>
      </c>
      <c r="B55" s="16" t="n">
        <v>52</v>
      </c>
      <c r="C55" t="inlineStr">
        <is>
          <t>Tipo 18</t>
        </is>
      </c>
      <c r="D55" s="16" t="inlineStr">
        <is>
          <t>Tipo</t>
        </is>
      </c>
      <c r="E55" s="18">
        <f>Pavimentos!$G$55/Pavimentos!$G$64</f>
        <v/>
      </c>
      <c r="F55" s="6">
        <f>E55*Premissas!$B$11</f>
        <v/>
      </c>
      <c r="G55" s="6">
        <f>E55*Premissas!$B$12</f>
        <v/>
      </c>
      <c r="H55" s="6">
        <f>F55+G55</f>
        <v/>
      </c>
    </row>
    <row r="56">
      <c r="A56" s="16" t="n">
        <v>2</v>
      </c>
      <c r="B56" s="16" t="n">
        <v>53</v>
      </c>
      <c r="C56" t="inlineStr">
        <is>
          <t>Tipo 19</t>
        </is>
      </c>
      <c r="D56" s="16" t="inlineStr">
        <is>
          <t>Tipo</t>
        </is>
      </c>
      <c r="E56" s="18">
        <f>Pavimentos!$G$56/Pavimentos!$G$64</f>
        <v/>
      </c>
      <c r="F56" s="6">
        <f>E56*Premissas!$B$11</f>
        <v/>
      </c>
      <c r="G56" s="6">
        <f>E56*Premissas!$B$12</f>
        <v/>
      </c>
      <c r="H56" s="6">
        <f>F56+G56</f>
        <v/>
      </c>
    </row>
    <row r="57">
      <c r="A57" s="16" t="n">
        <v>2</v>
      </c>
      <c r="B57" s="16" t="n">
        <v>54</v>
      </c>
      <c r="C57" t="inlineStr">
        <is>
          <t>Tipo 20</t>
        </is>
      </c>
      <c r="D57" s="16" t="inlineStr">
        <is>
          <t>Tipo</t>
        </is>
      </c>
      <c r="E57" s="18">
        <f>Pavimentos!$G$57/Pavimentos!$G$64</f>
        <v/>
      </c>
      <c r="F57" s="6">
        <f>E57*Premissas!$B$11</f>
        <v/>
      </c>
      <c r="G57" s="6">
        <f>E57*Premissas!$B$12</f>
        <v/>
      </c>
      <c r="H57" s="6">
        <f>F57+G57</f>
        <v/>
      </c>
    </row>
    <row r="58">
      <c r="A58" s="16" t="n">
        <v>2</v>
      </c>
      <c r="B58" s="16" t="n">
        <v>55</v>
      </c>
      <c r="C58" t="inlineStr">
        <is>
          <t>Tipo 21</t>
        </is>
      </c>
      <c r="D58" s="16" t="inlineStr">
        <is>
          <t>Tipo</t>
        </is>
      </c>
      <c r="E58" s="18">
        <f>Pavimentos!$G$58/Pavimentos!$G$64</f>
        <v/>
      </c>
      <c r="F58" s="6">
        <f>E58*Premissas!$B$11</f>
        <v/>
      </c>
      <c r="G58" s="6">
        <f>E58*Premissas!$B$12</f>
        <v/>
      </c>
      <c r="H58" s="6">
        <f>F58+G58</f>
        <v/>
      </c>
    </row>
    <row r="59">
      <c r="A59" s="16" t="n">
        <v>2</v>
      </c>
      <c r="B59" s="16" t="n">
        <v>56</v>
      </c>
      <c r="C59" t="inlineStr">
        <is>
          <t>Tipo 22</t>
        </is>
      </c>
      <c r="D59" s="16" t="inlineStr">
        <is>
          <t>Tipo</t>
        </is>
      </c>
      <c r="E59" s="18">
        <f>Pavimentos!$G$59/Pavimentos!$G$64</f>
        <v/>
      </c>
      <c r="F59" s="6">
        <f>E59*Premissas!$B$11</f>
        <v/>
      </c>
      <c r="G59" s="6">
        <f>E59*Premissas!$B$12</f>
        <v/>
      </c>
      <c r="H59" s="6">
        <f>F59+G59</f>
        <v/>
      </c>
    </row>
    <row r="60">
      <c r="A60" s="16" t="n">
        <v>2</v>
      </c>
      <c r="B60" s="16" t="n">
        <v>57</v>
      </c>
      <c r="C60" t="inlineStr">
        <is>
          <t>Tipo 23</t>
        </is>
      </c>
      <c r="D60" s="16" t="inlineStr">
        <is>
          <t>Tipo</t>
        </is>
      </c>
      <c r="E60" s="18">
        <f>Pavimentos!$G$60/Pavimentos!$G$64</f>
        <v/>
      </c>
      <c r="F60" s="6">
        <f>E60*Premissas!$B$11</f>
        <v/>
      </c>
      <c r="G60" s="6">
        <f>E60*Premissas!$B$12</f>
        <v/>
      </c>
      <c r="H60" s="6">
        <f>F60+G60</f>
        <v/>
      </c>
    </row>
    <row r="61">
      <c r="A61" s="16" t="n">
        <v>2</v>
      </c>
      <c r="B61" s="16" t="n">
        <v>58</v>
      </c>
      <c r="C61" t="inlineStr">
        <is>
          <t>Tipo 24</t>
        </is>
      </c>
      <c r="D61" s="16" t="inlineStr">
        <is>
          <t>Tipo</t>
        </is>
      </c>
      <c r="E61" s="18">
        <f>Pavimentos!$G$61/Pavimentos!$G$64</f>
        <v/>
      </c>
      <c r="F61" s="6">
        <f>E61*Premissas!$B$11</f>
        <v/>
      </c>
      <c r="G61" s="6">
        <f>E61*Premissas!$B$12</f>
        <v/>
      </c>
      <c r="H61" s="6">
        <f>F61+G61</f>
        <v/>
      </c>
    </row>
    <row r="62">
      <c r="A62" s="16" t="n">
        <v>2</v>
      </c>
      <c r="B62" s="16" t="n">
        <v>59</v>
      </c>
      <c r="C62" t="inlineStr">
        <is>
          <t>Técnico 1</t>
        </is>
      </c>
      <c r="D62" s="16" t="inlineStr">
        <is>
          <t>Técnico</t>
        </is>
      </c>
      <c r="E62" s="18">
        <f>Pavimentos!$G$62/Pavimentos!$G$64</f>
        <v/>
      </c>
      <c r="F62" s="6">
        <f>E62*Premissas!$B$11</f>
        <v/>
      </c>
      <c r="G62" s="6">
        <f>E62*Premissas!$B$12</f>
        <v/>
      </c>
      <c r="H62" s="6">
        <f>F62+G62</f>
        <v/>
      </c>
    </row>
    <row r="63">
      <c r="A63" s="16" t="n">
        <v>2</v>
      </c>
      <c r="B63" s="16" t="n">
        <v>60</v>
      </c>
      <c r="C63" t="inlineStr">
        <is>
          <t>Técnico 2</t>
        </is>
      </c>
      <c r="D63" s="16" t="inlineStr">
        <is>
          <t>Técnico</t>
        </is>
      </c>
      <c r="E63" s="18">
        <f>Pavimentos!$G$63/Pavimentos!$G$64</f>
        <v/>
      </c>
      <c r="F63" s="6">
        <f>E63*Premissas!$B$11</f>
        <v/>
      </c>
      <c r="G63" s="6">
        <f>E63*Premissas!$B$12</f>
        <v/>
      </c>
      <c r="H63" s="6">
        <f>F63+G63</f>
        <v/>
      </c>
    </row>
    <row r="64">
      <c r="A64" s="12" t="inlineStr">
        <is>
          <t>TOTAL</t>
        </is>
      </c>
      <c r="B64" s="12" t="n"/>
      <c r="C64" s="12" t="n"/>
      <c r="D64" s="12" t="n"/>
      <c r="E64" s="14">
        <f>SUM(E4:E63)</f>
        <v/>
      </c>
      <c r="F64" s="19">
        <f>SUM(F4:F63)</f>
        <v/>
      </c>
      <c r="G64" s="19">
        <f>SUM(G4:G63)</f>
        <v/>
      </c>
      <c r="H64" s="19">
        <f>SUM(H4:H63)</f>
        <v/>
      </c>
    </row>
  </sheetData>
  <mergeCells count="2">
    <mergeCell ref="A64:D6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RATEIO DE QUANTIDADES FÍSICAS POR PAVIMENTO</t>
        </is>
      </c>
    </row>
    <row r="3" ht="30" customHeight="1">
      <c r="A3" s="9" t="inlineStr">
        <is>
          <t>Torre</t>
        </is>
      </c>
      <c r="B3" s="9" t="inlineStr">
        <is>
          <t>Pavimento</t>
        </is>
      </c>
      <c r="C3" s="9" t="inlineStr">
        <is>
          <t>Tipo</t>
        </is>
      </c>
      <c r="D3" s="9" t="inlineStr">
        <is>
          <t>AC (m²)</t>
        </is>
      </c>
      <c r="E3" s="9" t="inlineStr">
        <is>
          <t>Tubulação
(m)</t>
        </is>
      </c>
      <c r="F3" s="9" t="inlineStr">
        <is>
          <t>Vasos</t>
        </is>
      </c>
      <c r="G3" s="9" t="inlineStr">
        <is>
          <t>Lavatórios</t>
        </is>
      </c>
      <c r="H3" s="9" t="inlineStr">
        <is>
          <t>Chuveiros</t>
        </is>
      </c>
      <c r="I3" s="9" t="inlineStr">
        <is>
          <t>Pias
cozinha</t>
        </is>
      </c>
      <c r="J3" s="9" t="inlineStr">
        <is>
          <t>Tanques
AS</t>
        </is>
      </c>
    </row>
    <row r="4">
      <c r="A4" s="16" t="n">
        <v>1</v>
      </c>
      <c r="B4" t="inlineStr">
        <is>
          <t>Subsolo 1</t>
        </is>
      </c>
      <c r="C4" s="16" t="inlineStr">
        <is>
          <t>Subsolo</t>
        </is>
      </c>
      <c r="D4" s="11">
        <f>Pavimentos!$E$4</f>
        <v/>
      </c>
      <c r="E4" s="11">
        <f>D4*Premissas!$B$21*Pavimentos!$F$4</f>
        <v/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</row>
    <row r="5">
      <c r="A5" s="16" t="n">
        <v>1</v>
      </c>
      <c r="B5" t="inlineStr">
        <is>
          <t>Subsolo 2</t>
        </is>
      </c>
      <c r="C5" s="16" t="inlineStr">
        <is>
          <t>Subsolo</t>
        </is>
      </c>
      <c r="D5" s="11">
        <f>Pavimentos!$E$5</f>
        <v/>
      </c>
      <c r="E5" s="11">
        <f>D5*Premissas!$B$21*Pavimentos!$F$5</f>
        <v/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</row>
    <row r="6">
      <c r="A6" s="16" t="n">
        <v>1</v>
      </c>
      <c r="B6" t="inlineStr">
        <is>
          <t>Térreo</t>
        </is>
      </c>
      <c r="C6" s="16" t="inlineStr">
        <is>
          <t>Térreo</t>
        </is>
      </c>
      <c r="D6" s="11">
        <f>Pavimentos!$E$6</f>
        <v/>
      </c>
      <c r="E6" s="11">
        <f>D6*Premissas!$B$21*Pavimentos!$F$6</f>
        <v/>
      </c>
      <c r="F6" s="20" t="n">
        <v>3</v>
      </c>
      <c r="G6" s="20" t="n">
        <v>3</v>
      </c>
      <c r="H6" s="20" t="n">
        <v>0</v>
      </c>
      <c r="I6" s="20" t="n">
        <v>1</v>
      </c>
      <c r="J6" s="20" t="n">
        <v>0</v>
      </c>
    </row>
    <row r="7">
      <c r="A7" s="16" t="n">
        <v>1</v>
      </c>
      <c r="B7" t="inlineStr">
        <is>
          <t>Lazer</t>
        </is>
      </c>
      <c r="C7" s="16" t="inlineStr">
        <is>
          <t>Lazer</t>
        </is>
      </c>
      <c r="D7" s="11">
        <f>Pavimentos!$E$7</f>
        <v/>
      </c>
      <c r="E7" s="11">
        <f>D7*Premissas!$B$21*Pavimentos!$F$7</f>
        <v/>
      </c>
      <c r="F7" s="20" t="n">
        <v>6</v>
      </c>
      <c r="G7" s="20" t="n">
        <v>6</v>
      </c>
      <c r="H7" s="20" t="n">
        <v>4</v>
      </c>
      <c r="I7" s="20" t="n">
        <v>2</v>
      </c>
      <c r="J7" s="20" t="n">
        <v>0</v>
      </c>
    </row>
    <row r="8">
      <c r="A8" s="16" t="n">
        <v>1</v>
      </c>
      <c r="B8" t="inlineStr">
        <is>
          <t>Tipo 01</t>
        </is>
      </c>
      <c r="C8" s="16" t="inlineStr">
        <is>
          <t>Tipo</t>
        </is>
      </c>
      <c r="D8" s="11">
        <f>Pavimentos!$E$8</f>
        <v/>
      </c>
      <c r="E8" s="11">
        <f>D8*Premissas!$B$21*Pavimentos!$F$8</f>
        <v/>
      </c>
      <c r="F8" s="20">
        <f>ROUND(IFERROR(Premissas!$B$18/(Premissas!$B$28*Premissas!$B$15),0)*Premissas!$B$19,0)</f>
        <v/>
      </c>
      <c r="G8" s="20">
        <f>ROUND(IFERROR(Premissas!$B$18/(Premissas!$B$28*Premissas!$B$15),0)*Premissas!$B$19,0)</f>
        <v/>
      </c>
      <c r="H8" s="20">
        <f>ROUND(IFERROR(Premissas!$B$18/(Premissas!$B$28*Premissas!$B$15),0)*Premissas!$B$19,0)</f>
        <v/>
      </c>
      <c r="I8" s="20">
        <f>ROUND(IFERROR(Premissas!$B$18/(Premissas!$B$28*Premissas!$B$15),0),0)</f>
        <v/>
      </c>
      <c r="J8" s="20">
        <f>ROUND(IFERROR(Premissas!$B$18/(Premissas!$B$28*Premissas!$B$15),0),0)</f>
        <v/>
      </c>
    </row>
    <row r="9">
      <c r="A9" s="16" t="n">
        <v>1</v>
      </c>
      <c r="B9" t="inlineStr">
        <is>
          <t>Tipo 02</t>
        </is>
      </c>
      <c r="C9" s="16" t="inlineStr">
        <is>
          <t>Tipo</t>
        </is>
      </c>
      <c r="D9" s="11">
        <f>Pavimentos!$E$9</f>
        <v/>
      </c>
      <c r="E9" s="11">
        <f>D9*Premissas!$B$21*Pavimentos!$F$9</f>
        <v/>
      </c>
      <c r="F9" s="20">
        <f>ROUND(IFERROR(Premissas!$B$18/(Premissas!$B$28*Premissas!$B$15),0)*Premissas!$B$19,0)</f>
        <v/>
      </c>
      <c r="G9" s="20">
        <f>ROUND(IFERROR(Premissas!$B$18/(Premissas!$B$28*Premissas!$B$15),0)*Premissas!$B$19,0)</f>
        <v/>
      </c>
      <c r="H9" s="20">
        <f>ROUND(IFERROR(Premissas!$B$18/(Premissas!$B$28*Premissas!$B$15),0)*Premissas!$B$19,0)</f>
        <v/>
      </c>
      <c r="I9" s="20">
        <f>ROUND(IFERROR(Premissas!$B$18/(Premissas!$B$28*Premissas!$B$15),0),0)</f>
        <v/>
      </c>
      <c r="J9" s="20">
        <f>ROUND(IFERROR(Premissas!$B$18/(Premissas!$B$28*Premissas!$B$15),0),0)</f>
        <v/>
      </c>
    </row>
    <row r="10">
      <c r="A10" s="16" t="n">
        <v>1</v>
      </c>
      <c r="B10" t="inlineStr">
        <is>
          <t>Tipo 03</t>
        </is>
      </c>
      <c r="C10" s="16" t="inlineStr">
        <is>
          <t>Tipo</t>
        </is>
      </c>
      <c r="D10" s="11">
        <f>Pavimentos!$E$10</f>
        <v/>
      </c>
      <c r="E10" s="11">
        <f>D10*Premissas!$B$21*Pavimentos!$F$10</f>
        <v/>
      </c>
      <c r="F10" s="20">
        <f>ROUND(IFERROR(Premissas!$B$18/(Premissas!$B$28*Premissas!$B$15),0)*Premissas!$B$19,0)</f>
        <v/>
      </c>
      <c r="G10" s="20">
        <f>ROUND(IFERROR(Premissas!$B$18/(Premissas!$B$28*Premissas!$B$15),0)*Premissas!$B$19,0)</f>
        <v/>
      </c>
      <c r="H10" s="20">
        <f>ROUND(IFERROR(Premissas!$B$18/(Premissas!$B$28*Premissas!$B$15),0)*Premissas!$B$19,0)</f>
        <v/>
      </c>
      <c r="I10" s="20">
        <f>ROUND(IFERROR(Premissas!$B$18/(Premissas!$B$28*Premissas!$B$15),0),0)</f>
        <v/>
      </c>
      <c r="J10" s="20">
        <f>ROUND(IFERROR(Premissas!$B$18/(Premissas!$B$28*Premissas!$B$15),0),0)</f>
        <v/>
      </c>
    </row>
    <row r="11">
      <c r="A11" s="16" t="n">
        <v>1</v>
      </c>
      <c r="B11" t="inlineStr">
        <is>
          <t>Tipo 04</t>
        </is>
      </c>
      <c r="C11" s="16" t="inlineStr">
        <is>
          <t>Tipo</t>
        </is>
      </c>
      <c r="D11" s="11">
        <f>Pavimentos!$E$11</f>
        <v/>
      </c>
      <c r="E11" s="11">
        <f>D11*Premissas!$B$21*Pavimentos!$F$11</f>
        <v/>
      </c>
      <c r="F11" s="20">
        <f>ROUND(IFERROR(Premissas!$B$18/(Premissas!$B$28*Premissas!$B$15),0)*Premissas!$B$19,0)</f>
        <v/>
      </c>
      <c r="G11" s="20">
        <f>ROUND(IFERROR(Premissas!$B$18/(Premissas!$B$28*Premissas!$B$15),0)*Premissas!$B$19,0)</f>
        <v/>
      </c>
      <c r="H11" s="20">
        <f>ROUND(IFERROR(Premissas!$B$18/(Premissas!$B$28*Premissas!$B$15),0)*Premissas!$B$19,0)</f>
        <v/>
      </c>
      <c r="I11" s="20">
        <f>ROUND(IFERROR(Premissas!$B$18/(Premissas!$B$28*Premissas!$B$15),0),0)</f>
        <v/>
      </c>
      <c r="J11" s="20">
        <f>ROUND(IFERROR(Premissas!$B$18/(Premissas!$B$28*Premissas!$B$15),0),0)</f>
        <v/>
      </c>
    </row>
    <row r="12">
      <c r="A12" s="16" t="n">
        <v>1</v>
      </c>
      <c r="B12" t="inlineStr">
        <is>
          <t>Tipo 05</t>
        </is>
      </c>
      <c r="C12" s="16" t="inlineStr">
        <is>
          <t>Tipo</t>
        </is>
      </c>
      <c r="D12" s="11">
        <f>Pavimentos!$E$12</f>
        <v/>
      </c>
      <c r="E12" s="11">
        <f>D12*Premissas!$B$21*Pavimentos!$F$12</f>
        <v/>
      </c>
      <c r="F12" s="20">
        <f>ROUND(IFERROR(Premissas!$B$18/(Premissas!$B$28*Premissas!$B$15),0)*Premissas!$B$19,0)</f>
        <v/>
      </c>
      <c r="G12" s="20">
        <f>ROUND(IFERROR(Premissas!$B$18/(Premissas!$B$28*Premissas!$B$15),0)*Premissas!$B$19,0)</f>
        <v/>
      </c>
      <c r="H12" s="20">
        <f>ROUND(IFERROR(Premissas!$B$18/(Premissas!$B$28*Premissas!$B$15),0)*Premissas!$B$19,0)</f>
        <v/>
      </c>
      <c r="I12" s="20">
        <f>ROUND(IFERROR(Premissas!$B$18/(Premissas!$B$28*Premissas!$B$15),0),0)</f>
        <v/>
      </c>
      <c r="J12" s="20">
        <f>ROUND(IFERROR(Premissas!$B$18/(Premissas!$B$28*Premissas!$B$15),0),0)</f>
        <v/>
      </c>
    </row>
    <row r="13">
      <c r="A13" s="16" t="n">
        <v>1</v>
      </c>
      <c r="B13" t="inlineStr">
        <is>
          <t>Tipo 06</t>
        </is>
      </c>
      <c r="C13" s="16" t="inlineStr">
        <is>
          <t>Tipo</t>
        </is>
      </c>
      <c r="D13" s="11">
        <f>Pavimentos!$E$13</f>
        <v/>
      </c>
      <c r="E13" s="11">
        <f>D13*Premissas!$B$21*Pavimentos!$F$13</f>
        <v/>
      </c>
      <c r="F13" s="20">
        <f>ROUND(IFERROR(Premissas!$B$18/(Premissas!$B$28*Premissas!$B$15),0)*Premissas!$B$19,0)</f>
        <v/>
      </c>
      <c r="G13" s="20">
        <f>ROUND(IFERROR(Premissas!$B$18/(Premissas!$B$28*Premissas!$B$15),0)*Premissas!$B$19,0)</f>
        <v/>
      </c>
      <c r="H13" s="20">
        <f>ROUND(IFERROR(Premissas!$B$18/(Premissas!$B$28*Premissas!$B$15),0)*Premissas!$B$19,0)</f>
        <v/>
      </c>
      <c r="I13" s="20">
        <f>ROUND(IFERROR(Premissas!$B$18/(Premissas!$B$28*Premissas!$B$15),0),0)</f>
        <v/>
      </c>
      <c r="J13" s="20">
        <f>ROUND(IFERROR(Premissas!$B$18/(Premissas!$B$28*Premissas!$B$15),0),0)</f>
        <v/>
      </c>
    </row>
    <row r="14">
      <c r="A14" s="16" t="n">
        <v>1</v>
      </c>
      <c r="B14" t="inlineStr">
        <is>
          <t>Tipo 07</t>
        </is>
      </c>
      <c r="C14" s="16" t="inlineStr">
        <is>
          <t>Tipo</t>
        </is>
      </c>
      <c r="D14" s="11">
        <f>Pavimentos!$E$14</f>
        <v/>
      </c>
      <c r="E14" s="11">
        <f>D14*Premissas!$B$21*Pavimentos!$F$14</f>
        <v/>
      </c>
      <c r="F14" s="20">
        <f>ROUND(IFERROR(Premissas!$B$18/(Premissas!$B$28*Premissas!$B$15),0)*Premissas!$B$19,0)</f>
        <v/>
      </c>
      <c r="G14" s="20">
        <f>ROUND(IFERROR(Premissas!$B$18/(Premissas!$B$28*Premissas!$B$15),0)*Premissas!$B$19,0)</f>
        <v/>
      </c>
      <c r="H14" s="20">
        <f>ROUND(IFERROR(Premissas!$B$18/(Premissas!$B$28*Premissas!$B$15),0)*Premissas!$B$19,0)</f>
        <v/>
      </c>
      <c r="I14" s="20">
        <f>ROUND(IFERROR(Premissas!$B$18/(Premissas!$B$28*Premissas!$B$15),0),0)</f>
        <v/>
      </c>
      <c r="J14" s="20">
        <f>ROUND(IFERROR(Premissas!$B$18/(Premissas!$B$28*Premissas!$B$15),0),0)</f>
        <v/>
      </c>
    </row>
    <row r="15">
      <c r="A15" s="16" t="n">
        <v>1</v>
      </c>
      <c r="B15" t="inlineStr">
        <is>
          <t>Tipo 08</t>
        </is>
      </c>
      <c r="C15" s="16" t="inlineStr">
        <is>
          <t>Tipo</t>
        </is>
      </c>
      <c r="D15" s="11">
        <f>Pavimentos!$E$15</f>
        <v/>
      </c>
      <c r="E15" s="11">
        <f>D15*Premissas!$B$21*Pavimentos!$F$15</f>
        <v/>
      </c>
      <c r="F15" s="20">
        <f>ROUND(IFERROR(Premissas!$B$18/(Premissas!$B$28*Premissas!$B$15),0)*Premissas!$B$19,0)</f>
        <v/>
      </c>
      <c r="G15" s="20">
        <f>ROUND(IFERROR(Premissas!$B$18/(Premissas!$B$28*Premissas!$B$15),0)*Premissas!$B$19,0)</f>
        <v/>
      </c>
      <c r="H15" s="20">
        <f>ROUND(IFERROR(Premissas!$B$18/(Premissas!$B$28*Premissas!$B$15),0)*Premissas!$B$19,0)</f>
        <v/>
      </c>
      <c r="I15" s="20">
        <f>ROUND(IFERROR(Premissas!$B$18/(Premissas!$B$28*Premissas!$B$15),0),0)</f>
        <v/>
      </c>
      <c r="J15" s="20">
        <f>ROUND(IFERROR(Premissas!$B$18/(Premissas!$B$28*Premissas!$B$15),0),0)</f>
        <v/>
      </c>
    </row>
    <row r="16">
      <c r="A16" s="16" t="n">
        <v>1</v>
      </c>
      <c r="B16" t="inlineStr">
        <is>
          <t>Tipo 09</t>
        </is>
      </c>
      <c r="C16" s="16" t="inlineStr">
        <is>
          <t>Tipo</t>
        </is>
      </c>
      <c r="D16" s="11">
        <f>Pavimentos!$E$16</f>
        <v/>
      </c>
      <c r="E16" s="11">
        <f>D16*Premissas!$B$21*Pavimentos!$F$16</f>
        <v/>
      </c>
      <c r="F16" s="20">
        <f>ROUND(IFERROR(Premissas!$B$18/(Premissas!$B$28*Premissas!$B$15),0)*Premissas!$B$19,0)</f>
        <v/>
      </c>
      <c r="G16" s="20">
        <f>ROUND(IFERROR(Premissas!$B$18/(Premissas!$B$28*Premissas!$B$15),0)*Premissas!$B$19,0)</f>
        <v/>
      </c>
      <c r="H16" s="20">
        <f>ROUND(IFERROR(Premissas!$B$18/(Premissas!$B$28*Premissas!$B$15),0)*Premissas!$B$19,0)</f>
        <v/>
      </c>
      <c r="I16" s="20">
        <f>ROUND(IFERROR(Premissas!$B$18/(Premissas!$B$28*Premissas!$B$15),0),0)</f>
        <v/>
      </c>
      <c r="J16" s="20">
        <f>ROUND(IFERROR(Premissas!$B$18/(Premissas!$B$28*Premissas!$B$15),0),0)</f>
        <v/>
      </c>
    </row>
    <row r="17">
      <c r="A17" s="16" t="n">
        <v>1</v>
      </c>
      <c r="B17" t="inlineStr">
        <is>
          <t>Tipo 10</t>
        </is>
      </c>
      <c r="C17" s="16" t="inlineStr">
        <is>
          <t>Tipo</t>
        </is>
      </c>
      <c r="D17" s="11">
        <f>Pavimentos!$E$17</f>
        <v/>
      </c>
      <c r="E17" s="11">
        <f>D17*Premissas!$B$21*Pavimentos!$F$17</f>
        <v/>
      </c>
      <c r="F17" s="20">
        <f>ROUND(IFERROR(Premissas!$B$18/(Premissas!$B$28*Premissas!$B$15),0)*Premissas!$B$19,0)</f>
        <v/>
      </c>
      <c r="G17" s="20">
        <f>ROUND(IFERROR(Premissas!$B$18/(Premissas!$B$28*Premissas!$B$15),0)*Premissas!$B$19,0)</f>
        <v/>
      </c>
      <c r="H17" s="20">
        <f>ROUND(IFERROR(Premissas!$B$18/(Premissas!$B$28*Premissas!$B$15),0)*Premissas!$B$19,0)</f>
        <v/>
      </c>
      <c r="I17" s="20">
        <f>ROUND(IFERROR(Premissas!$B$18/(Premissas!$B$28*Premissas!$B$15),0),0)</f>
        <v/>
      </c>
      <c r="J17" s="20">
        <f>ROUND(IFERROR(Premissas!$B$18/(Premissas!$B$28*Premissas!$B$15),0),0)</f>
        <v/>
      </c>
    </row>
    <row r="18">
      <c r="A18" s="16" t="n">
        <v>1</v>
      </c>
      <c r="B18" t="inlineStr">
        <is>
          <t>Tipo 11</t>
        </is>
      </c>
      <c r="C18" s="16" t="inlineStr">
        <is>
          <t>Tipo</t>
        </is>
      </c>
      <c r="D18" s="11">
        <f>Pavimentos!$E$18</f>
        <v/>
      </c>
      <c r="E18" s="11">
        <f>D18*Premissas!$B$21*Pavimentos!$F$18</f>
        <v/>
      </c>
      <c r="F18" s="20">
        <f>ROUND(IFERROR(Premissas!$B$18/(Premissas!$B$28*Premissas!$B$15),0)*Premissas!$B$19,0)</f>
        <v/>
      </c>
      <c r="G18" s="20">
        <f>ROUND(IFERROR(Premissas!$B$18/(Premissas!$B$28*Premissas!$B$15),0)*Premissas!$B$19,0)</f>
        <v/>
      </c>
      <c r="H18" s="20">
        <f>ROUND(IFERROR(Premissas!$B$18/(Premissas!$B$28*Premissas!$B$15),0)*Premissas!$B$19,0)</f>
        <v/>
      </c>
      <c r="I18" s="20">
        <f>ROUND(IFERROR(Premissas!$B$18/(Premissas!$B$28*Premissas!$B$15),0),0)</f>
        <v/>
      </c>
      <c r="J18" s="20">
        <f>ROUND(IFERROR(Premissas!$B$18/(Premissas!$B$28*Premissas!$B$15),0),0)</f>
        <v/>
      </c>
    </row>
    <row r="19">
      <c r="A19" s="16" t="n">
        <v>1</v>
      </c>
      <c r="B19" t="inlineStr">
        <is>
          <t>Tipo 12</t>
        </is>
      </c>
      <c r="C19" s="16" t="inlineStr">
        <is>
          <t>Tipo</t>
        </is>
      </c>
      <c r="D19" s="11">
        <f>Pavimentos!$E$19</f>
        <v/>
      </c>
      <c r="E19" s="11">
        <f>D19*Premissas!$B$21*Pavimentos!$F$19</f>
        <v/>
      </c>
      <c r="F19" s="20">
        <f>ROUND(IFERROR(Premissas!$B$18/(Premissas!$B$28*Premissas!$B$15),0)*Premissas!$B$19,0)</f>
        <v/>
      </c>
      <c r="G19" s="20">
        <f>ROUND(IFERROR(Premissas!$B$18/(Premissas!$B$28*Premissas!$B$15),0)*Premissas!$B$19,0)</f>
        <v/>
      </c>
      <c r="H19" s="20">
        <f>ROUND(IFERROR(Premissas!$B$18/(Premissas!$B$28*Premissas!$B$15),0)*Premissas!$B$19,0)</f>
        <v/>
      </c>
      <c r="I19" s="20">
        <f>ROUND(IFERROR(Premissas!$B$18/(Premissas!$B$28*Premissas!$B$15),0),0)</f>
        <v/>
      </c>
      <c r="J19" s="20">
        <f>ROUND(IFERROR(Premissas!$B$18/(Premissas!$B$28*Premissas!$B$15),0),0)</f>
        <v/>
      </c>
    </row>
    <row r="20">
      <c r="A20" s="16" t="n">
        <v>1</v>
      </c>
      <c r="B20" t="inlineStr">
        <is>
          <t>Tipo 13</t>
        </is>
      </c>
      <c r="C20" s="16" t="inlineStr">
        <is>
          <t>Tipo</t>
        </is>
      </c>
      <c r="D20" s="11">
        <f>Pavimentos!$E$20</f>
        <v/>
      </c>
      <c r="E20" s="11">
        <f>D20*Premissas!$B$21*Pavimentos!$F$20</f>
        <v/>
      </c>
      <c r="F20" s="20">
        <f>ROUND(IFERROR(Premissas!$B$18/(Premissas!$B$28*Premissas!$B$15),0)*Premissas!$B$19,0)</f>
        <v/>
      </c>
      <c r="G20" s="20">
        <f>ROUND(IFERROR(Premissas!$B$18/(Premissas!$B$28*Premissas!$B$15),0)*Premissas!$B$19,0)</f>
        <v/>
      </c>
      <c r="H20" s="20">
        <f>ROUND(IFERROR(Premissas!$B$18/(Premissas!$B$28*Premissas!$B$15),0)*Premissas!$B$19,0)</f>
        <v/>
      </c>
      <c r="I20" s="20">
        <f>ROUND(IFERROR(Premissas!$B$18/(Premissas!$B$28*Premissas!$B$15),0),0)</f>
        <v/>
      </c>
      <c r="J20" s="20">
        <f>ROUND(IFERROR(Premissas!$B$18/(Premissas!$B$28*Premissas!$B$15),0),0)</f>
        <v/>
      </c>
    </row>
    <row r="21">
      <c r="A21" s="16" t="n">
        <v>1</v>
      </c>
      <c r="B21" t="inlineStr">
        <is>
          <t>Tipo 14</t>
        </is>
      </c>
      <c r="C21" s="16" t="inlineStr">
        <is>
          <t>Tipo</t>
        </is>
      </c>
      <c r="D21" s="11">
        <f>Pavimentos!$E$21</f>
        <v/>
      </c>
      <c r="E21" s="11">
        <f>D21*Premissas!$B$21*Pavimentos!$F$21</f>
        <v/>
      </c>
      <c r="F21" s="20">
        <f>ROUND(IFERROR(Premissas!$B$18/(Premissas!$B$28*Premissas!$B$15),0)*Premissas!$B$19,0)</f>
        <v/>
      </c>
      <c r="G21" s="20">
        <f>ROUND(IFERROR(Premissas!$B$18/(Premissas!$B$28*Premissas!$B$15),0)*Premissas!$B$19,0)</f>
        <v/>
      </c>
      <c r="H21" s="20">
        <f>ROUND(IFERROR(Premissas!$B$18/(Premissas!$B$28*Premissas!$B$15),0)*Premissas!$B$19,0)</f>
        <v/>
      </c>
      <c r="I21" s="20">
        <f>ROUND(IFERROR(Premissas!$B$18/(Premissas!$B$28*Premissas!$B$15),0),0)</f>
        <v/>
      </c>
      <c r="J21" s="20">
        <f>ROUND(IFERROR(Premissas!$B$18/(Premissas!$B$28*Premissas!$B$15),0),0)</f>
        <v/>
      </c>
    </row>
    <row r="22">
      <c r="A22" s="16" t="n">
        <v>1</v>
      </c>
      <c r="B22" t="inlineStr">
        <is>
          <t>Tipo 15</t>
        </is>
      </c>
      <c r="C22" s="16" t="inlineStr">
        <is>
          <t>Tipo</t>
        </is>
      </c>
      <c r="D22" s="11">
        <f>Pavimentos!$E$22</f>
        <v/>
      </c>
      <c r="E22" s="11">
        <f>D22*Premissas!$B$21*Pavimentos!$F$22</f>
        <v/>
      </c>
      <c r="F22" s="20">
        <f>ROUND(IFERROR(Premissas!$B$18/(Premissas!$B$28*Premissas!$B$15),0)*Premissas!$B$19,0)</f>
        <v/>
      </c>
      <c r="G22" s="20">
        <f>ROUND(IFERROR(Premissas!$B$18/(Premissas!$B$28*Premissas!$B$15),0)*Premissas!$B$19,0)</f>
        <v/>
      </c>
      <c r="H22" s="20">
        <f>ROUND(IFERROR(Premissas!$B$18/(Premissas!$B$28*Premissas!$B$15),0)*Premissas!$B$19,0)</f>
        <v/>
      </c>
      <c r="I22" s="20">
        <f>ROUND(IFERROR(Premissas!$B$18/(Premissas!$B$28*Premissas!$B$15),0),0)</f>
        <v/>
      </c>
      <c r="J22" s="20">
        <f>ROUND(IFERROR(Premissas!$B$18/(Premissas!$B$28*Premissas!$B$15),0),0)</f>
        <v/>
      </c>
    </row>
    <row r="23">
      <c r="A23" s="16" t="n">
        <v>1</v>
      </c>
      <c r="B23" t="inlineStr">
        <is>
          <t>Tipo 16</t>
        </is>
      </c>
      <c r="C23" s="16" t="inlineStr">
        <is>
          <t>Tipo</t>
        </is>
      </c>
      <c r="D23" s="11">
        <f>Pavimentos!$E$23</f>
        <v/>
      </c>
      <c r="E23" s="11">
        <f>D23*Premissas!$B$21*Pavimentos!$F$23</f>
        <v/>
      </c>
      <c r="F23" s="20">
        <f>ROUND(IFERROR(Premissas!$B$18/(Premissas!$B$28*Premissas!$B$15),0)*Premissas!$B$19,0)</f>
        <v/>
      </c>
      <c r="G23" s="20">
        <f>ROUND(IFERROR(Premissas!$B$18/(Premissas!$B$28*Premissas!$B$15),0)*Premissas!$B$19,0)</f>
        <v/>
      </c>
      <c r="H23" s="20">
        <f>ROUND(IFERROR(Premissas!$B$18/(Premissas!$B$28*Premissas!$B$15),0)*Premissas!$B$19,0)</f>
        <v/>
      </c>
      <c r="I23" s="20">
        <f>ROUND(IFERROR(Premissas!$B$18/(Premissas!$B$28*Premissas!$B$15),0),0)</f>
        <v/>
      </c>
      <c r="J23" s="20">
        <f>ROUND(IFERROR(Premissas!$B$18/(Premissas!$B$28*Premissas!$B$15),0),0)</f>
        <v/>
      </c>
    </row>
    <row r="24">
      <c r="A24" s="16" t="n">
        <v>1</v>
      </c>
      <c r="B24" t="inlineStr">
        <is>
          <t>Tipo 17</t>
        </is>
      </c>
      <c r="C24" s="16" t="inlineStr">
        <is>
          <t>Tipo</t>
        </is>
      </c>
      <c r="D24" s="11">
        <f>Pavimentos!$E$24</f>
        <v/>
      </c>
      <c r="E24" s="11">
        <f>D24*Premissas!$B$21*Pavimentos!$F$24</f>
        <v/>
      </c>
      <c r="F24" s="20">
        <f>ROUND(IFERROR(Premissas!$B$18/(Premissas!$B$28*Premissas!$B$15),0)*Premissas!$B$19,0)</f>
        <v/>
      </c>
      <c r="G24" s="20">
        <f>ROUND(IFERROR(Premissas!$B$18/(Premissas!$B$28*Premissas!$B$15),0)*Premissas!$B$19,0)</f>
        <v/>
      </c>
      <c r="H24" s="20">
        <f>ROUND(IFERROR(Premissas!$B$18/(Premissas!$B$28*Premissas!$B$15),0)*Premissas!$B$19,0)</f>
        <v/>
      </c>
      <c r="I24" s="20">
        <f>ROUND(IFERROR(Premissas!$B$18/(Premissas!$B$28*Premissas!$B$15),0),0)</f>
        <v/>
      </c>
      <c r="J24" s="20">
        <f>ROUND(IFERROR(Premissas!$B$18/(Premissas!$B$28*Premissas!$B$15),0),0)</f>
        <v/>
      </c>
    </row>
    <row r="25">
      <c r="A25" s="16" t="n">
        <v>1</v>
      </c>
      <c r="B25" t="inlineStr">
        <is>
          <t>Tipo 18</t>
        </is>
      </c>
      <c r="C25" s="16" t="inlineStr">
        <is>
          <t>Tipo</t>
        </is>
      </c>
      <c r="D25" s="11">
        <f>Pavimentos!$E$25</f>
        <v/>
      </c>
      <c r="E25" s="11">
        <f>D25*Premissas!$B$21*Pavimentos!$F$25</f>
        <v/>
      </c>
      <c r="F25" s="20">
        <f>ROUND(IFERROR(Premissas!$B$18/(Premissas!$B$28*Premissas!$B$15),0)*Premissas!$B$19,0)</f>
        <v/>
      </c>
      <c r="G25" s="20">
        <f>ROUND(IFERROR(Premissas!$B$18/(Premissas!$B$28*Premissas!$B$15),0)*Premissas!$B$19,0)</f>
        <v/>
      </c>
      <c r="H25" s="20">
        <f>ROUND(IFERROR(Premissas!$B$18/(Premissas!$B$28*Premissas!$B$15),0)*Premissas!$B$19,0)</f>
        <v/>
      </c>
      <c r="I25" s="20">
        <f>ROUND(IFERROR(Premissas!$B$18/(Premissas!$B$28*Premissas!$B$15),0),0)</f>
        <v/>
      </c>
      <c r="J25" s="20">
        <f>ROUND(IFERROR(Premissas!$B$18/(Premissas!$B$28*Premissas!$B$15),0),0)</f>
        <v/>
      </c>
    </row>
    <row r="26">
      <c r="A26" s="16" t="n">
        <v>1</v>
      </c>
      <c r="B26" t="inlineStr">
        <is>
          <t>Tipo 19</t>
        </is>
      </c>
      <c r="C26" s="16" t="inlineStr">
        <is>
          <t>Tipo</t>
        </is>
      </c>
      <c r="D26" s="11">
        <f>Pavimentos!$E$26</f>
        <v/>
      </c>
      <c r="E26" s="11">
        <f>D26*Premissas!$B$21*Pavimentos!$F$26</f>
        <v/>
      </c>
      <c r="F26" s="20">
        <f>ROUND(IFERROR(Premissas!$B$18/(Premissas!$B$28*Premissas!$B$15),0)*Premissas!$B$19,0)</f>
        <v/>
      </c>
      <c r="G26" s="20">
        <f>ROUND(IFERROR(Premissas!$B$18/(Premissas!$B$28*Premissas!$B$15),0)*Premissas!$B$19,0)</f>
        <v/>
      </c>
      <c r="H26" s="20">
        <f>ROUND(IFERROR(Premissas!$B$18/(Premissas!$B$28*Premissas!$B$15),0)*Premissas!$B$19,0)</f>
        <v/>
      </c>
      <c r="I26" s="20">
        <f>ROUND(IFERROR(Premissas!$B$18/(Premissas!$B$28*Premissas!$B$15),0),0)</f>
        <v/>
      </c>
      <c r="J26" s="20">
        <f>ROUND(IFERROR(Premissas!$B$18/(Premissas!$B$28*Premissas!$B$15),0),0)</f>
        <v/>
      </c>
    </row>
    <row r="27">
      <c r="A27" s="16" t="n">
        <v>1</v>
      </c>
      <c r="B27" t="inlineStr">
        <is>
          <t>Tipo 20</t>
        </is>
      </c>
      <c r="C27" s="16" t="inlineStr">
        <is>
          <t>Tipo</t>
        </is>
      </c>
      <c r="D27" s="11">
        <f>Pavimentos!$E$27</f>
        <v/>
      </c>
      <c r="E27" s="11">
        <f>D27*Premissas!$B$21*Pavimentos!$F$27</f>
        <v/>
      </c>
      <c r="F27" s="20">
        <f>ROUND(IFERROR(Premissas!$B$18/(Premissas!$B$28*Premissas!$B$15),0)*Premissas!$B$19,0)</f>
        <v/>
      </c>
      <c r="G27" s="20">
        <f>ROUND(IFERROR(Premissas!$B$18/(Premissas!$B$28*Premissas!$B$15),0)*Premissas!$B$19,0)</f>
        <v/>
      </c>
      <c r="H27" s="20">
        <f>ROUND(IFERROR(Premissas!$B$18/(Premissas!$B$28*Premissas!$B$15),0)*Premissas!$B$19,0)</f>
        <v/>
      </c>
      <c r="I27" s="20">
        <f>ROUND(IFERROR(Premissas!$B$18/(Premissas!$B$28*Premissas!$B$15),0),0)</f>
        <v/>
      </c>
      <c r="J27" s="20">
        <f>ROUND(IFERROR(Premissas!$B$18/(Premissas!$B$28*Premissas!$B$15),0),0)</f>
        <v/>
      </c>
    </row>
    <row r="28">
      <c r="A28" s="16" t="n">
        <v>1</v>
      </c>
      <c r="B28" t="inlineStr">
        <is>
          <t>Tipo 21</t>
        </is>
      </c>
      <c r="C28" s="16" t="inlineStr">
        <is>
          <t>Tipo</t>
        </is>
      </c>
      <c r="D28" s="11">
        <f>Pavimentos!$E$28</f>
        <v/>
      </c>
      <c r="E28" s="11">
        <f>D28*Premissas!$B$21*Pavimentos!$F$28</f>
        <v/>
      </c>
      <c r="F28" s="20">
        <f>ROUND(IFERROR(Premissas!$B$18/(Premissas!$B$28*Premissas!$B$15),0)*Premissas!$B$19,0)</f>
        <v/>
      </c>
      <c r="G28" s="20">
        <f>ROUND(IFERROR(Premissas!$B$18/(Premissas!$B$28*Premissas!$B$15),0)*Premissas!$B$19,0)</f>
        <v/>
      </c>
      <c r="H28" s="20">
        <f>ROUND(IFERROR(Premissas!$B$18/(Premissas!$B$28*Premissas!$B$15),0)*Premissas!$B$19,0)</f>
        <v/>
      </c>
      <c r="I28" s="20">
        <f>ROUND(IFERROR(Premissas!$B$18/(Premissas!$B$28*Premissas!$B$15),0),0)</f>
        <v/>
      </c>
      <c r="J28" s="20">
        <f>ROUND(IFERROR(Premissas!$B$18/(Premissas!$B$28*Premissas!$B$15),0),0)</f>
        <v/>
      </c>
    </row>
    <row r="29">
      <c r="A29" s="16" t="n">
        <v>1</v>
      </c>
      <c r="B29" t="inlineStr">
        <is>
          <t>Tipo 22</t>
        </is>
      </c>
      <c r="C29" s="16" t="inlineStr">
        <is>
          <t>Tipo</t>
        </is>
      </c>
      <c r="D29" s="11">
        <f>Pavimentos!$E$29</f>
        <v/>
      </c>
      <c r="E29" s="11">
        <f>D29*Premissas!$B$21*Pavimentos!$F$29</f>
        <v/>
      </c>
      <c r="F29" s="20">
        <f>ROUND(IFERROR(Premissas!$B$18/(Premissas!$B$28*Premissas!$B$15),0)*Premissas!$B$19,0)</f>
        <v/>
      </c>
      <c r="G29" s="20">
        <f>ROUND(IFERROR(Premissas!$B$18/(Premissas!$B$28*Premissas!$B$15),0)*Premissas!$B$19,0)</f>
        <v/>
      </c>
      <c r="H29" s="20">
        <f>ROUND(IFERROR(Premissas!$B$18/(Premissas!$B$28*Premissas!$B$15),0)*Premissas!$B$19,0)</f>
        <v/>
      </c>
      <c r="I29" s="20">
        <f>ROUND(IFERROR(Premissas!$B$18/(Premissas!$B$28*Premissas!$B$15),0),0)</f>
        <v/>
      </c>
      <c r="J29" s="20">
        <f>ROUND(IFERROR(Premissas!$B$18/(Premissas!$B$28*Premissas!$B$15),0),0)</f>
        <v/>
      </c>
    </row>
    <row r="30">
      <c r="A30" s="16" t="n">
        <v>1</v>
      </c>
      <c r="B30" t="inlineStr">
        <is>
          <t>Tipo 23</t>
        </is>
      </c>
      <c r="C30" s="16" t="inlineStr">
        <is>
          <t>Tipo</t>
        </is>
      </c>
      <c r="D30" s="11">
        <f>Pavimentos!$E$30</f>
        <v/>
      </c>
      <c r="E30" s="11">
        <f>D30*Premissas!$B$21*Pavimentos!$F$30</f>
        <v/>
      </c>
      <c r="F30" s="20">
        <f>ROUND(IFERROR(Premissas!$B$18/(Premissas!$B$28*Premissas!$B$15),0)*Premissas!$B$19,0)</f>
        <v/>
      </c>
      <c r="G30" s="20">
        <f>ROUND(IFERROR(Premissas!$B$18/(Premissas!$B$28*Premissas!$B$15),0)*Premissas!$B$19,0)</f>
        <v/>
      </c>
      <c r="H30" s="20">
        <f>ROUND(IFERROR(Premissas!$B$18/(Premissas!$B$28*Premissas!$B$15),0)*Premissas!$B$19,0)</f>
        <v/>
      </c>
      <c r="I30" s="20">
        <f>ROUND(IFERROR(Premissas!$B$18/(Premissas!$B$28*Premissas!$B$15),0),0)</f>
        <v/>
      </c>
      <c r="J30" s="20">
        <f>ROUND(IFERROR(Premissas!$B$18/(Premissas!$B$28*Premissas!$B$15),0),0)</f>
        <v/>
      </c>
    </row>
    <row r="31">
      <c r="A31" s="16" t="n">
        <v>1</v>
      </c>
      <c r="B31" t="inlineStr">
        <is>
          <t>Tipo 24</t>
        </is>
      </c>
      <c r="C31" s="16" t="inlineStr">
        <is>
          <t>Tipo</t>
        </is>
      </c>
      <c r="D31" s="11">
        <f>Pavimentos!$E$31</f>
        <v/>
      </c>
      <c r="E31" s="11">
        <f>D31*Premissas!$B$21*Pavimentos!$F$31</f>
        <v/>
      </c>
      <c r="F31" s="20">
        <f>ROUND(IFERROR(Premissas!$B$18/(Premissas!$B$28*Premissas!$B$15),0)*Premissas!$B$19,0)</f>
        <v/>
      </c>
      <c r="G31" s="20">
        <f>ROUND(IFERROR(Premissas!$B$18/(Premissas!$B$28*Premissas!$B$15),0)*Premissas!$B$19,0)</f>
        <v/>
      </c>
      <c r="H31" s="20">
        <f>ROUND(IFERROR(Premissas!$B$18/(Premissas!$B$28*Premissas!$B$15),0)*Premissas!$B$19,0)</f>
        <v/>
      </c>
      <c r="I31" s="20">
        <f>ROUND(IFERROR(Premissas!$B$18/(Premissas!$B$28*Premissas!$B$15),0),0)</f>
        <v/>
      </c>
      <c r="J31" s="20">
        <f>ROUND(IFERROR(Premissas!$B$18/(Premissas!$B$28*Premissas!$B$15),0),0)</f>
        <v/>
      </c>
    </row>
    <row r="32">
      <c r="A32" s="16" t="n">
        <v>1</v>
      </c>
      <c r="B32" t="inlineStr">
        <is>
          <t>Técnico 1</t>
        </is>
      </c>
      <c r="C32" s="16" t="inlineStr">
        <is>
          <t>Técnico</t>
        </is>
      </c>
      <c r="D32" s="11">
        <f>Pavimentos!$E$32</f>
        <v/>
      </c>
      <c r="E32" s="11">
        <f>D32*Premissas!$B$21*Pavimentos!$F$32</f>
        <v/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</row>
    <row r="33">
      <c r="A33" s="16" t="n">
        <v>1</v>
      </c>
      <c r="B33" t="inlineStr">
        <is>
          <t>Técnico 2</t>
        </is>
      </c>
      <c r="C33" s="16" t="inlineStr">
        <is>
          <t>Técnico</t>
        </is>
      </c>
      <c r="D33" s="11">
        <f>Pavimentos!$E$33</f>
        <v/>
      </c>
      <c r="E33" s="11">
        <f>D33*Premissas!$B$21*Pavimentos!$F$33</f>
        <v/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</row>
    <row r="34">
      <c r="A34" s="16" t="n">
        <v>2</v>
      </c>
      <c r="B34" t="inlineStr">
        <is>
          <t>Subsolo 1</t>
        </is>
      </c>
      <c r="C34" s="16" t="inlineStr">
        <is>
          <t>Subsolo</t>
        </is>
      </c>
      <c r="D34" s="11">
        <f>Pavimentos!$E$34</f>
        <v/>
      </c>
      <c r="E34" s="11">
        <f>D34*Premissas!$B$21*Pavimentos!$F$34</f>
        <v/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</row>
    <row r="35">
      <c r="A35" s="16" t="n">
        <v>2</v>
      </c>
      <c r="B35" t="inlineStr">
        <is>
          <t>Subsolo 2</t>
        </is>
      </c>
      <c r="C35" s="16" t="inlineStr">
        <is>
          <t>Subsolo</t>
        </is>
      </c>
      <c r="D35" s="11">
        <f>Pavimentos!$E$35</f>
        <v/>
      </c>
      <c r="E35" s="11">
        <f>D35*Premissas!$B$21*Pavimentos!$F$35</f>
        <v/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</row>
    <row r="36">
      <c r="A36" s="16" t="n">
        <v>2</v>
      </c>
      <c r="B36" t="inlineStr">
        <is>
          <t>Térreo</t>
        </is>
      </c>
      <c r="C36" s="16" t="inlineStr">
        <is>
          <t>Térreo</t>
        </is>
      </c>
      <c r="D36" s="11">
        <f>Pavimentos!$E$36</f>
        <v/>
      </c>
      <c r="E36" s="11">
        <f>D36*Premissas!$B$21*Pavimentos!$F$36</f>
        <v/>
      </c>
      <c r="F36" s="20" t="n">
        <v>3</v>
      </c>
      <c r="G36" s="20" t="n">
        <v>3</v>
      </c>
      <c r="H36" s="20" t="n">
        <v>0</v>
      </c>
      <c r="I36" s="20" t="n">
        <v>1</v>
      </c>
      <c r="J36" s="20" t="n">
        <v>0</v>
      </c>
    </row>
    <row r="37">
      <c r="A37" s="16" t="n">
        <v>2</v>
      </c>
      <c r="B37" t="inlineStr">
        <is>
          <t>Lazer</t>
        </is>
      </c>
      <c r="C37" s="16" t="inlineStr">
        <is>
          <t>Lazer</t>
        </is>
      </c>
      <c r="D37" s="11">
        <f>Pavimentos!$E$37</f>
        <v/>
      </c>
      <c r="E37" s="11">
        <f>D37*Premissas!$B$21*Pavimentos!$F$37</f>
        <v/>
      </c>
      <c r="F37" s="20" t="n">
        <v>6</v>
      </c>
      <c r="G37" s="20" t="n">
        <v>6</v>
      </c>
      <c r="H37" s="20" t="n">
        <v>4</v>
      </c>
      <c r="I37" s="20" t="n">
        <v>2</v>
      </c>
      <c r="J37" s="20" t="n">
        <v>0</v>
      </c>
    </row>
    <row r="38">
      <c r="A38" s="16" t="n">
        <v>2</v>
      </c>
      <c r="B38" t="inlineStr">
        <is>
          <t>Tipo 01</t>
        </is>
      </c>
      <c r="C38" s="16" t="inlineStr">
        <is>
          <t>Tipo</t>
        </is>
      </c>
      <c r="D38" s="11">
        <f>Pavimentos!$E$38</f>
        <v/>
      </c>
      <c r="E38" s="11">
        <f>D38*Premissas!$B$21*Pavimentos!$F$38</f>
        <v/>
      </c>
      <c r="F38" s="20">
        <f>ROUND(IFERROR(Premissas!$B$18/(Premissas!$B$28*Premissas!$B$15),0)*Premissas!$B$19,0)</f>
        <v/>
      </c>
      <c r="G38" s="20">
        <f>ROUND(IFERROR(Premissas!$B$18/(Premissas!$B$28*Premissas!$B$15),0)*Premissas!$B$19,0)</f>
        <v/>
      </c>
      <c r="H38" s="20">
        <f>ROUND(IFERROR(Premissas!$B$18/(Premissas!$B$28*Premissas!$B$15),0)*Premissas!$B$19,0)</f>
        <v/>
      </c>
      <c r="I38" s="20">
        <f>ROUND(IFERROR(Premissas!$B$18/(Premissas!$B$28*Premissas!$B$15),0),0)</f>
        <v/>
      </c>
      <c r="J38" s="20">
        <f>ROUND(IFERROR(Premissas!$B$18/(Premissas!$B$28*Premissas!$B$15),0),0)</f>
        <v/>
      </c>
    </row>
    <row r="39">
      <c r="A39" s="16" t="n">
        <v>2</v>
      </c>
      <c r="B39" t="inlineStr">
        <is>
          <t>Tipo 02</t>
        </is>
      </c>
      <c r="C39" s="16" t="inlineStr">
        <is>
          <t>Tipo</t>
        </is>
      </c>
      <c r="D39" s="11">
        <f>Pavimentos!$E$39</f>
        <v/>
      </c>
      <c r="E39" s="11">
        <f>D39*Premissas!$B$21*Pavimentos!$F$39</f>
        <v/>
      </c>
      <c r="F39" s="20">
        <f>ROUND(IFERROR(Premissas!$B$18/(Premissas!$B$28*Premissas!$B$15),0)*Premissas!$B$19,0)</f>
        <v/>
      </c>
      <c r="G39" s="20">
        <f>ROUND(IFERROR(Premissas!$B$18/(Premissas!$B$28*Premissas!$B$15),0)*Premissas!$B$19,0)</f>
        <v/>
      </c>
      <c r="H39" s="20">
        <f>ROUND(IFERROR(Premissas!$B$18/(Premissas!$B$28*Premissas!$B$15),0)*Premissas!$B$19,0)</f>
        <v/>
      </c>
      <c r="I39" s="20">
        <f>ROUND(IFERROR(Premissas!$B$18/(Premissas!$B$28*Premissas!$B$15),0),0)</f>
        <v/>
      </c>
      <c r="J39" s="20">
        <f>ROUND(IFERROR(Premissas!$B$18/(Premissas!$B$28*Premissas!$B$15),0),0)</f>
        <v/>
      </c>
    </row>
    <row r="40">
      <c r="A40" s="16" t="n">
        <v>2</v>
      </c>
      <c r="B40" t="inlineStr">
        <is>
          <t>Tipo 03</t>
        </is>
      </c>
      <c r="C40" s="16" t="inlineStr">
        <is>
          <t>Tipo</t>
        </is>
      </c>
      <c r="D40" s="11">
        <f>Pavimentos!$E$40</f>
        <v/>
      </c>
      <c r="E40" s="11">
        <f>D40*Premissas!$B$21*Pavimentos!$F$40</f>
        <v/>
      </c>
      <c r="F40" s="20">
        <f>ROUND(IFERROR(Premissas!$B$18/(Premissas!$B$28*Premissas!$B$15),0)*Premissas!$B$19,0)</f>
        <v/>
      </c>
      <c r="G40" s="20">
        <f>ROUND(IFERROR(Premissas!$B$18/(Premissas!$B$28*Premissas!$B$15),0)*Premissas!$B$19,0)</f>
        <v/>
      </c>
      <c r="H40" s="20">
        <f>ROUND(IFERROR(Premissas!$B$18/(Premissas!$B$28*Premissas!$B$15),0)*Premissas!$B$19,0)</f>
        <v/>
      </c>
      <c r="I40" s="20">
        <f>ROUND(IFERROR(Premissas!$B$18/(Premissas!$B$28*Premissas!$B$15),0),0)</f>
        <v/>
      </c>
      <c r="J40" s="20">
        <f>ROUND(IFERROR(Premissas!$B$18/(Premissas!$B$28*Premissas!$B$15),0),0)</f>
        <v/>
      </c>
    </row>
    <row r="41">
      <c r="A41" s="16" t="n">
        <v>2</v>
      </c>
      <c r="B41" t="inlineStr">
        <is>
          <t>Tipo 04</t>
        </is>
      </c>
      <c r="C41" s="16" t="inlineStr">
        <is>
          <t>Tipo</t>
        </is>
      </c>
      <c r="D41" s="11">
        <f>Pavimentos!$E$41</f>
        <v/>
      </c>
      <c r="E41" s="11">
        <f>D41*Premissas!$B$21*Pavimentos!$F$41</f>
        <v/>
      </c>
      <c r="F41" s="20">
        <f>ROUND(IFERROR(Premissas!$B$18/(Premissas!$B$28*Premissas!$B$15),0)*Premissas!$B$19,0)</f>
        <v/>
      </c>
      <c r="G41" s="20">
        <f>ROUND(IFERROR(Premissas!$B$18/(Premissas!$B$28*Premissas!$B$15),0)*Premissas!$B$19,0)</f>
        <v/>
      </c>
      <c r="H41" s="20">
        <f>ROUND(IFERROR(Premissas!$B$18/(Premissas!$B$28*Premissas!$B$15),0)*Premissas!$B$19,0)</f>
        <v/>
      </c>
      <c r="I41" s="20">
        <f>ROUND(IFERROR(Premissas!$B$18/(Premissas!$B$28*Premissas!$B$15),0),0)</f>
        <v/>
      </c>
      <c r="J41" s="20">
        <f>ROUND(IFERROR(Premissas!$B$18/(Premissas!$B$28*Premissas!$B$15),0),0)</f>
        <v/>
      </c>
    </row>
    <row r="42">
      <c r="A42" s="16" t="n">
        <v>2</v>
      </c>
      <c r="B42" t="inlineStr">
        <is>
          <t>Tipo 05</t>
        </is>
      </c>
      <c r="C42" s="16" t="inlineStr">
        <is>
          <t>Tipo</t>
        </is>
      </c>
      <c r="D42" s="11">
        <f>Pavimentos!$E$42</f>
        <v/>
      </c>
      <c r="E42" s="11">
        <f>D42*Premissas!$B$21*Pavimentos!$F$42</f>
        <v/>
      </c>
      <c r="F42" s="20">
        <f>ROUND(IFERROR(Premissas!$B$18/(Premissas!$B$28*Premissas!$B$15),0)*Premissas!$B$19,0)</f>
        <v/>
      </c>
      <c r="G42" s="20">
        <f>ROUND(IFERROR(Premissas!$B$18/(Premissas!$B$28*Premissas!$B$15),0)*Premissas!$B$19,0)</f>
        <v/>
      </c>
      <c r="H42" s="20">
        <f>ROUND(IFERROR(Premissas!$B$18/(Premissas!$B$28*Premissas!$B$15),0)*Premissas!$B$19,0)</f>
        <v/>
      </c>
      <c r="I42" s="20">
        <f>ROUND(IFERROR(Premissas!$B$18/(Premissas!$B$28*Premissas!$B$15),0),0)</f>
        <v/>
      </c>
      <c r="J42" s="20">
        <f>ROUND(IFERROR(Premissas!$B$18/(Premissas!$B$28*Premissas!$B$15),0),0)</f>
        <v/>
      </c>
    </row>
    <row r="43">
      <c r="A43" s="16" t="n">
        <v>2</v>
      </c>
      <c r="B43" t="inlineStr">
        <is>
          <t>Tipo 06</t>
        </is>
      </c>
      <c r="C43" s="16" t="inlineStr">
        <is>
          <t>Tipo</t>
        </is>
      </c>
      <c r="D43" s="11">
        <f>Pavimentos!$E$43</f>
        <v/>
      </c>
      <c r="E43" s="11">
        <f>D43*Premissas!$B$21*Pavimentos!$F$43</f>
        <v/>
      </c>
      <c r="F43" s="20">
        <f>ROUND(IFERROR(Premissas!$B$18/(Premissas!$B$28*Premissas!$B$15),0)*Premissas!$B$19,0)</f>
        <v/>
      </c>
      <c r="G43" s="20">
        <f>ROUND(IFERROR(Premissas!$B$18/(Premissas!$B$28*Premissas!$B$15),0)*Premissas!$B$19,0)</f>
        <v/>
      </c>
      <c r="H43" s="20">
        <f>ROUND(IFERROR(Premissas!$B$18/(Premissas!$B$28*Premissas!$B$15),0)*Premissas!$B$19,0)</f>
        <v/>
      </c>
      <c r="I43" s="20">
        <f>ROUND(IFERROR(Premissas!$B$18/(Premissas!$B$28*Premissas!$B$15),0),0)</f>
        <v/>
      </c>
      <c r="J43" s="20">
        <f>ROUND(IFERROR(Premissas!$B$18/(Premissas!$B$28*Premissas!$B$15),0),0)</f>
        <v/>
      </c>
    </row>
    <row r="44">
      <c r="A44" s="16" t="n">
        <v>2</v>
      </c>
      <c r="B44" t="inlineStr">
        <is>
          <t>Tipo 07</t>
        </is>
      </c>
      <c r="C44" s="16" t="inlineStr">
        <is>
          <t>Tipo</t>
        </is>
      </c>
      <c r="D44" s="11">
        <f>Pavimentos!$E$44</f>
        <v/>
      </c>
      <c r="E44" s="11">
        <f>D44*Premissas!$B$21*Pavimentos!$F$44</f>
        <v/>
      </c>
      <c r="F44" s="20">
        <f>ROUND(IFERROR(Premissas!$B$18/(Premissas!$B$28*Premissas!$B$15),0)*Premissas!$B$19,0)</f>
        <v/>
      </c>
      <c r="G44" s="20">
        <f>ROUND(IFERROR(Premissas!$B$18/(Premissas!$B$28*Premissas!$B$15),0)*Premissas!$B$19,0)</f>
        <v/>
      </c>
      <c r="H44" s="20">
        <f>ROUND(IFERROR(Premissas!$B$18/(Premissas!$B$28*Premissas!$B$15),0)*Premissas!$B$19,0)</f>
        <v/>
      </c>
      <c r="I44" s="20">
        <f>ROUND(IFERROR(Premissas!$B$18/(Premissas!$B$28*Premissas!$B$15),0),0)</f>
        <v/>
      </c>
      <c r="J44" s="20">
        <f>ROUND(IFERROR(Premissas!$B$18/(Premissas!$B$28*Premissas!$B$15),0),0)</f>
        <v/>
      </c>
    </row>
    <row r="45">
      <c r="A45" s="16" t="n">
        <v>2</v>
      </c>
      <c r="B45" t="inlineStr">
        <is>
          <t>Tipo 08</t>
        </is>
      </c>
      <c r="C45" s="16" t="inlineStr">
        <is>
          <t>Tipo</t>
        </is>
      </c>
      <c r="D45" s="11">
        <f>Pavimentos!$E$45</f>
        <v/>
      </c>
      <c r="E45" s="11">
        <f>D45*Premissas!$B$21*Pavimentos!$F$45</f>
        <v/>
      </c>
      <c r="F45" s="20">
        <f>ROUND(IFERROR(Premissas!$B$18/(Premissas!$B$28*Premissas!$B$15),0)*Premissas!$B$19,0)</f>
        <v/>
      </c>
      <c r="G45" s="20">
        <f>ROUND(IFERROR(Premissas!$B$18/(Premissas!$B$28*Premissas!$B$15),0)*Premissas!$B$19,0)</f>
        <v/>
      </c>
      <c r="H45" s="20">
        <f>ROUND(IFERROR(Premissas!$B$18/(Premissas!$B$28*Premissas!$B$15),0)*Premissas!$B$19,0)</f>
        <v/>
      </c>
      <c r="I45" s="20">
        <f>ROUND(IFERROR(Premissas!$B$18/(Premissas!$B$28*Premissas!$B$15),0),0)</f>
        <v/>
      </c>
      <c r="J45" s="20">
        <f>ROUND(IFERROR(Premissas!$B$18/(Premissas!$B$28*Premissas!$B$15),0),0)</f>
        <v/>
      </c>
    </row>
    <row r="46">
      <c r="A46" s="16" t="n">
        <v>2</v>
      </c>
      <c r="B46" t="inlineStr">
        <is>
          <t>Tipo 09</t>
        </is>
      </c>
      <c r="C46" s="16" t="inlineStr">
        <is>
          <t>Tipo</t>
        </is>
      </c>
      <c r="D46" s="11">
        <f>Pavimentos!$E$46</f>
        <v/>
      </c>
      <c r="E46" s="11">
        <f>D46*Premissas!$B$21*Pavimentos!$F$46</f>
        <v/>
      </c>
      <c r="F46" s="20">
        <f>ROUND(IFERROR(Premissas!$B$18/(Premissas!$B$28*Premissas!$B$15),0)*Premissas!$B$19,0)</f>
        <v/>
      </c>
      <c r="G46" s="20">
        <f>ROUND(IFERROR(Premissas!$B$18/(Premissas!$B$28*Premissas!$B$15),0)*Premissas!$B$19,0)</f>
        <v/>
      </c>
      <c r="H46" s="20">
        <f>ROUND(IFERROR(Premissas!$B$18/(Premissas!$B$28*Premissas!$B$15),0)*Premissas!$B$19,0)</f>
        <v/>
      </c>
      <c r="I46" s="20">
        <f>ROUND(IFERROR(Premissas!$B$18/(Premissas!$B$28*Premissas!$B$15),0),0)</f>
        <v/>
      </c>
      <c r="J46" s="20">
        <f>ROUND(IFERROR(Premissas!$B$18/(Premissas!$B$28*Premissas!$B$15),0),0)</f>
        <v/>
      </c>
    </row>
    <row r="47">
      <c r="A47" s="16" t="n">
        <v>2</v>
      </c>
      <c r="B47" t="inlineStr">
        <is>
          <t>Tipo 10</t>
        </is>
      </c>
      <c r="C47" s="16" t="inlineStr">
        <is>
          <t>Tipo</t>
        </is>
      </c>
      <c r="D47" s="11">
        <f>Pavimentos!$E$47</f>
        <v/>
      </c>
      <c r="E47" s="11">
        <f>D47*Premissas!$B$21*Pavimentos!$F$47</f>
        <v/>
      </c>
      <c r="F47" s="20">
        <f>ROUND(IFERROR(Premissas!$B$18/(Premissas!$B$28*Premissas!$B$15),0)*Premissas!$B$19,0)</f>
        <v/>
      </c>
      <c r="G47" s="20">
        <f>ROUND(IFERROR(Premissas!$B$18/(Premissas!$B$28*Premissas!$B$15),0)*Premissas!$B$19,0)</f>
        <v/>
      </c>
      <c r="H47" s="20">
        <f>ROUND(IFERROR(Premissas!$B$18/(Premissas!$B$28*Premissas!$B$15),0)*Premissas!$B$19,0)</f>
        <v/>
      </c>
      <c r="I47" s="20">
        <f>ROUND(IFERROR(Premissas!$B$18/(Premissas!$B$28*Premissas!$B$15),0),0)</f>
        <v/>
      </c>
      <c r="J47" s="20">
        <f>ROUND(IFERROR(Premissas!$B$18/(Premissas!$B$28*Premissas!$B$15),0),0)</f>
        <v/>
      </c>
    </row>
    <row r="48">
      <c r="A48" s="16" t="n">
        <v>2</v>
      </c>
      <c r="B48" t="inlineStr">
        <is>
          <t>Tipo 11</t>
        </is>
      </c>
      <c r="C48" s="16" t="inlineStr">
        <is>
          <t>Tipo</t>
        </is>
      </c>
      <c r="D48" s="11">
        <f>Pavimentos!$E$48</f>
        <v/>
      </c>
      <c r="E48" s="11">
        <f>D48*Premissas!$B$21*Pavimentos!$F$48</f>
        <v/>
      </c>
      <c r="F48" s="20">
        <f>ROUND(IFERROR(Premissas!$B$18/(Premissas!$B$28*Premissas!$B$15),0)*Premissas!$B$19,0)</f>
        <v/>
      </c>
      <c r="G48" s="20">
        <f>ROUND(IFERROR(Premissas!$B$18/(Premissas!$B$28*Premissas!$B$15),0)*Premissas!$B$19,0)</f>
        <v/>
      </c>
      <c r="H48" s="20">
        <f>ROUND(IFERROR(Premissas!$B$18/(Premissas!$B$28*Premissas!$B$15),0)*Premissas!$B$19,0)</f>
        <v/>
      </c>
      <c r="I48" s="20">
        <f>ROUND(IFERROR(Premissas!$B$18/(Premissas!$B$28*Premissas!$B$15),0),0)</f>
        <v/>
      </c>
      <c r="J48" s="20">
        <f>ROUND(IFERROR(Premissas!$B$18/(Premissas!$B$28*Premissas!$B$15),0),0)</f>
        <v/>
      </c>
    </row>
    <row r="49">
      <c r="A49" s="16" t="n">
        <v>2</v>
      </c>
      <c r="B49" t="inlineStr">
        <is>
          <t>Tipo 12</t>
        </is>
      </c>
      <c r="C49" s="16" t="inlineStr">
        <is>
          <t>Tipo</t>
        </is>
      </c>
      <c r="D49" s="11">
        <f>Pavimentos!$E$49</f>
        <v/>
      </c>
      <c r="E49" s="11">
        <f>D49*Premissas!$B$21*Pavimentos!$F$49</f>
        <v/>
      </c>
      <c r="F49" s="20">
        <f>ROUND(IFERROR(Premissas!$B$18/(Premissas!$B$28*Premissas!$B$15),0)*Premissas!$B$19,0)</f>
        <v/>
      </c>
      <c r="G49" s="20">
        <f>ROUND(IFERROR(Premissas!$B$18/(Premissas!$B$28*Premissas!$B$15),0)*Premissas!$B$19,0)</f>
        <v/>
      </c>
      <c r="H49" s="20">
        <f>ROUND(IFERROR(Premissas!$B$18/(Premissas!$B$28*Premissas!$B$15),0)*Premissas!$B$19,0)</f>
        <v/>
      </c>
      <c r="I49" s="20">
        <f>ROUND(IFERROR(Premissas!$B$18/(Premissas!$B$28*Premissas!$B$15),0),0)</f>
        <v/>
      </c>
      <c r="J49" s="20">
        <f>ROUND(IFERROR(Premissas!$B$18/(Premissas!$B$28*Premissas!$B$15),0),0)</f>
        <v/>
      </c>
    </row>
    <row r="50">
      <c r="A50" s="16" t="n">
        <v>2</v>
      </c>
      <c r="B50" t="inlineStr">
        <is>
          <t>Tipo 13</t>
        </is>
      </c>
      <c r="C50" s="16" t="inlineStr">
        <is>
          <t>Tipo</t>
        </is>
      </c>
      <c r="D50" s="11">
        <f>Pavimentos!$E$50</f>
        <v/>
      </c>
      <c r="E50" s="11">
        <f>D50*Premissas!$B$21*Pavimentos!$F$50</f>
        <v/>
      </c>
      <c r="F50" s="20">
        <f>ROUND(IFERROR(Premissas!$B$18/(Premissas!$B$28*Premissas!$B$15),0)*Premissas!$B$19,0)</f>
        <v/>
      </c>
      <c r="G50" s="20">
        <f>ROUND(IFERROR(Premissas!$B$18/(Premissas!$B$28*Premissas!$B$15),0)*Premissas!$B$19,0)</f>
        <v/>
      </c>
      <c r="H50" s="20">
        <f>ROUND(IFERROR(Premissas!$B$18/(Premissas!$B$28*Premissas!$B$15),0)*Premissas!$B$19,0)</f>
        <v/>
      </c>
      <c r="I50" s="20">
        <f>ROUND(IFERROR(Premissas!$B$18/(Premissas!$B$28*Premissas!$B$15),0),0)</f>
        <v/>
      </c>
      <c r="J50" s="20">
        <f>ROUND(IFERROR(Premissas!$B$18/(Premissas!$B$28*Premissas!$B$15),0),0)</f>
        <v/>
      </c>
    </row>
    <row r="51">
      <c r="A51" s="16" t="n">
        <v>2</v>
      </c>
      <c r="B51" t="inlineStr">
        <is>
          <t>Tipo 14</t>
        </is>
      </c>
      <c r="C51" s="16" t="inlineStr">
        <is>
          <t>Tipo</t>
        </is>
      </c>
      <c r="D51" s="11">
        <f>Pavimentos!$E$51</f>
        <v/>
      </c>
      <c r="E51" s="11">
        <f>D51*Premissas!$B$21*Pavimentos!$F$51</f>
        <v/>
      </c>
      <c r="F51" s="20">
        <f>ROUND(IFERROR(Premissas!$B$18/(Premissas!$B$28*Premissas!$B$15),0)*Premissas!$B$19,0)</f>
        <v/>
      </c>
      <c r="G51" s="20">
        <f>ROUND(IFERROR(Premissas!$B$18/(Premissas!$B$28*Premissas!$B$15),0)*Premissas!$B$19,0)</f>
        <v/>
      </c>
      <c r="H51" s="20">
        <f>ROUND(IFERROR(Premissas!$B$18/(Premissas!$B$28*Premissas!$B$15),0)*Premissas!$B$19,0)</f>
        <v/>
      </c>
      <c r="I51" s="20">
        <f>ROUND(IFERROR(Premissas!$B$18/(Premissas!$B$28*Premissas!$B$15),0),0)</f>
        <v/>
      </c>
      <c r="J51" s="20">
        <f>ROUND(IFERROR(Premissas!$B$18/(Premissas!$B$28*Premissas!$B$15),0),0)</f>
        <v/>
      </c>
    </row>
    <row r="52">
      <c r="A52" s="16" t="n">
        <v>2</v>
      </c>
      <c r="B52" t="inlineStr">
        <is>
          <t>Tipo 15</t>
        </is>
      </c>
      <c r="C52" s="16" t="inlineStr">
        <is>
          <t>Tipo</t>
        </is>
      </c>
      <c r="D52" s="11">
        <f>Pavimentos!$E$52</f>
        <v/>
      </c>
      <c r="E52" s="11">
        <f>D52*Premissas!$B$21*Pavimentos!$F$52</f>
        <v/>
      </c>
      <c r="F52" s="20">
        <f>ROUND(IFERROR(Premissas!$B$18/(Premissas!$B$28*Premissas!$B$15),0)*Premissas!$B$19,0)</f>
        <v/>
      </c>
      <c r="G52" s="20">
        <f>ROUND(IFERROR(Premissas!$B$18/(Premissas!$B$28*Premissas!$B$15),0)*Premissas!$B$19,0)</f>
        <v/>
      </c>
      <c r="H52" s="20">
        <f>ROUND(IFERROR(Premissas!$B$18/(Premissas!$B$28*Premissas!$B$15),0)*Premissas!$B$19,0)</f>
        <v/>
      </c>
      <c r="I52" s="20">
        <f>ROUND(IFERROR(Premissas!$B$18/(Premissas!$B$28*Premissas!$B$15),0),0)</f>
        <v/>
      </c>
      <c r="J52" s="20">
        <f>ROUND(IFERROR(Premissas!$B$18/(Premissas!$B$28*Premissas!$B$15),0),0)</f>
        <v/>
      </c>
    </row>
    <row r="53">
      <c r="A53" s="16" t="n">
        <v>2</v>
      </c>
      <c r="B53" t="inlineStr">
        <is>
          <t>Tipo 16</t>
        </is>
      </c>
      <c r="C53" s="16" t="inlineStr">
        <is>
          <t>Tipo</t>
        </is>
      </c>
      <c r="D53" s="11">
        <f>Pavimentos!$E$53</f>
        <v/>
      </c>
      <c r="E53" s="11">
        <f>D53*Premissas!$B$21*Pavimentos!$F$53</f>
        <v/>
      </c>
      <c r="F53" s="20">
        <f>ROUND(IFERROR(Premissas!$B$18/(Premissas!$B$28*Premissas!$B$15),0)*Premissas!$B$19,0)</f>
        <v/>
      </c>
      <c r="G53" s="20">
        <f>ROUND(IFERROR(Premissas!$B$18/(Premissas!$B$28*Premissas!$B$15),0)*Premissas!$B$19,0)</f>
        <v/>
      </c>
      <c r="H53" s="20">
        <f>ROUND(IFERROR(Premissas!$B$18/(Premissas!$B$28*Premissas!$B$15),0)*Premissas!$B$19,0)</f>
        <v/>
      </c>
      <c r="I53" s="20">
        <f>ROUND(IFERROR(Premissas!$B$18/(Premissas!$B$28*Premissas!$B$15),0),0)</f>
        <v/>
      </c>
      <c r="J53" s="20">
        <f>ROUND(IFERROR(Premissas!$B$18/(Premissas!$B$28*Premissas!$B$15),0),0)</f>
        <v/>
      </c>
    </row>
    <row r="54">
      <c r="A54" s="16" t="n">
        <v>2</v>
      </c>
      <c r="B54" t="inlineStr">
        <is>
          <t>Tipo 17</t>
        </is>
      </c>
      <c r="C54" s="16" t="inlineStr">
        <is>
          <t>Tipo</t>
        </is>
      </c>
      <c r="D54" s="11">
        <f>Pavimentos!$E$54</f>
        <v/>
      </c>
      <c r="E54" s="11">
        <f>D54*Premissas!$B$21*Pavimentos!$F$54</f>
        <v/>
      </c>
      <c r="F54" s="20">
        <f>ROUND(IFERROR(Premissas!$B$18/(Premissas!$B$28*Premissas!$B$15),0)*Premissas!$B$19,0)</f>
        <v/>
      </c>
      <c r="G54" s="20">
        <f>ROUND(IFERROR(Premissas!$B$18/(Premissas!$B$28*Premissas!$B$15),0)*Premissas!$B$19,0)</f>
        <v/>
      </c>
      <c r="H54" s="20">
        <f>ROUND(IFERROR(Premissas!$B$18/(Premissas!$B$28*Premissas!$B$15),0)*Premissas!$B$19,0)</f>
        <v/>
      </c>
      <c r="I54" s="20">
        <f>ROUND(IFERROR(Premissas!$B$18/(Premissas!$B$28*Premissas!$B$15),0),0)</f>
        <v/>
      </c>
      <c r="J54" s="20">
        <f>ROUND(IFERROR(Premissas!$B$18/(Premissas!$B$28*Premissas!$B$15),0),0)</f>
        <v/>
      </c>
    </row>
    <row r="55">
      <c r="A55" s="16" t="n">
        <v>2</v>
      </c>
      <c r="B55" t="inlineStr">
        <is>
          <t>Tipo 18</t>
        </is>
      </c>
      <c r="C55" s="16" t="inlineStr">
        <is>
          <t>Tipo</t>
        </is>
      </c>
      <c r="D55" s="11">
        <f>Pavimentos!$E$55</f>
        <v/>
      </c>
      <c r="E55" s="11">
        <f>D55*Premissas!$B$21*Pavimentos!$F$55</f>
        <v/>
      </c>
      <c r="F55" s="20">
        <f>ROUND(IFERROR(Premissas!$B$18/(Premissas!$B$28*Premissas!$B$15),0)*Premissas!$B$19,0)</f>
        <v/>
      </c>
      <c r="G55" s="20">
        <f>ROUND(IFERROR(Premissas!$B$18/(Premissas!$B$28*Premissas!$B$15),0)*Premissas!$B$19,0)</f>
        <v/>
      </c>
      <c r="H55" s="20">
        <f>ROUND(IFERROR(Premissas!$B$18/(Premissas!$B$28*Premissas!$B$15),0)*Premissas!$B$19,0)</f>
        <v/>
      </c>
      <c r="I55" s="20">
        <f>ROUND(IFERROR(Premissas!$B$18/(Premissas!$B$28*Premissas!$B$15),0),0)</f>
        <v/>
      </c>
      <c r="J55" s="20">
        <f>ROUND(IFERROR(Premissas!$B$18/(Premissas!$B$28*Premissas!$B$15),0),0)</f>
        <v/>
      </c>
    </row>
    <row r="56">
      <c r="A56" s="16" t="n">
        <v>2</v>
      </c>
      <c r="B56" t="inlineStr">
        <is>
          <t>Tipo 19</t>
        </is>
      </c>
      <c r="C56" s="16" t="inlineStr">
        <is>
          <t>Tipo</t>
        </is>
      </c>
      <c r="D56" s="11">
        <f>Pavimentos!$E$56</f>
        <v/>
      </c>
      <c r="E56" s="11">
        <f>D56*Premissas!$B$21*Pavimentos!$F$56</f>
        <v/>
      </c>
      <c r="F56" s="20">
        <f>ROUND(IFERROR(Premissas!$B$18/(Premissas!$B$28*Premissas!$B$15),0)*Premissas!$B$19,0)</f>
        <v/>
      </c>
      <c r="G56" s="20">
        <f>ROUND(IFERROR(Premissas!$B$18/(Premissas!$B$28*Premissas!$B$15),0)*Premissas!$B$19,0)</f>
        <v/>
      </c>
      <c r="H56" s="20">
        <f>ROUND(IFERROR(Premissas!$B$18/(Premissas!$B$28*Premissas!$B$15),0)*Premissas!$B$19,0)</f>
        <v/>
      </c>
      <c r="I56" s="20">
        <f>ROUND(IFERROR(Premissas!$B$18/(Premissas!$B$28*Premissas!$B$15),0),0)</f>
        <v/>
      </c>
      <c r="J56" s="20">
        <f>ROUND(IFERROR(Premissas!$B$18/(Premissas!$B$28*Premissas!$B$15),0),0)</f>
        <v/>
      </c>
    </row>
    <row r="57">
      <c r="A57" s="16" t="n">
        <v>2</v>
      </c>
      <c r="B57" t="inlineStr">
        <is>
          <t>Tipo 20</t>
        </is>
      </c>
      <c r="C57" s="16" t="inlineStr">
        <is>
          <t>Tipo</t>
        </is>
      </c>
      <c r="D57" s="11">
        <f>Pavimentos!$E$57</f>
        <v/>
      </c>
      <c r="E57" s="11">
        <f>D57*Premissas!$B$21*Pavimentos!$F$57</f>
        <v/>
      </c>
      <c r="F57" s="20">
        <f>ROUND(IFERROR(Premissas!$B$18/(Premissas!$B$28*Premissas!$B$15),0)*Premissas!$B$19,0)</f>
        <v/>
      </c>
      <c r="G57" s="20">
        <f>ROUND(IFERROR(Premissas!$B$18/(Premissas!$B$28*Premissas!$B$15),0)*Premissas!$B$19,0)</f>
        <v/>
      </c>
      <c r="H57" s="20">
        <f>ROUND(IFERROR(Premissas!$B$18/(Premissas!$B$28*Premissas!$B$15),0)*Premissas!$B$19,0)</f>
        <v/>
      </c>
      <c r="I57" s="20">
        <f>ROUND(IFERROR(Premissas!$B$18/(Premissas!$B$28*Premissas!$B$15),0),0)</f>
        <v/>
      </c>
      <c r="J57" s="20">
        <f>ROUND(IFERROR(Premissas!$B$18/(Premissas!$B$28*Premissas!$B$15),0),0)</f>
        <v/>
      </c>
    </row>
    <row r="58">
      <c r="A58" s="16" t="n">
        <v>2</v>
      </c>
      <c r="B58" t="inlineStr">
        <is>
          <t>Tipo 21</t>
        </is>
      </c>
      <c r="C58" s="16" t="inlineStr">
        <is>
          <t>Tipo</t>
        </is>
      </c>
      <c r="D58" s="11">
        <f>Pavimentos!$E$58</f>
        <v/>
      </c>
      <c r="E58" s="11">
        <f>D58*Premissas!$B$21*Pavimentos!$F$58</f>
        <v/>
      </c>
      <c r="F58" s="20">
        <f>ROUND(IFERROR(Premissas!$B$18/(Premissas!$B$28*Premissas!$B$15),0)*Premissas!$B$19,0)</f>
        <v/>
      </c>
      <c r="G58" s="20">
        <f>ROUND(IFERROR(Premissas!$B$18/(Premissas!$B$28*Premissas!$B$15),0)*Premissas!$B$19,0)</f>
        <v/>
      </c>
      <c r="H58" s="20">
        <f>ROUND(IFERROR(Premissas!$B$18/(Premissas!$B$28*Premissas!$B$15),0)*Premissas!$B$19,0)</f>
        <v/>
      </c>
      <c r="I58" s="20">
        <f>ROUND(IFERROR(Premissas!$B$18/(Premissas!$B$28*Premissas!$B$15),0),0)</f>
        <v/>
      </c>
      <c r="J58" s="20">
        <f>ROUND(IFERROR(Premissas!$B$18/(Premissas!$B$28*Premissas!$B$15),0),0)</f>
        <v/>
      </c>
    </row>
    <row r="59">
      <c r="A59" s="16" t="n">
        <v>2</v>
      </c>
      <c r="B59" t="inlineStr">
        <is>
          <t>Tipo 22</t>
        </is>
      </c>
      <c r="C59" s="16" t="inlineStr">
        <is>
          <t>Tipo</t>
        </is>
      </c>
      <c r="D59" s="11">
        <f>Pavimentos!$E$59</f>
        <v/>
      </c>
      <c r="E59" s="11">
        <f>D59*Premissas!$B$21*Pavimentos!$F$59</f>
        <v/>
      </c>
      <c r="F59" s="20">
        <f>ROUND(IFERROR(Premissas!$B$18/(Premissas!$B$28*Premissas!$B$15),0)*Premissas!$B$19,0)</f>
        <v/>
      </c>
      <c r="G59" s="20">
        <f>ROUND(IFERROR(Premissas!$B$18/(Premissas!$B$28*Premissas!$B$15),0)*Premissas!$B$19,0)</f>
        <v/>
      </c>
      <c r="H59" s="20">
        <f>ROUND(IFERROR(Premissas!$B$18/(Premissas!$B$28*Premissas!$B$15),0)*Premissas!$B$19,0)</f>
        <v/>
      </c>
      <c r="I59" s="20">
        <f>ROUND(IFERROR(Premissas!$B$18/(Premissas!$B$28*Premissas!$B$15),0),0)</f>
        <v/>
      </c>
      <c r="J59" s="20">
        <f>ROUND(IFERROR(Premissas!$B$18/(Premissas!$B$28*Premissas!$B$15),0),0)</f>
        <v/>
      </c>
    </row>
    <row r="60">
      <c r="A60" s="16" t="n">
        <v>2</v>
      </c>
      <c r="B60" t="inlineStr">
        <is>
          <t>Tipo 23</t>
        </is>
      </c>
      <c r="C60" s="16" t="inlineStr">
        <is>
          <t>Tipo</t>
        </is>
      </c>
      <c r="D60" s="11">
        <f>Pavimentos!$E$60</f>
        <v/>
      </c>
      <c r="E60" s="11">
        <f>D60*Premissas!$B$21*Pavimentos!$F$60</f>
        <v/>
      </c>
      <c r="F60" s="20">
        <f>ROUND(IFERROR(Premissas!$B$18/(Premissas!$B$28*Premissas!$B$15),0)*Premissas!$B$19,0)</f>
        <v/>
      </c>
      <c r="G60" s="20">
        <f>ROUND(IFERROR(Premissas!$B$18/(Premissas!$B$28*Premissas!$B$15),0)*Premissas!$B$19,0)</f>
        <v/>
      </c>
      <c r="H60" s="20">
        <f>ROUND(IFERROR(Premissas!$B$18/(Premissas!$B$28*Premissas!$B$15),0)*Premissas!$B$19,0)</f>
        <v/>
      </c>
      <c r="I60" s="20">
        <f>ROUND(IFERROR(Premissas!$B$18/(Premissas!$B$28*Premissas!$B$15),0),0)</f>
        <v/>
      </c>
      <c r="J60" s="20">
        <f>ROUND(IFERROR(Premissas!$B$18/(Premissas!$B$28*Premissas!$B$15),0),0)</f>
        <v/>
      </c>
    </row>
    <row r="61">
      <c r="A61" s="16" t="n">
        <v>2</v>
      </c>
      <c r="B61" t="inlineStr">
        <is>
          <t>Tipo 24</t>
        </is>
      </c>
      <c r="C61" s="16" t="inlineStr">
        <is>
          <t>Tipo</t>
        </is>
      </c>
      <c r="D61" s="11">
        <f>Pavimentos!$E$61</f>
        <v/>
      </c>
      <c r="E61" s="11">
        <f>D61*Premissas!$B$21*Pavimentos!$F$61</f>
        <v/>
      </c>
      <c r="F61" s="20">
        <f>ROUND(IFERROR(Premissas!$B$18/(Premissas!$B$28*Premissas!$B$15),0)*Premissas!$B$19,0)</f>
        <v/>
      </c>
      <c r="G61" s="20">
        <f>ROUND(IFERROR(Premissas!$B$18/(Premissas!$B$28*Premissas!$B$15),0)*Premissas!$B$19,0)</f>
        <v/>
      </c>
      <c r="H61" s="20">
        <f>ROUND(IFERROR(Premissas!$B$18/(Premissas!$B$28*Premissas!$B$15),0)*Premissas!$B$19,0)</f>
        <v/>
      </c>
      <c r="I61" s="20">
        <f>ROUND(IFERROR(Premissas!$B$18/(Premissas!$B$28*Premissas!$B$15),0),0)</f>
        <v/>
      </c>
      <c r="J61" s="20">
        <f>ROUND(IFERROR(Premissas!$B$18/(Premissas!$B$28*Premissas!$B$15),0),0)</f>
        <v/>
      </c>
    </row>
    <row r="62">
      <c r="A62" s="16" t="n">
        <v>2</v>
      </c>
      <c r="B62" t="inlineStr">
        <is>
          <t>Técnico 1</t>
        </is>
      </c>
      <c r="C62" s="16" t="inlineStr">
        <is>
          <t>Técnico</t>
        </is>
      </c>
      <c r="D62" s="11">
        <f>Pavimentos!$E$62</f>
        <v/>
      </c>
      <c r="E62" s="11">
        <f>D62*Premissas!$B$21*Pavimentos!$F$62</f>
        <v/>
      </c>
      <c r="F62" s="20" t="n">
        <v>0</v>
      </c>
      <c r="G62" s="20" t="n">
        <v>0</v>
      </c>
      <c r="H62" s="20" t="n">
        <v>0</v>
      </c>
      <c r="I62" s="20" t="n">
        <v>0</v>
      </c>
      <c r="J62" s="20" t="n">
        <v>0</v>
      </c>
    </row>
    <row r="63">
      <c r="A63" s="16" t="n">
        <v>2</v>
      </c>
      <c r="B63" t="inlineStr">
        <is>
          <t>Técnico 2</t>
        </is>
      </c>
      <c r="C63" s="16" t="inlineStr">
        <is>
          <t>Técnico</t>
        </is>
      </c>
      <c r="D63" s="11">
        <f>Pavimentos!$E$63</f>
        <v/>
      </c>
      <c r="E63" s="11">
        <f>D63*Premissas!$B$21*Pavimentos!$F$63</f>
        <v/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0</v>
      </c>
    </row>
    <row r="64">
      <c r="A64" s="12" t="inlineStr">
        <is>
          <t>TOTAL</t>
        </is>
      </c>
      <c r="B64" s="12" t="n"/>
      <c r="C64" s="12" t="n"/>
      <c r="D64" s="15">
        <f>SUM(D4:D63)</f>
        <v/>
      </c>
      <c r="E64" s="15">
        <f>SUM(E4:E63)</f>
        <v/>
      </c>
      <c r="F64" s="13">
        <f>SUM(F4:F63)</f>
        <v/>
      </c>
      <c r="G64" s="13">
        <f>SUM(G4:G63)</f>
        <v/>
      </c>
      <c r="H64" s="13">
        <f>SUM(H4:H63)</f>
        <v/>
      </c>
      <c r="I64" s="13">
        <f>SUM(I4:I63)</f>
        <v/>
      </c>
      <c r="J64" s="13">
        <f>SUM(J4:J63)</f>
        <v/>
      </c>
    </row>
  </sheetData>
  <mergeCells count="2">
    <mergeCell ref="A1:J1"/>
    <mergeCell ref="A64:C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0" customWidth="1" min="5" max="5"/>
    <col width="16" customWidth="1" min="6" max="6"/>
  </cols>
  <sheetData>
    <row r="1" ht="22" customHeight="1">
      <c r="A1" s="1" t="inlineStr">
        <is>
          <t>RESUMO POR TIPO DE PAVIMENTO</t>
        </is>
      </c>
    </row>
    <row r="3">
      <c r="A3" s="9" t="inlineStr">
        <is>
          <t>Tipo</t>
        </is>
      </c>
      <c r="B3" s="9" t="inlineStr">
        <is>
          <t>Qtd total</t>
        </is>
      </c>
      <c r="C3" s="9" t="inlineStr">
        <is>
          <t>AC total (m²)</t>
        </is>
      </c>
      <c r="D3" s="9" t="inlineStr">
        <is>
          <t>R$ total</t>
        </is>
      </c>
      <c r="E3" s="9" t="inlineStr">
        <is>
          <t>% R$</t>
        </is>
      </c>
      <c r="F3" s="9" t="inlineStr">
        <is>
          <t>Tubulação (m)</t>
        </is>
      </c>
    </row>
    <row r="4">
      <c r="A4" s="3" t="inlineStr">
        <is>
          <t>Subsolo</t>
        </is>
      </c>
      <c r="B4" s="20">
        <f>Premissas!$B$25*Premissas!$B$15</f>
        <v/>
      </c>
      <c r="C4" s="11">
        <f>Premissas!$B$20*Premissas!$C$25</f>
        <v/>
      </c>
      <c r="D4" s="6">
        <f>SUMIF('Rateio-valores'!D:D,"Subsolo",'Rateio-valores'!H:H)</f>
        <v/>
      </c>
      <c r="E4" s="18">
        <f>D4/Premissas!$B$8</f>
        <v/>
      </c>
      <c r="F4" s="11">
        <f>C4*Premissas!$B$21*Premissas!$D$25</f>
        <v/>
      </c>
    </row>
    <row r="5">
      <c r="A5" s="3" t="inlineStr">
        <is>
          <t>Térreo</t>
        </is>
      </c>
      <c r="B5" s="20">
        <f>Premissas!$B$26*Premissas!$B$15</f>
        <v/>
      </c>
      <c r="C5" s="11">
        <f>Premissas!$B$20*Premissas!$C$26</f>
        <v/>
      </c>
      <c r="D5" s="6">
        <f>SUMIF('Rateio-valores'!D:D,"Térreo",'Rateio-valores'!H:H)</f>
        <v/>
      </c>
      <c r="E5" s="18">
        <f>D5/Premissas!$B$8</f>
        <v/>
      </c>
      <c r="F5" s="11">
        <f>C5*Premissas!$B$21*Premissas!$D$26</f>
        <v/>
      </c>
    </row>
    <row r="6">
      <c r="A6" s="3" t="inlineStr">
        <is>
          <t>Lazer</t>
        </is>
      </c>
      <c r="B6" s="20">
        <f>Premissas!$B$27*Premissas!$B$15</f>
        <v/>
      </c>
      <c r="C6" s="11">
        <f>Premissas!$B$20*Premissas!$C$27</f>
        <v/>
      </c>
      <c r="D6" s="6">
        <f>SUMIF('Rateio-valores'!D:D,"Lazer",'Rateio-valores'!H:H)</f>
        <v/>
      </c>
      <c r="E6" s="18">
        <f>D6/Premissas!$B$8</f>
        <v/>
      </c>
      <c r="F6" s="11">
        <f>C6*Premissas!$B$21*Premissas!$D$27</f>
        <v/>
      </c>
    </row>
    <row r="7">
      <c r="A7" s="3" t="inlineStr">
        <is>
          <t>Tipo</t>
        </is>
      </c>
      <c r="B7" s="20">
        <f>Premissas!$B$28*Premissas!$B$15</f>
        <v/>
      </c>
      <c r="C7" s="11">
        <f>Premissas!$B$20*Premissas!$C$28</f>
        <v/>
      </c>
      <c r="D7" s="6">
        <f>SUMIF('Rateio-valores'!D:D,"Tipo",'Rateio-valores'!H:H)</f>
        <v/>
      </c>
      <c r="E7" s="18">
        <f>D7/Premissas!$B$8</f>
        <v/>
      </c>
      <c r="F7" s="11">
        <f>C7*Premissas!$B$21*Premissas!$D$28</f>
        <v/>
      </c>
    </row>
    <row r="8">
      <c r="A8" s="3" t="inlineStr">
        <is>
          <t>Técnico</t>
        </is>
      </c>
      <c r="B8" s="20">
        <f>Premissas!$B$29*Premissas!$B$15</f>
        <v/>
      </c>
      <c r="C8" s="11">
        <f>Premissas!$B$20*Premissas!$C$29</f>
        <v/>
      </c>
      <c r="D8" s="6">
        <f>SUMIF('Rateio-valores'!D:D,"Técnico",'Rateio-valores'!H:H)</f>
        <v/>
      </c>
      <c r="E8" s="18">
        <f>D8/Premissas!$B$8</f>
        <v/>
      </c>
      <c r="F8" s="11">
        <f>C8*Premissas!$B$21*Premissas!$D$29</f>
        <v/>
      </c>
    </row>
    <row r="9">
      <c r="A9" s="12" t="inlineStr">
        <is>
          <t>TOTAL</t>
        </is>
      </c>
      <c r="B9" s="13">
        <f>SUM(B4:B8)</f>
        <v/>
      </c>
      <c r="C9" s="15">
        <f>SUM(C4:C8)</f>
        <v/>
      </c>
      <c r="D9" s="19">
        <f>SUM(D4:D8)</f>
        <v/>
      </c>
      <c r="E9" s="14">
        <f>SUM(E4:E8)</f>
        <v/>
      </c>
      <c r="F9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2026-04-14T19:10:32Z</dcterms:created>
  <dcterms:modified xmlns:dcterms="http://purl.org/dc/terms/" xmlns:xsi="http://www.w3.org/2001/XMLSchema-instance" xsi:type="dcterms:W3CDTF">2026-04-14T19:10:32Z</dcterms:modified>
</cp:coreProperties>
</file>