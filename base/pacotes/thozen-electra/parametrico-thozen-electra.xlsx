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74C3C"/>
      <sz val="9"/>
    </font>
    <font>
      <name val="Arial"/>
      <sz val="9"/>
    </font>
    <font>
      <name val="Arial"/>
      <color rgb="00999999"/>
      <sz val="8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PROJETO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PROJETO — ORÇAMENTO PARAMÉTRICO V2</t>
        </is>
      </c>
    </row>
    <row r="3">
      <c r="A3" s="8" t="inlineStr">
        <is>
          <t>Projeto</t>
        </is>
      </c>
      <c r="B3" t="inlineStr">
        <is>
          <t>Projeto</t>
        </is>
      </c>
    </row>
    <row r="4">
      <c r="A4" s="8" t="inlineStr">
        <is>
          <t>Cidade/UF</t>
        </is>
      </c>
      <c r="B4" t="inlineStr"/>
    </row>
    <row r="5">
      <c r="A5" s="8" t="inlineStr">
        <is>
          <t>AC Total (m²)</t>
        </is>
      </c>
      <c r="B5" s="9" t="n">
        <v>37893.89</v>
      </c>
    </row>
    <row r="6">
      <c r="A6" s="8" t="inlineStr">
        <is>
          <t>UR</t>
        </is>
      </c>
      <c r="B6" s="10" t="n">
        <v>348</v>
      </c>
    </row>
    <row r="7">
      <c r="A7" s="8" t="inlineStr">
        <is>
          <t>Pavimentos</t>
        </is>
      </c>
      <c r="B7" s="10" t="n">
        <v>24</v>
      </c>
    </row>
    <row r="8">
      <c r="A8" s="8" t="inlineStr">
        <is>
          <t>Pav. Tipo</t>
        </is>
      </c>
      <c r="B8" s="10" t="n">
        <v>19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100</v>
      </c>
    </row>
    <row r="11">
      <c r="A11" s="8" t="inlineStr">
        <is>
          <t>Prazo (meses)</t>
        </is>
      </c>
      <c r="B11" s="10" t="n">
        <v>30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0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Sim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Misto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2" customWidth="1" min="4" max="4"/>
    <col width="30" customWidth="1" min="5" max="5"/>
  </cols>
  <sheetData>
    <row r="1">
      <c r="A1" s="15" t="inlineStr">
        <is>
          <t>ÍNDICES CALIBRADOS — REAGEM AO BRIEFING</t>
        </is>
      </c>
    </row>
    <row r="2">
      <c r="A2" s="16" t="inlineStr">
        <is>
          <t>NÃO EDITAR — valores calculados automaticamente</t>
        </is>
      </c>
    </row>
    <row r="4">
      <c r="A4" s="12" t="inlineStr">
        <is>
          <t>Índice</t>
        </is>
      </c>
      <c r="B4" s="12" t="inlineStr">
        <is>
          <t>Valor</t>
        </is>
      </c>
      <c r="C4" s="12" t="inlineStr">
        <is>
          <t>Unidade</t>
        </is>
      </c>
      <c r="D4" s="12" t="inlineStr">
        <is>
          <t>Fonte</t>
        </is>
      </c>
      <c r="E4" s="12" t="inlineStr">
        <is>
          <t>Fórmula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t="inlineStr">
        <is>
          <t>m³/m²</t>
        </is>
      </c>
      <c r="D5" s="14" t="inlineStr">
        <is>
          <t>Master 7p exec</t>
        </is>
      </c>
      <c r="E5" s="17" t="inlineStr">
        <is>
          <t>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t="inlineStr">
        <is>
          <t>kg/m³</t>
        </is>
      </c>
      <c r="D6" s="14" t="inlineStr">
        <is>
          <t>Master 7p+11p narr</t>
        </is>
      </c>
      <c r="E6" s="17" t="inlineStr">
        <is>
          <t>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t="inlineStr">
        <is>
          <t>kg/m²</t>
        </is>
      </c>
      <c r="D7" s="14" t="inlineStr">
        <is>
          <t>Master protendida</t>
        </is>
      </c>
      <c r="E7" s="17" t="inlineStr">
        <is>
          <t>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t="inlineStr">
        <is>
          <t>m²/m³</t>
        </is>
      </c>
      <c r="D8" s="14" t="inlineStr">
        <is>
          <t>Master 7p exec</t>
        </is>
      </c>
      <c r="E8" s="17" t="inlineStr">
        <is>
          <t>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t="inlineStr">
        <is>
          <t>R$/m²</t>
        </is>
      </c>
      <c r="D9" s="14" t="inlineStr">
        <is>
          <t>PU base 7p</t>
        </is>
      </c>
      <c r="E9" s="17" t="inlineStr">
        <is>
          <t>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t="inlineStr">
        <is>
          <t>MPa</t>
        </is>
      </c>
      <c r="D10" s="14" t="inlineStr"/>
      <c r="E10" s="17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t="inlineStr">
        <is>
          <t>un</t>
        </is>
      </c>
      <c r="D11" s="14" t="inlineStr">
        <is>
          <t>~1 est/75m² + sub</t>
        </is>
      </c>
      <c r="E11" s="17" t="inlineStr">
        <is>
          <t>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t="inlineStr">
        <is>
          <t>m</t>
        </is>
      </c>
      <c r="D12" s="14" t="inlineStr">
        <is>
          <t>Tipo + prof.sub</t>
        </is>
      </c>
      <c r="E12" s="17" t="inlineStr">
        <is>
          <t>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t="inlineStr">
        <is>
          <t>m²/m²</t>
        </is>
      </c>
      <c r="D13" s="14" t="inlineStr">
        <is>
          <t>2,25 × shell × pé-dir</t>
        </is>
      </c>
      <c r="E13" s="17" t="inlineStr">
        <is>
          <t>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t="inlineStr">
        <is>
          <t>m²/m²</t>
        </is>
      </c>
      <c r="D14" s="14" t="inlineStr">
        <is>
          <t>1,70 × shell</t>
        </is>
      </c>
      <c r="E14" s="17" t="inlineStr">
        <is>
          <t>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t="inlineStr">
        <is>
          <t>m²/m²</t>
        </is>
      </c>
      <c r="D15" s="14" t="inlineStr">
        <is>
          <t>2,85 × shell × bwc</t>
        </is>
      </c>
      <c r="E15" s="17" t="inlineStr">
        <is>
          <t>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t="inlineStr">
        <is>
          <t>m²/m²</t>
        </is>
      </c>
      <c r="D16" s="14" t="inlineStr">
        <is>
          <t>1,16 × shell</t>
        </is>
      </c>
      <c r="E16" s="17" t="inlineStr">
        <is>
          <t>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t="inlineStr">
        <is>
          <t>m²/m²</t>
        </is>
      </c>
      <c r="D17" s="14" t="inlineStr">
        <is>
          <t>5,65 × shell</t>
        </is>
      </c>
      <c r="E17" s="17" t="inlineStr">
        <is>
          <t>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t="inlineStr">
        <is>
          <t>m²/m²</t>
        </is>
      </c>
      <c r="D18" s="14" t="inlineStr">
        <is>
          <t>Tipo fachada × pé-dir</t>
        </is>
      </c>
      <c r="E18" s="17" t="inlineStr">
        <is>
          <t>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t="inlineStr">
        <is>
          <t>m²/m²</t>
        </is>
      </c>
      <c r="D19" s="14" t="inlineStr">
        <is>
          <t>Base + sub + bwc</t>
        </is>
      </c>
      <c r="E19" s="17" t="inlineStr">
        <is>
          <t>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t="inlineStr">
        <is>
          <t>fator</t>
        </is>
      </c>
      <c r="D20" s="14" t="inlineStr"/>
      <c r="E20" s="17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t="inlineStr">
        <is>
          <t>R$/m²</t>
        </is>
      </c>
      <c r="D21" s="14" t="inlineStr">
        <is>
          <t>PU base + briefing</t>
        </is>
      </c>
      <c r="E21" s="17" t="inlineStr">
        <is>
          <t>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t="inlineStr">
        <is>
          <t>R$</t>
        </is>
      </c>
      <c r="D22" s="14" t="inlineStr">
        <is>
          <t>Param. base</t>
        </is>
      </c>
      <c r="E22" s="17" t="inlineStr">
        <is>
          <t>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t="inlineStr">
        <is>
          <t>R$</t>
        </is>
      </c>
      <c r="D23" s="14" t="inlineStr">
        <is>
          <t>IF Gerador Sim + Torres</t>
        </is>
      </c>
      <c r="E23" s="17" t="inlineStr">
        <is>
          <t>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t="inlineStr">
        <is>
          <t>R$</t>
        </is>
      </c>
      <c r="D24" s="14" t="inlineStr">
        <is>
          <t>Sub×prof×perim×R$</t>
        </is>
      </c>
      <c r="E24" s="17" t="inlineStr">
        <is>
          <t>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t="inlineStr">
        <is>
          <t>R$/m²</t>
        </is>
      </c>
      <c r="D25" s="14" t="inlineStr">
        <is>
          <t>Base + sub×15</t>
        </is>
      </c>
      <c r="E25" s="17" t="inlineStr">
        <is>
          <t>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t="inlineStr">
        <is>
          <t>fator</t>
        </is>
      </c>
      <c r="D26" s="14" t="inlineStr">
        <is>
          <t>Studios menos louças</t>
        </is>
      </c>
      <c r="E26" s="17" t="inlineStr">
        <is>
          <t>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t="inlineStr">
        <is>
          <t>fator</t>
        </is>
      </c>
      <c r="D27" s="14" t="inlineStr">
        <is>
          <t>Studios menos pontos</t>
        </is>
      </c>
      <c r="E27" s="17" t="inlineStr">
        <is>
          <t>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t="inlineStr">
        <is>
          <t>fator</t>
        </is>
      </c>
      <c r="D28" s="14" t="inlineStr">
        <is>
          <t>Shell desconta ~15% total</t>
        </is>
      </c>
      <c r="E28" s="17" t="inlineStr">
        <is>
          <t>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IF(BRIEFING!B16="Porcelanato",81.21,IF(BRIEFING!B16="Laminado",65,73))*INDICES!B20</f>
        <v/>
      </c>
      <c r="C29" t="inlineStr">
        <is>
          <t>R$/m²</t>
        </is>
      </c>
      <c r="D29" s="14" t="inlineStr">
        <is>
          <t>Tipo piso × padrão</t>
        </is>
      </c>
      <c r="E29" s="17" t="inlineStr">
        <is>
          <t>IF Tipo Piso × Padrão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t="inlineStr">
        <is>
          <t>R$</t>
        </is>
      </c>
      <c r="D30" s="14" t="inlineStr">
        <is>
          <t>Param. base</t>
        </is>
      </c>
      <c r="E30" s="17" t="inlineStr">
        <is>
          <t>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t="inlineStr">
        <is>
          <t>fator</t>
        </is>
      </c>
      <c r="D31" s="14" t="inlineStr">
        <is>
          <t>Pé-dir afeta estrutura</t>
        </is>
      </c>
      <c r="E31" s="17" t="inlineStr">
        <is>
          <t>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t="inlineStr">
        <is>
          <t>fator</t>
        </is>
      </c>
      <c r="D32" s="14" t="inlineStr">
        <is>
          <t>Mais bwc = mais louças</t>
        </is>
      </c>
      <c r="E32" s="17" t="inlineStr">
        <is>
          <t>IF BWC/apto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8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8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8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8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8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8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8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8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8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8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8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8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8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8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8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8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8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8">
        <f>D21/D22</f>
        <v/>
      </c>
      <c r="D21" s="4">
        <f>'Imprevistos'!G2</f>
        <v/>
      </c>
      <c r="E21" t="inlineStr">
        <is>
          <t>Imprevistos</t>
        </is>
      </c>
    </row>
    <row r="22">
      <c r="A22" s="19" t="inlineStr">
        <is>
          <t>TOTAL</t>
        </is>
      </c>
      <c r="B22" s="20">
        <f>D22/DADOS_PROJETO!B5</f>
        <v/>
      </c>
      <c r="D22" s="21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Concreto Pilares</t>
        </is>
      </c>
      <c r="B4" s="24" t="inlineStr">
        <is>
          <t>fck30</t>
        </is>
      </c>
      <c r="C4" s="4">
        <f>ROUND(INDICES!B5*DADOS_PROJETO!B5*0.22*INDICES!B31,0)</f>
        <v/>
      </c>
      <c r="D4" s="24" t="inlineStr">
        <is>
          <t>m³</t>
        </is>
      </c>
      <c r="E4" s="25" t="n">
        <v>590</v>
      </c>
      <c r="F4" s="4">
        <f>C4*E4</f>
        <v/>
      </c>
      <c r="G4" s="26" t="inlineStr">
        <is>
          <t>Índ×AC×22% × pé-dir (7p)</t>
        </is>
      </c>
    </row>
    <row r="5">
      <c r="A5" s="24" t="inlineStr">
        <is>
          <t>Concreto Vigas</t>
        </is>
      </c>
      <c r="B5" s="24" t="inlineStr">
        <is>
          <t>fck30</t>
        </is>
      </c>
      <c r="C5" s="4">
        <f>ROUND(INDICES!B5*DADOS_PROJETO!B5*IF(BRIEFING!B4="Protendida",0.08,0.30),0)</f>
        <v/>
      </c>
      <c r="D5" s="24" t="inlineStr">
        <is>
          <t>m³</t>
        </is>
      </c>
      <c r="E5" s="25" t="n">
        <v>590</v>
      </c>
      <c r="F5" s="4">
        <f>C5*E5</f>
        <v/>
      </c>
      <c r="G5" s="26" t="inlineStr">
        <is>
          <t>IF Laje→peso vigas</t>
        </is>
      </c>
    </row>
    <row r="6">
      <c r="A6" s="24" t="inlineStr">
        <is>
          <t>Concreto Lajes</t>
        </is>
      </c>
      <c r="B6" s="24" t="inlineStr">
        <is>
          <t>fck conforme laje</t>
        </is>
      </c>
      <c r="C6" s="4">
        <f>ROUND(INDICES!B5*DADOS_PROJETO!B5*IF(BRIEFING!B4="Protendida",0.60,0.35),0)</f>
        <v/>
      </c>
      <c r="D6" s="24" t="inlineStr">
        <is>
          <t>m³</t>
        </is>
      </c>
      <c r="E6" s="5">
        <f>IF(INDICES!B10=40,690,590)</f>
        <v/>
      </c>
      <c r="F6" s="4">
        <f>C6*E6</f>
        <v/>
      </c>
      <c r="G6" s="26" t="inlineStr">
        <is>
          <t>IF fck→PU</t>
        </is>
      </c>
    </row>
    <row r="7">
      <c r="A7" s="24" t="inlineStr">
        <is>
          <t>Concreto Escadas</t>
        </is>
      </c>
      <c r="B7" s="24" t="inlineStr">
        <is>
          <t>fck30</t>
        </is>
      </c>
      <c r="C7" s="4">
        <f>ROUND(INDICES!B5*DADOS_PROJETO!B5*0.05,0)</f>
        <v/>
      </c>
      <c r="D7" s="24" t="inlineStr">
        <is>
          <t>m³</t>
        </is>
      </c>
      <c r="E7" s="25" t="n">
        <v>590</v>
      </c>
      <c r="F7" s="4">
        <f>C7*E7</f>
        <v/>
      </c>
      <c r="G7" s="26" t="inlineStr">
        <is>
          <t>Índ×AC×5%</t>
        </is>
      </c>
    </row>
    <row r="8">
      <c r="A8" s="24" t="inlineStr">
        <is>
          <t>Concreto Blocos</t>
        </is>
      </c>
      <c r="B8" s="24" t="inlineStr">
        <is>
          <t>Baldrame fck30</t>
        </is>
      </c>
      <c r="C8" s="4">
        <f>ROUND(INDICES!B5*DADOS_PROJETO!B5*0.05,0)</f>
        <v/>
      </c>
      <c r="D8" s="24" t="inlineStr">
        <is>
          <t>m³</t>
        </is>
      </c>
      <c r="E8" s="25" t="n">
        <v>590</v>
      </c>
      <c r="F8" s="4">
        <f>C8*E8</f>
        <v/>
      </c>
      <c r="G8" s="26" t="inlineStr">
        <is>
          <t>Índ×AC×5%</t>
        </is>
      </c>
    </row>
    <row r="9">
      <c r="A9" s="24" t="inlineStr">
        <is>
          <t>Aço CA-50</t>
        </is>
      </c>
      <c r="B9" s="24" t="inlineStr">
        <is>
          <t>Convencional</t>
        </is>
      </c>
      <c r="C9" s="4">
        <f>ROUND(INDICES!B6*INDICES!B5*DADOS_PROJETO!B5,0)</f>
        <v/>
      </c>
      <c r="D9" s="24" t="inlineStr">
        <is>
          <t>kg</t>
        </is>
      </c>
      <c r="E9" s="25" t="n">
        <v>8.67</v>
      </c>
      <c r="F9" s="4">
        <f>C9*E9</f>
        <v/>
      </c>
      <c r="G9" s="26" t="inlineStr">
        <is>
          <t>Índ aço×conc×AC</t>
        </is>
      </c>
    </row>
    <row r="10">
      <c r="A10" s="24" t="inlineStr">
        <is>
          <t>Cordoalha CP-190</t>
        </is>
      </c>
      <c r="B10" s="24" t="inlineStr">
        <is>
          <t>Protensão</t>
        </is>
      </c>
      <c r="C10" s="4">
        <f>ROUND(INDICES!B7*DADOS_PROJETO!B5*0.65,0)</f>
        <v/>
      </c>
      <c r="D10" s="24" t="inlineStr">
        <is>
          <t>kg</t>
        </is>
      </c>
      <c r="E10" s="25" t="n">
        <v>22</v>
      </c>
      <c r="F10" s="4">
        <f>C10*E10</f>
        <v/>
      </c>
      <c r="G10" s="26" t="inlineStr">
        <is>
          <t>IF Prot→8kg/m² laje</t>
        </is>
      </c>
    </row>
    <row r="11">
      <c r="A11" s="24" t="inlineStr">
        <is>
          <t>Forma</t>
        </is>
      </c>
      <c r="B11" s="24" t="inlineStr">
        <is>
          <t>Compensado plastif.</t>
        </is>
      </c>
      <c r="C11" s="4">
        <f>ROUND(INDICES!B8*INDICES!B5*DADOS_PROJETO!B5,0)</f>
        <v/>
      </c>
      <c r="D11" s="24" t="inlineStr">
        <is>
          <t>m²</t>
        </is>
      </c>
      <c r="E11" s="25" t="n">
        <v>88.06999999999999</v>
      </c>
      <c r="F11" s="4">
        <f>C11*E11</f>
        <v/>
      </c>
      <c r="G11" s="26" t="inlineStr">
        <is>
          <t>Índ forma×conc×AC</t>
        </is>
      </c>
    </row>
    <row r="12">
      <c r="A12" s="24" t="inlineStr">
        <is>
          <t>Escoramento</t>
        </is>
      </c>
      <c r="B12" s="24" t="inlineStr">
        <is>
          <t>Metálico</t>
        </is>
      </c>
      <c r="C12" s="4">
        <f>ROUND(DADOS_PROJETO!B5*0.65,0)</f>
        <v/>
      </c>
      <c r="D12" s="24" t="inlineStr">
        <is>
          <t>m²</t>
        </is>
      </c>
      <c r="E12" s="5">
        <f>INDICES!B9</f>
        <v/>
      </c>
      <c r="F12" s="4">
        <f>C12*E12</f>
        <v/>
      </c>
      <c r="G12" s="26" t="inlineStr">
        <is>
          <t>IF Laje→PU escor</t>
        </is>
      </c>
    </row>
    <row r="13">
      <c r="A13" s="24" t="inlineStr">
        <is>
          <t>MO Estrutura</t>
        </is>
      </c>
      <c r="B13" s="24" t="inlineStr">
        <is>
          <t>Empreitada (32,6%)</t>
        </is>
      </c>
      <c r="C13" s="4">
        <f>DADOS_PROJETO!B5</f>
        <v/>
      </c>
      <c r="D13" s="24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6" t="inlineStr">
        <is>
          <t>Split 32,6% MO (10p)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2" t="inlineStr">
        <is>
          <t>Total:</t>
        </is>
      </c>
    </row>
    <row r="2">
      <c r="G2" s="23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Perfuração hélice</t>
        </is>
      </c>
      <c r="B4" s="24" t="inlineStr">
        <is>
          <t>Ø40cm</t>
        </is>
      </c>
      <c r="C4" s="4">
        <f>ROUND(INDICES!B11*INDICES!B12,0)</f>
        <v/>
      </c>
      <c r="D4" s="24" t="inlineStr">
        <is>
          <t>m</t>
        </is>
      </c>
      <c r="E4" s="25" t="n">
        <v>82</v>
      </c>
      <c r="F4" s="4">
        <f>C4*E4</f>
        <v/>
      </c>
      <c r="G4" s="26" t="inlineStr">
        <is>
          <t>PU base R$ 82/m (6p)</t>
        </is>
      </c>
    </row>
    <row r="5">
      <c r="A5" s="24" t="inlineStr">
        <is>
          <t>Concreto estacas</t>
        </is>
      </c>
      <c r="B5" s="24" t="inlineStr">
        <is>
          <t>fck30</t>
        </is>
      </c>
      <c r="C5" s="4">
        <f>ROUND(INDICES!B11*3.14159*0.04*INDICES!B12,0)</f>
        <v/>
      </c>
      <c r="D5" s="24" t="inlineStr">
        <is>
          <t>m³</t>
        </is>
      </c>
      <c r="E5" s="25" t="n">
        <v>632</v>
      </c>
      <c r="F5" s="4">
        <f>C5*E5</f>
        <v/>
      </c>
      <c r="G5" s="26" t="inlineStr">
        <is>
          <t>PU base R$ 632 (6p)</t>
        </is>
      </c>
    </row>
    <row r="6">
      <c r="A6" s="24" t="inlineStr">
        <is>
          <t>Concreto blocos</t>
        </is>
      </c>
      <c r="B6" s="24" t="inlineStr">
        <is>
          <t>Baldrames</t>
        </is>
      </c>
      <c r="C6" s="4">
        <f>ROUND(0.02*DADOS_PROJETO!B5,0)</f>
        <v/>
      </c>
      <c r="D6" s="24" t="inlineStr">
        <is>
          <t>m³</t>
        </is>
      </c>
      <c r="E6" s="25" t="n">
        <v>590</v>
      </c>
      <c r="F6" s="4">
        <f>C6*E6</f>
        <v/>
      </c>
      <c r="G6" s="26" t="inlineStr">
        <is>
          <t>Índ 0,02 m³/m²</t>
        </is>
      </c>
    </row>
    <row r="7">
      <c r="A7" s="24" t="inlineStr">
        <is>
          <t>Aço CA-50</t>
        </is>
      </c>
      <c r="B7" s="24" t="inlineStr">
        <is>
          <t>Fundação</t>
        </is>
      </c>
      <c r="C7" s="4">
        <f>ROUND(90*(C5+C6),0)</f>
        <v/>
      </c>
      <c r="D7" s="24" t="inlineStr">
        <is>
          <t>kg</t>
        </is>
      </c>
      <c r="E7" s="25" t="n">
        <v>8.77</v>
      </c>
      <c r="F7" s="4">
        <f>C7*E7</f>
        <v/>
      </c>
      <c r="G7" s="26" t="inlineStr">
        <is>
          <t>PU base R$ 8,77 (7p)</t>
        </is>
      </c>
    </row>
    <row r="8">
      <c r="A8" s="24" t="inlineStr">
        <is>
          <t>Forma</t>
        </is>
      </c>
      <c r="B8" s="24" t="inlineStr">
        <is>
          <t>Blocos/baldrames</t>
        </is>
      </c>
      <c r="C8" s="4">
        <f>ROUND(0.10*DADOS_PROJETO!B5,0)</f>
        <v/>
      </c>
      <c r="D8" s="24" t="inlineStr">
        <is>
          <t>m²</t>
        </is>
      </c>
      <c r="E8" s="25" t="n">
        <v>45.64</v>
      </c>
      <c r="F8" s="4">
        <f>C8*E8</f>
        <v/>
      </c>
      <c r="G8" s="26" t="inlineStr">
        <is>
          <t>PU base R$ 45,64 (8p)</t>
        </is>
      </c>
    </row>
    <row r="9">
      <c r="A9" s="24" t="inlineStr">
        <is>
          <t>Arrasamento</t>
        </is>
      </c>
      <c r="B9" s="24" t="inlineStr">
        <is>
          <t>Estacas</t>
        </is>
      </c>
      <c r="C9" s="4">
        <f>INDICES!B11</f>
        <v/>
      </c>
      <c r="D9" s="24" t="inlineStr">
        <is>
          <t>un</t>
        </is>
      </c>
      <c r="E9" s="25" t="n">
        <v>65</v>
      </c>
      <c r="F9" s="4">
        <f>C9*E9</f>
        <v/>
      </c>
      <c r="G9" s="26" t="inlineStr">
        <is>
          <t>PU base R$ 65 (2p)</t>
        </is>
      </c>
    </row>
    <row r="10">
      <c r="A10" s="24" t="inlineStr">
        <is>
          <t>Limpeza/remoção</t>
        </is>
      </c>
      <c r="B10" s="24" t="inlineStr">
        <is>
          <t>Solo perfuração</t>
        </is>
      </c>
      <c r="C10" s="28" t="n">
        <v>1</v>
      </c>
      <c r="D10" s="24" t="inlineStr">
        <is>
          <t>vb</t>
        </is>
      </c>
      <c r="E10" s="25" t="n">
        <v>35000</v>
      </c>
      <c r="F10" s="4">
        <f>C10*E10</f>
        <v/>
      </c>
      <c r="G10" s="26" t="inlineStr">
        <is>
          <t>PU base R$ 35k (2p)</t>
        </is>
      </c>
    </row>
    <row r="11">
      <c r="A11" s="24" t="inlineStr">
        <is>
          <t>MO fundação</t>
        </is>
      </c>
      <c r="B11" s="24" t="inlineStr">
        <is>
          <t>Empreitada (35,5%)</t>
        </is>
      </c>
      <c r="C11" s="28" t="n">
        <v>1</v>
      </c>
      <c r="D11" s="24" t="inlineStr">
        <is>
          <t>vb</t>
        </is>
      </c>
      <c r="E11" s="5">
        <f>ROUND(SUM(F4:F10)*0.355/0.645,0)</f>
        <v/>
      </c>
      <c r="F11" s="4">
        <f>C11*E11</f>
        <v/>
      </c>
      <c r="G11" s="26" t="inlineStr">
        <is>
          <t>Split 35,5% (7p)</t>
        </is>
      </c>
    </row>
    <row r="12">
      <c r="A12" s="24" t="inlineStr">
        <is>
          <t>Contenção</t>
        </is>
      </c>
      <c r="B12" s="24" t="inlineStr">
        <is>
          <t>Se houver subsolo</t>
        </is>
      </c>
      <c r="C12" s="28" t="n">
        <v>1</v>
      </c>
      <c r="D12" s="24" t="inlineStr">
        <is>
          <t>vb</t>
        </is>
      </c>
      <c r="E12" s="5">
        <f>INDICES!B24</f>
        <v/>
      </c>
      <c r="F12" s="4">
        <f>C12*E12</f>
        <v/>
      </c>
      <c r="G12" s="26" t="inlineStr">
        <is>
          <t>IF Sub&gt;0</t>
        </is>
      </c>
    </row>
    <row r="13">
      <c r="A13" s="27" t="inlineStr">
        <is>
          <t>TOTAL</t>
        </is>
      </c>
      <c r="F13" s="21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Terraplanagem</t>
        </is>
      </c>
      <c r="B4" s="24" t="inlineStr">
        <is>
          <t>Corte+aterro+bota-fora</t>
        </is>
      </c>
      <c r="C4" s="4">
        <f>DADOS_PROJETO!B5</f>
        <v/>
      </c>
      <c r="D4" s="24" t="inlineStr">
        <is>
          <t>m²</t>
        </is>
      </c>
      <c r="E4" s="5">
        <f>INDICES!B25</f>
        <v/>
      </c>
      <c r="F4" s="4">
        <f>C4*E4</f>
        <v/>
      </c>
      <c r="G4" s="26" t="inlineStr">
        <is>
          <t>Param. base + IF sub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2" t="inlineStr">
        <is>
          <t>Total:</t>
        </is>
      </c>
    </row>
    <row r="2">
      <c r="G2" s="23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Projetos</t>
        </is>
      </c>
      <c r="B4" s="24" t="inlineStr">
        <is>
          <t>Arq+compl+compat</t>
        </is>
      </c>
      <c r="C4" s="28" t="n">
        <v>1</v>
      </c>
      <c r="D4" s="24" t="inlineStr">
        <is>
          <t>vb</t>
        </is>
      </c>
      <c r="E4" s="25" t="n">
        <v>650000</v>
      </c>
      <c r="F4" s="4">
        <f>C4*E4</f>
        <v/>
      </c>
      <c r="G4" s="26" t="inlineStr">
        <is>
          <t>Param. base</t>
        </is>
      </c>
    </row>
    <row r="5">
      <c r="A5" s="24" t="inlineStr">
        <is>
          <t>Consultorias</t>
        </is>
      </c>
      <c r="B5" s="24" t="inlineStr">
        <is>
          <t>ATP+compat BIM</t>
        </is>
      </c>
      <c r="C5" s="28" t="n">
        <v>1</v>
      </c>
      <c r="D5" s="24" t="inlineStr">
        <is>
          <t>vb</t>
        </is>
      </c>
      <c r="E5" s="25" t="n">
        <v>180000</v>
      </c>
      <c r="F5" s="4">
        <f>C5*E5</f>
        <v/>
      </c>
      <c r="G5" s="26" t="inlineStr">
        <is>
          <t>Param. base</t>
        </is>
      </c>
    </row>
    <row r="6">
      <c r="A6" s="24" t="inlineStr">
        <is>
          <t>Ensaios</t>
        </is>
      </c>
      <c r="B6" s="24" t="inlineStr">
        <is>
          <t>Ctrl tecnol.</t>
        </is>
      </c>
      <c r="C6" s="28" t="n">
        <v>1</v>
      </c>
      <c r="D6" s="24" t="inlineStr">
        <is>
          <t>vb</t>
        </is>
      </c>
      <c r="E6" s="25" t="n">
        <v>130000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Taxas e seguros</t>
        </is>
      </c>
      <c r="B7" s="24" t="inlineStr">
        <is>
          <t>Incorp+licenças</t>
        </is>
      </c>
      <c r="C7" s="28" t="n">
        <v>1</v>
      </c>
      <c r="D7" s="24" t="inlineStr">
        <is>
          <t>vb</t>
        </is>
      </c>
      <c r="E7" s="25" t="n">
        <v>380000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Engenheiro PJ</t>
        </is>
      </c>
      <c r="B8" s="24" t="inlineStr">
        <is>
          <t>1×prazo</t>
        </is>
      </c>
      <c r="C8" s="4">
        <f>DADOS_PROJETO!B11</f>
        <v/>
      </c>
      <c r="D8" s="24" t="inlineStr">
        <is>
          <t>mês</t>
        </is>
      </c>
      <c r="E8" s="25" t="n">
        <v>10500</v>
      </c>
      <c r="F8" s="4">
        <f>C8*E8</f>
        <v/>
      </c>
      <c r="G8" s="26" t="inlineStr">
        <is>
          <t>Master R$ 10,5k (5p)</t>
        </is>
      </c>
    </row>
    <row r="9">
      <c r="A9" s="24" t="inlineStr">
        <is>
          <t>Mestre obras</t>
        </is>
      </c>
      <c r="B9" s="24" t="inlineStr">
        <is>
          <t>1×prazo</t>
        </is>
      </c>
      <c r="C9" s="4">
        <f>DADOS_PROJETO!B11</f>
        <v/>
      </c>
      <c r="D9" s="24" t="inlineStr">
        <is>
          <t>mês</t>
        </is>
      </c>
      <c r="E9" s="25" t="n">
        <v>9940</v>
      </c>
      <c r="F9" s="4">
        <f>C9*E9</f>
        <v/>
      </c>
      <c r="G9" s="26" t="inlineStr">
        <is>
          <t>Master R$ 9,9k (4p)</t>
        </is>
      </c>
    </row>
    <row r="10">
      <c r="A10" s="24" t="inlineStr">
        <is>
          <t>Encarregado</t>
        </is>
      </c>
      <c r="B10" s="24" t="inlineStr">
        <is>
          <t>1×prazo</t>
        </is>
      </c>
      <c r="C10" s="4">
        <f>DADOS_PROJETO!B11</f>
        <v/>
      </c>
      <c r="D10" s="24" t="inlineStr">
        <is>
          <t>mês</t>
        </is>
      </c>
      <c r="E10" s="25" t="n">
        <v>8000</v>
      </c>
      <c r="F10" s="4">
        <f>C10*E10</f>
        <v/>
      </c>
      <c r="G10" s="26" t="inlineStr">
        <is>
          <t>Narrativo R$ 8k</t>
        </is>
      </c>
    </row>
    <row r="11">
      <c r="A11" s="24" t="inlineStr">
        <is>
          <t>Estagiário</t>
        </is>
      </c>
      <c r="B11" s="24" t="inlineStr">
        <is>
          <t>2×prazo</t>
        </is>
      </c>
      <c r="C11" s="4">
        <f>DADOS_PROJETO!B11*2</f>
        <v/>
      </c>
      <c r="D11" s="24" t="inlineStr">
        <is>
          <t>mês</t>
        </is>
      </c>
      <c r="E11" s="25" t="n">
        <v>1580</v>
      </c>
      <c r="F11" s="4">
        <f>C11*E11</f>
        <v/>
      </c>
      <c r="G11" s="26" t="inlineStr">
        <is>
          <t>Master R$ 1,6k (3p)</t>
        </is>
      </c>
    </row>
    <row r="12">
      <c r="A12" s="24" t="inlineStr">
        <is>
          <t>Téc.segurança</t>
        </is>
      </c>
      <c r="B12" s="24" t="inlineStr">
        <is>
          <t>1×prazo</t>
        </is>
      </c>
      <c r="C12" s="4">
        <f>DADOS_PROJETO!B11</f>
        <v/>
      </c>
      <c r="D12" s="24" t="inlineStr">
        <is>
          <t>mês</t>
        </is>
      </c>
      <c r="E12" s="25" t="n">
        <v>6000</v>
      </c>
      <c r="F12" s="4">
        <f>C12*E12</f>
        <v/>
      </c>
      <c r="G12" s="26" t="inlineStr">
        <is>
          <t>PJ R$ 6k/mês</t>
        </is>
      </c>
    </row>
    <row r="13">
      <c r="A13" s="24" t="inlineStr">
        <is>
          <t>Almoxarife</t>
        </is>
      </c>
      <c r="B13" s="24" t="inlineStr">
        <is>
          <t>1×prazo</t>
        </is>
      </c>
      <c r="C13" s="4">
        <f>DADOS_PROJETO!B11</f>
        <v/>
      </c>
      <c r="D13" s="24" t="inlineStr">
        <is>
          <t>mês</t>
        </is>
      </c>
      <c r="E13" s="25" t="n">
        <v>3377</v>
      </c>
      <c r="F13" s="4">
        <f>C13*E13</f>
        <v/>
      </c>
      <c r="G13" s="26" t="inlineStr">
        <is>
          <t>Master R$ 3,4k (4p)</t>
        </is>
      </c>
    </row>
    <row r="14">
      <c r="A14" s="24" t="inlineStr">
        <is>
          <t>Limpeza obra</t>
        </is>
      </c>
      <c r="B14" s="24" t="inlineStr">
        <is>
          <t>2×prazo</t>
        </is>
      </c>
      <c r="C14" s="4">
        <f>DADOS_PROJETO!B11*2</f>
        <v/>
      </c>
      <c r="D14" s="24" t="inlineStr">
        <is>
          <t>mês</t>
        </is>
      </c>
      <c r="E14" s="25" t="n">
        <v>2500</v>
      </c>
      <c r="F14" s="4">
        <f>C14*E14</f>
        <v/>
      </c>
      <c r="G14" s="26" t="inlineStr">
        <is>
          <t>PJ R$ 2,5k/mês</t>
        </is>
      </c>
    </row>
    <row r="15">
      <c r="A15" s="24" t="inlineStr">
        <is>
          <t>Vigilância</t>
        </is>
      </c>
      <c r="B15" s="24" t="inlineStr">
        <is>
          <t>1×prazo</t>
        </is>
      </c>
      <c r="C15" s="4">
        <f>DADOS_PROJETO!B11</f>
        <v/>
      </c>
      <c r="D15" s="24" t="inlineStr">
        <is>
          <t>mês</t>
        </is>
      </c>
      <c r="E15" s="25" t="n">
        <v>15261</v>
      </c>
      <c r="F15" s="4">
        <f>C15*E15</f>
        <v/>
      </c>
      <c r="G15" s="26" t="inlineStr">
        <is>
          <t>Narrativo R$ 15,3k</t>
        </is>
      </c>
    </row>
    <row r="16">
      <c r="A16" s="24" t="inlineStr">
        <is>
          <t>EPCs</t>
        </is>
      </c>
      <c r="B16" s="24" t="inlineStr">
        <is>
          <t>Fixo por porte</t>
        </is>
      </c>
      <c r="C16" s="28" t="n">
        <v>1</v>
      </c>
      <c r="D16" s="24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6" t="inlineStr">
        <is>
          <t>Master 75 exec</t>
        </is>
      </c>
    </row>
    <row r="17">
      <c r="A17" s="24" t="inlineStr">
        <is>
          <t>EPI</t>
        </is>
      </c>
      <c r="B17" s="24" t="inlineStr">
        <is>
          <t>Individual</t>
        </is>
      </c>
      <c r="C17" s="4">
        <f>DADOS_PROJETO!B11</f>
        <v/>
      </c>
      <c r="D17" s="24" t="inlineStr">
        <is>
          <t>mês</t>
        </is>
      </c>
      <c r="E17" s="25" t="n">
        <v>908</v>
      </c>
      <c r="F17" s="4">
        <f>C17*E17</f>
        <v/>
      </c>
      <c r="G17" s="26" t="inlineStr">
        <is>
          <t>PU base R$ 908 (8p)</t>
        </is>
      </c>
    </row>
    <row r="18">
      <c r="A18" s="24" t="inlineStr">
        <is>
          <t>Meio ambiente</t>
        </is>
      </c>
      <c r="B18" s="24" t="inlineStr">
        <is>
          <t>PCMAT+PCMSO</t>
        </is>
      </c>
      <c r="C18" s="28" t="n">
        <v>1</v>
      </c>
      <c r="D18" s="24" t="inlineStr">
        <is>
          <t>vb</t>
        </is>
      </c>
      <c r="E18" s="25" t="n">
        <v>45000</v>
      </c>
      <c r="F18" s="4">
        <f>C18*E18</f>
        <v/>
      </c>
      <c r="G18" s="26" t="inlineStr">
        <is>
          <t>Param. base</t>
        </is>
      </c>
    </row>
    <row r="19">
      <c r="A19" s="24" t="inlineStr">
        <is>
          <t>Op. inicial</t>
        </is>
      </c>
      <c r="B19" s="24" t="inlineStr">
        <is>
          <t>Mobilização</t>
        </is>
      </c>
      <c r="C19" s="28" t="n">
        <v>1</v>
      </c>
      <c r="D19" s="24" t="inlineStr">
        <is>
          <t>vb</t>
        </is>
      </c>
      <c r="E19" s="25" t="n">
        <v>55000</v>
      </c>
      <c r="F19" s="4">
        <f>C19*E19</f>
        <v/>
      </c>
      <c r="G19" s="26" t="inlineStr">
        <is>
          <t>Param. base</t>
        </is>
      </c>
    </row>
    <row r="20">
      <c r="A20" s="24" t="inlineStr">
        <is>
          <t>Inst. provisórias</t>
        </is>
      </c>
      <c r="B20" s="24" t="inlineStr">
        <is>
          <t>Canteiro+containers</t>
        </is>
      </c>
      <c r="C20" s="28" t="n">
        <v>1</v>
      </c>
      <c r="D20" s="24" t="inlineStr">
        <is>
          <t>vb</t>
        </is>
      </c>
      <c r="E20" s="25" t="n">
        <v>160000</v>
      </c>
      <c r="F20" s="4">
        <f>C20*E20</f>
        <v/>
      </c>
      <c r="G20" s="26" t="inlineStr">
        <is>
          <t>Param. base</t>
        </is>
      </c>
    </row>
    <row r="21">
      <c r="A21" s="24" t="inlineStr">
        <is>
          <t>Desp. consumo</t>
        </is>
      </c>
      <c r="B21" s="24" t="inlineStr">
        <is>
          <t>Água+en+internet+IPTU</t>
        </is>
      </c>
      <c r="C21" s="4">
        <f>DADOS_PROJETO!B11</f>
        <v/>
      </c>
      <c r="D21" s="24" t="inlineStr">
        <is>
          <t>mês</t>
        </is>
      </c>
      <c r="E21" s="25" t="n">
        <v>11500</v>
      </c>
      <c r="F21" s="4">
        <f>C21*E21</f>
        <v/>
      </c>
      <c r="G21" s="26" t="inlineStr">
        <is>
          <t>PU base (9p)</t>
        </is>
      </c>
    </row>
    <row r="22">
      <c r="A22" s="24" t="inlineStr">
        <is>
          <t>Equipamentos</t>
        </is>
      </c>
      <c r="B22" s="24" t="inlineStr">
        <is>
          <t>Grua+cremalheira</t>
        </is>
      </c>
      <c r="C22" s="28" t="n">
        <v>1</v>
      </c>
      <c r="D22" s="24" t="inlineStr">
        <is>
          <t>vb</t>
        </is>
      </c>
      <c r="E22" s="25" t="n">
        <v>480000</v>
      </c>
      <c r="F22" s="4">
        <f>C22*E22</f>
        <v/>
      </c>
      <c r="G22" s="26" t="inlineStr">
        <is>
          <t>Narrativo</t>
        </is>
      </c>
    </row>
    <row r="23">
      <c r="A23" s="24" t="inlineStr">
        <is>
          <t>Comunic.visual</t>
        </is>
      </c>
      <c r="B23" s="24" t="inlineStr">
        <is>
          <t>Placas+tapume</t>
        </is>
      </c>
      <c r="C23" s="28" t="n">
        <v>1</v>
      </c>
      <c r="D23" s="24" t="inlineStr">
        <is>
          <t>vb</t>
        </is>
      </c>
      <c r="E23" s="25" t="n">
        <v>47000</v>
      </c>
      <c r="F23" s="4">
        <f>C23*E23</f>
        <v/>
      </c>
      <c r="G23" s="26" t="inlineStr">
        <is>
          <t>PU base R$ 47k (17p)</t>
        </is>
      </c>
    </row>
    <row r="24">
      <c r="A24" s="27" t="inlineStr">
        <is>
          <t>TOTAL</t>
        </is>
      </c>
      <c r="F24" s="21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Bloco cerâm.</t>
        </is>
      </c>
      <c r="B4" s="24" t="inlineStr">
        <is>
          <t>Vedação 14cm</t>
        </is>
      </c>
      <c r="C4" s="4">
        <f>ROUND(INDICES!B13*DADOS_PROJETO!B5*0.40,0)</f>
        <v/>
      </c>
      <c r="D4" s="24" t="inlineStr">
        <is>
          <t>m²</t>
        </is>
      </c>
      <c r="E4" s="25" t="n">
        <v>32.95</v>
      </c>
      <c r="F4" s="4">
        <f>C4*E4</f>
        <v/>
      </c>
      <c r="G4" s="26" t="inlineStr">
        <is>
          <t>Índ 2,25×40%</t>
        </is>
      </c>
    </row>
    <row r="5">
      <c r="A5" s="24" t="inlineStr">
        <is>
          <t>Drywall ST</t>
        </is>
      </c>
      <c r="B5" s="24" t="inlineStr">
        <is>
          <t>Internas</t>
        </is>
      </c>
      <c r="C5" s="4">
        <f>ROUND(INDICES!B13*DADOS_PROJETO!B5*0.25,0)</f>
        <v/>
      </c>
      <c r="D5" s="24" t="inlineStr">
        <is>
          <t>m²</t>
        </is>
      </c>
      <c r="E5" s="25" t="n">
        <v>156</v>
      </c>
      <c r="F5" s="4">
        <f>C5*E5</f>
        <v/>
      </c>
      <c r="G5" s="26" t="inlineStr">
        <is>
          <t>Índ 2,25×25%</t>
        </is>
      </c>
    </row>
    <row r="6">
      <c r="A6" s="24" t="inlineStr">
        <is>
          <t>Drywall RU</t>
        </is>
      </c>
      <c r="B6" s="24" t="inlineStr">
        <is>
          <t>Molhadas</t>
        </is>
      </c>
      <c r="C6" s="4">
        <f>ROUND(INDICES!B13*DADOS_PROJETO!B5*0.08,0)</f>
        <v/>
      </c>
      <c r="D6" s="24" t="inlineStr">
        <is>
          <t>m²</t>
        </is>
      </c>
      <c r="E6" s="25" t="n">
        <v>195</v>
      </c>
      <c r="F6" s="4">
        <f>C6*E6</f>
        <v/>
      </c>
      <c r="G6" s="26" t="inlineStr">
        <is>
          <t>Índ 2,25×8%</t>
        </is>
      </c>
    </row>
    <row r="7">
      <c r="A7" s="24" t="inlineStr">
        <is>
          <t>Argamassa</t>
        </is>
      </c>
      <c r="B7" s="24" t="inlineStr">
        <is>
          <t>Assentamento</t>
        </is>
      </c>
      <c r="C7" s="4">
        <f>ROUND(INDICES!B13*DADOS_PROJETO!B5*0.40,0)</f>
        <v/>
      </c>
      <c r="D7" s="24" t="inlineStr">
        <is>
          <t>m²</t>
        </is>
      </c>
      <c r="E7" s="25" t="n">
        <v>3.8</v>
      </c>
      <c r="F7" s="4">
        <f>C7*E7</f>
        <v/>
      </c>
      <c r="G7" s="26" t="inlineStr">
        <is>
          <t>PU base</t>
        </is>
      </c>
    </row>
    <row r="8">
      <c r="A8" s="24" t="inlineStr">
        <is>
          <t>MO Alvenaria</t>
        </is>
      </c>
      <c r="B8" s="24" t="inlineStr">
        <is>
          <t>Empreitada</t>
        </is>
      </c>
      <c r="C8" s="4">
        <f>ROUND(INDICES!B13*DADOS_PROJETO!B5*0.40,0)</f>
        <v/>
      </c>
      <c r="D8" s="24" t="inlineStr">
        <is>
          <t>m²</t>
        </is>
      </c>
      <c r="E8" s="25" t="n">
        <v>28.5</v>
      </c>
      <c r="F8" s="4">
        <f>C8*E8</f>
        <v/>
      </c>
      <c r="G8" s="26" t="inlineStr">
        <is>
          <t>Split 35,7% (9p)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Manta 4mm</t>
        </is>
      </c>
      <c r="B4" s="24" t="inlineStr">
        <is>
          <t>Material</t>
        </is>
      </c>
      <c r="C4" s="4">
        <f>ROUND(INDICES!B19*DADOS_PROJETO!B5,0)</f>
        <v/>
      </c>
      <c r="D4" s="24" t="inlineStr">
        <is>
          <t>m²</t>
        </is>
      </c>
      <c r="E4" s="25" t="n">
        <v>82.11</v>
      </c>
      <c r="F4" s="4">
        <f>C4*E4</f>
        <v/>
      </c>
      <c r="G4" s="26" t="inlineStr">
        <is>
          <t>Índ impermeab×AC</t>
        </is>
      </c>
    </row>
    <row r="5">
      <c r="A5" s="24" t="inlineStr">
        <is>
          <t>Arg.polim.</t>
        </is>
      </c>
      <c r="B5" s="24" t="inlineStr">
        <is>
          <t>BWC</t>
        </is>
      </c>
      <c r="C5" s="4">
        <f>ROUND(INDICES!B19*DADOS_PROJETO!B5*0.3,0)</f>
        <v/>
      </c>
      <c r="D5" s="24" t="inlineStr">
        <is>
          <t>m²</t>
        </is>
      </c>
      <c r="E5" s="25" t="n">
        <v>8.5</v>
      </c>
      <c r="F5" s="4">
        <f>C5*E5</f>
        <v/>
      </c>
      <c r="G5" s="26" t="inlineStr">
        <is>
          <t>PU base</t>
        </is>
      </c>
    </row>
    <row r="6">
      <c r="A6" s="24" t="inlineStr">
        <is>
          <t>Regulariz.</t>
        </is>
      </c>
      <c r="B6" s="24" t="inlineStr">
        <is>
          <t>Superfície</t>
        </is>
      </c>
      <c r="C6" s="4">
        <f>ROUND(INDICES!B19*DADOS_PROJETO!B5,0)</f>
        <v/>
      </c>
      <c r="D6" s="24" t="inlineStr">
        <is>
          <t>m²</t>
        </is>
      </c>
      <c r="E6" s="25" t="n">
        <v>5.57</v>
      </c>
      <c r="F6" s="4">
        <f>C6*E6</f>
        <v/>
      </c>
      <c r="G6" s="26" t="inlineStr">
        <is>
          <t>PU base (15p)</t>
        </is>
      </c>
    </row>
    <row r="7">
      <c r="A7" s="24" t="inlineStr">
        <is>
          <t>MO imper.</t>
        </is>
      </c>
      <c r="B7" s="24" t="inlineStr">
        <is>
          <t>Empreitada</t>
        </is>
      </c>
      <c r="C7" s="4">
        <f>ROUND(INDICES!B19*DADOS_PROJETO!B5,0)</f>
        <v/>
      </c>
      <c r="D7" s="24" t="inlineStr">
        <is>
          <t>m²</t>
        </is>
      </c>
      <c r="E7" s="25" t="n">
        <v>68</v>
      </c>
      <c r="F7" s="4">
        <f>C7*E7</f>
        <v/>
      </c>
      <c r="G7" s="26" t="inlineStr">
        <is>
          <t>Split 56,5% (6p)</t>
        </is>
      </c>
    </row>
    <row r="8">
      <c r="A8" s="24" t="inlineStr">
        <is>
          <t>MO regul.</t>
        </is>
      </c>
      <c r="B8" s="24" t="inlineStr">
        <is>
          <t>Empreitada</t>
        </is>
      </c>
      <c r="C8" s="4">
        <f>ROUND(INDICES!B19*DADOS_PROJETO!B5,0)</f>
        <v/>
      </c>
      <c r="D8" s="24" t="inlineStr">
        <is>
          <t>m²</t>
        </is>
      </c>
      <c r="E8" s="25" t="n">
        <v>19.5</v>
      </c>
      <c r="F8" s="4">
        <f>C8*E8</f>
        <v/>
      </c>
      <c r="G8" s="26" t="inlineStr">
        <is>
          <t>PU base (7p)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Elétricas mat.</t>
        </is>
      </c>
      <c r="B4" s="24" t="inlineStr">
        <is>
          <t>IF Tipologia</t>
        </is>
      </c>
      <c r="C4" s="4">
        <f>DADOS_PROJETO!B5</f>
        <v/>
      </c>
      <c r="D4" s="24" t="inlineStr">
        <is>
          <t>m²</t>
        </is>
      </c>
      <c r="E4" s="5">
        <f>ROUND(130*(DADOS_PROJETO!B12/2752.67)/1.1*0.618*INDICES!B27,2)</f>
        <v/>
      </c>
      <c r="F4" s="4">
        <f>C4*E4</f>
        <v/>
      </c>
      <c r="G4" s="26" t="inlineStr">
        <is>
          <t>Índ 1,77m/m² × fator tipol.</t>
        </is>
      </c>
    </row>
    <row r="5">
      <c r="A5" s="24" t="inlineStr">
        <is>
          <t>Elétricas MO</t>
        </is>
      </c>
      <c r="B5" s="24" t="inlineStr">
        <is>
          <t>Empreitada</t>
        </is>
      </c>
      <c r="C5" s="4">
        <f>DADOS_PROJETO!B5</f>
        <v/>
      </c>
      <c r="D5" s="24" t="inlineStr">
        <is>
          <t>m²</t>
        </is>
      </c>
      <c r="E5" s="5">
        <f>ROUND(130*(DADOS_PROJETO!B12/2752.67)/1.1*0.382*INDICES!B27,2)</f>
        <v/>
      </c>
      <c r="F5" s="4">
        <f>C5*E5</f>
        <v/>
      </c>
      <c r="G5" s="26" t="inlineStr">
        <is>
          <t>Split 38,2% × fator tipol.</t>
        </is>
      </c>
    </row>
    <row r="6">
      <c r="A6" s="24" t="inlineStr">
        <is>
          <t>Hidro mat.</t>
        </is>
      </c>
      <c r="B6" s="24" t="inlineStr">
        <is>
          <t>IF BWC/apto</t>
        </is>
      </c>
      <c r="C6" s="4">
        <f>DADOS_PROJETO!B5</f>
        <v/>
      </c>
      <c r="D6" s="24" t="inlineStr">
        <is>
          <t>m²</t>
        </is>
      </c>
      <c r="E6" s="5">
        <f>ROUND(145*(DADOS_PROJETO!B12/2752.67)/1.1*0.66*IF(VALUE(BRIEFING!B15)&gt;=2,1.15,1),2)</f>
        <v/>
      </c>
      <c r="F6" s="4">
        <f>C6*E6</f>
        <v/>
      </c>
      <c r="G6" s="26" t="inlineStr">
        <is>
          <t>Índ 1,08m/m² × IF BWC</t>
        </is>
      </c>
    </row>
    <row r="7">
      <c r="A7" s="24" t="inlineStr">
        <is>
          <t>Hidro MO</t>
        </is>
      </c>
      <c r="B7" s="24" t="inlineStr">
        <is>
          <t>Empreitada</t>
        </is>
      </c>
      <c r="C7" s="4">
        <f>DADOS_PROJETO!B5</f>
        <v/>
      </c>
      <c r="D7" s="24" t="inlineStr">
        <is>
          <t>m²</t>
        </is>
      </c>
      <c r="E7" s="5">
        <f>ROUND(145*(DADOS_PROJETO!B12/2752.67)/1.1*0.34*IF(VALUE(BRIEFING!B15)&gt;=2,1.15,1),2)</f>
        <v/>
      </c>
      <c r="F7" s="4">
        <f>C7*E7</f>
        <v/>
      </c>
      <c r="G7" s="26" t="inlineStr">
        <is>
          <t>Split 34,0% × IF BWC</t>
        </is>
      </c>
    </row>
    <row r="8">
      <c r="A8" s="24" t="inlineStr">
        <is>
          <t>Preventivas</t>
        </is>
      </c>
      <c r="B8" s="24" t="inlineStr">
        <is>
          <t>Mat+MO</t>
        </is>
      </c>
      <c r="C8" s="4">
        <f>DADOS_PROJETO!B5</f>
        <v/>
      </c>
      <c r="D8" s="24" t="inlineStr">
        <is>
          <t>m²</t>
        </is>
      </c>
      <c r="E8" s="5">
        <f>ROUND(45*(DADOS_PROJETO!B12/2752.67)/1.1,2)</f>
        <v/>
      </c>
      <c r="F8" s="4">
        <f>C8*E8</f>
        <v/>
      </c>
      <c r="G8" s="26" t="inlineStr">
        <is>
          <t>Param.</t>
        </is>
      </c>
    </row>
    <row r="9">
      <c r="A9" s="24" t="inlineStr">
        <is>
          <t>Gás</t>
        </is>
      </c>
      <c r="B9" s="24" t="inlineStr">
        <is>
          <t>Mat+MO</t>
        </is>
      </c>
      <c r="C9" s="4">
        <f>DADOS_PROJETO!B5</f>
        <v/>
      </c>
      <c r="D9" s="24" t="inlineStr">
        <is>
          <t>m²</t>
        </is>
      </c>
      <c r="E9" s="5">
        <f>ROUND(18*(DADOS_PROJETO!B12/2752.67)/1.1,2)</f>
        <v/>
      </c>
      <c r="F9" s="4">
        <f>C9*E9</f>
        <v/>
      </c>
      <c r="G9" s="26" t="inlineStr">
        <is>
          <t>Param. base</t>
        </is>
      </c>
    </row>
    <row r="10">
      <c r="A10" s="24" t="inlineStr">
        <is>
          <t>Telecom</t>
        </is>
      </c>
      <c r="B10" s="24" t="inlineStr">
        <is>
          <t>Mat+MO</t>
        </is>
      </c>
      <c r="C10" s="4">
        <f>DADOS_PROJETO!B5</f>
        <v/>
      </c>
      <c r="D10" s="24" t="inlineStr">
        <is>
          <t>m²</t>
        </is>
      </c>
      <c r="E10" s="5">
        <f>ROUND(15*(DADOS_PROJETO!B12/2752.67)/1.1,2)</f>
        <v/>
      </c>
      <c r="F10" s="4">
        <f>C10*E10</f>
        <v/>
      </c>
      <c r="G10" s="26" t="inlineStr">
        <is>
          <t>Param. base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Elevador social</t>
        </is>
      </c>
      <c r="B4" s="24" t="inlineStr">
        <is>
          <t>N-1 elevadores</t>
        </is>
      </c>
      <c r="C4" s="4">
        <f>MAX(1,DADOS_PROJETO!B9-1)</f>
        <v/>
      </c>
      <c r="D4" s="24" t="inlineStr">
        <is>
          <t>un</t>
        </is>
      </c>
      <c r="E4" s="25" t="n">
        <v>192450</v>
      </c>
      <c r="F4" s="4">
        <f>C4*E4</f>
        <v/>
      </c>
      <c r="G4" s="26" t="inlineStr">
        <is>
          <t>PU base (5p)</t>
        </is>
      </c>
    </row>
    <row r="5">
      <c r="A5" s="24" t="inlineStr">
        <is>
          <t>Elevador serv.</t>
        </is>
      </c>
      <c r="B5" s="24" t="inlineStr">
        <is>
          <t>1un</t>
        </is>
      </c>
      <c r="C5" s="28" t="n">
        <v>1</v>
      </c>
      <c r="D5" s="24" t="inlineStr">
        <is>
          <t>un</t>
        </is>
      </c>
      <c r="E5" s="25" t="n">
        <v>96000</v>
      </c>
      <c r="F5" s="4">
        <f>C5*E5</f>
        <v/>
      </c>
      <c r="G5" s="26" t="inlineStr">
        <is>
          <t>PU base (5p)</t>
        </is>
      </c>
    </row>
    <row r="6">
      <c r="A6" s="24" t="inlineStr">
        <is>
          <t>Gerador</t>
        </is>
      </c>
      <c r="B6" s="24" t="inlineStr">
        <is>
          <t>IF Gerador+Torres</t>
        </is>
      </c>
      <c r="C6" s="28" t="n">
        <v>1</v>
      </c>
      <c r="D6" s="24" t="inlineStr">
        <is>
          <t>vb</t>
        </is>
      </c>
      <c r="E6" s="5">
        <f>INDICES!B23</f>
        <v/>
      </c>
      <c r="F6" s="4">
        <f>C6*E6</f>
        <v/>
      </c>
      <c r="G6" s="26" t="inlineStr">
        <is>
          <t>IF Gerador B11 + Torres B10</t>
        </is>
      </c>
    </row>
    <row r="7">
      <c r="A7" s="24" t="inlineStr">
        <is>
          <t>Automação</t>
        </is>
      </c>
      <c r="B7" s="24" t="inlineStr">
        <is>
          <t>BMS+sensores</t>
        </is>
      </c>
      <c r="C7" s="28" t="n">
        <v>1</v>
      </c>
      <c r="D7" s="24" t="inlineStr">
        <is>
          <t>vb</t>
        </is>
      </c>
      <c r="E7" s="25" t="n">
        <v>120000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Piscina</t>
        </is>
      </c>
      <c r="B8" s="24" t="inlineStr">
        <is>
          <t>IF Piscina B17</t>
        </is>
      </c>
      <c r="C8" s="28" t="n">
        <v>1</v>
      </c>
      <c r="D8" s="24" t="inlineStr">
        <is>
          <t>vb</t>
        </is>
      </c>
      <c r="E8" s="5">
        <f>INDICES!B30</f>
        <v/>
      </c>
      <c r="F8" s="4">
        <f>C8*E8</f>
        <v/>
      </c>
      <c r="G8" s="26" t="inlineStr">
        <is>
          <t>IF Piscina (Sim/Não/Aquecida)</t>
        </is>
      </c>
    </row>
    <row r="9">
      <c r="A9" s="24" t="inlineStr">
        <is>
          <t>CFTV</t>
        </is>
      </c>
      <c r="B9" s="24" t="inlineStr">
        <is>
          <t>Câmeras+DVR</t>
        </is>
      </c>
      <c r="C9" s="28" t="n">
        <v>1</v>
      </c>
      <c r="D9" s="24" t="inlineStr">
        <is>
          <t>vb</t>
        </is>
      </c>
      <c r="E9" s="25" t="n">
        <v>120000</v>
      </c>
      <c r="F9" s="4">
        <f>C9*E9</f>
        <v/>
      </c>
      <c r="G9" s="26" t="inlineStr">
        <is>
          <t>Param. base</t>
        </is>
      </c>
    </row>
    <row r="10">
      <c r="A10" s="24" t="inlineStr">
        <is>
          <t>Pressurização</t>
        </is>
      </c>
      <c r="B10" s="24" t="inlineStr">
        <is>
          <t>IF Pressurização B9</t>
        </is>
      </c>
      <c r="C10" s="28" t="n">
        <v>1</v>
      </c>
      <c r="D10" s="24" t="inlineStr">
        <is>
          <t>vb</t>
        </is>
      </c>
      <c r="E10" s="5">
        <f>INDICES!B22</f>
        <v/>
      </c>
      <c r="F10" s="4">
        <f>C10*E10</f>
        <v/>
      </c>
      <c r="G10" s="26" t="inlineStr">
        <is>
          <t>IF Pressurização</t>
        </is>
      </c>
    </row>
    <row r="11">
      <c r="A11" s="24" t="inlineStr">
        <is>
          <t>SPDA</t>
        </is>
      </c>
      <c r="B11" s="24" t="inlineStr">
        <is>
          <t>Para-raios+malha</t>
        </is>
      </c>
      <c r="C11" s="28" t="n">
        <v>1</v>
      </c>
      <c r="D11" s="24" t="inlineStr">
        <is>
          <t>vb</t>
        </is>
      </c>
      <c r="E11" s="25" t="n">
        <v>55000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Interfonia</t>
        </is>
      </c>
      <c r="B12" s="24" t="inlineStr">
        <is>
          <t>Ctrl acesso</t>
        </is>
      </c>
      <c r="C12" s="28" t="n">
        <v>1</v>
      </c>
      <c r="D12" s="24" t="inlineStr">
        <is>
          <t>vb</t>
        </is>
      </c>
      <c r="E12" s="25" t="n">
        <v>130000</v>
      </c>
      <c r="F12" s="4">
        <f>C12*E12</f>
        <v/>
      </c>
      <c r="G12" s="26" t="inlineStr">
        <is>
          <t>Param. base</t>
        </is>
      </c>
    </row>
    <row r="13">
      <c r="A13" s="24" t="inlineStr">
        <is>
          <t>Bombas</t>
        </is>
      </c>
      <c r="B13" s="24" t="inlineStr">
        <is>
          <t>Recalque+incêndio</t>
        </is>
      </c>
      <c r="C13" s="28" t="n">
        <v>1</v>
      </c>
      <c r="D13" s="24" t="inlineStr">
        <is>
          <t>vb</t>
        </is>
      </c>
      <c r="E13" s="25" t="n">
        <v>95000</v>
      </c>
      <c r="F13" s="4">
        <f>C13*E13</f>
        <v/>
      </c>
      <c r="G13" s="26" t="inlineStr">
        <is>
          <t>Param. base</t>
        </is>
      </c>
    </row>
    <row r="14">
      <c r="A14" s="24" t="inlineStr">
        <is>
          <t>Quadros comando</t>
        </is>
      </c>
      <c r="B14" s="24" t="inlineStr">
        <is>
          <t>Bombas+sist</t>
        </is>
      </c>
      <c r="C14" s="28" t="n">
        <v>1</v>
      </c>
      <c r="D14" s="24" t="inlineStr">
        <is>
          <t>vb</t>
        </is>
      </c>
      <c r="E14" s="25" t="n">
        <v>60000</v>
      </c>
      <c r="F14" s="4">
        <f>C14*E14</f>
        <v/>
      </c>
      <c r="G14" s="26" t="inlineStr">
        <is>
          <t>Param. base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Split</t>
        </is>
      </c>
      <c r="B4" s="24" t="inlineStr">
        <is>
          <t>1,5/apto</t>
        </is>
      </c>
      <c r="C4" s="4">
        <f>ROUND(DADOS_PROJETO!B6*1.5,0)</f>
        <v/>
      </c>
      <c r="D4" s="24" t="inlineStr">
        <is>
          <t>un</t>
        </is>
      </c>
      <c r="E4" s="25" t="n">
        <v>3500</v>
      </c>
      <c r="F4" s="4">
        <f>C4*E4</f>
        <v/>
      </c>
      <c r="G4" s="26" t="inlineStr">
        <is>
          <t>Param. 1,5/apto</t>
        </is>
      </c>
    </row>
    <row r="5">
      <c r="A5" s="24" t="inlineStr">
        <is>
          <t>Exaust.BWC</t>
        </is>
      </c>
      <c r="B5" s="24" t="inlineStr">
        <is>
          <t>4/pav enclaus.</t>
        </is>
      </c>
      <c r="C5" s="4">
        <f>4*DADOS_PROJETO!B8</f>
        <v/>
      </c>
      <c r="D5" s="24" t="inlineStr">
        <is>
          <t>un</t>
        </is>
      </c>
      <c r="E5" s="25" t="n">
        <v>1200</v>
      </c>
      <c r="F5" s="4">
        <f>C5*E5</f>
        <v/>
      </c>
      <c r="G5" s="26" t="inlineStr">
        <is>
          <t>4 bwc/pav</t>
        </is>
      </c>
    </row>
    <row r="6">
      <c r="A6" s="24" t="inlineStr">
        <is>
          <t>Exaust.churr.</t>
        </is>
      </c>
      <c r="B6" s="24" t="inlineStr">
        <is>
          <t>2/pav+lazer</t>
        </is>
      </c>
      <c r="C6" s="4">
        <f>2*DADOS_PROJETO!B8+2</f>
        <v/>
      </c>
      <c r="D6" s="24" t="inlineStr">
        <is>
          <t>un</t>
        </is>
      </c>
      <c r="E6" s="25" t="n">
        <v>2500</v>
      </c>
      <c r="F6" s="4">
        <f>C6*E6</f>
        <v/>
      </c>
      <c r="G6" s="26" t="inlineStr">
        <is>
          <t>2/pav+lazer</t>
        </is>
      </c>
    </row>
    <row r="7">
      <c r="A7" s="24" t="inlineStr">
        <is>
          <t>Infra AR</t>
        </is>
      </c>
      <c r="B7" s="24" t="inlineStr">
        <is>
          <t>Dutos+tub</t>
        </is>
      </c>
      <c r="C7" s="4">
        <f>DADOS_PROJETO!B5</f>
        <v/>
      </c>
      <c r="D7" s="24" t="inlineStr">
        <is>
          <t>m²</t>
        </is>
      </c>
      <c r="E7" s="25" t="n">
        <v>10</v>
      </c>
      <c r="F7" s="4">
        <f>C7*E7</f>
        <v/>
      </c>
      <c r="G7" s="26" t="inlineStr">
        <is>
          <t>PU base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Reboco</t>
        </is>
      </c>
      <c r="B4" s="24" t="inlineStr">
        <is>
          <t>Massa única</t>
        </is>
      </c>
      <c r="C4" s="4">
        <f>ROUND(INDICES!B15*DADOS_PROJETO!B5*0.35,0)</f>
        <v/>
      </c>
      <c r="D4" s="24" t="inlineStr">
        <is>
          <t>m²</t>
        </is>
      </c>
      <c r="E4" s="25" t="n">
        <v>7</v>
      </c>
      <c r="F4" s="4">
        <f>C4*E4</f>
        <v/>
      </c>
      <c r="G4" s="26" t="inlineStr">
        <is>
          <t>Índ 2,85×35%</t>
        </is>
      </c>
    </row>
    <row r="5">
      <c r="A5" s="24" t="inlineStr">
        <is>
          <t>Chapisco</t>
        </is>
      </c>
      <c r="B5" s="24" t="inlineStr">
        <is>
          <t>Rolado+colante</t>
        </is>
      </c>
      <c r="C5" s="4">
        <f>ROUND(INDICES!B15*DADOS_PROJETO!B5*0.35,0)</f>
        <v/>
      </c>
      <c r="D5" s="24" t="inlineStr">
        <is>
          <t>m²</t>
        </is>
      </c>
      <c r="E5" s="25" t="n">
        <v>5.5</v>
      </c>
      <c r="F5" s="4">
        <f>C5*E5</f>
        <v/>
      </c>
      <c r="G5" s="26" t="inlineStr">
        <is>
          <t>PU base</t>
        </is>
      </c>
    </row>
    <row r="6">
      <c r="A6" s="24" t="inlineStr">
        <is>
          <t>Cerâm.BWC</t>
        </is>
      </c>
      <c r="B6" s="24" t="inlineStr">
        <is>
          <t>30×60</t>
        </is>
      </c>
      <c r="C6" s="4">
        <f>ROUND(INDICES!B15*DADOS_PROJETO!B5*0.14,0)</f>
        <v/>
      </c>
      <c r="D6" s="24" t="inlineStr">
        <is>
          <t>m²</t>
        </is>
      </c>
      <c r="E6" s="5">
        <f>48*INDICES!B20</f>
        <v/>
      </c>
      <c r="F6" s="4">
        <f>C6*E6</f>
        <v/>
      </c>
      <c r="G6" s="26" t="inlineStr">
        <is>
          <t>PU×fator padrão</t>
        </is>
      </c>
    </row>
    <row r="7">
      <c r="A7" s="24" t="inlineStr">
        <is>
          <t>Cerâm.cozinha</t>
        </is>
      </c>
      <c r="B7" s="24" t="inlineStr">
        <is>
          <t>30×60</t>
        </is>
      </c>
      <c r="C7" s="4">
        <f>ROUND(INDICES!B15*DADOS_PROJETO!B5*0.06,0)</f>
        <v/>
      </c>
      <c r="D7" s="24" t="inlineStr">
        <is>
          <t>m²</t>
        </is>
      </c>
      <c r="E7" s="5">
        <f>42*INDICES!B20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Porcel.parede</t>
        </is>
      </c>
      <c r="B8" s="24" t="inlineStr">
        <is>
          <t>Comuns</t>
        </is>
      </c>
      <c r="C8" s="4">
        <f>ROUND(INDICES!B15*DADOS_PROJETO!B5*0.04,0)</f>
        <v/>
      </c>
      <c r="D8" s="24" t="inlineStr">
        <is>
          <t>m²</t>
        </is>
      </c>
      <c r="E8" s="5">
        <f>85*INDICES!B20</f>
        <v/>
      </c>
      <c r="F8" s="4">
        <f>C8*E8</f>
        <v/>
      </c>
      <c r="G8" s="26" t="inlineStr">
        <is>
          <t>PU×fator padrão</t>
        </is>
      </c>
    </row>
    <row r="9">
      <c r="A9" s="24" t="inlineStr">
        <is>
          <t>Granito bancadas</t>
        </is>
      </c>
      <c r="B9" s="24" t="inlineStr">
        <is>
          <t>Lavat+coz</t>
        </is>
      </c>
      <c r="C9" s="4">
        <f>ROUND(DADOS_PROJETO!B6*3.5,0)</f>
        <v/>
      </c>
      <c r="D9" s="24" t="inlineStr">
        <is>
          <t>m</t>
        </is>
      </c>
      <c r="E9" s="5">
        <f>180*INDICES!B20</f>
        <v/>
      </c>
      <c r="F9" s="4">
        <f>C9*E9</f>
        <v/>
      </c>
      <c r="G9" s="26" t="inlineStr">
        <is>
          <t>R$ 180×fator padrão</t>
        </is>
      </c>
    </row>
    <row r="10">
      <c r="A10" s="24" t="inlineStr">
        <is>
          <t>Arg.colante</t>
        </is>
      </c>
      <c r="B10" s="24" t="inlineStr">
        <is>
          <t>AC-II/III</t>
        </is>
      </c>
      <c r="C10" s="4">
        <f>ROUND(INDICES!B15*DADOS_PROJETO!B5*0.24,0)</f>
        <v/>
      </c>
      <c r="D10" s="24" t="inlineStr">
        <is>
          <t>m²</t>
        </is>
      </c>
      <c r="E10" s="25" t="n">
        <v>12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Rejunte</t>
        </is>
      </c>
      <c r="B11" s="24" t="inlineStr">
        <is>
          <t>Flexível</t>
        </is>
      </c>
      <c r="C11" s="4">
        <f>ROUND(INDICES!B15*DADOS_PROJETO!B5*0.24,0)</f>
        <v/>
      </c>
      <c r="D11" s="24" t="inlineStr">
        <is>
          <t>m²</t>
        </is>
      </c>
      <c r="E11" s="25" t="n">
        <v>5</v>
      </c>
      <c r="F11" s="4">
        <f>C11*E11</f>
        <v/>
      </c>
      <c r="G11" s="26" t="inlineStr">
        <is>
          <t>PU base</t>
        </is>
      </c>
    </row>
    <row r="12">
      <c r="A12" s="24" t="inlineStr">
        <is>
          <t>MO reboco</t>
        </is>
      </c>
      <c r="B12" s="24" t="inlineStr">
        <is>
          <t>Empreitada</t>
        </is>
      </c>
      <c r="C12" s="4">
        <f>ROUND(INDICES!B15*DADOS_PROJETO!B5*0.35,0)</f>
        <v/>
      </c>
      <c r="D12" s="24" t="inlineStr">
        <is>
          <t>m²</t>
        </is>
      </c>
      <c r="E12" s="25" t="n">
        <v>22.5</v>
      </c>
      <c r="F12" s="4">
        <f>C12*E12</f>
        <v/>
      </c>
      <c r="G12" s="26" t="inlineStr">
        <is>
          <t>Split 54,4%</t>
        </is>
      </c>
    </row>
    <row r="13">
      <c r="A13" s="24" t="inlineStr">
        <is>
          <t>MO cerâmica</t>
        </is>
      </c>
      <c r="B13" s="24" t="inlineStr">
        <is>
          <t>Assentamento</t>
        </is>
      </c>
      <c r="C13" s="4">
        <f>ROUND(INDICES!B15*DADOS_PROJETO!B5*0.24,0)</f>
        <v/>
      </c>
      <c r="D13" s="24" t="inlineStr">
        <is>
          <t>m²</t>
        </is>
      </c>
      <c r="E13" s="25" t="n">
        <v>35</v>
      </c>
      <c r="F13" s="4">
        <f>C13*E13</f>
        <v/>
      </c>
      <c r="G13" s="26" t="inlineStr">
        <is>
          <t>Split 54,4%</t>
        </is>
      </c>
    </row>
    <row r="14">
      <c r="A14" s="24" t="inlineStr">
        <is>
          <t>MO granito</t>
        </is>
      </c>
      <c r="B14" s="24" t="inlineStr">
        <is>
          <t>Instalação</t>
        </is>
      </c>
      <c r="C14" s="4">
        <f>ROUND(DADOS_PROJETO!B6*3.5,0)</f>
        <v/>
      </c>
      <c r="D14" s="24" t="inlineStr">
        <is>
          <t>m</t>
        </is>
      </c>
      <c r="E14" s="25" t="n">
        <v>35.9</v>
      </c>
      <c r="F14" s="4">
        <f>C14*E14</f>
        <v/>
      </c>
      <c r="G14" s="26" t="inlineStr">
        <is>
          <t>PU base R$ 36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Forro ST</t>
        </is>
      </c>
      <c r="B4" s="24" t="inlineStr">
        <is>
          <t>Acartonado</t>
        </is>
      </c>
      <c r="C4" s="4">
        <f>ROUND(INDICES!B16*DADOS_PROJETO!B5*0.70,0)</f>
        <v/>
      </c>
      <c r="D4" s="24" t="inlineStr">
        <is>
          <t>m²</t>
        </is>
      </c>
      <c r="E4" s="25" t="n">
        <v>28</v>
      </c>
      <c r="F4" s="4">
        <f>C4*E4</f>
        <v/>
      </c>
      <c r="G4" s="26" t="inlineStr">
        <is>
          <t>Índ 1,16×70%</t>
        </is>
      </c>
    </row>
    <row r="5">
      <c r="A5" s="24" t="inlineStr">
        <is>
          <t>Forro RU</t>
        </is>
      </c>
      <c r="B5" s="24" t="inlineStr">
        <is>
          <t>BWC</t>
        </is>
      </c>
      <c r="C5" s="4">
        <f>ROUND(INDICES!B16*DADOS_PROJETO!B5*0.15,0)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Perfis</t>
        </is>
      </c>
      <c r="B6" s="24" t="inlineStr">
        <is>
          <t>Estrutura</t>
        </is>
      </c>
      <c r="C6" s="4">
        <f>ROUND(INDICES!B16*DADOS_PROJETO!B5*0.85,0)</f>
        <v/>
      </c>
      <c r="D6" s="24" t="inlineStr">
        <is>
          <t>m²</t>
        </is>
      </c>
      <c r="E6" s="25" t="n">
        <v>15</v>
      </c>
      <c r="F6" s="4">
        <f>C6*E6</f>
        <v/>
      </c>
      <c r="G6" s="26" t="inlineStr">
        <is>
          <t>PU base</t>
        </is>
      </c>
    </row>
    <row r="7">
      <c r="A7" s="24" t="inlineStr">
        <is>
          <t>MO forro</t>
        </is>
      </c>
      <c r="B7" s="24" t="inlineStr">
        <is>
          <t>Empreitada</t>
        </is>
      </c>
      <c r="C7" s="4">
        <f>ROUND(INDICES!B16*DADOS_PROJETO!B5,0)</f>
        <v/>
      </c>
      <c r="D7" s="24" t="inlineStr">
        <is>
          <t>m²</t>
        </is>
      </c>
      <c r="E7" s="25" t="n">
        <v>25</v>
      </c>
      <c r="F7" s="4">
        <f>C7*E7</f>
        <v/>
      </c>
      <c r="G7" s="26" t="inlineStr">
        <is>
          <t>Split 79,1%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Contrapiso</t>
        </is>
      </c>
      <c r="B4" s="24" t="inlineStr">
        <is>
          <t>Autonivelante</t>
        </is>
      </c>
      <c r="C4" s="4">
        <f>ROUND(INDICES!B14*DADOS_PROJETO!B5,0)</f>
        <v/>
      </c>
      <c r="D4" s="24" t="inlineStr">
        <is>
          <t>m²</t>
        </is>
      </c>
      <c r="E4" s="25" t="n">
        <v>12.1</v>
      </c>
      <c r="F4" s="4">
        <f>C4*E4</f>
        <v/>
      </c>
      <c r="G4" s="26" t="inlineStr">
        <is>
          <t>Índ piso×AC (IF shell)</t>
        </is>
      </c>
    </row>
    <row r="5">
      <c r="A5" s="24" t="inlineStr">
        <is>
          <t>Piso principal</t>
        </is>
      </c>
      <c r="B5" s="24" t="inlineStr">
        <is>
          <t>IF Tipo Piso</t>
        </is>
      </c>
      <c r="C5" s="4">
        <f>ROUND(INDICES!B14*DADOS_PROJETO!B5*0.50,0)</f>
        <v/>
      </c>
      <c r="D5" s="24" t="inlineStr">
        <is>
          <t>m²</t>
        </is>
      </c>
      <c r="E5" s="5">
        <f>INDICES!B29</f>
        <v/>
      </c>
      <c r="F5" s="4">
        <f>C5*E5</f>
        <v/>
      </c>
      <c r="G5" s="26" t="inlineStr">
        <is>
          <t>PU IF Tipo Piso × Padrão</t>
        </is>
      </c>
    </row>
    <row r="6">
      <c r="A6" s="24" t="inlineStr">
        <is>
          <t>Cimentado</t>
        </is>
      </c>
      <c r="B6" s="24" t="inlineStr">
        <is>
          <t>Garagem 20%</t>
        </is>
      </c>
      <c r="C6" s="4">
        <f>ROUND(INDICES!B14*DADOS_PROJETO!B5*0.20,0)</f>
        <v/>
      </c>
      <c r="D6" s="24" t="inlineStr">
        <is>
          <t>m²</t>
        </is>
      </c>
      <c r="E6" s="25" t="n">
        <v>32</v>
      </c>
      <c r="F6" s="4">
        <f>C6*E6</f>
        <v/>
      </c>
      <c r="G6" s="26" t="inlineStr">
        <is>
          <t>PU base</t>
        </is>
      </c>
    </row>
    <row r="7">
      <c r="A7" s="24" t="inlineStr">
        <is>
          <t>Granito</t>
        </is>
      </c>
      <c r="B7" s="24" t="inlineStr">
        <is>
          <t>Halls 5%</t>
        </is>
      </c>
      <c r="C7" s="4">
        <f>ROUND(INDICES!B14*DADOS_PROJETO!B5*0.05,0)</f>
        <v/>
      </c>
      <c r="D7" s="24" t="inlineStr">
        <is>
          <t>m²</t>
        </is>
      </c>
      <c r="E7" s="5">
        <f>180*INDICES!B20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Rodapé</t>
        </is>
      </c>
      <c r="B8" s="24" t="inlineStr">
        <is>
          <t>Poliestireno</t>
        </is>
      </c>
      <c r="C8" s="4">
        <f>ROUND(INDICES!B14*DADOS_PROJETO!B5*0.35,0)</f>
        <v/>
      </c>
      <c r="D8" s="24" t="inlineStr">
        <is>
          <t>m</t>
        </is>
      </c>
      <c r="E8" s="25" t="n">
        <v>10.77</v>
      </c>
      <c r="F8" s="4">
        <f>C8*E8</f>
        <v/>
      </c>
      <c r="G8" s="26" t="inlineStr">
        <is>
          <t>PU base (10p)</t>
        </is>
      </c>
    </row>
    <row r="9">
      <c r="A9" s="24" t="inlineStr">
        <is>
          <t>MO contrapiso</t>
        </is>
      </c>
      <c r="B9" s="24" t="inlineStr">
        <is>
          <t>Empreitada</t>
        </is>
      </c>
      <c r="C9" s="4">
        <f>ROUND(INDICES!B14*DADOS_PROJETO!B5,0)</f>
        <v/>
      </c>
      <c r="D9" s="24" t="inlineStr">
        <is>
          <t>m²</t>
        </is>
      </c>
      <c r="E9" s="25" t="n">
        <v>18</v>
      </c>
      <c r="F9" s="4">
        <f>C9*E9</f>
        <v/>
      </c>
      <c r="G9" s="26" t="inlineStr">
        <is>
          <t>Split 54%</t>
        </is>
      </c>
    </row>
    <row r="10">
      <c r="A10" s="24" t="inlineStr">
        <is>
          <t>MO pisos</t>
        </is>
      </c>
      <c r="B10" s="24" t="inlineStr">
        <is>
          <t>Assentamento</t>
        </is>
      </c>
      <c r="C10" s="4">
        <f>ROUND(INDICES!B14*DADOS_PROJETO!B5*0.70,0)</f>
        <v/>
      </c>
      <c r="D10" s="24" t="inlineStr">
        <is>
          <t>m²</t>
        </is>
      </c>
      <c r="E10" s="25" t="n">
        <v>32</v>
      </c>
      <c r="F10" s="4">
        <f>C10*E10</f>
        <v/>
      </c>
      <c r="G10" s="26" t="inlineStr">
        <is>
          <t>Split 54%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2" t="inlineStr">
        <is>
          <t>Total:</t>
        </is>
      </c>
    </row>
    <row r="2">
      <c r="G2" s="23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Massa PVA</t>
        </is>
      </c>
      <c r="B4" s="24" t="inlineStr">
        <is>
          <t>Paredes 2dem</t>
        </is>
      </c>
      <c r="C4" s="4">
        <f>ROUND(INDICES!B17*DADOS_PROJETO!B5*0.55,0)</f>
        <v/>
      </c>
      <c r="D4" s="24" t="inlineStr">
        <is>
          <t>m²</t>
        </is>
      </c>
      <c r="E4" s="25" t="n">
        <v>4.29</v>
      </c>
      <c r="F4" s="4">
        <f>C4*E4</f>
        <v/>
      </c>
      <c r="G4" s="26" t="inlineStr">
        <is>
          <t>Índ pintura×55%</t>
        </is>
      </c>
    </row>
    <row r="5">
      <c r="A5" s="24" t="inlineStr">
        <is>
          <t>Acrílica par.</t>
        </is>
      </c>
      <c r="B5" s="24" t="inlineStr">
        <is>
          <t>3 demãos</t>
        </is>
      </c>
      <c r="C5" s="4">
        <f>ROUND(INDICES!B17*DADOS_PROJETO!B5*0.55,0)</f>
        <v/>
      </c>
      <c r="D5" s="24" t="inlineStr">
        <is>
          <t>m²</t>
        </is>
      </c>
      <c r="E5" s="25" t="n">
        <v>5.4</v>
      </c>
      <c r="F5" s="4">
        <f>C5*E5</f>
        <v/>
      </c>
      <c r="G5" s="26" t="inlineStr">
        <is>
          <t>PU base (6p)</t>
        </is>
      </c>
    </row>
    <row r="6">
      <c r="A6" s="24" t="inlineStr">
        <is>
          <t>Acrílica teto</t>
        </is>
      </c>
      <c r="B6" s="24" t="inlineStr">
        <is>
          <t>2 demãos</t>
        </is>
      </c>
      <c r="C6" s="4">
        <f>ROUND(INDICES!B17*DADOS_PROJETO!B5*0.20,0)</f>
        <v/>
      </c>
      <c r="D6" s="24" t="inlineStr">
        <is>
          <t>m²</t>
        </is>
      </c>
      <c r="E6" s="25" t="n">
        <v>3.83</v>
      </c>
      <c r="F6" s="4">
        <f>C6*E6</f>
        <v/>
      </c>
      <c r="G6" s="26" t="inlineStr">
        <is>
          <t>PU base</t>
        </is>
      </c>
    </row>
    <row r="7">
      <c r="A7" s="24" t="inlineStr">
        <is>
          <t>Selador</t>
        </is>
      </c>
      <c r="B7" s="24" t="inlineStr">
        <is>
          <t>Base</t>
        </is>
      </c>
      <c r="C7" s="4">
        <f>ROUND(INDICES!B17*DADOS_PROJETO!B5*0.75,0)</f>
        <v/>
      </c>
      <c r="D7" s="24" t="inlineStr">
        <is>
          <t>m²</t>
        </is>
      </c>
      <c r="E7" s="25" t="n">
        <v>2.5</v>
      </c>
      <c r="F7" s="4">
        <f>C7*E7</f>
        <v/>
      </c>
      <c r="G7" s="26" t="inlineStr">
        <is>
          <t>PU base</t>
        </is>
      </c>
    </row>
    <row r="8">
      <c r="A8" s="24" t="inlineStr">
        <is>
          <t>MO pintura</t>
        </is>
      </c>
      <c r="B8" s="24" t="inlineStr">
        <is>
          <t>Empreitada</t>
        </is>
      </c>
      <c r="C8" s="4">
        <f>ROUND(INDICES!B17*DADOS_PROJETO!B5,0)</f>
        <v/>
      </c>
      <c r="D8" s="24" t="inlineStr">
        <is>
          <t>m²</t>
        </is>
      </c>
      <c r="E8" s="25" t="n">
        <v>15</v>
      </c>
      <c r="F8" s="4">
        <f>C8*E8</f>
        <v/>
      </c>
      <c r="G8" s="26" t="inlineStr">
        <is>
          <t>Split 66,2%</t>
        </is>
      </c>
    </row>
    <row r="9">
      <c r="A9" s="24" t="inlineStr">
        <is>
          <t>MO lixamento</t>
        </is>
      </c>
      <c r="B9" s="24" t="inlineStr">
        <is>
          <t>Preparação</t>
        </is>
      </c>
      <c r="C9" s="4">
        <f>ROUND(INDICES!B17*DADOS_PROJETO!B5*0.55,0)</f>
        <v/>
      </c>
      <c r="D9" s="24" t="inlineStr">
        <is>
          <t>m²</t>
        </is>
      </c>
      <c r="E9" s="25" t="n">
        <v>8</v>
      </c>
      <c r="F9" s="4">
        <f>C9*E9</f>
        <v/>
      </c>
      <c r="G9" s="26" t="inlineStr">
        <is>
          <t>Split 66,2%</t>
        </is>
      </c>
    </row>
    <row r="10">
      <c r="A10" s="27" t="inlineStr">
        <is>
          <t>TOTAL</t>
        </is>
      </c>
      <c r="F10" s="21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2" t="inlineStr">
        <is>
          <t>Total:</t>
        </is>
      </c>
    </row>
    <row r="2">
      <c r="G2" s="23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Esquadrias Al</t>
        </is>
      </c>
      <c r="B4" s="24" t="inlineStr">
        <is>
          <t>Jan+portas</t>
        </is>
      </c>
      <c r="C4" s="4">
        <f>DADOS_PROJETO!B5</f>
        <v/>
      </c>
      <c r="D4" s="24" t="inlineStr">
        <is>
          <t>m²</t>
        </is>
      </c>
      <c r="E4" s="5">
        <f>280*INDICES!B20*INDICES!B28</f>
        <v/>
      </c>
      <c r="F4" s="4">
        <f>C4*E4</f>
        <v/>
      </c>
      <c r="G4" s="26" t="inlineStr">
        <is>
          <t>R$280 × padrão × entrega</t>
        </is>
      </c>
    </row>
    <row r="5">
      <c r="A5" s="24" t="inlineStr">
        <is>
          <t>Serralheria</t>
        </is>
      </c>
      <c r="B5" s="24" t="inlineStr">
        <is>
          <t>GC+corrimão</t>
        </is>
      </c>
      <c r="C5" s="4">
        <f>DADOS_PROJETO!B5</f>
        <v/>
      </c>
      <c r="D5" s="24" t="inlineStr">
        <is>
          <t>m²</t>
        </is>
      </c>
      <c r="E5" s="5">
        <f>45*INDICES!B20</f>
        <v/>
      </c>
      <c r="F5" s="4">
        <f>C5*E5</f>
        <v/>
      </c>
      <c r="G5" s="26" t="inlineStr">
        <is>
          <t>R$45 × fator padrão</t>
        </is>
      </c>
    </row>
    <row r="6">
      <c r="A6" s="27" t="inlineStr">
        <is>
          <t>TOTAL</t>
        </is>
      </c>
      <c r="F6" s="21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Louças+metais</t>
        </is>
      </c>
      <c r="B4" s="24" t="inlineStr">
        <is>
          <t>IF Tipol+BWC+Padrão+Entrega</t>
        </is>
      </c>
      <c r="C4" s="4">
        <f>DADOS_PROJETO!B6</f>
        <v/>
      </c>
      <c r="D4" s="24" t="inlineStr">
        <is>
          <t>apto</t>
        </is>
      </c>
      <c r="E4" s="5">
        <f>2800*INDICES!B20*INDICES!B26*INDICES!B32*INDICES!B28</f>
        <v/>
      </c>
      <c r="F4" s="4">
        <f>C4*E4</f>
        <v/>
      </c>
      <c r="G4" s="26" t="inlineStr">
        <is>
          <t>R$2800 × padrão × tipol × bwc × entrega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2" t="inlineStr">
        <is>
          <t>Total:</t>
        </is>
      </c>
    </row>
    <row r="2">
      <c r="G2" s="23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Revestimento</t>
        </is>
      </c>
      <c r="B4" s="24" t="inlineStr">
        <is>
          <t>Conforme briefing</t>
        </is>
      </c>
      <c r="C4" s="4">
        <f>ROUND(INDICES!B18*DADOS_PROJETO!B5,0)</f>
        <v/>
      </c>
      <c r="D4" s="24" t="inlineStr">
        <is>
          <t>m²</t>
        </is>
      </c>
      <c r="E4" s="5">
        <f>INDICES!B21</f>
        <v/>
      </c>
      <c r="F4" s="4">
        <f>C4*E4</f>
        <v/>
      </c>
      <c r="G4" s="26" t="inlineStr">
        <is>
          <t>IF tipo fachada</t>
        </is>
      </c>
    </row>
    <row r="5">
      <c r="A5" s="24" t="inlineStr">
        <is>
          <t>MO fachada</t>
        </is>
      </c>
      <c r="B5" s="24" t="inlineStr">
        <is>
          <t>Empreitada</t>
        </is>
      </c>
      <c r="C5" s="4">
        <f>ROUND(INDICES!B18*DADOS_PROJETO!B5,0)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Balancim</t>
        </is>
      </c>
      <c r="B6" s="24" t="inlineStr">
        <is>
          <t>Fachadeiro</t>
        </is>
      </c>
      <c r="C6" s="4">
        <f>ROUND(INDICES!B18*DADOS_PROJETO!B5,0)</f>
        <v/>
      </c>
      <c r="D6" s="24" t="inlineStr">
        <is>
          <t>m²</t>
        </is>
      </c>
      <c r="E6" s="25" t="n">
        <v>18</v>
      </c>
      <c r="F6" s="4">
        <f>C6*E6</f>
        <v/>
      </c>
      <c r="G6" s="26" t="inlineStr">
        <is>
          <t>PU base</t>
        </is>
      </c>
    </row>
    <row r="7">
      <c r="A7" s="27" t="inlineStr">
        <is>
          <t>TOTAL</t>
        </is>
      </c>
      <c r="F7" s="21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Mobiliário</t>
        </is>
      </c>
      <c r="B4" s="24" t="inlineStr">
        <is>
          <t>Áreas comuns</t>
        </is>
      </c>
      <c r="C4" s="28" t="n">
        <v>1</v>
      </c>
      <c r="D4" s="24" t="inlineStr">
        <is>
          <t>vb</t>
        </is>
      </c>
      <c r="E4" s="25" t="n">
        <v>540000</v>
      </c>
      <c r="F4" s="4">
        <f>C4*E4</f>
        <v/>
      </c>
      <c r="G4" s="26" t="inlineStr">
        <is>
          <t>PU base R$ 540k (5p)</t>
        </is>
      </c>
    </row>
    <row r="5">
      <c r="A5" s="24" t="inlineStr">
        <is>
          <t>Ambientação</t>
        </is>
      </c>
      <c r="B5" s="24" t="inlineStr">
        <is>
          <t>Decoração halls</t>
        </is>
      </c>
      <c r="C5" s="28" t="n">
        <v>1</v>
      </c>
      <c r="D5" s="24" t="inlineStr">
        <is>
          <t>vb</t>
        </is>
      </c>
      <c r="E5" s="5">
        <f>300000*INDICES!B20</f>
        <v/>
      </c>
      <c r="F5" s="4">
        <f>C5*E5</f>
        <v/>
      </c>
      <c r="G5" s="26" t="inlineStr">
        <is>
          <t>R$ 300k×fator padrão</t>
        </is>
      </c>
    </row>
    <row r="6">
      <c r="A6" s="24" t="inlineStr">
        <is>
          <t>Paisagismo</t>
        </is>
      </c>
      <c r="B6" s="24" t="inlineStr"/>
      <c r="C6" s="28" t="n">
        <v>1</v>
      </c>
      <c r="D6" s="24" t="inlineStr">
        <is>
          <t>vb</t>
        </is>
      </c>
      <c r="E6" s="25" t="n">
        <v>120000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Equip. lazer</t>
        </is>
      </c>
      <c r="B7" s="24" t="inlineStr">
        <is>
          <t>Acad+playground</t>
        </is>
      </c>
      <c r="C7" s="28" t="n">
        <v>1</v>
      </c>
      <c r="D7" s="24" t="inlineStr">
        <is>
          <t>vb</t>
        </is>
      </c>
      <c r="E7" s="25" t="n">
        <v>180000</v>
      </c>
      <c r="F7" s="4">
        <f>C7*E7</f>
        <v/>
      </c>
      <c r="G7" s="26" t="inlineStr">
        <is>
          <t>PU base (8p)</t>
        </is>
      </c>
    </row>
    <row r="8">
      <c r="A8" s="24" t="inlineStr">
        <is>
          <t>Limpeza final</t>
        </is>
      </c>
      <c r="B8" s="24" t="inlineStr"/>
      <c r="C8" s="4">
        <f>DADOS_PROJETO!B5</f>
        <v/>
      </c>
      <c r="D8" s="24" t="inlineStr">
        <is>
          <t>m²</t>
        </is>
      </c>
      <c r="E8" s="25" t="n">
        <v>12</v>
      </c>
      <c r="F8" s="4">
        <f>C8*E8</f>
        <v/>
      </c>
      <c r="G8" s="26" t="inlineStr">
        <is>
          <t>PU base R$ 12/m² (10p)</t>
        </is>
      </c>
    </row>
    <row r="9">
      <c r="A9" s="24" t="inlineStr">
        <is>
          <t>Comunic.visual</t>
        </is>
      </c>
      <c r="B9" s="24" t="inlineStr">
        <is>
          <t>Sinalização</t>
        </is>
      </c>
      <c r="C9" s="28" t="n">
        <v>1</v>
      </c>
      <c r="D9" s="24" t="inlineStr">
        <is>
          <t>vb</t>
        </is>
      </c>
      <c r="E9" s="25" t="n">
        <v>47000</v>
      </c>
      <c r="F9" s="4">
        <f>C9*E9</f>
        <v/>
      </c>
      <c r="G9" s="26" t="inlineStr">
        <is>
          <t>PU base R$ 47k (17p)</t>
        </is>
      </c>
    </row>
    <row r="10">
      <c r="A10" s="24" t="inlineStr">
        <is>
          <t>Cobertura</t>
        </is>
      </c>
      <c r="B10" s="24" t="inlineStr">
        <is>
          <t>Telhado+estrutura</t>
        </is>
      </c>
      <c r="C10" s="4">
        <f>ROUND(DADOS_PROJETO!B5*0.04,0)</f>
        <v/>
      </c>
      <c r="D10" s="24" t="inlineStr">
        <is>
          <t>m²</t>
        </is>
      </c>
      <c r="E10" s="25" t="n">
        <v>95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Ligações def.</t>
        </is>
      </c>
      <c r="B11" s="24" t="inlineStr">
        <is>
          <t>Água+energia+gás</t>
        </is>
      </c>
      <c r="C11" s="28" t="n">
        <v>1</v>
      </c>
      <c r="D11" s="24" t="inlineStr">
        <is>
          <t>vb</t>
        </is>
      </c>
      <c r="E11" s="25" t="n">
        <v>60000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Desmobilização</t>
        </is>
      </c>
      <c r="B12" s="24" t="inlineStr">
        <is>
          <t>Pessoal+equip</t>
        </is>
      </c>
      <c r="C12" s="28" t="n">
        <v>1</v>
      </c>
      <c r="D12" s="24" t="inlineStr">
        <is>
          <t>vb</t>
        </is>
      </c>
      <c r="E12" s="25" t="n">
        <v>15000</v>
      </c>
      <c r="F12" s="4">
        <f>C12*E12</f>
        <v/>
      </c>
      <c r="G12" s="26" t="inlineStr">
        <is>
          <t>PU base (6p)</t>
        </is>
      </c>
    </row>
    <row r="13">
      <c r="A13" s="24" t="inlineStr">
        <is>
          <t>Paviment.ext.</t>
        </is>
      </c>
      <c r="B13" s="24" t="inlineStr">
        <is>
          <t>Calçadas</t>
        </is>
      </c>
      <c r="C13" s="4">
        <f>ROUND(DADOS_PROJETO!B5*0.06,0)</f>
        <v/>
      </c>
      <c r="D13" s="24" t="inlineStr">
        <is>
          <t>m²</t>
        </is>
      </c>
      <c r="E13" s="25" t="n">
        <v>80</v>
      </c>
      <c r="F13" s="4">
        <f>C13*E13</f>
        <v/>
      </c>
      <c r="G13" s="26" t="inlineStr">
        <is>
          <t>PU base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Imprevistos</t>
        </is>
      </c>
      <c r="B4" s="24" t="inlineStr">
        <is>
          <t>1,5% do subtotal</t>
        </is>
      </c>
      <c r="C4" s="28" t="n">
        <v>1</v>
      </c>
      <c r="D4" s="24" t="inlineStr">
        <is>
          <t>vb</t>
        </is>
      </c>
      <c r="E4" s="5">
        <f>ROUND(SUM(CUSTOS_MACROGRUPO!D4:D20)*0.015,0)</f>
        <v/>
      </c>
      <c r="F4" s="4">
        <f>C4*E4</f>
        <v/>
      </c>
      <c r="G4" s="26" t="inlineStr">
        <is>
          <t>Percentual padrão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9" t="inlineStr">
        <is>
          <t>PARAMÉTRICO V2 — Projeto</t>
        </is>
      </c>
    </row>
    <row r="3">
      <c r="A3" s="29" t="inlineStr">
        <is>
          <t>18/18 macrogrupos bottom-up | 14 dropdowns interativos</t>
        </is>
      </c>
    </row>
    <row r="4">
      <c r="A4" s="29" t="inlineStr">
        <is>
          <t>Altere os dropdowns na aba BRIEFING para recalcular automaticamente</t>
        </is>
      </c>
    </row>
    <row r="5">
      <c r="A5" s="29" t="inlineStr"/>
    </row>
    <row r="6">
      <c r="A6" s="29" t="inlineStr">
        <is>
          <t>FONTES: calibration-indices.json (75 exec + 79 narrativos + IFC + curva ABC)</t>
        </is>
      </c>
    </row>
    <row r="7">
      <c r="A7" s="29" t="inlineStr">
        <is>
          <t>PUs: base-pus-cartesian.json (1.504 itens, medianas de 75 executivos)</t>
        </is>
      </c>
    </row>
    <row r="8">
      <c r="A8" s="29" t="inlineStr">
        <is>
          <t>Splits MO/Material: medianas reais de 38 executivos detalhados</t>
        </is>
      </c>
    </row>
    <row r="9">
      <c r="A9" s="29" t="inlineStr"/>
    </row>
    <row r="10">
      <c r="A10" s="29" t="inlineStr">
        <is>
          <t>14 DROPDOWNS ATIVOS:</t>
        </is>
      </c>
    </row>
    <row r="11">
      <c r="A11" s="29" t="inlineStr">
        <is>
          <t xml:space="preserve">  1. Laje: Convencional/Protendida/Nervurada → concreto, aço, forma, escoramento</t>
        </is>
      </c>
    </row>
    <row r="12">
      <c r="A12" s="29" t="inlineStr">
        <is>
          <t xml:space="preserve">  2. Subsolos: 0-3 → contenção, mov.terra, impermeabilização, fundação</t>
        </is>
      </c>
    </row>
    <row r="13">
      <c r="A13" s="29" t="inlineStr">
        <is>
          <t xml:space="preserve">  3. Fundação: Hélice/Tubulão/Sapata → infraestrutura</t>
        </is>
      </c>
    </row>
    <row r="14">
      <c r="A14" s="29" t="inlineStr">
        <is>
          <t xml:space="preserve">  4. Padrão: Médio/Médio-Alto/Alto/Luxo → acabamentos, esquadrias, louças (×0.85-1.35)</t>
        </is>
      </c>
    </row>
    <row r="15">
      <c r="A15" s="29" t="inlineStr">
        <is>
          <t xml:space="preserve">  5. Fachada: Textura/Cerâmica/Pele de vidro/ACM → PU fachada R$ 100-350/m²</t>
        </is>
      </c>
    </row>
    <row r="16">
      <c r="A16" s="29" t="inlineStr">
        <is>
          <t xml:space="preserve">  6. Pressurização: Sim/Não → +R$ 80k</t>
        </is>
      </c>
    </row>
    <row r="17">
      <c r="A17" s="29" t="inlineStr">
        <is>
          <t xml:space="preserve">  7. Torres: 1/2/3 → gerador proporcional</t>
        </is>
      </c>
    </row>
    <row r="18">
      <c r="A18" s="29" t="inlineStr">
        <is>
          <t xml:space="preserve">  8. Gerador dedicado: Sim/Não → R$ 0-350k</t>
        </is>
      </c>
    </row>
    <row r="19">
      <c r="A19" s="29" t="inlineStr">
        <is>
          <t xml:space="preserve">  9. Entrega: Completa/Shell → Shell desconta ~15% (pisos, pintura, rev, louças, esq)</t>
        </is>
      </c>
    </row>
    <row r="20">
      <c r="A20" s="29" t="inlineStr">
        <is>
          <t xml:space="preserve">  10. Tipologia: Studios/1-2D/3-4D/Misto → pontos elétricos, louças (×0.65-1.20)</t>
        </is>
      </c>
    </row>
    <row r="21">
      <c r="A21" s="29" t="inlineStr">
        <is>
          <t xml:space="preserve">  11. Pé-Direito: Baixo/Padrão/Alto/Duplo → estrutura (×0.97-1.12), fachada</t>
        </is>
      </c>
    </row>
    <row r="22">
      <c r="A22" s="29" t="inlineStr">
        <is>
          <t xml:space="preserve">  12. BWC/apto: 1-4 → hidro, louças (×1.0-1.80), rev.parede, impermeab</t>
        </is>
      </c>
    </row>
    <row r="23">
      <c r="A23" s="29" t="inlineStr">
        <is>
          <t xml:space="preserve">  13. Tipo Piso: Porcelanato/Laminado/Misto → PU pisos R$ 65-81/m²</t>
        </is>
      </c>
    </row>
    <row r="24">
      <c r="A24" s="29" t="inlineStr">
        <is>
          <t xml:space="preserve">  14. Piscina: Sim/Não/Aquecida → R$ 0/220k/320k</t>
        </is>
      </c>
    </row>
    <row r="25">
      <c r="A25" s="29" t="inlineStr"/>
    </row>
    <row r="26">
      <c r="A26" s="29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2026-04-13T20:12:00Z</dcterms:created>
  <dcterms:modified xmlns:dcterms="http://purl.org/dc/terms/" xmlns:xsi="http://www.w3.org/2001/XMLSchema-instance" xsi:type="dcterms:W3CDTF">2026-04-13T20:12:00Z</dcterms:modified>
</cp:coreProperties>
</file>